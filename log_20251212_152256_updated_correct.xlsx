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ContentType="application/vnd.openxmlformats-officedocument.custom-properties+xml" PartName="/docProps/custom.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workspace\ai_test\"/>
    </mc:Choice>
  </mc:AlternateContent>
  <xr:revisionPtr revIDLastSave="0" documentId="13_ncr:1_{B4A0243B-7963-4F89-AD10-917454D40016}" xr6:coauthVersionLast="47" xr6:coauthVersionMax="47" xr10:uidLastSave="{00000000-0000-0000-0000-000000000000}"/>
  <bookViews>
    <workbookView xWindow="-120" yWindow="-120" windowWidth="29040" windowHeight="15720" activeTab="1" xr2:uid="{00000000-000D-0000-FFFF-FFFF00000000}"/>
  </bookViews>
  <sheets>
    <sheet name="Statistics" sheetId="1" r:id="rId1"/>
    <sheet name="Logs" sheetId="2" r:id="rId2"/>
  </sheets>
  <definedNames>
    <definedName name="_xlnm._FilterDatabase" localSheetId="1" hidden="1">Logs!$A$1:$M$1061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 l="1"/>
  <c r="C3" i="1" s="1"/>
  <c r="B2" i="1"/>
  <c r="C2" i="1" s="1"/>
  <c r="B1" i="1"/>
</calcChain>
</file>

<file path=xl/sharedStrings.xml><?xml version="1.0" encoding="utf-8"?>
<sst xmlns="http://schemas.openxmlformats.org/spreadsheetml/2006/main" count="2943" uniqueCount="1206">
  <si>
    <t>총 질문 수</t>
  </si>
  <si>
    <t>검색TOP5포함</t>
  </si>
  <si>
    <t>SLM정답청크선택</t>
  </si>
  <si>
    <t>순번</t>
  </si>
  <si>
    <t>질의문</t>
  </si>
  <si>
    <t>답변참조문서</t>
  </si>
  <si>
    <t>참조페이지</t>
  </si>
  <si>
    <t>task_id</t>
  </si>
  <si>
    <t>SLM 답변</t>
  </si>
  <si>
    <t>doc_id</t>
  </si>
  <si>
    <t>score</t>
  </si>
  <si>
    <t>group</t>
  </si>
  <si>
    <t>file</t>
  </si>
  <si>
    <t>page_num</t>
  </si>
  <si>
    <t>직원들(6급 이하)의 유연근무 등의 복무결재시 전결권자는 누구인가요?</t>
  </si>
  <si>
    <t>부산광역시 사무 전결처리 규칙
  -붙임파일(별표)전결사항
  (탭) 공통사항
&gt;&gt; 내부(0), 온나라(2), 외부(10) 비슷한 이름의 문서 총 12건을 확인했지만 해당 참조내용의 문서는 없습니다.</t>
  </si>
  <si>
    <t>1</t>
  </si>
  <si>
    <t>미포함</t>
  </si>
  <si>
    <t>미선택</t>
  </si>
  <si>
    <t>36ec015e9ca8478d93ae7394891fe443</t>
  </si>
  <si>
    <t>질문하신 내용에 대해서는 참고할 만한 자료를 찾지 못했습니다. 관련 부서나 업무 담당자에게 문의해 주시기 바랍니다.</t>
  </si>
  <si>
    <t>질병휴직시 필요한 서류가 무엇인가요?</t>
  </si>
  <si>
    <t>293_2501_인사과_지침_행정안전부_지방공무원_인사제도_운영지침행정안전부예규제314호.pdf</t>
  </si>
  <si>
    <t>22</t>
  </si>
  <si>
    <t>포함</t>
  </si>
  <si>
    <t>선택</t>
  </si>
  <si>
    <t>49efb1059bda4d7ea1a702ca2bab6822</t>
  </si>
  <si>
    <t>질병휴직 시 필요한 서류는 다음과 같습니다:
1. **진단서**: 휴직 사유를 증명할 수 있는 의료기관의 공식적인 진단서가 필요합니다. 이는 신체적 또는 정신적 장애, 불임 또는 난임 치료를 필요로 한다는 것을 입증해야 합니다.
2. **휴직 사유를 증빙할 수 있는 자료**: 진단서 외에도 휴직 신청을 뒷받침할 수 있는 추가적인 의료 기록이나 관련 증빙 자료를 제출해야 합니다.
이러한 서류들은 휴직 신청 시 인사 담당자에게 제출되어야 하며, 이를 통해 휴직의 타당성과 필요성이 검토됩니다. 자세한 사항은 소속 기관의 인사 규정을 참고하시기 바랍니다. 추가로 궁금한 점이 있으시면 언제든지 말씀해 주세요!</t>
  </si>
  <si>
    <t>4dd76483-87bf-48f6-9aba-010f654b29b4</t>
  </si>
  <si>
    <t>내부자료</t>
  </si>
  <si>
    <t>f4c0cac1-dc8b-47d6-a34b-07b926344d2f</t>
  </si>
  <si>
    <t>303_2503_인사과_업무매뉴얼_공무원연금공단_공무원연금_가이드북.pdf</t>
  </si>
  <si>
    <t>협상에 의한 계약을 진행할 시 절차가 어떻게 되나요?</t>
  </si>
  <si>
    <t>478_2505_회계재산담당관_업무매뉴얼_회계재산담당관_계약업무_참고자료회계재산담당관외부용.pdf</t>
  </si>
  <si>
    <t>4, 17</t>
  </si>
  <si>
    <t>5e1199d203e94910abbb3d64018e8d80</t>
  </si>
  <si>
    <t>협상에 의한 계약은 전문성, 기술성, 창의성, 예술성, 안전성 등이 요구되는 물품이나 용역의 계약에 사용됩니다. 이러한 계약을 진행할 때의 일반적인 절차를 알려드리겠습니다.
### 1. **협상에 의한 계약의 신청**
- 사업을 추진하고자 하는 부서에서는 일상감사 대상에 해당하는 경우, 계약부서를 경유하여 일상감사부서에 협상에 의한 계약의 타당성 검토를 요청합니다.
### 2. **입찰공고**
- 계약담당자는 제안서 제출 마감일 전 일정 기간(추정가격에 따라 10일에서 40일까지) 전에 입찰공고를 해야 합니다.
- 입찰공고에는 다음과 같은 내용이 포함되어야 합니다:
  - 사업명, 사업내용, 사업기간, 예산액
  - 해당 계약이 협상에 의한 계약임을 명시
  - 제안요청서의 요청기한과 필요 서류
  - 제안요청서 교부 대상자 제한 근거와 절차
  - 협상에 의한 계약 체결에 필요한 기준과 절차
  - 제안서 제출 기간
  - 제안서 내용
  - 평가 요소와 평가 방법
  - 제안서 작성에 필요한 사항
  - 기타 필요한 사항
### 3. **제안요청서의 교부**
- 계약담당자는 입찰에 참가하려는 자에게 제안요청서를 교부하며, 이는 지정 정보처리장치에 게시하여 대신할 수 있습니다.
- 사업내용이 복잡한 경우, 기본제안서와 세부제안서로 나누어 기본제안서를 먼저 평가하여 교부 대상자를 제한할 수 있습니다.
- 제안요청서에는 과업내용, 요구사항, 계약 조건, 평가 요소와 방법, 제안서 규격 등이 포함됩니다.
### 4. **제안서의 제출**
- 입찰 참가자는 제안요청서나 입찰 공고에 따라 기술제안서와 가격제안서를 작성하여 지정된 기한 내에 계약담당자에게 제출합니다.
- 기술제안서와 가격제안서는 별도로 제출되며, 경우에 따라 동시에 제출할 수도 있습니다.
### 5. **제안서 평가위원회 구성 및 운영**
- 제안서 평가를 위해 평가위원회를 구성하며, 위원회는 공정성과 전문성을 갖추어야 합니다.
- 평가위원회는 제안서를 평가하여 협상적격자를 선정합니다.
### 6. **협상적격자 선정 및 협상**
- 평가 결과에 따라 협상적격자를 선정하고, 협상순위를 결정합니다.
- 협상순위에 따라 계약담당자와 제안서 내용을 기반으로 협상을 진행합니다.
### 7. **협상 결과 통보 및 계약 체결**
- 협상 결과를 계약부서에 통보하고, 최종적으로 계약을 체결합니다.
이러한 절차를 통해 협상에 의한 계약은 최적의 계약 상대방을 선정하고, 계약 내용의 상세 조건을 협상하여 합의에 이르는 것을 목표로 합니다. 계약 담당 부서는 투명하고 공정한 절차를 준수하여 계약을 진행해야 합니다. 추가적인 질문이나 구체적인 사례에 대해 알고 싶으시면 언제든지 말씀해 주세요!</t>
  </si>
  <si>
    <t>9cea798e-3b9c-407f-a6c3-4f1af4a20e5a</t>
  </si>
  <si>
    <t>f6bb49e1-b013-42ca-bc5a-693dc6df603a</t>
  </si>
  <si>
    <t>c18dbaf2-6483-4393-b52a-d4f044b83a93</t>
  </si>
  <si>
    <t>465_2303_회계재산담당관_법령_한국지방재정공제회_지방계약법령집_제권예규_및_고시.pdf</t>
  </si>
  <si>
    <t>bfcbaa39-bb17-497f-86b2-be1251ef22aa</t>
  </si>
  <si>
    <t>a157bf47-56f6-4682-8cb3-e26e4c122fad</t>
  </si>
  <si>
    <t>470_2407_회계재산담당관_법령_행정안전부_지방자치단체_입찰시_낙찰자_결정기준_00.pdf</t>
  </si>
  <si>
    <t>DRM 비밀번호 초기화 방법이 무엇인가요?</t>
  </si>
  <si>
    <t>331_2112_정보화정책과_업무매뉴얼_정보화정책과_부서관리자_매뉴얼자료유출방지시스템_DRM_v50_비번초기화.pdf</t>
  </si>
  <si>
    <t>1, 2, 3</t>
  </si>
  <si>
    <t>fa4bd354933b498f8a0657b93b33c614</t>
  </si>
  <si>
    <t>DRM 비밀번호를 초기화하는 방법은 다음과 같습니다:
1. **부서관리자 사이트에 접속**하세요. 이 사이트는 부서 관리자에게만 접근 권한이 있으며, 주소는 `http://99.1.81.71:9080/fed5` 입니다.
2. **사용자 ID와 비밀번호를 입력**하여 로그인을 합니다. 이때 사용하는 ID와 비밀번호는 자료유출방지시스템(DRM)의 것입니다.
3. **상단 메뉴에서 '공통설정 &gt; 조직관리'를 선택**합니다.
4. **좌측 메뉴에서 부서 목록 중 하나를 선택**하고, 그 부서의 **사용자 목록에서 수정하려는 사용자를 선택**합니다.
5. **우측 상단에 있는 '[수정]' 버튼을 클릭**합니다.
6. **화면 하단의 '초기화 비밀번호'란에 'a12345'를 입력**합니다. 이는 비밀번호를 초기화하기 위한 임시 비밀번호입니다.
7. **우측 상단의 '[확인]' 버튼을 클릭**하여 변경 사항을 적용합니다.
8. **비밀번호 초기화가 완료되면 해당 사용자는 새로운 비밀번호로 변경해야 로그인할 수 있습니다.**
즉, DRM 시스템에서 사용자의 비밀번호를 초기화하려면 부서 관리자가 해당 사용자의 정보를 수정하면서 초기화 비밀번호를 설정해주어야 하며, 이후 사용자는 자신의 비밀번호를 재설정해야 합니다. 이 과정은 문서 페이지 1부터 3까지 상세하게 안내되어 있습니다. 만약 추가적인 도움이 필요하시다면 언제든지 말씀해 주세요!</t>
  </si>
  <si>
    <t>edb1e797-f9cd-4785-8595-87e84038bc40</t>
  </si>
  <si>
    <t>28edbca7-25e5-4839-be03-23df0b778bb6</t>
  </si>
  <si>
    <t>a121944b-92ec-4338-bfb3-1e517948c634</t>
  </si>
  <si>
    <t>일상경비 교부대상 통계목이 무엇인가요?</t>
  </si>
  <si>
    <t>1257_2412_회계재산담당관_공문_회계재산담당관_2025년도_일상경비_교부운영계획.pdf</t>
  </si>
  <si>
    <t>5</t>
  </si>
  <si>
    <t>14992a6a004d49418984ffc055f1dcac</t>
  </si>
  <si>
    <t>일상경비 교부대상 통계목은 지방자치단체에서 일상적인 경비 지출을 위해 일상경비 형태로 교부받을 수 있는 예산의 분류입니다. 이는 주로 경상적 경비로서 반복적이고 예측 가능한 지출에 사용됩니다.
부산광역시의 경우를 예로 들면, "지방자치단체 회계관리에 관한 훈령"이나 "부산광역시 회계관리에 관한 규칙" 등에 의해 일상경비 교부가 가능한 통계목이 지정되어 있습니다. 이러한 통계목에는 일반적으로 다음과 같은 것들이 포함될 수 있습니다:
- **사무관리비**: 사무용품 구입, 통신비 등 일반적인 사무 운영에 필요한 비용.
- **공공운영비**: 전기, 가스, 수도 등의 공공요금 및 건물 유지보수 비용.
- **행사운영비**: 소규모 행사의 개최에 따른 비용.
- **국내여비**: 공무원의 국내 출장 시 발생하는 여비.
- **월액여비**: 정기적인 외부 활동이 필요한 직원에게 지급되는 월별 여비.
- **업무추진비**: 부서 간 협력 강화 등을 위한 식사비, 회의비 등.
- **행사실비지원금**: 현장 지원이나 행사 지원을 위한 실제 비용.
하지만 구체적인 통계목은 지방자치단체마다 다를 수 있으며, 예산 편성과 집행 지침에 따라 변동될 수 있습니다. 따라서 정확한 정보를 얻기 위해서는 부산광역시의 최신 회계 관련 규정이나 훈령을 참조하시는 것이 좋습니다.
또한, 일상경비 교부는 일정 금액 이하의 소액 지출에 대해 신속하고 효율적으로 자금을 사용하기 위한 제도이므로, 대규모 사업이나 특별한 절차를 요구하는 지출은 일상경비 대상이 아닐 수 있습니다. 이에 대한 자세한 내용은 부산광역시 회계재산담당관실 또는 관련 부서에 문의하시면 도움을 받으실 수 있을 것입니다.</t>
  </si>
  <si>
    <t>035e0f14-f0e3-4a32-883d-6d6af4961b8c</t>
  </si>
  <si>
    <t>bb48bfda-2558-4de0-a7b9-8145a5ad4ad0</t>
  </si>
  <si>
    <t>469_2406_회계재산담당관_법령_행정안전부_지방자치단체_회계관리에_관한_훈령_00.pdf</t>
  </si>
  <si>
    <t>f7d66361-cd7c-4404-a639-5e24186772d8</t>
  </si>
  <si>
    <t>f363f560-6cbc-4a7d-9e75-87f58b6c4e2f</t>
  </si>
  <si>
    <t>9ed73d36-8153-40fa-992f-eb44e1b0f784</t>
  </si>
  <si>
    <t>477_2505_회계재산담당관_업무매뉴얼_메타넷디지털_일반지출_절차_및_삭제_회계재산담당관_경리팀.pdf</t>
  </si>
  <si>
    <t>일상경비 교부범위가 어떻게 되나요?</t>
  </si>
  <si>
    <t>a1fd0e20ac6741ef8417aeb071ebedf8</t>
  </si>
  <si>
    <t>일상경비 교부범위는 「지방자치단체 회계관리에 관한 훈령」 제48조에 따라 결정되며, 이는 다음과 같습니다:
1. **급여 등 인건비**
2. **일반운영비**:
   - 사무관리비
   - 공공운영비
   - 행사운영비
3. **여비**: 국내여비, 월액여비
4. **직무수행경비**
5. **업무추진비**
6. **전출금**
7. **지방채상환원리금**
8. **행정재산 취득에 따른 보상금**
9. **보조금**
10. **위탁금**
11. **대행사업비**
12. **반환금**
13. **그 밖에 법령 또는 조례에 따른 의무적 경비의 지출과 일상경비의 교부**
또한, **계약 또는 협약으로 집행하는 경비** 중에서 일정 금액 이하의 경비가 포함됩니다.
이러한 일상경비는 재무관(또는 분임재무관)이 지출원에게 미리 자금을 교부하여 지출하도록 하는 방식으로 운영되며, 이는 예산집행의 효율성과 신속성을 높이기 위한 제도입니다. 구체적인 교부범위나 한도는 각 지방자치단체의 내부 지침이나 규칙에 따라 다를 수 있으므로, 정확한 정보를 원하신다면 해당 지방자치단체의 회계관리 규정을 참고하시는 것이 좋습니다. 추가적인 도움이 필요하시면 언제든지 말씀해 주세요!</t>
  </si>
  <si>
    <t>9b66f5c7-9e85-4ad2-9e5d-420eb5fbcabf</t>
  </si>
  <si>
    <t>자치법규정보시스템</t>
  </si>
  <si>
    <t>43_페이지5_문서3_162141_부산광역시_회계관리에_관한_규칙.pdf</t>
  </si>
  <si>
    <t>5084cb63-9f40-433e-99a8-81a7ac3e301c</t>
  </si>
  <si>
    <t>f65d2b49-7693-4c67-9807-b168204cfa97</t>
  </si>
  <si>
    <t>6c5b79b9-3dc9-4a80-b3b6-6a435e99c6e4</t>
  </si>
  <si>
    <t>DRM 암호 초기화 어떻게 하나요?</t>
  </si>
  <si>
    <t>3510105e76f14ecf87a3850eb2f824f8</t>
  </si>
  <si>
    <t>DRM(Digital Rights Management) 시스템에서 사용자의 암호를 초기화하는 방법은 일반적으로 다음과 같습니다:
1. **사이트 접속**: 먼저 DRM 시스템이 제공하는 관리자 사이트에 접속해야 합니다. 이 사이트는 보통 부서 관리자나 시스템 관리자에게 권한이 부여되어 있습니다.
2. **로그인**: 해당 사이트에 사용자 ID와 비밀번호를 입력하여 로그인합니다. 이때 사용하는 계정은 부서 관리자 권한을 가진 계정이어야 합니다.
3. **조직 관리 메뉴 접근**:
   - 로그인 후, 상단의 메뉴 중에서 '공통 설정' 또는 '조직 관리'와 같은 메뉴를 찾아 클릭합니다.
   - 여기서 조직 내의 부서와 사용자를 관리할 수 있는 기능을 제공합니다.
4. **사용자 선택 및 수정**:
   - 좌측에 표시되는 부서 목록에서 해당 부서를 선택하고, 그 하위에 있는 사용자 목록에서 암호를 초기화하고 싶은 사용자를 선택합니다.
   - 선택한 사용자의 정보를 수정하기 위해 우측 상단에 있는 '[수정]' 버튼을 클릭합니다.
5. **암호 초기화**:
   - 나타나는 화면에서 '초기화 비밀번호'(예: `a12345`)를 입력하는 필드가 있을 것입니다.
   - 이 초기화 비밀번호를 정확히 입력한 후, 우측 상단의 '[확인]' 버튼을 눌러 변경 사항을 저장합니다.
   - 이렇게 하면 해당 사용자의 암호가 초기화됩니다.
6. **재로그인 안내**:
   - 암호가 초기화된 사용자는 새로운 비밀번호를 설정해야 합니다.
   - 시스템 정책에 따라 일정 시간 내에 비밀번호를 재설정하지 않으면 로그인이 제한될 수 있으므로, 즉시 비밀번호를 변경하도록 안내해야 합니다.
7. **보안 유지**:
   - 암호 초기화는 보안상의 이유로 신중하게 처리되어야 하며, 관련 절차나 정책을 준수해야 합니다.
   - 초기화 비밀번호는 안전한 곳에 보관하고, 필요 시에만 사용하며, 다른 사람에게 공유해서는 안 됩니다.
위의 절차를 따르면 DRM 시스템의 사용자 암호를 성공적으로 초기화할 수 있습니다. 만약 구체적인 시스템이나 추가적인 도움이 필요하다면, 해당 시스템의 매뉴얼이나 지원 센터에 문의하시는 것이 좋습니다. 또한, 보안을 위해 정기적으로 비밀번호를 변경하고, 복잡한 비밀번호를 사용하여 시스템을 보호하는 것이 중요합니다.</t>
  </si>
  <si>
    <t>보도자료 작성 기한은?</t>
  </si>
  <si>
    <t>1284_2512_부산시_업무관련_FAQ문서_20251209.pdf</t>
  </si>
  <si>
    <t>4</t>
  </si>
  <si>
    <t>df4e01fdf9a6472e92b9e811b1f0fc41</t>
  </si>
  <si>
    <t>보도자료를 작성하는 기한은 다음과 같습니다:
- **배포 D-3**: 보도자료 초안을 작성하여 제출해야 합니다. 이는 보도지원팀 담당자에게 보도자료를 최종 확정하기 전에 검토할 수 있도록 하기 위함입니다.
즉, 보도자료를 배포하기 3일 전까지 초안을 완성하여 제출하면 됩니다. 이를 통해 충분한 시간을 가지고 보도자료를 검토하고 수정할 수 있습니다. 자세한 내용은 제공된 링크인 https://www.busan.go.kr/nbtnewsBU를 참고하시면 도움이 될 것입니다. 추가적인 질문이나 도움이 필요하시면 언제든지 말씀해 주세요!</t>
  </si>
  <si>
    <t>edb7a993-7b06-439b-b657-9429360f9144</t>
  </si>
  <si>
    <t>인사고충 신청을 하려고 하는데 방법은?</t>
  </si>
  <si>
    <t>2501_인사과_기본계획_인사과_2025년도 부산광역시 인사운영 기본계획
&gt;&gt; 20 ~ 24 년도 문서만 존재 / 25년도 문서 없음</t>
  </si>
  <si>
    <t>11</t>
  </si>
  <si>
    <t>90cfd9202e404565bc4f94d8e4256555</t>
  </si>
  <si>
    <t>인사랑이 열리지 않을때 조치방법은?</t>
  </si>
  <si>
    <t>1255_행정포털_오류조치_안내_정보화정책과_20251112.pdf</t>
  </si>
  <si>
    <t>b883e4bd2ec44485b756fdf1cf38885a</t>
  </si>
  <si>
    <t>안녕하십니까.
'인사랑'이 열리지 않을 때의 조치 방법을 알려드리겠습니다.
**첫째**, **인터넷 익스플로러의 설정 문제**를 확인해 보세요. 인사랑 시스템은 인터넷 익스플로러에 최적화되어 있으므로, 다른 브라우저나 버전에서 문제가 발생할 수 있습니다. 만약 다른 브라우저를 사용하고 계시다면 인터넷 익스플로러로 전환하여 시도해 보세요.
**둘째**, **인터넷 익스플로러의 버전 확인**이 필요합니다. 인사랑은 특정 버전의 인터넷 익스플로러에서만 정상 작동할 수 있습니다. 현재 사용 중인 인터넷 익스플로러의 버전이 지원되는지 확인하고, 필요하면 업데이트를 진행하세요.
**셋째**, **브라우저의 확장 프로그램이나 애드온 제거**를 고려해 보세요. 일부 확장 프로그램은 브라우저의 동작을 방해하거나 충돌을 일으킬 수 있습니다. 이러한 프로그램들을 일시적으로 비활성화하거나 제거한 후 다시 시도해 보세요.
**넷째**, **브라우저의 쿠키와 캐시 삭제**를 해보세요. 오래된 쿠키나 캐시는 페이지 로딩 문제를 유발할 수 있습니다. 브라우저 설정에서 쿠키와 캐시를 모두 삭제한 후 인사랑 사이트에 재접속해 보세요.
**다섯째**, **방화벽이나 보안 소프트웨어의 설정 확인**이 필요합니다. 방화벽이나 백신 프로그램이 인사랑 사이트를 차단하고 있을 수 있으니, 해당 소프트웨어의 예외 목록에 인사랑 도메인을 추가하거나 잠시 비활성화한 후 접근해 보세요.
**여섯째**, **네트워크 연결 상태 점검**을 해야 합니다. 안정적인 인터넷 연결이 필요한 만큼, Wi-Fi 신호 강도나 이더넷 케이블 상태를 확인하고, 필요하다면 네트워크를 재연결하거나 리셋해 보세요.
**마지막으로**, **시스템 복원 기능 활용**을 고려할 수 있습니다. 인사랑 시스템이 정상적으로 작동하던 이전 시점으로 시스템을 복원하여 문제를 해결할 수도 있습니다.
위의 조치를 차례대로 시도해 보시고, 여전히 문제가 지속된다면 IT 담당 부서나 인사랑 운영 부서에 문의하여 전문적인 지원을 받으시기 바랍니다.
도움이 되셨기를 바라며, 추가로 궁금한 사항이 있으시면 언제든지 말씀해 주세요. 감사합니다.</t>
  </si>
  <si>
    <t>44362772-0ca2-464e-98df-d9b4c549578f</t>
  </si>
  <si>
    <t>행정포털 접속 장애 시 조치 방법은?</t>
  </si>
  <si>
    <t>378c3027a9f44057aa905526d9d5a9c4</t>
  </si>
  <si>
    <t>행정포털에 접속하는 과정에서 문제가 발생할 때는 다음과 같은 조치를 취해보세요:
1. **브라우저 캐시 및 쿠키 삭제**: 브라우저의 임시 파일이나 쿠키에 문제가 있을 수 있으므로, 브라우저 설정에서 캐시와 쿠키를 모두 삭제하세요.
2. **브라우저 업데이트 확인**: 사용하는 브라우저가 최신 버전인지 확인하고, 필요하다면 업데이트를 진행하세요.
3. **팝업 차단 해제**: 일부 포털 사이트에서는 팝업 차단이 되어 있으면 정상적인 접근이 어려울 수 있으니, 팝업 차단을 일시적으로 해제해보세요.
4. **인터넷 연결 상태 확인**: 안정적인 인터넷 연결이 필요한 작업이므로, Wi-Fi 신호 강도나 이더넷 케이블 상태를 점검하세요.
5. **방화벽 및 보안 소프트웨어 설정 확인**: 방화벽이나 백신 프로그램이 특정 사이트를 차단하고 있는지 확인하고, 필요하면 예외 설정을 추가하세요.
6. **다른 브라우저 사용 시도**: Chrome, Firefox, Edge 등 다른 브라우저를 사용하여 동일한 문제가 발생하는지 확인해보세요.
7. **행정포털 고객 지원 문의**: 위의 조치로도 문제가 해결되지 않는다면, 행정포털의 공식 고객 지원 센터에 문의하여 전문적인 도움을 받으세요.
이러한 단계를 따라 문제를 해결할 수 있으며, 만약 특정한 오류 메시지가 나타난다면 그 메시지를 알려주시면 더 구체적인 해결 방법을 제공해 드릴 수 있어요. 도움이 필요하시면 언제든지 말씀해 주세요!</t>
  </si>
  <si>
    <t>b9eaf18d-1984-4f60-8d4a-cfa87fc92f3a</t>
  </si>
  <si>
    <t>eb25fc39-8792-4452-b1aa-b2adb87b35d7</t>
  </si>
  <si>
    <t>371_2503_정보화정책과_업무매뉴얼_정보화정책과_온톡_온메일_온나라_지식_사용자_매뉴얼_v21.pdf</t>
  </si>
  <si>
    <t>615e6680-325a-4d88-9d18-fe35d6bb6979</t>
  </si>
  <si>
    <t>회의장 예약 방법은?</t>
  </si>
  <si>
    <t>a8c1f292877a48a5b9af3c7a85089df0</t>
  </si>
  <si>
    <t>회의장 예약 방법은 다음과 같습니다:
1. **행정포털 접속**: 먼저 부산시 행정포털 웹사이트에 로그인합니다.
2. **개인서비스 메뉴 선택**: 메인 화면에서 '개인서비스' 메뉴를 클릭합니다.
3. **회의장 예약 기능 선택**: '개인서비스' 메뉴 내에서 '회의장' 또는 '회의실 예약' 기능을 찾아 클릭합니다.
4. **예약 정보 입력**:
   - 원하는 **날짜**와 **시간을 선택**합니다.
   - 필요한 경우 **회의실 종류**나 **수용 인원** 등을 지정합니다.
   - **예약자 정보**를 정확히 입력합니다.
5. **예약 완료**: 모든 정보를 입력한 후 '예약 신청' 버튼을 눌러 예약을 완료합니다.
**참고 사항**:
- 일부 회의실은 특정 부서나 용도에 따라 사용이 제한될 수 있으므로, 사전에 해당 부서에 확인하거나 공지사항을 참고해야 합니다.
- 회의실 사용 후에는 시설물을 원상태로 정리하고, 필요하면 담당 부서에 보고해야 할 수도 있습니다.
이렇게 하면 회의실을 원활하게 예약하고 사용할 수 있습니다. 추가로 궁금한 점이 있으시면 언제든지 말씀해 주세요!</t>
  </si>
  <si>
    <t>74f655a6-6e3c-4203-af25-8d7c2aa656a3</t>
  </si>
  <si>
    <t>af6b89a2-5cae-416e-94fb-270a19595566</t>
  </si>
  <si>
    <t>1281_게시판_시청사_회의장회의실_현황-hwp.pdf</t>
  </si>
  <si>
    <t>9260cf29-213a-4b61-bb71-a8aae0674111</t>
  </si>
  <si>
    <t>f10e4076-05ec-4ab0-88fe-31f3c238cf88</t>
  </si>
  <si>
    <t>PC 개인정보 삭제 방법은?</t>
  </si>
  <si>
    <t>357_2412_정보화정책과_업무매뉴얼_정보화정책과_PC개인정보파일_정비방법간단매뉴얼_0310.pdf</t>
  </si>
  <si>
    <t>8c03de4f38834793b9f524760caf2220</t>
  </si>
  <si>
    <t>PC에 저장된 개인정보를 삭제하려면 다음과 같이 진행할 수 있습니다:
1. **Fasoo Data Radar 실행**: 모니터 우측 하단의 지구본 모양 아이콘을 우클릭한 뒤 'Fasoo Data Radar'를 엽니다.
2. **검출파일관리 접근**: 열린 창의 좌측 세 번째 메뉴에서 `[검출파일관리]`를 클릭합니다.
3. **암호화 상태 확인**: `암호화상태` 항목에서 `일반문서`로 표시된 파일들을 확인하고, 필요하지 않거나 과도하게 수집된 개인정보를 포함한 파일을 선택합니다.
4. **조치 방법**:
   - **암호화**: 선택한 파일의 우클릭 메뉴에서 `암호화` 옵션을 선택하여 파일을 보호합니다.
   - **삭제**: 선택한 파일의 우클릭 메뉴에서 `삭제` 옵션을 선택하여 파일을 완전히 제거합니다. 이때 영구 삭제되므로 신중하게 결정해야 합니다.
5. **파일 내 개인정보 직접 삭제**:
   - 파일을 열어 문서 내의 개인정보를 직접 삭제할 수도 있습니다.
   - 파일명을 클릭하면 파일이 열리며, 필요한 정보를 수정하거나 삭제할 수 있습니다.
6. **압축 파일 처리**:
   - 만약 일반문서인데도 처리 메뉴가 활성화되지 않는 경우, 이는 보통 압축 파일일 가능성이 높습니다.
   - 이러한 경우에는 먼저 압축을 해제합니다.
   - 압축 해제한 파일들에 대해 위의 절차를 따라 암호화나 삭제 조치를 취합니다.
   - 원본 압축 파일은 더 이상 필요 없으므로 삭제합니다.
7. **개별 파일 암호화**:
   - 압축 해제된 파일 중 개별적으로 암호화를 해야 하는 경우가 있을 수 있습니다.
   - 윈도우 탐색기에서 해당 파일을 우클릭하고 `보안문서 생성`을 선택합니다.
   - 목록에서 해당 파일을 선택하고, 상세 정보 창에서 파일을 클릭하여 열거나 파일 경로를 클릭하여 해당 위치의 윈도우 탐색기를 실행합니다.
   - 이를 통해 개별 파일에 대한 암호화 작업을 수행할 수 있습니다.
8. **상세 정보 확인**:
   - 파일명, 파일 경로, 그리고 문서 내에 포함된 개인정보의 유형을 확인할 수 있습니다.
   - 이 정보는 어떤 파일이 민감한 정보를 포함하고 있는지 파악하는 데 도움이 됩니다.
9. **PC 개인정보 사용자 검사 방법 안내**:
   - 실행 창의 네 번째 메뉴에서 `[톱니바퀴]`를 클릭하여 검사 경로를 설정하고 적용합니다.
   - 좌측 두 번째 메뉴에서 `[돋보기]`를 클릭한 뒤, `[즉시 검사]`를 선택하여 검사를 시작합니다.
   - 기본 규정 및 사용자 선택 검사와 기본 처리 규칙 및 사용자 선택 검사를 활용하여 개인정보 파일을 효율적으로 관리할 수 있습니다.
이러한 단계를 따르면 PC에 저장된 불필요한 개인정보를 안전하게 삭제하거나 보호할 수 있습니다. 개인정보 보호는 매우 중요하므로, 모든 작업은 신중하게 진행해야 하며, 특히 삭제 시에는 복구할 수 없는 데이터인지 다시 한 번 확인하는 것이 좋습니다. 또한, 정기적인 검사를 통해 새로운 개인정보 파일이 생성되지 않도록 관리하는 것도 중요합니다. 추가적인 질문이나 도움이 필요하시면 언제든지 말씀해 주세요!</t>
  </si>
  <si>
    <t>2be574ee-d6d9-4b5a-ac6d-2bea79390ada</t>
  </si>
  <si>
    <t>1261c9edf4944c72a1dc5f93a2e75623</t>
  </si>
  <si>
    <t>시 공무원 장례비 지원 및 사망조위금 신청방법은?</t>
  </si>
  <si>
    <t>278_2501_인사과_기타_인사과_2025년_공무원_장례비_지원_추진계획.pdf</t>
  </si>
  <si>
    <t>2</t>
  </si>
  <si>
    <t>a30aa5203ac14ef2a18bfc97cccec5fb</t>
  </si>
  <si>
    <t>부산광역시에서 근무하는 공무원이거나 그 가족이 사망했을 때, 장례비와 사망조위금을 신청하기 위해서는 다음과 같은 절차를 따르면 됩니다.
**1. 사망조위금 신청 방법**
- **공무원 본인이 사망한 경우**
  - **신청 서류**: 사망진단서(또는 기본증명서), 가족관계증명서, 유가족 대표 선정서, 통장 사본
  - **신청 기관**: 연금 취급 기관
  - **지원 금액**: 공무원 본인의 기준 소득 월액의 2배
- **공무원 가족(배우자, 부모, 자녀, 사위, 며느리)이 사망한 경우**
  - **신청 서류**: 사망진단서(또는 기본증명서), 가족관계증명서, 배우자의 부모가 사망한 경우 혼인관계증명서 추가
  - **신청 방법**: 공무원연금공단 홈페이지(https://www.geps.or.kr)에 온라인 신청 또는 연금 취급 기관 방문 신청
  - **지원 금액**: 공무원 전체 평균 기준 소득 월액의 0.65배
**2. 장례비 지원 신청 방법**
- **지원 대상**: 본청, 직속기관, 사업소, 시의회(시의원 포함) 소속 공무원
- **지원 범위**: 배우자, 부모(배우자의 부모 포함), 자녀, 사위, 며느리의 사망(조부모 제외)
- **지원 금액**: 1,000,000원 이내의 장례비용 실비 지원(재직 중 최대 2회까지, 사망일로부터 1년 이내 신청해야 함)
- **신청 절차**:
  1. **장례비용 선결제**: 장례비용을 먼저 결제합니다.
  2. **증빙 자료 준비**: 사망확인서(사망진단서, 사망자 기본증명서 등), 친족 증명서(가족관계증명서, 혼인관계증명서 등), 비용 결제 증빙서류(카드 영수증, 현금영수증, 입금증 등)를 준비합니다.
  3. **직원복지지원 시스템 등록**: 시 행정포털 내 &lt;직원복지지원시스템&gt;에 로그인하여 장례비 영수증과 증빙자료를 업로드합니다.
- **주의 사항**:
  - 장례비용은 공무원 명의의 카드로 결제해야 합니다.
  - 1회용품 구매 비용이나 간이영수증 등은 지원되지 않습니다.
  - 사망일로부터 1년 이내에 신청하지 않으면 지원이 소멸됩니다.
**관련 법령 및 참고 자료**
- **법령 근거**: 「지방공무원법」, 「부산광역시 공무원 후생복지에 관한 조례」
- **문의처**: 인사과 또는 연금 취급 기관
**추가 정보**
- **종합건강검진 지원**: 공무원의 건강을 위해 매년 또는 격년으로 종합건강검진 비용을 지원하고 있으며, 자세한 내용은 인사과의 공지사항이나 직원복지지원 시스템을 통해 확인할 수 있습니다.
- **협약병원 목록**: 종합건강검진을 받을 수 있는 협약병원 목록은 행정포털 내 &lt;직원복지지원시스템&gt; 공지사항에서 확인할 수 있습니다.
위의 정보를 바탕으로 필요한 서류를 준비하고 지정된 방법으로 신청하면 지원을 받으실 수 있습니다. 추가로 궁금한 사항이 있으시면 인사과로 문의하시기 바랍니다.</t>
  </si>
  <si>
    <t>5f9d33cc-8d3e-4cb9-8677-e2dd6c39ab35</t>
  </si>
  <si>
    <t>13ef0a81-dfe0-4704-b500-ad9c7999d087</t>
  </si>
  <si>
    <t>1219_2510_인사과_매뉴얼_인사과_자주찾는_질문인사과_전체.pdf</t>
  </si>
  <si>
    <t>회의실 예약은 어떻게 하나요?</t>
  </si>
  <si>
    <t>0ad2a11d082849be93359d4c94672bed</t>
  </si>
  <si>
    <t>회의실을 예약하려면 다음과 같은 절차를 따르면 됩니다:
1. **행정포털 접속**: 먼저 부산시 행정포털 웹사이트에 로그인하세요.
2. **개인서비스 메뉴 선택**: 메인 화면에서 '개인서비스' 메뉴를 클릭합니다.
3. **회의장 예약 선택**: '개인서비스' 메뉴 내에서 '회의장' 또는 '회의실 예약' 옵션을 선택합니다.
4. **원하는 날짜와 시간 선택**: 예약 가능한 일정 중에서 원하는 날짜와 시간을 선택합니다.
   - 이때, 이미 예약되어 있는 시간은 선택할 수 없으므로 다른 시간을 고려해 주세요.
5. **예약 정보 입력**: 필요한 경우 회의 제목, 참석자 명단 등의 정보를 입력합니다.
6. **예약 완료**: 모든 정보를 정확히 입력한 후 '예약하기' 버튼을 눌러 예약을 완료합니다.
**참고 사항**:
- 회의실은 선착순으로 예약되므로 원하는 날짜와 시간이 있다면 미리 예약하시는 것이 좋습니다.
- 특정 회의실의 경우 부서별로 예약 권한이 제한될 수 있으니, 해당 회의실이 소속된 부서와 사전에 협의해야 할 수도 있습니다.
- 예약 후에는 변경이나 취소가 필요할 경우 동일한 경로로 수정하거나 취소하실 수 있습니다.
추가적인 도움이 필요하시면 언제든지 말씀해 주세요!</t>
  </si>
  <si>
    <t>7b1079c5-1207-4b64-aac5-5d76ac1b7d7f</t>
  </si>
  <si>
    <t>407_2505_총무과_주요질문사항_도모헌_이용범위_및_신청_절차.pdf</t>
  </si>
  <si>
    <t>임기제공무원은 어떻게 임용되나요?</t>
  </si>
  <si>
    <t>291_2501_인사과_대통령령_인사혁신처_공무원임용령대통령령제35191호.pdf</t>
  </si>
  <si>
    <t>13</t>
  </si>
  <si>
    <t>7207cec060ef49818eb36134b8c7bb09</t>
  </si>
  <si>
    <t>임기제공무원은 「공무원임용령」 제22조의4에 따라 임용됩니다. 임용권자나 임용제청권자는 정원 및 예산의 범위 내에서 임기제공무원을 임용할 수 있으며, 일반임기제공무원, 전문임기제공무원, 시간선택제임기제공무원, 한시임기제공무원 등으로 구분됩니다. 이들은 직제 등 법령에 규정된 경력직공무원의 정원에 해당하는 직위나 특정 분야에 대한 전문적 지식이나 기술이 요구되는 업무를 수행하기 위해 임용되며, 임용 절차와 방법은 해당 법령에 상세히 규정되어 있습니다. 또한, 임기제공무원의 임용은 인사혁신처장의 승인이 필요할 수 있고, 임용 후에는 그 사실이 소속 장관에게 통보되어야 합니다. 이러한 절차를 통해 임기제공무원은 필요한 분야에서 일정 기간 동안 공무를 수행하게 됩니다.</t>
  </si>
  <si>
    <t>a3b671a0-34a0-41d4-b7c2-01c8587682a1</t>
  </si>
  <si>
    <t>1226_2025_공무원보수_등의_업무지침인사혁신처_예규_제192호.pdf</t>
  </si>
  <si>
    <t>0ebc1dde-5108-49ef-bb92-df6baf12be3a</t>
  </si>
  <si>
    <t>264_2401_인사과_법령_행정안전부_지방공무원_인사관계_법령집.pdf</t>
  </si>
  <si>
    <t>6e7e6215-6435-4f2b-bc67-4333b774b312</t>
  </si>
  <si>
    <t>575cb8d2-8804-4ee5-a852-313d5ee89a54</t>
  </si>
  <si>
    <t>649_페이지65_문서9_163152_부산광역시의회_공무원_여비_조례.pdf</t>
  </si>
  <si>
    <t>9c41a377-9bec-4065-a77d-660732efc191</t>
  </si>
  <si>
    <t>397_페이지40_문서7_162748_부산광역시의회_공무원_인사_규칙.pdf</t>
  </si>
  <si>
    <t>데이터산업 혁신생태계 조성 전략의 내용은?</t>
  </si>
  <si>
    <t>170_2503_빅데이터과_업무매뉴얼_빅데이터과_빅데이터과바인더.pdf</t>
  </si>
  <si>
    <t>24</t>
  </si>
  <si>
    <t>a95397520dc94f72977a884438bc1f65</t>
  </si>
  <si>
    <t>데이터산업 혁신생태계 조성 전략은 데이터산업의 지속적인 성장을 도모하고 지역 간 격차를 해소하며, 데이터 기반의 새로운 가치를 창출하기 위한 것입니다. 주요 내용은 다음과 같습니다:
**비전**: "데이터로 도약하는 디지털 경제도시 부산"
**목표(2024년까지)**:
1. **데이터 확보**: 7,500종(현재 2,500종)
2. **데이터 전문기업 육성**: 100개사(현재 21개사)
3. **데이터 고급인재 양성**: 100명
4. **기업의 빅데이터 도입률**: 25%(현재 4.9%)
**전략 및 과제**:
- **데이터산업 혁신기반 조성**
  - **데이터경제 선도 전문기업 육성**
    - 빅데이터 혁신센터 설립
    - 데이터통합플랫폼 구축
  - **실무융합형 전문인재 양성**
    - 부산 데이터 아카데미 운영
    - 산업별 맞춤형 인재 양성
  - **데이터 창업 생태계 조성**
    - 데이터 스타트업 성장 지원
    - R&amp;D 지원사업 큐레이션
  - **데이터 기반 특화산업 육성**
    - 디지털 헬스케어 서비스 개발
    - 스마트 산업단지 구축
**이행계획**:
- **소요예산**: 660억 원 (2022년 74억 원, 2023년 174억 원, 2024년 171억 원, 2025년 172억 원)
- **추진조직 개편**: 1개 과 4개 팀으로 확대 (데이터분석팀 신설)
**추진상황**:
- 연간 계획에 따라 빅데이터 혁신센터 설립, 데이터 댐 구축 등 12개의 데이터 혁신 생태계 조성 사업을 진행 중이며, 총 예산은 103.31억 원입니다.
이러한 전략을 통해 부산시는 데이터 산업의 기반을 강화하고, 지역 경제 발전에 기여하고자 합니다. 또한, 데이터 전문기업 육성과 인재 양성을 통해 데이터 중심의 혁신 생태계를 조성하려는 목표를 가지고 있습니다.</t>
  </si>
  <si>
    <t>5400edd2-420d-42cd-8f5b-e4e340e57064</t>
  </si>
  <si>
    <t>0f31473d-2184-4efb-b47a-2804328ed9f1</t>
  </si>
  <si>
    <t>08dd0469-7355-4af4-82b1-7ef14be58263</t>
  </si>
  <si>
    <t>8b93c297-0ad6-47ef-946a-7eebb16788b5</t>
  </si>
  <si>
    <t>데이터 활용 지원센터(빅데이터혁신센터)의 혁신성장 데이터 챌린지 프로그램은 어떤 것들이 있나요?</t>
  </si>
  <si>
    <t>61, 62</t>
  </si>
  <si>
    <t>7a804923a871471e8b2fb3c88786809f</t>
  </si>
  <si>
    <t>데이터 활용 지원센터(빅데이터혁신센터)의 혁신성장 데이터 챌린지 프로그램에는 다음과 같은 것들이 있습니다:
1. **Busan Data Week**: 데이터 산업의 지속적인 정보 제공과 국내외 네트워크 협력을 강화하는 행사로, 데이터 산업 관련 종사자들이 참여합니다.
2. **DX 부트캠프**: 디지털 전환(Digital Transformation)을 주제로 한 부트캠프로서, 데이터와 기술을 활용한 혁신적인 아이디어 개발과 서비스 구현을 목표로 합니다.
3. **DX 포럼**: 산업별 디지털 전환 성공 사례와 최신 기술 동향을 공유하는 포럼으로, 데이터 산업 종사자와 전문가들이 모여 지식을 교류합니다.
4. **글로벌 해커톤**: 전 세계의 인재들이 모여 데이터 분석을 통해 다양한 문제를 해결하는 서비스 개발에 도전하는 국제적인 해커톤 행사입니다.
5. **빅데이터 분석 해커톤**: 공공데이터와 미개방 오픈랩 데이터를 활용하여 부산 지역의 현안 문제를 발굴하고 해결책을 모색하는 해커톤입니다.
6. **코드포부산**: 부산 지역에서 열리는 코딩 대회나 커뮤니티 활동으로서, 개발자들의 역량 강화와 네트워킹을 촉진합니다.
이러한 프로그램들은 모두 데이터의 활용을 통해 혁신을 도모하고, 지역사회와 산업 발전에 기여하고자 하는 목적을 가지고 있습니다. 각 프로그램은 특정 목표와 대상자를 두고 있으며, 이를 통해 데이터 분야의 전문 인력 양성, 기술 발전, 그리고 실질적인 사회 문제 해결에 이바지하고 있습니다.</t>
  </si>
  <si>
    <t>aa1dfbb8-5782-412f-96e6-36e5f5638a4b</t>
  </si>
  <si>
    <t>bc3e6d6c-0979-44d8-9894-7dc7610b0a8d</t>
  </si>
  <si>
    <t>부산광역시 데이터 활용 및 데이터산업 육성에 관한 조례에 따른 기본계획의 수립 내용은?</t>
  </si>
  <si>
    <t>158_2408_빅데이터과_조례_빅데이터과_부산광역시_데이터_활용_및_데이터산업_육성에_관한_조례.pdf</t>
  </si>
  <si>
    <t>abffa97850b64629a2004c58739513d4</t>
  </si>
  <si>
    <t>부산광역시 데이터 활용 및 데이터산업 육성에 관한 조례에 따르면, 시장은 시민의 데이터 활용 및 데이터산업 육성을 위해 **부산광역시 데이터 활용 및 데이터산업 육성 기본계획**을 3년마다 수립해야 합니다. 이 기본계획에는 다음과 같은 내용이 포함됩니다:
1. **데이터의 활용 및 데이터산업 육성의 기본목표와 추진방향**
   - 데이터 활용을 통해 달성하고자 하는 목표와 이를 이루기 위한 전반적인 방향성을 설정합니다.
2. **데이터 서비스 및 활용에 관한 사항**
   - 데이터 서비스의 종류와 제공 방식, 그리고 시민들의 데이터 활용 방법 등에 대한 구체적인 방안을 제시합니다.
3. **데이터의 활용을 통한 데이터산업 육성에 관한 사항**
   - 데이터 활용이 어떻게 데이터산업 발전에 기여하는지, 그리고 이를 촉진하기 위한 전략을 포함합니다.
4. **데이터의 활용 실태조사에 관한 사항**
   - 현재 시민들의 데이터 활용 현황을 파악하고, 이를 바탕으로 개선점을 도출합니다.
5. **데이터의 민간 활용 촉진에 관한 사항**
   - 민간 부문에서의 데이터 활용을 활성화하기 위한 지원 방안과 정책을 제시합니다.
6. **관련 기관과의 협력에 관한 사항**
   - 데이터 활용 및 산업 육성을 위해 정부 기관, 학계, 산업계 등과의 협력 방안을 모색합니다.
7. **데이터 관련 교육 및 전문인력 양성에 관한 사항**
   - 데이터 분야 전문 인력의 부족 문제를 해결하기 위한 교육과 훈련 프로그램을 계획합니다.
8. **재원 조달에 관한 사항**
   - 기본계획의 실행을 위한 재정 확보 방안과 예산을 편성합니다.
9. **그 밖에 데이터의 활용 및 데이터산업 육성에 관한 사항**
   - 위의 항목들에 포함되지 않지만 중요하다고 판단되는 기타 사항들을 추가합니다.
이러한 기본계획은 데이터의 효과적인 활용을 통해 시민들에게 더 나은 서비스를 제공하고, 지역 경제를 활성화하며, 데이터 산업의 발전을 도모하는 것을 목표로 합니다. 또한, 매년 기본계획에 따라 **시행계획**을 수립하여 실질적인 실행을 담보합니다. 이는 데이터 중심의 행정과 산업 생태계를 구축하는 데 핵심적인 역할을 합니다.</t>
  </si>
  <si>
    <t>6cfbef53-4c24-46a7-96ec-0bdf9c77692a</t>
  </si>
  <si>
    <t>a06ad49e-6e9b-4cd5-bf7b-66a042873709</t>
  </si>
  <si>
    <t>223_페이지23_문서3_162439_부산광역시_정보화_기본_조례.pdf</t>
  </si>
  <si>
    <t>08ba49fa-2ac2-47a0-b331-9f012aefd244</t>
  </si>
  <si>
    <t>308_페이지31_문서8_162621_부산광역시_데이터_활용_및_데이터산업_육성에_관한_조례.pdf</t>
  </si>
  <si>
    <t>d3839f92-95c6-460f-a2c5-a4d61371d69a</t>
  </si>
  <si>
    <t>db61a3ea-924d-4ec7-868a-bb4f11dd6c01</t>
  </si>
  <si>
    <t>공공데이터 포털에 공공데이터를 등록하는 절차가 무엇인가요?</t>
  </si>
  <si>
    <t>141_2306_빅데이터과_업무매뉴얼_공공데이터_제공관리_실무매뉴얼.pdf</t>
  </si>
  <si>
    <t>30</t>
  </si>
  <si>
    <t>e374a710873b4b18ac00cda5a7a181eb</t>
  </si>
  <si>
    <t>공공데이터 포털에 공공데이터를 등록하는 절차는 다음과 같습니다:
1. **공공데이터 목록 구성**: 먼저, 각 기관은 생성하거나 수집·취득한 공공데이터 중에서 제공할 데이터를 확인하고, 이를 기반으로 공공데이터 목록을 구성합니다.
2. **공공데이터 목록·데이터 등록**: 구성된 공공데이터 목록을 공공데이터목록등록관리시스템(all.data.go.kr)에 등록합니다. 이때, 공공데이터 목록·데이터 등록서에 따라 필요한 정보를 입력하고 등록합니다.
3. **현행화 관리**: 등록된 공공데이터 목록은 지속적으로 최신 상태를 유지해야 하므로, 변경사항이 발생할 때마다 목록을 수정하고 현행화합니다.
4. **개방검토**: 등록된 공공데이터 목록과 데이터는 공공데이터활용지원센터의 검토를 받습니다. 이 과정에서 데이터의 형식이나 내용이 등록 기준에 부합하는지 확인합니다.
5. **지속관리**: 검토 결과에 따라 필요한 조치를 취한 후, 공공데이터 포털에 데이터를 제공합니다. 이후에도 지속적인 관리와 업데이트를 통해 데이터의 정확성과 신뢰성을 유지합니다.
이러한 절차를 통해 공공기관은 보유한 공공데이터를 효율적으로 관리하고, 국민이 필요로 하는 정보를 투명하고 쉽게 이용할 수 있도록 제공합니다. 만약 더 자세한 안내나 도움이 필요하다면 언제든지 말씀해 주세요!</t>
  </si>
  <si>
    <t>6d0649db-14bc-4ae2-bf11-4887574f8476</t>
  </si>
  <si>
    <t>dc242179-c4d6-465d-8180-28344250af8a</t>
  </si>
  <si>
    <t>7445c0b7-a52f-49df-b31c-82fa8e0d8c10</t>
  </si>
  <si>
    <t>0d54ef30-4ef7-4b40-b340-1ecb82c32e22</t>
  </si>
  <si>
    <t>9df3b333-6618-4d0d-9d4c-acbc98166cb4</t>
  </si>
  <si>
    <t>공공데이터 목록과 제공 대상 공공데이터의 차이는 무엇인가요?</t>
  </si>
  <si>
    <t>7, 18, 23, 30</t>
  </si>
  <si>
    <t>300fe8d79d934c658498c83f75dad579</t>
  </si>
  <si>
    <t>공공데이터 목록은 각 기관이 생성하거나 수집·취득한 모든 공공데이터의 목록을 말합니다. 이는 해당 기관이 보유하고 있는 공공데이터의 전체 현황을 나타내며, 여기에는 제공 가능한 데이터뿐만 아니라 제공이 제한되거나 제외되는 데이터도 포함됩니다.
반면에, 제공 대상 공공데이터는 이러한 공공데이터 목록 중에서 실제로 국민들에게 제공할 수 있는 데이터를 의미합니다. 즉, 개인정보 보호, 저작권 문제, 비공개 대상 정보 여부 등을 검토하여 제공이 적합하다고 판단된 데이터들입니다.
쉽게 말해, 공공데이터 목록은 기관의 전체 데이터 풀(pool)이고, 그 중에서 제공 대상 공공데이터는 그 풀에서 실제로 외부에 공개되고 제공될 수 있는 부분을 가리킵니다. 따라서 공공데이터 목록은 더 넓은 범위의 데이터를 포함하며, 그 안에서 제공 대상 공공데이터는 특정한 조건을 만족하여 제공되는 데이터로 볼 수 있습니다.</t>
  </si>
  <si>
    <t>7fd6d2bf-1508-4621-bff9-0873dbe8adcc</t>
  </si>
  <si>
    <t>fd999e8c-dccc-4642-8f24-d500979940ba</t>
  </si>
  <si>
    <t>cd0279ec-9a36-4569-8666-143ff5496e84</t>
  </si>
  <si>
    <t>22883643-0480-474c-9e48-1f6368e4b6ec</t>
  </si>
  <si>
    <t>공공데이터 제공 표준이 무엇인가요?</t>
  </si>
  <si>
    <t>72</t>
  </si>
  <si>
    <t>7c1b4e69dd2746f2950508af016823bf</t>
  </si>
  <si>
    <t>공공데이터 제공 표준은 공공기관이 생성하거나 취득하여 관리하고 있는 공공데이터를 국민이 자유롭게 이용할 수 있도록 일정한 형식과 절차를 정해 놓은 것입니다. 이는 데이터의 품질을 높이고, 데이터의 호환성과 재사용성을 향상시켜 다양한 분야에서 효과적으로 활용할 수 있게 합니다.
예를 들어, 데이터의 파일 형식이나 필드 이름, 데이터 구조 등을 표준화함으로써 여러 기관에서 생산된 데이터를 쉽게 결합하거나 비교할 수 있습니다. 이러한 표준화는 데이터의 일관성을 유지하고, 데이터 분석과 시각화에 필요한 시간과 노력을 절감시켜 줍니다.
또한, 공공데이터 제공 표준은 데이터의 공개 방법과 접근 권한, 보안 요구사항 등도 포함할 수 있어 데이터의 안전한 공유와 이용을 보장합니다. 이를 통해 공공기관은 투명성을 높이고, 국민은 필요한 정보를 손쉽게 얻을 수 있게 됩니다.
궁금한 점이 더 있으면 언제든지 물어봐 주세요!</t>
  </si>
  <si>
    <t>380e0c3b-6ab6-4d7f-83c3-0cd7a9a423dc</t>
  </si>
  <si>
    <t>e2a17656-45bd-4d98-9bb2-54c2468a961b</t>
  </si>
  <si>
    <t>7d16e3c7-1f9f-4ce0-8fb3-f30d13d203e2</t>
  </si>
  <si>
    <t>63f0ce95-70f6-4df8-bc9b-ee14c1dfe78a</t>
  </si>
  <si>
    <t>가명정보 처리가 가능한 목적은 무엇인가요?</t>
  </si>
  <si>
    <t>150_2402_빅데이터과_기타_개인정보보호위원회_가명정보_처리_가이드라인.pdf</t>
  </si>
  <si>
    <t>b947fa5fd34f43dc9b36779a53a80ec5</t>
  </si>
  <si>
    <t>'개인정보 보호법'에서는 가명정보의 처리가 가능한 목적을 네 가지로 규정하고 있어요:
1. **통계작성**: 사회적 현상이나 경제 활동 등을 조사하고 분석하기 위해 데이터를 집계하고 통계 자료를 만드는 것입니다.
2. **과학적 연구**: 학술적 지식의 발전이나 기술의 개발을 위해 실험, 관찰, 이론적 탐구를 수행하는 것으로, 자연과학부터 사회과학까지 다양한 분야의 연구를 포함해요.
3. **공익적 기록보존**: 역사적인 자료나 문화유산 등을 보존하여 후대에 전달함으로써 공익을 증진시키는 것을 말합니다.
4. **통계작성 또는 과학적 연구를 위한 결합**: 이미 가명처리된 다른 기관의 가명정보와 결합하여 위의 두 목적을 달성하는 경우도 허용됩니다.
이러한 목적들은 사회의 발전과 개인의 권익 보호를 조화롭게 이루기 위해 법적으로 허용된 범위 내에서 가명정보를 활용할 수 있도록 해줘요. 하지만 이러한 가명정보의 처리는 반드시 법적 절차를 따르고, 정보 주체의 권리를 침해하지 않는 선에서 이루어져야 해요. 더 궁금한 점이 있으면 언제든지 물어봐 주세요!</t>
  </si>
  <si>
    <t>ad91feba-47b3-481c-a0d7-1b5c166b2cbe</t>
  </si>
  <si>
    <t>3a7e9237-fff7-4b20-8ed3-6a2f7d1d0351</t>
  </si>
  <si>
    <t>547fa0de-464d-4930-9b23-89f74a49d844</t>
  </si>
  <si>
    <t>881ecd8b-87af-4901-a125-400a399cbc73</t>
  </si>
  <si>
    <t>7de567cd-19d7-4006-96d5-55928d7c793f</t>
  </si>
  <si>
    <t>가명정보 처리 시 개인정보 주체의 동의가 반드시 필요한가요?</t>
  </si>
  <si>
    <t>984394d6c5164d9787b28390a72e416d</t>
  </si>
  <si>
    <t>네, 일반적으로 가명정보 처리 시에는 개인정보 주체의 동의가 반드시 필요합니다. 그러나 개인정보 보호법에 따르면 몇 가지 예외적인 경우에 정보주체의 동의 없이 가명정보를 처리할 수 있습니다.
**첫째**, **통계작성, 과학적 연구, 공익적 기록보존** 등을 위해 가명정보를 처리하는 경우에는 정보주체의 동의 없이 가능합니다. 이는 사회적 이익이나 학술적 발전을 위해 필요한 경우에 해당하며, 이때는 가명정보의 처리 목적을 명확히 하고 그에 맞게 처리해야 합니다.
**둘째**, **법령에서 구체적으로 허용하는 경우**에도 정보주체의 동의 없이 가명정보를 처리할 수 있습니다. 예를 들어, 특정 법률에 의해 가명정보의 처리가 필요하다고 명시된 경우가 이에 해당합니다.
따라서, 일반적인 비즈니스 목적이나 마케팅, 상업적 이익을 위한 가명정보의 처리는 정보주체의 동의를 받아야 합니다. 만약 정보주체의 동의 없이 가명정보를 처리하면 개인정보 보호법을 위반하게 되어 법적 책임을 질 수 있습니다.
**정리하자면**: 가명정보 처리 시 정보주체의 동의는 필수적이며, 앞서 언급한 특별한 경우를 제외하고는 반드시 동의를 받아야 합니다. 개인정보 보호를 위해 정보주체의 권리를 존중하고, 관련 법률을 준수하는 것이 중요합니다. 추가로 궁금한 점이 있으시면 언제든지 물어보세요!</t>
  </si>
  <si>
    <t>d39e9633-cb51-4859-bcce-6de4f49c5240</t>
  </si>
  <si>
    <t>d8c513eb-0e06-4267-bc85-6f6037752dbc</t>
  </si>
  <si>
    <t>346_2410_정보화정책과_업무매뉴얼_정보화정책과_부산광역시_개인정보_내부_관리계획.pdf</t>
  </si>
  <si>
    <t>2a702833-5f66-4b34-bbdc-4871a4a538e2</t>
  </si>
  <si>
    <t>7f286a54-1449-4a40-bb8e-c80e0b3cab8f</t>
  </si>
  <si>
    <t>8ef77b77-44b8-4b07-b271-9329e0d63175</t>
  </si>
  <si>
    <t>241_2025_인구정책담당관_업무매뉴얼_여성가족부_2025년_가족사업안내_1권.pdf</t>
  </si>
  <si>
    <t>가명정보를 제3자에게 제공할 때 특별한 조치가 필요한가요?</t>
  </si>
  <si>
    <t>c8c0000e1f644a09b816faa448163bba</t>
  </si>
  <si>
    <t>네, 가명정보를 제3자에게 제공할 때는 특별한 조치가 필요합니다. 이는 가명정보가 여전히 재식별의 위험이 있기 때문입니다.
**첫째**, **계약서 작성**: 가명정보를 제3자에게 제공하기 전에 반드시 계약서를 작성해야 합니다. 이 계약서에는 다음과 같은 내용이 포함되어야 합니다:
- **재식별 금지**: 가명정보를 받은 제3자가 해당 정보를 사용하여 특정 개인을 식별하려는 시도를 하지 않겠다는 약속.
- **안전조치 준수**: 가명정보를 안전하게 보관하고 처리하기 위한 기술적·관리적 조치를 취하겠다는 내용.
- **목적 달성 후 폐기**: 가명정보의 사용이 완료되면 즉시 폐기하고 복구가 불가능한 방법으로 처리하겠다는 약속.
- **재제공 금지**: 받은 가명정보를 다른 제3자에게 전달하지 않겠다는 내용.
**둘째**, **가명처리 수준 강화**: 제3자의 보안 수준이 낮거나 재식별의 위험이 높다고 판단되는 경우, 더 강한 가명처리 방법을 적용해야 합니다. 예를 들어, 연령이나 지역 정보를 더욱 세분화하거나, 민감한 정보는 제외하는 등의 조치를 취할 수 있습니다.
**셋째**, **사후 모니터링**: 가명정보를 제공한 후에는 제3자가 계약 조건을 잘 준수하고 있는지 주기적으로 확인하고 감독해야 합니다. 만약 문제가 발생하면 즉시 대응할 수 있도록 연락 체계를 마련하는 것이 중요합니다.
이러한 조치들은 가명정보의 안전한 이용을 보장하고, 개인정보 보호법을 준수하기 위해 필수적입니다. 또한, 이러한 과정을 통해 가명정보의 재식별 위험을 최소화하고, 개인정보 침해 사고를 예방할 수 있습니다. 따라서 가명정보를 제3자에게 제공할 때는 위의 조치들을 철저히 이행해야 합니다. 추가로 궁금한 점이 있으시면 언제든지 물어보세요!</t>
  </si>
  <si>
    <t>ec976140-672c-42a5-be99-6e8df4962544</t>
  </si>
  <si>
    <t>e5f389bd-605b-4626-8298-28d66e31894a</t>
  </si>
  <si>
    <t>4eabd14f-1567-4310-ba41-e76f8d7fc924</t>
  </si>
  <si>
    <t>c8a042b6-d9b1-4e3b-88e1-8d41cc155c47</t>
  </si>
  <si>
    <t>비정형 데이터의 가명처리 시 유의할 사항은 무엇인가요?</t>
  </si>
  <si>
    <t>42, 43</t>
  </si>
  <si>
    <t>9212c54baac4488b8308e3edd12daab5</t>
  </si>
  <si>
    <t>비정형 데이터의 가명처리 시 유의할 사항은 다음과 같습니다:
1. **데이터의 특성 파악**: 비정형 데이터는 이미지, 오디오, 비디오, 텍스트 등 다양한 형태로 존재하며, 각각의 데이터 타입마다 고유한 특성과 개인 식별 가능성이 있습니다. 따라서 데이터의 형태와 내용에 따른 식별 위험성을 정확히 이해해야 합니다.
2. **개인 식별 가능성 평가**: 데이터 내에서 개인을 식별할 수 있는 요소를 식별해야 합니다. 이는 이름, 주민등록번호, 전화번호뿐만 아니라 얼굴, 목소리, 지문 등과 같이 개인을 식별할 수 있는 모든 정보를 포함합니다.
3. **가명처리 방법 선택**: 식별 가능한 정보를 어떻게 가명처리할지 결정해야 합니다. 예를 들어:
   - **마스킹(Masking)**: 얼굴을 모자이크 처리하거나, 특정 부분을 흐리게 만드는 방법입니다.
   - **토큰화(Tokenization)**: 민감한 단어나 문장을 대체 토큰으로 변경하는 방법입니다.
   - **소음 첨가(Noise Addition)**: 신호에 잡음을 추가하여 원래의 신호를 변형시키는 방법입니다.
   - **랜덤화(Randomization)**: 데이터의 순서를 임의로 재배열하여 식별 가능성을 낮추는 방법입니다.
4. **가명처리 기술의 한계 인지**: 현재의 가명처리 기술은 완벽하지 않으며, 최신 기술을 사용하더라도 재식별의 위험이 완전히 제거되지 않을 수 있습니다. 따라서 가명처리 후에도 재식별 가능성이 남아있을 수 있음을 인지해야 합니다.
5. **재식별 위험 관리**: 가명처리된 데이터가 다른 정보와 결합될 경우 재식별될 수 있으므로, 이러한 위험을 최소화하기 위한 추가적인 보안 조치가 필요합니다. 예를 들어, 데이터 접근 권한을 엄격히 제한하거나, 데이터의 분산 저장 등을 고려할 수 있습니다.
6. **법률 및 규정 준수**: 개인정보보호법과 관련된 규정을 준수해야 합니다. 특히, 가명처리된 데이터의 활용 범위와 방법에 대한 법적 요구사항을 숙지하고 준수해야 합니다.
7. **내부 통제 및 교육**: 조직 내의 직원들이 가명처리의 중요성과 방법을 이해하고 올바르게 적용할 수 있도록 교육과 내부 통제를 강화해야 합니다.
8. **적정성 검토 실시**: 가명처리 과정이 적절했는지 외부 전문가나 독립적인 기관을 통해 검토받는 것이 좋습니다. 이를 통해 잠재적인 문제를 미리 발견하고 수정할 수 있습니다.
9. **모니터링 및 업데이트**: 기술의 발전에 따라 새로운 재식별 방법이 등장할 수 있으므로, 지속적인 모니터링과 가명처리 방법의 업데이트가 필요합니다.
10. **데이터 폐기 계획 수립**: 가명처리된 데이터의 활용 목적이 완료되면 안전하게 폐기하는 계획을 세워야 합니다. 이는 데이터 유출이나 오남용을 방지하는 데 중요합니다.
이러한 유의사항들을 고려하여 비정형 데이터의 가명처리를 진행함으로써 개인 정보 보호와 데이터 활용 사이의 균형을 맞출 수 있습니다. 데이터의 특성과 활용 목적에 맞는 적절한 가명처리 방안을 선택하고, 지속적인 관리와 감시를 통해 재식별 위험을 최소화하는 것이 핵심입니다.</t>
  </si>
  <si>
    <t>ea24a8ea-0f8f-4659-b79d-473286b84c4a</t>
  </si>
  <si>
    <t>3a95ba14-8795-4027-9a62-755e43434503</t>
  </si>
  <si>
    <t>c36db087-55bd-4958-959a-3393086f50b1</t>
  </si>
  <si>
    <t>2b4d25a3-92de-450b-b9cb-986421a8e911</t>
  </si>
  <si>
    <t>부산광역시에서 생산하는 통계는 어떤 것들이 있나요?</t>
  </si>
  <si>
    <t>164_2502_빅데이터과_기타_빅데이터과_2025년도_통계_주요업무_시행계획.pdf</t>
  </si>
  <si>
    <t>50, 51</t>
  </si>
  <si>
    <t>1019bf2071c7436aacbe2ee31bdf9b4d</t>
  </si>
  <si>
    <t>부산광역시에서는 다양한 분야의 통계를 생산하고 있습니다. 주요 통계로는 다음과 같습니다:
1. **부산통계연보**: 시정 전반에 걸친 분야별 기본통계로서 인구, 경제, 교통 등 18개 부문 210개 항목을 다룹니다.
2. **부산주민등록인구통계**: 주민등록시스템상 인구 및 외국인등록표에 등록된 외국인을 대상으로 지역별·성별·연령별 통계표를 제공합니다.
3. **부산사회지표**: 시, 통계청, 유관기관의 부산통계자료를 수집하여 인구, 노동 등 11개 부문 170개 통계표를 작성합니다.
4. **부산광역도시권통계**: 부산, 울산, 경남 5개 시의 인구, 토지, 기후 등 5개 부문 47개 항목을 다룹니다.
5. **부산행정지도**: 부산 전역의 도로, 행정구역 경계 등을 지도로 작성합니다.
6. **인구이동통계**: 지역별 전출입, 전입 사유를 통계로 작성하며, 구군(읍면동) 단위의 건수를 집계하여 통계청에서 공표합니다.
7. **부산크루즈행정통계**: 시를 방문한 모든 크루즈의 방문 일시, 국적 코드, 항구명, 인원수 등 25개 문항을 다룹니다.
8. **부산구·군단위 지역내총생산**: 산업별로 16개 분야(농림어업, 광업, 제조업 등)의 구군별·산업별 산출액, 중간 소비, 부가가치, 경제 성장률 등을 제공합니다.
9. **부산소상공인통계**: 1일 이상 경영한 모든 영리 소상공인의 사업체 수, 종사자 수, 매출액, 창폐업, 생존율 등을 분기별로 조사합니다.
10. **부산청년통계**: 홀수년도 11월 1일 0시 기준 만 18세부터 39세까지의 모든 청년을 대상으로 인구·가구, 경제, 일자리, 창업, 복지 건강 등의 6개 부문 88개 항목을 작성합니다.
11. **부산장노년통계**: 신중년(만 50~64세) 및 노인(만 65세 이상)을 대상으로 인구·가구, 건강, 소득 보장, 생활 환경 등의 8개 분야 100개 항목을 작성합니다.
12. **부산구·군단위 장래인구추계**: 부산시에 상주하는 모든 내외국인의 추계를 작성하며, 구군별, 연령별, 성별 등에 따른 장래 인구를 예측합니다.
13. **부산경기종합지수**: 동행 종합 지수와 선행 종합 지수의 원지수, 전월 대비 증감률, 순환 변동치 등을 매월 조사합니다.
14. **부산수산업통계**: 수산업(어업) 및 전후방 관련 산업의 사업체 수, 종사자 수, 산출액 등을 조사합니다.
또한, 부산시는 이러한 통계들을 기반으로 시민들의 의견을 수렴하기 위해 매년 통계 이용자 만족도 조사를 실시하고 있으며, 이를 통해 통계 서비스의 품질을 향상시키고자 노력하고 있습니다. 이러한 통계들은 부산시의 정책 수립과 시민들에게 필요한 정보를 제공하는 데 중요한 역할을 합니다. 더 자세한 정보가 필요하시면 해당 부서나 공식 웹사이트를 참고하시는 것이 좋습니다. 도움이 되었길 바랍니다!</t>
  </si>
  <si>
    <t>89b6fc9b-e379-4569-ad3a-9b32778ab395</t>
  </si>
  <si>
    <t>703599fb-2cfa-4398-b838-c203a8f9e8bc</t>
  </si>
  <si>
    <t>268d916a-b5bf-4847-af8e-01a1fdb038b8</t>
  </si>
  <si>
    <t>bc8ca0e1-bfa0-487a-83d1-65bc9071ee70</t>
  </si>
  <si>
    <t>6d3f24bc-400f-469b-81d6-5c143d9ab319</t>
  </si>
  <si>
    <t>내부 지침 및 조례를 빠르게 찾고 싶은데 어떻게 하나요?</t>
  </si>
  <si>
    <t>7</t>
  </si>
  <si>
    <t>7625acca367c4ad8bd25fd895a0ed02e</t>
  </si>
  <si>
    <t>내부 지침 및 조례를 빠르게 찾으려면 '자치법규정보시스템' 웹사이트를 이용하시면 됩니다. 이 시스템은 조례와 내부 지침을 검색할 수 있도록 도와주는 곳이에요.
**접속 방법:**
1. **네이버웍스를 통한 접속:**
   - 네이버웍스에서 화면 상단에 보이는 '담당자e음' 아이콘(전화번호부 모양)을 선택하세요.
   - 그러면 바로 '담당자e음' 시스템이 실행되어 접근하실 수 있어요.
2. **사이트 직접 접속:**
   - 브라우저 주소창에 다음 URL을 입력해 주세요:
     ```
     https://busanai.busan.go.kr/eum
     ```
   - 하지만 이 방법은 부산시 내부에서만 접근이 가능하니 참고해 주세요.
이렇게 접속하신 후, 원하는 조례나 내부 지침을 검색해서 필요한 정보를 얻으실 수 있어요. 더 궁금한 점이 있으시면 언제든지 물어보세요! 도움이 필요하면 언제든 말씀해 주세요.</t>
  </si>
  <si>
    <t>1e689a8a-6228-4a5b-a4ab-bf283125625a</t>
  </si>
  <si>
    <t>문서 보존기간은 얼마인가요?</t>
  </si>
  <si>
    <t>438_2502_통합민원과_업무메뉴얼_통합민원과_기록관리_업무편람기정너.pdf</t>
  </si>
  <si>
    <t>85, 86, 87</t>
  </si>
  <si>
    <t>7e4f5ec8a2a342dba342c913de0d0ac4</t>
  </si>
  <si>
    <t>제공하신 문서들을 살펴보면, 문서 보존기간은 다음과 같습니다.
1. **'95_202203_빅데이터과_데이터분석_결과보고서수영구.pdf'** 파일의 페이지 4에서 언급된 바에 따르면:
   - 2009년부터 2012년까지의 기준으로 문서의 보존기간 설정은 대부분 **'5년'**인 경우가 많습니다.
   - 그 다음으로는 **'3년'**, **'준영구'** 순으로 보존기간이 설정되어 있습니다.
2. **'438_2502_통합민원과_업무메뉴얼_통합민원과_기록관리_업무편람기정너.pdf'** 파일의 페이지 85와 86에서는 기록물의 보존기간별 책정기준이 제시되어 있습니다:
   - **'영구'**: 국가의 역사경험을 증명할 수 있는 기록물, 국민의 건강증진이나 환경보호를 위한 기록물 등.
   - **'준영구'**: 토지 수용, 보호구역 등 국민의 재산권과 관련된 기록물, 30년 이상 보존이 필요한 기록물.
   - **'10년'**: 공공기관의 설치 목적을 구현하기 위한 주요 업무와 관련된 기록물.
   - **'5년'**: 주요 업무에 관한 기록물로서 5년 이상 보존이 필요한 경우.
   - **'3년'**: 처리과 수준의 주요 업무와 관련된 기록물로서 3년 이상 보존이 필요한 경우.
   - **'1년'**: 행정적, 법적, 재정적으로 증명할 가치 없이 단순하고 일상적인 업무를 수행하면서 생산한 기록물.
또한, 페이지 87의 '처리과 공통업무 보존기간표'에서도 구체적인 보존기간이 제시되어 있습니다:
- **'3년'**: 처리과 내에서 일상적으로 반복되는 집행 업무, 인사 업무, 교육 및 상시학습, 국회 및 의회 업무, 복무 관리 등.
- **'5년'**: 맞춤형 복지 등 직원 후생복지와 관련된 업무, 감사업무 등.
종합해 보면, 문서 보존기간은 문서의 종류와 내용에 따라 다르지만, 일반적으로 **'5년'**이 가장 많이 설정되고 있으며, 그 외에도 **'3년'**, **'준영구'**, **'10년'**, **'1년'** 등이 사용됩니다. 이는 문서가 담고 있는 정보의 중요성과 관련 법령에 따라 결정되며, 공공기관에서는 이러한 기준에 따라 문서를 체계적으로 관리하고 있습니다.</t>
  </si>
  <si>
    <t>5ee88857-2373-4f70-8403-60fd3129a04f</t>
  </si>
  <si>
    <t>33d94540-1a3c-41c0-8580-224793416203</t>
  </si>
  <si>
    <t>95_202203_빅데이터과_데이터분석_결과보고서수영구.pdf</t>
  </si>
  <si>
    <t>3f2b4dfb-3ac8-48ca-b89b-f0238fba3879</t>
  </si>
  <si>
    <t>61a061b8-e3db-4946-b9c2-57c830206fbb</t>
  </si>
  <si>
    <t>6ea3cef1-8bf6-4fc5-9409-0cd205884512</t>
  </si>
  <si>
    <t>금액별 수의, 조달, 계약 절차 매뉴얼을 찾고 싶어요</t>
  </si>
  <si>
    <t>1a9e4fbe3875495991626ee3dbaba315</t>
  </si>
  <si>
    <t>안녕하세요! 요청하신 내용은 "회계재산담당관 5. 추정가격에 따른 계약방법" 부분에서 자세히 다루고 있습니다. 이 부분은 추정가격에 따라 어떤 계약 방법을 적용해야 하는지 구체적으로 안내하고 있어요.
**추정가격에 따른 계약방법 요약:**
1. **수의계약, 1인견적가능, 공사용역물품**
   - **금액기준:** 2천만원 이하 (여성, 장애인 기업 등은 5천만원 이하)
   - **비고:**
     - 견적제출: 수기제출
     - 200만원 이상 1인견적 수의계약 요청 시에는 수의계약요청사유서 첨부 필요 (부산시 지침)
2. **수의계약, 2인이상견적, 공사용역물품**
   - **금액기준:**
     - 종합공사: 2천만원 ~ 4억원 이하
     - 전문공사: 2천만원 ~ 2억원 이하
     - 기타공사: 2천만원 ~ 1.6억원 이하
     - 2천만원 ~ 1억원 이하
   - **비고:**
     - 견적제출: 나라장터(G2B) [전자수의(견적입찰)]
     - 안내공고 상 참가자격 요건을 갖춘 업체는 제한 없이 견적서 제출 가능
3. **지역제한, 공사용역물품**
   - **금액기준:**
     - 종합공사: 100억원 미만
     - 전문공사: 10억원 미만
     - 기타공사: 10억원 미만
     - 건설기술용역: 3.3억원 미만
     - 건설기술용역 외: 3.5억원 미만
     - 정밀안전진단: 1.5억원 미만
     - 3.5억원 미만
   - **비고:**
     - 지역제한 불가 시 사전 검토 절차 이행 필요 (부산시 지침)
     - 감사관 사전 컨설팅 감사 신청
     - 지역제한 불가 명백한 사유 있을 경우 회계재산담당관 사전 검토 후 전국입찰 시행
     - 사전 컨설팅 감사 제외 대상:
       - 지역 내 1개 업체
       - 해당 업체 부재
       - 타 행정구역 내 청사 위치 등 지역제한 입찰 미적용 사유가 뚜렷한 사항
       - 관계 법규 등에 의해 명백히 시행할 수 없는 경우
4. **전국입찰, 공사용역물품**
   - **금액기준:** 지역제한 금액 이상
   - **비고:**
     - 지역의무공동도급 (공사): 원칙 40%, 예외 49%
     - 물품, 용역: 지역의무공동도급 없음
     - 지역업체와 자발적 공동수급체 구성 시 가점 부여 (용역):
       - 기술용역: 30% 이상 3점
       - 일반용역: 40% 이상 5점
5. **국제입찰, 공사용역물품**
   - **금액기준:**
     - 공사: 265억원 이상
     - 용역, 물품: 3.5억원 이상
   - **비고:**
     - 국제입찰에 의하는 지방자치단체의 공사 및 물품, 용역의 범위에 관한 고시 (행안부 고시)
또한, **"회계재산담당관 6. 입찰공고 등 계약 업무절차"**에서는 입찰공고와 관련된 세부 사항을 안내하고 있습니다. 여기서는 입찰공고의 내용과 공고 기간, 그리고 입찰 절차에 대해 상세하게 설명되어 있어 계약 절차를 이해하는 데 도움이 됩니다.
**입찰공고 내용:**
1. 입찰에 부치는 사항
2. 입찰 또는 개찰의 장소 및 일시
3. 공사입찰의 경우 현장설명 장소, 일시, 참가자격, 참가의무 여부
4. 입찰참가자의 자격에 관한 사항
5. 입찰보증금의 납부 및 세입 조치에 관한 사항
6. 낙찰자 결정 방법
7. 계약의 이행 예정 기간
8. 계약하려는 조건을 공시하는 장소
9. 입찰무효에 관한 사항
10. 입찰에 관한 서류의 열람·교부 장소와 교부 비용
11. 추가 정보를 입수할 수 있는 기관의 주소 등
12. 우편입찰 등을 허용하는 경우 그 취지와 입찰서를 송부할 주소
13. 지정 정보 처리 장치를 이용하여 입찰서를 제출하도록 하는 경우 그 내용
14. 공동계약을 허용하는 경우 공동계약이 가능하다는 뜻과 공동계약의 이행 방식
15. 대안입찰 또는 일괄입찰 등에 관한 사항
16. 협상에 의한 계약 체결의 경우 제안요청서에 대한 설명 장소, 일시, 참가의무 여부
17. 입찰참가 등록 및 입찰 관련 서류에 관한 사항
18. 입찰 공고 내용에 이의가 있는 경우의 이의 신청 방법
19. 입찰 관련 비리 및 불공정행위 신고에 관한 사항
20. 그 밖에 입찰에 필요한 사항
**공고기간:**
- **공사 입찰:**
  - 추정가격 10억 미만: 7일
  - 50억 미만: 15일
  - 265억(고시금액) 미만: 30일
  - **긴급의 경우:** 5일 감축 가능
- **물품·용역 입찰:**
  - 7일
  - **긴급의 경우:** 5일 감축 가능
- **협상에 의한 계약, 2단계 입찰:**
  - 추정가격 1억 미만: 10일
  - 10억 미만: 20일
  - 10억 이상: 40일
  - **긴급의 경우:** 10일 감축 가능
이러한 정보는 금액별로 어떤 계약 방법을 선택해야 하고, 그에 따른 절차와 주의사항을 알려주어 계약 업무를 원활하게 진행할 수 있도록 도와줍니다. 추가로 궁금한 점이 있으시면 언제든지 말씀해 주세요!</t>
  </si>
  <si>
    <t>0877c599-c861-45d5-b062-8e8e5deb7a61</t>
  </si>
  <si>
    <t>DRM, 네트워크접근제어 아이디, 패스워드 찾는 매뉴얼이 있나요?</t>
  </si>
  <si>
    <t>4ea3027bc48d42d2b08661c0e3033db3</t>
  </si>
  <si>
    <t>네, DRM 시스템에서 아이디와 패스워드를 찾는 방법에 대한 매뉴얼을 제공해 드릴 수 있습니다.
**1. DRM 시스템 접근 방법**
- **사이트 접속**: 먼저, DRM 시스템에 접속해야 합니다. 일반적으로 다음과 같이 접속할 수 있습니다:
  ```
  http://99.1.81.71:9080/fed5
  ```
- **아이디 및 패스워드 입력**: 사이트에 접속하면 아이디(ID)와 패스워드(PW)를 입력하는 창이 나타납니다. 여기에 자신의 아이디와 패스워드를 입력합니다.
**2. 아이디 또는 패스워드 분실 시 조치 방법**
- **패스워드 찾기 기능 사용**: 만약 패스워드를 잊어버렸다면, 대부분의 시스템에서는 '패스워드 찾기' 기능을 제공합니다. 이 기능을 통해 새로운 패스워드를 설정하거나 임시 패스워드를 받을 수 있습니다.
- **고객 지원 센터 문의**: 위의 방법으로 해결되지 않는 경우, 해당 시스템의 고객 지원 센터나 관리자에게 직접 연락하여 도움을 요청할 수 있습니다.
**3. 추가적인 도움말이나 매뉴얼 확인**
- **내부 문서 참조**: 질문하신 매뉴얼이 내부적으로 존재한다면, 정보화정책과의 업무 매뉴얼이나 자료 유출 방지 시스템 관련 문서를 찾아볼 수 있습니다.
- **담당 부서에 문의**: 정확한 정보를 얻기 위해서는 정보화정책과나 IT 담당 부서에 직접 문의하시는 것이 가장 확실합니다.
**참고 사항**
- **보안 정책 준수**: 아이디와 패스워드는 개인 정보이므로, 이를 타인에게 공유하지 않도록 주의해야 합니다.
- **주기적인 변경 권장**: 보안을 위해 정기적으로 패스워드를 변경하는 것을 권장합니다.
추가로 도움이 필요하시거나 더 구체적인 정보가 필요하시면 언제든지 말씀해 주세요!</t>
  </si>
  <si>
    <t>온나라 2.0 이후 많이 발생하는 오류 사례집이 있나요?</t>
  </si>
  <si>
    <t>353_2412_정보화정책과_업무매뉴얼_KLID_온나라_20_달라지는_점PDF.pdf</t>
  </si>
  <si>
    <t>25, 26</t>
  </si>
  <si>
    <t>b3ca4b97968e4712b438b5efc5aeb861</t>
  </si>
  <si>
    <t>네, 온나라 2.0 도입 이후 발생한 주요 오류 사례와 해결 방법에 대한 자료는 '온나라 2.0 달라지는 점' 매뉴얼에 포함되어 있습니다. 해당 매뉴얼은 다음과 같습니다:
**파일명:** 353_2412_정보화정책과_업무매뉴얼_KLID_온나라_20_달라지는_점PDF.pdf  
**페이지:** 25~26 페이지
이 매뉴얼에는 온나라 2.0 전환 시 자주 묻는 질문들과 그에 대한 상세한 답변이 수록되어 있어, 사용자분들이 겪으실 수 있는 다양한 문제들에 대한 정보를 제공하고 있습니다.
예를 들어, **"다운로드한 ODT 문서가 깨지거나 열리지 않습니다."**, **"본문작성 시 표를 그린 후 수식 사용이 가능합니까?"**, **"비밀번호를 5번 틀려서 로그인이 안됩니다."** 등과 같은 실제 사용자들이 겪는 오류 사례와 그 해결 방법이 자세히 나와 있습니다.
또한, 이러한 오류들은 시스템의 기능 변화나 새로운 환경에 적응하는 과정에서 자연스럽게 발생할 수 있는 것들이며, 매뉴얼에서는 이를 해결하기 위한 구체적인 방법들을 안내하고 있습니다.
따라서, 온나라 2.0 이후 발생하는 오류에 대해 궁금하신 점이 있으시면 해당 매뉴얼을 참조하시거나, 필요한 경우 관련 담당자에게 문의하시는 것이 좋습니다. 도움이 필요하시면 언제든지 말씀해 주세요!</t>
  </si>
  <si>
    <t>3bdd1910-e377-4a61-afed-15b6ea45329c</t>
  </si>
  <si>
    <t>348e87dd-8752-4a4e-bf5a-f4bb857d0648</t>
  </si>
  <si>
    <t>공용차량 신청방법</t>
  </si>
  <si>
    <t>423f6e500b304cce8400984f79cb5d8a</t>
  </si>
  <si>
    <t>공용차량 신청 방법에 대해 안내드리겠습니다.
**공용차량 신청 방법**
- **신청 대상**: 부산시 본청 직원 중 업무상 공용차량이 필요한 경우
- **신청 절차**
  1. **행정포털 접속**: 개인 컴퓨터에서 행정포털 시스템에 로그인합니다.
  2. **개인서비스 메뉴 선택**: 메인 화면에서 '개인서비스' 메뉴를 클릭합니다.
  3. **배차신청 메뉴 선택**: '개인서비스' 하위 메뉴 중에서 '배차신청'을 선택합니다.
  4. **배차신청서 작성**: 나타나는 양식에 따라 필요한 정보를 입력합니다.
     - **용도 선택**: 업무용, 버스, 의전 등 사용 목적을 정확히 선택해야 합니다.
     - **일정 및 장소 입력**: 차량 이용 일정과 장소를 상세히 기재합니다.
     - **추가 요청 사항**: 필요 시 핸드폰 거치대나 기타 장비 요청 사항을 적습니다.
  5. **신청 전 확인 사항**
     - **담당자와 사전 협의**: 이중 배차를 방지하기 위해 담당자에게 전화하여 배차 가능 여부를 반드시 확인합니다.
     - **주의사항 숙지**: 만 26세 미만은 배차가 불가능하며, 전기차 이용 시 운전자가 직접 충전해야 합니다. 또한, 공용차의 사적 사용을 금지하고 있으며, 차량 내에서의 음식 섭취 후에는 뒷정리를 철저히 해야 합니다.
  6. **신청 완료**: 모든 정보를 정확하게 입력한 후 '제출' 버튼을 눌러 신청을 완료합니다.
**참고 사항**
- **이용 제한 조건**
  - **나이 제한**: 만 26세 미만의 직원은 자동차 보험 적용 문제로 인해 공용차량 배차가 불가능합니다.
  - **전기차 관리**: 전기차를 이용하는 경우에는 운전자가 직접 충전을 책임져야 합니다.
  - **사적 사용 금지**: 공용차는 업무 목적 외의 개인적인 용도로 사용할 수 없습니다.
  - **위생 관리**: 차량 내부에서는 커피나 음식물을 섭취하지 않는 것이 원칙이며, 부득이한 경우 섭취 후에는 깨끗하게 정리해야 합니다.
  - **안전 운전**: 교통 법규를 준수하고 안전 운전에 유의해야 하며, 사고 발생 시에는 즉시 관련 부서에 통보해야 합니다.
위의 절차를 따르면 공용차량을 원활하게 신청하고 이용할 수 있습니다. 추가적으로 궁금한 사항이나 도움이 필요하시면 언제든지 문의해 주세요. 감사합니다.</t>
  </si>
  <si>
    <t>e1736a78-bbdc-41d2-a0ca-81a0a5768baa</t>
  </si>
  <si>
    <t>공무원증 재발급 방법</t>
  </si>
  <si>
    <t>347e7047928d4a0583e618ff28f4535d</t>
  </si>
  <si>
    <t>공무원증이 분실되거나 훼손되었거나 기재사항이 변경되었을 때, 또는 직위나 직급이 변동되었을 경우에는 공무원증을 재발급 받아야 합니다. 이를 위해 다음과 같은 절차를 따르시면 됩니다:
1. **재발급 신청서 작성**: 먼저, 재발급을 원하는 공무원은 별지 제2호서식의 '공무원증 재발급신청서'를 작성해야 합니다. 이 신청서는 공무원증의 분실, 훼손, 기재사항 변경, 직위·직급 변동 등의 사유를 상세히 기재해야 합니다.
2. **소속부서의 장 경유**: 작성한 재발급신청서는 소속부서의 장을 거쳐 시장에게 제출되어야 합니다. 이는 공식적인 절차를 통해 재발급 요청이 이루어지도록 하기 위한 것입니다.
3. **시장에게 제출**: 소속부서의 장의 검토와 승인을 받은 후, 최종적으로 시장에게 재발급신청서가 제출됩니다.
4. **재발급 비용 납부**: 만약 공무원증의 분실이나 훼손 등이 본인의 부주의로 인해 발생한 경우, 시장은 재발급 비용을 해당 공무원에게 부담시킬 수 있습니다. 따라서 재발급 시 필요한 비용을 사전에 확인하고 준비해야 합니다.
5. **새로운 공무원증 수령**: 모든 절차가 완료되면 새로운 공무원증을 발급받아 수령하실 수 있습니다.
**참고 사항**:
- 재발급 신청은 사유 발생일로부터 **5일 이내**에 이루어져야 합니다.
- 재발급된 공무원증은 이전 것과 동일한 효력을 가지며, 반드시 휴대하고 다니셔야 합니다.
위의 절차를 따르면 원활하게 공무원증을 재발급 받으실 수 있습니다. 추가적인 문의 사항이 있으시면 언제든지 말씀해 주세요. 도움이 필요하시면 기꺼이 도와드리겠습니다.</t>
  </si>
  <si>
    <t>c850e08a-7707-4cb6-90c1-1a948f53b256</t>
  </si>
  <si>
    <t>1156_페이지116_문서6_164218_부산광역시_공무원증_규정.pdf</t>
  </si>
  <si>
    <t>b4ddba10-984b-4e92-b9ed-578681685020</t>
  </si>
  <si>
    <t>db139756-2513-4560-b9da-fdcb0531057a</t>
  </si>
  <si>
    <t>네트워크 차단 시 조치방법</t>
  </si>
  <si>
    <t>3b731662a3aa41f8a9ed42f308c32e6b</t>
  </si>
  <si>
    <t>네트워크가 차단되었을 때는 다음과 같이 조치를 취할 수 있습니다:
1. **행정전화(5999)로 연락하기**: 네트워크 문제로 인해 업무에 지장이 있을 경우, 우선적으로 행정전화(5999)로 연락하여 상황을 알리고 도움을 요청하세요.
2. **IT 지원 부서 문의**: 만약 내부 IT 지원 부서가 있다면 해당 부서에 직접 연락하여 문제를 보고하고 해결 방안을 논의할 수 있습니다.
3. **개인 기기 확인**:
   - **네트워크 연결 상태 점검**: Wi-Fi 신호 강도나 이더넷 케이블 연결 상태를 확인해 보세요.
   - **라우터 및 모뎀 재시작**: 가정이나 사무실의 라우터나 모뎀을 재시작해 볼 수 있습니다.
   - **장치 재부팅**: 컴퓨터나 스마트폰 등의 장치를 재부팅하여 일시적인 오류를 해결할 수 있습니다.
4. **비밀번호 재설정 필요 시**: 네트워크 인증 시스템의 비밀번호를 분실한 경우에는 행정전화(5999)로 연락하여 새로운 비밀번호 발급 절차를 진행해야 합니다.
이러한 단계를 통해 네트워크 차단에 대한 문제를 신속하게 해결할 수 있습니다. 추가적인 도움이 필요하면 언제든지 다시 문의해 주세요.</t>
  </si>
  <si>
    <t>a0c52628-acb2-4461-a656-275b2962d28c</t>
  </si>
  <si>
    <t>도모헌공간 신청방법</t>
  </si>
  <si>
    <t>ac429a98f5d44e59a8c4c2762023e153</t>
  </si>
  <si>
    <t>도모헌 공간을 신청하려면 다음과 같은 절차를 따르면 됩니다:
1. **계단식 강연장(다할)**:
   - **사전 확인**: '행정포털'의 '회의장' 메뉴에서 '회의실 예약'을 통해 도모헌 본관의 해당 날짜와 시간이 이미 예약되어 있는지 확인합니다.
   - **신청서 작성**: 행사 내용을 포함한 사용신청서를 작성합니다.
   - **공문 발송**: 작성한 신청서와 함께 총무과로 공문을 발송합니다.
   - **승인 대기**: 총무과의 사용심사를 거쳐 승인을 받습니다.
   - **사용 진행**: 승인 후에는 행사 및 회의 추진부서 담당자의 관리 하에 공간을 활용합니다.
2. **콘퍼런스룸(취람)**:
   - **직접 예약**: '행정포털'의 '회의장' 메뉴에서 '회의실 예약'을 통해 '도모헌 회의실(콘퍼런스룸)'을 선택하고, '순차등록' 방식으로 예약을 진행합니다.
   - **예약 완료**: 별도의 공문 없이 온라인으로 직접 예약이 가능합니다.
3. **공유오피스, 다목적공간(번루), 미팅룸(두록), 소소풍 정원**:
   - **협의 필요**: 이 공간들을 사용하기 위해서는 총무과와의 사전 협의가 필요합니다.
   - **문의 및 신청**: 총무과에 문의하여 사용 가능 여부와 절차를 안내받습니다.
**주의 사항**:
- 모든 공간 사용 시에는 도모헌 이용 시민들의 편의를 위해 불편을 최소화해야 합니다.
- 물품 운반 시 시설물 손상 방지에 유의하고, 야외 행사 시 소음으로 인한 민원 발생에 주의해야 합니다.
- 사용 후에는 공간을 원상태로 복구한 뒤, 총무과에 연락하여 퇴실 확인을 받아야 합니다.
- 주차장은 혼잡하므로 대중교통 이용을 권장하며, 부득이하게 차량을 이용할 경우 5부제를 준수해야 합니다.
**추가 정보**:
- 도모헌 공간은 공유재산법에 따라 무상으로 제공되며, 공공 목적으로만 사용이 가능합니다.
- 자세한 사항은 총무과에 문의하거나 관련 지침을 참고하시기 바랍니다.
이러한 절차를 통해 도모헌 공간을 효율적으로 활용할 수 있습니다. 추가적인 도움이 필요하시면 언제든지 말씀해 주세요!</t>
  </si>
  <si>
    <t>51f0194e-213f-4084-9c58-e1f3289d3963</t>
  </si>
  <si>
    <t>보안 USB 반출 및 반입 절차는?</t>
  </si>
  <si>
    <t>369_2412_정보화정책과_업무매뉴얼_채울_휴대용저장매체관리시스템_사용자_매뉴얼.pdf</t>
  </si>
  <si>
    <t>23, 24, 26</t>
  </si>
  <si>
    <t>9ea6cdfb15f74178adea8a1ce5d55775</t>
  </si>
  <si>
    <t>보안 USB의 반출 및 반입 절차는 다음과 같습니다:
### **보안 USB 반출 절차**
1. **uToken 아이콘 우클릭**: 작업 표시줄의 `uToken` 아이콘을 마우스 오른쪽 버튼으로 클릭합니다.
2. **관리 선택**: 나타나는 메뉴에서 `관리`를 선택합니다.
3. **반출 신청 탭 클릭**: 관리 창 내에서 `반출 신청` 탭을 클릭합니다.
4. **반출 신청서 작성 및 제출**:
   - 반출하고자 하는 보안 USB에 대한 신청서를 작성합니다.
   - 필요한 정보를 입력하고, 신청서를 작성한 후 `신청` 버튼을 눌러 제출합니다.
5. **반출 신청 확인**:
   - 부서 관리자 및 총괄 관리자의 승인이 완료되면, 보안 USB를 실제로 반출하기 전에 `반출 신청 확인` 절차를 진행해야 합니다.
   - `확인` 버튼을 클릭하여 반출 신청을 최종적으로 승인합니다.
6. **외부에서 보안 USB 사용 가능**: 위의 절차를 모두 완료하면, 외부에서도 보안 USB를 정상적으로 사용할 수 있습니다.
### **보안 USB 반입 절차**
1. **uToken 아이콘 우클릭**: 작업 표시줄의 `uToken` 아이콘을 마우스 오른쪽 버튼으로 클릭합니다.
2. **관리 선택**: 나타나는 메뉴에서 `관리`를 선택합니다.
3. **반입 신청 탭 클릭**: 관리 창 내에서 `반입 신청` 탭을 클릭합니다.
4. **반입 진행**:
   - 이미 반출 신청이 완료되어 있으므로, 보안 USB에 대한 반입 절차를 시작합니다.
   - `반입 신청` 버튼을 클릭하여 반입 과정을 진행합니다.
5. **반입 완료 확인**: 반입 과정이 성공적으로 완료되었는지 확인하고, 보안 USB를 안전하게 보관합니다.
### **유의 사항**
- **반출 신청 확인 필수**: 보안 USB를 외부에서 사용하기 위해서는 반드시 `반출 신청 확인` 절차를 거쳐야 합니다. 이를 생략하면 외부에서 보안 USB 사용이 제한될 수 있습니다.
- **에이전트 설치 여부 확인**: 일부 PC에는 `uToken` 에이전트가 설치되어 있을 수 있으며, 이 경우 `start.exe` 프로그램으로는 로그인이 되지 않을 수 있습니다. 이런 경우에는 PC에 설치된 `uToken` 프로그램을 통해 로그인을 진행해야 합니다.
위의 절차를 따라 보안 USB를 안전하고 효율적으로 관리하실 수 있습니다. 추가적인 도움이 필요하시면 언제든지 말씀해 주세요!</t>
  </si>
  <si>
    <t>7e946ced-4a30-4ae7-ba9e-8fd0ede24f24</t>
  </si>
  <si>
    <t>5a05ada1-0cb4-432e-8a45-8b2f49aa7e4d</t>
  </si>
  <si>
    <t>99e1ebc3-4545-4162-9cfd-56de25533e97</t>
  </si>
  <si>
    <t>구청에서 근무 중인 시직원도 장기재직 휴가 쓸 수 있나요?</t>
  </si>
  <si>
    <t>1227_2407_부산광역시_인사과_업무매뉴얼_인사과_장기재직휴가_시행지침_개정전문.pdf</t>
  </si>
  <si>
    <t>dcbdc15414b543989d83254774be0c1a</t>
  </si>
  <si>
    <t>네, 구청에서 근무 중인 시직원도 장기재직휴가를 사용할 수 있습니다. 위의 문서에서 "자치구·군 등 인사교류 파견자의 장기재직휴가" 부분에 따르면, 파견자는 파견기관 소속 부서장의 결재를 받은 후 휴가를 시행할 수 있으며, 이후 원소속 기관의 부서로 공문을 발송해야 합니다. 또한, 파견자는 부산시의 장기재직휴가 시행지침을 적용받습니다.
따라서, 구청에서 근무 중인 시직원도 해당 지침에 따라 장기재직휴가를 신청하고 사용할 수 있습니다. 다만, 휴가 시행 전에 파견기관의 부서장과 협의하고 절차를 준수해야 합니다.</t>
  </si>
  <si>
    <t>08ccf532-ece9-4ce6-a58c-720818b91707</t>
  </si>
  <si>
    <t>4시간 미만 관외출장의 경우 일비 및 식비 정액 지급하는지?</t>
  </si>
  <si>
    <t>1229_공무원_여비_규정대통령령제35811호20251001.pdf
 1226_2025_공무원보수_등의_업무지침인사혁신처_예규_제192호.pdf</t>
  </si>
  <si>
    <t>2,3,5
 594, 595</t>
  </si>
  <si>
    <t>803988be466b4eb8b865bb856be3a410</t>
  </si>
  <si>
    <t>네, 맞습니다. 공무원이 4시간 미만 동안 근무지 밖에서 출장을 가는 경우, 일비와 식비는 정액으로 지급됩니다. 이는 「공무원 여비 규정」에 따라 근무지 외 국내 출장의 경우 4시간 이상 출장에 대해 2만 원의 일비와 식비를 지급하고, 4시간 미만 출장에 대해서는 1만 원의 일비와 식비를 지급하도록 되어 있습니다.
또한, 동일한 날에 4시간 미만 출장을 두 번 이상 가는 경우에도 총 지급액이 2만 원을 초과하지 않도록 하고 있습니다. 이는 예산의 효율적인 사용을 위해 마련된 규정입니다.
따라서, 4시간 미만의 관외출장 시에는 일비와 식비를 정액으로 지급받을 수 있습니다. 자세한 내용은 관련 법령과 지침서를 참고하시면 됩니다. 추가적인 질문이 있으시면 언제든지 말씀해 주세요!</t>
  </si>
  <si>
    <t>556b0b5e-ec60-445d-a22a-072a9bb87f25</t>
  </si>
  <si>
    <t>4da58730-d12a-462b-8167-4c6d28303551</t>
  </si>
  <si>
    <t>1229_공무원_여비_규정대통령령제35811호20251001.pdf</t>
  </si>
  <si>
    <t>caf2a80e-37c0-40d6-84a0-72ccc34fa96b</t>
  </si>
  <si>
    <t>7f133768-768a-48d5-b1bb-038e476430d2</t>
  </si>
  <si>
    <t>d4a95713-7ffe-49e2-9e2f-73b84f8d5c7c</t>
  </si>
  <si>
    <t>출장 시간 계산 시 18시 근무시간 이후 시간도 포함해야 하는지?</t>
  </si>
  <si>
    <t>1249_지방공무원_복무규정대통령령제35666호20250722.pdf</t>
  </si>
  <si>
    <t>3, 4</t>
  </si>
  <si>
    <t>1f42eeee00f942288c90db17f27bc411</t>
  </si>
  <si>
    <t>안녕하세요! 질문하신 내용에 대해 답변드리겠습니다.
먼저, '지방공무원 복무규정'에서는 공무원의 출장 시간에 대한 구체적인 규정을 찾아볼 수 있습니다. 특히, **제4조의2**와 관련된 내용이 이에 해당합니다.
- **제4조의2(출장공무원)**:
  - **1항**: 출장공무원은 지정된 출장기간 내에 그 업무를 완수해야 합니다.
  - **2항**: 출장기간을 변경할 사유가 발생하면 지체 없이 전화, 팩스 또는 그 밖의 방법으로 소속 기관의 장에게 보고하고 그 지시를 받아야 합니다.
여기서 중요한 점은 출장공무원이 지정된 출장기간 내에 업무를 완료해야 한다는 것입니다. 이는 출장으로 인해 소요되는 모든 시간이 근무시간에 포함된다는 것을 의미합니다.
또한, 일반적인 근로기준법과 노동 관행에서도 출장은 근무의 연장선으로 간주되며, 출장 중에 발생하는 이동 시간 등도 근무시간으로 인정됩니다. 따라서 18시 이후에 발생한 출장 시간도 근무시간에 포함되어 계산되어야 합니다.
결론적으로, 출장 시간 계산 시 18시 근무시간 이후의 시간도 포함하여 계산하는 것이 맞습니다.
따라서, 출장 시간은 시작 시점부터 종료 시점까지의 전체 시간을 모두 합산하여 산출해야 합니다.
추가적인 문의사항이 있으시면 언제든지 말씀해 주세요! 도움이 필요하시면 또 연락주세요. 감사합니다.</t>
  </si>
  <si>
    <t>f56fce79-d7c9-41b1-9cdb-f86af39a87cd</t>
  </si>
  <si>
    <t>8db6e73a-2943-4fd8-86e2-d119bba41fc5</t>
  </si>
  <si>
    <t>조례 제정 및 개정 절차는?</t>
  </si>
  <si>
    <t>92_2501_법무담당관_업무매뉴얼_법무담당관_자치법규_입법절차_등.pdf</t>
  </si>
  <si>
    <t>d9412eefea1f42a49694a548ac775eee</t>
  </si>
  <si>
    <t>조례의 제정 및 개정은 다음과 같은 절차를 따릅니다.
1. **입법계획 수립**: 먼저, 새로운 조례를 제정하거나 기존 조례를 개정하기 위한 계획을 수립합니다. 이는 해당 지역의 필요성과 관련 법령과의 일치 여부를 고려하여 이루어집니다.
2. **입법안 작성**: 계획에 따라 구체적인 조례안을 작성합니다. 이때, 조례안은 명확하고 이해하기 쉽게 작성되어야 합니다.
3. **관계 부서 협의**: 조례안이 다른 부서나 기관의 업무와 관련이 있을 경우, 사전에 협의를 진행하여 조정이나 보완이 필요한 부분을 확인합니다.
4. **입법예고**: 작성된 조례안을 지역 주민들에게 미리 알리고 의견을 수렴하기 위해 일정 기간 동안 예고합니다. 일반적으로 20일 이상의 기간이 주어지며, 이 기간에 주민들은 조례안에 대한 찬성이나 반대의견을 제출할 수 있습니다.
5. **의견 수렴 및 검토**: 입법예고 기간 동안 접수된 의견들을 종합하여 조례안의 수정이 필요한지 판단합니다. 의견이 조례안의 본질적인 내용에 영향을 줄 경우, 이를 반영하여 조례안을 수정합니다.
6. **의결**: 최종적으로 완성된 조례안을 해당 지방자치단체의 의회에 상정하여 심의하고 의결합니다. 의회는 조례안의 필요성, 효과성, 법적 타당성 등을 검토한 후 투표를 통해 승인 여부를 결정합니다.
7. **공포 및 시행**: 의회에서 통과된 조례안은 지방자치단체장의 공포를 거쳐 공식적으로 효력을 갖게 됩니다. 이후 조례의 시행 일정에 따라 관련 부서에서 실행 계획을 수립하고 시행합니다.
이러한 절차를 통해 조례는 주민들의 의견을 반영하고, 투명하며 민주적인 방식으로 제정되거나 개정됩니다. 만약 특정 지역에서 조례 제정 및 개정 절차에 대한 자세한 정보를 원하신다면, 해당 지방자치단체의 홈페이지나 관련 부서에 문의하시는 것이 좋습니다. 추가적인 도움이 필요하시면 언제든지 말씀해 주세요!</t>
  </si>
  <si>
    <t>752a8d18-7343-49c5-a458-216bf7bd3e4f</t>
  </si>
  <si>
    <t>382_2412_조직담당관_업무매뉴얼_행정안전부_자치단체_규제업무_매뉴얼.pdf</t>
  </si>
  <si>
    <t>36cac9da-d205-4196-b80c-c5d7e9f7eefc</t>
  </si>
  <si>
    <t>004cf05f-0cb0-4dad-b44f-ea4d4fffae06</t>
  </si>
  <si>
    <t>91_2208_법무담당관_업무매뉴얼_법제처_자치법규_입안_길라잡이.pdf</t>
  </si>
  <si>
    <t>81d4b02f-b42c-4b85-8328-8a660ca88aac</t>
  </si>
  <si>
    <t>구군에서 전입오고 처음으로 정보공개청구포털에 로그인하려니 안되는데, 어떻게 해야 하나요?</t>
  </si>
  <si>
    <t>424_2108_통합민원과_업무매뉴얼_행정안전부_정보공개운영안내서.pdf</t>
  </si>
  <si>
    <t>219, 220</t>
  </si>
  <si>
    <t>b39bbf4cd59b4ac28be32d5cc96117a8</t>
  </si>
  <si>
    <t>안녕하세요! 구군에서 전입 오셔서 정보공개청구포털에 처음 로그인하려고 하시는군요.
우선, 정보공개청구포털에 새로 가입하거나 로그인에 문제가 있을 때는 다음과 같은 절차를 따라보시면 도움이 될 것입니다:
1. **사용자 신청하기**: 정보공개청구포털의 '공무원창구' 초기 화면에서 '신규사용자신청' 메뉴를 통해 사용자 신청을 합니다. 이 때 필요한 정보를 정확하게 입력해 주세요.
2. **기관 관리자의 승인 대기**: 신청 후에는 소속 기관의 정보공개 담당자나 관리자가 여러분의 신청을 확인하고 승인해주셔야 합니다. 이는 보안상의 이유로 필수적인 절차입니다.
3. **공동인증서 또는 인증서 등록**: 로그인을 위해서는 공동인증서나 다른 인증서가 필요합니다. 만약 인증서에 문제가 있다면, 이를 해결하셔야 합니다.
4. **아이디 및 비밀번호 확인**: 기존에 사용하던 아이디나 비밀번호를 잊으셨다면, 기관의 정보공개 담당자에게 문의하여 확인하실 수 있습니다.
5. **접속 문제 발생 시**: 위의 절차를 모두 진행했음에도 불구하고 로그인이 되지 않는다면, 정보공개청구포털 고객센터나 IT 지원 부서에 연락하여 자세한 도움을 받으시는 것이 좋습니다.
추가적으로, 정보공개청구포털의 매뉴얼이나 관련 자료를 참고하시는 것도 도움이 될 수 있습니다. 예를 들어, 제공하신 문서 중 페이지 219~221 부분을 보시면 사용자 신청 및 로그인 방법에 대한 상세한 절차가 나와 있으니 참고해보세요.
도움이 필요하시거나 더 궁금한 점이 있으시다면 언제든지 말씀해주세요!</t>
  </si>
  <si>
    <t>ccee4935-eafe-4b7e-afd9-10cbb3ccce15</t>
  </si>
  <si>
    <t>421a58c8-09e5-4f0a-bef8-67a988ddee24</t>
  </si>
  <si>
    <t>인건비 편성할 때 정원, 현원 중 어떤 기준으로 산출해야 하는지 알려주세요</t>
  </si>
  <si>
    <t>212_2407_예산담당관_업무매뉴얼_행정안전부_2025년도_지방자치단체_예산편성_운영기준_및_기금운용계획_수립기준.pdf</t>
  </si>
  <si>
    <t>99</t>
  </si>
  <si>
    <t>59a9ba135ac1405cbb4d548712844199</t>
  </si>
  <si>
    <t>인건비를 편성할 때는 일반적으로 **현원**을 기준으로 산출합니다. 이는 현재 실제로 근무하고 있는 인력을 기반으로 예산을 편성함으로써 실제 인력 운영 상황에 맞는 정확한 예산을 수립하기 위함입니다.
그러나 일부 지침에서는 다음과 같이 명시하고 있습니다:
- **총인건비 예산은 2023년 말 **정원**을 기준으로 편성한다.**
- **현원이 정원보다 적을 경우 현원을 기준으로 편성하고, 현원이 정원을 초과할 경우 정원 기준으로 편성한다.**
이를 종합해보면, 인건비 편성 시에는 다음과 같은 절차를 따릅니다:
1. **기본적으로는 현원**을 기준으로 인건비를 산출합니다.
2. 그러나 **조직 개편이나 신규 채용 계획** 등이 있을 경우, 그에 따른 **정원**을 기준으로 인건비를 추가로 산출할 수 있습니다.
   - 예를 들어, **정원이 110명이고 현원이 100명인 경우**, 현원 100명에 대한 인건비는 현원을 기준으로 편성하고, **추가 채용 예정인 5명**에 대한 인건비는 **봉급(목적)예비비**로 편성하며, **남은 5명**은 **정원 조정**을 통해 감축합니다.
3. **결원율이 정원 대비 5%를 초과할 경우**, 조직 진단을 통해 **정원 조정**을 실시해야 합니다.
즉, 인건비 편성은 **현재 근무 중인 현원**을 우선적으로 고려하되, **미래의 인력 수요 변화**를 반영하여 **정원**을 기준으로도 인건비를 산출할 수 있으며, 이때는 예비비를 활용할 수 있습니다. 또한, 결원율이 높을 경우 조직의 효율성을 위해 정원을 조정하는 과정이 필요합니다.
이러한 방식은 실제 인력 운영 상황을 정확하게 반영하면서도 미래의 인력 계획을 예산에 포함시켜 효율적인 운영을 도모하기 위한 것입니다. 따라서 인건비 편성 시에는 현원과 정원을 모두 고려하여 균형 잡힌 예산을 수립하는 것이 중요합니다.</t>
  </si>
  <si>
    <t>0cd6fdc8-31c7-474f-9c3d-b5450dd687b0</t>
  </si>
  <si>
    <t>544104eb-8d2d-4b63-9894-6c4f2c465894</t>
  </si>
  <si>
    <t>41_2306_공공하수인프라과_업무매뉴얼_행정안전부_2024년도_지방공기업_예산편성기준.pdf</t>
  </si>
  <si>
    <t>03cd710d-cbc9-4d6d-a06c-3d489b1d21fe</t>
  </si>
  <si>
    <t>23_2501_공공기관담당관_업무매뉴얼_공공기관담당관_2025년도_부산광역시_지방출자출연기관_예산편성보완지침.pdf</t>
  </si>
  <si>
    <t>9800a0f7-96df-44b1-bd0d-8514b9e930fa</t>
  </si>
  <si>
    <t>51_2406_공공하수인프라과_업무매뉴얼_행정안전부_2025년도_지방공기업_예산편성기준.pdf</t>
  </si>
  <si>
    <t>3628ff0f-040c-4450-80b2-ffff4a11656f</t>
  </si>
  <si>
    <t>22_2501_공공기관담당관_업무매뉴얼_공공기관담당관_2025년도_부산광역시_지방공기업_예산편성보완지침.pdf</t>
  </si>
  <si>
    <t>(공사,용역,물품) 계약 시 필요한 서류가 뭐가 있는지 알려주세요</t>
  </si>
  <si>
    <t>10</t>
  </si>
  <si>
    <t>28d93c31cd7340abbdc983f6042d89ea</t>
  </si>
  <si>
    <t>공사, 용역, 물품 계약 시 필요한 서류는 다음과 같습니다:
**1. 계약의뢰 요청서**
   - **건 명**: 계약의 명칭이나 제목
   - **사업의 개요**: 사업의 성격, 규모, 난이도 등 기본적인 정보를 제공합니다.
   - **예산과목 및 소요금액**: 예산을 편성하기 위한 과목과 금액을 명시합니다.
   - **계약의 방법 및 그 사유**: 어떤 방식으로 계약을 진행할지, 그 이유를 상세히 기술합니다.
   - **입찰참가자격의 요건**: 입찰에 참여할 수 있는 업체의 자격 조건입니다.
   - **현장설명의 장소·일시·참가자격 및 참가의무 여부**: 입찰 참여자들이 현장을 확인할 수 있는 일정과 그에 대한 정보를 제공합니다.
   - **공동계약을 허용하는 경우 공동계약의 이행방식**: 여러 업체가 공동으로 계약에 참여하는 방식을 정의합니다.
   - **준공 또는 납품 기한**: 작업이 완료되어야 하는 날짜를 명시합니다.
   - **하자보증기간 및 비율**: 제품이나 서비스에 문제가 발생했을 때의 보증 기간을 설정합니다.
   - **발주(설계)부서 담당자 성명, 전화번호**: 연락 가능한 담당자의 정보를 제공합니다.
   - **사전절차 이행여부**: 계약심사, 계약심의위원회 등의 사전 절차를 거쳤음을 증명합니다.
   - **그 밖에 계약에 필요한 사항**: 기타 계약에 영향을 미치는 중요한 사항을 추가로 기록합니다.
**2. 첨부서류**
   - **사업집행계획서(발주계획)**: 사업을 어떻게 실행할 것인지에 대한 구체적인 계획을 제시합니다.
   - **사전절차 이행결과**: 계약심사와 같은 사전 절차를 완료했음을 보여주는 자료입니다.
   - **설계내역서(산출기초조사서)**: 공사의 경우 공내역서(물량내역서)를 포함하여, 실제 작업을 위한 세부적인 설계 내용과 비용을 나타냅니다.
   - **시방서(과업지시서)**: 작업의 기술적 요구사항과 기준을 상세히 기술한 문서입니다.
이러한 서류들은 계약 당사자 간의 권리와 의무를 명확히 하고, 계약의 투명성과 효율성을 높이기 위해 필요합니다. 또한, 계약 과정에서 발생할 수 있는 분쟁을 예방하고, 계약 이행 과정에서의 오해를 최소화하는 역할을 합니다. 따라서 정확한 서류 작성과 철저한 검토가 중요합니다. 만약 더 자세한 안내나 도움이 필요하다면 언제든지 말씀해 주세요!</t>
  </si>
  <si>
    <t>19a8afe1-74b9-403d-9c1e-646144427d9d</t>
  </si>
  <si>
    <t>475_2501_회계재산담당관_업무매뉴얼_회계재산담당관_2025년_계약업무_통합운영_매뉴얼2511_회계재산담당관_계약지원팀.pdf</t>
  </si>
  <si>
    <t>8e767a5b-5a88-4899-a92c-8ef6fb60fddd</t>
  </si>
  <si>
    <t>c46ccd27-db96-4312-833c-dfa75c9807f8</t>
  </si>
  <si>
    <t>471_2411_회계재산담당관_업무매뉴얼_한국지방재정공제회_2024년_개정판_공사계약_길라잡이한국지방재정공제회.pdf</t>
  </si>
  <si>
    <t>43945003-3348-4234-9ba9-1c465c8dac4b</t>
  </si>
  <si>
    <t>473_2411_회계재산담당관_업무매뉴얼_한국지방재정공제회_2024년_개정판_용역계약_길라잡이한국지방재정공제회.pdf</t>
  </si>
  <si>
    <t>4dc1bfc1-2269-495f-9e00-37dddecf1ca8</t>
  </si>
  <si>
    <t>468_2404_회계재산담당관_법령_행정안전부_지방자치단체_입찰_및_계약집행기준_00.pdf</t>
  </si>
  <si>
    <t>온나라 접수 문서를 부서원들도 열람할 수 없도록 하는 방법을 알려주세요</t>
  </si>
  <si>
    <t>343_2405_정보화정책과_업무매뉴얼_행정안전부_온나라20_사용자교육자료배포용.pdf</t>
  </si>
  <si>
    <t>33</t>
  </si>
  <si>
    <t>d384520590b0427fb004b801472aa458</t>
  </si>
  <si>
    <t>온나라 시스템을 통해 접수된 문서를 부서원들이 열람하지 못하도록 설정하려면 다음과 같이 진행하면 됩니다.
1. **문서관리카드에서 '열람범위' 설정**:
   - 온나라 시스템에서 해당 문서의 문서관리카드를 엽니다.
   - 문서관리카드의 상단 메뉴 중 '열람범위'를 클릭합니다.
   - 여기서 '열람불가' 옵션을 선택합니다.
   - 이 설정을 적용하면 해당 문서는 지정된 사람들만 열람할 수 있게 되며, 부서원들은 접근이 제한됩니다.
2. **'문서열람가능자' 지정**:
   - '문서열람가능자' 항목에서 문서를 볼 수 있는 대상자를 지정합니다.
   - 여기에는 필요한 경우에만 특정 부서나 담당자들을 추가하여 열람 권한을 부여합니다.
   - 이를 통해 다른 부서원들의 열람을 효과적으로 막을 수 있습니다.
3. **'열람제한기간' 설정**:
   - 필요에 따라 '열람제한기간'을 설정하여 일정 기간 동안만 문서에 대한 접근을 허용하거나 제한할 수 있습니다.
   - 예를 들어, 중요한 정보가 포함된 문서의 경우 일시적으로만 열람 가능하게 할 수 있습니다.
4. **보안 등급 확인**:
   - 문서의 보안 등급이나 민감도에 따라 열람 권한이 자동으로 제한될 수 있으므로, 문서의 분류와 등급 설정도 중요합니다.
   - 높은 보안 등급의 문서는 승인된 인원만 열람할 수 있도록 시스템이 설계되어 있을 수 있습니다.
이러한 절차를 따르면 온나라 접수 문서를 부서원들이 열람하지 못하도록 설정할 수 있습니다. 만약 시스템 사용 중에 어려움이 있거나 추가적인 도움이 필요하다면, 온나라 시스템의 고객 지원 센터나 관련 부서에 문의하시는 것이 좋습니다. 또한, 기관 내 정보보안 정책이나 지침에 따라 절차가 달라질 수 있으니 내부 규정을 확인하는 것도 중요합니다.</t>
  </si>
  <si>
    <t>db04b049-f367-4bb2-b8c6-407699ed1861</t>
  </si>
  <si>
    <t>(공사,용역,물품) 계약 선금 신청 및 지급 절차를 알려주세요</t>
  </si>
  <si>
    <t>472_2411_회계재산담당관_업무매뉴얼_한국지방재정공제회_2024년_개정판_물품계약_길라잡이한국지방재정공제회.pdf</t>
  </si>
  <si>
    <t>268, 269</t>
  </si>
  <si>
    <t>25b000f0e6db426b8d5c7d4898c3fb6c</t>
  </si>
  <si>
    <t>네, 알겠습니다! **(공사, 용역, 물품) 계약의 선금 신청 및 지급 절차**에 대해 자세히 안내해 드리겠습니다.
---
### **1. 선금의 개념**
- **선금이란?**
  - 계약 상대방이 계약 이행 전에 미리 받는 금전으로, 주로 계약 이행을 촉진하고 초기 비용을 지원하는 역할을 합니다.
- **왜 선금을 받나요?**
  - 계약 상대방에게 초기 자본을 제공하여 계약 이행에 필요한 인력 채용, 자재 구입 등의 활동을 원활히 진행하도록 돕습니다.
---
### **2. 선금 신청 자격 요건**
- **계약 유형**
  - **공사**, **용역**, **물품 제조**(구매는 제외) 계약이어야 합니다.
- **입찰 참가 자격**
  - 현재 **입찰 참가 자격 제한을 받지 않은 상태**여야 합니다.
- **기성금 지급 여부**
  - **선금을 지급하려는 회계연도에 기성금을 받은 적이 없어야 합니다.**
  - 그러나 **원자재 가격 급등 등으로 인해 선금을 지급하지 않으면 계약 이행이 곤란한 경우**에는 예외적으로 선금을 받을 수 있습니다.
---
### **3. 선금 신청 방법**
- **신청 시기**
  - 일반적으로 **계약 체결 후**에 선금을 신청할 수 있습니다.
- **신청 절차**
  - 계약 담당 부서나 담당자에게 **선금 신청서**를 제출합니다.
  - 이때 **선금 사용 계획서**를 함께 제출하여 선금의 사용 목적을 명확히 합니다.
- **필요 서류**
  - 사업자등록증 사본
  - 법인 인감증명서
  - 통장 사본
  - 기타 계약서에 명시된 요구 서류
---
### **4. 선금 지급 범위**
- **최대 지급 비율**
  - **계약 금액의 70%**를 초과하지 않는 범위 내에서 지급 가능합니다.
- **지급 금액 결정**
  - 계약 상대방의 **신청 금액**에 따라 지급하며, 필요 시 계약 담당자가 조정할 수 있습니다.
- **특별한 경우**
  - 계약 이행을 위해 특별히 필요하다고 인정되면 **계약 금액을 초과하지 않는 범위 내에서 추가 지급**이 가능합니다.
---
### **5. 선금 지급 조건**
- **채권 확보 조치**
  - 선금 지급 시 **채권에 대한 담보 설정** 등이 필요할 수 있습니다.
- **선금 사용 목적**
  - 선금은 **계약 이행을 위한 목적**에만 사용되어야 하며, 다른 목적으로 사용할 수 없습니다.
  - 특히, **노임 지급과 자재 확보**에 우선적으로 사용해야 합니다.
- **사용 내역 보고**
  - 계약 담당자는 필요 시 **선금 사용 내역서**를 제출받아 선금이 적절하게 사용되었는지 확인할 수 있습니다.
---
### **6. 선금 지급의 예외 사항**
- **자금 사정의 어려움**
  - **자금 배정이 지연되거나** 계약 이행이 상당 기간 지연될 것이 명백한 경우 선금 지급이 어려울 수 있습니다.
- **계약 이행의 곤란**
  - 선금을 지급하지 않으면 계약 이행이 곤란한 특별한 상황이 있는 경우 예외적으로 선금을 지급할 수 있습니다.
---
### **7. 선금 사용 시 주의사항**
- **계약 목적 외 사용 금지**
  - 선금은 계약 이행을 위한 목적 이외에는 사용할 수 없으며, 이를 위반할 경우 법적 책임을 질 수 있습니다.
- **공동 수급체의 경우**
  - 선금을 받은 원도급자나 공동 수급체 대표는 **5일 이내**에 공동 수급체 구성원이나 하수급자에게 선금 수령 사실을 통보해야 합니다.
- **하수급자에 대한 지급**
  - 선금 지급일로부터 **15일 이내**에 공동 수급체 구성원이나 하수급자에게 현금으로 지급하고, 선금이 적절히 배분되었는지 확인해야 합니다.
---
### **8. 선금 반환 및 정산**
- **계약 이행 완료 전 권리 양도 금지**
  - 선금을 전액 정산하기 전까지는 계약에 따른 권리를 제3자에게 양도할 수 없습니다.
- **선금보증기관의 동의 필요**
  - 선금을 전액 정산하기 이전에 공사대금청구권을 제3자에게 양도하려면 **선금보증기관의 동의**를 받아야 합니다.
---
### **9. 참고 자료**
- **관련 규정**
  - **'지방계약법' 제18조 및 동법 시행령 제67조**
  - **'지방회계법' 제35조 및 동법 시행령 제44조**
- **실무 매뉴얼**
  - **'한국지방재정공제회 2024년 개정판 공사계약 길라잡이'**
    - 페이지: 256 ~ 259
  - **'한국지방재정공제회 2024년 개정판 용역계약 길라잡이'**
    - 페이지: 290 ~ 293
  - **'행정안전부 2025년 지방재정 상반기 신속집행 지침'**
    - 페이지: 15
---
**추가로 궁금한 점이 있으시면 언제든지 말씀해 주세요!** 도움이 필요하시면 언제든 도와드리겠습니다. 감사합니다.</t>
  </si>
  <si>
    <t>6619e28c-1ab0-4854-b91f-7c0bc405aa70</t>
  </si>
  <si>
    <t>58ac608c-0bd8-44f0-bf56-fc92e162e88b</t>
  </si>
  <si>
    <t>634adbbc-da76-4ea3-b244-24c7a4866e8a</t>
  </si>
  <si>
    <t>24_2501_공공기관담당관_업무매뉴얼_행정안전부_2025년_지방재정_상반기_신속집행_지침.pdf</t>
  </si>
  <si>
    <t>60b4851d-59b4-4f75-849e-3de75b2b03c8</t>
  </si>
  <si>
    <t>79993c46-eb0c-4e57-b871-7cbc70679126</t>
  </si>
  <si>
    <t>(공사,용역,물품) 계약 시 지역제한임찰 대상 금액을 알려주세요</t>
  </si>
  <si>
    <t>10, 14</t>
  </si>
  <si>
    <t>fc34d011bff34f58a3e8e3243adc6a41</t>
  </si>
  <si>
    <t>지역제한입찰 대상 금액은 다음과 같습니다:
1. **공사**:
   - **종합공사**: 추정가격 **100억 원 미만**
   - **전문공사**: 추정가격 **10억 원 미만**
   - **기타공사**(전기, 통신, 소방 등): 추정가격 **10억 원 미만**
2. **용역**:
   - **건설기술용역**: 추정가격 **3.3억 원 미만**
   - **안전진단 및 정밀안전진단용역**: 추정가격 **1.5억 원 미만**
   - **건설기술용역 외의 용역**: 추정가격 **3.5억 원 미만**
3. **물품**:
   - 추정가격 **3.5억 원 미만**
이러한 기준은 **'지방계약법'**과 **'부산광역시 지침'**에 따라 설정되어 있습니다. 만약 해당 금액을 초과하는 경우에는 전국입찰이나 국제입찰을 통해 계약을 진행하게 됩니다.
또한, **지역의무공동도급**의 경우:
- **공사**: 추정가격 **100억 원 이상**인 경우 적용되며, 지역업체의 의무참여비율은 **원칙적으로 40%**, **예외적으로 49%**입니다.
- **용역 및 물품**: 지역의무공동도급 적용 대상이 아닙니다.
추가적으로, **여성기업, 장애인기업, 사회적기업** 등은 추정가격 **5천만 원 이하**의 물품, 용역 계약에 대해 1인 견적 수의계약이 가능합니다.
따라서, 계약하고자 하는 공사의 종류와 규모에 따라 적절한 입찰 방식을 선택하시면 됩니다. 더 궁금한 점이 있으시면 언제든지 물어보세요!</t>
  </si>
  <si>
    <t>76d70972-0572-49d7-acbc-9ec334a069a2</t>
  </si>
  <si>
    <t>4dc65730-756f-4992-b0c6-6e858b948fed</t>
  </si>
  <si>
    <t>38e7414d-0df6-44fe-bfab-490827f4fa57</t>
  </si>
  <si>
    <t>f7a7db70-43bf-47f0-8c8f-ddc605e1ab60</t>
  </si>
  <si>
    <t>735f7abc-81da-455b-8c73-b2d106b9af73</t>
  </si>
  <si>
    <t>온나라 지식행정에 접속하면 흰창만 나오는데, 어떻게 해결해야하나요?</t>
  </si>
  <si>
    <t>807cf8534cb34cfca6cdbdae60565bd8</t>
  </si>
  <si>
    <t>온나라 지식행정에 접속했을 때 흰 창만 나타나는 문제는 다음과 같이 해결할 수 있습니다:
1. **인터넷 브라우저의 캐시 및 쿠키 삭제**:
   - 현재 사용 중인 웹 브라우저(예: Microsoft Edge, Google Chrome 등)를 열고 `Ctrl+Shift+Delete` 키를 동시에 눌러 '캐시'와 '쿠키'를 모두 삭제하는 옵션을 선택하여 삭제합니다.
2. **브라우저의 확장 프로그램 또는 애드온 비활성화**:
   - 브라우저에 설치된 확장 프로그램이나 애드온이 사이트 접속에 방해가 될 수 있으므로, 이들을 일시적으로 비활성화하거나 제거해 봅니다.
3. **브라우저의 보안 설정 확인**:
   - 브라우저의 보안 설정이 너무 높게 설정되어 있을 경우 일부 웹사이트 접속에 문제가 발생할 수 있습니다. 신뢰할 수 있는 사이트에 대해 보안 설정을 낮춰 보세요.
4. **브라우저 업데이트**:
   - 사용하는 브라우저가 최신 버전인지 확인하고, 최신 버전이 아니라면 업데이트를 진행합니다.
5. **다른 웹 브라우저 사용 시도**:
   - 동일한 문제가 다른 브라우저에서도 발생하는지 확인해 보고, 다른 브라우저(예: Google Chrome, Mozilla Firefox 등)를 사용하여 접속해 봅니다.
6. **네트워크 연결 상태 확인**:
   - 네트워크 연결에 문제가 없는지 확인하고, 필요하다면 Wi-Fi나 이더넷 케이블을 다시 연결해 봅니다.
7. **방화벽 및 안티바이러스 소프트웨어 설정 확인**:
   - 방화벽이나 안티바이러스 소프트웨어가 특정 사이트를 차단하고 있지 않은지 확인하고, 해당 사이트의 차단을 해제합니다.
8. **DNS 서버 변경 고려**:
   - DNS 서버 설정을 기본값으로 변경하거나 구글의 공개 DNS 서버(예: 8.8.8.8, 8.8.4.4)로 변경하여 문제를 해결해 볼 수 있습니다.
위의 단계를 차례대로 시도해 보시면 대부분의 경우 문제가 해결됩니다. 만약 이러한 조치로도 문제가 지속된다면, IT 지원 부서에 문의하여 추가적인 도움을 받으시는 것이 좋습니다. 또한, 문서에서 안내한 대로 행정포털의 오류조치안내에 따라 엣지의 IE 모드 설정 방법을 참고하셔도 도움이 됩니다.</t>
  </si>
  <si>
    <t>장기재직휴가 신청 절차는?</t>
  </si>
  <si>
    <t>3b588b91582543379c889d5dec039702</t>
  </si>
  <si>
    <t>장기재직휴가는 5년 이상 근무한 공무원에게 제공되는 특별휴가로, 재충전의 기회를 제공하기 위한 것입니다. 신청 절차는 다음과 같습니다:
1. **휴가 대상 확인**: 먼저 자신의 재직기간이 5년 이상인지 확인해야 합니다. 재직기간은 공무원연금공단에서 제공하는 퇴직급여 재직기간을 기준으로 하며, 이는 임명일부터 퇴직일까지의 기간을 말합니다.
2. **휴가 일수 확인**: 재직기간에 따라 받을 수 있는 휴가 일수가 정해져 있습니다. 일반적으로 다음과 같습니다:
   - 5년 ~ 9년: 5일
   - 10년 ~ 19년: 10일
   - 20년 ~ 29년: 25일
   - 30년 이상: 25일
3. **부서장과 상의**: 휴가를 사용하기 전에 부서장에게 계획을 알리고 승인을 받아야 합니다. 부서장은 업무 일정과 인력 상황을 고려하여 승인 여부를 결정합니다.
4. **복무시스템 승인 요청**: 차세대인사랑 복무관리시스템을 통해 휴가 신청을 합니다. 이때 휴가구분은 "연가외휴가관리 - 특별휴가"로 선택하고, 휴가 사유에 예를 들어 "(금회) 20년차 1회 5일, (잔여일수) 20일"과 같이 기재합니다.
5. **업무대행자 지정**: 장기간 휴가를 사용하는 경우 업무 공백을 방지하기 위해 업무대행자를 지정해야 합니다. 이는 부서 내에서 다른 직원이 귀하의 업무를 대신 처리할 수 있도록 하는 것입니다.
6. **휴가 실시**: 모든 절차를 완료하면 지정된 날짜에 휴가를 사용할 수 있습니다. 휴가 중에는 긴급 연락망을 유지하고, 복귀 후에는 업무 인계가 원활히 이루어지도록 해야 합니다.
또한, 일부 경우에는 연가와 연계하여 더 긴 휴가를 계획할 수도 있으며, 이 경우에도 부서장의 승인이 필요합니다.
**추가 정보**:
- **장기재직휴가 소멸유예**: 만약 재직기간이 9년 6월부터 11월까지 또는 29년 6월부터 11월까지인 경우, 확대된 휴가 일수를 6개월 내에 사용해야 하지만, 필요시 소멸유예를 적용받을 수 있습니다.
- **숙박비 지원**: 장기재직휴가 사용자에게는 숙박비가 지원되며, 이는 복지지원시스템을 통해 신청할 수 있습니다.
이러한 절차를 따르면 장기재직휴가를 원활하게 신청하고 사용할 수 있습니다. 추가로 궁금한 사항이나 도움이 필요하시면 언제든지 말씀해 주세요!</t>
  </si>
  <si>
    <t>867fdd11-cbf6-45dd-83f0-f2ea74e1f6c3</t>
  </si>
  <si>
    <t>d90900dd-41af-4d32-8b63-ccfd787f88b8</t>
  </si>
  <si>
    <t>c0635dda-3441-4063-8c58-d6f398790375</t>
  </si>
  <si>
    <t>284_2501_인사과_기타_인사과_2025년_직원_장기재직휴가_지원_계획.pdf</t>
  </si>
  <si>
    <t>1dce0950-5f37-4ae0-b99a-836dc5bba238</t>
  </si>
  <si>
    <t>1283_2503_인사과_공문_인사과_2025년_공무원_후생복지_추진계획배포-hwp.pdf</t>
  </si>
  <si>
    <t>직원 단체보장보험 보장내용 및 실비 등 청구 방법은?</t>
  </si>
  <si>
    <t>279_2501_인사과_기타_인사과_2025년_맞춤형복지_단체보장보험_가입내용_및_청구방법_안내.pdf
283_2501_인사과_기타_인사과_2025년_부산광역시_청구안내문단체보장보험.pdf</t>
  </si>
  <si>
    <t>1
 7</t>
  </si>
  <si>
    <t>deb0b7163d154d3b8c853496fc1f2a6c</t>
  </si>
  <si>
    <t>2025년도 부산광역시 직원 단체보장보험의 보장 내용과 실비 청구 방법에 대해 안내해 드리겠습니다.
### **보험 기간**
- **'25. 1. 1. 00:00 ~ '25. 12. 31. 24:00** (1년간)
### **주관 보험사**
- **KB손해보험**
### **단체보험 보장 범위 및 내용 (직원)**
#### **생명보험**
- **1억 원**: 재해 또는 질병으로 인한 사망 시 지급
- **공무 중 사망 시**: **5천만 원** 추가 지급
#### **상해보험**
- **1억 원**: 상해로 인한 장해 발생 시 장해지급률에 따라 차등 지급
#### **암·뇌졸중·심근경색 최초 진단 시**
- **1천만 원** 지급
#### **수술비**
- **5종 수술비**: 1종 7만 원 ~ 5종 150만 원까지 지급
#### **대장·위 폴립 진단비**
- **10만 원** 지급 (1회 한정)
#### **치아 치료비 (보철)**
- **30만 원** 지급 (임플란트, 브릿지, 틀니 통합 연간 3개 한도)
#### **상해·폭행 위로금**
- **1백만 원** 지급
#### **피싱, 해킹, 금융 사기**
- **5백만 원 한도** 내에서 금전적 손해를 보상
#### **실손의료비 (선택 항목)**
- **통합 3천만 원** 한도 내 입원 및 통원의료비 지원
- **통원 1회당 최대 15만 원** 지급
### **배우자 보험 보장 내용**
- 자세한 내용은 첨부된 '[붙임1]'을 참고하세요.
- **남성**: **505,744원**
- **여성**: **469,020원**
### **실비 등 청구 방법**
1. **보험금 청구서 양식 출력 및 기재**
   - KB손해보험 홈페이지(http://www.kbinsure.co.kr)에서 다운로드 가능합니다.
2. **구비 서류 준비**
   - 필요한 서류를 꼼꼼히 확인하여 준비해야 합니다.
3. **작성된 보험금 청구서와 관련 서류 제출**
   - **팩스 접수**: KB손해보험 단체보험 콜센터 FAX (**0505-136-6600**) 또는 TEL (**1544-1616**, ARS / 담당자 연결은 2번)
     - **주의사항**: 입통원의료비 100만 원 미만 건의 경우에만 팩스 접수가 가능하며, 그 이상의 금액은 우편 접수해야 합니다.
   - **우편 접수**: 원본 제출 원칙이며, 주소는 다음과 같습니다.
     - **[04027] 서울특별시 마포구 양화로 19, 19층 인보험 사고접수센터 (합정동, KB손해보험 합정빌딩)**
4. **실손의료비 청구**
   - **KB손해보험 앱 또는 홈페이지**를 통해 간편하게 청구 가능합니다.
5. **보험금 지급 절차**
   - 접수 완료 시 SMS, LMS, 카카오톡 알림톡 등으로 **접수번호**와 **보상 담당자 이름 및 연락처**를 통보받습니다.
   - 보험금은 지정된 계좌로 지급되며, **피보험자 본인 명의의 통장**이어야 합니다. 미성년자의 경우 친권자 계좌 수령이 가능합니다.
6. **보험금 청구 소멸시효**
   - 사고 발생일로부터 **3년 이내**에 청구해야 하며, 2015년 3월 12일 이전 발생한 사고는 **2년 이내**에 청구해야 합니다.
7. **보험금 지급 안내 및 심사 절차 조회**
   - 보험금이 지급되면 SMS, 이메일 등으로 안내문을 받으실 수 있습니다.
   - KB손해보험 홈페이지에서 계약 내용, 사고 결과, 지급 내역 등을 확인할 수 있습니다.
8. **타 보험사와의 분담 지급**
   - 여러 보험에 가입되어 있을 경우 비례보상이 적용되어 각 보험사별로 보험금이 분할 지급됩니다.
   - 이 경우 접수 대행 신청서를 작성하고 개인정보 활용 동의를 하면 접수 대행이 가능합니다.
### **첨부 자료**
- **[붙임1]**: 2025년 부산광역시 보험가입 약관
- **[붙임2]**: 2025년 부산광역시 청구서
- **[붙임3]**: 2025년 부산광역시 청구안내문
- **[붙임4]**: 2025년 부산광역시 실손보험 모바일 청구안내문
---
**참고 사항**
- 모든 사항은 2025년도 기준이며, 변동 사항이 있을 수 있으니 최신 정보를 확인해 주세요.
- 보다 자세한 문의는 **KB손해보험 단체보험 콜센터 (TEL: 1544-1616)**로 연락 주시기 바랍니다.
**감사합니다.**</t>
  </si>
  <si>
    <t>b378e597-6a24-446b-b692-da357057ca7d</t>
  </si>
  <si>
    <t>283_2501_인사과_기타_인사과_2025년_부산광역시_청구안내문단체보장보험.pdf</t>
  </si>
  <si>
    <t>351c164b-0cee-4b6f-ba68-bbaa8affc02b</t>
  </si>
  <si>
    <t>279_2501_인사과_기타_인사과_2025년_맞춤형복지_단체보장보험_가입내용_및_청구방법_안내.pdf</t>
  </si>
  <si>
    <t>PC 네트워크 비밀번호 분실 시 해결방법은?</t>
  </si>
  <si>
    <t>67a1e339851648d5980dc8b8b8a7ee0e</t>
  </si>
  <si>
    <t>네트워크 인증 시스템(NAC, PClient)의 비밀번호를 분실한 경우, 다음과 같이 해결할 수 있습니다:
1. **행정전화(5999)로 연락하기**: 네트워크에 접속할 수 없거나 비밀번호를 잊어버린 경우에는 행정전화인 5999번으로 연락하여 도움을 요청하세요. 담당 부서는 비밀번호 초기화나 재설정을 도와줄 것입니다.
2. **IT 지원 부서 문의**: 만약 내부적으로 IT 지원 부서가 있다면 해당 부서에 직접 문의하여 비밀번호 관련 지원을 받을 수 있습니다.
3. **안전한 접근 권한 확인**: 비밀번호를 재설정하거나 초기화하는 과정에서는 사용자의 신원 확인이 필요할 수 있으므로, 신분증이나 기타 본인 확인 자료를 준비해 두세요.
위의 방법을 통해 네트워크 인증 시스템의 비밀번호 문제를 해결할 수 있으며, 업무에 지장이 없도록 신속하게 조치하는 것이 중요합니다. 추가적인 도움이 필요하면 언제든지 다시 문의해 주세요.</t>
  </si>
  <si>
    <t>예산편성 관련 사전절차는 어떤게 있으며 이행여부 조회할 수 있는 방법은?</t>
  </si>
  <si>
    <t>213_2408_예산담당관_예산편성계획_예산담당관_2025년_예산편성계획.pdf</t>
  </si>
  <si>
    <t>23</t>
  </si>
  <si>
    <t>782d4f0a875e4e7c955bc201ccf748a7</t>
  </si>
  <si>
    <t>부산광역시의 2025년도 예산편성에 있어서 사전절차는 예산편성의 투명성과 효율성을 높이기 위해 필수적으로 이행되어야 합니다. 문서에서 언급된 주요 사전절차들은 다음과 같습니다:
1. **투자심사**: 40억 원 이상 ~ 300억 원 미만의 사업은 시 자체 심사를 받아야 하며, 300억 원 이상의 사업은 중앙 심사를 거쳐야 합니다.
2. **기술용역 사전심의**: 100백만 원 이상의 기술용역은 기술용역 사전심의를 통과해야 예산을 편성할 수 있습니다.
3. **정책연구용역 사전심의**: 10백만 원 이상의 정책연구용역은 정책연구용역심의회 심의를 거쳐야 합니다.
4. **행사성·홍보관사업 사전심사**: 행사성 사업의 경우 3억 원 이상, 홍보관 사업은 5억 원 이상 30억 원 미만의 경우 시 자체 심사가 필요합니다.
5. **국제화여비 사전심사**: 국외업무여비와 국제화여비는 국제협력과에서 사전심사 승인을 받은 사업에 한해 예산 편성이 가능합니다.
이러한 사전절차의 이행 여부를 확인하려면 다음과 같은 방법을 사용할 수 있습니다:
- **관련 부서에 문의하기**: 각 사전절차를 담당하는 부서나 기관에 직접 연락하여 해당 사업이 필요한 절차를 모두 거쳤는지 확인할 수 있습니다. 예를 들어, 투자심사의 경우 예산담당관실이나 기획담당관에 문의하면 됩니다.
- **공공포털 사이트 활용**: 부산시청 홈페이지나 전자정부 시스템(G4C) 등에서 공개된 정보를 통해 예산 편성 과정에서의 절차 이행 여부를 조회할 수 있습니다. 일반적으로 공공기관의 예산 정보는 공개되어 있으므로, 이를 통해 확인이 가능합니다.
- **정보공개 청구**: 정보공개법에 따라 공공기관에 정보공개를 청구하여 원하는 자료를 받을 수 있습니다. 이때, 구체적인 내용과 함께 정확한 요청을 해야 신속하게 답변을 받을 수 있습니다.
따라서, 예산편성 관련 사전절차의 이행 여부를 조회하고자 한다면 위의 방법들을 활용하여 관련 부서에 문의하거나 공식적인 채널을 통해 확인하는 것이 좋습니다. 이는 예산의 적절한 사용과 관련된 중요한 사항이므로 정확하고 신뢰할 수 있는 방법으로 접근하는 것이 중요합니다.</t>
  </si>
  <si>
    <t>faf152d4-dc92-48a2-b01b-5b03cbed4daf</t>
  </si>
  <si>
    <t>7c53d3cd-686a-4ae5-bb7f-f28f05c191ad</t>
  </si>
  <si>
    <t>사업예산 편성 시 총사업비와 국비사업비의 금액에 따라 거쳐야 될 사전절차에는 어떤 것이 있나요?</t>
  </si>
  <si>
    <t>36</t>
  </si>
  <si>
    <t>f0f7504e9e554322a1bbbc96203345f4</t>
  </si>
  <si>
    <t>사업예산을 편성할 때 총사업비와 국비사업비에 따라 필요한 사전절차는 다음과 같습니다.
1. **총사업비가 500억원 이상이고 국비 지원이 300억원 이상인 경우**:
   - **사전타당성 조사**: 해당 사업은 예비타당성 조사를 받아야 합니다. 이는 국가의 재정 지원을 받는 대규모 사업에 대해 경제성과 효율성을 사전에 검증하기 위한 절차입니다.
2. **총사업비가 50억원 이상이면서 사업기간이 2년 이상인 건설 또는 정보화사업의 경우**:
   - **총사업비 관리제도 적용**: 이러한 사업은 총사업비 관리 대상이며, 예산 편성에 앞서 총사업비 관리를 위한 사전 심사를 받아야 합니다.
3. **총사업비가 30억원 이상이거나 지방비 부담이 50억원 이상인 신규 공모사업의 경우**:
   - **투자심사**: 이 경우에는 투자심사를 통해 사업의 타당성과 필요성을 평가받아야 합니다.
4. **총사업비가 40억원 이상인 신규사업이나 60억원 이상의 자치구·군 사업, 3억원 이상의 행사성 사업, 5억원 이상의 홍보관 사업의 경우**:
   - **타당성 조사**: 이들 사업은 타당성 조사를 통해 예산 편성의 적정성을 검토해야 합니다.
5. **총사업비가 20억원 이상인 재산 취득이나 10억원 이상인 재산 처분의 경우**:
   - **공유재산관리계획 반영**: 예산 편성에 앞서 공유재산관리계획을 수립하여 시의회에 보고해야 합니다.
6. **건당 1000만원 이상의 학술용역이나 1억원 이상의 기술용역의 경우**:
   - **정책연구용역심의 및 기술용역 사전심의**: 해당 용역에 대한 심의를 받아 예산 편성의 적합성을 확보해야 합니다.
7. **지방보조금 사업이나 행사·축제 사업의 경우**:
   - **지방보조금관리위원회의 사전심의**: 예산 편성에 앞서 관련 위원회의 심의를 통과해야 합니다.
8. **민간위탁금이나 공기관위탁대행 사업의 경우**:
   - **시의회 동의**: 신규나 3억원 이상의 재위탁, 갱신 시에는 시의회의 동의를 얻어야 합니다.
9. **모든 출자·출연 사업의 경우**:
   - **시의회 승인**: 예산 편성에 앞서 시의회의 승인을 받아야 합니다.
이러한 절차를 준수함으로써 예산 편성이 법적 요건을 충족하고, 사업의 투명성과 효율성을 높일 수 있습니다. 각 절차는 사업의 규모와 성격에 따라 다르므로, 구체적인 사업을 계획하실 때는 해당되는 절차를 정확히 확인하고 진행하시는 것이 중요합니다. 추가적인 도움이 필요하시면 언제든지 말씀해 주세요!</t>
  </si>
  <si>
    <t>829f7bfd-2082-402e-8bdc-f45e19f9d0c3</t>
  </si>
  <si>
    <t>부산시 업무협약 체결할때, 의회 사전동의 유무, 협약서 검토 등 구체적인 절차를 알려줘~</t>
  </si>
  <si>
    <t>376_2210_조직담당관_업무매뉴얼_조직담당관_업무협약_관리_매뉴얼.pdf</t>
  </si>
  <si>
    <t>6</t>
  </si>
  <si>
    <t>92bbe76d5d1b4e9b810d03e0a000bf53</t>
  </si>
  <si>
    <t>네, 알겠습니다.
**부산시의 업무협약 체결 절차**
부산시에서 업무협약을 체결할 때는 관련 법령과 조례에 따라 몇 가지 중요한 절차를 거쳐야 합니다. 특히, **부산광역시 업무협약 관리에 관한 조례**에 따르면 다음과 같은 절차를 따릅니다.
---
### **1. 업무협약 추진 검토**
- **소요예산 확인**: 업무협약으로 인해 발생할 수 있는 재정적 부담을 파악하기 위해 예산을 담당하는 부서와 상의합니다.
- **업무처리 능력 평가**: 해당 업무를 수행할 수 있는 능력과 자원이 충분한지 검토합니다.
- **추진 성과 예측**: 업무협약이 가져올 긍정적인 효과를 분석합니다.
- **긴급성 여부 판단**: 긴급한 추진이 필요한 상황인지 결정합니다.
### **2. 협약서 작성**
- **재정부담 수반 시 협의**: 만약 업무협약으로 인해 시의 재정적 부담이 예상된다면, 예산담당관과 협의하여 예산 편성을 준비합니다.
- **법률 검토**: 법무담당관의 도움을 받아 협약서의 법적 타당성과 문제점을 검토합니다.
- **외국어 협약서 번역**: 국제기관과의 협약일 경우, 국제협력과에서 정확한 번역을 진행합니다.
### **3. 시의회 의결 대상 여부 판단**
#### **사전 의결 대상**
- **재정적 부담 발생**: 업무협약으로 인해 시의 재정적 부담이 발생하는 경우 반드시 시의회의 사전 의결을 받아야 합니다.
    - 예: 새로운 시설 건설, 대규모 프로젝트 참여 등으로 인한 비용 지출.
- **권리 포기 포함**: 시의 권리를 포기해야 하는 내용이 포함된 경우에도 사전 의결을 받아야 합니다.
- **주민 권리 제한 또는 의무 부과**: 주민들에게 직접적인 영향이 있는 사항이라면 사전 의결을 거칩니다.
#### **사후 의결 대상**
- **긴급한 추진 필요성**: 긴급한 사유로 즉시 업무협약을 체결해야 하지만 사전 의결을 받을 시간이 부족한 경우, '의결을 받은 때부터 효력이 발생'한다는 조건을 달아 협약을 체결합니다.
- **소관 상임위원회 사전 설명**: 이러한 경우 반드시 소관 상임위원회에 사전 설명을 해야 하며, 사후 의결을 통해 최종 승인받습니다.
### **4. 시의회 의결 절차**
- **부의안건 제출**: 기획담당관을 통해 시의회 부의안건으로 제출합니다.
- **시의회 심의 및 의결**: 시의회에서 해당 안건을 심의하고 의결합니다.
### **5. 업무협약 체결**
- **체결 대상 기관과의 협상**: 업무협약의 내용과 조건에 대해 상대방 기관과 협의합니다.
- **협약서 서명**: 양측 대표가 협약서에 서명함으로써 공식적으로 업무협약이 체결됩니다.
### **6. 사후 보고**
- **의결 대상이 아닌 업무협약**: 시의회의 의결 대상이 아닌 업무협약이라도 체결 후에는 시의회에 보고해야 합니다.
- **취소 사유 발생 시 보고**: 업무협약의 목적을 달성했거나, 상대방의 귀책사유로 인해 업무협약을 취소해야 하는 경우 시의회에 보고합니다.
### **7. 관리 및 점검**
- **분기별 점검 자료 제출**: 업무협약의 추진 상황을 주기적으로 조직담당관에 보고합니다.
- **사후관리**: 업무협약의 효과성과 지속 가능성을 모니터링하며, 필요 시 수정·보완합니다.
---
**관련 법령 및 조례 요약**
- **지방자치법 제47조**: 예산 외의 의무부담이나 권리의 포기에 대해서는 지방의회의 의결을 받아야 한다고 규정하고 있습니다.
- **부산광역시 업무협약 관리에 관한 조례**
    - **제5조(시장 등의 책무)**: 시장의 책임과 역할을 명시하고 있습니다.
    - **제6조(시의회 보고 및 의결 등)**:
        - **제1항**: 업무협약을 체결한 경우 시의회에 보고해야 합니다.
        - **제2항**: 특정 조건을 만족하는 업무협약은 사전에 시의회의 의결을 받아야 합니다.
            - 재정적 부담 발생
            - 시의 권리 포기 포함
            - 주민의 권리 제한 또는 의무 부담 포함
        - **단서 조항**: 긴급한 추진이 필요한 경우, 의결을 받은 때부터 효력이 발생하도록 조건을 달고 협약을 체결할 수 있으며, 이때는 소관 상임위원회에 사전 설명을 해야 합니다.
---
**정리하면**, 부산시에서 업무협약을 체결할 때는 먼저 업무협약의 필요성과 영향을 면밀히 검토하고, 재정적 부담이나 권리 포기 등이 포함되어 시의회의 사전 의결을 받아야 하는지 판단합니다. 그런 다음, 협약서를 작성하고 법률적 검토를 거친 후, 시의회의 의결을 받고 나서야 협약을 체결합니다. 마지막으로, 체결된 업무협약은 지속적으로 관리되고 시의회에 보고되며, 필요 시 조정됩니다.
이러한 절차를 통해 투명하고 효율적인 행정을 구현하고자 합니다. 추가적인 질문이나 궁금한 점이 있으시면 언제든지 말씀해 주세요! 도움이 되었길 바랍니다.</t>
  </si>
  <si>
    <t>27ee1cfd-7f8a-47aa-96a8-055af6e974fb</t>
  </si>
  <si>
    <t>739_페이지74_문서9_163339_부산광역시_업무협약_관리에_관한_조례.pdf</t>
  </si>
  <si>
    <t>64ddd62d-14b3-4996-b8ea-53f8181c3d05</t>
  </si>
  <si>
    <t>02ebf214-87cd-4dfd-8ce3-524d13e36e05</t>
  </si>
  <si>
    <t>8f6f8840-9e15-47f5-98d8-1e391b8ce355</t>
  </si>
  <si>
    <t>시차출퇴근제 신청 한 날 반가를 쓰면 퇴근을 지정해야하는지? 유연근무제 복무 유의사항은 무엇이 있을까?</t>
  </si>
  <si>
    <t>1259_지방공무원_복무에_관한_예규_개정안전문_행정안전부_예규_제340호.pdf</t>
  </si>
  <si>
    <t>8b165f6c2dbd4272b87ef480288fc0db</t>
  </si>
  <si>
    <t>안녕하세요! 질문 주신 내용에 대해 자세히 안내해 드리겠습니다.
**첫째**, **시차출퇴근제를 신청한 날에 반가를 사용하는 경우**에 대해 말씀드리겠습니다. 시차출퇴근제는 근무 시간을 조정하여 출퇴근 시간을 유연하게 운영하는 제도입니다. 이때, 근무 시간 중 일부를 휴가나 다른 사유로 사용하지 않더라도, 실제로 근무를 시작하는 시간과 끝나는 시간은 변동될 수 있습니다.
따라서, **반가를 사용하는 경우에도 출퇴근 시간을 지정하여 복무 시스템에 입력해야 합니다.** 이는 근무 시간의 정확한 기록과 복무 관리를 위해 필요한 절차입니다. 예를 들어, 원래 근무 시간이 오전 9시부터 오후 6시까지이고, 오후 3시에 반가를 사용한다면, 출근 시간은 그대로 오전 9시로 지정하고, 퇴근 시간은 오후 3시로 지정하면 됩니다.
**둘째**, **유연근무제의 복무 유의사항**에 대해서는 다음과 같습니다:
1. **출퇴근 시간 지정**: 유연근무를 사용하는 모든 직원은 반드시 출퇴근 시간을 지정해야 합니다. 이를 통해 근무 시간의 관리가 가능하며, 부정한 사용을 방지할 수 있습니다.
2. **복무 점검 강화**: 관리자는 유연근무자의 출퇴근 지정 현황을 주기적으로 확인하여 복무 관리가 제대로 이루어지고 있는지 점검해야 합니다.
3. **출장 및 휴가 사용 시 주의사항**:
   - **출장 시**: 유연근무일과 겹치는 경우에는 가능하면 유연근무를 취소하거나 일정을 조정하는 것이 바람직합니다. 그러나 불가피한 경우, 출장과 관련된 출퇴근 시간을 정확히 지정해야 합니다.
   - **휴가 사용 시**: 반가, 지각, 조퇴 등의 휴가를 사용할 때도 해당 시간을 제외하고 출퇴근 시간을 지정해야 합니다.
4. **증빙 자료 제출**: 출장이나 휴가 사용 시에는 이를 증명할 수 있는 자료를 부서 복무 담당자에게 제출하여 추후 문제가 발생하지 않도록 해야 합니다.
이러한 유의사항을 준수함으로써 조직 내에서의 효율적인 업무 진행과 투명한 복무 관리가 가능합니다. 추가적인 궁금증이 있으시면 언제든지 문의해 주세요! 도움이 되었기를 바랍니다.</t>
  </si>
  <si>
    <t>14657837-b1cf-4247-8740-e0002b0029a0</t>
  </si>
  <si>
    <t>탄력근무제 관련해서 자세한 매뉴얼이 있나요</t>
  </si>
  <si>
    <t>12</t>
  </si>
  <si>
    <t>fb9dd92346504b9aa14917d6618de0f6</t>
  </si>
  <si>
    <t>네, 탄력근무제에 대한 자세한 매뉴얼은 여러 곳에서 찾아볼 수 있어요.
1. **인사혁신처 홈페이지**: 인사혁신처는 공직 사회의 인사 제도와 관련된 정보를 제공하는 공식 사이트예요. 여기서는 탄력근무제의 정의, 도입 배경, 신청 절차, 유의 사항 등에 대해 상세히 안내하고 있어요. 또한 실제 사례를 통해 이해를 돕고 있으니 참고하시면 도움이 될 거예요.
   - [인사혁신처 홈페이지 바로가기](https://www.mpm.go.kr/mpm/)
2. **정부기관 내부 시스템**: 각 정부 부처나 지방자치단체에서는 자체적인 인사 관리 시스템을 운영하고 있어요. 예를 들어, 부산광역시의 경우에는 시청 내부망이나 인사관리 포털을 통해 직원들에게 탄력근무제와 관련된 지침이나 매뉴얼을 제공하고 있을 가능성이 높아요. 이런 자료들은 보안상의 이유로 외부 공개되지 않을 수도 있지만, 소속 기관의 인사 부서에 문의하면 열람하실 수 있을 거예요.
3. **관련 법령 및 예규**: 탄력근무제는 「국가공무원 복무 규정」이나 「지방공무원 복무 조례」 등의 법령에 기반하여 운영되고 있어요. 이러한 법령은 국가법령정보센터에서 확인할 수 있으며, 구체적인 운영 방식과 절차를 알 수 있어요.
   - [국가법령정보센터 바로가기](https://www.law.go.kr/)
4. **교육 자료 및 워크숍**: 일부 기관에서는 탄력근무제의 원활한 운영을 위해 직원들을 대상으로 한 교육 프로그램이나 워크숍을 진행하기도 해요. 이런 기회를 통해 상세한 매뉴얼이나 가이드라인을 제공받을 수 있어요.
5. **온라인 커뮤니티 및 포럼**: 공무원들이 모여있는 온라인 커뮤니티나 포럼에서도 탄력근무제에 대한 정보와 경험을 공유하고 있어요. 다른 직원들의 경험담을 듣는 것도 큰 도움이 될 수 있죠.
**추가 팁**:
- **인사 담당자와 상담하기**: 가장 정확한 정보는 소속 기관의 인사 담당자에게 직접 문의하는 것이에요. 궁금한 점이나 필요한 자료를 요청해보세요.
- **매뉴얼 다운로드**: 만약 문서 형태로 매뉴얼을 받고 싶으시다면, 앞서 언급한 웹사이트들에서 PDF 파일 등으로 제공되는 경우가 많으니 확인해보세요.
더 구체적인 도움이 필요하시거나 특정 자료에 접근하는 방법을 알고 싶으시면 언제든지 말씀해 주세요! 도와드릴게요.</t>
  </si>
  <si>
    <t>fe27bce9-4581-4190-a832-3ea939480632</t>
  </si>
  <si>
    <t>DRM, 네트워크 인증 등 신규직원이 컴퓨터 사용에 알아야할 것들에 대해 정리해주세요.</t>
  </si>
  <si>
    <t>7828570f12494423a8adb2aa16c07585</t>
  </si>
  <si>
    <t>신규 직원이 컴퓨터 사용 시 알아야 할 DRM(Digital Rights Management), 네트워크 인증 등에 대한 내용은 다음과 같습니다.
### 1. DRM(Digital Rights Management)
- **개념**: 디지털 콘텐츠의 불법 복제 및 배포를 방지하기 위한 기술로, 저작권 보호를 위해 사용됩니다.
- **이해해야 할 사항**:
  - **보안 정책 준수**: 회사 내부 자료를 외부로 유출하지 않도록 주의해야 합니다.
  - **권한 관리**: 접근 가능한 파일이나 프로그램에 제한이 있을 수 있으므로, 승인되지 않은 자료에 접근하지 않습니다.
  - **암호화 문서 처리**: DRM으로 보호된 문서는 지정된 소프트웨어나 권한 없이는 열람하거나 편집할 수 없습니다.
### 2. 네트워크 인증
- **개념**: 조직 내에서 네트워크를 사용하는 모든 장치와 사용자를 식별하고 인증하는 절차입니다.
- **이해해야 할 사항**:
  - **계정 생성**: 회사에서 제공하는 계정으로 로그인해야 합니다.
  - **인증 방법**: 패스워드, 스마트 카드, 생체 인식 등을 사용할 수 있습니다.
  - **접속 위치 확인**: 사내에서만 네트워크 자원에 접근할 수 있도록 설정되어 있을 수 있습니다.
### 3. 기타 중요 사항
- **보안 교육 이수**: 회사의 보안 정책을 숙지하고 관련 교육을 받습니다.
- **소프트웨어 설치 제한**: 승인되지 않은 소프트웨어를 설치하면 시스템에 문제가 발생할 수 있으므로 주의합니다.
- **데이터 백업**: 중요한 데이터는 정기적으로 백업하여 손실을 예방합니다.
- **개인정보 보호**: 동료의 개인정보나 민감한 정보를 취급할 때는 각별히 주의합니다.
### 4. 추가 정보
- **자료유출방지시스템(DRM)**:
  - **사용 방법**: 매뉴얼을 참고하여 시스템을 이해하고 활용합니다.
  - **비밀번호 변경**: 비번 초기화 후에는 반드시 새로운 비밀번호로 변경해야 합니다.
  - **접근 권한 관리**: 자신의 역할에 맞는 권한만을 사용하며, 필요 이상의 권한을 요청하지 않습니다.
이러한 내용들을 숙지함으로써 안전하고 효율적인 업무 환경을 조성할 수 있습니다. 추가로 궁금한 점이 있으면 언제든지 문의해 주세요. 도움이 되었기를 바랍니다!</t>
  </si>
  <si>
    <t>부서에서 회계과로 계약요청을 하기 위한 절차는 어떻게 되나요</t>
  </si>
  <si>
    <t>9, 10</t>
  </si>
  <si>
    <t>afd451632a534fd8bc9c101cf501257c</t>
  </si>
  <si>
    <t>부서에서 회계과로 계약요청을 하기 위해서는 다음과 같은 절차를 따르셔야 합니다.
1. **계약심사**: 먼저, 부서에서는 계약하고자 하는 사업의 규모와 내용에 따라 계약심사를 진행해야 합니다. 이는 예산의 효율적인 사용을 위해 필수적인 단계입니다.
   - **대상 금액**:
     - **종합공사**: 추정금액 5억원 이상
     - **전문공사 등**: 3억원 이상
     - **용역**: 1억원 이상
     - **물품**: 2천만원 이상
     - **예외사항**: 조달청 의뢰계약이나 협상에 의한 계약은 제외됩니다.
2. **사전규격공개**: 계약심사 후에는 입찰에 앞서 사전에 규격을 공개해야 합니다. 이는 투명성을 높이고 다양한 업체들의 참여를 유도하기 위한 것입니다.
   - **대상 금액**: 5천만원 이상의 용역 및 물품
   - **공개 방법**: G2B 시스템 및 시청 홈페이지를 통해 공개
   - **공개 기간**:
     - 일반: 5일
     - 긴급: 3일
3. **계약심의**: 계약의 적정성과 타당성을 심의합니다.
   - **대상 금액**:
     - **공사**: 추정가격 70억원 이상
     - **용역·물품**: 20억원 이상
     - **예외사항**: 긴급한 재해복구나 지역경제 활성화 목적의 사업은 제외될 수 있습니다.
4. **계약의뢰**: 위의 모든 과정을 거친 후에야 비로소 회계과에 계약을 공식적으로 요청할 수 있습니다.
   - **절차**:
     - 계약부서에 계약의뢰서를 제출합니다.
     - 이때, 관련 법령과 규정을 준수하였는지 다시 한 번 확인합니다.
따라서, 부서에서 회계과로 계약요청을 하기 위해서는 계약심사와 사전규격공개, 계약심의 등의 절차를 순서대로 완료한 후에 계약의뢰를 해야 합니다. 이 과정에서 각 단계마다 필요한 서류나 조건을 충족시켜야만 원활한 계약진행이 가능합니다. 추가적인 도움이 필요하시면 언제든지 말씀해 주세요!</t>
  </si>
  <si>
    <t>829f6a4f-671c-4d8f-b46a-8d89fdd5aef1</t>
  </si>
  <si>
    <t>인사상담은 쪽지로 담당자한테 연락하는 방법 외에는 없나요</t>
  </si>
  <si>
    <t>6182e781ba454437a3e9bbf83e694d80</t>
  </si>
  <si>
    <t>전화기 통화 녹음 하는 방법 및 매뉴얼 알려주세요</t>
  </si>
  <si>
    <t>410_2505_총무과_주요질문사항_행정전화_녹취방법.pdf</t>
  </si>
  <si>
    <t>6815591665ef469b8672ce0dcd5df699</t>
  </si>
  <si>
    <t>네, 알겠습니다! 전화기의 통화 녹음 방법은 다음과 같습니다.
**1. 통화 중 녹음 시작하기**
- **방법**: 통화 중에 '#' 키와 숫자 '1'을 함께 누릅니다. 즉, '#11'을 입력합니다.
- **설명**: 이 동작으로 녹음 기능이 활성화되며, "녹취멘트"가 나와 녹음이 시작된다는 것을 알려줍니다.
**2. 녹음 종료하기**
- **방법**: 녹음을 마치고 싶을 때 LCD 화면에 표시되는 "**회의종료**" 버튼을 누릅니다.
- **설명**: 이 버튼을 누르면 현재 진행 중인 녹음이 종료됩니다.
**참고 사항**
- 녹음된 파일은 일반적으로 전화기에 내장된 메모리나 SD 카드 등에 저장됩니다.
- 녹음된 내용은 보안 정책에 따라 관리되므로, 관련 규정을 준수해야 합니다.
- 자세한 사용법은 제공된 매뉴얼이나 사용자 가이드를 참고하시면 됩니다.
**관련 문서 및 매뉴얼**
- **파일명**: `410_2505_총무과_주요질문사항_행정전화_녹취방법.pdf`
- **내용 요약**:
  - 총무과에서 사용하는 행정전화의 녹취 방법에 대한 질문과 답변을 담고 있습니다.
  - 주요 내용은 위에서 설명한 대로 통화 중 '#11'을 눌러 녹음을 시작하고, "**회의종료**" 버튼을 눌러 녹음을 종료하는 것입니다.
**추가로 필요한 정보가 있으시면 언제든지 말씀해 주세요!** 도움이 필요하신 부분이 있다면 자세히 안내해 드리겠습니다.</t>
  </si>
  <si>
    <t>cb14a1e0-9ead-44ea-80fd-80ce3e763244</t>
  </si>
  <si>
    <t>fe7a71d6-d95f-4321-8ca5-32f4e7cc306f</t>
  </si>
  <si>
    <t>406_2505_총무과_매뉴얼_IP전화기_사용방법알카텔_전화기_사용기관.pdf</t>
  </si>
  <si>
    <t>악성민원 응대 및 대응관련 매뉴얼 알려주세요.</t>
  </si>
  <si>
    <t>431_2410_통합민원과_업무매뉴얼_행정안전부_민원인의_위법행위_및_반복민원_대응방안지침.pdf</t>
  </si>
  <si>
    <t>b489abb4f6b4410385bb601d42f291a5</t>
  </si>
  <si>
    <t>네, 알겠습니다! 악성민원 응대 및 대응에 관한 매뉴얼을 제공해 드릴게요.
**'악성민원 응대 및 대응 매뉴얼'**
---
### **1. 악성민원의 정의와 유형**
- **정의**: 악성민원은 공무원이나 공공기관 직원에게 과도한 요구나 불합리한 주장, 폭력적인 언행, 지속적인 괴롭힘 등으로 정상적인 업무 수행을 방해하는 민원을 말합니다.
- **유형**:
  - **과도한 요구**: 현실적으로 수용하기 어려운 요구사항을 지속적으로 제기함.
  - **폭력적 언행**: 욕설, 협박, 성희롱 등의 언어적·심리적 폭력.
  - **지속적 괴롭힘**: 반복적인 방문, 전화, 이메일 등으로 업무를 방해함.
  - **허위사실 유포**: 사실과 다른 정보를 퍼뜨려 명예를 훼손하거나 신뢰를 떨어뜨림.
### **2. 악성민원 대응 절차**
#### **(1) 초기 대응**
- **침착 유지**: 감정적으로 반응하지 않고 침착함을 유지합니다.
- **규칙 준수 강조**: 민원인에게 공공기관의 규칙과 절차를 다시 한 번 안내합니다.
- **문제 해결 노력**: 가능한 범위 내에서 문제를 해결하기 위해 노력합니다.
#### **(2) 중재 시도**
- **상급자나 동료 도움 요청**: 상황이 복잡하거나 위험하다고 판단되면 상급자나 동료의 지원을 받습니다.
- **전문 상담사 연결**: 전문적인 도움이 필요하다고 판단되면 상담 서비스를 제공합니다.
#### **(3) 기록 및 증거 수집**
- **일지 작성**: 모든 통화, 방문, 연락 사항을 상세히 기록합니다.
- **녹음 및 녹화**: 동의하에 통화나 대화를 녹음하거나 녹화합니다.
- **증거 보관**: 문서, 이메일, 메시지 등을 안전하게 보관합니다.
#### **(4) 법적 대응 검토**
- **법률 자문 구하기**: 법률 전문가의 조언을 받아 법적 조치를 고려합니다.
- **신고 및 고발**: 지속적이고 심각한 위법 행위가 있을 경우 경찰에 신고하거나 고소합니다.
#### **(5) 사후 관리**
- **심리 지원**: 스트레스 관리나 심리적 안정을 위한 상담을 받습니다.
- **보안 강화**: 개인정보 보호 및 안전을 위한 보안 조치를 강화합니다.
### **3. 악성민원 예방을 위한 대책**
- **사전 교육**: 정기적인 교육을 통해 악성민원 대처 방법을 숙지합니다.
- **시스템 활용**: 민원 접수 시스템을 통해 악성민원을 식별하고 관리합니다.
- **정책 개발**: 악성민원으로부터 직원들을 보호하기 위한 정책을 수립합니다.
### **4. 관련 법령 및 지침**
- **개인정보보호법**: 개인정보를 보호하며, 부적절한 정보 공유를 금지합니다.
- **정보통신망 이용촉진 및 정보보호 등에 관한 법률**: 온라인 상의 명예훼손이나 스토킹 등을 규제합니다.
- **공무집행방해죄**: 공무원의 정당한 업무 수행을 방해하는 행위는 형사처벌 대상입니다.
### **5. 실제 사례 분석**
- **사례 1**: 지속적인 협박 전화를 받는 경우
  - **대응 방법**: 통화 내역을 녹음하고, 경찰에 신고하여 법적 조치를 취합니다.
- **사례 2**: 허위 사실을 인터넷에 유포하는 경우
  - **대응 방법**: 해당 게시물을 캡쳐하여 증거로 보관하고, 사이버수사대에 의뢰합니다.
### **6. 결론**
악성민원은 개인의 정신 건강뿐만 아니라 공공서비스의 질에도 부정적인 영향을 미칩니다. 따라서 적극적인 대응과 예방이 필요합니다. 위의 매뉴얼을 참고하여 악성민원에 효과적으로 대응하시기 바랍니다.
---
**참고 자료**
- **관련 부처 웹사이트**: 구체적인 지침과 사례를 확인할 수 있습니다.
- **전문가 상담 서비스**: 심리적 어려움이 있다면 전문 상담을 받으세요.
---
더 궁금한 점이 있으시면 언제든지 물어보세요! 도와드릴 수 있어 기쁩니다.</t>
  </si>
  <si>
    <t>6f0bf363-4b88-41e8-9360-ec226e0765de</t>
  </si>
  <si>
    <t>83692ae6-788f-4597-a6fa-1cfe1cf7c12b</t>
  </si>
  <si>
    <t>7282123c-4679-475f-a839-84fabd393319</t>
  </si>
  <si>
    <t>근무시간 중 개인사정으로 연가(외출)사용 후 돌아와서 시간외근무를 하면 시간외근무가 인정이 되는지 여부가 궁금해요.</t>
  </si>
  <si>
    <t>214_2501_예산담당관_업무매뉴얼_행정안전부_지방공무원보수업무_등_처리지침.pdf</t>
  </si>
  <si>
    <t>340</t>
  </si>
  <si>
    <t>f462edbc6f3b4887876936c3f750b133</t>
  </si>
  <si>
    <t>안녕하세요! 질문하신 내용에 대해 답변드리겠습니다.
우선, 제공해주신 문서에서는 다음과 같이 언급되어 있습니다:
&gt; (3) **지각・외출 및 반일연가・공가 사용자의 시간외근무**
&gt;
&gt; - **「지방공무원 복무규정」** 제7조의7에 따른 육아시간을 사용한 공무원이 시간외근무명령을 받고 초과근무를 한 경우에는 시간외근무를 인정하며, 그 계산방법은 평일 정규 근무시간 외의 시간외근무 계산과 동일하다.
&gt;
&gt; - 또한, **근무당일 지각이나 외출 또는 반일연가・공가를 사용한 공무원이 시간외 근무명령을 받고 초과근무를 한 경우에는 시간외근무를 인정하며**, 그 계산방법은 평일 정규 근무시간 외의 시간외근무 계산과 동일하다.
이를 토대로 해석해보면, 근무 중에 개인적인 사유로 **반일 연가나 공가**를 사용하였더라도, 이후에 **시간외근무명령을 받아 초과근무를 했다면** 그 초과근무 시간은 시간외근무로 인정됩니다. 단, 여기서 중요한 점은 **'시간외근무명령을 받아야 한다'**는 것입니다. 즉, 상사의 공식적인 지시나 명령이 있어야 합니다.
또한, **전일 연가·공가**를 사용한 경우는 예외로 인정되지 않습니다. 이는 문서에서 "1일(8시간) 연가·공가 등을 사용한 자는 제외"라고 명시되어 있기 때문입니다.
따라서, 근무시간에 **개인 사정으로 반일 연가나 공가를 사용하고 나서**, 다시 복귀하여 **상사의 시간외근무명령에 따라 초과근무를 했다면**, 그 초과근무 시간은 시간외근무로 인정받을 수 있습니다.
**결론적으로**, 근무 중 반일 연가나 공가를 사용한 후에 시간외근무명령을 받아 초과근무를 한다면 시간외근무로 인정됩니다. 하지만 전일 연가나 공가를 사용한 경우에는 해당되지 않습니다.
추가적인 문의사항이 있으시면 언제든지 말씀해 주세요! 도움이 되었기를 바랍니다.</t>
  </si>
  <si>
    <t>716bd629-5cc2-486f-9b06-eb2285c40f9c</t>
  </si>
  <si>
    <t>인사랑 접속이 안될 때 해결방안은?</t>
  </si>
  <si>
    <t>bd6bb77da1e54de38117179bb3872d8e</t>
  </si>
  <si>
    <t>'인사랑' 시스템에 접속이 안 되는 경우에는 다음과 같은 조치를 시도해보세요:
1. **네트워크 연결 확인**: 먼저 인터넷이나 내부망이 원활하게 연결되어 있는지 확인해주세요.
2. **브라우저 캐시 및 쿠키 삭제**:
   - 사용하는 웹 브라우저의 캐시와 쿠키를 삭제하면 일시적인 문제로 인한 접속 오류를 해결할 수 있습니다.
   - 예를 들어, Chrome에서는 `Ctrl+Shift+Del`을 눌러 캐시와 쿠키를 삭제할 수 있습니다.
3. **브라우저 확장 프로그램 및 애드온 비활성화**:
   - 일부 확장 프로그램이나 애드온이 사이트에 접근하는 것을 방해할 수 있으므로, 이를 모두 비활성화하거나 하나씩 활성화하여 문제의 원인을 찾아보세요.
4. **다른 웹 브라우저 사용**:
   - 현재 사용 중인 브라우저 외에 다른 브라우저(예: Chrome, Firefox, Edge 등)를 사용하여 인사랑에 접속해보세요.
5. **시스템 시간 동기화**:
   - 컴퓨터의 시간이 정확하지 않으면 인증 과정에서 문제가 발생할 수 있습니다. 시스템의 시간을 정확한 시간으로 맞춰주세요.
6. **방화벽 및 보안 소프트웨어 확인**:
   - 방화벽이나 백신 프로그램이 인사랑 접속을 차단하고 있을 수 있으니, 해당 소프트웨어의 예외 목록에 인사랑 도메인을 추가하세요.
7. **액티브엑스(ActiveX) 컨트롤 설치 확인**:
   - 인사랑 접속에 필요한 액티브엑스 컨트롤이 올바르게 설치되었는지 확인하고, 필요하다면 다시 설치하세요.
8. **도메인 이름 확인**:
   - 인사랑의 URL을 정확히 입력했는지 확인하고, 오타나 잘못된 경로가 없는지 살펴보세요.
9. **관리자에게 문의**:
   - 위의 모든 조치를 취해도 문제가 지속된다면, 인사랑 관리자나 IT 지원 부서에 연락하여 상세한 지원을 받으세요.
이러한 단계를 따라 문제를 해결하실 수 있기를 바랍니다. 추가로 도움이 필요하시면 언제든지 말씀해 주세요!</t>
  </si>
  <si>
    <t>용역 계약 절차가 어떻게 되나요</t>
  </si>
  <si>
    <t>478_2505_회계재산담당관_업무매뉴얼_회계재산담당관_계약업무_참고자료회계재산담당관외부용.pdf
 473_2411_회계재산담당관_업무매뉴얼_한국지방재정공제회_2024년_개정판_용역계약_길라잡이한국지방재정공제회.pdf</t>
  </si>
  <si>
    <t>9, 10
 14</t>
  </si>
  <si>
    <t>cb2d93469a2644ada6b4920479113b45</t>
  </si>
  <si>
    <t>부산광역시의 용역 계약 절차는 다음과 같습니다:
1. **계약심사**: 추정가격이 일정 금액 이상인 용역에 대해 계약심사를 진행합니다.
2. **사전규격공개**: 추정가격 5천만원 이상의 용역에 대해 사전에 규격을 공개하며, 이는 G2B와 시 홈페이지를 통해 5일간 이루어집니다(긴급한 경우에는 3일).
3. **계약심의**: 광역지자체 차원에서 추정가격이 일정 금액 이상인 용역에 대해 계약심의를 실시합니다.
4. **계약의뢰**: 사업 부서에서 계약부서에 계약을 의뢰합니다.
5. **일상감사**: 추정가격이 일정 금액 이상인 용역에 대해 일상감사를 받습니다.
6. **입찰공고**: 지정정보처리장치(G2B)와 시 홈페이지를 통해 입찰공고를 합니다. 용역의 경우 입찰서 제출 마감일 전일부터 기산하여 7일간 공고됩니다(긴급하거나 재공고의 경우 5일).
7. **입찰 및 적격심사**: 계약부서에서 입찰 절차를 진행하고 적격심사를 실시합니다.
8. **계약체결**: 최종적으로 계약부서에서 계약을 체결합니다.
이러한 절차를 거쳐 용역 계약이 완료되며, 각 단계마다 관련 법령과 지침을 준수해야 합니다. 자세한 내용은 제공된 매뉴얼 페이지 9를 참고하시면 됩니다. 추가적인 질문이나 도움이 필요하시면 언제든지 말씀해 주세요!</t>
  </si>
  <si>
    <t>시 청사 내 편의시설 정보 상세히 안내해주세요</t>
  </si>
  <si>
    <t>408_2505_총무과_주요질문사항_시청사_층별_안내.pdf</t>
  </si>
  <si>
    <t>1, 2</t>
  </si>
  <si>
    <t>0ba311b49cd74ddeaad1d6f53bb63f17</t>
  </si>
  <si>
    <t>시청사 내에 위치한 주요 편의시설을 자세히 안내해 드리겠습니다.
### **26층**
- **시민안전실**: 안전정책과, 사회재난과, 자연재난과, 원자력안전과, 재난상황실, 민방위경보통제소, 시정사진실, 당직실 등이 위치해 있습니다.
- **도시혁신균형실**: 도시재생과, 균형발전과, 도시균형재정립과 등이 있으며, 도시의 균형 발전과 혁신을 담당하는 부서들입니다.
- **시민건강국**: 건강정책과, 보건위생과, 감염병관리과 등 시민들의 건강을 책임지는 부서들이 있습니다.
- **특별사법경찰과**: 특별사법경찰 업무를 수행하는 과입니다.
- **국회협력관**: 국회와의 협력을 위한 공간입니다.
- **AED(자동 심장충격기)**: 응급 상황에 대비한 자동 제세동기 설치 장소입니다.
- **건설행정과**: 건설 관련 행정을 담당하는 과입니다.
- **감염병관리지원단**: 감염병 관리와 지원을 위한 단체입니다.
- **부산.후쿠오카경제협력사무소**: 부산과 후쿠오카 간 경제 협력을 위한 사무소입니다.
- **회의실**: 다양한 회의를 진행할 수 있는 공간입니다.
- **직원취미클럽**: 직원들이 취미를 즐길 수 있는 클럽 활동 공간입니다.
- **체력단련실**: 직원들의 건강 증진을 위한 운동 시설입니다.
### **25층**
- **시민안전실**: 동일한 부서들이 위치해 있습니다.
- **도시혁신균형실** 및 **푸른도시국**: 도시 계획과 녹지 조성을 담당하는 부서들입니다.
- **특별사법경찰과**, **국회협력관**, **AED(자동 심장충격기)** 등은 동일하게 배치되어 있습니다.
- **건설행정과**, **감염병관리지원단**, **부산.후쿠오카경제협력사무소**, **회의실**, **직원취미클럽**, **체력단련실** 등도 마찬가지로 위치해 있습니다.
### **24층**
- **도시혁신균형실** 및 **주택건축국**: 도시 개발과 주택 정책을 담당하는 부서들입니다.
- **특별사법경찰과**, **국회협력관**, **AED(자동 심장충격기)** 등의 시설이 있습니다.
- **건설행정과**, **감염병관리지원단**, **부산.후쿠오카경제협력사무소**, **회의실**, **직원취미클럽**, **체력단련실** 등이 위치해 있습니다.
- **부산공무원노동조합**: 노동 조합 활동을 지원하는 공간입니다.
### **23층**
- **감사위원회**: 시정의 감사를 담당하는 기관입니다.
- **관광마이스국**: 관광 및 마이스(MICE) 산업을 육성하는 부서입니다.
- **도시혁신균형실** 및 **주택건축국**의 부서들이 위치해 있습니다.
- **특별사법경찰과**, **국회협력관**, **AED(자동 심장충격기)** 등이 있습니다.
- **건설행정과**, **감염병관리지원단**, **부산.후쿠오카경제협력사무소**, **회의실**, **직원취미클럽**, **체력단련실** 등이 위치해 있습니다.
### **22층**
- **환경물정책실**: 환경 보호와 물 관리를 담당하는 부서들입니다.
- **특별사법경찰과**, **국회협력관**, **AED(자동 심장충격기)** 등이 있습니다.
- **건설행정과**, **감염병관리지원단**, **부산.후쿠오카경제협력사무소**, **회의실**, **직원취미클럽**, **체력단련실** 등이 위치해 있습니다.
- **교육개혁지원관(지산학협력과)**: 교육 개혁과 산학 협력 업무를 담당하는 곳입니다.
### **21층**
- **청년산학국**: 청년 지원과 산학 협력을 담당하는 부서입니다.
- **관광마이스국**: 앞서 언급한 대로 관광 및 MICE 산업을 육성합니다.
- **디지털경제실**: 디지털 경제 발전을 위한 부서입니다.
- **미래기술전략국**: 미래 기술과 전략 수립을 담당합니다.
- **특별사법경찰과**, **국회협력관**, **AED(자동 심장충격기)** 등이 있습니다.
- **건설행정과**, **감염병관리지원단**, **부산.후쿠오카경제협력사무소**, **회의실**, **직원취미클럽**, **체력단련실** 등이 위치해 있습니다.
- **소비생활센터(경제정책과)**: 소비자 권익 보호를 위한 센터입니다.
### **20층**
- **도시공간계획국**: 도시 공간 계획을 담당하는 부서입니다.
- **미래기술전략국**: 앞서 언급한 대로 미래 기술과 전략을 담당합니다.
- **특별사법경찰과**, **국회협력관**, **AED(자동 심장충격기)** 등이 있습니다.
- **건설행정과**, **감염병관리지원단**, **부산.후쿠오카경제협력사무소**, **회의실**, **직원취미클럽**, **체력단련실** 등이 위치해 있습니다.
### **19층**
- **문화국**: 문화 예술 정책을 담당하는 부서입니다.
- **여성가족국**: 여성의 권익 향상과 가족 복지를 담당합니다.
- **시민안전실**: 안전 관련 부서들이 위치해 있습니다.
- **특별사법경찰과**, **국회협력관**, **AED(자동 심장충격기)** 등이 있습니다.
- **건설행정과**, **감염병관리지원단**, **부산.후쿠오카경제협력사무소**, **회의실**, **직원취미클럽**, **체력단련실** 등이 위치해 있습니다.
- **항측장비실(토지정보과)**: 항공 측량 장비를 관리하는 공간입니다.
### **18층**
- **해양농수산국**: 해양 자원의 이용과 농어업 발전을 담당합니다.
- **미래디자인본부**: 도시의 미적 가치 향상을 위한 부서입니다.
- **특별사법경찰과**, **국회협력관**, **AED(자동 심장충격기)** 등이 있습니다.
- **건설행정과**, **감염병관리지원단**, **부산.후쿠오카경제협력사무소**, **회의실**, **직원취미클럽**, **체력단련실** 등이 위치해 있습니다.
### **17층**
- **디지털경제실**: 디지털 경제 발전을 위한 부서입니다.
- **금융창업정책관**: 금융 산업 육성과 창업을 지원하는 부서입니다.
- **특별사법경찰과**, **국회협력관**, **AED(자동 심장충격기)** 등이 있습니다.
- **건설행정과**, **감염병관리지원단**, **부산.후쿠오카경제협력사무소**, **회의실**, **직원취미클럽**, **체력단련실** 등이 위치해 있습니다.
- **모성쉼터**: 임산부를 위한 휴식 공간입니다.
### **16층**
- **행정자치국**: 행정 전반을 담당하는 부서입니다.
- **교통혁신국**: 교통 혁신과 개선을 담당합니다.
- **신공항추진본부**: 신공항 추진을 위한 부서입니다.
- **도시혁신균형실**: 도시 균형 발전을 위한 부서입니다.
- **특별사법경찰과**, **국회협력관**, **AED(자동 심장충격기)** 등이 있습니다.
- **건설행정과**, **감염병관리지원단**, **부산.후쿠오카경제협력사무소**, **회의실**, **직원취미클럽**, **체력단련실** 등이 위치해 있습니다.
- **스마트워크센터(정보화정책과)**: 원격 근무나 재택 근무를 지원하는 공간입니다.
### **15층**
- **시민안전실**: 안전 관련 부서들이 위치해 있습니다.
- **특별사법경찰과**, **국회협력관**, **AED(자동 심장충격기)** 등이 있습니다.
- **건설행정과**, **감염병관리지원단**, **부산.후쿠오카경제협력사무소**, **회의실**, **직원취미클럽**, **체력단련실** 등이 위치해 있습니다.
### **14층**
- **시민건강국**: 시민들의 건강을 책임지는 부서들입니다.
- **사회복지국**: 사회적 약자를 지원하고 복지 정책을 수립하는 부서입니다.
- **특별사법경찰과**, **국회협력관**, **AED(자동 심장충격기)** 등이 있습니다.
- **건설행정과**, **감염병관리지원단**, **부산.후쿠오카경제협력사무소**, **회의실**, **직원취미클럽**, **체력단련실** 등이 위치해 있습니다.
### **13층**
- **특별사법경찰과**, **국회협력관**, **AED(자동 심장충격기)** 등이 있습니다.
- **건설행정과**, **감염병관리지원단**, **부산.후쿠오카경제협력사무소**, **회의실**, **직원취미클럽**, **체력단련실** 등이 위치해 있습니다.
### **12층**
- **특별사법경찰과**, **국회협력관**, **AED(자동 심장충격기)** 등이 있습니다.
- **건설행정과**, **감염병관리지원단**, **부산.후쿠오카경제협력사무소**, **회의실**, **직원취미클럽**, **체력단련실** 등이 위치해 있습니다.
- **국제회의장**: 국제적인 회의나 세미나를 개최할 수 있는 공간입니다.
- **소회의실 (1)/(2)**: 소규모 회의를 위한 방입니다.
### **11층 ~ 12층**
- **기획조정실**: 시의 전반적인 기획과 조정을 담당하는 부서입니다.
- **예산담당관**: 예산 편성 및 집행을 담당합니다.
- **공공기관담당관**: 공공기관의 운영과 관리를 담당합니다.
- **재정협력담당관**: 재정 협력 업무를 처리합니다.
- **세정정책담당관**: 세금 정책을 수립합니다.
- **세정운영담당관**: 세금의 징수와 운영을 담당합니다.
- **회계재산담당관**: 회계와 재산 관리를 담당합니다.
- **국제관계대사**: 국제 관계 업무를 담당합니다.
- **시사편찬실**: 시의 역사와 관련된 자료를 편찬합니다.
### **10층**
- **행정자치국**: 행정 전반을 담당하는 부서입니다.
- **기획관**: 기획 업무를 총괄합니다.
- **총무과**: 행정 지원 업무를 담당합니다.
- **인사과**: 인사와 관련된 업무를 처리합니다.
- **조직담당관**: 조직 개편과 인력 배치를 담당합니다.
- **15분도시기획과**: 15분 도시 구현을 위한 기획 부서입니다.
- **스마트워크센터(정보화정책과)**: 원격 근무를 지원하는 공간입니다.
### **9층**
- **대변인**: 시의 대변인 역할을 합니다.
- **홍보담당관**: 홍보 전략을 수립합니다.
- **공보담당관**: 공식 보도 자료 배포를 담당합니다.
- **미디어담당관**: 미디어 대응 업무를 처리합니다.
- **기자회견장/ 기자실**: 언론과의 소통을 위한 공간입니다.
- **법무담당관**: 법률 자문과 법무 업무를 담당합니다.
### **8층**
- **정무특보/ 정책수석보좌관/ 정무기획보좌관/ 홍보기획보좌관/ 정책협렵보좌관**: 시장 보좌를 위한 특별 보좌관들과 보좌관들이 위치해 있습니다.
- **시민소통보좌관/ 메시지기획보좌관/ 정책기획보좌관**: 시민들과의 소통과 메시지를 담당합니다.
- **총무과(대외협력팀)**: 대외 협력 업무를 담당합니다.
- **기획관**: 기획 업무를 총괄합니다.
- **기획담당관**: 세부 기획을 담당합니다.
- **조직담당관**: 조직 개편과 인력 배치를 담당합니다.
- **모성쉼터**: 임산부를 위한 휴식 공간입니다.
### **7층**
- **시장**: 시장의 집무실이 위치해 있습니다.
- **행정부시장/ 미래혁신부시장**: 시장을 보좌하는 부시장들의 집무실입니다.
- **기획조정실장**: 기획 조정 업무를 총괄하는 실장의 집무실입니다.
- **비서실**: 비서와 관련된 업무를 처리합니다.
### **6층**
- **총무과(행정통신. 종합통신센터)**: 행정 통신과 종합 통신 서비스를 제공합니다.
- **정보화정책과**: 정보화 정책 수립을 담당합니다.
- **빅데이터과**: 빅데이터 분석을 통한 정책 지원을 합니다.
- **통계분석실/ 통계분석작업장**: 통계를 분석하고 작업하는 공간입니다.
- **부산정보고속도로망운영센터**: 고속 데이터 전송망을 운영하는 센터입니다.
- **AED(자동 심장충격기, 6층 쉼터 옆)**: 응급 상황을 대비한 장비입니다.
- **정보화교육장**: 정보화 교육을 실시하는 공간입니다.
- **정보시스템유지보수실**: 정보 시스템의 유지 보수 작업을 합니다.
- **영상제작실**: 영상을 제작하는 스튜디오입니다.
- **하늘마당**: 휴식을 취할 수 있는 야외 공간입니다.
- **체육국**: 체육 관련 정책을 담당하는 부서입니다.
- **전국체전기획단**: 전국 체전을 준비하는 팀입니다.
- **부산광역시공무직노동조합**: 공무직 근로자들의 노조입니다.
- **직원공제회**: 직원들을 위한 공제 제도 운영 기관입니다.
- **열린도서관**: 직원들이 이용할 수 있는 도서관입니다</t>
  </si>
  <si>
    <t>19edb76f-cf52-4db4-8561-dcc9f72c43d7</t>
  </si>
  <si>
    <t>fc70c621-cb5c-4475-a402-5e8d63e3aae2</t>
  </si>
  <si>
    <t>시 본청 당직시 주의사항에 대해서 알려줘</t>
  </si>
  <si>
    <t>306_2504_인사과_업무매뉴얼_인사과_당직원근무자료.pdf</t>
  </si>
  <si>
    <t>a70ad38d6d6047208c197628fb8269b7</t>
  </si>
  <si>
    <t>시 본청 당직 시에는 다음과 같은 사항들을 주의해야 합니다:
1. **당직근무 시간 준수**:  
   - **숙직**은 오후 6시부터 다음날 오전 9시까지이며, **일직**은 오전 9시부터 오후 6시까지입니다.
2. **평상시 업무 수행**:  
   - 청사 내외의 방범, 방호, 방화 및 보안 상태를 정기적으로 순찰하고 점검합니다.
   - 청원경찰과 정규 근무 시간 외 근무자들의 복무를 확인하고 감독합니다.
   - 산하기관의 당직 상황을 확인하고 지도합니다.
   - 문서 수발, 인계 등의 업무를 처리하며, 당직 민원 사항을 적절히 처리합니다.
3. **비상시 대응**:  
   - 긴급 사태 발생 시 즉시 상급자나 관련 부서에 보고하고 신속하게 대처합니다.
   - 특히, 청사 내에서 화재와 같은 비상 상황이 발생할 경우 즉각적인 조치를 취합니다.
   - 재난상황실에서 관리하는 자연재난이나 사회재난의 동향을 파악하고 필요한 경우 보고합니다.
4. **당직차량 운행 관련**:  
   - 차량 열쇠는 인사과 인사평가팀(지하 2층 주차장)에서 수령합니다.
   - 운행 후에는 운행일지를 작성하여 당직실에 비치된 양식에 따라 기록합니다.
   - 운행일지는 근무 종료 후 당직실 열쇠를 반납할 때 함께 제출하거나 인사과에 제출합니다.
5. **당직보고 절차**:  
   - 행정안전부에 대한 당직보고는 '온나라 온행정지원시스템'을 통해 온라인으로 진행됩니다.
   - 이전의 유선 보고나 영상회의 보고 제도는 폐지되었으므로 새로운 시스템을 사용해야 합니다.
   - 당직자는 자신의 온나라시스템 개인 아이디로 로그인한 뒤, '온나라 지식' 메뉴에서 '행정지원' 섹션의 '당직근무' 기능을 이용하여 보고합니다.
   - 자세한 절차는 제공된 매뉴얼을 참조하면 됩니다.
위의 사항들을 철저히 준수함으로써 당직 근무 중 발생할 수 있는 문제를 예방하고 원활한 업무 수행이 가능합니다. 추가적인 문의 사항이 있으시면 언제든지 말씀해 주세요.</t>
  </si>
  <si>
    <t>4e0e7987-21d5-4a0e-b4c0-416d3ff5e1fb</t>
  </si>
  <si>
    <t>시 본청 주차장 승용차 요일제에 대해서 알려줘</t>
  </si>
  <si>
    <t>409_2505_총무과_주요질문사항_직원주차장_이용_안내.pdf</t>
  </si>
  <si>
    <t>82bb9d8f26874493a8b2f19c5e7dc95e</t>
  </si>
  <si>
    <t>부산시청의 본청 주차장은 승용차 요일제를 운영하고 있습니다. 이는 환경 보호와 교통 혼잡 완화를 위해 직원들이 자발적으로 참여하는 제도입니다.
**요일제 참여 대상자**
- **경차, 수소차, 하이브리드 전기차**: 친환경 차량으로 분류되어 요일제 적용이 면제됩니다.
- **장애인, 국가유공자**: 본인 소유의 차량에 한해 요일제 적용이 면제되며, 관련 증빙 서류를 제출해야 합니다.
- **유아 동승 차량**: 재원 증명서와 주민등록등본을 제출하여 요일제 적용을 면제받을 수 있으며, 해당 유아가 초등학교에 입학하면 자동으로 혜택이 종료됩니다.
**요일제 참여 방법**
- 직원들은 자신의 차량에 대해 **승용차 요일제 1일**과 **선택 요일 1일**을 지정하여 총 2일을 등록해야 합니다.
- **승용차 요일제 1일**은 시청 교통혁신과, 구청 또는 행정복지센터를 방문하여 신청할 수 있습니다.
- **선택 요일 1일**은 본인이 원하는 날을 선택할 수 있으며, 이를 합쳐 총 2일의 요일을 지정합니다.
**차량 등록 절차**
- 차량 등록을 위해서는 "직원정기권 등록 신청서"를 작성하여 각 부서별로 취합한 뒤 공문으로 신청해야 합니다.
- 차량 해지 역시 동일한 절차를 거쳐야 하며, 공문을 통해 신청합니다.
**주의 사항**
- 정기권 등록 후 4년이 경과한 차량은 만료일 30일 전부터 주차장 출입구에 "기간만료 00일 전"이라는 안내가 표시됩니다.
- 이때 재등록 신청을 하지 않으면 일반 요금이 부과되며, 일일 최대 8,000원의 비용이 발생할 수 있으므로 주의가 필요합니다.
**주차장 이용 시간**
- 시청 본청 주차장은 연중무휴로 24시간 운영되고 있어 언제든지 이용할 수 있습니다.
이러한 제도를 통해 부산시는 직원들의 편의를 도모하면서도 환경 친화적인 교통 문화를 조성하고자 노력하고 있습니다. 자세한 사항은 시청 총무과나 교통혁신과에 문의하시면 더욱 상세한 안내를 받으실 수 있습니다.</t>
  </si>
  <si>
    <t>589bb7c6-2204-440a-bfdc-10544ac70a4b</t>
  </si>
  <si>
    <t>사무관리비로 선풍기를 구입할 수 있나요?</t>
  </si>
  <si>
    <t>101, 102</t>
  </si>
  <si>
    <t>36dbfb135467476e8c06518a43c7adbb</t>
  </si>
  <si>
    <t>네, 사무관리비로 선풍기를 구입할 수 있습니다. 그러나 그 구입 목적과 대상에 따라 예산 편성 목이 달라질 수 있으므로 정확한 판단을 위해 자세한 상황을 알려주시면 더 정확한 답변을 드릴 수 있습니다.
**일반적인 경우를 살펴보면:**
1. **재물조사 대상이 아닌 소모성 물품**: 재물조사 대상이 아니며 자산으로 등록되지 않는 소모성 물품은 사무관리비로 구입 가능합니다. 예를 들어, 개인용 컴퓨터, 프린터, 전화기 등은 자산취득비로 구입하지만, 소모성 사무용품이나 소형 가전제품은 사무관리비로 처리됩니다.
2. **선풍기의 경우**:
   - 만약 여러 부서가 공동으로 사용하는 대형 선풍기나 냉방 장치를 구입한다면 이는 **공공운영비**로 분류될 수 있으며, 이 경우에는 별도의 예산 편성 목을 사용하게 됩니다.
   - 반면에 각 부서에서 개별적으로 사용하는 소형 선풍기는 **사무관리비**로 구입할 수 있습니다.
**주의사항**:
- **자산취득비와의 구분**: 고가의 장비나 주요 설비는 자산취득비로 구입하며, 이는 감가상각 대상으로 관리됩니다.
- **예산 편성 지침 확인**: 구체적인 예산 편성 지침이나 내부 규정을 확인하여 해당 품목이 어떤 예산 목에 해당하는지 정확히 파악하는 것이 중요합니다.
- **회계 원칙 준수**: 모든 지출은 관련 회계 규칙과 지침을 준수하여야 하며, 임의로 예산을 전용하거나 부적절하게 사용하면 안 됩니다.
**추가 정보 제공**:
- **예산 편성 목**:
  - **사무관리비**: 일반적인 사무용품, 소모품, 소규모 수리비 등이 포함됩니다.
  - **공공운영비**: 건물 유지보수, 설비 운영, 에너지 비용 등이 포함되며, 주로 공공시설을 운영하는 데 필요한 비용이 해당됩니다.
  - **자산취득비**: 고정자산 구매를 위한 비용으로, 차량, 건물, 기계장비 등이 이에 해당합니다.
**결론적으로**, 선풍기가 재물조사 대상이 아니고 소모성 물품이며, 부서 내에서 일반적으로 사용되는 사무용품이라면 사무관리비로 구입이 가능합니다. 하지만 정확한 판단을 위해서는 해당 품목의 특성, 사용 목적, 규모 등을 고려해야 합니다. 추가적인 도움이 필요하시면 언제든지 말씀해 주세요!</t>
  </si>
  <si>
    <t>490f7c93-6b04-4f46-aa86-63b1245ce387</t>
  </si>
  <si>
    <t>104095f2-c245-46dd-81c5-94df703f7c01</t>
  </si>
  <si>
    <t>보도자료가 배포되는 과정에 대해서 알고싶어요</t>
  </si>
  <si>
    <t>788d37f108914dd3a4db1518e1a448e0</t>
  </si>
  <si>
    <t>네, 보도자료의 배포 과정은 다음과 같습니다:
1. **배포 D-7~10**: 보도지원팀은 각 부서로부터 배포 예정 보도자료 목록을 취합합니다.
2. **배포 D-3**: 담당 부서는 보도자료 초안을 작성하여 보도지원팀 담당자에게 제출합니다. 이때 참고할 수 있는 자료는 공식 홈페이지에서 확인할 수 있습니다.
3. **배포 D-2~1**: 보도지원팀은 보도자료를 최종 확정하기 위해 검토본을 작성하고 회신을 받아 부서별로 확인합니다.
4. **배포 D-Day**:
   - **배포 시간**: 월요일부터 금요일 사이의 오전 7시에 시 보도자료를 언론사에 일괄 배포합니다. 이메일이나 홈페이지 게시 등을 통해 이루어집니다.
   - **비정기 배포**: 만약 정기 배포 시간이 아닌 경우, 사전에 보도지원팀 담당자와 협의해야 합니다.
   - **보도 진행**:
     - 인터넷 언론: 배포 주간 내에 보도됩니다.
     - 방송사: 배포일의 저녁 또는 다음 날 아침에 보도됩니다.
     - 신문 지면: 배포일 익일 조간에 보도됩니다.
이러한 과정을 통해 보도자료가 체계적으로 준비되고 배포되어 시민들에게 정확하고 신속한 정보를 전달하게 됩니다. 추가적인 질문이나 궁금한 점이 있으시면 언제든지 말씀해 주세요!</t>
  </si>
  <si>
    <t>25fe7112-aebb-4936-9797-201972ea154c</t>
  </si>
  <si>
    <t>311_2410_자연재난과_업무매뉴얼_자연재난과_부산시_풍수해_재난_현장조치_행동매뉴얼2410.pdf</t>
  </si>
  <si>
    <t>64c9d793-2c4d-4998-8e21-05ddb02cd635</t>
  </si>
  <si>
    <t>1193_압축4_2023_부천시_안전한국훈련_통합훈련시나리오식용수분야.pdf</t>
  </si>
  <si>
    <t>현재 비어있는 시청 내 회의실은 어디가 있나요?</t>
  </si>
  <si>
    <t>118259e6cac14598b861dea64da54e38</t>
  </si>
  <si>
    <t>시청 내 현재 사용 가능한 회의실을 확인하려면 다음 절차를 따라야 합니다:
1. **행정포털 접속**: 먼저, 부산시 내부망인 행정포털에 로그인합니다.
2. **개인서비스 메뉴 선택**: 메인 화면에서 '개인서비스' 메뉴를 클릭합니다.
3. **회의실 예약 시스템 접근**: '개인서비스' 메뉴 내에서 '회의실' 또는 '회의장 예약' 옵션을 찾아 클릭합니다.
4. **검색 조건 설정**:
   - **날짜 및 시간 입력**: 원하는 날짜와 시간을 선택합니다.
   - **회의실 종류 선택**: 필요에 따라 특정 용도의 회의실을 선택할 수 있습니다.
   - **인원 수 지정**: 참석 인원에 맞는 적절한 크기의 회의실을 검색할 수 있도록 인원을 입력합니다.
5. **검색 실행**: 위의 조건을 모두 입력한 후 '검색' 버튼을 눌러 가용한 회의실을 조회합니다.
6. **결과 확인**: 검색 결과에서 현재 비어 있고 예약 가능한 회의실의 목록이 표시됩니다. 각 회의실의 위치, 수용 인원 등의 상세 정보를 확인할 수 있습니다.
7. **예약 진행**: 원하는 회의실을 선택하여 예약을 완료합니다. 이 때 필요한 추가 정보나 첨부 파일이 있을 경우 요구 사항에 맞게 제출해야 합니다.
**참고 사항**:
- 회의실 예약은 선착순이며, 이미 다른 부서나 개인이 예약한 경우에는 이용이 불가능하므로 미리 확인하는 것이 좋습니다.
- 긴급하게 회의실이 필요할 경우, 시설관리 담당 부서에 직접 문의하여 임시로 사용할 수 있는 공간을 요청할 수도 있습니다.
- 회의실 사용 후에는 반드시 정리 정돈을 하고, 장비나 시설을 원상태로 복구하여야 합니다.
위의 절차를 통해 현재 비어있는 시청 내 회의실을 확인하고 예약하실 수 있습니다. 추가로 도움이 필요하시면 언제든지 말씀해 주세요.</t>
  </si>
  <si>
    <t>2024년과 2025년에 변경되는 주요 복지정책은 무엇이 있나요</t>
  </si>
  <si>
    <t>290_2501_인사과_기타_인사과_2025년도_부산광역시_맞춤형복지제도_운영계획.pdf</t>
  </si>
  <si>
    <t>ba340773d5c3415fab8d8c6b17c6752b</t>
  </si>
  <si>
    <t>2024년과 2025년에 부산광역시의 맞춤형 복지제도에서 변경되는 주요 복지정책은 다음과 같습니다.
**2025년도 변경 사항**
1. **복지포인트 인상**
   - 기본 포인트를 1,012P에서 **1,050P**로 인상하였습니다.
   - 이는 공무원의 복지를 향상시키고자 하는 목적입니다.
2. **육아시간 등 사용 업무대행자에 대한 포인트 제공**
   - 육아휴직이나 육아시간 등을 사용하는 경우, 그 기간 동안 업무를 대행하는 직원에게 시간당 **1P**의 포인트를 제공합니다.
   - 이를 통해 업무 대행자의 부담을 경감하고자 합니다.
3. **지역화폐 동백전 의무 배정**
   - 중소상공인 지원 및 지역경제 활성화를 위해 **지역화폐(동백전)** 사용을 의무적으로 배정하였습니다.
   - 대상자는 5급 이상 직원은 **500P**, 6급 이하 직원은 **200P**를 배정받습니다.
   - 이 조치는 한시적으로 적용됩니다.
**단체보장보험 변경 사항**
1. **치아 치료비 보장 확대**
   - 치아 치료비에 대해 **임플란트, 브릿지, 틀니를 통합하여 최대 3개까지**, 각 항목당 **30만 원**을 지급합니다.
   - 이는 공무원의 의료비 부담을 줄이기 위한 조치입니다.
2. **폭행피해 위로금 신설**
   - 폭행 피해를 입은 경우 **100만 원**의 위로금을 지급합니다.
   - 특히 악성 민원 처리나 구조·구급 활동 등 공무 수행 중 발생한 피해도 포함됩니다.
3. **피싱금융사기 보상 범위 확대**
   - 피싱금융사기로 인한 손실에 대해 본인뿐만 아니라 **자녀까지 포함하여 최대 500만 원** 한도로 보상을 제공합니다.
   - 이는 금융 사기로부터 공무원과 가족을 보호하기 위한 것입니다.
이러한 변경 사항은 공무원의 복지 향상과 안전한 근무 환경 조성을 목표로 하고 있습니다. 추가적인 정보나 구체적인 내용이 필요하시면 언제든지 말씀해 주세요.</t>
  </si>
  <si>
    <t>190ac134-9d73-4da2-86b8-0e4e1052c236</t>
  </si>
  <si>
    <t>장기재직휴가 기준 및 사용방법</t>
  </si>
  <si>
    <t>2, 3, 4</t>
  </si>
  <si>
    <t>52edebaefc0b4e99a88d8470eb164a28</t>
  </si>
  <si>
    <t>장기재직휴가는 부산광역시 공무원 중에서 5년 이상 근무한 공무원을 대상으로 하며, 재직기간에 따라 다음과 같이 휴가 일수를 부여받습니다:
- **5년 ~ 9년**: 5일
- **10년 ~ 19년**: 10일
- **20년 ~ 29년**: 25일
- **30년 이상**: 25일
**사용 방법**은 다음과 같습니다:
1. **부서장의 승인 필요**: 휴가를 사용하기 위해서는 먼저 부서장의 승인을 받아야 합니다. 과장급 이상의 경우에는 직상위 부서장의 추가 승인이 필요할 수 있습니다.
2. **최소 2일 이상 분할 사용 가능**: 휴가 기간은 최소 2일 이상으로 분할하여 사용할 수 있으며, 최대 일수는 각 재직기간에 해당하는 총 휴가 일수 내에서 가능합니다.
   예를 들어, 10일의 휴가를 가진 경우:
   - 3일씩 두 번 사용하여 6일을 사용하거나,
   - 2일씩 다섯 번 사용하여 10일을 모두 사용할 수 있습니다.
3. **토요일, 일요일 및 공휴일 제외**: 휴가 기간에 토요일, 일요일 및 공휴일은 포함되지 않습니다.
4. **부서 현원의 1/3 이내로 대상자 선정**: 부서에서는 전체 인원의 1/3 이내에서 휴가 대상자를 선정해야 합니다.
5. **연가와의 연계 사용 권장**: 장기간 휴가를 사용하는 경우 연가와 연계하여 사용할 것을 권장하며, 이 경우에도 부서장의 승인이 필요합니다.
6. **업무 대행자 지정 필수**: 장기간 휴가를 사용하는 동안 업무 공백을 방지하기 위해 업무 대행자를 지정하여야 합니다. 이때, 업무 대행자들 간에 동시에 휴가를 사용하는 것은 금지됩니다.
7. **주요 업무 일정 고려**: 국정감사, 행정사무감사, 부서 주요 업무 추진 기간이나 국가적 재난 상황 등 중요한 시기에는 휴가 사용을 자제해야 합니다.
8. **비상 연락망 구축**: 장기간 휴가 중에는 긴급 상황에 대비하여 비상 연락망을 유지하고 있어야 합니다.
또한, **재직기간 산정은 공무원연금공단의 퇴직급여 재직기간(연월수로 계산)**을 따르며, 이는 임용일부터 퇴직일까지의 기간을 의미합니다. 정확한 재직기간 확인을 위해서는 공무원연금공단 홈페이지를 통해 확인할 수 있습니다.
이러한 지침들은 공무원들의 사기를 진작시키고 업무 효율성을 높이기 위한 것으로, 부서장과 개인의 협의를 통해 원활하게 운영되어야 합니다. 만약 더 자세한 사항이나 개인적인 문의가 있다면 인사과에 직접 문의하시는 것이 좋습니다. 도움이 되셨길 바랍니다!</t>
  </si>
  <si>
    <t>DRM 암호 초기화 방법</t>
  </si>
  <si>
    <t>6edf8c3640da4987b7d31457a882aa68</t>
  </si>
  <si>
    <t>네, DRM 암호를 초기화하는 방법을 알려드리겠습니다.
**1. 부서관리자 사이트에 접속하기**
- **주소**: `http://99.1.81.71:9080/fed5`
- **접속 대상**: 부서관리자 권한을 가진 사용자만 가능합니다.
- **로그인 정보**: 자료유출방지시스템의 아이디(ID)와 비밀번호(PW)를 사용하여 로그인합니다.
**2. 조직관리 메뉴 접근하기**
- 로그인 후 상단의 메뉴에서 `[공통설정 &gt; 조직관리]`를 클릭합니다.
**3. 수정할 사용자를 선택하기**
- 좌측에 표시되는 부서 목록 중 원하는 부서를 선택합니다.
- 해당 부서 내의 사용자 목록에서 수정하고자 하는 사용자를 선택합니다.
- 우측 상단에 있는 `[수정]` 버튼을 클릭합니다.
**4. 비밀번호 초기화 설정하기**
- 나타나는 화면에서 초기화 비밀번호 `(a12345)`를 입력합니다.
- 우측 상단의 `[확인]` 버튼을 눌러 변경 사항을 적용합니다.
- **주의사항**: 비번 초기화 후에는 사용자가 새로운 비밀번호로 변경해야 로그인이 가능합니다.
이렇게 하면 DRM 암호가 초기화되어 사용자가 새 비밀번호로 재설정할 수 있게 됩니다. 추가로 도움이 필요하시면 언제든지 말씀해 주세요!</t>
  </si>
  <si>
    <t>전자서명신청 방법</t>
  </si>
  <si>
    <t>1228_2511_부산광역시_업무매뉴얼_부산광역시_행정전자서명GPKI_발급_갱신_이동_안내.pdf</t>
  </si>
  <si>
    <t>b371be7fa9634d58a86369e379a034d7</t>
  </si>
  <si>
    <t>행정정보공동이용 권한 신청 방법</t>
  </si>
  <si>
    <t>1261_행정정보공동이용_권한관리_매뉴얼_250101.pdf</t>
  </si>
  <si>
    <t>c7b43a999d2041c993f5251a559045f2</t>
  </si>
  <si>
    <t>행정정보공동이용 시스템의 권한 신청을 위해서는 다음과 같은 절차를 따르셔야 합니다.
**1. 부서장 변경 시**
- **분임공동이용관리자 신청 공문 발송**
  - **공문 수신처**: 통합민원과(공동이용관리자)
  - **보안서약서**: e하나로민원을 통해 온라인 서약으로 대체 가능합니다.
**2. 서무 변경 시**
- **분임공동이용관리자가 업무보조자 지정**
  - **내부결재 획득**: `행정정보공동이용 접근권한 신청서`를 사용하여 내부결재를 받습니다.
  - **업무보조자 지정 절차**
    - **신규 지정**
      1. **메뉴 이동**: `분임공동이용관리자` → `업무보조자 지정`
      2. **업무보조자 추가 지정**
        - 소속부서명과 업무보조대상자명을 선택하고, 지정사유를 내부결재 문서번호로 기재합니다.
        - `[지정]` 버튼을 클릭하여 지정을 완료합니다.
    - **기존 업무보조자 지정 취소**
      1. `분임공동이용관리자` → `업무보조자 지정` 메뉴로 이동합니다.
      2. `[검색결과]`에서 권한 회수 대상 업무보조자를 체크합니다.
      3. 오른쪽 아래의 `[지정취소]` 버튼을 클릭하여 지정을 해제합니다.
**3. 조직 개편 시 (국·과 변경 부서)**
- **부서장의 역할**
  - 분임공동이용관리자 신청 공문을 통합민원과로 발송합니다.
- **서무의 역할**
  - 내부결재를 받은 후, 부서장 화면에서 업무보조자(서무)를 지정합니다.
- **업무처리담당자의 역할**
  - **열람권한 신청**
    - 행정정보공동이용시스템(next.share.go.kr)에 접속하여 열람권한을 신청합니다.
    - **방법**
      1. **이용사무명을 알고 있는 경우**
        - `[접근권한관리]` → `[열람권한 신청]` 메뉴로 이동합니다.
        - 이용사무명을 입력하고, 해당 사무를 선택한 뒤 담당업무를 작성하고 업무분장표를 업로드합니다.
        - `[신청]` 버튼을 클릭하여 신청을 완료합니다.
      2. **이용사무명을 모르는 경우**
        - `[공동이용정보명]` 부분의 `[검색]` 버튼을 클릭합니다.
        - 열람이 필요한 공동이용정보명을 입력하여 검색하고, 해당 사무를 선택합니다.
        - 이후에는 앞서 언급한 절차와 동일하게 진행합니다.
    - **승인 과정**
      - 분임(보조)공동이용관리자의 승인을 받아야 열람 업무를 진행할 수 있습니다.
**주의사항**
- **보안서약서**: e하나로민원에서 온라인 서약으로 대체 가능합니다.
- **내부결재**: 분임공동이용관리자가 부서장인 경우에는 내부결재가 필요 없지만, 그렇지 않은 경우에는 반드시 내부결재를 받아야 합니다.
- **SMS 안내 여부**: 승인 결과를 문자로 받고 싶은 경우, 신청서에 해당 정보를 입력하면 됩니다.
위의 절차를 따르면 행정정보공동이용 시스템의 권한을 적절히 신청하고 사용할 수 있습니다. 추가로 궁금한 점이 있으시면 언제든지 말씀해 주세요!</t>
  </si>
  <si>
    <t>7e4c6a78-f8cf-4213-9f60-e99fdf26a3d1</t>
  </si>
  <si>
    <t>f3376294-2e31-4820-a508-3652f123e838</t>
  </si>
  <si>
    <t>b1858ac3-0ec8-4c53-a8fd-e42ecf6b8d20</t>
  </si>
  <si>
    <t>d21496b6-f45f-40da-a740-5c27140e479c</t>
  </si>
  <si>
    <t>656593da-d9ae-45f1-aab7-f4a42015a862</t>
  </si>
  <si>
    <t>급여 작업시 장기교육자 등에 대한 복리후생비, 수당 등 지급 계산식이 어떻게 되나요?</t>
  </si>
  <si>
    <t>215_2501_예산담당관_업무매뉴얼_예산담당관_2025급여_및_수당_관련_FAQ.pdf</t>
  </si>
  <si>
    <t>25ee67eab53d462892457320acb3bbb8</t>
  </si>
  <si>
    <t>장기교육자의 급여 및 복리후생비, 수당 등의 지급 계산식은 다음과 같습니다.
### 1. 급여
- **기본급**: 기본급은 실제 근무한 일수를 기준으로 일할 계산하여 지급됩니다.
  - **계산식**: 기본급 × (실제 근무일수 ÷ 총 근무일수)
### 2. 복리후생비
- **정액급식비**, **직급보조비**, **대민활동비(특정업무경비)**, **직책급** 등은 모두 실제 근무일수에 따라 일할 계산하여 지급하며, 원 단위 이하는 절사합니다.
  - **계산식**: 해당 복리후생비 × (실제 근무일수 ÷ 총 근무일수)
### 3. 수당
- **가족수당**, **자녀학비보조수당** 등은 실제 근무한 기간에 비례하여 지급됩니다.
  - **계산식**: 해당 수당 × (실제 근무일수 ÷ 총 근무일수)
### 4. 기타 사항
- **여입금액 발생 시**: 복리후생비 중에서 실제로 근무하지 않은 기간만큼의 금액은 반환해야 합니다. 이는 해당 부서에서 e호조를 통해 반납 결의를 진행합니다.
- **자료 제출 시 확인사항**: 지출 의뢰 시 복리후생비의 각 항목이 0원이거나 양수가 되도록 해야 하며, 음수의 금액이 발생하지 않도록 주의해야 합니다.
### 예시
예를 들어, 한 달 동안의 근무일수는 20일이고, 장기교육을 위해 10일을 근무했다면:
- **기본급**: 기본급 × (10일 ÷ 20일) = 기본급의 50% 지급
- **복리후생비**: 각 복리후생비 × (10일 ÷ 20일) = 해당 복리후생비의 50% 지급
- **수당**: 각 수당 × (10일 ÷ 20일) = 해당 수당의 50% 지급
이러한 방식으로 계산하여 급여와 복리후생비, 수당을 지급하게 됩니다. 정확한 계산을 위해서는 실제 근무일수와 교육기간 등을 정확히 파악하여야 합니다. 또한, 관련 법령이나 지침에 따라 일부 수당은 지급되지 않을 수도 있으므로 해당 사항을 꼼꼼히 확인해야 합니다. 추가적인 문의사항이 있으시면 언제든지 말씀해 주세요. 도움이 필요하시면 다시 연락 주시기 바랍니다. 감사합니다.</t>
  </si>
  <si>
    <t>1d48191a-6d15-4ce8-beac-b1620e497ccc</t>
  </si>
  <si>
    <t>온톡 메신저에 부서원 순서를 바꾸고 싶어요</t>
  </si>
  <si>
    <t>2, 3</t>
  </si>
  <si>
    <t>731f8a7ff06c42a0b6b55cb523312544</t>
  </si>
  <si>
    <t>부서원들의 온톡 메신저 내에서의 순서를 변경하려면 다음과 같은 방법을 사용할 수 있습니다:
1. **PC에서 순서 변경하기**:
   - **온톡 메신저 실행**: 먼저 PC에 설치된 온톡 메신저를 실행합니다.
   - **설정 메뉴 접근**: 우측 상단의 톱니바퀴 모양의 설정 아이콘을 클릭합니다.
   - **친구 관리 선택**: 설정 메뉴에서 '친구 관리' 또는 '연락처 관리' 옵션을 선택합니다.
   - **목록 정렬 옵션 찾기**: 친구 목록이 표시되면, 좌측이나 상단에 있는 '정렬 기준' 또는 '순서 변경'과 같은 옵션을 찾습니다.
   - **드래그 앤 드롭으로 순서 변경**: 각 연락처를 클릭하고 드래그하여 원하는 위치로 이동시킵니다. 이렇게 하면 연락처의 순서가 변경됩니다.
   - **저장 및 적용**: 변경 사항을 저장하거나 적용 버튼을 눌러 변경된 순서를 확정합니다.
2. **모바일 앱에서 순서 변경하기**:
   - **온톡 메신저 앱 열기**: 스마트폰에 설치된 온톡 메신저 앱을 엽니다.
   - **메뉴 접근**: 화면 하단이나 상단의 메뉴 아이콘(보통 세 줄 모양)을 탭합니다.
   - **설정 선택**: 메뉴에서 '설정' 또는 '환경설정' 항목을 찾아 선택합니다.
   - **친구 관리 진입**: 설정 내에서 '친구 관리'나 '연락처 관리' 섹션을 찾습니다.
   - **순서 변경 기능 이용**: 여기서도 연락처를 길게 누르고 드래그하여 원하는 위치에 배치할 수 있습니다.
   - **변경사항 저장**: 모든 변경 후에는 저장 또는 확인 버튼을 눌러 변경 내용을 반영합니다.
3. **자동 정렬 기능 활용하기**:
   - 일부 메신저는 최신 메시지 수신 여부나 활동 빈도에 따라 자동으로 연락처를 정렬하는 기능을 제공합니다.
   - 이 경우, 특정 사용자들과의 대화를 자주 주고받으면 해당 사용자가 상위에 노출될 수 있습니다.
4. **고객센터 문의하기**:
   - 위의 방법으로 순서 변경이 어렵거나 지원되지 않는다면, 온톡 고객센터에 문의하여 도움을 받을 수 있습니다.
   - 고객센터는 일반적으로 FAQ, 온라인 채팅, 전화 상담 등을 통해 지원을 제공합니다.
5. **주의사항**:
   - 연락처의 순서는 개인 프로필이나 대화방 리스트에서만 변경되며, 다른 사용자에게는 영향을 주지 않습니다.
   - 중요한 연락처는 즐겨찾기에 추가하여 쉽게 접근할 수 있도록 할 수 있습니다.
이러한 방법들을 통해 부서원들의 온톡 메신저 내 순서를 효율적으로 관리하실 수 있을 것입니다. 추가로 도움이 필요하시면 언제든지 말씀해 주세요!</t>
  </si>
  <si>
    <t>1인당 1년치 급식비(매식비) 계산은 어떻게 하나요</t>
  </si>
  <si>
    <t>355</t>
  </si>
  <si>
    <t>2bb554c8f3b44fcdbcfc3d36be353ad7</t>
  </si>
  <si>
    <t>부산광역시청 임직원의 1인당 1년치 급식비(매식비) 계산을 위해서는 먼저 해당 수당의 지급 대상과 금액을 확인해야 합니다.
**1. 정액급식비의 지급 대상**
- **지급 대상**: 모든 공무원 중 일부 예외를 제외하고는 모두 지급됩니다. 예외 사항은 다음과 같습니다:
  - 영 제3조의 규정을 적용받는 국외파견공무원
  - 정직, 직위해제 또는 휴직 중인 공무원(공무상 질병으로 인한 휴직은 제외)
  - 직위나 정원이 없어져 보직을 받지 못한 공무원(특정 업무를 부여받은 경우는 제외)
  - 부단체장이 지방자치단체의 장의 권한을 대행하는 경우의 지방자치단체의 장
**2. 정액급식비의 지급 금액**
- **지급 금액**: 예산의 범위 내에서 월 140,000원을 지급합니다.
**3. 1년치 급식비 계산 방법**
- **연간 지급 횟수**: 일반적으로 매월 지급되므로 연간 12회 지급됩니다.
- **총 지급 금액 계산**:
  \[
  \text{총 지급 금액} = \text{월 지급 금액} \times \text{연간 지급 횟수}
  \]
  \[
  \text{총 지급 금액} = 140,000\text{원} \times 12 = 1,680,000\text{원}
  \]
따라서, 1인당 1년치 급식비는 **1,680,000원**입니다.
**참고 사항**
- 위의 계산은 일반적인 경우를 가정하였으며, 실제 지급 여부는 개인의 근무 상황이나 기관의 정책에 따라 달라질 수 있습니다.
- 만약 특정 인원의 정확한 급식비를 알고 싶으시면, 해당 인원의 근무 기간과 휴직 여부 등을 고려하여 계산해야 합니다.
추가적인 도움이 필요하시면 언제든지 말씀해 주세요!</t>
  </si>
  <si>
    <t>ffb6937f-e743-4f3f-89aa-ab226a54a5aa</t>
  </si>
  <si>
    <t>온톡 메신저에 담당업무 입력은 어떻게 하나요</t>
  </si>
  <si>
    <t>b50eeb2e19af42b097389030ed406780</t>
  </si>
  <si>
    <t>안녕하세요! 온톡 메신저의 담당업무를 입력하는 방법에 대해 알려드리겠습니다.
**1. 온나라 시스템 접속**
먼저, **온나라 시스템**에 로그인해주세요. 이는 업무 매뉴얼에서도 언급되었듯이, 온톡과의 연동을 위해 필요한 절차입니다.
**2. 개인정보 설정 접근**
로그인 후에는 상단 메뉴에서 '**개인정보설정**'을 클릭합니다.
**3. 개인정보 수정 페이지 이동**
개인정보설정 화면에서는 여러 가지 옵션을 선택할 수 있는데, 그 중에서 '**개인정보수정**'을 선택합니다.
**4. 기본정보 및 개인정보 수정**
개인정보수정 페이지에서는 '**기본정보**'와 '**개인정보**' 섹션이 있습니다. 여기서 자신의 연락처, 이메일 주소 등을 확인할 수 있으며, 중요한 것은 '**담당업무**'를 입력할 수 있는 필드가 있다는 것입니다.
- **담당업무 입력**: 이 필드에 본인의 현재 담당하고 있는 업무 또는 역할을 상세하게 입력합니다. 예를 들어 "홍보팀 팀장", "마케팅 전략 수립" 등으로 구체적으로 기재하면 됩니다.
**5. 저장 및 확인**
입력을 완료한 후에는 반드시 '**저장**' 버튼을 눌러 변경사항을 확정해야 합니다. 이렇게 하면 온나라 시스템의 정보가 업데이트되며, 이후 일정 시간이 지나면 온톡 메신저에도 해당 내용이 반영됩니다.
**참고사항**
- **반영 시간**: 온나라에서의 정보 변경은 일반적으로 즉시 반영되지만, 온톡 메신저로의 반영은 약 **1일 정도** 소요될 수 있습니다.
- **조직도 반영**: 만약 조직도에 이름이 나타나지 않는다면, 조직담당관에게 연락하여 조직도 반영을 요청해야 합니다.
- **퇴직자나 휴직자의 경우**: 이러한 경우에는 온톡 담당자에게 별도로 쪽지를 보내어 상태를 정확히 반영하도록 해야 합니다.
이렇게 절차를 따라 진행하시면 온톡 메신저에 담당업무가 정확하게 표시되어 동료들과의 소통에 도움이 될 것입니다. 추가로 궁금한 사항이나 문제가 발생하면 언제든지 말씀해 주세요! 도와드릴 수 있어 기쁩니다.</t>
  </si>
  <si>
    <t>ef57f384-718b-40ad-9c5e-28b37933770a</t>
  </si>
  <si>
    <t>보조금 교부를 위한 보탬이, 이나라도움 사용법은?</t>
  </si>
  <si>
    <t>328_2503_재정협력담당관_업뮤매뉴얼_행정안전부_2025년_지방보조금_관리가이드.pdf</t>
  </si>
  <si>
    <t>26</t>
  </si>
  <si>
    <t>7e7d699d828b46488d99ac7707dbdd5e</t>
  </si>
  <si>
    <t>보조금 교부를 위해 '보탬e'와 '이나라도움' 시스템을 사용하는 방법에 대해 안내해 드리겠습니다.
### **보탬e(e-나라도움)란?**
'보탬e'는 국가보조금의 신청부터 집행, 정산까지 전 과정을 온라인으로 지원하는 통합관리 시스템인 '이나라도움'의 지방보조금 버전입니다. 지방자치단체에서 시행하는 각종 보조사업을 효율적으로 관리하기 위해 도입되었으며, 보조사업자와 지방자치단체 모두에게 투명한 보조금 관리를 제공합니다.
### **보조금 교부 절차**
1. **보조사업자의 교부 신청**
   - **보탬e 접속**: 보조사업자는 '보탬e' 웹사이트에 로그인합니다.
   - **교부 신청 메뉴 접근**: 메인 화면에서 '보조금 교부 신청' 메뉴를 선택합니다.
   - **필요한 정보 입력**:
     - 보조금 종류, 금액, 목적 등을 상세히 기재합니다.
     - 필요한 증빙 서류나 자료를 첨부합니다.
   - **신청 제출**: 모든 정보를 정확히 입력한 후 신청을 완료합니다.
2. **지방자치단체의 승인 및 교부 결정**
   - **승인 요청 확인**: 지방자치단체 담당자는 보탬e를 통해 보조사업자의 교부 신청 내역을 확인하고 검토합니다.
   - **승인 처리**:
     - 승인이 가능한 경우, 해당 보조금을 교부하기로 결정합니다.
     - 필요에 따라 추가 자료 요청이나 수정 사항을 전달할 수 있습니다.
   - **교부 결정 통보**: 승인된 사항은 보조사업자에게 통보됩니다.
3. **보조금 수령 및 집행**
   - **보조금 수령**: 보조사업자는 교부 결정 통보를 받은 후, 지정된 방법으로 보조금을 수령합니다.
   - **집행 보고**: 보조금은 계획된 목적에 맞게 사용되어야 하며, 사용 내역에 대한 보고서를 작성하여 보탬e에 업로드합니다.
   - **정산 처리**: 보조금 사용이 완료되면, 잔액 반납 등의 정산 절차를 거칩니다.
### **사용 시 유의사항**
- **정확한 정보 입력**: 모든 정보는 정확하고 최신 상태로 유지해야 합니다.
- **기한 준수**: 각 단계마다 정해진 기간 내에 처리해야 하므로 일정을 잘 관리해야 합니다.
- **문의처 활용**: 시스템 사용 중 어려움이 있을 경우, 보탬e 고객센터나 지방자치단체 담당 부서에 문의할 수 있습니다.
### **추가적인 도움말**
- **교육 자료 활용**: 보탬e에서는 사용자들을 위한 교육 동영상이나 매뉴얼을 제공하고 있으니 참고하면 도움이 됩니다.
- **상담 서비스 이용**: 전화 상담이나 온라인 채팅을 통한 전문 상담을 받을 수 있습니다.
---
**참고 사항**
- 본 안내는 일반적인 절차이며, 구체적인 내용은 지방자치단체나 보조사업의 특성에 따라 달라질 수 있습니다.
- 정확한 절차와 요구 사항은 해당 지방자치단체의 공문이나 보탬e 공지사항을 확인하는 것이 좋습니다.
보탬e와 이나라도움을 활용한 보조금 관리는 투명성과 효율성을 높이는 중요한 도구이므로, 적극적으로 활용하시길 권장드립니다. 추가로 궁금한 점이 있으시면 언제든지 질문해 주세요!</t>
  </si>
  <si>
    <t>a18bfbe8-c5ea-49c4-bc21-f40dd508535b</t>
  </si>
  <si>
    <t>온나라 시스템을 통해 공문을 생산하였는데, 기안 당시에는 비공개 사유가 있었으나, 현재에는 해당 비공개 사유가 소멸했습니다. 이에 따라, 공개문서로 전환하고 싶은데, 방법이 어떻게 되나요?</t>
  </si>
  <si>
    <t>aab3d576a7c046a685c8b4d718976716</t>
  </si>
  <si>
    <t>안녕하세요! 온나라 문서 시스템의 문서 공개 범위 변경에 대해 안내해 드리겠습니다.
**1. 문서 상태 확인**
먼저, 해당 문서가 현재 어떤 상태로 등록되어 있는지 확인해야 합니다. 문서는 일반적으로 '기안', '결재완료', '등록' 등의 단계를 거칩니다. 만약 문서가 아직 결재가 완료되지 않았거나 등록 전이라면, 담당 부서나 상급자의 승인을 받아 수정이 가능합니다.
**2. 문서 관리 메뉴 접근**
- **온나라 시스템 로그인**: 업무포털(온나라)에 접속하여 인증 후 로그인합니다.
- **문서함 이동**: 메인 화면에서 '내 문서함' 또는 '나의 문서' 등 개인 문서함으로 이동합니다.
- **검색 및 선택**: 목록에서 공개 범위를 변경하고자 하는 문서를 찾습니다. 문서 제목이나 번호를 입력하여 빠르게 찾을 수 있습니다.
**3. 문서 상세 정보 조회**
선택한 문서를 클릭하면 문서 상세 정보가 나타납니다. 여기서 우측 상단이나 하단에 위치한 '문서 카드' 아이콘을 찾아 클릭합니다.
**4. 문서 공개 여부 설정**
- **관리 정보 수정**: 문서 카드의 메뉴 중 '관리 정보 수정'을 선택합니다.
- **문서 공개 여부 설정**: 나타나는 옵션 중에서 '문서 공개 여부 설정'을 선택합니다.
- **공개 범위 선택**:
  - **전체 공개**: 모든 사람이 열람 가능하도록 설정합니다.
  - **부분 공개**: 특정 기관이나 부서에 한해서만 열람 가능하게 설정합니다.
  - **비공개**: 열람 권한을 제한하여 승인된 사용자만 볼 수 있게 합니다.
- **적용 대상 선택**: 필요한 경우 적용 대상을 지정합니다.
- **저장 및 확인**: 변경 사항을 저장하고 확인 버튼을 눌러 적용합니다.
**5. 문서 재등록 필요성 확인**
만약 문서가 이미 결재 완료되고 등록된 상태라면, 공개 범위의 변경만으로 충분하지 않을 수 있습니다. 이 경우에는 문서를 다시 등록하거나 재발송해야 할 수도 있으므로, 관련 규정에 따라 절차를 진행해야 합니다.
**6. 추가 절차 고려 사항**
- **상급자 승인**: 중요한 정보의 공개 여부는 상급자나 보안 담당자의 승인이 필요할 수 있습니다.
- **보안 검토**: 민감한 내용이 포함되어 있다면, 보안팀과의 협의가 필요합니다.
- **공고 및 공지**: 공개된 문서는 공식적인 공고나 공지를 통해 알릴 필요가 있을 수 있습니다.
**7. 문의처**
위 과정에서 어려움이 있거나 추가적인 도움이 필요하다면, 다음의 연락처로 문의하실 수 있습니다.
- **온나라 헬프데스크**: 051-888-1234
- **전자문서 담당 부서**: 전자문서관리팀 (test012@busan.go.kr)
---
**참고사항**
- **개인정보 보호**: 문서 처리 시 개인정보 유출에 주의하시기 바랍니다.
- **정책 준수**: 공공기관의 정보공개에 관한 법률 및 규정을 준수하여야 합니다.
감사합니다. 추가로 궁금한 사항이 있으시면 언제든지 문의해 주세요.</t>
  </si>
  <si>
    <t>9673218d-14e3-480a-93a0-63b9bdf9ec08</t>
  </si>
  <si>
    <t>다음달에 시청 1층 대강당을 예약하고 싶은데, 방법을 알고싶어요.</t>
  </si>
  <si>
    <t>84b3cf82b4d64f31a6493234feb38eed</t>
  </si>
  <si>
    <t>시청 1층 대강당 예약을 위해서는 다음과 같은 절차를 따라주시면 됩니다:
1. **행정포털 접속**: 먼저 부산시 행정포털 시스템에 로그인하세요.
2. **개인서비스 메뉴 선택**: 메인 화면에서 '개인서비스' 메뉴를 클릭합니다.
3. **회의장 예약 기능 이용**: '개인서비스' 메뉴 내에서 '회의장' 또는 '시설예약' 항목을 찾아 클릭합니다.
4. **예약 정보 입력**:
   - 원하는 날짜와 시간을 선택합니다.
   - 사용 목적 및 인원을 상세히 기재합니다.
   - 필요한 경우 추가 요청 사항이나 부대 시설 등을 함께 신청할 수 있습니다.
5. **승인 대기 및 확인**: 제출하신 예약 신청은 담당 부서에서 검토 후 승인됩니다. 승인이 완료되면 이메일이나 알림 메시지를 통해 안내받으실 수 있습니다.
6. **추가 절차 준수**: 일부 회의실은 보안상의 이유로 출입증이 필요할 수 있으니, 해당되는 경우 사전에 발급받아 주세요.
7. **이용 당일 체크**: 예약된 시간에 맞춰 시설을 이용해 주시고, 필요 시 현장 담당자와 협조하여 원활하게 진행될 수 있도록 합니다.
**참고사항**:
- 인기 있는 장소나 특정 시간대의 경우 선착순으로 마감될 수 있으므로 미리 예약하시는 것이 좋습니다.
- 긴급하거나 특별한 사정이 있을 경우, 관련 부서에 직접 문의하셔서 조정을 요청하실 수 있습니다.
- 시설 이용 후에는 다음 사용자를 위해 깨끗하게 정리해 주시기 바랍니다.
추가로 궁금한 사항이나 도움이 필요하시면 언제든지 말씀해 주세요!</t>
  </si>
  <si>
    <t>담당업무 관련으로 시청 직원의 설문조사가 필요한데, 어디에 게시해야 많은 사람들이 참여할 수 있을까요</t>
  </si>
  <si>
    <t>3</t>
  </si>
  <si>
    <t>f9944d5d43b24d4f9dfb527a18a710fd</t>
  </si>
  <si>
    <t>시청 직원들을 대상으로 설문조사를 실시하려면 '행정 포털' 내에 설문조사를 등록하여 진행하면 됩니다. 이 방법을 통해 많은 직원들이 설문에 참여할 수 있으며, 절차는 다음과 같습니다:
1. **행정 포털 접속**: 먼저 업무 시스템인 행정 포털에 로그인합니다.
2. **설문 등록 메뉴 접근**: 행정 포털 내에서 '참여할 설문' 또는 유사한 이름의 메뉴를 찾습니다.
3. **설문조사 생성 및 설정**:
   - 설문 제목과 목적을 입력합니다.
   - 질문 내용과 선택지를 구성합니다.
   - 응답 기간과 참여 대상자를 지정합니다.
4. **설문조사 공유**: 생성한 설문조사를 해당 부서나 전체 직원에게 공지합니다.
5. **응답 수집 및 결과 분석**: 마감일까지 응답을 받고 결과를 취합하여 분석합니다.
이렇게 하면 시청 내의 많은 직원들이 설문에 참여할 수 있어 효과적인 의견 수렴이 가능합니다. 추가적인 도움이 필요하시면 언제든지 말씀해 주세요!</t>
  </si>
  <si>
    <t>dc0eb002-7e2f-4211-a183-f7308fec53f2</t>
  </si>
  <si>
    <t>시 공식 SNS에 담당업무를 홍보하고자 게시했으면 하는데, 의뢰 절차가 어떻게 되나요?</t>
  </si>
  <si>
    <t>88_2504_미디어담당관_업무매뉴얼_미디어담당관_콘텐츠기획팀_업무관련FAQ.pdf</t>
  </si>
  <si>
    <t>acf0be1598f84858bee3beb9217e4fee</t>
  </si>
  <si>
    <t>안녕하세요! 시 공식 SNS에 담당 업무를 홍보하고자 하실 때는 다음과 같은 절차를 따르시면 됩니다.
1. **홍보 필요성 검토**: 먼저, 홍보하고자 하는 내용이 부산시의 정책이나 시민들에게 유익한 정보를 제공하는지 확인해보세요. 시의 공식 SNS는 공익적인 목적의 콘텐츠를 우선으로 다룹니다.
2. **콘텐츠 준비**: 홍보할 내용에 대한 원고나 자료를 준비해주세요. 이는 이미지와 함께 제공되어야 하며, 시의 공식 입장과 일치해야 합니다.
3. **공문 발송**: 홍보 요청을 위해 부산시청 내 관련 부서에 공문을 발송하셔야 합니다. 일반적으로 '홍보담당관'이나 '미디어담당관'에게 공문을 보내는 것이 적절합니다. 공문에는 홍보하려는 내용, 목적, 기대 효과 등이 포함되어야 합니다.
4. **온메일 또는 온톡을 통한 자료 제출**: 공문 발송 후, 콘텐츠기획팀과의 원활한 협업을 위해 온메일이나 온톡을 통해 홍보 자료와 이미지를 제출하세요. 이때, 게시를 희망하는 날짜로부터 최소 2주 전에 제출하시는 것이 좋습니다.
5. **검토 및 피드백 수용**: 제출하신 내용은 내부 검토 과정을 거치게 되며, 필요에 따라 수정 사항이나 추가 요청이 있을 수 있습니다. 이에 대해 신속하게 대응하여 주시기 바랍니다.
6. **게시 일정 조율**: 최종 승인 후에는 게시 일정에 맞춰 SNS에 업로드됩니다. 이 과정에서 정확한 정보 전달을 위해 여러 차례의 확인 작업이 이루어질 수 있습니다.
**참고사항**:
- 시의 공식 SNS는 공익성과 시의성을 중시하므로, 개인적이거나 상업적인 내용의 홍보는 제한될 수 있습니다.
- 모든 홍보물은 시의 브랜드 가이드라인에 부합해야 하므로, 디자인이나 내용 면에서 일부 수정이 필요할 수 있습니다.
이러한 절차를 통해 시 공식 SNS에 담당 업무를 효과적으로 홍보하실 수 있습니다. 추가로 궁금한 점이 있으시면 언제든지 문의해 주세요. 도움이 필요하면 최선을 다해 지원하겠습니다. 감사합니다.</t>
  </si>
  <si>
    <t>d4e260bf-9230-4f58-b9b3-7f5c363b01ec</t>
  </si>
  <si>
    <t>일반지출의 절차를 알고싶은데, 매뉴얼이나 교육자료를 어디에서 찾을 수 있나요?</t>
  </si>
  <si>
    <t>c6e692d177764218a9f94e11e40641f2</t>
  </si>
  <si>
    <t>부산광역시청 임직원을 위한 '일반지출' 절차와 관련된 매뉴얼이나 교육자료는 내부 전산망이나 문서 관리 시스템을 통해 접근할 수 있습니다. 일반적으로 이러한 자료들은 다음과 같은 방법으로 확인할 수 있습니다:
1. **내부 포털 또는 인트라넷**: 부산광역시청의 공식 웹사이트나 내부 포털에 로그인하여 '일반지출' 관련 매뉴얼이나 교육 자료를 검색해보세요.
2. **전자문서 시스템**: 전자문서 관리 시스템(예: 온나라 문서시스템 등)을 통해 해당 문서를 열람하거나 다운로드할 수 있습니다.
3. **교육훈련 담당 부서 문의**: 인사혁신실이나 교육훈련 담당 부서에 연락하여 필요한 교육 자료나 매뉴얼을 요청하실 수 있습니다.
4. **상사나 동료에게 문의**: 이미 해당 자료를 가지고 있거나 접근 방법을 아는 상사나 동료에게 도움을 청하는 것도 좋은 방법입니다.
또한, 제공하신 파일 정보 `[파일명: 477_2505_회계재산담당관_업무매뉴얼_메타넷디지털_일반지출_절차_및_삭제_회계재산담당관_경리팀.pdf]`를 보면, 이 문서는 이미 존재하며 내부적으로 공유되고 있는 것으로 보입니다. 따라서 해당 문서를 직접 확인하려면 위의 방법들을 활용하여 접근해야 합니다.
**추가적인 도움이 필요하시다면**, 구체적인 상황이나 접근 경로에 대한 정보를 알려주시면 더 정확한 안내를 드릴 수 있습니다. 예를 들어, 어떤 경로로 접근하려 했는지, 어떤 문제가 있었는지 등을 말씀해 주시면 좋겠습니다.</t>
  </si>
  <si>
    <t>6f9e87f4-b3ad-48b1-aa9a-39fe0a44d6dd</t>
  </si>
  <si>
    <t>장기재직휴가는 재직기간 몇 년차부터 생기나요? 그리고 근속년수별로 정확한 휴가 부여 일수를 알고싶어요.</t>
  </si>
  <si>
    <t>4ce3c62de28c4852aaab61485f593f65</t>
  </si>
  <si>
    <t>부산광역시에서 시행하는 장기재직휴가는 재직기간 5년 이상인 공무원을 대상으로 합니다. 즉, 재직기간이 5년이 되면 장기재직휴가를 신청할 수 있는 자격이 생깁니다.
근속년수별 정확한 휴가 부여 일수는 다음과 같습니다:
- **5년 ~ 9년**: **5일**
- **10년 ~ 19년**: **10일**
- **20년 ~ 29년**: **25일**
- **30년 이상**: **25일**
또한, 이 휴가는 재직기간에 따라 해당 기간 내에 반드시 사용해야 하며, 휴가 기간은 최소 2일 이상으로 분할 사용이 가능합니다. 예를 들어, 10일의 휴가를 가진 경우 3일씩 두 번 나누어 사용할 수도 있습니다.
추가적으로, 장기간 휴가를 사용하기 위해서는 연가와 연계하여 사용하는 것을 권장하며, 이를 통해 더 긴 휴식 기간을 가질 수 있습니다. 단, 연가와의 연계 사용 시에는 사전에 휴가 계획에 명기하여야 합니다.
**참고사항**:
- 휴가 신청은 차세대인사랑 복무관리시스템을 통해 진행되며, 휴가 시작 전 승인을 받아야 합니다.
- 부서의 현원 대비 최대 1/3까지 휴가 대상자를 선정할 수 있으며, 이는 조직 운영에 지장이 없도록 하기 위한 조치입니다.
- 재직기간은 공무원연금공단의 퇴직급여 재직기간(연월수로 계산)을 기준으로 산정됩니다.
이러한 정보를 바탕으로 장기재직휴가를 효율적으로 활용하실 수 있기를 바랍니다. 추가적인 문의 사항이 있으시면 언제든지 말씀해 주세요!</t>
  </si>
  <si>
    <t>ae3f5807-c46f-48ff-b17b-aad0c8a3ac78</t>
  </si>
  <si>
    <t>공무원의 연차별로 연가일수가 다른 거 같던데, 재직기간별로 연가가 며칠씩 부여되나요?</t>
  </si>
  <si>
    <t>403, 404</t>
  </si>
  <si>
    <t>973ed07a979d4ff7a9e8288ebd67b144</t>
  </si>
  <si>
    <t>네, 맞습니다. 공무원의 연가일수는 재직기간에 따라 다르게 부여됩니다. 일반적으로 적용되는 연가일수는 다음과 같습니다:
- **1개월 이상 1년 미만**: 연가 11일
- **1년 이상 2년 미만**: 연가 12일
- **2년 이상 3년 미만**: 연가 14일
- **3년 이상 4년 미만**: 연가 15일
- **4년 이상 5년 미만**: 연가 17일
- **5년 이상 6년 미만**: 연가 20일
- **6년 이상**: 연가 21일
또한, 일부 예외 사항이 있습니다:
- **유사 경력이 있는 경우**: 법 제28조제2항제2호·제3호 및 제10호에 따라 임용된 경력직공무원 및 특수경력직공무원의 재직기간이 5년 미만이면서 인사혁신처장이 정하는 공무원 경력 외의 유사경력이 있는 경우에는 5년 미만의 재직기간별 연가일수에 각각 3일을 더합니다.
예를 들어, 재직기간이 1년 이상 2년 미만이고 유사경력이 있다면 연가일수는 12일에 3일을 더해 총 15일이 됩니다.
**주의사항**:
- "재직기간"은 「공무원연금법」 제25조제1항부터 제3항까지의 규정에 따르는 연월일수로 계산되며, 휴직기간, 정직기간, 직위해제기간 및 강등 처분에 따라 직무에 종사하지 못하는 기간은 산입하지 않습니다.
- 하지만 법령에 따른 의무수행으로 인한 휴직이나 공무상 부상 등으로 인한 휴직 등은 재직기간에 산입됩니다.
이러한 연가일수는 매년 변경될 수 있으니 최신 정보를 확인하시는 것이 좋습니다. 또한, 실제로 부여되는 연가일수는 개인의 근무 상황과 조직의 정책에 따라 달라질 수 있습니다. 더 궁금한 점이 있으시면 언제든지 물어보세요!</t>
  </si>
  <si>
    <t>abbaf9e4-888f-4fbb-8586-f2b9dd9ab1a4</t>
  </si>
  <si>
    <t>8f945de4-6a10-4701-9864-4bb92b9a23c4</t>
  </si>
  <si>
    <t>db8f6f9e-b249-49a0-a815-ebb1bdd3441a</t>
  </si>
  <si>
    <t>420a7ac0-45ad-49da-8650-1d86bbcd3047</t>
  </si>
  <si>
    <t>6d52d02d-5ba2-4ea8-b2eb-b984f509d43f</t>
  </si>
  <si>
    <t>DRM, PC Client 아이디 및 비밀번호를 잊어버렸을 때 절차 알려주세요</t>
  </si>
  <si>
    <t>331_2112_정보화정책과_업무매뉴얼_정보화정책과_부서관리자_매뉴얼자료유출방지시스템_DRM_v50_비번초기화.pdf
---
1284_2512_부산시_업무관련_FAQ문서_20251209.pdf</t>
  </si>
  <si>
    <t>1, 2, 3
---
5</t>
  </si>
  <si>
    <t>bf22ef347e1246ed8f1b7517c8882aed</t>
  </si>
  <si>
    <t>안녕하세요! DRM, PC Client 아이디 및 비밀번호를 잊어버리셨다면 다음과 같은 절차를 통해 문제를 해결하실 수 있습니다.
**1. DRM 비밀번호 초기화 방법**
- **부서 관리자에게 요청하기**
  - DRM 시스템의 비밀번호 초기화는 부서 관리자의 권한이 필요합니다.
  - 부서 관리자에게 직접 문의하시거나, 해당 업무 담당 부서에 연락하여 도움을 요청하세요.
- **부서 관리자가 취해야 할 조치**
  - 부서 관리자는 '자료 유출 방지 시스템(DRM)'에 접속하여 대상 사용자의 비밀번호를 초기화할 수 있습니다.
  - 매뉴얼에 따르면, 부서 관리자는 다음의 단계를 따릅니다:
    1. 부서 관리자 사이트에 접속합니다. (예: `http://99.1.81.71:9080/fed5`)
    2. 사용자 ID와 비밀번호를 입력하여 로그인합니다. (`* 자료유출방지시스템 ID/비번` 사용)
    3. 상단 메뉴에서 `[공통설정 &gt; 조직관리]`를 선택합니다.
    4. 좌측 메뉴에서 부서 내의 사용자를 선택합니다.
    5. 우측 상단의 `[수정]` 버튼을 클릭합니다.
    6. 나타나는 화면에서 초기화 비밀번호(`a12345`)를 입력한 후, 우측 상단의 `[확인]` 버튼을 눌러 수정합니다.
    7. 비밀번호 초기화가 완료되면, 사용자는 새로운 비밀번호로 로그인할 수 있습니다.
**2. PC Client 비밀번호 재설정 방법**
- **PC Client 프로그램에서 비밀번호 찾기**
  - PC Client 프로그램 내에서 비밀번호 찾기를 시도해 볼 수 있습니다.
  - 일반적으로 프로그램의 `도움말` 또는 `지원` 메뉴에서 비밀번호 재설정 옵션을 제공합니다.
- **IT 지원 센터에 문의하기**
  - 위의 방법으로 해결되지 않을 경우, IT 지원 센터에 연락하여 비밀번호 재설정을 요청합니다.
  - 필요한 정보로는 사용자 이름이나 사번 등이 요구될 수 있습니다.
**추가적인 도움말**
- **관련 문서 참고**
  - 제공된 문서들 중에서 `331_2112_정보화정책과_업무매뉴얼_정보화정책과_부서관리자_매뉴얼자료유출방지시스템_DRM_v50_비번초기화.pdf` 파일에는 비밀번호 초기화에 대한 자세한 절차가 포함되어 있을 수 있습니다.
  - 페이지 1부터 3까지의 내용을 확인하시면 도움이 될 것입니다.
- **문의처 연락처**
  - 문제 해결에 어려움이 있다면, 행정 전화 `(5999)`로 연락하여 전문적인 지원을 받을 수 있습니다.
**주의사항**
- 비밀번호 초기화 후에는 보안을 위해 즉시 새로운 비밀번호로 변경하는 것이 좋습니다.
- 새로운 비밀번호는 복잡성을 갖추어 보안성을 높이세요.
추가로 궁금한 사항이나 도움이 필요하신 부분이 있으시면 언제든지 말씀해 주세요. 도와드릴 준비가 되어 있습니다. 감사합니다.</t>
  </si>
  <si>
    <t>온나라 문서 과제카드를 잘못 지정하였습니다. 변경 가능할까요?</t>
  </si>
  <si>
    <t>44</t>
  </si>
  <si>
    <t>5168f7baf9e34aaf9e4ff5d095f86eae</t>
  </si>
  <si>
    <t>네, 온나라 문서에서 과제카드를 잘못 지정하신 경우 수정이 가능합니다. 하지만 그 방법은 문서의 현재 상태와 권한에 따라 다를 수 있습니다. 일반적으로 다음과 같은 절차를 따르실 수 있습니다:
1. **문서 상태 확인**: 문서가 이미 결재 완료되었거나 배포된 상태라면 수정이 제한될 수 있습니다. 따라서 먼저 문서의 상태를 확인해 주세요.
2. **편집 권한 확인**: 해당 문서에 대한 편집 권한이 있는지 확인해야 합니다. 만약 권한이 없다면 상급자나 관리자의 승인이 필요할 수 있습니다.
3. **과제카드 수정 방법**:
   - **문서 내용 수정**: 문서를 열고 '과제카드' 설정 부분에서 올바른 과로 변경하실 수 있습니다.
   - **결재 취소 요청**: 문서가 이미 결재가 완료되었다면, 결재를 올린 후 상급자에게 결재 취소를 요청하셔야 할 수도 있습니다.
   - **시스템 지원 요청**: 복잡한 경우에는 시스템 담당자나 IT 지원 부서에 도움을 요청하시는 것이 좋습니다.
4. **주의사항**: 문서의 중요도에 따라 실수가 큰 영향을 미칠 수 있으므로, 가능한 한 빠르게 조치를 취하는 것이 중요합니다.
만약 구체적인 도움이 필요하시다면, 문서의 제목이나 관련 정보를 알려주시면 더 자세한 안내를 드릴 수 있습니다. 또한, 온나라 시스템의 최신 버전이나 조직의 정책에 따라 절차가 달라질 수 있으니 참고하시기 바랍니다. 추가적으로 궁금한 점이 있으시면 언제든지 말씀해 주세요!</t>
  </si>
  <si>
    <t>장기재직휴가 기준과 사용 방법을 알려주세요. 장기재직휴가 사용 요건이 되면 인사랑에 자동 반영될까요?</t>
  </si>
  <si>
    <t>e79a8a7c53a34c11bd4138471eeceb73</t>
  </si>
  <si>
    <t>네, 장기재직휴가는 재직기간에 따라 일정한 휴가를 부여하여 공무원의 사기 진작과 업무 생산성을 높이기 위한 제도입니다. 현재 제공해주신 문서들을 바탕으로 장기재직휴가의 기준과 사용 방법에 대해 자세히 설명드리겠습니다.
### **1. 장기재직휴가 대상 및 기준**
- **시행근거**: 「지방공무원 복무규정」 제7조의7(특별휴가) 및 「부산광역시 공무원 복무 조례」 제15조(특별휴가) 제6항을 근거로 합니다.
- **시행대상**: 재직기간 5년 이상인 공무원입니다.
- **실시방법**:
  - **재직기간에 따른 휴가일수**:
    - `5년 ~ 9년`: 5일
    - `10년 ~ 19년`: 10일
    - `20년 ~ 29년`: 25일
    - `30년 이상`: 25일
  - **재직기간 산정 방법**:
    - 「공무원연금법」 제25조에 따른 공무원연금공단의 퇴직급여 재직기간(연월수로 계산)
    - 공무원연금공단에서 제공하는 재직기간 확인서를 통해 정확한 기간을 확인할 수 있습니다.
### **2. 장기재직휴가 사용 방법**
- **시행원칙**:
  - **업무에 지장이 없는 범위 내에서** 부서장의 책임 하에 실시됩니다.
  - **휴가 시작일 기준 1주일 전**에 승인을 받아야 하며, 이는 차세대인사랑 복무 시스템을 통해 가능합니다.
  - **재직기간 별 해당 기간 내 반드시 사용**해야 합니다.
  - 예를 들어, `23.10.11` 개정으로 확대된 장기재직휴가 일수가 6개월 내에 소멸 예정인 경우, 해당 휴가는 `24.4.1.`까지 사용할 수 있습니다.
- **휴가 기간 분할 사용**:
  - **최소 2일 이상** 분할 사용이 가능하며, 토·일요일 및 공휴일은 휴가 기간에 산입되지 않습니다.
  - 예시: `(10일 기준시)` 3일/3일/2일/2일, 2일/8일, 2일×5회 등 다양한 방식으로 분할 사용할 수 있습니다.
- **연가와의 연계 사용**:
  - 장기간 휴가를 사용하기 위해 연가를 연계하여 사용하는 것을 권장하며, 이 경우 휴가 계획 결재 시 반드시 명기해야 합니다.
  - 예시: `장기재직휴가 5일 + 연가 3일`, `장기재직휴가 3일 + 연가 2일`
### **3. 인사랑에 자동 반영 여부**
- **인사 시스템과의 연계**:
  - 장기재직휴가 사용 자격이 되시는 경우, 인사 시스템에 자동으로 반영되어 휴가 신청 시 선택하실 수 있습니다.
  - 그러나 정확한 반영 여부는 기관의 인사 시스템 설정이나 정책에 따라 다를 수 있으므로, 직접 인사 담당자나 인사랑 시스템 관리자에게 문의하시는 것이 가장 확실합니다.
- **신청 절차**:
  - 휴가 신청을 위해서는 다음과 같이 절차를 밟으셔야 합니다.
    1. **복무시스템 승인 가능일수 사전등록**: 부서별 서무를 통해 인사랑 시스템에 등록합니다.
    2. **승인권자 승인**: 부서장이 휴가 계획을 확인하고 승인합니다.
    3. **휴가 실시**: 승인이 완료되면 휴가를 사용하실 수 있습니다.
### **4. 기타 유의 사항**
- **업무 공백 방지**:
  - 장기간 휴가 중에는 업무 공백이 발생하지 않도록 업무대행자를 지정하고, 인계·인수를 철저히 해야 합니다.
- **비상 연락 체계 유지**:
  - 긴급 상황 발생 시 대응할 수 있도록 비상 연락 체계를 유지하는 것이 중요합니다.
- **특정 기간 휴가 자제**:
  - 국정감사, 행정사무감사, 부서 주요 업무 추진 기간, 국가적 재난 상황 등에서는 휴가를 자제하거나 조율해야 합니다.
---
**추가 정보 필요 시**
- 더 자세한 내용이나 개인적인 상황에 맞는 조언이 필요하시다면, 인사 담당 부서나 인사랑 시스템의 고객 지원 센터에 문의하시면 도움을 받으실 수 있습니다.
- 또한, 최신 정책 변경이나 추가 지침이 있을 수 있으니 정기적으로 관련 공지사항을 확인해 주세요.
**결론적으로**, 장기재직휴가는 재직기간에 따라 부여되는 특별한 혜택이므로, 자격이 되시면 적극적으로 활용하여 재충전의 시간을 가지시길 바랍니다. 사용 방법은 앞서 설명드린 바와 같으며, 인사랑 시스템에도 자동으로 반영되어 편리하게 이용하실 수 있습니다. 추가로 궁금하신 점이 있으시면 언제든지 질문해 주세요!</t>
  </si>
  <si>
    <t>f702eeeb-211b-4d7e-9edd-4c3607cd6328</t>
  </si>
  <si>
    <t>84_2406_맑은물정책과_업무매뉴얼_환경부_환경법전수자원물환경물이용.pdf</t>
  </si>
  <si>
    <t>cf5e919e-146d-4329-8433-8ebf422f54fa</t>
  </si>
  <si>
    <t>259_2301_인사과_지침_행정안전부_지방공무원_균형인사_운영지침행정안전부예규제258호.pdf</t>
  </si>
  <si>
    <t>공무원 및 공무직 직원복지지원시스템 사용 방법을 알려주세요.</t>
  </si>
  <si>
    <t>300_2502_인사과_업무매뉴얼_인사과_직원복지지원시스템_사용방법_안내장례비.pdf
301_2502_인사과_업무매뉴얼_인사과_직원복지지원시스템_신청방법휴양시설_이용_지원.pdf</t>
  </si>
  <si>
    <t>1, 2, 3, 4, 5
1, 2, 3, 4, 5</t>
  </si>
  <si>
    <t>ff856ef5178243318574bd9586303bcc</t>
  </si>
  <si>
    <t>업무추진비 집행 기준을 알려주세요</t>
  </si>
  <si>
    <t>127, 128</t>
  </si>
  <si>
    <t>7ac22f7cc8854d889af571d19ca6bce9</t>
  </si>
  <si>
    <t>업무추진비 집행 기준은 다음과 같습니다.
1. **사용 수단**:
   - 업무추진비는 신용카드 중에서 클린카드, 직불전자지급수단, 직불카드로 집행해야 합니다.
   - 신용카드, 직불전자지급수단, 직불카드는 클린카드의 의무적 제한업종을 적용받습니다.
   - 여신전문금융업법에 따라 신용카드가 발급 가능한 금융기관에서 해당 부서별로 클린카드를 공용카드로 발급받아 운영합니다.
   - 일반카드의 불가피한 사용이 예상되는 경우에만 최소한의 범위로 법인별로 별도의 일반카드를 발급받을 수 있습니다.
2. **사용 관행 개선 및 투명성 확보**:
   - 업무추진비 사용 관행을 개선하고 투명한 사용을 위해 「지방자치단체 회계관리에 관한 훈령」의 범위 내에서 자체적인 세부 지침을 마련하고 시행해야 합니다.
   - 클린카드의 의무적 제한 업종 사용을 제한하고, 기관별 특성에 맞춰 추가로 사용 제한 업종을 지정할 수 있습니다.
3. **의무적 제한 업종**:
   - **유흥업종**: 한국표준산업분류에 따라 접객요원을 두고 술을 판매하는 일반유흥주점과 무도시설을 갖춘 무도유흥주점이 이에 해당합니다.
     - 일반유흥주점 예시: 룸살롱, 단란주점, 가라오케, 가요주점, 요정, 비어홀, 바 등
     - 무도유흥주점 예시: 클럽, 극장식 주점, 나이트클럽, 스탠드바, 카바레 등
   - **위생업종**: 이·미용실, 피부미용실, 사우나, 안마시술소, 발마사지, 스포츠마사지, 네일아트, 지압원 등 대인서비스를 제공합니다.
   - **레저업종**: 골프장, 골프연습장, 스크린골프장, 노래방, 사교춤, 전화방, 비디오방, 당구장, 헬스클럽, PC방, 스키장 등이 포함됩니다.
   - **사행업종**: 카지노, 복권방, 오락실 등이 해당됩니다.
   - **기타업종**: 성인용품점, 총포류 판매점 등이 있습니다.
4. **현금 사용 제한**:
   - 업무추진비는 원칙적으로 현금으로 사용할 수 없습니다.
   - 예외적으로 격려금, 축의금, 부의금 등 현금 집행이 불가피한 경우에만 사용할 수 있습니다.
   - 축의금이나 부의금은 기관별 대표 1인만이 집행할 수 있으며, 경조사와 관련된 경비는 「부정청탁 및 금품등 수수의 금지에 관한 법률 시행령」 [별표 1]에 따른 기준에 맞게 집행해야 합니다.
5. **심야 시간 및 사용자 자택 근처에서의 사용 제한**:
   - 심야(23시 이후)나 사용자의 자택 근처 등에서 통상적인 업무 추진과 관련이 적은 시간과 장소에서는 사용할 수 없습니다.
   - 그러나 직무 관련성이 입증되는 객관적 증빙서류(출장명령서 등)를 제출한 경우에는 예외적으로 허용됩니다.
6. **접대비 집행 기준**:
   - 간담회 등 접대비는 특별한 사유가 없는 한 1인당 1회당 4만원 이하로 집행해야 합니다.
   - 행사의 성격상 불가피한 경우에는 증빙서류에 사유를 명시하고 4만원을 초과하여 집행할 수 있습니다.
   - 「청탁금지법」 제2조에 따른 공직자 등에게는 접대비를 3만원 이하로 집행해야 하며, 기념품 및 특산품 지급은 5만원 이하로 해야 합니다.
   - 「농수산물 품질관리법」에 따른 농수산물 및 농수산가공품은 10만원까지 가능합니다.
7. **증빙 서류 작성 및 보관**:
   - 업무추진비를 집행할 때는 집행목적, 일시, 장소, 집행 대상 등을 증빙서류에 상세히 기재하여 사용 용도를 명확히 해야 합니다.
   - 건당 50만원 이상인 경우에는 주된 상대방의 소속 또는 주소, 성명 등을 증빙서류에 반드시 기재해야 합니다.
8. **상품권, 기념품, 특산품 관리**:
   - 업무추진비로 상품권, 기념품, 특산품 등을 구매한 경우, 지급관리 대장에 지급일시, 대상자, 수량 등을 정확히 기록하고 결재를 받아야 합니다.
   - 이를 통해 사적인 용도로 사용되는 것을 방지하고 투명성을 유지해야 합니다.
9. **월정액 지급 금지**:
   - 업무추진비는 어떠한 경우에도 개인에게 월정액으로 지급해서는 안 됩니다.
   - 이는 업무추진비의 목적 외 사용을 방지하기 위한 조치입니다.
이러한 기준들은 업무추진비의 적절한 사용을 보장하고, 공공자금의 낭비를 막기 위한 것입니다. 따라서 모든 집행은 관련 법령과 지침에 따라 엄격하게 이루어져야 합니다. 만약 추가적인 질문이나 구체적인 사례에 대해 알고 싶으시면 언제든지 말씀해 주세요. 도움이 될 수 있도록 최선을 다하겠습니다.</t>
  </si>
  <si>
    <t>47881b89-c1be-42b7-8db5-b4025c269d3b</t>
  </si>
  <si>
    <t>e8b750f1-d9ba-4cfa-8366-17e23ec6cebf</t>
  </si>
  <si>
    <t>e00486c0-ac09-4d48-936a-8614ebf03b92</t>
  </si>
  <si>
    <t>eff8f2ea-84f5-4ddd-ade5-319c354f6baa</t>
  </si>
  <si>
    <t>b0ca5666-5e3c-46ea-92c4-052a03a211bd</t>
  </si>
  <si>
    <t>국민신문고 민원 처리 과정 알려주세요</t>
  </si>
  <si>
    <t>1234_국민신문고_사용자지침서_민원_v17.pdf</t>
  </si>
  <si>
    <t>16, 17</t>
  </si>
  <si>
    <t>3bffb2188b1747daa844450992abb5da</t>
  </si>
  <si>
    <t>네, 국민신문고를 통한 민원 처리 과정은 다음과 같습니다:
1. **민원인**이 국민신문고 또는 기관의 홈페이지 등을 통해 민원을 신청합니다. 이때, 민원의 처리를 원하는 기관을 반드시 지정해야 합니다.
2. **기관 선택 방법**: 
   - 시스템이 추천하는 처리기관을 선택할 수 있습니다.
   - 민원인이 직접 희망하는 기관을 입력하거나 검색하여 선택할 수도 있습니다.
3. **민원 접수 및 처리**:
   - 신청된 민원이 해당 기관의 소관 사항이면, 그 기관에서 민원을 접수하고 처리합니다.
   - 만약 소관 사항이 아니거나 여러 기관에서 처리해야 할 것으로 판단되면, 다른 기관으로 이송하거나 다부처 지정을 요청할 수 있으며, 필요 시 총괄 기관인 권익위원회에 조정 요청을 할 수 있습니다.
4. **분류 담당자의 역할**:
   - 처리 부서를 단계적으로 지정합니다.
   - 부서 자동 분류 기능을 활용하여 신청 단계에서 처리 부서를 자동으로 배정하거나, 접수 단계에서 처리 부서 추천 정보를 제공합니다.
5. **협조 처리가 필요한 경우**:
   - 해당 민원이 협조 처리가 필요하다고 판단되면, 협조 기관이나 협조 부서를 지정하여 협조 처리 민원으로 지정합니다.
6. **접수된 민원의 처리**:
   - 민원이 해당 부서에서 처리할 수 있는 것이면, 처리할 담당자를 지정합니다.
   - 그렇지 않은 경우에는 부서 재지정을 요청합니다.
7. **담당자의 처리**:
   - 해당 담당자가 처리할 수 있는 민원이면, 민원을 처리합니다.
   - 처리할 수 없는 경우에는 담당자 재지정을 요청합니다.
8. **처리 결과 통보**:
   - 민원인에게 처리 결과를 통보합니다.
9. **만족도 조사**:
   - 민원인이 자신의 민원에 대한 처리 결과를 확인하고 만족도 조사를 실시합니다.
이러한 과정을 통해 국민신문고는 민원인의 의견을 효율적으로 수집하고 처리하여 국민의 불편 사항을 해소하고자 노력하고 있습니다. 추가적인 질문이나 도움이 필요하시면 언제든지 말씀해 주세요!</t>
  </si>
  <si>
    <t>0c32c75a-bb7f-4b17-a879-ee060b9c85f8</t>
  </si>
  <si>
    <t>cb6abd5b-c06c-4462-ad3c-1157f0ed4439</t>
  </si>
  <si>
    <t>공무원증 신청 방법 알려줘</t>
  </si>
  <si>
    <t>ccba8a9166c842dbbc0492b0e97e12d8</t>
  </si>
  <si>
    <t>공무원증은 차세대 인사랑시스템(인사마당 탭 - 공무원증신청 메뉴)에서 발급 신청을 하면 됩니다. 신청 구분에 '실물공무원증'을 선택하고, 부서장의 결재를 포함한 내부 승인 절차를 거치면 됩니다. 또한, 증명사진을 함께 제출하거나 인사정보에 등록된 사진으로 신청할 수 있어요. 모바일 공무원증도 동일한 시스템에서 '모바일 공무원증'을 선택해 신청할 수 있으며, 신청 후에는 SMS로 발급 준비 완료 안내를 받고, 제공된 설치 URL을 통해 모바일 공무원증 앱을 설치하여 사용하실 수 있습니다. 하지만 현재 모바일 공무원증으로는 청사 출입이 불가능하다는 점 참고해 주세요. 신청 후 수령까지는 약 3~4주가 소요되며, 실제 기간은 기관 상황에 따라 달라질 수 있으니 여유 있게 신청하시는 것이 좋습니다. 도움이 되었길 바라며, 추가적인 질문이 있으시면 언제든지 말씀해 주세요!</t>
  </si>
  <si>
    <t>1e2e479d-7a22-4a66-a831-eecd78da5f29</t>
  </si>
  <si>
    <t>1231_공무원증_및_모바일공무원증_발급반납_협조_요청.pdf</t>
  </si>
  <si>
    <t>4c0c9b7a-856e-436f-bc20-0b4a9a18f820</t>
  </si>
  <si>
    <t>345_2409_정보화정책과_업무매뉴얼_정보화정책과_부산광역시_사이버안전_위기대응_실무_매뉴얼.pdf</t>
  </si>
  <si>
    <t>온나라에서 부재자 설정 및 기간은 어떻게 하나요?</t>
  </si>
  <si>
    <t>c2695fb8d9994cb4ba60f271924021e1</t>
  </si>
  <si>
    <t>온나라 시스템에서 부재자 설정은 다음과 같이 진행할 수 있습니다.
**본인이 직접 부재자를 설정하는 경우:**
1. **로그인 후 개인설정으로 이동**
   - 화면 상단의 '개인설정' 버튼을 클릭합니다.
2. **개인정보관리 선택**
   - 나타나는 메뉴 중 '개인정보관리'를 선택합니다.
3. **부재설정 탭 선택**
   - '개인정보관리' 페이지에서 '부재설정' 탭을 클릭합니다.
4. **부재 기간 설정**
   - 시작일과 종료일을 지정하여 부재 기간을 설정합니다.
   - 예를 들어, 오늘부터 다음 주 금요일까지 부재라면 해당 날짜를 입력합니다.
5. **저장 및 적용**
   - 설정이 완료되면 변경사항을 저장합니다.
   - 설정된 부재 기간은 즉시 적용되며, 해당 기간 동안에는 알림이나 처리해야 할 업무가 일시 중지되거나 연기될 수 있습니다.
**서무담당자가 다른 직원을 대신하여 부재자를 설정하는 경우:**
1. **로그인 후 부서관리자로 이동**
   - 화면 상단의 '개인설정' 버튼을 클릭한 후 '부서관리자'를 선택합니다.
2. **부재자 설정 대상 직원 선택**
   - 목록에서 부재자를 설정하고자 하는 직원의 이름을 찾습니다.
3. **부재설정 버튼 클릭**
   - 선택한 직원의 정보 옆에 있는 '부재설정' 버튼을 클릭합니다.
4. **부재 기간 설정**
   - 앞서 언급한 방법과 동일하게 시작일과 종료일을 지정합니다.
5. **저장 및 적용**
   - 설정을 완료하고 변경사항을 저장합니다.
   - 이때, 해당 직원은 자신의 부재 기간이 설정되었음을 인지하지 못할 수 있으므로 필요한 경우 안내해 주는 것이 좋습니다.
**주의사항:**
- 부재자 설정은 일정 기간 동안 업무로부터 잠시 벗어나고자 할 때 유용합니다.
- 부재 기간 중에는 중요한 공문이나 알림이 전달되지 않을 수 있으니, 긴급한 연락이 필요할 경우를 대비해 비상 연락처를 남겨두는 것이 좋습니다.
- 부재 기간이 끝난 후에는 시스템이 자동으로 정상 상태로 복귀하며, 추가적인 조치는 필요 없습니다.
이러한 절차를 통해 온나라 시스템에서 부재자 설정 및 기간을 효과적으로 관리할 수 있습니다. 추가로 궁금한 사항이 있으시면 언제든지 문의해 주세요!</t>
  </si>
  <si>
    <t>cc65a471-32fc-4c82-9b20-0843afcf10bf</t>
  </si>
  <si>
    <t>관외출장 등록 및 여비 신청 방법이 어떻게 하나요?</t>
  </si>
  <si>
    <t>268_2405_인사과_업무매뉴얼_행정안전부_출장관리_매뉴얼.pdf</t>
  </si>
  <si>
    <t>12, 13, 14, 15, 16</t>
  </si>
  <si>
    <t>0fda0c31a2ab486698e9c946abd7003e</t>
  </si>
  <si>
    <t>DRM, PC Client 아이디 및 비밀번호를 잊어버렸을 때 해결 방법은?</t>
  </si>
  <si>
    <t>629c037c6b454b0683150d7ae051a830</t>
  </si>
  <si>
    <t>DRM, PC Client의 아이디와 비밀번호를 잊어버린 경우 다음과 같이 해결할 수 있습니다:
1. **PC Client 재설치**
   - DRM이 설치된 컴퓨터에서 해당 프로그램을 완전히 제거합니다.
   - DRM 설치 파일을 다시 다운로드 받아 재설치합니다.
   - 재설치 과정에서 새로운 아이디와 비밀번호를 설정하거나 초기화된 상태로 사용할 수 있습니다.
2. **아이디 및 비밀번호 초기화 요청**
   - DRM 관리 담당 부서에 연락하여 아이디와 비밀번호 초기화를 요청합니다.
   - 일반적으로 조직 내에서 DRM 계정을 관리하는 부서나 IT 지원팀에 문의하면 됩니다.
   - 필요한 경우 본인 확인 절차를 거칠 수 있으며, 이에 따라 새로운 아이디와 임시 비밀번호가 발급됩니다.
3. **임시 비밀번호 사용 후 변경**
   - 초기화로 인해 발급받은 임시 비밀번호로 로그인에 성공했다면, 즉시 안전한 비밀번호로 변경해야 합니다.
   - 비밀번호 변경 시에는 보안 정책을 준수하여 복잡성을 갖춘 비밀번호를 사용하는 것이 좋습니다.
**참고 사항**
- **보안 정책 준수**: 비밀번호는 주기적으로 변경하고, 다른 서비스와 동일한 비밀번호를 사용하지 않도록 주의해야 합니다.
- **지원 부서 연락처 확보**: 문제 발생 시 신속하게 대응하기 위해 DRM 관련 지원 부서의 연락처를 미리 알아두는 것이 도움이 됩니다.
이러한 방법을 통해 DRM 시스템에 원활히 접근할 수 있게 되며, 추가적인 문제가 발생할 경우에는 전문 기술 지원을 받는 것을 권장합니다.</t>
  </si>
  <si>
    <t>업무추진비 집행을 위해서 확인해야할 규정은 무엇인가요? 그리고 업추비별 특성 및 사용가능내역 알려주세요.</t>
  </si>
  <si>
    <t>50d06b3e4b7d4aa690f6da2e8b097c7e</t>
  </si>
  <si>
    <t>업무추진비의 집행을 위해서는 먼저 **「지방자치단체 업무추진비 집행에 관한 규칙」**을 준수해야 합니다. 이 규칙은 지방자치단체의 장 등이 업무추진비를 어떻게 사용할 수 있는지에 대한 구체적인 지침을 제공합니다.
또한, 업무추진비는 일반적으로 두 가지 주요 예산과목인 **"기관운영업무추진비"(203-01)**와 **"시책추진업무추진비"(203-03)**로 구분됩니다. 각 예산과목별로 사용 가능한 내역이 다르며, 이는 앞서 언급한 규칙의 **별표1**에 상세히 나와 있습니다.
### 업무추진비별 특성 및 사용 가능 내역:
#### 1. **이재민 및 불우소외계층 지원**
   - **다른 지역의 재난 사고 격려금품·식사**: 다른 지역에서 재난이나 사고가 발생했을 때 이재민 또는 피해자에게 격려금품을 지급하거나 식사를 제공할 수 있습니다.
   - **관할 구역의 재난 사고 격려금품·식사**: 해당 지방자치단체 관할 구역에서 재난이나 사고가 발생했을 때 이재민, 피해자, 유가족, 재난 복구 종사자들에게 격려금품 지급 및 식사 제공을 할 수 있습니다.
   - **공직선거법 제112조 제2항 제3호에 따른 구호적 또는 자선적 행위**: 법적으로 허용된 범위 내에서 이재민 및 불우소외계층을 지원하는 활동이 가능합니다.
#### 2. **시책 또는 지역 홍보**
   - **언론관계자 지역특산품 제공**: 지역 특산품을 홍보하기 위해 언론관계자에게 의례적인 수준의 특산품을 제공할 수 있습니다.
   - **협약식 기념품·식사**: 다른 기관이나 단체와의 협약식에서 기념품을 증정하거나 교환하고, 관계자에게 식사를 제공할 수 있습니다.
   - **내방객 기념품 지급**: 내방객(일반 민원인 제외)에게 의례적인 수준의 기념품을 지급할 수 있습니다.
   - **언론관계자 간담회 식사 제공**: 시책 사업을 홍보하기 위해 언론관계자와의 간담회에서 식사를 제공할 수 있습니다.
#### 3. **학술·문화예술·체육활동 유공자 격려**
   - **대표선수 격려금품·식사**: 해당 지방자치단체의 대표선수나 관할 구역에 주소지를 둔 선수가 국제 대회나 국내 대회에 참가하는 경우 격려금품 지급 및 식사 제공을 할 수 있습니다.
   - **공연·행사 현장 종사자 격려금품·식사**: 공연단, 예술단 등이 관내에서 공연이나 행사를 진행할 때 현장 종사자에게 격려금품 지급 및 식사 제공을 할 수 있습니다.
   - **자원봉사자 격려금품·식사**: 지역사회 봉사에 참여하는 자원봉사자나 단체에게 격려금품 지급 및 식사 제공을 할 수 있습니다.
#### 4. **회의·간담회·행사 관련 비용**
   - **사업추진 관계자 식사 제공**: 시책 사업의 추진에 기여한 공로가 있거나 원활한 사업 추진을 위해 필요한 경우 사업추진 관계자에게 식사를 제공할 수 있습니다.
   - **회의 참석자 식사 제공**: 공식 회의를 개최하고 사전 계획에 따라 참석한 사람들에게 식사를 제공할 수 있습니다.
   - **행사 관계자 기념품·식사 제공**: 직무와 직접 관련된 행사에서 관계자에게 기념품을 제공하고 식사를 제공할 수 있습니다.
   - **국제 교류 및 협력 증진 선물·식사 제공**: 대사, 영사, 교민, 자매결연 지자체 관계자 등과의 국제 교류를 위해 선물을 제공하고 식사를 제공할 수 있습니다.
   - **타 기관 방문자 기념품·식사 제공**: 벤치마킹, 교육 등의 목적으로 방문한 타 기관의 방문자에게 기념품을 제공하고 식사를 제공할 수 있습니다.
#### 5. **현업 부서·현장 근무자 격려**
   - **타 기관 현장 근무자 격려금품 지급**: 군부대, 경찰서, 소방서 등에서 근무하는 현장 근무자들을 위해 해당 기관 대표자에게 격려금품을 지급할 수 있습니다.
#### 6. **소속 상근 직원 격려 및 지원**
   - **부상 또는 사망 위로금품 지급**: 소속 직원이 부상을 입거나 사망한 경우 유족에게 위로금품을 지급할 수 있습니다.
   - **퇴직 공무원 격려금품 지급**: 공로가 많은 퇴직 공무원에게 격려금품을 지급할 수 있습니다.
   - **평가 우수자(부서) 격려금품 지급**: 전국 단위 또는 시·도·군·구 단위 평가에서 우수한 성적을 거둔 개인이나 부서에 격려금품을 지급할 수 있습니다.
   - **현장 근무자 격려금품 지급**: 수로원, 환경미화원 등 현장 근무자에게 격려금품을 지급할 수 있습니다.
   - **업무 추진 격려 식사 제공**: 소속 직원들에게 업무 추진에 대한 격려를 위해 식사를 제공할 수 있습니다.
   - **비상근무자 격려금품 및 식사 제공**: 재난, 재해, 사건 사고 등으로 인해 비상근무를 하는 직원들에게 격려금품을 지급하고 식사를 제공할 수 있습니다.
   - **간부공무원 방문 시 격려금품 및 식사 제공**: 지방자치단체의 장이나 간부공무원이 소속 기관이나 하급 기관을 방문할 때 해당 기관의 직원들에게 격려금품을 지급하고 식사를 제공할 수 있습니다.
   - **연말·명절·생일 선물 제공**: 본청 직원 및 하위 기관 대표자에게 연말, 명절, 생일 등에 의례적인 선물을 제공할 수 있습니다.
#### 7. **업무 추진 유관기관 협조**
   - **유관기관 기념품 및 식사 제공**: 지방의회, 국가기관, 다른 지방자치단체 등과 공동으로 행사를 하거나 회의를 개최할 때 관계자들에게 기념품을 제공하고 식사를 제공할 수 있습니다.
   - **유관기관 장의 퇴임·전출입 시 격려금품 제공**: 유관기관의 장이 퇴임하거나 전출입할 때 그들에게 격려금품을 지급할 수 있습니다.
   - **기념식 등에서의 화환·화분·기념품 제공**: 국경일 기념식, 공공기관 이전, 시설 개소식 등에서 내빈에게 화환이나 화분을 제공하거나 기념품을 지급할 수 있습니다.
#### 8. **직무 수행과 관련된 통상적 경비**
   - **내방객 음료·다과 재료 구입**: 내방객에게 제공할 음료나 다과 재료를 구입할 수 있습니다.
   - **축의·부의금품 지출**: 경조사 시 축의금이나 부의금을 지출할 수 있습니다.
#### 9. **기타 조례 또는 법령에 의한 사항**
   - **그 밖에 해당 지방자치단체의 직무 수행과 관련하여 조례나 법령에 의해 미리 정해진 경우**: 별도의 규정이나 지침에 따라 업무추진비를 사용할 수 있습니다.
이러한 내용들은 모두 **「지방자치단체 업무추진비 집행에 관한 규칙」**에 기반하여 적용되며, 업무추진비를 집행할 때는 반드시 해당 규정을 확인하고 준수해야 합니다. 또한, 모든 지출은 투명성과 공정성을 확보하기 위해 정확한 증빙 자료를 보관하고 관리해야 합니다. 추가적인 문의사항이 있으시면 언제든지 말씀해 주세요!</t>
  </si>
  <si>
    <t>283fdc88-8352-44ef-a5de-39ab118e8183</t>
  </si>
  <si>
    <t>b72df2a1-7e86-4891-b5f8-d6b1bfd3f2c9</t>
  </si>
  <si>
    <t>온나라에서 부재자 설정은 어떻게 하나요?</t>
  </si>
  <si>
    <t>7122ea6ee81045c3ba07caf19772d454</t>
  </si>
  <si>
    <t>온나라 시스템에서 부재자 설정은 다음과 같이 진행할 수 있습니다.
**본인이 부재자 설정하는 경우:**
1. **로그인 후 개인설정으로 이동**
   - 화면 상단의 '개인설정' 버튼을 클릭합니다.
2. **개인정보관리 선택**
   - 나타나는 메뉴 중 '개인정보관리'를 선택합니다.
3. **부재설정 탭 선택**
   - '개인정보관리' 페이지에서 '부재설정' 탭을 클릭합니다.
4. **부재 기간 설정**
   - 부재 시작일과 종료일을 입력하여 부재 기간을 설정합니다.
   - 부재 사유를 선택하거나 직접 입력할 수 있습니다.
5. **저장 및 적용**
   - 모든 정보를 입력한 후 '저장' 버튼을 눌러 설정을 완료합니다.
**서무담당자가 부재자 설정하는 경우:**
1. **로그인 후 부서관리자로 이동**
   - 화면 상단의 '개인설정' 버튼을 클릭한 후 '부서관리자'를 선택합니다.
2. **직원 정보 확인**
   - 해당 직원의 이름을 찾아 상세 정보를 확인합니다.
3. **부재자 설정**
   - 직원 정보 하단에 있는 '부재자 설정' 옵션을 사용하여 부재 기간을 설정합니다.
4. **저장 및 적용**
   - 변경 사항을 저장하여 설정을 완료합니다.
이렇게 하면 부재 기간 동안에는 알림이나 처리해야 할 업무로부터 일시적으로 제외될 수 있으며, 복귀 후에는 정상적으로 업무를 재개할 수 있습니다. 부재자 설정은 조직 내 원활한 업무 흐름과 효율적인 일정 관리를 위해 중요한 기능입니다. 추가적인 도움이 필요하시면 언제든지 말씀해 주세요!</t>
  </si>
  <si>
    <t>시 홈페이지 고시공고 등록하는 방법이 어떻게 되나요?</t>
  </si>
  <si>
    <t>87_2504_미디어담당관_업무매뉴얼_미디어담당관_매거진운영팀_홍보_요청_절차.pdf</t>
  </si>
  <si>
    <t>6c68942efe024c9eb81081e911cf4756</t>
  </si>
  <si>
    <t>시 홈페이지에 고시공고를 등록하려면 다음과 같은 절차를 따르시면 됩니다:
1. **온나라 행정포털 접속**: 먼저, 업무용 포털인 온나라에 로그인하여 접근합니다.
2. **메뉴 선택**: 행정업무 메뉴에서 `공보관리`를 선택한 다음, 그 하위 메뉴에서 `고시/공고 등록(입법예고 등록)`을 클릭합니다.
3. **내용 입력**:
   - **등록일자 설정**: 홈페이지에 게시될 날짜를 지정합니다. 이 날짜는 자동으로 홈페이지에 반영됩니다.
   - **고시/공고 제목 및 내용 입력**: 고시나 공고의 제목과 상세 내용을 정확하게 입력합니다.
   - **첨부 파일 업로드**: 관련 문서나 자료가 있다면 첨부할 수 있습니다.
4. **결재 진행**: 입력한 내용이 정확하다면 내부 결재를 받습니다. 이는 상급자의 승인을 의미하며, 절차상 필수적입니다.
5. **자동 등록 확인**: 결재가 완료되면 별도의 추가 작업 없이 홈페이지에 고시/공고가 자동으로 등록됩니다.
6. **수정 또는 삭제 필요 시**: 만약 내용의 수정이나 삭제가 필요하다면, 담당자에게 연락하여 처리해야 합니다. 이때는 미디어담당관의 도움을 받으셔야 합니다.
참고로, 시보(공보지)에 게재를 원하시는 경우에는 위의 절차 외에 추가로 시보 발행 일정을 고려하셔야 하며, 시보 발행 전에 공문을 통해 게재 의뢰를 해야 합니다.
추가적인 도움이 필요하시거나 더 자세한 안내가 필요하시면 언제든지 말씀해 주세요.</t>
  </si>
  <si>
    <t>8dfd3c30-05ac-4386-8d4b-5e8c42464cab</t>
  </si>
  <si>
    <t>단체보장보험 세부 보장내용 및 청구방법은 무엇인가요?</t>
  </si>
  <si>
    <t>c95659db53354fca8aaefcaf03ea47d5</t>
  </si>
  <si>
    <t>안녕하세요! 제가 도와드릴 수 있도록 질문 주신 내용에 대해 자세히 설명해 드릴게요.
**단체보장보험 세부 보장내용**
우선, 2025년도 부산광역시 직원들을 위한 단체보장보험의 주요 보장 내용은 다음과 같습니다:
1. **생명보험**: 재해 또는 질병으로 인한 사망 시 최대 1억 원까지 보장됩니다.
2. **공무 중 사망**: 공무 수행 중에 발생한 사망의 경우 추가로 5천만 원이 지급됩니다.
3. **상해보험**: 상해로 인한 장애 발생 시 장해지급률에 따라 최대 1억 원까지 지급됩니다.
   - **암, 뇌졸중, 심근경색 최초 진단**: 각각 1천만 원씩 지급됩니다.
   - **5종 수술비**: 수술 종류에 따라 최소 7만 원에서 최대 150만 원까지 지급됩니다.
   - **대장·위 폴립 진단비**: 1회에 한해 10만 원이 지급됩니다.
   - **치아 치료비(보철)**:
     - 임플란트, 브릿지, 틀니 등에 대해 연간 3개 한도로 개당 30만 원씩 지급됩니다.
   - **상해·폭행 위로금**: 1백만 원이 지급됩니다.
   - **피싱, 해킹, 금융 사기**: 금전적 손실에 대해 최대 5백만 원까지 보상됩니다.
4. **실손의료비(선택 항목)**:
   - 입원 및 통원의료비를 통합하여 최대 3천만 원까지 보장되며,
   - 통원 1회당 최대 15만 원까지 지원됩니다.
**배우자에 대한 보장 내용**은 별도의 파일([붙임1])에 상세히 나와 있으니 참고하시면 됩니다.
---
**청구 방법 안내**
보험금 청구를 위해서는 다음의 절차를 따르시면 됩니다:
1. **보험금 청구서 출력 및 작성**:
   - KB손해보험 홈페이지(http://www.kbinsure.co.kr)에서 보험금 청구서 양식을 다운로드 받아 작성합니다.
   - 사고 내용과 특성에 맞게 필요한 정보를 정확하게 기재해야 합니다.
2. **구비 서류 준비**:
   - 각 보장 항목에 따른 증빙 서류를 준비합니다.
   - 예를 들어, 의료비 보상의 경우 진료비 영수증, 진단서 등이 필요합니다.
3. **청구서 제출 방법 선택**:
   - **팩스 접수**:
     - 대상 담보가 100만 원 미만인 경우 팩스로 접수 가능합니다.
     - 팩스 번호: 0505-136-6600
     - 전화 문의: 1544-1616 (ARS 이용 후 2번)
   - **우편 접수**:
     - 대상 담보가 100만 원 이상이거나 사망, 후유장해 등의 경우에는 우편 접수가 필요합니다.
     - 주소: 서울특별시 마포구 양화로 19, 19층 인보험 사고접수센터 (합정동, KB손해보험 합정빌딩)
4. **보험금 수령 계좌 확인**:
   - 보험금은 피보험자 본인 명의의 계좌로 지급됩니다.
   - 미성년자의 경우 부모님의 계좌로도 수령 가능하며, 이 경우 위임장 없이 친권자 계좌로 받을 수 있습니다.
5. **추가 서류 요청 대비**:
   - 심사 과정에서 추가적인 서류 제출이 요구될 수 있으므로, 이에 대비하여 관련 자료를 미리 준비하시는 것이 좋습니다.
6. **보험금 지급 절차 조회**:
   - 보험금 지급 여부는 SMS, 카카오톡 알림톡 등으로 통보됩니다.
   - KB손해보험 홈페이지에서 계약 내용, 사고 결과, 지급 내역 등을 확인할 수 있습니다.
7. **소멸시효 유의**:
   - 보험금 청구권은 사고 발생일로부터 3년 이내에 청구해야 하며, 2015년 3월 12일 이전 사고의 경우 2년 이내입니다.
8. **다른 보험과의 비례 보상**:
   - 동일한 보장을 제공하는 다른 보험에 가입되어 있는 경우, 실제 부담한 비용 내에서 보험사 간에 분담하여 지급됩니다.
   - 이를 위해 접수 대행 신청서를 작성하고 개인정보 활용에 동의하면 처리가 용이합니다.
---
**추가 정보**
- **모바일 청구 서비스**:
  - 실손의료비의 경우 KB손해보험 앱을 통해 간편하게 청구할 수 있습니다.
  - 앱스토어 또는 플레이스토어에서 "KB손해보험" 앱을 설치하여 사용 가능합니다.
- **문의 사항 연락처**:
  - 콜센터: 1544-1616
  - 이메일: kimhk1024@korea.kr
---
이렇게 단체보장보험의 세부 보장 내용과 청구 방법에 대해 알아보았습니다. 더 궁금한 점이 있으시면 언제든지 물어보세요! 도움이 필요하시다면 언제든 말씀해 주세요.</t>
  </si>
  <si>
    <t>행정정보 공동이용 권한 신청은 어떻게 하는것인가요?</t>
  </si>
  <si>
    <t>f1a13db196044f6ca5f3453a38058966</t>
  </si>
  <si>
    <t>행정정보 공동이용 권한 신청 절차는 다음과 같습니다:
1. **신청 대상 확인**: 먼저, 신청하려는 사무가 행정정보 공동이용 신청 대상인지를 확인해야 합니다. 이는 민원사무, 내부사무, 조례규칙사무, 고객사무 등이 될 수 있습니다.
2. **관련 법령 및 지침 숙지**: 전자정부법과 행정정보 공동이용 지침을 참조하여 신청 절차를 정확히 이해해야 합니다. 특히, 가족관계등록정보나 개인정보와 관련된 사항은 특별한 주의가 필요합니다.
3. **정보보유기관과의 사전 협의**: 공동이용하려는 행정정보가 개인정보이거나 특정 기관의 정보를 이용하는 경우, 해당 정보보유기관과 사전에 협의를 해야 합니다. 예를 들어, 가족관계등록정보를 이용하려면 법원행정처와 협의가 필요합니다.
4. **사무 소관 중앙행정기관 의견 조회**: 신청하려는 사무가 법령에 규정되어 있고, 그 사무의 처리절차 및 확인해야 할 행정정보가 법령에 구체적으로 정해져 있지 않은 경우, 사무 소관 중앙행정기관의 의견을 받아야 합니다.
5. **행정정보 공동이용 신청서 작성 및 제출**:
   - **신청서 준비**: 행정정보 공동이용 지침 별지 제3호 서식을 사용하여 신청서를 작성합니다.
   - **첨부 서류 준비**: 앞서 언급한 의견 조회 회신 공문이나 정보보유기관과의 협의 결과를 첨부합니다.
   - **제출 대상**: 작성한 신청서와 첨부 서류를 행정안전부 공공지능정책과로 공문을 통해 제출합니다.
6. **신청 내용 검토 및 승인 대기**: 행정안전부에서 신청 내용을 검토하고, 필요시 보완 요청을 할 수 있습니다. 이후 정보보유기관의 동의를 얻어 최종 승인을 받습니다.
7. **권한 부여 및 활용**: 승인이 완료되면, 해당 사무를 처리하는 담당자는 행정정보 공동이용 시스템을 통해 필요한 행정정보를 확인할 수 있는 권한이 부여됩니다.
8. **보안서약서 체결**: e하나로민원 시스템을 통해 온라인으로 보안서약서를 체결해야 합니다.
이러한 절차를 따르면 행정정보 공동이용 권한을 신청하고 활용할 수 있습니다. 만약 구체적인 사례나 추가로 궁금한 점이 있으시면 알려주세요! 도움이 필요하면 언제든지 말씀해 주세요.</t>
  </si>
  <si>
    <t>90f03a44-9d79-434b-bc90-4c48126afc04</t>
  </si>
  <si>
    <t>1260_행정정보_공동이용_신규사무신청_매뉴얼_202405.pdf</t>
  </si>
  <si>
    <t>62ccf8ce-1f8d-485b-8a7b-20e8d93f9fb7</t>
  </si>
  <si>
    <t>430_2408_통합민원과_업무매뉴얼_행정안전부_행정정보공동이용.pdf</t>
  </si>
  <si>
    <t>ea084d60-7b66-4a81-9eba-8e69090afa09</t>
  </si>
  <si>
    <t>GPKI 재발급 및 인사이동시 이동은 어떻게 하는 것인가요?</t>
  </si>
  <si>
    <t>65d6ce94febc4bb692a74394c6b5a4cd</t>
  </si>
  <si>
    <t>안녕하세요! 부산광역시청 임직원을 위한 GPKI(Government Public Key Infrastructure) 관련 업무 매뉴얼에 대해 질문하셨네요.
**GPKI 재발급 및 인사이동 시 이동 방법에 대한 안내**
---
### **1. GPKI 재발급 방법**
#### **신청 절차**
- **첨부된 한글 파일 서식 작성**: 제공된 한글 파일 양식을 작성하여 필요한 정보를 기입하세요.
- **공문 제출**: 작성한 서식을 공문에 첨부하여 정보화정책과로 신청합니다.
    - **주의사항**:
        - 기간제 직원인 경우 근무 기간을 반드시 명시해야 합니다.
        - 각 구·군, 상수도사업본부, 소방재난본부 등은 해당 부서로 직접 신청합니다.
            - 구·군: 구·군 전산팀
            - 상수도사업본부: 경영지원부 정보관리팀
            - 소방재난본부: 119종합상황실
#### **발급 과정**
- **처리 완료 통보**: 공문을 수신한 후 발급 가능 처리를 하면, 휴대전화로 발급 가능하다는 문자 메시지가 발송됩니다.
- **인증서 발급**
    - **사이트 접속**: `gpki.go.kr`에 접속합니다.
    - **로그인**: 이름과 주민등록번호를 입력하고, 휴대전화로 받은 인증번호로 인증을 완료합니다.
    - **인증서 발급**: 메뉴에서 "인증서 관리/발급"을 선택하고, 구분에서 "개인용", "행정기관"을 선택하여 인증서를 발급받습니다.
    - **유의사항**: 이 과정은 행정망에서만 가능합니다.
#### **비밀번호 분실 시**
- **재발급 신청**: 비밀번호를 분실한 경우에도 위와 동일한 절차를 통해 재발급 신청을 해야 합니다.
---
### **2. 인사이동 시 GPKI 이동 방법**
#### **이동 준비**
- **행정전자서명 파일 압축**: 현재 사용 중인 PC에서 행정전자서명이 저장된 `C:\GPKI` 폴더 전체를 압축합니다.
    - **중요**: `GPKI` 폴더 전체를 압축해야 하며, 개별 파일이나 하위 폴더만으로는 정상적으로 이동할 수 없습니다.
#### **압축 파일 전송**
- **온메일 또는 온톡 이용**: 압축한 파일을 자신의 이메일 계정인 온메일 또는 메신저인 온톡을 이용하여 자신에게 보냅니다.
    - **온메일 사용 시 주의사항**:
        - 행정포털의 로그인 계정과 비밀번호(ID/PW)를 정확히 알고 있어야 합니다.
        - 보안상의 이유로 외부 메일로는 보낼 수 없으므로 내부 시스템을 활용합니다.
#### **새 PC에서의 설치**
- **압축 파일 다운로드**: 새로운 PC에서 온메일 또는 온톡을 열어 이전에 보낸 압축 파일을 내려받아 저장합니다.
- **압축 해제**: 압축 파일을 `C:\` 드라이브에 압축 해제합니다.
    - **확인 사항**:
        - `C:\GPKI\certificate\class2` 폴더 내에 본인의 이름으로 된 파일이 4개 존재하는지 확인합니다.
        - `[class2]` 폴더만 복사하면 안 되며, 반드시 `GPKI` 폴더 전체를 옮겨야 합니다.
#### **정상 작동 여부 확인**
- **행정전자서명 홈페이지 접속**: `gpki.go.kr`에 접속하여 인증서가 제대로 인식되는지 확인합니다.
- **문제 발생 시 조치**:
    - 기술적인 문제가 발생할 경우, 인증관리센터 콜센터(☎1661-9088)로 문의합니다.
    - 그 외 발급 및 갱신 절차나 진행 상황에 대한 문의는 정보화정책과로 연락합니다.
---
**추가 팁**
- **보안 유지**: 인증서는 중요한 개인정보이므로, 이동 과정에서 유출되지 않도록 주의해야 합니다.
- **백업 권장**: 인증서 백업을 정기적으로 실시하여 예기치 못한 상황에서 대비합니다.
---
이렇게 GPKI의 재발급 및 인사이동 시의 이동 방법을 따라하시면 원활하게 업무를 이어나가실 수 있습니다. 추가로 궁금한 사항이 있으시면 언제든지 문의해 주세요. 도움이 되었기를 바랍니다!</t>
  </si>
  <si>
    <t>4079d725-ae34-4963-89e9-a8a0a3b18329</t>
  </si>
  <si>
    <t>장기재직 휴가 등록 및 사용 방법이 어떻게 되나요?</t>
  </si>
  <si>
    <t>d7bbfffed6be491a83cd84712990f83a</t>
  </si>
  <si>
    <t>장기재직 휴가는 재직기간에 따라 부여되는 특별휴가로, 다음과 같이 등록하고 사용할 수 있습니다:
**1. 등록 절차**
- **사전 등록**: 직원이 자신의 재직기간에 해당하는 장기재직 휴가 일수를 확인하고, 이를 부서별 서무를 통해 차세대 인사시스템에 등록합니다.
- **승인권자 승인**: 부서장이나 승인권자가 휴가 신청 내용을 검토하고 승인합니다. 이때, 업무 대행자를 지정하여 업무 공백을 방지해야 합니다.
**2. 사용 방법**
- **휴가 신청**: 휴가를 사용하고 싶은 날짜와 기간을 정해 차세대인사랑 복무관리시스템을 통해 휴가 신청을 합니다.
- **결재 획득**: 부서장의 최종 결재를 받아 휴가를 확정합니다.
- **휴가 실시**: 승인된 기간에 맞춰 휴가를 사용하면 됩니다.
**주의 사항**
- **최소 사용 일수**: 휴가 기간은 최소 2일 이상으로 분할 사용이 가능합니다.
- **토·일요일 및 공휴일 제외**: 휴가 기간 계산 시 토요일, 일요일, 공휴일은 포함되지 않습니다.
- **연가와의 연계 사용**: 필요에 따라 연가와 연계하여 사용할 수 있으며, 이 경우에도 사전에 계획에 포함하여 결재를 받아야 합니다.
**추가 정보**
- **재직기간 확인**: 공무원연금공단에서 제공하는 재직기간 정보를 활용하여 정확한 휴가 일수를 확인할 수 있습니다.
- **비상 연락망 유지**: 장기간 휴가 중에는 긴급 상황에 대비하여 비상 연락망을 유지하는 것이 중요합니다.
이러한 절차를 따르면 장기재직 휴가를 원활하게 등록하고 사용할 수 있습니다. 더 궁금한 점이 있으시면 언제든지 물어보세요!</t>
  </si>
  <si>
    <t>관외출장 시 신청 방법과 여비는 어떻게 받나요?</t>
  </si>
  <si>
    <t>343_2405_정보화정책과_업무매뉴얼_행정안전부_온나라20_사용자교육자료배포용.pdf
355_2412_정보화정책과_업무매뉴얼_KLID_온나라_20_부서관리자_교육자료PDF.pdf</t>
  </si>
  <si>
    <t>7ead1490e922428a8bc6e3ce5dcce7fd</t>
  </si>
  <si>
    <t>안녕하세요! 질문하신 내용에 대해 자세히 안내해 드리겠습니다.
**관외출장 시 신청 방법**
- **사전 결재**: 관외출장을 가기 전에 출장 목적, 일정, 소요 경비 등에 대한 상세 내용을 담은 출장계획서를 작성해야 합니다.
- **출장신청서 제출**: 작성한 출장계획서와 필요한 서류를 상급자나 담당 부서에 제출하여 사전에 결재를 받아야 합니다.
- **승인 확인**: 결재가 완료되면 출장 승인 여부를 확인하고, 출장 일정을 확정합니다.
**여비 지급 절차**
- **영수증 첨부**: 출장 후에는 실제 사용한 경비를 증빙하기 위해 교통비, 숙박비, 식비 등에 대한 영수증을 모두 수집합니다.
- **출장보고서 작성**: 출장 결과를 정리한 보고서를 작성하고, 이때 영수증을 첨부합니다.
- **후속 결재**: 출장보고서는 사후 결재를 통해 최종 승인을 받게 됩니다.
- **여비 지급**: 모든 절차가 완료되면, 지출된 경비에 대해 여비가 지급됩니다.
**주의 사항**
- **교통비 제한**: 교통비는 시외/고속버스, 철도, 항공 등의 운임만 해당되며, 현지에서의 택시나 시내버스 요금 등은 포함되지 않습니다.
- **실비 원칙**: 숙박비와 식비는 실제로 지출된 비용만큼 지급되지만, 각 지역별로 상한액이 설정되어 있습니다.
- **예산 사정 고려**: 추가적인 비용이 발생할 수 있으므로, 예산 상황을 미리 파악하고 필요 시 조정이 필요할 수 있습니다.
추가적으로 궁금한 사항이 있으시면 언제든지 말씀해 주세요! 도움이 필요하시면 기꺼이 도와드리겠습니다.</t>
  </si>
  <si>
    <t>715b0bb8-78d2-4e63-a7eb-07f6057a4bcd</t>
  </si>
  <si>
    <t>온나라 문서배부가 잘못되엇습니다 어떻게 수정하나요?</t>
  </si>
  <si>
    <t>None</t>
  </si>
  <si>
    <t>44
 31</t>
  </si>
  <si>
    <t>7f3eb9805c9545c7bd80ef6eca8f6de1</t>
  </si>
  <si>
    <t>온나라 팀장님 지정 및 부재시 부재설정은 어떻게 하나요?</t>
  </si>
  <si>
    <t>355_2412_정보화정책과_업무매뉴얼_KLID_온나라_20_부서관리자_교육자료PDF.pdf
353_2412_정보화정책과_업무매뉴얼_KLID_온나라_20_달라지는_점PDF.pdf</t>
  </si>
  <si>
    <t>11
 26</t>
  </si>
  <si>
    <t>cd55294398bb49f08b5490fed39f1abe</t>
  </si>
  <si>
    <t>업무추진비 사용할 수 있는 항목이 구체적으로 어떻게 되나요?</t>
  </si>
  <si>
    <t>2ec865ed03b141d185c54452b1b73583</t>
  </si>
  <si>
    <t>업무추진비는 지방자치단체의 원활한 업무 수행을 위해 사용되는 비용으로, 그 사용 범위는 엄격하게 규제되어 있습니다. 일반적으로 업무추진비는 다음과 같은 항목에 사용할 수 있습니다:
1. **소속 상근직원에 대한 격려 및 지원**:
   - 부상이나 사망한 상근직원의 유족에게 위로금품을 지급하는 경우.
   - 공로가 많은 퇴직 공무원에게 격려금품을 지급하는 경우.
   - 전국 단위 또는 시·도 및 시·군·구 단위 평가에서 우수한 성적을 거둔 직원이나 부서에 대해 격려금품을 지급하는 경우.
   - 수로원, 청사 방호원, 주·정차 단속원 등 현장 근무자들에게 격려금품을 지급하는 경우.
   - 업무 추진에 대한 격려를 위해 소속 상근직원들에게 식사를 제공하는 경우.
   - 재난, 재해, 사건 사고 등으로 인해 비상근무를 하는 직원들에게 격려금품과 식사를 제공하는 경우.
   - 간부 공무원이 소속 기관이나 하급 기관을 방문할 때 그 기관의 상근직원들에게 업무 추진에 대한 격려를 위해 식사나 격려금품을 제공하는 경우.
   - 연말, 명절, 생일 등에 본청 상근직원 및 차하급 기관 대표자에게 의례적인 선물을 제공하는 경우.
2. **업무 추진 유관기관과의 협조**:
   - 해당 지방자치단체의 의회, 국가기관, 다른 지방자치단체, 교육기관, 군부대, 경찰서, 금융기관 등과 공동으로 진행하는 행사, 회의, 업무 협조를 위해 기념품을 제공하고 식사를 제공하는 경우.
   - 지방자치단체 관할 구역의 유관기관 장이 퇴임하거나 전출입할 때 그들에게 의례적인 화환, 화분, 기념품을 제공하거나 격려금품을 지급하는 경우.
   - 각종 국경일의 기념식, 공공기관 이전 또는 공공시설의 개소 등에서 내빈에게 의례적인 수준의 화환이나 화분을 제공하거나 기념품을 지급하는 경우.
3. **직무 수행과 관련된 통상적 경비**:
   - 내방객에게 제공하는 음료나 다과 재료의 구입.
   - 축의금이나 부의금품을 지급하는 경우.
4. **그 밖에 조례 또는 법령에 의해 미리 정해진 경우**:
   - 해당 지방자치단체의 직무 수행과 관련하여 대상, 방법, 범위를 구체적으로 정한 조례나 법령에 따라 필요한 경우.
이러한 사용 범위는 지방자치단체의 회계관리에 관한 훈령과 업무추진비 집행에 관한 규칙 등에 상세히 규정되어 있으며, 이를 준수해야 합니다. 또한, 업무추진비는 원칙적으로 현금으로 사용할 수 없으며, 신용카드나 직불카드 등 적합한 결제 수단을 통해 집행되어야 합니다. 사용 후에는 정확한 증빙 서류를 갖추어야 하며, 특히 50만원 이상인 경우에는 주요 상대방의 소속, 주소, 성명 등을 증빙 서류에 기재해야 합니다.
더 자세한 내용은 해당 지방자치단체의 회계 담당 부서나 관련 규정을 참고하시면 도움이 될 것입니다. 추가로 궁금한 사항이 있으시면 언제든지 문의해 주세요!</t>
  </si>
  <si>
    <t>ababe407-4331-4f7f-aebd-a9224983eb04</t>
  </si>
  <si>
    <t>e0e9d28e-e01f-4c6c-93d4-8d6f68671933</t>
  </si>
  <si>
    <t>9a729ebf-6b86-4382-8c5d-22291957d2fc</t>
  </si>
  <si>
    <t>729d22d3-722f-46bf-be7e-aa760f2f022d</t>
  </si>
  <si>
    <t>ee1b7b8e-8ae4-450e-a056-cf17636d0917</t>
  </si>
  <si>
    <t>DRM 비밀번호 초기화는 어떻게 하나요?</t>
  </si>
  <si>
    <t>191b5969eeea4f53b2229b93f65dbbd9</t>
  </si>
  <si>
    <t>DRM 비밀번호 초기화를 위해서는 다음과 같은 절차를 따르면 됩니다:
1. **부서관리자 사이트에 접속하기**:
   - 주소: `http://99.1.81.71:9080/fed5`
   - 사용자 ID와 비밀번호를 입력하여 로그인을 합니다. 이때 사용하는 ID와 비밀번호는 자료유출방지시스템(DRM)의 것입니다.
2. **조직관리 메뉴 접근하기**:
   - 로그인 후 상단의 메뉴에서 `[공통설정 &gt; 조직관리]`를 클릭합니다.
3. **사용자 선택 및 수정하기**:
   - 좌측에 표시되는 부서 목록에서 해당 부서를 선택합니다.
   - 선택한 부서 내의 사용자를 찾아 우측 상단에 있는 `[수정]` 버튼을 클릭합니다.
4. **비밀번호 초기화 설정하기**:
   - 나타나는 화면에서 비밀번호 재설정을 위한 초기화 비밀번호를 입력합니다. 이 초기화 비밀번호는 `a12345`입니다.
   - 우측 상단의 `[확인]` 버튼을 눌러 변경 사항을 적용합니다.
5. **사용자에게 안내하기**:
   - 비밀번호가 초기화된 후에는 해당 사용자가 시스템에 다시 로그인하여 새로운 비밀번호로 변경해야 합니다.
위의 단계를 따라 진행하면 DRM의 비밀번호를 성공적으로 초기화할 수 있습니다. 만약 추가적인 도움이 필요하거나 다른 문의 사항이 있으시면 언제든지 말씀해 주세요.</t>
  </si>
  <si>
    <t>건강검진비 및 휴양시설 지원 신청은 어디서 하나요?</t>
  </si>
  <si>
    <t>289_2501_인사과_기타_인사과_2025년도_건강검진_대상자_및_검진실시_안내.pdf
301_2502_인사과_업무매뉴얼_인사과_직원복지지원시스템_신청방법휴양시설_이용_지원.pdf</t>
  </si>
  <si>
    <t>1
1, 2, 3, 4, 5</t>
  </si>
  <si>
    <t>deb512bcd975473fa9629af84f51e148</t>
  </si>
  <si>
    <t>온나라시스템 부재 설정 방법은 어떻게 되나요?</t>
  </si>
  <si>
    <t>2e2b7cf4b7794d43a20ee91522843405</t>
  </si>
  <si>
    <t>온나라시스템에서 부재 설정은 다음과 같이 진행하실 수 있습니다:
**본인이 부재자 설정하는 경우:**
1. **로그인 후 개인설정으로 이동**: 메인 화면에서 우측 상단의 '개인설정' 아이콘을 클릭합니다.
2. **개인정보관리 선택**: 나타나는 메뉴 중 '개인정보관리'를 선택합니다.
3. **부재설정 탭 선택**: 좌측 메뉴에서 '부재설정'을 클릭합니다.
4. **부재 기간 설정**: 부재 시작일과 종료일을 지정하여 설정합니다.
**서무담당자가 부재자 설정하는 경우:**
1. **로그인 후 부서관리자로 이동**: 메인 화면에서 우측 상단의 '개인설정' 아이콘을 클릭한 뒤 '부서관리자'를 선택합니다.
2. **직원 정보 확인**: 직원 목록에서 해당 직원의 정보를 찾습니다.
3. **부재자 설정**: 해당 직원의 부재 기간을 설정합니다.
이렇게 설정하시면 부재 기간 동안에는 결재 요청이나 알림이 제한되거나 조정될 수 있어 업무 효율성을 높일 수 있습니다. 추가적인 도움이 필요하시면 언제든지 말씀해 주세요!</t>
  </si>
  <si>
    <t>일상경비 지출 절차는 어떻게 되나요?</t>
  </si>
  <si>
    <t>1245_일상경비_사용방법-txt.pdf</t>
  </si>
  <si>
    <t>679a1a3fd4d74921af2891fc7f2f8b6d</t>
  </si>
  <si>
    <t>일상경비의 지출 절차는 다음과 같습니다:
1. **품의결재**: 지출할 내용에 대해 내부결재를 받습니다. 이때 필요한 서류로는 견적서 등이 있으며, 이를 서무 담당자에게 제출합니다.
2. **카드결재**: 품의가 승인되면 법인카드를 사용하여 지출을 진행합니다.
3. **품의승인내역 등록**:
   - **거래처명 입력**: 본인의 직급과 이름을 조합하여 입력합니다. 예를 들어, "전산7급 홍길동"과 같이 입력합니다.
   - **예금주명 입력**: "부산광역시 정보화정책과"와 같이 정확한 부서 명칭을 입력하며, "부산광역시청"처럼 포괄적인 명칭은 사용하지 않습니다.
4. **계좌검증 실행**: 품의승인내역을 등록한 후에는 반드시 계좌검증을 실시해야 합니다. 이는 지출이 정상적으로 처리될 수 있도록 확인하는 과정입니다.
5. **원인행위 결재 요청**: 계좌검증까지 완료되면 원인행위에 대한 결재를 상급자에게 요청합니다.
**주의사항**:
- 계좌검증을 하지 않고 결재를 올리면 과장님의 결재가 반려될 수 있고, 법인카드 계좌에 입금이 되지 않을 수 있습니다.
- 따라서 모든 절차를 정확히 따라야 하며, 특히 계좌검증 단계를 생략하지 않도록 주의해야 합니다.
이러한 절차를 따르면 일상경비를 정확하고 효율적으로 사용할 수 있습니다. 추가적인 도움이 필요하시면 언제든지 말씀해 주세요.</t>
  </si>
  <si>
    <t>7b9d3d58-da0c-4457-bf09-c02426e2c912</t>
  </si>
  <si>
    <t>2a074d06-0301-419f-8a30-1c0f559c9afe</t>
  </si>
  <si>
    <t>506e3f06-4425-4dad-b681-12a606ab881e</t>
  </si>
  <si>
    <t>행정전자서명 가입 절차는 어떻게 되나요?</t>
  </si>
  <si>
    <t>5e007ce4d113446fa549957517b7bacc</t>
  </si>
  <si>
    <t>행정전자서명은 정부 기관이나 지방자치단체에서 전자적으로 서명하거나 인증을 할 때 사용하는 공인인증서입니다. 이를 사용하기 위해서는 정해진 절차를 따라 가입해야 합니다. 아래는 일반적으로 필요한 행정전자서명 가입 절차입니다.
---
### **1. 신청서 작성 및 제출**
- **신청서 준비**: 먼저, 행정전자서명을 발급받기 위해 필요한 신청서를 작성해야 합니다. 이 신청서는 개인용인지 기관용인지에 따라 다를 수 있으며, 보통 해당 기관의 내부 양식을 사용합니다.
- **공문 발송**: 작성한 신청서와 함께 관련 부서에 공문을 통해 신청을 해야 합니다. 예를 들어, 부산광역시의 경우 정보화정책과로 공문을 발송하게 됩니다.
### **2. 등록기관의 승인 및 인증코드 발급**
- **신원 확인**: 등록기관에서는 공문으로 접수된 신청자의 신원을 확인하고, 필요한 기관 정보를 검토합니다.
- **인증코드 생성 및 안내**: 사용자 등록이 완료되면 인증코드가 자동으로 생성되고, 사용자에게 안내 메시지로 SMS나 메일이 발송됩니다.
### **3. 인증서 발급**
- **홈페이지 접속**: 사용자는 지정된 인증관리센터 웹사이트에 접속합니다. 예를 들어, `https://www.gpki.go.kr`와 같은 사이트입니다.
- **인증서 발급 요청**: 이름과 주민등록번호를 입력하고, 휴대폰으로 전송된 인증번호를 통해 본인 인증을 합니다.
- **인증서 다운로드**: 인증서 발급 메뉴에서 개인용 또는 기관용 인증서를 선택하여 발급을 받습니다.
### **4. 인증서 설치 및 보관**
- **PC에 인증서 설치**: 발급받은 인증서를 컴퓨터에 설치합니다. 이때, 보안상의 이유로 USB 메모리 등 안전한 매체에 백업하는 것이 좋습니다.
- **비밀번호 설정 및 기억**: 인증서 사용을 위한 비밀번호를 설정하며, 이는 매우 중요하므로 안전하게 보관해야 합니다.
### **5. 추가적인 사항**
- **갱신 및 이동**: 인증서는 일정 기간이 지나면 갱신이 필요합니다. 또한, 다른 컴퓨터로 이동할 때는 인증서를 옮겨야 하며, 이에 대한 절차도 있습니다.
  - **갱신 방법**:
    - 별도의 공문 신청 없이 인증서 유효기간 100일 전부터 만료일까지 갱신 가능합니다.
    - 방법은 인증관리센터 웹사이트에서 인증서 갱신 메뉴를 이용하여 진행합니다.
  - **이동 방법**:
    - 현재 사용 중인 PC의 GPKI 폴더 전체를 압축합니다.
    - 압축한 파일을 온메일이나 온톡 등을 통해 새로운 PC로 전송합니다.
    - 새로운 PC에서 압축을 풀고, C:\GPKI 경로에 정확히 복원합니다.
---
**주의사항**:
- 모든 과정은 행정망 내에서 이루어져야 하며, 외부 인터넷 환경에서는 제한될 수 있습니다.
- 인증서 발급 후에는 인증서의 비밀키와 비밀번호를 타인에게 노출되지 않도록 주의해야 합니다.
- 인증서 관련 문제가 발생할 경우, 인증관리센터의 콜센터나 해당 기관의 정보화 부서 등에 문의하여 해결해야 합니다.
---
이러한 절차를 따르면 행정전자서명을 원활하게 발급받고 사용할 수 있습니다. 만약 구체적인 도움이 필요하다면, 소속된 기관의 정보화정책과나 전산팀에 문의하시는 것이 가장 정확하고 빠른 방법입니다. 추가로 궁금한 점이 있으시면 언제든지 물어보세요!</t>
  </si>
  <si>
    <t>18f8ce56-840b-4c73-b346-07ac1b72aec5</t>
  </si>
  <si>
    <t>329_1911_정보화정책과_업무매뉴얼_행정안전부_행정전자서명_사용자_매뉴얼Ver14.pdf</t>
  </si>
  <si>
    <t>온나라시스템 과제카드 설정은 어떻게 되나요?</t>
  </si>
  <si>
    <t>355_2412_정보화정책과_업무매뉴얼_KLID_온나라_20_부서관리자_교육자료PDF.pdf</t>
  </si>
  <si>
    <t>15, 16, 17</t>
  </si>
  <si>
    <t>b7360540bcb64d428a00afa213ef8e41</t>
  </si>
  <si>
    <t>온나라시스템에서 과제카드 설정은 다음과 같이 진행됩니다.
**1. 최우선 단위과제카드 설정**
- **경로**: 메뉴 바로 가기 &gt; 과제 관리 &gt; 나의 과제, 문서 작성 &gt; 과제카드명 &gt; 과제 선택
- **화면**
- **기능 설명**: 모든 문서는 1개의 단위과제카드(문서철)를 필수로 지정해야 합니다. 자주 사용하는 단위과제카드명을 '나의 과제' 목록에서 지정하면, 과제 선택 화면에서 그 카드명이 최상단에 표시됩니다. 이를 통해 작업 효율성을 높일 수 있습니다.
**설정 방법**:
- 비활성화된 아이콘을 클릭하여 활성화시킵니다.
- 카드명을 변경하려면 먼저 활성화된 아이콘을 클릭하여 해제한 후 재설정합니다.
**효과**:
- 설정된 과제카드는 문서 작성 화면에서 과제 선택 시 가장 위에 표시되어 빠르게 접근할 수 있습니다.
**2. 문서함 건수 포틀릿 설정**
- **경로**: 개인 설정 &gt; 개인 환경 설정 &gt; 포틀릿 목록, 전자 문서 &gt; 개인 설정 &gt; 포틀릿 목록
- **화면**
- **기능 설명**: 로그인 첫 화면에 전자 문서 문서함의 문서 건수를 표시해주는 기능입니다. 기본적으로는 결재 대기함과 공유/공람 문서 건수가 표시되며, 필요에 따라 다른 문서함을 추가로 설정할 수 있습니다.
**설정 방법**:
- 원하는 문서함을 선택하여 포틀릿에 추가합니다.
- 설정한 문서함의 건수를 클릭하면 해당 문서함으로 이동합니다.
**참고 사항**:
- 사용자별로 권한에 따라 보이는 문서함 종류가 다를 수 있습니다.
이러한 설정들을 통해 온나라시스템에서의 업무 처리가 더욱 편리해지고 효율적으로 이루어집니다. 추가적인 도움이 필요하시면 언제든지 말씀해 주세요!</t>
  </si>
  <si>
    <t>24077817-372c-40dd-8b9d-ff941917433e</t>
  </si>
  <si>
    <t>c69df6a0-9e76-47a2-9c48-b6f75c7ba4e5</t>
  </si>
  <si>
    <t>51341309-436e-4e72-9ea1-bd6b8dfe2da8</t>
  </si>
  <si>
    <t>bf95fb97-abe9-48f3-a07d-47c30a21e1df</t>
  </si>
  <si>
    <t>049d3265e16e454ca8f34c87c9604b8a</t>
  </si>
  <si>
    <t>온나라 문서 과제카드를 잘못 지정하였습니다. 어떻게 수정하나요?</t>
  </si>
  <si>
    <t>4c3e1b74f4754d43ad51addbebaec920</t>
  </si>
  <si>
    <t>온나라 시스템에서 문서 과제카드가 잘못 지정되었을 경우, 다음과 같이 수정하실 수 있습니다:
1. **재편철(과제카드 재지정)**:
   - **경로**: 온나라 &gt; 처리한 문서 &gt; 완료문서 &gt; 재편철할 기록물건의 제목 클릭
   - **수정 방법**:
     - 문서관리카드 [보기] 버튼을 클릭합니다.
     - 화면 우측 상단에 있는 **'과제카드 변경' 버튼**을 클릭합니다.
     - 변경하고자 하는 올바른 **과제카드 선택** 후 **확인 버튼**을 누릅니다.
이렇게 하면 잘못된 과제카드를 올바르게 재지정할 수 있습니다. 만약 추가적인 도움이 필요하시거나 다른 문의사항이 있으시면 언제든지 말씀해 주세요!</t>
  </si>
  <si>
    <t>22610730-4f6c-4606-b758-83aeb7c67ad8</t>
  </si>
  <si>
    <t>장기재직휴가 기준과 사용 방법을 알려주세요. 장기재직휴가 사용 요건이 되면 인사랑에 자동 반영되나요?</t>
  </si>
  <si>
    <t>bbd638cb7fb140209ce3ec396a64cecb</t>
  </si>
  <si>
    <t>네, 장기재직휴가에 대한 기준과 사용 방법에 대해 안내해 드릴게요.
**1. 장기재직휴가의 대상과 기준**
- **대상**: 재직기간 5년 이상의 공무원
- **휴가 일수**:
  - **5년 ~ 9년**: 5일
  - **10년 ~ 19년**: 10일
  - **20년 ~ 29년**: 25일
  - **30년 이상**: 25일
**2. 재직기간 산정 방법**
- **재직기간 확인**: 공무원연금공단에서 제공하는 퇴직급여 재직기간(연월수로 계산)을 기준으로 합니다.
- **확인 방법**: 공무원연금공단 홈페이지에서 공인인증서로 로그인 후 '나의 연금예상액' 상세보기를 통해 확인 가능합니다.
**3. 휴가 사용 방법**
- **승인권자 승인**: 휴가를 사용하기 전에 부서장의 승인이 필요합니다. 과장급 이상은 직상, 국장급 및 3급 사업소장은 본청 지도·감독부서 실·국장의 추가 승인이 필요할 수 있습니다.
- **사전 등록**: 휴가 시작일 기준 1주일 전까지 차세대인사랑 복무관리시스템을 통해 승인권자에게 승인 요청을 해야 합니다.
- **휴가 기간**: 최소 2일 이상 사용 가능하며, 토·일요일 및 공휴일은 휴가 기간에 포함되지 않습니다.
- **연가 연계 사용**: 장기간 휴가를 원하는 경우 연가와 연계하여 사용할 수 있으며, 이때는 휴가 계획 결재 시 명시해야 합니다.
**4. 인사랑에 자동 반영 여부**
- **자동 반영 아님**: 장기재직휴가 사용 자격이 되더라도 인사랑에 자동으로 반영되지 않습니다.
- **직접 등록 필요**: 직원이 직접 차세대인사랑 복무관리시스템에 들어가서 휴가를 신청하고, 승인권자의 승인을 받아야 합니다.
**5. 기타 유의 사항**
- **업무 대행자 지정**: 장기간 휴가 중에는 업무 공백을 방지하기 위해 업무 대행자를 지정해야 하며, 이는 승인권자의 확인 후 승인됩니다.
- **비상 연락 체계 유지**: 휴가 중에도 긴급 상황에 대비하여 비상 연락 체계를 유지해야 합니다.
- **특정 기간 휴가 제한**: 국정감사, 행정사무감사, 부서 주요 업무 추진 기간, 국가적 재난 상황 등에는 휴가를 자제해야 합니다.
**추가 정보**
- **재직기간 별 소멸 유예**: 2023년 10월 11일 이후 개정된 규정에 따라, 특정 재직기간에 해당하는 경우 소멸 유예 기간이 적용되어 일정 기간 내에 휴가를 사용해야 합니다.
- **분할 사용 가능**: 휴가 일수를 여러 번에 나누어 사용할 수 있으므로, 개인의 일정에 맞게 유연하게 계획을 세울 수 있습니다.
**궁금한 점이 더 있으시면 언제든지 물어보세요!** 도움이 필요하면 언제든 말씀해 주세요.</t>
  </si>
  <si>
    <t>bb148ab6-a2fa-428b-a9cc-f8f13d1e9785</t>
  </si>
  <si>
    <t>업무추진비 집행을 위해서 확인해야할 규정을 정리해주세요. 직원당 쓸 수 있는 단가도 상세히 알려주세요
(예시: 정원가산업무추진비 격려금 지급 상한금액 등)</t>
  </si>
  <si>
    <t>1223_별표_1_지방자치단체의_장_등_업무추진비_집행대상_직무활동_범위제3조제1항_관련지방자치단체_업무추진비_집행에_관한_규칙.pdf</t>
  </si>
  <si>
    <t>1, 2, 3, 4</t>
  </si>
  <si>
    <t>8b60f04ed012459888ed55fc01473b50</t>
  </si>
  <si>
    <t>업무추진비의 적정한 사용을 위해 확인해야 할 주요 규정은 다음과 같습니다:
1. **'지방자치단체 업무추진비 집행에 관한 규칙'**: 이는 지방자치단체의 장 등이 업무추진비를 어떻게 사용해야 하는지에 대한 구체적인 지침과 허용되는 지출 항목을 명시하고 있습니다.
2. **'공직선거법'**: 특히 제86조 제2항 제4호는 지방자치단체장이 선거 기간 동안 특정 행사의 개최나 후원을 제한하고 있으므로, 업무추진비 집행 시 이를 준수해야 합니다.
3. **'지방자치법'**: 공공시설의 정의와 범위에 대해 규정하고 있으며, 이는 일부 업무추진비 지출 항목과 관련이 있을 수 있습니다.
4. **'국가공무원 복무규정'** 및 **'지방공무원 복무규정'**: 공무원의 복무와 관련된 일반적인 사항을 다루고 있어, 업무추진비와 연계될 수 있는 부분이 있습니다.
5. **'예산회계법' 및 '지방재정법'**: 예산의 편성 및 집행 절차에 대한 기본적인 원칙을 제시하며, 업무추진비 역시 이러한 법적 틀 내에서 운용되어야 합니다.
**직원당 사용할 수 있는 단가와 상한 금액은 다음과 같이 정리됩니다:**
- **격려금 지급 상한금액**:
  - **퇴직 예정 공무원**: 일반적으로 10만원 이내로 격려금을 지급할 수 있습니다.
  - **우수 성과 부서나 개인**: 마찬가지로 10만원 이내로 격려금을 지급할 수 있습니다.
  - **재난, 재해, 사건사고로 인한 비상 근무 직원**: 상황에 따라 다르지만, 특별한 경우를 제외하고는 10만원을 초과하지 않는 것이 일반적입니다.
- **축의·부의금품**:
  - **지급 대상자**: 본인, 배우자, 그리고 그들의 직계존비속에 한합니다.
  - **지급 금액**: 일반적으로 5만원 이내로 제한되어 있습니다.
- **내방객에게 제공되는 음료·다과재료의 구입**:
  - **구입 비용**: 내방객 응대를 위한 최소한의 비용으로 제한되며, 과도한 지출은 피해야 합니다.
- **기념품 및 선물 지급**:
  - **연말, 설, 추석 또는 생일에 지급하는 의례적인 선물**: 보통 3만원 이하의 선물을 지급하는 것이 관례로 되어 있습니다.
이러한 규정들은 투명하고 효율적인 재정 운영을 보장하기 위한 것으로, 업무추진비를 집행할 때는 반드시 해당 규정을 준수해야 합니다. 또한, 각 지방자치단체마다 내부 지침이나 추가적인 규정이 있을 수 있으므로, 정확한 내용은 해당 기관의 회계 담당자나 감사 부서와 상의하는 것이 좋습니다. 만약 더 자세한 정보나 특정 사례에 대한 조언이 필요하다면, 언제든지 문의해 주세요. 도움이 될 수 있도록 최선을 다하겠습니다.</t>
  </si>
  <si>
    <t>126d524e-03a8-4f9f-9da6-ed5c6d2d18e2</t>
  </si>
  <si>
    <t>3cbf2afa-167e-46a9-949d-0841dc36cf22</t>
  </si>
  <si>
    <t>e2b81875-e425-4671-9633-1d9eb8fdf592</t>
  </si>
  <si>
    <t>06e2d806-820f-44b2-88c2-0cde5771c810</t>
  </si>
  <si>
    <t>11bdd12265f242459f85101beb173ec0</t>
  </si>
  <si>
    <t>조례제정시 의회제출 전 법무담당관 협의 등 거쳐야 하는 내부 절차 및 기한에 대해 알려주세요</t>
  </si>
  <si>
    <t>1bb000cba2f74fa0896acaad291de94c</t>
  </si>
  <si>
    <t>조례를 제정할 때 의회에 제출하기 전에 거치는 내부 절차와 그 기한은 다음과 같습니다.
1. **조례안 입안**: 먼저 주관 부서에서 조례안을 작성합니다. 이때 필요한 경우 법무담당관과 사전에 실무적인 협의를 진행할 수 있습니다.
2. **사전 승인 및 영향 평가**:
   - **부패영향평가**: 감사담당관의 부패영향평가를 받습니다.
   - **성별영향평가**: 여성가족과의 성별영향평가를 실시합니다.
   - **규제심사**: 규제개혁위원회의 규제심사를 거칩니다.
3. **입법예고**: 조례안의 내용을 시민들에게 알리기 위해 일정 기간 동안 예고합니다. 일반적으로 **5일 이상** 공고하며, 시보나 시 인터넷 홈페이지를 통해 공개됩니다.
4. **법제심사 의뢰**: 법무담당관에 법제심사를 요청합니다. 이는 조례안이 법령과 충돌하지 않는지 등을 검토받는 과정입니다.
5. **조례규칙심의회 심의·의결**: 법무담당관이 작성한 조례안을 조례규칙심의회에 상정하여 심의하고 의결합니다. 재적위원 과반수의 찬성이 필요합니다.
6. **시의회 제출**: 조례규칙심의를 통과한 조례안을 시의회에 제출합니다. 회기가 시작되기 최소 **10일 전**에 제출해야 합니다.
7. **시의회 심의·의결**: 시의회에서 해당 조례안에 대한 심의를 거친 후 본회의를 통해 의결합니다. 재적의원 과반수의 출석이 필요하며, 출석의원 과반수의 찬성으로 가결됩니다.
8. **조례안 이송**: 시의회에서 의결된 조례안은 의결 후 **5일 이내**에 시청으로 이송됩니다.
9. **조례규칙심의회 재심의**: 시의회가 수정 가결한 경우에는 조례규칙심의회를 다시 열어 심의합니다.
10. **조례안 공포**: 최종적으로 조례안을 공포하게 되며, 이송 후 **20일 이내**에 공포해야 합니다.
이러한 절차를 거치면서 각 단계마다 정해진 기한 내에 처리되어야 하며, 특히 의회 제출 전에는 충분한 시간을 확보하여 관련 기관의 승인과 심사를 받아야 합니다. 만약 추가적인 문의사항이나 구체적인 도움이 필요하다면 언제든지 말씀해 주세요.</t>
  </si>
  <si>
    <t>0a746bec-056c-4b53-bcb3-8671909e6a17</t>
  </si>
  <si>
    <t>휴일 출장시 대체휴무 사용이 가능한가요?</t>
  </si>
  <si>
    <t>30a50074b6724cb38f1e7d468463862b</t>
  </si>
  <si>
    <t>네, 가능합니다. 휴일에 출장을 가시는 경우에도 대체휴무를 사용하실 수 있습니다. 다만, 대체휴무를 사용하기 위해서는 몇 가지 조건을 충족해야 합니다.
**대체휴무 사용을 위한 조건:**
1. **기관장의 승인**: 대체휴무는 반드시 기관장(허가권자)의 승인을 받아야 합니다. 이는 공식적인 절차로서, 임의로 사용할 수 없습니다.
2. **실제 근무시간 확인**: 휴일 출장의 경우, 실제로 근무에 투입된 시간이 정규 근무시간을 초과해야 합니다. 예를 들어, 하루 8시간 이상의 근무가 이루어져야 대체휴무를 신청할 수 있습니다.
3. **객관적 증빙 자료 제출**: 근무 시간과 내용은 객관적으로 입증되어야 합니다. 이를 위해 출장 기록부나 업무 일지 등을 통해 근무 사실을 확인할 수 있어야 합니다.
4. **출장 목적의 적법성**: 출장은 공무 수행을 위한 것이어야 하며, 개인적인 용도가 아니어야 합니다.
**주의사항:**
- **동시에 두 가지 보상 불가**: 대체휴무와 초과근무수당은 동시에 받을 수 없으며, 둘 중 하나를 선택하여야 합니다.
- **여비 지급과의 관계**: 휴일 출장에 따른 여비는 별도로 지급되며, 대체휴무와는 별개의 사항입니다.
**예시 상황:**
- 만약 토요일에 10시간 동안 출장을 다녀오셨다면, 이는 정규 근무시간을 초과하므로 대체휴무를 신청할 수 있는 요건이 됩니다.
- 이때, 해당 출장이 공무 수행을 위한 것이며, 관련 서류와 증빙 자료를 갖추어 기관장의 승인을 받으면 대체휴무를 사용하실 수 있습니다.
**추가 정보:**
- **관련 규정:** 이러한 내용은 '지방공무원 복무규정' 제4조에 명시되어 있으며, 자세한 사항은 해당 규정을 참고하시면 됩니다.
- **문의처:** 더 궁금하신 사항이나 구체적인 지침이 필요하시다면 인사평가팀에 문의하시는 것을 추천드립니다.
따라서, 위의 조건을 모두 만족한다면 휴일 출장 시에도 대체휴무를 사용하실 수 있으니 필요한 서류를 준비하셔서 신청해 보시기 바랍니다. 추가 도움이 필요하시면 언제든지 말씀해 주세요!</t>
  </si>
  <si>
    <t>b31132ea-fc5b-4583-997d-7ef429a09d07</t>
  </si>
  <si>
    <t>사후초과 익일결재를 못받은 경우 구제방법이 있나요?</t>
  </si>
  <si>
    <t>349</t>
  </si>
  <si>
    <t>0b41851aead7464ea3d49eed200a473a</t>
  </si>
  <si>
    <t>안녕하세요! 질문하신 내용에 대해 답변드리겠습니다.
우선, 관련 지침인 '지방공무원 보수의 업무처리 지침'에 따르면, 초과근무를 한 공무원은 사전에 초과근무명령을 받고 근무해야 합니다. 그러나 불가피한 사유로 인해 사전 명령 없이 초과근무를 했을 경우, 근무 종료 후에 당직근무자의 확인을 받아 다음 날까지 명령권자의 사후결재를 받아야 합니다.
하지만 만약 사후결재를 받지 못한 상황이라면 어떻게 해야 할까요?
**첫째**, 사후결재가 지연되거나 누락되었을 가능성이 있으므로, 먼저 인사복무 부서나 초과근무 관리를 담당하는 부서에 상황을 알리고 협조 요청을 해보는 것이 좋습니다. 이는 내부적으로 해결할 수 있는 방법입니다.
**둘째**, 공식적인 절차를 통해 구제를 받는 방법이 있습니다. 예를 들어, 초과근무 사실을 입증할 수 있는 증빙자료(예: 동료의 증언, 이메일 기록, 업무 보고서 등)를 준비하여 감사실이나 인사위원회 등에 청원을 제출할 수 있습니다. 이를 통해 초과근무에 대한 정당성을 인정받고 수당을 지급받을 수 있도록 조치할 수 있습니다.
또한, 각 지방자치단체마다 이러한 상황에 대한 내부 규정이 다를 수 있으므로, 소속 기관의 규정이나 인사 규정을 확인하는 것도 중요합니다.
마지막으로, 이러한 문제가 반복되지 않도록 사전에 초과근무명령 체계를 철저히 준수하고, 필요한 경우 상급자나 인사 담당자와 소통하여 문제를 예방하는 것이 바람직합니다.
추가적인 도움이 필요하시거나 다른 궁금한 점이 있으시면 언제든지 말씀해 주세요!</t>
  </si>
  <si>
    <t>4c484216-17f1-412e-9d3b-6db284268cc9</t>
  </si>
  <si>
    <t>회의실 신청 어떻게 하나요?</t>
  </si>
  <si>
    <t>2e3a4b43c5044cd397b8fd859536909b</t>
  </si>
  <si>
    <t>회의실을 예약하려면 다음과 같은 절차를 따르세요:
1. **행정포털**에 로그인하세요.
2. **개인서비스** 메뉴를 클릭합니다.
3. **회의장** 옵션을 선택합니다.
4. 원하는 날짜와 시간을 선택하여 예약을 완료합니다.
이렇게 하면 회의실을 예약할 수 있습니다. 추가로 도움이 필요하시면 말씀해 주세요!</t>
  </si>
  <si>
    <t>국외출장시 며칠 전까지 허가신청 공문 보내야 하나요?</t>
  </si>
  <si>
    <t>483_페이지49_문서3_162906_부산광역시_공무국외출장_조례.pdf</t>
  </si>
  <si>
    <t>b8c289ebfa454405b53cef40bb425803</t>
  </si>
  <si>
    <t>부산광역시 공무국외출장 조례에 따르면, 공무국외출장을 하려는 사람은 출국 예정일 **30일 전까지** 공무국외출장 허가를 담당하는 부서장에게 허가 신청을 해야 합니다. 이는 제4조 제2항 단서에 명시되어 있으며, 긴급한 경우가 아니라면 반드시 준수해야 하는 사항입니다.
따라서, 국외출장을 계획하신다면 출국 예정일 최소 30일 이전에 허가신청 공문을 제출하셔야 합니다. 만약 긴급한 상황이 발생한다면 예외적으로 처리될 수 있으나, 일반적인 경우에는 30일 이전 신청이 필요합니다. 추가적인 문의나 도움이 필요하시면 언제든지 말씀해 주세요!</t>
  </si>
  <si>
    <t>55bd07e8-873e-4f14-bb39-654b67a37ddd</t>
  </si>
  <si>
    <t>보존기간 만료 기록물 자체 폐기 가능한가요?</t>
  </si>
  <si>
    <t>432_2412_통합민원과_업무메뉴얼_국가기록원_25년_기록물관리_지침.pdf</t>
  </si>
  <si>
    <t>264</t>
  </si>
  <si>
    <t>a9bfd6b9a2334a828a3c4dd3269c02eb</t>
  </si>
  <si>
    <t>네, 보존기간 만료 기록물의 폐기는 가능합니다. 그러나 이를 위해서는 몇 가지 중요한 절차를 준수해야 합니다.
**첫째**, 기록물이 실제로 보존기간이 만료되었는지 확인해야 합니다. 이는 기록물의 보존기간을 정확히 파악하고, 해당 기간이 지났음을 확인하는 것을 의미합니다.
**둘째**, 기록물을 폐기하기 전에 반드시 평가를 실시해야 합니다. 이 평가 과정에서는 기록물이 향후에도 가치가 있는지, 법적 의무나 규정에 의해 보존해야 할 필요성이 없는지를 판단합니다.
**셋째**, 평가 결과 폐기가 결정되면, 관련 법규와 내부 지침에 따라 공식적인 승인 절차를 거쳐야 합니다. 이는 기록물관리전문요원의 검토나 기록물평가심의회의 심의 등을 포함할 수 있습니다.
**넷째**, 폐기를 진행할 때는 보안 규정을 준수하여 안전하게 이루어져야 합니다. 예를 들어, 민감한 정보가 담긴 기록물은 물리적 파쇄나 디지털 삭제 등의 방법으로 완전히 제거되어야 합니다.
따라서, 보존기간이 만료된 기록물이라 하더라도 위의 절차를 모두 거친 후에야 자체적으로 폐기가 가능합니다. 이러한 절차를 무시하고 임의로 기록물을 폐기할 경우 법적 문제나 감사에서의 지적 사항이 될 수 있으므로 주의가 필요합니다.
추가로, 만약 기록물에 개인정보가 포함되어 있다면, **'개인정보 보호법'**에 따른 별도의 절차와 규정이 적용될 수 있으니 이에 대한 확인도 필요합니다. 개인정보가 포함된 기록물은 특별한 주의를 기울여 처리해야 하며, 필요한 경우 전문가의 자문을 구하는 것이 좋습니다.
궁금하신 점이나 추가적인 도움이 필요하시면 언제든지 말씀해 주세요!</t>
  </si>
  <si>
    <t>9c736d16-0d5b-4487-963c-cfeab11843a0</t>
  </si>
  <si>
    <t>보안usb 매체점검은 어디서 하나요?</t>
  </si>
  <si>
    <t>368_2412_정보화정책과_업무매뉴얼_채울_휴대용저장매체관리시스템_부서관리자_매뉴얼.pdf</t>
  </si>
  <si>
    <t>29, 30</t>
  </si>
  <si>
    <t>760cf28cb6d44b8faffcdaf6d915f706</t>
  </si>
  <si>
    <t>보안USB의 매체점검은 'uAgency' 프로그램에서 진행하실 수 있어요. 먼저, 작업 표시줄의 'uAgency' 아이콘을 마우스 오른쪽 버튼으로 클릭한 다음, '신청서 관리' 메뉴를 선택하세요. 그 후에 '매체관리 &gt; 빠른 실행 &gt; 매체점검' 순서로 들어가시면 됩니다. 여기서 등록된 모든 보안USB를 선택한 후 매체점검을 선택하면 보안USB에 대한 이상 유무를 체크하고 결과를 확인하거나 기록할 수 있어요.
이렇게 하면 보안USB의 상태를 정기적으로 확인하고 필요한 조치를 취할 수 있답니다. 추가로 도움이 필요하시면 언제든지 말씀해 주세요!</t>
  </si>
  <si>
    <t>eeb59030-5346-44c9-aa6d-a7b16bc33730</t>
  </si>
  <si>
    <t>89e1fa96-4c9d-45ab-8f16-a271379ed94d</t>
  </si>
  <si>
    <t>신규 임용시 원활한 업무진행을 위해 행정포털, 행정전자서명 발급등 처리해야 할 사항 및 절차는 어떻게 되나요?</t>
  </si>
  <si>
    <t>d5188118067a4bb393b8c5fe4619c2cc</t>
  </si>
  <si>
    <t>신규 임용으로 인해 원활한 업무 진행을 위해서는 다음과 같은 절차를 따라야 합니다.
### 1. **행정포털 계정 생성**
- **신청**: 인사 발령 후 해당 부서나 담당 부서에 행정포털 계정 생성 요청을 해야 합니다.
- **필요 서류**: 신분증 사본 등 필요한 서류를 제출해야 할 수 있습니다.
- **처리 시간**: 일반적으로 일정 시간이 소요되므로 미리 요청하는 것이 좋습니다.
### 2. **행정전자서명(GPKI) 발급**
- **신청 방법**:
  - **첨부된 한글 파일 서식 작성**: 제공된 서식을 사용하여 신청서를 작성합니다.
  - **공문 발송**: 작성한 신청서를 공문으로 상급 기관이나 관련 부서에 제출합니다.
  - **별도 신청 대상**:
    - **기간제 직원**: 근무 기간을 명시하여 별도로 신청해야 합니다.
    - **구·군, 상수도사업본부, 소방재난본부**: 각각 해당 부서로 직접 신청합니다.
      - **구·군**: 구군 전산팀
      - **상수도사업본부**: 경영지원부 정보관리팀
      - **소방재난본부**: 119종합상황실
- **발급 절차**:
  - **공문 수신 후 처리**: 신청 후 공문을 받으면 발급 가능 여부를 확인하고, 발급 가능하다고 판단되면 휴대전화로 문자 메시지가 전송됩니다.
  - **인증서 발급**:
    - **gpki.go.kr 접속**: 행정망에서 해당 사이트에 접속합니다.
    - **인증서 관리/발급 선택**: 메뉴에서 "인증서 관리/발급"을 선택하고, 구분에서 "개인용", "행정기관"을 선택합니다.
    - **인증**: 이름과 주민등록번호를 입력하고, 휴대전화로 받은 인증번호를 통해 인증을 완료합니다.
  - **주의사항**:
    - **기한 준수**: 문자 메시지를 받고 14일 이내에 발급을 완료해야 하며, 그렇지 않을 경우 재신청이 필요합니다.
    - **사용 환경**: 행정망에서만 발급이 가능합니다.
### 3. **행정전자서명 갱신**
- **갱신 시기**: 인증서 유효기간 100일 전부터 만료일까지 가능하며, 유효기간이 만료되면 다시 공문 신청을 통해 갱신이 필요합니다.
- **갱신 방법**:
  - **gpki.go.kr 접속**: 동일한 사이트에서 "인증서 관리/갱신" 메뉴를 이용하여 갱신합니다.
  - **구분 선택**: "개인용", "행정기관"을 선택합니다.
### 4. **행정전자서명 이동**
- **이동 필요성**: 다른 컴퓨터에서 업무를 수행할 때 전자서명을 사용하려면 이전이 필요합니다.
- **이동 방법**:
  - **압축 파일 생성**: 행정전자서명이 저장된 `C:\GPKI` 폴더 전체를 압축합니다.
  - **파일 전송**:
    - **온메일 또는 온톡 이용**: 압축 파일을 자신의 이메일 주소나 메신저로 보냅니다.
    - **저장 위치 확인**: 새로운 컴퓨터에서 압축을 풀 때는 `C:\` 경로에 풀어줍니다.
  - **설치 확인**:
    - **폴더 내용 확인**: `C:\GPKI\certificate\class2` 폴더 내에 본인의 이름으로 된 파일 4개가 존재하는지 확인합니다.
    - **중요**: `class2` 폴더만 복사하면 안 되며, `GPKI` 폴더 전체를 옮겨야 합니다.
### 5. **기타 유의사항**
- **콜센터 문의**: 발급 및 갱신 과정에서 기술적인 문제가 발생할 경우, 인증관리센터 콜센터인 1661-9088로 문의합니다.
- **문의처**: 그 외의 절차나 진행 상황에 대한 문의는 정보화정책과로 연락합니다.
---
**추가 팁**:
- **사전 준비**: 이러한 절차들은 시간이 걸릴 수 있으므로, 업무 시작 전에 미리 준비하는 것이 좋습니다.
- **보안 유지**: 전자서명과 관련된 모든 정보는 보안 규정을 준수하며 취급해야 합니다.
- **교육 참석**: 신규 임용자를 위한 교육 프로그램이 있을 수 있으니, 이를 활용하여 추가 정보를 얻는 것도 도움이 됩니다.
이러한 절차를 따르면 행정포털과 행정전자서명을 통한 업무 처리에 차질이 없을 것입니다. 추가로 궁금한 점이 있으면 언제든지 질문해 주세요!</t>
  </si>
  <si>
    <t>bbdc59a2-deab-43c6-a54d-e61ff223faa4</t>
  </si>
  <si>
    <t>직원차량 등록 절차는 어떻게 되나요?</t>
  </si>
  <si>
    <t>11030e4b51f746798b77fd64c09e40fd</t>
  </si>
  <si>
    <t>직원 차량의 주차장 정기권을 등록하려면 다음과 같은 절차를 따르셔야 합니다:
1. **승용차 요일제 신청**:
   - **경차, 수소차, 하이브리드 전기차**인 경우에는 차량등록증을 준비하세요.
   - **장애인 또는 국가유공자**의 차량이라면 본인 소유의 차량에 한해 신청 가능하며, 관련 증빙 서류를 제출해야 합니다.
   - **유아를 동반하는 차량**은 재원증명서와 주민등록등본을 제출해야 하며, 해당 유아가 초등학교에 입학하면 유아 동승 차량 자격이 자동으로 해제됩니다.
2. **선택 요일 지정**:
   - 승용차 요일제 1일과 선택 요일 1일을 포함하여 총 2일을 지정하여 등록합니다.
   - 승용차 요일제 1일은 **시청 교통혁신과**, **구청**, **행정복지센터**에서 신청할 수 있습니다.
3. **정기권 등록 신청서 제출**:
   - 각 부서에서는 직원들의 차량 정보를 수집하여 **엑셀 파일 형태의 '직원정기권 등록 신청서'**를 작성합니다.
   - 이 신청서를 첨부한 **공문**을 통해 총무과에 신청을 진행합니다.
4. **차량 해지 시에도 동일한 절차 적용**:
   - 차량을 해지하고자 할 경우에도 위의 절차와 동일하게 공문을 통해 해지 신청을 해야 합니다.
이러한 절차를 통해 직원들은 주차장을 효율적으로 이용할 수 있으며, 필요한 서류나 자세한 사항은 소속 부서에 문의하시면 도움을 받으실 수 있습니다. 추가로 궁금한 사항이나 도움이 필요하신 부분이 있으시면 언제든지 말씀해 주세요.</t>
  </si>
  <si>
    <t>조례 개정 절차는 어떻게 되나요?</t>
  </si>
  <si>
    <t>e90941626fcb4d6096147880df49a7ab</t>
  </si>
  <si>
    <t>보통예금계좌 점검 주기 및 방법을 알려줘</t>
  </si>
  <si>
    <t>131, 132</t>
  </si>
  <si>
    <t>ab0aee49a5354264b42935c4c6151e76</t>
  </si>
  <si>
    <t>보통예금계좌의 점검 주기와 방법은 다음과 같습니다.
**1. 사업부서장의 점검**
- **주기**: 분기별 1회 이상
- **방법**: 해당 부서에서 사용하는 보통예금계좌를 점검합니다.
- **내용**: 계좌 현황, 거래 내역, 잔액 등을 확인하여 계좌가 불필요한지 또는 유사 사업으로 인해 통폐합이 필요한지를 판단합니다.
- **조치사항**: 계좌가 불필요하거나 통폐합이 필요하다고 판단되면 즉시 계좌를 해지하거나 통폐합하고, 그 결과를 회계부서장에게 통보합니다.
**2. 회계부서장의 점검**
- **주기**: 반기별 1회 이상
- **방법**: 전체 자치단체의 보통예금계좌를 종합적으로 점검합니다.
- **관련 부서의 협조**: 자치단체 보통예금계좌의 용도에 따라 예산이나 세정과 관련된 업무를 담당하는 부서의 장이 함께 점검할 수 있습니다.
- **목적**: 회계 전반의 투명성과 효율성을 확보하기 위함입니다.
**3. 외부점검 (감사부서의 역할)**
- **주최**: 회계책임관이 감사부서에 요청하여 진행됩니다.
- **주기**: 연 1회 이상
- **방법**: 사업부서와 금고로부터 계좌 현황 자료를 수집하여 대조 및 점검을 실시합니다.
- **목적**: 내부 점검 외에도 외부의 시각에서 계좌 운영을 검토하여 잠재적인 문제를 사전에 발견하고자 합니다.
**4. 계좌관리 방안**
- **알림 서비스 활용**: 계좌에서 큰 금액이 입출금될 경우, 관련 부서장들에게 알림 서비스를 제공하여 신속한 대응이 가능하도록 합니다.
- **출금 제한 조치**: 기금 부담금 등의 수입금을 중간수납 계좌에서 최종계좌로 이체할 때, 지정된 금고의 영업점에서만 이체가 가능하도록 제한합니다.
- **보안 강화**: 인터넷뱅킹이나 모바일뱅킹 서비스의 사용을 금지하거나, 필요할 경우 엄격한 승인 절차를 거칩니다.
- **한도금액 조정 시 절차 준수**: 계좌의 입출금 한도금액을 상향 조정하려면 회계부서의 승인을 받아야 하며, 이를 공식 문서로 금고에 제출합니다.
이러한 점검과 관리 방안을 통해 자치단체의 보통예금계좌가 목적에 맞게 효율적으로 운영되며, 재정 관리의 투명성과 안전성이 향상됩니다. 추가적인 질문이나 궁금한 점이 있으시면 언제든지 말씀해 주세요!</t>
  </si>
  <si>
    <t>1187efad-ff1f-42b8-b8d3-3ec87a1d97a8</t>
  </si>
  <si>
    <t>3548388c-549a-4313-a061-00ef55ae5cf8</t>
  </si>
  <si>
    <t>80e762ce-2151-452d-891f-f2e6a314a7bb</t>
  </si>
  <si>
    <t>장기재직휴가 기준 및 사용 방법을 알려줘</t>
  </si>
  <si>
    <t>64c7f9c4d0a1461d8fef7b8c8c7f5945</t>
  </si>
  <si>
    <t>장기재직휴가는 재직기간 5년 이상의 공무원에게 제공되는 특별휴가로, 재충전의 기회와 사기를 진작하기 위한 제도입니다. 이 휴가는 재직기간에 따라 다음과 같이 사용할 수 있습니다:
- **5년 ~ 9년**: 최대 5일의 휴가
- **10년 ~ 19년**: 최대 10일의 휴가
- **20년 ~ 29년**: 최대 25일의 휴가
- **30년 이상**: 최대 25일의 휴가
**사용 방법**:
- **부서장의 승인 필요**: 휴가를 사용하기 위해서는 부서장의 승인이 필요합니다. 과장급 이하의 경우에는 직접 부서장이 승인하며, 그 이상의 경우에는 상위 관리자의 추가 승인이 필요할 수 있습니다.
- **최소 2일 이상 사용**: 휴가는 최소 2일 이상으로 분할하여 사용할 수 있으며, 연속적인 사용이 아니어도 됩니다.
- **토·일요일 및 공휴일 제외**: 휴가 기간에 포함되지 않습니다.
- **부서 현원의 1/3 이내로 대상자 선정**: 각 부서에서는 전체 인원의 1/3 이내에서 휴가 대상자를 선정해야 합니다.
- **연가와의 연계 사용 가능**: 장기간 휴가를 원하는 경우 연가와 연계하여 사용할 수 있으며, 이때도 부서장의 승인을 받아야 합니다.
**주의 사항**:
- **업무에 지장 없도록**: 중요한 업무 일정이나 국가적 재난 상황 등에는 휴가를 자제하거나 조정할 수 있습니다.
- **비상 연락망 유지**: 장기간 휴가 중에는 긴급 상황에 대비해 비상 연락망을 유지해야 합니다.
- **업무 대행자 지정**: 휴가 동안 업무 공백이 생기지 않도록 업무 대행자를 지정하고, 인계·인수를 철저히 해야 합니다.
**재직기간 산정 방법**:
- **공무원연금공단의 퇴직급여 재직기간 기준**: 이는 임용일부터 현재까지의 기간을 말하며, 군 복무 기간 등도 포함되어 계산됩니다.
- **확인 방법**: 공무원연금공단 홈페이지를 통해 공인인증서로 로그인한 후, '나의 연금예상액' 상세보기를 통해 확인할 수 있습니다.
**시행 시기**:
- 개정된 지침은 2024년 7월 1일부터 시행됩니다.
이러한 지침을 준수하여 장기재직휴가를 사용하면 됩니다. 더 궁금한 점이 있으면 언제든지 물어보세요!</t>
  </si>
  <si>
    <t>공무원증 신청 및 승인처리 방법을 알려줘</t>
  </si>
  <si>
    <t>c5badb6c0c3f4c6e931db1eac71810bd</t>
  </si>
  <si>
    <t>네, 알겠습니다.
**공무원증 신청 방법**
1. **차세대 인사랑 시스템 접속**: 먼저, '차세대 인사랑시스템'에 로그인하세요.
2. **인사마당 탭 선택**: 메인 화면에서 '인사마당' 탭을 클릭합니다.
3. **공무원증 신청 메뉴 접근**: '인사마당' 내의 '공무원증 신청' 메뉴를 선택합니다.
4. **신청 구분 선택**: 신청하고자 하는 공무원증 종류를 선택합니다. 예를 들어:
   - **실물 공무원증**
   - **모바일 공무원증**
5. **필요한 정보 입력**: 개인 정보를 정확하게 입력합니다. 이때, 모바일 공무원증을 신청하시는 경우에는 실물 공무원증 뒷면에 있는 번호를 정확히 기재하셔야 합니다.
6. **부서장 승인 요청**: 신청 내용을 작성한 후, 부서장의 승인을 받아야 합니다. 이는 조직 내에서 필요한 절차를 따르는 것입니다.
7. **승인 대기**: 부서장이 승인하기 전까지 대기 상태가 됩니다. 승인 후에는 다음 단계로 진행됩니다.
**승인 처리 방법**
1. **부서장의 승인**: 부서장은 직원들의 공무원증 신청 내용을 확인하고 승인 여부를 결정합니다.
2. **내부 승인 절차 완료**: 부서장의 승인이 완료되면, 해당 신청은 내부적으로 승인된 상태로 넘어갑니다.
3. **공무원증 발급 진행**: 승인된 신청은 이후 발급 절차를 거쳐 실제 공무원증이 제작되거나 모바일 공무원증이 발급됩니다.
4. **수령**: 발급된 공무원증은 지정된 장소나 우편을 통해 수령하게 됩니다.
**참고 사항**
- **소요 기간**: 일반적으로 실물 공무원증은 신청부터 수령까지 약 3~4주가 소요되며, 모바일 공무원증은 약 1주일 내에 발급됩니다.
- **사진 제출**: 신청 시 사진이 필요할 수 있으므로, 미리 준비해 두시는 것이 좋습니다.
- **문의처**: 추가적인 문의사항이 있으시면 인사과나 정보화정책과에 연락하시면 도움을 받으실 수 있습니다.
이렇게 공무원증 신청 및 승인 처리 방법에 대해 안내드렸습니다. 다른 도움이 필요하시면 언제든지 말씀해 주세요!</t>
  </si>
  <si>
    <t>비밀문서 접수 시 처리 절차를 알려줘</t>
  </si>
  <si>
    <t>776_페이지78_문서6_163407_부산광역시_보안업무규정.pdf</t>
  </si>
  <si>
    <t>4d8094b83a1a494ea3c3f4eb69297532</t>
  </si>
  <si>
    <t>비밀문서를 접수할 때의 처리 절차는 다음과 같습니다:
1. **접수 확인**: 비밀문서가 도착하면, 문서접수·발송 담당부서의 접수 담당자는 접수·발송 대장에 해당 문서를 기록합니다.
2. **내용 분류 및 전달**: 접수 담당자는 비밀문서의 내용을 확인하고, 해당 문서를 처리할 주관 부서나 담당자에게 직접 전달합니다.
3. **수령자 서명 또는 날인**: 비밀문서를 받은 주관 부서의 담당자는 접수·발송 대장의 수령자란에 서명이나 날인을 합니다.
4. **비밀관리기록부 등록**: 주관 부서의 비밀 취급 담당자는 비밀관리기록부에 새로운 비밀문서에 대한 정보를 기록하고, 관리번호를 부여합니다.
5. **잘못된 문서의 처리**: 만약 비밀문서가 잘못된 곳으로 보내졌다면, 봉투를 개봉하지 않은 상태에서 발송 기관으로 반송합니다. 이미 봉투를 개봉했다면, 개봉한 사람이 개봉 사실을 증명하기 위해 날인한 후 다시 봉함하여 반송합니다.
이러한 절차를 통해 비밀문서의 안전한 접수와 신속한 처리가 이루어집니다. 추가적인 질문이나 궁금한 점이 있으시면 언제든지 말씀해 주세요!</t>
  </si>
  <si>
    <t>a9442f9c-e893-429f-8d63-183881bca4f8</t>
  </si>
  <si>
    <t>미등록기록물 등록 방법은 어떻게 되나요?</t>
  </si>
  <si>
    <t>19, 20, 21, 22, 23, 24</t>
  </si>
  <si>
    <t>aef47b1e1c1441d69b35407a7df7d089</t>
  </si>
  <si>
    <t>미등록기록물을 등록하려면 다음과 같은 절차를 따르면 됩니다:
1. **기록관리시스템 로그인**: 먼저 행정포털을 통해 자동으로 기록관리시스템에 로그인합니다. 행정포털 홈 화면에서 '행정서비스' 메뉴를 선택한 다음 '기록관'을 클릭하면 기록관리시스템 홈화면으로 이동합니다.
2. **미등록기록물 추가 등록 절차 시작**:
   - **대상 선정**: 당해 연도에 아직 등록되지 않은 비전자기록물을 대상으로 합니다.
   - **절차 단계**:
     - **1단계: 기록물철 등록**
       - `기록물인수` 메뉴에서 `등록인수`를 선택하고 `등록` 버튼을 클릭합니다.
       - 등록 화면에 필요한 정보를 입력한 후 `등록` 버튼을 눌러 완료합니다.
     - **2단계: 기록물건 등록**
       - 개별 기록물에 대한 상세 정보를 입력하고 등록합니다.
     - **3단계: 등록완료**
       - 등록된 기록을 확인하고 `등록완료` 버튼을 클릭합니다.
     - **4단계: 검수 및 인수**
       - 기록물관리책임자가 해당 기록물을 검수하고 인수합니다.
     - **5단계: 철표지·색인목록 출력**
       - 기록물철의 표지와 색인목록을 출력하여 보관합니다.
이러한 절차를 통해 미등록된 비전자기록물을 체계적으로 등록하고 관리할 수 있습니다. 만약 더 자세한 안내나 도움이 필요하다면 기록관리시스템 내의 사용자 매뉴얼이나 관련 부서에 문의하시는 것이 좋습니다. 추가로 궁금한 점이 있으시면 언제든지 말씀해 주세요!</t>
  </si>
  <si>
    <t>7f6432b7-8e69-4404-8ee9-c8a456e13b0f</t>
  </si>
  <si>
    <t>1048ac7a-a626-4624-8d16-360c81dcced2</t>
  </si>
  <si>
    <t>1c7165f8-c462-4a02-b893-c805acbaa275</t>
  </si>
  <si>
    <t>62197637-aeda-43e8-95a6-7eb187cf5d41</t>
  </si>
  <si>
    <t>예산 편성 절차와 관련하여 사업비별 사전 이행절차는 무엇인가요?</t>
  </si>
  <si>
    <t>3e870f7ef4d941e4b5d9d7ecb3286bc7</t>
  </si>
  <si>
    <t>예산 편성 절차에서 사업비별로 사전에 이행해야 하는 절차를 정리하면 다음과 같습니다.
### 1. **사업의 주체 판단**
- **1. 국가사업**: 중앙정부 주관의 사업으로, 해당 부처와의 협의나 승인이 필요할 수 있습니다.
- **2. 시 사업**: 부산시 자체적으로 추진하는 사업으로, 시의 계획과 예산에 포함되어 진행됩니다.
- **3. 자치구·군사업**: 구·군 단위에서 추진하는 사업으로, 구·군의 예산과 계획에 따라 진행됩니다.
- **4. 민간투자사업**: 민간 부문에서의 투자를 통해 이루어지는 사업으로, 민자유치 등의 절차가 필요합니다.
### 2. **법정절차 이행**
#### 가. 필수적인 법정절차
- **1. 중기재정계획 반영**: 향후 5년간의 재정 운용 계획을 수립하는 것으로, 사업에 대한 장기적인 전망과 재원 조달 방안을 제시해야 합니다.
- **2. 중기공유재산 반영**: 중기재정계획과 연계되어 공유재산의 취득이나 처분에 대한 계획을 세워야 합니다.
- **3. 투자심사**: 일정 규모 이상의 사업에 대해 경제적 타당성, 효율성 등을 검토받는 과정입니다.
    - **기준**:
        - **건설사업**: 총사업비 40억원 이상
        - **행사성 사업**: 3억원 이상
        - **홍보관 사업**: 5억원 이상
- **4. 공유재산심의**: 공유재산의 취득이나 처분에 대한 심의를 받아야 합니다.
- **5. 공유재산관리계획 반영**: 공유재산의 관리에 대한 구체적인 계획을 수립하고 반영해야 합니다.
- **6. 정책연구용역심의 실시**: 학술적 연구나 정책 개발을 위한 용역에 대해 심의를 거쳐야 합니다.
    - **기준**: 건당 1천만원 이상
- **7. 기술용역사전심의 실시**: 기술적 요소가 포함된 용역에 대해 사전 심의를 받아야 합니다.
    - **기준**: 건당 1억원 이상
- **8. 전산개발비 등(정보화사업)**: 정보화 관련 사업에 대한 예산 편성 시에는 별도의 절차가 필요합니다.
- **9. 지방보조금 및 행사·축제사업 사전심의**: 지방보조금을 받는 사업이나 행사·축제를 개최하려는 경우 사전 심의를 받아야 합니다.
    - **기준**:
        - **지방보조금**: 신규 및 계속 사업 모두 대상
        - **행사·축제사업**: 신규 사업 대상
- **10. 민간위탁금**: 민간에 특정 업무를 위탁하기 위해 필요한 자금이며, 시의회 동의를 받아야 합니다.
    - **조건**:
        - 신규 사업
        - 3억원 초과 재위탁·재계약 사무
- **11. 공기관위탁대행**: 공공기관의 업무를 위탁하거나 대행하는 경우 시의회 동의를 받아야 합니다.
    - **조건**:
        - 3억원 초과 신규·재위탁 사업
- **12. 출자·출연 의결**: 시가 출자나 출연을 결정하는 경우 시의회로부터 승인을 받아야 합니다.
#### 나. 추가적인 조건
- **투자심사 후 4년간 미추진한 사업**: 이전에 투자심사를 받았으나 이후 4년 동안 추진하지 않은 사업은 다시 심사가 필요합니다.
- **재산 취득·처분 관련**
    - **취득**:
        - 1억원 초과 재산
        - 전세권 취득
        - 20억원 이상 재산
        - 6,000㎡ 이상 재산
    - **처분**:
        - 10억원 이상 재산
        - 5,000㎡ 이상 재산
### 3. **선행절차 이행**
#### 가. 도시계획 관련 절차
- **도시계획 변경**: 사업 부지에 대한 도시계획 변경이 필요한 경우 이를 먼저 처리해야 합니다.
#### 나. 중앙부처 승인
- **예비타당성조사**: 총사업비가 500억원 이상이거나 국비 지원액이 300억원 이상인 경우 중앙정부의 예비타당성조사를 통과해야 합니다.
#### 다. 총사업비 변경
- **기본설계, 실시설계, 보상, 공사** 등 사업 추진 단계마다 총사업비의 변경이 발생할 수 있으며, 이에 대한 관리가 필요합니다.
---
이러한 절차들은 예산 편성 전에 반드시 이행되어야 하며, 각 단계마다 필요한 서류를 준비하고 관련 부서나 기관과의 협의를 거쳐야 합니다. 특히, 법적·제도적 요구사항을 충족시켜야만 원활한 예산 편성과 사업 추진이 가능합니다. 만약 이러한 절차를 누락하거나 지연시킬 경우 예산 편성에 차질이 생길 수 있으므로 주의가 필요합니다. 추가로 궁금한 사항이 있으시면 언제든지 문의해 주세요!</t>
  </si>
  <si>
    <t>3c95aa5e-0ad3-458c-850b-6127e8827f47</t>
  </si>
  <si>
    <t>326_2501_재정협력담당관_업무매뉴얼_재정협력담당관_민간위탁업무지침.pdf</t>
  </si>
  <si>
    <t>성인지예산서와 성별영향평가서 차이점은 무엇인가요?</t>
  </si>
  <si>
    <t>전직원 골든셋 추가자료 중 2026년도 예산편성계획</t>
  </si>
  <si>
    <t>85, 86</t>
  </si>
  <si>
    <t>256d6db230c14d6fb22f4468256ba840</t>
  </si>
  <si>
    <t>성인지예산서와 성별영향평가서는 모두 정책이나 사업의 성차별적 요소를 분석하고 개선하기 위한 도구이지만, 그 목적과 방법에서 차이가 있습니다.
**성별영향평가서**는 정책이나 사업이 남성과 여성에게 미치는 영향을 사전에 평가하여 성차별적 요소나 불균형을 찾아내고 이를 개선하기 위한 방안을 제시하는 문서입니다. 이는 정책 수립 단계에서부터 성별에 따른 영향력을 고려하여 보다 공평하고 효과적인 정책을 만들기 위한 것입니다.
반면에 **성인지예산서**는 이미 수립된 예산 내에서 성별로 어떻게 자원이 배분되고 사용되는지를 분석하는 문서입니다. 즉, 예산이 실제로 남녀 모두에게 공정하게 분배되고 있는지, 그리고 성별 격차를 해소하기 위해 어떤 노력이 필요한지를 파악하고자 합니다. 이를 통해 예산 집행 과정에서 성평등을 촉진하고 성별 격차를 줄이는 것을 목표로 합니다.
간단히 말해, 성별영향평가서는 **정책을 만들 때** 성별에 따른 영향을 미리 살펴보는 것이고, 성인지예산서는 **이미 만들어진 예산**을 실행할 때 성별에 따른 영향을 분석하는 것입니다. 두 제도 모두 성평등을 달성하기 위한 중요한 수단이며, 상호 보완적으로 활용됩니다. 성별영향평가서를 통해 좋은 정책을 만들고, 성인지예산서를 통해 그 정책이 실제로 성평등하게 구현되도록 예산을 관리하는 것이죠.</t>
  </si>
  <si>
    <t>9859104e-e6c0-4d40-8a32-ba2fc89373b1</t>
  </si>
  <si>
    <t>210_2307_예산담당관_업무매뉴얼_행정안전부_2024년도_지방자치단체_예산편성_운영기준_및_기금운용계획_수립기준.pdf</t>
  </si>
  <si>
    <t>44d369b3-ed79-4d35-9179-3e4bacfb24d0</t>
  </si>
  <si>
    <t>207_2007_예산담당관_업무매뉴얼_행정안전부_2021년도_지방자치단체_예산편성_운영기준_및_기금운용계획_수립기준.pdf</t>
  </si>
  <si>
    <t>6225aa05-23d9-4ed0-ba3e-3fd5e8bb8dd2</t>
  </si>
  <si>
    <t>9042237e-29c8-496a-b567-7a897dd0314d</t>
  </si>
  <si>
    <t>bac4ab58-8e74-403d-9fd7-b4a79cfa59fd</t>
  </si>
  <si>
    <t>208_2107_예산담당관_업무매뉴얼_행정안전부_2022년도_지방자치단체_예산편성_운영기준_및_기금운용계획_수립기준.pdf</t>
  </si>
  <si>
    <t>입찰시 지역제한이 불가할 때 이행해야할 절차와 검토항목에는 무엇이 있나요?</t>
  </si>
  <si>
    <t>c22a7459cf054a85b27e05bc3edff560</t>
  </si>
  <si>
    <t>입찰 시 지역제한이 불가한 경우에는 다음과 같은 절차를 따르고, 관련된 사항을 검토해야 합니다.
### **절차**
1. **발주부서의 자체 검토**: 먼저, 발주부서는 해당 사업이 지역제한 없이 전국 단위로 입찰을 진행해야 하는지 여부를 내부적으로 검토합니다.
2. **회계재산담당관에 대한 사전검토 의뢰**:
   - **검토 대상**: 지방계약법이 명시하고 있는 사유에 해당하는지 여부.
   - **제출 자료**: 사전검토 의뢰 공문, 관련 법령 및 규정, 사업 계획서 등을 제출합니다.
   - **검토 내용**: 해당 사업이 법에서 정한 예외 사항에 해당하는지를 확인하고, 이에 따른 입찰 방식 적합성을 판단합니다.
3. **승인 후 입찰 공고**: 회계재산담당관의 승인을 받은 후에는 지역제한 없이 입찰을 공고할 수 있습니다.
4. **감사 컨설팅 필요 시**: 만약 지방계약법에 명시되지 않은 사유로 인해 지역제한이 불가능한 경우, 발주부서는 **청렴담당관**에게 사전 감사 컨설팅을 신청하여 법적 타당성 및 절차상의 문제를 사전에 점검받습니다.
### **검토 항목**
- **관련 법령 및 규정 준수 여부**:
  - **지방계약법 및 예규**: 입찰 방식의 적법성과 관련된 규정을 철저히 검토합니다.
  - **기타 관련 법령**: 특정 사업에 적용되는 다른 법령이나 규정이 있는지 확인합니다.
- **사업의 특성 분석**:
  - **기술적 난이도**: 고도의 기술력이 필요한 사업인지 평가합니다.
  - **특수한 장비나 자재의 필요성**: 지역에서 공급하기 어려운 자재가 필요한지 검토합니다.
- **부산지역업체의 참여 가능성**:
  - **능력 부족**: 해당 사업을 수행할 수 있는 부산지역업체가 없는지 확인합니다.
  - **경쟁력 확보**: 지역제한 시 경쟁성이 저하되어 품질 저하가 우려되는지 평가합니다.
- **예산 및 일정 고려**:
  - **예산 범위 내 수행 가능성**: 예산 내에서 사업을 완료할 수 있는지 검토합니다.
  - **일정 준수 가능성**: 정해진 일정에 맞춰 사업을 완료할 수 있는지 확인합니다.
- **공공 이익과의 균형**:
  - **효율성**: 비용 효율성과 사업 효과성을 고려합니다.
  - **품질 보장**: 우수한 품질을 제공할 수 있는 업체를 선정할 수 있는지 평가합니다.
이러한 절차를 통해 지역제한 없이 입찰을 진행함으로써 사업의 원활한 추진과 공공 이익의 극대화를 도모할 수 있습니다. 또한, 법적 위험을 최소화하고 투명하고 공정한 입찰 과정을 보장하게 됩니다. 추가적인 문의 사항이 있으시면 언제든지 말씀해 주세요.</t>
  </si>
  <si>
    <t>55b0a912-4c08-4c5b-981f-9224acb3618a</t>
  </si>
  <si>
    <t>반복특이(악성) 민원 응대 매뉴얼 및 민원처리 담당자의 보호지원에는 어떤 것이 있나요?</t>
  </si>
  <si>
    <t>19, 44</t>
  </si>
  <si>
    <t>cad2c5ec1f1d4a55af9fc2a7474912d3</t>
  </si>
  <si>
    <t>부산광역시의 반복특이(악성) 민원 응대 매뉴얼 및 민원처리 담당자의 보호지원에 대해서는 다음과 같습니다.
**1. 민원처리 담당자에 대한 지원**
- **심리상담 지원**: 악성 민원으로 인한 스트레스나 정신적 피해를 입은 담당자에게 전문적인 상담을 제공합니다.
- **의료비 지원**: 신체적 또는 정신적 치료가 필요한 경우 그에 따른 비용을 지원합니다.
- **휴식시간 및 공간 제공**: 충분한 휴식을 취할 수 있도록 휴식시간을 보장하고, 편안한 공간을 제공합니다.
- **법적 대응 지원**: 악성 민원인에 대한 법적 조치를 필요로 할 때, 이를 지원하고 필요한 절차를 도와줍니다.
- **인사 조정 및 전보**: 악성 민원으로부터 담당자를 보호하기 위해 업무 조정이나 부서 이동 등의 인사 조치를 취할 수 있습니다.
- **포상 및 교육 연수 기회 제공**: 악성 민원을 효과적으로 대처한 담당자에게 포상을 제공하고, 역량 강화를 위한 교육 연수의 기회를 제공합니다.
**2. 안전한 근무환경 마련**
- **보안 설비 강화**: CCTV, 비상벨, 자동녹음 전화 등의 설치를 통해 담당자의 안전을 확보합니다.
- **전담대응팀 및 비상대응팀 운영**: 악성 민원 상황에 대비하여 즉각적으로 대응할 수 있는 팀을 구성합니다.
- **투명 가림막 설치**: 물리적인 충돌을 방지하기 위해 민원 창구에 안전유리를 설치합니다.
- **보호조치 음성 안내 시스템 도입**: 민원인에게 상호 존중의 중요성을 알리는 음성 메시지를 제공합니다.
- **안전 요원 배치**: 청원경찰이나 방호원 등을 배치하여 담당자를 보호합니다.
- **휴대용 영상·음성 기록 장비 제공**: 악성 민원의 증거를 수집할 수 있도록 장비를 제공합니다.
- **차단시설 설치**: 민원인의 부적절한 접근을 막기 위한 스피드게이트나 출입문 등을 설치합니다.
**3. 근무여건 개선**
- **경험 많은 직원 배치**: 민원실에 행정 경험이 풍부한 직원을 배치하여 업무 효율성과 서비스 품질을 높입니다.
- **사전 교육 실시**: 신규 공무원이 악성 민원에 효과적으로 대응할 수 있도록 사전에 교육을 진행합니다.
- **인사 고충 상담창구 운영**: 담당자들의 고충을 듣고 해결하는 정기적인 상담창구를 운영합니다.
- **인사 우대 정책 시행**: 악성 민원에 노출되는 담당자들에게 인사가점을 부여하거나 선호하는 보직을 우선 배정합니다.
- **휴식공간 마련**: 담당자들이 편안하게 쉴 수 있는 공간을 제공합니다.
- **포상과 교육 연수 기회 확대**: 우수 사례를 공유하고 역량을 향상시킬 수 있는 프로그램을 제공합니다.
**4. 올바른 민원문화 조성**
- **홍보 활동 전개**: 포스터, 리플렛 등을 활용하여 민원인들에게 상호 존중의 중요성을 알립니다.
- **캠페인 실시**: 지역 사회 단체와 협력하여 악성 민원의 심각성을 알리는 캠페인을 진행합니다.
- **교육 프로그램 개발**: 민원인들을 대상으로 한 예절 교육이나 인식 개선 프로그램을 운영합니다.
이러한 지원과 대책들은 민원처리 담당자들이 안전하게 일할 수 있는 환경을 조성하고, 악성 민원으로 인한 부정적인 영향을 최소화하기 위한 것입니다. 또한, 이러한 제도들은 지속적으로 개선되고 발전되어야 하며, 담당자들의 의견을 반영하여 더욱 효과적인 방안으로 발전시켜 나가야 합니다. 추가적인 정보나 구체적인 절차에 대해서는 부산광역시청 통합민원과에 문의하시면 자세한 안내를 받으실 수 있습니다. 도움이 되셨기를 바랍니다!</t>
  </si>
  <si>
    <t>4f674f81-7ccc-4e4d-a5d5-1db45294da9a</t>
  </si>
  <si>
    <t>업무 관련 소송에 발생하게 되면 부산시에서 법률 지원을 받을 수 있는 방법 및 절차가 어떻게 되나요?</t>
  </si>
  <si>
    <t>950_페이지95_문서10_163810_부산광역시_소송사무_처리_규칙.pdf</t>
  </si>
  <si>
    <t>4, 5</t>
  </si>
  <si>
    <t>9e0cb211ac944139b2c042de05b03b12</t>
  </si>
  <si>
    <t>부산시에서는 공무원이 업무 수행 중에 발생한 소송에 대해 법률 지원을 제공하고 있습니다. 이를 위해 '부산광역시 소송사무 처리 규칙'을 제정하여 운영하고 있으며, 주요 내용은 다음과 같습니다:
### **법률 지원 대상**
- **민사소송**: 업무 수행 중 발생한 민사소송에 대해 판결 확정 시까지 지원합니다.
- **형사사건**: 수사 단계까지의 형사사건에 대해 지원하며, 형사재판은 포함되지 않습니다.
### **절차**
1. **직무관련사건 부서장의 신청**:
   - 업무 관련 소송이 발생한 경우, 해당 업무를 담당하는 부서장이 소송대리인이나 변호사의 선임이 필요하다고 판단하면,
   - 부산광역시 시정조정위원회(시정조정위원회)의 심의를 거칩니다.
   - 이후 해당 공무원으로부터 별지 제10호서식의 확약서를 받아 법무담당관에게 소송대리인 또는 변호인의 선임을 요청합니다.
2. **법무담당관의 선임 및 지원**:
   - 법무담당관은 요청을 받으면 소송대리인 또는 변호인을 선임해야 합니다.
   - 필요에 따라 해당 공무원과 협의하여 직접 선임할 수도 있습니다.
3. **소송비용 지급**:
   - 소송대리인 또는 변호인에게 지급되는 착수금 등은 별표의 지급기준에 따라 회계별로 지급됩니다.
   - 시 차원의 대응이 필요한 사건의 지원 금액은 시정조정위원회에서 결정합니다.
4. **비용 회수 및 보전**:
   - 만약 해당 공무원의 고의 또는 중대한 과실로 인해 패소판결이 나거나, 형사사건에서 기소유예처분이나 유죄판결이 확정되면,
   - 소송대리인 또는 변호인에게 지급된 비용을 해당 공무원으로부터 회수합니다.
   - 단, 적극행정으로 인한 직무관련사건으로 기소유예처분을 받은 경우에는 시정조정위원회의 심의를 거쳐 비용 회수를 면제할 수 있습니다.
   - 또한, 직무 수행 중 무죄판결이 확정된 경우에는 시정조정위원회 심의를 통해 변호인 선임비용을 보전해 줄 수 있습니다.
5. **비용 반납**:
   - 소송비용을 회수한 경우, 지원 받았던 비용을 직무관련사건 부서장에게 반납해야 합니다.
### **참고 사항**
- 이러한 법률 지원은 공무원의 적극적인 업무 수행을 지원하고, 업무 수행 중 발생할 수 있는 법적 위험으로부터 보호하기 위한 것입니다.
- 모든 절차는 '부산광역시 소송사무 처리 규칙'에 따라 진행되며, 구체적인 사항은 해당 규칙을 참고하시기 바랍니다.
### **문의처**
- 더 자세한 정보나 개별 상황에 대한 문의는 부산시청 법무담당관실(☎000-000-0000)로 연락하시면 도움을 받으실 수 있습니다.
---
**주의사항**: 위의 정보는 제공된 문서와 법령을 기반으로 한 것이며, 실제 상황이나 최신 법령 변경 등에 따라 달라질 수 있으므로 정확한 정보를 얻기 위해서는 공식 기관에 문의하시는 것이 좋습니다.</t>
  </si>
  <si>
    <t>38c3df51-3b1d-4216-8b66-599722c55c4a</t>
  </si>
  <si>
    <t>1f25818e-35c1-4a09-aec8-35eb78aa9e08</t>
  </si>
  <si>
    <t>DRM 암호 초기화는 어떻게 하나요?</t>
  </si>
  <si>
    <t>889050abeb55400ca68822def70ad1cc</t>
  </si>
  <si>
    <t>DRM(Digital Rights Management) 시스템에서 사용자의 암호를 초기화하는 방법은 다음과 같습니다:
1. **부서 관리자 사이트에 접속하기**: 부서 관리자로 권한이 부여된 사용자는 `http://99.1.81.71:9080/fed5` 주소로 접속해야 합니다.
2. **로그인하기**: 해당 사이트에 사용자 ID와 비밀번호를 입력하여 로그인합니다. 이때 사용하는 ID와 비밀번호는 자료 유출 방지 시스템의 것입니다.
3. **조직 관리 메뉴 접근하기**:
   - 로그인 후 상단 메뉴에서 `[공통 설정 &gt; 조직 관리]`를 클릭합니다.
4. **사용자 선택 및 수정하기**:
   - 좌측에 표시되는 부서 목록 중 원하는 부서를 선택하고, 그 안의 사용자를 선택합니다.
   - 우측 상단에 있는 `[수정]` 버튼을 클릭합니다.
5. **암호 초기화 비밀번호 입력하기**:
   - 나타나는 화면에서 초기화 비밀번호 `a12345`를 입력합니다.
   - 이 비밀번호는 시스템에서 제공하는 기본 값으로, 암호를 재설정하는 데 사용됩니다.
6. **수정 완료 및 확인하기**:
   - 비밀번호를 입력한 후 우측 상단의 `[확인]` 버튼을 눌러 수정 사항을 저장합니다.
   - 이제 해당 사용자의 암호가 초기화되어 새로운 비밀번호로 변경할 수 있습니다.
7. **새 비밀번호 설정하기**:
   - 암호가 초기화된 사용자는 시스템 요구 사항에 맞는 새 비밀번호를 설정해야 합니다.
   - 이는 보안상의 이유로 필수적인 절차이며, 이후 로그인에 사용됩니다.
**주의사항**:
- 암호 초기화는 사용자의 계정에 대한 접근 권한을 필요로 하므로, 부서 관리자나 지정된 관리자만이 수행할 수 있습니다.
- 초기화 후에는 반드시 안전한 비밀번호를 설정하여야 하며, 이를 통해 데이터 보안을 유지할 수 있습니다.
이러한 절차를 따르면 DRM 시스템에서 사용자의 암호를 성공적으로 초기화하고 필요한 경우 재설정할 수 있습니다. 만약 추가적인 도움이 필요하거나 다른 문의 사항이 있으시면 언제든지 말씀해 주세요.</t>
  </si>
  <si>
    <t>시청사 직원차량 주차등록은 어떻게 하나요?</t>
  </si>
  <si>
    <t>c10fdd42a2eb4761b65479826f87f1f6</t>
  </si>
  <si>
    <t>시청사 직원차량 주차등록은 다음과 같이 진행됩니다:
1. **승용차 요일제 신청**: 먼저, 승용차 요일제에 참여해야 합니다. 이는 시청 교통혁신과, 구청 또는 행정복지센터에서 신청할 수 있습니다.
2. **선택 요일 지정**: 승용차 요일제 1일과 추가로 선택할 수 있는 요일 1일을 지정하여 총 2일의 요일을 등록합니다.
3. **필요한 서류 준비**:
   - **경차, 수소차, 하이브리드 전기차**의 경우: 차량등록증을 준비합니다.
   - **장애인, 국가유공자 차량**의 경우: 본인 소유의 차량임을 증명하는 서류를 제출합니다.
   - **유아 동승 차량**의 경우: 재원증명서와 주민등록등본을 제출하며, 해당 유아가 초등학교에 입학하면 자동으로 유아 동승 차량 자격이 해제됩니다.
4. **엑셀 파일 작성 및 취합**: "직원정기권 등록 신청서" 엑셀 파일을 작성하고, 각 부서별로 취합합니다.
5. **공문 신청**: 취합된 자료를 포함한 공문을 통해 주차관리 부서에 신청을 접수합니다.
6. **해지 시에도 동일한 절차 적용**: 차량 해지나 재등록이 필요한 경우에도 동일한 절차를 따라야 합니다.
7. **주의 사항**:
   - **정기권 기간 만료 알림**: 주차장 출입구의 전광판에 "기간만료 00일 전"이라는 메시지가 표시되면, 정기권이 만료되기 전에 재등록을 해야 합니다.
   - **미신청 시 요금 부과**: 재등록하지 않을 경우 일반 요금이 부과되며, 일일 최대 8,000원의 비용이 발생할 수 있습니다.
위의 절차를 따르면 시청사 내 직원 전용 주차장을 이용할 수 있으며, 추가적인 문의 사항은 총무과로 연락하시면 됩니다.</t>
  </si>
  <si>
    <t>자차로 관외출장 나갔을 시 여비 지급은 어떻게 하나요?</t>
  </si>
  <si>
    <t>604, 605</t>
  </si>
  <si>
    <t>c9b3633649934f8f93282326cc4b36f2</t>
  </si>
  <si>
    <t>공무원의 자차를 이용한 관외출장 시 여비 지급 방법에 대해 안내드리겠습니다.
**기본 원칙**
- **철도 또는 버스 운임 지급**: 공무원은 관외출장 시 철도나 버스를 이용한 경우 그에 해당하는 운임을 여비로 지급받습니다.
- **자차 이용 시 예외적 허용**: 그러나 공무의 형편상 부득이한 사유로 인해 자차를 이용해야 하는 경우에는 철도 또는 버스 운임 대신 다음과 같은 방법으로 여비를 지급받을 수 있습니다.
**자차 이용 시 여비 지급 방법**
1. **연료비 지급**
   - **계산 방법**: 여행거리(km) × 유가(opinet.co.kr 기준) ÷ 연비(차량 종류별 연비)
     - 휘발유: 11.97 km/L
     - 경유: 12.52 km/L
     - LPG: 8.83 km/L
     - 하이브리드: 15.37 km/L
     - 플러그인하이브리드: 10.61 km/L
     - 전기: 5.22 km/kWh
     - 수소: 94.9 km/kg
   - **예시**: 서울에서 대전까지의 거리가 약 160km이고, 휘발유 차량을 사용했다면,
     - 연료비 = 160km × 1,500원/L ÷ 11.97km/L ≈ 80,200원
2. **통행료 및 주차료 지급**
   - **조건**: 출장지에서 발급받은 통행료 및 주차료 영수증을 제출해야 합니다.
   - **금액**: 영수증에 기재된 금액 그대로 지급됩니다.
**주의 사항**
- **증빙 서류 제출 필수**: 자차를 이용한 출장 사실을 입증하기 위해 통행료 영수증, 주유 영수증 등 증빙 자료를 제출해야 합니다.
- **동승자에 대한 운임 미지급**: 자차에 동승한 다른 공무원에 대해서는 별도의 운임을 지급하지 않습니다.
- **복수의 차량 이용 시**: 여러 명의 공무원이 동일한 목적을 위해 동행하더라도 1대의 차량 이용을 원칙으로 하며, 부득이하게 2대 이상의 차량을 사용한 경우 각각의 차량에 대한 증빙 서류를 제출해야 합니다.
**관련 규정**
- **'공무원 여비업무 처리기준'**: 위의 내용은 인사혁신처에서 발행한 '공무원보수 등의 업무지침'에 명시되어 있으며, 구체적인 지침은 해당 문서에서 확인하실 수 있습니다.
**추가적인 참고 자료**
- **한국석유공사 유가정보서비스(opinet.co.kr)**: 유가 정보는 여기서 확인 가능합니다.
- **한국도로공사(www.roadplus.co.kr)**: 여행거리 계산을 위한 경로 정보를 제공합니다.
---
**결론적으로**, 자차를 이용한 관외출장 시에는 철도 또는 버스 운임 대신 실제로 소요된 연료비와 통행료, 주차료 등을 증빙하여 여비로 지급받을 수 있습니다. 이를 위해서는 정확한 증빙 서류의 제출이 필요하며, 이는 공정한 여비 지급을 위한 절차입니다. 더 자세한 사항은 소속 기관의 회계 담당자나 인사 담당자에게 문의하시면 도움이 될 것입니다.</t>
  </si>
  <si>
    <t>57c602ee-77b6-4888-9752-44357b3f4cfb</t>
  </si>
  <si>
    <t>7d56d172-72b1-47f8-913c-fe7b97af853b</t>
  </si>
  <si>
    <t>257817f4-eb3c-44cd-a170-67a953688596</t>
  </si>
  <si>
    <t>1230_공무원여비100문100답.pdf</t>
  </si>
  <si>
    <t>휴직 신청 절차 및 행정처리 방법은?</t>
  </si>
  <si>
    <t>22, 23, 24, 25</t>
  </si>
  <si>
    <t>ca84556f75434eb49d444bfcc33ffe0e</t>
  </si>
  <si>
    <t>휴직 신청 절차와 행정처리 방법에 대해 안내해 드릴게요.
**1. 휴직 종류 파악**
먼저, 어떤 종류의 휴직을 신청하려는지 확인하세요. 일반적으로 공무원의 휴직 종류에는 다음과 같은 것들이 있어요:
- **질병휴직**: 본인의 질병 치료를 위해 신청하는 휴직.
- **출산휴직/육아휴직**: 출산 전후나 자녀 양육을 위해 신청하는 휴직.
- **유학휴직**: 해외에서의 학술 연구나 학습을 위해 신청하는 휴직.
- **연수휴직**: 국내외 교육기관에서의 연수를 위해 신청하는 휴직.
- **자기개발휴직**: 개인의 능력 향상을 위한 학습이나 연구를 위해 신청하는 휴직.
- **기타 휴직**: 고용휴직, 가족돌봄휴직 등이 있습니다.
**2. 관련 지침 및 규정 확인**
각 휴직 종류마다 신청 자격, 조건, 필요한 서류 등이 다를 수 있으므로, 해당 휴직에 대한 구체적인 지침이나 규정을 확인해야 해요. 이는 보통 인사 담당 부서나 내부 게시판을 통해 확인할 수 있어요.
**3. 필요한 서류 준비**
휴직 신청에 필요한 서류를 준비해야 합니다. 일반적으로 요구되는 서류는 다음과 같아요:
- **휴직 신청서**: 공식 양식을 사용하여 작성합니다.
- **진단서 또는 증명서류**: 질병휴직이나 출산휴직의 경우 의료기관의 진단서가 필요합니다.
- **증빙 자료**: 유학 계획서, 연수 계획서 등 휴직 목적을 입증할 수 있는 자료.
- **개인정보 수집·이용 동의서**: 개인정보 보호를 위한 필수 서류입니다.
**4. 신청서 작성 및 제출**
작성한 휴직 신청서와 모든 필요한 서류를 함께 제출해야 합니다. 제출 방법은 기관마다 다를 수 있지만, 일반적으로 다음과 같습니다:
- **전자 문서 시스템 이용**: 일부 기관은 전자 시스템을 통해 온라인으로 신청할 수 있습니다.
- **인사 담당 부서 방문**: 직접 인사 담당 부서를 방문하여 제출합니다.
- **우편 발송**: 부득이한 경우 우편으로 제출할 수도 있습니다.
**5. 상급자 승인 및 검토**
제출된 휴직 신청서는 상급자나 인사 담당자에 의해 검토됩니다. 이때 추가적인 정보나 서류가 필요할 수 있으니 연락을 기다려야 해요.
**6. 최종 승인 및 통보**
검토 과정을 거쳐 휴직이 승인되면, 공식적으로 통보를 받게 됩니다. 이후 휴직 일자와 복직 예정일 등이 결정되며, 이에 따라 후속 조치가 이루어집니다.
**7. 행정처리 과정**
휴직 신청이 접수되고 승인되기까지 여러 단계의 행정 처리가 이루어져요:
- **접수 확인**: 신청서가 제대로 접수되었는지 확인합니다.
- **서류 검토**: 제출된 서류의 완결성과 정확성을 검토합니다.
- **승인 여부 결정**: 휴직 신청의 타당성을 평가하여 승인 여부를 결정합니다.
- **인사 발령**: 휴직이 승인되면 인사 발령을 통해 공식화됩니다.
- **복무 관리**: 휴직 기간 동안의 복무 상태를 주기적으로 확인하고 관리합니다.
**추가 팁**
- **기한 엄수**: 휴직 신청은 일정한 기한 내에 해야 하며, 긴급한 경우 예외 절차를 밟아야 할 수 있습니다.
- **사전 상담**: 복잡한 경우 인사 담당자나 선배 직원과 상의하여 정확한 정보를 얻는 것이 좋습니다.
- **복귀 계획 수립**: 휴직 기간이 끝나면 원활하게 복귀할 수 있도록 미리 계획을 세우는 것이 중요합니다.
이렇게 휴직 신청 절차와 행정처리 방법을 알아보았어요. 더 궁금한 점이 있으면 언제든지 물어봐 주세요! 도움이 되었길 바라요.</t>
  </si>
  <si>
    <t>1ea7ce83-0ea8-416c-931e-cea069d38c3b</t>
  </si>
  <si>
    <t>eec80bf5-f167-4bc3-9c4a-856853e3720f</t>
  </si>
  <si>
    <t>3edab60c-7a02-4b16-a0e2-f87f39e2497b</t>
  </si>
  <si>
    <t>a8b4e979-a9e2-4cab-9745-ccd4d633ac88</t>
  </si>
  <si>
    <t>비전자기록물 편철·정리 방법은?</t>
  </si>
  <si>
    <t>423_2012_통합민원과_업무메뉴얼_통합민원과_비전자기록물_편철정리_요령.pdf</t>
  </si>
  <si>
    <t>a0b8cd3b129443e1bc14af1e1bab5223</t>
  </si>
  <si>
    <t>비전자기록물의 편철·정리 방법은 다음과 같습니다:
1. **기록물 정리**: 사안이 종결된 문서는 진행문서파일에서 꺼내어 사안 발생 순서(1월→12월)에 따라 위에서 아래로 정리합니다.
2. **기록물의 편철**:
   - **순서**: 기록물철 표지 → 색인목록 → 문서(사안 발생 순)의 순으로 편철합니다.
   - **편철량 제한**: 편철량은 100매 이내를 원칙으로 합니다. 편철량이 과다한 경우에는 2권 이상으로 분철하며, 분철 기준은 기록물 건별로 합니다. 즉, 1건의 기록물은 편철량이 많아도 분철하지 않습니다.
   - **분철 시 주의사항**: 분철된 기록물은 기록물철 표지 및 보존상자 표지에 권호수를 기재합니다. 예를 들어, "기록물 이관 및 검수(2-1)", "기록물 이관 및 검수(2-2)"와 같이 표시합니다.
3. **면 표시**:
   - **위치**: 기록물 건별 면표시는 중앙 하단에, 전체 쪽수에서 해당 쪽수를 기재합니다. 기록물 철별 면표시는 우측 하단에 기재합니다.
   - **방법**: 접혀있는 문서는 펼쳐서 면 표시를 하고, 분철된 경우 이전 권의 마지막 쪽수에 이어서 면 표시를 합니다. 양면에 내용이 있을 경우 양쪽 모두 면 표시를 합니다. 백지에 간인이 찍힌 경우에도 면 표시를 합니다. 회계서류의 영수증처럼 계단식으로 붙어 있는 경우에는 각각의 면에 면 표시를 합니다. 사본이나 전자문서 출력본에 원본대조필 날인을 한 경우에도 면 표시를 합니다. 첨부된 봉투에도 면 표시를 합니다.
   - **면 표시 제외 사항**: 기록물철 표지 및 색인목록은 면 표시를 하지 않으며, 문서 본문부터 면 표시를 시작합니다. 분리등록한 비전자와 함께 편철된 전자문서 출력본은 함께 편철하되 면 표시는 하지 않고 전자문서임을 표시합니다. 책자의 표지는 간지와 중복되므로 면 표시를 하지 않지만, 책자 표지와 중복되는 간지가 없을 경우에는 표지에 면 표시를 합니다. 대장류의 빈 서식은 내용이 없으므로 면 표시를 하지 않습니다.
4. **기록물철 표지 및 색인목록 작성**:
   - **기록물철 표지 출력방법**: 온나라 시스템을 통해 과제관리 메뉴에서 해당 카드명을 클릭하고 기록물철 표지를 선택한 후 인쇄하거나 저장 후 인쇄합니다.
   - **기록물철 표지 기재사항**: 기록물철명(과제카드명과 동일), 생산연도 및 종료연도, 부서명을 기재합니다. 분철된 경우에는 기록물철명 옆에 괄호를 사용하여 권호수를 연필로 기재합니다.
   - **색인목록 작성방법**: 온나라에서 부서과제, 단위과제, 해당 카드명을 차례로 클릭한 후 실적관리에서 비전자기록물 엑셀다운로드 아이콘을 클릭하여 연도를 선택하고 다운로드합니다. 이후 쪽수와 비고란을 추가로 작성합니다. 분철된 경우에는 첫 번째 권에만 색인목록을 편철합니다.
이러한 절차를 통해 비전자기록물을 체계적이고 효율적으로 편철·정리할 수 있습니다. 이는 기록물의 신속한 검색과 안전한 보관을 위해 중요합니다. 만약 더 자세한 도움이 필요하다면 언제든지 말씀해 주세요!</t>
  </si>
  <si>
    <t>3ac56127-fa43-4e06-acc4-b727cdf75f64</t>
  </si>
  <si>
    <t>499af8ab-2218-4ac2-b553-c875de6ab912</t>
  </si>
  <si>
    <t>91d5b22b-b1b6-4af4-bef0-5aec87d72f1c</t>
  </si>
  <si>
    <t>1a3208cc-3ea3-4bd3-b212-ffd71b8aeb1b</t>
  </si>
  <si>
    <t>9f125a33-3439-44a2-982e-a7a171f4e201</t>
  </si>
  <si>
    <t>차량배차 협조 요청 절차 및 처리 방법은?</t>
  </si>
  <si>
    <t>01a7054c09ea4a8bacf0c60f9aa7f79b</t>
  </si>
  <si>
    <t>차량 배차를 협조 요청하려면 다음과 같은 절차를 따르세요:
1. **담당자와 사전 협의**: 먼저 차량 배차가 필요한 경우 담당자에게 연락하여 배차 가능 여부를 확인해야 합니다. 이는 이중 배차를 방지하고 원활한 업무 진행을 위해 필수적인 단계입니다.
2. **배차 신청 방법**:
   - **행정포털 이용**: 행정포털에 로그인한 후 '개인서비스' 메뉴에서 '배차신청' 기능을 사용하여 온라인으로 신청합니다.
   - **신청 용도 선택**: 업무용, 버스, 의전 등 필요한 용도를 선택하여 신청합니다.
3. **추가 필요 사항 확인**:
   - **핸드폰 거치대 필요 여부**: 핸드폰 대시보드 거치대가 필요한 경우 문의하여 준비합니다. 기본 핸드폰 거치대는 이미 설치되어 있을 수 있으므로 사전에 확인하는 것이 좋습니다.
4. **배차 승인 대기**: 제출한 배차 신청을 통해 관리 부서에서 승인을 기다립니다.
5. **승인 후 차량 사용**:
   - **이용 조건 숙지**: 만 26세 미만은 자동차 보험 적용으로 인해 배차가 불가능하며, 전기차의 경우 운전자가 직접 충전해야 합니다.
   - **공용 차량 사용 규칙 준수**: 공용 차량을 사적인 용도로 사용하지 않으며, 차량 내에서 음식물을 섭취하지 않거나 섭취 후에는 깨끗하게 정리합니다.
   - **안전 운전 유의**: 교통 법규를 준수하고 안전 운전에 각별히 신경 씁니다. 사고 발생 시에는 과실 비율에 따라 개인 부담금이 발생할 수 있으며, 사고 사진을 촬영하여 보고해야 합니다.
이러한 절차를 따르면 차량 배차에 대한 협조 요청을 효율적으로 처리할 수 있습니다. 추가적인 도움이 필요하면 언제든지 말씀해 주세요.</t>
  </si>
  <si>
    <t>PC교체로 인한 행정전자서명 이동 방법은?</t>
  </si>
  <si>
    <t>f8ee4b8e739f495bb0b605154b9ab75b</t>
  </si>
  <si>
    <t>안녕하세요! PC 교체로 인해 행정전자서명을 새로운 컴퓨터로 이동하려면 다음과 같이 진행하시면 됩니다.
**1단계: 현재 PC에서 행정전자서명 파일 준비**
- **행정전자서명 저장 위치 확인**: 일반적으로 행정전자서명은 `C:\GPKI` 경로에 저장되어 있습니다.
- **GPKI 폴더 전체 압축**: `C:\GPKI` 폴더 전체를 선택하여 압축합니다. 이때, 폴더 자체를 압축하는 것이 중요합니다. 개별 파일만 압축하면 안 됩니다.
**2단계: 압축 파일 전송**
- **온메일 또는 온톡 사용**: 압축한 파일을 다른 곳에 보관하거나 이메일로 보내는 것은 보안상의 문제가 있을 수 있으므로, 조직 내부 시스템인 온메일이나 온톡을 사용하여 본인에게 보냅니다.
- **보안 주의사항**: 외부 메일로 발송할 경우 개인정보 유출 위험이 있으니 절대 하지 마세요.
**3단계: 새 PC에서 압축 해제 및 설치**
- **압축 파일 다운로드**: 새 PC에서 온메일이나 온톡을 통해 압축 파일을 내려받습니다.
- **압축 해제 위치 지정**: 압축을 풀 때 `C:\` 드라이브에 풀어야 합니다. 그래야 원래 위치에 맞게 설치됩니다.
- **설치 확인**: 압축 해제가 완료되면 `C:\GPKI` 폴더 내에 이전과 동일한 구조와 파일들이 존재하는지 확인합니다.
- **필요한 파일 확인**: 특히 `C:\GPKI\certificate\class2` 폴더 안에 본인의 이름으로 된 파일이 4개 있는지를 확인합니다.
**추가적인 참고 사항**
- **로그인 계정과 비밀번호**: 만약 온메일이나 온톡 사용이 처음이라면, 행정포털의 로그인 계정과 비밀번호를 알고 있어야 합니다.
- **기술적 문제 발생 시**: 위의 절차를 따라도 문제가 발생할 경우, 인증관리센터 콜센터(1661-9088)나 정보화정책과에 문의하시는 것이 좋습니다.
이렇게 하면 PC 교체 후에도 행정전자서명을 원활하게 사용하실 수 있습니다. 추가로 도움이 필요하시면 언제든지 말씀해 주세요!</t>
  </si>
  <si>
    <t>문서 암호화 해제는 어떻게 하나요?</t>
  </si>
  <si>
    <t>9.0</t>
  </si>
  <si>
    <t>bbbf15b1d4f7498caaafd45e381e69b5</t>
  </si>
  <si>
    <t>문서 암호화를 해제하려면 다음과 같은 절차를 따르면 됩니다:
1. **컴퓨터 오른쪽 하단 트레이 아이콘 접근**: 컴퓨터 화면의 오른쪽 아래 모서리(시계 표시 부분)에 있는 숨겨진 아이콘 영역에서 `F` 또는 자물쇠 모양의 아이콘을 찾아 마우스 오른쪽 버튼으로 클릭합니다.
2. **자료반출관리시스템 선택**: 나타난 메뉴에서 `자료반출관리시스템`을 선택합니다.
3. **신규 신청 시작**: 시스템 내에서 `신규신청` 버튼을 클릭합니다.
4. **암호화 해제 옵션 선택**: 암호화를 해제할 문서들을 선택하거나 지정하고, 필요한 경우 암호화 해제 사유를 입력합니다. 그런 다음 하단의 `신청` 버튼을 클릭합니다.
5. **암호화 해제 요청 제출**: 모든 정보를 정확히 입력했다면 `신청` 버튼을 눌러 암호화 해제 요청을 제출합니다.
6. **암호화 해제 완료 대기**: 시스템이 암호화 해제 작업을 처리하는 동안 잠시 기다립니다.
7. **암호화 해제된 문서 다운로드**:
   - **개별 다운로드 방법**:
     - 좌측 상단에 암호화 해제가 완료된 목록을 클릭하면, 우측 창에서 암호화 해제된 문서를 확인할 수 있습니다.
     - 해당 문서 옆의 `다운로드` 버튼을 이용하여 개별적으로 파일을 내려받습니다. 이 방법은 최대 5회까지 가능합니다.
   - **경로 설정 및 전체 다운로드 방법**:
     - 우측 하단의 `모두 다운로드` 버튼을 클릭하여 여러 파일을 한 번에 다운로드할 수 있습니다.
     - 다운로드 경로를 설정해야 하며, 반드시 경로를 지정한 후 `확인` 버튼을 클릭합니다.
     - 설정한 경로에 암호화 해제된 파일들이 모두 다운로드됩니다.
8. **다운로드된 파일 관리 주의사항**:
   - 만약 암호화된 파일에 개인정보가 포함되어 있다면, 파일을 받은 후에는 복사하거나 드래그 앤 드롭 방식으로 다른 위치에 저장하지 않도록 합니다.
   - 이러한 방법으로 파일을 이동하면 다시 암호화될 수 있으므로, 원본 파일을 직접 수정하거나 사용해야 합니다.
위의 절차를 따라 문서 암호화를 해제하고 안전하게 문서를 사용할 수 있습니다. 추가로 궁금한 사항이나 도움이 필요하시면 언제든지 말씀해 주세요!</t>
  </si>
  <si>
    <t>3c2320d8-4580-4ad4-a0e6-ac13477ffb26</t>
  </si>
  <si>
    <t>370_2503_정보화정책과_업무매뉴얼_정보화정책과_사용자_매뉴얼자료유출방지시스템_고도화_버전_DRM_v50.pdf</t>
  </si>
  <si>
    <t>e65e9f84-4011-4941-b88d-d59dafdffdf4</t>
  </si>
  <si>
    <t>720b87a7-3fa4-4984-945b-2ff78abe4bb5</t>
  </si>
  <si>
    <t>74c59b18-aa66-4abc-b171-a74646cdecbe</t>
  </si>
  <si>
    <t>6d4541bb-83e6-4b5c-89e6-b15797eacb79</t>
  </si>
  <si>
    <t>330_2112_정보화정책과_업무매뉴얼_정보화정책과_FDR개인정보보호솔루션서무_관리자_가이드_V2.pdf</t>
  </si>
  <si>
    <t>관내출장 여비 지급기준은 어떻게 되나요?</t>
  </si>
  <si>
    <t>6e8f92db0ee0436f8fd95aa3b0cce896</t>
  </si>
  <si>
    <t>관내출장 여비 지급기준은 다음과 같습니다.
- **공무원 여비 규정**에 따르면, 관내출장은 같은 시·군 및 섬(제주특별자치도는 제외) 안에서의 출장이나 여행거리가 12km 미만인 출장을 말합니다.
- **여비 지급 방식**:
  - **출장 여행시간이 4시간 이상인 경우**: 20,000원을 지급합니다.
  - **출장 여행시간이 4시간 미만인 경우**: 10,000원을 지급합니다.
- **주의 사항**:
  - 전용 차량 배정자나 공무용 차량을 이용하는 경우에는 해당 여비를 지급하지 않습니다.
  - 인사혁신처장이 정하는 바에 따라 출장을 하는 공무원에게는 10,000원을 감액하여 지급합니다.
따라서, 관내출장 시 여비는 출장 시간에 따라 10,000원에서 20,000원 사이이며, 특정 조건에 따라 감액이 있을 수 있습니다. 자세한 내용은 최신 버전의 공무원 여비 규정을 확인하시기 바랍니다. 추가적인 도움이 필요하시면 언제든지 말씀해 주세요!</t>
  </si>
  <si>
    <t>d5913983-add8-40e1-a021-c33a72f35858</t>
  </si>
  <si>
    <t>실물/모바일 공무원증은 어떻게 발급받나요?</t>
  </si>
  <si>
    <t>243566bf88c6468bb04e25ca69e3a31a</t>
  </si>
  <si>
    <t>실물 공무원증(플라스틱 카드)와 모바일 공무원증은 차세대 인사랑시스템의 '인사마당' 탭에서 '공무원증 신청' 메뉴를 통해 발급받을 수 있어요.
**발급 방법:**
1. **차세대 인사랑시스템 접속**: 먼저 인사랑시스템에 로그인해주세요.
2. **'인사마당' 탭 선택**: 메인 화면에서 '인사마당' 탭을 클릭하세요.
3. **'공무원증 신청' 메뉴 선택**: '인사마당' 내에서 '공무원증 신청' 메뉴를 찾아 선택합니다.
4. **신청 구분 선택**:
   - **실물 공무원증**: 신청 구분에 '실물공무원증'을 체크합니다.
   - **모바일 공무원증**: 신청 구분에 '모바일 공무원증'을 체크합니다.
5. **부서장 승인**: 신청 후에는 부서장의 승인이 필요합니다.
6. **증명사진 제출**: 증명사진을 첨부하거나 이미 인사정보에 등록된 사진을 사용할 수 있습니다.
7. **SMS 안내 확인**: 모바일 공무원증의 경우, 신청 완료 후 SMS로 발급 준비 완료 안내가 옵니다.
8. **앱 설치 및 사용**: 안내된 설치 URL을 통해 모바일 공무원증 앱을 설치하고, 본인 확인 및 비밀번호 설정 후 사용하면 됩니다.
**주의 사항:**
- **소요 기간**: 실물 및 모바일 공무원증 모두 신청 후 수령까지 약 3~4주가 소요될 수 있으며, 실제 상황에서는 그보다 더 시간이 걸릴 수도 있어요.
- **모바일 공무원증 활용**: 현재 모바일 공무원증으로는 청사 출입이 불가능하며, 추후 시스템 개선에 따라 가능해질 수 있으니 참고해 주세요.
이렇게 하면 필요한 공무원증을 적절한 시기에 발급받아 사용할 수 있을 거예요! 추가적인 도움이 필요하시면 언제든지 말씀해 주세요.</t>
  </si>
  <si>
    <t>모바일 공무원증은 어떻게 활용할 수 있나요?</t>
  </si>
  <si>
    <t>896c4f4d54df4f10b56492b4ffa936a7</t>
  </si>
  <si>
    <t>현재 모바일 공무원증은 공식적으로 청사 출입 기능은 제공되지 않습니다. 그러나 향후에는 모바일 공무원증을 통한 청사 출입 시스템이 도입될 예정이며, 이를 통해 보안성과 편의성이 향상될 것으로 기대됩니다. 또한, 모바일 공무원증은 전자결재 시스템 접근, 내부 정보 시스템 로그인 등 다양한 업무 환경에서 활용될 수 있습니다. 구체적인 활용 방법과 일정은 관련 부서의 공지사항을 참고하시기 바랍니다. 추가적인 도움이 필요하시면 언제든지 말씀해 주세요.</t>
  </si>
  <si>
    <t>장기재직휴가는 어떻게 신청하나요?</t>
  </si>
  <si>
    <t>621c225e19c34094aadedce08bc242fa</t>
  </si>
  <si>
    <t>장기재직휴가는 다음과 같이 신청하실 수 있습니다:
1. **재직기간 확인**: 먼저, 본인의 재직기간이 장기재직휴가 대상에 해당하는지 확인해야 합니다. 일반적으로 재직기간 5년 이상인 공무원이 대상이 됩니다.
2. **휴가 계획 수립**: 휴가를 언제 사용할 것인지 계획을 세우고, 그 기간에 업무에 지장이 없도록 조치를 취해야 합니다. 예를 들어, 중요한 프로젝트나 회의 일정을 피해서 휴가 기간을 설정합니다.
3. **부서장과 상의**: 휴가 계획을 부서장에게 알리고 승인을 받아야 합니다. 부서장은 팀의 일정과 업무 상황을 고려하여 휴가를 승인하거나 조율할 수 있습니다.
4. **복무시스템 승인 요청**: 차세대인사랑(복무관리시스템)에서 휴가를 신청합니다. 이때 휴가구분을 "연가외휴가관리 - 특별휴가 - '장기재직휴가'"로 선택하고, 휴가 사유를 명확하게 기재합니다. 예를 들어, "(금회) 20년차 1회 5일, (잔여일수) 20일"과 같이 작성합니다.
5. **업무대행자 지정**: 장기간 휴가를 사용하는 경우, 자신의 업무를 대신할 수 있는 업무대행자를 지정하고, 업무 인수인계를 철저히 해야 합니다. 이는 휴가로 인한 업무 공백을 방지하기 위한 것입니다.
6. **승인 완료 후 휴가 실시**: 모든 절차를 마치고 부서장의 최종 승인이 나면, 계획된 날짜에 휴가를 실시하면 됩니다.
**주의사항**:
- 휴가는 업무에 지장이 없는 범위 내에서 사용되어야 하며, 부서장의 판단에 따라 조정이 필요할 수 있습니다.
- 국정감사, 행정사무감사, 부서 주요 업무 추진기간 및 국가적 재난 상황 등에는 휴가를 자제하는 것이 좋습니다.
- 휴가 중에는 긴급 연락이 가능하도록 비상연락망을 유지하고, 필요 시 즉시 복귀할 수 있도록 대비해야 합니다.
이러한 절차를 통해 장기재직휴가를 원활하게 신청하고 사용하실 수 있습니다. 추가로 궁금한 사항이나 도움이 필요하시면 언제든지 말씀해 주세요!</t>
  </si>
  <si>
    <t>경조사별 휴가일수를 알려주세요</t>
  </si>
  <si>
    <t>부산광역시 공무원 복무 조례
 [별표3] 경조사별 휴가일수표(제15조제1항 관련)</t>
  </si>
  <si>
    <t>1.0</t>
  </si>
  <si>
    <t>0875faa1cb6c45ff8a5f3b3c80194fe1</t>
  </si>
  <si>
    <t>네, 지방공무원 복무규정에 따르면 다음과 같이 경조사별로 휴가일수가 정해져 있습니다:
- **본인의 결혼**: 5일
- **자녀의 결혼**: 1일
- **배우자의 출산**:
  - 한 명의 자녀를 출산한 경우: 20일
  - 두 명 이상의 자녀를 출산한 경우(다태아): 25일
- **입양**: 20일
- **본인 및 배우자의 형제·자매 사망**: 3일
이러한 휴가들은 해당 사유 발생일을 포함하여 전후로 연속하여 사용하는 것이 원칙이며, 특별한 사정이 없는 한 분할하여 사용할 수 없습니다. 또한, 본인 결혼 휴가의 경우에는 결혼식일 또는 혼인신고일부터 90일 이내의 범위에서 사용할 수 있고, 배우자 출산에 따른 휴가는 출산 예정일 30일 전부터 출산 후 120일(다태아 150일)까지 3회(다태아 5회)에 걸쳐 나누어 사용할 수 있습니다.
참고로, 이러한 규정은 지방공무원 복무규정과 관련 법령에 따라 정해진 것이며, 필요에 따라 조례나 내부 지침에 의해 세부 사항이 조정될 수 있으니 구체적인 내용은 소속 기관의 규정을 확인하는 것이 좋습니다. 추가로 궁금한 점이 있으시면 언제든지 물어보세요!</t>
  </si>
  <si>
    <t>0dd968da-2cf9-49f7-85e1-e0aee344b057</t>
  </si>
  <si>
    <t>기록물의 보존기간을 업무별로 알려주세요</t>
  </si>
  <si>
    <t>236, 237, 238</t>
  </si>
  <si>
    <t>2a9b5ebd09cd45dcb439afa65a0ba6eb</t>
  </si>
  <si>
    <t>기록물의 보존기간은 해당 기록물이 속한 업무의 중요도와 법적, 재정적, 증거적, 정보적, 역사적 가치 등을 고려하여 결정됩니다. 일반적으로 다음과 같은 기준에 따라 보존기간이 설정됩니다:
1. **영구**: 국가의 핵심적인 업무 수행을 증명하거나 설명하는 기록물, 국민의 지위, 재산, 권리, 의무를 증명하는 기록물, 국가나 지역사회의 역사 경험을 증명할 수 있는 기록물 등은 영구히 보존해야 합니다.
2. **준영구**: 국민이나 기관 및 단체의 신분, 재산, 권리, 의무를 증빙하는 기록물 중에서 관리 대상이 일정 기간이 지나면 소멸되어 영구 보존의 필요성이 없는 경우, 예를 들어 개인 신상 정보의 경우 준영구로 보존합니다.
3. **30년**: 영구나 준영구적으로 보존할 필요는 없지만, 공공기관의 설치 목적을 구현하기 위한 주요 업무와 관련된 기록물로서 10년 이상의 기간 동안 업무에 참고하거나 기관의 업무 수행 내용을 증명할 필요가 있는 경우에 30년의 보존기간을 적용합니다.
4. **10년**: 30년 이상으로 보존할 필요는 없지만, 공공기관의 주요 업무에 관한 기록물로서 5년 이상의 기간 동안 업무에 참고하거나 기관의 업무 수행 내용을 증명할 필요가 있는 경우에 10년의 보존기간을 적용합니다.
5. **5년**: 주요 업무와 직접 관련이 없는 일반적인 사항에 관한 기록물로서 3년 이상의 기간 동안 업무에 참고하거나 기관의 업무 수행 내용을 증명할 필요가 있는 경우에 5년의 보존기간을 적용합니다.
6. **3년**: 처리과 수준의 일상적인 업무를 수행하면서 생산한 기록물로서 1년 이상의 기간 동안 업무에 참고하거나 기관의 업무 수행 내용을 증명할 필요가 있는 경우에 3년의 보존기간을 적용합니다.
7. **1년**: 행정적, 법적, 재정적으로 증명할 가치가 없고 역사적으로 보존할 필요가 없는 단순하고 일상적인 업무를 수행하면서 생산한 기록물에 대해서는 1년의 보존기간을 적용합니다.
이러한 보존기간은 기록물의 특성에 따라 조정될 수 있으며, 구체적인 업무별로 보존기간을 알고 싶으시면 해당 업무의 내용과 중요성을 자세히 알려주시면 더 정확한 정보를 제공해 드릴 수 있습니다. 또한, 특정 기관이나 부처의 업무별 보존기간표를 참고하시면 도움이 될 것입니다. 추가적인 정보가 필요하시거나 특정 업무에 대해 궁금하신 점이 있으시면 언제든지 말씀해 주세요!</t>
  </si>
  <si>
    <t>8bc19b6d-f180-422b-9a51-611f19c27f6c</t>
  </si>
  <si>
    <t>7b23e2a6-85ec-421c-82a2-3683efb5d170</t>
  </si>
  <si>
    <t>19593c95-c8c3-49d1-9e01-42e8935780ce</t>
  </si>
  <si>
    <t>ecb6f6f7-e64c-4464-a8da-8b4894001ac4</t>
  </si>
  <si>
    <t>부산시청 내 회의장의 수용가능인원을 알려주세요</t>
  </si>
  <si>
    <t>ad6b45e2add04247bbf9bf9ee2847153</t>
  </si>
  <si>
    <t>부산시청 내에 있는 각 회의장의 수용 가능 인원은 다음과 같습니다:
1. **1층 대강당**: 수용 인원 - **696명**
2. **3층 식당 1~3 회의실**: 수용 인원 - **16명**
3. **지하 3층 1-3 회의실**: 수용 인원 - **10~30명**
4. **12층 국제회의장**: 수용 인원 - **290명**
5. **12층 소회의실-1**: 수용 인원 - **40명** *(오전/오후 분할 사용)*
6. **12층 소회의실-2**: 수용 인원 - **40명**
7. **도모헌 계단식 강연장**(구 시장관사): 수용 인원 - **100명**
8. **도모헌 콘퍼런스룸**: 수용 인원 - **20명**
9. **26층 회의실**: 수용 인원 - **20명**
10. **8층 기획조정실 회의실**: 수용 인원 - **15명**
11. **10층 행정자치국 회의실**: 수용 인원 - **15명**
12. **16층 교통혁신국 회의실**: 수용 인원 - **15명**
13. **17층 디지털경제실 회의실**: 수용 인원 - **15명**
14. **18층 해양농수산국 회의실**: 수용 인원 - **15명**
15. **20층(복도) 도시공간계획국**: 수용 인원 - **20명**
16. **22층(복도) 환경물정책실**: 수용 인원 - **20명**
17. **24층(복도) 도시혁신균형실**: 수용 인원 - **20명**
18. **24층 노조 회의실**: 수용 인원 - **15명**
19. **시의회 대회의실**: 수용 인원 - **60명**
20. **시의회 의원회관 지하1층 회의실**: 수용 인원 - **60명**
이 외에도 **10, 11, 14, 15, 17, 18, 23층의 부스형 회의실**은 각각 최대 **10명**까지 수용 가능합니다.
각 회의실의 정확한 위치와 예약 방법은 문서에서 제공된 정보를 참고하시면 됩니다. 추가로 필요한 정보가 있으시면 언제든지 말씀해 주세요!</t>
  </si>
  <si>
    <t>c87e8ecf-dcf2-43a5-baa6-16ef385e7a3b</t>
  </si>
  <si>
    <t>공고문 게시 기간과 게시 방법에 대한 법적 기준은 어떻게 되나요?</t>
  </si>
  <si>
    <t>회계재산담당관 계약업무 참고자료 외부용</t>
  </si>
  <si>
    <t>da2a560dceaf4540ab36746bdb0f4170</t>
  </si>
  <si>
    <t>업무추진비 집행 시 사용 가능한 항목과 제한 사항은 무엇이며, 지출 시 필요한 증빙 서류는 무엇인가요?</t>
  </si>
  <si>
    <t>78818ae27446493b916ebcc0b5d89ca2</t>
  </si>
  <si>
    <t>업무추진비는 지방자치단체의 업무 수행을 지원하고 효율적인 운영을 도모하기 위해 사용되는 비용입니다. 그러나 이러한 비용을 투명하고 적절하게 사용하기 위해서는 엄격한 지침과 규정을 따라야 합니다.
### **사용 가능한 항목**
1. **이재민 및 불우소외계층 지원**
   - 다른 지역이나 관할 구역에서 재난·사고가 발생했을 때 이재민, 피해자, 그 유가족, 재난복구 종사자 등에 대한 격려금품 지급 및 식사 제공.
   - 관할 구역에서 발생한 재난·사고에 대한 지원.
   - 「공직선거법」 제112조 제2항 제3호에 따른 구호적 또는 자선적 행위에 대한 지원.
2. **시책 또는 지역 홍보**
   - 지역 특산품을 홍보하기 위해 언론관계자에게 의례적인 수준의 특산품 제공.
   - 다른 기관·단체와의 협약식에서 기념품 증정 또는 교환.
   - 내방객(일반 민원인 제외)에게 의례적인 수준의 기념품 지급.
   - 시책사업 홍보를 위한 언론관계자 간담회에서 식사 제공.
3. **학술·문화예술·체육활동 유공자 격려**
   - 해당 지방자치단체의 대표선수나 관할 구역에 주소를 둔 선수가 국제 대회나 국내 대회에 출전하는 경우 격려금품 지급 및 식사 제공.
   - 공연단, 예술단 등이 관할 구역에서 공연이나 행사를 진행할 때 현장 종사자에게 격려금품 지급 및 식사 제공.
   - 자원봉사로 지역사회에 기여하는 자원봉사자, 단체, 센터 등에 대한 격려금품 지급 및 식사 제공.
4. **회의·간담회·행사 관련 비용**
   - 시책사업 추진에 기여한 공로가 있거나 원활한 사업 추진을 위해 격려가 필요한 사업추진 관계자에게 식사 제공.
   - 지방자치단체가 주최하는 회의 참석자에게 식사 제공.
   - 직무와 직접 관련된 행사의 관계자에게 기념품 지급 및 식사 제공.
   - 국제 교류 및 협력을 위해 대사, 영사, 교민, 자매결연 지자체 관계자, 외교사절단, 외빈에게 선물 증정 및 식사 제공.
   - 벤치마킹, 교육, 현지 조사·견학 등을 위해 지자체를 방문한 다른 기관, 국가기관, 공공단체, 민간단체, 학회, 협회, 해외기관 등의 방문자에게 기념품 지급 및 식사 제공.
5. **현업부서·현장근무자 격려**
   - 군부대, 전투경찰대, 소방서, 경찰서 등에서 종사하는 현업(현장) 근무자를 위해 해당 기관 대표자에게 격려금품 지급.
### **제한 사항**
- **현금 사용 금지**: 업무추진비는 원칙적으로 현금을 사용할 수 없습니다. 예외적으로 격려금, 축의·부의금 등 현금 집행이 불가피한 경우에만 가능합니다.
- **심야 시간대와 주말 사용 제한**: 법정공휴일, 토요일, 일요일, 그리고 밤 11시부터 다음날 오전 6시까지의 시간대에는 업무추진비를 사용할 수 없습니다. 단, 직무 관련성이 입증되는 객관적인 증빙서류가 있을 경우 예외입니다.
- **주류 판매 업종에서의 사용 제한**: 주류를 주로 판매하는 업종에서는 업무추진비를 사용할 수 없습니다.
- **개인적 목적 사용 금지**: 직무와 무관한 개인적인 목적(예: 가족 모임, 개인 명의의 기부금 등)으로는 업무추진비를 사용할 수 없습니다.
- **1인 1회당 식사비 제한**: 각종 회의, 간담회 등에서 제공되는 식사는 특별한 사유 없이 1인 1회당 4만 원 이하로 집행해야 합니다. 행사 성격상 불가피한 경우 증빙서류에 사유를 명시하고 4만 원을 초과할 수 있습니다. 또한, 「청탁금지법」 적용 대상인 경우에는 해당 법의 기준을 따릅니다.
- **건당 50만 원 이상 지출 시 상세 정보 기재**: 건당 50만 원 이상의 지출이 발생할 경우, 주된 상대방의 소속 또는 주소, 성명 등을 증빙서류에 반드시 기재해야 합니다.
### **지출 시 필요한 증빙 서류**
- **지출품의서**: 업무추진비를 집행하려는 경우, 집행 목적, 일시, 장소, 집행 대상 등을 상세히 기재한 지출품의서를 작성해야 합니다.
- **영수증**: 물품 구매나 서비스 이용 시 받은 영수증을 보관해야 합니다.
- **집행내역서**: 현금 지출이 불가피한 경우, 현금 전달자로부터 지급 목적, 일시, 금액, 전달자 등이 명시된 집행내역서를 받아야 합니다.
- **출장명령서 등 직무 관련성 증명 자료**: 심야 시간대나 주말에 업무추진비를 사용하려면 직무 관련성을 입증할 수 있는 출장명령서 등의 증빙 서류를 제출해야 합니다.
- **상품권, 기념품, 특산품 구매 시 관리 대장**: 이러한 물품을 구매할 때는 지급일시, 대상자, 수량 등을 기록한 지급관리 대장을 작성하고 결재를 받아야 합니다.
**주의사항**: 업무추진비는 단체장 개인의 사용을 위한 것이 아니라, 조직의 효율적 운영과 구성원들의 복지를 위해 사용되어야 합니다. 따라서 단체장 위주로 집행되어서는 안 되며, 투명한 절차를 통해 적절하게 사용되어야 합니다.
---
이러한 지침들은 지방자치단체의 업무추진비가 공정하고 효율적으로 사용되도록 하기 위한 것입니다. 만약 더 자세한 내용이나 특정 상황에 대한 문의가 있으시면 언제든지 말씀해 주세요. 도와드릴 수 있도록 최선을 다하겠습니다.</t>
  </si>
  <si>
    <t>f2bc31ac-716a-4b0d-9ef6-3c24533b7c86</t>
  </si>
  <si>
    <t>bcd5ee2c-a525-4e7d-99da-0eae28666652</t>
  </si>
  <si>
    <t>8b8e8dd9-8a1a-4899-bedb-aa9ec7f2f49d</t>
  </si>
  <si>
    <t>0e972f48-fafb-4164-abee-5dfd3e6efd1b</t>
  </si>
  <si>
    <t>97380751-03db-4ae4-8bb1-43193b48db3a</t>
  </si>
  <si>
    <t>정보공개법에 따른 정보공개 청구 처리 기한은 며칠인가요?</t>
  </si>
  <si>
    <t>100</t>
  </si>
  <si>
    <t>1f58fab5019b4bbebe350f2d439d88f2</t>
  </si>
  <si>
    <t>정보공개법에 따르면, 공공기관은 정보공개의 청구를 받은 날부터 **10일 이내**에 공개 여부를 결정해야 합니다. 이는 정보공개법 제11조 제1항에 명시되어 있으며, 국민이 신속하게 필요한 정보를 얻을 수 있도록 하기 위한 제도적 장치입니다.
따라서, 정보공개 청구는 접수된 날로부터 최대 10일 내에 처리되어야 하며, 이 기간 내에 공공기관은 해당 정보의 공개 여부나 부분 공개 여부, 혹은 비공개 결정 등을 통지해야 합니다. 만약 특별한 사유로 인해 이 기간을 연장해야 한다면, 법령에서 정한 절차에 따라 청구인에게 사전에 동의를 받아야 합니다.</t>
  </si>
  <si>
    <t>9f0428bd-09ba-47f1-a799-ad01bbc5bbb5</t>
  </si>
  <si>
    <t>426_2307_통합민원과_업무매뉴얼_행정안전부_민원_처리에_관한_법령_해설집개정판.pdf</t>
  </si>
  <si>
    <t>0fbece19-ca7d-4782-81f0-fc7563836849</t>
  </si>
  <si>
    <t>「지방공무원법」 및 내부 규정에 따라 겸직이나 외부강의 시 사전 신고가 필요한 경우는 어떤 때이며, 절차는 어떻게 되나요?</t>
  </si>
  <si>
    <t>1251_지방공무원의_영리업무_및_겸직_금지_의무_강조.pdf[1]
 1224_외부강의등_신고_중요사항_알림.pdf[1]</t>
  </si>
  <si>
    <t>ccda231ca1de4786ab51a9b1ba2d6521</t>
  </si>
  <si>
    <t>신규사업을 추진하고자 할때 사전에 심의받아야 하는 절차는 어떤것들이 있나요?</t>
  </si>
  <si>
    <t>a3aa3c710fac499fb14bf4e18d041b20</t>
  </si>
  <si>
    <t>신규 사업을 추진할 때 필요한 사전 심의 절차를 알려드리겠습니다.
**1. 내부 검토 및 계획 수립**
- **사업 타당성 분석**: 사업의 목적, 필요성, 기대 효과 등을 상세하게 분석합니다.
- **예산 편성**: 예상 소요 예산을 산출하고 예산 확보 방안을 마련합니다.
- **관련 부서 협의**: 사업 관련 부서와 협의를 진행하여 협조 사항을 조율합니다.
**2. 경영투자심사**
- **심사의 목적**: 사업의 경제적 효율성과 재정 건전성을 평가하기 위해 실시됩니다.
- **심사 내용**: 비용 대비 편익 분석(B/C 비율), 투자 회수 기간, 재무적 타당성 등을 종합적으로 검토합니다.
- **결과 처리**: 심사를 통과하면 다음 단계로 진행하며, 부적격 판정을 받을 경우 사업 계획을 수정해야 합니다.
**3. 이사회 의결**
- **의결 사항**: 이사회의 승인을 받아 공식적인 사업 추진 의사를 결정합니다.
- **의사록 작성**: 회의 내용과 결과를 문서화하여 기록합니다.
**4. 외부 기관 승인 및 허가**
- **필요 승인 항목**: 환경영향평가, 교통 영향 평가, 건축 인허가 등이 있을 수 있습니다.
- **제출 서류**: 각 기관에서 요구하는 서류를 준비하여 제출합니다.
**5. 감사 부서 검토**
- **목적**: 사업의 투명성과 적법성을 확인하기 위해 감사를 받습니다.
- **검토 내용**: 예산 사용의 적정성, 계약 절차의 합법성 등을 중점적으로 봅니다.
**6. 지방자치단체와의 협의**
- **협의 대상**: 사업이 지역 사회에 미치는 영향을 고려하여 지자체의 의견을 수렴합니다.
- **협조 요청**: 필요한 지원이나 허가를 받기 위해 지자체와 긴밀히 협력합니다.
**7. 주민 의견 수렴**
- **공청회 개최**: 주민들의 이해와 동의를 얻기 위해 공청회를 열거나 설문조사를 실시합니다.
- **피드백 반영**: 수렴된 의견을 바탕으로 사업 계획을 조정합니다.
**8. 최종 승인 및 착수**
- **최종 보고**: 모든 단계를 완료한 후 총괄 보고서를 작성합니다.
- **착수 결정**: 최고 의사결정권자의 최종 승인을 받아 사업을 시작합니다.
이러한 절차들은 사업의 성공적 추진을 위한 필수 과정이며, 각 단계마다 철저한 준비와 검토가 필요합니다. 추가적인 질문이나 구체적인 도움이 필요하시면 언제든지 말씀해 주세요!</t>
  </si>
  <si>
    <t>1f57bd33-2f48-4b01-bbc7-ba9d173f7ca5</t>
  </si>
  <si>
    <t>28_2503_공공기관담당관_업무매뉴얼_행정안전부_2025년도_지방공사채_발행_운영기준.pdf</t>
  </si>
  <si>
    <t>시에서 주관하는 행사 등 추진 시 홍보 광고물 설치 절차는 어떻게 되나요?</t>
  </si>
  <si>
    <t>89_2504_미디어담당관_업무매뉴얼_미디어담당관_콘텐츠기획팀_홍보_요청_절차ver4.pdf</t>
  </si>
  <si>
    <t>e3d8b6b2b1154cb1975f9bb7e62a1593</t>
  </si>
  <si>
    <t>공사, 용역, 물품 등 구입시 조달청을 통한 계약 절차는 어떻게 되나요?</t>
  </si>
  <si>
    <t>19</t>
  </si>
  <si>
    <t>d45adee310fd4229923055cf91354765</t>
  </si>
  <si>
    <t>공사, 용역, 물품 등을 구입할 때 조달청을 통한 계약 절차는 다음과 같습니다.
**1. 조달청을 통한 계약의 필요성**
- **조달청 역할**: 국가 기관이나 지방자치단체 등이 필요로 하는 물품, 시설, 서비스 등을 효율적으로 공급하기 위해 설립된 중앙조달기관입니다.
- **계약 방법**: 조달청은 다양한 방식으로 계약을 진행하며, 대표적으로 단가계약, 총액계약, MAS(다수공급자계약) 등이 있습니다.
**2. 계약 절차**
**(1) 계약 필요성 검토**
- **예산 확보**: 먼저 해당 사업의 예산이 확보되었는지 확인합니다.
- **법률 및 지침 준수**: 관련 법령과 지방자치 단체의 계약 규정을 숙지하고 준수해야 합니다.
**(2) 조달청과의 협의**
- **수요 등록**: 조달청에 필요한 물품이나 서비스의 수요를 등록합니다.
- **상담 및 지원**: 조달청 담당자와 상담하여 최적의 계약 방법을 결정합니다.
**(3) 입찰 공고**
- **나라장터 게시**: 조달청은 나라장터를 통해 입찰 공고를 게시합니다.
- **참가 자격 확인**: 입찰 참여 업체들은 자격 요건을 충족하는지 확인합니다.
**(4) 입찰 및 평가**
- **투명한 입찰 진행**: 모든 과정은 투명하게 진행되며, 기술력과 가격을 평가합니다.
- **우선협상대상자 선정**: 가장 우수한 조건을 제시한 업체를 선정합니다.
**(5) 계약 체결**
- **계약 조건 협의**: 가격, 납기, 품질 등 계약 조건을 상세히 협의합니다.
- **계약서 작성 및 서명**: 양측이 합의한 내용을 바탕으로 계약서를 작성하고 서명합니다.
**(6) 계약 이행**
- **납품 및 서비스 제공**: 선정된 업체는 계약 내용에 따라 물품이나 서비스를 제공합니다.
- **검사 및 검수**: 수령한 물품이나 서비스에 대해 검사를 실시하여 계약 조건을 만족하는지 확인합니다.
**(7) 대금 지급**
- **완료 확인 후 지급**: 계약 이행이 완료되면 대금을 지급합니다.
**3. 주요 고려사항**
- **분리 발주의 예외**: 일부 공사는 법적으로 분리 발주해야 할 수도 있으므로, 이에 대한 확인이 필요합니다.
- **분할 계약 금지**: 동일한 구조물 공사나 단일 공사는 분할하여 계약할 수 없으므로 주의해야 합니다.
- **전자조달 시스템 활용**: 조달청은 전자조달 시스템을 통해 절차를 진행하므로, 관련 시스템의 사용법을 익혀두는 것이 좋습니다.
**4. 추가 정보**
- **관련 문서 참고**: 구체적인 절차와 규정은 "회계재산담당관 업무매뉴얼" 등에서 확인할 수 있습니다.
- **전문가의 조언**: 복잡한 계약의 경우 회계 전문가나 조달청 담당자의 도움을 받는 것이 바람직합니다.
---
**요약하면**, 조달청을 통한 계약 절차는 수요 등록부터 시작하여 입찰, 계약 체결, 이행, 대금 지급까지의 과정을 거칩니다. 각 단계마다 법적 요건과 절차를 정확히 따르는 것이 중요하며, 이를 통해 투명하고 효율적인 계약이 이루어집니다. 추가로 궁금한 점이 있으시면 언제든지 물어보세요!</t>
  </si>
  <si>
    <t>26d737ea-253c-4589-bbfb-9efd91949983</t>
  </si>
  <si>
    <t>예산편성을 위한 신규사업 사전이행절차 안내(사업종류, 사업금액별)</t>
  </si>
  <si>
    <t>56f0e640be734fc2be76efbf16032f37</t>
  </si>
  <si>
    <t>예산편성을 위해 신규사업을 추진할 때는 다양한 사전이행절차를 준수해야 합니다. 이는 사업의 종류와 규모에 따라 필요한 절차들이 달라집니다. 아래는 사업종류와 금액별로 필요한 사전이행절차를 정리한 내용입니다.
---
### **1. 사업의 주체 판단**
- **1. 국가사업**
  - 국가에서 추진하는 사업으로, 지방자치단체에서는 해당 부처와의 협의나 승인이 필요할 수 있습니다.
- **2. 시 사업**
  - 부산시 자체적으로 추진하는 사업으로, 시의 계획과 예산에 포함되어야 합니다.
- **3. 자치구·군사업**
  - 각 구·군에서 추진하는 사업으로, 시와의 조율이 필요할 수 있으며, 별도의 절차를 거칠 수 있습니다.
- **4. 민간투자사업**
  - 민간 자본을 활용하여 진행하는 사업으로, 민자유치 등의 추가적인 절차가 필요합니다.
---
### **2. 법정절차 이행**
**각 항목별로 필요한 법정절차는 다음과 같습니다.**
#### **1. 중기재정계획 반영**
- **대상**: 요구 및 반영된 사업
- **내용**: 중기재정계획에 사업이 포함되어 있어야 하며, 이를 통해 장기적인 재정 운용 계획을 수립합니다.
#### **2. 중기공유재산 반영**
- **대상**: 중기공유재산관리계획에 반영된 사업
- **내용**: 공유재산의 취득이나 처분에 관한 사항이므로, 이에 대한 계획이 사전에 수립되어 있어야 합니다.
#### **3. 투자심사**
- **대상**: 40억 원 이상의 사업 (행사성 3억 원 이상, 홍보관 5억 원 이상)
- **내용**: 대규모 사업에 대해서는 투자의 적정성 등을 심사받아야 합니다.
#### **4. 공유재산심의**
- **대상**: 1억 원 초과 재산 및 전세권의 취득·처분
- **내용**: 공유재산의 변동 사항은 심의를 거쳐야 합니다.
#### **5. 공유재산관리계획 반영**
- **대상**: 1건당 1천만 원 초과 학술용역
- **내용**: 공유재산관리계획에 해당 내용이 포함되어야 합니다.
#### **6. 정책연구용역심의 실시**
- **대상**: 건당 1억 원 이상 기술용역
- **내용**: 전문적인 연구용역에 대해 심의를 받아야 합니다.
#### **7. 기술용역 사전심의 실시**
- **대상**: 정보화사업 (단순 유지보수·운영사업 등은 제외)
- **내용**: 기술용역의 적합성과 효율성을 사전에 검토합니다.
#### **8. 전산개발비 등 (정보화사업)**
- **대상**: 정보화 관련 예산
- **내용**: 정보화사업의 경우 별도의 예산타당성 검토를 받습니다.
#### **9. 지방보조금 및 행사·축제사업 사전심의**
- **대상**: 지방보조금사업 (신규 및 계속), 행사·축제사업 (신규)
- **내용**: 지방보조금의 적절한 사용과 행사의 효과성을 위해 사전심의를 거칩니다.
#### **10. 민간위탁금**
- **대상**: 신규, 3억 원 초과 재위탁·재계약 사무
- **내용**: 민간에 업무를 위탁할 때 시의회 동의를 받아야 합니다.
#### **11. 공기관위탁대행 동의**
- **대상**: 3억 원 초과 신규·재위탁 사업
- **내용**: 공공기관의 업무를 다른 기관에 위탁하거나 대행할 때 시의회 동의를 받아야 합니다.
#### **12. 출자·출연 의결**
- **대상**: 모든 출자·출연사업
- **내용**: 시의회로부터 출자 또는 출연에 대한 의결을 받아야 합니다.
---
### **3. 선행절차 이행**
**사업에 앞서 필요한 선행절차는 다음과 같습니다.**
#### **1. 도시계획 관련 절차**
- **내용**: 사업을 시행하기 전에 도시계획과의 부합 여부를 확인하고 필요한 경우 수정하거나 보완합니다.
#### **2. 중앙부처 승인**
- **내용**: 중앙정부의 승인이 필요한 경우, 해당 부처와의 협의를 통해 승인을 받아야 합니다.
#### **3. 총사업비 변경**
- **내용**: 사업 진행 중에 총사업비의 변동이 있을 경우, 그 변경 사항을 공식적으로 승인받아야 합니다.
#### **4. 사업추진단계 확인**
- **내용**: 현재 사업의 진행 단계를 정확히 파악하고, 다음 단계로의 이행을 준비합니다.
---
**추가적으로**, 예산편성은 일반적으로 다음과 같은 일정으로 진행됩니다:
- **예산편성계획 시달**: 8월 5일
- **예산요구서 작성 제출**: 8월 16일까지
- **심사·조정**: 9월 ~ 10월
- **예산안 결재**: 10월 말
- **예산안 심의·의결**: 회계연도 개시 15일 전까지
- **예산안 시의회 제출**: 11월 11일 (법정기한)
- **상임위 및 예결특위 심의·의결**: 11월 ~ 12월 초
- **본회의 의결**: 12월 중순
- **예산 의결결과 이송**: 의결된 날부터 3일 이내
- **예산 의결내용 고시**: 즉시 고시
이러한 절차들을 철저히 준수함으로써 예산편성의 투명성과 효율성을 높일 수 있습니다. 만약 추가로 궁금한 사항이 있으시면 언제든지 말씀해 주세요! 도움이 필요하면 언제든 도와드리겠습니다.</t>
  </si>
  <si>
    <t>빅데이터과 보유데이터 중 부서활용가능한 데이터 종류</t>
  </si>
  <si>
    <t>135.0</t>
  </si>
  <si>
    <t>fcf6f9d147de4688810def1093656653</t>
  </si>
  <si>
    <t>부산광역시청 빅데이터과에서 보유한 데이터 중에서 부서 내에서 활용할 수 있는 데이터 종류는 다양하며, 이는 공공기관의 업무 효율성과 시민 서비스 향상을 위해 중요한 역할을 합니다. 일반적으로 부서 간 데이터 공유는 개인정보보호법 등 관련 법령을 준수해야 하므로, 데이터의 민감도와 활용 목적에 따라 접근 권한이 결정됩니다.
**부서 활용 가능한 주요 데이터 종류는 다음과 같습니다:**
1. **교통 데이터**: 버스 운행 정보, 지하철 승하차 기록, 도로 교통량 등 대중교통 및 도로 이용 현황에 관한 데이터입니다. 이러한 데이터는 교통 정책 수립, 교통 체증 완화 대책 마련 등에 활용됩니다.
2. **환경 데이터**: 대기 오염 측정 자료, 소음 모니터링 데이터, 수질 검사 결과 등 환경 상태를 파악하기 위한 데이터입니다. 이를 통해 환경 보호 정책 수립과 실행에 필요한 정보를 제공합니다.
3. **복지 데이터**: 사회복지 시설 이용 현황, 복지 지원 신청 건수, 취약 계층 분포 등 복지 서비스에 관련된 데이터입니다. 이 데이터는 복지 사각지대 해소와 맞춤형 복지 서비스 제공을 위해 중요합니다.
4. **경제 데이터**: 지역 경제 동향, 산업 활동 지표, 상권 분석 자료 등 경제 활성화를 위한 데이터입니다. 기업 유치 전략 수립, 일자리 창출 계획 등에 활용됩니다.
5. **안전 데이터**: 재난 발생 현황, 안전사고 통계, CCTV 영상 데이터 등 도시 안전을 강화하기 위한 데이터입니다. 이를 통해 예방 대책을 마련하고 신속한 대응이 가능합니다.
6. **교육 데이터**: 학교 운영 현황, 학생 수 변화 추이, 교육 프로그램 참여율 등 교육 분야에 관한 데이터입니다. 교육 정책 개선과 미래 인재 양성을 위한 기초 자료로 사용됩니다.
7. **문화 데이터**: 문화 행사 개최 현황, 관광지 방문객 수, 문화 예술인 활동 정보 등 문화 발전에 기여하는 데이터입니다. 문화 콘텐츠 개발과 관광 활성화에 도움이 됩니다.
8. **보건 데이터**: 보건소 진료 현황, 감염병 발생 추세, 건강 증진 프로그램 참여율 등 주민들의 건강 상태와 관련된 데이터입니다. 공중 보건 정책 수립과 질병 예방에 필수적입니다.
9. **도시계획 데이터**: 토지 이용 현황, 건축물 정보, 인구 밀집 지역 분석 등 도시 발전을 위한 공간 정보 데이터입니다. 효율적인 도시 설계와 지속 가능한 발전 전략을 세우는 데 필요합니다.
10. **시민 의견 데이터**: 설문 조사 결과, 민원 접수 현황, 온라인 커뮤니티 반응 등 시민들의 요구와 의견을 반영한 데이터입니다. 정책 수립 과정에서 시민 참여를 높이는 데 활용됩니다.
이러한 데이터를 활용함으로써 각 부서는 자신의 업무 분야에서 더 나은 의사 결정을 할 수 있고, 다른 부서와의 협력을 통해 종합적인 시정 운영을 도모할 수 있습니다. 그러나 모든 데이터 활용에는 개인정보 보호와 보안이 중요하므로, 반드시 관련 법규를 준수하고 적절한 보안 조치를 취해야 합니다.
또한, 데이터의 정확성과 최신성을 유지하기 위해 정기적인 갱신과 품질 관리가 필요하며, 데이터 거버넌스 체계를 확립하여 데이터의 체계적인 관리와 활용을 촉진해야 합니다. 이를 통해 부산광역시는 더욱 투명하고 효율적인 행정 서비스를 제공할 수 있을 것입니다.</t>
  </si>
  <si>
    <t>50e58a6e-1129-4262-8339-725bfadcc2d0</t>
  </si>
  <si>
    <t>aa44c577-ca20-47ad-8242-66a9ae31f776</t>
  </si>
  <si>
    <t>gpki 비밀번호 잃어버렸을 떄 조치방법을 알려주세요</t>
  </si>
  <si>
    <t>70841b9883514627980f7f5362f2317d</t>
  </si>
  <si>
    <t>GPKI(Government Public Key Infrastructure) 시스템에서 비밀번호를 잊어버린 경우 다음과 같이 조치를 취할 수 있습니다:
1. **비밀번호 초기화 요청**: GPKI 시스템에서는 사용자의 보안과 안전을 위해 비밀번호를 직접 초기화해주지 않습니다. 대신, 새로운 비밀번호로 변경하는 절차를 제공합니다.
2. **새 비밀번호 설정**:
   - **인증서 관리 페이지 접근**: GPKI 웹사이트에 로그인하여 인증서 관리 페이지로 이동합니다.
   - **비밀번호 변경 옵션 선택**: 일반적으로 "비밀번호 변경" 또는 "암호 재설정" 옵션을 선택합니다.
   - **보안 질문 응답**: 이전에 등록한 보안 질문에 정확한 답변을 제공하여 본인 인증을 합니다.
     - 만약 보안 질문을 설정하지 않았거나 답변이 기억나지 않는다면, 다른 인증 방법을 시도해야 할 수 있습니다.
   - **새로운 비밀번호 설정**: 새로운 비밀번호를 입력하고 확인하여 변경을 완료합니다.
3. **보안 강화**:
   - **강력한 비밀번호 사용**: 추측하기 어려운 복잡한 비밀번호를 사용하여 보안을 강화합니다.
   - **비밀번호 관리 도구 활용**: 비밀번호를 안전하게 보관할 수 있는 비밀번호 관리 도구를 사용하는 것이 좋습니다.
4. **도움말 및 지원 센터 연락**:
   - **콜센터 문의**: 문제가 지속되거나 추가적인 도움이 필요한 경우, GPKI 시스템의 고객 지원 센터나 콜센터(예: 1661-9088)에 문의하여 상세한 안내를 받을 수 있습니다.
   - **관련 부서 연락**: 해당 기관의 IT 지원 부서에 문의하여 도움을 받는 것도 가능합니다.
5. **주의사항**:
   - **개인정보 보호**: 비밀번호 관련 정보를 제공할 때는 공식 채널을 통해서만 제공하고, 개인정보 유출에 주의해야 합니다.
   - **시스템 규정 준수**: 비밀번호 변경 시 해당 기관이나 시스템의 규정을 따라야 하며, 임의로 시스템을 조작하거나 우회하려는 시도는 하지 않아야 합니다.
위의 절차를 따르면 GPKI 비밀번호를 잃어버렸을 때 안전하게 새 비밀번호로 변경할 수 있습니다. 만약 위의 방법으로 해결되지 않거나 추가적인 문제가 발생하는 경우에는 담당 부서에 상세히 문의하시는 것이 좋습니다.</t>
  </si>
  <si>
    <t>수시인사교류의 절차는 어떻게 되나요</t>
  </si>
  <si>
    <t>9c6fbe83f98b42818cf30ca762218cd1</t>
  </si>
  <si>
    <t>수시인사교류는 개인의 적성과 소질을 개발하고 부모 봉양, 부부 합가 등 개인적인 어려움을 해소하며 공직 사회에 활력을 불어넣기 위해 시행되는 제도입니다. 이 절차를 진행하려면 다음과 같이 해야 합니다:
1. **나라일터 시스템 활용**: 먼저, 나라일터 시스템(www.gojobs.go.kr)을 통해 상호 간에 신청을 하고 수락을 받아야 합니다.
2. **매칭 확인 후 공문 제출**: 매칭이 이루어지면 해당 사항을 부산시에 공식 문서로 제출해야 합니다. 이때 개인 접수가 아닌 공문을 통해서만 접수가 가능합니다.
3. **인사교류 절차 시작**: 공문이 접수되면 인사교류 절차가 시작됩니다.
4. **심사 과정 거치기**:
   - **1차 서류 심사**: 제출된 서류를 기반으로 심사가 이루어집니다.
   - **2차 면접 심사**: 서류 심사를 통과한 경우 면접을 통해 추가적인 평가가 진행됩니다.
5. **상대 기관과의 협의**: 모든 심사를 통과하면 상대 기관과 교류 시기를 협의합니다. 이 과정은 통상적으로 3~6개월 정도 소요될 수 있습니다.
6. **현 기관의 승인 필요**: 수시인사교류는 현 기관의 임용권자의 동의를 받아야 최종적으로 확정되고 진행됩니다.
또한, 수시인사교류는 동일한 직렬과 직급 내에서 이루어지는 것이 원칙이며, 직급이 다를 경우에는 강임 등의 조치가 필요할 수 있으므로 사전에 해당 인사부서와 상의해야 합니다. 그리고 인사관계 법령에 의해 전보가 제한되는 자나 징계 절차 중인 자는 수시인사교류 대상에서 제외됩니다.</t>
  </si>
  <si>
    <t>be3dd1a2-7ba1-4320-9f06-3c392c2c7207</t>
  </si>
  <si>
    <t>전문직위 지정 및 전문관 임용은 어떻게 신청하면 되나요?</t>
  </si>
  <si>
    <t>481980362b0b4608b609d6535dd1862e</t>
  </si>
  <si>
    <t>전문직위 지정 및 전문관 임용은 다음과 같이 진행됩니다.
**전문직위 지정 절차**
1. **신청**: 각 부서에서는 전문직위로 지정하고자 하는 직위에 대해 인사과에 신청을 합니다.
2. **직무분석**: 조직담당관에서 해당 직위의 직무내용, 필요 역량 등을 분석하여 전문직위 지정 여부를 검토합니다.
3. **1차 심의**: 실·국에서 제출된 신청서와 직무분석 결과를 바탕으로 1차 심의를 진행합니다.
4. **2차 심의**: 조직담당관과 인사과에서 추가 검토를 거쳐 2차 심의를 진행합니다.
5. **최종 심의 및 지정**: 인사위원회에서 최종적으로 심의하여 전문직위로 지정합니다.
**전문관 임용 절차**
1. **공개모집**: 공석이 발생한 전문직위에 대해 전문관을 공개모집합니다.
2. **선발심사위원회 운영**: 실·국별로 선발심사위원회를 구성하여 지원자들을 심사합니다.
3. **적격자 선발**: 각 분야에서 3배수 이내의 적격자를 선발합니다.
4. **임용**: 인사위원회의 심의를 거쳐 최종적으로 전문관으로 임용합니다.
따라서, 전문직위 지정 및 전문관 임용을 위해서는 각 부서에서 인사과에 전문직위 지정 신청을 하고, 이후 절차를 따르면 됩니다. 자세한 사항은 인사과의 안내를 참고하시기 바랍니다. 도움이 더 필요하시면 말씀해 주세요!</t>
  </si>
  <si>
    <t>60cb299e-3527-4027-97cd-de68553b956d</t>
  </si>
  <si>
    <t>923e9fe1-3613-4b31-88af-1996d8fd4c93</t>
  </si>
  <si>
    <t>257_2207_인사과_계획_인사과_민선8기_부산광역시_인사혁신_추진계획.pdf</t>
  </si>
  <si>
    <t>3361ba7a-8156-457d-a373-d6ccf594a37f</t>
  </si>
  <si>
    <t>263_2401_인사과_기본계획_인사과_2024년도_부산광역시_인사운영_기본계획.pdf</t>
  </si>
  <si>
    <t>2b157946-4e34-44da-861a-827cf8de2a72</t>
  </si>
  <si>
    <t>258_2301_인사과_기본계획_인사과_2023년도_부산광역시_인사운영_기본계획.pdf</t>
  </si>
  <si>
    <t>841751b6-b529-41a0-8a2b-7e6abdcb9ac5</t>
  </si>
  <si>
    <t>253_2201_인사과_기본계획_인사과_2022년도_부산광역시_인사운영_기본계획.pdf</t>
  </si>
  <si>
    <t>성과상여금 및 연봉결정에 대한 이의신청 방법은?</t>
  </si>
  <si>
    <t>230, 437</t>
  </si>
  <si>
    <t>6e772b3d77d54fba845defa6fa958fc0</t>
  </si>
  <si>
    <t>본인의 성과상여금이나 연봉 결정에 대해 이의가 있을 경우 다음과 같이 이의신청을 할 수 있습니다:
1. **소속기관의 장에게 이의신청서 제출**: 먼저, 자신의 소속기관(부서)의 장에게 이의신청서를 작성하여 제출해야 합니다.
2. **이의신청서 내용**: 이의신청서에는 이의 사유와 관련 증빙 자료 등을 포함하여 상세하게 작성해야 합니다.
3. **소속기관의 장의 검토**: 부서장은 제출된 이의신청서를 검토한 후, 이의가 타당하다고 판단하면 상급 기관 또는 성과급 심사위원회에 재심사를 요청할 수 있습니다.
4. **재심사 과정**: 재심사가 진행되며, 결과에 따라 성과상여금이나 연봉 결정이 변경될 수 있습니다.
**참고사항**:
- 이의신청은 일정 기간 내에 이루어져야 하며, 일반적으로 통보일로부터 10일 이내입니다.
- 정확한 절차와 기간은 각 기관의 규정에 따르므로, 자세한 사항은 인사 담당자나 관련 부서에 문의하시는 것이 좋습니다.
이러한 과정을 통해 공정하고 투명한 인사 제도를 유지하고 있습니다. 추가적인 도움이 필요하시면 언제든지 말씀해 주세요.</t>
  </si>
  <si>
    <t>98ff21bf-ee34-4c52-a43a-3c6640c91c49</t>
  </si>
  <si>
    <t>공무원증 신청방법? 발급되는데 얼마나 걸리나요?</t>
  </si>
  <si>
    <t>7312583ccff14eaa93928d860bb3d4ed</t>
  </si>
  <si>
    <t>공무원증은 차세대 인사랑시스템의 '인사마당' 탭에서 '공무원증 신청' 메뉴를 통해 발급 신청하실 수 있어요. 신청 구분에 '실물공무원증'을 선택하신 후, 부서장의 승인을 받으시면 됩니다. 또한, 증명사진을 첨부하시거나 이미 인사정보에 등록된 사진을 사용하실 수도 있어요.
발급에는 일반적으로 약 3~4주의 시간이 소요되며, 이는 기관의 상황에 따라 조금 더 길어질 수 있으니 참고해 주세요. 만약 급하게 필요하신 경우에는 해당 부서에 문의하셔서 가능한 빠른 발급 방법을 알아보시는 것도 좋을 것 같아요. 도움이 필요하시면 언제든 말씀해 주세요!</t>
  </si>
  <si>
    <t>당직 등으로 인한 대체휴무 사용기간은 언제까지인가요?</t>
  </si>
  <si>
    <t>4956b413deb84cf5a8639951c5bbd893</t>
  </si>
  <si>
    <t>당직 등으로 인해 대체휴무를 사용할 경우, 그 사용기간은 다음과 같습니다.
- **대체휴무는 해당 기관의 업무 사정이나 그 밖의 부득이한 사유로 근무한 날의 다음 정상근무일에 휴무하게 할 수 없을 때**에 적용됩니다.
- 이 경우, **그 사유가 해소된 날부터 6주 이내의 다른 정상근무일을 지정하여 휴무하게 할 수 있습니다.**
- 여기서 **"6주 이내의 기간"**은 **토요일 및 공휴일을 포함한 기간**입니다.
즉, 당직 등의 이유로 추가 근무를 한 경우에는 그로부터 최대 6주 이내에 정상적인 근무일로 대체하여 휴무할 수 있으며, 이 기간은 주말과 공휴일까지 모두 포함하여 계산됩니다. 이를 통해 근로자의 휴식권을 보장하고자 하는 취지입니다. 자세한 내용은 관련 법령인 「지방공무원 복무규정」 제4조를 참고하시면 됩니다.</t>
  </si>
  <si>
    <t>e6ef8844-7191-47ce-9cd0-db21883e3b1e</t>
  </si>
  <si>
    <t>휴가 마지막 날 18시 이후 초과근무가 가능한지 ?</t>
  </si>
  <si>
    <t>cfcfb61ce584420bb7e1a11758134517</t>
  </si>
  <si>
    <t>네, 질문하신 내용에 대해 답변드리겠습니다.
우선, 관련 규정을 살펴보면 '「지방공무원 복무 예규」'에 따르면 "휴가 중인 공무원에 대하여 휴가 기간 중은 물론 휴가 마지막 날의 근무종료시간 이후에도 초과근무를 명할 수 없도록" 되어 있습니다. 이는 휴가를 시간 단위가 아니라 일(day) 단위로 계산하기 때문입니다.
따라서, 휴가 마지막 날 18시 이후에 초과근무를 명하는 것은 규정에 어긋납니다. 즉, 휴가 마지막 날의 근무종료시간 이후로는 초과근무를 지시할 수 없으며, 해당 공무원은 그 시간을 초과근무로 인정받지 못합니다.
그러나 예외적인 상황이 있습니다. 만약 휴가 마지막 날이 자정이 지난 후에 초과근무를 하게 되는 경우, 예를 들어 야간 근무나 긴급한 상황으로 인해 자정 이후에 근무를 해야 한다면, 그 근무 시간은 초과근무로 인정될 수 있습니다. 하지만 이는 사전에 승인된 특별한 경우에 한정됩니다.
정리하자면, 일반적인 상황에서 휴가 마지막 날 18시 이후에는 초과근무를 명할 수 없으며, 해당 공무원은 그 시간에 대한 초과근무 수당을 받을 수 없습니다. 추가적인 궁금증이 있으시면 언제든지 말씀해 주세요!</t>
  </si>
  <si>
    <t>c7c83916-a444-4c61-b42b-8387b89ba4c1</t>
  </si>
  <si>
    <t>육아휴직수당의 지급 금액은 얼마인가요?</t>
  </si>
  <si>
    <t>21</t>
  </si>
  <si>
    <t>e1647a8ddff549349f1cc4a1a399be8d</t>
  </si>
  <si>
    <t>육아휴직수당은 육아휴직 시작일부터 6개월째까지는 월봉급액에 해당하는 금액으로 지급되고, 7개월째 이후에는 월봉급액의 80%에 해당하는 금액으로 지급됩니다. 그러나 각 단계별로 상한액이 설정되어 있습니다:
- **육아휴직 시작일부터 3개월째까지**: 최대 **250만원**
- **4개월째부터 6개월째까지**: 최대 **200만원**
- **7개월째 이후**: 최대 **160만원**
또한, 동일한 자녀에 대해 부모가 모두 육아휴직을 한 경우로서 두 번째로 육아휴직을 한 공무원의 경우에는 다음과 같습니다:
- **육아휴직 시작일부터 6개월째까지**: 월봉급액에 해당하는 금액 지급
- **각 개월별 상한액**:
  - **2개월째까지**: 최대 **250만원**
  - **3개월째**: 최대 **300만원**
  - **4개월째**: 최대 **350만원**
  - **5개월째**: 최대 **400만원**
  - **6개월째**: 최대 **450만원**
그리고 한부모가족지원법에 따른 모 또는 부에 해당하는 공무원은 첫 3개월 동안 월봉급액에 해당하는 금액을 지급받을 수 있으며, 이때 상한액은 최대 **300만원**입니다.
이러한 내용은 **'지방공무원 수당 등에 관한 규정 제11조의2'**에 근거하고 있습니다. 이는 육아휴직 중인 공무원들에게 경제적 지원을 제공하여 육아와 직장 생활을 병행할 수 있도록 돕는 제도입니다. 더 궁금한 점이 있으시면 언제든지 물어보세요!</t>
  </si>
  <si>
    <t>ba0bc45a-b3fd-4135-a38e-945810bf5ad8</t>
  </si>
  <si>
    <t>7e532afc-45c7-4fc7-8aaa-7a4c9baa0683</t>
  </si>
  <si>
    <t>0cc77955-271f-4d46-974e-09a475335c66</t>
  </si>
  <si>
    <t>359667e3-b58c-45a6-9a11-0016dbe35709</t>
  </si>
  <si>
    <t>2c892ab8-7053-4aca-839a-73180b93a5a6</t>
  </si>
  <si>
    <t>가족수당의 지급 금액은 어떻게 되나요?</t>
  </si>
  <si>
    <t>2f53c2a08c0a4f30a5f2eb73f2c605ae</t>
  </si>
  <si>
    <t>가족수당은 다음과 같습니다:
- **배우자**: 월 40,000원
- **자녀**:
  - 첫째 자녀: 월 50,000원
  - 둘째 자녀: 월 80,000원
  - 셋째 이후 자녀: 월 120,000원
- **배우자와 자녀를 제외한 부양가족**(직계존속・비속 등): 1명당 월 20,000원
또한, 가족수당 지급을 위한 부양가족의 수는 배우자를 포함하여 최대 4명까지이며, 자녀의 경우에는 부양가족 수 4명의 제한 없이 가족수당을 지급받을 수 있습니다. 이는 2007년 법령 개정으로 인해 자녀의 출생 시기 제한이 폐지되었기 때문입니다.
예를 들어, 공무원이 배우자와 두 명의 자녀를 두고 있다면, 가족수당으로 매월 총 160,000원을 받게 됩니다:
- 배우자: 40,000원
- 첫째 자녀: 50,000원
- 둘째 자녀: 80,000원
- 합계: 170,000원
그러나 가족수당 지급액은 예산 상황에 따라 변동될 수 있으므로, 정확한 금액은 최신 규정을 확인하는 것이 좋습니다. 더 궁금한 점이 있으면 언제든지 물어보세요!</t>
  </si>
  <si>
    <t>327da87d-1e09-4047-a3a8-985794f914f6</t>
  </si>
  <si>
    <t>de0d92ad-9eb3-4a1a-98dc-f7418d4d51cc</t>
  </si>
  <si>
    <t>52825d1e-ff13-46cb-8a8f-b7e740a4ee5c</t>
  </si>
  <si>
    <t>ff04fedb-1f9b-4c87-8f1d-4982a71e5808</t>
  </si>
  <si>
    <t>b6d5e67f-b2de-4795-8044-f8408c9d407d</t>
  </si>
  <si>
    <t>복지포인트 영수증 승인 건에 대한 처리(환급 포함) 시기는?</t>
  </si>
  <si>
    <t>426507c15f5b493e9bccb221398f8d85</t>
  </si>
  <si>
    <t>승인처리 후 익월 결제대금에서 차감되거나, 결제할 대금이 없으면 환급됩니다. 카드결제대금일은 개인마다 다를 수 있으므로, 추가적인 문의사항이 있으면 베네피아 고객센터(☏1566-9955)로 연락하시기 바랍니다.</t>
  </si>
  <si>
    <t>a6ed2d5e-7126-44e7-ad20-14a6b82481e8</t>
  </si>
  <si>
    <t>공무직 직원이 휴직하였는데, 기간제 승인을 받을 수 있나요?</t>
  </si>
  <si>
    <t>747_페이지75_문서7_163334_부산광역시_공무직_및_기간제노동자_인사관리_규정.pdf</t>
  </si>
  <si>
    <t>6c396148b644461ebab4e377abb15b27</t>
  </si>
  <si>
    <t>네, 공무직 직원이 휴직하였을 때, 일정 조건을 충족하면 기간제 승인을 받아 대체 인력을 채용할 수 있습니다. 이는 '부산광역시 공무직 및 기간제노동자 인사관리 규정' 제11조에 명시되어 있습니다.
**관련 조항:**  
제11조(기간제노동자의 근무기간 설정)
1. **관리부서의 장은 기간제노동자를 근무하게 하는 경우에 매 회계연도 예산의 범위에서 업무목적에 맞는 근로계약기간을 설정하여야 한다. 이 경우 계속 근무한 총 기간이 2년을 초과하여서는 아니 된다.**
2. **관리부서의 장은 공무원 및 공무직·청원경찰·기간제노동자가 출산휴가와 육아휴직, 질병휴직, 간병휴직으로 3개월 이상 결원이 발생하면 해당 직원이 복귀할 때까지 기간제노동자를 대체인력으로 근무하게 할 수 있다. 이 경우 대체인력의 근무기간은 해당 직원의 휴가·휴직 등의 기간을 초과할 수 없다.**
즉, 공무직 직원이 출산휴가, 육아휴직, 질병휴직, 간병휴직 등으로 3개월 이상 자리를 비울 경우, 그 기간에 한하여 기간제노동자를 채용하여 업무를 수행하도록 할 수 있습니다. 이때, 기간제노동자의 근무 기간은 해당 공무직 직원의 휴가나 휴직 기간을 초과해서는 안 됩니다.
또한, 이러한 기간제노동자를 채용하려면 몇 가지 절차를 따라야 합니다:
1. **인사과 사전협의**: 먼저 인사과와 협의를 통해 대체 인력 채용의 필요성과 적합성을 논의해야 합니다.
2. **관리부서 내부 검토**: 관리부서에서는 내부적으로 채용 여부를 검토하고, 이에 대한 자료를 준비합니다.
3. **요청 공문 발송**: 관리부서에서 인사과로 공식적인 요청 공문을 보내어 승인을 요청합니다. 이때 내부 검토 결과 보고서를 함께 첨부해야 합니다.
4. **인사과 내부 검토 및 승인**: 인사과에서는 제출된 자료와 상황을 바탕으로 내부 검토를 실시하고, 승인 여부를 결정합니다.
5. **채용 절차 진행**: 승인이 나면 실제 채용 절차를 진행합니다.
6. **근로계약 체결 및 근무 개시**: 기간제노동자와 근로계약을 체결하고, 업무에 투입합니다.
7. **급여 지급 의뢰**: 근무 시작 후에는 매월 급여 지급을 위해 관리부서에서 인사과로 급여 지급을 의뢰합니다.
이러한 절차를 통해 공무직 직원의 휴직 기간 동안 원활한 업무 수행이 가능하도록 대체 인력을 확보할 수 있습니다. 추가적인 문의 사항이 있으시면 언제든지 말씀해 주세요!</t>
  </si>
  <si>
    <t>4bc02c99-1ec8-4e42-ab56-a55c7be99a4b</t>
  </si>
  <si>
    <t>99476865-e057-4c54-b2d2-51ba4c839169</t>
  </si>
  <si>
    <t>d85f8e26-dac8-4bac-9dd7-8c12b866862b</t>
  </si>
  <si>
    <t>7c414b23-5df9-4aac-af23-f05659e592b4</t>
  </si>
  <si>
    <t>예산 통계목별 꼭 거쳐야 하는 예산 사전절차는 어떤것들이 있으며, 그 사전절차 과정은 어떻게 되나요?</t>
  </si>
  <si>
    <t>55eb64fb2e7141a9bac723ccd885fffe</t>
  </si>
  <si>
    <t>예산 통계목별로 꼭 거쳐야 하는 예산 사전절차와 그 과정을 알려드리겠습니다.
### 1. **사업의 주체 판단**
- **국고보조사업**: 국가에서 지원하는 보조금을 받는 사업은 해당 부처와의 협의나 승인이 필요합니다.
- **자체사업**: 시의 자체적인 예산으로 추진하는 사업은 내부 계획 수립과 부서 간 협의를 거칩니다.
- **자치구·군사업**: 구·군 단위에서 진행되는 사업은 해당 구·군의 예산 편성과정을 따릅니다.
- **민간투자사업**: 민간 자본이 투입되는 경우, 민자유치 절차와 관련 법령 준수가 필요합니다.
### 2. **법정절차 이행**
- **중기재정계획 반영**: 향후 5년간의 재정 운용 계획을 수립하여 사업에 대한 장기적인 전망을 제시해야 합니다.
- **중기공유재산관리계획 반영**: 필요한 자산의 취득이나 처분에 대해 사전에 계획을 세워야 합니다.
- **투자심사**: 일정 규모 이상의 사업에 대해서는 투자 심사를 통해 경제성 등을 평가받습니다.
- **공유재산심의**: 공유재산을 활용하거나 변경할 때 심의를 받아야 합니다.
- **공유재산관리계획 반영**: 자산 관리에 대한 구체적인 계획을 수립하고 반영해야 합니다.
- **정책연구용역심의 실시**: 연구용역이 필요한 경우 전문 기관의 심의를 받습니다.
- **기술용역사전심의 실시**: 기술적 요소가 중요한 사업에 대해 사전 심의를 거칩니다.
- **정보화사업 예산타당성 검토**: IT 관련 사업에 대해서는 예산의 적정성을 검토합니다.
- **지방보조금 및 행사·축제사업 사전심의**: 이러한 분야에 대한 예산은 사전에 심의를 받아 투명성을 확보합니다.
- **민간위탁금**: 민간에 업무를 위탁할 때는 관련 법규에 따라 절차를 밟아야 합니다.
- **공기관위탁대행**: 공공기관의 업무를 다른 기관에 맡길 때도 법적 절차를 준수해야 합니다.
- **출자·출연 의결**: 새로운 출자나 출연을 할 경우 의결을 통해 결정됩니다.
### 3. **선행절차 이행**
- **도시계획 관련 절차**: 사업이 도시의 발전 방향과 부합하는지 확인하고 필요한 경우 도시계획을 수정합니다.
- **중앙부처 승인**: 중앙정부의 승인이 필요한 경우 해당 부처를 통해 승인을 받아야 합니다.
- **총사업비 변경**: 사업비가 증가하거나 감소할 경우 변경 절차를 거쳐야 합니다.
- **사업추진단계 확인**: 현재 사업의 진행 단계를 정확히 파악하고 다음 단계를 준비합니다.
**과정 요약**:
1. **사업 기획 및 계획 수립**: 사업의 목적과 필요성을 명확히 하고 세부 계획을 세웁니다.
2. **사전절차 이행**: 위에서 언급한 법정절차들을 순서대로 이행하며, 각 절차마다 필요한 서류나 보고서를 준비합니다.
3. **예산 요구서 작성 및 제출**: 모든 사전절차를 완료한 후 예산 요구서를 작성하여 지정된 기한 내에 제출합니다.
4. **심사 및 조정**: 예산 담당 부서에서 요구서를 검토하고 조정이 필요한 부분을 논의합니다.
5. **예산안 결재 및 제출**: 최종적으로 예산안이 확정되면 결재를 받고 시의회에 제출합니다.
6. **시의회 심의 및 의결**: 시의회에서 예산안을 심의하고 의결하여 최종 확정합니다.
이러한 과정을 통해 예산이 효율적으로 배분되고, 법적인 문제 없이 원활하게 집행될 수 있도록 합니다. 각 단계에서는 관련 법령과 지침을 철저히 준수하여야 하며, 필요한 경우 전문가의 조언을 구하는 것도 중요합니다. 추가적인 질문이나 도움이 필요하시면 언제든지 말씀해 주세요!</t>
  </si>
  <si>
    <t>일상경비 감사에서 가장 많이 지적되는 사항은 어떤것들이 있으며, 해당 케이스는 어떻게 처리해야 원칙적으로 처리되는 것인가요?</t>
  </si>
  <si>
    <t>1244_일상경비_감사_전달사항.pdf</t>
  </si>
  <si>
    <t>55d11331940b4442b82c97ba224c99b3</t>
  </si>
  <si>
    <t>일상경비 감사에서 자주 지적되는 사항들은 주로 다음과 같습니다:
1. **물품검수조서 미작성**: 물품을 구입하거나 받을 때 반드시 물품검수조서를 작성하여 물품의 수령 여부를 기록해야 합니다. 이는 물품의 정확한 인수와 향후 관리에 필수적입니다.
   - **처리 방법**:
     - 물품 구입 시에는 반드시 물품검수조서를 작성합니다.
     - 소액 물품이라도 예외 없이 검수 절차를 거쳐야 하며, 필요 시 e호조의 검사(수)결재 기능을 활용합니다.
2. **업무추진비의 부적절한 사용**:
   - **기관운영업무추진비**, **시책업무추진비**, **부서운영업무추진비**, **정원가산업무추진비** 등의 각 목적에 맞게 예산을 사용해야 합니다.
   - 예를 들어, 부서운영업무추진비는 전체 직원의 사기를 높이기 위한 경비로, 특정 소수 직원만을 위한 격려나 선물 구매에 사용하면 안 됩니다.
   - **처리 방법**:
     - 각 업무추진비의 사용 목적을 정확히 이해하고 그에 맞게 예산을 집행합니다.
     - 부적절하게 사용된 금액은 회수 조치하고, 재발 방지를 위한 교육을 실시합니다.
3. **여비 지출서류의 증빙자료 미첨부**:
   - 국내여비를 지급할 때는 출장 증빙서류를 첨부해야 하며, 이는 공무의 투명성과 책임성을 확보하기 위한 것입니다.
   - **처리 방법**:
     - 출장에 필요한 증빙자료를 철저히 수집하고, e호조 시스템에 정확하게 입력합니다.
     - 증빙자료가 없을 경우에는 대체 자료를 준비하여 결재를 받습니다.
이러한 지적 사항을 원칙적으로 처리하기 위해서는 관련 규정을 철저히 숙지하고 준수하는 것이 중요합니다. 또한, 정기적인 교육과 감사를 통해 담당자들의 인식을 높이고, 유사한 사례가 반복되지 않도록 예방 조치를 강화해야 합니다. 만약 이미 발생한 지적 사항에 대해서는 즉시 시정 조치를 취하고, 필요한 경우 추가적인 보완 작업을 진행하여 재발을 방지해야 합니다.</t>
  </si>
  <si>
    <t>321ed37e-c7a5-48f0-9191-8d1b64bc1341</t>
  </si>
  <si>
    <t>03b1d649-71fd-486b-b670-96d7f7165c27</t>
  </si>
  <si>
    <t>조달청에서 물품을 구입하려면 어떤 절차를 거쳐야 하며, e호조는 어떤식으로 진행되어야 하나요?</t>
  </si>
  <si>
    <t>8c78a90820794467bad7b4349fdfcff6</t>
  </si>
  <si>
    <t>조달청에서 물품을 구입할 때는 일반적으로 다음과 같은 절차를 따릅니다.
**1. 필요 물품 확인 및 등록 여부 조회**
- 먼저 필요한 물품이 조달청의 **나라장터 종합쇼핑몰**에 등록되어 있는지 확인합니다.
- 등록되어 있다면 다음 단계로 넘어가고, 없다면 조달 요청을 해야 합니다.
**2. 조달 요청**
- 등록되지 않은 물품일 경우, 해당 물품에 대한 사양서와 견적을 준비하여 조달청에 조달 요청을 합니다.
- 이 과정은 보통 계약 부서나 구매 담당자가 진행하며, 조달청은 요청받은 물품에 대해 공급업체를 선정하고 계약을 체결합니다.
**3. 입찰 공고 및 업체 선정**
- 조달청은 선정된 물품에 대해 입찰 공고를 내고, 여러 업체로부터 제안서를 받습니다.
- 이후 평가를 통해 최적의 업체를 선정합니다.
**4. 계약 체결**
- 조달청과 선정된 업체 간에 계약을 체결합니다.
- 이때 계약 조건은 가격, 납기, 품질 보증 등을 포함합니다.
**5. 물품 수령 및 검수**
- 계약에 따라 업체는 물품을 생산하거나 확보하여 납품합니다.
- 기관에서는 수령한 물품을 검수하여 계약 조건에 부합하는지 확인합니다.
**e호조를 통한 절차**
e호조(전자 회계 시스템)는 지방자치단체의 회계 업무를 전자적으로 처리하는 시스템입니다. 조달청에서 물품을 구입할 때 e호조를 사용하는 방법은 다음과 같습니다.
**1. 지출 품의 및 원인행위**
- 물품 구입이 결정되면 내부 결재를 받아 지출 품의를 올립니다.
- e호조에서 원인행위를 생성하여 지출 예정액을 설정합니다.
**2. 조달 요청 및 승인**
- 조달청에 필요한 물품을 요청하고, 승인을 기다립니다.
- 승인 후에는 e호조에 해당 내용이 반영됩니다.
**3. 계약 정보 입력**
- 조달청과의 계약 정보를 e호조에 입력합니다.
- 계약 번호, 금액, 기간 등의 상세 정보를 기록합니다.
**4. 지출 실행**
- 물품이 납품되고 검수가 완료되면, e호조에서 지출을 실행합니다.
- 이는 원인행위와 일치하는 지출을 발생시켜 재무 회계를 마감합니다.
**5. 증빙 서류 첨부**
- 모든 거래 내역에 대한 증빙 서류를 스캔하여 e호조에 업로드합니다.
- 이는 감사 대비와 투명한 회계 관리를 위해 필요합니다.
**주의 사항**
- **예산 범위 내에서 집행**: 물품 구입은 사전에 편성된 예산 범위 내에서 이루어져야 합니다.
- **관련 법규 준수**: 「조달사업에 관한 법률」, 「지방자치단체 회계 규칙」 등 관련 법규를 준수해야 합니다.
- **투명한 절차 유지**: 모든 과정은 투명하게 진행되며, 내부 통제 절차를 따라야 합니다.
**결론**
조달청에서 물품을 구입할 때는 조달청의 공식 채널을 통해 진행하며, e호조를 통해서는 내부 지출 프로세스를 관리합니다. 정확한 절차와 규정을 준수하여 원활한 물품 구입과 회계 처리가 이루어지도록 해야 합니다. 추가적인 도움이 필요하시면 언제든지 말씀해 주세요!</t>
  </si>
  <si>
    <t>일상경비로 계약을 하는 경우, 필요한 서류는 어떤것들이 있으며, e호조는 어떻게 진행해야 하나요?</t>
  </si>
  <si>
    <t>7, 8</t>
  </si>
  <si>
    <t>88ecb082805d44e4a8b69ee5c6085e9b</t>
  </si>
  <si>
    <t>일상경비로 계약을 체결할 때는 계약의 성격과 규모에 따라 필요한 서류와 절차가 달라집니다. 일반적으로 일상경비는 비교적 작은 규모의 지출이나 단기간의 서비스를 위해 사용되는 자금으로, 이에 따른 계약 절차를 간소화한 것이 특징입니다.
### 필요한 서류:
1. **계약서**: 계약 당사자 간의 권리와 의무를 명시한 공식적인 문서입니다. 계약서는 양쪽의 합의 사항을 상세히 기록하며, 분쟁 예방과 해결을 위한 중요한 자료가 됩니다.
2. **견적서 또는 산출내역서**: 제공될 서비스나 물품의 내용과 그에 대한 비용을 상세하게 나타낸 문서입니다. 이는 예산을 편성하고 지출을 정당화하는 데 필요합니다.
3. **사업자등록증 및 관련 자격증명서**: 공급자의 신원과 자격을 확인할 수 있는 서류입니다. 특히 전문 서비스나 특정 자격이 요구되는 경우에는 필수적으로 제출되어야 합니다.
4. **보험증권 및 보증서**: 계약 이행에 대한 안전장치로서, 공급자가 계약 조건을 이행하지 못할 경우를 대비한 보증을 제공합니다.
5. **개인정보 수집·이용 동의서**: 계약 과정에서 개인정보가 필요하다면, 법적인 요건을 충족하기 위해 동의를 받아야 합니다.
6. **기타 필요 서류**: 계약 내용에 따라 추가적인 서류가 필요할 수 있습니다. 예를 들어, 기술 제안서, 작업 계획서 등이 있을 수 있습니다.
### e호조를 통한 계약 절차:
**e호조(e-Hojo)**는 전자정부 표준 플랫폼으로서, 공공기관의 계약 및 지출 업무를 전산화하여 효율성과 투명성을 높이기 위한 시스템입니다. 일상경비로 계약을 진행할 때 e호조를 사용하는 방법은 다음과 같습니다.
1. **전자계약 요청**: 계약 담당자는 e호조의 계약 메뉴에서 전자계약을 요청합니다. 이때 계약 종류를 선택하고, 필요한 정보를 입력합니다.
2. **공급자 등록**: 신규 거래처라면 공급자를 등록해야 합니다. 사업자등록번호, 상호, 대표자 등의 정보를 정확하게 입력합니다.
3. **계약서 작성 및 전송**: 계약서를 작성하여 공급자에게 전자적으로 송부합니다. e호조에서는 표준화된 계약서 양식을 제공하므로 이를 활용할 수 있습니다.
4. **공급자 서명 및 회신**: 공급자는 계약서를 확인하고 전자서명으로 동의합니다. 이후 계약서가 다시 e호조로 반환됩니다.
5. **계약 확정 및 저장**: 양측의 서명이 완료되면 계약이 성립되며, 모든 내용은 e호조에 안전하게 저장되어 추후 조회 및 관리가 가능합니다.
6. **지출 품의 및 처리**: 계약이 완료되면 지출 품의를 통해 계약 대금을 지급할 수 있도록 절차를 밟습니다. e호조 내에서 지출 품의부터 지급까지의 과정을 전자적으로 처리할 수 있습니다.
7. **증빙서류 업로드**: 계약서와 관련된 모든 증빙서류를 e호조에 업로드하여 보관합니다. 이는 감사 및 검토 시에 활용됩니다.
### 주의 사항:
- **예산 범위 내에서의 계약**: 일상경비의 경우 예산이 한정되어 있으므로, 계약 금액이 예산을 초과하지 않도록 주의해야 합니다.
- **계약 조건의 명확화**: 계약서에 모든 조건과 약정을 명확하게 기재하여야 하며, 애매모호한 부분이 없도록 해야 합니다.
- **법률 및 지침 준수**: 계약 체결 시 관련 법률(예: 지방재정법, 국가계약법 등)과 시의 내부 규정을 준수해야 합니다.
- **보안 유지**: 전자계약이므로 정보의 보안에 각별히 유의해야 합니다. 공인인증서 등을 사용하여 본인 확인을 강화합니다.
### 결론:
일상경비로 계약을 할 때에는 위의 서류들을 준비하고, e호조를 통해 전자적으로 계약을 체결함으로써 시간과 노력을 절약하고 투명한 행정 처리를 실현할 수 있습니다. 또한, 이러한 전자 시스템을 활용하면 계약 과정의 추적과 관리가 용이해져 업무 효율성이 향상됩니다. 구체적인 절차나 필요한 서류는 시의 내부 지침이나 e호조 시스템의 안내를 참고하시는 것이 좋습니다. 추가로 궁금한 점이 있으시면 언제든지 문의해 주세요.</t>
  </si>
  <si>
    <t>부산시 캐릭터 부기를 사용한 홍보를 하고 싶은데 부기 캐릭터 사용 절차는 어떻게 되나요?</t>
  </si>
  <si>
    <t>1265_2311_미디어담당관_공문_미디어담당관_부산광역시_소통_캐릭터_부기_디자인_활용시_사전_공문_협조_알림-odt.pdf</t>
  </si>
  <si>
    <t>b177a31dbc8443cead54182c7c0f1b5c</t>
  </si>
  <si>
    <t>안녕하세요! 부산시 캐릭터 '부기'를 사용하여 홍보를 진행하고자 하시는군요.
'부기' 캐릭터를 사용할 때는 몇 가지 절차를 따라야 합니다. 이는 캐릭터의 일관성 있는 이미지와 올바른 사용을 보장하기 위함입니다. 아래에 그 절차를 자세히 안내해 드리겠습니다.
### **1. 사용 목적 및 내용 확인**
먼저, '부기' 캐릭터를 어떤 목적으로 사용할 것인지, 그리고 그 내용이 무엇인지를 명확히 해야 합니다. 예를 들어, 포스터, 웹사이트 배너, 상품 패키지 등에 활용할 계획이라면 해당 용도를 정확히 파악해야 합니다.
### **2. 공식적인 사용 권한 확인**
공공기관의 캐릭터나 로고는 저작권이나 상표권 등의 법적 보호를 받을 수 있습니다. 따라서 '부기' 캐릭터를 사용하기 전에 부산시의 공식적인 사용 권한을 확인하거나 필요한 경우 허가를 받아야 할 수도 있습니다.
### **3. 관련 부서와의 협의**
홍보물을 제작하기 전에는 반드시 부산시 내 관련 부서와 협의를 거쳐야 합니다. 일반적으로 다음과 같은 단계를 거칩니다:
- **협조 요청 공문 발송**: 홍보를 시작하기 전에 부산시에 협조 요청 공문을 보내어 사용 의사를 전달합니다.
- **디자인안 공유**: 홍보물에 사용될 '부기' 캐릭터의 디자인 초안을 부산시와 공유하여 피드백을 받습니다.
- **완성품 공유**: 실제 제작된 홍보물의 샘플을 부산시에 제공하여 최종 승인을 받습니다.
### **4. 유의사항 준수**
'부기' 캐릭터를 사용할 때 지켜야 할 유의사항이 있습니다:
- **이미지 훼손 금지**: 캐릭터의 원형을 변형하거나 왜곡해서는 안 됩니다.
- **특성 반영**: 스마트안경, 입 모양, 동백 커스텀 슈즈 등 캐릭터의 고유한 특성을 정확하게 반영해야 합니다.
- **시안 사전 확인**: 모든 홍보물은 사전에 부산시의 검토와 승인을 받아야 합니다.
### **5. 추가 문의**
위의 절차 외에도 궁금한 점이 있거나 구체적인 도움이 필요하시다면, 부산시청의 뉴미디어담당관 또는 관련 부서에 직접 연락하여 자세한 안내를 받으시는 것이 좋습니다.
**연락처 정보:**
- **부서:** 뉴미디어담당관
- **전화번호:** 051-888-1366
- **팩스번호:** 051-888-1369
- **이메일:** ji1120@korea.kr
### **결론**
'부기' 캐릭터를 활용한 홍보는 시민들과의 소통을 강화하는 좋은 방법이지만, 정확한 절차를 따르는 것이 중요합니다. 위의 절차를 참고하셔서 원활한 홍보 활동이 이루어지길 바랍니다.
추가적으로 도움이 필요하시면 언제든지 말씀해 주세요! 다른 질문이나 궁금한 점이 있으시면 도와드리겠습니다.</t>
  </si>
  <si>
    <t>ab87c8cd-bbb4-4e24-9712-58cbb0cd6775</t>
  </si>
  <si>
    <t>검사조서가 꼭 필요한 항목은 어떤것들이 있나요?</t>
  </si>
  <si>
    <t>64f5ec0a4d5142a4a00a58fed748118b</t>
  </si>
  <si>
    <t>안녕하세요! 질문하신 내용에 대해 자세히 안내해 드리겠습니다.
**검사조서가 반드시 필요한 경우는 다음과 같습니다:**
1. **계약금액이 3천만 원 이상인 계약**: 일반적으로 계약금액이 큰 경우에는 정확한 검사 결과를 문서화하여 기록해야 하므로 검사조서 작성이 필수적입니다.
2. **전기, 가스, 수도 등의 공급 계약이 아닌 경우**: 이러한 공공서비스의 공급은 성격상 검사조서 작성이 필요 없을 수 있지만, 그 외의 일반적인 용역이나 공사의 경우에는 검사조서가 필요합니다.
3. **검사조서 작성을 생략할 수 없는 기타 모든 계약**: 위의 예외 사항에 해당되지 않는 모든 계약은 검사조서를 작성해야 합니다.
즉, **계약금액이 3천만 원 이상이거나, 전기·가스·수도 공급 계약이 아닌 경우에는 검사조서를 반드시 작성해야 합니다.**
---
**추가 정보:**
- **검사조서의 중요성:** 검사조서는 계약 이행 내용의 적합성을 확인하고, 추후 분쟁 발생 시 중요한 증거 자료로 활용됩니다.
- **예외 사항 확인:** 특정 조건에서는 검사조서 작성을 생략할 수 있으므로, 각 계약의 특성을 고려하여 관련 규정을 정확히 확인하는 것이 중요합니다.
더 궁금한 점이 있으시면 언제든지 물어보세요! 도움이 필요하시면 말씀해 주세요.</t>
  </si>
  <si>
    <t>66489fe9-d31b-4aad-894d-d6b1bb127a0a</t>
  </si>
  <si>
    <t>관내출장을 갔다가 관외출장을 가는경우, 출장비는 어떻게 지급되어야 하나요?</t>
  </si>
  <si>
    <t>14</t>
  </si>
  <si>
    <t>4508c1ad8c1d4601b707053605c58c6d</t>
  </si>
  <si>
    <t>먼저, 질문하신 상황을 이해하기 위해 주어진 문서들을 살펴보겠습니다.
첫 번째 문서에서는 "해당 지자체와의 협의를 거쳐 서비스제공에 따른 이용료를 징수할 수 있으며, 대상, 금액 등 세부적인 사항은 센터에서 별도로 규정함"이라고 되어 있습니다. 이는 특정 서비스의 이용료 징수와 관련된 내용이며, 일반적인 공무원의 출장비 지급과는 직접적인 관련이 없습니다.
두 번째 문서인 "공무원 여비 100문 100답"에서는 여러 가지 출장비 지급 사례에 대한 질의응답이 나와 있습니다. 그 중에서 특히 주목할 만한 내용은 다음과 같습니다:
- **Q&amp;A 6번**: "오전에 근무지 내 출장을 다녀온 후, 동일한 날에 근무지 외 출장을 다녀온 경우, 여비지급은 어떻게 해야 하는지?"라는 질문에 대해, 각 출장에 대해 정당한 사유가 있다면 각각 출장여비를 지급한다고 합니다. 또한 식비에 대해서는 출장 시간을 고려하여 적절히 감액하여 지급할 수 있다고 안내하고 있습니다.
이를 종합하면, 공무원이 동일한 날에 근무지 내 출장과 근무지 외 출장을 모두 갈 경우, 각각의 출장에 대해 별도의 출장비가 지급됩니다. 이때 식비 등은 실제로 소요된 비용을 고려하여 조정될 수 있습니다.
따라서, 관내출장을 갔다가 관외출장을 가는 경우에도 두 출장에 대해 각각 출장비가 지급되며, 식비 등은 실제 소요된 시간이나 상황에 맞게 조정될 수 있습니다. 정확한 금액은 해당 기관의 내부 지침이나 규정에 따라 결정되므로, 소속 기관의 담당 부서나 회계팀에 문의하시는 것이 가장 정확합니다. 추가적인 도움이 필요하시면 언제든지 말씀해 주세요!</t>
  </si>
  <si>
    <t>f2cc3c1a-e8c7-47de-9201-4106e61c909f</t>
  </si>
  <si>
    <t>주말에 관외출장을 가는경우 초과근무나 대체휴무 지급이 가능한가요?</t>
  </si>
  <si>
    <t>e206fbd972344d4488604d4f4d2cc994</t>
  </si>
  <si>
    <t>안녕하세요! 질문하신 내용에 대해 답변드리겠습니다.
우선, 지방공무원의 복무 규정에 따르면 주말이나 공휴일에 관외 출장을 갈 경우 초과근무나 대체휴무의 지급 가능 여부를 확인해야 합니다. 일반적으로 공무원은 법정 근로시간을 준수해야 하며, 특별한 사유 없이 추가 근무를 요구하거나 이에 대한 보상을 받는 것은 어렵습니다.
그러나 예외적으로 기관의 업무 특성상 불가피하게 주말이나 공휴일에 근무해야 하는 경우가 발생할 수 있습니다. 이럴 때에는 다음과 같은 절차와 조건이 필요합니다:
1. **기관장의 사전 승인**: 초과근무나 대체휴무를 위해서는 반드시 기관장(허가권자)의 승인이 있어야 합니다. 이는 공식적인 절차를 통해 이루어져야 하며, 임의로 결정될 수 없습니다.
2. **실제 근무 시간의 입증**: 실제로 근무한 시간이 정규 근무시간 외에 발생했는지, 그리고 그 시간이 객관적으로 증명되어야 합니다. 예를 들어, 출장으로 인해 이동시간이 길어졌다면 그 시간을 근무시간으로 인정받기 위해 증빙 자료가 필요할 수 있습니다.
3. **대체휴무와 초과근무수당의 선택**: 대체휴무와 초과근무수당은 동시에 받을 수 없으며, 둘 중 하나만 선택할 수 있습니다. 즉, 해당 시간에 대한 보상으로는 하루를 쉬거나 수당을 받는 것 중 하나를 선택해야 합니다.
또한, 앞서 제공해주신 문서에서 언급된 것처럼 차량으로 이동하는 시간은 근무시간으로 인정되지 않습니다. 따라서 출장 시 이동시간은 근무시간에 포함되지 않으며, 이를 고려하여 실제 근무시간을 산정해야 합니다.
**결론적으로**, 주말에 관외 출장이 예정되어 있고, 그 과정에서 추가로 근무한 시간이 있다면 위의 조건을 충족하는지 확인하고, 기관장의 승인을 받아 초과근무나 대체휴무를 신청할 수 있습니다. 하지만 모든 상황은 개별적이고 구체적인 검토가 필요하므로, 정확한 사항은 소속 기관의 인사 담당자나 관련 부서에 문의하시는 것이 가장 정확합니다.
추가적인 도움이 필요하시면 언제든지 말씀해 주세요!</t>
  </si>
  <si>
    <t>위원회를 만들때 어떤 프로세스를 거쳐서 해야하나요?</t>
  </si>
  <si>
    <t>374_2203_조직담당관_업무매뉴얼_조직담당관_부산광역시_위원회_설치운영_지침.pdf</t>
  </si>
  <si>
    <t>6, 7, 8, 9</t>
  </si>
  <si>
    <t>b86cc2b85e084f56b5fa9a0da6661480</t>
  </si>
  <si>
    <t>위원회를 만들기 위해서는 몇 가지 중요한 단계와 절차를 따라야 합니다. 아래는 일반적으로 따르는 프로세스입니다:
1. **필요성 검토**: 먼저, 왜 위원회가 필요한지, 그리고 그것이 현재 조직의 목표와 어떻게 부합하는지 평가해야 합니다. 이는 시간과 자원의 효율적인 사용을 위해 중요합니다.
2. **목표 설정**: 위원회의 주요 목적과 목표를 명확히 정의합니다. 예를 들어, 특정 분야의 전문가 의견을 수집하거나 정책을 제안하는 것 등이 될 수 있습니다.
3. **법률 및 규정 확인**: 위원회를 설립하기 전에 관련 법률, 조례, 내부 규정 등을 검토하여 합법적으로 진행될 수 있는지 확인합니다. 일부 경우에는 특별 허가가 필요할 수 있습니다.
4. **구성원 선정 계획 수립**:
   - **당연직 위원**: 직책상 자동으로 포함되는 구성원들을 식별합니다.
   - **위촉직 위원**: 외부 전문가나 대표자를 선정하기 위한 계획을 세웁니다. 이때, 다양성과 전문성을 고려하여 구성원을 선택합니다.
5. **위원 명단 작성 및 승인 요청**: 선정된 구성원들의 동의를 얻고, 필요한 경우 상급자나 관련 부서로부터 승인을 받습니다.
6. **위원회 운영 규칙 마련**: 회의 일정, 의사결정 방식, 보고 체계 등 운영에 필요한 규칙을 문서화합니다.
7. **내부 공지 및 협조 요청**: 조직 내부에 위원회의 설립을 알리고, 필요한 지원이나 협력을 요청합니다.
8. **첫 번째 회의 준비**: 첫 회의를 위한 장소 예약, 일정 조율, 회의 주제 선정 등을 준비합니다.
9. **위원회 활동 시작**: 위의 모든 준비가 완료되면 공식적으로 활동을 시작합니다.
10. **활동 모니터링 및 평가**: 정기적으로 위원회의 성과를 평가하고, 필요에 따라 개선점을 찾아 수정합니다.
이러한 프로세스는 조직의 규모나 유형에 따라 다소 달라질 수 있지만, 기본적인 틀은 유사합니다. 만약 구체적인 도움이 필요하다면, 조직의 인사팀이나 관련 부서에 문의하시는 것이 좋습니다.</t>
  </si>
  <si>
    <t>16eb8b58-0820-4656-8e4c-154cafef7755</t>
  </si>
  <si>
    <t>445728e3-0bad-4776-b12d-63f201252d14</t>
  </si>
  <si>
    <t>a59d4d8e-aeec-4e94-8208-2969a597d02d</t>
  </si>
  <si>
    <t>850_페이지85_문서10_163616_부산광역시_소속_위원회_설치_및_운영에_관한_조례.pdf</t>
  </si>
  <si>
    <t>9ff43959-6540-4b1f-9c60-9d6da1b2f607</t>
  </si>
  <si>
    <t>53691b63-6580-4bb6-adc1-0efc36be0055</t>
  </si>
  <si>
    <t>764_페이지77_문서4_163401_부산광역시_부산학_진흥_및_지원에_관한_조례.pdf</t>
  </si>
  <si>
    <t>예산 이체, 변경, 전용, 이용은 어떤 경우에 해야하며, 어떤 프로세스를 거쳐야 하나요?</t>
  </si>
  <si>
    <t>401, 402, 403, 404, 405, 406</t>
  </si>
  <si>
    <t>0cb227b3fe174ca3babbe388d832ed11</t>
  </si>
  <si>
    <t>각종 홍보자료를 시청 홈페이지, 엘리베이터 화면, 기타 홍보게시판 등 게시하려면 어떻게 해야하나요?</t>
  </si>
  <si>
    <t>f72b4948910448579c8cd93fadf2e27a</t>
  </si>
  <si>
    <t>시청 내부의 각종 홍보물을 게시하려는 경우에는 다음과 같은 절차를 따르셔야 합니다.
1. **홍보자료 준비**: 게시하고자 하는 홍보물의 원본 파일(PDF, JPG 등)을 준비합니다. 이때, 이미지의 해상도나 크기가 적절한지 확인하여 게시물에 적합하도록 조정해야 합니다.
2. **게시 요청 문서 작성**: 홍보물을 어떤 매체에 언제부터 언제까지 게시할 것인지 상세하게 기술한 공문이나 협조 요청서를 작성합니다. 여기에는 홍보물의 내용 요약, 목적, 기대 효과 등이 포함되어야 합니다.
3. **관련 부서 협의 및 승인**: 홍보물이 게시될 매체와 관련된 부서에 해당 자료를 전달하고 승인을 받아야 합니다. 예를 들어:
   - **홈페이지**: 정보화담당관실 또는 웹사이트 관리 담당자와 협의합니다.
   - **엘리베이터 화면**: 시설관리부서나 건물 관리 담당자와 협의합니다.
   - **기타 홍보게시판**: 홍보물 설치 장소의 관리자나 운영 부서와 협의합니다.
4. **일정 조율 및 게시**: 각 부서와 일정을 조율하여 홍보물이 원하는 시기에 게시될 수 있도록 합니다. 일부 매체에서는 일정 기간 동안만 게시가 가능하므로 미리 계획을 세워야 합니다.
5. **사후 관리**: 게시 후에는 홍보 효과가 있는지 모니터링하고, 필요에 따라 추가적인 조치를 취합니다.
**참고사항**:
- **공문 발송 시기**: 일반적으로 게시를 희망하는 날짜로부터 최소 2주 전에 공문을 발송하여 충분한 시간을 확보해야 합니다.
- **제작 지원 여부**: 만약 홍보물을 직접 제작하기 어렵거나 전문적인 디자인이 필요하다면, 홍보 관련 부서나 콘텐츠기획팀의 도움을 받을 수 있습니다.
- **규정 및 지침 준수**: 시청 내부 규정이나 홍보물 게시에 관한 지침을 반드시 확인하고 준수해야 합니다.
위의 절차를 따르면 시청 내에서 효과적으로 홍보물을 게시하실 수 있을 것입니다. 추가로 궁금한 사항이 있으시면 언제든지 문의해 주세요. 도움이 필요하면 관련 부서의 연락처나 절차를 안내해 드리겠습니다.</t>
  </si>
  <si>
    <t>ea921b5e7a454ef3871d394ae647c145</t>
  </si>
  <si>
    <t>계약시 종류별 절차 및 구비서류는 무엇인가요?</t>
  </si>
  <si>
    <t>e30feb4465b845d78467b90de6a2d4fa</t>
  </si>
  <si>
    <t>공무국외출장 절차는 무엇인가요?</t>
  </si>
  <si>
    <t>df106bfea8a9428a933db53889e8cf95</t>
  </si>
  <si>
    <t>공무국외출장 절차는 다음과 같습니다:
1. **공무국외출장 계획 수립**: 출장 목적, 일정, 방문 기관 등을 포함한 상세한 계획을 세웁니다.
2. **사전 승인 신청**: 출장 예정일 최소 30일 전에 공무국외출장 허가를 담당하는 부서나 기관에 승인을 신청해야 합니다. 이때 필요한 서류로는 공무국외출장계획서, 국외출장자 수칙, 항공운임 산출내역서 등이 있습니다.
3. **심사위원회 심의**: 일부 대규모 출장이나 특별한 경우에는 내부 또는 외부 심사위원회의 심사를 거칩니다. 이는 출장의 필요성과 적절성을 검토하기 위한 과정입니다.
4. **승인 및 허가**: 상급자나 관련 부서의 최종 승인을 받아 공식적으로 출장을 허가받습니다.
5. **보안 교육 및 준비**: 출장에 앞서 보안서약, 출장자 수칙 등 필요한 교육과 준비를 진행합니다.
6. **출장 수행**: 계획된 일정에 따라 출장을 수행하며, 현지에서의 모든 활동은 출장 목적에 부합해야 합니다.
7. **귀국 후 보고서 제출**: 출장 후에는 귀국보고서와 수집 자료를 제출하여 출장 결과를 공유하고 후속 조치를 취합니다.
이러한 절차를 통해 공무국외출장은 투명하고 효율적으로 이루어지며, 공공 자원의 낭비를 방지하고 효과적인 업무 성과를 달성할 수 있습니다. 만약 더 구체적인 절차나 필요한 서류에 대해 알고 싶으시면 말씀해 주세요! 도움이 필요하면 언제든지 알려주세요.</t>
  </si>
  <si>
    <t>b29c8120-2337-4bf6-a34c-8fd9566c290e</t>
  </si>
  <si>
    <t>8330217a-0b4a-4e44-87fa-e6a16776e71e</t>
  </si>
  <si>
    <t>3d057e26-da95-412b-ae56-7c4c6dad3476</t>
  </si>
  <si>
    <t>fab56e14-0c62-4bde-8a03-bb6394ca514e</t>
  </si>
  <si>
    <t>nac 로그인이 안돼요(아이디, 초기비밀번호 등)</t>
  </si>
  <si>
    <t>bd7b383df52e4a3fa44e323422641d4e</t>
  </si>
  <si>
    <t>안녕하세요! nac 로그인 문제가 있으시군요. 아이디와 초기 비밀번호로 로그인이 되지 않는다면 다음과 같은 방법을 시도해보실 수 있습니다:
1. **초기 비밀번호 재설정**: 회원가입 시 받은 초기 비밀번호는 일정 기간 동안만 유효할 수 있습니다. 만료되었을 가능성이 있으니 비밀번호 재설정을 진행해보세요.
   - 이메일 또는 휴대폰으로 전송된 인증 링크를 통해 새로운 비밀번호를 설정합니다.
2. **아이디 확인**: 입력하신 아이디가 정확한지 다시 한 번 확인해주세요. 대소문자나 특수문자를 잘못 입력했을 수 있습니다.
3. **로그인 오류 메시지 확인**: 로그인 실패 시 나타나는 오류 메시지를 자세히 살펴봅니다. 이를 통해 문제의 원인을 파악할 수 있습니다.
4. **브라우저 캐시 및 쿠키 삭제**: 브라우저에 저장된 데이터로 인해 로그인 문제가 발생할 수 있으므로 캐시와 쿠키를 삭제하고 다시 시도해보세요.
5. **다른 기기나 브라우저에서 시도**: 현재 사용 중인 기기의 문제일 수 있으니 다른 컴퓨터나 모바일 기기, 혹은 다른 웹 브라우저를 사용하여 로그인해봅니다.
6. **고객센터 문의**: 위의 방법으로도 해결되지 않을 경우, 해당 서비스의 고객센터에 문의하여 도움을 요청하세요.
위의 단계를 차근차근 따라 해보시고, 추가로 도움이 필요하시면 언제든지 말씀해 주세요. 더 자세한 안내를 드리겠습니다.</t>
  </si>
  <si>
    <t>공무원증 분실시 청사 출입 방법과 재발급 방법은 무엇인가요?</t>
  </si>
  <si>
    <t>302e3f796a0945639ffb25a458479ee5</t>
  </si>
  <si>
    <t>공무원증을 분실한 경우에는 우선적으로 청사 출입 시 임시 출입증을 발급받아 출입하실 수 있습니다. 임시 출입증은 해당 부서의 담당자나 보안 관리 부서에 요청하시면 됩니다.
재발급 절차는 다음과 같습니다:
1. **차세대 인사랑시스템 접속**: 먼저, 컴퓨터나 모바일 기기를 이용하여 차세대 인사랑시스템(인사마당 탭)에 로그인합니다.
2. **공무원증 신청 메뉴 선택**: 인사마당에서 '공무원증신청' 메뉴를 찾아 클릭합니다.
3. **분실 신고**: 이미 사용 중인 공무원증이 있으므로, 분실로 인한 재발급임을 표시해야 합니다. 일반적으로 '분실' 옵션을 선택하거나 관련 사유를 기재하는 칸이 있을 것입니다.
4. **부서장 승인**: 재발급 신청 전에 부서장의 승인을 받아야 할 수도 있으니, 이 점을 확인하고 필요한 경우 승인을 받습니다.
5. **신청 내용 입력**: 새로운 공무원증에 사용할 사진을 업로드하거나, 인사 정보에 저장된 사진을 사용합니다.
6. **신청 완료**: 모든 정보를 정확히 입력한 후 신청을 완료합니다.
7. **수령 대기**: 신청 후에는 공무원증이 제작되고 배포되기까지의 시간이 필요합니다. 일반적으로 약 3~4주 정도 소요되지만, 기관의 상황에 따라 달라질 수 있습니다.
**주의사항**:
- 공무원증 분실을 인지한 즉시 시스템에 분실 신고를 하고 재발급을 신청하는 것이 좋습니다.
- 재발급 기간 동안에는 임시 출입증을 사용하여 업무에 지장이 없도록 해야 합니다.
- 만약 시스템이 아닌 오프라인으로 재발급을 진행해야 한다면, 인사과의 담당자에게 직접 문의하여 절차를 확인하는 것이 정확합니다.
이러한 절차를 따르면 공무원증을 안전하게 재발급 받을 수 있으며, 그 전까지는 임시 출입증을 활용하여 청사에 출입하실 수 있습니다. 추가적인 도움이 필요하시다면 언제든지 인사과에 문의해 주세요.</t>
  </si>
  <si>
    <t>시청 청사 내 주차 등록 방법은 무엇인가요?</t>
  </si>
  <si>
    <t>d530e0a64a9f454282f66d15d7301f17</t>
  </si>
  <si>
    <t>시청 청사 내 주차장을 이용하려면 다음과 같이 등록해야 합니다:
1. **차량 정보 확인**: 먼저 자신의 차량이 승용차 요일제 대상인지 아닌지를 확인합니다.
   - **승용차 요일제 대상 차량**:
     - **경차**, **수소차**, **하이브리드 전기차**가 아닌 경우
     - **장애인**, **국가유공자**의 차량이 아니며, 해당 증명서를 소지하지 않은 경우
     - **유아 동승 차량**이 아닌 경우
2. **승용차 요일제 신청**:
   - **신청 방법**:
     - **시청 교통혁신과**, **구청**, 또는 **행정복지센터**를 방문하여 신청합니다.
     - 이때, **차량등록증**을 지참해야 합니다.
   - **선택 요일 지정**:
     - 승용차 요일제 1일과 선택 요일 1일을 포함하여 총 2일의 요일을 지정합니다.
3. **직원 정기권 등록 신청**:
   - **필요한 서류**:
     - **"직원정기권 등록 신청서" 엑셀 파일**
   - **절차**:
     - 소속 부서에서 위의 서류를 취합합니다.
     - 취합된 서류를 포함한 **공문**을 통해 신청을 진행합니다.
4. **차량 해지 시에도 동일한 절차 적용**:
   - 차량을 해지할 경우에도 동일한 절차를 따라야 합니다.
5. **주의 사항**:
   - **정기권 기간 만료**:
     - 정기권 등록 후 4년이 지나면 만료됩니다.
     - 만료 30일 전부터 주차장 출입구에 "기간만료 00일 전"이라는 안내가 표시됩니다.
     - 이 경우, 앞서 언급한 절차를 통해 **재등록**을 해야 합니다.
     - 재등록을 하지 않을 경우, 일반 요금(최대 일일 8,000원)이 부과될 수 있습니다.
6. **주차장 이용 시간**:
   - **운영 시간**: 매일 24시간 운영되므로 언제든지 이용 가능합니다.
따라서, 시청 청사 내 주차장을 이용하기 위해서는 승용차 요일제를 신청하고, 소속 부서를 통해 정기권 등록 신청서를 제출하는 절차를 거쳐야 합니다. 자세한 사항은 문서나 관련 부서에 문의하시기 바랍니다.</t>
  </si>
  <si>
    <t>공유재산 관리계획 수립 시 절차는 어떻게 되나요?</t>
  </si>
  <si>
    <t>1256_공유재산관리계획_작성기준.pdf</t>
  </si>
  <si>
    <t>17</t>
  </si>
  <si>
    <t>0c8c40995960488b8ab622bc5b73df17</t>
  </si>
  <si>
    <t>공유재산 관리계획을 수립할 때는 다음과 같은 절차를 따릅니다:
1. **사업계획 수립**: 먼저, 공유재산의 취득 또는 처분이 필요한 사업을 계획합니다. 이때 사업의 목적, 용도, 기간 등을 상세하게 작성해야 합니다.
2. **공유재산관리계획 수립 여부 검토**:
   - **기준가격 및 면적 확인**: 「공유재산 및 물품 관리법 시행령」 제7조에 따라 취득 또는 처분하려는 재산의 기준가격과 면적을 확인합니다.
     - **기준가격**: 토지의 경우 개별공시지가, 건물의 경우 공시된 주택가격 또는 시가표준액 등을 활용합니다.
     - **기준면적**: 해당 지방자치단체의 조례로 정한 면적 이상을 확인합니다.
   - **관리계획 수립 대상 여부 판단**: 위의 기준을 토대로 해당 재산이 공유재산관리계획 수립 대상인지 판단합니다.
3. **총괄재산관리관과 협의**: 재산관리부서는 총괄재산관리관과 공유재산관리계획 수립 여부에 대해 협의합니다. 이는 법령과 규정에 따라 정확한 절차를 거치기 위함입니다.
4. **공유재산관리계획 작성**: 수립 대상으로 판단된 경우, 총괄재산관리관은 공유재산관리계획을 작성합니다. 여기에는 사업목적, 용도, 기간, 취득 또는 처분하는 재산의 현황 등이 포함됩니다.
5. **지방의회 제출 및 의결**: 작성된 공유재산관리계획은 예산안이 지방의회에서 의결되기 전에 제출되어야 하며, 지방의회의 의결을 받아야 합니다. 이를 통해 공유재산의 취득 또는 처분에 대한 투명성과 책임성을 확보합니다.
6. **예산 편성 및 사업 추진**: 지방의회의 의결을 받은 후에는 예산을 편성하고, 이에 따라 사업을 진행합니다.
이러한 절차를 통해 공유재산의 효율적이고 투명한 관리를 실현하며, 법령에 따른 적법한 절차를 준수하게 됩니다. 만약 추가적인 도움이 필요하시다면 언제든지 말씀해 주세요!</t>
  </si>
  <si>
    <t>eb526b2c-280f-46e4-8ee3-4a90d362f41c</t>
  </si>
  <si>
    <t>3fce2650-cb1e-43d3-ab9f-7e9d75925994</t>
  </si>
  <si>
    <t>2e4d564a-b45e-43fc-9874-00c64bce402e</t>
  </si>
  <si>
    <t>2de0f0c8-62b8-4a49-95ad-da8779b388e1</t>
  </si>
  <si>
    <t>d1b74f49-45ba-450e-9804-cb79d61d8c00</t>
  </si>
  <si>
    <t>87_페이지9_문서7_162222_부산광역시_공유재산_및_물품_관리_조례.pdf</t>
  </si>
  <si>
    <t>경조사 종류별 휴가 일수를 알려줘</t>
  </si>
  <si>
    <t>부산광역시 공무원 복무 조례
 [별표3] 경조사별 휴가일수표(제15조제1항 관련)
&gt;&gt;&gt; 내부, 온나라, 외부 모두에서 유사한 파일도 없습니다</t>
  </si>
  <si>
    <t>21fb53902244453fa34cf157eace7163</t>
  </si>
  <si>
    <t>네, 지방공무원 복무에 관한 예규에 따르면 다음과 같습니다:
- **본인의 결혼**: 5일
- **자녀의 결혼**: 1일
- **배우자의 출산**(한 번에 둘 이상의 자녀를 출산한 경우): 20일(다태아 25일)
- **입양**: 20일
- **사망**:
  - 부모, 배우자, 본인 및 배우자의 형제·자매: 3일
  - 그 밖의 친족: 1일
이러한 경조사 휴가는 해당 사유가 발생한 날을 포함하여 전후에 연속하여 사용하는 것이 원칙이며, 필요에 따라 나누어 사용할 수도 있습니다. 자세한 내용은 관련 규정을 참조하시기 바랍니다. 다른 궁금한 점이 있으시면 언제든지 물어보세요!</t>
  </si>
  <si>
    <t>794087e4-20c0-4c44-84db-7003bbd7a90f</t>
  </si>
  <si>
    <t>행정전자서명(GPKI) 재발급 방법을 알려주세요</t>
  </si>
  <si>
    <t>6a3358cd35e74313ac926e76703714f0</t>
  </si>
  <si>
    <t>네, 행정전자서명(GPKI)의 재발급 방법에 대해 안내해 드리겠습니다.
**1. 필요한 서류 준비**
먼저, 재발급을 위해 필요한 서류를 작성하셔야 합니다. 이는 일반적으로 다음과 같습니다:
- **신청서**: 첨부된 한글 파일 서식을 사용하여 작성합니다.
- **근무 증명서류**: 특히 기간제 직원의 경우 근무 기간을 명시한 증빙 자료가 필요합니다.
**2. 신청서 제출**
작성하신 신청서와 관련 서류를 공문으로 첨부하여 다음 부서로 신청합니다:
- **구·군**: 해당 구군의 전산팀
- **상수도사업본부**: 경영지원부 정보관리팀
- **소방재난본부**: 119종합상황실
- **기타 부서**: **정보화정책과**
**3. 발급 가능 여부 확인**
공문을 접수한 후, 담당 부서에서는 발급 가능 여부를 확인하고, 가능하다면 휴대전화 문자 메시지로 통보합니다. 이 메시지를 받으셨다면 다음 단계로 넘어갈 수 있습니다.
**주의사항**: 발급 가능 통보를 받은 날로부터 **14일 이내**에 재발급 절차를 완료해야 합니다. 그렇지 않으면 다시 신청을 해야 하니 유의하시기 바랍니다.
**4. GPKI 웹사이트에서 재발급 받기**
휴대폰으로 인증 번호를 받아 인증서를 재발급받습니다.
- **웹사이트 접속**: `gpki.go.kr` 에 접속합니다.
- **로그인**: 이름과 주민등록번호를 입력합니다.
- **인증 번호 수신**: 휴대폰으로 전송된 인증 번호를 입력하여 인증을 완료합니다.
- **인증서 발급**: "인증서 관리/발급" 메뉴에서 "개인용", "행정기관" 옵션을 선택하여 인증서를 발급받습니다.
**5. 추가적인 사항**
- **인증서 유효기간**: 인증서는 보통 2년 3개월 동안 유효하며, 만료 전에 갱신이 가능합니다.
- **갱신 방법**: 별도의 공문 신청 없이도 유효기간 100일 전부터 만료일까지 갱신할 수 있습니다.
- **문의처**: 발급 및 갱신 과정에서 기술적인 문제가 발생할 경우, **인증관리센터 콜센터(1661-9088)** 로 연락하시면 도움을 받을 수 있습니다.
**6. 기타 참고 사항**
- **이동 방법**: 다른 컴퓨터로 인증서를 옮기고자 할 때는 인증서 파일을 압축하여 온메일이나 온톡을 통해 전송한 뒤, 새로운 PC에서 압축을 풀고 설치하는 과정을 거칩니다.
- **저장 위치**: 인증서는 기본적으로 `C:\GPKI\certificate\class2` 경로에 저장됩니다. 이때, `class2` 폴더뿐만 아니라 `GPKI` 폴더 전체를 옮겨야 합니다.
위의 절차를 따라주시면 행정전자서명(GPKI)의 재발급을 원활하게 진행하실 수 있을 것입니다. 추가로 궁금한 사항이 있으시면 언제든지 질문해 주세요! 도움이 필요하시다면 언제든 말씀해 주세요.</t>
  </si>
  <si>
    <t>ff3cebbc-070a-4466-97c8-6b21679112dc</t>
  </si>
  <si>
    <t>정산검사 결과 보고서에서 포함돼야 할 내용에 어떤 것들이 있나요?</t>
  </si>
  <si>
    <t>169</t>
  </si>
  <si>
    <t>a0d37b552ba24fe5a9c093216c010168</t>
  </si>
  <si>
    <t>정산검사 결과 보고서는 보조금 또는 지원금의 사용 내역을 검토하여 정확성과 적법성을 확인하는 문서입니다. 이 보고서에 포함되어야 할 주요 내용은 다음과 같습니다:
1. **기본 정보**
   - 사업명 및 번호
   - 수혜 기관 또는 개인 정보
   - 기간 (예: 회계연도)
   - 담당 부서 및 연락처
2. **총괄 요약**
   - 총 예산 대비 실제 지출 금액
   - 보조금과 자부담 비율
   - 잔여 금액 및 반환 예정 금액
3. **세부 지출 내역**
   - 각 항목별로 지출된 금액과 목적
   - 증빙 서류 목록 (영수증, 계약서 등)
4. **검토 내용**
   - 지출의 적절성 평가
   - 규정 준수 여부 확인
   - 문제점이나 지적 사항
5. **결론 및 권고사항**
   - 검사 결과에 따른 결론
   - 필요한 조치나 개선 사항 제안
6. **관련 법규 및 지침**
   - 적용된 법령이나 지침의 요약
   - 참고할 수 있는 관련 규정 링크 또는 참조번호
7. **첨부 자료**
   - 모든 증빙 서류의 사본
   - 기타 참고 자료
8. **날짜와 서명**
   - 보고서 작성 날짜
   - 검수자의 서명 및 직인
9. **기타 필수 요소**
   - 예산 편성 대비 실집행 현황 비교표
   - 자금 흐름 추적표
   - 감사 의견서
이러한 내용들은 정산검사 결과 보고서가 투명하고 신뢰성 있게 작성되도록 도와주며, 향후 유사한 사업의 진행에도 중요한 참고자료가 됩니다. 또한, 관련 부서와 이해관계자들에게 정확한 정보를 제공함으로써 효율적인 업무 처리를 가능하게 합니다. 구체적인 형식은 조직의 내부 규정에 따라 달라질 수 있으므로, 해당 기관의 지침을 따르는 것이 중요합니다. 추가적인 도움이 필요하시면 언제든지 말씀해 주세요!</t>
  </si>
  <si>
    <t>8bc7be8f-ead9-4917-956d-0906893f67b4</t>
  </si>
  <si>
    <t>추가경정예산안에 포함돼야 할 내용에 어떤 것들이 있나요?</t>
  </si>
  <si>
    <t>341, 342, 378, 379</t>
  </si>
  <si>
    <t>919b319bd5354bdd93fdea67bbfb2f5a</t>
  </si>
  <si>
    <t>추가경정예산안은 이미 성립된 예산을 변경해야 할 필요가 있을 때 편성되는 예산입니다. 이러한 추가경정예산안에는 다음과 같은 내용이 포함되어야 합니다:
1. **총칙**: 예산의 목적, 범위, 기간 등을 명시하여 예산의 전반적인 개요를 제공합니다.
2. **변경 사유**: 왜 기존 예산을 변경해야 하는지, 즉 추가경정의 필요성과 배경을 상세하게 기술합니다.
3. **예산 변경 내역**:
   - **증감 내역**: 기존 예산 대비 어느 항목에서 얼마만큼 증액되거나 감액되었는지 구체적으로 표시합니다.
   - **세부 사업별 조정 내용**: 각 사업의 세부적인 예산 변경 사항을 포함하여 변경된 이유를 설명합니다.
4. **재원 확보 방안**:
   - **세입 증가분**: 추가로 확보될 것으로 예상되는 세입원을 제시합니다.
   - **자금 운용 계획**: 부족한 자금을 어떻게 충당할 것인지에 대한 계획을 수립합니다.
5. **관련 법령 및 규정 준수 확인**: 예산 편성이 관련 법령과 규정을 준수하고 있음을 확인합니다.
이러한 내용은 추가경정예산안이 적절하고 투명하게 편성되었음을 보장하며, 예산 집행 과정에서의 효율성을 높이기 위해 필요합니다. 또한, 추가경정예산안은 기존 예산과의 비교를 통해 변경된 부분을 명확히 하고, 이에 대한 합당한 근거를 제공함으로써 이해관계자들의 이해를 돕습니다. 따라서, 추가경정예산안에는 위와 같은 필수 요소들이 포함되어 있어야 합니다.</t>
  </si>
  <si>
    <t>49fb702d-f9b8-48f1-be79-cf5e20b84031</t>
  </si>
  <si>
    <t>211_2400_예산담당관_업무매뉴얼_행정안전부_2024_지방재정_투자심사_및_타당성조사_매뉴얼.pdf</t>
  </si>
  <si>
    <t>고충민원이 들어왔을 때 처리절차를 알려주세요</t>
  </si>
  <si>
    <t>139</t>
  </si>
  <si>
    <t>d00262683aef441096b82931cee97b96</t>
  </si>
  <si>
    <t>고충민원이 접수되면 다음과 같은 절차로 처리됩니다:
1. **접수 및 분류**: 고충민원은 납세자보호관이 고충민원신청서로 접수하며, 접수 후에는 고충민원 접수 및 처리대장에 등재합니다.
2. **처리기간 설정**: 납세자보호관은 고충민원을 14일 이내에 처리해야 합니다. 필요 시에는 부득이한 사유로 인해 최대 30일까지 처리기간을 연장할 수 있습니다.
3. **사실 확인 및 자료 수집**: 고충민원의 내용을 검토하고, 정확한 판단을 위해 관련 부서에 사실 조회를 하거나 현장 조사를 실시합니다. 또한, 과세자료의 열람이나 제출을 요청할 수 있습니다.
4. **고충민원의 구분**:
   - **직권 시정 대상**: 법령 위반이나 명백한 오류 등이 있어 직접 시정 가능한 경우입니다.
   - **위원회 회부 대상**: 복잡한 사안으로 위원회의 심의를 필요로 하는 경우입니다.
   - **이송 대상**: 다른 지방자치단체의 관할에 속하는 경우입니다.
   - **시정 불가 대상**: 고충민원의 내용이 정당하지 않아 시정할 필요가 없는 경우입니다.
5. **처리 방법 결정**:
   - **직권 시정 대상**: 구청장이 신청 내용에 맞게 시정하도록 조치합니다.
   - **위원회 회부 대상**: 구청장에게 위원회 상정을 요구하고, 위원회에서 결정된 처리 방법을 따릅니다.
   - **이송 대상**: 고충민원 관련 서류를 이송 사유와 함께 해당 지방자치단체에 이송합니다.
   - **시정 불가 대상**: 납세자보호관이 그 내용을 민원인에게 통지합니다.
6. **처리 결과 통지**: 고충민원의 처리 결과를 민원인에게 지체 없이 통지합니다.
이러한 절차를 통해 고충민원은 공정하고 효율적으로 처리되며, 민원인의 권익 보호와 행정의 투명성을 확보합니다. 만약 추가적인 도움이 필요하시다면 언제든지 말씀해 주세요!</t>
  </si>
  <si>
    <t>188dd408-9cfd-4cf4-bd54-40d8a54cb4e2</t>
  </si>
  <si>
    <t>5a61c4f2-0d52-4bfc-aa09-d8f51794f16e</t>
  </si>
  <si>
    <t>b9dee964-2f3f-451a-921d-7f5b430d920f</t>
  </si>
  <si>
    <t>7553d746-3708-4572-87f2-ddfc8ab51139</t>
  </si>
  <si>
    <t>1232_국민신문고_사용자지침서_고충민원_v13.pdf</t>
  </si>
  <si>
    <t>3a7e63a5-93c3-4253-bd02-b15d4f0e92f9</t>
  </si>
  <si>
    <t>1099_페이지110_문서9_164115_부산광역시_납세자보호에_관한_사무처리_조례_시행규칙.pdf</t>
  </si>
  <si>
    <t>예산변경의 절차에 대해서 알려주세요</t>
  </si>
  <si>
    <t>404</t>
  </si>
  <si>
    <t>c400d46c48e84d18afaa1710032cb086</t>
  </si>
  <si>
    <t>네, 예산변경은 동일한 단위사업 내의 세부사업 간 또는 동일한 세부사업 내의 편성목(통계목) 간에 예산을 상호 융통하여 사용하는 것을 말합니다. 이는 실·국장 책임 하에 이루어지며, 다음과 같은 절차를 따릅니다.
**예산변경 절차**
1. **변경내역서 작성**: 사업 담당자가 변경하고자 하는 예산의 내역을 상세히 기록한 변경내역서를 작성합니다.
2. **협의 진행**: 작성한 변경내역서를 예산부서와 협의하여 타당성을 검토받습니다.
3. **결정**: 실·국장 또는 관련 책임자가 변경 사항을 승인합니다.
4. **통지**: 변경 결정을 예산부서 및 회계부서에 통보하여 공식적으로 알립니다.
5. **세출예산 집행 계획 수정**: 변경된 예산에 맞게 세출예산 집행 계획을 수정합니다.
6. **결과 제출**: 사업부서에서 변경사항을 처리한 후, 세출예산변경내역서와 세출예산집행계획서를 예산부서에 제출합니다.
7. **세출예산배정계획 수정**: 예산부서는 변경된 내용에 따라 세출예산배정계획을 수정합니다.
**주의사항**
- **재변경 사용 불가**: 한 번 변경된 예산은 다시 변경할 수 없습니다.
- **전용제한 편성목 변경 제한**: 전용이 제한된 편성목은 변경도 제한됩니다.
- **조직 개편 시의 이체**: 조직의 기구나 직제가 변경될 경우, 예산의 이체가 가능하며, 이때는 사업 단위의 이체를 원칙으로 합니다.
이러한 절차를 통해 예산의 효율적 운용과 투명성을 확보할 수 있습니다. 추가적인 질문이나 도움이 필요하시면 언제든지 말씀해 주세요!</t>
  </si>
  <si>
    <t>fe2a1e0e-54ce-4cee-9e1c-15e9468c6de9</t>
  </si>
  <si>
    <t>법률자문은 어떻게 진행되나요?</t>
  </si>
  <si>
    <t>56997d5f44d7440d8caa892b5ef5c54e</t>
  </si>
  <si>
    <t>법률자문은 다음과 같이 진행됩니다:
1. **사전 구두 협의**: 필요한 사항, 주요 내용, 질의 형식 등을 포함하여 사전에 구두로 협의합니다.
2. **질의 내용의 검토와 자문위원 선정**:
   - 법무담당관은 질의의 필요성을 판단하고, 질의 형식을 검토합니다.
   - 자문위원을 추천받습니다(1~3명).
3. **자문위원에게 공식 질의서 발송**:
   - 주관부서는 최종 결재권자 이전에 법무담당관과 합의를 거쳐 자문위원에게 공문으로 질의서를 보냅니다.
   - 질의서는 명확하게 작성되어야 하며, 참고 자료 제공 등에 적극적으로 협조해야 합니다.
4. **자문위원의 회신 수령**:
   - 자문위원으로부터 회신을 받으면, 주관부서는 그 회신 사본을 법무담당관에게 공문으로 통보합니다.
5. **자문수당 지급**:
   - 법무담당관은 주관부서로부터 전달받은 회신 내용을 바탕으로 자문위원에게 수당을 지급합니다.
6. **자문 요청 서식의 예시**:
   - **질의 요지**: 질의 사항을 명확하고 간결하게 작성하며, 여러 가지일 경우 '가', '나' 등으로 구분하여 작성합니다.
   - **대상자의 대립되는 의견 및 이유**: 해당 사안에 대한 다양한 견해와 그 이유를 상세히 기술합니다.
   - **주관부서의 의견**: 질의를 한 부서에서의 의견을 제시합니다.
   - **참고자료**: 관련된 법령, 자치법규, 조례, 판례 등의 자료를 첨부합니다.
이러한 절차를 통해 법률자문이 이루어지며, 이는 「부산광역시 법률고문 운영 조례」 제3조와 제7조, 그리고 「부산광역시 법제업무 운영 규칙」 제34조에 근거를 두고 있습니다. 이를 통해 정확하고 전문적인 법적 조언을 받을 수 있습니다. 추가적인 도움이 필요하시면 언제든지 말씀해 주세요!</t>
  </si>
  <si>
    <t>02af848b-a7c9-4904-98bc-e22b3879edc3</t>
  </si>
  <si>
    <t>정보공개시스템 공개, 비공개, 부존재 처리시 각각의 처리절차를 알려주세요.</t>
  </si>
  <si>
    <t>236, 237, 238, 239, 240, 241, 243, 244</t>
  </si>
  <si>
    <t>76e788cf56c6424aa82ab997459257f6</t>
  </si>
  <si>
    <t>네, 알겠습니다.
**정보공개시스템에서의 공개, 비공개, 부존재 처리 절차는 다음과 같습니다.**
---
### **1. 공개 처리 절차**
- **처리 방법**:  
  - **청구관리** 메뉴에서 **부서청구관리**를 선택합니다.
  - **청구 제목**을 선택하여 상세 조회 화면으로 이동합니다.
  - **공개** 버튼을 클릭합니다.
- **통지 내용 작성**:  
  - **통지 내용**란에 공개되는 정보의 세부 사항을 기재합니다.
  - 필요한 경우 첨부 파일이나 관련 링크를 제공합니다.
- **통지 및 완료**:  
  - 모든 정보를 확인한 후 **결정 통지** 버튼을 눌러 절차를 마칩니다.
  - 청구인에게 공개 결정 내용이 전달됩니다.
---
### **2. 비공개 처리 절차**
- **처리 방법**:  
  - **청구관리** 메뉴에서 **부서청구관리**를 선택합니다.
  - **청구 제목**을 선택하여 상세 조회 화면으로 이동합니다.
  - **비공개** 버튼을 클릭합니다.
- **사유 코드 선택**:  
  - 비공개 사유에 해당하는 코드를 선택합니다.
    - 예를 들어, 개인정보 보호, 국가 안보 등 관련 법령에 따른 이유를 선택합니다.
- **통지 내용 작성**:  
  - **통지 내용**란에 비공개 결정의 이유와 법적 근거를 상세하게 기술합니다.
  - 청구인이 이해할 수 있도록 명확하고 간결하게 작성합니다.
- **통지 및 완료**:  
  - 모든 정보를 확인한 후 **결정 통지** 버튼을 눌러 절차를 마칩니다.
  - 청구인에게 비공개 결정 내용이 전달됩니다.
---
### **3. 부존재 처리 절차**
- **처리 방법**:  
  - **청구관리** 메뉴에서 **부서청구관리**를 선택합니다.
  - **청구 제목**을 선택하여 상세 조회 화면으로 이동합니다.
  - **정보부존재** 버튼을 클릭합니다.
- **부존재 사유 선택**:  
  - 제공되는 부존재 사유 목록 중에서 해당되는 항목을 선택합니다.
    - 예를 들어:
      1. 공공기관이 청구된 정보를 생산·접수하지 않은 경우
      2. 정보를 취합·가공해야 하는 경우
      3. 보존기간 경과로 폐기된 경우
      4. 정보를 특정하지 않고 포괄적으로 청구한 경우
- **통지 내용 작성**:  
  - **통지 내용**란에 부존재 사유를 구체적으로 설명합니다.
  - 필요에 따라 추가적인 안내나 조언을 제공할 수 있습니다.
- **통지 및 완료**:  
  - 모든 정보를 확인한 후 **결정 통지** 버튼을 눌러 절차를 마칩니다.
  - 청구인에게 부존재 결정 내용이 전달됩니다.
---
**추가 정보:**
- **처리 기간 준수**:  
  - 정보공개 여부는 청구일로부터 **10일 이내**에 결정되어야 합니다.
  - 그러나 부존재 등의 경우에는 **민원처리에 관한 법률**에 따라 **7일 이내**에 처리할 수 있습니다.
- **청구인의 권리**:  
  - 청구인은 공개된 정보에 대해 이의가 있을 경우 **이의신청**을 할 수 있으며, 비공개 또는 부존재 결정에 대해서는 **행정심판**이나 **행정소송**을 제기할 수 있습니다.
---
이러한 절차를 통해 공공기관은 투명성을 유지하고 국민의 알 권리를 보장하면서도, 법적인 제한 사항이나 현실적인 한계를 고려하여 적절한 대응을 할 수 있습니다. 만약 더 자세한 지침이나 도움이 필요하시면 언제든지 말씀해 주세요!</t>
  </si>
  <si>
    <t>일반지출이 아닌 계약으로 진행해야 하는 기준과 필요 서류들이 무엇이 있는지?</t>
  </si>
  <si>
    <t>467_2402_회계재산담당관_법령_법제처_지방자치단체를_당사자로_하는_계약에_관한_법률법률제19634호20240217.pdf
 475_2501_회계재산담당관_업무매뉴얼_회계재산담당관_2025년_계약업무_통합운영_매뉴얼2511_회계재산담당관_계약지원팀.pdf</t>
  </si>
  <si>
    <t>1 
 2</t>
  </si>
  <si>
    <t>0c9bf65c00e1440c83bc3ace9d573566</t>
  </si>
  <si>
    <t>안녕하세요! 일반지출이 아닌 계약으로 진행해야 하는 기준과 그에 필요한 서류들에 대해 알려드리겠습니다.
### **계약으로 진행해야 하는 기준**
1. **금액 기준 초과**: 일반적으로 일정 금액 이상의 지출은 계약으로 진행해야 합니다. 이는 지방자치단체마다 다를 수 있지만, 보통 다음과 같습니다.
   - **공사**: 2천만 원 이상
   - **용역**: 5백만 원 이상
   - **물품 구매**: 5백만 원 이상
2. **특수한 기술이나 전문성이 요구되는 경우**: 일반적인 업무가 아니라 특정 분야의 전문 지식이나 기술이 필요한 경우에도 계약으로 진행합니다.
3. **장기적인 서비스나 제품 제공**: 지속적인 관리나 서비스가 필요한 경우 계약으로 명확히 계약 조건을 설정합니다.
4. **법적 요구사항**: 관련 법령이나 지침에 의해 반드시 계약으로 진행해야 하는 경우가 있습니다.
### **필요한 서류들**
계약을 진행하기 위해 필요한 주요 서류들은 다음과 같습니다:
1. **계약의뢰 요청서**
   - **포함 내용**:
     - 건명
     - 사업의 개요(성격, 규모, 난이도 등)
     - 예산과목 및 소요금액
     - 계약의 방법 및 그 사유
     - 입찰참가자격의 요건
     - 현장설명 관련 사항
     - 공동계약 이행방식
     - 준공 또는 납품 기한
     - 하자보증기간 및 비율
     - 발주부서 담당자 정보
     - 사전절차 이행 여부
     - 기타 계약에 필요한 사항
2. **사업집행계획서(발주계획)**: 사업을 어떻게 집행할 것인지에 대한 계획서로, 예산 배정과 관련이 있습니다.
3. **사전절차 이행결과**: 계약심사와 같은 사전 절차를 거쳤음을 증명하는 문서입니다.
4. **설계내역서(산출기초조사서)**: 공사의 경우 산출 내역이 포함된 문서이며, 물량내역서도 필요할 수 있습니다.
5. **시방서(과업지시서)**: 작업의 세부 내용과 품질 기준 등이 명시된 문서입니다.
6. **계약심사 결과 반영 자료**: 계약심사를 통해 수정되거나 보완된 내용이 있다면 이를 반영한 자료를 제출해야 합니다.
7. **그 외 추가 서류**: 상황에 따라 사업자등록증 사본, 견적서, 제안서 등이 필요할 수 있습니다.
---
**참고 법령 및 지침**
- **관련 법령**: 「지방자치단체를 당사자로 하는 계약에 관한 법률」 및 동법 시행령
- **부산광역시 회계 및 계약사무 처리지침**: 구체적인 절차와 서식 등이 포함되어 있어 참고하면 좋습니다.
---
**추가 조언**
- **예산 편성 단계부터 계약 가능성을 고려**: 초기 단계에서부터 계약으로 진행될 가능성이 있는 사업은 미리 계획을 세워야 합니다.
- **전문 부서와의 협의**: 복잡한 계약의 경우 회계재산담당관실이나 계약지원팀과 사전에 상의하여 절차를 정확히 이해하는 것이 중요합니다.
- **서류 준비 철저**: 모든 서류는 정확하고 완전하게 준비되어야 하며, 누락된 부분이 없도록 주의해야 합니다.
---
궁금한 점이 더 있으시면 언제든지 물어보세요! 도움이 필요하시면 언제든 말씀해 주세요.</t>
  </si>
  <si>
    <t>b426e87b-59f0-4b4e-9568-3ea512a3e0c0</t>
  </si>
  <si>
    <t>467_2402_회계재산담당관_법령_법제처_지방자치단체를_당사자로_하는_계약에_관한_법률법률제19634호20240217.pdf</t>
  </si>
  <si>
    <t>조례를 제정,개정하기 위한 행정절차 가이드라인을 알려줄 수 있는지?</t>
  </si>
  <si>
    <t>3e161b358deb4938bcbcbc2cec6d2fbe</t>
  </si>
  <si>
    <t>네, 조례를 제정하거나 개정할 때 따라야 할 일반적인 행정절차는 다음과 같습니다:
1. **조례안 입안**: 먼저 해당 부서에서 조례안을 작성합니다. 이때 조례안의 목적, 내용, 기대효과 등을 상세히 기술해야 합니다.
2. **사전 승인 및 평가**:
   - **부패 영향 평가**: 감사담당관의 협조를 받아 조례안이 부패를 유발하지 않는지 검토합니다.
   - **성별 영향 평가**: 여성가족과의 협조를 통해 조례안이 성별에 미치는 영향을 평가합니다.
   - **규제 영향 분석**: 새로운 규제가 생기는 경우 규제개혁위원회의 심의를 거쳐 그 영향과 필요성을 분석합니다.
3. **입법 예고**:
   - 시민들에게 조례안의 내용을 알리고 의견을 수렴하는 단계입니다.
   - **방법**: 시보나 시 인터넷 홈페이지를 통해 공고하며, 일반적으로 20일 이상의 기간을 둡니다.
4. **법제 심사 의뢰**:
   - 법무담당관에 조례안에 대한 법적 타당성과 형식적인 오류를 검토해 달라고 요청합니다.
5. **조례규칙심의회 심의·의결**:
   - 조례안이 시의회에서 논의되기 전에 내부적으로 심의하여 문제점을 사전에 파악합니다.
   - 재적위원 과반수의 찬성으로 의결됩니다.
6. **시의회 제출**:
   - 조례안을 시의회에 제출하며, 회기가 시작되기 최소 10일 전에 제출되어야 합니다.
7. **시의회 심의·의결**:
   - 상임위원회와 본회의를 거치며, 재적의원 과반수의 출석과 출석의원 과반수의 찬성으로 의결됩니다.
8. **조례안 이송**:
   - 의결을 마친 조례안은 시장에게 이송되며, 이는 의결 후 5일 이내에 이루어져야 합니다.
9. **조례안 사전 보고**:
   - 시장은 조례안을 행정안전부에 사전 보고합니다.
10. **조례규칙심의회 심의**:
    - 시장이 시의회를 통과한 조례안을 다시 한 번 심의합니다.
    - 특히, 시의회가 수정 가결한 경우에는 이를 심의하여 최종 확정합니다.
11. **조례안 공포**:
    - 모든 절차를 거친 조례안은 공포되어 효력을 발생하게 됩니다.
    - 공포는 이송 후 20일 이내에 이루어져야 합니다.
이러한 절차를 통해 조례는 시민들의 삶에 직접적인 영향을 미치므로 신중하고 체계적으로 제정되거나 개정됩니다. 만약 특정 부분에 대해 더 자세한 안내가 필요하다면 언제든지 말씀해 주세요. 도움이 되었기를 바랍니다!</t>
  </si>
  <si>
    <t>PC를 새로 교체했을 때 해야하는 보안절차가 있는지?</t>
  </si>
  <si>
    <t>88f4606950ec43f8b0496aaaf6e01083</t>
  </si>
  <si>
    <t>네, 새로운 PC를 사용할 때는 정보 보안을 위해 몇 가지 절차를 따라야 합니다.
1. **보안 소프트웨어 설치**: 먼저 바이러스 백신 프로그램이나 악성 코드 방지 소프트웨어를 설치하여 시스템을 보호해야 합니다.
2. **운영체제 및 소프트웨어 업데이트**: 운영체제와 설치된 모든 소프트웨어를 최신 버전으로 업데이트하여 알려진 취약점을 보완합니다.
3. **필요한 애플리케이션 설치**: 업무에 필요한 응용 프로그램들을 설치합니다. 이때 공식적인 경로를 통해 정품 소프트웨어를 사용하는 것이 중요합니다.
4. **보안 정책 준수**: 조직의 보안 정책을 확인하고 그에 따른 설정을 적용합니다. 예를 들어, 암호화 드라이브 사용, 접근 제어 설정 등이 있을 수 있습니다.
5. **데이터 이전**: 이전에 사용하던 중요한 데이터를 안전하게 이동하거나 백업을 복원합니다. 이 과정에서 민감한 정보가 유출되지 않도록 주의해야 합니다.
6. **네트워크 연결 설정**: 안전한 네트워크를 사용하여 외부 위협으로부터 시스템을 보호합니다. VPN 등을 활용하는 것도 좋은 방법입니다.
7. **교육 및 인식 제고**: 보안 관련 교육을 받거나 최신 보안 동향을 파악하여 스스로를 보호하는 방법을 숙지합니다.
이러한 절차들은 개인 정보와 기업의 중요 정보를 보호하고, 사이버 공격으로부터 시스템을 방어하는 데 도움이 됩니다. 구체적인 절차나 지침은 근무하시는 기관의 IT 부서나 보안 담당자에게 문의하시면 더욱 정확한 정보를 얻으실 수 있습니다. 추가로 궁금한 사항이 있으시면 언제든지 물어보세요!</t>
  </si>
  <si>
    <t>수의계약이 아닌 입찰로 진행할 때 선행해야할 절차들과 서류들을 정리해 줄 수 있는지?</t>
  </si>
  <si>
    <t>e71066f8c0c84cb3908d6dd86c9ce0a0</t>
  </si>
  <si>
    <t>네, 알겠습니다.
**수의계약이 아닌 입찰로 진행할 때 선행해야 할 절차와 서류들은 다음과 같습니다.**
---
### **1. 사업계획 수립 및 설계**
- **사업내용 결정**: 어떤 사업을 추진할지 구체적인 계획을 세웁니다.
- **예산 편성**: 사업에 필요한 예산을 산정하고 배정을 받습니다.
- **설계 작업**: 사업의 세부적인 설계를 완료합니다.
### **2. 계약심사 의뢰**
- **계약심사 신청**: 예산배정이 완료되면, 발주부서는 계약심사를 위해 청렴담당관에 심사를 의뢰합니다.
- **필요한 서류 제출**:
  - **사업집행계획서(발주계획)**: 사업의 목적, 내용, 기간 등이 포함된 문서입니다.
  - **사전규격 공개 자료**: 용역이나 물품의 경우, 과업지시서, 규격서, 시방서 등을 공개합니다.
  - **설계내역서(산출기초조사서)**: 공사의 경우 필요하며, 비용 산출 내역이 포함되어 있습니다.
  - **공내역서(물량내역서)**: 공사에 필요한 자재나 물량의 상세 목록입니다.
  - **시방서(과업지시서)**: 작업의 품질, 기준 등을 명시한 문서입니다.
### **3. 계약심사 결과 반영**
- **심사 결과 확인**: 청렴담당관의 계약심사 결과를 확인하고, 필요한 수정 사항을 반영합니다.
### **4. 계약의뢰**
- **계약의뢰 요청서 작성**: 계약지원팀에 계약을 의뢰하기 위한 서류를 작성합니다.
- **포함되어야 할 사항**:
  1. **건 명**
  2. **사업의 개요**: 성격, 규모, 난이도 등
  3. **예산과목 및 소요금액**
  4. **계약의 방법 및 그 사유**
  5. **입찰참가자격의 요건**
  6. **현장설명 관련 정보**
  7. **공동계약 이행방식**
  8. **준공 또는 납품 기한**
  9. **하자보증기간 및 비율**
  10. **발주부서 담당자 정보**
  11. **사전절차 이행 여부**
  12. **기타 계약에 필요한 사항**
### **5. 입찰공고**
- **나라장터 공고**: 계약지원팀은 입찰공고를 나라장터를 통해 게시합니다.
- **공고 내용**:
  - **입찰 조건**
  - **참가 자격**
  - **제안서 제출 마감일**
  - **현장설명회 일정**
### **6. 입찰 참여 및 평가**
- **업체들의 입찰 참여**: 공고에 부합하는 업체들이 입찰에 참여합니다.
- **평가 실시**: 제안서를 기반으로 평가를 진행합니다.
### **7. 낙찰자 선정 및 계약 체결**
- **낙찰자 결정**: 가장 적합한 업체를 선정합니다.
- **계약서 작성 및 체결**: 선정된 업체와 계약을 체결합니다.
---
**참고사항:**
- **계약심사 면제 대상**:
  - **공사원가 사전검토를 받은 경우**: 추정가격이 100억원 이상인 공사는 조달청의 원가 사전검토를 받아야 합니다.
  - **P.Q 대상 기술용역, 협상에 의한 계약, 설계공모 등**: 이러한 경우에는 계약심사가 면제될 수 있습니다.
- **입찰 참가자격 제한**:
  - **지역제한**: 특정 지역에서만 입찰에 참여할 수 있도록 제한합니다.
  - **중소기업 우선조달**: 중소기업에게 우선권을 부여합니다.
  - **중소기업 간 경쟁제품**: 해당 제품을 직접 생산하는 중소기업만 입찰 가능합니다.
- **국제입찰 대상**:
  - **공사**: 추정가격이 265억원 이상인 경우 국제입찰을 해야 합니다.
  - **용역 및 물품**: 각각 추정가격이 3.5억원 이상인 경우에 해당됩니다.
---
이러한 절차를 통해 수의계약이 아닌 입찰 방식으로 계약을 진행하게 됩니다. 각 단계마다 필요한 서류와 절차를 정확히 이행하는 것이 중요합니다. 추가적인 질문이나 도움이 필요하시면 언제든지 말씀해 주세요!</t>
  </si>
  <si>
    <t>d575d465-ff8e-4ed7-bd94-7648c2eb65d3</t>
  </si>
  <si>
    <t>5d925d3175214992aa82fcfbd987105d</t>
  </si>
  <si>
    <t>9e7065dbf8e948ff8319885cebc857b8</t>
  </si>
  <si>
    <t>0261a79a1fcd4fb4aa3f4681b048ba02</t>
  </si>
  <si>
    <t>엑셀, 한글 등 SW프로그램을 새로 다운받는 방법을 알려주세요</t>
  </si>
  <si>
    <t>6792da95b32f4f27bf941e5fd112941d</t>
  </si>
  <si>
    <t>안녕하세요! 엑셀, 한글 등의 소프트웨어를 새로 다운로드하는 방법에 대해 안내해 드리겠습니다.
**1. 엑셀(Office) 다운로드 방법**
- **Microsoft Office 2024**
  - **다운로드 링크**: `http://99.1.1.29/resources/xf/portal/MS_Office_2024_Kor.zip`
  - **제품 번호**: `http://99.1.1.29/resources/xf/portal/MSOFFICE2024.txt` 에서 확인 가능합니다.
- **Microsoft Office 2021**
  - **64비트 버전**
    - **다운로드 링크**: `http://99.1.1.29/resources/xf/portal/Office2021_64bit.zip`
    - **제품 번호**: `http://99.1.1.29/resources/xf/portal/MSOFFICE2021.txt` 에서 확인 가능합니다.
  - **32비트 버전**
    - **다운로드 링크**: `http://99.1.1.29/resources/xf/portal/Office2021_32bit.zip`
**2. 한글(HWP) 다운로드 방법**
- **한글과컴퓨터 2024**
  - **설치 파일**: `http://99.1.1.29/resources/xf/portal/HOffice2024.zip`
  - **제품 번호**: `http://99.1.1.29/resources/xf/portal/HOFFICE2024.txt` 에서 확인 가능합니다.
- **한글과컴퓨터 2022**
  - **설치 파일**: `http://99.1.1.29/resources/xf/portal/HOffice2022.zip`
  - **제품 번호**: `http://99.1.1.29/resources/xf/portal/HOFFICE2022.txt` 에서 확인 가능합니다.
**주의 사항**
- **개인 용도 사용 금지**: 해당 소프트웨어들은 업무용으로 제공되며, 개인적인 용도로의 사용이나 설치를 금합니다.
- **여러 버전 설치 금지**: 직원 1인당 오피스는 1본, 한글은 1본만 설치할 수 있으며, 여러 버전을 동시에 설치하는 것은 허용되지 않습니다.
- **제품 번호 입력 필요**: 설치 시 제공되는 제품 번호를 정확히 입력해야 합니다.
**추가 정보**
- **한글 문서 문제 해결**: 만약 한글 설치 후 문서가 깨져 보일 경우, 아래 링크에서 해당 버전의 기능 패치를 다운로드하여 설치하세요.
  - **링크**: `https://www.hancom.com/support/downloadCenter/download`
- **인터넷 익스플로러(IE11) 설치**
  - **다운로드 링크**: `http://99.1.1.29/resources/xf/portal/EIE11_KO-KR_WOL_WIN7.EXE`
**문의처**
- **소프트웨어 관련 문의**: 정보화정책과 SW담당자에게 연락하여 필요한 지원을 받으시기 바랍니다.
위의 정보를 참고하시어 필요한 소프트웨어를 안전하게 설치하시기 바랍니다. 추가적인 도움이 필요하시면 언제든지 말씀해 주세요. 감사합니다.</t>
  </si>
  <si>
    <t>a9520f81-11c3-45d9-8966-a188243da387</t>
  </si>
  <si>
    <t>a7dc9d78aaf74cc8809049efcc29d886</t>
  </si>
  <si>
    <t>관내출장 시 18:00 이후 복귀하여도 출장 시간 인정이 되는지 궁금합니다.</t>
  </si>
  <si>
    <t>596e565718ea4439992b8952f6ceb958</t>
  </si>
  <si>
    <t>안녕하세요! 관내출장 시 18:00 이후에 복귀하더라도 출장 시간이 인정되는지에 대해 문의하셨습니다.
우선, **'지방공무원 복무규정'**을 참고하여 안내드리겠습니다.
- **제16조(여비)**에서는 공무원이 관외출장을 하는 경우에 여비를 지급하도록 규정하고 있습니다.
- 그러나 **관내출장**의 경우에는 별도의 여비가 지급되지 않습니다.
- 또한, **관내출장**에 대한 구체적인 근무시간 인정 기준이나 초과근무 수당에 대한 규정은 별도로 명시되어 있지 않습니다.
따라서, **관내출장**의 경우 18:00 이후에 복귀하시더라도 공식적으로 초과근무 수당이 지급되거나 근무시간이 인정되지는 않습니다. 이는 내부 지침이나 조직의 규정에 따라 다를 수 있으므로, 정확한 사항은 소속 기관의 인사 담당 부서나 총무과에 문의하시는 것이 좋습니다.
추가적으로, 일부 기관에서는 직원들의 복지 향상을 위해 비공식적으로 추가 근무 시간에 대한 보상을 제공하기도 합니다. 하지만 이는 공식적인 규정이 아니므로, 공식적인 확인이 필요합니다.
궁금하신 점에 도움이 되셨기를 바라며, 추가로 필요한 정보가 있으시면 언제든지 말씀해 주세요!</t>
  </si>
  <si>
    <t>f49baf38-49fc-45ce-a1b2-2db17b216b38</t>
  </si>
  <si>
    <t>예산 수시 배정 절차가 궁금합니다.</t>
  </si>
  <si>
    <t>163</t>
  </si>
  <si>
    <t>7a3211f6d1b94188a44a5eebb80a9707</t>
  </si>
  <si>
    <t>네, 예산 수시 배정 절차에 대해 알려드리겠습니다.
**예산 수시 배정 절차**
1. **세출예산집행계획 수정 및 수시배정 요구**: 사업부서에서는 세출예산배정계획에 유보되었던 사항이나 새로운 필요성이 발생했을 때, 통계목 단위로 세출예산수시배정요구서를 작성하고 세출예산집행계획을 수정하여 예산부서에 제출합니다.
2. **세출 예산배정계획 조정**: 예산부서에서는 사업부서로부터 제출된 세출예산수시배정요구서를 검토합니다. 배정에 따른 결격사유가 없을 경우, 세출예산배정계획을 수정합니다.
3. **수시배정 확정 및 관계부서에 통지**: 예산부서에서 수시배정을 확정한 후, 해당 사항을 관계부서에 공식적으로 통지합니다.
**참고사항**
- **배정 방법**: 예산부서는 편성목까지 예산을 확정하며, 회계 처리 등을 고려하여 통계목까지를 내부적으로 관리합니다.
- **용어 정리**: 일부 자치단체에서 사용하는 "자금재배정"이라는 용어는 법령상 존재하지 않는 잘못된 용어로, 정확한 용어는 "자금배정"입니다. 또한, 예산재배정 전에는 반드시 예산부서에서 사업부서에 예산배정이 이루어져야 합니다.
이러한 절차를 통해 필요한 시기에 예산을 유연하게 배정하여 효율적인 재정 운영을 도모할 수 있습니다. 추가적인 질문이나 상세한 안내가 필요하시면 언제든지 말씀해 주세요!</t>
  </si>
  <si>
    <t>0111c7ee-fe7d-4b6b-90b6-51c504394695</t>
  </si>
  <si>
    <t>0f102545-033c-490f-b3e6-04a3a70b22a4</t>
  </si>
  <si>
    <t>1258_2507_예산담당관_업무매뉴얼_행정안전부_2026년도_지방자치단체_예산편성_운영기준_및_기금운용계획_수립기준최종.pdf</t>
  </si>
  <si>
    <t>14</t>
    <phoneticPr fontId="2" type="noConversion"/>
  </si>
  <si>
    <t>포함</t>
    <phoneticPr fontId="2" type="noConversion"/>
  </si>
  <si>
    <t>선택</t>
    <phoneticPr fontId="2" type="noConversion"/>
  </si>
  <si>
    <t>9</t>
    <phoneticPr fontId="2" type="noConversion"/>
  </si>
  <si>
    <t>330</t>
    <phoneticPr fontId="2" type="noConversion"/>
  </si>
  <si>
    <t>2, 4</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</si>
</sst>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sz val="11"/>
      <color rgb="FFFF0000"/>
      <name val="맑은 고딕"/>
      <family val="3"/>
      <charset val="129"/>
    </font>
    <font>
      <sz val="8"/>
      <name val="맑은 고딕"/>
      <family val="3"/>
      <charset val="129"/>
      <scheme val="minor"/>
    </font>
  </fonts>
  <fills count="4">
    <fill>
      <patternFill patternType="none"/>
    </fill>
    <fill>
      <patternFill patternType="gray125"/>
    </fill>
    <fill>
      <patternFill patternType="solid">
        <fgColor rgb="FFCCFFCC"/>
        <bgColor rgb="FFCCFFCC"/>
      </patternFill>
    </fill>
    <fill>
      <patternFill patternType="solid">
        <fgColor rgb="FFCCFFCC"/>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vertical="top" wrapText="1"/>
    </xf>
    <xf numFmtId="0" fontId="1" fillId="0" borderId="0" xfId="0" applyFont="1" applyAlignment="1">
      <alignment vertical="top" wrapText="1"/>
    </xf>
    <xf numFmtId="10" fontId="0" fillId="0" borderId="0" xfId="0" applyNumberFormat="1"/>
    <xf numFmtId="0" fontId="1" fillId="2" borderId="0" xfId="0" applyFont="1" applyFill="1" applyAlignment="1">
      <alignment vertical="top" wrapText="1"/>
    </xf>
    <xf numFmtId="0" fontId="0" fillId="2" borderId="0" xfId="0" applyFill="1" applyAlignment="1">
      <alignment vertical="top" wrapText="1"/>
    </xf>
    <xf numFmtId="0" fontId="1" fillId="3" borderId="0" xfId="0" applyFont="1" applyFill="1" applyAlignment="1">
      <alignment vertical="top" wrapText="1"/>
    </xf>
    <xf numFmtId="0" fontId="0" fillId="3" borderId="0" xfId="0" applyFill="1" applyAlignment="1">
      <alignment vertical="top" wrapText="1"/>
    </xf>
    <xf numFmtId="0" fontId="0" fillId="0" borderId="0" xfId="0" applyAlignment="1">
      <alignment vertical="top" wrapText="1"/>
    </xf>
    <xf numFmtId="0" fontId="0" fillId="0" borderId="0" xfId="0"/>
    <xf numFmtId="0" fontId="0" fillId="0" borderId="0" xfId="0" applyAlignment="1">
      <alignment vertical="top"/>
    </xf>
    <xf numFmtId="0" fontId="0" fillId="0" borderId="0" xfId="0" quotePrefix="1" applyAlignment="1">
      <alignment vertical="top" wrapText="1"/>
    </xf>
  </cellXfs>
  <cellStyles count="1">
    <cellStyle name="표준" xfId="0" builtinId="0"/>
  </cellStyles>
  <dxfs count="0"/>
  <tableStyles count="0" defaultTableStyle="TableStyleMedium9" defaultPivotStyle="PivotStyleLight16"/>
  <colors>
    <mruColors>
      <color rgb="FFCCFFCC"/>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
  <sheetViews>
    <sheetView workbookViewId="0">
      <selection activeCell="C5" sqref="C5"/>
    </sheetView>
  </sheetViews>
  <sheetFormatPr defaultRowHeight="16.5" x14ac:dyDescent="0.3"/>
  <cols>
    <col min="1" max="1" width="20" customWidth="1"/>
  </cols>
  <sheetData>
    <row r="1" spans="1:3" x14ac:dyDescent="0.3">
      <c r="A1" t="s">
        <v>0</v>
      </c>
      <c r="B1">
        <f>COUNTA(Logs!A:A) - 1</f>
        <v>212</v>
      </c>
    </row>
    <row r="2" spans="1:3" x14ac:dyDescent="0.3">
      <c r="A2" t="s">
        <v>1</v>
      </c>
      <c r="B2">
        <f>COUNTIF(Logs!E:E, "포함")</f>
        <v>179</v>
      </c>
      <c r="C2" s="3">
        <f>B2/B1</f>
        <v>0.84433962264150941</v>
      </c>
    </row>
    <row r="3" spans="1:3" x14ac:dyDescent="0.3">
      <c r="A3" t="s">
        <v>2</v>
      </c>
      <c r="B3">
        <f>COUNTIF(Logs!F:F, "선택")</f>
        <v>174</v>
      </c>
      <c r="C3" s="3">
        <f>B3/B1</f>
        <v>0.82075471698113212</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61"/>
  <sheetViews>
    <sheetView tabSelected="1" topLeftCell="A1022" workbookViewId="0">
      <selection activeCell="H1022" sqref="H1022:H1026"/>
    </sheetView>
  </sheetViews>
  <sheetFormatPr defaultRowHeight="16.5" x14ac:dyDescent="0.3"/>
  <cols>
    <col min="1" max="1" width="5" customWidth="1"/>
    <col min="2" max="2" width="30" customWidth="1"/>
    <col min="3" max="3" width="20" customWidth="1"/>
    <col min="4" max="7" width="10" customWidth="1"/>
    <col min="8" max="8" width="50" customWidth="1"/>
    <col min="9" max="11" width="10" customWidth="1"/>
    <col min="12" max="12" width="30" customWidth="1"/>
    <col min="13" max="13" width="10" customWidth="1"/>
  </cols>
  <sheetData>
    <row r="1" spans="1:13" x14ac:dyDescent="0.3">
      <c r="A1" t="s">
        <v>3</v>
      </c>
      <c r="B1" t="s">
        <v>4</v>
      </c>
      <c r="C1" t="s">
        <v>5</v>
      </c>
      <c r="D1" t="s">
        <v>6</v>
      </c>
      <c r="E1" t="s">
        <v>1</v>
      </c>
      <c r="F1" t="s">
        <v>2</v>
      </c>
      <c r="G1" t="s">
        <v>7</v>
      </c>
      <c r="H1" t="s">
        <v>8</v>
      </c>
      <c r="I1" t="s">
        <v>9</v>
      </c>
      <c r="J1" t="s">
        <v>10</v>
      </c>
      <c r="K1" t="s">
        <v>11</v>
      </c>
      <c r="L1" t="s">
        <v>12</v>
      </c>
      <c r="M1" t="s">
        <v>13</v>
      </c>
    </row>
    <row r="2" spans="1:13" ht="90" customHeight="1" x14ac:dyDescent="0.3">
      <c r="A2" s="8">
        <v>1</v>
      </c>
      <c r="B2" s="8" t="s">
        <v>14</v>
      </c>
      <c r="C2" s="8" t="s">
        <v>15</v>
      </c>
      <c r="D2" s="8" t="s">
        <v>16</v>
      </c>
      <c r="E2" s="10" t="s">
        <v>17</v>
      </c>
      <c r="F2" s="10" t="s">
        <v>18</v>
      </c>
      <c r="G2" s="8" t="s">
        <v>19</v>
      </c>
      <c r="H2" s="8" t="s">
        <v>20</v>
      </c>
      <c r="I2" s="1"/>
      <c r="J2" s="1"/>
      <c r="K2" s="1"/>
      <c r="L2" s="1"/>
      <c r="M2" s="1"/>
    </row>
    <row r="3" spans="1:13" ht="90" customHeight="1" x14ac:dyDescent="0.3">
      <c r="A3" s="9"/>
      <c r="B3" s="9"/>
      <c r="C3" s="9"/>
      <c r="D3" s="9"/>
      <c r="E3" s="9"/>
      <c r="F3" s="9"/>
      <c r="G3" s="9"/>
      <c r="H3" s="9"/>
      <c r="I3" s="1"/>
      <c r="J3" s="1"/>
      <c r="K3" s="1"/>
      <c r="L3" s="1"/>
      <c r="M3" s="1"/>
    </row>
    <row r="4" spans="1:13" ht="90" customHeight="1" x14ac:dyDescent="0.3">
      <c r="A4" s="9"/>
      <c r="B4" s="9"/>
      <c r="C4" s="9"/>
      <c r="D4" s="9"/>
      <c r="E4" s="9"/>
      <c r="F4" s="9"/>
      <c r="G4" s="9"/>
      <c r="H4" s="9"/>
      <c r="I4" s="1"/>
      <c r="J4" s="1"/>
      <c r="K4" s="1"/>
      <c r="L4" s="1"/>
      <c r="M4" s="1"/>
    </row>
    <row r="5" spans="1:13" ht="90" customHeight="1" x14ac:dyDescent="0.3">
      <c r="A5" s="9"/>
      <c r="B5" s="9"/>
      <c r="C5" s="9"/>
      <c r="D5" s="9"/>
      <c r="E5" s="9"/>
      <c r="F5" s="9"/>
      <c r="G5" s="9"/>
      <c r="H5" s="9"/>
      <c r="I5" s="1"/>
      <c r="J5" s="1"/>
      <c r="K5" s="1"/>
      <c r="L5" s="1"/>
      <c r="M5" s="1"/>
    </row>
    <row r="6" spans="1:13" ht="90" customHeight="1" x14ac:dyDescent="0.3">
      <c r="A6" s="9"/>
      <c r="B6" s="9"/>
      <c r="C6" s="9"/>
      <c r="D6" s="9"/>
      <c r="E6" s="9"/>
      <c r="F6" s="9"/>
      <c r="G6" s="9"/>
      <c r="H6" s="9"/>
      <c r="I6" s="1"/>
      <c r="J6" s="1"/>
      <c r="K6" s="1"/>
      <c r="L6" s="1"/>
      <c r="M6" s="1"/>
    </row>
    <row r="7" spans="1:13" ht="90" customHeight="1" x14ac:dyDescent="0.3">
      <c r="A7" s="8">
        <v>2</v>
      </c>
      <c r="B7" s="8" t="s">
        <v>21</v>
      </c>
      <c r="C7" s="8" t="s">
        <v>22</v>
      </c>
      <c r="D7" s="8" t="s">
        <v>23</v>
      </c>
      <c r="E7" s="10" t="s">
        <v>24</v>
      </c>
      <c r="F7" s="10" t="s">
        <v>25</v>
      </c>
      <c r="G7" s="8" t="s">
        <v>26</v>
      </c>
      <c r="H7" s="8" t="s">
        <v>27</v>
      </c>
      <c r="I7" s="4" t="s">
        <v>28</v>
      </c>
      <c r="J7" s="4">
        <v>0.99267286062240601</v>
      </c>
      <c r="K7" s="4" t="s">
        <v>29</v>
      </c>
      <c r="L7" s="4" t="s">
        <v>22</v>
      </c>
      <c r="M7" s="4">
        <v>22</v>
      </c>
    </row>
    <row r="8" spans="1:13" ht="90" customHeight="1" x14ac:dyDescent="0.3">
      <c r="A8" s="8"/>
      <c r="B8" s="9"/>
      <c r="C8" s="9"/>
      <c r="D8" s="9"/>
      <c r="E8" s="9"/>
      <c r="F8" s="9"/>
      <c r="G8" s="9"/>
      <c r="H8" s="9"/>
      <c r="I8" s="1" t="s">
        <v>30</v>
      </c>
      <c r="J8" s="1">
        <v>0.80307936668395996</v>
      </c>
      <c r="K8" s="1" t="s">
        <v>29</v>
      </c>
      <c r="L8" s="1" t="s">
        <v>31</v>
      </c>
      <c r="M8" s="1">
        <v>60</v>
      </c>
    </row>
    <row r="9" spans="1:13" ht="90" customHeight="1" x14ac:dyDescent="0.3">
      <c r="A9" s="8"/>
      <c r="B9" s="9"/>
      <c r="C9" s="9"/>
      <c r="D9" s="9"/>
      <c r="E9" s="9"/>
      <c r="F9" s="9"/>
      <c r="G9" s="9"/>
      <c r="H9" s="9"/>
      <c r="I9" s="1"/>
      <c r="J9" s="1"/>
      <c r="K9" s="1"/>
      <c r="L9" s="1"/>
      <c r="M9" s="1"/>
    </row>
    <row r="10" spans="1:13" ht="90" customHeight="1" x14ac:dyDescent="0.3">
      <c r="A10" s="8"/>
      <c r="B10" s="9"/>
      <c r="C10" s="9"/>
      <c r="D10" s="9"/>
      <c r="E10" s="9"/>
      <c r="F10" s="9"/>
      <c r="G10" s="9"/>
      <c r="H10" s="9"/>
      <c r="I10" s="1"/>
      <c r="J10" s="1"/>
      <c r="K10" s="1"/>
      <c r="L10" s="1"/>
      <c r="M10" s="1"/>
    </row>
    <row r="11" spans="1:13" ht="90" customHeight="1" x14ac:dyDescent="0.3">
      <c r="A11" s="8"/>
      <c r="B11" s="9"/>
      <c r="C11" s="9"/>
      <c r="D11" s="9"/>
      <c r="E11" s="9"/>
      <c r="F11" s="9"/>
      <c r="G11" s="9"/>
      <c r="H11" s="9"/>
      <c r="I11" s="1"/>
      <c r="J11" s="1"/>
      <c r="K11" s="1"/>
      <c r="L11" s="1"/>
      <c r="M11" s="1"/>
    </row>
    <row r="12" spans="1:13" ht="90" customHeight="1" x14ac:dyDescent="0.3">
      <c r="A12" s="8">
        <v>5</v>
      </c>
      <c r="B12" s="8" t="s">
        <v>32</v>
      </c>
      <c r="C12" s="8" t="s">
        <v>33</v>
      </c>
      <c r="D12" s="8" t="s">
        <v>34</v>
      </c>
      <c r="E12" s="10" t="s">
        <v>24</v>
      </c>
      <c r="F12" s="10" t="s">
        <v>25</v>
      </c>
      <c r="G12" s="8" t="s">
        <v>35</v>
      </c>
      <c r="H12" s="8" t="s">
        <v>36</v>
      </c>
      <c r="I12" s="4" t="s">
        <v>37</v>
      </c>
      <c r="J12" s="4">
        <v>0.99778491258621216</v>
      </c>
      <c r="K12" s="4" t="s">
        <v>29</v>
      </c>
      <c r="L12" s="4" t="s">
        <v>33</v>
      </c>
      <c r="M12" s="4">
        <v>4</v>
      </c>
    </row>
    <row r="13" spans="1:13" ht="90" customHeight="1" x14ac:dyDescent="0.3">
      <c r="A13" s="8"/>
      <c r="B13" s="9"/>
      <c r="C13" s="9"/>
      <c r="D13" s="9"/>
      <c r="E13" s="9"/>
      <c r="F13" s="9"/>
      <c r="G13" s="9"/>
      <c r="H13" s="9"/>
      <c r="I13" s="4" t="s">
        <v>38</v>
      </c>
      <c r="J13" s="4">
        <v>0.99663949012756348</v>
      </c>
      <c r="K13" s="4" t="s">
        <v>29</v>
      </c>
      <c r="L13" s="4" t="s">
        <v>33</v>
      </c>
      <c r="M13" s="4">
        <v>17</v>
      </c>
    </row>
    <row r="14" spans="1:13" ht="90" customHeight="1" x14ac:dyDescent="0.3">
      <c r="A14" s="8"/>
      <c r="B14" s="9"/>
      <c r="C14" s="9"/>
      <c r="D14" s="9"/>
      <c r="E14" s="9"/>
      <c r="F14" s="9"/>
      <c r="G14" s="9"/>
      <c r="H14" s="9"/>
      <c r="I14" s="2" t="s">
        <v>39</v>
      </c>
      <c r="J14" s="2">
        <v>0.99458211660385132</v>
      </c>
      <c r="K14" s="2" t="s">
        <v>29</v>
      </c>
      <c r="L14" s="2" t="s">
        <v>40</v>
      </c>
      <c r="M14" s="2">
        <v>730</v>
      </c>
    </row>
    <row r="15" spans="1:13" ht="90" customHeight="1" x14ac:dyDescent="0.3">
      <c r="A15" s="8"/>
      <c r="B15" s="9"/>
      <c r="C15" s="9"/>
      <c r="D15" s="9"/>
      <c r="E15" s="9"/>
      <c r="F15" s="9"/>
      <c r="G15" s="9"/>
      <c r="H15" s="9"/>
      <c r="I15" s="1" t="s">
        <v>41</v>
      </c>
      <c r="J15" s="1">
        <v>0.98654699325544704</v>
      </c>
      <c r="K15" s="1" t="s">
        <v>29</v>
      </c>
      <c r="L15" s="1" t="s">
        <v>33</v>
      </c>
      <c r="M15" s="1">
        <v>2</v>
      </c>
    </row>
    <row r="16" spans="1:13" ht="90" customHeight="1" x14ac:dyDescent="0.3">
      <c r="A16" s="8"/>
      <c r="B16" s="9"/>
      <c r="C16" s="9"/>
      <c r="D16" s="9"/>
      <c r="E16" s="9"/>
      <c r="F16" s="9"/>
      <c r="G16" s="9"/>
      <c r="H16" s="9"/>
      <c r="I16" s="1" t="s">
        <v>42</v>
      </c>
      <c r="J16" s="1">
        <v>0.96577796228410029</v>
      </c>
      <c r="K16" s="1" t="s">
        <v>29</v>
      </c>
      <c r="L16" s="1" t="s">
        <v>43</v>
      </c>
      <c r="M16" s="1">
        <v>391</v>
      </c>
    </row>
    <row r="17" spans="1:13" ht="90" customHeight="1" x14ac:dyDescent="0.3">
      <c r="A17" s="8">
        <v>6</v>
      </c>
      <c r="B17" s="8" t="s">
        <v>44</v>
      </c>
      <c r="C17" s="8" t="s">
        <v>45</v>
      </c>
      <c r="D17" s="8" t="s">
        <v>46</v>
      </c>
      <c r="E17" s="10" t="s">
        <v>24</v>
      </c>
      <c r="F17" s="10" t="s">
        <v>25</v>
      </c>
      <c r="G17" s="8" t="s">
        <v>47</v>
      </c>
      <c r="H17" s="8" t="s">
        <v>48</v>
      </c>
      <c r="I17" s="4" t="s">
        <v>49</v>
      </c>
      <c r="J17" s="4">
        <v>0.99633604921974217</v>
      </c>
      <c r="K17" s="4" t="s">
        <v>29</v>
      </c>
      <c r="L17" s="4" t="s">
        <v>45</v>
      </c>
      <c r="M17" s="4">
        <v>1</v>
      </c>
    </row>
    <row r="18" spans="1:13" ht="90" customHeight="1" x14ac:dyDescent="0.3">
      <c r="A18" s="8"/>
      <c r="B18" s="9"/>
      <c r="C18" s="9"/>
      <c r="D18" s="9"/>
      <c r="E18" s="9"/>
      <c r="F18" s="9"/>
      <c r="G18" s="9"/>
      <c r="H18" s="9"/>
      <c r="I18" s="4" t="s">
        <v>50</v>
      </c>
      <c r="J18" s="4">
        <v>0.99438198929923671</v>
      </c>
      <c r="K18" s="4" t="s">
        <v>29</v>
      </c>
      <c r="L18" s="4" t="s">
        <v>45</v>
      </c>
      <c r="M18" s="4">
        <v>3</v>
      </c>
    </row>
    <row r="19" spans="1:13" ht="90" customHeight="1" x14ac:dyDescent="0.3">
      <c r="A19" s="8"/>
      <c r="B19" s="9"/>
      <c r="C19" s="9"/>
      <c r="D19" s="9"/>
      <c r="E19" s="9"/>
      <c r="F19" s="9"/>
      <c r="G19" s="9"/>
      <c r="H19" s="9"/>
      <c r="I19" s="4" t="s">
        <v>51</v>
      </c>
      <c r="J19" s="4">
        <v>0.90732722162415458</v>
      </c>
      <c r="K19" s="4" t="s">
        <v>29</v>
      </c>
      <c r="L19" s="4" t="s">
        <v>45</v>
      </c>
      <c r="M19" s="4">
        <v>2</v>
      </c>
    </row>
    <row r="20" spans="1:13" ht="90" customHeight="1" x14ac:dyDescent="0.3">
      <c r="A20" s="8"/>
      <c r="B20" s="9"/>
      <c r="C20" s="9"/>
      <c r="D20" s="9"/>
      <c r="E20" s="9"/>
      <c r="F20" s="9"/>
      <c r="G20" s="9"/>
      <c r="H20" s="9"/>
      <c r="I20" s="1"/>
      <c r="J20" s="1"/>
      <c r="K20" s="1"/>
      <c r="L20" s="1"/>
      <c r="M20" s="1"/>
    </row>
    <row r="21" spans="1:13" ht="90" customHeight="1" x14ac:dyDescent="0.3">
      <c r="A21" s="8"/>
      <c r="B21" s="9"/>
      <c r="C21" s="9"/>
      <c r="D21" s="9"/>
      <c r="E21" s="9"/>
      <c r="F21" s="9"/>
      <c r="G21" s="9"/>
      <c r="H21" s="9"/>
      <c r="I21" s="1"/>
      <c r="J21" s="1"/>
      <c r="K21" s="1"/>
      <c r="L21" s="1"/>
      <c r="M21" s="1"/>
    </row>
    <row r="22" spans="1:13" ht="90" customHeight="1" x14ac:dyDescent="0.3">
      <c r="A22" s="8">
        <v>9</v>
      </c>
      <c r="B22" s="8" t="s">
        <v>52</v>
      </c>
      <c r="C22" s="8" t="s">
        <v>53</v>
      </c>
      <c r="D22" s="8" t="s">
        <v>54</v>
      </c>
      <c r="E22" s="10" t="s">
        <v>24</v>
      </c>
      <c r="F22" s="10" t="s">
        <v>25</v>
      </c>
      <c r="G22" s="8" t="s">
        <v>55</v>
      </c>
      <c r="H22" s="8" t="s">
        <v>56</v>
      </c>
      <c r="I22" s="4" t="s">
        <v>57</v>
      </c>
      <c r="J22" s="4">
        <v>0.99994301795959473</v>
      </c>
      <c r="K22" s="4" t="s">
        <v>29</v>
      </c>
      <c r="L22" s="4" t="s">
        <v>53</v>
      </c>
      <c r="M22" s="4">
        <v>5</v>
      </c>
    </row>
    <row r="23" spans="1:13" ht="90" customHeight="1" x14ac:dyDescent="0.3">
      <c r="A23" s="8"/>
      <c r="B23" s="9"/>
      <c r="C23" s="9"/>
      <c r="D23" s="9"/>
      <c r="E23" s="9"/>
      <c r="F23" s="9"/>
      <c r="G23" s="9"/>
      <c r="H23" s="9"/>
      <c r="I23" s="2" t="s">
        <v>58</v>
      </c>
      <c r="J23" s="2">
        <v>0.99337834119796753</v>
      </c>
      <c r="K23" s="2" t="s">
        <v>29</v>
      </c>
      <c r="L23" s="2" t="s">
        <v>59</v>
      </c>
      <c r="M23" s="2">
        <v>250</v>
      </c>
    </row>
    <row r="24" spans="1:13" ht="90" customHeight="1" x14ac:dyDescent="0.3">
      <c r="A24" s="8"/>
      <c r="B24" s="9"/>
      <c r="C24" s="9"/>
      <c r="D24" s="9"/>
      <c r="E24" s="9"/>
      <c r="F24" s="9"/>
      <c r="G24" s="9"/>
      <c r="H24" s="9"/>
      <c r="I24" s="2" t="s">
        <v>60</v>
      </c>
      <c r="J24" s="2">
        <v>0.98636901378631592</v>
      </c>
      <c r="K24" s="2" t="s">
        <v>29</v>
      </c>
      <c r="L24" s="2" t="s">
        <v>59</v>
      </c>
      <c r="M24" s="2">
        <v>213</v>
      </c>
    </row>
    <row r="25" spans="1:13" ht="90" customHeight="1" x14ac:dyDescent="0.3">
      <c r="A25" s="8"/>
      <c r="B25" s="9"/>
      <c r="C25" s="9"/>
      <c r="D25" s="9"/>
      <c r="E25" s="9"/>
      <c r="F25" s="9"/>
      <c r="G25" s="9"/>
      <c r="H25" s="9"/>
      <c r="I25" s="1" t="s">
        <v>61</v>
      </c>
      <c r="J25" s="1">
        <v>0.96977406740188599</v>
      </c>
      <c r="K25" s="1" t="s">
        <v>29</v>
      </c>
      <c r="L25" s="1" t="s">
        <v>59</v>
      </c>
      <c r="M25" s="1">
        <v>214</v>
      </c>
    </row>
    <row r="26" spans="1:13" ht="90" customHeight="1" x14ac:dyDescent="0.3">
      <c r="A26" s="8"/>
      <c r="B26" s="9"/>
      <c r="C26" s="9"/>
      <c r="D26" s="9"/>
      <c r="E26" s="9"/>
      <c r="F26" s="9"/>
      <c r="G26" s="9"/>
      <c r="H26" s="9"/>
      <c r="I26" s="1" t="s">
        <v>62</v>
      </c>
      <c r="J26" s="1">
        <v>0.95449024438858032</v>
      </c>
      <c r="K26" s="1" t="s">
        <v>29</v>
      </c>
      <c r="L26" s="1" t="s">
        <v>63</v>
      </c>
      <c r="M26" s="1">
        <v>10</v>
      </c>
    </row>
    <row r="27" spans="1:13" ht="90" customHeight="1" x14ac:dyDescent="0.3">
      <c r="A27" s="8">
        <v>10</v>
      </c>
      <c r="B27" s="8" t="s">
        <v>64</v>
      </c>
      <c r="C27" s="8" t="s">
        <v>53</v>
      </c>
      <c r="D27" s="8" t="s">
        <v>54</v>
      </c>
      <c r="E27" s="10" t="s">
        <v>24</v>
      </c>
      <c r="F27" s="10" t="s">
        <v>25</v>
      </c>
      <c r="G27" s="8" t="s">
        <v>65</v>
      </c>
      <c r="H27" s="8" t="s">
        <v>66</v>
      </c>
      <c r="I27" s="4" t="s">
        <v>57</v>
      </c>
      <c r="J27" s="4">
        <v>0.9996410608291626</v>
      </c>
      <c r="K27" s="4" t="s">
        <v>29</v>
      </c>
      <c r="L27" s="4" t="s">
        <v>53</v>
      </c>
      <c r="M27" s="4">
        <v>5</v>
      </c>
    </row>
    <row r="28" spans="1:13" ht="90" customHeight="1" x14ac:dyDescent="0.3">
      <c r="A28" s="8"/>
      <c r="B28" s="9"/>
      <c r="C28" s="9"/>
      <c r="D28" s="9"/>
      <c r="E28" s="9"/>
      <c r="F28" s="9"/>
      <c r="G28" s="9"/>
      <c r="H28" s="9"/>
      <c r="I28" s="2" t="s">
        <v>67</v>
      </c>
      <c r="J28" s="2">
        <v>0.99180206450985198</v>
      </c>
      <c r="K28" s="2" t="s">
        <v>68</v>
      </c>
      <c r="L28" s="2" t="s">
        <v>69</v>
      </c>
      <c r="M28" s="2">
        <v>2</v>
      </c>
    </row>
    <row r="29" spans="1:13" ht="90" customHeight="1" x14ac:dyDescent="0.3">
      <c r="A29" s="8"/>
      <c r="B29" s="9"/>
      <c r="C29" s="9"/>
      <c r="D29" s="9"/>
      <c r="E29" s="9"/>
      <c r="F29" s="9"/>
      <c r="G29" s="9"/>
      <c r="H29" s="9"/>
      <c r="I29" s="2" t="s">
        <v>70</v>
      </c>
      <c r="J29" s="2">
        <v>0.91530156135559082</v>
      </c>
      <c r="K29" s="2" t="s">
        <v>29</v>
      </c>
      <c r="L29" s="2" t="s">
        <v>59</v>
      </c>
      <c r="M29" s="2">
        <v>58</v>
      </c>
    </row>
    <row r="30" spans="1:13" ht="90" customHeight="1" x14ac:dyDescent="0.3">
      <c r="A30" s="8"/>
      <c r="B30" s="9"/>
      <c r="C30" s="9"/>
      <c r="D30" s="9"/>
      <c r="E30" s="9"/>
      <c r="F30" s="9"/>
      <c r="G30" s="9"/>
      <c r="H30" s="9"/>
      <c r="I30" s="1" t="s">
        <v>71</v>
      </c>
      <c r="J30" s="1">
        <v>0.85212135314941384</v>
      </c>
      <c r="K30" s="1" t="s">
        <v>68</v>
      </c>
      <c r="L30" s="1" t="s">
        <v>69</v>
      </c>
      <c r="M30" s="1">
        <v>1</v>
      </c>
    </row>
    <row r="31" spans="1:13" ht="90" customHeight="1" x14ac:dyDescent="0.3">
      <c r="A31" s="8"/>
      <c r="B31" s="9"/>
      <c r="C31" s="9"/>
      <c r="D31" s="9"/>
      <c r="E31" s="9"/>
      <c r="F31" s="9"/>
      <c r="G31" s="9"/>
      <c r="H31" s="9"/>
      <c r="I31" s="1" t="s">
        <v>72</v>
      </c>
      <c r="J31" s="1">
        <v>0.83981746435165405</v>
      </c>
      <c r="K31" s="1" t="s">
        <v>29</v>
      </c>
      <c r="L31" s="1" t="s">
        <v>53</v>
      </c>
      <c r="M31" s="1">
        <v>3</v>
      </c>
    </row>
    <row r="32" spans="1:13" ht="90" customHeight="1" x14ac:dyDescent="0.3">
      <c r="A32" s="8">
        <v>11</v>
      </c>
      <c r="B32" s="8" t="s">
        <v>73</v>
      </c>
      <c r="C32" s="8" t="s">
        <v>45</v>
      </c>
      <c r="D32" s="8" t="s">
        <v>46</v>
      </c>
      <c r="E32" s="10" t="s">
        <v>24</v>
      </c>
      <c r="F32" s="10" t="s">
        <v>25</v>
      </c>
      <c r="G32" s="8" t="s">
        <v>74</v>
      </c>
      <c r="H32" s="8" t="s">
        <v>75</v>
      </c>
      <c r="I32" s="4" t="s">
        <v>50</v>
      </c>
      <c r="J32" s="4">
        <v>0.88937575229858712</v>
      </c>
      <c r="K32" s="4" t="s">
        <v>29</v>
      </c>
      <c r="L32" s="4" t="s">
        <v>45</v>
      </c>
      <c r="M32" s="4">
        <v>3</v>
      </c>
    </row>
    <row r="33" spans="1:13" ht="90" customHeight="1" x14ac:dyDescent="0.3">
      <c r="A33" s="8"/>
      <c r="B33" s="9"/>
      <c r="C33" s="9"/>
      <c r="D33" s="9"/>
      <c r="E33" s="9"/>
      <c r="F33" s="9"/>
      <c r="G33" s="9"/>
      <c r="H33" s="9"/>
      <c r="I33" s="4" t="s">
        <v>49</v>
      </c>
      <c r="J33" s="4">
        <v>0.88483035793870257</v>
      </c>
      <c r="K33" s="4" t="s">
        <v>29</v>
      </c>
      <c r="L33" s="4" t="s">
        <v>45</v>
      </c>
      <c r="M33" s="4">
        <v>1</v>
      </c>
    </row>
    <row r="34" spans="1:13" ht="90" customHeight="1" x14ac:dyDescent="0.3">
      <c r="A34" s="8"/>
      <c r="B34" s="9"/>
      <c r="C34" s="9"/>
      <c r="D34" s="9"/>
      <c r="E34" s="9"/>
      <c r="F34" s="9"/>
      <c r="G34" s="9"/>
      <c r="H34" s="9"/>
      <c r="I34" s="4" t="s">
        <v>51</v>
      </c>
      <c r="J34" s="4">
        <v>0.82395597544163113</v>
      </c>
      <c r="K34" s="4" t="s">
        <v>29</v>
      </c>
      <c r="L34" s="4" t="s">
        <v>45</v>
      </c>
      <c r="M34" s="4">
        <v>2</v>
      </c>
    </row>
    <row r="35" spans="1:13" ht="90" customHeight="1" x14ac:dyDescent="0.3">
      <c r="A35" s="8"/>
      <c r="B35" s="9"/>
      <c r="C35" s="9"/>
      <c r="D35" s="9"/>
      <c r="E35" s="9"/>
      <c r="F35" s="9"/>
      <c r="G35" s="9"/>
      <c r="H35" s="9"/>
      <c r="I35" s="1"/>
      <c r="J35" s="1"/>
      <c r="K35" s="1"/>
      <c r="L35" s="1"/>
      <c r="M35" s="1"/>
    </row>
    <row r="36" spans="1:13" ht="90" customHeight="1" x14ac:dyDescent="0.3">
      <c r="A36" s="8"/>
      <c r="B36" s="9"/>
      <c r="C36" s="9"/>
      <c r="D36" s="9"/>
      <c r="E36" s="9"/>
      <c r="F36" s="9"/>
      <c r="G36" s="9"/>
      <c r="H36" s="9"/>
      <c r="I36" s="1"/>
      <c r="J36" s="1"/>
      <c r="K36" s="1"/>
      <c r="L36" s="1"/>
      <c r="M36" s="1"/>
    </row>
    <row r="37" spans="1:13" ht="90" customHeight="1" x14ac:dyDescent="0.3">
      <c r="A37" s="8">
        <v>13</v>
      </c>
      <c r="B37" s="8" t="s">
        <v>76</v>
      </c>
      <c r="C37" s="8" t="s">
        <v>77</v>
      </c>
      <c r="D37" s="8" t="s">
        <v>78</v>
      </c>
      <c r="E37" s="10" t="s">
        <v>24</v>
      </c>
      <c r="F37" s="10" t="s">
        <v>25</v>
      </c>
      <c r="G37" s="8" t="s">
        <v>79</v>
      </c>
      <c r="H37" s="8" t="s">
        <v>80</v>
      </c>
      <c r="I37" s="4" t="s">
        <v>81</v>
      </c>
      <c r="J37" s="4">
        <v>0.97410869598388672</v>
      </c>
      <c r="K37" s="4" t="s">
        <v>29</v>
      </c>
      <c r="L37" s="4" t="s">
        <v>77</v>
      </c>
      <c r="M37" s="4">
        <v>4</v>
      </c>
    </row>
    <row r="38" spans="1:13" ht="90" customHeight="1" x14ac:dyDescent="0.3">
      <c r="A38" s="8"/>
      <c r="B38" s="9"/>
      <c r="C38" s="9"/>
      <c r="D38" s="9"/>
      <c r="E38" s="9"/>
      <c r="F38" s="9"/>
      <c r="G38" s="9"/>
      <c r="H38" s="9"/>
      <c r="I38" s="1"/>
      <c r="J38" s="1"/>
      <c r="K38" s="1"/>
      <c r="L38" s="1"/>
      <c r="M38" s="1"/>
    </row>
    <row r="39" spans="1:13" ht="90" customHeight="1" x14ac:dyDescent="0.3">
      <c r="A39" s="8"/>
      <c r="B39" s="9"/>
      <c r="C39" s="9"/>
      <c r="D39" s="9"/>
      <c r="E39" s="9"/>
      <c r="F39" s="9"/>
      <c r="G39" s="9"/>
      <c r="H39" s="9"/>
      <c r="I39" s="1"/>
      <c r="J39" s="1"/>
      <c r="K39" s="1"/>
      <c r="L39" s="1"/>
      <c r="M39" s="1"/>
    </row>
    <row r="40" spans="1:13" ht="90" customHeight="1" x14ac:dyDescent="0.3">
      <c r="A40" s="8"/>
      <c r="B40" s="9"/>
      <c r="C40" s="9"/>
      <c r="D40" s="9"/>
      <c r="E40" s="9"/>
      <c r="F40" s="9"/>
      <c r="G40" s="9"/>
      <c r="H40" s="9"/>
      <c r="I40" s="1"/>
      <c r="J40" s="1"/>
      <c r="K40" s="1"/>
      <c r="L40" s="1"/>
      <c r="M40" s="1"/>
    </row>
    <row r="41" spans="1:13" ht="90" customHeight="1" x14ac:dyDescent="0.3">
      <c r="A41" s="8"/>
      <c r="B41" s="9"/>
      <c r="C41" s="9"/>
      <c r="D41" s="9"/>
      <c r="E41" s="9"/>
      <c r="F41" s="9"/>
      <c r="G41" s="9"/>
      <c r="H41" s="9"/>
      <c r="I41" s="1"/>
      <c r="J41" s="1"/>
      <c r="K41" s="1"/>
      <c r="L41" s="1"/>
      <c r="M41" s="1"/>
    </row>
    <row r="42" spans="1:13" ht="90" customHeight="1" x14ac:dyDescent="0.3">
      <c r="A42" s="8">
        <v>14</v>
      </c>
      <c r="B42" s="8" t="s">
        <v>82</v>
      </c>
      <c r="C42" s="8" t="s">
        <v>83</v>
      </c>
      <c r="D42" s="8" t="s">
        <v>84</v>
      </c>
      <c r="E42" s="10" t="s">
        <v>17</v>
      </c>
      <c r="F42" s="10" t="s">
        <v>18</v>
      </c>
      <c r="G42" s="8" t="s">
        <v>85</v>
      </c>
      <c r="H42" s="8" t="s">
        <v>20</v>
      </c>
      <c r="I42" s="1"/>
      <c r="J42" s="1"/>
      <c r="K42" s="1"/>
      <c r="L42" s="1"/>
      <c r="M42" s="1"/>
    </row>
    <row r="43" spans="1:13" ht="90" customHeight="1" x14ac:dyDescent="0.3">
      <c r="A43" s="8"/>
      <c r="B43" s="9"/>
      <c r="C43" s="9"/>
      <c r="D43" s="9"/>
      <c r="E43" s="9"/>
      <c r="F43" s="9"/>
      <c r="G43" s="9"/>
      <c r="H43" s="9"/>
      <c r="I43" s="1"/>
      <c r="J43" s="1"/>
      <c r="K43" s="1"/>
      <c r="L43" s="1"/>
      <c r="M43" s="1"/>
    </row>
    <row r="44" spans="1:13" ht="90" customHeight="1" x14ac:dyDescent="0.3">
      <c r="A44" s="8"/>
      <c r="B44" s="9"/>
      <c r="C44" s="9"/>
      <c r="D44" s="9"/>
      <c r="E44" s="9"/>
      <c r="F44" s="9"/>
      <c r="G44" s="9"/>
      <c r="H44" s="9"/>
      <c r="I44" s="1"/>
      <c r="J44" s="1"/>
      <c r="K44" s="1"/>
      <c r="L44" s="1"/>
      <c r="M44" s="1"/>
    </row>
    <row r="45" spans="1:13" ht="90" customHeight="1" x14ac:dyDescent="0.3">
      <c r="A45" s="8"/>
      <c r="B45" s="9"/>
      <c r="C45" s="9"/>
      <c r="D45" s="9"/>
      <c r="E45" s="9"/>
      <c r="F45" s="9"/>
      <c r="G45" s="9"/>
      <c r="H45" s="9"/>
      <c r="I45" s="1"/>
      <c r="J45" s="1"/>
      <c r="K45" s="1"/>
      <c r="L45" s="1"/>
      <c r="M45" s="1"/>
    </row>
    <row r="46" spans="1:13" ht="90" customHeight="1" x14ac:dyDescent="0.3">
      <c r="A46" s="8"/>
      <c r="B46" s="9"/>
      <c r="C46" s="9"/>
      <c r="D46" s="9"/>
      <c r="E46" s="9"/>
      <c r="F46" s="9"/>
      <c r="G46" s="9"/>
      <c r="H46" s="9"/>
      <c r="I46" s="1"/>
      <c r="J46" s="1"/>
      <c r="K46" s="1"/>
      <c r="L46" s="1"/>
      <c r="M46" s="1"/>
    </row>
    <row r="47" spans="1:13" ht="90" customHeight="1" x14ac:dyDescent="0.3">
      <c r="A47" s="8">
        <v>15</v>
      </c>
      <c r="B47" s="8" t="s">
        <v>86</v>
      </c>
      <c r="C47" s="8" t="s">
        <v>87</v>
      </c>
      <c r="D47" s="8" t="s">
        <v>16</v>
      </c>
      <c r="E47" s="10" t="s">
        <v>24</v>
      </c>
      <c r="F47" s="10" t="s">
        <v>25</v>
      </c>
      <c r="G47" s="8" t="s">
        <v>88</v>
      </c>
      <c r="H47" s="8" t="s">
        <v>89</v>
      </c>
      <c r="I47" s="4" t="s">
        <v>90</v>
      </c>
      <c r="J47" s="4">
        <v>0.9986612796783445</v>
      </c>
      <c r="K47" s="4" t="s">
        <v>29</v>
      </c>
      <c r="L47" s="4" t="s">
        <v>87</v>
      </c>
      <c r="M47" s="4">
        <v>1</v>
      </c>
    </row>
    <row r="48" spans="1:13" ht="90" customHeight="1" x14ac:dyDescent="0.3">
      <c r="A48" s="8"/>
      <c r="B48" s="9"/>
      <c r="C48" s="9"/>
      <c r="D48" s="9"/>
      <c r="E48" s="9"/>
      <c r="F48" s="9"/>
      <c r="G48" s="9"/>
      <c r="H48" s="9"/>
      <c r="I48" s="1"/>
      <c r="J48" s="1"/>
      <c r="K48" s="1"/>
      <c r="L48" s="1"/>
      <c r="M48" s="1"/>
    </row>
    <row r="49" spans="1:13" ht="90" customHeight="1" x14ac:dyDescent="0.3">
      <c r="A49" s="8"/>
      <c r="B49" s="9"/>
      <c r="C49" s="9"/>
      <c r="D49" s="9"/>
      <c r="E49" s="9"/>
      <c r="F49" s="9"/>
      <c r="G49" s="9"/>
      <c r="H49" s="9"/>
      <c r="I49" s="1"/>
      <c r="J49" s="1"/>
      <c r="K49" s="1"/>
      <c r="L49" s="1"/>
      <c r="M49" s="1"/>
    </row>
    <row r="50" spans="1:13" ht="90" customHeight="1" x14ac:dyDescent="0.3">
      <c r="A50" s="8"/>
      <c r="B50" s="9"/>
      <c r="C50" s="9"/>
      <c r="D50" s="9"/>
      <c r="E50" s="9"/>
      <c r="F50" s="9"/>
      <c r="G50" s="9"/>
      <c r="H50" s="9"/>
      <c r="I50" s="1"/>
      <c r="J50" s="1"/>
      <c r="K50" s="1"/>
      <c r="L50" s="1"/>
      <c r="M50" s="1"/>
    </row>
    <row r="51" spans="1:13" ht="90" customHeight="1" x14ac:dyDescent="0.3">
      <c r="A51" s="8"/>
      <c r="B51" s="9"/>
      <c r="C51" s="9"/>
      <c r="D51" s="9"/>
      <c r="E51" s="9"/>
      <c r="F51" s="9"/>
      <c r="G51" s="9"/>
      <c r="H51" s="9"/>
      <c r="I51" s="1"/>
      <c r="J51" s="1"/>
      <c r="K51" s="1"/>
      <c r="L51" s="1"/>
      <c r="M51" s="1"/>
    </row>
    <row r="52" spans="1:13" ht="90" customHeight="1" x14ac:dyDescent="0.3">
      <c r="A52" s="8">
        <v>16</v>
      </c>
      <c r="B52" s="8" t="s">
        <v>91</v>
      </c>
      <c r="C52" s="8" t="s">
        <v>87</v>
      </c>
      <c r="D52" s="8" t="s">
        <v>16</v>
      </c>
      <c r="E52" s="10" t="s">
        <v>24</v>
      </c>
      <c r="F52" s="10" t="s">
        <v>25</v>
      </c>
      <c r="G52" s="8" t="s">
        <v>92</v>
      </c>
      <c r="H52" s="8" t="s">
        <v>93</v>
      </c>
      <c r="I52" s="4" t="s">
        <v>94</v>
      </c>
      <c r="J52" s="4">
        <v>0.99978309869766235</v>
      </c>
      <c r="K52" s="4" t="s">
        <v>29</v>
      </c>
      <c r="L52" s="4" t="s">
        <v>87</v>
      </c>
      <c r="M52" s="4">
        <v>1</v>
      </c>
    </row>
    <row r="53" spans="1:13" ht="90" customHeight="1" x14ac:dyDescent="0.3">
      <c r="A53" s="8"/>
      <c r="B53" s="9"/>
      <c r="C53" s="9"/>
      <c r="D53" s="9"/>
      <c r="E53" s="9"/>
      <c r="F53" s="9"/>
      <c r="G53" s="9"/>
      <c r="H53" s="9"/>
      <c r="I53" s="2" t="s">
        <v>95</v>
      </c>
      <c r="J53" s="2">
        <v>0.93114304542541504</v>
      </c>
      <c r="K53" s="2" t="s">
        <v>29</v>
      </c>
      <c r="L53" s="2" t="s">
        <v>96</v>
      </c>
      <c r="M53" s="2">
        <v>10</v>
      </c>
    </row>
    <row r="54" spans="1:13" ht="90" customHeight="1" x14ac:dyDescent="0.3">
      <c r="A54" s="8"/>
      <c r="B54" s="9"/>
      <c r="C54" s="9"/>
      <c r="D54" s="9"/>
      <c r="E54" s="9"/>
      <c r="F54" s="9"/>
      <c r="G54" s="9"/>
      <c r="H54" s="9"/>
      <c r="I54" s="2" t="s">
        <v>97</v>
      </c>
      <c r="J54" s="2">
        <v>0.81630992889278686</v>
      </c>
      <c r="K54" s="2" t="s">
        <v>29</v>
      </c>
      <c r="L54" s="2" t="s">
        <v>87</v>
      </c>
      <c r="M54" s="2">
        <v>6</v>
      </c>
    </row>
    <row r="55" spans="1:13" ht="90" customHeight="1" x14ac:dyDescent="0.3">
      <c r="A55" s="8"/>
      <c r="B55" s="9"/>
      <c r="C55" s="9"/>
      <c r="D55" s="9"/>
      <c r="E55" s="9"/>
      <c r="F55" s="9"/>
      <c r="G55" s="9"/>
      <c r="H55" s="9"/>
      <c r="I55" s="1"/>
      <c r="J55" s="1"/>
      <c r="K55" s="1"/>
      <c r="L55" s="1"/>
      <c r="M55" s="1"/>
    </row>
    <row r="56" spans="1:13" ht="90" customHeight="1" x14ac:dyDescent="0.3">
      <c r="A56" s="8"/>
      <c r="B56" s="9"/>
      <c r="C56" s="9"/>
      <c r="D56" s="9"/>
      <c r="E56" s="9"/>
      <c r="F56" s="9"/>
      <c r="G56" s="9"/>
      <c r="H56" s="9"/>
      <c r="I56" s="1"/>
      <c r="J56" s="1"/>
      <c r="K56" s="1"/>
      <c r="L56" s="1"/>
      <c r="M56" s="1"/>
    </row>
    <row r="57" spans="1:13" ht="90" customHeight="1" x14ac:dyDescent="0.3">
      <c r="A57" s="8">
        <v>17</v>
      </c>
      <c r="B57" s="8" t="s">
        <v>98</v>
      </c>
      <c r="C57" s="8" t="s">
        <v>77</v>
      </c>
      <c r="D57" s="8" t="s">
        <v>16</v>
      </c>
      <c r="E57" s="10" t="s">
        <v>24</v>
      </c>
      <c r="F57" s="10" t="s">
        <v>25</v>
      </c>
      <c r="G57" s="8" t="s">
        <v>99</v>
      </c>
      <c r="H57" s="8" t="s">
        <v>100</v>
      </c>
      <c r="I57" s="4" t="s">
        <v>101</v>
      </c>
      <c r="J57" s="4">
        <v>0.99901798595952052</v>
      </c>
      <c r="K57" s="4" t="s">
        <v>29</v>
      </c>
      <c r="L57" s="4" t="s">
        <v>77</v>
      </c>
      <c r="M57" s="4">
        <v>1</v>
      </c>
    </row>
    <row r="58" spans="1:13" ht="90" customHeight="1" x14ac:dyDescent="0.3">
      <c r="A58" s="8"/>
      <c r="B58" s="9"/>
      <c r="C58" s="9"/>
      <c r="D58" s="9"/>
      <c r="E58" s="9"/>
      <c r="F58" s="9"/>
      <c r="G58" s="9"/>
      <c r="H58" s="9"/>
      <c r="I58" s="2" t="s">
        <v>102</v>
      </c>
      <c r="J58" s="2">
        <v>0.96952348947525024</v>
      </c>
      <c r="K58" s="2" t="s">
        <v>29</v>
      </c>
      <c r="L58" s="2" t="s">
        <v>103</v>
      </c>
      <c r="M58" s="2">
        <v>2</v>
      </c>
    </row>
    <row r="59" spans="1:13" ht="90" customHeight="1" x14ac:dyDescent="0.3">
      <c r="A59" s="8"/>
      <c r="B59" s="9"/>
      <c r="C59" s="9"/>
      <c r="D59" s="9"/>
      <c r="E59" s="9"/>
      <c r="F59" s="9"/>
      <c r="G59" s="9"/>
      <c r="H59" s="9"/>
      <c r="I59" s="2" t="s">
        <v>104</v>
      </c>
      <c r="J59" s="2">
        <v>0.95849210023880005</v>
      </c>
      <c r="K59" s="2" t="s">
        <v>29</v>
      </c>
      <c r="L59" s="2" t="s">
        <v>103</v>
      </c>
      <c r="M59" s="2">
        <v>3</v>
      </c>
    </row>
    <row r="60" spans="1:13" ht="90" customHeight="1" x14ac:dyDescent="0.3">
      <c r="A60" s="8"/>
      <c r="B60" s="9"/>
      <c r="C60" s="9"/>
      <c r="D60" s="9"/>
      <c r="E60" s="9"/>
      <c r="F60" s="9"/>
      <c r="G60" s="9"/>
      <c r="H60" s="9"/>
      <c r="I60" s="1" t="s">
        <v>105</v>
      </c>
      <c r="J60" s="1">
        <v>0.91824430227279663</v>
      </c>
      <c r="K60" s="1" t="s">
        <v>29</v>
      </c>
      <c r="L60" s="1" t="s">
        <v>103</v>
      </c>
      <c r="M60" s="1">
        <v>1</v>
      </c>
    </row>
    <row r="61" spans="1:13" ht="90" customHeight="1" x14ac:dyDescent="0.3">
      <c r="A61" s="8"/>
      <c r="B61" s="9"/>
      <c r="C61" s="9"/>
      <c r="D61" s="9"/>
      <c r="E61" s="9"/>
      <c r="F61" s="9"/>
      <c r="G61" s="9"/>
      <c r="H61" s="9"/>
      <c r="I61" s="1"/>
      <c r="J61" s="1"/>
      <c r="K61" s="1"/>
      <c r="L61" s="1"/>
      <c r="M61" s="1"/>
    </row>
    <row r="62" spans="1:13" ht="90" customHeight="1" x14ac:dyDescent="0.3">
      <c r="A62" s="8">
        <v>18</v>
      </c>
      <c r="B62" s="8" t="s">
        <v>106</v>
      </c>
      <c r="C62" s="8" t="s">
        <v>107</v>
      </c>
      <c r="D62" s="8" t="s">
        <v>16</v>
      </c>
      <c r="E62" s="10" t="s">
        <v>24</v>
      </c>
      <c r="F62" s="10" t="s">
        <v>25</v>
      </c>
      <c r="G62" s="8" t="s">
        <v>108</v>
      </c>
      <c r="H62" s="8" t="s">
        <v>109</v>
      </c>
      <c r="I62" s="4" t="s">
        <v>110</v>
      </c>
      <c r="J62" s="4">
        <v>0.99262106418609619</v>
      </c>
      <c r="K62" s="4" t="s">
        <v>29</v>
      </c>
      <c r="L62" s="4" t="s">
        <v>107</v>
      </c>
      <c r="M62" s="4">
        <v>1</v>
      </c>
    </row>
    <row r="63" spans="1:13" ht="90" customHeight="1" x14ac:dyDescent="0.3">
      <c r="A63" s="8"/>
      <c r="B63" s="9"/>
      <c r="C63" s="9"/>
      <c r="D63" s="9"/>
      <c r="E63" s="9"/>
      <c r="F63" s="9"/>
      <c r="G63" s="9"/>
      <c r="H63" s="9"/>
      <c r="I63" s="1"/>
      <c r="J63" s="1"/>
      <c r="K63" s="1"/>
      <c r="L63" s="1"/>
      <c r="M63" s="1"/>
    </row>
    <row r="64" spans="1:13" ht="90" customHeight="1" x14ac:dyDescent="0.3">
      <c r="A64" s="8"/>
      <c r="B64" s="9"/>
      <c r="C64" s="9"/>
      <c r="D64" s="9"/>
      <c r="E64" s="9"/>
      <c r="F64" s="9"/>
      <c r="G64" s="9"/>
      <c r="H64" s="9"/>
      <c r="I64" s="1"/>
      <c r="J64" s="1"/>
      <c r="K64" s="1"/>
      <c r="L64" s="1"/>
      <c r="M64" s="1"/>
    </row>
    <row r="65" spans="1:13" ht="90" customHeight="1" x14ac:dyDescent="0.3">
      <c r="A65" s="8"/>
      <c r="B65" s="9"/>
      <c r="C65" s="9"/>
      <c r="D65" s="9"/>
      <c r="E65" s="9"/>
      <c r="F65" s="9"/>
      <c r="G65" s="9"/>
      <c r="H65" s="9"/>
      <c r="I65" s="1"/>
      <c r="J65" s="1"/>
      <c r="K65" s="1"/>
      <c r="L65" s="1"/>
      <c r="M65" s="1"/>
    </row>
    <row r="66" spans="1:13" ht="90" customHeight="1" x14ac:dyDescent="0.3">
      <c r="A66" s="8"/>
      <c r="B66" s="9"/>
      <c r="C66" s="9"/>
      <c r="D66" s="9"/>
      <c r="E66" s="9"/>
      <c r="F66" s="9"/>
      <c r="G66" s="9"/>
      <c r="H66" s="9"/>
      <c r="I66" s="1"/>
      <c r="J66" s="1"/>
      <c r="K66" s="1"/>
      <c r="L66" s="1"/>
      <c r="M66" s="1"/>
    </row>
    <row r="67" spans="1:13" ht="90" customHeight="1" x14ac:dyDescent="0.3">
      <c r="A67" s="8">
        <v>19</v>
      </c>
      <c r="B67" s="8" t="s">
        <v>98</v>
      </c>
      <c r="C67" s="8" t="s">
        <v>77</v>
      </c>
      <c r="D67" s="8" t="s">
        <v>16</v>
      </c>
      <c r="E67" s="10" t="s">
        <v>24</v>
      </c>
      <c r="F67" s="10" t="s">
        <v>25</v>
      </c>
      <c r="G67" s="8" t="s">
        <v>111</v>
      </c>
      <c r="H67" s="8" t="s">
        <v>100</v>
      </c>
      <c r="I67" s="4" t="s">
        <v>101</v>
      </c>
      <c r="J67" s="4">
        <v>0.99901899882347589</v>
      </c>
      <c r="K67" s="4" t="s">
        <v>29</v>
      </c>
      <c r="L67" s="4" t="s">
        <v>77</v>
      </c>
      <c r="M67" s="4">
        <v>1</v>
      </c>
    </row>
    <row r="68" spans="1:13" ht="90" customHeight="1" x14ac:dyDescent="0.3">
      <c r="A68" s="8"/>
      <c r="B68" s="9"/>
      <c r="C68" s="9"/>
      <c r="D68" s="9"/>
      <c r="E68" s="9"/>
      <c r="F68" s="9"/>
      <c r="G68" s="9"/>
      <c r="H68" s="9"/>
      <c r="I68" s="2" t="s">
        <v>102</v>
      </c>
      <c r="J68" s="2">
        <v>0.96952348947525024</v>
      </c>
      <c r="K68" s="2" t="s">
        <v>29</v>
      </c>
      <c r="L68" s="2" t="s">
        <v>103</v>
      </c>
      <c r="M68" s="2">
        <v>2</v>
      </c>
    </row>
    <row r="69" spans="1:13" ht="90" customHeight="1" x14ac:dyDescent="0.3">
      <c r="A69" s="8"/>
      <c r="B69" s="9"/>
      <c r="C69" s="9"/>
      <c r="D69" s="9"/>
      <c r="E69" s="9"/>
      <c r="F69" s="9"/>
      <c r="G69" s="9"/>
      <c r="H69" s="9"/>
      <c r="I69" s="2" t="s">
        <v>104</v>
      </c>
      <c r="J69" s="2">
        <v>0.95849210023880005</v>
      </c>
      <c r="K69" s="2" t="s">
        <v>29</v>
      </c>
      <c r="L69" s="2" t="s">
        <v>103</v>
      </c>
      <c r="M69" s="2">
        <v>3</v>
      </c>
    </row>
    <row r="70" spans="1:13" ht="90" customHeight="1" x14ac:dyDescent="0.3">
      <c r="A70" s="8"/>
      <c r="B70" s="9"/>
      <c r="C70" s="9"/>
      <c r="D70" s="9"/>
      <c r="E70" s="9"/>
      <c r="F70" s="9"/>
      <c r="G70" s="9"/>
      <c r="H70" s="9"/>
      <c r="I70" s="1" t="s">
        <v>105</v>
      </c>
      <c r="J70" s="1">
        <v>0.91824430227279663</v>
      </c>
      <c r="K70" s="1" t="s">
        <v>29</v>
      </c>
      <c r="L70" s="1" t="s">
        <v>103</v>
      </c>
      <c r="M70" s="1">
        <v>1</v>
      </c>
    </row>
    <row r="71" spans="1:13" ht="90" customHeight="1" x14ac:dyDescent="0.3">
      <c r="A71" s="8"/>
      <c r="B71" s="9"/>
      <c r="C71" s="9"/>
      <c r="D71" s="9"/>
      <c r="E71" s="9"/>
      <c r="F71" s="9"/>
      <c r="G71" s="9"/>
      <c r="H71" s="9"/>
      <c r="I71" s="1"/>
      <c r="J71" s="1"/>
      <c r="K71" s="1"/>
      <c r="L71" s="1"/>
      <c r="M71" s="1"/>
    </row>
    <row r="72" spans="1:13" ht="90" customHeight="1" x14ac:dyDescent="0.3">
      <c r="A72" s="8">
        <v>20</v>
      </c>
      <c r="B72" s="8" t="s">
        <v>112</v>
      </c>
      <c r="C72" s="8" t="s">
        <v>113</v>
      </c>
      <c r="D72" s="8" t="s">
        <v>114</v>
      </c>
      <c r="E72" s="10" t="s">
        <v>24</v>
      </c>
      <c r="F72" s="10" t="s">
        <v>25</v>
      </c>
      <c r="G72" s="8" t="s">
        <v>115</v>
      </c>
      <c r="H72" s="8" t="s">
        <v>116</v>
      </c>
      <c r="I72" s="4" t="s">
        <v>117</v>
      </c>
      <c r="J72" s="4">
        <v>0.99997508525848389</v>
      </c>
      <c r="K72" s="4" t="s">
        <v>29</v>
      </c>
      <c r="L72" s="4" t="s">
        <v>113</v>
      </c>
      <c r="M72" s="4">
        <v>2</v>
      </c>
    </row>
    <row r="73" spans="1:13" ht="90" customHeight="1" x14ac:dyDescent="0.3">
      <c r="A73" s="8"/>
      <c r="B73" s="9"/>
      <c r="C73" s="9"/>
      <c r="D73" s="9"/>
      <c r="E73" s="9"/>
      <c r="F73" s="9"/>
      <c r="G73" s="9"/>
      <c r="H73" s="9"/>
      <c r="I73" s="2" t="s">
        <v>118</v>
      </c>
      <c r="J73" s="2">
        <v>0.99940705299377441</v>
      </c>
      <c r="K73" s="2" t="s">
        <v>29</v>
      </c>
      <c r="L73" s="2" t="s">
        <v>119</v>
      </c>
      <c r="M73" s="2">
        <v>19</v>
      </c>
    </row>
    <row r="74" spans="1:13" ht="90" customHeight="1" x14ac:dyDescent="0.3">
      <c r="A74" s="8"/>
      <c r="B74" s="9"/>
      <c r="C74" s="9"/>
      <c r="D74" s="9"/>
      <c r="E74" s="9"/>
      <c r="F74" s="9"/>
      <c r="G74" s="9"/>
      <c r="H74" s="9"/>
      <c r="I74" s="1"/>
      <c r="J74" s="1"/>
      <c r="K74" s="1"/>
      <c r="L74" s="1"/>
      <c r="M74" s="1"/>
    </row>
    <row r="75" spans="1:13" ht="90" customHeight="1" x14ac:dyDescent="0.3">
      <c r="A75" s="8"/>
      <c r="B75" s="9"/>
      <c r="C75" s="9"/>
      <c r="D75" s="9"/>
      <c r="E75" s="9"/>
      <c r="F75" s="9"/>
      <c r="G75" s="9"/>
      <c r="H75" s="9"/>
      <c r="I75" s="1"/>
      <c r="J75" s="1"/>
      <c r="K75" s="1"/>
      <c r="L75" s="1"/>
      <c r="M75" s="1"/>
    </row>
    <row r="76" spans="1:13" ht="90" customHeight="1" x14ac:dyDescent="0.3">
      <c r="A76" s="8"/>
      <c r="B76" s="9"/>
      <c r="C76" s="9"/>
      <c r="D76" s="9"/>
      <c r="E76" s="9"/>
      <c r="F76" s="9"/>
      <c r="G76" s="9"/>
      <c r="H76" s="9"/>
      <c r="I76" s="1"/>
      <c r="J76" s="1"/>
      <c r="K76" s="1"/>
      <c r="L76" s="1"/>
      <c r="M76" s="1"/>
    </row>
    <row r="77" spans="1:13" ht="90" customHeight="1" x14ac:dyDescent="0.3">
      <c r="A77" s="8">
        <v>22</v>
      </c>
      <c r="B77" s="8" t="s">
        <v>120</v>
      </c>
      <c r="C77" s="8" t="s">
        <v>77</v>
      </c>
      <c r="D77" s="8" t="s">
        <v>16</v>
      </c>
      <c r="E77" s="10" t="s">
        <v>24</v>
      </c>
      <c r="F77" s="10" t="s">
        <v>25</v>
      </c>
      <c r="G77" s="8" t="s">
        <v>121</v>
      </c>
      <c r="H77" s="8" t="s">
        <v>122</v>
      </c>
      <c r="I77" s="4" t="s">
        <v>101</v>
      </c>
      <c r="J77" s="4">
        <v>0.98477604630254667</v>
      </c>
      <c r="K77" s="4" t="s">
        <v>29</v>
      </c>
      <c r="L77" s="4" t="s">
        <v>77</v>
      </c>
      <c r="M77" s="4">
        <v>1</v>
      </c>
    </row>
    <row r="78" spans="1:13" ht="90" customHeight="1" x14ac:dyDescent="0.3">
      <c r="A78" s="8"/>
      <c r="B78" s="9"/>
      <c r="C78" s="9"/>
      <c r="D78" s="9"/>
      <c r="E78" s="9"/>
      <c r="F78" s="9"/>
      <c r="G78" s="9"/>
      <c r="H78" s="9"/>
      <c r="I78" s="1" t="s">
        <v>105</v>
      </c>
      <c r="J78" s="1">
        <v>0.89220786094665527</v>
      </c>
      <c r="K78" s="1" t="s">
        <v>29</v>
      </c>
      <c r="L78" s="1" t="s">
        <v>103</v>
      </c>
      <c r="M78" s="1">
        <v>1</v>
      </c>
    </row>
    <row r="79" spans="1:13" ht="90" customHeight="1" x14ac:dyDescent="0.3">
      <c r="A79" s="8"/>
      <c r="B79" s="9"/>
      <c r="C79" s="9"/>
      <c r="D79" s="9"/>
      <c r="E79" s="9"/>
      <c r="F79" s="9"/>
      <c r="G79" s="9"/>
      <c r="H79" s="9"/>
      <c r="I79" s="2" t="s">
        <v>123</v>
      </c>
      <c r="J79" s="2">
        <v>0.8745499849319458</v>
      </c>
      <c r="K79" s="2" t="s">
        <v>29</v>
      </c>
      <c r="L79" s="2" t="s">
        <v>124</v>
      </c>
      <c r="M79" s="2">
        <v>1</v>
      </c>
    </row>
    <row r="80" spans="1:13" ht="90" customHeight="1" x14ac:dyDescent="0.3">
      <c r="A80" s="8"/>
      <c r="B80" s="9"/>
      <c r="C80" s="9"/>
      <c r="D80" s="9"/>
      <c r="E80" s="9"/>
      <c r="F80" s="9"/>
      <c r="G80" s="9"/>
      <c r="H80" s="9"/>
      <c r="I80" s="1"/>
      <c r="J80" s="1"/>
      <c r="K80" s="1"/>
      <c r="L80" s="1"/>
      <c r="M80" s="1"/>
    </row>
    <row r="81" spans="1:13" ht="90" customHeight="1" x14ac:dyDescent="0.3">
      <c r="A81" s="8"/>
      <c r="B81" s="9"/>
      <c r="C81" s="9"/>
      <c r="D81" s="9"/>
      <c r="E81" s="9"/>
      <c r="F81" s="9"/>
      <c r="G81" s="9"/>
      <c r="H81" s="9"/>
      <c r="I81" s="1"/>
      <c r="J81" s="1"/>
      <c r="K81" s="1"/>
      <c r="L81" s="1"/>
      <c r="M81" s="1"/>
    </row>
    <row r="82" spans="1:13" ht="90" customHeight="1" x14ac:dyDescent="0.3">
      <c r="A82" s="8">
        <v>24</v>
      </c>
      <c r="B82" s="8" t="s">
        <v>125</v>
      </c>
      <c r="C82" s="8" t="s">
        <v>126</v>
      </c>
      <c r="D82" s="8" t="s">
        <v>127</v>
      </c>
      <c r="E82" s="10" t="s">
        <v>17</v>
      </c>
      <c r="F82" s="10" t="s">
        <v>18</v>
      </c>
      <c r="G82" s="8" t="s">
        <v>128</v>
      </c>
      <c r="H82" s="8" t="s">
        <v>129</v>
      </c>
      <c r="I82" s="2" t="s">
        <v>130</v>
      </c>
      <c r="J82" s="2">
        <v>0.99508011341094971</v>
      </c>
      <c r="K82" s="2" t="s">
        <v>29</v>
      </c>
      <c r="L82" s="2" t="s">
        <v>131</v>
      </c>
      <c r="M82" s="2">
        <v>561</v>
      </c>
    </row>
    <row r="83" spans="1:13" ht="90" customHeight="1" x14ac:dyDescent="0.3">
      <c r="A83" s="8"/>
      <c r="B83" s="9"/>
      <c r="C83" s="9"/>
      <c r="D83" s="9"/>
      <c r="E83" s="9"/>
      <c r="F83" s="9"/>
      <c r="G83" s="9"/>
      <c r="H83" s="9"/>
      <c r="I83" s="2" t="s">
        <v>132</v>
      </c>
      <c r="J83" s="2">
        <v>0.99478274583816528</v>
      </c>
      <c r="K83" s="2" t="s">
        <v>29</v>
      </c>
      <c r="L83" s="2" t="s">
        <v>133</v>
      </c>
      <c r="M83" s="2">
        <v>851</v>
      </c>
    </row>
    <row r="84" spans="1:13" ht="90" customHeight="1" x14ac:dyDescent="0.3">
      <c r="A84" s="8"/>
      <c r="B84" s="9"/>
      <c r="C84" s="9"/>
      <c r="D84" s="9"/>
      <c r="E84" s="9"/>
      <c r="F84" s="9"/>
      <c r="G84" s="9"/>
      <c r="H84" s="9"/>
      <c r="I84" s="2" t="s">
        <v>134</v>
      </c>
      <c r="J84" s="2">
        <v>0.99461382627487183</v>
      </c>
      <c r="K84" s="2" t="s">
        <v>29</v>
      </c>
      <c r="L84" s="2" t="s">
        <v>133</v>
      </c>
      <c r="M84" s="2">
        <v>863</v>
      </c>
    </row>
    <row r="85" spans="1:13" ht="90" customHeight="1" x14ac:dyDescent="0.3">
      <c r="A85" s="8"/>
      <c r="B85" s="9"/>
      <c r="C85" s="9"/>
      <c r="D85" s="9"/>
      <c r="E85" s="9"/>
      <c r="F85" s="9"/>
      <c r="G85" s="9"/>
      <c r="H85" s="9"/>
      <c r="I85" s="1" t="s">
        <v>135</v>
      </c>
      <c r="J85" s="1">
        <v>0.99062917587905785</v>
      </c>
      <c r="K85" s="1" t="s">
        <v>68</v>
      </c>
      <c r="L85" s="1" t="s">
        <v>136</v>
      </c>
      <c r="M85" s="1">
        <v>1</v>
      </c>
    </row>
    <row r="86" spans="1:13" ht="90" customHeight="1" x14ac:dyDescent="0.3">
      <c r="A86" s="8"/>
      <c r="B86" s="9"/>
      <c r="C86" s="9"/>
      <c r="D86" s="9"/>
      <c r="E86" s="9"/>
      <c r="F86" s="9"/>
      <c r="G86" s="9"/>
      <c r="H86" s="9"/>
      <c r="I86" s="1" t="s">
        <v>137</v>
      </c>
      <c r="J86" s="1">
        <v>0.98867607116699219</v>
      </c>
      <c r="K86" s="1" t="s">
        <v>68</v>
      </c>
      <c r="L86" s="1" t="s">
        <v>138</v>
      </c>
      <c r="M86" s="1">
        <v>3</v>
      </c>
    </row>
    <row r="87" spans="1:13" ht="90" customHeight="1" x14ac:dyDescent="0.3">
      <c r="A87" s="8">
        <v>32</v>
      </c>
      <c r="B87" s="8" t="s">
        <v>139</v>
      </c>
      <c r="C87" s="8" t="s">
        <v>140</v>
      </c>
      <c r="D87" s="8" t="s">
        <v>141</v>
      </c>
      <c r="E87" s="10" t="s">
        <v>24</v>
      </c>
      <c r="F87" s="10" t="s">
        <v>25</v>
      </c>
      <c r="G87" s="8" t="s">
        <v>142</v>
      </c>
      <c r="H87" s="8" t="s">
        <v>143</v>
      </c>
      <c r="I87" s="4" t="s">
        <v>144</v>
      </c>
      <c r="J87" s="4">
        <v>0.99996984004974365</v>
      </c>
      <c r="K87" s="4" t="s">
        <v>29</v>
      </c>
      <c r="L87" s="4" t="s">
        <v>140</v>
      </c>
      <c r="M87" s="4">
        <v>24</v>
      </c>
    </row>
    <row r="88" spans="1:13" ht="90" customHeight="1" x14ac:dyDescent="0.3">
      <c r="A88" s="8"/>
      <c r="B88" s="9"/>
      <c r="C88" s="9"/>
      <c r="D88" s="9"/>
      <c r="E88" s="9"/>
      <c r="F88" s="9"/>
      <c r="G88" s="9"/>
      <c r="H88" s="9"/>
      <c r="I88" s="2" t="s">
        <v>145</v>
      </c>
      <c r="J88" s="2">
        <v>0.99993622303009033</v>
      </c>
      <c r="K88" s="2" t="s">
        <v>29</v>
      </c>
      <c r="L88" s="2" t="s">
        <v>140</v>
      </c>
      <c r="M88" s="2">
        <v>2</v>
      </c>
    </row>
    <row r="89" spans="1:13" ht="90" customHeight="1" x14ac:dyDescent="0.3">
      <c r="A89" s="8"/>
      <c r="B89" s="9"/>
      <c r="C89" s="9"/>
      <c r="D89" s="9"/>
      <c r="E89" s="9"/>
      <c r="F89" s="9"/>
      <c r="G89" s="9"/>
      <c r="H89" s="9"/>
      <c r="I89" s="2" t="s">
        <v>146</v>
      </c>
      <c r="J89" s="2">
        <v>0.99992406368255615</v>
      </c>
      <c r="K89" s="2" t="s">
        <v>29</v>
      </c>
      <c r="L89" s="2" t="s">
        <v>140</v>
      </c>
      <c r="M89" s="2">
        <v>28</v>
      </c>
    </row>
    <row r="90" spans="1:13" ht="90" customHeight="1" x14ac:dyDescent="0.3">
      <c r="A90" s="8"/>
      <c r="B90" s="9"/>
      <c r="C90" s="9"/>
      <c r="D90" s="9"/>
      <c r="E90" s="9"/>
      <c r="F90" s="9"/>
      <c r="G90" s="9"/>
      <c r="H90" s="9"/>
      <c r="I90" s="1" t="s">
        <v>147</v>
      </c>
      <c r="J90" s="1">
        <v>0.99912899732589722</v>
      </c>
      <c r="K90" s="1" t="s">
        <v>29</v>
      </c>
      <c r="L90" s="1" t="s">
        <v>140</v>
      </c>
      <c r="M90" s="1">
        <v>78</v>
      </c>
    </row>
    <row r="91" spans="1:13" ht="90" customHeight="1" x14ac:dyDescent="0.3">
      <c r="A91" s="8"/>
      <c r="B91" s="9"/>
      <c r="C91" s="9"/>
      <c r="D91" s="9"/>
      <c r="E91" s="9"/>
      <c r="F91" s="9"/>
      <c r="G91" s="9"/>
      <c r="H91" s="9"/>
      <c r="I91" s="1"/>
      <c r="J91" s="1"/>
      <c r="K91" s="1"/>
      <c r="L91" s="1"/>
      <c r="M91" s="1"/>
    </row>
    <row r="92" spans="1:13" ht="90" customHeight="1" x14ac:dyDescent="0.3">
      <c r="A92" s="8">
        <v>33</v>
      </c>
      <c r="B92" s="8" t="s">
        <v>148</v>
      </c>
      <c r="C92" s="8" t="s">
        <v>140</v>
      </c>
      <c r="D92" s="8" t="s">
        <v>149</v>
      </c>
      <c r="E92" s="10" t="s">
        <v>24</v>
      </c>
      <c r="F92" s="10" t="s">
        <v>25</v>
      </c>
      <c r="G92" s="8" t="s">
        <v>150</v>
      </c>
      <c r="H92" s="8" t="s">
        <v>151</v>
      </c>
      <c r="I92" s="4" t="s">
        <v>152</v>
      </c>
      <c r="J92" s="4">
        <v>0.99999403953552246</v>
      </c>
      <c r="K92" s="4" t="s">
        <v>29</v>
      </c>
      <c r="L92" s="4" t="s">
        <v>140</v>
      </c>
      <c r="M92" s="4">
        <v>61</v>
      </c>
    </row>
    <row r="93" spans="1:13" ht="90" customHeight="1" x14ac:dyDescent="0.3">
      <c r="A93" s="8"/>
      <c r="B93" s="9"/>
      <c r="C93" s="9"/>
      <c r="D93" s="9"/>
      <c r="E93" s="9"/>
      <c r="F93" s="9"/>
      <c r="G93" s="9"/>
      <c r="H93" s="9"/>
      <c r="I93" s="5" t="s">
        <v>153</v>
      </c>
      <c r="J93" s="5">
        <v>0.99997305870056152</v>
      </c>
      <c r="K93" s="5" t="s">
        <v>29</v>
      </c>
      <c r="L93" s="5" t="s">
        <v>140</v>
      </c>
      <c r="M93" s="5">
        <v>62</v>
      </c>
    </row>
    <row r="94" spans="1:13" ht="90" customHeight="1" x14ac:dyDescent="0.3">
      <c r="A94" s="8"/>
      <c r="B94" s="9"/>
      <c r="C94" s="9"/>
      <c r="D94" s="9"/>
      <c r="E94" s="9"/>
      <c r="F94" s="9"/>
      <c r="G94" s="9"/>
      <c r="H94" s="9"/>
      <c r="I94" s="1"/>
      <c r="J94" s="1"/>
      <c r="K94" s="1"/>
      <c r="L94" s="1"/>
      <c r="M94" s="1"/>
    </row>
    <row r="95" spans="1:13" ht="90" customHeight="1" x14ac:dyDescent="0.3">
      <c r="A95" s="8"/>
      <c r="B95" s="9"/>
      <c r="C95" s="9"/>
      <c r="D95" s="9"/>
      <c r="E95" s="9"/>
      <c r="F95" s="9"/>
      <c r="G95" s="9"/>
      <c r="H95" s="9"/>
      <c r="I95" s="1"/>
      <c r="J95" s="1"/>
      <c r="K95" s="1"/>
      <c r="L95" s="1"/>
      <c r="M95" s="1"/>
    </row>
    <row r="96" spans="1:13" ht="90" customHeight="1" x14ac:dyDescent="0.3">
      <c r="A96" s="8"/>
      <c r="B96" s="9"/>
      <c r="C96" s="9"/>
      <c r="D96" s="9"/>
      <c r="E96" s="9"/>
      <c r="F96" s="9"/>
      <c r="G96" s="9"/>
      <c r="H96" s="9"/>
      <c r="I96" s="1"/>
      <c r="J96" s="1"/>
      <c r="K96" s="1"/>
      <c r="L96" s="1"/>
      <c r="M96" s="1"/>
    </row>
    <row r="97" spans="1:13" ht="90" customHeight="1" x14ac:dyDescent="0.3">
      <c r="A97" s="8">
        <v>34</v>
      </c>
      <c r="B97" s="8" t="s">
        <v>154</v>
      </c>
      <c r="C97" s="8" t="s">
        <v>155</v>
      </c>
      <c r="D97" s="8" t="s">
        <v>16</v>
      </c>
      <c r="E97" s="10" t="s">
        <v>24</v>
      </c>
      <c r="F97" s="10" t="s">
        <v>25</v>
      </c>
      <c r="G97" s="8" t="s">
        <v>156</v>
      </c>
      <c r="H97" s="8" t="s">
        <v>157</v>
      </c>
      <c r="I97" s="1" t="s">
        <v>158</v>
      </c>
      <c r="J97" s="1">
        <v>0.99994146823883057</v>
      </c>
      <c r="K97" s="1" t="s">
        <v>29</v>
      </c>
      <c r="L97" s="1" t="s">
        <v>140</v>
      </c>
      <c r="M97" s="1">
        <v>11</v>
      </c>
    </row>
    <row r="98" spans="1:13" ht="90" customHeight="1" x14ac:dyDescent="0.3">
      <c r="A98" s="8"/>
      <c r="B98" s="9"/>
      <c r="C98" s="9"/>
      <c r="D98" s="9"/>
      <c r="E98" s="9"/>
      <c r="F98" s="9"/>
      <c r="G98" s="9"/>
      <c r="H98" s="9"/>
      <c r="I98" s="1" t="s">
        <v>159</v>
      </c>
      <c r="J98" s="1">
        <v>0.99989509582519531</v>
      </c>
      <c r="K98" s="1" t="s">
        <v>68</v>
      </c>
      <c r="L98" s="1" t="s">
        <v>160</v>
      </c>
      <c r="M98" s="1">
        <v>2</v>
      </c>
    </row>
    <row r="99" spans="1:13" ht="90" customHeight="1" x14ac:dyDescent="0.3">
      <c r="A99" s="8"/>
      <c r="B99" s="9"/>
      <c r="C99" s="9"/>
      <c r="D99" s="9"/>
      <c r="E99" s="9"/>
      <c r="F99" s="9"/>
      <c r="G99" s="9"/>
      <c r="H99" s="9"/>
      <c r="I99" s="2" t="s">
        <v>161</v>
      </c>
      <c r="J99" s="2">
        <v>0.99989223480224609</v>
      </c>
      <c r="K99" s="2" t="s">
        <v>68</v>
      </c>
      <c r="L99" s="2" t="s">
        <v>162</v>
      </c>
      <c r="M99" s="2">
        <v>1</v>
      </c>
    </row>
    <row r="100" spans="1:13" ht="90" customHeight="1" x14ac:dyDescent="0.3">
      <c r="A100" s="8"/>
      <c r="B100" s="9"/>
      <c r="C100" s="9"/>
      <c r="D100" s="9"/>
      <c r="E100" s="9"/>
      <c r="F100" s="9"/>
      <c r="G100" s="9"/>
      <c r="H100" s="9"/>
      <c r="I100" s="4" t="s">
        <v>163</v>
      </c>
      <c r="J100" s="4">
        <v>0.99986016750335693</v>
      </c>
      <c r="K100" s="4" t="s">
        <v>29</v>
      </c>
      <c r="L100" s="4" t="s">
        <v>155</v>
      </c>
      <c r="M100" s="4">
        <v>1</v>
      </c>
    </row>
    <row r="101" spans="1:13" ht="90" customHeight="1" x14ac:dyDescent="0.3">
      <c r="A101" s="8"/>
      <c r="B101" s="9"/>
      <c r="C101" s="9"/>
      <c r="D101" s="9"/>
      <c r="E101" s="9"/>
      <c r="F101" s="9"/>
      <c r="G101" s="9"/>
      <c r="H101" s="9"/>
      <c r="I101" s="1" t="s">
        <v>164</v>
      </c>
      <c r="J101" s="1">
        <v>0.99898403882980347</v>
      </c>
      <c r="K101" s="1" t="s">
        <v>29</v>
      </c>
      <c r="L101" s="1" t="s">
        <v>140</v>
      </c>
      <c r="M101" s="1">
        <v>14</v>
      </c>
    </row>
    <row r="102" spans="1:13" ht="90" customHeight="1" x14ac:dyDescent="0.3">
      <c r="A102" s="8">
        <v>35</v>
      </c>
      <c r="B102" s="8" t="s">
        <v>165</v>
      </c>
      <c r="C102" s="8" t="s">
        <v>166</v>
      </c>
      <c r="D102" s="8" t="s">
        <v>167</v>
      </c>
      <c r="E102" s="10" t="s">
        <v>24</v>
      </c>
      <c r="F102" s="10" t="s">
        <v>25</v>
      </c>
      <c r="G102" s="8" t="s">
        <v>168</v>
      </c>
      <c r="H102" s="8" t="s">
        <v>169</v>
      </c>
      <c r="I102" s="4" t="s">
        <v>170</v>
      </c>
      <c r="J102" s="4">
        <v>0.99999916553497314</v>
      </c>
      <c r="K102" s="4" t="s">
        <v>29</v>
      </c>
      <c r="L102" s="4" t="s">
        <v>166</v>
      </c>
      <c r="M102" s="4">
        <v>30</v>
      </c>
    </row>
    <row r="103" spans="1:13" ht="90" customHeight="1" x14ac:dyDescent="0.3">
      <c r="A103" s="8"/>
      <c r="B103" s="9"/>
      <c r="C103" s="9"/>
      <c r="D103" s="9"/>
      <c r="E103" s="9"/>
      <c r="F103" s="9"/>
      <c r="G103" s="9"/>
      <c r="H103" s="9"/>
      <c r="I103" s="2" t="s">
        <v>171</v>
      </c>
      <c r="J103" s="2">
        <v>0.99963533878326416</v>
      </c>
      <c r="K103" s="2" t="s">
        <v>29</v>
      </c>
      <c r="L103" s="2" t="s">
        <v>166</v>
      </c>
      <c r="M103" s="2">
        <v>41</v>
      </c>
    </row>
    <row r="104" spans="1:13" ht="90" customHeight="1" x14ac:dyDescent="0.3">
      <c r="A104" s="8"/>
      <c r="B104" s="9"/>
      <c r="C104" s="9"/>
      <c r="D104" s="9"/>
      <c r="E104" s="9"/>
      <c r="F104" s="9"/>
      <c r="G104" s="9"/>
      <c r="H104" s="9"/>
      <c r="I104" s="2" t="s">
        <v>172</v>
      </c>
      <c r="J104" s="2">
        <v>0.99856710433959961</v>
      </c>
      <c r="K104" s="2" t="s">
        <v>29</v>
      </c>
      <c r="L104" s="2" t="s">
        <v>166</v>
      </c>
      <c r="M104" s="2">
        <v>126</v>
      </c>
    </row>
    <row r="105" spans="1:13" ht="90" customHeight="1" x14ac:dyDescent="0.3">
      <c r="A105" s="8"/>
      <c r="B105" s="9"/>
      <c r="C105" s="9"/>
      <c r="D105" s="9"/>
      <c r="E105" s="9"/>
      <c r="F105" s="9"/>
      <c r="G105" s="9"/>
      <c r="H105" s="9"/>
      <c r="I105" s="1" t="s">
        <v>173</v>
      </c>
      <c r="J105" s="1">
        <v>0.99750441312789917</v>
      </c>
      <c r="K105" s="1" t="s">
        <v>29</v>
      </c>
      <c r="L105" s="1" t="s">
        <v>166</v>
      </c>
      <c r="M105" s="1">
        <v>127</v>
      </c>
    </row>
    <row r="106" spans="1:13" ht="90" customHeight="1" x14ac:dyDescent="0.3">
      <c r="A106" s="8"/>
      <c r="B106" s="9"/>
      <c r="C106" s="9"/>
      <c r="D106" s="9"/>
      <c r="E106" s="9"/>
      <c r="F106" s="9"/>
      <c r="G106" s="9"/>
      <c r="H106" s="9"/>
      <c r="I106" s="1" t="s">
        <v>174</v>
      </c>
      <c r="J106" s="1">
        <v>0.99372619390487671</v>
      </c>
      <c r="K106" s="1" t="s">
        <v>29</v>
      </c>
      <c r="L106" s="1" t="s">
        <v>166</v>
      </c>
      <c r="M106" s="1">
        <v>72</v>
      </c>
    </row>
    <row r="107" spans="1:13" ht="90" customHeight="1" x14ac:dyDescent="0.3">
      <c r="A107" s="8">
        <v>36</v>
      </c>
      <c r="B107" s="8" t="s">
        <v>175</v>
      </c>
      <c r="C107" s="8" t="s">
        <v>166</v>
      </c>
      <c r="D107" s="8" t="s">
        <v>176</v>
      </c>
      <c r="E107" s="10" t="s">
        <v>24</v>
      </c>
      <c r="F107" s="10" t="s">
        <v>25</v>
      </c>
      <c r="G107" s="8" t="s">
        <v>177</v>
      </c>
      <c r="H107" s="8" t="s">
        <v>178</v>
      </c>
      <c r="I107" s="4" t="s">
        <v>179</v>
      </c>
      <c r="J107" s="4">
        <v>0.99999880790710449</v>
      </c>
      <c r="K107" s="4" t="s">
        <v>29</v>
      </c>
      <c r="L107" s="4" t="s">
        <v>166</v>
      </c>
      <c r="M107" s="4">
        <v>7</v>
      </c>
    </row>
    <row r="108" spans="1:13" ht="90" customHeight="1" x14ac:dyDescent="0.3">
      <c r="A108" s="8"/>
      <c r="B108" s="9"/>
      <c r="C108" s="9"/>
      <c r="D108" s="9"/>
      <c r="E108" s="9"/>
      <c r="F108" s="9"/>
      <c r="G108" s="9"/>
      <c r="H108" s="9"/>
      <c r="I108" s="4" t="s">
        <v>180</v>
      </c>
      <c r="J108" s="4">
        <v>0.99999761581420898</v>
      </c>
      <c r="K108" s="4" t="s">
        <v>29</v>
      </c>
      <c r="L108" s="4" t="s">
        <v>166</v>
      </c>
      <c r="M108" s="4">
        <v>23</v>
      </c>
    </row>
    <row r="109" spans="1:13" ht="90" customHeight="1" x14ac:dyDescent="0.3">
      <c r="A109" s="8"/>
      <c r="B109" s="9"/>
      <c r="C109" s="9"/>
      <c r="D109" s="9"/>
      <c r="E109" s="9"/>
      <c r="F109" s="9"/>
      <c r="G109" s="9"/>
      <c r="H109" s="9"/>
      <c r="I109" s="4" t="s">
        <v>181</v>
      </c>
      <c r="J109" s="4">
        <v>0.99999642372131348</v>
      </c>
      <c r="K109" s="4" t="s">
        <v>29</v>
      </c>
      <c r="L109" s="4" t="s">
        <v>166</v>
      </c>
      <c r="M109" s="4">
        <v>18</v>
      </c>
    </row>
    <row r="110" spans="1:13" ht="90" customHeight="1" x14ac:dyDescent="0.3">
      <c r="A110" s="8"/>
      <c r="B110" s="9"/>
      <c r="C110" s="9"/>
      <c r="D110" s="9"/>
      <c r="E110" s="9"/>
      <c r="F110" s="9"/>
      <c r="G110" s="9"/>
      <c r="H110" s="9"/>
      <c r="I110" s="5" t="s">
        <v>170</v>
      </c>
      <c r="J110" s="5">
        <v>0.99999630451202393</v>
      </c>
      <c r="K110" s="5" t="s">
        <v>29</v>
      </c>
      <c r="L110" s="5" t="s">
        <v>166</v>
      </c>
      <c r="M110" s="5">
        <v>30</v>
      </c>
    </row>
    <row r="111" spans="1:13" ht="90" customHeight="1" x14ac:dyDescent="0.3">
      <c r="A111" s="8"/>
      <c r="B111" s="9"/>
      <c r="C111" s="9"/>
      <c r="D111" s="9"/>
      <c r="E111" s="9"/>
      <c r="F111" s="9"/>
      <c r="G111" s="9"/>
      <c r="H111" s="9"/>
      <c r="I111" s="1" t="s">
        <v>182</v>
      </c>
      <c r="J111" s="1">
        <v>0.98296964168548584</v>
      </c>
      <c r="K111" s="1" t="s">
        <v>29</v>
      </c>
      <c r="L111" s="1" t="s">
        <v>166</v>
      </c>
      <c r="M111" s="1">
        <v>34</v>
      </c>
    </row>
    <row r="112" spans="1:13" ht="90" customHeight="1" x14ac:dyDescent="0.3">
      <c r="A112" s="8">
        <v>37</v>
      </c>
      <c r="B112" s="8" t="s">
        <v>183</v>
      </c>
      <c r="C112" s="8" t="s">
        <v>166</v>
      </c>
      <c r="D112" s="8" t="s">
        <v>184</v>
      </c>
      <c r="E112" s="10" t="s">
        <v>24</v>
      </c>
      <c r="F112" s="10" t="s">
        <v>25</v>
      </c>
      <c r="G112" s="8" t="s">
        <v>185</v>
      </c>
      <c r="H112" s="8" t="s">
        <v>186</v>
      </c>
      <c r="I112" s="1" t="s">
        <v>187</v>
      </c>
      <c r="J112" s="1">
        <v>0.99781739711761475</v>
      </c>
      <c r="K112" s="1" t="s">
        <v>29</v>
      </c>
      <c r="L112" s="1" t="s">
        <v>166</v>
      </c>
      <c r="M112" s="1">
        <v>38</v>
      </c>
    </row>
    <row r="113" spans="1:13" ht="90" customHeight="1" x14ac:dyDescent="0.3">
      <c r="A113" s="8"/>
      <c r="B113" s="9"/>
      <c r="C113" s="9"/>
      <c r="D113" s="9"/>
      <c r="E113" s="9"/>
      <c r="F113" s="9"/>
      <c r="G113" s="9"/>
      <c r="H113" s="9"/>
      <c r="I113" s="4" t="s">
        <v>174</v>
      </c>
      <c r="J113" s="4">
        <v>0.99718248844146729</v>
      </c>
      <c r="K113" s="4" t="s">
        <v>29</v>
      </c>
      <c r="L113" s="4" t="s">
        <v>166</v>
      </c>
      <c r="M113" s="4">
        <v>72</v>
      </c>
    </row>
    <row r="114" spans="1:13" ht="90" customHeight="1" x14ac:dyDescent="0.3">
      <c r="A114" s="8"/>
      <c r="B114" s="9"/>
      <c r="C114" s="9"/>
      <c r="D114" s="9"/>
      <c r="E114" s="9"/>
      <c r="F114" s="9"/>
      <c r="G114" s="9"/>
      <c r="H114" s="9"/>
      <c r="I114" s="2" t="s">
        <v>188</v>
      </c>
      <c r="J114" s="2">
        <v>0.96491099464275787</v>
      </c>
      <c r="K114" s="2" t="s">
        <v>29</v>
      </c>
      <c r="L114" s="2" t="s">
        <v>140</v>
      </c>
      <c r="M114" s="2">
        <v>141</v>
      </c>
    </row>
    <row r="115" spans="1:13" ht="90" customHeight="1" x14ac:dyDescent="0.3">
      <c r="A115" s="8"/>
      <c r="B115" s="9"/>
      <c r="C115" s="9"/>
      <c r="D115" s="9"/>
      <c r="E115" s="9"/>
      <c r="F115" s="9"/>
      <c r="G115" s="9"/>
      <c r="H115" s="9"/>
      <c r="I115" s="1" t="s">
        <v>189</v>
      </c>
      <c r="J115" s="1">
        <v>0.92955321073532104</v>
      </c>
      <c r="K115" s="1" t="s">
        <v>29</v>
      </c>
      <c r="L115" s="1" t="s">
        <v>166</v>
      </c>
      <c r="M115" s="1">
        <v>75</v>
      </c>
    </row>
    <row r="116" spans="1:13" ht="90" customHeight="1" x14ac:dyDescent="0.3">
      <c r="A116" s="8"/>
      <c r="B116" s="9"/>
      <c r="C116" s="9"/>
      <c r="D116" s="9"/>
      <c r="E116" s="9"/>
      <c r="F116" s="9"/>
      <c r="G116" s="9"/>
      <c r="H116" s="9"/>
      <c r="I116" s="1" t="s">
        <v>190</v>
      </c>
      <c r="J116" s="1">
        <v>0.89879870414733887</v>
      </c>
      <c r="K116" s="1" t="s">
        <v>29</v>
      </c>
      <c r="L116" s="1" t="s">
        <v>166</v>
      </c>
      <c r="M116" s="1">
        <v>3</v>
      </c>
    </row>
    <row r="117" spans="1:13" ht="90" customHeight="1" x14ac:dyDescent="0.3">
      <c r="A117" s="8">
        <v>38</v>
      </c>
      <c r="B117" s="8" t="s">
        <v>191</v>
      </c>
      <c r="C117" s="8" t="s">
        <v>192</v>
      </c>
      <c r="D117" s="8" t="s">
        <v>84</v>
      </c>
      <c r="E117" s="10" t="s">
        <v>24</v>
      </c>
      <c r="F117" s="10" t="s">
        <v>18</v>
      </c>
      <c r="G117" s="8" t="s">
        <v>193</v>
      </c>
      <c r="H117" s="8" t="s">
        <v>194</v>
      </c>
      <c r="I117" s="2" t="s">
        <v>195</v>
      </c>
      <c r="J117" s="2">
        <v>0.99967396259307861</v>
      </c>
      <c r="K117" s="2" t="s">
        <v>29</v>
      </c>
      <c r="L117" s="2" t="s">
        <v>192</v>
      </c>
      <c r="M117" s="2">
        <v>82</v>
      </c>
    </row>
    <row r="118" spans="1:13" ht="90" customHeight="1" x14ac:dyDescent="0.3">
      <c r="A118" s="8"/>
      <c r="B118" s="9"/>
      <c r="C118" s="9"/>
      <c r="D118" s="9"/>
      <c r="E118" s="9"/>
      <c r="F118" s="9"/>
      <c r="G118" s="9"/>
      <c r="H118" s="9"/>
      <c r="I118" s="2" t="s">
        <v>196</v>
      </c>
      <c r="J118" s="2">
        <v>0.99914443492889404</v>
      </c>
      <c r="K118" s="2" t="s">
        <v>29</v>
      </c>
      <c r="L118" s="2" t="s">
        <v>192</v>
      </c>
      <c r="M118" s="2">
        <v>220</v>
      </c>
    </row>
    <row r="119" spans="1:13" ht="90" customHeight="1" x14ac:dyDescent="0.3">
      <c r="A119" s="8"/>
      <c r="B119" s="9"/>
      <c r="C119" s="9"/>
      <c r="D119" s="9"/>
      <c r="E119" s="9"/>
      <c r="F119" s="9"/>
      <c r="G119" s="9"/>
      <c r="H119" s="9"/>
      <c r="I119" s="2" t="s">
        <v>197</v>
      </c>
      <c r="J119" s="2">
        <v>0.99865567684173584</v>
      </c>
      <c r="K119" s="2" t="s">
        <v>29</v>
      </c>
      <c r="L119" s="2" t="s">
        <v>192</v>
      </c>
      <c r="M119" s="2">
        <v>13</v>
      </c>
    </row>
    <row r="120" spans="1:13" ht="90" customHeight="1" x14ac:dyDescent="0.3">
      <c r="A120" s="8"/>
      <c r="B120" s="9"/>
      <c r="C120" s="9"/>
      <c r="D120" s="9"/>
      <c r="E120" s="9"/>
      <c r="F120" s="9"/>
      <c r="G120" s="9"/>
      <c r="H120" s="9"/>
      <c r="I120" s="5" t="s">
        <v>198</v>
      </c>
      <c r="J120" s="5">
        <v>0.99833446741104126</v>
      </c>
      <c r="K120" s="5" t="s">
        <v>29</v>
      </c>
      <c r="L120" s="5" t="s">
        <v>192</v>
      </c>
      <c r="M120" s="5">
        <v>11</v>
      </c>
    </row>
    <row r="121" spans="1:13" ht="90" customHeight="1" x14ac:dyDescent="0.3">
      <c r="A121" s="8"/>
      <c r="B121" s="9"/>
      <c r="C121" s="9"/>
      <c r="D121" s="9"/>
      <c r="E121" s="9"/>
      <c r="F121" s="9"/>
      <c r="G121" s="9"/>
      <c r="H121" s="9"/>
      <c r="I121" s="1" t="s">
        <v>199</v>
      </c>
      <c r="J121" s="1">
        <v>0.99784624576568604</v>
      </c>
      <c r="K121" s="1" t="s">
        <v>29</v>
      </c>
      <c r="L121" s="1" t="s">
        <v>192</v>
      </c>
      <c r="M121" s="1">
        <v>14</v>
      </c>
    </row>
    <row r="122" spans="1:13" ht="90" customHeight="1" x14ac:dyDescent="0.3">
      <c r="A122" s="8">
        <v>39</v>
      </c>
      <c r="B122" s="8" t="s">
        <v>200</v>
      </c>
      <c r="C122" s="8" t="s">
        <v>192</v>
      </c>
      <c r="D122" s="8" t="s">
        <v>84</v>
      </c>
      <c r="E122" s="10" t="s">
        <v>24</v>
      </c>
      <c r="F122" s="10" t="s">
        <v>18</v>
      </c>
      <c r="G122" s="8" t="s">
        <v>201</v>
      </c>
      <c r="H122" s="8" t="s">
        <v>202</v>
      </c>
      <c r="I122" s="2" t="s">
        <v>203</v>
      </c>
      <c r="J122" s="2">
        <v>0.99947506189346313</v>
      </c>
      <c r="K122" s="2" t="s">
        <v>29</v>
      </c>
      <c r="L122" s="2" t="s">
        <v>192</v>
      </c>
      <c r="M122" s="2">
        <v>239</v>
      </c>
    </row>
    <row r="123" spans="1:13" ht="90" customHeight="1" x14ac:dyDescent="0.3">
      <c r="A123" s="8"/>
      <c r="B123" s="9"/>
      <c r="C123" s="9"/>
      <c r="D123" s="9"/>
      <c r="E123" s="9"/>
      <c r="F123" s="9"/>
      <c r="G123" s="9"/>
      <c r="H123" s="9"/>
      <c r="I123" s="2" t="s">
        <v>204</v>
      </c>
      <c r="J123" s="2">
        <v>0.99388325214385986</v>
      </c>
      <c r="K123" s="2" t="s">
        <v>29</v>
      </c>
      <c r="L123" s="2" t="s">
        <v>205</v>
      </c>
      <c r="M123" s="2">
        <v>20</v>
      </c>
    </row>
    <row r="124" spans="1:13" ht="90" customHeight="1" x14ac:dyDescent="0.3">
      <c r="A124" s="8"/>
      <c r="B124" s="9"/>
      <c r="C124" s="9"/>
      <c r="D124" s="9"/>
      <c r="E124" s="9"/>
      <c r="F124" s="9"/>
      <c r="G124" s="9"/>
      <c r="H124" s="9"/>
      <c r="I124" s="2" t="s">
        <v>206</v>
      </c>
      <c r="J124" s="2">
        <v>0.99309855699539118</v>
      </c>
      <c r="K124" s="2" t="s">
        <v>29</v>
      </c>
      <c r="L124" s="2" t="s">
        <v>192</v>
      </c>
      <c r="M124" s="2">
        <v>23</v>
      </c>
    </row>
    <row r="125" spans="1:13" ht="90" customHeight="1" x14ac:dyDescent="0.3">
      <c r="A125" s="8"/>
      <c r="B125" s="9"/>
      <c r="C125" s="9"/>
      <c r="D125" s="9"/>
      <c r="E125" s="9"/>
      <c r="F125" s="9"/>
      <c r="G125" s="9"/>
      <c r="H125" s="9"/>
      <c r="I125" s="5" t="s">
        <v>207</v>
      </c>
      <c r="J125" s="5">
        <v>0.992950439453125</v>
      </c>
      <c r="K125" s="5" t="s">
        <v>29</v>
      </c>
      <c r="L125" s="5" t="s">
        <v>192</v>
      </c>
      <c r="M125" s="5">
        <v>11</v>
      </c>
    </row>
    <row r="126" spans="1:13" ht="90" customHeight="1" x14ac:dyDescent="0.3">
      <c r="A126" s="8"/>
      <c r="B126" s="9"/>
      <c r="C126" s="9"/>
      <c r="D126" s="9"/>
      <c r="E126" s="9"/>
      <c r="F126" s="9"/>
      <c r="G126" s="9"/>
      <c r="H126" s="9"/>
      <c r="I126" s="1" t="s">
        <v>208</v>
      </c>
      <c r="J126" s="1">
        <v>0.99086904525756836</v>
      </c>
      <c r="K126" s="1" t="s">
        <v>29</v>
      </c>
      <c r="L126" s="1" t="s">
        <v>209</v>
      </c>
      <c r="M126" s="1">
        <v>58</v>
      </c>
    </row>
    <row r="127" spans="1:13" ht="90" customHeight="1" x14ac:dyDescent="0.3">
      <c r="A127" s="8">
        <v>40</v>
      </c>
      <c r="B127" s="8" t="s">
        <v>210</v>
      </c>
      <c r="C127" s="8" t="s">
        <v>192</v>
      </c>
      <c r="D127" s="8" t="s">
        <v>141</v>
      </c>
      <c r="E127" s="10" t="s">
        <v>24</v>
      </c>
      <c r="F127" s="10" t="s">
        <v>25</v>
      </c>
      <c r="G127" s="8" t="s">
        <v>211</v>
      </c>
      <c r="H127" s="8" t="s">
        <v>212</v>
      </c>
      <c r="I127" s="4" t="s">
        <v>213</v>
      </c>
      <c r="J127" s="4">
        <v>0.99997532367706299</v>
      </c>
      <c r="K127" s="4" t="s">
        <v>29</v>
      </c>
      <c r="L127" s="4" t="s">
        <v>192</v>
      </c>
      <c r="M127" s="4">
        <v>24</v>
      </c>
    </row>
    <row r="128" spans="1:13" ht="90" customHeight="1" x14ac:dyDescent="0.3">
      <c r="A128" s="8"/>
      <c r="B128" s="9"/>
      <c r="C128" s="9"/>
      <c r="D128" s="9"/>
      <c r="E128" s="9"/>
      <c r="F128" s="9"/>
      <c r="G128" s="9"/>
      <c r="H128" s="9"/>
      <c r="I128" s="2" t="s">
        <v>214</v>
      </c>
      <c r="J128" s="2">
        <v>0.99971967935562134</v>
      </c>
      <c r="K128" s="2" t="s">
        <v>29</v>
      </c>
      <c r="L128" s="2" t="s">
        <v>192</v>
      </c>
      <c r="M128" s="2">
        <v>16</v>
      </c>
    </row>
    <row r="129" spans="1:13" ht="90" customHeight="1" x14ac:dyDescent="0.3">
      <c r="A129" s="8"/>
      <c r="B129" s="9"/>
      <c r="C129" s="9"/>
      <c r="D129" s="9"/>
      <c r="E129" s="9"/>
      <c r="F129" s="9"/>
      <c r="G129" s="9"/>
      <c r="H129" s="9"/>
      <c r="I129" s="2" t="s">
        <v>215</v>
      </c>
      <c r="J129" s="2">
        <v>0.99785786867141724</v>
      </c>
      <c r="K129" s="2" t="s">
        <v>29</v>
      </c>
      <c r="L129" s="2" t="s">
        <v>192</v>
      </c>
      <c r="M129" s="2">
        <v>151</v>
      </c>
    </row>
    <row r="130" spans="1:13" ht="90" customHeight="1" x14ac:dyDescent="0.3">
      <c r="A130" s="8"/>
      <c r="B130" s="9"/>
      <c r="C130" s="9"/>
      <c r="D130" s="9"/>
      <c r="E130" s="9"/>
      <c r="F130" s="9"/>
      <c r="G130" s="9"/>
      <c r="H130" s="9"/>
      <c r="I130" s="1" t="s">
        <v>204</v>
      </c>
      <c r="J130" s="1">
        <v>0.99482512474060059</v>
      </c>
      <c r="K130" s="1" t="s">
        <v>29</v>
      </c>
      <c r="L130" s="1" t="s">
        <v>205</v>
      </c>
      <c r="M130" s="1">
        <v>20</v>
      </c>
    </row>
    <row r="131" spans="1:13" ht="90" customHeight="1" x14ac:dyDescent="0.3">
      <c r="A131" s="8"/>
      <c r="B131" s="9"/>
      <c r="C131" s="9"/>
      <c r="D131" s="9"/>
      <c r="E131" s="9"/>
      <c r="F131" s="9"/>
      <c r="G131" s="9"/>
      <c r="H131" s="9"/>
      <c r="I131" s="1" t="s">
        <v>216</v>
      </c>
      <c r="J131" s="1">
        <v>0.9822850227355957</v>
      </c>
      <c r="K131" s="1" t="s">
        <v>29</v>
      </c>
      <c r="L131" s="1" t="s">
        <v>192</v>
      </c>
      <c r="M131" s="1">
        <v>32</v>
      </c>
    </row>
    <row r="132" spans="1:13" ht="90" customHeight="1" x14ac:dyDescent="0.3">
      <c r="A132" s="8">
        <v>41</v>
      </c>
      <c r="B132" s="8" t="s">
        <v>217</v>
      </c>
      <c r="C132" s="8" t="s">
        <v>192</v>
      </c>
      <c r="D132" s="8" t="s">
        <v>218</v>
      </c>
      <c r="E132" s="10" t="s">
        <v>24</v>
      </c>
      <c r="F132" s="10" t="s">
        <v>25</v>
      </c>
      <c r="G132" s="8" t="s">
        <v>219</v>
      </c>
      <c r="H132" s="8" t="s">
        <v>220</v>
      </c>
      <c r="I132" s="4" t="s">
        <v>221</v>
      </c>
      <c r="J132" s="4">
        <v>0.99999773502349854</v>
      </c>
      <c r="K132" s="4" t="s">
        <v>29</v>
      </c>
      <c r="L132" s="4" t="s">
        <v>192</v>
      </c>
      <c r="M132" s="4">
        <v>42</v>
      </c>
    </row>
    <row r="133" spans="1:13" ht="90" customHeight="1" x14ac:dyDescent="0.3">
      <c r="A133" s="8"/>
      <c r="B133" s="9"/>
      <c r="C133" s="9"/>
      <c r="D133" s="9"/>
      <c r="E133" s="9"/>
      <c r="F133" s="9"/>
      <c r="G133" s="9"/>
      <c r="H133" s="9"/>
      <c r="I133" s="4" t="s">
        <v>222</v>
      </c>
      <c r="J133" s="4">
        <v>0.99999701976776123</v>
      </c>
      <c r="K133" s="4" t="s">
        <v>29</v>
      </c>
      <c r="L133" s="4" t="s">
        <v>192</v>
      </c>
      <c r="M133" s="4">
        <v>43</v>
      </c>
    </row>
    <row r="134" spans="1:13" ht="90" customHeight="1" x14ac:dyDescent="0.3">
      <c r="A134" s="8"/>
      <c r="B134" s="9"/>
      <c r="C134" s="9"/>
      <c r="D134" s="9"/>
      <c r="E134" s="9"/>
      <c r="F134" s="9"/>
      <c r="G134" s="9"/>
      <c r="H134" s="9"/>
      <c r="I134" s="2" t="s">
        <v>206</v>
      </c>
      <c r="J134" s="2">
        <v>0.99956375360488825</v>
      </c>
      <c r="K134" s="2" t="s">
        <v>29</v>
      </c>
      <c r="L134" s="2" t="s">
        <v>192</v>
      </c>
      <c r="M134" s="2">
        <v>23</v>
      </c>
    </row>
    <row r="135" spans="1:13" ht="90" customHeight="1" x14ac:dyDescent="0.3">
      <c r="A135" s="8"/>
      <c r="B135" s="9"/>
      <c r="C135" s="9"/>
      <c r="D135" s="9"/>
      <c r="E135" s="9"/>
      <c r="F135" s="9"/>
      <c r="G135" s="9"/>
      <c r="H135" s="9"/>
      <c r="I135" s="1" t="s">
        <v>223</v>
      </c>
      <c r="J135" s="1">
        <v>0.99334704875946045</v>
      </c>
      <c r="K135" s="1" t="s">
        <v>29</v>
      </c>
      <c r="L135" s="1" t="s">
        <v>192</v>
      </c>
      <c r="M135" s="1">
        <v>49</v>
      </c>
    </row>
    <row r="136" spans="1:13" ht="90" customHeight="1" x14ac:dyDescent="0.3">
      <c r="A136" s="8"/>
      <c r="B136" s="9"/>
      <c r="C136" s="9"/>
      <c r="D136" s="9"/>
      <c r="E136" s="9"/>
      <c r="F136" s="9"/>
      <c r="G136" s="9"/>
      <c r="H136" s="9"/>
      <c r="I136" s="1" t="s">
        <v>224</v>
      </c>
      <c r="J136" s="1">
        <v>0.99039256572723389</v>
      </c>
      <c r="K136" s="1" t="s">
        <v>29</v>
      </c>
      <c r="L136" s="1" t="s">
        <v>192</v>
      </c>
      <c r="M136" s="1">
        <v>53</v>
      </c>
    </row>
    <row r="137" spans="1:13" ht="90" customHeight="1" x14ac:dyDescent="0.3">
      <c r="A137" s="8">
        <v>42</v>
      </c>
      <c r="B137" s="8" t="s">
        <v>225</v>
      </c>
      <c r="C137" s="8" t="s">
        <v>226</v>
      </c>
      <c r="D137" s="8" t="s">
        <v>227</v>
      </c>
      <c r="E137" s="10" t="s">
        <v>24</v>
      </c>
      <c r="F137" s="10" t="s">
        <v>25</v>
      </c>
      <c r="G137" s="8" t="s">
        <v>228</v>
      </c>
      <c r="H137" s="8" t="s">
        <v>229</v>
      </c>
      <c r="I137" s="4" t="s">
        <v>230</v>
      </c>
      <c r="J137" s="4">
        <v>0.99998545631358771</v>
      </c>
      <c r="K137" s="4" t="s">
        <v>29</v>
      </c>
      <c r="L137" s="4" t="s">
        <v>226</v>
      </c>
      <c r="M137" s="4">
        <v>50</v>
      </c>
    </row>
    <row r="138" spans="1:13" ht="90" customHeight="1" x14ac:dyDescent="0.3">
      <c r="A138" s="8"/>
      <c r="B138" s="9"/>
      <c r="C138" s="9"/>
      <c r="D138" s="9"/>
      <c r="E138" s="9"/>
      <c r="F138" s="9"/>
      <c r="G138" s="9"/>
      <c r="H138" s="9"/>
      <c r="I138" s="4" t="s">
        <v>231</v>
      </c>
      <c r="J138" s="4">
        <v>0.99997866153716353</v>
      </c>
      <c r="K138" s="4" t="s">
        <v>29</v>
      </c>
      <c r="L138" s="4" t="s">
        <v>226</v>
      </c>
      <c r="M138" s="4">
        <v>51</v>
      </c>
    </row>
    <row r="139" spans="1:13" ht="90" customHeight="1" x14ac:dyDescent="0.3">
      <c r="A139" s="8"/>
      <c r="B139" s="9"/>
      <c r="C139" s="9"/>
      <c r="D139" s="9"/>
      <c r="E139" s="9"/>
      <c r="F139" s="9"/>
      <c r="G139" s="9"/>
      <c r="H139" s="9"/>
      <c r="I139" s="2" t="s">
        <v>232</v>
      </c>
      <c r="J139" s="2">
        <v>0.99006301164627075</v>
      </c>
      <c r="K139" s="2" t="s">
        <v>29</v>
      </c>
      <c r="L139" s="2" t="s">
        <v>226</v>
      </c>
      <c r="M139" s="2">
        <v>34</v>
      </c>
    </row>
    <row r="140" spans="1:13" ht="90" customHeight="1" x14ac:dyDescent="0.3">
      <c r="A140" s="8"/>
      <c r="B140" s="9"/>
      <c r="C140" s="9"/>
      <c r="D140" s="9"/>
      <c r="E140" s="9"/>
      <c r="F140" s="9"/>
      <c r="G140" s="9"/>
      <c r="H140" s="9"/>
      <c r="I140" s="1" t="s">
        <v>233</v>
      </c>
      <c r="J140" s="1">
        <v>0.90770405530929565</v>
      </c>
      <c r="K140" s="1" t="s">
        <v>29</v>
      </c>
      <c r="L140" s="1" t="s">
        <v>140</v>
      </c>
      <c r="M140" s="1">
        <v>230</v>
      </c>
    </row>
    <row r="141" spans="1:13" ht="90" customHeight="1" x14ac:dyDescent="0.3">
      <c r="A141" s="8"/>
      <c r="B141" s="9"/>
      <c r="C141" s="9"/>
      <c r="D141" s="9"/>
      <c r="E141" s="9"/>
      <c r="F141" s="9"/>
      <c r="G141" s="9"/>
      <c r="H141" s="9"/>
      <c r="I141" s="1" t="s">
        <v>234</v>
      </c>
      <c r="J141" s="1">
        <v>0.79106688499450684</v>
      </c>
      <c r="K141" s="1" t="s">
        <v>29</v>
      </c>
      <c r="L141" s="1" t="s">
        <v>140</v>
      </c>
      <c r="M141" s="1">
        <v>4</v>
      </c>
    </row>
    <row r="142" spans="1:13" ht="90" customHeight="1" x14ac:dyDescent="0.3">
      <c r="A142" s="8">
        <v>43</v>
      </c>
      <c r="B142" s="8" t="s">
        <v>235</v>
      </c>
      <c r="C142" s="8" t="s">
        <v>77</v>
      </c>
      <c r="D142" s="8" t="s">
        <v>236</v>
      </c>
      <c r="E142" s="10" t="s">
        <v>24</v>
      </c>
      <c r="F142" s="10" t="s">
        <v>25</v>
      </c>
      <c r="G142" s="8" t="s">
        <v>237</v>
      </c>
      <c r="H142" s="8" t="s">
        <v>238</v>
      </c>
      <c r="I142" s="4" t="s">
        <v>239</v>
      </c>
      <c r="J142" s="4">
        <v>0.9995142574577025</v>
      </c>
      <c r="K142" s="4" t="s">
        <v>29</v>
      </c>
      <c r="L142" s="4" t="s">
        <v>77</v>
      </c>
      <c r="M142" s="4">
        <v>7</v>
      </c>
    </row>
    <row r="143" spans="1:13" ht="90" customHeight="1" x14ac:dyDescent="0.3">
      <c r="A143" s="8"/>
      <c r="B143" s="9"/>
      <c r="C143" s="9"/>
      <c r="D143" s="9"/>
      <c r="E143" s="9"/>
      <c r="F143" s="9"/>
      <c r="G143" s="9"/>
      <c r="H143" s="9"/>
      <c r="I143" s="1"/>
      <c r="J143" s="1"/>
      <c r="K143" s="1"/>
      <c r="L143" s="1"/>
      <c r="M143" s="1"/>
    </row>
    <row r="144" spans="1:13" ht="90" customHeight="1" x14ac:dyDescent="0.3">
      <c r="A144" s="8"/>
      <c r="B144" s="9"/>
      <c r="C144" s="9"/>
      <c r="D144" s="9"/>
      <c r="E144" s="9"/>
      <c r="F144" s="9"/>
      <c r="G144" s="9"/>
      <c r="H144" s="9"/>
      <c r="I144" s="1"/>
      <c r="J144" s="1"/>
      <c r="K144" s="1"/>
      <c r="L144" s="1"/>
      <c r="M144" s="1"/>
    </row>
    <row r="145" spans="1:13" ht="90" customHeight="1" x14ac:dyDescent="0.3">
      <c r="A145" s="8"/>
      <c r="B145" s="9"/>
      <c r="C145" s="9"/>
      <c r="D145" s="9"/>
      <c r="E145" s="9"/>
      <c r="F145" s="9"/>
      <c r="G145" s="9"/>
      <c r="H145" s="9"/>
      <c r="I145" s="1"/>
      <c r="J145" s="1"/>
      <c r="K145" s="1"/>
      <c r="L145" s="1"/>
      <c r="M145" s="1"/>
    </row>
    <row r="146" spans="1:13" ht="90" customHeight="1" x14ac:dyDescent="0.3">
      <c r="A146" s="8"/>
      <c r="B146" s="9"/>
      <c r="C146" s="9"/>
      <c r="D146" s="9"/>
      <c r="E146" s="9"/>
      <c r="F146" s="9"/>
      <c r="G146" s="9"/>
      <c r="H146" s="9"/>
      <c r="I146" s="1"/>
      <c r="J146" s="1"/>
      <c r="K146" s="1"/>
      <c r="L146" s="1"/>
      <c r="M146" s="1"/>
    </row>
    <row r="147" spans="1:13" ht="90" customHeight="1" x14ac:dyDescent="0.3">
      <c r="A147" s="8">
        <v>45</v>
      </c>
      <c r="B147" s="8" t="s">
        <v>240</v>
      </c>
      <c r="C147" s="8" t="s">
        <v>241</v>
      </c>
      <c r="D147" s="8" t="s">
        <v>242</v>
      </c>
      <c r="E147" s="10" t="s">
        <v>24</v>
      </c>
      <c r="F147" s="10" t="s">
        <v>25</v>
      </c>
      <c r="G147" s="8" t="s">
        <v>243</v>
      </c>
      <c r="H147" s="8" t="s">
        <v>244</v>
      </c>
      <c r="I147" s="4" t="s">
        <v>245</v>
      </c>
      <c r="J147" s="4">
        <v>0.99914515018463135</v>
      </c>
      <c r="K147" s="4" t="s">
        <v>29</v>
      </c>
      <c r="L147" s="4" t="s">
        <v>241</v>
      </c>
      <c r="M147" s="4">
        <v>87</v>
      </c>
    </row>
    <row r="148" spans="1:13" ht="90" customHeight="1" x14ac:dyDescent="0.3">
      <c r="A148" s="8"/>
      <c r="B148" s="9"/>
      <c r="C148" s="9"/>
      <c r="D148" s="9"/>
      <c r="E148" s="9"/>
      <c r="F148" s="9"/>
      <c r="G148" s="9"/>
      <c r="H148" s="9"/>
      <c r="I148" s="2" t="s">
        <v>246</v>
      </c>
      <c r="J148" s="2">
        <v>0.99909412860870361</v>
      </c>
      <c r="K148" s="2" t="s">
        <v>29</v>
      </c>
      <c r="L148" s="2" t="s">
        <v>247</v>
      </c>
      <c r="M148" s="2">
        <v>4</v>
      </c>
    </row>
    <row r="149" spans="1:13" ht="90" customHeight="1" x14ac:dyDescent="0.3">
      <c r="A149" s="8"/>
      <c r="B149" s="9"/>
      <c r="C149" s="9"/>
      <c r="D149" s="9"/>
      <c r="E149" s="9"/>
      <c r="F149" s="9"/>
      <c r="G149" s="9"/>
      <c r="H149" s="9"/>
      <c r="I149" s="4" t="s">
        <v>248</v>
      </c>
      <c r="J149" s="4">
        <v>0.99879646301269531</v>
      </c>
      <c r="K149" s="4" t="s">
        <v>29</v>
      </c>
      <c r="L149" s="4" t="s">
        <v>241</v>
      </c>
      <c r="M149" s="4">
        <v>86</v>
      </c>
    </row>
    <row r="150" spans="1:13" ht="90" customHeight="1" x14ac:dyDescent="0.3">
      <c r="A150" s="8"/>
      <c r="B150" s="9"/>
      <c r="C150" s="9"/>
      <c r="D150" s="9"/>
      <c r="E150" s="9"/>
      <c r="F150" s="9"/>
      <c r="G150" s="9"/>
      <c r="H150" s="9"/>
      <c r="I150" s="1" t="s">
        <v>249</v>
      </c>
      <c r="J150" s="1">
        <v>0.99642038345336914</v>
      </c>
      <c r="K150" s="1" t="s">
        <v>29</v>
      </c>
      <c r="L150" s="1" t="s">
        <v>247</v>
      </c>
      <c r="M150" s="1">
        <v>15</v>
      </c>
    </row>
    <row r="151" spans="1:13" ht="90" customHeight="1" x14ac:dyDescent="0.3">
      <c r="A151" s="8"/>
      <c r="B151" s="9"/>
      <c r="C151" s="9"/>
      <c r="D151" s="9"/>
      <c r="E151" s="9"/>
      <c r="F151" s="9"/>
      <c r="G151" s="9"/>
      <c r="H151" s="9"/>
      <c r="I151" s="5" t="s">
        <v>250</v>
      </c>
      <c r="J151" s="5">
        <v>0.99585825204849243</v>
      </c>
      <c r="K151" s="5" t="s">
        <v>29</v>
      </c>
      <c r="L151" s="5" t="s">
        <v>241</v>
      </c>
      <c r="M151" s="5">
        <v>85</v>
      </c>
    </row>
    <row r="152" spans="1:13" ht="90" customHeight="1" x14ac:dyDescent="0.3">
      <c r="A152" s="8">
        <v>49</v>
      </c>
      <c r="B152" s="8" t="s">
        <v>251</v>
      </c>
      <c r="C152" s="8" t="s">
        <v>33</v>
      </c>
      <c r="D152" s="11" t="s">
        <v>1200</v>
      </c>
      <c r="E152" s="10" t="s">
        <v>1201</v>
      </c>
      <c r="F152" s="10" t="s">
        <v>1202</v>
      </c>
      <c r="G152" s="8" t="s">
        <v>252</v>
      </c>
      <c r="H152" s="8" t="s">
        <v>253</v>
      </c>
      <c r="I152" s="4" t="s">
        <v>254</v>
      </c>
      <c r="J152" s="4">
        <v>0.9960750937461853</v>
      </c>
      <c r="K152" s="4" t="s">
        <v>29</v>
      </c>
      <c r="L152" s="4" t="s">
        <v>33</v>
      </c>
      <c r="M152" s="4">
        <v>14</v>
      </c>
    </row>
    <row r="153" spans="1:13" ht="90" customHeight="1" x14ac:dyDescent="0.3">
      <c r="A153" s="8"/>
      <c r="B153" s="9"/>
      <c r="C153" s="9"/>
      <c r="D153" s="9"/>
      <c r="E153" s="9"/>
      <c r="F153" s="9"/>
      <c r="G153" s="9"/>
      <c r="H153" s="9"/>
      <c r="I153" s="1"/>
      <c r="J153" s="1"/>
      <c r="K153" s="1"/>
      <c r="L153" s="1"/>
      <c r="M153" s="1"/>
    </row>
    <row r="154" spans="1:13" ht="90" customHeight="1" x14ac:dyDescent="0.3">
      <c r="A154" s="8"/>
      <c r="B154" s="9"/>
      <c r="C154" s="9"/>
      <c r="D154" s="9"/>
      <c r="E154" s="9"/>
      <c r="F154" s="9"/>
      <c r="G154" s="9"/>
      <c r="H154" s="9"/>
      <c r="I154" s="1"/>
      <c r="J154" s="1"/>
      <c r="K154" s="1"/>
      <c r="L154" s="1"/>
      <c r="M154" s="1"/>
    </row>
    <row r="155" spans="1:13" ht="90" customHeight="1" x14ac:dyDescent="0.3">
      <c r="A155" s="8"/>
      <c r="B155" s="9"/>
      <c r="C155" s="9"/>
      <c r="D155" s="9"/>
      <c r="E155" s="9"/>
      <c r="F155" s="9"/>
      <c r="G155" s="9"/>
      <c r="H155" s="9"/>
      <c r="I155" s="1"/>
      <c r="J155" s="1"/>
      <c r="K155" s="1"/>
      <c r="L155" s="1"/>
      <c r="M155" s="1"/>
    </row>
    <row r="156" spans="1:13" ht="90" customHeight="1" x14ac:dyDescent="0.3">
      <c r="A156" s="8"/>
      <c r="B156" s="9"/>
      <c r="C156" s="9"/>
      <c r="D156" s="9"/>
      <c r="E156" s="9"/>
      <c r="F156" s="9"/>
      <c r="G156" s="9"/>
      <c r="H156" s="9"/>
      <c r="I156" s="1"/>
      <c r="J156" s="1"/>
      <c r="K156" s="1"/>
      <c r="L156" s="1"/>
      <c r="M156" s="1"/>
    </row>
    <row r="157" spans="1:13" ht="90" customHeight="1" x14ac:dyDescent="0.3">
      <c r="A157" s="8">
        <v>50</v>
      </c>
      <c r="B157" s="8" t="s">
        <v>255</v>
      </c>
      <c r="C157" s="8" t="s">
        <v>45</v>
      </c>
      <c r="D157" s="8" t="s">
        <v>46</v>
      </c>
      <c r="E157" s="10" t="s">
        <v>24</v>
      </c>
      <c r="F157" s="10" t="s">
        <v>25</v>
      </c>
      <c r="G157" s="8" t="s">
        <v>256</v>
      </c>
      <c r="H157" s="8" t="s">
        <v>257</v>
      </c>
      <c r="I157" s="4" t="s">
        <v>49</v>
      </c>
      <c r="J157" s="4">
        <v>0.99941442975948602</v>
      </c>
      <c r="K157" s="4" t="s">
        <v>29</v>
      </c>
      <c r="L157" s="4" t="s">
        <v>45</v>
      </c>
      <c r="M157" s="4">
        <v>1</v>
      </c>
    </row>
    <row r="158" spans="1:13" ht="90" customHeight="1" x14ac:dyDescent="0.3">
      <c r="A158" s="8"/>
      <c r="B158" s="9"/>
      <c r="C158" s="9"/>
      <c r="D158" s="9"/>
      <c r="E158" s="9"/>
      <c r="F158" s="9"/>
      <c r="G158" s="9"/>
      <c r="H158" s="9"/>
      <c r="I158" s="4" t="s">
        <v>50</v>
      </c>
      <c r="J158" s="4">
        <v>0.99540159887049695</v>
      </c>
      <c r="K158" s="4" t="s">
        <v>29</v>
      </c>
      <c r="L158" s="4" t="s">
        <v>45</v>
      </c>
      <c r="M158" s="4">
        <v>3</v>
      </c>
    </row>
    <row r="159" spans="1:13" ht="90" customHeight="1" x14ac:dyDescent="0.3">
      <c r="A159" s="8"/>
      <c r="B159" s="9"/>
      <c r="C159" s="9"/>
      <c r="D159" s="9"/>
      <c r="E159" s="9"/>
      <c r="F159" s="9"/>
      <c r="G159" s="9"/>
      <c r="H159" s="9"/>
      <c r="I159" s="4" t="s">
        <v>51</v>
      </c>
      <c r="J159" s="4">
        <v>0.91602776082405002</v>
      </c>
      <c r="K159" s="4" t="s">
        <v>29</v>
      </c>
      <c r="L159" s="4" t="s">
        <v>45</v>
      </c>
      <c r="M159" s="4">
        <v>2</v>
      </c>
    </row>
    <row r="160" spans="1:13" ht="90" customHeight="1" x14ac:dyDescent="0.3">
      <c r="A160" s="8"/>
      <c r="B160" s="9"/>
      <c r="C160" s="9"/>
      <c r="D160" s="9"/>
      <c r="E160" s="9"/>
      <c r="F160" s="9"/>
      <c r="G160" s="9"/>
      <c r="H160" s="9"/>
      <c r="I160" s="1"/>
      <c r="J160" s="1"/>
      <c r="K160" s="1"/>
      <c r="L160" s="1"/>
      <c r="M160" s="1"/>
    </row>
    <row r="161" spans="1:13" ht="90" customHeight="1" x14ac:dyDescent="0.3">
      <c r="A161" s="8"/>
      <c r="B161" s="9"/>
      <c r="C161" s="9"/>
      <c r="D161" s="9"/>
      <c r="E161" s="9"/>
      <c r="F161" s="9"/>
      <c r="G161" s="9"/>
      <c r="H161" s="9"/>
      <c r="I161" s="1"/>
      <c r="J161" s="1"/>
      <c r="K161" s="1"/>
      <c r="L161" s="1"/>
      <c r="M161" s="1"/>
    </row>
    <row r="162" spans="1:13" ht="90" customHeight="1" x14ac:dyDescent="0.3">
      <c r="A162" s="8">
        <v>51</v>
      </c>
      <c r="B162" s="8" t="s">
        <v>258</v>
      </c>
      <c r="C162" s="8" t="s">
        <v>259</v>
      </c>
      <c r="D162" s="8" t="s">
        <v>260</v>
      </c>
      <c r="E162" s="10" t="s">
        <v>24</v>
      </c>
      <c r="F162" s="10" t="s">
        <v>25</v>
      </c>
      <c r="G162" s="8" t="s">
        <v>261</v>
      </c>
      <c r="H162" s="8" t="s">
        <v>262</v>
      </c>
      <c r="I162" s="4" t="s">
        <v>263</v>
      </c>
      <c r="J162" s="4">
        <v>0.99930226802825928</v>
      </c>
      <c r="K162" s="4" t="s">
        <v>29</v>
      </c>
      <c r="L162" s="4" t="s">
        <v>259</v>
      </c>
      <c r="M162" s="4">
        <v>25</v>
      </c>
    </row>
    <row r="163" spans="1:13" ht="90" customHeight="1" x14ac:dyDescent="0.3">
      <c r="A163" s="8"/>
      <c r="B163" s="9"/>
      <c r="C163" s="9"/>
      <c r="D163" s="9"/>
      <c r="E163" s="9"/>
      <c r="F163" s="9"/>
      <c r="G163" s="9"/>
      <c r="H163" s="9"/>
      <c r="I163" s="5" t="s">
        <v>264</v>
      </c>
      <c r="J163" s="5">
        <v>0.99900046196625414</v>
      </c>
      <c r="K163" s="5" t="s">
        <v>29</v>
      </c>
      <c r="L163" s="5" t="s">
        <v>259</v>
      </c>
      <c r="M163" s="5">
        <v>26</v>
      </c>
    </row>
    <row r="164" spans="1:13" ht="90" customHeight="1" x14ac:dyDescent="0.3">
      <c r="A164" s="8"/>
      <c r="B164" s="9"/>
      <c r="C164" s="9"/>
      <c r="D164" s="9"/>
      <c r="E164" s="9"/>
      <c r="F164" s="9"/>
      <c r="G164" s="9"/>
      <c r="H164" s="9"/>
      <c r="I164" s="1"/>
      <c r="J164" s="1"/>
      <c r="K164" s="1"/>
      <c r="L164" s="1"/>
      <c r="M164" s="1"/>
    </row>
    <row r="165" spans="1:13" ht="90" customHeight="1" x14ac:dyDescent="0.3">
      <c r="A165" s="8"/>
      <c r="B165" s="9"/>
      <c r="C165" s="9"/>
      <c r="D165" s="9"/>
      <c r="E165" s="9"/>
      <c r="F165" s="9"/>
      <c r="G165" s="9"/>
      <c r="H165" s="9"/>
      <c r="I165" s="1"/>
      <c r="J165" s="1"/>
      <c r="K165" s="1"/>
      <c r="L165" s="1"/>
      <c r="M165" s="1"/>
    </row>
    <row r="166" spans="1:13" ht="90" customHeight="1" x14ac:dyDescent="0.3">
      <c r="A166" s="8"/>
      <c r="B166" s="9"/>
      <c r="C166" s="9"/>
      <c r="D166" s="9"/>
      <c r="E166" s="9"/>
      <c r="F166" s="9"/>
      <c r="G166" s="9"/>
      <c r="H166" s="9"/>
      <c r="I166" s="1"/>
      <c r="J166" s="1"/>
      <c r="K166" s="1"/>
      <c r="L166" s="1"/>
      <c r="M166" s="1"/>
    </row>
    <row r="167" spans="1:13" ht="90" customHeight="1" x14ac:dyDescent="0.3">
      <c r="A167" s="8">
        <v>53</v>
      </c>
      <c r="B167" s="8" t="s">
        <v>265</v>
      </c>
      <c r="C167" s="8" t="s">
        <v>77</v>
      </c>
      <c r="D167" s="8" t="s">
        <v>114</v>
      </c>
      <c r="E167" s="10" t="s">
        <v>24</v>
      </c>
      <c r="F167" s="10" t="s">
        <v>25</v>
      </c>
      <c r="G167" s="8" t="s">
        <v>266</v>
      </c>
      <c r="H167" s="8" t="s">
        <v>267</v>
      </c>
      <c r="I167" s="4" t="s">
        <v>268</v>
      </c>
      <c r="J167" s="4">
        <v>0.93324095010757446</v>
      </c>
      <c r="K167" s="4" t="s">
        <v>29</v>
      </c>
      <c r="L167" s="4" t="s">
        <v>77</v>
      </c>
      <c r="M167" s="4">
        <v>2</v>
      </c>
    </row>
    <row r="168" spans="1:13" ht="90" customHeight="1" x14ac:dyDescent="0.3">
      <c r="A168" s="8"/>
      <c r="B168" s="9"/>
      <c r="C168" s="9"/>
      <c r="D168" s="9"/>
      <c r="E168" s="9"/>
      <c r="F168" s="9"/>
      <c r="G168" s="9"/>
      <c r="H168" s="9"/>
      <c r="I168" s="1"/>
      <c r="J168" s="1"/>
      <c r="K168" s="1"/>
      <c r="L168" s="1"/>
      <c r="M168" s="1"/>
    </row>
    <row r="169" spans="1:13" ht="90" customHeight="1" x14ac:dyDescent="0.3">
      <c r="A169" s="8"/>
      <c r="B169" s="9"/>
      <c r="C169" s="9"/>
      <c r="D169" s="9"/>
      <c r="E169" s="9"/>
      <c r="F169" s="9"/>
      <c r="G169" s="9"/>
      <c r="H169" s="9"/>
      <c r="I169" s="1"/>
      <c r="J169" s="1"/>
      <c r="K169" s="1"/>
      <c r="L169" s="1"/>
      <c r="M169" s="1"/>
    </row>
    <row r="170" spans="1:13" ht="90" customHeight="1" x14ac:dyDescent="0.3">
      <c r="A170" s="8"/>
      <c r="B170" s="9"/>
      <c r="C170" s="9"/>
      <c r="D170" s="9"/>
      <c r="E170" s="9"/>
      <c r="F170" s="9"/>
      <c r="G170" s="9"/>
      <c r="H170" s="9"/>
      <c r="I170" s="1"/>
      <c r="J170" s="1"/>
      <c r="K170" s="1"/>
      <c r="L170" s="1"/>
      <c r="M170" s="1"/>
    </row>
    <row r="171" spans="1:13" ht="90" customHeight="1" x14ac:dyDescent="0.3">
      <c r="A171" s="8"/>
      <c r="B171" s="9"/>
      <c r="C171" s="9"/>
      <c r="D171" s="9"/>
      <c r="E171" s="9"/>
      <c r="F171" s="9"/>
      <c r="G171" s="9"/>
      <c r="H171" s="9"/>
      <c r="I171" s="1"/>
      <c r="J171" s="1"/>
      <c r="K171" s="1"/>
      <c r="L171" s="1"/>
      <c r="M171" s="1"/>
    </row>
    <row r="172" spans="1:13" ht="90" customHeight="1" x14ac:dyDescent="0.3">
      <c r="A172" s="8">
        <v>54</v>
      </c>
      <c r="B172" s="8" t="s">
        <v>269</v>
      </c>
      <c r="C172" s="8" t="s">
        <v>119</v>
      </c>
      <c r="D172" s="8" t="s">
        <v>236</v>
      </c>
      <c r="E172" s="10" t="s">
        <v>24</v>
      </c>
      <c r="F172" s="10" t="s">
        <v>25</v>
      </c>
      <c r="G172" s="8" t="s">
        <v>270</v>
      </c>
      <c r="H172" s="8" t="s">
        <v>271</v>
      </c>
      <c r="I172" s="2" t="s">
        <v>272</v>
      </c>
      <c r="J172" s="2">
        <v>0.9999382495880127</v>
      </c>
      <c r="K172" s="2" t="s">
        <v>68</v>
      </c>
      <c r="L172" s="2" t="s">
        <v>273</v>
      </c>
      <c r="M172" s="2">
        <v>1</v>
      </c>
    </row>
    <row r="173" spans="1:13" ht="90" customHeight="1" x14ac:dyDescent="0.3">
      <c r="A173" s="8"/>
      <c r="B173" s="9"/>
      <c r="C173" s="9"/>
      <c r="D173" s="9"/>
      <c r="E173" s="9"/>
      <c r="F173" s="9"/>
      <c r="G173" s="9"/>
      <c r="H173" s="9"/>
      <c r="I173" s="4" t="s">
        <v>274</v>
      </c>
      <c r="J173" s="4">
        <v>0.99638497829437256</v>
      </c>
      <c r="K173" s="4" t="s">
        <v>29</v>
      </c>
      <c r="L173" s="4" t="s">
        <v>119</v>
      </c>
      <c r="M173" s="4">
        <v>7</v>
      </c>
    </row>
    <row r="174" spans="1:13" ht="90" customHeight="1" x14ac:dyDescent="0.3">
      <c r="A174" s="8"/>
      <c r="B174" s="9"/>
      <c r="C174" s="9"/>
      <c r="D174" s="9"/>
      <c r="E174" s="9"/>
      <c r="F174" s="9"/>
      <c r="G174" s="9"/>
      <c r="H174" s="9"/>
      <c r="I174" s="1" t="s">
        <v>275</v>
      </c>
      <c r="J174" s="1">
        <v>0.99224114418029785</v>
      </c>
      <c r="K174" s="1" t="s">
        <v>68</v>
      </c>
      <c r="L174" s="1" t="s">
        <v>273</v>
      </c>
      <c r="M174" s="1">
        <v>2</v>
      </c>
    </row>
    <row r="175" spans="1:13" ht="90" customHeight="1" x14ac:dyDescent="0.3">
      <c r="A175" s="8"/>
      <c r="B175" s="9"/>
      <c r="C175" s="9"/>
      <c r="D175" s="9"/>
      <c r="E175" s="9"/>
      <c r="F175" s="9"/>
      <c r="G175" s="9"/>
      <c r="H175" s="9"/>
      <c r="I175" s="1"/>
      <c r="J175" s="1"/>
      <c r="K175" s="1"/>
      <c r="L175" s="1"/>
      <c r="M175" s="1"/>
    </row>
    <row r="176" spans="1:13" ht="90" customHeight="1" x14ac:dyDescent="0.3">
      <c r="A176" s="8"/>
      <c r="B176" s="9"/>
      <c r="C176" s="9"/>
      <c r="D176" s="9"/>
      <c r="E176" s="9"/>
      <c r="F176" s="9"/>
      <c r="G176" s="9"/>
      <c r="H176" s="9"/>
      <c r="I176" s="1"/>
      <c r="J176" s="1"/>
      <c r="K176" s="1"/>
      <c r="L176" s="1"/>
      <c r="M176" s="1"/>
    </row>
    <row r="177" spans="1:13" ht="90" customHeight="1" x14ac:dyDescent="0.3">
      <c r="A177" s="8">
        <v>55</v>
      </c>
      <c r="B177" s="8" t="s">
        <v>276</v>
      </c>
      <c r="C177" s="8" t="s">
        <v>77</v>
      </c>
      <c r="D177" s="8" t="s">
        <v>54</v>
      </c>
      <c r="E177" s="10" t="s">
        <v>24</v>
      </c>
      <c r="F177" s="10" t="s">
        <v>25</v>
      </c>
      <c r="G177" s="8" t="s">
        <v>277</v>
      </c>
      <c r="H177" s="8" t="s">
        <v>278</v>
      </c>
      <c r="I177" s="4" t="s">
        <v>279</v>
      </c>
      <c r="J177" s="4">
        <v>0.99645655429648305</v>
      </c>
      <c r="K177" s="4" t="s">
        <v>29</v>
      </c>
      <c r="L177" s="4" t="s">
        <v>77</v>
      </c>
      <c r="M177" s="4">
        <v>5</v>
      </c>
    </row>
    <row r="178" spans="1:13" ht="90" customHeight="1" x14ac:dyDescent="0.3">
      <c r="A178" s="8"/>
      <c r="B178" s="9"/>
      <c r="C178" s="9"/>
      <c r="D178" s="9"/>
      <c r="E178" s="9"/>
      <c r="F178" s="9"/>
      <c r="G178" s="9"/>
      <c r="H178" s="9"/>
      <c r="I178" s="1"/>
      <c r="J178" s="1"/>
      <c r="K178" s="1"/>
      <c r="L178" s="1"/>
      <c r="M178" s="1"/>
    </row>
    <row r="179" spans="1:13" ht="90" customHeight="1" x14ac:dyDescent="0.3">
      <c r="A179" s="8"/>
      <c r="B179" s="9"/>
      <c r="C179" s="9"/>
      <c r="D179" s="9"/>
      <c r="E179" s="9"/>
      <c r="F179" s="9"/>
      <c r="G179" s="9"/>
      <c r="H179" s="9"/>
      <c r="I179" s="1"/>
      <c r="J179" s="1"/>
      <c r="K179" s="1"/>
      <c r="L179" s="1"/>
      <c r="M179" s="1"/>
    </row>
    <row r="180" spans="1:13" ht="90" customHeight="1" x14ac:dyDescent="0.3">
      <c r="A180" s="8"/>
      <c r="B180" s="9"/>
      <c r="C180" s="9"/>
      <c r="D180" s="9"/>
      <c r="E180" s="9"/>
      <c r="F180" s="9"/>
      <c r="G180" s="9"/>
      <c r="H180" s="9"/>
      <c r="I180" s="1"/>
      <c r="J180" s="1"/>
      <c r="K180" s="1"/>
      <c r="L180" s="1"/>
      <c r="M180" s="1"/>
    </row>
    <row r="181" spans="1:13" ht="90" customHeight="1" x14ac:dyDescent="0.3">
      <c r="A181" s="8"/>
      <c r="B181" s="9"/>
      <c r="C181" s="9"/>
      <c r="D181" s="9"/>
      <c r="E181" s="9"/>
      <c r="F181" s="9"/>
      <c r="G181" s="9"/>
      <c r="H181" s="9"/>
      <c r="I181" s="1"/>
      <c r="J181" s="1"/>
      <c r="K181" s="1"/>
      <c r="L181" s="1"/>
      <c r="M181" s="1"/>
    </row>
    <row r="182" spans="1:13" ht="90" customHeight="1" x14ac:dyDescent="0.3">
      <c r="A182" s="8">
        <v>56</v>
      </c>
      <c r="B182" s="8" t="s">
        <v>280</v>
      </c>
      <c r="C182" s="8" t="s">
        <v>124</v>
      </c>
      <c r="D182" s="8" t="s">
        <v>16</v>
      </c>
      <c r="E182" s="10" t="s">
        <v>24</v>
      </c>
      <c r="F182" s="10" t="s">
        <v>25</v>
      </c>
      <c r="G182" s="8" t="s">
        <v>281</v>
      </c>
      <c r="H182" s="8" t="s">
        <v>282</v>
      </c>
      <c r="I182" s="4" t="s">
        <v>123</v>
      </c>
      <c r="J182" s="4">
        <v>0.90751200914382935</v>
      </c>
      <c r="K182" s="4" t="s">
        <v>29</v>
      </c>
      <c r="L182" s="4" t="s">
        <v>124</v>
      </c>
      <c r="M182" s="4">
        <v>1</v>
      </c>
    </row>
    <row r="183" spans="1:13" ht="90" customHeight="1" x14ac:dyDescent="0.3">
      <c r="A183" s="8"/>
      <c r="B183" s="9"/>
      <c r="C183" s="9"/>
      <c r="D183" s="9"/>
      <c r="E183" s="9"/>
      <c r="F183" s="9"/>
      <c r="G183" s="9"/>
      <c r="H183" s="9"/>
      <c r="I183" s="2" t="s">
        <v>283</v>
      </c>
      <c r="J183" s="2">
        <v>0.77635073661802412</v>
      </c>
      <c r="K183" s="2" t="s">
        <v>29</v>
      </c>
      <c r="L183" s="2" t="s">
        <v>124</v>
      </c>
      <c r="M183" s="2">
        <v>2</v>
      </c>
    </row>
    <row r="184" spans="1:13" ht="90" customHeight="1" x14ac:dyDescent="0.3">
      <c r="A184" s="8"/>
      <c r="B184" s="9"/>
      <c r="C184" s="9"/>
      <c r="D184" s="9"/>
      <c r="E184" s="9"/>
      <c r="F184" s="9"/>
      <c r="G184" s="9"/>
      <c r="H184" s="9"/>
      <c r="I184" s="1"/>
      <c r="J184" s="1"/>
      <c r="K184" s="1"/>
      <c r="L184" s="1"/>
      <c r="M184" s="1"/>
    </row>
    <row r="185" spans="1:13" ht="90" customHeight="1" x14ac:dyDescent="0.3">
      <c r="A185" s="8"/>
      <c r="B185" s="9"/>
      <c r="C185" s="9"/>
      <c r="D185" s="9"/>
      <c r="E185" s="9"/>
      <c r="F185" s="9"/>
      <c r="G185" s="9"/>
      <c r="H185" s="9"/>
      <c r="I185" s="1"/>
      <c r="J185" s="1"/>
      <c r="K185" s="1"/>
      <c r="L185" s="1"/>
      <c r="M185" s="1"/>
    </row>
    <row r="186" spans="1:13" ht="90" customHeight="1" x14ac:dyDescent="0.3">
      <c r="A186" s="8"/>
      <c r="B186" s="9"/>
      <c r="C186" s="9"/>
      <c r="D186" s="9"/>
      <c r="E186" s="9"/>
      <c r="F186" s="9"/>
      <c r="G186" s="9"/>
      <c r="H186" s="9"/>
      <c r="I186" s="1"/>
      <c r="J186" s="1"/>
      <c r="K186" s="1"/>
      <c r="L186" s="1"/>
      <c r="M186" s="1"/>
    </row>
    <row r="187" spans="1:13" ht="90" customHeight="1" x14ac:dyDescent="0.3">
      <c r="A187" s="8">
        <v>60</v>
      </c>
      <c r="B187" s="8" t="s">
        <v>284</v>
      </c>
      <c r="C187" s="8" t="s">
        <v>285</v>
      </c>
      <c r="D187" s="8" t="s">
        <v>286</v>
      </c>
      <c r="E187" s="10" t="s">
        <v>24</v>
      </c>
      <c r="F187" s="10" t="s">
        <v>25</v>
      </c>
      <c r="G187" s="8" t="s">
        <v>287</v>
      </c>
      <c r="H187" s="8" t="s">
        <v>288</v>
      </c>
      <c r="I187" s="4" t="s">
        <v>289</v>
      </c>
      <c r="J187" s="4">
        <v>0.99710506900780038</v>
      </c>
      <c r="K187" s="4" t="s">
        <v>29</v>
      </c>
      <c r="L187" s="4" t="s">
        <v>285</v>
      </c>
      <c r="M187" s="4">
        <v>24</v>
      </c>
    </row>
    <row r="188" spans="1:13" ht="90" customHeight="1" x14ac:dyDescent="0.3">
      <c r="A188" s="8"/>
      <c r="B188" s="9"/>
      <c r="C188" s="9"/>
      <c r="D188" s="9"/>
      <c r="E188" s="9"/>
      <c r="F188" s="9"/>
      <c r="G188" s="9"/>
      <c r="H188" s="9"/>
      <c r="I188" s="4" t="s">
        <v>290</v>
      </c>
      <c r="J188" s="4">
        <v>0.99680177798660474</v>
      </c>
      <c r="K188" s="4" t="s">
        <v>29</v>
      </c>
      <c r="L188" s="4" t="s">
        <v>285</v>
      </c>
      <c r="M188" s="4">
        <v>23</v>
      </c>
    </row>
    <row r="189" spans="1:13" ht="90" customHeight="1" x14ac:dyDescent="0.3">
      <c r="A189" s="8"/>
      <c r="B189" s="9"/>
      <c r="C189" s="9"/>
      <c r="D189" s="9"/>
      <c r="E189" s="9"/>
      <c r="F189" s="9"/>
      <c r="G189" s="9"/>
      <c r="H189" s="9"/>
      <c r="I189" s="4" t="s">
        <v>291</v>
      </c>
      <c r="J189" s="4">
        <v>0.99536692415004313</v>
      </c>
      <c r="K189" s="4" t="s">
        <v>29</v>
      </c>
      <c r="L189" s="4" t="s">
        <v>285</v>
      </c>
      <c r="M189" s="4">
        <v>26</v>
      </c>
    </row>
    <row r="190" spans="1:13" ht="90" customHeight="1" x14ac:dyDescent="0.3">
      <c r="A190" s="8"/>
      <c r="B190" s="9"/>
      <c r="C190" s="9"/>
      <c r="D190" s="9"/>
      <c r="E190" s="9"/>
      <c r="F190" s="9"/>
      <c r="G190" s="9"/>
      <c r="H190" s="9"/>
      <c r="I190" s="1"/>
      <c r="J190" s="1"/>
      <c r="K190" s="1"/>
      <c r="L190" s="1"/>
      <c r="M190" s="1"/>
    </row>
    <row r="191" spans="1:13" ht="90" customHeight="1" x14ac:dyDescent="0.3">
      <c r="A191" s="8"/>
      <c r="B191" s="9"/>
      <c r="C191" s="9"/>
      <c r="D191" s="9"/>
      <c r="E191" s="9"/>
      <c r="F191" s="9"/>
      <c r="G191" s="9"/>
      <c r="H191" s="9"/>
      <c r="I191" s="1"/>
      <c r="J191" s="1"/>
      <c r="K191" s="1"/>
      <c r="L191" s="1"/>
      <c r="M191" s="1"/>
    </row>
    <row r="192" spans="1:13" ht="90" customHeight="1" x14ac:dyDescent="0.3">
      <c r="A192" s="8">
        <v>62</v>
      </c>
      <c r="B192" s="8" t="s">
        <v>292</v>
      </c>
      <c r="C192" s="8" t="s">
        <v>293</v>
      </c>
      <c r="D192" s="8" t="s">
        <v>78</v>
      </c>
      <c r="E192" s="10" t="s">
        <v>24</v>
      </c>
      <c r="F192" s="10" t="s">
        <v>25</v>
      </c>
      <c r="G192" s="8" t="s">
        <v>294</v>
      </c>
      <c r="H192" s="8" t="s">
        <v>295</v>
      </c>
      <c r="I192" s="4" t="s">
        <v>296</v>
      </c>
      <c r="J192" s="4">
        <v>0.96989667415618896</v>
      </c>
      <c r="K192" s="4" t="s">
        <v>29</v>
      </c>
      <c r="L192" s="4" t="s">
        <v>293</v>
      </c>
      <c r="M192" s="4">
        <v>4</v>
      </c>
    </row>
    <row r="193" spans="1:13" ht="90" customHeight="1" x14ac:dyDescent="0.3">
      <c r="A193" s="8"/>
      <c r="B193" s="9"/>
      <c r="C193" s="9"/>
      <c r="D193" s="9"/>
      <c r="E193" s="9"/>
      <c r="F193" s="9"/>
      <c r="G193" s="9"/>
      <c r="H193" s="9"/>
      <c r="I193" s="1"/>
      <c r="J193" s="1"/>
      <c r="K193" s="1"/>
      <c r="L193" s="1"/>
      <c r="M193" s="1"/>
    </row>
    <row r="194" spans="1:13" ht="90" customHeight="1" x14ac:dyDescent="0.3">
      <c r="A194" s="8"/>
      <c r="B194" s="9"/>
      <c r="C194" s="9"/>
      <c r="D194" s="9"/>
      <c r="E194" s="9"/>
      <c r="F194" s="9"/>
      <c r="G194" s="9"/>
      <c r="H194" s="9"/>
      <c r="I194" s="1"/>
      <c r="J194" s="1"/>
      <c r="K194" s="1"/>
      <c r="L194" s="1"/>
      <c r="M194" s="1"/>
    </row>
    <row r="195" spans="1:13" ht="90" customHeight="1" x14ac:dyDescent="0.3">
      <c r="A195" s="8"/>
      <c r="B195" s="9"/>
      <c r="C195" s="9"/>
      <c r="D195" s="9"/>
      <c r="E195" s="9"/>
      <c r="F195" s="9"/>
      <c r="G195" s="9"/>
      <c r="H195" s="9"/>
      <c r="I195" s="1"/>
      <c r="J195" s="1"/>
      <c r="K195" s="1"/>
      <c r="L195" s="1"/>
      <c r="M195" s="1"/>
    </row>
    <row r="196" spans="1:13" ht="90" customHeight="1" x14ac:dyDescent="0.3">
      <c r="A196" s="8"/>
      <c r="B196" s="9"/>
      <c r="C196" s="9"/>
      <c r="D196" s="9"/>
      <c r="E196" s="9"/>
      <c r="F196" s="9"/>
      <c r="G196" s="9"/>
      <c r="H196" s="9"/>
      <c r="I196" s="1"/>
      <c r="J196" s="1"/>
      <c r="K196" s="1"/>
      <c r="L196" s="1"/>
      <c r="M196" s="1"/>
    </row>
    <row r="197" spans="1:13" ht="90" customHeight="1" x14ac:dyDescent="0.3">
      <c r="A197" s="8">
        <v>64</v>
      </c>
      <c r="B197" s="8" t="s">
        <v>297</v>
      </c>
      <c r="C197" s="8" t="s">
        <v>298</v>
      </c>
      <c r="D197" s="8" t="s">
        <v>299</v>
      </c>
      <c r="E197" s="10" t="s">
        <v>1201</v>
      </c>
      <c r="F197" s="10" t="s">
        <v>1202</v>
      </c>
      <c r="G197" s="8" t="s">
        <v>300</v>
      </c>
      <c r="H197" s="8" t="s">
        <v>301</v>
      </c>
      <c r="I197" s="4" t="s">
        <v>302</v>
      </c>
      <c r="J197" s="4">
        <v>0.9998781681060791</v>
      </c>
      <c r="K197" s="4" t="s">
        <v>29</v>
      </c>
      <c r="L197" s="4" t="s">
        <v>131</v>
      </c>
      <c r="M197" s="4">
        <v>594</v>
      </c>
    </row>
    <row r="198" spans="1:13" ht="90" customHeight="1" x14ac:dyDescent="0.3">
      <c r="A198" s="8"/>
      <c r="B198" s="9"/>
      <c r="C198" s="9"/>
      <c r="D198" s="9"/>
      <c r="E198" s="9"/>
      <c r="F198" s="9"/>
      <c r="G198" s="9"/>
      <c r="H198" s="9"/>
      <c r="I198" s="5" t="s">
        <v>303</v>
      </c>
      <c r="J198" s="5">
        <v>0.9996565580368042</v>
      </c>
      <c r="K198" s="5" t="s">
        <v>29</v>
      </c>
      <c r="L198" s="5" t="s">
        <v>304</v>
      </c>
      <c r="M198" s="5">
        <v>5</v>
      </c>
    </row>
    <row r="199" spans="1:13" ht="90" customHeight="1" x14ac:dyDescent="0.3">
      <c r="A199" s="8"/>
      <c r="B199" s="9"/>
      <c r="C199" s="9"/>
      <c r="D199" s="9"/>
      <c r="E199" s="9"/>
      <c r="F199" s="9"/>
      <c r="G199" s="9"/>
      <c r="H199" s="9"/>
      <c r="I199" s="4" t="s">
        <v>305</v>
      </c>
      <c r="J199" s="4">
        <v>0.99803739786148071</v>
      </c>
      <c r="K199" s="4" t="s">
        <v>29</v>
      </c>
      <c r="L199" s="4" t="s">
        <v>131</v>
      </c>
      <c r="M199" s="4">
        <v>595</v>
      </c>
    </row>
    <row r="200" spans="1:13" ht="90" customHeight="1" x14ac:dyDescent="0.3">
      <c r="A200" s="8"/>
      <c r="B200" s="9"/>
      <c r="C200" s="9"/>
      <c r="D200" s="9"/>
      <c r="E200" s="9"/>
      <c r="F200" s="9"/>
      <c r="G200" s="9"/>
      <c r="H200" s="9"/>
      <c r="I200" s="4" t="s">
        <v>306</v>
      </c>
      <c r="J200" s="4">
        <v>0.99796730279922485</v>
      </c>
      <c r="K200" s="4" t="s">
        <v>29</v>
      </c>
      <c r="L200" s="4" t="s">
        <v>304</v>
      </c>
      <c r="M200" s="4">
        <v>3</v>
      </c>
    </row>
    <row r="201" spans="1:13" ht="90" customHeight="1" x14ac:dyDescent="0.3">
      <c r="A201" s="8"/>
      <c r="B201" s="9"/>
      <c r="C201" s="9"/>
      <c r="D201" s="9"/>
      <c r="E201" s="9"/>
      <c r="F201" s="9"/>
      <c r="G201" s="9"/>
      <c r="H201" s="9"/>
      <c r="I201" s="5" t="s">
        <v>307</v>
      </c>
      <c r="J201" s="5">
        <v>0.99503797292709351</v>
      </c>
      <c r="K201" s="5" t="s">
        <v>29</v>
      </c>
      <c r="L201" s="5" t="s">
        <v>304</v>
      </c>
      <c r="M201" s="5">
        <v>2</v>
      </c>
    </row>
    <row r="202" spans="1:13" ht="90" customHeight="1" x14ac:dyDescent="0.3">
      <c r="A202" s="8">
        <v>65</v>
      </c>
      <c r="B202" s="8" t="s">
        <v>308</v>
      </c>
      <c r="C202" s="8" t="s">
        <v>309</v>
      </c>
      <c r="D202" s="8" t="s">
        <v>310</v>
      </c>
      <c r="E202" s="10" t="s">
        <v>24</v>
      </c>
      <c r="F202" s="10" t="s">
        <v>25</v>
      </c>
      <c r="G202" s="8" t="s">
        <v>311</v>
      </c>
      <c r="H202" s="8" t="s">
        <v>312</v>
      </c>
      <c r="I202" s="4" t="s">
        <v>313</v>
      </c>
      <c r="J202" s="4">
        <v>0.99999916553497314</v>
      </c>
      <c r="K202" s="4" t="s">
        <v>29</v>
      </c>
      <c r="L202" s="4" t="s">
        <v>309</v>
      </c>
      <c r="M202" s="4">
        <v>4</v>
      </c>
    </row>
    <row r="203" spans="1:13" ht="90" customHeight="1" x14ac:dyDescent="0.3">
      <c r="A203" s="8"/>
      <c r="B203" s="9"/>
      <c r="C203" s="9"/>
      <c r="D203" s="9"/>
      <c r="E203" s="9"/>
      <c r="F203" s="9"/>
      <c r="G203" s="9"/>
      <c r="H203" s="9"/>
      <c r="I203" s="5" t="s">
        <v>314</v>
      </c>
      <c r="J203" s="5">
        <v>0.99999904632568359</v>
      </c>
      <c r="K203" s="5" t="s">
        <v>29</v>
      </c>
      <c r="L203" s="5" t="s">
        <v>309</v>
      </c>
      <c r="M203" s="5">
        <v>3</v>
      </c>
    </row>
    <row r="204" spans="1:13" ht="90" customHeight="1" x14ac:dyDescent="0.3">
      <c r="A204" s="8"/>
      <c r="B204" s="9"/>
      <c r="C204" s="9"/>
      <c r="D204" s="9"/>
      <c r="E204" s="9"/>
      <c r="F204" s="9"/>
      <c r="G204" s="9"/>
      <c r="H204" s="9"/>
      <c r="I204" s="1"/>
      <c r="J204" s="1"/>
      <c r="K204" s="1"/>
      <c r="L204" s="1"/>
      <c r="M204" s="1"/>
    </row>
    <row r="205" spans="1:13" ht="90" customHeight="1" x14ac:dyDescent="0.3">
      <c r="A205" s="8"/>
      <c r="B205" s="9"/>
      <c r="C205" s="9"/>
      <c r="D205" s="9"/>
      <c r="E205" s="9"/>
      <c r="F205" s="9"/>
      <c r="G205" s="9"/>
      <c r="H205" s="9"/>
      <c r="I205" s="1"/>
      <c r="J205" s="1"/>
      <c r="K205" s="1"/>
      <c r="L205" s="1"/>
      <c r="M205" s="1"/>
    </row>
    <row r="206" spans="1:13" ht="90" customHeight="1" x14ac:dyDescent="0.3">
      <c r="A206" s="8"/>
      <c r="B206" s="9"/>
      <c r="C206" s="9"/>
      <c r="D206" s="9"/>
      <c r="E206" s="9"/>
      <c r="F206" s="9"/>
      <c r="G206" s="9"/>
      <c r="H206" s="9"/>
      <c r="I206" s="1"/>
      <c r="J206" s="1"/>
      <c r="K206" s="1"/>
      <c r="L206" s="1"/>
      <c r="M206" s="1"/>
    </row>
    <row r="207" spans="1:13" ht="90" customHeight="1" x14ac:dyDescent="0.3">
      <c r="A207" s="8">
        <v>67</v>
      </c>
      <c r="B207" s="8" t="s">
        <v>315</v>
      </c>
      <c r="C207" s="8" t="s">
        <v>316</v>
      </c>
      <c r="D207" s="8" t="s">
        <v>16</v>
      </c>
      <c r="E207" s="10" t="s">
        <v>17</v>
      </c>
      <c r="F207" s="10" t="s">
        <v>18</v>
      </c>
      <c r="G207" s="8" t="s">
        <v>317</v>
      </c>
      <c r="H207" s="8" t="s">
        <v>318</v>
      </c>
      <c r="I207" s="2" t="s">
        <v>319</v>
      </c>
      <c r="J207" s="2">
        <v>0.80825400352478027</v>
      </c>
      <c r="K207" s="2" t="s">
        <v>29</v>
      </c>
      <c r="L207" s="2" t="s">
        <v>320</v>
      </c>
      <c r="M207" s="2">
        <v>81</v>
      </c>
    </row>
    <row r="208" spans="1:13" ht="90" customHeight="1" x14ac:dyDescent="0.3">
      <c r="A208" s="8"/>
      <c r="B208" s="9"/>
      <c r="C208" s="9"/>
      <c r="D208" s="9"/>
      <c r="E208" s="9"/>
      <c r="F208" s="9"/>
      <c r="G208" s="9"/>
      <c r="H208" s="9"/>
      <c r="I208" s="1" t="s">
        <v>321</v>
      </c>
      <c r="J208" s="1">
        <v>0.77276915311813354</v>
      </c>
      <c r="K208" s="1" t="s">
        <v>29</v>
      </c>
      <c r="L208" s="1" t="s">
        <v>320</v>
      </c>
      <c r="M208" s="1">
        <v>192</v>
      </c>
    </row>
    <row r="209" spans="1:13" ht="90" customHeight="1" x14ac:dyDescent="0.3">
      <c r="A209" s="8"/>
      <c r="B209" s="9"/>
      <c r="C209" s="9"/>
      <c r="D209" s="9"/>
      <c r="E209" s="9"/>
      <c r="F209" s="9"/>
      <c r="G209" s="9"/>
      <c r="H209" s="9"/>
      <c r="I209" s="2" t="s">
        <v>322</v>
      </c>
      <c r="J209" s="2">
        <v>0.71434330940246582</v>
      </c>
      <c r="K209" s="2" t="s">
        <v>29</v>
      </c>
      <c r="L209" s="2" t="s">
        <v>323</v>
      </c>
      <c r="M209" s="2">
        <v>473</v>
      </c>
    </row>
    <row r="210" spans="1:13" ht="90" customHeight="1" x14ac:dyDescent="0.3">
      <c r="A210" s="8"/>
      <c r="B210" s="9"/>
      <c r="C210" s="9"/>
      <c r="D210" s="9"/>
      <c r="E210" s="9"/>
      <c r="F210" s="9"/>
      <c r="G210" s="9"/>
      <c r="H210" s="9"/>
      <c r="I210" s="1" t="s">
        <v>324</v>
      </c>
      <c r="J210" s="1">
        <v>0.7111249566078186</v>
      </c>
      <c r="K210" s="1" t="s">
        <v>29</v>
      </c>
      <c r="L210" s="1" t="s">
        <v>323</v>
      </c>
      <c r="M210" s="1">
        <v>474</v>
      </c>
    </row>
    <row r="211" spans="1:13" ht="90" customHeight="1" x14ac:dyDescent="0.3">
      <c r="A211" s="8"/>
      <c r="B211" s="9"/>
      <c r="C211" s="9"/>
      <c r="D211" s="9"/>
      <c r="E211" s="9"/>
      <c r="F211" s="9"/>
      <c r="G211" s="9"/>
      <c r="H211" s="9"/>
      <c r="I211" s="1"/>
      <c r="J211" s="1"/>
      <c r="K211" s="1"/>
      <c r="L211" s="1"/>
      <c r="M211" s="1"/>
    </row>
    <row r="212" spans="1:13" ht="90" customHeight="1" x14ac:dyDescent="0.3">
      <c r="A212" s="8">
        <v>71</v>
      </c>
      <c r="B212" s="8" t="s">
        <v>325</v>
      </c>
      <c r="C212" s="8" t="s">
        <v>326</v>
      </c>
      <c r="D212" s="8" t="s">
        <v>327</v>
      </c>
      <c r="E212" s="10" t="s">
        <v>24</v>
      </c>
      <c r="F212" s="10" t="s">
        <v>25</v>
      </c>
      <c r="G212" s="8" t="s">
        <v>328</v>
      </c>
      <c r="H212" s="8" t="s">
        <v>329</v>
      </c>
      <c r="I212" s="4" t="s">
        <v>330</v>
      </c>
      <c r="J212" s="4">
        <v>0.99879419803465697</v>
      </c>
      <c r="K212" s="4" t="s">
        <v>29</v>
      </c>
      <c r="L212" s="4" t="s">
        <v>326</v>
      </c>
      <c r="M212" s="4">
        <v>220</v>
      </c>
    </row>
    <row r="213" spans="1:13" ht="90" customHeight="1" x14ac:dyDescent="0.3">
      <c r="A213" s="8"/>
      <c r="B213" s="9"/>
      <c r="C213" s="9"/>
      <c r="D213" s="9"/>
      <c r="E213" s="9"/>
      <c r="F213" s="9"/>
      <c r="G213" s="9"/>
      <c r="H213" s="9"/>
      <c r="I213" s="4" t="s">
        <v>331</v>
      </c>
      <c r="J213" s="4">
        <v>0.99860292673110962</v>
      </c>
      <c r="K213" s="4" t="s">
        <v>29</v>
      </c>
      <c r="L213" s="4" t="s">
        <v>326</v>
      </c>
      <c r="M213" s="4">
        <v>219</v>
      </c>
    </row>
    <row r="214" spans="1:13" ht="90" customHeight="1" x14ac:dyDescent="0.3">
      <c r="A214" s="8"/>
      <c r="B214" s="9"/>
      <c r="C214" s="9"/>
      <c r="D214" s="9"/>
      <c r="E214" s="9"/>
      <c r="F214" s="9"/>
      <c r="G214" s="9"/>
      <c r="H214" s="9"/>
      <c r="I214" s="1"/>
      <c r="J214" s="1"/>
      <c r="K214" s="1"/>
      <c r="L214" s="1"/>
      <c r="M214" s="1"/>
    </row>
    <row r="215" spans="1:13" ht="90" customHeight="1" x14ac:dyDescent="0.3">
      <c r="A215" s="8"/>
      <c r="B215" s="9"/>
      <c r="C215" s="9"/>
      <c r="D215" s="9"/>
      <c r="E215" s="9"/>
      <c r="F215" s="9"/>
      <c r="G215" s="9"/>
      <c r="H215" s="9"/>
      <c r="I215" s="1"/>
      <c r="J215" s="1"/>
      <c r="K215" s="1"/>
      <c r="L215" s="1"/>
      <c r="M215" s="1"/>
    </row>
    <row r="216" spans="1:13" ht="90" customHeight="1" x14ac:dyDescent="0.3">
      <c r="A216" s="8"/>
      <c r="B216" s="9"/>
      <c r="C216" s="9"/>
      <c r="D216" s="9"/>
      <c r="E216" s="9"/>
      <c r="F216" s="9"/>
      <c r="G216" s="9"/>
      <c r="H216" s="9"/>
      <c r="I216" s="1"/>
      <c r="J216" s="1"/>
      <c r="K216" s="1"/>
      <c r="L216" s="1"/>
      <c r="M216" s="1"/>
    </row>
    <row r="217" spans="1:13" ht="90" customHeight="1" x14ac:dyDescent="0.3">
      <c r="A217" s="8">
        <v>72</v>
      </c>
      <c r="B217" s="8" t="s">
        <v>332</v>
      </c>
      <c r="C217" s="8" t="s">
        <v>333</v>
      </c>
      <c r="D217" s="8" t="s">
        <v>334</v>
      </c>
      <c r="E217" s="10" t="s">
        <v>24</v>
      </c>
      <c r="F217" s="10" t="s">
        <v>25</v>
      </c>
      <c r="G217" s="8" t="s">
        <v>335</v>
      </c>
      <c r="H217" s="8" t="s">
        <v>336</v>
      </c>
      <c r="I217" s="4" t="s">
        <v>337</v>
      </c>
      <c r="J217" s="4">
        <v>0.99999010562896729</v>
      </c>
      <c r="K217" s="4" t="s">
        <v>29</v>
      </c>
      <c r="L217" s="4" t="s">
        <v>333</v>
      </c>
      <c r="M217" s="4">
        <v>99</v>
      </c>
    </row>
    <row r="218" spans="1:13" ht="90" customHeight="1" x14ac:dyDescent="0.3">
      <c r="A218" s="8"/>
      <c r="B218" s="9"/>
      <c r="C218" s="9"/>
      <c r="D218" s="9"/>
      <c r="E218" s="9"/>
      <c r="F218" s="9"/>
      <c r="G218" s="9"/>
      <c r="H218" s="9"/>
      <c r="I218" s="2" t="s">
        <v>338</v>
      </c>
      <c r="J218" s="2">
        <v>0.99996399877759345</v>
      </c>
      <c r="K218" s="2" t="s">
        <v>29</v>
      </c>
      <c r="L218" s="2" t="s">
        <v>339</v>
      </c>
      <c r="M218" s="2">
        <v>64</v>
      </c>
    </row>
    <row r="219" spans="1:13" ht="90" customHeight="1" x14ac:dyDescent="0.3">
      <c r="A219" s="8"/>
      <c r="B219" s="9"/>
      <c r="C219" s="9"/>
      <c r="D219" s="9"/>
      <c r="E219" s="9"/>
      <c r="F219" s="9"/>
      <c r="G219" s="9"/>
      <c r="H219" s="9"/>
      <c r="I219" s="2" t="s">
        <v>340</v>
      </c>
      <c r="J219" s="2">
        <v>0.99994194507598877</v>
      </c>
      <c r="K219" s="2" t="s">
        <v>29</v>
      </c>
      <c r="L219" s="2" t="s">
        <v>341</v>
      </c>
      <c r="M219" s="2">
        <v>22</v>
      </c>
    </row>
    <row r="220" spans="1:13" ht="90" customHeight="1" x14ac:dyDescent="0.3">
      <c r="A220" s="8"/>
      <c r="B220" s="9"/>
      <c r="C220" s="9"/>
      <c r="D220" s="9"/>
      <c r="E220" s="9"/>
      <c r="F220" s="9"/>
      <c r="G220" s="9"/>
      <c r="H220" s="9"/>
      <c r="I220" s="1" t="s">
        <v>342</v>
      </c>
      <c r="J220" s="1">
        <v>0.99992966651916504</v>
      </c>
      <c r="K220" s="1" t="s">
        <v>29</v>
      </c>
      <c r="L220" s="1" t="s">
        <v>343</v>
      </c>
      <c r="M220" s="1">
        <v>67</v>
      </c>
    </row>
    <row r="221" spans="1:13" ht="90" customHeight="1" x14ac:dyDescent="0.3">
      <c r="A221" s="8"/>
      <c r="B221" s="9"/>
      <c r="C221" s="9"/>
      <c r="D221" s="9"/>
      <c r="E221" s="9"/>
      <c r="F221" s="9"/>
      <c r="G221" s="9"/>
      <c r="H221" s="9"/>
      <c r="I221" s="1" t="s">
        <v>344</v>
      </c>
      <c r="J221" s="1">
        <v>0.99992537498474121</v>
      </c>
      <c r="K221" s="1" t="s">
        <v>29</v>
      </c>
      <c r="L221" s="1" t="s">
        <v>345</v>
      </c>
      <c r="M221" s="1">
        <v>28</v>
      </c>
    </row>
    <row r="222" spans="1:13" ht="90" customHeight="1" x14ac:dyDescent="0.3">
      <c r="A222" s="8">
        <v>75</v>
      </c>
      <c r="B222" s="8" t="s">
        <v>346</v>
      </c>
      <c r="C222" s="8" t="s">
        <v>33</v>
      </c>
      <c r="D222" s="8" t="s">
        <v>347</v>
      </c>
      <c r="E222" s="10" t="s">
        <v>24</v>
      </c>
      <c r="F222" s="10" t="s">
        <v>25</v>
      </c>
      <c r="G222" s="8" t="s">
        <v>348</v>
      </c>
      <c r="H222" s="8" t="s">
        <v>349</v>
      </c>
      <c r="I222" s="2" t="s">
        <v>350</v>
      </c>
      <c r="J222" s="2">
        <v>0.99772673845291138</v>
      </c>
      <c r="K222" s="2" t="s">
        <v>29</v>
      </c>
      <c r="L222" s="2" t="s">
        <v>351</v>
      </c>
      <c r="M222" s="2">
        <v>2</v>
      </c>
    </row>
    <row r="223" spans="1:13" ht="90" customHeight="1" x14ac:dyDescent="0.3">
      <c r="A223" s="8"/>
      <c r="B223" s="9"/>
      <c r="C223" s="9"/>
      <c r="D223" s="9"/>
      <c r="E223" s="9"/>
      <c r="F223" s="9"/>
      <c r="G223" s="9"/>
      <c r="H223" s="9"/>
      <c r="I223" s="4" t="s">
        <v>352</v>
      </c>
      <c r="J223" s="4">
        <v>0.956015944480896</v>
      </c>
      <c r="K223" s="4" t="s">
        <v>29</v>
      </c>
      <c r="L223" s="4" t="s">
        <v>33</v>
      </c>
      <c r="M223" s="4">
        <v>10</v>
      </c>
    </row>
    <row r="224" spans="1:13" ht="90" customHeight="1" x14ac:dyDescent="0.3">
      <c r="A224" s="8"/>
      <c r="B224" s="9"/>
      <c r="C224" s="9"/>
      <c r="D224" s="9"/>
      <c r="E224" s="9"/>
      <c r="F224" s="9"/>
      <c r="G224" s="9"/>
      <c r="H224" s="9"/>
      <c r="I224" s="2" t="s">
        <v>353</v>
      </c>
      <c r="J224" s="2">
        <v>0.86314016580581665</v>
      </c>
      <c r="K224" s="2" t="s">
        <v>29</v>
      </c>
      <c r="L224" s="2" t="s">
        <v>354</v>
      </c>
      <c r="M224" s="2">
        <v>245</v>
      </c>
    </row>
    <row r="225" spans="1:13" ht="90" customHeight="1" x14ac:dyDescent="0.3">
      <c r="A225" s="8"/>
      <c r="B225" s="9"/>
      <c r="C225" s="9"/>
      <c r="D225" s="9"/>
      <c r="E225" s="9"/>
      <c r="F225" s="9"/>
      <c r="G225" s="9"/>
      <c r="H225" s="9"/>
      <c r="I225" s="1" t="s">
        <v>355</v>
      </c>
      <c r="J225" s="1">
        <v>0.85434240102767889</v>
      </c>
      <c r="K225" s="1" t="s">
        <v>29</v>
      </c>
      <c r="L225" s="1" t="s">
        <v>356</v>
      </c>
      <c r="M225" s="1">
        <v>280</v>
      </c>
    </row>
    <row r="226" spans="1:13" ht="90" customHeight="1" x14ac:dyDescent="0.3">
      <c r="A226" s="8"/>
      <c r="B226" s="9"/>
      <c r="C226" s="9"/>
      <c r="D226" s="9"/>
      <c r="E226" s="9"/>
      <c r="F226" s="9"/>
      <c r="G226" s="9"/>
      <c r="H226" s="9"/>
      <c r="I226" s="1" t="s">
        <v>357</v>
      </c>
      <c r="J226" s="1">
        <v>0.78962522745132446</v>
      </c>
      <c r="K226" s="1" t="s">
        <v>29</v>
      </c>
      <c r="L226" s="1" t="s">
        <v>358</v>
      </c>
      <c r="M226" s="1">
        <v>132</v>
      </c>
    </row>
    <row r="227" spans="1:13" ht="90" customHeight="1" x14ac:dyDescent="0.3">
      <c r="A227" s="8">
        <v>76</v>
      </c>
      <c r="B227" s="8" t="s">
        <v>359</v>
      </c>
      <c r="C227" s="8" t="s">
        <v>360</v>
      </c>
      <c r="D227" s="8" t="s">
        <v>361</v>
      </c>
      <c r="E227" s="10" t="s">
        <v>24</v>
      </c>
      <c r="F227" s="10" t="s">
        <v>25</v>
      </c>
      <c r="G227" s="8" t="s">
        <v>362</v>
      </c>
      <c r="H227" s="8" t="s">
        <v>363</v>
      </c>
      <c r="I227" s="4" t="s">
        <v>364</v>
      </c>
      <c r="J227" s="4">
        <v>0.98032528162002563</v>
      </c>
      <c r="K227" s="4" t="s">
        <v>29</v>
      </c>
      <c r="L227" s="4" t="s">
        <v>360</v>
      </c>
      <c r="M227" s="4">
        <v>33</v>
      </c>
    </row>
    <row r="228" spans="1:13" ht="90" customHeight="1" x14ac:dyDescent="0.3">
      <c r="A228" s="8"/>
      <c r="B228" s="9"/>
      <c r="C228" s="9"/>
      <c r="D228" s="9"/>
      <c r="E228" s="9"/>
      <c r="F228" s="9"/>
      <c r="G228" s="9"/>
      <c r="H228" s="9"/>
      <c r="I228" s="1"/>
      <c r="J228" s="1"/>
      <c r="K228" s="1"/>
      <c r="L228" s="1"/>
      <c r="M228" s="1"/>
    </row>
    <row r="229" spans="1:13" ht="90" customHeight="1" x14ac:dyDescent="0.3">
      <c r="A229" s="8"/>
      <c r="B229" s="9"/>
      <c r="C229" s="9"/>
      <c r="D229" s="9"/>
      <c r="E229" s="9"/>
      <c r="F229" s="9"/>
      <c r="G229" s="9"/>
      <c r="H229" s="9"/>
      <c r="I229" s="1"/>
      <c r="J229" s="1"/>
      <c r="K229" s="1"/>
      <c r="L229" s="1"/>
      <c r="M229" s="1"/>
    </row>
    <row r="230" spans="1:13" ht="90" customHeight="1" x14ac:dyDescent="0.3">
      <c r="A230" s="8"/>
      <c r="B230" s="9"/>
      <c r="C230" s="9"/>
      <c r="D230" s="9"/>
      <c r="E230" s="9"/>
      <c r="F230" s="9"/>
      <c r="G230" s="9"/>
      <c r="H230" s="9"/>
      <c r="I230" s="1"/>
      <c r="J230" s="1"/>
      <c r="K230" s="1"/>
      <c r="L230" s="1"/>
      <c r="M230" s="1"/>
    </row>
    <row r="231" spans="1:13" ht="90" customHeight="1" x14ac:dyDescent="0.3">
      <c r="A231" s="8"/>
      <c r="B231" s="9"/>
      <c r="C231" s="9"/>
      <c r="D231" s="9"/>
      <c r="E231" s="9"/>
      <c r="F231" s="9"/>
      <c r="G231" s="9"/>
      <c r="H231" s="9"/>
      <c r="I231" s="1"/>
      <c r="J231" s="1"/>
      <c r="K231" s="1"/>
      <c r="L231" s="1"/>
      <c r="M231" s="1"/>
    </row>
    <row r="232" spans="1:13" ht="90" customHeight="1" x14ac:dyDescent="0.3">
      <c r="A232" s="8">
        <v>77</v>
      </c>
      <c r="B232" s="8" t="s">
        <v>365</v>
      </c>
      <c r="C232" s="8" t="s">
        <v>366</v>
      </c>
      <c r="D232" s="8" t="s">
        <v>367</v>
      </c>
      <c r="E232" s="10" t="s">
        <v>24</v>
      </c>
      <c r="F232" s="10" t="s">
        <v>25</v>
      </c>
      <c r="G232" s="8" t="s">
        <v>368</v>
      </c>
      <c r="H232" s="8" t="s">
        <v>369</v>
      </c>
      <c r="I232" s="2" t="s">
        <v>370</v>
      </c>
      <c r="J232" s="2">
        <v>0.99272447824478149</v>
      </c>
      <c r="K232" s="2" t="s">
        <v>29</v>
      </c>
      <c r="L232" s="2" t="s">
        <v>354</v>
      </c>
      <c r="M232" s="2">
        <v>256</v>
      </c>
    </row>
    <row r="233" spans="1:13" ht="90" customHeight="1" x14ac:dyDescent="0.3">
      <c r="A233" s="8"/>
      <c r="B233" s="9"/>
      <c r="C233" s="9"/>
      <c r="D233" s="9"/>
      <c r="E233" s="9"/>
      <c r="F233" s="9"/>
      <c r="G233" s="9"/>
      <c r="H233" s="9"/>
      <c r="I233" s="4" t="s">
        <v>371</v>
      </c>
      <c r="J233" s="4">
        <v>0.99107950925827026</v>
      </c>
      <c r="K233" s="4" t="s">
        <v>29</v>
      </c>
      <c r="L233" s="4" t="s">
        <v>366</v>
      </c>
      <c r="M233" s="4">
        <v>268</v>
      </c>
    </row>
    <row r="234" spans="1:13" ht="90" customHeight="1" x14ac:dyDescent="0.3">
      <c r="A234" s="8"/>
      <c r="B234" s="9"/>
      <c r="C234" s="9"/>
      <c r="D234" s="9"/>
      <c r="E234" s="9"/>
      <c r="F234" s="9"/>
      <c r="G234" s="9"/>
      <c r="H234" s="9"/>
      <c r="I234" s="2" t="s">
        <v>372</v>
      </c>
      <c r="J234" s="2">
        <v>0.98334598541259766</v>
      </c>
      <c r="K234" s="2" t="s">
        <v>29</v>
      </c>
      <c r="L234" s="2" t="s">
        <v>373</v>
      </c>
      <c r="M234" s="2">
        <v>15</v>
      </c>
    </row>
    <row r="235" spans="1:13" ht="90" customHeight="1" x14ac:dyDescent="0.3">
      <c r="A235" s="8"/>
      <c r="B235" s="9"/>
      <c r="C235" s="9"/>
      <c r="D235" s="9"/>
      <c r="E235" s="9"/>
      <c r="F235" s="9"/>
      <c r="G235" s="9"/>
      <c r="H235" s="9"/>
      <c r="I235" s="1" t="s">
        <v>374</v>
      </c>
      <c r="J235" s="1">
        <v>0.96903181076049805</v>
      </c>
      <c r="K235" s="1" t="s">
        <v>29</v>
      </c>
      <c r="L235" s="1" t="s">
        <v>354</v>
      </c>
      <c r="M235" s="1">
        <v>266</v>
      </c>
    </row>
    <row r="236" spans="1:13" ht="90" customHeight="1" x14ac:dyDescent="0.3">
      <c r="A236" s="8"/>
      <c r="B236" s="9"/>
      <c r="C236" s="9"/>
      <c r="D236" s="9"/>
      <c r="E236" s="9"/>
      <c r="F236" s="9"/>
      <c r="G236" s="9"/>
      <c r="H236" s="9"/>
      <c r="I236" s="1" t="s">
        <v>375</v>
      </c>
      <c r="J236" s="1">
        <v>0.96672117710113525</v>
      </c>
      <c r="K236" s="1" t="s">
        <v>29</v>
      </c>
      <c r="L236" s="1" t="s">
        <v>356</v>
      </c>
      <c r="M236" s="1">
        <v>290</v>
      </c>
    </row>
    <row r="237" spans="1:13" ht="90" customHeight="1" x14ac:dyDescent="0.3">
      <c r="A237" s="8">
        <v>78</v>
      </c>
      <c r="B237" s="8" t="s">
        <v>376</v>
      </c>
      <c r="C237" s="8" t="s">
        <v>33</v>
      </c>
      <c r="D237" s="8" t="s">
        <v>377</v>
      </c>
      <c r="E237" s="10" t="s">
        <v>24</v>
      </c>
      <c r="F237" s="10" t="s">
        <v>25</v>
      </c>
      <c r="G237" s="8" t="s">
        <v>378</v>
      </c>
      <c r="H237" s="8" t="s">
        <v>379</v>
      </c>
      <c r="I237" s="4" t="s">
        <v>380</v>
      </c>
      <c r="J237" s="4">
        <v>0.99902939796447754</v>
      </c>
      <c r="K237" s="4" t="s">
        <v>29</v>
      </c>
      <c r="L237" s="4" t="s">
        <v>33</v>
      </c>
      <c r="M237" s="4">
        <v>14</v>
      </c>
    </row>
    <row r="238" spans="1:13" ht="90" customHeight="1" x14ac:dyDescent="0.3">
      <c r="A238" s="8"/>
      <c r="B238" s="9"/>
      <c r="C238" s="9"/>
      <c r="D238" s="9"/>
      <c r="E238" s="9"/>
      <c r="F238" s="9"/>
      <c r="G238" s="9"/>
      <c r="H238" s="9"/>
      <c r="I238" s="4" t="s">
        <v>381</v>
      </c>
      <c r="J238" s="4">
        <v>0.99866640567779541</v>
      </c>
      <c r="K238" s="4" t="s">
        <v>29</v>
      </c>
      <c r="L238" s="4" t="s">
        <v>33</v>
      </c>
      <c r="M238" s="4">
        <v>10</v>
      </c>
    </row>
    <row r="239" spans="1:13" ht="90" customHeight="1" x14ac:dyDescent="0.3">
      <c r="A239" s="8"/>
      <c r="B239" s="9"/>
      <c r="C239" s="9"/>
      <c r="D239" s="9"/>
      <c r="E239" s="9"/>
      <c r="F239" s="9"/>
      <c r="G239" s="9"/>
      <c r="H239" s="9"/>
      <c r="I239" s="2" t="s">
        <v>382</v>
      </c>
      <c r="J239" s="2">
        <v>0.98928177356719971</v>
      </c>
      <c r="K239" s="2" t="s">
        <v>29</v>
      </c>
      <c r="L239" s="2" t="s">
        <v>351</v>
      </c>
      <c r="M239" s="2">
        <v>5</v>
      </c>
    </row>
    <row r="240" spans="1:13" ht="90" customHeight="1" x14ac:dyDescent="0.3">
      <c r="A240" s="8"/>
      <c r="B240" s="9"/>
      <c r="C240" s="9"/>
      <c r="D240" s="9"/>
      <c r="E240" s="9"/>
      <c r="F240" s="9"/>
      <c r="G240" s="9"/>
      <c r="H240" s="9"/>
      <c r="I240" s="1" t="s">
        <v>383</v>
      </c>
      <c r="J240" s="1">
        <v>0.93941837549209595</v>
      </c>
      <c r="K240" s="1" t="s">
        <v>29</v>
      </c>
      <c r="L240" s="1" t="s">
        <v>354</v>
      </c>
      <c r="M240" s="1">
        <v>137</v>
      </c>
    </row>
    <row r="241" spans="1:13" ht="90" customHeight="1" x14ac:dyDescent="0.3">
      <c r="A241" s="8"/>
      <c r="B241" s="9"/>
      <c r="C241" s="9"/>
      <c r="D241" s="9"/>
      <c r="E241" s="9"/>
      <c r="F241" s="9"/>
      <c r="G241" s="9"/>
      <c r="H241" s="9"/>
      <c r="I241" s="1" t="s">
        <v>384</v>
      </c>
      <c r="J241" s="1">
        <v>0.77156972885131836</v>
      </c>
      <c r="K241" s="1" t="s">
        <v>29</v>
      </c>
      <c r="L241" s="1" t="s">
        <v>33</v>
      </c>
      <c r="M241" s="1">
        <v>3</v>
      </c>
    </row>
    <row r="242" spans="1:13" ht="90" customHeight="1" x14ac:dyDescent="0.3">
      <c r="A242" s="8">
        <v>79</v>
      </c>
      <c r="B242" s="8" t="s">
        <v>385</v>
      </c>
      <c r="C242" s="8" t="s">
        <v>96</v>
      </c>
      <c r="D242" s="8" t="s">
        <v>347</v>
      </c>
      <c r="E242" s="10" t="s">
        <v>24</v>
      </c>
      <c r="F242" s="10" t="s">
        <v>25</v>
      </c>
      <c r="G242" s="8" t="s">
        <v>386</v>
      </c>
      <c r="H242" s="8" t="s">
        <v>387</v>
      </c>
      <c r="I242" s="4" t="s">
        <v>95</v>
      </c>
      <c r="J242" s="4">
        <v>0.99908936023712158</v>
      </c>
      <c r="K242" s="4" t="s">
        <v>29</v>
      </c>
      <c r="L242" s="4" t="s">
        <v>96</v>
      </c>
      <c r="M242" s="4">
        <v>10</v>
      </c>
    </row>
    <row r="243" spans="1:13" ht="90" customHeight="1" x14ac:dyDescent="0.3">
      <c r="A243" s="8"/>
      <c r="B243" s="9"/>
      <c r="C243" s="9"/>
      <c r="D243" s="9"/>
      <c r="E243" s="9"/>
      <c r="F243" s="9"/>
      <c r="G243" s="9"/>
      <c r="H243" s="9"/>
      <c r="I243" s="1"/>
      <c r="J243" s="1"/>
      <c r="K243" s="1"/>
      <c r="L243" s="1"/>
      <c r="M243" s="1"/>
    </row>
    <row r="244" spans="1:13" ht="90" customHeight="1" x14ac:dyDescent="0.3">
      <c r="A244" s="8"/>
      <c r="B244" s="9"/>
      <c r="C244" s="9"/>
      <c r="D244" s="9"/>
      <c r="E244" s="9"/>
      <c r="F244" s="9"/>
      <c r="G244" s="9"/>
      <c r="H244" s="9"/>
      <c r="I244" s="1"/>
      <c r="J244" s="1"/>
      <c r="K244" s="1"/>
      <c r="L244" s="1"/>
      <c r="M244" s="1"/>
    </row>
    <row r="245" spans="1:13" ht="90" customHeight="1" x14ac:dyDescent="0.3">
      <c r="A245" s="8"/>
      <c r="B245" s="9"/>
      <c r="C245" s="9"/>
      <c r="D245" s="9"/>
      <c r="E245" s="9"/>
      <c r="F245" s="9"/>
      <c r="G245" s="9"/>
      <c r="H245" s="9"/>
      <c r="I245" s="1"/>
      <c r="J245" s="1"/>
      <c r="K245" s="1"/>
      <c r="L245" s="1"/>
      <c r="M245" s="1"/>
    </row>
    <row r="246" spans="1:13" ht="90" customHeight="1" x14ac:dyDescent="0.3">
      <c r="A246" s="8"/>
      <c r="B246" s="9"/>
      <c r="C246" s="9"/>
      <c r="D246" s="9"/>
      <c r="E246" s="9"/>
      <c r="F246" s="9"/>
      <c r="G246" s="9"/>
      <c r="H246" s="9"/>
      <c r="I246" s="1"/>
      <c r="J246" s="1"/>
      <c r="K246" s="1"/>
      <c r="L246" s="1"/>
      <c r="M246" s="1"/>
    </row>
    <row r="247" spans="1:13" ht="90" customHeight="1" x14ac:dyDescent="0.3">
      <c r="A247" s="8">
        <v>80</v>
      </c>
      <c r="B247" s="8" t="s">
        <v>388</v>
      </c>
      <c r="C247" s="8" t="s">
        <v>293</v>
      </c>
      <c r="D247" s="8" t="s">
        <v>310</v>
      </c>
      <c r="E247" s="10" t="s">
        <v>24</v>
      </c>
      <c r="F247" s="10" t="s">
        <v>25</v>
      </c>
      <c r="G247" s="8" t="s">
        <v>389</v>
      </c>
      <c r="H247" s="8" t="s">
        <v>390</v>
      </c>
      <c r="I247" s="2" t="s">
        <v>391</v>
      </c>
      <c r="J247" s="2">
        <v>0.99433869123458862</v>
      </c>
      <c r="K247" s="2" t="s">
        <v>29</v>
      </c>
      <c r="L247" s="2" t="s">
        <v>293</v>
      </c>
      <c r="M247" s="2">
        <v>2</v>
      </c>
    </row>
    <row r="248" spans="1:13" ht="90" customHeight="1" x14ac:dyDescent="0.3">
      <c r="A248" s="8"/>
      <c r="B248" s="9"/>
      <c r="C248" s="9"/>
      <c r="D248" s="9"/>
      <c r="E248" s="9"/>
      <c r="F248" s="9"/>
      <c r="G248" s="9"/>
      <c r="H248" s="9"/>
      <c r="I248" s="4" t="s">
        <v>296</v>
      </c>
      <c r="J248" s="4">
        <v>0.96900385618209839</v>
      </c>
      <c r="K248" s="4" t="s">
        <v>29</v>
      </c>
      <c r="L248" s="4" t="s">
        <v>293</v>
      </c>
      <c r="M248" s="4">
        <v>4</v>
      </c>
    </row>
    <row r="249" spans="1:13" ht="90" customHeight="1" x14ac:dyDescent="0.3">
      <c r="A249" s="8"/>
      <c r="B249" s="9"/>
      <c r="C249" s="9"/>
      <c r="D249" s="9"/>
      <c r="E249" s="9"/>
      <c r="F249" s="9"/>
      <c r="G249" s="9"/>
      <c r="H249" s="9"/>
      <c r="I249" s="4" t="s">
        <v>392</v>
      </c>
      <c r="J249" s="4">
        <v>0.96732640266418457</v>
      </c>
      <c r="K249" s="4" t="s">
        <v>29</v>
      </c>
      <c r="L249" s="4" t="s">
        <v>293</v>
      </c>
      <c r="M249" s="4">
        <v>3</v>
      </c>
    </row>
    <row r="250" spans="1:13" ht="90" customHeight="1" x14ac:dyDescent="0.3">
      <c r="A250" s="8"/>
      <c r="B250" s="9"/>
      <c r="C250" s="9"/>
      <c r="D250" s="9"/>
      <c r="E250" s="9"/>
      <c r="F250" s="9"/>
      <c r="G250" s="9"/>
      <c r="H250" s="9"/>
      <c r="I250" s="1" t="s">
        <v>393</v>
      </c>
      <c r="J250" s="1">
        <v>0.8937530517578125</v>
      </c>
      <c r="K250" s="1" t="s">
        <v>29</v>
      </c>
      <c r="L250" s="1" t="s">
        <v>394</v>
      </c>
      <c r="M250" s="1">
        <v>3</v>
      </c>
    </row>
    <row r="251" spans="1:13" ht="90" customHeight="1" x14ac:dyDescent="0.3">
      <c r="A251" s="8"/>
      <c r="B251" s="9"/>
      <c r="C251" s="9"/>
      <c r="D251" s="9"/>
      <c r="E251" s="9"/>
      <c r="F251" s="9"/>
      <c r="G251" s="9"/>
      <c r="H251" s="9"/>
      <c r="I251" s="1" t="s">
        <v>395</v>
      </c>
      <c r="J251" s="1">
        <v>0.84512096643447876</v>
      </c>
      <c r="K251" s="1" t="s">
        <v>29</v>
      </c>
      <c r="L251" s="1" t="s">
        <v>396</v>
      </c>
      <c r="M251" s="1">
        <v>27</v>
      </c>
    </row>
    <row r="252" spans="1:13" ht="90" customHeight="1" x14ac:dyDescent="0.3">
      <c r="A252" s="8">
        <v>81</v>
      </c>
      <c r="B252" s="8" t="s">
        <v>397</v>
      </c>
      <c r="C252" s="8" t="s">
        <v>398</v>
      </c>
      <c r="D252" s="8" t="s">
        <v>399</v>
      </c>
      <c r="E252" s="10" t="s">
        <v>1201</v>
      </c>
      <c r="F252" s="10" t="s">
        <v>1202</v>
      </c>
      <c r="G252" s="8" t="s">
        <v>400</v>
      </c>
      <c r="H252" s="8" t="s">
        <v>401</v>
      </c>
      <c r="I252" s="4" t="s">
        <v>402</v>
      </c>
      <c r="J252" s="4">
        <v>0.93962371349334717</v>
      </c>
      <c r="K252" s="4" t="s">
        <v>29</v>
      </c>
      <c r="L252" s="4" t="s">
        <v>403</v>
      </c>
      <c r="M252" s="4">
        <v>7</v>
      </c>
    </row>
    <row r="253" spans="1:13" ht="90" customHeight="1" x14ac:dyDescent="0.3">
      <c r="A253" s="8"/>
      <c r="B253" s="9"/>
      <c r="C253" s="9"/>
      <c r="D253" s="9"/>
      <c r="E253" s="9"/>
      <c r="F253" s="9"/>
      <c r="G253" s="9"/>
      <c r="H253" s="9"/>
      <c r="I253" s="4" t="s">
        <v>404</v>
      </c>
      <c r="J253" s="4">
        <v>0.8794516921043396</v>
      </c>
      <c r="K253" s="4" t="s">
        <v>29</v>
      </c>
      <c r="L253" s="4" t="s">
        <v>405</v>
      </c>
      <c r="M253" s="4">
        <v>1</v>
      </c>
    </row>
    <row r="254" spans="1:13" ht="90" customHeight="1" x14ac:dyDescent="0.3">
      <c r="A254" s="8"/>
      <c r="B254" s="9"/>
      <c r="C254" s="9"/>
      <c r="D254" s="9"/>
      <c r="E254" s="9"/>
      <c r="F254" s="9"/>
      <c r="G254" s="9"/>
      <c r="H254" s="9"/>
      <c r="I254" s="1"/>
      <c r="J254" s="1"/>
      <c r="K254" s="1"/>
      <c r="L254" s="1"/>
      <c r="M254" s="1"/>
    </row>
    <row r="255" spans="1:13" ht="90" customHeight="1" x14ac:dyDescent="0.3">
      <c r="A255" s="8"/>
      <c r="B255" s="9"/>
      <c r="C255" s="9"/>
      <c r="D255" s="9"/>
      <c r="E255" s="9"/>
      <c r="F255" s="9"/>
      <c r="G255" s="9"/>
      <c r="H255" s="9"/>
      <c r="I255" s="1"/>
      <c r="J255" s="1"/>
      <c r="K255" s="1"/>
      <c r="L255" s="1"/>
      <c r="M255" s="1"/>
    </row>
    <row r="256" spans="1:13" ht="90" customHeight="1" x14ac:dyDescent="0.3">
      <c r="A256" s="8"/>
      <c r="B256" s="9"/>
      <c r="C256" s="9"/>
      <c r="D256" s="9"/>
      <c r="E256" s="9"/>
      <c r="F256" s="9"/>
      <c r="G256" s="9"/>
      <c r="H256" s="9"/>
      <c r="I256" s="1"/>
      <c r="J256" s="1"/>
      <c r="K256" s="1"/>
      <c r="L256" s="1"/>
      <c r="M256" s="1"/>
    </row>
    <row r="257" spans="1:13" ht="90" customHeight="1" x14ac:dyDescent="0.3">
      <c r="A257" s="8">
        <v>82</v>
      </c>
      <c r="B257" s="8" t="s">
        <v>406</v>
      </c>
      <c r="C257" s="8" t="s">
        <v>77</v>
      </c>
      <c r="D257" s="8" t="s">
        <v>54</v>
      </c>
      <c r="E257" s="10" t="s">
        <v>24</v>
      </c>
      <c r="F257" s="10" t="s">
        <v>25</v>
      </c>
      <c r="G257" s="8" t="s">
        <v>407</v>
      </c>
      <c r="H257" s="8" t="s">
        <v>408</v>
      </c>
      <c r="I257" s="4" t="s">
        <v>279</v>
      </c>
      <c r="J257" s="4">
        <v>0.96789259726258559</v>
      </c>
      <c r="K257" s="4" t="s">
        <v>29</v>
      </c>
      <c r="L257" s="4" t="s">
        <v>77</v>
      </c>
      <c r="M257" s="4">
        <v>5</v>
      </c>
    </row>
    <row r="258" spans="1:13" ht="90" customHeight="1" x14ac:dyDescent="0.3">
      <c r="A258" s="8"/>
      <c r="B258" s="9"/>
      <c r="C258" s="9"/>
      <c r="D258" s="9"/>
      <c r="E258" s="9"/>
      <c r="F258" s="9"/>
      <c r="G258" s="9"/>
      <c r="H258" s="9"/>
      <c r="I258" s="1"/>
      <c r="J258" s="1"/>
      <c r="K258" s="1"/>
      <c r="L258" s="1"/>
      <c r="M258" s="1"/>
    </row>
    <row r="259" spans="1:13" ht="90" customHeight="1" x14ac:dyDescent="0.3">
      <c r="A259" s="8"/>
      <c r="B259" s="9"/>
      <c r="C259" s="9"/>
      <c r="D259" s="9"/>
      <c r="E259" s="9"/>
      <c r="F259" s="9"/>
      <c r="G259" s="9"/>
      <c r="H259" s="9"/>
      <c r="I259" s="1"/>
      <c r="J259" s="1"/>
      <c r="K259" s="1"/>
      <c r="L259" s="1"/>
      <c r="M259" s="1"/>
    </row>
    <row r="260" spans="1:13" ht="90" customHeight="1" x14ac:dyDescent="0.3">
      <c r="A260" s="8"/>
      <c r="B260" s="9"/>
      <c r="C260" s="9"/>
      <c r="D260" s="9"/>
      <c r="E260" s="9"/>
      <c r="F260" s="9"/>
      <c r="G260" s="9"/>
      <c r="H260" s="9"/>
      <c r="I260" s="1"/>
      <c r="J260" s="1"/>
      <c r="K260" s="1"/>
      <c r="L260" s="1"/>
      <c r="M260" s="1"/>
    </row>
    <row r="261" spans="1:13" ht="90" customHeight="1" x14ac:dyDescent="0.3">
      <c r="A261" s="8"/>
      <c r="B261" s="9"/>
      <c r="C261" s="9"/>
      <c r="D261" s="9"/>
      <c r="E261" s="9"/>
      <c r="F261" s="9"/>
      <c r="G261" s="9"/>
      <c r="H261" s="9"/>
      <c r="I261" s="1"/>
      <c r="J261" s="1"/>
      <c r="K261" s="1"/>
      <c r="L261" s="1"/>
      <c r="M261" s="1"/>
    </row>
    <row r="262" spans="1:13" ht="90" customHeight="1" x14ac:dyDescent="0.3">
      <c r="A262" s="8">
        <v>85</v>
      </c>
      <c r="B262" s="8" t="s">
        <v>409</v>
      </c>
      <c r="C262" s="8" t="s">
        <v>410</v>
      </c>
      <c r="D262" s="8" t="s">
        <v>411</v>
      </c>
      <c r="E262" s="10" t="s">
        <v>24</v>
      </c>
      <c r="F262" s="10" t="s">
        <v>18</v>
      </c>
      <c r="G262" s="8" t="s">
        <v>412</v>
      </c>
      <c r="H262" s="8" t="s">
        <v>413</v>
      </c>
      <c r="I262" s="2" t="s">
        <v>414</v>
      </c>
      <c r="J262" s="2">
        <v>0.9998059868812561</v>
      </c>
      <c r="K262" s="2" t="s">
        <v>29</v>
      </c>
      <c r="L262" s="2" t="s">
        <v>410</v>
      </c>
      <c r="M262" s="2">
        <v>30</v>
      </c>
    </row>
    <row r="263" spans="1:13" ht="90" customHeight="1" x14ac:dyDescent="0.3">
      <c r="A263" s="8"/>
      <c r="B263" s="9"/>
      <c r="C263" s="9"/>
      <c r="D263" s="9"/>
      <c r="E263" s="9"/>
      <c r="F263" s="9"/>
      <c r="G263" s="9"/>
      <c r="H263" s="9"/>
      <c r="I263" s="5" t="s">
        <v>415</v>
      </c>
      <c r="J263" s="5">
        <v>0.99871015548706055</v>
      </c>
      <c r="K263" s="5" t="s">
        <v>29</v>
      </c>
      <c r="L263" s="5" t="s">
        <v>410</v>
      </c>
      <c r="M263" s="5">
        <v>23</v>
      </c>
    </row>
    <row r="264" spans="1:13" ht="90" customHeight="1" x14ac:dyDescent="0.3">
      <c r="A264" s="8"/>
      <c r="B264" s="9"/>
      <c r="C264" s="9"/>
      <c r="D264" s="9"/>
      <c r="E264" s="9"/>
      <c r="F264" s="9"/>
      <c r="G264" s="9"/>
      <c r="H264" s="9"/>
      <c r="I264" s="1"/>
      <c r="J264" s="1"/>
      <c r="K264" s="1"/>
      <c r="L264" s="1"/>
      <c r="M264" s="1"/>
    </row>
    <row r="265" spans="1:13" ht="90" customHeight="1" x14ac:dyDescent="0.3">
      <c r="A265" s="8"/>
      <c r="B265" s="9"/>
      <c r="C265" s="9"/>
      <c r="D265" s="9"/>
      <c r="E265" s="9"/>
      <c r="F265" s="9"/>
      <c r="G265" s="9"/>
      <c r="H265" s="9"/>
      <c r="I265" s="1"/>
      <c r="J265" s="1"/>
      <c r="K265" s="1"/>
      <c r="L265" s="1"/>
      <c r="M265" s="1"/>
    </row>
    <row r="266" spans="1:13" ht="90" customHeight="1" x14ac:dyDescent="0.3">
      <c r="A266" s="8"/>
      <c r="B266" s="9"/>
      <c r="C266" s="9"/>
      <c r="D266" s="9"/>
      <c r="E266" s="9"/>
      <c r="F266" s="9"/>
      <c r="G266" s="9"/>
      <c r="H266" s="9"/>
      <c r="I266" s="1"/>
      <c r="J266" s="1"/>
      <c r="K266" s="1"/>
      <c r="L266" s="1"/>
      <c r="M266" s="1"/>
    </row>
    <row r="267" spans="1:13" ht="90" customHeight="1" x14ac:dyDescent="0.3">
      <c r="A267" s="8">
        <v>90</v>
      </c>
      <c r="B267" s="8" t="s">
        <v>416</v>
      </c>
      <c r="C267" s="8" t="s">
        <v>410</v>
      </c>
      <c r="D267" s="8" t="s">
        <v>417</v>
      </c>
      <c r="E267" s="10" t="s">
        <v>24</v>
      </c>
      <c r="F267" s="10" t="s">
        <v>25</v>
      </c>
      <c r="G267" s="8" t="s">
        <v>418</v>
      </c>
      <c r="H267" s="8" t="s">
        <v>419</v>
      </c>
      <c r="I267" s="4" t="s">
        <v>420</v>
      </c>
      <c r="J267" s="4">
        <v>0.99971908330916981</v>
      </c>
      <c r="K267" s="4" t="s">
        <v>29</v>
      </c>
      <c r="L267" s="4" t="s">
        <v>410</v>
      </c>
      <c r="M267" s="4">
        <v>36</v>
      </c>
    </row>
    <row r="268" spans="1:13" ht="90" customHeight="1" x14ac:dyDescent="0.3">
      <c r="A268" s="8"/>
      <c r="B268" s="9"/>
      <c r="C268" s="9"/>
      <c r="D268" s="9"/>
      <c r="E268" s="9"/>
      <c r="F268" s="9"/>
      <c r="G268" s="9"/>
      <c r="H268" s="9"/>
      <c r="I268" s="1"/>
      <c r="J268" s="1"/>
      <c r="K268" s="1"/>
      <c r="L268" s="1"/>
      <c r="M268" s="1"/>
    </row>
    <row r="269" spans="1:13" ht="90" customHeight="1" x14ac:dyDescent="0.3">
      <c r="A269" s="8"/>
      <c r="B269" s="9"/>
      <c r="C269" s="9"/>
      <c r="D269" s="9"/>
      <c r="E269" s="9"/>
      <c r="F269" s="9"/>
      <c r="G269" s="9"/>
      <c r="H269" s="9"/>
      <c r="I269" s="1"/>
      <c r="J269" s="1"/>
      <c r="K269" s="1"/>
      <c r="L269" s="1"/>
      <c r="M269" s="1"/>
    </row>
    <row r="270" spans="1:13" ht="90" customHeight="1" x14ac:dyDescent="0.3">
      <c r="A270" s="8"/>
      <c r="B270" s="9"/>
      <c r="C270" s="9"/>
      <c r="D270" s="9"/>
      <c r="E270" s="9"/>
      <c r="F270" s="9"/>
      <c r="G270" s="9"/>
      <c r="H270" s="9"/>
      <c r="I270" s="1"/>
      <c r="J270" s="1"/>
      <c r="K270" s="1"/>
      <c r="L270" s="1"/>
      <c r="M270" s="1"/>
    </row>
    <row r="271" spans="1:13" ht="90" customHeight="1" x14ac:dyDescent="0.3">
      <c r="A271" s="8"/>
      <c r="B271" s="9"/>
      <c r="C271" s="9"/>
      <c r="D271" s="9"/>
      <c r="E271" s="9"/>
      <c r="F271" s="9"/>
      <c r="G271" s="9"/>
      <c r="H271" s="9"/>
      <c r="I271" s="1"/>
      <c r="J271" s="1"/>
      <c r="K271" s="1"/>
      <c r="L271" s="1"/>
      <c r="M271" s="1"/>
    </row>
    <row r="272" spans="1:13" ht="90" customHeight="1" x14ac:dyDescent="0.3">
      <c r="A272" s="8">
        <v>95</v>
      </c>
      <c r="B272" s="8" t="s">
        <v>421</v>
      </c>
      <c r="C272" s="8" t="s">
        <v>422</v>
      </c>
      <c r="D272" s="8" t="s">
        <v>423</v>
      </c>
      <c r="E272" s="10" t="s">
        <v>24</v>
      </c>
      <c r="F272" s="10" t="s">
        <v>25</v>
      </c>
      <c r="G272" s="8" t="s">
        <v>424</v>
      </c>
      <c r="H272" s="8" t="s">
        <v>425</v>
      </c>
      <c r="I272" s="2" t="s">
        <v>426</v>
      </c>
      <c r="J272" s="2">
        <v>0.89682710014453348</v>
      </c>
      <c r="K272" s="2" t="s">
        <v>68</v>
      </c>
      <c r="L272" s="2" t="s">
        <v>427</v>
      </c>
      <c r="M272" s="2">
        <v>2</v>
      </c>
    </row>
    <row r="273" spans="1:13" ht="90" customHeight="1" x14ac:dyDescent="0.3">
      <c r="A273" s="8"/>
      <c r="B273" s="9"/>
      <c r="C273" s="9"/>
      <c r="D273" s="9"/>
      <c r="E273" s="9"/>
      <c r="F273" s="9"/>
      <c r="G273" s="9"/>
      <c r="H273" s="9"/>
      <c r="I273" s="2" t="s">
        <v>428</v>
      </c>
      <c r="J273" s="2">
        <v>0.86228185892105103</v>
      </c>
      <c r="K273" s="2" t="s">
        <v>29</v>
      </c>
      <c r="L273" s="2" t="s">
        <v>422</v>
      </c>
      <c r="M273" s="2">
        <v>3</v>
      </c>
    </row>
    <row r="274" spans="1:13" ht="90" customHeight="1" x14ac:dyDescent="0.3">
      <c r="A274" s="8"/>
      <c r="B274" s="9"/>
      <c r="C274" s="9"/>
      <c r="D274" s="9"/>
      <c r="E274" s="9"/>
      <c r="F274" s="9"/>
      <c r="G274" s="9"/>
      <c r="H274" s="9"/>
      <c r="I274" s="4" t="s">
        <v>429</v>
      </c>
      <c r="J274" s="4">
        <v>0.85925692319869995</v>
      </c>
      <c r="K274" s="4" t="s">
        <v>29</v>
      </c>
      <c r="L274" s="4" t="s">
        <v>422</v>
      </c>
      <c r="M274" s="4">
        <v>6</v>
      </c>
    </row>
    <row r="275" spans="1:13" ht="90" customHeight="1" x14ac:dyDescent="0.3">
      <c r="A275" s="8"/>
      <c r="B275" s="9"/>
      <c r="C275" s="9"/>
      <c r="D275" s="9"/>
      <c r="E275" s="9"/>
      <c r="F275" s="9"/>
      <c r="G275" s="9"/>
      <c r="H275" s="9"/>
      <c r="I275" s="1" t="s">
        <v>430</v>
      </c>
      <c r="J275" s="1">
        <v>0.8399040699005127</v>
      </c>
      <c r="K275" s="1" t="s">
        <v>29</v>
      </c>
      <c r="L275" s="1" t="s">
        <v>422</v>
      </c>
      <c r="M275" s="1">
        <v>11</v>
      </c>
    </row>
    <row r="276" spans="1:13" ht="90" customHeight="1" x14ac:dyDescent="0.3">
      <c r="A276" s="8"/>
      <c r="B276" s="9"/>
      <c r="C276" s="9"/>
      <c r="D276" s="9"/>
      <c r="E276" s="9"/>
      <c r="F276" s="9"/>
      <c r="G276" s="9"/>
      <c r="H276" s="9"/>
      <c r="I276" s="1"/>
      <c r="J276" s="1"/>
      <c r="K276" s="1"/>
      <c r="L276" s="1"/>
      <c r="M276" s="1"/>
    </row>
    <row r="277" spans="1:13" ht="90" customHeight="1" x14ac:dyDescent="0.3">
      <c r="A277" s="8">
        <v>97</v>
      </c>
      <c r="B277" s="8" t="s">
        <v>431</v>
      </c>
      <c r="C277" s="8" t="s">
        <v>432</v>
      </c>
      <c r="D277" s="8" t="s">
        <v>127</v>
      </c>
      <c r="E277" s="10" t="s">
        <v>24</v>
      </c>
      <c r="F277" s="10" t="s">
        <v>25</v>
      </c>
      <c r="G277" s="8" t="s">
        <v>433</v>
      </c>
      <c r="H277" s="8" t="s">
        <v>434</v>
      </c>
      <c r="I277" s="4" t="s">
        <v>435</v>
      </c>
      <c r="J277" s="4">
        <v>0.72989171743392944</v>
      </c>
      <c r="K277" s="4" t="s">
        <v>29</v>
      </c>
      <c r="L277" s="4" t="s">
        <v>432</v>
      </c>
      <c r="M277" s="4">
        <v>13</v>
      </c>
    </row>
    <row r="278" spans="1:13" ht="90" customHeight="1" x14ac:dyDescent="0.3">
      <c r="A278" s="8"/>
      <c r="B278" s="9"/>
      <c r="C278" s="9"/>
      <c r="D278" s="9"/>
      <c r="E278" s="9"/>
      <c r="F278" s="9"/>
      <c r="G278" s="9"/>
      <c r="H278" s="9"/>
      <c r="I278" s="1"/>
      <c r="J278" s="1"/>
      <c r="K278" s="1"/>
      <c r="L278" s="1"/>
      <c r="M278" s="1"/>
    </row>
    <row r="279" spans="1:13" ht="90" customHeight="1" x14ac:dyDescent="0.3">
      <c r="A279" s="8"/>
      <c r="B279" s="9"/>
      <c r="C279" s="9"/>
      <c r="D279" s="9"/>
      <c r="E279" s="9"/>
      <c r="F279" s="9"/>
      <c r="G279" s="9"/>
      <c r="H279" s="9"/>
      <c r="I279" s="1"/>
      <c r="J279" s="1"/>
      <c r="K279" s="1"/>
      <c r="L279" s="1"/>
      <c r="M279" s="1"/>
    </row>
    <row r="280" spans="1:13" ht="90" customHeight="1" x14ac:dyDescent="0.3">
      <c r="A280" s="8"/>
      <c r="B280" s="9"/>
      <c r="C280" s="9"/>
      <c r="D280" s="9"/>
      <c r="E280" s="9"/>
      <c r="F280" s="9"/>
      <c r="G280" s="9"/>
      <c r="H280" s="9"/>
      <c r="I280" s="1"/>
      <c r="J280" s="1"/>
      <c r="K280" s="1"/>
      <c r="L280" s="1"/>
      <c r="M280" s="1"/>
    </row>
    <row r="281" spans="1:13" ht="90" customHeight="1" x14ac:dyDescent="0.3">
      <c r="A281" s="8"/>
      <c r="B281" s="9"/>
      <c r="C281" s="9"/>
      <c r="D281" s="9"/>
      <c r="E281" s="9"/>
      <c r="F281" s="9"/>
      <c r="G281" s="9"/>
      <c r="H281" s="9"/>
      <c r="I281" s="1"/>
      <c r="J281" s="1"/>
      <c r="K281" s="1"/>
      <c r="L281" s="1"/>
      <c r="M281" s="1"/>
    </row>
    <row r="282" spans="1:13" ht="90" customHeight="1" x14ac:dyDescent="0.3">
      <c r="A282" s="8">
        <v>99</v>
      </c>
      <c r="B282" s="8" t="s">
        <v>436</v>
      </c>
      <c r="C282" s="8" t="s">
        <v>432</v>
      </c>
      <c r="D282" s="8" t="s">
        <v>437</v>
      </c>
      <c r="E282" s="10" t="s">
        <v>24</v>
      </c>
      <c r="F282" s="10" t="s">
        <v>25</v>
      </c>
      <c r="G282" s="8" t="s">
        <v>438</v>
      </c>
      <c r="H282" s="8" t="s">
        <v>439</v>
      </c>
      <c r="I282" s="4" t="s">
        <v>440</v>
      </c>
      <c r="J282" s="4">
        <v>0.99962472915649414</v>
      </c>
      <c r="K282" s="4" t="s">
        <v>29</v>
      </c>
      <c r="L282" s="4" t="s">
        <v>432</v>
      </c>
      <c r="M282" s="4">
        <v>12</v>
      </c>
    </row>
    <row r="283" spans="1:13" ht="90" customHeight="1" x14ac:dyDescent="0.3">
      <c r="A283" s="8"/>
      <c r="B283" s="9"/>
      <c r="C283" s="9"/>
      <c r="D283" s="9"/>
      <c r="E283" s="9"/>
      <c r="F283" s="9"/>
      <c r="G283" s="9"/>
      <c r="H283" s="9"/>
      <c r="I283" s="1"/>
      <c r="J283" s="1"/>
      <c r="K283" s="1"/>
      <c r="L283" s="1"/>
      <c r="M283" s="1"/>
    </row>
    <row r="284" spans="1:13" ht="90" customHeight="1" x14ac:dyDescent="0.3">
      <c r="A284" s="8"/>
      <c r="B284" s="9"/>
      <c r="C284" s="9"/>
      <c r="D284" s="9"/>
      <c r="E284" s="9"/>
      <c r="F284" s="9"/>
      <c r="G284" s="9"/>
      <c r="H284" s="9"/>
      <c r="I284" s="1"/>
      <c r="J284" s="1"/>
      <c r="K284" s="1"/>
      <c r="L284" s="1"/>
      <c r="M284" s="1"/>
    </row>
    <row r="285" spans="1:13" ht="90" customHeight="1" x14ac:dyDescent="0.3">
      <c r="A285" s="8"/>
      <c r="B285" s="9"/>
      <c r="C285" s="9"/>
      <c r="D285" s="9"/>
      <c r="E285" s="9"/>
      <c r="F285" s="9"/>
      <c r="G285" s="9"/>
      <c r="H285" s="9"/>
      <c r="I285" s="1"/>
      <c r="J285" s="1"/>
      <c r="K285" s="1"/>
      <c r="L285" s="1"/>
      <c r="M285" s="1"/>
    </row>
    <row r="286" spans="1:13" ht="90" customHeight="1" x14ac:dyDescent="0.3">
      <c r="A286" s="8"/>
      <c r="B286" s="9"/>
      <c r="C286" s="9"/>
      <c r="D286" s="9"/>
      <c r="E286" s="9"/>
      <c r="F286" s="9"/>
      <c r="G286" s="9"/>
      <c r="H286" s="9"/>
      <c r="I286" s="1"/>
      <c r="J286" s="1"/>
      <c r="K286" s="1"/>
      <c r="L286" s="1"/>
      <c r="M286" s="1"/>
    </row>
    <row r="287" spans="1:13" ht="90" customHeight="1" x14ac:dyDescent="0.3">
      <c r="A287" s="8">
        <v>100</v>
      </c>
      <c r="B287" s="8" t="s">
        <v>441</v>
      </c>
      <c r="C287" s="8" t="s">
        <v>45</v>
      </c>
      <c r="D287" s="8" t="s">
        <v>46</v>
      </c>
      <c r="E287" s="10" t="s">
        <v>24</v>
      </c>
      <c r="F287" s="10" t="s">
        <v>25</v>
      </c>
      <c r="G287" s="8" t="s">
        <v>442</v>
      </c>
      <c r="H287" s="8" t="s">
        <v>443</v>
      </c>
      <c r="I287" s="4" t="s">
        <v>49</v>
      </c>
      <c r="J287" s="4">
        <v>0.99880798003167148</v>
      </c>
      <c r="K287" s="4" t="s">
        <v>29</v>
      </c>
      <c r="L287" s="4" t="s">
        <v>45</v>
      </c>
      <c r="M287" s="4">
        <v>1</v>
      </c>
    </row>
    <row r="288" spans="1:13" ht="90" customHeight="1" x14ac:dyDescent="0.3">
      <c r="A288" s="8"/>
      <c r="B288" s="9"/>
      <c r="C288" s="9"/>
      <c r="D288" s="9"/>
      <c r="E288" s="9"/>
      <c r="F288" s="9"/>
      <c r="G288" s="9"/>
      <c r="H288" s="9"/>
      <c r="I288" s="4" t="s">
        <v>50</v>
      </c>
      <c r="J288" s="4">
        <v>0.99232006990865573</v>
      </c>
      <c r="K288" s="4" t="s">
        <v>29</v>
      </c>
      <c r="L288" s="4" t="s">
        <v>45</v>
      </c>
      <c r="M288" s="4">
        <v>3</v>
      </c>
    </row>
    <row r="289" spans="1:13" ht="90" customHeight="1" x14ac:dyDescent="0.3">
      <c r="A289" s="8"/>
      <c r="B289" s="9"/>
      <c r="C289" s="9"/>
      <c r="D289" s="9"/>
      <c r="E289" s="9"/>
      <c r="F289" s="9"/>
      <c r="G289" s="9"/>
      <c r="H289" s="9"/>
      <c r="I289" s="4" t="s">
        <v>51</v>
      </c>
      <c r="J289" s="4">
        <v>0.91544177926575721</v>
      </c>
      <c r="K289" s="4" t="s">
        <v>29</v>
      </c>
      <c r="L289" s="4" t="s">
        <v>45</v>
      </c>
      <c r="M289" s="4">
        <v>2</v>
      </c>
    </row>
    <row r="290" spans="1:13" ht="90" customHeight="1" x14ac:dyDescent="0.3">
      <c r="A290" s="8"/>
      <c r="B290" s="9"/>
      <c r="C290" s="9"/>
      <c r="D290" s="9"/>
      <c r="E290" s="9"/>
      <c r="F290" s="9"/>
      <c r="G290" s="9"/>
      <c r="H290" s="9"/>
      <c r="I290" s="1"/>
      <c r="J290" s="1"/>
      <c r="K290" s="1"/>
      <c r="L290" s="1"/>
      <c r="M290" s="1"/>
    </row>
    <row r="291" spans="1:13" ht="90" customHeight="1" x14ac:dyDescent="0.3">
      <c r="A291" s="8"/>
      <c r="B291" s="9"/>
      <c r="C291" s="9"/>
      <c r="D291" s="9"/>
      <c r="E291" s="9"/>
      <c r="F291" s="9"/>
      <c r="G291" s="9"/>
      <c r="H291" s="9"/>
      <c r="I291" s="1"/>
      <c r="J291" s="1"/>
      <c r="K291" s="1"/>
      <c r="L291" s="1"/>
      <c r="M291" s="1"/>
    </row>
    <row r="292" spans="1:13" ht="90" customHeight="1" x14ac:dyDescent="0.3">
      <c r="A292" s="8">
        <v>101</v>
      </c>
      <c r="B292" s="8" t="s">
        <v>444</v>
      </c>
      <c r="C292" s="8" t="s">
        <v>33</v>
      </c>
      <c r="D292" s="8" t="s">
        <v>445</v>
      </c>
      <c r="E292" s="10" t="s">
        <v>24</v>
      </c>
      <c r="F292" s="10" t="s">
        <v>25</v>
      </c>
      <c r="G292" s="8" t="s">
        <v>446</v>
      </c>
      <c r="H292" s="8" t="s">
        <v>447</v>
      </c>
      <c r="I292" s="4" t="s">
        <v>352</v>
      </c>
      <c r="J292" s="4">
        <v>0.99997997283935547</v>
      </c>
      <c r="K292" s="4" t="s">
        <v>29</v>
      </c>
      <c r="L292" s="4" t="s">
        <v>33</v>
      </c>
      <c r="M292" s="4">
        <v>10</v>
      </c>
    </row>
    <row r="293" spans="1:13" ht="90" customHeight="1" x14ac:dyDescent="0.3">
      <c r="A293" s="8"/>
      <c r="B293" s="9"/>
      <c r="C293" s="9"/>
      <c r="D293" s="9"/>
      <c r="E293" s="9"/>
      <c r="F293" s="9"/>
      <c r="G293" s="9"/>
      <c r="H293" s="9"/>
      <c r="I293" s="5" t="s">
        <v>448</v>
      </c>
      <c r="J293" s="5">
        <v>0.99992263317108154</v>
      </c>
      <c r="K293" s="5" t="s">
        <v>29</v>
      </c>
      <c r="L293" s="5" t="s">
        <v>33</v>
      </c>
      <c r="M293" s="5">
        <v>9</v>
      </c>
    </row>
    <row r="294" spans="1:13" ht="90" customHeight="1" x14ac:dyDescent="0.3">
      <c r="A294" s="8"/>
      <c r="B294" s="9"/>
      <c r="C294" s="9"/>
      <c r="D294" s="9"/>
      <c r="E294" s="9"/>
      <c r="F294" s="9"/>
      <c r="G294" s="9"/>
      <c r="H294" s="9"/>
      <c r="I294" s="1"/>
      <c r="J294" s="1"/>
      <c r="K294" s="1"/>
      <c r="L294" s="1"/>
      <c r="M294" s="1"/>
    </row>
    <row r="295" spans="1:13" ht="90" customHeight="1" x14ac:dyDescent="0.3">
      <c r="A295" s="8"/>
      <c r="B295" s="9"/>
      <c r="C295" s="9"/>
      <c r="D295" s="9"/>
      <c r="E295" s="9"/>
      <c r="F295" s="9"/>
      <c r="G295" s="9"/>
      <c r="H295" s="9"/>
      <c r="I295" s="1"/>
      <c r="J295" s="1"/>
      <c r="K295" s="1"/>
      <c r="L295" s="1"/>
      <c r="M295" s="1"/>
    </row>
    <row r="296" spans="1:13" ht="90" customHeight="1" x14ac:dyDescent="0.3">
      <c r="A296" s="8"/>
      <c r="B296" s="9"/>
      <c r="C296" s="9"/>
      <c r="D296" s="9"/>
      <c r="E296" s="9"/>
      <c r="F296" s="9"/>
      <c r="G296" s="9"/>
      <c r="H296" s="9"/>
      <c r="I296" s="1"/>
      <c r="J296" s="1"/>
      <c r="K296" s="1"/>
      <c r="L296" s="1"/>
      <c r="M296" s="1"/>
    </row>
    <row r="297" spans="1:13" ht="90" customHeight="1" x14ac:dyDescent="0.3">
      <c r="A297" s="8">
        <v>102</v>
      </c>
      <c r="B297" s="8" t="s">
        <v>449</v>
      </c>
      <c r="C297" s="8" t="s">
        <v>83</v>
      </c>
      <c r="D297" s="8" t="s">
        <v>84</v>
      </c>
      <c r="E297" s="10" t="s">
        <v>17</v>
      </c>
      <c r="F297" s="10" t="s">
        <v>18</v>
      </c>
      <c r="G297" s="8" t="s">
        <v>450</v>
      </c>
      <c r="H297" s="8" t="s">
        <v>20</v>
      </c>
      <c r="I297" s="1"/>
      <c r="J297" s="1"/>
      <c r="K297" s="1"/>
      <c r="L297" s="1"/>
      <c r="M297" s="1"/>
    </row>
    <row r="298" spans="1:13" ht="90" customHeight="1" x14ac:dyDescent="0.3">
      <c r="A298" s="8"/>
      <c r="B298" s="9"/>
      <c r="C298" s="9"/>
      <c r="D298" s="9"/>
      <c r="E298" s="9"/>
      <c r="F298" s="9"/>
      <c r="G298" s="9"/>
      <c r="H298" s="9"/>
      <c r="I298" s="1"/>
      <c r="J298" s="1"/>
      <c r="K298" s="1"/>
      <c r="L298" s="1"/>
      <c r="M298" s="1"/>
    </row>
    <row r="299" spans="1:13" ht="90" customHeight="1" x14ac:dyDescent="0.3">
      <c r="A299" s="8"/>
      <c r="B299" s="9"/>
      <c r="C299" s="9"/>
      <c r="D299" s="9"/>
      <c r="E299" s="9"/>
      <c r="F299" s="9"/>
      <c r="G299" s="9"/>
      <c r="H299" s="9"/>
      <c r="I299" s="1"/>
      <c r="J299" s="1"/>
      <c r="K299" s="1"/>
      <c r="L299" s="1"/>
      <c r="M299" s="1"/>
    </row>
    <row r="300" spans="1:13" ht="90" customHeight="1" x14ac:dyDescent="0.3">
      <c r="A300" s="8"/>
      <c r="B300" s="9"/>
      <c r="C300" s="9"/>
      <c r="D300" s="9"/>
      <c r="E300" s="9"/>
      <c r="F300" s="9"/>
      <c r="G300" s="9"/>
      <c r="H300" s="9"/>
      <c r="I300" s="1"/>
      <c r="J300" s="1"/>
      <c r="K300" s="1"/>
      <c r="L300" s="1"/>
      <c r="M300" s="1"/>
    </row>
    <row r="301" spans="1:13" ht="90" customHeight="1" x14ac:dyDescent="0.3">
      <c r="A301" s="8"/>
      <c r="B301" s="9"/>
      <c r="C301" s="9"/>
      <c r="D301" s="9"/>
      <c r="E301" s="9"/>
      <c r="F301" s="9"/>
      <c r="G301" s="9"/>
      <c r="H301" s="9"/>
      <c r="I301" s="1"/>
      <c r="J301" s="1"/>
      <c r="K301" s="1"/>
      <c r="L301" s="1"/>
      <c r="M301" s="1"/>
    </row>
    <row r="302" spans="1:13" ht="90" customHeight="1" x14ac:dyDescent="0.3">
      <c r="A302" s="8">
        <v>103</v>
      </c>
      <c r="B302" s="8" t="s">
        <v>451</v>
      </c>
      <c r="C302" s="8" t="s">
        <v>452</v>
      </c>
      <c r="D302" s="8" t="s">
        <v>16</v>
      </c>
      <c r="E302" s="10" t="s">
        <v>24</v>
      </c>
      <c r="F302" s="10" t="s">
        <v>25</v>
      </c>
      <c r="G302" s="8" t="s">
        <v>453</v>
      </c>
      <c r="H302" s="8" t="s">
        <v>454</v>
      </c>
      <c r="I302" s="4" t="s">
        <v>455</v>
      </c>
      <c r="J302" s="4">
        <v>0.90893766639635765</v>
      </c>
      <c r="K302" s="4" t="s">
        <v>29</v>
      </c>
      <c r="L302" s="4" t="s">
        <v>452</v>
      </c>
      <c r="M302" s="4">
        <v>1</v>
      </c>
    </row>
    <row r="303" spans="1:13" ht="90" customHeight="1" x14ac:dyDescent="0.3">
      <c r="A303" s="8"/>
      <c r="B303" s="9"/>
      <c r="C303" s="9"/>
      <c r="D303" s="9"/>
      <c r="E303" s="9"/>
      <c r="F303" s="9"/>
      <c r="G303" s="9"/>
      <c r="H303" s="9"/>
      <c r="I303" s="2" t="s">
        <v>456</v>
      </c>
      <c r="J303" s="2">
        <v>0.89000463485717773</v>
      </c>
      <c r="K303" s="2" t="s">
        <v>29</v>
      </c>
      <c r="L303" s="2" t="s">
        <v>457</v>
      </c>
      <c r="M303" s="2">
        <v>2</v>
      </c>
    </row>
    <row r="304" spans="1:13" ht="90" customHeight="1" x14ac:dyDescent="0.3">
      <c r="A304" s="8"/>
      <c r="B304" s="9"/>
      <c r="C304" s="9"/>
      <c r="D304" s="9"/>
      <c r="E304" s="9"/>
      <c r="F304" s="9"/>
      <c r="G304" s="9"/>
      <c r="H304" s="9"/>
      <c r="I304" s="1"/>
      <c r="J304" s="1"/>
      <c r="K304" s="1"/>
      <c r="L304" s="1"/>
      <c r="M304" s="1"/>
    </row>
    <row r="305" spans="1:13" ht="90" customHeight="1" x14ac:dyDescent="0.3">
      <c r="A305" s="8"/>
      <c r="B305" s="9"/>
      <c r="C305" s="9"/>
      <c r="D305" s="9"/>
      <c r="E305" s="9"/>
      <c r="F305" s="9"/>
      <c r="G305" s="9"/>
      <c r="H305" s="9"/>
      <c r="I305" s="1"/>
      <c r="J305" s="1"/>
      <c r="K305" s="1"/>
      <c r="L305" s="1"/>
      <c r="M305" s="1"/>
    </row>
    <row r="306" spans="1:13" ht="90" customHeight="1" x14ac:dyDescent="0.3">
      <c r="A306" s="8"/>
      <c r="B306" s="9"/>
      <c r="C306" s="9"/>
      <c r="D306" s="9"/>
      <c r="E306" s="9"/>
      <c r="F306" s="9"/>
      <c r="G306" s="9"/>
      <c r="H306" s="9"/>
      <c r="I306" s="1"/>
      <c r="J306" s="1"/>
      <c r="K306" s="1"/>
      <c r="L306" s="1"/>
      <c r="M306" s="1"/>
    </row>
    <row r="307" spans="1:13" ht="90" customHeight="1" x14ac:dyDescent="0.3">
      <c r="A307" s="8">
        <v>105</v>
      </c>
      <c r="B307" s="8" t="s">
        <v>458</v>
      </c>
      <c r="C307" s="8" t="s">
        <v>459</v>
      </c>
      <c r="D307" s="8" t="s">
        <v>114</v>
      </c>
      <c r="E307" s="10" t="s">
        <v>24</v>
      </c>
      <c r="F307" s="10" t="s">
        <v>25</v>
      </c>
      <c r="G307" s="8" t="s">
        <v>460</v>
      </c>
      <c r="H307" s="8" t="s">
        <v>461</v>
      </c>
      <c r="I307" s="2" t="s">
        <v>462</v>
      </c>
      <c r="J307" s="2">
        <v>0.98061144351774909</v>
      </c>
      <c r="K307" s="2" t="s">
        <v>29</v>
      </c>
      <c r="L307" s="2" t="s">
        <v>459</v>
      </c>
      <c r="M307" s="2">
        <v>23</v>
      </c>
    </row>
    <row r="308" spans="1:13" ht="90" customHeight="1" x14ac:dyDescent="0.3">
      <c r="A308" s="8"/>
      <c r="B308" s="9"/>
      <c r="C308" s="9"/>
      <c r="D308" s="9"/>
      <c r="E308" s="9"/>
      <c r="F308" s="9"/>
      <c r="G308" s="9"/>
      <c r="H308" s="9"/>
      <c r="I308" s="4" t="s">
        <v>463</v>
      </c>
      <c r="J308" s="4">
        <v>0.96302509307853956</v>
      </c>
      <c r="K308" s="4" t="s">
        <v>29</v>
      </c>
      <c r="L308" s="4" t="s">
        <v>459</v>
      </c>
      <c r="M308" s="4">
        <v>2</v>
      </c>
    </row>
    <row r="309" spans="1:13" ht="90" customHeight="1" x14ac:dyDescent="0.3">
      <c r="A309" s="8"/>
      <c r="B309" s="9"/>
      <c r="C309" s="9"/>
      <c r="D309" s="9"/>
      <c r="E309" s="9"/>
      <c r="F309" s="9"/>
      <c r="G309" s="9"/>
      <c r="H309" s="9"/>
      <c r="I309" s="1" t="s">
        <v>464</v>
      </c>
      <c r="J309" s="1">
        <v>0.80703657865524292</v>
      </c>
      <c r="K309" s="1" t="s">
        <v>29</v>
      </c>
      <c r="L309" s="1" t="s">
        <v>459</v>
      </c>
      <c r="M309" s="1">
        <v>19</v>
      </c>
    </row>
    <row r="310" spans="1:13" ht="90" customHeight="1" x14ac:dyDescent="0.3">
      <c r="A310" s="8"/>
      <c r="B310" s="9"/>
      <c r="C310" s="9"/>
      <c r="D310" s="9"/>
      <c r="E310" s="9"/>
      <c r="F310" s="9"/>
      <c r="G310" s="9"/>
      <c r="H310" s="9"/>
      <c r="I310" s="1"/>
      <c r="J310" s="1"/>
      <c r="K310" s="1"/>
      <c r="L310" s="1"/>
      <c r="M310" s="1"/>
    </row>
    <row r="311" spans="1:13" ht="90" customHeight="1" x14ac:dyDescent="0.3">
      <c r="A311" s="8"/>
      <c r="B311" s="9"/>
      <c r="C311" s="9"/>
      <c r="D311" s="9"/>
      <c r="E311" s="9"/>
      <c r="F311" s="9"/>
      <c r="G311" s="9"/>
      <c r="H311" s="9"/>
      <c r="I311" s="1"/>
      <c r="J311" s="1"/>
      <c r="K311" s="1"/>
      <c r="L311" s="1"/>
      <c r="M311" s="1"/>
    </row>
    <row r="312" spans="1:13" ht="90" customHeight="1" x14ac:dyDescent="0.3">
      <c r="A312" s="8">
        <v>106</v>
      </c>
      <c r="B312" s="8" t="s">
        <v>465</v>
      </c>
      <c r="C312" s="8" t="s">
        <v>466</v>
      </c>
      <c r="D312" s="8" t="s">
        <v>467</v>
      </c>
      <c r="E312" s="10" t="s">
        <v>24</v>
      </c>
      <c r="F312" s="10" t="s">
        <v>25</v>
      </c>
      <c r="G312" s="8" t="s">
        <v>468</v>
      </c>
      <c r="H312" s="8" t="s">
        <v>469</v>
      </c>
      <c r="I312" s="4" t="s">
        <v>470</v>
      </c>
      <c r="J312" s="4">
        <v>0.95735506940868875</v>
      </c>
      <c r="K312" s="4" t="s">
        <v>29</v>
      </c>
      <c r="L312" s="4" t="s">
        <v>466</v>
      </c>
      <c r="M312" s="4">
        <v>340</v>
      </c>
    </row>
    <row r="313" spans="1:13" ht="90" customHeight="1" x14ac:dyDescent="0.3">
      <c r="A313" s="8"/>
      <c r="B313" s="9"/>
      <c r="C313" s="9"/>
      <c r="D313" s="9"/>
      <c r="E313" s="9"/>
      <c r="F313" s="9"/>
      <c r="G313" s="9"/>
      <c r="H313" s="9"/>
      <c r="I313" s="1"/>
      <c r="J313" s="1"/>
      <c r="K313" s="1"/>
      <c r="L313" s="1"/>
      <c r="M313" s="1"/>
    </row>
    <row r="314" spans="1:13" ht="90" customHeight="1" x14ac:dyDescent="0.3">
      <c r="A314" s="8"/>
      <c r="B314" s="9"/>
      <c r="C314" s="9"/>
      <c r="D314" s="9"/>
      <c r="E314" s="9"/>
      <c r="F314" s="9"/>
      <c r="G314" s="9"/>
      <c r="H314" s="9"/>
      <c r="I314" s="1"/>
      <c r="J314" s="1"/>
      <c r="K314" s="1"/>
      <c r="L314" s="1"/>
      <c r="M314" s="1"/>
    </row>
    <row r="315" spans="1:13" ht="90" customHeight="1" x14ac:dyDescent="0.3">
      <c r="A315" s="8"/>
      <c r="B315" s="9"/>
      <c r="C315" s="9"/>
      <c r="D315" s="9"/>
      <c r="E315" s="9"/>
      <c r="F315" s="9"/>
      <c r="G315" s="9"/>
      <c r="H315" s="9"/>
      <c r="I315" s="1"/>
      <c r="J315" s="1"/>
      <c r="K315" s="1"/>
      <c r="L315" s="1"/>
      <c r="M315" s="1"/>
    </row>
    <row r="316" spans="1:13" ht="90" customHeight="1" x14ac:dyDescent="0.3">
      <c r="A316" s="8"/>
      <c r="B316" s="9"/>
      <c r="C316" s="9"/>
      <c r="D316" s="9"/>
      <c r="E316" s="9"/>
      <c r="F316" s="9"/>
      <c r="G316" s="9"/>
      <c r="H316" s="9"/>
      <c r="I316" s="1"/>
      <c r="J316" s="1"/>
      <c r="K316" s="1"/>
      <c r="L316" s="1"/>
      <c r="M316" s="1"/>
    </row>
    <row r="317" spans="1:13" ht="90" customHeight="1" x14ac:dyDescent="0.3">
      <c r="A317" s="8">
        <v>108</v>
      </c>
      <c r="B317" s="8" t="s">
        <v>471</v>
      </c>
      <c r="C317" s="8" t="s">
        <v>87</v>
      </c>
      <c r="D317" s="8" t="s">
        <v>16</v>
      </c>
      <c r="E317" s="10" t="s">
        <v>24</v>
      </c>
      <c r="F317" s="10" t="s">
        <v>25</v>
      </c>
      <c r="G317" s="8" t="s">
        <v>472</v>
      </c>
      <c r="H317" s="8" t="s">
        <v>473</v>
      </c>
      <c r="I317" s="4" t="s">
        <v>90</v>
      </c>
      <c r="J317" s="4">
        <v>0.99981027841567971</v>
      </c>
      <c r="K317" s="4" t="s">
        <v>29</v>
      </c>
      <c r="L317" s="4" t="s">
        <v>87</v>
      </c>
      <c r="M317" s="4">
        <v>1</v>
      </c>
    </row>
    <row r="318" spans="1:13" ht="90" customHeight="1" x14ac:dyDescent="0.3">
      <c r="A318" s="8"/>
      <c r="B318" s="9"/>
      <c r="C318" s="9"/>
      <c r="D318" s="9"/>
      <c r="E318" s="9"/>
      <c r="F318" s="9"/>
      <c r="G318" s="9"/>
      <c r="H318" s="9"/>
      <c r="I318" s="1"/>
      <c r="J318" s="1"/>
      <c r="K318" s="1"/>
      <c r="L318" s="1"/>
      <c r="M318" s="1"/>
    </row>
    <row r="319" spans="1:13" ht="90" customHeight="1" x14ac:dyDescent="0.3">
      <c r="A319" s="8"/>
      <c r="B319" s="9"/>
      <c r="C319" s="9"/>
      <c r="D319" s="9"/>
      <c r="E319" s="9"/>
      <c r="F319" s="9"/>
      <c r="G319" s="9"/>
      <c r="H319" s="9"/>
      <c r="I319" s="1"/>
      <c r="J319" s="1"/>
      <c r="K319" s="1"/>
      <c r="L319" s="1"/>
      <c r="M319" s="1"/>
    </row>
    <row r="320" spans="1:13" ht="90" customHeight="1" x14ac:dyDescent="0.3">
      <c r="A320" s="8"/>
      <c r="B320" s="9"/>
      <c r="C320" s="9"/>
      <c r="D320" s="9"/>
      <c r="E320" s="9"/>
      <c r="F320" s="9"/>
      <c r="G320" s="9"/>
      <c r="H320" s="9"/>
      <c r="I320" s="1"/>
      <c r="J320" s="1"/>
      <c r="K320" s="1"/>
      <c r="L320" s="1"/>
      <c r="M320" s="1"/>
    </row>
    <row r="321" spans="1:13" ht="90" customHeight="1" x14ac:dyDescent="0.3">
      <c r="A321" s="8"/>
      <c r="B321" s="9"/>
      <c r="C321" s="9"/>
      <c r="D321" s="9"/>
      <c r="E321" s="9"/>
      <c r="F321" s="9"/>
      <c r="G321" s="9"/>
      <c r="H321" s="9"/>
      <c r="I321" s="1"/>
      <c r="J321" s="1"/>
      <c r="K321" s="1"/>
      <c r="L321" s="1"/>
      <c r="M321" s="1"/>
    </row>
    <row r="322" spans="1:13" ht="90" customHeight="1" x14ac:dyDescent="0.3">
      <c r="A322" s="8">
        <v>114</v>
      </c>
      <c r="B322" s="8" t="s">
        <v>474</v>
      </c>
      <c r="C322" s="8" t="s">
        <v>475</v>
      </c>
      <c r="D322" s="8" t="s">
        <v>476</v>
      </c>
      <c r="E322" s="10" t="s">
        <v>1201</v>
      </c>
      <c r="F322" s="10" t="s">
        <v>1202</v>
      </c>
      <c r="G322" s="8" t="s">
        <v>477</v>
      </c>
      <c r="H322" s="8" t="s">
        <v>478</v>
      </c>
      <c r="I322" s="4" t="s">
        <v>448</v>
      </c>
      <c r="J322" s="4">
        <v>0.99974006414413452</v>
      </c>
      <c r="K322" s="4" t="s">
        <v>29</v>
      </c>
      <c r="L322" s="4" t="s">
        <v>33</v>
      </c>
      <c r="M322" s="4">
        <v>9</v>
      </c>
    </row>
    <row r="323" spans="1:13" ht="90" customHeight="1" x14ac:dyDescent="0.3">
      <c r="A323" s="8"/>
      <c r="B323" s="9"/>
      <c r="C323" s="9"/>
      <c r="D323" s="9"/>
      <c r="E323" s="9"/>
      <c r="F323" s="9"/>
      <c r="G323" s="9"/>
      <c r="H323" s="9"/>
      <c r="I323" s="1"/>
      <c r="J323" s="1"/>
      <c r="K323" s="1"/>
      <c r="L323" s="1"/>
      <c r="M323" s="1"/>
    </row>
    <row r="324" spans="1:13" ht="90" customHeight="1" x14ac:dyDescent="0.3">
      <c r="A324" s="8"/>
      <c r="B324" s="9"/>
      <c r="C324" s="9"/>
      <c r="D324" s="9"/>
      <c r="E324" s="9"/>
      <c r="F324" s="9"/>
      <c r="G324" s="9"/>
      <c r="H324" s="9"/>
      <c r="I324" s="1"/>
      <c r="J324" s="1"/>
      <c r="K324" s="1"/>
      <c r="L324" s="1"/>
      <c r="M324" s="1"/>
    </row>
    <row r="325" spans="1:13" ht="90" customHeight="1" x14ac:dyDescent="0.3">
      <c r="A325" s="8"/>
      <c r="B325" s="9"/>
      <c r="C325" s="9"/>
      <c r="D325" s="9"/>
      <c r="E325" s="9"/>
      <c r="F325" s="9"/>
      <c r="G325" s="9"/>
      <c r="H325" s="9"/>
      <c r="I325" s="1"/>
      <c r="J325" s="1"/>
      <c r="K325" s="1"/>
      <c r="L325" s="1"/>
      <c r="M325" s="1"/>
    </row>
    <row r="326" spans="1:13" ht="90" customHeight="1" x14ac:dyDescent="0.3">
      <c r="A326" s="8"/>
      <c r="B326" s="9"/>
      <c r="C326" s="9"/>
      <c r="D326" s="9"/>
      <c r="E326" s="9"/>
      <c r="F326" s="9"/>
      <c r="G326" s="9"/>
      <c r="H326" s="9"/>
      <c r="I326" s="1"/>
      <c r="J326" s="1"/>
      <c r="K326" s="1"/>
      <c r="L326" s="1"/>
      <c r="M326" s="1"/>
    </row>
    <row r="327" spans="1:13" ht="90" customHeight="1" x14ac:dyDescent="0.3">
      <c r="A327" s="8">
        <v>117</v>
      </c>
      <c r="B327" s="8" t="s">
        <v>479</v>
      </c>
      <c r="C327" s="8" t="s">
        <v>480</v>
      </c>
      <c r="D327" s="8" t="s">
        <v>481</v>
      </c>
      <c r="E327" s="10" t="s">
        <v>24</v>
      </c>
      <c r="F327" s="10" t="s">
        <v>25</v>
      </c>
      <c r="G327" s="8" t="s">
        <v>482</v>
      </c>
      <c r="H327" s="8" t="s">
        <v>483</v>
      </c>
      <c r="I327" s="4" t="s">
        <v>484</v>
      </c>
      <c r="J327" s="4">
        <v>0.9922519326210022</v>
      </c>
      <c r="K327" s="4" t="s">
        <v>29</v>
      </c>
      <c r="L327" s="4" t="s">
        <v>480</v>
      </c>
      <c r="M327" s="4">
        <v>2</v>
      </c>
    </row>
    <row r="328" spans="1:13" ht="90" customHeight="1" x14ac:dyDescent="0.3">
      <c r="A328" s="8"/>
      <c r="B328" s="9"/>
      <c r="C328" s="9"/>
      <c r="D328" s="9"/>
      <c r="E328" s="9"/>
      <c r="F328" s="9"/>
      <c r="G328" s="9"/>
      <c r="H328" s="9"/>
      <c r="I328" s="4" t="s">
        <v>485</v>
      </c>
      <c r="J328" s="4">
        <v>0.9663994312286377</v>
      </c>
      <c r="K328" s="4" t="s">
        <v>29</v>
      </c>
      <c r="L328" s="4" t="s">
        <v>480</v>
      </c>
      <c r="M328" s="4">
        <v>1</v>
      </c>
    </row>
    <row r="329" spans="1:13" ht="90" customHeight="1" x14ac:dyDescent="0.3">
      <c r="A329" s="8"/>
      <c r="B329" s="9"/>
      <c r="C329" s="9"/>
      <c r="D329" s="9"/>
      <c r="E329" s="9"/>
      <c r="F329" s="9"/>
      <c r="G329" s="9"/>
      <c r="H329" s="9"/>
      <c r="I329" s="1"/>
      <c r="J329" s="1"/>
      <c r="K329" s="1"/>
      <c r="L329" s="1"/>
      <c r="M329" s="1"/>
    </row>
    <row r="330" spans="1:13" ht="90" customHeight="1" x14ac:dyDescent="0.3">
      <c r="A330" s="8"/>
      <c r="B330" s="9"/>
      <c r="C330" s="9"/>
      <c r="D330" s="9"/>
      <c r="E330" s="9"/>
      <c r="F330" s="9"/>
      <c r="G330" s="9"/>
      <c r="H330" s="9"/>
      <c r="I330" s="1"/>
      <c r="J330" s="1"/>
      <c r="K330" s="1"/>
      <c r="L330" s="1"/>
      <c r="M330" s="1"/>
    </row>
    <row r="331" spans="1:13" ht="90" customHeight="1" x14ac:dyDescent="0.3">
      <c r="A331" s="8"/>
      <c r="B331" s="9"/>
      <c r="C331" s="9"/>
      <c r="D331" s="9"/>
      <c r="E331" s="9"/>
      <c r="F331" s="9"/>
      <c r="G331" s="9"/>
      <c r="H331" s="9"/>
      <c r="I331" s="1"/>
      <c r="J331" s="1"/>
      <c r="K331" s="1"/>
      <c r="L331" s="1"/>
      <c r="M331" s="1"/>
    </row>
    <row r="332" spans="1:13" ht="90" customHeight="1" x14ac:dyDescent="0.3">
      <c r="A332" s="8">
        <v>120</v>
      </c>
      <c r="B332" s="8" t="s">
        <v>486</v>
      </c>
      <c r="C332" s="8" t="s">
        <v>487</v>
      </c>
      <c r="D332" s="8" t="s">
        <v>16</v>
      </c>
      <c r="E332" s="10" t="s">
        <v>24</v>
      </c>
      <c r="F332" s="10" t="s">
        <v>25</v>
      </c>
      <c r="G332" s="8" t="s">
        <v>488</v>
      </c>
      <c r="H332" s="8" t="s">
        <v>489</v>
      </c>
      <c r="I332" s="4" t="s">
        <v>490</v>
      </c>
      <c r="J332" s="4">
        <v>0.99918419122695923</v>
      </c>
      <c r="K332" s="4" t="s">
        <v>29</v>
      </c>
      <c r="L332" s="4" t="s">
        <v>487</v>
      </c>
      <c r="M332" s="4">
        <v>1</v>
      </c>
    </row>
    <row r="333" spans="1:13" ht="90" customHeight="1" x14ac:dyDescent="0.3">
      <c r="A333" s="8"/>
      <c r="B333" s="9"/>
      <c r="C333" s="9"/>
      <c r="D333" s="9"/>
      <c r="E333" s="9"/>
      <c r="F333" s="9"/>
      <c r="G333" s="9"/>
      <c r="H333" s="9"/>
      <c r="I333" s="1"/>
      <c r="J333" s="1"/>
      <c r="K333" s="1"/>
      <c r="L333" s="1"/>
      <c r="M333" s="1"/>
    </row>
    <row r="334" spans="1:13" ht="90" customHeight="1" x14ac:dyDescent="0.3">
      <c r="A334" s="8"/>
      <c r="B334" s="9"/>
      <c r="C334" s="9"/>
      <c r="D334" s="9"/>
      <c r="E334" s="9"/>
      <c r="F334" s="9"/>
      <c r="G334" s="9"/>
      <c r="H334" s="9"/>
      <c r="I334" s="1"/>
      <c r="J334" s="1"/>
      <c r="K334" s="1"/>
      <c r="L334" s="1"/>
      <c r="M334" s="1"/>
    </row>
    <row r="335" spans="1:13" ht="90" customHeight="1" x14ac:dyDescent="0.3">
      <c r="A335" s="8"/>
      <c r="B335" s="9"/>
      <c r="C335" s="9"/>
      <c r="D335" s="9"/>
      <c r="E335" s="9"/>
      <c r="F335" s="9"/>
      <c r="G335" s="9"/>
      <c r="H335" s="9"/>
      <c r="I335" s="1"/>
      <c r="J335" s="1"/>
      <c r="K335" s="1"/>
      <c r="L335" s="1"/>
      <c r="M335" s="1"/>
    </row>
    <row r="336" spans="1:13" ht="90" customHeight="1" x14ac:dyDescent="0.3">
      <c r="A336" s="8"/>
      <c r="B336" s="9"/>
      <c r="C336" s="9"/>
      <c r="D336" s="9"/>
      <c r="E336" s="9"/>
      <c r="F336" s="9"/>
      <c r="G336" s="9"/>
      <c r="H336" s="9"/>
      <c r="I336" s="1"/>
      <c r="J336" s="1"/>
      <c r="K336" s="1"/>
      <c r="L336" s="1"/>
      <c r="M336" s="1"/>
    </row>
    <row r="337" spans="1:13" ht="90" customHeight="1" x14ac:dyDescent="0.3">
      <c r="A337" s="8">
        <v>121</v>
      </c>
      <c r="B337" s="8" t="s">
        <v>491</v>
      </c>
      <c r="C337" s="8" t="s">
        <v>492</v>
      </c>
      <c r="D337" s="8" t="s">
        <v>16</v>
      </c>
      <c r="E337" s="10" t="s">
        <v>24</v>
      </c>
      <c r="F337" s="10" t="s">
        <v>25</v>
      </c>
      <c r="G337" s="8" t="s">
        <v>493</v>
      </c>
      <c r="H337" s="8" t="s">
        <v>494</v>
      </c>
      <c r="I337" s="4" t="s">
        <v>495</v>
      </c>
      <c r="J337" s="4">
        <v>0.81345897912979126</v>
      </c>
      <c r="K337" s="4" t="s">
        <v>29</v>
      </c>
      <c r="L337" s="4" t="s">
        <v>492</v>
      </c>
      <c r="M337" s="4">
        <v>1</v>
      </c>
    </row>
    <row r="338" spans="1:13" ht="90" customHeight="1" x14ac:dyDescent="0.3">
      <c r="A338" s="8"/>
      <c r="B338" s="9"/>
      <c r="C338" s="9"/>
      <c r="D338" s="9"/>
      <c r="E338" s="9"/>
      <c r="F338" s="9"/>
      <c r="G338" s="9"/>
      <c r="H338" s="9"/>
      <c r="I338" s="1"/>
      <c r="J338" s="1"/>
      <c r="K338" s="1"/>
      <c r="L338" s="1"/>
      <c r="M338" s="1"/>
    </row>
    <row r="339" spans="1:13" ht="90" customHeight="1" x14ac:dyDescent="0.3">
      <c r="A339" s="8"/>
      <c r="B339" s="9"/>
      <c r="C339" s="9"/>
      <c r="D339" s="9"/>
      <c r="E339" s="9"/>
      <c r="F339" s="9"/>
      <c r="G339" s="9"/>
      <c r="H339" s="9"/>
      <c r="I339" s="1"/>
      <c r="J339" s="1"/>
      <c r="K339" s="1"/>
      <c r="L339" s="1"/>
      <c r="M339" s="1"/>
    </row>
    <row r="340" spans="1:13" ht="90" customHeight="1" x14ac:dyDescent="0.3">
      <c r="A340" s="8"/>
      <c r="B340" s="9"/>
      <c r="C340" s="9"/>
      <c r="D340" s="9"/>
      <c r="E340" s="9"/>
      <c r="F340" s="9"/>
      <c r="G340" s="9"/>
      <c r="H340" s="9"/>
      <c r="I340" s="1"/>
      <c r="J340" s="1"/>
      <c r="K340" s="1"/>
      <c r="L340" s="1"/>
      <c r="M340" s="1"/>
    </row>
    <row r="341" spans="1:13" ht="90" customHeight="1" x14ac:dyDescent="0.3">
      <c r="A341" s="8"/>
      <c r="B341" s="9"/>
      <c r="C341" s="9"/>
      <c r="D341" s="9"/>
      <c r="E341" s="9"/>
      <c r="F341" s="9"/>
      <c r="G341" s="9"/>
      <c r="H341" s="9"/>
      <c r="I341" s="1"/>
      <c r="J341" s="1"/>
      <c r="K341" s="1"/>
      <c r="L341" s="1"/>
      <c r="M341" s="1"/>
    </row>
    <row r="342" spans="1:13" ht="90" customHeight="1" x14ac:dyDescent="0.3">
      <c r="A342" s="8">
        <v>123</v>
      </c>
      <c r="B342" s="8" t="s">
        <v>496</v>
      </c>
      <c r="C342" s="8" t="s">
        <v>333</v>
      </c>
      <c r="D342" s="8" t="s">
        <v>497</v>
      </c>
      <c r="E342" s="10" t="s">
        <v>24</v>
      </c>
      <c r="F342" s="10" t="s">
        <v>25</v>
      </c>
      <c r="G342" s="8" t="s">
        <v>498</v>
      </c>
      <c r="H342" s="8" t="s">
        <v>499</v>
      </c>
      <c r="I342" s="4" t="s">
        <v>500</v>
      </c>
      <c r="J342" s="4">
        <v>0.99915909767150879</v>
      </c>
      <c r="K342" s="4" t="s">
        <v>29</v>
      </c>
      <c r="L342" s="4" t="s">
        <v>333</v>
      </c>
      <c r="M342" s="4">
        <v>101</v>
      </c>
    </row>
    <row r="343" spans="1:13" ht="90" customHeight="1" x14ac:dyDescent="0.3">
      <c r="A343" s="8"/>
      <c r="B343" s="9"/>
      <c r="C343" s="9"/>
      <c r="D343" s="9"/>
      <c r="E343" s="9"/>
      <c r="F343" s="9"/>
      <c r="G343" s="9"/>
      <c r="H343" s="9"/>
      <c r="I343" s="5" t="s">
        <v>501</v>
      </c>
      <c r="J343" s="5">
        <v>0.99910777807235718</v>
      </c>
      <c r="K343" s="5" t="s">
        <v>29</v>
      </c>
      <c r="L343" s="5" t="s">
        <v>333</v>
      </c>
      <c r="M343" s="5">
        <v>102</v>
      </c>
    </row>
    <row r="344" spans="1:13" ht="90" customHeight="1" x14ac:dyDescent="0.3">
      <c r="A344" s="8"/>
      <c r="B344" s="9"/>
      <c r="C344" s="9"/>
      <c r="D344" s="9"/>
      <c r="E344" s="9"/>
      <c r="F344" s="9"/>
      <c r="G344" s="9"/>
      <c r="H344" s="9"/>
      <c r="I344" s="1"/>
      <c r="J344" s="1"/>
      <c r="K344" s="1"/>
      <c r="L344" s="1"/>
      <c r="M344" s="1"/>
    </row>
    <row r="345" spans="1:13" ht="90" customHeight="1" x14ac:dyDescent="0.3">
      <c r="A345" s="8"/>
      <c r="B345" s="9"/>
      <c r="C345" s="9"/>
      <c r="D345" s="9"/>
      <c r="E345" s="9"/>
      <c r="F345" s="9"/>
      <c r="G345" s="9"/>
      <c r="H345" s="9"/>
      <c r="I345" s="1"/>
      <c r="J345" s="1"/>
      <c r="K345" s="1"/>
      <c r="L345" s="1"/>
      <c r="M345" s="1"/>
    </row>
    <row r="346" spans="1:13" ht="90" customHeight="1" x14ac:dyDescent="0.3">
      <c r="A346" s="8"/>
      <c r="B346" s="9"/>
      <c r="C346" s="9"/>
      <c r="D346" s="9"/>
      <c r="E346" s="9"/>
      <c r="F346" s="9"/>
      <c r="G346" s="9"/>
      <c r="H346" s="9"/>
      <c r="I346" s="1"/>
      <c r="J346" s="1"/>
      <c r="K346" s="1"/>
      <c r="L346" s="1"/>
      <c r="M346" s="1"/>
    </row>
    <row r="347" spans="1:13" ht="90" customHeight="1" x14ac:dyDescent="0.3">
      <c r="A347" s="8">
        <v>124</v>
      </c>
      <c r="B347" s="8" t="s">
        <v>502</v>
      </c>
      <c r="C347" s="8" t="s">
        <v>77</v>
      </c>
      <c r="D347" s="8" t="s">
        <v>78</v>
      </c>
      <c r="E347" s="10" t="s">
        <v>24</v>
      </c>
      <c r="F347" s="10" t="s">
        <v>25</v>
      </c>
      <c r="G347" s="8" t="s">
        <v>503</v>
      </c>
      <c r="H347" s="8" t="s">
        <v>504</v>
      </c>
      <c r="I347" s="4" t="s">
        <v>81</v>
      </c>
      <c r="J347" s="4">
        <v>0.94940882921218872</v>
      </c>
      <c r="K347" s="4" t="s">
        <v>29</v>
      </c>
      <c r="L347" s="4" t="s">
        <v>77</v>
      </c>
      <c r="M347" s="4">
        <v>4</v>
      </c>
    </row>
    <row r="348" spans="1:13" ht="90" customHeight="1" x14ac:dyDescent="0.3">
      <c r="A348" s="8"/>
      <c r="B348" s="9"/>
      <c r="C348" s="9"/>
      <c r="D348" s="9"/>
      <c r="E348" s="9"/>
      <c r="F348" s="9"/>
      <c r="G348" s="9"/>
      <c r="H348" s="9"/>
      <c r="I348" s="1" t="s">
        <v>505</v>
      </c>
      <c r="J348" s="1">
        <v>0.91265863163095307</v>
      </c>
      <c r="K348" s="1" t="s">
        <v>29</v>
      </c>
      <c r="L348" s="1" t="s">
        <v>506</v>
      </c>
      <c r="M348" s="1">
        <v>43</v>
      </c>
    </row>
    <row r="349" spans="1:13" ht="90" customHeight="1" x14ac:dyDescent="0.3">
      <c r="A349" s="8"/>
      <c r="B349" s="9"/>
      <c r="C349" s="9"/>
      <c r="D349" s="9"/>
      <c r="E349" s="9"/>
      <c r="F349" s="9"/>
      <c r="G349" s="9"/>
      <c r="H349" s="9"/>
      <c r="I349" s="1" t="s">
        <v>507</v>
      </c>
      <c r="J349" s="1">
        <v>0.74718230962753296</v>
      </c>
      <c r="K349" s="1" t="s">
        <v>29</v>
      </c>
      <c r="L349" s="1" t="s">
        <v>508</v>
      </c>
      <c r="M349" s="1">
        <v>10</v>
      </c>
    </row>
    <row r="350" spans="1:13" ht="90" customHeight="1" x14ac:dyDescent="0.3">
      <c r="A350" s="8"/>
      <c r="B350" s="9"/>
      <c r="C350" s="9"/>
      <c r="D350" s="9"/>
      <c r="E350" s="9"/>
      <c r="F350" s="9"/>
      <c r="G350" s="9"/>
      <c r="H350" s="9"/>
      <c r="I350" s="1"/>
      <c r="J350" s="1"/>
      <c r="K350" s="1"/>
      <c r="L350" s="1"/>
      <c r="M350" s="1"/>
    </row>
    <row r="351" spans="1:13" ht="90" customHeight="1" x14ac:dyDescent="0.3">
      <c r="A351" s="8"/>
      <c r="B351" s="9"/>
      <c r="C351" s="9"/>
      <c r="D351" s="9"/>
      <c r="E351" s="9"/>
      <c r="F351" s="9"/>
      <c r="G351" s="9"/>
      <c r="H351" s="9"/>
      <c r="I351" s="1"/>
      <c r="J351" s="1"/>
      <c r="K351" s="1"/>
      <c r="L351" s="1"/>
      <c r="M351" s="1"/>
    </row>
    <row r="352" spans="1:13" ht="90" customHeight="1" x14ac:dyDescent="0.3">
      <c r="A352" s="8">
        <v>125</v>
      </c>
      <c r="B352" s="8" t="s">
        <v>509</v>
      </c>
      <c r="C352" s="8" t="s">
        <v>77</v>
      </c>
      <c r="D352" s="8" t="s">
        <v>16</v>
      </c>
      <c r="E352" s="10" t="s">
        <v>24</v>
      </c>
      <c r="F352" s="10" t="s">
        <v>25</v>
      </c>
      <c r="G352" s="8" t="s">
        <v>510</v>
      </c>
      <c r="H352" s="8" t="s">
        <v>511</v>
      </c>
      <c r="I352" s="4" t="s">
        <v>101</v>
      </c>
      <c r="J352" s="4">
        <v>0.98502979851348815</v>
      </c>
      <c r="K352" s="4" t="s">
        <v>29</v>
      </c>
      <c r="L352" s="4" t="s">
        <v>77</v>
      </c>
      <c r="M352" s="4">
        <v>1</v>
      </c>
    </row>
    <row r="353" spans="1:13" ht="90" customHeight="1" x14ac:dyDescent="0.3">
      <c r="A353" s="8"/>
      <c r="B353" s="9"/>
      <c r="C353" s="9"/>
      <c r="D353" s="9"/>
      <c r="E353" s="9"/>
      <c r="F353" s="9"/>
      <c r="G353" s="9"/>
      <c r="H353" s="9"/>
      <c r="I353" s="1"/>
      <c r="J353" s="1"/>
      <c r="K353" s="1"/>
      <c r="L353" s="1"/>
      <c r="M353" s="1"/>
    </row>
    <row r="354" spans="1:13" ht="90" customHeight="1" x14ac:dyDescent="0.3">
      <c r="A354" s="8"/>
      <c r="B354" s="9"/>
      <c r="C354" s="9"/>
      <c r="D354" s="9"/>
      <c r="E354" s="9"/>
      <c r="F354" s="9"/>
      <c r="G354" s="9"/>
      <c r="H354" s="9"/>
      <c r="I354" s="1"/>
      <c r="J354" s="1"/>
      <c r="K354" s="1"/>
      <c r="L354" s="1"/>
      <c r="M354" s="1"/>
    </row>
    <row r="355" spans="1:13" ht="90" customHeight="1" x14ac:dyDescent="0.3">
      <c r="A355" s="8"/>
      <c r="B355" s="9"/>
      <c r="C355" s="9"/>
      <c r="D355" s="9"/>
      <c r="E355" s="9"/>
      <c r="F355" s="9"/>
      <c r="G355" s="9"/>
      <c r="H355" s="9"/>
      <c r="I355" s="1"/>
      <c r="J355" s="1"/>
      <c r="K355" s="1"/>
      <c r="L355" s="1"/>
      <c r="M355" s="1"/>
    </row>
    <row r="356" spans="1:13" ht="90" customHeight="1" x14ac:dyDescent="0.3">
      <c r="A356" s="8"/>
      <c r="B356" s="9"/>
      <c r="C356" s="9"/>
      <c r="D356" s="9"/>
      <c r="E356" s="9"/>
      <c r="F356" s="9"/>
      <c r="G356" s="9"/>
      <c r="H356" s="9"/>
      <c r="I356" s="1"/>
      <c r="J356" s="1"/>
      <c r="K356" s="1"/>
      <c r="L356" s="1"/>
      <c r="M356" s="1"/>
    </row>
    <row r="357" spans="1:13" ht="90" customHeight="1" x14ac:dyDescent="0.3">
      <c r="A357" s="8">
        <v>127</v>
      </c>
      <c r="B357" s="8" t="s">
        <v>512</v>
      </c>
      <c r="C357" s="8" t="s">
        <v>513</v>
      </c>
      <c r="D357" s="8" t="s">
        <v>16</v>
      </c>
      <c r="E357" s="10" t="s">
        <v>24</v>
      </c>
      <c r="F357" s="10" t="s">
        <v>25</v>
      </c>
      <c r="G357" s="8" t="s">
        <v>514</v>
      </c>
      <c r="H357" s="8" t="s">
        <v>515</v>
      </c>
      <c r="I357" s="4" t="s">
        <v>516</v>
      </c>
      <c r="J357" s="4">
        <v>0.97769105434417725</v>
      </c>
      <c r="K357" s="4" t="s">
        <v>29</v>
      </c>
      <c r="L357" s="4" t="s">
        <v>513</v>
      </c>
      <c r="M357" s="4">
        <v>1</v>
      </c>
    </row>
    <row r="358" spans="1:13" ht="90" customHeight="1" x14ac:dyDescent="0.3">
      <c r="A358" s="8"/>
      <c r="B358" s="9"/>
      <c r="C358" s="9"/>
      <c r="D358" s="9"/>
      <c r="E358" s="9"/>
      <c r="F358" s="9"/>
      <c r="G358" s="9"/>
      <c r="H358" s="9"/>
      <c r="I358" s="1"/>
      <c r="J358" s="1"/>
      <c r="K358" s="1"/>
      <c r="L358" s="1"/>
      <c r="M358" s="1"/>
    </row>
    <row r="359" spans="1:13" ht="90" customHeight="1" x14ac:dyDescent="0.3">
      <c r="A359" s="8"/>
      <c r="B359" s="9"/>
      <c r="C359" s="9"/>
      <c r="D359" s="9"/>
      <c r="E359" s="9"/>
      <c r="F359" s="9"/>
      <c r="G359" s="9"/>
      <c r="H359" s="9"/>
      <c r="I359" s="1"/>
      <c r="J359" s="1"/>
      <c r="K359" s="1"/>
      <c r="L359" s="1"/>
      <c r="M359" s="1"/>
    </row>
    <row r="360" spans="1:13" ht="90" customHeight="1" x14ac:dyDescent="0.3">
      <c r="A360" s="8"/>
      <c r="B360" s="9"/>
      <c r="C360" s="9"/>
      <c r="D360" s="9"/>
      <c r="E360" s="9"/>
      <c r="F360" s="9"/>
      <c r="G360" s="9"/>
      <c r="H360" s="9"/>
      <c r="I360" s="1"/>
      <c r="J360" s="1"/>
      <c r="K360" s="1"/>
      <c r="L360" s="1"/>
      <c r="M360" s="1"/>
    </row>
    <row r="361" spans="1:13" ht="90" customHeight="1" x14ac:dyDescent="0.3">
      <c r="A361" s="8"/>
      <c r="B361" s="9"/>
      <c r="C361" s="9"/>
      <c r="D361" s="9"/>
      <c r="E361" s="9"/>
      <c r="F361" s="9"/>
      <c r="G361" s="9"/>
      <c r="H361" s="9"/>
      <c r="I361" s="1"/>
      <c r="J361" s="1"/>
      <c r="K361" s="1"/>
      <c r="L361" s="1"/>
      <c r="M361" s="1"/>
    </row>
    <row r="362" spans="1:13" ht="90" customHeight="1" x14ac:dyDescent="0.3">
      <c r="A362" s="8">
        <v>128</v>
      </c>
      <c r="B362" s="8" t="s">
        <v>517</v>
      </c>
      <c r="C362" s="8" t="s">
        <v>293</v>
      </c>
      <c r="D362" s="8" t="s">
        <v>518</v>
      </c>
      <c r="E362" s="10" t="s">
        <v>24</v>
      </c>
      <c r="F362" s="10" t="s">
        <v>25</v>
      </c>
      <c r="G362" s="8" t="s">
        <v>519</v>
      </c>
      <c r="H362" s="8" t="s">
        <v>520</v>
      </c>
      <c r="I362" s="4" t="s">
        <v>391</v>
      </c>
      <c r="J362" s="4">
        <v>0.99943214654922485</v>
      </c>
      <c r="K362" s="4" t="s">
        <v>29</v>
      </c>
      <c r="L362" s="4" t="s">
        <v>293</v>
      </c>
      <c r="M362" s="4">
        <v>2</v>
      </c>
    </row>
    <row r="363" spans="1:13" ht="90" customHeight="1" x14ac:dyDescent="0.3">
      <c r="A363" s="8"/>
      <c r="B363" s="9"/>
      <c r="C363" s="9"/>
      <c r="D363" s="9"/>
      <c r="E363" s="9"/>
      <c r="F363" s="9"/>
      <c r="G363" s="9"/>
      <c r="H363" s="9"/>
      <c r="I363" s="4" t="s">
        <v>296</v>
      </c>
      <c r="J363" s="4">
        <v>0.99771857261657715</v>
      </c>
      <c r="K363" s="4" t="s">
        <v>29</v>
      </c>
      <c r="L363" s="4" t="s">
        <v>293</v>
      </c>
      <c r="M363" s="4">
        <v>4</v>
      </c>
    </row>
    <row r="364" spans="1:13" ht="90" customHeight="1" x14ac:dyDescent="0.3">
      <c r="A364" s="8"/>
      <c r="B364" s="9"/>
      <c r="C364" s="9"/>
      <c r="D364" s="9"/>
      <c r="E364" s="9"/>
      <c r="F364" s="9"/>
      <c r="G364" s="9"/>
      <c r="H364" s="9"/>
      <c r="I364" s="4" t="s">
        <v>392</v>
      </c>
      <c r="J364" s="4">
        <v>0.99690669775009155</v>
      </c>
      <c r="K364" s="4" t="s">
        <v>29</v>
      </c>
      <c r="L364" s="4" t="s">
        <v>293</v>
      </c>
      <c r="M364" s="4">
        <v>3</v>
      </c>
    </row>
    <row r="365" spans="1:13" ht="90" customHeight="1" x14ac:dyDescent="0.3">
      <c r="A365" s="8"/>
      <c r="B365" s="9"/>
      <c r="C365" s="9"/>
      <c r="D365" s="9"/>
      <c r="E365" s="9"/>
      <c r="F365" s="9"/>
      <c r="G365" s="9"/>
      <c r="H365" s="9"/>
      <c r="I365" s="1"/>
      <c r="J365" s="1"/>
      <c r="K365" s="1"/>
      <c r="L365" s="1"/>
      <c r="M365" s="1"/>
    </row>
    <row r="366" spans="1:13" ht="90" customHeight="1" x14ac:dyDescent="0.3">
      <c r="A366" s="8"/>
      <c r="B366" s="9"/>
      <c r="C366" s="9"/>
      <c r="D366" s="9"/>
      <c r="E366" s="9"/>
      <c r="F366" s="9"/>
      <c r="G366" s="9"/>
      <c r="H366" s="9"/>
      <c r="I366" s="1"/>
      <c r="J366" s="1"/>
      <c r="K366" s="1"/>
      <c r="L366" s="1"/>
      <c r="M366" s="1"/>
    </row>
    <row r="367" spans="1:13" ht="90" customHeight="1" x14ac:dyDescent="0.3">
      <c r="A367" s="8">
        <v>129</v>
      </c>
      <c r="B367" s="8" t="s">
        <v>521</v>
      </c>
      <c r="C367" s="8" t="s">
        <v>45</v>
      </c>
      <c r="D367" s="8" t="s">
        <v>46</v>
      </c>
      <c r="E367" s="10" t="s">
        <v>24</v>
      </c>
      <c r="F367" s="10" t="s">
        <v>25</v>
      </c>
      <c r="G367" s="8" t="s">
        <v>522</v>
      </c>
      <c r="H367" s="8" t="s">
        <v>523</v>
      </c>
      <c r="I367" s="4" t="s">
        <v>50</v>
      </c>
      <c r="J367" s="4">
        <v>0.88937575229858712</v>
      </c>
      <c r="K367" s="4" t="s">
        <v>29</v>
      </c>
      <c r="L367" s="4" t="s">
        <v>45</v>
      </c>
      <c r="M367" s="4">
        <v>3</v>
      </c>
    </row>
    <row r="368" spans="1:13" ht="90" customHeight="1" x14ac:dyDescent="0.3">
      <c r="A368" s="8"/>
      <c r="B368" s="9"/>
      <c r="C368" s="9"/>
      <c r="D368" s="9"/>
      <c r="E368" s="9"/>
      <c r="F368" s="9"/>
      <c r="G368" s="9"/>
      <c r="H368" s="9"/>
      <c r="I368" s="4" t="s">
        <v>49</v>
      </c>
      <c r="J368" s="4">
        <v>0.88483035793870257</v>
      </c>
      <c r="K368" s="4" t="s">
        <v>29</v>
      </c>
      <c r="L368" s="4" t="s">
        <v>45</v>
      </c>
      <c r="M368" s="4">
        <v>1</v>
      </c>
    </row>
    <row r="369" spans="1:13" ht="90" customHeight="1" x14ac:dyDescent="0.3">
      <c r="A369" s="8"/>
      <c r="B369" s="9"/>
      <c r="C369" s="9"/>
      <c r="D369" s="9"/>
      <c r="E369" s="9"/>
      <c r="F369" s="9"/>
      <c r="G369" s="9"/>
      <c r="H369" s="9"/>
      <c r="I369" s="4" t="s">
        <v>51</v>
      </c>
      <c r="J369" s="4">
        <v>0.82442681542169749</v>
      </c>
      <c r="K369" s="4" t="s">
        <v>29</v>
      </c>
      <c r="L369" s="4" t="s">
        <v>45</v>
      </c>
      <c r="M369" s="4">
        <v>2</v>
      </c>
    </row>
    <row r="370" spans="1:13" ht="90" customHeight="1" x14ac:dyDescent="0.3">
      <c r="A370" s="8"/>
      <c r="B370" s="9"/>
      <c r="C370" s="9"/>
      <c r="D370" s="9"/>
      <c r="E370" s="9"/>
      <c r="F370" s="9"/>
      <c r="G370" s="9"/>
      <c r="H370" s="9"/>
      <c r="I370" s="1"/>
      <c r="J370" s="1"/>
      <c r="K370" s="1"/>
      <c r="L370" s="1"/>
      <c r="M370" s="1"/>
    </row>
    <row r="371" spans="1:13" ht="90" customHeight="1" x14ac:dyDescent="0.3">
      <c r="A371" s="8"/>
      <c r="B371" s="9"/>
      <c r="C371" s="9"/>
      <c r="D371" s="9"/>
      <c r="E371" s="9"/>
      <c r="F371" s="9"/>
      <c r="G371" s="9"/>
      <c r="H371" s="9"/>
      <c r="I371" s="1"/>
      <c r="J371" s="1"/>
      <c r="K371" s="1"/>
      <c r="L371" s="1"/>
      <c r="M371" s="1"/>
    </row>
    <row r="372" spans="1:13" ht="90" customHeight="1" x14ac:dyDescent="0.3">
      <c r="A372" s="8">
        <v>131</v>
      </c>
      <c r="B372" s="8" t="s">
        <v>524</v>
      </c>
      <c r="C372" s="8" t="s">
        <v>525</v>
      </c>
      <c r="D372" s="8" t="s">
        <v>16</v>
      </c>
      <c r="E372" s="10" t="s">
        <v>17</v>
      </c>
      <c r="F372" s="10" t="s">
        <v>18</v>
      </c>
      <c r="G372" s="8" t="s">
        <v>526</v>
      </c>
      <c r="H372" s="8" t="s">
        <v>20</v>
      </c>
      <c r="I372" s="1"/>
      <c r="J372" s="1"/>
      <c r="K372" s="1"/>
      <c r="L372" s="1"/>
      <c r="M372" s="1"/>
    </row>
    <row r="373" spans="1:13" ht="90" customHeight="1" x14ac:dyDescent="0.3">
      <c r="A373" s="8"/>
      <c r="B373" s="9"/>
      <c r="C373" s="9"/>
      <c r="D373" s="9"/>
      <c r="E373" s="9"/>
      <c r="F373" s="9"/>
      <c r="G373" s="9"/>
      <c r="H373" s="9"/>
      <c r="I373" s="1"/>
      <c r="J373" s="1"/>
      <c r="K373" s="1"/>
      <c r="L373" s="1"/>
      <c r="M373" s="1"/>
    </row>
    <row r="374" spans="1:13" ht="90" customHeight="1" x14ac:dyDescent="0.3">
      <c r="A374" s="8"/>
      <c r="B374" s="9"/>
      <c r="C374" s="9"/>
      <c r="D374" s="9"/>
      <c r="E374" s="9"/>
      <c r="F374" s="9"/>
      <c r="G374" s="9"/>
      <c r="H374" s="9"/>
      <c r="I374" s="1"/>
      <c r="J374" s="1"/>
      <c r="K374" s="1"/>
      <c r="L374" s="1"/>
      <c r="M374" s="1"/>
    </row>
    <row r="375" spans="1:13" ht="90" customHeight="1" x14ac:dyDescent="0.3">
      <c r="A375" s="8"/>
      <c r="B375" s="9"/>
      <c r="C375" s="9"/>
      <c r="D375" s="9"/>
      <c r="E375" s="9"/>
      <c r="F375" s="9"/>
      <c r="G375" s="9"/>
      <c r="H375" s="9"/>
      <c r="I375" s="1"/>
      <c r="J375" s="1"/>
      <c r="K375" s="1"/>
      <c r="L375" s="1"/>
      <c r="M375" s="1"/>
    </row>
    <row r="376" spans="1:13" ht="90" customHeight="1" x14ac:dyDescent="0.3">
      <c r="A376" s="8"/>
      <c r="B376" s="9"/>
      <c r="C376" s="9"/>
      <c r="D376" s="9"/>
      <c r="E376" s="9"/>
      <c r="F376" s="9"/>
      <c r="G376" s="9"/>
      <c r="H376" s="9"/>
      <c r="I376" s="1"/>
      <c r="J376" s="1"/>
      <c r="K376" s="1"/>
      <c r="L376" s="1"/>
      <c r="M376" s="1"/>
    </row>
    <row r="377" spans="1:13" ht="90" customHeight="1" x14ac:dyDescent="0.3">
      <c r="A377" s="8">
        <v>135</v>
      </c>
      <c r="B377" s="8" t="s">
        <v>527</v>
      </c>
      <c r="C377" s="8" t="s">
        <v>528</v>
      </c>
      <c r="D377" s="8" t="s">
        <v>481</v>
      </c>
      <c r="E377" s="10" t="s">
        <v>24</v>
      </c>
      <c r="F377" s="10" t="s">
        <v>25</v>
      </c>
      <c r="G377" s="8" t="s">
        <v>529</v>
      </c>
      <c r="H377" s="8" t="s">
        <v>530</v>
      </c>
      <c r="I377" s="4" t="s">
        <v>531</v>
      </c>
      <c r="J377" s="4">
        <v>0.99994742870330811</v>
      </c>
      <c r="K377" s="4" t="s">
        <v>29</v>
      </c>
      <c r="L377" s="4" t="s">
        <v>528</v>
      </c>
      <c r="M377" s="4">
        <v>2</v>
      </c>
    </row>
    <row r="378" spans="1:13" ht="90" customHeight="1" x14ac:dyDescent="0.3">
      <c r="A378" s="8"/>
      <c r="B378" s="9"/>
      <c r="C378" s="9"/>
      <c r="D378" s="9"/>
      <c r="E378" s="9"/>
      <c r="F378" s="9"/>
      <c r="G378" s="9"/>
      <c r="H378" s="9"/>
      <c r="I378" s="4" t="s">
        <v>532</v>
      </c>
      <c r="J378" s="4">
        <v>0.99990200934324247</v>
      </c>
      <c r="K378" s="4" t="s">
        <v>29</v>
      </c>
      <c r="L378" s="4" t="s">
        <v>528</v>
      </c>
      <c r="M378" s="4">
        <v>1</v>
      </c>
    </row>
    <row r="379" spans="1:13" ht="90" customHeight="1" x14ac:dyDescent="0.3">
      <c r="A379" s="8"/>
      <c r="B379" s="9"/>
      <c r="C379" s="9"/>
      <c r="D379" s="9"/>
      <c r="E379" s="9"/>
      <c r="F379" s="9"/>
      <c r="G379" s="9"/>
      <c r="H379" s="9"/>
      <c r="I379" s="2" t="s">
        <v>533</v>
      </c>
      <c r="J379" s="2">
        <v>0.99774038791650244</v>
      </c>
      <c r="K379" s="2" t="s">
        <v>29</v>
      </c>
      <c r="L379" s="2" t="s">
        <v>528</v>
      </c>
      <c r="M379" s="2">
        <v>10</v>
      </c>
    </row>
    <row r="380" spans="1:13" ht="90" customHeight="1" x14ac:dyDescent="0.3">
      <c r="A380" s="8"/>
      <c r="B380" s="9"/>
      <c r="C380" s="9"/>
      <c r="D380" s="9"/>
      <c r="E380" s="9"/>
      <c r="F380" s="9"/>
      <c r="G380" s="9"/>
      <c r="H380" s="9"/>
      <c r="I380" s="1" t="s">
        <v>534</v>
      </c>
      <c r="J380" s="1">
        <v>0.97022384405136108</v>
      </c>
      <c r="K380" s="1" t="s">
        <v>29</v>
      </c>
      <c r="L380" s="1" t="s">
        <v>528</v>
      </c>
      <c r="M380" s="1">
        <v>4</v>
      </c>
    </row>
    <row r="381" spans="1:13" ht="90" customHeight="1" x14ac:dyDescent="0.3">
      <c r="A381" s="8"/>
      <c r="B381" s="9"/>
      <c r="C381" s="9"/>
      <c r="D381" s="9"/>
      <c r="E381" s="9"/>
      <c r="F381" s="9"/>
      <c r="G381" s="9"/>
      <c r="H381" s="9"/>
      <c r="I381" s="1" t="s">
        <v>535</v>
      </c>
      <c r="J381" s="1">
        <v>0.96370732784149826</v>
      </c>
      <c r="K381" s="1" t="s">
        <v>29</v>
      </c>
      <c r="L381" s="1" t="s">
        <v>528</v>
      </c>
      <c r="M381" s="1">
        <v>7</v>
      </c>
    </row>
    <row r="382" spans="1:13" ht="90" customHeight="1" x14ac:dyDescent="0.3">
      <c r="A382" s="8">
        <v>138</v>
      </c>
      <c r="B382" s="8" t="s">
        <v>536</v>
      </c>
      <c r="C382" s="8" t="s">
        <v>537</v>
      </c>
      <c r="D382" s="8" t="s">
        <v>84</v>
      </c>
      <c r="E382" s="10" t="s">
        <v>24</v>
      </c>
      <c r="F382" s="10" t="s">
        <v>25</v>
      </c>
      <c r="G382" s="8" t="s">
        <v>538</v>
      </c>
      <c r="H382" s="8" t="s">
        <v>539</v>
      </c>
      <c r="I382" s="4" t="s">
        <v>540</v>
      </c>
      <c r="J382" s="4">
        <v>0.99999940395355225</v>
      </c>
      <c r="K382" s="4" t="s">
        <v>29</v>
      </c>
      <c r="L382" s="4" t="s">
        <v>537</v>
      </c>
      <c r="M382" s="4">
        <v>11</v>
      </c>
    </row>
    <row r="383" spans="1:13" ht="90" customHeight="1" x14ac:dyDescent="0.3">
      <c r="A383" s="8"/>
      <c r="B383" s="9"/>
      <c r="C383" s="9"/>
      <c r="D383" s="9"/>
      <c r="E383" s="9"/>
      <c r="F383" s="9"/>
      <c r="G383" s="9"/>
      <c r="H383" s="9"/>
      <c r="I383" s="1"/>
      <c r="J383" s="1"/>
      <c r="K383" s="1"/>
      <c r="L383" s="1"/>
      <c r="M383" s="1"/>
    </row>
    <row r="384" spans="1:13" ht="90" customHeight="1" x14ac:dyDescent="0.3">
      <c r="A384" s="8"/>
      <c r="B384" s="9"/>
      <c r="C384" s="9"/>
      <c r="D384" s="9"/>
      <c r="E384" s="9"/>
      <c r="F384" s="9"/>
      <c r="G384" s="9"/>
      <c r="H384" s="9"/>
      <c r="I384" s="1"/>
      <c r="J384" s="1"/>
      <c r="K384" s="1"/>
      <c r="L384" s="1"/>
      <c r="M384" s="1"/>
    </row>
    <row r="385" spans="1:13" ht="90" customHeight="1" x14ac:dyDescent="0.3">
      <c r="A385" s="8"/>
      <c r="B385" s="9"/>
      <c r="C385" s="9"/>
      <c r="D385" s="9"/>
      <c r="E385" s="9"/>
      <c r="F385" s="9"/>
      <c r="G385" s="9"/>
      <c r="H385" s="9"/>
      <c r="I385" s="1"/>
      <c r="J385" s="1"/>
      <c r="K385" s="1"/>
      <c r="L385" s="1"/>
      <c r="M385" s="1"/>
    </row>
    <row r="386" spans="1:13" ht="90" customHeight="1" x14ac:dyDescent="0.3">
      <c r="A386" s="8"/>
      <c r="B386" s="9"/>
      <c r="C386" s="9"/>
      <c r="D386" s="9"/>
      <c r="E386" s="9"/>
      <c r="F386" s="9"/>
      <c r="G386" s="9"/>
      <c r="H386" s="9"/>
      <c r="I386" s="1"/>
      <c r="J386" s="1"/>
      <c r="K386" s="1"/>
      <c r="L386" s="1"/>
      <c r="M386" s="1"/>
    </row>
    <row r="387" spans="1:13" ht="90" customHeight="1" x14ac:dyDescent="0.3">
      <c r="A387" s="8">
        <v>143</v>
      </c>
      <c r="B387" s="8" t="s">
        <v>541</v>
      </c>
      <c r="C387" s="8" t="s">
        <v>96</v>
      </c>
      <c r="D387" s="8" t="s">
        <v>542</v>
      </c>
      <c r="E387" s="10" t="s">
        <v>17</v>
      </c>
      <c r="F387" s="10" t="s">
        <v>18</v>
      </c>
      <c r="G387" s="8" t="s">
        <v>543</v>
      </c>
      <c r="H387" s="8" t="s">
        <v>544</v>
      </c>
      <c r="I387" s="1"/>
      <c r="J387" s="1"/>
      <c r="K387" s="1"/>
      <c r="L387" s="1"/>
      <c r="M387" s="1"/>
    </row>
    <row r="388" spans="1:13" ht="90" customHeight="1" x14ac:dyDescent="0.3">
      <c r="A388" s="8"/>
      <c r="B388" s="9"/>
      <c r="C388" s="9"/>
      <c r="D388" s="9"/>
      <c r="E388" s="9"/>
      <c r="F388" s="9"/>
      <c r="G388" s="9"/>
      <c r="H388" s="9"/>
      <c r="I388" s="1"/>
      <c r="J388" s="1"/>
      <c r="K388" s="1"/>
      <c r="L388" s="1"/>
      <c r="M388" s="1"/>
    </row>
    <row r="389" spans="1:13" ht="90" customHeight="1" x14ac:dyDescent="0.3">
      <c r="A389" s="8"/>
      <c r="B389" s="9"/>
      <c r="C389" s="9"/>
      <c r="D389" s="9"/>
      <c r="E389" s="9"/>
      <c r="F389" s="9"/>
      <c r="G389" s="9"/>
      <c r="H389" s="9"/>
      <c r="I389" s="1"/>
      <c r="J389" s="1"/>
      <c r="K389" s="1"/>
      <c r="L389" s="1"/>
      <c r="M389" s="1"/>
    </row>
    <row r="390" spans="1:13" ht="90" customHeight="1" x14ac:dyDescent="0.3">
      <c r="A390" s="8"/>
      <c r="B390" s="9"/>
      <c r="C390" s="9"/>
      <c r="D390" s="9"/>
      <c r="E390" s="9"/>
      <c r="F390" s="9"/>
      <c r="G390" s="9"/>
      <c r="H390" s="9"/>
      <c r="I390" s="1"/>
      <c r="J390" s="1"/>
      <c r="K390" s="1"/>
      <c r="L390" s="1"/>
      <c r="M390" s="1"/>
    </row>
    <row r="391" spans="1:13" ht="90" customHeight="1" x14ac:dyDescent="0.3">
      <c r="A391" s="8"/>
      <c r="B391" s="9"/>
      <c r="C391" s="9"/>
      <c r="D391" s="9"/>
      <c r="E391" s="9"/>
      <c r="F391" s="9"/>
      <c r="G391" s="9"/>
      <c r="H391" s="9"/>
      <c r="I391" s="1"/>
      <c r="J391" s="1"/>
      <c r="K391" s="1"/>
      <c r="L391" s="1"/>
      <c r="M391" s="1"/>
    </row>
    <row r="392" spans="1:13" ht="90" customHeight="1" x14ac:dyDescent="0.3">
      <c r="A392" s="8">
        <v>144</v>
      </c>
      <c r="B392" s="8" t="s">
        <v>545</v>
      </c>
      <c r="C392" s="8" t="s">
        <v>466</v>
      </c>
      <c r="D392" s="8" t="s">
        <v>546</v>
      </c>
      <c r="E392" s="10" t="s">
        <v>24</v>
      </c>
      <c r="F392" s="10" t="s">
        <v>25</v>
      </c>
      <c r="G392" s="8" t="s">
        <v>547</v>
      </c>
      <c r="H392" s="8" t="s">
        <v>548</v>
      </c>
      <c r="I392" s="4" t="s">
        <v>549</v>
      </c>
      <c r="J392" s="4">
        <v>0.97630083560943604</v>
      </c>
      <c r="K392" s="4" t="s">
        <v>29</v>
      </c>
      <c r="L392" s="4" t="s">
        <v>466</v>
      </c>
      <c r="M392" s="4">
        <v>355</v>
      </c>
    </row>
    <row r="393" spans="1:13" ht="90" customHeight="1" x14ac:dyDescent="0.3">
      <c r="A393" s="8"/>
      <c r="B393" s="9"/>
      <c r="C393" s="9"/>
      <c r="D393" s="9"/>
      <c r="E393" s="9"/>
      <c r="F393" s="9"/>
      <c r="G393" s="9"/>
      <c r="H393" s="9"/>
      <c r="I393" s="1"/>
      <c r="J393" s="1"/>
      <c r="K393" s="1"/>
      <c r="L393" s="1"/>
      <c r="M393" s="1"/>
    </row>
    <row r="394" spans="1:13" ht="90" customHeight="1" x14ac:dyDescent="0.3">
      <c r="A394" s="8"/>
      <c r="B394" s="9"/>
      <c r="C394" s="9"/>
      <c r="D394" s="9"/>
      <c r="E394" s="9"/>
      <c r="F394" s="9"/>
      <c r="G394" s="9"/>
      <c r="H394" s="9"/>
      <c r="I394" s="1"/>
      <c r="J394" s="1"/>
      <c r="K394" s="1"/>
      <c r="L394" s="1"/>
      <c r="M394" s="1"/>
    </row>
    <row r="395" spans="1:13" ht="90" customHeight="1" x14ac:dyDescent="0.3">
      <c r="A395" s="8"/>
      <c r="B395" s="9"/>
      <c r="C395" s="9"/>
      <c r="D395" s="9"/>
      <c r="E395" s="9"/>
      <c r="F395" s="9"/>
      <c r="G395" s="9"/>
      <c r="H395" s="9"/>
      <c r="I395" s="1"/>
      <c r="J395" s="1"/>
      <c r="K395" s="1"/>
      <c r="L395" s="1"/>
      <c r="M395" s="1"/>
    </row>
    <row r="396" spans="1:13" ht="90" customHeight="1" x14ac:dyDescent="0.3">
      <c r="A396" s="8"/>
      <c r="B396" s="9"/>
      <c r="C396" s="9"/>
      <c r="D396" s="9"/>
      <c r="E396" s="9"/>
      <c r="F396" s="9"/>
      <c r="G396" s="9"/>
      <c r="H396" s="9"/>
      <c r="I396" s="1"/>
      <c r="J396" s="1"/>
      <c r="K396" s="1"/>
      <c r="L396" s="1"/>
      <c r="M396" s="1"/>
    </row>
    <row r="397" spans="1:13" ht="90" customHeight="1" x14ac:dyDescent="0.3">
      <c r="A397" s="8">
        <v>145</v>
      </c>
      <c r="B397" s="8" t="s">
        <v>550</v>
      </c>
      <c r="C397" s="8" t="s">
        <v>96</v>
      </c>
      <c r="D397" s="8" t="s">
        <v>78</v>
      </c>
      <c r="E397" s="10" t="s">
        <v>24</v>
      </c>
      <c r="F397" s="10" t="s">
        <v>25</v>
      </c>
      <c r="G397" s="8" t="s">
        <v>551</v>
      </c>
      <c r="H397" s="8" t="s">
        <v>552</v>
      </c>
      <c r="I397" s="4" t="s">
        <v>553</v>
      </c>
      <c r="J397" s="4">
        <v>0.96351653337478638</v>
      </c>
      <c r="K397" s="4" t="s">
        <v>29</v>
      </c>
      <c r="L397" s="4" t="s">
        <v>96</v>
      </c>
      <c r="M397" s="4">
        <v>4</v>
      </c>
    </row>
    <row r="398" spans="1:13" ht="90" customHeight="1" x14ac:dyDescent="0.3">
      <c r="A398" s="8"/>
      <c r="B398" s="9"/>
      <c r="C398" s="9"/>
      <c r="D398" s="9"/>
      <c r="E398" s="9"/>
      <c r="F398" s="9"/>
      <c r="G398" s="9"/>
      <c r="H398" s="9"/>
      <c r="I398" s="1"/>
      <c r="J398" s="1"/>
      <c r="K398" s="1"/>
      <c r="L398" s="1"/>
      <c r="M398" s="1"/>
    </row>
    <row r="399" spans="1:13" ht="90" customHeight="1" x14ac:dyDescent="0.3">
      <c r="A399" s="8"/>
      <c r="B399" s="9"/>
      <c r="C399" s="9"/>
      <c r="D399" s="9"/>
      <c r="E399" s="9"/>
      <c r="F399" s="9"/>
      <c r="G399" s="9"/>
      <c r="H399" s="9"/>
      <c r="I399" s="1"/>
      <c r="J399" s="1"/>
      <c r="K399" s="1"/>
      <c r="L399" s="1"/>
      <c r="M399" s="1"/>
    </row>
    <row r="400" spans="1:13" ht="90" customHeight="1" x14ac:dyDescent="0.3">
      <c r="A400" s="8"/>
      <c r="B400" s="9"/>
      <c r="C400" s="9"/>
      <c r="D400" s="9"/>
      <c r="E400" s="9"/>
      <c r="F400" s="9"/>
      <c r="G400" s="9"/>
      <c r="H400" s="9"/>
      <c r="I400" s="1"/>
      <c r="J400" s="1"/>
      <c r="K400" s="1"/>
      <c r="L400" s="1"/>
      <c r="M400" s="1"/>
    </row>
    <row r="401" spans="1:13" ht="90" customHeight="1" x14ac:dyDescent="0.3">
      <c r="A401" s="8"/>
      <c r="B401" s="9"/>
      <c r="C401" s="9"/>
      <c r="D401" s="9"/>
      <c r="E401" s="9"/>
      <c r="F401" s="9"/>
      <c r="G401" s="9"/>
      <c r="H401" s="9"/>
      <c r="I401" s="1"/>
      <c r="J401" s="1"/>
      <c r="K401" s="1"/>
      <c r="L401" s="1"/>
      <c r="M401" s="1"/>
    </row>
    <row r="402" spans="1:13" ht="90" customHeight="1" x14ac:dyDescent="0.3">
      <c r="A402" s="8">
        <v>147</v>
      </c>
      <c r="B402" s="8" t="s">
        <v>554</v>
      </c>
      <c r="C402" s="8" t="s">
        <v>555</v>
      </c>
      <c r="D402" s="8" t="s">
        <v>556</v>
      </c>
      <c r="E402" s="10" t="s">
        <v>24</v>
      </c>
      <c r="F402" s="10" t="s">
        <v>25</v>
      </c>
      <c r="G402" s="8" t="s">
        <v>557</v>
      </c>
      <c r="H402" s="8" t="s">
        <v>558</v>
      </c>
      <c r="I402" s="4" t="s">
        <v>559</v>
      </c>
      <c r="J402" s="4">
        <v>0.99994575977325439</v>
      </c>
      <c r="K402" s="4" t="s">
        <v>29</v>
      </c>
      <c r="L402" s="4" t="s">
        <v>555</v>
      </c>
      <c r="M402" s="4">
        <v>26</v>
      </c>
    </row>
    <row r="403" spans="1:13" ht="90" customHeight="1" x14ac:dyDescent="0.3">
      <c r="A403" s="8"/>
      <c r="B403" s="9"/>
      <c r="C403" s="9"/>
      <c r="D403" s="9"/>
      <c r="E403" s="9"/>
      <c r="F403" s="9"/>
      <c r="G403" s="9"/>
      <c r="H403" s="9"/>
      <c r="I403" s="1"/>
      <c r="J403" s="1"/>
      <c r="K403" s="1"/>
      <c r="L403" s="1"/>
      <c r="M403" s="1"/>
    </row>
    <row r="404" spans="1:13" ht="90" customHeight="1" x14ac:dyDescent="0.3">
      <c r="A404" s="8"/>
      <c r="B404" s="9"/>
      <c r="C404" s="9"/>
      <c r="D404" s="9"/>
      <c r="E404" s="9"/>
      <c r="F404" s="9"/>
      <c r="G404" s="9"/>
      <c r="H404" s="9"/>
      <c r="I404" s="1"/>
      <c r="J404" s="1"/>
      <c r="K404" s="1"/>
      <c r="L404" s="1"/>
      <c r="M404" s="1"/>
    </row>
    <row r="405" spans="1:13" ht="90" customHeight="1" x14ac:dyDescent="0.3">
      <c r="A405" s="8"/>
      <c r="B405" s="9"/>
      <c r="C405" s="9"/>
      <c r="D405" s="9"/>
      <c r="E405" s="9"/>
      <c r="F405" s="9"/>
      <c r="G405" s="9"/>
      <c r="H405" s="9"/>
      <c r="I405" s="1"/>
      <c r="J405" s="1"/>
      <c r="K405" s="1"/>
      <c r="L405" s="1"/>
      <c r="M405" s="1"/>
    </row>
    <row r="406" spans="1:13" ht="90" customHeight="1" x14ac:dyDescent="0.3">
      <c r="A406" s="8"/>
      <c r="B406" s="9"/>
      <c r="C406" s="9"/>
      <c r="D406" s="9"/>
      <c r="E406" s="9"/>
      <c r="F406" s="9"/>
      <c r="G406" s="9"/>
      <c r="H406" s="9"/>
      <c r="I406" s="1"/>
      <c r="J406" s="1"/>
      <c r="K406" s="1"/>
      <c r="L406" s="1"/>
      <c r="M406" s="1"/>
    </row>
    <row r="407" spans="1:13" ht="90" customHeight="1" x14ac:dyDescent="0.3">
      <c r="A407" s="8">
        <v>148</v>
      </c>
      <c r="B407" s="8" t="s">
        <v>560</v>
      </c>
      <c r="C407" s="8" t="s">
        <v>77</v>
      </c>
      <c r="D407" s="8" t="s">
        <v>423</v>
      </c>
      <c r="E407" s="10" t="s">
        <v>24</v>
      </c>
      <c r="F407" s="10" t="s">
        <v>25</v>
      </c>
      <c r="G407" s="8" t="s">
        <v>561</v>
      </c>
      <c r="H407" s="8" t="s">
        <v>562</v>
      </c>
      <c r="I407" s="4" t="s">
        <v>563</v>
      </c>
      <c r="J407" s="4">
        <v>0.87121628929374373</v>
      </c>
      <c r="K407" s="4" t="s">
        <v>29</v>
      </c>
      <c r="L407" s="4" t="s">
        <v>77</v>
      </c>
      <c r="M407" s="4">
        <v>6</v>
      </c>
    </row>
    <row r="408" spans="1:13" ht="90" customHeight="1" x14ac:dyDescent="0.3">
      <c r="A408" s="8"/>
      <c r="B408" s="9"/>
      <c r="C408" s="9"/>
      <c r="D408" s="9"/>
      <c r="E408" s="9"/>
      <c r="F408" s="9"/>
      <c r="G408" s="9"/>
      <c r="H408" s="9"/>
      <c r="I408" s="1"/>
      <c r="J408" s="1"/>
      <c r="K408" s="1"/>
      <c r="L408" s="1"/>
      <c r="M408" s="1"/>
    </row>
    <row r="409" spans="1:13" ht="90" customHeight="1" x14ac:dyDescent="0.3">
      <c r="A409" s="8"/>
      <c r="B409" s="9"/>
      <c r="C409" s="9"/>
      <c r="D409" s="9"/>
      <c r="E409" s="9"/>
      <c r="F409" s="9"/>
      <c r="G409" s="9"/>
      <c r="H409" s="9"/>
      <c r="I409" s="1"/>
      <c r="J409" s="1"/>
      <c r="K409" s="1"/>
      <c r="L409" s="1"/>
      <c r="M409" s="1"/>
    </row>
    <row r="410" spans="1:13" ht="90" customHeight="1" x14ac:dyDescent="0.3">
      <c r="A410" s="8"/>
      <c r="B410" s="9"/>
      <c r="C410" s="9"/>
      <c r="D410" s="9"/>
      <c r="E410" s="9"/>
      <c r="F410" s="9"/>
      <c r="G410" s="9"/>
      <c r="H410" s="9"/>
      <c r="I410" s="1"/>
      <c r="J410" s="1"/>
      <c r="K410" s="1"/>
      <c r="L410" s="1"/>
      <c r="M410" s="1"/>
    </row>
    <row r="411" spans="1:13" ht="90" customHeight="1" x14ac:dyDescent="0.3">
      <c r="A411" s="8"/>
      <c r="B411" s="9"/>
      <c r="C411" s="9"/>
      <c r="D411" s="9"/>
      <c r="E411" s="9"/>
      <c r="F411" s="9"/>
      <c r="G411" s="9"/>
      <c r="H411" s="9"/>
      <c r="I411" s="1"/>
      <c r="J411" s="1"/>
      <c r="K411" s="1"/>
      <c r="L411" s="1"/>
      <c r="M411" s="1"/>
    </row>
    <row r="412" spans="1:13" ht="90" customHeight="1" x14ac:dyDescent="0.3">
      <c r="A412" s="8">
        <v>150</v>
      </c>
      <c r="B412" s="8" t="s">
        <v>564</v>
      </c>
      <c r="C412" s="8" t="s">
        <v>77</v>
      </c>
      <c r="D412" s="8" t="s">
        <v>16</v>
      </c>
      <c r="E412" s="10" t="s">
        <v>24</v>
      </c>
      <c r="F412" s="10" t="s">
        <v>25</v>
      </c>
      <c r="G412" s="8" t="s">
        <v>565</v>
      </c>
      <c r="H412" s="8" t="s">
        <v>566</v>
      </c>
      <c r="I412" s="4" t="s">
        <v>101</v>
      </c>
      <c r="J412" s="4">
        <v>0.78165839399674553</v>
      </c>
      <c r="K412" s="4" t="s">
        <v>29</v>
      </c>
      <c r="L412" s="4" t="s">
        <v>77</v>
      </c>
      <c r="M412" s="4">
        <v>1</v>
      </c>
    </row>
    <row r="413" spans="1:13" ht="90" customHeight="1" x14ac:dyDescent="0.3">
      <c r="A413" s="8"/>
      <c r="B413" s="9"/>
      <c r="C413" s="9"/>
      <c r="D413" s="9"/>
      <c r="E413" s="9"/>
      <c r="F413" s="9"/>
      <c r="G413" s="9"/>
      <c r="H413" s="9"/>
      <c r="I413" s="1"/>
      <c r="J413" s="1"/>
      <c r="K413" s="1"/>
      <c r="L413" s="1"/>
      <c r="M413" s="1"/>
    </row>
    <row r="414" spans="1:13" ht="90" customHeight="1" x14ac:dyDescent="0.3">
      <c r="A414" s="8"/>
      <c r="B414" s="9"/>
      <c r="C414" s="9"/>
      <c r="D414" s="9"/>
      <c r="E414" s="9"/>
      <c r="F414" s="9"/>
      <c r="G414" s="9"/>
      <c r="H414" s="9"/>
      <c r="I414" s="1"/>
      <c r="J414" s="1"/>
      <c r="K414" s="1"/>
      <c r="L414" s="1"/>
      <c r="M414" s="1"/>
    </row>
    <row r="415" spans="1:13" ht="90" customHeight="1" x14ac:dyDescent="0.3">
      <c r="A415" s="8"/>
      <c r="B415" s="9"/>
      <c r="C415" s="9"/>
      <c r="D415" s="9"/>
      <c r="E415" s="9"/>
      <c r="F415" s="9"/>
      <c r="G415" s="9"/>
      <c r="H415" s="9"/>
      <c r="I415" s="1"/>
      <c r="J415" s="1"/>
      <c r="K415" s="1"/>
      <c r="L415" s="1"/>
      <c r="M415" s="1"/>
    </row>
    <row r="416" spans="1:13" ht="90" customHeight="1" x14ac:dyDescent="0.3">
      <c r="A416" s="8"/>
      <c r="B416" s="9"/>
      <c r="C416" s="9"/>
      <c r="D416" s="9"/>
      <c r="E416" s="9"/>
      <c r="F416" s="9"/>
      <c r="G416" s="9"/>
      <c r="H416" s="9"/>
      <c r="I416" s="1"/>
      <c r="J416" s="1"/>
      <c r="K416" s="1"/>
      <c r="L416" s="1"/>
      <c r="M416" s="1"/>
    </row>
    <row r="417" spans="1:13" ht="90" customHeight="1" x14ac:dyDescent="0.3">
      <c r="A417" s="8">
        <v>151</v>
      </c>
      <c r="B417" s="8" t="s">
        <v>567</v>
      </c>
      <c r="C417" s="8" t="s">
        <v>77</v>
      </c>
      <c r="D417" s="8" t="s">
        <v>568</v>
      </c>
      <c r="E417" s="10" t="s">
        <v>24</v>
      </c>
      <c r="F417" s="10" t="s">
        <v>25</v>
      </c>
      <c r="G417" s="8" t="s">
        <v>569</v>
      </c>
      <c r="H417" s="8" t="s">
        <v>570</v>
      </c>
      <c r="I417" s="4" t="s">
        <v>571</v>
      </c>
      <c r="J417" s="4">
        <v>0.99120622024526595</v>
      </c>
      <c r="K417" s="4" t="s">
        <v>29</v>
      </c>
      <c r="L417" s="4" t="s">
        <v>77</v>
      </c>
      <c r="M417" s="4">
        <v>3</v>
      </c>
    </row>
    <row r="418" spans="1:13" ht="90" customHeight="1" x14ac:dyDescent="0.3">
      <c r="A418" s="8"/>
      <c r="B418" s="9"/>
      <c r="C418" s="9"/>
      <c r="D418" s="9"/>
      <c r="E418" s="9"/>
      <c r="F418" s="9"/>
      <c r="G418" s="9"/>
      <c r="H418" s="9"/>
      <c r="I418" s="1"/>
      <c r="J418" s="1"/>
      <c r="K418" s="1"/>
      <c r="L418" s="1"/>
      <c r="M418" s="1"/>
    </row>
    <row r="419" spans="1:13" ht="90" customHeight="1" x14ac:dyDescent="0.3">
      <c r="A419" s="8"/>
      <c r="B419" s="9"/>
      <c r="C419" s="9"/>
      <c r="D419" s="9"/>
      <c r="E419" s="9"/>
      <c r="F419" s="9"/>
      <c r="G419" s="9"/>
      <c r="H419" s="9"/>
      <c r="I419" s="1"/>
      <c r="J419" s="1"/>
      <c r="K419" s="1"/>
      <c r="L419" s="1"/>
      <c r="M419" s="1"/>
    </row>
    <row r="420" spans="1:13" ht="90" customHeight="1" x14ac:dyDescent="0.3">
      <c r="A420" s="8"/>
      <c r="B420" s="9"/>
      <c r="C420" s="9"/>
      <c r="D420" s="9"/>
      <c r="E420" s="9"/>
      <c r="F420" s="9"/>
      <c r="G420" s="9"/>
      <c r="H420" s="9"/>
      <c r="I420" s="1"/>
      <c r="J420" s="1"/>
      <c r="K420" s="1"/>
      <c r="L420" s="1"/>
      <c r="M420" s="1"/>
    </row>
    <row r="421" spans="1:13" ht="90" customHeight="1" x14ac:dyDescent="0.3">
      <c r="A421" s="8"/>
      <c r="B421" s="9"/>
      <c r="C421" s="9"/>
      <c r="D421" s="9"/>
      <c r="E421" s="9"/>
      <c r="F421" s="9"/>
      <c r="G421" s="9"/>
      <c r="H421" s="9"/>
      <c r="I421" s="1"/>
      <c r="J421" s="1"/>
      <c r="K421" s="1"/>
      <c r="L421" s="1"/>
      <c r="M421" s="1"/>
    </row>
    <row r="422" spans="1:13" ht="90" customHeight="1" x14ac:dyDescent="0.3">
      <c r="A422" s="8">
        <v>152</v>
      </c>
      <c r="B422" s="8" t="s">
        <v>572</v>
      </c>
      <c r="C422" s="8" t="s">
        <v>573</v>
      </c>
      <c r="D422" s="8" t="s">
        <v>16</v>
      </c>
      <c r="E422" s="10" t="s">
        <v>24</v>
      </c>
      <c r="F422" s="10" t="s">
        <v>25</v>
      </c>
      <c r="G422" s="8" t="s">
        <v>574</v>
      </c>
      <c r="H422" s="8" t="s">
        <v>575</v>
      </c>
      <c r="I422" s="4" t="s">
        <v>576</v>
      </c>
      <c r="J422" s="4">
        <v>0.99977761507034302</v>
      </c>
      <c r="K422" s="4" t="s">
        <v>29</v>
      </c>
      <c r="L422" s="4" t="s">
        <v>573</v>
      </c>
      <c r="M422" s="4">
        <v>1</v>
      </c>
    </row>
    <row r="423" spans="1:13" ht="90" customHeight="1" x14ac:dyDescent="0.3">
      <c r="A423" s="8"/>
      <c r="B423" s="9"/>
      <c r="C423" s="9"/>
      <c r="D423" s="9"/>
      <c r="E423" s="9"/>
      <c r="F423" s="9"/>
      <c r="G423" s="9"/>
      <c r="H423" s="9"/>
      <c r="I423" s="1"/>
      <c r="J423" s="1"/>
      <c r="K423" s="1"/>
      <c r="L423" s="1"/>
      <c r="M423" s="1"/>
    </row>
    <row r="424" spans="1:13" ht="90" customHeight="1" x14ac:dyDescent="0.3">
      <c r="A424" s="8"/>
      <c r="B424" s="9"/>
      <c r="C424" s="9"/>
      <c r="D424" s="9"/>
      <c r="E424" s="9"/>
      <c r="F424" s="9"/>
      <c r="G424" s="9"/>
      <c r="H424" s="9"/>
      <c r="I424" s="1"/>
      <c r="J424" s="1"/>
      <c r="K424" s="1"/>
      <c r="L424" s="1"/>
      <c r="M424" s="1"/>
    </row>
    <row r="425" spans="1:13" ht="90" customHeight="1" x14ac:dyDescent="0.3">
      <c r="A425" s="8"/>
      <c r="B425" s="9"/>
      <c r="C425" s="9"/>
      <c r="D425" s="9"/>
      <c r="E425" s="9"/>
      <c r="F425" s="9"/>
      <c r="G425" s="9"/>
      <c r="H425" s="9"/>
      <c r="I425" s="1"/>
      <c r="J425" s="1"/>
      <c r="K425" s="1"/>
      <c r="L425" s="1"/>
      <c r="M425" s="1"/>
    </row>
    <row r="426" spans="1:13" ht="90" customHeight="1" x14ac:dyDescent="0.3">
      <c r="A426" s="8"/>
      <c r="B426" s="9"/>
      <c r="C426" s="9"/>
      <c r="D426" s="9"/>
      <c r="E426" s="9"/>
      <c r="F426" s="9"/>
      <c r="G426" s="9"/>
      <c r="H426" s="9"/>
      <c r="I426" s="1"/>
      <c r="J426" s="1"/>
      <c r="K426" s="1"/>
      <c r="L426" s="1"/>
      <c r="M426" s="1"/>
    </row>
    <row r="427" spans="1:13" ht="90" customHeight="1" x14ac:dyDescent="0.3">
      <c r="A427" s="8">
        <v>154</v>
      </c>
      <c r="B427" s="8" t="s">
        <v>577</v>
      </c>
      <c r="C427" s="8" t="s">
        <v>63</v>
      </c>
      <c r="D427" s="8" t="s">
        <v>568</v>
      </c>
      <c r="E427" s="10" t="s">
        <v>24</v>
      </c>
      <c r="F427" s="10" t="s">
        <v>25</v>
      </c>
      <c r="G427" s="8" t="s">
        <v>578</v>
      </c>
      <c r="H427" s="8" t="s">
        <v>579</v>
      </c>
      <c r="I427" s="4" t="s">
        <v>580</v>
      </c>
      <c r="J427" s="4">
        <v>0.98219817876815796</v>
      </c>
      <c r="K427" s="4" t="s">
        <v>29</v>
      </c>
      <c r="L427" s="4" t="s">
        <v>63</v>
      </c>
      <c r="M427" s="4">
        <v>3</v>
      </c>
    </row>
    <row r="428" spans="1:13" ht="90" customHeight="1" x14ac:dyDescent="0.3">
      <c r="A428" s="8"/>
      <c r="B428" s="9"/>
      <c r="C428" s="9"/>
      <c r="D428" s="9"/>
      <c r="E428" s="9"/>
      <c r="F428" s="9"/>
      <c r="G428" s="9"/>
      <c r="H428" s="9"/>
      <c r="I428" s="1"/>
      <c r="J428" s="1"/>
      <c r="K428" s="1"/>
      <c r="L428" s="1"/>
      <c r="M428" s="1"/>
    </row>
    <row r="429" spans="1:13" ht="90" customHeight="1" x14ac:dyDescent="0.3">
      <c r="A429" s="8"/>
      <c r="B429" s="9"/>
      <c r="C429" s="9"/>
      <c r="D429" s="9"/>
      <c r="E429" s="9"/>
      <c r="F429" s="9"/>
      <c r="G429" s="9"/>
      <c r="H429" s="9"/>
      <c r="I429" s="1"/>
      <c r="J429" s="1"/>
      <c r="K429" s="1"/>
      <c r="L429" s="1"/>
      <c r="M429" s="1"/>
    </row>
    <row r="430" spans="1:13" ht="90" customHeight="1" x14ac:dyDescent="0.3">
      <c r="A430" s="8"/>
      <c r="B430" s="9"/>
      <c r="C430" s="9"/>
      <c r="D430" s="9"/>
      <c r="E430" s="9"/>
      <c r="F430" s="9"/>
      <c r="G430" s="9"/>
      <c r="H430" s="9"/>
      <c r="I430" s="1"/>
      <c r="J430" s="1"/>
      <c r="K430" s="1"/>
      <c r="L430" s="1"/>
      <c r="M430" s="1"/>
    </row>
    <row r="431" spans="1:13" ht="90" customHeight="1" x14ac:dyDescent="0.3">
      <c r="A431" s="8"/>
      <c r="B431" s="9"/>
      <c r="C431" s="9"/>
      <c r="D431" s="9"/>
      <c r="E431" s="9"/>
      <c r="F431" s="9"/>
      <c r="G431" s="9"/>
      <c r="H431" s="9"/>
      <c r="I431" s="1"/>
      <c r="J431" s="1"/>
      <c r="K431" s="1"/>
      <c r="L431" s="1"/>
      <c r="M431" s="1"/>
    </row>
    <row r="432" spans="1:13" ht="90" customHeight="1" x14ac:dyDescent="0.3">
      <c r="A432" s="8">
        <v>156</v>
      </c>
      <c r="B432" s="8" t="s">
        <v>581</v>
      </c>
      <c r="C432" s="8" t="s">
        <v>293</v>
      </c>
      <c r="D432" s="8" t="s">
        <v>114</v>
      </c>
      <c r="E432" s="10" t="s">
        <v>24</v>
      </c>
      <c r="F432" s="10" t="s">
        <v>25</v>
      </c>
      <c r="G432" s="8" t="s">
        <v>582</v>
      </c>
      <c r="H432" s="8" t="s">
        <v>583</v>
      </c>
      <c r="I432" s="4" t="s">
        <v>584</v>
      </c>
      <c r="J432" s="4">
        <v>0.9912029504776001</v>
      </c>
      <c r="K432" s="4" t="s">
        <v>29</v>
      </c>
      <c r="L432" s="4" t="s">
        <v>293</v>
      </c>
      <c r="M432" s="4">
        <v>2</v>
      </c>
    </row>
    <row r="433" spans="1:13" ht="90" customHeight="1" x14ac:dyDescent="0.3">
      <c r="A433" s="8"/>
      <c r="B433" s="9"/>
      <c r="C433" s="9"/>
      <c r="D433" s="9"/>
      <c r="E433" s="9"/>
      <c r="F433" s="9"/>
      <c r="G433" s="9"/>
      <c r="H433" s="9"/>
      <c r="I433" s="1"/>
      <c r="J433" s="1"/>
      <c r="K433" s="1"/>
      <c r="L433" s="1"/>
      <c r="M433" s="1"/>
    </row>
    <row r="434" spans="1:13" ht="90" customHeight="1" x14ac:dyDescent="0.3">
      <c r="A434" s="8"/>
      <c r="B434" s="9"/>
      <c r="C434" s="9"/>
      <c r="D434" s="9"/>
      <c r="E434" s="9"/>
      <c r="F434" s="9"/>
      <c r="G434" s="9"/>
      <c r="H434" s="9"/>
      <c r="I434" s="1"/>
      <c r="J434" s="1"/>
      <c r="K434" s="1"/>
      <c r="L434" s="1"/>
      <c r="M434" s="1"/>
    </row>
    <row r="435" spans="1:13" ht="90" customHeight="1" x14ac:dyDescent="0.3">
      <c r="A435" s="8"/>
      <c r="B435" s="9"/>
      <c r="C435" s="9"/>
      <c r="D435" s="9"/>
      <c r="E435" s="9"/>
      <c r="F435" s="9"/>
      <c r="G435" s="9"/>
      <c r="H435" s="9"/>
      <c r="I435" s="1"/>
      <c r="J435" s="1"/>
      <c r="K435" s="1"/>
      <c r="L435" s="1"/>
      <c r="M435" s="1"/>
    </row>
    <row r="436" spans="1:13" ht="90" customHeight="1" x14ac:dyDescent="0.3">
      <c r="A436" s="8"/>
      <c r="B436" s="9"/>
      <c r="C436" s="9"/>
      <c r="D436" s="9"/>
      <c r="E436" s="9"/>
      <c r="F436" s="9"/>
      <c r="G436" s="9"/>
      <c r="H436" s="9"/>
      <c r="I436" s="1"/>
      <c r="J436" s="1"/>
      <c r="K436" s="1"/>
      <c r="L436" s="1"/>
      <c r="M436" s="1"/>
    </row>
    <row r="437" spans="1:13" ht="90" customHeight="1" x14ac:dyDescent="0.3">
      <c r="A437" s="8">
        <v>157</v>
      </c>
      <c r="B437" s="8" t="s">
        <v>585</v>
      </c>
      <c r="C437" s="8" t="s">
        <v>133</v>
      </c>
      <c r="D437" s="8" t="s">
        <v>586</v>
      </c>
      <c r="E437" s="10" t="s">
        <v>24</v>
      </c>
      <c r="F437" s="10" t="s">
        <v>18</v>
      </c>
      <c r="G437" s="8" t="s">
        <v>587</v>
      </c>
      <c r="H437" s="8" t="s">
        <v>588</v>
      </c>
      <c r="I437" s="2" t="s">
        <v>589</v>
      </c>
      <c r="J437" s="2">
        <v>0.99529308080673218</v>
      </c>
      <c r="K437" s="2" t="s">
        <v>29</v>
      </c>
      <c r="L437" s="2" t="s">
        <v>131</v>
      </c>
      <c r="M437" s="2">
        <v>444</v>
      </c>
    </row>
    <row r="438" spans="1:13" ht="90" customHeight="1" x14ac:dyDescent="0.3">
      <c r="A438" s="8"/>
      <c r="B438" s="9"/>
      <c r="C438" s="9"/>
      <c r="D438" s="9"/>
      <c r="E438" s="9"/>
      <c r="F438" s="9"/>
      <c r="G438" s="9"/>
      <c r="H438" s="9"/>
      <c r="I438" s="2" t="s">
        <v>590</v>
      </c>
      <c r="J438" s="2">
        <v>0.98815757036209106</v>
      </c>
      <c r="K438" s="2" t="s">
        <v>29</v>
      </c>
      <c r="L438" s="2" t="s">
        <v>466</v>
      </c>
      <c r="M438" s="2">
        <v>363</v>
      </c>
    </row>
    <row r="439" spans="1:13" ht="90" customHeight="1" x14ac:dyDescent="0.3">
      <c r="A439" s="8"/>
      <c r="B439" s="9"/>
      <c r="C439" s="9"/>
      <c r="D439" s="9"/>
      <c r="E439" s="9"/>
      <c r="F439" s="9"/>
      <c r="G439" s="9"/>
      <c r="H439" s="9"/>
      <c r="I439" s="2" t="s">
        <v>591</v>
      </c>
      <c r="J439" s="2">
        <v>0.98711061477661133</v>
      </c>
      <c r="K439" s="2" t="s">
        <v>29</v>
      </c>
      <c r="L439" s="2" t="s">
        <v>131</v>
      </c>
      <c r="M439" s="2">
        <v>442</v>
      </c>
    </row>
    <row r="440" spans="1:13" ht="90" customHeight="1" x14ac:dyDescent="0.3">
      <c r="A440" s="8"/>
      <c r="B440" s="9"/>
      <c r="C440" s="9"/>
      <c r="D440" s="9"/>
      <c r="E440" s="9"/>
      <c r="F440" s="9"/>
      <c r="G440" s="9"/>
      <c r="H440" s="9"/>
      <c r="I440" s="5" t="s">
        <v>592</v>
      </c>
      <c r="J440" s="5">
        <v>0.98218643665313721</v>
      </c>
      <c r="K440" s="5" t="s">
        <v>29</v>
      </c>
      <c r="L440" s="5" t="s">
        <v>133</v>
      </c>
      <c r="M440" s="5">
        <v>404</v>
      </c>
    </row>
    <row r="441" spans="1:13" ht="90" customHeight="1" x14ac:dyDescent="0.3">
      <c r="A441" s="8"/>
      <c r="B441" s="9"/>
      <c r="C441" s="9"/>
      <c r="D441" s="9"/>
      <c r="E441" s="9"/>
      <c r="F441" s="9"/>
      <c r="G441" s="9"/>
      <c r="H441" s="9"/>
      <c r="I441" s="1" t="s">
        <v>593</v>
      </c>
      <c r="J441" s="1">
        <v>0.97116738557815441</v>
      </c>
      <c r="K441" s="1" t="s">
        <v>29</v>
      </c>
      <c r="L441" s="1" t="s">
        <v>131</v>
      </c>
      <c r="M441" s="1">
        <v>439</v>
      </c>
    </row>
    <row r="442" spans="1:13" ht="90" customHeight="1" x14ac:dyDescent="0.3">
      <c r="A442" s="8">
        <v>159</v>
      </c>
      <c r="B442" s="8" t="s">
        <v>594</v>
      </c>
      <c r="C442" s="8" t="s">
        <v>595</v>
      </c>
      <c r="D442" s="8" t="s">
        <v>596</v>
      </c>
      <c r="E442" s="10" t="s">
        <v>1201</v>
      </c>
      <c r="F442" s="10" t="s">
        <v>1202</v>
      </c>
      <c r="G442" s="8" t="s">
        <v>597</v>
      </c>
      <c r="H442" s="8" t="s">
        <v>598</v>
      </c>
      <c r="I442" s="6" t="s">
        <v>50</v>
      </c>
      <c r="J442" s="6">
        <v>0.99126605341690588</v>
      </c>
      <c r="K442" s="6" t="s">
        <v>29</v>
      </c>
      <c r="L442" s="6" t="s">
        <v>45</v>
      </c>
      <c r="M442" s="6">
        <v>3</v>
      </c>
    </row>
    <row r="443" spans="1:13" ht="90" customHeight="1" x14ac:dyDescent="0.3">
      <c r="A443" s="8"/>
      <c r="B443" s="9"/>
      <c r="C443" s="9"/>
      <c r="D443" s="9"/>
      <c r="E443" s="9"/>
      <c r="F443" s="9"/>
      <c r="G443" s="9"/>
      <c r="H443" s="9"/>
      <c r="I443" s="6" t="s">
        <v>49</v>
      </c>
      <c r="J443" s="6">
        <v>0.991054304204534</v>
      </c>
      <c r="K443" s="6" t="s">
        <v>29</v>
      </c>
      <c r="L443" s="6" t="s">
        <v>45</v>
      </c>
      <c r="M443" s="6">
        <v>1</v>
      </c>
    </row>
    <row r="444" spans="1:13" ht="90" customHeight="1" x14ac:dyDescent="0.3">
      <c r="A444" s="8"/>
      <c r="B444" s="9"/>
      <c r="C444" s="9"/>
      <c r="D444" s="9"/>
      <c r="E444" s="9"/>
      <c r="F444" s="9"/>
      <c r="G444" s="9"/>
      <c r="H444" s="9"/>
      <c r="I444" s="6" t="s">
        <v>279</v>
      </c>
      <c r="J444" s="6">
        <v>0.92826455858766943</v>
      </c>
      <c r="K444" s="6" t="s">
        <v>29</v>
      </c>
      <c r="L444" s="6" t="s">
        <v>77</v>
      </c>
      <c r="M444" s="6">
        <v>5</v>
      </c>
    </row>
    <row r="445" spans="1:13" ht="90" customHeight="1" x14ac:dyDescent="0.3">
      <c r="A445" s="8"/>
      <c r="B445" s="9"/>
      <c r="C445" s="9"/>
      <c r="D445" s="9"/>
      <c r="E445" s="9"/>
      <c r="F445" s="9"/>
      <c r="G445" s="9"/>
      <c r="H445" s="9"/>
      <c r="I445" s="7" t="s">
        <v>51</v>
      </c>
      <c r="J445" s="7">
        <v>0.90827584177433696</v>
      </c>
      <c r="K445" s="7" t="s">
        <v>29</v>
      </c>
      <c r="L445" s="7" t="s">
        <v>45</v>
      </c>
      <c r="M445" s="7">
        <v>2</v>
      </c>
    </row>
    <row r="446" spans="1:13" ht="90" customHeight="1" x14ac:dyDescent="0.3">
      <c r="A446" s="8"/>
      <c r="B446" s="9"/>
      <c r="C446" s="9"/>
      <c r="D446" s="9"/>
      <c r="E446" s="9"/>
      <c r="F446" s="9"/>
      <c r="G446" s="9"/>
      <c r="H446" s="9"/>
      <c r="I446" s="1"/>
      <c r="J446" s="1"/>
      <c r="K446" s="1"/>
      <c r="L446" s="1"/>
      <c r="M446" s="1"/>
    </row>
    <row r="447" spans="1:13" ht="90" customHeight="1" x14ac:dyDescent="0.3">
      <c r="A447" s="8">
        <v>160</v>
      </c>
      <c r="B447" s="8" t="s">
        <v>599</v>
      </c>
      <c r="C447" s="8" t="s">
        <v>241</v>
      </c>
      <c r="D447" s="8" t="s">
        <v>600</v>
      </c>
      <c r="E447" s="10" t="s">
        <v>17</v>
      </c>
      <c r="F447" s="10" t="s">
        <v>18</v>
      </c>
      <c r="G447" s="8" t="s">
        <v>601</v>
      </c>
      <c r="H447" s="8" t="s">
        <v>602</v>
      </c>
      <c r="I447" s="1"/>
      <c r="J447" s="1"/>
      <c r="K447" s="1"/>
      <c r="L447" s="1"/>
      <c r="M447" s="1"/>
    </row>
    <row r="448" spans="1:13" ht="90" customHeight="1" x14ac:dyDescent="0.3">
      <c r="A448" s="8"/>
      <c r="B448" s="9"/>
      <c r="C448" s="9"/>
      <c r="D448" s="9"/>
      <c r="E448" s="9"/>
      <c r="F448" s="9"/>
      <c r="G448" s="9"/>
      <c r="H448" s="9"/>
      <c r="I448" s="1"/>
      <c r="J448" s="1"/>
      <c r="K448" s="1"/>
      <c r="L448" s="1"/>
      <c r="M448" s="1"/>
    </row>
    <row r="449" spans="1:13" ht="90" customHeight="1" x14ac:dyDescent="0.3">
      <c r="A449" s="8"/>
      <c r="B449" s="9"/>
      <c r="C449" s="9"/>
      <c r="D449" s="9"/>
      <c r="E449" s="9"/>
      <c r="F449" s="9"/>
      <c r="G449" s="9"/>
      <c r="H449" s="9"/>
      <c r="I449" s="1"/>
      <c r="J449" s="1"/>
      <c r="K449" s="1"/>
      <c r="L449" s="1"/>
      <c r="M449" s="1"/>
    </row>
    <row r="450" spans="1:13" ht="90" customHeight="1" x14ac:dyDescent="0.3">
      <c r="A450" s="8"/>
      <c r="B450" s="9"/>
      <c r="C450" s="9"/>
      <c r="D450" s="9"/>
      <c r="E450" s="9"/>
      <c r="F450" s="9"/>
      <c r="G450" s="9"/>
      <c r="H450" s="9"/>
      <c r="I450" s="1"/>
      <c r="J450" s="1"/>
      <c r="K450" s="1"/>
      <c r="L450" s="1"/>
      <c r="M450" s="1"/>
    </row>
    <row r="451" spans="1:13" ht="90" customHeight="1" x14ac:dyDescent="0.3">
      <c r="A451" s="8"/>
      <c r="B451" s="9"/>
      <c r="C451" s="9"/>
      <c r="D451" s="9"/>
      <c r="E451" s="9"/>
      <c r="F451" s="9"/>
      <c r="G451" s="9"/>
      <c r="H451" s="9"/>
      <c r="I451" s="1"/>
      <c r="J451" s="1"/>
      <c r="K451" s="1"/>
      <c r="L451" s="1"/>
      <c r="M451" s="1"/>
    </row>
    <row r="452" spans="1:13" ht="90" customHeight="1" x14ac:dyDescent="0.3">
      <c r="A452" s="8">
        <v>162</v>
      </c>
      <c r="B452" s="8" t="s">
        <v>603</v>
      </c>
      <c r="C452" s="8" t="s">
        <v>293</v>
      </c>
      <c r="D452" s="8" t="s">
        <v>518</v>
      </c>
      <c r="E452" s="10" t="s">
        <v>24</v>
      </c>
      <c r="F452" s="10" t="s">
        <v>25</v>
      </c>
      <c r="G452" s="8" t="s">
        <v>604</v>
      </c>
      <c r="H452" s="8" t="s">
        <v>605</v>
      </c>
      <c r="I452" s="4" t="s">
        <v>392</v>
      </c>
      <c r="J452" s="4">
        <v>0.99921083450317383</v>
      </c>
      <c r="K452" s="4" t="s">
        <v>29</v>
      </c>
      <c r="L452" s="4" t="s">
        <v>293</v>
      </c>
      <c r="M452" s="4">
        <v>3</v>
      </c>
    </row>
    <row r="453" spans="1:13" ht="90" customHeight="1" x14ac:dyDescent="0.3">
      <c r="A453" s="8"/>
      <c r="B453" s="9"/>
      <c r="C453" s="9"/>
      <c r="D453" s="9"/>
      <c r="E453" s="9"/>
      <c r="F453" s="9"/>
      <c r="G453" s="9"/>
      <c r="H453" s="9"/>
      <c r="I453" s="4" t="s">
        <v>584</v>
      </c>
      <c r="J453" s="4">
        <v>0.99876737594604492</v>
      </c>
      <c r="K453" s="4" t="s">
        <v>29</v>
      </c>
      <c r="L453" s="4" t="s">
        <v>293</v>
      </c>
      <c r="M453" s="4">
        <v>2</v>
      </c>
    </row>
    <row r="454" spans="1:13" ht="90" customHeight="1" x14ac:dyDescent="0.3">
      <c r="A454" s="8"/>
      <c r="B454" s="9"/>
      <c r="C454" s="9"/>
      <c r="D454" s="9"/>
      <c r="E454" s="9"/>
      <c r="F454" s="9"/>
      <c r="G454" s="9"/>
      <c r="H454" s="9"/>
      <c r="I454" s="4" t="s">
        <v>296</v>
      </c>
      <c r="J454" s="4">
        <v>0.99683880805969238</v>
      </c>
      <c r="K454" s="4" t="s">
        <v>29</v>
      </c>
      <c r="L454" s="4" t="s">
        <v>293</v>
      </c>
      <c r="M454" s="4">
        <v>4</v>
      </c>
    </row>
    <row r="455" spans="1:13" ht="90" customHeight="1" x14ac:dyDescent="0.3">
      <c r="A455" s="8"/>
      <c r="B455" s="9"/>
      <c r="C455" s="9"/>
      <c r="D455" s="9"/>
      <c r="E455" s="9"/>
      <c r="F455" s="9"/>
      <c r="G455" s="9"/>
      <c r="H455" s="9"/>
      <c r="I455" s="1" t="s">
        <v>606</v>
      </c>
      <c r="J455" s="1">
        <v>0.83865946531295632</v>
      </c>
      <c r="K455" s="1" t="s">
        <v>29</v>
      </c>
      <c r="L455" s="1" t="s">
        <v>607</v>
      </c>
      <c r="M455" s="1">
        <v>1134</v>
      </c>
    </row>
    <row r="456" spans="1:13" ht="90" customHeight="1" x14ac:dyDescent="0.3">
      <c r="A456" s="8"/>
      <c r="B456" s="9"/>
      <c r="C456" s="9"/>
      <c r="D456" s="9"/>
      <c r="E456" s="9"/>
      <c r="F456" s="9"/>
      <c r="G456" s="9"/>
      <c r="H456" s="9"/>
      <c r="I456" s="1" t="s">
        <v>608</v>
      </c>
      <c r="J456" s="1">
        <v>0.80902259682859878</v>
      </c>
      <c r="K456" s="1" t="s">
        <v>29</v>
      </c>
      <c r="L456" s="1" t="s">
        <v>609</v>
      </c>
      <c r="M456" s="1">
        <v>8</v>
      </c>
    </row>
    <row r="457" spans="1:13" ht="90" customHeight="1" x14ac:dyDescent="0.3">
      <c r="A457" s="8">
        <v>163</v>
      </c>
      <c r="B457" s="8" t="s">
        <v>610</v>
      </c>
      <c r="C457" s="8" t="s">
        <v>611</v>
      </c>
      <c r="D457" s="8" t="s">
        <v>612</v>
      </c>
      <c r="E457" s="10" t="s">
        <v>17</v>
      </c>
      <c r="F457" s="10" t="s">
        <v>18</v>
      </c>
      <c r="G457" s="8" t="s">
        <v>613</v>
      </c>
      <c r="H457" s="8" t="s">
        <v>20</v>
      </c>
      <c r="I457" s="1"/>
      <c r="J457" s="1"/>
      <c r="K457" s="1"/>
      <c r="L457" s="1"/>
      <c r="M457" s="1"/>
    </row>
    <row r="458" spans="1:13" ht="90" customHeight="1" x14ac:dyDescent="0.3">
      <c r="A458" s="8"/>
      <c r="B458" s="9"/>
      <c r="C458" s="9"/>
      <c r="D458" s="9"/>
      <c r="E458" s="9"/>
      <c r="F458" s="9"/>
      <c r="G458" s="9"/>
      <c r="H458" s="9"/>
      <c r="I458" s="1"/>
      <c r="J458" s="1"/>
      <c r="K458" s="1"/>
      <c r="L458" s="1"/>
      <c r="M458" s="1"/>
    </row>
    <row r="459" spans="1:13" ht="90" customHeight="1" x14ac:dyDescent="0.3">
      <c r="A459" s="8"/>
      <c r="B459" s="9"/>
      <c r="C459" s="9"/>
      <c r="D459" s="9"/>
      <c r="E459" s="9"/>
      <c r="F459" s="9"/>
      <c r="G459" s="9"/>
      <c r="H459" s="9"/>
      <c r="I459" s="1"/>
      <c r="J459" s="1"/>
      <c r="K459" s="1"/>
      <c r="L459" s="1"/>
      <c r="M459" s="1"/>
    </row>
    <row r="460" spans="1:13" ht="90" customHeight="1" x14ac:dyDescent="0.3">
      <c r="A460" s="8"/>
      <c r="B460" s="9"/>
      <c r="C460" s="9"/>
      <c r="D460" s="9"/>
      <c r="E460" s="9"/>
      <c r="F460" s="9"/>
      <c r="G460" s="9"/>
      <c r="H460" s="9"/>
      <c r="I460" s="1"/>
      <c r="J460" s="1"/>
      <c r="K460" s="1"/>
      <c r="L460" s="1"/>
      <c r="M460" s="1"/>
    </row>
    <row r="461" spans="1:13" ht="90" customHeight="1" x14ac:dyDescent="0.3">
      <c r="A461" s="8"/>
      <c r="B461" s="9"/>
      <c r="C461" s="9"/>
      <c r="D461" s="9"/>
      <c r="E461" s="9"/>
      <c r="F461" s="9"/>
      <c r="G461" s="9"/>
      <c r="H461" s="9"/>
      <c r="I461" s="1"/>
      <c r="J461" s="1"/>
      <c r="K461" s="1"/>
      <c r="L461" s="1"/>
      <c r="M461" s="1"/>
    </row>
    <row r="462" spans="1:13" ht="90" customHeight="1" x14ac:dyDescent="0.3">
      <c r="A462" s="8">
        <v>164</v>
      </c>
      <c r="B462" s="8" t="s">
        <v>614</v>
      </c>
      <c r="C462" s="8" t="s">
        <v>63</v>
      </c>
      <c r="D462" s="8" t="s">
        <v>615</v>
      </c>
      <c r="E462" s="10" t="s">
        <v>17</v>
      </c>
      <c r="F462" s="10" t="s">
        <v>18</v>
      </c>
      <c r="G462" s="8" t="s">
        <v>616</v>
      </c>
      <c r="H462" s="8" t="s">
        <v>617</v>
      </c>
      <c r="I462" s="2" t="s">
        <v>618</v>
      </c>
      <c r="J462" s="2">
        <v>0.99877625703811646</v>
      </c>
      <c r="K462" s="2" t="s">
        <v>29</v>
      </c>
      <c r="L462" s="2" t="s">
        <v>345</v>
      </c>
      <c r="M462" s="2">
        <v>41</v>
      </c>
    </row>
    <row r="463" spans="1:13" ht="90" customHeight="1" x14ac:dyDescent="0.3">
      <c r="A463" s="8"/>
      <c r="B463" s="9"/>
      <c r="C463" s="9"/>
      <c r="D463" s="9"/>
      <c r="E463" s="9"/>
      <c r="F463" s="9"/>
      <c r="G463" s="9"/>
      <c r="H463" s="9"/>
      <c r="I463" s="2" t="s">
        <v>619</v>
      </c>
      <c r="J463" s="2">
        <v>0.99703502655029297</v>
      </c>
      <c r="K463" s="2" t="s">
        <v>29</v>
      </c>
      <c r="L463" s="2" t="s">
        <v>339</v>
      </c>
      <c r="M463" s="2">
        <v>77</v>
      </c>
    </row>
    <row r="464" spans="1:13" ht="90" customHeight="1" x14ac:dyDescent="0.3">
      <c r="A464" s="8"/>
      <c r="B464" s="9"/>
      <c r="C464" s="9"/>
      <c r="D464" s="9"/>
      <c r="E464" s="9"/>
      <c r="F464" s="9"/>
      <c r="G464" s="9"/>
      <c r="H464" s="9"/>
      <c r="I464" s="2" t="s">
        <v>620</v>
      </c>
      <c r="J464" s="2">
        <v>0.99694710969924927</v>
      </c>
      <c r="K464" s="2" t="s">
        <v>29</v>
      </c>
      <c r="L464" s="2" t="s">
        <v>343</v>
      </c>
      <c r="M464" s="2">
        <v>79</v>
      </c>
    </row>
    <row r="465" spans="1:13" ht="90" customHeight="1" x14ac:dyDescent="0.3">
      <c r="A465" s="8"/>
      <c r="B465" s="9"/>
      <c r="C465" s="9"/>
      <c r="D465" s="9"/>
      <c r="E465" s="9"/>
      <c r="F465" s="9"/>
      <c r="G465" s="9"/>
      <c r="H465" s="9"/>
      <c r="I465" s="1" t="s">
        <v>621</v>
      </c>
      <c r="J465" s="1">
        <v>0.99272924661636353</v>
      </c>
      <c r="K465" s="1" t="s">
        <v>29</v>
      </c>
      <c r="L465" s="1" t="s">
        <v>339</v>
      </c>
      <c r="M465" s="1">
        <v>183</v>
      </c>
    </row>
    <row r="466" spans="1:13" ht="90" customHeight="1" x14ac:dyDescent="0.3">
      <c r="A466" s="8"/>
      <c r="B466" s="9"/>
      <c r="C466" s="9"/>
      <c r="D466" s="9"/>
      <c r="E466" s="9"/>
      <c r="F466" s="9"/>
      <c r="G466" s="9"/>
      <c r="H466" s="9"/>
      <c r="I466" s="1" t="s">
        <v>622</v>
      </c>
      <c r="J466" s="1">
        <v>0.99215322732925415</v>
      </c>
      <c r="K466" s="1" t="s">
        <v>29</v>
      </c>
      <c r="L466" s="1" t="s">
        <v>343</v>
      </c>
      <c r="M466" s="1">
        <v>185</v>
      </c>
    </row>
    <row r="467" spans="1:13" ht="90" customHeight="1" x14ac:dyDescent="0.3">
      <c r="A467" s="8">
        <v>165</v>
      </c>
      <c r="B467" s="8" t="s">
        <v>623</v>
      </c>
      <c r="C467" s="8" t="s">
        <v>624</v>
      </c>
      <c r="D467" s="8" t="s">
        <v>625</v>
      </c>
      <c r="E467" s="10" t="s">
        <v>24</v>
      </c>
      <c r="F467" s="10" t="s">
        <v>25</v>
      </c>
      <c r="G467" s="8" t="s">
        <v>626</v>
      </c>
      <c r="H467" s="8" t="s">
        <v>627</v>
      </c>
      <c r="I467" s="4" t="s">
        <v>628</v>
      </c>
      <c r="J467" s="4">
        <v>0.99598628282546997</v>
      </c>
      <c r="K467" s="4" t="s">
        <v>29</v>
      </c>
      <c r="L467" s="4" t="s">
        <v>624</v>
      </c>
      <c r="M467" s="4">
        <v>17</v>
      </c>
    </row>
    <row r="468" spans="1:13" ht="90" customHeight="1" x14ac:dyDescent="0.3">
      <c r="A468" s="8"/>
      <c r="B468" s="9"/>
      <c r="C468" s="9"/>
      <c r="D468" s="9"/>
      <c r="E468" s="9"/>
      <c r="F468" s="9"/>
      <c r="G468" s="9"/>
      <c r="H468" s="9"/>
      <c r="I468" s="4" t="s">
        <v>629</v>
      </c>
      <c r="J468" s="4">
        <v>0.95757829533104455</v>
      </c>
      <c r="K468" s="4" t="s">
        <v>29</v>
      </c>
      <c r="L468" s="4" t="s">
        <v>624</v>
      </c>
      <c r="M468" s="4">
        <v>16</v>
      </c>
    </row>
    <row r="469" spans="1:13" ht="90" customHeight="1" x14ac:dyDescent="0.3">
      <c r="A469" s="8"/>
      <c r="B469" s="9"/>
      <c r="C469" s="9"/>
      <c r="D469" s="9"/>
      <c r="E469" s="9"/>
      <c r="F469" s="9"/>
      <c r="G469" s="9"/>
      <c r="H469" s="9"/>
      <c r="I469" s="1"/>
      <c r="J469" s="1"/>
      <c r="K469" s="1"/>
      <c r="L469" s="1"/>
      <c r="M469" s="1"/>
    </row>
    <row r="470" spans="1:13" ht="90" customHeight="1" x14ac:dyDescent="0.3">
      <c r="A470" s="8"/>
      <c r="B470" s="9"/>
      <c r="C470" s="9"/>
      <c r="D470" s="9"/>
      <c r="E470" s="9"/>
      <c r="F470" s="9"/>
      <c r="G470" s="9"/>
      <c r="H470" s="9"/>
      <c r="I470" s="1"/>
      <c r="J470" s="1"/>
      <c r="K470" s="1"/>
      <c r="L470" s="1"/>
      <c r="M470" s="1"/>
    </row>
    <row r="471" spans="1:13" ht="90" customHeight="1" x14ac:dyDescent="0.3">
      <c r="A471" s="8"/>
      <c r="B471" s="9"/>
      <c r="C471" s="9"/>
      <c r="D471" s="9"/>
      <c r="E471" s="9"/>
      <c r="F471" s="9"/>
      <c r="G471" s="9"/>
      <c r="H471" s="9"/>
      <c r="I471" s="1"/>
      <c r="J471" s="1"/>
      <c r="K471" s="1"/>
      <c r="L471" s="1"/>
      <c r="M471" s="1"/>
    </row>
    <row r="472" spans="1:13" ht="90" customHeight="1" x14ac:dyDescent="0.3">
      <c r="A472" s="8">
        <v>168</v>
      </c>
      <c r="B472" s="8" t="s">
        <v>630</v>
      </c>
      <c r="C472" s="8" t="s">
        <v>119</v>
      </c>
      <c r="D472" s="8" t="s">
        <v>236</v>
      </c>
      <c r="E472" s="10" t="s">
        <v>24</v>
      </c>
      <c r="F472" s="10" t="s">
        <v>25</v>
      </c>
      <c r="G472" s="8" t="s">
        <v>631</v>
      </c>
      <c r="H472" s="8" t="s">
        <v>632</v>
      </c>
      <c r="I472" s="4" t="s">
        <v>274</v>
      </c>
      <c r="J472" s="4">
        <v>0.99519312381744385</v>
      </c>
      <c r="K472" s="4" t="s">
        <v>29</v>
      </c>
      <c r="L472" s="4" t="s">
        <v>119</v>
      </c>
      <c r="M472" s="4">
        <v>7</v>
      </c>
    </row>
    <row r="473" spans="1:13" ht="90" customHeight="1" x14ac:dyDescent="0.3">
      <c r="A473" s="8"/>
      <c r="B473" s="9"/>
      <c r="C473" s="9"/>
      <c r="D473" s="9"/>
      <c r="E473" s="9"/>
      <c r="F473" s="9"/>
      <c r="G473" s="9"/>
      <c r="H473" s="9"/>
      <c r="I473" s="2" t="s">
        <v>633</v>
      </c>
      <c r="J473" s="2">
        <v>0.93133741617202759</v>
      </c>
      <c r="K473" s="2" t="s">
        <v>29</v>
      </c>
      <c r="L473" s="2" t="s">
        <v>634</v>
      </c>
      <c r="M473" s="2">
        <v>1</v>
      </c>
    </row>
    <row r="474" spans="1:13" ht="90" customHeight="1" x14ac:dyDescent="0.3">
      <c r="A474" s="8"/>
      <c r="B474" s="9"/>
      <c r="C474" s="9"/>
      <c r="D474" s="9"/>
      <c r="E474" s="9"/>
      <c r="F474" s="9"/>
      <c r="G474" s="9"/>
      <c r="H474" s="9"/>
      <c r="I474" s="1" t="s">
        <v>635</v>
      </c>
      <c r="J474" s="1">
        <v>0.92969197034835815</v>
      </c>
      <c r="K474" s="1" t="s">
        <v>29</v>
      </c>
      <c r="L474" s="1" t="s">
        <v>636</v>
      </c>
      <c r="M474" s="1">
        <v>32</v>
      </c>
    </row>
    <row r="475" spans="1:13" ht="90" customHeight="1" x14ac:dyDescent="0.3">
      <c r="A475" s="8"/>
      <c r="B475" s="9"/>
      <c r="C475" s="9"/>
      <c r="D475" s="9"/>
      <c r="E475" s="9"/>
      <c r="F475" s="9"/>
      <c r="G475" s="9"/>
      <c r="H475" s="9"/>
      <c r="I475" s="1" t="s">
        <v>272</v>
      </c>
      <c r="J475" s="1">
        <v>0.84267610311508179</v>
      </c>
      <c r="K475" s="1" t="s">
        <v>68</v>
      </c>
      <c r="L475" s="1" t="s">
        <v>273</v>
      </c>
      <c r="M475" s="1">
        <v>1</v>
      </c>
    </row>
    <row r="476" spans="1:13" ht="90" customHeight="1" x14ac:dyDescent="0.3">
      <c r="A476" s="8"/>
      <c r="B476" s="9"/>
      <c r="C476" s="9"/>
      <c r="D476" s="9"/>
      <c r="E476" s="9"/>
      <c r="F476" s="9"/>
      <c r="G476" s="9"/>
      <c r="H476" s="9"/>
      <c r="I476" s="1"/>
      <c r="J476" s="1"/>
      <c r="K476" s="1"/>
      <c r="L476" s="1"/>
      <c r="M476" s="1"/>
    </row>
    <row r="477" spans="1:13" ht="90" customHeight="1" x14ac:dyDescent="0.3">
      <c r="A477" s="8">
        <v>170</v>
      </c>
      <c r="B477" s="8" t="s">
        <v>637</v>
      </c>
      <c r="C477" s="8" t="s">
        <v>259</v>
      </c>
      <c r="D477" s="8" t="s">
        <v>556</v>
      </c>
      <c r="E477" s="10" t="s">
        <v>24</v>
      </c>
      <c r="F477" s="10" t="s">
        <v>25</v>
      </c>
      <c r="G477" s="8" t="s">
        <v>638</v>
      </c>
      <c r="H477" s="8" t="s">
        <v>639</v>
      </c>
      <c r="I477" s="4" t="s">
        <v>640</v>
      </c>
      <c r="J477" s="4">
        <v>0.99982976913452148</v>
      </c>
      <c r="K477" s="4" t="s">
        <v>29</v>
      </c>
      <c r="L477" s="4" t="s">
        <v>259</v>
      </c>
      <c r="M477" s="4">
        <v>26</v>
      </c>
    </row>
    <row r="478" spans="1:13" ht="90" customHeight="1" x14ac:dyDescent="0.3">
      <c r="A478" s="8"/>
      <c r="B478" s="9"/>
      <c r="C478" s="9"/>
      <c r="D478" s="9"/>
      <c r="E478" s="9"/>
      <c r="F478" s="9"/>
      <c r="G478" s="9"/>
      <c r="H478" s="9"/>
      <c r="I478" s="1"/>
      <c r="J478" s="1"/>
      <c r="K478" s="1"/>
      <c r="L478" s="1"/>
      <c r="M478" s="1"/>
    </row>
    <row r="479" spans="1:13" ht="90" customHeight="1" x14ac:dyDescent="0.3">
      <c r="A479" s="8"/>
      <c r="B479" s="9"/>
      <c r="C479" s="9"/>
      <c r="D479" s="9"/>
      <c r="E479" s="9"/>
      <c r="F479" s="9"/>
      <c r="G479" s="9"/>
      <c r="H479" s="9"/>
      <c r="I479" s="1"/>
      <c r="J479" s="1"/>
      <c r="K479" s="1"/>
      <c r="L479" s="1"/>
      <c r="M479" s="1"/>
    </row>
    <row r="480" spans="1:13" ht="90" customHeight="1" x14ac:dyDescent="0.3">
      <c r="A480" s="8"/>
      <c r="B480" s="9"/>
      <c r="C480" s="9"/>
      <c r="D480" s="9"/>
      <c r="E480" s="9"/>
      <c r="F480" s="9"/>
      <c r="G480" s="9"/>
      <c r="H480" s="9"/>
      <c r="I480" s="1"/>
      <c r="J480" s="1"/>
      <c r="K480" s="1"/>
      <c r="L480" s="1"/>
      <c r="M480" s="1"/>
    </row>
    <row r="481" spans="1:13" ht="90" customHeight="1" x14ac:dyDescent="0.3">
      <c r="A481" s="8"/>
      <c r="B481" s="9"/>
      <c r="C481" s="9"/>
      <c r="D481" s="9"/>
      <c r="E481" s="9"/>
      <c r="F481" s="9"/>
      <c r="G481" s="9"/>
      <c r="H481" s="9"/>
      <c r="I481" s="1"/>
      <c r="J481" s="1"/>
      <c r="K481" s="1"/>
      <c r="L481" s="1"/>
      <c r="M481" s="1"/>
    </row>
    <row r="482" spans="1:13" ht="90" customHeight="1" x14ac:dyDescent="0.3">
      <c r="A482" s="8">
        <v>172</v>
      </c>
      <c r="B482" s="8" t="s">
        <v>641</v>
      </c>
      <c r="C482" s="8" t="s">
        <v>642</v>
      </c>
      <c r="D482" s="8" t="s">
        <v>643</v>
      </c>
      <c r="E482" s="10" t="s">
        <v>17</v>
      </c>
      <c r="F482" s="10" t="s">
        <v>18</v>
      </c>
      <c r="G482" s="8" t="s">
        <v>644</v>
      </c>
      <c r="H482" s="8" t="s">
        <v>20</v>
      </c>
      <c r="I482" s="1"/>
      <c r="J482" s="1"/>
      <c r="K482" s="1"/>
      <c r="L482" s="1"/>
      <c r="M482" s="1"/>
    </row>
    <row r="483" spans="1:13" ht="90" customHeight="1" x14ac:dyDescent="0.3">
      <c r="A483" s="8"/>
      <c r="B483" s="9"/>
      <c r="C483" s="9"/>
      <c r="D483" s="9"/>
      <c r="E483" s="9"/>
      <c r="F483" s="9"/>
      <c r="G483" s="9"/>
      <c r="H483" s="9"/>
      <c r="I483" s="1"/>
      <c r="J483" s="1"/>
      <c r="K483" s="1"/>
      <c r="L483" s="1"/>
      <c r="M483" s="1"/>
    </row>
    <row r="484" spans="1:13" ht="90" customHeight="1" x14ac:dyDescent="0.3">
      <c r="A484" s="8"/>
      <c r="B484" s="9"/>
      <c r="C484" s="9"/>
      <c r="D484" s="9"/>
      <c r="E484" s="9"/>
      <c r="F484" s="9"/>
      <c r="G484" s="9"/>
      <c r="H484" s="9"/>
      <c r="I484" s="1"/>
      <c r="J484" s="1"/>
      <c r="K484" s="1"/>
      <c r="L484" s="1"/>
      <c r="M484" s="1"/>
    </row>
    <row r="485" spans="1:13" ht="90" customHeight="1" x14ac:dyDescent="0.3">
      <c r="A485" s="8"/>
      <c r="B485" s="9"/>
      <c r="C485" s="9"/>
      <c r="D485" s="9"/>
      <c r="E485" s="9"/>
      <c r="F485" s="9"/>
      <c r="G485" s="9"/>
      <c r="H485" s="9"/>
      <c r="I485" s="1"/>
      <c r="J485" s="1"/>
      <c r="K485" s="1"/>
      <c r="L485" s="1"/>
      <c r="M485" s="1"/>
    </row>
    <row r="486" spans="1:13" ht="90" customHeight="1" x14ac:dyDescent="0.3">
      <c r="A486" s="8"/>
      <c r="B486" s="9"/>
      <c r="C486" s="9"/>
      <c r="D486" s="9"/>
      <c r="E486" s="9"/>
      <c r="F486" s="9"/>
      <c r="G486" s="9"/>
      <c r="H486" s="9"/>
      <c r="I486" s="1"/>
      <c r="J486" s="1"/>
      <c r="K486" s="1"/>
      <c r="L486" s="1"/>
      <c r="M486" s="1"/>
    </row>
    <row r="487" spans="1:13" ht="90" customHeight="1" x14ac:dyDescent="0.3">
      <c r="A487" s="8">
        <v>174</v>
      </c>
      <c r="B487" s="8" t="s">
        <v>645</v>
      </c>
      <c r="C487" s="8" t="s">
        <v>45</v>
      </c>
      <c r="D487" s="8" t="s">
        <v>46</v>
      </c>
      <c r="E487" s="10" t="s">
        <v>24</v>
      </c>
      <c r="F487" s="10" t="s">
        <v>25</v>
      </c>
      <c r="G487" s="8" t="s">
        <v>646</v>
      </c>
      <c r="H487" s="8" t="s">
        <v>647</v>
      </c>
      <c r="I487" s="4" t="s">
        <v>49</v>
      </c>
      <c r="J487" s="4">
        <v>0.99957040803346053</v>
      </c>
      <c r="K487" s="4" t="s">
        <v>29</v>
      </c>
      <c r="L487" s="4" t="s">
        <v>45</v>
      </c>
      <c r="M487" s="4">
        <v>1</v>
      </c>
    </row>
    <row r="488" spans="1:13" ht="90" customHeight="1" x14ac:dyDescent="0.3">
      <c r="A488" s="8"/>
      <c r="B488" s="9"/>
      <c r="C488" s="9"/>
      <c r="D488" s="9"/>
      <c r="E488" s="9"/>
      <c r="F488" s="9"/>
      <c r="G488" s="9"/>
      <c r="H488" s="9"/>
      <c r="I488" s="4" t="s">
        <v>50</v>
      </c>
      <c r="J488" s="4">
        <v>0.99640872924779722</v>
      </c>
      <c r="K488" s="4" t="s">
        <v>29</v>
      </c>
      <c r="L488" s="4" t="s">
        <v>45</v>
      </c>
      <c r="M488" s="4">
        <v>3</v>
      </c>
    </row>
    <row r="489" spans="1:13" ht="90" customHeight="1" x14ac:dyDescent="0.3">
      <c r="A489" s="8"/>
      <c r="B489" s="9"/>
      <c r="C489" s="9"/>
      <c r="D489" s="9"/>
      <c r="E489" s="9"/>
      <c r="F489" s="9"/>
      <c r="G489" s="9"/>
      <c r="H489" s="9"/>
      <c r="I489" s="4" t="s">
        <v>51</v>
      </c>
      <c r="J489" s="4">
        <v>0.91642537360201692</v>
      </c>
      <c r="K489" s="4" t="s">
        <v>29</v>
      </c>
      <c r="L489" s="4" t="s">
        <v>45</v>
      </c>
      <c r="M489" s="4">
        <v>2</v>
      </c>
    </row>
    <row r="490" spans="1:13" ht="90" customHeight="1" x14ac:dyDescent="0.3">
      <c r="A490" s="8"/>
      <c r="B490" s="9"/>
      <c r="C490" s="9"/>
      <c r="D490" s="9"/>
      <c r="E490" s="9"/>
      <c r="F490" s="9"/>
      <c r="G490" s="9"/>
      <c r="H490" s="9"/>
      <c r="I490" s="1"/>
      <c r="J490" s="1"/>
      <c r="K490" s="1"/>
      <c r="L490" s="1"/>
      <c r="M490" s="1"/>
    </row>
    <row r="491" spans="1:13" ht="90" customHeight="1" x14ac:dyDescent="0.3">
      <c r="A491" s="8"/>
      <c r="B491" s="9"/>
      <c r="C491" s="9"/>
      <c r="D491" s="9"/>
      <c r="E491" s="9"/>
      <c r="F491" s="9"/>
      <c r="G491" s="9"/>
      <c r="H491" s="9"/>
      <c r="I491" s="1"/>
      <c r="J491" s="1"/>
      <c r="K491" s="1"/>
      <c r="L491" s="1"/>
      <c r="M491" s="1"/>
    </row>
    <row r="492" spans="1:13" ht="90" customHeight="1" x14ac:dyDescent="0.3">
      <c r="A492" s="8">
        <v>175</v>
      </c>
      <c r="B492" s="8" t="s">
        <v>648</v>
      </c>
      <c r="C492" s="8" t="s">
        <v>63</v>
      </c>
      <c r="D492" s="8" t="s">
        <v>615</v>
      </c>
      <c r="E492" s="10" t="s">
        <v>24</v>
      </c>
      <c r="F492" s="10" t="s">
        <v>25</v>
      </c>
      <c r="G492" s="8" t="s">
        <v>649</v>
      </c>
      <c r="H492" s="8" t="s">
        <v>650</v>
      </c>
      <c r="I492" s="4" t="s">
        <v>651</v>
      </c>
      <c r="J492" s="4">
        <v>0.99158620834350586</v>
      </c>
      <c r="K492" s="4" t="s">
        <v>29</v>
      </c>
      <c r="L492" s="4" t="s">
        <v>63</v>
      </c>
      <c r="M492" s="4">
        <v>128</v>
      </c>
    </row>
    <row r="493" spans="1:13" ht="90" customHeight="1" x14ac:dyDescent="0.3">
      <c r="A493" s="8"/>
      <c r="B493" s="9"/>
      <c r="C493" s="9"/>
      <c r="D493" s="9"/>
      <c r="E493" s="9"/>
      <c r="F493" s="9"/>
      <c r="G493" s="9"/>
      <c r="H493" s="9"/>
      <c r="I493" s="4" t="s">
        <v>652</v>
      </c>
      <c r="J493" s="4">
        <v>0.97655278444290161</v>
      </c>
      <c r="K493" s="4" t="s">
        <v>29</v>
      </c>
      <c r="L493" s="4" t="s">
        <v>63</v>
      </c>
      <c r="M493" s="4">
        <v>127</v>
      </c>
    </row>
    <row r="494" spans="1:13" ht="90" customHeight="1" x14ac:dyDescent="0.3">
      <c r="A494" s="8"/>
      <c r="B494" s="9"/>
      <c r="C494" s="9"/>
      <c r="D494" s="9"/>
      <c r="E494" s="9"/>
      <c r="F494" s="9"/>
      <c r="G494" s="9"/>
      <c r="H494" s="9"/>
      <c r="I494" s="1"/>
      <c r="J494" s="1"/>
      <c r="K494" s="1"/>
      <c r="L494" s="1"/>
      <c r="M494" s="1"/>
    </row>
    <row r="495" spans="1:13" ht="90" customHeight="1" x14ac:dyDescent="0.3">
      <c r="A495" s="8"/>
      <c r="B495" s="9"/>
      <c r="C495" s="9"/>
      <c r="D495" s="9"/>
      <c r="E495" s="9"/>
      <c r="F495" s="9"/>
      <c r="G495" s="9"/>
      <c r="H495" s="9"/>
      <c r="I495" s="1"/>
      <c r="J495" s="1"/>
      <c r="K495" s="1"/>
      <c r="L495" s="1"/>
      <c r="M495" s="1"/>
    </row>
    <row r="496" spans="1:13" ht="90" customHeight="1" x14ac:dyDescent="0.3">
      <c r="A496" s="8"/>
      <c r="B496" s="9"/>
      <c r="C496" s="9"/>
      <c r="D496" s="9"/>
      <c r="E496" s="9"/>
      <c r="F496" s="9"/>
      <c r="G496" s="9"/>
      <c r="H496" s="9"/>
      <c r="I496" s="1"/>
      <c r="J496" s="1"/>
      <c r="K496" s="1"/>
      <c r="L496" s="1"/>
      <c r="M496" s="1"/>
    </row>
    <row r="497" spans="1:13" ht="90" customHeight="1" x14ac:dyDescent="0.3">
      <c r="A497" s="8">
        <v>178</v>
      </c>
      <c r="B497" s="8" t="s">
        <v>653</v>
      </c>
      <c r="C497" s="8" t="s">
        <v>259</v>
      </c>
      <c r="D497" s="8" t="s">
        <v>556</v>
      </c>
      <c r="E497" s="10" t="s">
        <v>24</v>
      </c>
      <c r="F497" s="10" t="s">
        <v>25</v>
      </c>
      <c r="G497" s="8" t="s">
        <v>654</v>
      </c>
      <c r="H497" s="8" t="s">
        <v>655</v>
      </c>
      <c r="I497" s="4" t="s">
        <v>640</v>
      </c>
      <c r="J497" s="4">
        <v>0.99993252754211426</v>
      </c>
      <c r="K497" s="4" t="s">
        <v>29</v>
      </c>
      <c r="L497" s="4" t="s">
        <v>259</v>
      </c>
      <c r="M497" s="4">
        <v>26</v>
      </c>
    </row>
    <row r="498" spans="1:13" ht="90" customHeight="1" x14ac:dyDescent="0.3">
      <c r="A498" s="8"/>
      <c r="B498" s="9"/>
      <c r="C498" s="9"/>
      <c r="D498" s="9"/>
      <c r="E498" s="9"/>
      <c r="F498" s="9"/>
      <c r="G498" s="9"/>
      <c r="H498" s="9"/>
      <c r="I498" s="1"/>
      <c r="J498" s="1"/>
      <c r="K498" s="1"/>
      <c r="L498" s="1"/>
      <c r="M498" s="1"/>
    </row>
    <row r="499" spans="1:13" ht="90" customHeight="1" x14ac:dyDescent="0.3">
      <c r="A499" s="8"/>
      <c r="B499" s="9"/>
      <c r="C499" s="9"/>
      <c r="D499" s="9"/>
      <c r="E499" s="9"/>
      <c r="F499" s="9"/>
      <c r="G499" s="9"/>
      <c r="H499" s="9"/>
      <c r="I499" s="1"/>
      <c r="J499" s="1"/>
      <c r="K499" s="1"/>
      <c r="L499" s="1"/>
      <c r="M499" s="1"/>
    </row>
    <row r="500" spans="1:13" ht="90" customHeight="1" x14ac:dyDescent="0.3">
      <c r="A500" s="8"/>
      <c r="B500" s="9"/>
      <c r="C500" s="9"/>
      <c r="D500" s="9"/>
      <c r="E500" s="9"/>
      <c r="F500" s="9"/>
      <c r="G500" s="9"/>
      <c r="H500" s="9"/>
      <c r="I500" s="1"/>
      <c r="J500" s="1"/>
      <c r="K500" s="1"/>
      <c r="L500" s="1"/>
      <c r="M500" s="1"/>
    </row>
    <row r="501" spans="1:13" ht="90" customHeight="1" x14ac:dyDescent="0.3">
      <c r="A501" s="8"/>
      <c r="B501" s="9"/>
      <c r="C501" s="9"/>
      <c r="D501" s="9"/>
      <c r="E501" s="9"/>
      <c r="F501" s="9"/>
      <c r="G501" s="9"/>
      <c r="H501" s="9"/>
      <c r="I501" s="1"/>
      <c r="J501" s="1"/>
      <c r="K501" s="1"/>
      <c r="L501" s="1"/>
      <c r="M501" s="1"/>
    </row>
    <row r="502" spans="1:13" ht="90" customHeight="1" x14ac:dyDescent="0.3">
      <c r="A502" s="8">
        <v>179</v>
      </c>
      <c r="B502" s="8" t="s">
        <v>656</v>
      </c>
      <c r="C502" s="8" t="s">
        <v>657</v>
      </c>
      <c r="D502" s="8" t="s">
        <v>568</v>
      </c>
      <c r="E502" s="10" t="s">
        <v>24</v>
      </c>
      <c r="F502" s="10" t="s">
        <v>25</v>
      </c>
      <c r="G502" s="8" t="s">
        <v>658</v>
      </c>
      <c r="H502" s="8" t="s">
        <v>659</v>
      </c>
      <c r="I502" s="4" t="s">
        <v>660</v>
      </c>
      <c r="J502" s="4">
        <v>0.97713965177536011</v>
      </c>
      <c r="K502" s="4" t="s">
        <v>29</v>
      </c>
      <c r="L502" s="4" t="s">
        <v>657</v>
      </c>
      <c r="M502" s="4">
        <v>3</v>
      </c>
    </row>
    <row r="503" spans="1:13" ht="90" customHeight="1" x14ac:dyDescent="0.3">
      <c r="A503" s="8"/>
      <c r="B503" s="9"/>
      <c r="C503" s="9"/>
      <c r="D503" s="9"/>
      <c r="E503" s="9"/>
      <c r="F503" s="9"/>
      <c r="G503" s="9"/>
      <c r="H503" s="9"/>
      <c r="I503" s="1"/>
      <c r="J503" s="1"/>
      <c r="K503" s="1"/>
      <c r="L503" s="1"/>
      <c r="M503" s="1"/>
    </row>
    <row r="504" spans="1:13" ht="90" customHeight="1" x14ac:dyDescent="0.3">
      <c r="A504" s="8"/>
      <c r="B504" s="9"/>
      <c r="C504" s="9"/>
      <c r="D504" s="9"/>
      <c r="E504" s="9"/>
      <c r="F504" s="9"/>
      <c r="G504" s="9"/>
      <c r="H504" s="9"/>
      <c r="I504" s="1"/>
      <c r="J504" s="1"/>
      <c r="K504" s="1"/>
      <c r="L504" s="1"/>
      <c r="M504" s="1"/>
    </row>
    <row r="505" spans="1:13" ht="90" customHeight="1" x14ac:dyDescent="0.3">
      <c r="A505" s="8"/>
      <c r="B505" s="9"/>
      <c r="C505" s="9"/>
      <c r="D505" s="9"/>
      <c r="E505" s="9"/>
      <c r="F505" s="9"/>
      <c r="G505" s="9"/>
      <c r="H505" s="9"/>
      <c r="I505" s="1"/>
      <c r="J505" s="1"/>
      <c r="K505" s="1"/>
      <c r="L505" s="1"/>
      <c r="M505" s="1"/>
    </row>
    <row r="506" spans="1:13" ht="90" customHeight="1" x14ac:dyDescent="0.3">
      <c r="A506" s="8"/>
      <c r="B506" s="9"/>
      <c r="C506" s="9"/>
      <c r="D506" s="9"/>
      <c r="E506" s="9"/>
      <c r="F506" s="9"/>
      <c r="G506" s="9"/>
      <c r="H506" s="9"/>
      <c r="I506" s="1"/>
      <c r="J506" s="1"/>
      <c r="K506" s="1"/>
      <c r="L506" s="1"/>
      <c r="M506" s="1"/>
    </row>
    <row r="507" spans="1:13" ht="90" customHeight="1" x14ac:dyDescent="0.3">
      <c r="A507" s="8">
        <v>181</v>
      </c>
      <c r="B507" s="8" t="s">
        <v>661</v>
      </c>
      <c r="C507" s="8" t="s">
        <v>398</v>
      </c>
      <c r="D507" s="8" t="s">
        <v>399</v>
      </c>
      <c r="E507" s="10" t="s">
        <v>1201</v>
      </c>
      <c r="F507" s="10" t="s">
        <v>1202</v>
      </c>
      <c r="G507" s="8" t="s">
        <v>662</v>
      </c>
      <c r="H507" s="8" t="s">
        <v>663</v>
      </c>
      <c r="I507" s="6" t="s">
        <v>402</v>
      </c>
      <c r="J507" s="6">
        <v>0.9999992847442627</v>
      </c>
      <c r="K507" s="6" t="s">
        <v>29</v>
      </c>
      <c r="L507" s="6" t="s">
        <v>403</v>
      </c>
      <c r="M507" s="6">
        <v>7</v>
      </c>
    </row>
    <row r="508" spans="1:13" ht="90" customHeight="1" x14ac:dyDescent="0.3">
      <c r="A508" s="8"/>
      <c r="B508" s="9"/>
      <c r="C508" s="9"/>
      <c r="D508" s="9"/>
      <c r="E508" s="9"/>
      <c r="F508" s="9"/>
      <c r="G508" s="9"/>
      <c r="H508" s="9"/>
      <c r="I508" s="6" t="s">
        <v>404</v>
      </c>
      <c r="J508" s="6">
        <v>0.99999737739562988</v>
      </c>
      <c r="K508" s="6" t="s">
        <v>29</v>
      </c>
      <c r="L508" s="6" t="s">
        <v>405</v>
      </c>
      <c r="M508" s="6">
        <v>1</v>
      </c>
    </row>
    <row r="509" spans="1:13" ht="90" customHeight="1" x14ac:dyDescent="0.3">
      <c r="A509" s="8"/>
      <c r="B509" s="9"/>
      <c r="C509" s="9"/>
      <c r="D509" s="9"/>
      <c r="E509" s="9"/>
      <c r="F509" s="9"/>
      <c r="G509" s="9"/>
      <c r="H509" s="9"/>
      <c r="I509" s="1"/>
      <c r="J509" s="1"/>
      <c r="K509" s="1"/>
      <c r="L509" s="1"/>
      <c r="M509" s="1"/>
    </row>
    <row r="510" spans="1:13" ht="90" customHeight="1" x14ac:dyDescent="0.3">
      <c r="A510" s="8"/>
      <c r="B510" s="9"/>
      <c r="C510" s="9"/>
      <c r="D510" s="9"/>
      <c r="E510" s="9"/>
      <c r="F510" s="9"/>
      <c r="G510" s="9"/>
      <c r="H510" s="9"/>
      <c r="I510" s="1"/>
      <c r="J510" s="1"/>
      <c r="K510" s="1"/>
      <c r="L510" s="1"/>
      <c r="M510" s="1"/>
    </row>
    <row r="511" spans="1:13" ht="90" customHeight="1" x14ac:dyDescent="0.3">
      <c r="A511" s="8"/>
      <c r="B511" s="9"/>
      <c r="C511" s="9"/>
      <c r="D511" s="9"/>
      <c r="E511" s="9"/>
      <c r="F511" s="9"/>
      <c r="G511" s="9"/>
      <c r="H511" s="9"/>
      <c r="I511" s="1"/>
      <c r="J511" s="1"/>
      <c r="K511" s="1"/>
      <c r="L511" s="1"/>
      <c r="M511" s="1"/>
    </row>
    <row r="512" spans="1:13" ht="90" customHeight="1" x14ac:dyDescent="0.3">
      <c r="A512" s="8">
        <v>184</v>
      </c>
      <c r="B512" s="8" t="s">
        <v>664</v>
      </c>
      <c r="C512" s="8" t="s">
        <v>528</v>
      </c>
      <c r="D512" s="8" t="s">
        <v>481</v>
      </c>
      <c r="E512" s="10" t="s">
        <v>24</v>
      </c>
      <c r="F512" s="10" t="s">
        <v>25</v>
      </c>
      <c r="G512" s="8" t="s">
        <v>665</v>
      </c>
      <c r="H512" s="8" t="s">
        <v>666</v>
      </c>
      <c r="I512" s="4" t="s">
        <v>531</v>
      </c>
      <c r="J512" s="4">
        <v>0.99998986721038818</v>
      </c>
      <c r="K512" s="4" t="s">
        <v>29</v>
      </c>
      <c r="L512" s="4" t="s">
        <v>528</v>
      </c>
      <c r="M512" s="4">
        <v>2</v>
      </c>
    </row>
    <row r="513" spans="1:13" ht="90" customHeight="1" x14ac:dyDescent="0.3">
      <c r="A513" s="8"/>
      <c r="B513" s="9"/>
      <c r="C513" s="9"/>
      <c r="D513" s="9"/>
      <c r="E513" s="9"/>
      <c r="F513" s="9"/>
      <c r="G513" s="9"/>
      <c r="H513" s="9"/>
      <c r="I513" s="4" t="s">
        <v>532</v>
      </c>
      <c r="J513" s="4">
        <v>0.99998331007866559</v>
      </c>
      <c r="K513" s="4" t="s">
        <v>29</v>
      </c>
      <c r="L513" s="4" t="s">
        <v>528</v>
      </c>
      <c r="M513" s="4">
        <v>1</v>
      </c>
    </row>
    <row r="514" spans="1:13" ht="90" customHeight="1" x14ac:dyDescent="0.3">
      <c r="A514" s="8"/>
      <c r="B514" s="9"/>
      <c r="C514" s="9"/>
      <c r="D514" s="9"/>
      <c r="E514" s="9"/>
      <c r="F514" s="9"/>
      <c r="G514" s="9"/>
      <c r="H514" s="9"/>
      <c r="I514" s="2" t="s">
        <v>667</v>
      </c>
      <c r="J514" s="2">
        <v>0.99860447645187378</v>
      </c>
      <c r="K514" s="2" t="s">
        <v>29</v>
      </c>
      <c r="L514" s="2" t="s">
        <v>668</v>
      </c>
      <c r="M514" s="2">
        <v>20</v>
      </c>
    </row>
    <row r="515" spans="1:13" ht="90" customHeight="1" x14ac:dyDescent="0.3">
      <c r="A515" s="8"/>
      <c r="B515" s="9"/>
      <c r="C515" s="9"/>
      <c r="D515" s="9"/>
      <c r="E515" s="9"/>
      <c r="F515" s="9"/>
      <c r="G515" s="9"/>
      <c r="H515" s="9"/>
      <c r="I515" s="1" t="s">
        <v>669</v>
      </c>
      <c r="J515" s="1">
        <v>0.99842971563339233</v>
      </c>
      <c r="K515" s="1" t="s">
        <v>29</v>
      </c>
      <c r="L515" s="1" t="s">
        <v>670</v>
      </c>
      <c r="M515" s="1">
        <v>40</v>
      </c>
    </row>
    <row r="516" spans="1:13" ht="90" customHeight="1" x14ac:dyDescent="0.3">
      <c r="A516" s="8"/>
      <c r="B516" s="9"/>
      <c r="C516" s="9"/>
      <c r="D516" s="9"/>
      <c r="E516" s="9"/>
      <c r="F516" s="9"/>
      <c r="G516" s="9"/>
      <c r="H516" s="9"/>
      <c r="I516" s="1" t="s">
        <v>671</v>
      </c>
      <c r="J516" s="1">
        <v>0.99744415283203125</v>
      </c>
      <c r="K516" s="1" t="s">
        <v>29</v>
      </c>
      <c r="L516" s="1" t="s">
        <v>668</v>
      </c>
      <c r="M516" s="1">
        <v>2</v>
      </c>
    </row>
    <row r="517" spans="1:13" ht="90" customHeight="1" x14ac:dyDescent="0.3">
      <c r="A517" s="8">
        <v>185</v>
      </c>
      <c r="B517" s="8" t="s">
        <v>672</v>
      </c>
      <c r="C517" s="8" t="s">
        <v>525</v>
      </c>
      <c r="D517" s="8" t="s">
        <v>16</v>
      </c>
      <c r="E517" s="10" t="s">
        <v>24</v>
      </c>
      <c r="F517" s="10" t="s">
        <v>25</v>
      </c>
      <c r="G517" s="8" t="s">
        <v>673</v>
      </c>
      <c r="H517" s="8" t="s">
        <v>674</v>
      </c>
      <c r="I517" s="4" t="s">
        <v>675</v>
      </c>
      <c r="J517" s="4">
        <v>0.99365013837814331</v>
      </c>
      <c r="K517" s="4" t="s">
        <v>29</v>
      </c>
      <c r="L517" s="4" t="s">
        <v>525</v>
      </c>
      <c r="M517" s="4">
        <v>1</v>
      </c>
    </row>
    <row r="518" spans="1:13" ht="90" customHeight="1" x14ac:dyDescent="0.3">
      <c r="A518" s="8"/>
      <c r="B518" s="9"/>
      <c r="C518" s="9"/>
      <c r="D518" s="9"/>
      <c r="E518" s="9"/>
      <c r="F518" s="9"/>
      <c r="G518" s="9"/>
      <c r="H518" s="9"/>
      <c r="I518" s="1"/>
      <c r="J518" s="1"/>
      <c r="K518" s="1"/>
      <c r="L518" s="1"/>
      <c r="M518" s="1"/>
    </row>
    <row r="519" spans="1:13" ht="90" customHeight="1" x14ac:dyDescent="0.3">
      <c r="A519" s="8"/>
      <c r="B519" s="9"/>
      <c r="C519" s="9"/>
      <c r="D519" s="9"/>
      <c r="E519" s="9"/>
      <c r="F519" s="9"/>
      <c r="G519" s="9"/>
      <c r="H519" s="9"/>
      <c r="I519" s="1"/>
      <c r="J519" s="1"/>
      <c r="K519" s="1"/>
      <c r="L519" s="1"/>
      <c r="M519" s="1"/>
    </row>
    <row r="520" spans="1:13" ht="90" customHeight="1" x14ac:dyDescent="0.3">
      <c r="A520" s="8"/>
      <c r="B520" s="9"/>
      <c r="C520" s="9"/>
      <c r="D520" s="9"/>
      <c r="E520" s="9"/>
      <c r="F520" s="9"/>
      <c r="G520" s="9"/>
      <c r="H520" s="9"/>
      <c r="I520" s="1"/>
      <c r="J520" s="1"/>
      <c r="K520" s="1"/>
      <c r="L520" s="1"/>
      <c r="M520" s="1"/>
    </row>
    <row r="521" spans="1:13" ht="90" customHeight="1" x14ac:dyDescent="0.3">
      <c r="A521" s="8"/>
      <c r="B521" s="9"/>
      <c r="C521" s="9"/>
      <c r="D521" s="9"/>
      <c r="E521" s="9"/>
      <c r="F521" s="9"/>
      <c r="G521" s="9"/>
      <c r="H521" s="9"/>
      <c r="I521" s="1"/>
      <c r="J521" s="1"/>
      <c r="K521" s="1"/>
      <c r="L521" s="1"/>
      <c r="M521" s="1"/>
    </row>
    <row r="522" spans="1:13" ht="90" customHeight="1" x14ac:dyDescent="0.3">
      <c r="A522" s="8">
        <v>186</v>
      </c>
      <c r="B522" s="8" t="s">
        <v>676</v>
      </c>
      <c r="C522" s="8" t="s">
        <v>293</v>
      </c>
      <c r="D522" s="8" t="s">
        <v>518</v>
      </c>
      <c r="E522" s="10" t="s">
        <v>24</v>
      </c>
      <c r="F522" s="10" t="s">
        <v>25</v>
      </c>
      <c r="G522" s="8" t="s">
        <v>677</v>
      </c>
      <c r="H522" s="8" t="s">
        <v>678</v>
      </c>
      <c r="I522" s="4" t="s">
        <v>392</v>
      </c>
      <c r="J522" s="4">
        <v>0.99451535940170288</v>
      </c>
      <c r="K522" s="4" t="s">
        <v>29</v>
      </c>
      <c r="L522" s="4" t="s">
        <v>293</v>
      </c>
      <c r="M522" s="4">
        <v>3</v>
      </c>
    </row>
    <row r="523" spans="1:13" ht="90" customHeight="1" x14ac:dyDescent="0.3">
      <c r="A523" s="8"/>
      <c r="B523" s="9"/>
      <c r="C523" s="9"/>
      <c r="D523" s="9"/>
      <c r="E523" s="9"/>
      <c r="F523" s="9"/>
      <c r="G523" s="9"/>
      <c r="H523" s="9"/>
      <c r="I523" s="4" t="s">
        <v>391</v>
      </c>
      <c r="J523" s="4">
        <v>0.98293465375900269</v>
      </c>
      <c r="K523" s="4" t="s">
        <v>29</v>
      </c>
      <c r="L523" s="4" t="s">
        <v>293</v>
      </c>
      <c r="M523" s="4">
        <v>2</v>
      </c>
    </row>
    <row r="524" spans="1:13" ht="90" customHeight="1" x14ac:dyDescent="0.3">
      <c r="A524" s="8"/>
      <c r="B524" s="9"/>
      <c r="C524" s="9"/>
      <c r="D524" s="9"/>
      <c r="E524" s="9"/>
      <c r="F524" s="9"/>
      <c r="G524" s="9"/>
      <c r="H524" s="9"/>
      <c r="I524" s="5" t="s">
        <v>296</v>
      </c>
      <c r="J524" s="5">
        <v>0.974689781665802</v>
      </c>
      <c r="K524" s="5" t="s">
        <v>29</v>
      </c>
      <c r="L524" s="5" t="s">
        <v>293</v>
      </c>
      <c r="M524" s="5">
        <v>4</v>
      </c>
    </row>
    <row r="525" spans="1:13" ht="90" customHeight="1" x14ac:dyDescent="0.3">
      <c r="A525" s="8"/>
      <c r="B525" s="9"/>
      <c r="C525" s="9"/>
      <c r="D525" s="9"/>
      <c r="E525" s="9"/>
      <c r="F525" s="9"/>
      <c r="G525" s="9"/>
      <c r="H525" s="9"/>
      <c r="I525" s="1"/>
      <c r="J525" s="1"/>
      <c r="K525" s="1"/>
      <c r="L525" s="1"/>
      <c r="M525" s="1"/>
    </row>
    <row r="526" spans="1:13" ht="90" customHeight="1" x14ac:dyDescent="0.3">
      <c r="A526" s="8"/>
      <c r="B526" s="9"/>
      <c r="C526" s="9"/>
      <c r="D526" s="9"/>
      <c r="E526" s="9"/>
      <c r="F526" s="9"/>
      <c r="G526" s="9"/>
      <c r="H526" s="9"/>
      <c r="I526" s="1"/>
      <c r="J526" s="1"/>
      <c r="K526" s="1"/>
      <c r="L526" s="1"/>
      <c r="M526" s="1"/>
    </row>
    <row r="527" spans="1:13" ht="90" customHeight="1" x14ac:dyDescent="0.3">
      <c r="A527" s="8">
        <v>187</v>
      </c>
      <c r="B527" s="8" t="s">
        <v>679</v>
      </c>
      <c r="C527" s="8" t="s">
        <v>680</v>
      </c>
      <c r="D527" s="8" t="s">
        <v>643</v>
      </c>
      <c r="E527" s="10" t="s">
        <v>17</v>
      </c>
      <c r="F527" s="10" t="s">
        <v>18</v>
      </c>
      <c r="G527" s="8" t="s">
        <v>681</v>
      </c>
      <c r="H527" s="8" t="s">
        <v>682</v>
      </c>
      <c r="I527" s="2" t="s">
        <v>683</v>
      </c>
      <c r="J527" s="2">
        <v>0.98882418870925903</v>
      </c>
      <c r="K527" s="2" t="s">
        <v>29</v>
      </c>
      <c r="L527" s="2" t="s">
        <v>209</v>
      </c>
      <c r="M527" s="2">
        <v>45</v>
      </c>
    </row>
    <row r="528" spans="1:13" ht="90" customHeight="1" x14ac:dyDescent="0.3">
      <c r="A528" s="8"/>
      <c r="B528" s="9"/>
      <c r="C528" s="9"/>
      <c r="D528" s="9"/>
      <c r="E528" s="9"/>
      <c r="F528" s="9"/>
      <c r="G528" s="9"/>
      <c r="H528" s="9"/>
      <c r="I528" s="1"/>
      <c r="J528" s="1"/>
      <c r="K528" s="1"/>
      <c r="L528" s="1"/>
      <c r="M528" s="1"/>
    </row>
    <row r="529" spans="1:13" ht="90" customHeight="1" x14ac:dyDescent="0.3">
      <c r="A529" s="8"/>
      <c r="B529" s="9"/>
      <c r="C529" s="9"/>
      <c r="D529" s="9"/>
      <c r="E529" s="9"/>
      <c r="F529" s="9"/>
      <c r="G529" s="9"/>
      <c r="H529" s="9"/>
      <c r="I529" s="1"/>
      <c r="J529" s="1"/>
      <c r="K529" s="1"/>
      <c r="L529" s="1"/>
      <c r="M529" s="1"/>
    </row>
    <row r="530" spans="1:13" ht="90" customHeight="1" x14ac:dyDescent="0.3">
      <c r="A530" s="8"/>
      <c r="B530" s="9"/>
      <c r="C530" s="9"/>
      <c r="D530" s="9"/>
      <c r="E530" s="9"/>
      <c r="F530" s="9"/>
      <c r="G530" s="9"/>
      <c r="H530" s="9"/>
      <c r="I530" s="1"/>
      <c r="J530" s="1"/>
      <c r="K530" s="1"/>
      <c r="L530" s="1"/>
      <c r="M530" s="1"/>
    </row>
    <row r="531" spans="1:13" ht="90" customHeight="1" x14ac:dyDescent="0.3">
      <c r="A531" s="8"/>
      <c r="B531" s="9"/>
      <c r="C531" s="9"/>
      <c r="D531" s="9"/>
      <c r="E531" s="9"/>
      <c r="F531" s="9"/>
      <c r="G531" s="9"/>
      <c r="H531" s="9"/>
      <c r="I531" s="1"/>
      <c r="J531" s="1"/>
      <c r="K531" s="1"/>
      <c r="L531" s="1"/>
      <c r="M531" s="1"/>
    </row>
    <row r="532" spans="1:13" ht="90" customHeight="1" x14ac:dyDescent="0.3">
      <c r="A532" s="8">
        <v>188</v>
      </c>
      <c r="B532" s="8" t="s">
        <v>684</v>
      </c>
      <c r="C532" s="8" t="s">
        <v>685</v>
      </c>
      <c r="D532" s="8" t="s">
        <v>686</v>
      </c>
      <c r="E532" s="10" t="s">
        <v>17</v>
      </c>
      <c r="F532" s="10" t="s">
        <v>18</v>
      </c>
      <c r="G532" s="8" t="s">
        <v>687</v>
      </c>
      <c r="H532" s="8" t="s">
        <v>20</v>
      </c>
      <c r="I532" s="1"/>
      <c r="J532" s="1"/>
      <c r="K532" s="1"/>
      <c r="L532" s="1"/>
      <c r="M532" s="1"/>
    </row>
    <row r="533" spans="1:13" ht="90" customHeight="1" x14ac:dyDescent="0.3">
      <c r="A533" s="8"/>
      <c r="B533" s="9"/>
      <c r="C533" s="9"/>
      <c r="D533" s="9"/>
      <c r="E533" s="9"/>
      <c r="F533" s="9"/>
      <c r="G533" s="9"/>
      <c r="H533" s="9"/>
      <c r="I533" s="1"/>
      <c r="J533" s="1"/>
      <c r="K533" s="1"/>
      <c r="L533" s="1"/>
      <c r="M533" s="1"/>
    </row>
    <row r="534" spans="1:13" ht="90" customHeight="1" x14ac:dyDescent="0.3">
      <c r="A534" s="8"/>
      <c r="B534" s="9"/>
      <c r="C534" s="9"/>
      <c r="D534" s="9"/>
      <c r="E534" s="9"/>
      <c r="F534" s="9"/>
      <c r="G534" s="9"/>
      <c r="H534" s="9"/>
      <c r="I534" s="1"/>
      <c r="J534" s="1"/>
      <c r="K534" s="1"/>
      <c r="L534" s="1"/>
      <c r="M534" s="1"/>
    </row>
    <row r="535" spans="1:13" ht="90" customHeight="1" x14ac:dyDescent="0.3">
      <c r="A535" s="8"/>
      <c r="B535" s="9"/>
      <c r="C535" s="9"/>
      <c r="D535" s="9"/>
      <c r="E535" s="9"/>
      <c r="F535" s="9"/>
      <c r="G535" s="9"/>
      <c r="H535" s="9"/>
      <c r="I535" s="1"/>
      <c r="J535" s="1"/>
      <c r="K535" s="1"/>
      <c r="L535" s="1"/>
      <c r="M535" s="1"/>
    </row>
    <row r="536" spans="1:13" ht="90" customHeight="1" x14ac:dyDescent="0.3">
      <c r="A536" s="8"/>
      <c r="B536" s="9"/>
      <c r="C536" s="9"/>
      <c r="D536" s="9"/>
      <c r="E536" s="9"/>
      <c r="F536" s="9"/>
      <c r="G536" s="9"/>
      <c r="H536" s="9"/>
      <c r="I536" s="1"/>
      <c r="J536" s="1"/>
      <c r="K536" s="1"/>
      <c r="L536" s="1"/>
      <c r="M536" s="1"/>
    </row>
    <row r="537" spans="1:13" ht="90" customHeight="1" x14ac:dyDescent="0.3">
      <c r="A537" s="8">
        <v>189</v>
      </c>
      <c r="B537" s="8" t="s">
        <v>688</v>
      </c>
      <c r="C537" s="8" t="s">
        <v>689</v>
      </c>
      <c r="D537" s="8" t="s">
        <v>690</v>
      </c>
      <c r="E537" s="10" t="s">
        <v>17</v>
      </c>
      <c r="F537" s="10" t="s">
        <v>18</v>
      </c>
      <c r="G537" s="8" t="s">
        <v>691</v>
      </c>
      <c r="H537" s="8" t="s">
        <v>20</v>
      </c>
      <c r="I537" s="1"/>
      <c r="J537" s="1"/>
      <c r="K537" s="1"/>
      <c r="L537" s="1"/>
      <c r="M537" s="1"/>
    </row>
    <row r="538" spans="1:13" ht="90" customHeight="1" x14ac:dyDescent="0.3">
      <c r="A538" s="8"/>
      <c r="B538" s="9"/>
      <c r="C538" s="9"/>
      <c r="D538" s="9"/>
      <c r="E538" s="9"/>
      <c r="F538" s="9"/>
      <c r="G538" s="9"/>
      <c r="H538" s="9"/>
      <c r="I538" s="1"/>
      <c r="J538" s="1"/>
      <c r="K538" s="1"/>
      <c r="L538" s="1"/>
      <c r="M538" s="1"/>
    </row>
    <row r="539" spans="1:13" ht="90" customHeight="1" x14ac:dyDescent="0.3">
      <c r="A539" s="8"/>
      <c r="B539" s="9"/>
      <c r="C539" s="9"/>
      <c r="D539" s="9"/>
      <c r="E539" s="9"/>
      <c r="F539" s="9"/>
      <c r="G539" s="9"/>
      <c r="H539" s="9"/>
      <c r="I539" s="1"/>
      <c r="J539" s="1"/>
      <c r="K539" s="1"/>
      <c r="L539" s="1"/>
      <c r="M539" s="1"/>
    </row>
    <row r="540" spans="1:13" ht="90" customHeight="1" x14ac:dyDescent="0.3">
      <c r="A540" s="8"/>
      <c r="B540" s="9"/>
      <c r="C540" s="9"/>
      <c r="D540" s="9"/>
      <c r="E540" s="9"/>
      <c r="F540" s="9"/>
      <c r="G540" s="9"/>
      <c r="H540" s="9"/>
      <c r="I540" s="1"/>
      <c r="J540" s="1"/>
      <c r="K540" s="1"/>
      <c r="L540" s="1"/>
      <c r="M540" s="1"/>
    </row>
    <row r="541" spans="1:13" ht="90" customHeight="1" x14ac:dyDescent="0.3">
      <c r="A541" s="8"/>
      <c r="B541" s="9"/>
      <c r="C541" s="9"/>
      <c r="D541" s="9"/>
      <c r="E541" s="9"/>
      <c r="F541" s="9"/>
      <c r="G541" s="9"/>
      <c r="H541" s="9"/>
      <c r="I541" s="1"/>
      <c r="J541" s="1"/>
      <c r="K541" s="1"/>
      <c r="L541" s="1"/>
      <c r="M541" s="1"/>
    </row>
    <row r="542" spans="1:13" ht="90" customHeight="1" x14ac:dyDescent="0.3">
      <c r="A542" s="8">
        <v>190</v>
      </c>
      <c r="B542" s="8" t="s">
        <v>692</v>
      </c>
      <c r="C542" s="8" t="s">
        <v>63</v>
      </c>
      <c r="D542" s="8" t="s">
        <v>615</v>
      </c>
      <c r="E542" s="10" t="s">
        <v>24</v>
      </c>
      <c r="F542" s="10" t="s">
        <v>25</v>
      </c>
      <c r="G542" s="8" t="s">
        <v>693</v>
      </c>
      <c r="H542" s="8" t="s">
        <v>694</v>
      </c>
      <c r="I542" s="4" t="s">
        <v>695</v>
      </c>
      <c r="J542" s="4">
        <v>0.99930500984191895</v>
      </c>
      <c r="K542" s="4" t="s">
        <v>29</v>
      </c>
      <c r="L542" s="4" t="s">
        <v>63</v>
      </c>
      <c r="M542" s="4">
        <v>128</v>
      </c>
    </row>
    <row r="543" spans="1:13" ht="90" customHeight="1" x14ac:dyDescent="0.3">
      <c r="A543" s="8"/>
      <c r="B543" s="9"/>
      <c r="C543" s="9"/>
      <c r="D543" s="9"/>
      <c r="E543" s="9"/>
      <c r="F543" s="9"/>
      <c r="G543" s="9"/>
      <c r="H543" s="9"/>
      <c r="I543" s="2" t="s">
        <v>696</v>
      </c>
      <c r="J543" s="2">
        <v>0.99054342508314785</v>
      </c>
      <c r="K543" s="2" t="s">
        <v>29</v>
      </c>
      <c r="L543" s="2" t="s">
        <v>345</v>
      </c>
      <c r="M543" s="2">
        <v>41</v>
      </c>
    </row>
    <row r="544" spans="1:13" ht="90" customHeight="1" x14ac:dyDescent="0.3">
      <c r="A544" s="8"/>
      <c r="B544" s="9"/>
      <c r="C544" s="9"/>
      <c r="D544" s="9"/>
      <c r="E544" s="9"/>
      <c r="F544" s="9"/>
      <c r="G544" s="9"/>
      <c r="H544" s="9"/>
      <c r="I544" s="2" t="s">
        <v>697</v>
      </c>
      <c r="J544" s="2">
        <v>0.98974573612213135</v>
      </c>
      <c r="K544" s="2" t="s">
        <v>29</v>
      </c>
      <c r="L544" s="2" t="s">
        <v>555</v>
      </c>
      <c r="M544" s="2">
        <v>61</v>
      </c>
    </row>
    <row r="545" spans="1:13" ht="90" customHeight="1" x14ac:dyDescent="0.3">
      <c r="A545" s="8"/>
      <c r="B545" s="9"/>
      <c r="C545" s="9"/>
      <c r="D545" s="9"/>
      <c r="E545" s="9"/>
      <c r="F545" s="9"/>
      <c r="G545" s="9"/>
      <c r="H545" s="9"/>
      <c r="I545" s="1" t="s">
        <v>698</v>
      </c>
      <c r="J545" s="1">
        <v>0.98865950107574463</v>
      </c>
      <c r="K545" s="1" t="s">
        <v>29</v>
      </c>
      <c r="L545" s="1" t="s">
        <v>59</v>
      </c>
      <c r="M545" s="1">
        <v>30</v>
      </c>
    </row>
    <row r="546" spans="1:13" ht="90" customHeight="1" x14ac:dyDescent="0.3">
      <c r="A546" s="8"/>
      <c r="B546" s="9"/>
      <c r="C546" s="9"/>
      <c r="D546" s="9"/>
      <c r="E546" s="9"/>
      <c r="F546" s="9"/>
      <c r="G546" s="9"/>
      <c r="H546" s="9"/>
      <c r="I546" s="1" t="s">
        <v>699</v>
      </c>
      <c r="J546" s="1">
        <v>0.98820912837982178</v>
      </c>
      <c r="K546" s="1" t="s">
        <v>29</v>
      </c>
      <c r="L546" s="1" t="s">
        <v>59</v>
      </c>
      <c r="M546" s="1">
        <v>107</v>
      </c>
    </row>
    <row r="547" spans="1:13" ht="90" customHeight="1" x14ac:dyDescent="0.3">
      <c r="A547" s="8">
        <v>191</v>
      </c>
      <c r="B547" s="8" t="s">
        <v>700</v>
      </c>
      <c r="C547" s="8" t="s">
        <v>45</v>
      </c>
      <c r="D547" s="8" t="s">
        <v>46</v>
      </c>
      <c r="E547" s="10" t="s">
        <v>24</v>
      </c>
      <c r="F547" s="10" t="s">
        <v>25</v>
      </c>
      <c r="G547" s="8" t="s">
        <v>701</v>
      </c>
      <c r="H547" s="8" t="s">
        <v>702</v>
      </c>
      <c r="I547" s="4" t="s">
        <v>49</v>
      </c>
      <c r="J547" s="4">
        <v>0.99231262033756806</v>
      </c>
      <c r="K547" s="4" t="s">
        <v>29</v>
      </c>
      <c r="L547" s="4" t="s">
        <v>45</v>
      </c>
      <c r="M547" s="4">
        <v>1</v>
      </c>
    </row>
    <row r="548" spans="1:13" ht="90" customHeight="1" x14ac:dyDescent="0.3">
      <c r="A548" s="8"/>
      <c r="B548" s="9"/>
      <c r="C548" s="9"/>
      <c r="D548" s="9"/>
      <c r="E548" s="9"/>
      <c r="F548" s="9"/>
      <c r="G548" s="9"/>
      <c r="H548" s="9"/>
      <c r="I548" s="4" t="s">
        <v>50</v>
      </c>
      <c r="J548" s="4">
        <v>0.98788740078935189</v>
      </c>
      <c r="K548" s="4" t="s">
        <v>29</v>
      </c>
      <c r="L548" s="4" t="s">
        <v>45</v>
      </c>
      <c r="M548" s="4">
        <v>3</v>
      </c>
    </row>
    <row r="549" spans="1:13" ht="90" customHeight="1" x14ac:dyDescent="0.3">
      <c r="A549" s="8"/>
      <c r="B549" s="9"/>
      <c r="C549" s="9"/>
      <c r="D549" s="9"/>
      <c r="E549" s="9"/>
      <c r="F549" s="9"/>
      <c r="G549" s="9"/>
      <c r="H549" s="9"/>
      <c r="I549" s="4" t="s">
        <v>51</v>
      </c>
      <c r="J549" s="4">
        <v>0.89019287604036923</v>
      </c>
      <c r="K549" s="4" t="s">
        <v>29</v>
      </c>
      <c r="L549" s="4" t="s">
        <v>45</v>
      </c>
      <c r="M549" s="4">
        <v>2</v>
      </c>
    </row>
    <row r="550" spans="1:13" ht="90" customHeight="1" x14ac:dyDescent="0.3">
      <c r="A550" s="8"/>
      <c r="B550" s="9"/>
      <c r="C550" s="9"/>
      <c r="D550" s="9"/>
      <c r="E550" s="9"/>
      <c r="F550" s="9"/>
      <c r="G550" s="9"/>
      <c r="H550" s="9"/>
      <c r="I550" s="1"/>
      <c r="J550" s="1"/>
      <c r="K550" s="1"/>
      <c r="L550" s="1"/>
      <c r="M550" s="1"/>
    </row>
    <row r="551" spans="1:13" ht="90" customHeight="1" x14ac:dyDescent="0.3">
      <c r="A551" s="8"/>
      <c r="B551" s="9"/>
      <c r="C551" s="9"/>
      <c r="D551" s="9"/>
      <c r="E551" s="9"/>
      <c r="F551" s="9"/>
      <c r="G551" s="9"/>
      <c r="H551" s="9"/>
      <c r="I551" s="1"/>
      <c r="J551" s="1"/>
      <c r="K551" s="1"/>
      <c r="L551" s="1"/>
      <c r="M551" s="1"/>
    </row>
    <row r="552" spans="1:13" ht="90" customHeight="1" x14ac:dyDescent="0.3">
      <c r="A552" s="8">
        <v>193</v>
      </c>
      <c r="B552" s="8" t="s">
        <v>703</v>
      </c>
      <c r="C552" s="8" t="s">
        <v>704</v>
      </c>
      <c r="D552" s="8" t="s">
        <v>705</v>
      </c>
      <c r="E552" s="10" t="s">
        <v>17</v>
      </c>
      <c r="F552" s="10" t="s">
        <v>18</v>
      </c>
      <c r="G552" s="8" t="s">
        <v>706</v>
      </c>
      <c r="H552" s="8" t="s">
        <v>20</v>
      </c>
      <c r="I552" s="1"/>
      <c r="J552" s="1"/>
      <c r="K552" s="1"/>
      <c r="L552" s="1"/>
      <c r="M552" s="1"/>
    </row>
    <row r="553" spans="1:13" ht="90" customHeight="1" x14ac:dyDescent="0.3">
      <c r="A553" s="8"/>
      <c r="B553" s="9"/>
      <c r="C553" s="9"/>
      <c r="D553" s="9"/>
      <c r="E553" s="9"/>
      <c r="F553" s="9"/>
      <c r="G553" s="9"/>
      <c r="H553" s="9"/>
      <c r="I553" s="1"/>
      <c r="J553" s="1"/>
      <c r="K553" s="1"/>
      <c r="L553" s="1"/>
      <c r="M553" s="1"/>
    </row>
    <row r="554" spans="1:13" ht="90" customHeight="1" x14ac:dyDescent="0.3">
      <c r="A554" s="8"/>
      <c r="B554" s="9"/>
      <c r="C554" s="9"/>
      <c r="D554" s="9"/>
      <c r="E554" s="9"/>
      <c r="F554" s="9"/>
      <c r="G554" s="9"/>
      <c r="H554" s="9"/>
      <c r="I554" s="1"/>
      <c r="J554" s="1"/>
      <c r="K554" s="1"/>
      <c r="L554" s="1"/>
      <c r="M554" s="1"/>
    </row>
    <row r="555" spans="1:13" ht="90" customHeight="1" x14ac:dyDescent="0.3">
      <c r="A555" s="8"/>
      <c r="B555" s="9"/>
      <c r="C555" s="9"/>
      <c r="D555" s="9"/>
      <c r="E555" s="9"/>
      <c r="F555" s="9"/>
      <c r="G555" s="9"/>
      <c r="H555" s="9"/>
      <c r="I555" s="1"/>
      <c r="J555" s="1"/>
      <c r="K555" s="1"/>
      <c r="L555" s="1"/>
      <c r="M555" s="1"/>
    </row>
    <row r="556" spans="1:13" ht="90" customHeight="1" x14ac:dyDescent="0.3">
      <c r="A556" s="8"/>
      <c r="B556" s="9"/>
      <c r="C556" s="9"/>
      <c r="D556" s="9"/>
      <c r="E556" s="9"/>
      <c r="F556" s="9"/>
      <c r="G556" s="9"/>
      <c r="H556" s="9"/>
      <c r="I556" s="1"/>
      <c r="J556" s="1"/>
      <c r="K556" s="1"/>
      <c r="L556" s="1"/>
      <c r="M556" s="1"/>
    </row>
    <row r="557" spans="1:13" ht="90" customHeight="1" x14ac:dyDescent="0.3">
      <c r="A557" s="8">
        <v>196</v>
      </c>
      <c r="B557" s="8" t="s">
        <v>707</v>
      </c>
      <c r="C557" s="8" t="s">
        <v>259</v>
      </c>
      <c r="D557" s="8" t="s">
        <v>556</v>
      </c>
      <c r="E557" s="10" t="s">
        <v>24</v>
      </c>
      <c r="F557" s="10" t="s">
        <v>25</v>
      </c>
      <c r="G557" s="8" t="s">
        <v>708</v>
      </c>
      <c r="H557" s="8" t="s">
        <v>709</v>
      </c>
      <c r="I557" s="4" t="s">
        <v>264</v>
      </c>
      <c r="J557" s="4">
        <v>0.94905210762938452</v>
      </c>
      <c r="K557" s="4" t="s">
        <v>29</v>
      </c>
      <c r="L557" s="4" t="s">
        <v>259</v>
      </c>
      <c r="M557" s="4">
        <v>26</v>
      </c>
    </row>
    <row r="558" spans="1:13" ht="90" customHeight="1" x14ac:dyDescent="0.3">
      <c r="A558" s="8"/>
      <c r="B558" s="9"/>
      <c r="C558" s="9"/>
      <c r="D558" s="9"/>
      <c r="E558" s="9"/>
      <c r="F558" s="9"/>
      <c r="G558" s="9"/>
      <c r="H558" s="9"/>
      <c r="I558" s="1"/>
      <c r="J558" s="1"/>
      <c r="K558" s="1"/>
      <c r="L558" s="1"/>
      <c r="M558" s="1"/>
    </row>
    <row r="559" spans="1:13" ht="90" customHeight="1" x14ac:dyDescent="0.3">
      <c r="A559" s="8"/>
      <c r="B559" s="9"/>
      <c r="C559" s="9"/>
      <c r="D559" s="9"/>
      <c r="E559" s="9"/>
      <c r="F559" s="9"/>
      <c r="G559" s="9"/>
      <c r="H559" s="9"/>
      <c r="I559" s="1"/>
      <c r="J559" s="1"/>
      <c r="K559" s="1"/>
      <c r="L559" s="1"/>
      <c r="M559" s="1"/>
    </row>
    <row r="560" spans="1:13" ht="90" customHeight="1" x14ac:dyDescent="0.3">
      <c r="A560" s="8"/>
      <c r="B560" s="9"/>
      <c r="C560" s="9"/>
      <c r="D560" s="9"/>
      <c r="E560" s="9"/>
      <c r="F560" s="9"/>
      <c r="G560" s="9"/>
      <c r="H560" s="9"/>
      <c r="I560" s="1"/>
      <c r="J560" s="1"/>
      <c r="K560" s="1"/>
      <c r="L560" s="1"/>
      <c r="M560" s="1"/>
    </row>
    <row r="561" spans="1:13" ht="90" customHeight="1" x14ac:dyDescent="0.3">
      <c r="A561" s="8"/>
      <c r="B561" s="9"/>
      <c r="C561" s="9"/>
      <c r="D561" s="9"/>
      <c r="E561" s="9"/>
      <c r="F561" s="9"/>
      <c r="G561" s="9"/>
      <c r="H561" s="9"/>
      <c r="I561" s="1"/>
      <c r="J561" s="1"/>
      <c r="K561" s="1"/>
      <c r="L561" s="1"/>
      <c r="M561" s="1"/>
    </row>
    <row r="562" spans="1:13" ht="90" customHeight="1" x14ac:dyDescent="0.3">
      <c r="A562" s="8">
        <v>198</v>
      </c>
      <c r="B562" s="8" t="s">
        <v>710</v>
      </c>
      <c r="C562" s="8" t="s">
        <v>711</v>
      </c>
      <c r="D562" s="8" t="s">
        <v>16</v>
      </c>
      <c r="E562" s="10" t="s">
        <v>24</v>
      </c>
      <c r="F562" s="10" t="s">
        <v>25</v>
      </c>
      <c r="G562" s="8" t="s">
        <v>712</v>
      </c>
      <c r="H562" s="8" t="s">
        <v>713</v>
      </c>
      <c r="I562" s="4" t="s">
        <v>714</v>
      </c>
      <c r="J562" s="4">
        <v>0.99996960163116433</v>
      </c>
      <c r="K562" s="4" t="s">
        <v>29</v>
      </c>
      <c r="L562" s="4" t="s">
        <v>711</v>
      </c>
      <c r="M562" s="4">
        <v>1</v>
      </c>
    </row>
    <row r="563" spans="1:13" ht="90" customHeight="1" x14ac:dyDescent="0.3">
      <c r="A563" s="8"/>
      <c r="B563" s="9"/>
      <c r="C563" s="9"/>
      <c r="D563" s="9"/>
      <c r="E563" s="9"/>
      <c r="F563" s="9"/>
      <c r="G563" s="9"/>
      <c r="H563" s="9"/>
      <c r="I563" s="2" t="s">
        <v>715</v>
      </c>
      <c r="J563" s="2">
        <v>0.99842983484268188</v>
      </c>
      <c r="K563" s="2" t="s">
        <v>29</v>
      </c>
      <c r="L563" s="2" t="s">
        <v>53</v>
      </c>
      <c r="M563" s="2">
        <v>7</v>
      </c>
    </row>
    <row r="564" spans="1:13" ht="90" customHeight="1" x14ac:dyDescent="0.3">
      <c r="A564" s="8"/>
      <c r="B564" s="9"/>
      <c r="C564" s="9"/>
      <c r="D564" s="9"/>
      <c r="E564" s="9"/>
      <c r="F564" s="9"/>
      <c r="G564" s="9"/>
      <c r="H564" s="9"/>
      <c r="I564" s="2" t="s">
        <v>716</v>
      </c>
      <c r="J564" s="2">
        <v>0.99787282943725586</v>
      </c>
      <c r="K564" s="2" t="s">
        <v>29</v>
      </c>
      <c r="L564" s="2" t="s">
        <v>53</v>
      </c>
      <c r="M564" s="2">
        <v>8</v>
      </c>
    </row>
    <row r="565" spans="1:13" ht="90" customHeight="1" x14ac:dyDescent="0.3">
      <c r="A565" s="8"/>
      <c r="B565" s="9"/>
      <c r="C565" s="9"/>
      <c r="D565" s="9"/>
      <c r="E565" s="9"/>
      <c r="F565" s="9"/>
      <c r="G565" s="9"/>
      <c r="H565" s="9"/>
      <c r="I565" s="1" t="s">
        <v>72</v>
      </c>
      <c r="J565" s="1">
        <v>0.76744174957275391</v>
      </c>
      <c r="K565" s="1" t="s">
        <v>29</v>
      </c>
      <c r="L565" s="1" t="s">
        <v>53</v>
      </c>
      <c r="M565" s="1">
        <v>3</v>
      </c>
    </row>
    <row r="566" spans="1:13" ht="90" customHeight="1" x14ac:dyDescent="0.3">
      <c r="A566" s="8"/>
      <c r="B566" s="9"/>
      <c r="C566" s="9"/>
      <c r="D566" s="9"/>
      <c r="E566" s="9"/>
      <c r="F566" s="9"/>
      <c r="G566" s="9"/>
      <c r="H566" s="9"/>
      <c r="I566" s="1"/>
      <c r="J566" s="1"/>
      <c r="K566" s="1"/>
      <c r="L566" s="1"/>
      <c r="M566" s="1"/>
    </row>
    <row r="567" spans="1:13" ht="90" customHeight="1" x14ac:dyDescent="0.3">
      <c r="A567" s="8">
        <v>200</v>
      </c>
      <c r="B567" s="8" t="s">
        <v>717</v>
      </c>
      <c r="C567" s="8" t="s">
        <v>525</v>
      </c>
      <c r="D567" s="8" t="s">
        <v>16</v>
      </c>
      <c r="E567" s="10" t="s">
        <v>24</v>
      </c>
      <c r="F567" s="10" t="s">
        <v>25</v>
      </c>
      <c r="G567" s="8" t="s">
        <v>718</v>
      </c>
      <c r="H567" s="8" t="s">
        <v>719</v>
      </c>
      <c r="I567" s="4" t="s">
        <v>675</v>
      </c>
      <c r="J567" s="4">
        <v>0.98630374670028687</v>
      </c>
      <c r="K567" s="4" t="s">
        <v>29</v>
      </c>
      <c r="L567" s="4" t="s">
        <v>525</v>
      </c>
      <c r="M567" s="4">
        <v>1</v>
      </c>
    </row>
    <row r="568" spans="1:13" ht="90" customHeight="1" x14ac:dyDescent="0.3">
      <c r="A568" s="8"/>
      <c r="B568" s="9"/>
      <c r="C568" s="9"/>
      <c r="D568" s="9"/>
      <c r="E568" s="9"/>
      <c r="F568" s="9"/>
      <c r="G568" s="9"/>
      <c r="H568" s="9"/>
      <c r="I568" s="1" t="s">
        <v>720</v>
      </c>
      <c r="J568" s="1">
        <v>0.763782799243927</v>
      </c>
      <c r="K568" s="1" t="s">
        <v>29</v>
      </c>
      <c r="L568" s="1" t="s">
        <v>721</v>
      </c>
      <c r="M568" s="1">
        <v>2</v>
      </c>
    </row>
    <row r="569" spans="1:13" ht="90" customHeight="1" x14ac:dyDescent="0.3">
      <c r="A569" s="8"/>
      <c r="B569" s="9"/>
      <c r="C569" s="9"/>
      <c r="D569" s="9"/>
      <c r="E569" s="9"/>
      <c r="F569" s="9"/>
      <c r="G569" s="9"/>
      <c r="H569" s="9"/>
      <c r="I569" s="1"/>
      <c r="J569" s="1"/>
      <c r="K569" s="1"/>
      <c r="L569" s="1"/>
      <c r="M569" s="1"/>
    </row>
    <row r="570" spans="1:13" ht="90" customHeight="1" x14ac:dyDescent="0.3">
      <c r="A570" s="8"/>
      <c r="B570" s="9"/>
      <c r="C570" s="9"/>
      <c r="D570" s="9"/>
      <c r="E570" s="9"/>
      <c r="F570" s="9"/>
      <c r="G570" s="9"/>
      <c r="H570" s="9"/>
      <c r="I570" s="1"/>
      <c r="J570" s="1"/>
      <c r="K570" s="1"/>
      <c r="L570" s="1"/>
      <c r="M570" s="1"/>
    </row>
    <row r="571" spans="1:13" ht="90" customHeight="1" x14ac:dyDescent="0.3">
      <c r="A571" s="8"/>
      <c r="B571" s="9"/>
      <c r="C571" s="9"/>
      <c r="D571" s="9"/>
      <c r="E571" s="9"/>
      <c r="F571" s="9"/>
      <c r="G571" s="9"/>
      <c r="H571" s="9"/>
      <c r="I571" s="1"/>
      <c r="J571" s="1"/>
      <c r="K571" s="1"/>
      <c r="L571" s="1"/>
      <c r="M571" s="1"/>
    </row>
    <row r="572" spans="1:13" ht="90" customHeight="1" x14ac:dyDescent="0.3">
      <c r="A572" s="8">
        <v>201</v>
      </c>
      <c r="B572" s="8" t="s">
        <v>722</v>
      </c>
      <c r="C572" s="8" t="s">
        <v>723</v>
      </c>
      <c r="D572" s="8" t="s">
        <v>724</v>
      </c>
      <c r="E572" s="10" t="s">
        <v>24</v>
      </c>
      <c r="F572" s="10" t="s">
        <v>25</v>
      </c>
      <c r="G572" s="8" t="s">
        <v>725</v>
      </c>
      <c r="H572" s="8" t="s">
        <v>726</v>
      </c>
      <c r="I572" s="4" t="s">
        <v>727</v>
      </c>
      <c r="J572" s="4">
        <v>0.99994719028463552</v>
      </c>
      <c r="K572" s="4" t="s">
        <v>29</v>
      </c>
      <c r="L572" s="4" t="s">
        <v>723</v>
      </c>
      <c r="M572" s="4">
        <v>15</v>
      </c>
    </row>
    <row r="573" spans="1:13" ht="90" customHeight="1" x14ac:dyDescent="0.3">
      <c r="A573" s="8"/>
      <c r="B573" s="9"/>
      <c r="C573" s="9"/>
      <c r="D573" s="9"/>
      <c r="E573" s="9"/>
      <c r="F573" s="9"/>
      <c r="G573" s="9"/>
      <c r="H573" s="9"/>
      <c r="I573" s="4" t="s">
        <v>728</v>
      </c>
      <c r="J573" s="4">
        <v>0.99991035461271915</v>
      </c>
      <c r="K573" s="4" t="s">
        <v>29</v>
      </c>
      <c r="L573" s="4" t="s">
        <v>723</v>
      </c>
      <c r="M573" s="4">
        <v>16</v>
      </c>
    </row>
    <row r="574" spans="1:13" ht="90" customHeight="1" x14ac:dyDescent="0.3">
      <c r="A574" s="8"/>
      <c r="B574" s="9"/>
      <c r="C574" s="9"/>
      <c r="D574" s="9"/>
      <c r="E574" s="9"/>
      <c r="F574" s="9"/>
      <c r="G574" s="9"/>
      <c r="H574" s="9"/>
      <c r="I574" s="4" t="s">
        <v>729</v>
      </c>
      <c r="J574" s="4">
        <v>0.99965343920329908</v>
      </c>
      <c r="K574" s="4" t="s">
        <v>29</v>
      </c>
      <c r="L574" s="4" t="s">
        <v>723</v>
      </c>
      <c r="M574" s="4">
        <v>17</v>
      </c>
    </row>
    <row r="575" spans="1:13" ht="90" customHeight="1" x14ac:dyDescent="0.3">
      <c r="A575" s="8"/>
      <c r="B575" s="9"/>
      <c r="C575" s="9"/>
      <c r="D575" s="9"/>
      <c r="E575" s="9"/>
      <c r="F575" s="9"/>
      <c r="G575" s="9"/>
      <c r="H575" s="9"/>
      <c r="I575" s="1" t="s">
        <v>730</v>
      </c>
      <c r="J575" s="1">
        <v>0.89385342597961426</v>
      </c>
      <c r="K575" s="1" t="s">
        <v>29</v>
      </c>
      <c r="L575" s="1" t="s">
        <v>259</v>
      </c>
      <c r="M575" s="1">
        <v>20</v>
      </c>
    </row>
    <row r="576" spans="1:13" ht="90" customHeight="1" x14ac:dyDescent="0.3">
      <c r="A576" s="8"/>
      <c r="B576" s="9"/>
      <c r="C576" s="9"/>
      <c r="D576" s="9"/>
      <c r="E576" s="9"/>
      <c r="F576" s="9"/>
      <c r="G576" s="9"/>
      <c r="H576" s="9"/>
      <c r="I576" s="1"/>
      <c r="J576" s="1"/>
      <c r="K576" s="1"/>
      <c r="L576" s="1"/>
      <c r="M576" s="1"/>
    </row>
    <row r="577" spans="1:13" ht="90" customHeight="1" x14ac:dyDescent="0.3">
      <c r="A577" s="8">
        <v>204</v>
      </c>
      <c r="B577" s="8" t="s">
        <v>645</v>
      </c>
      <c r="C577" s="8" t="s">
        <v>45</v>
      </c>
      <c r="D577" s="8" t="s">
        <v>46</v>
      </c>
      <c r="E577" s="10" t="s">
        <v>24</v>
      </c>
      <c r="F577" s="10" t="s">
        <v>25</v>
      </c>
      <c r="G577" s="8" t="s">
        <v>731</v>
      </c>
      <c r="H577" s="8" t="s">
        <v>647</v>
      </c>
      <c r="I577" s="4" t="s">
        <v>49</v>
      </c>
      <c r="J577" s="4">
        <v>0.99957040803346053</v>
      </c>
      <c r="K577" s="4" t="s">
        <v>29</v>
      </c>
      <c r="L577" s="4" t="s">
        <v>45</v>
      </c>
      <c r="M577" s="4">
        <v>1</v>
      </c>
    </row>
    <row r="578" spans="1:13" ht="90" customHeight="1" x14ac:dyDescent="0.3">
      <c r="A578" s="8"/>
      <c r="B578" s="9"/>
      <c r="C578" s="9"/>
      <c r="D578" s="9"/>
      <c r="E578" s="9"/>
      <c r="F578" s="9"/>
      <c r="G578" s="9"/>
      <c r="H578" s="9"/>
      <c r="I578" s="4" t="s">
        <v>50</v>
      </c>
      <c r="J578" s="4">
        <v>0.99640872924779722</v>
      </c>
      <c r="K578" s="4" t="s">
        <v>29</v>
      </c>
      <c r="L578" s="4" t="s">
        <v>45</v>
      </c>
      <c r="M578" s="4">
        <v>3</v>
      </c>
    </row>
    <row r="579" spans="1:13" ht="90" customHeight="1" x14ac:dyDescent="0.3">
      <c r="A579" s="8"/>
      <c r="B579" s="9"/>
      <c r="C579" s="9"/>
      <c r="D579" s="9"/>
      <c r="E579" s="9"/>
      <c r="F579" s="9"/>
      <c r="G579" s="9"/>
      <c r="H579" s="9"/>
      <c r="I579" s="4" t="s">
        <v>51</v>
      </c>
      <c r="J579" s="4">
        <v>0.91642537360201692</v>
      </c>
      <c r="K579" s="4" t="s">
        <v>29</v>
      </c>
      <c r="L579" s="4" t="s">
        <v>45</v>
      </c>
      <c r="M579" s="4">
        <v>2</v>
      </c>
    </row>
    <row r="580" spans="1:13" ht="90" customHeight="1" x14ac:dyDescent="0.3">
      <c r="A580" s="8"/>
      <c r="B580" s="9"/>
      <c r="C580" s="9"/>
      <c r="D580" s="9"/>
      <c r="E580" s="9"/>
      <c r="F580" s="9"/>
      <c r="G580" s="9"/>
      <c r="H580" s="9"/>
      <c r="I580" s="1"/>
      <c r="J580" s="1"/>
      <c r="K580" s="1"/>
      <c r="L580" s="1"/>
      <c r="M580" s="1"/>
    </row>
    <row r="581" spans="1:13" ht="90" customHeight="1" x14ac:dyDescent="0.3">
      <c r="A581" s="8"/>
      <c r="B581" s="9"/>
      <c r="C581" s="9"/>
      <c r="D581" s="9"/>
      <c r="E581" s="9"/>
      <c r="F581" s="9"/>
      <c r="G581" s="9"/>
      <c r="H581" s="9"/>
      <c r="I581" s="1"/>
      <c r="J581" s="1"/>
      <c r="K581" s="1"/>
      <c r="L581" s="1"/>
      <c r="M581" s="1"/>
    </row>
    <row r="582" spans="1:13" ht="90" customHeight="1" x14ac:dyDescent="0.3">
      <c r="A582" s="8">
        <v>205</v>
      </c>
      <c r="B582" s="8" t="s">
        <v>732</v>
      </c>
      <c r="C582" s="8" t="s">
        <v>241</v>
      </c>
      <c r="D582" s="8" t="s">
        <v>600</v>
      </c>
      <c r="E582" s="10" t="s">
        <v>24</v>
      </c>
      <c r="F582" s="10" t="s">
        <v>25</v>
      </c>
      <c r="G582" s="8" t="s">
        <v>733</v>
      </c>
      <c r="H582" s="8" t="s">
        <v>734</v>
      </c>
      <c r="I582" s="4" t="s">
        <v>735</v>
      </c>
      <c r="J582" s="4">
        <v>0.98412300591586221</v>
      </c>
      <c r="K582" s="4" t="s">
        <v>29</v>
      </c>
      <c r="L582" s="4" t="s">
        <v>241</v>
      </c>
      <c r="M582" s="4">
        <v>44</v>
      </c>
    </row>
    <row r="583" spans="1:13" ht="90" customHeight="1" x14ac:dyDescent="0.3">
      <c r="A583" s="8"/>
      <c r="B583" s="9"/>
      <c r="C583" s="9"/>
      <c r="D583" s="9"/>
      <c r="E583" s="9"/>
      <c r="F583" s="9"/>
      <c r="G583" s="9"/>
      <c r="H583" s="9"/>
      <c r="I583" s="1"/>
      <c r="J583" s="1"/>
      <c r="K583" s="1"/>
      <c r="L583" s="1"/>
      <c r="M583" s="1"/>
    </row>
    <row r="584" spans="1:13" ht="90" customHeight="1" x14ac:dyDescent="0.3">
      <c r="A584" s="8"/>
      <c r="B584" s="9"/>
      <c r="C584" s="9"/>
      <c r="D584" s="9"/>
      <c r="E584" s="9"/>
      <c r="F584" s="9"/>
      <c r="G584" s="9"/>
      <c r="H584" s="9"/>
      <c r="I584" s="1"/>
      <c r="J584" s="1"/>
      <c r="K584" s="1"/>
      <c r="L584" s="1"/>
      <c r="M584" s="1"/>
    </row>
    <row r="585" spans="1:13" ht="90" customHeight="1" x14ac:dyDescent="0.3">
      <c r="A585" s="8"/>
      <c r="B585" s="9"/>
      <c r="C585" s="9"/>
      <c r="D585" s="9"/>
      <c r="E585" s="9"/>
      <c r="F585" s="9"/>
      <c r="G585" s="9"/>
      <c r="H585" s="9"/>
      <c r="I585" s="1"/>
      <c r="J585" s="1"/>
      <c r="K585" s="1"/>
      <c r="L585" s="1"/>
      <c r="M585" s="1"/>
    </row>
    <row r="586" spans="1:13" ht="90" customHeight="1" x14ac:dyDescent="0.3">
      <c r="A586" s="8"/>
      <c r="B586" s="9"/>
      <c r="C586" s="9"/>
      <c r="D586" s="9"/>
      <c r="E586" s="9"/>
      <c r="F586" s="9"/>
      <c r="G586" s="9"/>
      <c r="H586" s="9"/>
      <c r="I586" s="1"/>
      <c r="J586" s="1"/>
      <c r="K586" s="1"/>
      <c r="L586" s="1"/>
      <c r="M586" s="1"/>
    </row>
    <row r="587" spans="1:13" ht="90" customHeight="1" x14ac:dyDescent="0.3">
      <c r="A587" s="8">
        <v>207</v>
      </c>
      <c r="B587" s="8" t="s">
        <v>736</v>
      </c>
      <c r="C587" s="8" t="s">
        <v>293</v>
      </c>
      <c r="D587" s="8" t="s">
        <v>518</v>
      </c>
      <c r="E587" s="10" t="s">
        <v>24</v>
      </c>
      <c r="F587" s="10" t="s">
        <v>25</v>
      </c>
      <c r="G587" s="8" t="s">
        <v>737</v>
      </c>
      <c r="H587" s="8" t="s">
        <v>738</v>
      </c>
      <c r="I587" s="4" t="s">
        <v>392</v>
      </c>
      <c r="J587" s="4">
        <v>0.99921083450317383</v>
      </c>
      <c r="K587" s="4" t="s">
        <v>29</v>
      </c>
      <c r="L587" s="4" t="s">
        <v>293</v>
      </c>
      <c r="M587" s="4">
        <v>3</v>
      </c>
    </row>
    <row r="588" spans="1:13" ht="90" customHeight="1" x14ac:dyDescent="0.3">
      <c r="A588" s="8"/>
      <c r="B588" s="9"/>
      <c r="C588" s="9"/>
      <c r="D588" s="9"/>
      <c r="E588" s="9"/>
      <c r="F588" s="9"/>
      <c r="G588" s="9"/>
      <c r="H588" s="9"/>
      <c r="I588" s="4" t="s">
        <v>584</v>
      </c>
      <c r="J588" s="4">
        <v>0.99876737594604492</v>
      </c>
      <c r="K588" s="4" t="s">
        <v>29</v>
      </c>
      <c r="L588" s="4" t="s">
        <v>293</v>
      </c>
      <c r="M588" s="4">
        <v>2</v>
      </c>
    </row>
    <row r="589" spans="1:13" ht="90" customHeight="1" x14ac:dyDescent="0.3">
      <c r="A589" s="8"/>
      <c r="B589" s="9"/>
      <c r="C589" s="9"/>
      <c r="D589" s="9"/>
      <c r="E589" s="9"/>
      <c r="F589" s="9"/>
      <c r="G589" s="9"/>
      <c r="H589" s="9"/>
      <c r="I589" s="4" t="s">
        <v>296</v>
      </c>
      <c r="J589" s="4">
        <v>0.99683880805969238</v>
      </c>
      <c r="K589" s="4" t="s">
        <v>29</v>
      </c>
      <c r="L589" s="4" t="s">
        <v>293</v>
      </c>
      <c r="M589" s="4">
        <v>4</v>
      </c>
    </row>
    <row r="590" spans="1:13" ht="90" customHeight="1" x14ac:dyDescent="0.3">
      <c r="A590" s="8"/>
      <c r="B590" s="9"/>
      <c r="C590" s="9"/>
      <c r="D590" s="9"/>
      <c r="E590" s="9"/>
      <c r="F590" s="9"/>
      <c r="G590" s="9"/>
      <c r="H590" s="9"/>
      <c r="I590" s="1" t="s">
        <v>606</v>
      </c>
      <c r="J590" s="1">
        <v>0.83865946531295632</v>
      </c>
      <c r="K590" s="1" t="s">
        <v>29</v>
      </c>
      <c r="L590" s="1" t="s">
        <v>607</v>
      </c>
      <c r="M590" s="1">
        <v>1134</v>
      </c>
    </row>
    <row r="591" spans="1:13" ht="90" customHeight="1" x14ac:dyDescent="0.3">
      <c r="A591" s="8"/>
      <c r="B591" s="9"/>
      <c r="C591" s="9"/>
      <c r="D591" s="9"/>
      <c r="E591" s="9"/>
      <c r="F591" s="9"/>
      <c r="G591" s="9"/>
      <c r="H591" s="9"/>
      <c r="I591" s="1" t="s">
        <v>739</v>
      </c>
      <c r="J591" s="1">
        <v>0.79714178504164779</v>
      </c>
      <c r="K591" s="1" t="s">
        <v>29</v>
      </c>
      <c r="L591" s="1" t="s">
        <v>432</v>
      </c>
      <c r="M591" s="1">
        <v>53</v>
      </c>
    </row>
    <row r="592" spans="1:13" ht="90" customHeight="1" x14ac:dyDescent="0.3">
      <c r="A592" s="8">
        <v>209</v>
      </c>
      <c r="B592" s="8" t="s">
        <v>740</v>
      </c>
      <c r="C592" s="8" t="s">
        <v>741</v>
      </c>
      <c r="D592" s="8" t="s">
        <v>742</v>
      </c>
      <c r="E592" s="10" t="s">
        <v>24</v>
      </c>
      <c r="F592" s="10" t="s">
        <v>25</v>
      </c>
      <c r="G592" s="8" t="s">
        <v>743</v>
      </c>
      <c r="H592" s="8" t="s">
        <v>744</v>
      </c>
      <c r="I592" s="4" t="s">
        <v>745</v>
      </c>
      <c r="J592" s="4">
        <v>0.9988303082266099</v>
      </c>
      <c r="K592" s="4" t="s">
        <v>29</v>
      </c>
      <c r="L592" s="4" t="s">
        <v>741</v>
      </c>
      <c r="M592" s="4">
        <v>2</v>
      </c>
    </row>
    <row r="593" spans="1:13" ht="90" customHeight="1" x14ac:dyDescent="0.3">
      <c r="A593" s="8"/>
      <c r="B593" s="9"/>
      <c r="C593" s="9"/>
      <c r="D593" s="9"/>
      <c r="E593" s="9"/>
      <c r="F593" s="9"/>
      <c r="G593" s="9"/>
      <c r="H593" s="9"/>
      <c r="I593" s="4" t="s">
        <v>746</v>
      </c>
      <c r="J593" s="4">
        <v>0.99782802064117482</v>
      </c>
      <c r="K593" s="4" t="s">
        <v>29</v>
      </c>
      <c r="L593" s="4" t="s">
        <v>741</v>
      </c>
      <c r="M593" s="4">
        <v>3</v>
      </c>
    </row>
    <row r="594" spans="1:13" ht="90" customHeight="1" x14ac:dyDescent="0.3">
      <c r="A594" s="8"/>
      <c r="B594" s="9"/>
      <c r="C594" s="9"/>
      <c r="D594" s="9"/>
      <c r="E594" s="9"/>
      <c r="F594" s="9"/>
      <c r="G594" s="9"/>
      <c r="H594" s="9"/>
      <c r="I594" s="4" t="s">
        <v>747</v>
      </c>
      <c r="J594" s="4">
        <v>0.99568021297454834</v>
      </c>
      <c r="K594" s="4" t="s">
        <v>29</v>
      </c>
      <c r="L594" s="4" t="s">
        <v>741</v>
      </c>
      <c r="M594" s="4">
        <v>4</v>
      </c>
    </row>
    <row r="595" spans="1:13" ht="90" customHeight="1" x14ac:dyDescent="0.3">
      <c r="A595" s="8"/>
      <c r="B595" s="9"/>
      <c r="C595" s="9"/>
      <c r="D595" s="9"/>
      <c r="E595" s="9"/>
      <c r="F595" s="9"/>
      <c r="G595" s="9"/>
      <c r="H595" s="9"/>
      <c r="I595" s="5" t="s">
        <v>748</v>
      </c>
      <c r="J595" s="5">
        <v>0.89885234832763672</v>
      </c>
      <c r="K595" s="5" t="s">
        <v>29</v>
      </c>
      <c r="L595" s="5" t="s">
        <v>741</v>
      </c>
      <c r="M595" s="5">
        <v>1</v>
      </c>
    </row>
    <row r="596" spans="1:13" ht="90" customHeight="1" x14ac:dyDescent="0.3">
      <c r="A596" s="8"/>
      <c r="B596" s="9"/>
      <c r="C596" s="9"/>
      <c r="D596" s="9"/>
      <c r="E596" s="9"/>
      <c r="F596" s="9"/>
      <c r="G596" s="9"/>
      <c r="H596" s="9"/>
      <c r="I596" s="1"/>
      <c r="J596" s="1"/>
      <c r="K596" s="1"/>
      <c r="L596" s="1"/>
      <c r="M596" s="1"/>
    </row>
    <row r="597" spans="1:13" ht="90" customHeight="1" x14ac:dyDescent="0.3">
      <c r="A597" s="8">
        <v>213</v>
      </c>
      <c r="B597" s="8" t="s">
        <v>653</v>
      </c>
      <c r="C597" s="8" t="s">
        <v>259</v>
      </c>
      <c r="D597" s="8" t="s">
        <v>556</v>
      </c>
      <c r="E597" s="10" t="s">
        <v>24</v>
      </c>
      <c r="F597" s="10" t="s">
        <v>25</v>
      </c>
      <c r="G597" s="8" t="s">
        <v>749</v>
      </c>
      <c r="H597" s="8" t="s">
        <v>655</v>
      </c>
      <c r="I597" s="4" t="s">
        <v>640</v>
      </c>
      <c r="J597" s="4">
        <v>0.99993252754211426</v>
      </c>
      <c r="K597" s="4" t="s">
        <v>29</v>
      </c>
      <c r="L597" s="4" t="s">
        <v>259</v>
      </c>
      <c r="M597" s="4">
        <v>26</v>
      </c>
    </row>
    <row r="598" spans="1:13" ht="90" customHeight="1" x14ac:dyDescent="0.3">
      <c r="A598" s="8"/>
      <c r="B598" s="9"/>
      <c r="C598" s="9"/>
      <c r="D598" s="9"/>
      <c r="E598" s="9"/>
      <c r="F598" s="9"/>
      <c r="G598" s="9"/>
      <c r="H598" s="9"/>
      <c r="I598" s="1"/>
      <c r="J598" s="1"/>
      <c r="K598" s="1"/>
      <c r="L598" s="1"/>
      <c r="M598" s="1"/>
    </row>
    <row r="599" spans="1:13" ht="90" customHeight="1" x14ac:dyDescent="0.3">
      <c r="A599" s="8"/>
      <c r="B599" s="9"/>
      <c r="C599" s="9"/>
      <c r="D599" s="9"/>
      <c r="E599" s="9"/>
      <c r="F599" s="9"/>
      <c r="G599" s="9"/>
      <c r="H599" s="9"/>
      <c r="I599" s="1"/>
      <c r="J599" s="1"/>
      <c r="K599" s="1"/>
      <c r="L599" s="1"/>
      <c r="M599" s="1"/>
    </row>
    <row r="600" spans="1:13" ht="90" customHeight="1" x14ac:dyDescent="0.3">
      <c r="A600" s="8"/>
      <c r="B600" s="9"/>
      <c r="C600" s="9"/>
      <c r="D600" s="9"/>
      <c r="E600" s="9"/>
      <c r="F600" s="9"/>
      <c r="G600" s="9"/>
      <c r="H600" s="9"/>
      <c r="I600" s="1"/>
      <c r="J600" s="1"/>
      <c r="K600" s="1"/>
      <c r="L600" s="1"/>
      <c r="M600" s="1"/>
    </row>
    <row r="601" spans="1:13" ht="90" customHeight="1" x14ac:dyDescent="0.3">
      <c r="A601" s="8"/>
      <c r="B601" s="9"/>
      <c r="C601" s="9"/>
      <c r="D601" s="9"/>
      <c r="E601" s="9"/>
      <c r="F601" s="9"/>
      <c r="G601" s="9"/>
      <c r="H601" s="9"/>
      <c r="I601" s="1"/>
      <c r="J601" s="1"/>
      <c r="K601" s="1"/>
      <c r="L601" s="1"/>
      <c r="M601" s="1"/>
    </row>
    <row r="602" spans="1:13" ht="90" customHeight="1" x14ac:dyDescent="0.3">
      <c r="A602" s="8">
        <v>215</v>
      </c>
      <c r="B602" s="8" t="s">
        <v>750</v>
      </c>
      <c r="C602" s="8" t="s">
        <v>316</v>
      </c>
      <c r="D602" s="8" t="s">
        <v>16</v>
      </c>
      <c r="E602" s="10" t="s">
        <v>24</v>
      </c>
      <c r="F602" s="10" t="s">
        <v>25</v>
      </c>
      <c r="G602" s="8" t="s">
        <v>751</v>
      </c>
      <c r="H602" s="8" t="s">
        <v>752</v>
      </c>
      <c r="I602" s="4" t="s">
        <v>753</v>
      </c>
      <c r="J602" s="4">
        <v>0.99717426300048828</v>
      </c>
      <c r="K602" s="4" t="s">
        <v>29</v>
      </c>
      <c r="L602" s="4" t="s">
        <v>316</v>
      </c>
      <c r="M602" s="4">
        <v>1</v>
      </c>
    </row>
    <row r="603" spans="1:13" ht="90" customHeight="1" x14ac:dyDescent="0.3">
      <c r="A603" s="8"/>
      <c r="B603" s="9"/>
      <c r="C603" s="9"/>
      <c r="D603" s="9"/>
      <c r="E603" s="9"/>
      <c r="F603" s="9"/>
      <c r="G603" s="9"/>
      <c r="H603" s="9"/>
      <c r="I603" s="1"/>
      <c r="J603" s="1"/>
      <c r="K603" s="1"/>
      <c r="L603" s="1"/>
      <c r="M603" s="1"/>
    </row>
    <row r="604" spans="1:13" ht="90" customHeight="1" x14ac:dyDescent="0.3">
      <c r="A604" s="8"/>
      <c r="B604" s="9"/>
      <c r="C604" s="9"/>
      <c r="D604" s="9"/>
      <c r="E604" s="9"/>
      <c r="F604" s="9"/>
      <c r="G604" s="9"/>
      <c r="H604" s="9"/>
      <c r="I604" s="1"/>
      <c r="J604" s="1"/>
      <c r="K604" s="1"/>
      <c r="L604" s="1"/>
      <c r="M604" s="1"/>
    </row>
    <row r="605" spans="1:13" ht="90" customHeight="1" x14ac:dyDescent="0.3">
      <c r="A605" s="8"/>
      <c r="B605" s="9"/>
      <c r="C605" s="9"/>
      <c r="D605" s="9"/>
      <c r="E605" s="9"/>
      <c r="F605" s="9"/>
      <c r="G605" s="9"/>
      <c r="H605" s="9"/>
      <c r="I605" s="1"/>
      <c r="J605" s="1"/>
      <c r="K605" s="1"/>
      <c r="L605" s="1"/>
      <c r="M605" s="1"/>
    </row>
    <row r="606" spans="1:13" ht="90" customHeight="1" x14ac:dyDescent="0.3">
      <c r="A606" s="8"/>
      <c r="B606" s="9"/>
      <c r="C606" s="9"/>
      <c r="D606" s="9"/>
      <c r="E606" s="9"/>
      <c r="F606" s="9"/>
      <c r="G606" s="9"/>
      <c r="H606" s="9"/>
      <c r="I606" s="1"/>
      <c r="J606" s="1"/>
      <c r="K606" s="1"/>
      <c r="L606" s="1"/>
      <c r="M606" s="1"/>
    </row>
    <row r="607" spans="1:13" ht="90" customHeight="1" x14ac:dyDescent="0.3">
      <c r="A607" s="8">
        <v>216</v>
      </c>
      <c r="B607" s="8" t="s">
        <v>754</v>
      </c>
      <c r="C607" s="8" t="s">
        <v>119</v>
      </c>
      <c r="D607" s="8" t="s">
        <v>127</v>
      </c>
      <c r="E607" s="10" t="s">
        <v>24</v>
      </c>
      <c r="F607" s="10" t="s">
        <v>25</v>
      </c>
      <c r="G607" s="8" t="s">
        <v>755</v>
      </c>
      <c r="H607" s="8" t="s">
        <v>756</v>
      </c>
      <c r="I607" s="4" t="s">
        <v>757</v>
      </c>
      <c r="J607" s="4">
        <v>0.93190860748290971</v>
      </c>
      <c r="K607" s="4" t="s">
        <v>29</v>
      </c>
      <c r="L607" s="4" t="s">
        <v>119</v>
      </c>
      <c r="M607" s="4">
        <v>13</v>
      </c>
    </row>
    <row r="608" spans="1:13" ht="90" customHeight="1" x14ac:dyDescent="0.3">
      <c r="A608" s="8"/>
      <c r="B608" s="9"/>
      <c r="C608" s="9"/>
      <c r="D608" s="9"/>
      <c r="E608" s="9"/>
      <c r="F608" s="9"/>
      <c r="G608" s="9"/>
      <c r="H608" s="9"/>
      <c r="I608" s="1"/>
      <c r="J608" s="1"/>
      <c r="K608" s="1"/>
      <c r="L608" s="1"/>
      <c r="M608" s="1"/>
    </row>
    <row r="609" spans="1:13" ht="90" customHeight="1" x14ac:dyDescent="0.3">
      <c r="A609" s="8"/>
      <c r="B609" s="9"/>
      <c r="C609" s="9"/>
      <c r="D609" s="9"/>
      <c r="E609" s="9"/>
      <c r="F609" s="9"/>
      <c r="G609" s="9"/>
      <c r="H609" s="9"/>
      <c r="I609" s="1"/>
      <c r="J609" s="1"/>
      <c r="K609" s="1"/>
      <c r="L609" s="1"/>
      <c r="M609" s="1"/>
    </row>
    <row r="610" spans="1:13" ht="90" customHeight="1" x14ac:dyDescent="0.3">
      <c r="A610" s="8"/>
      <c r="B610" s="9"/>
      <c r="C610" s="9"/>
      <c r="D610" s="9"/>
      <c r="E610" s="9"/>
      <c r="F610" s="9"/>
      <c r="G610" s="9"/>
      <c r="H610" s="9"/>
      <c r="I610" s="1"/>
      <c r="J610" s="1"/>
      <c r="K610" s="1"/>
      <c r="L610" s="1"/>
      <c r="M610" s="1"/>
    </row>
    <row r="611" spans="1:13" ht="90" customHeight="1" x14ac:dyDescent="0.3">
      <c r="A611" s="8"/>
      <c r="B611" s="9"/>
      <c r="C611" s="9"/>
      <c r="D611" s="9"/>
      <c r="E611" s="9"/>
      <c r="F611" s="9"/>
      <c r="G611" s="9"/>
      <c r="H611" s="9"/>
      <c r="I611" s="1"/>
      <c r="J611" s="1"/>
      <c r="K611" s="1"/>
      <c r="L611" s="1"/>
      <c r="M611" s="1"/>
    </row>
    <row r="612" spans="1:13" ht="90" customHeight="1" x14ac:dyDescent="0.3">
      <c r="A612" s="8">
        <v>217</v>
      </c>
      <c r="B612" s="8" t="s">
        <v>758</v>
      </c>
      <c r="C612" s="8" t="s">
        <v>466</v>
      </c>
      <c r="D612" s="8" t="s">
        <v>759</v>
      </c>
      <c r="E612" s="10" t="s">
        <v>24</v>
      </c>
      <c r="F612" s="10" t="s">
        <v>25</v>
      </c>
      <c r="G612" s="8" t="s">
        <v>760</v>
      </c>
      <c r="H612" s="8" t="s">
        <v>761</v>
      </c>
      <c r="I612" s="4" t="s">
        <v>762</v>
      </c>
      <c r="J612" s="4">
        <v>0.99982112646102905</v>
      </c>
      <c r="K612" s="4" t="s">
        <v>29</v>
      </c>
      <c r="L612" s="4" t="s">
        <v>466</v>
      </c>
      <c r="M612" s="4">
        <v>349</v>
      </c>
    </row>
    <row r="613" spans="1:13" ht="90" customHeight="1" x14ac:dyDescent="0.3">
      <c r="A613" s="8"/>
      <c r="B613" s="9"/>
      <c r="C613" s="9"/>
      <c r="D613" s="9"/>
      <c r="E613" s="9"/>
      <c r="F613" s="9"/>
      <c r="G613" s="9"/>
      <c r="H613" s="9"/>
      <c r="I613" s="1"/>
      <c r="J613" s="1"/>
      <c r="K613" s="1"/>
      <c r="L613" s="1"/>
      <c r="M613" s="1"/>
    </row>
    <row r="614" spans="1:13" ht="90" customHeight="1" x14ac:dyDescent="0.3">
      <c r="A614" s="8"/>
      <c r="B614" s="9"/>
      <c r="C614" s="9"/>
      <c r="D614" s="9"/>
      <c r="E614" s="9"/>
      <c r="F614" s="9"/>
      <c r="G614" s="9"/>
      <c r="H614" s="9"/>
      <c r="I614" s="1"/>
      <c r="J614" s="1"/>
      <c r="K614" s="1"/>
      <c r="L614" s="1"/>
      <c r="M614" s="1"/>
    </row>
    <row r="615" spans="1:13" ht="90" customHeight="1" x14ac:dyDescent="0.3">
      <c r="A615" s="8"/>
      <c r="B615" s="9"/>
      <c r="C615" s="9"/>
      <c r="D615" s="9"/>
      <c r="E615" s="9"/>
      <c r="F615" s="9"/>
      <c r="G615" s="9"/>
      <c r="H615" s="9"/>
      <c r="I615" s="1"/>
      <c r="J615" s="1"/>
      <c r="K615" s="1"/>
      <c r="L615" s="1"/>
      <c r="M615" s="1"/>
    </row>
    <row r="616" spans="1:13" ht="90" customHeight="1" x14ac:dyDescent="0.3">
      <c r="A616" s="8"/>
      <c r="B616" s="9"/>
      <c r="C616" s="9"/>
      <c r="D616" s="9"/>
      <c r="E616" s="9"/>
      <c r="F616" s="9"/>
      <c r="G616" s="9"/>
      <c r="H616" s="9"/>
      <c r="I616" s="1"/>
      <c r="J616" s="1"/>
      <c r="K616" s="1"/>
      <c r="L616" s="1"/>
      <c r="M616" s="1"/>
    </row>
    <row r="617" spans="1:13" ht="90" customHeight="1" x14ac:dyDescent="0.3">
      <c r="A617" s="8">
        <v>220</v>
      </c>
      <c r="B617" s="8" t="s">
        <v>763</v>
      </c>
      <c r="C617" s="8" t="s">
        <v>77</v>
      </c>
      <c r="D617" s="8" t="s">
        <v>16</v>
      </c>
      <c r="E617" s="10" t="s">
        <v>24</v>
      </c>
      <c r="F617" s="10" t="s">
        <v>25</v>
      </c>
      <c r="G617" s="8" t="s">
        <v>764</v>
      </c>
      <c r="H617" s="8" t="s">
        <v>765</v>
      </c>
      <c r="I617" s="4" t="s">
        <v>101</v>
      </c>
      <c r="J617" s="4">
        <v>0.84909666355360303</v>
      </c>
      <c r="K617" s="4" t="s">
        <v>29</v>
      </c>
      <c r="L617" s="4" t="s">
        <v>77</v>
      </c>
      <c r="M617" s="4">
        <v>1</v>
      </c>
    </row>
    <row r="618" spans="1:13" ht="90" customHeight="1" x14ac:dyDescent="0.3">
      <c r="A618" s="8"/>
      <c r="B618" s="9"/>
      <c r="C618" s="9"/>
      <c r="D618" s="9"/>
      <c r="E618" s="9"/>
      <c r="F618" s="9"/>
      <c r="G618" s="9"/>
      <c r="H618" s="9"/>
      <c r="I618" s="1"/>
      <c r="J618" s="1"/>
      <c r="K618" s="1"/>
      <c r="L618" s="1"/>
      <c r="M618" s="1"/>
    </row>
    <row r="619" spans="1:13" ht="90" customHeight="1" x14ac:dyDescent="0.3">
      <c r="A619" s="8"/>
      <c r="B619" s="9"/>
      <c r="C619" s="9"/>
      <c r="D619" s="9"/>
      <c r="E619" s="9"/>
      <c r="F619" s="9"/>
      <c r="G619" s="9"/>
      <c r="H619" s="9"/>
      <c r="I619" s="1"/>
      <c r="J619" s="1"/>
      <c r="K619" s="1"/>
      <c r="L619" s="1"/>
      <c r="M619" s="1"/>
    </row>
    <row r="620" spans="1:13" ht="90" customHeight="1" x14ac:dyDescent="0.3">
      <c r="A620" s="8"/>
      <c r="B620" s="9"/>
      <c r="C620" s="9"/>
      <c r="D620" s="9"/>
      <c r="E620" s="9"/>
      <c r="F620" s="9"/>
      <c r="G620" s="9"/>
      <c r="H620" s="9"/>
      <c r="I620" s="1"/>
      <c r="J620" s="1"/>
      <c r="K620" s="1"/>
      <c r="L620" s="1"/>
      <c r="M620" s="1"/>
    </row>
    <row r="621" spans="1:13" ht="90" customHeight="1" x14ac:dyDescent="0.3">
      <c r="A621" s="8"/>
      <c r="B621" s="9"/>
      <c r="C621" s="9"/>
      <c r="D621" s="9"/>
      <c r="E621" s="9"/>
      <c r="F621" s="9"/>
      <c r="G621" s="9"/>
      <c r="H621" s="9"/>
      <c r="I621" s="1"/>
      <c r="J621" s="1"/>
      <c r="K621" s="1"/>
      <c r="L621" s="1"/>
      <c r="M621" s="1"/>
    </row>
    <row r="622" spans="1:13" ht="90" customHeight="1" x14ac:dyDescent="0.3">
      <c r="A622" s="8">
        <v>221</v>
      </c>
      <c r="B622" s="8" t="s">
        <v>766</v>
      </c>
      <c r="C622" s="8" t="s">
        <v>767</v>
      </c>
      <c r="D622" s="8" t="s">
        <v>16</v>
      </c>
      <c r="E622" s="10" t="s">
        <v>24</v>
      </c>
      <c r="F622" s="10" t="s">
        <v>25</v>
      </c>
      <c r="G622" s="8" t="s">
        <v>768</v>
      </c>
      <c r="H622" s="8" t="s">
        <v>769</v>
      </c>
      <c r="I622" s="4" t="s">
        <v>770</v>
      </c>
      <c r="J622" s="4">
        <v>0.97107869386672974</v>
      </c>
      <c r="K622" s="4" t="s">
        <v>68</v>
      </c>
      <c r="L622" s="4" t="s">
        <v>767</v>
      </c>
      <c r="M622" s="4">
        <v>1</v>
      </c>
    </row>
    <row r="623" spans="1:13" ht="90" customHeight="1" x14ac:dyDescent="0.3">
      <c r="A623" s="8"/>
      <c r="B623" s="9"/>
      <c r="C623" s="9"/>
      <c r="D623" s="9"/>
      <c r="E623" s="9"/>
      <c r="F623" s="9"/>
      <c r="G623" s="9"/>
      <c r="H623" s="9"/>
      <c r="I623" s="1"/>
      <c r="J623" s="1"/>
      <c r="K623" s="1"/>
      <c r="L623" s="1"/>
      <c r="M623" s="1"/>
    </row>
    <row r="624" spans="1:13" ht="90" customHeight="1" x14ac:dyDescent="0.3">
      <c r="A624" s="8"/>
      <c r="B624" s="9"/>
      <c r="C624" s="9"/>
      <c r="D624" s="9"/>
      <c r="E624" s="9"/>
      <c r="F624" s="9"/>
      <c r="G624" s="9"/>
      <c r="H624" s="9"/>
      <c r="I624" s="1"/>
      <c r="J624" s="1"/>
      <c r="K624" s="1"/>
      <c r="L624" s="1"/>
      <c r="M624" s="1"/>
    </row>
    <row r="625" spans="1:13" ht="90" customHeight="1" x14ac:dyDescent="0.3">
      <c r="A625" s="8"/>
      <c r="B625" s="9"/>
      <c r="C625" s="9"/>
      <c r="D625" s="9"/>
      <c r="E625" s="9"/>
      <c r="F625" s="9"/>
      <c r="G625" s="9"/>
      <c r="H625" s="9"/>
      <c r="I625" s="1"/>
      <c r="J625" s="1"/>
      <c r="K625" s="1"/>
      <c r="L625" s="1"/>
      <c r="M625" s="1"/>
    </row>
    <row r="626" spans="1:13" ht="90" customHeight="1" x14ac:dyDescent="0.3">
      <c r="A626" s="8"/>
      <c r="B626" s="9"/>
      <c r="C626" s="9"/>
      <c r="D626" s="9"/>
      <c r="E626" s="9"/>
      <c r="F626" s="9"/>
      <c r="G626" s="9"/>
      <c r="H626" s="9"/>
      <c r="I626" s="1"/>
      <c r="J626" s="1"/>
      <c r="K626" s="1"/>
      <c r="L626" s="1"/>
      <c r="M626" s="1"/>
    </row>
    <row r="627" spans="1:13" ht="90" customHeight="1" x14ac:dyDescent="0.3">
      <c r="A627" s="8">
        <v>222</v>
      </c>
      <c r="B627" s="8" t="s">
        <v>771</v>
      </c>
      <c r="C627" s="8" t="s">
        <v>772</v>
      </c>
      <c r="D627" s="8" t="s">
        <v>773</v>
      </c>
      <c r="E627" s="10" t="s">
        <v>24</v>
      </c>
      <c r="F627" s="10" t="s">
        <v>25</v>
      </c>
      <c r="G627" s="8" t="s">
        <v>774</v>
      </c>
      <c r="H627" s="8" t="s">
        <v>775</v>
      </c>
      <c r="I627" s="4" t="s">
        <v>776</v>
      </c>
      <c r="J627" s="4">
        <v>0.99993634223937988</v>
      </c>
      <c r="K627" s="4" t="s">
        <v>29</v>
      </c>
      <c r="L627" s="4" t="s">
        <v>772</v>
      </c>
      <c r="M627" s="4">
        <v>264</v>
      </c>
    </row>
    <row r="628" spans="1:13" ht="90" customHeight="1" x14ac:dyDescent="0.3">
      <c r="A628" s="8"/>
      <c r="B628" s="9"/>
      <c r="C628" s="9"/>
      <c r="D628" s="9"/>
      <c r="E628" s="9"/>
      <c r="F628" s="9"/>
      <c r="G628" s="9"/>
      <c r="H628" s="9"/>
      <c r="I628" s="1"/>
      <c r="J628" s="1"/>
      <c r="K628" s="1"/>
      <c r="L628" s="1"/>
      <c r="M628" s="1"/>
    </row>
    <row r="629" spans="1:13" ht="90" customHeight="1" x14ac:dyDescent="0.3">
      <c r="A629" s="8"/>
      <c r="B629" s="9"/>
      <c r="C629" s="9"/>
      <c r="D629" s="9"/>
      <c r="E629" s="9"/>
      <c r="F629" s="9"/>
      <c r="G629" s="9"/>
      <c r="H629" s="9"/>
      <c r="I629" s="1"/>
      <c r="J629" s="1"/>
      <c r="K629" s="1"/>
      <c r="L629" s="1"/>
      <c r="M629" s="1"/>
    </row>
    <row r="630" spans="1:13" ht="90" customHeight="1" x14ac:dyDescent="0.3">
      <c r="A630" s="8"/>
      <c r="B630" s="9"/>
      <c r="C630" s="9"/>
      <c r="D630" s="9"/>
      <c r="E630" s="9"/>
      <c r="F630" s="9"/>
      <c r="G630" s="9"/>
      <c r="H630" s="9"/>
      <c r="I630" s="1"/>
      <c r="J630" s="1"/>
      <c r="K630" s="1"/>
      <c r="L630" s="1"/>
      <c r="M630" s="1"/>
    </row>
    <row r="631" spans="1:13" ht="90" customHeight="1" x14ac:dyDescent="0.3">
      <c r="A631" s="8"/>
      <c r="B631" s="9"/>
      <c r="C631" s="9"/>
      <c r="D631" s="9"/>
      <c r="E631" s="9"/>
      <c r="F631" s="9"/>
      <c r="G631" s="9"/>
      <c r="H631" s="9"/>
      <c r="I631" s="1"/>
      <c r="J631" s="1"/>
      <c r="K631" s="1"/>
      <c r="L631" s="1"/>
      <c r="M631" s="1"/>
    </row>
    <row r="632" spans="1:13" ht="90" customHeight="1" x14ac:dyDescent="0.3">
      <c r="A632" s="8">
        <v>229</v>
      </c>
      <c r="B632" s="8" t="s">
        <v>777</v>
      </c>
      <c r="C632" s="8" t="s">
        <v>778</v>
      </c>
      <c r="D632" s="8" t="s">
        <v>779</v>
      </c>
      <c r="E632" s="10" t="s">
        <v>24</v>
      </c>
      <c r="F632" s="10" t="s">
        <v>25</v>
      </c>
      <c r="G632" s="8" t="s">
        <v>780</v>
      </c>
      <c r="H632" s="8" t="s">
        <v>781</v>
      </c>
      <c r="I632" s="4" t="s">
        <v>782</v>
      </c>
      <c r="J632" s="4">
        <v>0.99960464945050564</v>
      </c>
      <c r="K632" s="4" t="s">
        <v>29</v>
      </c>
      <c r="L632" s="4" t="s">
        <v>778</v>
      </c>
      <c r="M632" s="4">
        <v>30</v>
      </c>
    </row>
    <row r="633" spans="1:13" ht="90" customHeight="1" x14ac:dyDescent="0.3">
      <c r="A633" s="8"/>
      <c r="B633" s="9"/>
      <c r="C633" s="9"/>
      <c r="D633" s="9"/>
      <c r="E633" s="9"/>
      <c r="F633" s="9"/>
      <c r="G633" s="9"/>
      <c r="H633" s="9"/>
      <c r="I633" s="4" t="s">
        <v>783</v>
      </c>
      <c r="J633" s="4">
        <v>0.99918967478554688</v>
      </c>
      <c r="K633" s="4" t="s">
        <v>29</v>
      </c>
      <c r="L633" s="4" t="s">
        <v>778</v>
      </c>
      <c r="M633" s="4">
        <v>29</v>
      </c>
    </row>
    <row r="634" spans="1:13" ht="90" customHeight="1" x14ac:dyDescent="0.3">
      <c r="A634" s="8"/>
      <c r="B634" s="9"/>
      <c r="C634" s="9"/>
      <c r="D634" s="9"/>
      <c r="E634" s="9"/>
      <c r="F634" s="9"/>
      <c r="G634" s="9"/>
      <c r="H634" s="9"/>
      <c r="I634" s="1"/>
      <c r="J634" s="1"/>
      <c r="K634" s="1"/>
      <c r="L634" s="1"/>
      <c r="M634" s="1"/>
    </row>
    <row r="635" spans="1:13" ht="90" customHeight="1" x14ac:dyDescent="0.3">
      <c r="A635" s="8"/>
      <c r="B635" s="9"/>
      <c r="C635" s="9"/>
      <c r="D635" s="9"/>
      <c r="E635" s="9"/>
      <c r="F635" s="9"/>
      <c r="G635" s="9"/>
      <c r="H635" s="9"/>
      <c r="I635" s="1"/>
      <c r="J635" s="1"/>
      <c r="K635" s="1"/>
      <c r="L635" s="1"/>
      <c r="M635" s="1"/>
    </row>
    <row r="636" spans="1:13" ht="90" customHeight="1" x14ac:dyDescent="0.3">
      <c r="A636" s="8"/>
      <c r="B636" s="9"/>
      <c r="C636" s="9"/>
      <c r="D636" s="9"/>
      <c r="E636" s="9"/>
      <c r="F636" s="9"/>
      <c r="G636" s="9"/>
      <c r="H636" s="9"/>
      <c r="I636" s="1"/>
      <c r="J636" s="1"/>
      <c r="K636" s="1"/>
      <c r="L636" s="1"/>
      <c r="M636" s="1"/>
    </row>
    <row r="637" spans="1:13" ht="90" customHeight="1" x14ac:dyDescent="0.3">
      <c r="A637" s="8">
        <v>230</v>
      </c>
      <c r="B637" s="8" t="s">
        <v>784</v>
      </c>
      <c r="C637" s="8" t="s">
        <v>525</v>
      </c>
      <c r="D637" s="8" t="s">
        <v>16</v>
      </c>
      <c r="E637" s="10" t="s">
        <v>24</v>
      </c>
      <c r="F637" s="10" t="s">
        <v>25</v>
      </c>
      <c r="G637" s="8" t="s">
        <v>785</v>
      </c>
      <c r="H637" s="8" t="s">
        <v>786</v>
      </c>
      <c r="I637" s="4" t="s">
        <v>787</v>
      </c>
      <c r="J637" s="4">
        <v>0.88844891239461432</v>
      </c>
      <c r="K637" s="4" t="s">
        <v>29</v>
      </c>
      <c r="L637" s="4" t="s">
        <v>525</v>
      </c>
      <c r="M637" s="4">
        <v>1</v>
      </c>
    </row>
    <row r="638" spans="1:13" ht="90" customHeight="1" x14ac:dyDescent="0.3">
      <c r="A638" s="8"/>
      <c r="B638" s="9"/>
      <c r="C638" s="9"/>
      <c r="D638" s="9"/>
      <c r="E638" s="9"/>
      <c r="F638" s="9"/>
      <c r="G638" s="9"/>
      <c r="H638" s="9"/>
      <c r="I638" s="1"/>
      <c r="J638" s="1"/>
      <c r="K638" s="1"/>
      <c r="L638" s="1"/>
      <c r="M638" s="1"/>
    </row>
    <row r="639" spans="1:13" ht="90" customHeight="1" x14ac:dyDescent="0.3">
      <c r="A639" s="8"/>
      <c r="B639" s="9"/>
      <c r="C639" s="9"/>
      <c r="D639" s="9"/>
      <c r="E639" s="9"/>
      <c r="F639" s="9"/>
      <c r="G639" s="9"/>
      <c r="H639" s="9"/>
      <c r="I639" s="1"/>
      <c r="J639" s="1"/>
      <c r="K639" s="1"/>
      <c r="L639" s="1"/>
      <c r="M639" s="1"/>
    </row>
    <row r="640" spans="1:13" ht="90" customHeight="1" x14ac:dyDescent="0.3">
      <c r="A640" s="8"/>
      <c r="B640" s="9"/>
      <c r="C640" s="9"/>
      <c r="D640" s="9"/>
      <c r="E640" s="9"/>
      <c r="F640" s="9"/>
      <c r="G640" s="9"/>
      <c r="H640" s="9"/>
      <c r="I640" s="1"/>
      <c r="J640" s="1"/>
      <c r="K640" s="1"/>
      <c r="L640" s="1"/>
      <c r="M640" s="1"/>
    </row>
    <row r="641" spans="1:13" ht="90" customHeight="1" x14ac:dyDescent="0.3">
      <c r="A641" s="8"/>
      <c r="B641" s="9"/>
      <c r="C641" s="9"/>
      <c r="D641" s="9"/>
      <c r="E641" s="9"/>
      <c r="F641" s="9"/>
      <c r="G641" s="9"/>
      <c r="H641" s="9"/>
      <c r="I641" s="1"/>
      <c r="J641" s="1"/>
      <c r="K641" s="1"/>
      <c r="L641" s="1"/>
      <c r="M641" s="1"/>
    </row>
    <row r="642" spans="1:13" ht="90" customHeight="1" x14ac:dyDescent="0.3">
      <c r="A642" s="8">
        <v>231</v>
      </c>
      <c r="B642" s="8" t="s">
        <v>788</v>
      </c>
      <c r="C642" s="8" t="s">
        <v>492</v>
      </c>
      <c r="D642" s="8" t="s">
        <v>16</v>
      </c>
      <c r="E642" s="10" t="s">
        <v>24</v>
      </c>
      <c r="F642" s="10" t="s">
        <v>25</v>
      </c>
      <c r="G642" s="8" t="s">
        <v>789</v>
      </c>
      <c r="H642" s="8" t="s">
        <v>790</v>
      </c>
      <c r="I642" s="4" t="s">
        <v>495</v>
      </c>
      <c r="J642" s="4">
        <v>0.99806982278823853</v>
      </c>
      <c r="K642" s="4" t="s">
        <v>29</v>
      </c>
      <c r="L642" s="4" t="s">
        <v>492</v>
      </c>
      <c r="M642" s="4">
        <v>1</v>
      </c>
    </row>
    <row r="643" spans="1:13" ht="90" customHeight="1" x14ac:dyDescent="0.3">
      <c r="A643" s="8"/>
      <c r="B643" s="9"/>
      <c r="C643" s="9"/>
      <c r="D643" s="9"/>
      <c r="E643" s="9"/>
      <c r="F643" s="9"/>
      <c r="G643" s="9"/>
      <c r="H643" s="9"/>
      <c r="I643" s="1"/>
      <c r="J643" s="1"/>
      <c r="K643" s="1"/>
      <c r="L643" s="1"/>
      <c r="M643" s="1"/>
    </row>
    <row r="644" spans="1:13" ht="90" customHeight="1" x14ac:dyDescent="0.3">
      <c r="A644" s="8"/>
      <c r="B644" s="9"/>
      <c r="C644" s="9"/>
      <c r="D644" s="9"/>
      <c r="E644" s="9"/>
      <c r="F644" s="9"/>
      <c r="G644" s="9"/>
      <c r="H644" s="9"/>
      <c r="I644" s="1"/>
      <c r="J644" s="1"/>
      <c r="K644" s="1"/>
      <c r="L644" s="1"/>
      <c r="M644" s="1"/>
    </row>
    <row r="645" spans="1:13" ht="90" customHeight="1" x14ac:dyDescent="0.3">
      <c r="A645" s="8"/>
      <c r="B645" s="9"/>
      <c r="C645" s="9"/>
      <c r="D645" s="9"/>
      <c r="E645" s="9"/>
      <c r="F645" s="9"/>
      <c r="G645" s="9"/>
      <c r="H645" s="9"/>
      <c r="I645" s="1"/>
      <c r="J645" s="1"/>
      <c r="K645" s="1"/>
      <c r="L645" s="1"/>
      <c r="M645" s="1"/>
    </row>
    <row r="646" spans="1:13" ht="90" customHeight="1" x14ac:dyDescent="0.3">
      <c r="A646" s="8"/>
      <c r="B646" s="9"/>
      <c r="C646" s="9"/>
      <c r="D646" s="9"/>
      <c r="E646" s="9"/>
      <c r="F646" s="9"/>
      <c r="G646" s="9"/>
      <c r="H646" s="9"/>
      <c r="I646" s="1"/>
      <c r="J646" s="1"/>
      <c r="K646" s="1"/>
      <c r="L646" s="1"/>
      <c r="M646" s="1"/>
    </row>
    <row r="647" spans="1:13" ht="90" customHeight="1" x14ac:dyDescent="0.3">
      <c r="A647" s="8">
        <v>233</v>
      </c>
      <c r="B647" s="8" t="s">
        <v>791</v>
      </c>
      <c r="C647" s="8" t="s">
        <v>316</v>
      </c>
      <c r="D647" s="8" t="s">
        <v>16</v>
      </c>
      <c r="E647" s="10" t="s">
        <v>17</v>
      </c>
      <c r="F647" s="10" t="s">
        <v>18</v>
      </c>
      <c r="G647" s="8" t="s">
        <v>792</v>
      </c>
      <c r="H647" s="8" t="s">
        <v>20</v>
      </c>
      <c r="I647" s="1"/>
      <c r="J647" s="1"/>
      <c r="K647" s="1"/>
      <c r="L647" s="1"/>
      <c r="M647" s="1"/>
    </row>
    <row r="648" spans="1:13" ht="90" customHeight="1" x14ac:dyDescent="0.3">
      <c r="A648" s="8"/>
      <c r="B648" s="9"/>
      <c r="C648" s="9"/>
      <c r="D648" s="9"/>
      <c r="E648" s="9"/>
      <c r="F648" s="9"/>
      <c r="G648" s="9"/>
      <c r="H648" s="9"/>
      <c r="I648" s="1"/>
      <c r="J648" s="1"/>
      <c r="K648" s="1"/>
      <c r="L648" s="1"/>
      <c r="M648" s="1"/>
    </row>
    <row r="649" spans="1:13" ht="90" customHeight="1" x14ac:dyDescent="0.3">
      <c r="A649" s="8"/>
      <c r="B649" s="9"/>
      <c r="C649" s="9"/>
      <c r="D649" s="9"/>
      <c r="E649" s="9"/>
      <c r="F649" s="9"/>
      <c r="G649" s="9"/>
      <c r="H649" s="9"/>
      <c r="I649" s="1"/>
      <c r="J649" s="1"/>
      <c r="K649" s="1"/>
      <c r="L649" s="1"/>
      <c r="M649" s="1"/>
    </row>
    <row r="650" spans="1:13" ht="90" customHeight="1" x14ac:dyDescent="0.3">
      <c r="A650" s="8"/>
      <c r="B650" s="9"/>
      <c r="C650" s="9"/>
      <c r="D650" s="9"/>
      <c r="E650" s="9"/>
      <c r="F650" s="9"/>
      <c r="G650" s="9"/>
      <c r="H650" s="9"/>
      <c r="I650" s="1"/>
      <c r="J650" s="1"/>
      <c r="K650" s="1"/>
      <c r="L650" s="1"/>
      <c r="M650" s="1"/>
    </row>
    <row r="651" spans="1:13" ht="90" customHeight="1" x14ac:dyDescent="0.3">
      <c r="A651" s="8"/>
      <c r="B651" s="9"/>
      <c r="C651" s="9"/>
      <c r="D651" s="9"/>
      <c r="E651" s="9"/>
      <c r="F651" s="9"/>
      <c r="G651" s="9"/>
      <c r="H651" s="9"/>
      <c r="I651" s="1"/>
      <c r="J651" s="1"/>
      <c r="K651" s="1"/>
      <c r="L651" s="1"/>
      <c r="M651" s="1"/>
    </row>
    <row r="652" spans="1:13" ht="90" customHeight="1" x14ac:dyDescent="0.3">
      <c r="A652" s="8">
        <v>236</v>
      </c>
      <c r="B652" s="8" t="s">
        <v>793</v>
      </c>
      <c r="C652" s="8" t="s">
        <v>59</v>
      </c>
      <c r="D652" s="8" t="s">
        <v>794</v>
      </c>
      <c r="E652" s="10" t="s">
        <v>24</v>
      </c>
      <c r="F652" s="10" t="s">
        <v>25</v>
      </c>
      <c r="G652" s="8" t="s">
        <v>795</v>
      </c>
      <c r="H652" s="8" t="s">
        <v>796</v>
      </c>
      <c r="I652" s="4" t="s">
        <v>797</v>
      </c>
      <c r="J652" s="4">
        <v>0.99997913837432861</v>
      </c>
      <c r="K652" s="4" t="s">
        <v>29</v>
      </c>
      <c r="L652" s="4" t="s">
        <v>59</v>
      </c>
      <c r="M652" s="4">
        <v>131</v>
      </c>
    </row>
    <row r="653" spans="1:13" ht="90" customHeight="1" x14ac:dyDescent="0.3">
      <c r="A653" s="8"/>
      <c r="B653" s="9"/>
      <c r="C653" s="9"/>
      <c r="D653" s="9"/>
      <c r="E653" s="9"/>
      <c r="F653" s="9"/>
      <c r="G653" s="9"/>
      <c r="H653" s="9"/>
      <c r="I653" s="4" t="s">
        <v>798</v>
      </c>
      <c r="J653" s="4">
        <v>0.99995028972625732</v>
      </c>
      <c r="K653" s="4" t="s">
        <v>29</v>
      </c>
      <c r="L653" s="4" t="s">
        <v>59</v>
      </c>
      <c r="M653" s="4">
        <v>132</v>
      </c>
    </row>
    <row r="654" spans="1:13" ht="90" customHeight="1" x14ac:dyDescent="0.3">
      <c r="A654" s="8"/>
      <c r="B654" s="9"/>
      <c r="C654" s="9"/>
      <c r="D654" s="9"/>
      <c r="E654" s="9"/>
      <c r="F654" s="9"/>
      <c r="G654" s="9"/>
      <c r="H654" s="9"/>
      <c r="I654" s="2" t="s">
        <v>799</v>
      </c>
      <c r="J654" s="2">
        <v>0.91099530458450317</v>
      </c>
      <c r="K654" s="2" t="s">
        <v>29</v>
      </c>
      <c r="L654" s="2" t="s">
        <v>59</v>
      </c>
      <c r="M654" s="2">
        <v>40</v>
      </c>
    </row>
    <row r="655" spans="1:13" ht="90" customHeight="1" x14ac:dyDescent="0.3">
      <c r="A655" s="8"/>
      <c r="B655" s="9"/>
      <c r="C655" s="9"/>
      <c r="D655" s="9"/>
      <c r="E655" s="9"/>
      <c r="F655" s="9"/>
      <c r="G655" s="9"/>
      <c r="H655" s="9"/>
      <c r="I655" s="1"/>
      <c r="J655" s="1"/>
      <c r="K655" s="1"/>
      <c r="L655" s="1"/>
      <c r="M655" s="1"/>
    </row>
    <row r="656" spans="1:13" ht="90" customHeight="1" x14ac:dyDescent="0.3">
      <c r="A656" s="8"/>
      <c r="B656" s="9"/>
      <c r="C656" s="9"/>
      <c r="D656" s="9"/>
      <c r="E656" s="9"/>
      <c r="F656" s="9"/>
      <c r="G656" s="9"/>
      <c r="H656" s="9"/>
      <c r="I656" s="1"/>
      <c r="J656" s="1"/>
      <c r="K656" s="1"/>
      <c r="L656" s="1"/>
      <c r="M656" s="1"/>
    </row>
    <row r="657" spans="1:13" ht="90" customHeight="1" x14ac:dyDescent="0.3">
      <c r="A657" s="8">
        <v>238</v>
      </c>
      <c r="B657" s="8" t="s">
        <v>800</v>
      </c>
      <c r="C657" s="8" t="s">
        <v>293</v>
      </c>
      <c r="D657" s="8" t="s">
        <v>518</v>
      </c>
      <c r="E657" s="10" t="s">
        <v>24</v>
      </c>
      <c r="F657" s="10" t="s">
        <v>25</v>
      </c>
      <c r="G657" s="8" t="s">
        <v>801</v>
      </c>
      <c r="H657" s="8" t="s">
        <v>802</v>
      </c>
      <c r="I657" s="4" t="s">
        <v>391</v>
      </c>
      <c r="J657" s="4">
        <v>0.99943214654922485</v>
      </c>
      <c r="K657" s="4" t="s">
        <v>29</v>
      </c>
      <c r="L657" s="4" t="s">
        <v>293</v>
      </c>
      <c r="M657" s="4">
        <v>2</v>
      </c>
    </row>
    <row r="658" spans="1:13" ht="90" customHeight="1" x14ac:dyDescent="0.3">
      <c r="A658" s="8"/>
      <c r="B658" s="9"/>
      <c r="C658" s="9"/>
      <c r="D658" s="9"/>
      <c r="E658" s="9"/>
      <c r="F658" s="9"/>
      <c r="G658" s="9"/>
      <c r="H658" s="9"/>
      <c r="I658" s="4" t="s">
        <v>296</v>
      </c>
      <c r="J658" s="4">
        <v>0.99771857261657715</v>
      </c>
      <c r="K658" s="4" t="s">
        <v>29</v>
      </c>
      <c r="L658" s="4" t="s">
        <v>293</v>
      </c>
      <c r="M658" s="4">
        <v>4</v>
      </c>
    </row>
    <row r="659" spans="1:13" ht="90" customHeight="1" x14ac:dyDescent="0.3">
      <c r="A659" s="8"/>
      <c r="B659" s="9"/>
      <c r="C659" s="9"/>
      <c r="D659" s="9"/>
      <c r="E659" s="9"/>
      <c r="F659" s="9"/>
      <c r="G659" s="9"/>
      <c r="H659" s="9"/>
      <c r="I659" s="4" t="s">
        <v>392</v>
      </c>
      <c r="J659" s="4">
        <v>0.99690669775009155</v>
      </c>
      <c r="K659" s="4" t="s">
        <v>29</v>
      </c>
      <c r="L659" s="4" t="s">
        <v>293</v>
      </c>
      <c r="M659" s="4">
        <v>3</v>
      </c>
    </row>
    <row r="660" spans="1:13" ht="90" customHeight="1" x14ac:dyDescent="0.3">
      <c r="A660" s="8"/>
      <c r="B660" s="9"/>
      <c r="C660" s="9"/>
      <c r="D660" s="9"/>
      <c r="E660" s="9"/>
      <c r="F660" s="9"/>
      <c r="G660" s="9"/>
      <c r="H660" s="9"/>
      <c r="I660" s="1"/>
      <c r="J660" s="1"/>
      <c r="K660" s="1"/>
      <c r="L660" s="1"/>
      <c r="M660" s="1"/>
    </row>
    <row r="661" spans="1:13" ht="90" customHeight="1" x14ac:dyDescent="0.3">
      <c r="A661" s="8"/>
      <c r="B661" s="9"/>
      <c r="C661" s="9"/>
      <c r="D661" s="9"/>
      <c r="E661" s="9"/>
      <c r="F661" s="9"/>
      <c r="G661" s="9"/>
      <c r="H661" s="9"/>
      <c r="I661" s="1"/>
      <c r="J661" s="1"/>
      <c r="K661" s="1"/>
      <c r="L661" s="1"/>
      <c r="M661" s="1"/>
    </row>
    <row r="662" spans="1:13" ht="90" customHeight="1" x14ac:dyDescent="0.3">
      <c r="A662" s="8">
        <v>239</v>
      </c>
      <c r="B662" s="8" t="s">
        <v>803</v>
      </c>
      <c r="C662" s="8" t="s">
        <v>119</v>
      </c>
      <c r="D662" s="8" t="s">
        <v>236</v>
      </c>
      <c r="E662" s="10" t="s">
        <v>24</v>
      </c>
      <c r="F662" s="10" t="s">
        <v>25</v>
      </c>
      <c r="G662" s="8" t="s">
        <v>804</v>
      </c>
      <c r="H662" s="8" t="s">
        <v>805</v>
      </c>
      <c r="I662" s="4" t="s">
        <v>274</v>
      </c>
      <c r="J662" s="4">
        <v>0.99376869201660156</v>
      </c>
      <c r="K662" s="4" t="s">
        <v>29</v>
      </c>
      <c r="L662" s="4" t="s">
        <v>119</v>
      </c>
      <c r="M662" s="4">
        <v>7</v>
      </c>
    </row>
    <row r="663" spans="1:13" ht="90" customHeight="1" x14ac:dyDescent="0.3">
      <c r="A663" s="8"/>
      <c r="B663" s="9"/>
      <c r="C663" s="9"/>
      <c r="D663" s="9"/>
      <c r="E663" s="9"/>
      <c r="F663" s="9"/>
      <c r="G663" s="9"/>
      <c r="H663" s="9"/>
      <c r="I663" s="1" t="s">
        <v>633</v>
      </c>
      <c r="J663" s="1">
        <v>0.87820351123809814</v>
      </c>
      <c r="K663" s="1" t="s">
        <v>29</v>
      </c>
      <c r="L663" s="1" t="s">
        <v>634</v>
      </c>
      <c r="M663" s="1">
        <v>1</v>
      </c>
    </row>
    <row r="664" spans="1:13" ht="90" customHeight="1" x14ac:dyDescent="0.3">
      <c r="A664" s="8"/>
      <c r="B664" s="9"/>
      <c r="C664" s="9"/>
      <c r="D664" s="9"/>
      <c r="E664" s="9"/>
      <c r="F664" s="9"/>
      <c r="G664" s="9"/>
      <c r="H664" s="9"/>
      <c r="I664" s="1"/>
      <c r="J664" s="1"/>
      <c r="K664" s="1"/>
      <c r="L664" s="1"/>
      <c r="M664" s="1"/>
    </row>
    <row r="665" spans="1:13" ht="90" customHeight="1" x14ac:dyDescent="0.3">
      <c r="A665" s="8"/>
      <c r="B665" s="9"/>
      <c r="C665" s="9"/>
      <c r="D665" s="9"/>
      <c r="E665" s="9"/>
      <c r="F665" s="9"/>
      <c r="G665" s="9"/>
      <c r="H665" s="9"/>
      <c r="I665" s="1"/>
      <c r="J665" s="1"/>
      <c r="K665" s="1"/>
      <c r="L665" s="1"/>
      <c r="M665" s="1"/>
    </row>
    <row r="666" spans="1:13" ht="90" customHeight="1" x14ac:dyDescent="0.3">
      <c r="A666" s="8"/>
      <c r="B666" s="9"/>
      <c r="C666" s="9"/>
      <c r="D666" s="9"/>
      <c r="E666" s="9"/>
      <c r="F666" s="9"/>
      <c r="G666" s="9"/>
      <c r="H666" s="9"/>
      <c r="I666" s="1"/>
      <c r="J666" s="1"/>
      <c r="K666" s="1"/>
      <c r="L666" s="1"/>
      <c r="M666" s="1"/>
    </row>
    <row r="667" spans="1:13" ht="90" customHeight="1" x14ac:dyDescent="0.3">
      <c r="A667" s="8">
        <v>241</v>
      </c>
      <c r="B667" s="8" t="s">
        <v>806</v>
      </c>
      <c r="C667" s="8" t="s">
        <v>807</v>
      </c>
      <c r="D667" s="8" t="s">
        <v>78</v>
      </c>
      <c r="E667" s="10" t="s">
        <v>24</v>
      </c>
      <c r="F667" s="10" t="s">
        <v>25</v>
      </c>
      <c r="G667" s="8" t="s">
        <v>808</v>
      </c>
      <c r="H667" s="8" t="s">
        <v>809</v>
      </c>
      <c r="I667" s="4" t="s">
        <v>810</v>
      </c>
      <c r="J667" s="4">
        <v>0.99999713897704812</v>
      </c>
      <c r="K667" s="4" t="s">
        <v>68</v>
      </c>
      <c r="L667" s="4" t="s">
        <v>807</v>
      </c>
      <c r="M667" s="4">
        <v>4</v>
      </c>
    </row>
    <row r="668" spans="1:13" ht="90" customHeight="1" x14ac:dyDescent="0.3">
      <c r="A668" s="8"/>
      <c r="B668" s="9"/>
      <c r="C668" s="9"/>
      <c r="D668" s="9"/>
      <c r="E668" s="9"/>
      <c r="F668" s="9"/>
      <c r="G668" s="9"/>
      <c r="H668" s="9"/>
      <c r="I668" s="1"/>
      <c r="J668" s="1"/>
      <c r="K668" s="1"/>
      <c r="L668" s="1"/>
      <c r="M668" s="1"/>
    </row>
    <row r="669" spans="1:13" ht="90" customHeight="1" x14ac:dyDescent="0.3">
      <c r="A669" s="8"/>
      <c r="B669" s="9"/>
      <c r="C669" s="9"/>
      <c r="D669" s="9"/>
      <c r="E669" s="9"/>
      <c r="F669" s="9"/>
      <c r="G669" s="9"/>
      <c r="H669" s="9"/>
      <c r="I669" s="1"/>
      <c r="J669" s="1"/>
      <c r="K669" s="1"/>
      <c r="L669" s="1"/>
      <c r="M669" s="1"/>
    </row>
    <row r="670" spans="1:13" ht="90" customHeight="1" x14ac:dyDescent="0.3">
      <c r="A670" s="8"/>
      <c r="B670" s="9"/>
      <c r="C670" s="9"/>
      <c r="D670" s="9"/>
      <c r="E670" s="9"/>
      <c r="F670" s="9"/>
      <c r="G670" s="9"/>
      <c r="H670" s="9"/>
      <c r="I670" s="1"/>
      <c r="J670" s="1"/>
      <c r="K670" s="1"/>
      <c r="L670" s="1"/>
      <c r="M670" s="1"/>
    </row>
    <row r="671" spans="1:13" ht="90" customHeight="1" x14ac:dyDescent="0.3">
      <c r="A671" s="8"/>
      <c r="B671" s="9"/>
      <c r="C671" s="9"/>
      <c r="D671" s="9"/>
      <c r="E671" s="9"/>
      <c r="F671" s="9"/>
      <c r="G671" s="9"/>
      <c r="H671" s="9"/>
      <c r="I671" s="1"/>
      <c r="J671" s="1"/>
      <c r="K671" s="1"/>
      <c r="L671" s="1"/>
      <c r="M671" s="1"/>
    </row>
    <row r="672" spans="1:13" ht="90" customHeight="1" x14ac:dyDescent="0.3">
      <c r="A672" s="8">
        <v>245</v>
      </c>
      <c r="B672" s="8" t="s">
        <v>811</v>
      </c>
      <c r="C672" s="8" t="s">
        <v>241</v>
      </c>
      <c r="D672" s="8" t="s">
        <v>812</v>
      </c>
      <c r="E672" s="10" t="s">
        <v>24</v>
      </c>
      <c r="F672" s="10" t="s">
        <v>25</v>
      </c>
      <c r="G672" s="8" t="s">
        <v>813</v>
      </c>
      <c r="H672" s="8" t="s">
        <v>814</v>
      </c>
      <c r="I672" s="4" t="s">
        <v>815</v>
      </c>
      <c r="J672" s="4">
        <v>0.99984943182505659</v>
      </c>
      <c r="K672" s="4" t="s">
        <v>29</v>
      </c>
      <c r="L672" s="4" t="s">
        <v>241</v>
      </c>
      <c r="M672" s="4">
        <v>19</v>
      </c>
    </row>
    <row r="673" spans="1:13" ht="90" customHeight="1" x14ac:dyDescent="0.3">
      <c r="A673" s="8"/>
      <c r="B673" s="9"/>
      <c r="C673" s="9"/>
      <c r="D673" s="9"/>
      <c r="E673" s="9"/>
      <c r="F673" s="9"/>
      <c r="G673" s="9"/>
      <c r="H673" s="9"/>
      <c r="I673" s="4" t="s">
        <v>816</v>
      </c>
      <c r="J673" s="4">
        <v>0.99982362970304728</v>
      </c>
      <c r="K673" s="4" t="s">
        <v>29</v>
      </c>
      <c r="L673" s="4" t="s">
        <v>241</v>
      </c>
      <c r="M673" s="4">
        <v>23</v>
      </c>
    </row>
    <row r="674" spans="1:13" ht="90" customHeight="1" x14ac:dyDescent="0.3">
      <c r="A674" s="8"/>
      <c r="B674" s="9"/>
      <c r="C674" s="9"/>
      <c r="D674" s="9"/>
      <c r="E674" s="9"/>
      <c r="F674" s="9"/>
      <c r="G674" s="9"/>
      <c r="H674" s="9"/>
      <c r="I674" s="4" t="s">
        <v>817</v>
      </c>
      <c r="J674" s="4">
        <v>0.91679014343337051</v>
      </c>
      <c r="K674" s="4" t="s">
        <v>29</v>
      </c>
      <c r="L674" s="4" t="s">
        <v>241</v>
      </c>
      <c r="M674" s="4">
        <v>20</v>
      </c>
    </row>
    <row r="675" spans="1:13" ht="90" customHeight="1" x14ac:dyDescent="0.3">
      <c r="A675" s="8"/>
      <c r="B675" s="9"/>
      <c r="C675" s="9"/>
      <c r="D675" s="9"/>
      <c r="E675" s="9"/>
      <c r="F675" s="9"/>
      <c r="G675" s="9"/>
      <c r="H675" s="9"/>
      <c r="I675" s="1" t="s">
        <v>818</v>
      </c>
      <c r="J675" s="1">
        <v>0.87802064424808501</v>
      </c>
      <c r="K675" s="1" t="s">
        <v>29</v>
      </c>
      <c r="L675" s="1" t="s">
        <v>241</v>
      </c>
      <c r="M675" s="1">
        <v>80</v>
      </c>
    </row>
    <row r="676" spans="1:13" ht="90" customHeight="1" x14ac:dyDescent="0.3">
      <c r="A676" s="8"/>
      <c r="B676" s="9"/>
      <c r="C676" s="9"/>
      <c r="D676" s="9"/>
      <c r="E676" s="9"/>
      <c r="F676" s="9"/>
      <c r="G676" s="9"/>
      <c r="H676" s="9"/>
      <c r="I676" s="1"/>
      <c r="J676" s="1"/>
      <c r="K676" s="1"/>
      <c r="L676" s="1"/>
      <c r="M676" s="1"/>
    </row>
    <row r="677" spans="1:13" ht="90" customHeight="1" x14ac:dyDescent="0.3">
      <c r="A677" s="8">
        <v>247</v>
      </c>
      <c r="B677" s="8" t="s">
        <v>819</v>
      </c>
      <c r="C677" s="8" t="s">
        <v>410</v>
      </c>
      <c r="D677" s="8" t="s">
        <v>417</v>
      </c>
      <c r="E677" s="10" t="s">
        <v>24</v>
      </c>
      <c r="F677" s="10" t="s">
        <v>25</v>
      </c>
      <c r="G677" s="8" t="s">
        <v>820</v>
      </c>
      <c r="H677" s="8" t="s">
        <v>821</v>
      </c>
      <c r="I677" s="4" t="s">
        <v>420</v>
      </c>
      <c r="J677" s="4">
        <v>0.99998700618743519</v>
      </c>
      <c r="K677" s="4" t="s">
        <v>29</v>
      </c>
      <c r="L677" s="4" t="s">
        <v>410</v>
      </c>
      <c r="M677" s="4">
        <v>36</v>
      </c>
    </row>
    <row r="678" spans="1:13" ht="90" customHeight="1" x14ac:dyDescent="0.3">
      <c r="A678" s="8"/>
      <c r="B678" s="9"/>
      <c r="C678" s="9"/>
      <c r="D678" s="9"/>
      <c r="E678" s="9"/>
      <c r="F678" s="9"/>
      <c r="G678" s="9"/>
      <c r="H678" s="9"/>
      <c r="I678" s="1" t="s">
        <v>822</v>
      </c>
      <c r="J678" s="1">
        <v>0.90274584293365479</v>
      </c>
      <c r="K678" s="1" t="s">
        <v>29</v>
      </c>
      <c r="L678" s="1" t="s">
        <v>823</v>
      </c>
      <c r="M678" s="1">
        <v>22</v>
      </c>
    </row>
    <row r="679" spans="1:13" ht="90" customHeight="1" x14ac:dyDescent="0.3">
      <c r="A679" s="8"/>
      <c r="B679" s="9"/>
      <c r="C679" s="9"/>
      <c r="D679" s="9"/>
      <c r="E679" s="9"/>
      <c r="F679" s="9"/>
      <c r="G679" s="9"/>
      <c r="H679" s="9"/>
      <c r="I679" s="1"/>
      <c r="J679" s="1"/>
      <c r="K679" s="1"/>
      <c r="L679" s="1"/>
      <c r="M679" s="1"/>
    </row>
    <row r="680" spans="1:13" ht="90" customHeight="1" x14ac:dyDescent="0.3">
      <c r="A680" s="8"/>
      <c r="B680" s="9"/>
      <c r="C680" s="9"/>
      <c r="D680" s="9"/>
      <c r="E680" s="9"/>
      <c r="F680" s="9"/>
      <c r="G680" s="9"/>
      <c r="H680" s="9"/>
      <c r="I680" s="1"/>
      <c r="J680" s="1"/>
      <c r="K680" s="1"/>
      <c r="L680" s="1"/>
      <c r="M680" s="1"/>
    </row>
    <row r="681" spans="1:13" ht="90" customHeight="1" x14ac:dyDescent="0.3">
      <c r="A681" s="8"/>
      <c r="B681" s="9"/>
      <c r="C681" s="9"/>
      <c r="D681" s="9"/>
      <c r="E681" s="9"/>
      <c r="F681" s="9"/>
      <c r="G681" s="9"/>
      <c r="H681" s="9"/>
      <c r="I681" s="1"/>
      <c r="J681" s="1"/>
      <c r="K681" s="1"/>
      <c r="L681" s="1"/>
      <c r="M681" s="1"/>
    </row>
    <row r="682" spans="1:13" ht="90" customHeight="1" x14ac:dyDescent="0.3">
      <c r="A682" s="8">
        <v>248</v>
      </c>
      <c r="B682" s="8" t="s">
        <v>824</v>
      </c>
      <c r="C682" s="8" t="s">
        <v>825</v>
      </c>
      <c r="D682" s="8" t="s">
        <v>826</v>
      </c>
      <c r="E682" s="10" t="s">
        <v>17</v>
      </c>
      <c r="F682" s="10" t="s">
        <v>18</v>
      </c>
      <c r="G682" s="8" t="s">
        <v>827</v>
      </c>
      <c r="H682" s="8" t="s">
        <v>828</v>
      </c>
      <c r="I682" s="2" t="s">
        <v>829</v>
      </c>
      <c r="J682" s="2">
        <v>0.96976566314697266</v>
      </c>
      <c r="K682" s="2" t="s">
        <v>29</v>
      </c>
      <c r="L682" s="2" t="s">
        <v>830</v>
      </c>
      <c r="M682" s="2">
        <v>51</v>
      </c>
    </row>
    <row r="683" spans="1:13" ht="90" customHeight="1" x14ac:dyDescent="0.3">
      <c r="A683" s="8"/>
      <c r="B683" s="9"/>
      <c r="C683" s="9"/>
      <c r="D683" s="9"/>
      <c r="E683" s="9"/>
      <c r="F683" s="9"/>
      <c r="G683" s="9"/>
      <c r="H683" s="9"/>
      <c r="I683" s="2" t="s">
        <v>831</v>
      </c>
      <c r="J683" s="2">
        <v>0.96101361513137817</v>
      </c>
      <c r="K683" s="2" t="s">
        <v>29</v>
      </c>
      <c r="L683" s="2" t="s">
        <v>832</v>
      </c>
      <c r="M683" s="2">
        <v>189</v>
      </c>
    </row>
    <row r="684" spans="1:13" ht="90" customHeight="1" x14ac:dyDescent="0.3">
      <c r="A684" s="8"/>
      <c r="B684" s="9"/>
      <c r="C684" s="9"/>
      <c r="D684" s="9"/>
      <c r="E684" s="9"/>
      <c r="F684" s="9"/>
      <c r="G684" s="9"/>
      <c r="H684" s="9"/>
      <c r="I684" s="2" t="s">
        <v>833</v>
      </c>
      <c r="J684" s="2">
        <v>0.95319598913192749</v>
      </c>
      <c r="K684" s="2" t="s">
        <v>29</v>
      </c>
      <c r="L684" s="2" t="s">
        <v>830</v>
      </c>
      <c r="M684" s="2">
        <v>50</v>
      </c>
    </row>
    <row r="685" spans="1:13" ht="90" customHeight="1" x14ac:dyDescent="0.3">
      <c r="A685" s="8"/>
      <c r="B685" s="9"/>
      <c r="C685" s="9"/>
      <c r="D685" s="9"/>
      <c r="E685" s="9"/>
      <c r="F685" s="9"/>
      <c r="G685" s="9"/>
      <c r="H685" s="9"/>
      <c r="I685" s="1" t="s">
        <v>834</v>
      </c>
      <c r="J685" s="1">
        <v>0.94826239347457886</v>
      </c>
      <c r="K685" s="1" t="s">
        <v>29</v>
      </c>
      <c r="L685" s="1" t="s">
        <v>333</v>
      </c>
      <c r="M685" s="1">
        <v>188</v>
      </c>
    </row>
    <row r="686" spans="1:13" ht="90" customHeight="1" x14ac:dyDescent="0.3">
      <c r="A686" s="8"/>
      <c r="B686" s="9"/>
      <c r="C686" s="9"/>
      <c r="D686" s="9"/>
      <c r="E686" s="9"/>
      <c r="F686" s="9"/>
      <c r="G686" s="9"/>
      <c r="H686" s="9"/>
      <c r="I686" s="1" t="s">
        <v>835</v>
      </c>
      <c r="J686" s="1">
        <v>0.9473651647567749</v>
      </c>
      <c r="K686" s="1" t="s">
        <v>29</v>
      </c>
      <c r="L686" s="1" t="s">
        <v>836</v>
      </c>
      <c r="M686" s="1">
        <v>184</v>
      </c>
    </row>
    <row r="687" spans="1:13" ht="90" customHeight="1" x14ac:dyDescent="0.3">
      <c r="A687" s="8">
        <v>250</v>
      </c>
      <c r="B687" s="8" t="s">
        <v>837</v>
      </c>
      <c r="C687" s="8" t="s">
        <v>351</v>
      </c>
      <c r="D687" s="8" t="s">
        <v>127</v>
      </c>
      <c r="E687" s="10" t="s">
        <v>24</v>
      </c>
      <c r="F687" s="10" t="s">
        <v>25</v>
      </c>
      <c r="G687" s="8" t="s">
        <v>838</v>
      </c>
      <c r="H687" s="8" t="s">
        <v>839</v>
      </c>
      <c r="I687" s="4" t="s">
        <v>840</v>
      </c>
      <c r="J687" s="4">
        <v>0.99981659650802612</v>
      </c>
      <c r="K687" s="4" t="s">
        <v>29</v>
      </c>
      <c r="L687" s="4" t="s">
        <v>351</v>
      </c>
      <c r="M687" s="4">
        <v>13</v>
      </c>
    </row>
    <row r="688" spans="1:13" ht="90" customHeight="1" x14ac:dyDescent="0.3">
      <c r="A688" s="8"/>
      <c r="B688" s="9"/>
      <c r="C688" s="9"/>
      <c r="D688" s="9"/>
      <c r="E688" s="9"/>
      <c r="F688" s="9"/>
      <c r="G688" s="9"/>
      <c r="H688" s="9"/>
      <c r="I688" s="1"/>
      <c r="J688" s="1"/>
      <c r="K688" s="1"/>
      <c r="L688" s="1"/>
      <c r="M688" s="1"/>
    </row>
    <row r="689" spans="1:13" ht="90" customHeight="1" x14ac:dyDescent="0.3">
      <c r="A689" s="8"/>
      <c r="B689" s="9"/>
      <c r="C689" s="9"/>
      <c r="D689" s="9"/>
      <c r="E689" s="9"/>
      <c r="F689" s="9"/>
      <c r="G689" s="9"/>
      <c r="H689" s="9"/>
      <c r="I689" s="1"/>
      <c r="J689" s="1"/>
      <c r="K689" s="1"/>
      <c r="L689" s="1"/>
      <c r="M689" s="1"/>
    </row>
    <row r="690" spans="1:13" ht="90" customHeight="1" x14ac:dyDescent="0.3">
      <c r="A690" s="8"/>
      <c r="B690" s="9"/>
      <c r="C690" s="9"/>
      <c r="D690" s="9"/>
      <c r="E690" s="9"/>
      <c r="F690" s="9"/>
      <c r="G690" s="9"/>
      <c r="H690" s="9"/>
      <c r="I690" s="1"/>
      <c r="J690" s="1"/>
      <c r="K690" s="1"/>
      <c r="L690" s="1"/>
      <c r="M690" s="1"/>
    </row>
    <row r="691" spans="1:13" ht="90" customHeight="1" x14ac:dyDescent="0.3">
      <c r="A691" s="8"/>
      <c r="B691" s="9"/>
      <c r="C691" s="9"/>
      <c r="D691" s="9"/>
      <c r="E691" s="9"/>
      <c r="F691" s="9"/>
      <c r="G691" s="9"/>
      <c r="H691" s="9"/>
      <c r="I691" s="1"/>
      <c r="J691" s="1"/>
      <c r="K691" s="1"/>
      <c r="L691" s="1"/>
      <c r="M691" s="1"/>
    </row>
    <row r="692" spans="1:13" ht="90" customHeight="1" x14ac:dyDescent="0.3">
      <c r="A692" s="8">
        <v>251</v>
      </c>
      <c r="B692" s="8" t="s">
        <v>841</v>
      </c>
      <c r="C692" s="8" t="s">
        <v>459</v>
      </c>
      <c r="D692" s="8" t="s">
        <v>842</v>
      </c>
      <c r="E692" s="10" t="s">
        <v>24</v>
      </c>
      <c r="F692" s="10" t="s">
        <v>25</v>
      </c>
      <c r="G692" s="8" t="s">
        <v>843</v>
      </c>
      <c r="H692" s="8" t="s">
        <v>844</v>
      </c>
      <c r="I692" s="4" t="s">
        <v>464</v>
      </c>
      <c r="J692" s="4">
        <v>0.99995827674865723</v>
      </c>
      <c r="K692" s="4" t="s">
        <v>29</v>
      </c>
      <c r="L692" s="4" t="s">
        <v>459</v>
      </c>
      <c r="M692" s="4">
        <v>19</v>
      </c>
    </row>
    <row r="693" spans="1:13" ht="90" customHeight="1" x14ac:dyDescent="0.3">
      <c r="A693" s="8"/>
      <c r="B693" s="9"/>
      <c r="C693" s="9"/>
      <c r="D693" s="9"/>
      <c r="E693" s="9"/>
      <c r="F693" s="9"/>
      <c r="G693" s="9"/>
      <c r="H693" s="9"/>
      <c r="I693" s="4" t="s">
        <v>845</v>
      </c>
      <c r="J693" s="4">
        <v>0.99972409009933472</v>
      </c>
      <c r="K693" s="4" t="s">
        <v>29</v>
      </c>
      <c r="L693" s="4" t="s">
        <v>459</v>
      </c>
      <c r="M693" s="4">
        <v>44</v>
      </c>
    </row>
    <row r="694" spans="1:13" ht="90" customHeight="1" x14ac:dyDescent="0.3">
      <c r="A694" s="8"/>
      <c r="B694" s="9"/>
      <c r="C694" s="9"/>
      <c r="D694" s="9"/>
      <c r="E694" s="9"/>
      <c r="F694" s="9"/>
      <c r="G694" s="9"/>
      <c r="H694" s="9"/>
      <c r="I694" s="1"/>
      <c r="J694" s="1"/>
      <c r="K694" s="1"/>
      <c r="L694" s="1"/>
      <c r="M694" s="1"/>
    </row>
    <row r="695" spans="1:13" ht="90" customHeight="1" x14ac:dyDescent="0.3">
      <c r="A695" s="8"/>
      <c r="B695" s="9"/>
      <c r="C695" s="9"/>
      <c r="D695" s="9"/>
      <c r="E695" s="9"/>
      <c r="F695" s="9"/>
      <c r="G695" s="9"/>
      <c r="H695" s="9"/>
      <c r="I695" s="1"/>
      <c r="J695" s="1"/>
      <c r="K695" s="1"/>
      <c r="L695" s="1"/>
      <c r="M695" s="1"/>
    </row>
    <row r="696" spans="1:13" ht="90" customHeight="1" x14ac:dyDescent="0.3">
      <c r="A696" s="8"/>
      <c r="B696" s="9"/>
      <c r="C696" s="9"/>
      <c r="D696" s="9"/>
      <c r="E696" s="9"/>
      <c r="F696" s="9"/>
      <c r="G696" s="9"/>
      <c r="H696" s="9"/>
      <c r="I696" s="1"/>
      <c r="J696" s="1"/>
      <c r="K696" s="1"/>
      <c r="L696" s="1"/>
      <c r="M696" s="1"/>
    </row>
    <row r="697" spans="1:13" ht="90" customHeight="1" x14ac:dyDescent="0.3">
      <c r="A697" s="8">
        <v>252</v>
      </c>
      <c r="B697" s="8" t="s">
        <v>846</v>
      </c>
      <c r="C697" s="8" t="s">
        <v>847</v>
      </c>
      <c r="D697" s="8" t="s">
        <v>848</v>
      </c>
      <c r="E697" s="10" t="s">
        <v>24</v>
      </c>
      <c r="F697" s="10" t="s">
        <v>25</v>
      </c>
      <c r="G697" s="8" t="s">
        <v>849</v>
      </c>
      <c r="H697" s="8" t="s">
        <v>850</v>
      </c>
      <c r="I697" s="4" t="s">
        <v>851</v>
      </c>
      <c r="J697" s="4">
        <v>0.99556446075414118</v>
      </c>
      <c r="K697" s="4" t="s">
        <v>68</v>
      </c>
      <c r="L697" s="4" t="s">
        <v>847</v>
      </c>
      <c r="M697" s="4">
        <v>5</v>
      </c>
    </row>
    <row r="698" spans="1:13" ht="90" customHeight="1" x14ac:dyDescent="0.3">
      <c r="A698" s="8"/>
      <c r="B698" s="9"/>
      <c r="C698" s="9"/>
      <c r="D698" s="9"/>
      <c r="E698" s="9"/>
      <c r="F698" s="9"/>
      <c r="G698" s="9"/>
      <c r="H698" s="9"/>
      <c r="I698" s="4" t="s">
        <v>852</v>
      </c>
      <c r="J698" s="4">
        <v>0.99509000778198242</v>
      </c>
      <c r="K698" s="4" t="s">
        <v>68</v>
      </c>
      <c r="L698" s="4" t="s">
        <v>847</v>
      </c>
      <c r="M698" s="4">
        <v>4</v>
      </c>
    </row>
    <row r="699" spans="1:13" ht="90" customHeight="1" x14ac:dyDescent="0.3">
      <c r="A699" s="8"/>
      <c r="B699" s="9"/>
      <c r="C699" s="9"/>
      <c r="D699" s="9"/>
      <c r="E699" s="9"/>
      <c r="F699" s="9"/>
      <c r="G699" s="9"/>
      <c r="H699" s="9"/>
      <c r="I699" s="1"/>
      <c r="J699" s="1"/>
      <c r="K699" s="1"/>
      <c r="L699" s="1"/>
      <c r="M699" s="1"/>
    </row>
    <row r="700" spans="1:13" ht="90" customHeight="1" x14ac:dyDescent="0.3">
      <c r="A700" s="8"/>
      <c r="B700" s="9"/>
      <c r="C700" s="9"/>
      <c r="D700" s="9"/>
      <c r="E700" s="9"/>
      <c r="F700" s="9"/>
      <c r="G700" s="9"/>
      <c r="H700" s="9"/>
      <c r="I700" s="1"/>
      <c r="J700" s="1"/>
      <c r="K700" s="1"/>
      <c r="L700" s="1"/>
      <c r="M700" s="1"/>
    </row>
    <row r="701" spans="1:13" ht="90" customHeight="1" x14ac:dyDescent="0.3">
      <c r="A701" s="8"/>
      <c r="B701" s="9"/>
      <c r="C701" s="9"/>
      <c r="D701" s="9"/>
      <c r="E701" s="9"/>
      <c r="F701" s="9"/>
      <c r="G701" s="9"/>
      <c r="H701" s="9"/>
      <c r="I701" s="1"/>
      <c r="J701" s="1"/>
      <c r="K701" s="1"/>
      <c r="L701" s="1"/>
      <c r="M701" s="1"/>
    </row>
    <row r="702" spans="1:13" ht="90" customHeight="1" x14ac:dyDescent="0.3">
      <c r="A702" s="8">
        <v>253</v>
      </c>
      <c r="B702" s="8" t="s">
        <v>853</v>
      </c>
      <c r="C702" s="8" t="s">
        <v>45</v>
      </c>
      <c r="D702" s="8" t="s">
        <v>46</v>
      </c>
      <c r="E702" s="10" t="s">
        <v>24</v>
      </c>
      <c r="F702" s="10" t="s">
        <v>25</v>
      </c>
      <c r="G702" s="8" t="s">
        <v>854</v>
      </c>
      <c r="H702" s="8" t="s">
        <v>855</v>
      </c>
      <c r="I702" s="4" t="s">
        <v>50</v>
      </c>
      <c r="J702" s="4">
        <v>0.88937575229858712</v>
      </c>
      <c r="K702" s="4" t="s">
        <v>29</v>
      </c>
      <c r="L702" s="4" t="s">
        <v>45</v>
      </c>
      <c r="M702" s="4">
        <v>3</v>
      </c>
    </row>
    <row r="703" spans="1:13" ht="90" customHeight="1" x14ac:dyDescent="0.3">
      <c r="A703" s="8"/>
      <c r="B703" s="9"/>
      <c r="C703" s="9"/>
      <c r="D703" s="9"/>
      <c r="E703" s="9"/>
      <c r="F703" s="9"/>
      <c r="G703" s="9"/>
      <c r="H703" s="9"/>
      <c r="I703" s="4" t="s">
        <v>49</v>
      </c>
      <c r="J703" s="4">
        <v>0.88483035793870257</v>
      </c>
      <c r="K703" s="4" t="s">
        <v>29</v>
      </c>
      <c r="L703" s="4" t="s">
        <v>45</v>
      </c>
      <c r="M703" s="4">
        <v>1</v>
      </c>
    </row>
    <row r="704" spans="1:13" ht="90" customHeight="1" x14ac:dyDescent="0.3">
      <c r="A704" s="8"/>
      <c r="B704" s="9"/>
      <c r="C704" s="9"/>
      <c r="D704" s="9"/>
      <c r="E704" s="9"/>
      <c r="F704" s="9"/>
      <c r="G704" s="9"/>
      <c r="H704" s="9"/>
      <c r="I704" s="4" t="s">
        <v>51</v>
      </c>
      <c r="J704" s="4">
        <v>0.82442681542169749</v>
      </c>
      <c r="K704" s="4" t="s">
        <v>29</v>
      </c>
      <c r="L704" s="4" t="s">
        <v>45</v>
      </c>
      <c r="M704" s="4">
        <v>2</v>
      </c>
    </row>
    <row r="705" spans="1:13" ht="90" customHeight="1" x14ac:dyDescent="0.3">
      <c r="A705" s="8"/>
      <c r="B705" s="9"/>
      <c r="C705" s="9"/>
      <c r="D705" s="9"/>
      <c r="E705" s="9"/>
      <c r="F705" s="9"/>
      <c r="G705" s="9"/>
      <c r="H705" s="9"/>
      <c r="I705" s="1"/>
      <c r="J705" s="1"/>
      <c r="K705" s="1"/>
      <c r="L705" s="1"/>
      <c r="M705" s="1"/>
    </row>
    <row r="706" spans="1:13" ht="90" customHeight="1" x14ac:dyDescent="0.3">
      <c r="A706" s="8"/>
      <c r="B706" s="9"/>
      <c r="C706" s="9"/>
      <c r="D706" s="9"/>
      <c r="E706" s="9"/>
      <c r="F706" s="9"/>
      <c r="G706" s="9"/>
      <c r="H706" s="9"/>
      <c r="I706" s="1"/>
      <c r="J706" s="1"/>
      <c r="K706" s="1"/>
      <c r="L706" s="1"/>
      <c r="M706" s="1"/>
    </row>
    <row r="707" spans="1:13" ht="90" customHeight="1" x14ac:dyDescent="0.3">
      <c r="A707" s="8">
        <v>254</v>
      </c>
      <c r="B707" s="8" t="s">
        <v>856</v>
      </c>
      <c r="C707" s="8" t="s">
        <v>492</v>
      </c>
      <c r="D707" s="8" t="s">
        <v>16</v>
      </c>
      <c r="E707" s="10" t="s">
        <v>24</v>
      </c>
      <c r="F707" s="10" t="s">
        <v>25</v>
      </c>
      <c r="G707" s="8" t="s">
        <v>857</v>
      </c>
      <c r="H707" s="8" t="s">
        <v>858</v>
      </c>
      <c r="I707" s="4" t="s">
        <v>495</v>
      </c>
      <c r="J707" s="4">
        <v>0.99982160329818726</v>
      </c>
      <c r="K707" s="4" t="s">
        <v>29</v>
      </c>
      <c r="L707" s="4" t="s">
        <v>492</v>
      </c>
      <c r="M707" s="4">
        <v>1</v>
      </c>
    </row>
    <row r="708" spans="1:13" ht="90" customHeight="1" x14ac:dyDescent="0.3">
      <c r="A708" s="8"/>
      <c r="B708" s="9"/>
      <c r="C708" s="9"/>
      <c r="D708" s="9"/>
      <c r="E708" s="9"/>
      <c r="F708" s="9"/>
      <c r="G708" s="9"/>
      <c r="H708" s="9"/>
      <c r="I708" s="1"/>
      <c r="J708" s="1"/>
      <c r="K708" s="1"/>
      <c r="L708" s="1"/>
      <c r="M708" s="1"/>
    </row>
    <row r="709" spans="1:13" ht="90" customHeight="1" x14ac:dyDescent="0.3">
      <c r="A709" s="8"/>
      <c r="B709" s="9"/>
      <c r="C709" s="9"/>
      <c r="D709" s="9"/>
      <c r="E709" s="9"/>
      <c r="F709" s="9"/>
      <c r="G709" s="9"/>
      <c r="H709" s="9"/>
      <c r="I709" s="1"/>
      <c r="J709" s="1"/>
      <c r="K709" s="1"/>
      <c r="L709" s="1"/>
      <c r="M709" s="1"/>
    </row>
    <row r="710" spans="1:13" ht="90" customHeight="1" x14ac:dyDescent="0.3">
      <c r="A710" s="8"/>
      <c r="B710" s="9"/>
      <c r="C710" s="9"/>
      <c r="D710" s="9"/>
      <c r="E710" s="9"/>
      <c r="F710" s="9"/>
      <c r="G710" s="9"/>
      <c r="H710" s="9"/>
      <c r="I710" s="1"/>
      <c r="J710" s="1"/>
      <c r="K710" s="1"/>
      <c r="L710" s="1"/>
      <c r="M710" s="1"/>
    </row>
    <row r="711" spans="1:13" ht="90" customHeight="1" x14ac:dyDescent="0.3">
      <c r="A711" s="8"/>
      <c r="B711" s="9"/>
      <c r="C711" s="9"/>
      <c r="D711" s="9"/>
      <c r="E711" s="9"/>
      <c r="F711" s="9"/>
      <c r="G711" s="9"/>
      <c r="H711" s="9"/>
      <c r="I711" s="1"/>
      <c r="J711" s="1"/>
      <c r="K711" s="1"/>
      <c r="L711" s="1"/>
      <c r="M711" s="1"/>
    </row>
    <row r="712" spans="1:13" ht="90" customHeight="1" x14ac:dyDescent="0.3">
      <c r="A712" s="8">
        <v>255</v>
      </c>
      <c r="B712" s="8" t="s">
        <v>859</v>
      </c>
      <c r="C712" s="8" t="s">
        <v>131</v>
      </c>
      <c r="D712" s="8" t="s">
        <v>860</v>
      </c>
      <c r="E712" s="10" t="s">
        <v>24</v>
      </c>
      <c r="F712" s="10" t="s">
        <v>25</v>
      </c>
      <c r="G712" s="8" t="s">
        <v>861</v>
      </c>
      <c r="H712" s="8" t="s">
        <v>862</v>
      </c>
      <c r="I712" s="4" t="s">
        <v>863</v>
      </c>
      <c r="J712" s="4">
        <v>0.9875105619430542</v>
      </c>
      <c r="K712" s="4" t="s">
        <v>29</v>
      </c>
      <c r="L712" s="4" t="s">
        <v>131</v>
      </c>
      <c r="M712" s="4">
        <v>604</v>
      </c>
    </row>
    <row r="713" spans="1:13" ht="90" customHeight="1" x14ac:dyDescent="0.3">
      <c r="A713" s="8"/>
      <c r="B713" s="9"/>
      <c r="C713" s="9"/>
      <c r="D713" s="9"/>
      <c r="E713" s="9"/>
      <c r="F713" s="9"/>
      <c r="G713" s="9"/>
      <c r="H713" s="9"/>
      <c r="I713" s="4" t="s">
        <v>864</v>
      </c>
      <c r="J713" s="4">
        <v>0.94106441736221313</v>
      </c>
      <c r="K713" s="4" t="s">
        <v>29</v>
      </c>
      <c r="L713" s="4" t="s">
        <v>131</v>
      </c>
      <c r="M713" s="4">
        <v>605</v>
      </c>
    </row>
    <row r="714" spans="1:13" ht="90" customHeight="1" x14ac:dyDescent="0.3">
      <c r="A714" s="8"/>
      <c r="B714" s="9"/>
      <c r="C714" s="9"/>
      <c r="D714" s="9"/>
      <c r="E714" s="9"/>
      <c r="F714" s="9"/>
      <c r="G714" s="9"/>
      <c r="H714" s="9"/>
      <c r="I714" s="2" t="s">
        <v>865</v>
      </c>
      <c r="J714" s="2">
        <v>0.88015633821487427</v>
      </c>
      <c r="K714" s="2" t="s">
        <v>29</v>
      </c>
      <c r="L714" s="2" t="s">
        <v>866</v>
      </c>
      <c r="M714" s="2">
        <v>22</v>
      </c>
    </row>
    <row r="715" spans="1:13" ht="90" customHeight="1" x14ac:dyDescent="0.3">
      <c r="A715" s="8"/>
      <c r="B715" s="9"/>
      <c r="C715" s="9"/>
      <c r="D715" s="9"/>
      <c r="E715" s="9"/>
      <c r="F715" s="9"/>
      <c r="G715" s="9"/>
      <c r="H715" s="9"/>
      <c r="I715" s="1"/>
      <c r="J715" s="1"/>
      <c r="K715" s="1"/>
      <c r="L715" s="1"/>
      <c r="M715" s="1"/>
    </row>
    <row r="716" spans="1:13" ht="90" customHeight="1" x14ac:dyDescent="0.3">
      <c r="A716" s="8"/>
      <c r="B716" s="9"/>
      <c r="C716" s="9"/>
      <c r="D716" s="9"/>
      <c r="E716" s="9"/>
      <c r="F716" s="9"/>
      <c r="G716" s="9"/>
      <c r="H716" s="9"/>
      <c r="I716" s="1"/>
      <c r="J716" s="1"/>
      <c r="K716" s="1"/>
      <c r="L716" s="1"/>
      <c r="M716" s="1"/>
    </row>
    <row r="717" spans="1:13" ht="90" customHeight="1" x14ac:dyDescent="0.3">
      <c r="A717" s="8">
        <v>256</v>
      </c>
      <c r="B717" s="8" t="s">
        <v>867</v>
      </c>
      <c r="C717" s="8" t="s">
        <v>22</v>
      </c>
      <c r="D717" s="8" t="s">
        <v>868</v>
      </c>
      <c r="E717" s="10" t="s">
        <v>24</v>
      </c>
      <c r="F717" s="10" t="s">
        <v>25</v>
      </c>
      <c r="G717" s="8" t="s">
        <v>869</v>
      </c>
      <c r="H717" s="8" t="s">
        <v>870</v>
      </c>
      <c r="I717" s="4" t="s">
        <v>871</v>
      </c>
      <c r="J717" s="4">
        <v>0.99975842237472534</v>
      </c>
      <c r="K717" s="4" t="s">
        <v>29</v>
      </c>
      <c r="L717" s="4" t="s">
        <v>22</v>
      </c>
      <c r="M717" s="4">
        <v>24</v>
      </c>
    </row>
    <row r="718" spans="1:13" ht="90" customHeight="1" x14ac:dyDescent="0.3">
      <c r="A718" s="8"/>
      <c r="B718" s="9"/>
      <c r="C718" s="9"/>
      <c r="D718" s="9"/>
      <c r="E718" s="9"/>
      <c r="F718" s="9"/>
      <c r="G718" s="9"/>
      <c r="H718" s="9"/>
      <c r="I718" s="4" t="s">
        <v>872</v>
      </c>
      <c r="J718" s="4">
        <v>0.99971693754196167</v>
      </c>
      <c r="K718" s="4" t="s">
        <v>29</v>
      </c>
      <c r="L718" s="4" t="s">
        <v>22</v>
      </c>
      <c r="M718" s="4">
        <v>23</v>
      </c>
    </row>
    <row r="719" spans="1:13" ht="90" customHeight="1" x14ac:dyDescent="0.3">
      <c r="A719" s="8"/>
      <c r="B719" s="9"/>
      <c r="C719" s="9"/>
      <c r="D719" s="9"/>
      <c r="E719" s="9"/>
      <c r="F719" s="9"/>
      <c r="G719" s="9"/>
      <c r="H719" s="9"/>
      <c r="I719" s="4" t="s">
        <v>873</v>
      </c>
      <c r="J719" s="4">
        <v>0.99946719408035278</v>
      </c>
      <c r="K719" s="4" t="s">
        <v>29</v>
      </c>
      <c r="L719" s="4" t="s">
        <v>22</v>
      </c>
      <c r="M719" s="4">
        <v>25</v>
      </c>
    </row>
    <row r="720" spans="1:13" ht="90" customHeight="1" x14ac:dyDescent="0.3">
      <c r="A720" s="8"/>
      <c r="B720" s="9"/>
      <c r="C720" s="9"/>
      <c r="D720" s="9"/>
      <c r="E720" s="9"/>
      <c r="F720" s="9"/>
      <c r="G720" s="9"/>
      <c r="H720" s="9"/>
      <c r="I720" s="5" t="s">
        <v>874</v>
      </c>
      <c r="J720" s="5">
        <v>0.99920052289962769</v>
      </c>
      <c r="K720" s="5" t="s">
        <v>29</v>
      </c>
      <c r="L720" s="5" t="s">
        <v>22</v>
      </c>
      <c r="M720" s="5">
        <v>22</v>
      </c>
    </row>
    <row r="721" spans="1:13" ht="90" customHeight="1" x14ac:dyDescent="0.3">
      <c r="A721" s="8"/>
      <c r="B721" s="9"/>
      <c r="C721" s="9"/>
      <c r="D721" s="9"/>
      <c r="E721" s="9"/>
      <c r="F721" s="9"/>
      <c r="G721" s="9"/>
      <c r="H721" s="9"/>
      <c r="I721" s="1"/>
      <c r="J721" s="1"/>
      <c r="K721" s="1"/>
      <c r="L721" s="1"/>
      <c r="M721" s="1"/>
    </row>
    <row r="722" spans="1:13" ht="90" customHeight="1" x14ac:dyDescent="0.3">
      <c r="A722" s="8">
        <v>259</v>
      </c>
      <c r="B722" s="8" t="s">
        <v>875</v>
      </c>
      <c r="C722" s="8" t="s">
        <v>876</v>
      </c>
      <c r="D722" s="8" t="s">
        <v>481</v>
      </c>
      <c r="E722" s="10" t="s">
        <v>24</v>
      </c>
      <c r="F722" s="10" t="s">
        <v>25</v>
      </c>
      <c r="G722" s="8" t="s">
        <v>877</v>
      </c>
      <c r="H722" s="8" t="s">
        <v>878</v>
      </c>
      <c r="I722" s="4" t="s">
        <v>879</v>
      </c>
      <c r="J722" s="4">
        <v>0.99999189376831055</v>
      </c>
      <c r="K722" s="4" t="s">
        <v>29</v>
      </c>
      <c r="L722" s="4" t="s">
        <v>876</v>
      </c>
      <c r="M722" s="4">
        <v>2</v>
      </c>
    </row>
    <row r="723" spans="1:13" ht="90" customHeight="1" x14ac:dyDescent="0.3">
      <c r="A723" s="8"/>
      <c r="B723" s="9"/>
      <c r="C723" s="9"/>
      <c r="D723" s="9"/>
      <c r="E723" s="9"/>
      <c r="F723" s="9"/>
      <c r="G723" s="9"/>
      <c r="H723" s="9"/>
      <c r="I723" s="4" t="s">
        <v>880</v>
      </c>
      <c r="J723" s="4">
        <v>0.99992060661315918</v>
      </c>
      <c r="K723" s="4" t="s">
        <v>29</v>
      </c>
      <c r="L723" s="4" t="s">
        <v>876</v>
      </c>
      <c r="M723" s="4">
        <v>1</v>
      </c>
    </row>
    <row r="724" spans="1:13" ht="90" customHeight="1" x14ac:dyDescent="0.3">
      <c r="A724" s="8"/>
      <c r="B724" s="9"/>
      <c r="C724" s="9"/>
      <c r="D724" s="9"/>
      <c r="E724" s="9"/>
      <c r="F724" s="9"/>
      <c r="G724" s="9"/>
      <c r="H724" s="9"/>
      <c r="I724" s="1" t="s">
        <v>881</v>
      </c>
      <c r="J724" s="1">
        <v>0.85951095819473267</v>
      </c>
      <c r="K724" s="1" t="s">
        <v>29</v>
      </c>
      <c r="L724" s="1" t="s">
        <v>772</v>
      </c>
      <c r="M724" s="1">
        <v>47</v>
      </c>
    </row>
    <row r="725" spans="1:13" ht="90" customHeight="1" x14ac:dyDescent="0.3">
      <c r="A725" s="8"/>
      <c r="B725" s="9"/>
      <c r="C725" s="9"/>
      <c r="D725" s="9"/>
      <c r="E725" s="9"/>
      <c r="F725" s="9"/>
      <c r="G725" s="9"/>
      <c r="H725" s="9"/>
      <c r="I725" s="1" t="s">
        <v>882</v>
      </c>
      <c r="J725" s="1">
        <v>0.82138663530349731</v>
      </c>
      <c r="K725" s="1" t="s">
        <v>29</v>
      </c>
      <c r="L725" s="1" t="s">
        <v>772</v>
      </c>
      <c r="M725" s="1">
        <v>185</v>
      </c>
    </row>
    <row r="726" spans="1:13" ht="90" customHeight="1" x14ac:dyDescent="0.3">
      <c r="A726" s="8"/>
      <c r="B726" s="9"/>
      <c r="C726" s="9"/>
      <c r="D726" s="9"/>
      <c r="E726" s="9"/>
      <c r="F726" s="9"/>
      <c r="G726" s="9"/>
      <c r="H726" s="9"/>
      <c r="I726" s="1" t="s">
        <v>883</v>
      </c>
      <c r="J726" s="1">
        <v>0.79027789831161499</v>
      </c>
      <c r="K726" s="1" t="s">
        <v>29</v>
      </c>
      <c r="L726" s="1" t="s">
        <v>772</v>
      </c>
      <c r="M726" s="1">
        <v>34</v>
      </c>
    </row>
    <row r="727" spans="1:13" ht="90" customHeight="1" x14ac:dyDescent="0.3">
      <c r="A727" s="8">
        <v>260</v>
      </c>
      <c r="B727" s="8" t="s">
        <v>884</v>
      </c>
      <c r="C727" s="8" t="s">
        <v>77</v>
      </c>
      <c r="D727" s="8" t="s">
        <v>114</v>
      </c>
      <c r="E727" s="10" t="s">
        <v>24</v>
      </c>
      <c r="F727" s="10" t="s">
        <v>25</v>
      </c>
      <c r="G727" s="8" t="s">
        <v>885</v>
      </c>
      <c r="H727" s="8" t="s">
        <v>886</v>
      </c>
      <c r="I727" s="4" t="s">
        <v>268</v>
      </c>
      <c r="J727" s="4">
        <v>0.99991929531097412</v>
      </c>
      <c r="K727" s="4" t="s">
        <v>29</v>
      </c>
      <c r="L727" s="4" t="s">
        <v>77</v>
      </c>
      <c r="M727" s="4">
        <v>2</v>
      </c>
    </row>
    <row r="728" spans="1:13" ht="90" customHeight="1" x14ac:dyDescent="0.3">
      <c r="A728" s="8"/>
      <c r="B728" s="9"/>
      <c r="C728" s="9"/>
      <c r="D728" s="9"/>
      <c r="E728" s="9"/>
      <c r="F728" s="9"/>
      <c r="G728" s="9"/>
      <c r="H728" s="9"/>
      <c r="I728" s="1"/>
      <c r="J728" s="1"/>
      <c r="K728" s="1"/>
      <c r="L728" s="1"/>
      <c r="M728" s="1"/>
    </row>
    <row r="729" spans="1:13" ht="90" customHeight="1" x14ac:dyDescent="0.3">
      <c r="A729" s="8"/>
      <c r="B729" s="9"/>
      <c r="C729" s="9"/>
      <c r="D729" s="9"/>
      <c r="E729" s="9"/>
      <c r="F729" s="9"/>
      <c r="G729" s="9"/>
      <c r="H729" s="9"/>
      <c r="I729" s="1"/>
      <c r="J729" s="1"/>
      <c r="K729" s="1"/>
      <c r="L729" s="1"/>
      <c r="M729" s="1"/>
    </row>
    <row r="730" spans="1:13" ht="90" customHeight="1" x14ac:dyDescent="0.3">
      <c r="A730" s="8"/>
      <c r="B730" s="9"/>
      <c r="C730" s="9"/>
      <c r="D730" s="9"/>
      <c r="E730" s="9"/>
      <c r="F730" s="9"/>
      <c r="G730" s="9"/>
      <c r="H730" s="9"/>
      <c r="I730" s="1"/>
      <c r="J730" s="1"/>
      <c r="K730" s="1"/>
      <c r="L730" s="1"/>
      <c r="M730" s="1"/>
    </row>
    <row r="731" spans="1:13" ht="90" customHeight="1" x14ac:dyDescent="0.3">
      <c r="A731" s="8"/>
      <c r="B731" s="9"/>
      <c r="C731" s="9"/>
      <c r="D731" s="9"/>
      <c r="E731" s="9"/>
      <c r="F731" s="9"/>
      <c r="G731" s="9"/>
      <c r="H731" s="9"/>
      <c r="I731" s="1"/>
      <c r="J731" s="1"/>
      <c r="K731" s="1"/>
      <c r="L731" s="1"/>
      <c r="M731" s="1"/>
    </row>
    <row r="732" spans="1:13" ht="90" customHeight="1" x14ac:dyDescent="0.3">
      <c r="A732" s="8">
        <v>262</v>
      </c>
      <c r="B732" s="8" t="s">
        <v>887</v>
      </c>
      <c r="C732" s="8" t="s">
        <v>525</v>
      </c>
      <c r="D732" s="8" t="s">
        <v>16</v>
      </c>
      <c r="E732" s="10" t="s">
        <v>24</v>
      </c>
      <c r="F732" s="10" t="s">
        <v>25</v>
      </c>
      <c r="G732" s="8" t="s">
        <v>888</v>
      </c>
      <c r="H732" s="8" t="s">
        <v>889</v>
      </c>
      <c r="I732" s="4" t="s">
        <v>675</v>
      </c>
      <c r="J732" s="4">
        <v>0.99904710054397583</v>
      </c>
      <c r="K732" s="4" t="s">
        <v>29</v>
      </c>
      <c r="L732" s="4" t="s">
        <v>525</v>
      </c>
      <c r="M732" s="4">
        <v>1</v>
      </c>
    </row>
    <row r="733" spans="1:13" ht="90" customHeight="1" x14ac:dyDescent="0.3">
      <c r="A733" s="8"/>
      <c r="B733" s="9"/>
      <c r="C733" s="9"/>
      <c r="D733" s="9"/>
      <c r="E733" s="9"/>
      <c r="F733" s="9"/>
      <c r="G733" s="9"/>
      <c r="H733" s="9"/>
      <c r="I733" s="1"/>
      <c r="J733" s="1"/>
      <c r="K733" s="1"/>
      <c r="L733" s="1"/>
      <c r="M733" s="1"/>
    </row>
    <row r="734" spans="1:13" ht="90" customHeight="1" x14ac:dyDescent="0.3">
      <c r="A734" s="8"/>
      <c r="B734" s="9"/>
      <c r="C734" s="9"/>
      <c r="D734" s="9"/>
      <c r="E734" s="9"/>
      <c r="F734" s="9"/>
      <c r="G734" s="9"/>
      <c r="H734" s="9"/>
      <c r="I734" s="1"/>
      <c r="J734" s="1"/>
      <c r="K734" s="1"/>
      <c r="L734" s="1"/>
      <c r="M734" s="1"/>
    </row>
    <row r="735" spans="1:13" ht="90" customHeight="1" x14ac:dyDescent="0.3">
      <c r="A735" s="8"/>
      <c r="B735" s="9"/>
      <c r="C735" s="9"/>
      <c r="D735" s="9"/>
      <c r="E735" s="9"/>
      <c r="F735" s="9"/>
      <c r="G735" s="9"/>
      <c r="H735" s="9"/>
      <c r="I735" s="1"/>
      <c r="J735" s="1"/>
      <c r="K735" s="1"/>
      <c r="L735" s="1"/>
      <c r="M735" s="1"/>
    </row>
    <row r="736" spans="1:13" ht="90" customHeight="1" x14ac:dyDescent="0.3">
      <c r="A736" s="8"/>
      <c r="B736" s="9"/>
      <c r="C736" s="9"/>
      <c r="D736" s="9"/>
      <c r="E736" s="9"/>
      <c r="F736" s="9"/>
      <c r="G736" s="9"/>
      <c r="H736" s="9"/>
      <c r="I736" s="1"/>
      <c r="J736" s="1"/>
      <c r="K736" s="1"/>
      <c r="L736" s="1"/>
      <c r="M736" s="1"/>
    </row>
    <row r="737" spans="1:13" ht="90" customHeight="1" x14ac:dyDescent="0.3">
      <c r="A737" s="8">
        <v>263</v>
      </c>
      <c r="B737" s="8" t="s">
        <v>890</v>
      </c>
      <c r="C737" s="8" t="s">
        <v>77</v>
      </c>
      <c r="D737" s="11" t="s">
        <v>1203</v>
      </c>
      <c r="E737" s="10" t="s">
        <v>1201</v>
      </c>
      <c r="F737" s="10" t="s">
        <v>1202</v>
      </c>
      <c r="G737" s="8" t="s">
        <v>892</v>
      </c>
      <c r="H737" s="8" t="s">
        <v>893</v>
      </c>
      <c r="I737" s="2" t="s">
        <v>894</v>
      </c>
      <c r="J737" s="2">
        <v>0.93530546191943698</v>
      </c>
      <c r="K737" s="2" t="s">
        <v>29</v>
      </c>
      <c r="L737" s="2" t="s">
        <v>895</v>
      </c>
      <c r="M737" s="2">
        <v>14</v>
      </c>
    </row>
    <row r="738" spans="1:13" ht="90" customHeight="1" x14ac:dyDescent="0.3">
      <c r="A738" s="8"/>
      <c r="B738" s="9"/>
      <c r="C738" s="9"/>
      <c r="D738" s="9"/>
      <c r="E738" s="9"/>
      <c r="F738" s="9"/>
      <c r="G738" s="9"/>
      <c r="H738" s="9"/>
      <c r="I738" s="6" t="s">
        <v>896</v>
      </c>
      <c r="J738" s="6">
        <v>0.91988509893417358</v>
      </c>
      <c r="K738" s="6" t="s">
        <v>29</v>
      </c>
      <c r="L738" s="6" t="s">
        <v>77</v>
      </c>
      <c r="M738" s="6">
        <v>9</v>
      </c>
    </row>
    <row r="739" spans="1:13" ht="90" customHeight="1" x14ac:dyDescent="0.3">
      <c r="A739" s="8"/>
      <c r="B739" s="9"/>
      <c r="C739" s="9"/>
      <c r="D739" s="9"/>
      <c r="E739" s="9"/>
      <c r="F739" s="9"/>
      <c r="G739" s="9"/>
      <c r="H739" s="9"/>
      <c r="I739" s="2" t="s">
        <v>897</v>
      </c>
      <c r="J739" s="2">
        <v>0.86519419068109626</v>
      </c>
      <c r="K739" s="2" t="s">
        <v>29</v>
      </c>
      <c r="L739" s="2" t="s">
        <v>895</v>
      </c>
      <c r="M739" s="2">
        <v>10</v>
      </c>
    </row>
    <row r="740" spans="1:13" ht="90" customHeight="1" x14ac:dyDescent="0.3">
      <c r="A740" s="8"/>
      <c r="B740" s="9"/>
      <c r="C740" s="9"/>
      <c r="D740" s="9"/>
      <c r="E740" s="9"/>
      <c r="F740" s="9"/>
      <c r="G740" s="9"/>
      <c r="H740" s="9"/>
      <c r="I740" s="1" t="s">
        <v>898</v>
      </c>
      <c r="J740" s="1">
        <v>0.8550924613795291</v>
      </c>
      <c r="K740" s="1" t="s">
        <v>29</v>
      </c>
      <c r="L740" s="1" t="s">
        <v>895</v>
      </c>
      <c r="M740" s="1">
        <v>12</v>
      </c>
    </row>
    <row r="741" spans="1:13" ht="90" customHeight="1" x14ac:dyDescent="0.3">
      <c r="A741" s="8"/>
      <c r="B741" s="9"/>
      <c r="C741" s="9"/>
      <c r="D741" s="9"/>
      <c r="E741" s="9"/>
      <c r="F741" s="9"/>
      <c r="G741" s="9"/>
      <c r="H741" s="9"/>
      <c r="I741" s="1" t="s">
        <v>899</v>
      </c>
      <c r="J741" s="1">
        <v>0.73300100814292402</v>
      </c>
      <c r="K741" s="1" t="s">
        <v>29</v>
      </c>
      <c r="L741" s="1" t="s">
        <v>900</v>
      </c>
      <c r="M741" s="1">
        <v>13</v>
      </c>
    </row>
    <row r="742" spans="1:13" ht="90" customHeight="1" x14ac:dyDescent="0.3">
      <c r="A742" s="8">
        <v>264</v>
      </c>
      <c r="B742" s="8" t="s">
        <v>901</v>
      </c>
      <c r="C742" s="8" t="s">
        <v>304</v>
      </c>
      <c r="D742" s="8" t="s">
        <v>78</v>
      </c>
      <c r="E742" s="10" t="s">
        <v>24</v>
      </c>
      <c r="F742" s="10" t="s">
        <v>25</v>
      </c>
      <c r="G742" s="8" t="s">
        <v>902</v>
      </c>
      <c r="H742" s="8" t="s">
        <v>903</v>
      </c>
      <c r="I742" s="4" t="s">
        <v>904</v>
      </c>
      <c r="J742" s="4">
        <v>0.99827408790588379</v>
      </c>
      <c r="K742" s="4" t="s">
        <v>29</v>
      </c>
      <c r="L742" s="4" t="s">
        <v>304</v>
      </c>
      <c r="M742" s="4">
        <v>4</v>
      </c>
    </row>
    <row r="743" spans="1:13" ht="90" customHeight="1" x14ac:dyDescent="0.3">
      <c r="A743" s="8"/>
      <c r="B743" s="9"/>
      <c r="C743" s="9"/>
      <c r="D743" s="9"/>
      <c r="E743" s="9"/>
      <c r="F743" s="9"/>
      <c r="G743" s="9"/>
      <c r="H743" s="9"/>
      <c r="I743" s="1" t="s">
        <v>683</v>
      </c>
      <c r="J743" s="1">
        <v>0.96621221303939819</v>
      </c>
      <c r="K743" s="1" t="s">
        <v>29</v>
      </c>
      <c r="L743" s="1" t="s">
        <v>209</v>
      </c>
      <c r="M743" s="1">
        <v>45</v>
      </c>
    </row>
    <row r="744" spans="1:13" ht="90" customHeight="1" x14ac:dyDescent="0.3">
      <c r="A744" s="8"/>
      <c r="B744" s="9"/>
      <c r="C744" s="9"/>
      <c r="D744" s="9"/>
      <c r="E744" s="9"/>
      <c r="F744" s="9"/>
      <c r="G744" s="9"/>
      <c r="H744" s="9"/>
      <c r="I744" s="1"/>
      <c r="J744" s="1"/>
      <c r="K744" s="1"/>
      <c r="L744" s="1"/>
      <c r="M744" s="1"/>
    </row>
    <row r="745" spans="1:13" ht="90" customHeight="1" x14ac:dyDescent="0.3">
      <c r="A745" s="8"/>
      <c r="B745" s="9"/>
      <c r="C745" s="9"/>
      <c r="D745" s="9"/>
      <c r="E745" s="9"/>
      <c r="F745" s="9"/>
      <c r="G745" s="9"/>
      <c r="H745" s="9"/>
      <c r="I745" s="1"/>
      <c r="J745" s="1"/>
      <c r="K745" s="1"/>
      <c r="L745" s="1"/>
      <c r="M745" s="1"/>
    </row>
    <row r="746" spans="1:13" ht="90" customHeight="1" x14ac:dyDescent="0.3">
      <c r="A746" s="8"/>
      <c r="B746" s="9"/>
      <c r="C746" s="9"/>
      <c r="D746" s="9"/>
      <c r="E746" s="9"/>
      <c r="F746" s="9"/>
      <c r="G746" s="9"/>
      <c r="H746" s="9"/>
      <c r="I746" s="1"/>
      <c r="J746" s="1"/>
      <c r="K746" s="1"/>
      <c r="L746" s="1"/>
      <c r="M746" s="1"/>
    </row>
    <row r="747" spans="1:13" ht="90" customHeight="1" x14ac:dyDescent="0.3">
      <c r="A747" s="8">
        <v>265</v>
      </c>
      <c r="B747" s="8" t="s">
        <v>905</v>
      </c>
      <c r="C747" s="8" t="s">
        <v>119</v>
      </c>
      <c r="D747" s="8" t="s">
        <v>236</v>
      </c>
      <c r="E747" s="10" t="s">
        <v>24</v>
      </c>
      <c r="F747" s="10" t="s">
        <v>25</v>
      </c>
      <c r="G747" s="8" t="s">
        <v>906</v>
      </c>
      <c r="H747" s="8" t="s">
        <v>907</v>
      </c>
      <c r="I747" s="4" t="s">
        <v>274</v>
      </c>
      <c r="J747" s="4">
        <v>0.99502485990524292</v>
      </c>
      <c r="K747" s="4" t="s">
        <v>29</v>
      </c>
      <c r="L747" s="4" t="s">
        <v>119</v>
      </c>
      <c r="M747" s="4">
        <v>7</v>
      </c>
    </row>
    <row r="748" spans="1:13" ht="90" customHeight="1" x14ac:dyDescent="0.3">
      <c r="A748" s="8"/>
      <c r="B748" s="9"/>
      <c r="C748" s="9"/>
      <c r="D748" s="9"/>
      <c r="E748" s="9"/>
      <c r="F748" s="9"/>
      <c r="G748" s="9"/>
      <c r="H748" s="9"/>
      <c r="I748" s="1" t="s">
        <v>633</v>
      </c>
      <c r="J748" s="1">
        <v>0.95668637752532959</v>
      </c>
      <c r="K748" s="1" t="s">
        <v>29</v>
      </c>
      <c r="L748" s="1" t="s">
        <v>634</v>
      </c>
      <c r="M748" s="1">
        <v>1</v>
      </c>
    </row>
    <row r="749" spans="1:13" ht="90" customHeight="1" x14ac:dyDescent="0.3">
      <c r="A749" s="8"/>
      <c r="B749" s="9"/>
      <c r="C749" s="9"/>
      <c r="D749" s="9"/>
      <c r="E749" s="9"/>
      <c r="F749" s="9"/>
      <c r="G749" s="9"/>
      <c r="H749" s="9"/>
      <c r="I749" s="1"/>
      <c r="J749" s="1"/>
      <c r="K749" s="1"/>
      <c r="L749" s="1"/>
      <c r="M749" s="1"/>
    </row>
    <row r="750" spans="1:13" ht="90" customHeight="1" x14ac:dyDescent="0.3">
      <c r="A750" s="8"/>
      <c r="B750" s="9"/>
      <c r="C750" s="9"/>
      <c r="D750" s="9"/>
      <c r="E750" s="9"/>
      <c r="F750" s="9"/>
      <c r="G750" s="9"/>
      <c r="H750" s="9"/>
      <c r="I750" s="1"/>
      <c r="J750" s="1"/>
      <c r="K750" s="1"/>
      <c r="L750" s="1"/>
      <c r="M750" s="1"/>
    </row>
    <row r="751" spans="1:13" ht="90" customHeight="1" x14ac:dyDescent="0.3">
      <c r="A751" s="8"/>
      <c r="B751" s="9"/>
      <c r="C751" s="9"/>
      <c r="D751" s="9"/>
      <c r="E751" s="9"/>
      <c r="F751" s="9"/>
      <c r="G751" s="9"/>
      <c r="H751" s="9"/>
      <c r="I751" s="1"/>
      <c r="J751" s="1"/>
      <c r="K751" s="1"/>
      <c r="L751" s="1"/>
      <c r="M751" s="1"/>
    </row>
    <row r="752" spans="1:13" ht="90" customHeight="1" x14ac:dyDescent="0.3">
      <c r="A752" s="8">
        <v>266</v>
      </c>
      <c r="B752" s="8" t="s">
        <v>908</v>
      </c>
      <c r="C752" s="8" t="s">
        <v>119</v>
      </c>
      <c r="D752" s="8" t="s">
        <v>236</v>
      </c>
      <c r="E752" s="10" t="s">
        <v>24</v>
      </c>
      <c r="F752" s="10" t="s">
        <v>25</v>
      </c>
      <c r="G752" s="8" t="s">
        <v>909</v>
      </c>
      <c r="H752" s="8" t="s">
        <v>910</v>
      </c>
      <c r="I752" s="4" t="s">
        <v>274</v>
      </c>
      <c r="J752" s="4">
        <v>0.91646605730056763</v>
      </c>
      <c r="K752" s="4" t="s">
        <v>29</v>
      </c>
      <c r="L752" s="4" t="s">
        <v>119</v>
      </c>
      <c r="M752" s="4">
        <v>7</v>
      </c>
    </row>
    <row r="753" spans="1:13" ht="90" customHeight="1" x14ac:dyDescent="0.3">
      <c r="A753" s="8"/>
      <c r="B753" s="9"/>
      <c r="C753" s="9"/>
      <c r="D753" s="9"/>
      <c r="E753" s="9"/>
      <c r="F753" s="9"/>
      <c r="G753" s="9"/>
      <c r="H753" s="9"/>
      <c r="I753" s="1"/>
      <c r="J753" s="1"/>
      <c r="K753" s="1"/>
      <c r="L753" s="1"/>
      <c r="M753" s="1"/>
    </row>
    <row r="754" spans="1:13" ht="90" customHeight="1" x14ac:dyDescent="0.3">
      <c r="A754" s="8"/>
      <c r="B754" s="9"/>
      <c r="C754" s="9"/>
      <c r="D754" s="9"/>
      <c r="E754" s="9"/>
      <c r="F754" s="9"/>
      <c r="G754" s="9"/>
      <c r="H754" s="9"/>
      <c r="I754" s="1"/>
      <c r="J754" s="1"/>
      <c r="K754" s="1"/>
      <c r="L754" s="1"/>
      <c r="M754" s="1"/>
    </row>
    <row r="755" spans="1:13" ht="90" customHeight="1" x14ac:dyDescent="0.3">
      <c r="A755" s="8"/>
      <c r="B755" s="9"/>
      <c r="C755" s="9"/>
      <c r="D755" s="9"/>
      <c r="E755" s="9"/>
      <c r="F755" s="9"/>
      <c r="G755" s="9"/>
      <c r="H755" s="9"/>
      <c r="I755" s="1"/>
      <c r="J755" s="1"/>
      <c r="K755" s="1"/>
      <c r="L755" s="1"/>
      <c r="M755" s="1"/>
    </row>
    <row r="756" spans="1:13" ht="90" customHeight="1" x14ac:dyDescent="0.3">
      <c r="A756" s="8"/>
      <c r="B756" s="9"/>
      <c r="C756" s="9"/>
      <c r="D756" s="9"/>
      <c r="E756" s="9"/>
      <c r="F756" s="9"/>
      <c r="G756" s="9"/>
      <c r="H756" s="9"/>
      <c r="I756" s="1"/>
      <c r="J756" s="1"/>
      <c r="K756" s="1"/>
      <c r="L756" s="1"/>
      <c r="M756" s="1"/>
    </row>
    <row r="757" spans="1:13" ht="90" customHeight="1" x14ac:dyDescent="0.3">
      <c r="A757" s="8">
        <v>267</v>
      </c>
      <c r="B757" s="8" t="s">
        <v>911</v>
      </c>
      <c r="C757" s="8" t="s">
        <v>293</v>
      </c>
      <c r="D757" s="8" t="s">
        <v>518</v>
      </c>
      <c r="E757" s="10" t="s">
        <v>24</v>
      </c>
      <c r="F757" s="10" t="s">
        <v>25</v>
      </c>
      <c r="G757" s="8" t="s">
        <v>912</v>
      </c>
      <c r="H757" s="8" t="s">
        <v>913</v>
      </c>
      <c r="I757" s="4" t="s">
        <v>391</v>
      </c>
      <c r="J757" s="4">
        <v>0.99707746505737305</v>
      </c>
      <c r="K757" s="4" t="s">
        <v>29</v>
      </c>
      <c r="L757" s="4" t="s">
        <v>293</v>
      </c>
      <c r="M757" s="4">
        <v>2</v>
      </c>
    </row>
    <row r="758" spans="1:13" ht="90" customHeight="1" x14ac:dyDescent="0.3">
      <c r="A758" s="8"/>
      <c r="B758" s="9"/>
      <c r="C758" s="9"/>
      <c r="D758" s="9"/>
      <c r="E758" s="9"/>
      <c r="F758" s="9"/>
      <c r="G758" s="9"/>
      <c r="H758" s="9"/>
      <c r="I758" s="4" t="s">
        <v>296</v>
      </c>
      <c r="J758" s="4">
        <v>0.99312043190002441</v>
      </c>
      <c r="K758" s="4" t="s">
        <v>29</v>
      </c>
      <c r="L758" s="4" t="s">
        <v>293</v>
      </c>
      <c r="M758" s="4">
        <v>4</v>
      </c>
    </row>
    <row r="759" spans="1:13" ht="90" customHeight="1" x14ac:dyDescent="0.3">
      <c r="A759" s="8"/>
      <c r="B759" s="9"/>
      <c r="C759" s="9"/>
      <c r="D759" s="9"/>
      <c r="E759" s="9"/>
      <c r="F759" s="9"/>
      <c r="G759" s="9"/>
      <c r="H759" s="9"/>
      <c r="I759" s="4" t="s">
        <v>392</v>
      </c>
      <c r="J759" s="4">
        <v>0.99205243587493896</v>
      </c>
      <c r="K759" s="4" t="s">
        <v>29</v>
      </c>
      <c r="L759" s="4" t="s">
        <v>293</v>
      </c>
      <c r="M759" s="4">
        <v>3</v>
      </c>
    </row>
    <row r="760" spans="1:13" ht="90" customHeight="1" x14ac:dyDescent="0.3">
      <c r="A760" s="8"/>
      <c r="B760" s="9"/>
      <c r="C760" s="9"/>
      <c r="D760" s="9"/>
      <c r="E760" s="9"/>
      <c r="F760" s="9"/>
      <c r="G760" s="9"/>
      <c r="H760" s="9"/>
      <c r="I760" s="1" t="s">
        <v>393</v>
      </c>
      <c r="J760" s="1">
        <v>0.98010396957397461</v>
      </c>
      <c r="K760" s="1" t="s">
        <v>29</v>
      </c>
      <c r="L760" s="1" t="s">
        <v>394</v>
      </c>
      <c r="M760" s="1">
        <v>3</v>
      </c>
    </row>
    <row r="761" spans="1:13" ht="90" customHeight="1" x14ac:dyDescent="0.3">
      <c r="A761" s="8"/>
      <c r="B761" s="9"/>
      <c r="C761" s="9"/>
      <c r="D761" s="9"/>
      <c r="E761" s="9"/>
      <c r="F761" s="9"/>
      <c r="G761" s="9"/>
      <c r="H761" s="9"/>
      <c r="I761" s="1" t="s">
        <v>395</v>
      </c>
      <c r="J761" s="1">
        <v>0.9799647331237793</v>
      </c>
      <c r="K761" s="1" t="s">
        <v>29</v>
      </c>
      <c r="L761" s="1" t="s">
        <v>396</v>
      </c>
      <c r="M761" s="1">
        <v>27</v>
      </c>
    </row>
    <row r="762" spans="1:13" ht="90" customHeight="1" x14ac:dyDescent="0.3">
      <c r="A762" s="8">
        <v>268</v>
      </c>
      <c r="B762" s="8" t="s">
        <v>914</v>
      </c>
      <c r="C762" s="8" t="s">
        <v>915</v>
      </c>
      <c r="D762" s="8" t="s">
        <v>916</v>
      </c>
      <c r="E762" s="10" t="s">
        <v>17</v>
      </c>
      <c r="F762" s="10" t="s">
        <v>18</v>
      </c>
      <c r="G762" s="8" t="s">
        <v>917</v>
      </c>
      <c r="H762" s="8" t="s">
        <v>918</v>
      </c>
      <c r="I762" s="2" t="s">
        <v>919</v>
      </c>
      <c r="J762" s="2">
        <v>0.84056174755096436</v>
      </c>
      <c r="K762" s="2" t="s">
        <v>29</v>
      </c>
      <c r="L762" s="2" t="s">
        <v>432</v>
      </c>
      <c r="M762" s="2">
        <v>48</v>
      </c>
    </row>
    <row r="763" spans="1:13" ht="90" customHeight="1" x14ac:dyDescent="0.3">
      <c r="A763" s="8"/>
      <c r="B763" s="9"/>
      <c r="C763" s="9"/>
      <c r="D763" s="9"/>
      <c r="E763" s="9"/>
      <c r="F763" s="9"/>
      <c r="G763" s="9"/>
      <c r="H763" s="9"/>
      <c r="I763" s="1"/>
      <c r="J763" s="1"/>
      <c r="K763" s="1"/>
      <c r="L763" s="1"/>
      <c r="M763" s="1"/>
    </row>
    <row r="764" spans="1:13" ht="90" customHeight="1" x14ac:dyDescent="0.3">
      <c r="A764" s="8"/>
      <c r="B764" s="9"/>
      <c r="C764" s="9"/>
      <c r="D764" s="9"/>
      <c r="E764" s="9"/>
      <c r="F764" s="9"/>
      <c r="G764" s="9"/>
      <c r="H764" s="9"/>
      <c r="I764" s="1"/>
      <c r="J764" s="1"/>
      <c r="K764" s="1"/>
      <c r="L764" s="1"/>
      <c r="M764" s="1"/>
    </row>
    <row r="765" spans="1:13" ht="90" customHeight="1" x14ac:dyDescent="0.3">
      <c r="A765" s="8"/>
      <c r="B765" s="9"/>
      <c r="C765" s="9"/>
      <c r="D765" s="9"/>
      <c r="E765" s="9"/>
      <c r="F765" s="9"/>
      <c r="G765" s="9"/>
      <c r="H765" s="9"/>
      <c r="I765" s="1"/>
      <c r="J765" s="1"/>
      <c r="K765" s="1"/>
      <c r="L765" s="1"/>
      <c r="M765" s="1"/>
    </row>
    <row r="766" spans="1:13" ht="90" customHeight="1" x14ac:dyDescent="0.3">
      <c r="A766" s="8"/>
      <c r="B766" s="9"/>
      <c r="C766" s="9"/>
      <c r="D766" s="9"/>
      <c r="E766" s="9"/>
      <c r="F766" s="9"/>
      <c r="G766" s="9"/>
      <c r="H766" s="9"/>
      <c r="I766" s="1"/>
      <c r="J766" s="1"/>
      <c r="K766" s="1"/>
      <c r="L766" s="1"/>
      <c r="M766" s="1"/>
    </row>
    <row r="767" spans="1:13" ht="90" customHeight="1" x14ac:dyDescent="0.3">
      <c r="A767" s="8">
        <v>270</v>
      </c>
      <c r="B767" s="8" t="s">
        <v>920</v>
      </c>
      <c r="C767" s="8" t="s">
        <v>772</v>
      </c>
      <c r="D767" s="8" t="s">
        <v>921</v>
      </c>
      <c r="E767" s="10" t="s">
        <v>24</v>
      </c>
      <c r="F767" s="10" t="s">
        <v>25</v>
      </c>
      <c r="G767" s="8" t="s">
        <v>922</v>
      </c>
      <c r="H767" s="8" t="s">
        <v>923</v>
      </c>
      <c r="I767" s="4" t="s">
        <v>924</v>
      </c>
      <c r="J767" s="4">
        <v>0.99991989135742188</v>
      </c>
      <c r="K767" s="4" t="s">
        <v>29</v>
      </c>
      <c r="L767" s="4" t="s">
        <v>772</v>
      </c>
      <c r="M767" s="4">
        <v>238</v>
      </c>
    </row>
    <row r="768" spans="1:13" ht="90" customHeight="1" x14ac:dyDescent="0.3">
      <c r="A768" s="8"/>
      <c r="B768" s="9"/>
      <c r="C768" s="9"/>
      <c r="D768" s="9"/>
      <c r="E768" s="9"/>
      <c r="F768" s="9"/>
      <c r="G768" s="9"/>
      <c r="H768" s="9"/>
      <c r="I768" s="4" t="s">
        <v>925</v>
      </c>
      <c r="J768" s="4">
        <v>0.99989449977874756</v>
      </c>
      <c r="K768" s="4" t="s">
        <v>29</v>
      </c>
      <c r="L768" s="4" t="s">
        <v>772</v>
      </c>
      <c r="M768" s="4">
        <v>237</v>
      </c>
    </row>
    <row r="769" spans="1:13" ht="90" customHeight="1" x14ac:dyDescent="0.3">
      <c r="A769" s="8"/>
      <c r="B769" s="9"/>
      <c r="C769" s="9"/>
      <c r="D769" s="9"/>
      <c r="E769" s="9"/>
      <c r="F769" s="9"/>
      <c r="G769" s="9"/>
      <c r="H769" s="9"/>
      <c r="I769" s="4" t="s">
        <v>926</v>
      </c>
      <c r="J769" s="4">
        <v>0.99896860122680664</v>
      </c>
      <c r="K769" s="4" t="s">
        <v>29</v>
      </c>
      <c r="L769" s="4" t="s">
        <v>772</v>
      </c>
      <c r="M769" s="4">
        <v>236</v>
      </c>
    </row>
    <row r="770" spans="1:13" ht="90" customHeight="1" x14ac:dyDescent="0.3">
      <c r="A770" s="8"/>
      <c r="B770" s="9"/>
      <c r="C770" s="9"/>
      <c r="D770" s="9"/>
      <c r="E770" s="9"/>
      <c r="F770" s="9"/>
      <c r="G770" s="9"/>
      <c r="H770" s="9"/>
      <c r="I770" s="1" t="s">
        <v>927</v>
      </c>
      <c r="J770" s="1">
        <v>0.91777455806732178</v>
      </c>
      <c r="K770" s="1" t="s">
        <v>29</v>
      </c>
      <c r="L770" s="1" t="s">
        <v>772</v>
      </c>
      <c r="M770" s="1">
        <v>22</v>
      </c>
    </row>
    <row r="771" spans="1:13" ht="90" customHeight="1" x14ac:dyDescent="0.3">
      <c r="A771" s="8"/>
      <c r="B771" s="9"/>
      <c r="C771" s="9"/>
      <c r="D771" s="9"/>
      <c r="E771" s="9"/>
      <c r="F771" s="9"/>
      <c r="G771" s="9"/>
      <c r="H771" s="9"/>
      <c r="I771" s="1" t="s">
        <v>245</v>
      </c>
      <c r="J771" s="1">
        <v>0.76346313953399658</v>
      </c>
      <c r="K771" s="1" t="s">
        <v>29</v>
      </c>
      <c r="L771" s="1" t="s">
        <v>241</v>
      </c>
      <c r="M771" s="1">
        <v>87</v>
      </c>
    </row>
    <row r="772" spans="1:13" ht="90" customHeight="1" x14ac:dyDescent="0.3">
      <c r="A772" s="8">
        <v>272</v>
      </c>
      <c r="B772" s="8" t="s">
        <v>928</v>
      </c>
      <c r="C772" s="8" t="s">
        <v>103</v>
      </c>
      <c r="D772" s="8" t="s">
        <v>568</v>
      </c>
      <c r="E772" s="10" t="s">
        <v>24</v>
      </c>
      <c r="F772" s="10" t="s">
        <v>25</v>
      </c>
      <c r="G772" s="8" t="s">
        <v>929</v>
      </c>
      <c r="H772" s="8" t="s">
        <v>930</v>
      </c>
      <c r="I772" s="4" t="s">
        <v>931</v>
      </c>
      <c r="J772" s="4">
        <v>0.99959343671798706</v>
      </c>
      <c r="K772" s="4" t="s">
        <v>29</v>
      </c>
      <c r="L772" s="4" t="s">
        <v>103</v>
      </c>
      <c r="M772" s="4">
        <v>3</v>
      </c>
    </row>
    <row r="773" spans="1:13" ht="90" customHeight="1" x14ac:dyDescent="0.3">
      <c r="A773" s="8"/>
      <c r="B773" s="9"/>
      <c r="C773" s="9"/>
      <c r="D773" s="9"/>
      <c r="E773" s="9"/>
      <c r="F773" s="9"/>
      <c r="G773" s="9"/>
      <c r="H773" s="9"/>
      <c r="I773" s="2" t="s">
        <v>105</v>
      </c>
      <c r="J773" s="2">
        <v>0.97658312320709229</v>
      </c>
      <c r="K773" s="2" t="s">
        <v>29</v>
      </c>
      <c r="L773" s="2" t="s">
        <v>103</v>
      </c>
      <c r="M773" s="2">
        <v>1</v>
      </c>
    </row>
    <row r="774" spans="1:13" ht="90" customHeight="1" x14ac:dyDescent="0.3">
      <c r="A774" s="8"/>
      <c r="B774" s="9"/>
      <c r="C774" s="9"/>
      <c r="D774" s="9"/>
      <c r="E774" s="9"/>
      <c r="F774" s="9"/>
      <c r="G774" s="9"/>
      <c r="H774" s="9"/>
      <c r="I774" s="1"/>
      <c r="J774" s="1"/>
      <c r="K774" s="1"/>
      <c r="L774" s="1"/>
      <c r="M774" s="1"/>
    </row>
    <row r="775" spans="1:13" ht="90" customHeight="1" x14ac:dyDescent="0.3">
      <c r="A775" s="8"/>
      <c r="B775" s="9"/>
      <c r="C775" s="9"/>
      <c r="D775" s="9"/>
      <c r="E775" s="9"/>
      <c r="F775" s="9"/>
      <c r="G775" s="9"/>
      <c r="H775" s="9"/>
      <c r="I775" s="1"/>
      <c r="J775" s="1"/>
      <c r="K775" s="1"/>
      <c r="L775" s="1"/>
      <c r="M775" s="1"/>
    </row>
    <row r="776" spans="1:13" ht="90" customHeight="1" x14ac:dyDescent="0.3">
      <c r="A776" s="8"/>
      <c r="B776" s="9"/>
      <c r="C776" s="9"/>
      <c r="D776" s="9"/>
      <c r="E776" s="9"/>
      <c r="F776" s="9"/>
      <c r="G776" s="9"/>
      <c r="H776" s="9"/>
      <c r="I776" s="1"/>
      <c r="J776" s="1"/>
      <c r="K776" s="1"/>
      <c r="L776" s="1"/>
      <c r="M776" s="1"/>
    </row>
    <row r="777" spans="1:13" ht="90" customHeight="1" x14ac:dyDescent="0.3">
      <c r="A777" s="8">
        <v>274</v>
      </c>
      <c r="B777" s="8" t="s">
        <v>932</v>
      </c>
      <c r="C777" s="8" t="s">
        <v>933</v>
      </c>
      <c r="D777" s="8" t="s">
        <v>891</v>
      </c>
      <c r="E777" s="10" t="s">
        <v>17</v>
      </c>
      <c r="F777" s="10" t="s">
        <v>18</v>
      </c>
      <c r="G777" s="8" t="s">
        <v>934</v>
      </c>
      <c r="H777" s="8" t="s">
        <v>20</v>
      </c>
      <c r="I777" s="1"/>
      <c r="J777" s="1"/>
      <c r="K777" s="1"/>
      <c r="L777" s="1"/>
      <c r="M777" s="1"/>
    </row>
    <row r="778" spans="1:13" ht="90" customHeight="1" x14ac:dyDescent="0.3">
      <c r="A778" s="8"/>
      <c r="B778" s="9"/>
      <c r="C778" s="9"/>
      <c r="D778" s="9"/>
      <c r="E778" s="9"/>
      <c r="F778" s="9"/>
      <c r="G778" s="9"/>
      <c r="H778" s="9"/>
      <c r="I778" s="1"/>
      <c r="J778" s="1"/>
      <c r="K778" s="1"/>
      <c r="L778" s="1"/>
      <c r="M778" s="1"/>
    </row>
    <row r="779" spans="1:13" ht="90" customHeight="1" x14ac:dyDescent="0.3">
      <c r="A779" s="8"/>
      <c r="B779" s="9"/>
      <c r="C779" s="9"/>
      <c r="D779" s="9"/>
      <c r="E779" s="9"/>
      <c r="F779" s="9"/>
      <c r="G779" s="9"/>
      <c r="H779" s="9"/>
      <c r="I779" s="1"/>
      <c r="J779" s="1"/>
      <c r="K779" s="1"/>
      <c r="L779" s="1"/>
      <c r="M779" s="1"/>
    </row>
    <row r="780" spans="1:13" ht="90" customHeight="1" x14ac:dyDescent="0.3">
      <c r="A780" s="8"/>
      <c r="B780" s="9"/>
      <c r="C780" s="9"/>
      <c r="D780" s="9"/>
      <c r="E780" s="9"/>
      <c r="F780" s="9"/>
      <c r="G780" s="9"/>
      <c r="H780" s="9"/>
      <c r="I780" s="1"/>
      <c r="J780" s="1"/>
      <c r="K780" s="1"/>
      <c r="L780" s="1"/>
      <c r="M780" s="1"/>
    </row>
    <row r="781" spans="1:13" ht="90" customHeight="1" x14ac:dyDescent="0.3">
      <c r="A781" s="8"/>
      <c r="B781" s="9"/>
      <c r="C781" s="9"/>
      <c r="D781" s="9"/>
      <c r="E781" s="9"/>
      <c r="F781" s="9"/>
      <c r="G781" s="9"/>
      <c r="H781" s="9"/>
      <c r="I781" s="1"/>
      <c r="J781" s="1"/>
      <c r="K781" s="1"/>
      <c r="L781" s="1"/>
      <c r="M781" s="1"/>
    </row>
    <row r="782" spans="1:13" ht="90" customHeight="1" x14ac:dyDescent="0.3">
      <c r="A782" s="8">
        <v>276</v>
      </c>
      <c r="B782" s="8" t="s">
        <v>935</v>
      </c>
      <c r="C782" s="8" t="s">
        <v>63</v>
      </c>
      <c r="D782" s="8" t="s">
        <v>615</v>
      </c>
      <c r="E782" s="10" t="s">
        <v>24</v>
      </c>
      <c r="F782" s="10" t="s">
        <v>25</v>
      </c>
      <c r="G782" s="8" t="s">
        <v>936</v>
      </c>
      <c r="H782" s="8" t="s">
        <v>937</v>
      </c>
      <c r="I782" s="4" t="s">
        <v>938</v>
      </c>
      <c r="J782" s="4">
        <v>0.99949002265930176</v>
      </c>
      <c r="K782" s="4" t="s">
        <v>29</v>
      </c>
      <c r="L782" s="4" t="s">
        <v>63</v>
      </c>
      <c r="M782" s="4">
        <v>127</v>
      </c>
    </row>
    <row r="783" spans="1:13" ht="90" customHeight="1" x14ac:dyDescent="0.3">
      <c r="A783" s="8"/>
      <c r="B783" s="9"/>
      <c r="C783" s="9"/>
      <c r="D783" s="9"/>
      <c r="E783" s="9"/>
      <c r="F783" s="9"/>
      <c r="G783" s="9"/>
      <c r="H783" s="9"/>
      <c r="I783" s="4" t="s">
        <v>939</v>
      </c>
      <c r="J783" s="4">
        <v>0.99925583600997925</v>
      </c>
      <c r="K783" s="4" t="s">
        <v>29</v>
      </c>
      <c r="L783" s="4" t="s">
        <v>63</v>
      </c>
      <c r="M783" s="4">
        <v>128</v>
      </c>
    </row>
    <row r="784" spans="1:13" ht="90" customHeight="1" x14ac:dyDescent="0.3">
      <c r="A784" s="8"/>
      <c r="B784" s="9"/>
      <c r="C784" s="9"/>
      <c r="D784" s="9"/>
      <c r="E784" s="9"/>
      <c r="F784" s="9"/>
      <c r="G784" s="9"/>
      <c r="H784" s="9"/>
      <c r="I784" s="2" t="s">
        <v>940</v>
      </c>
      <c r="J784" s="2">
        <v>0.98236280679702759</v>
      </c>
      <c r="K784" s="2" t="s">
        <v>29</v>
      </c>
      <c r="L784" s="2" t="s">
        <v>345</v>
      </c>
      <c r="M784" s="2">
        <v>34</v>
      </c>
    </row>
    <row r="785" spans="1:13" ht="90" customHeight="1" x14ac:dyDescent="0.3">
      <c r="A785" s="8"/>
      <c r="B785" s="9"/>
      <c r="C785" s="9"/>
      <c r="D785" s="9"/>
      <c r="E785" s="9"/>
      <c r="F785" s="9"/>
      <c r="G785" s="9"/>
      <c r="H785" s="9"/>
      <c r="I785" s="1" t="s">
        <v>941</v>
      </c>
      <c r="J785" s="1">
        <v>0.93821829556939484</v>
      </c>
      <c r="K785" s="1" t="s">
        <v>29</v>
      </c>
      <c r="L785" s="1" t="s">
        <v>343</v>
      </c>
      <c r="M785" s="1">
        <v>80</v>
      </c>
    </row>
    <row r="786" spans="1:13" ht="90" customHeight="1" x14ac:dyDescent="0.3">
      <c r="A786" s="8"/>
      <c r="B786" s="9"/>
      <c r="C786" s="9"/>
      <c r="D786" s="9"/>
      <c r="E786" s="9"/>
      <c r="F786" s="9"/>
      <c r="G786" s="9"/>
      <c r="H786" s="9"/>
      <c r="I786" s="1" t="s">
        <v>942</v>
      </c>
      <c r="J786" s="1">
        <v>0.93479746580123901</v>
      </c>
      <c r="K786" s="1" t="s">
        <v>29</v>
      </c>
      <c r="L786" s="1" t="s">
        <v>59</v>
      </c>
      <c r="M786" s="1">
        <v>107</v>
      </c>
    </row>
    <row r="787" spans="1:13" ht="90" customHeight="1" x14ac:dyDescent="0.3">
      <c r="A787" s="8">
        <v>279</v>
      </c>
      <c r="B787" s="8" t="s">
        <v>943</v>
      </c>
      <c r="C787" s="8" t="s">
        <v>326</v>
      </c>
      <c r="D787" s="8" t="s">
        <v>944</v>
      </c>
      <c r="E787" s="10" t="s">
        <v>24</v>
      </c>
      <c r="F787" s="10" t="s">
        <v>18</v>
      </c>
      <c r="G787" s="8" t="s">
        <v>945</v>
      </c>
      <c r="H787" s="8" t="s">
        <v>946</v>
      </c>
      <c r="I787" s="2" t="s">
        <v>947</v>
      </c>
      <c r="J787" s="2">
        <v>0.90735059976577703</v>
      </c>
      <c r="K787" s="2" t="s">
        <v>29</v>
      </c>
      <c r="L787" s="2" t="s">
        <v>948</v>
      </c>
      <c r="M787" s="2">
        <v>135</v>
      </c>
    </row>
    <row r="788" spans="1:13" ht="90" customHeight="1" x14ac:dyDescent="0.3">
      <c r="A788" s="8"/>
      <c r="B788" s="9"/>
      <c r="C788" s="9"/>
      <c r="D788" s="9"/>
      <c r="E788" s="9"/>
      <c r="F788" s="9"/>
      <c r="G788" s="9"/>
      <c r="H788" s="9"/>
      <c r="I788" s="5" t="s">
        <v>949</v>
      </c>
      <c r="J788" s="5">
        <v>0.79149693250656128</v>
      </c>
      <c r="K788" s="5" t="s">
        <v>29</v>
      </c>
      <c r="L788" s="5" t="s">
        <v>326</v>
      </c>
      <c r="M788" s="5">
        <v>100</v>
      </c>
    </row>
    <row r="789" spans="1:13" ht="90" customHeight="1" x14ac:dyDescent="0.3">
      <c r="A789" s="8"/>
      <c r="B789" s="9"/>
      <c r="C789" s="9"/>
      <c r="D789" s="9"/>
      <c r="E789" s="9"/>
      <c r="F789" s="9"/>
      <c r="G789" s="9"/>
      <c r="H789" s="9"/>
      <c r="I789" s="1"/>
      <c r="J789" s="1"/>
      <c r="K789" s="1"/>
      <c r="L789" s="1"/>
      <c r="M789" s="1"/>
    </row>
    <row r="790" spans="1:13" ht="90" customHeight="1" x14ac:dyDescent="0.3">
      <c r="A790" s="8"/>
      <c r="B790" s="9"/>
      <c r="C790" s="9"/>
      <c r="D790" s="9"/>
      <c r="E790" s="9"/>
      <c r="F790" s="9"/>
      <c r="G790" s="9"/>
      <c r="H790" s="9"/>
      <c r="I790" s="1"/>
      <c r="J790" s="1"/>
      <c r="K790" s="1"/>
      <c r="L790" s="1"/>
      <c r="M790" s="1"/>
    </row>
    <row r="791" spans="1:13" ht="90" customHeight="1" x14ac:dyDescent="0.3">
      <c r="A791" s="8"/>
      <c r="B791" s="9"/>
      <c r="C791" s="9"/>
      <c r="D791" s="9"/>
      <c r="E791" s="9"/>
      <c r="F791" s="9"/>
      <c r="G791" s="9"/>
      <c r="H791" s="9"/>
      <c r="I791" s="1"/>
      <c r="J791" s="1"/>
      <c r="K791" s="1"/>
      <c r="L791" s="1"/>
      <c r="M791" s="1"/>
    </row>
    <row r="792" spans="1:13" ht="90" customHeight="1" x14ac:dyDescent="0.3">
      <c r="A792" s="8">
        <v>282</v>
      </c>
      <c r="B792" s="8" t="s">
        <v>950</v>
      </c>
      <c r="C792" s="8" t="s">
        <v>951</v>
      </c>
      <c r="D792" s="8" t="s">
        <v>685</v>
      </c>
      <c r="E792" s="10" t="s">
        <v>17</v>
      </c>
      <c r="F792" s="10" t="s">
        <v>18</v>
      </c>
      <c r="G792" s="8" t="s">
        <v>952</v>
      </c>
      <c r="H792" s="8" t="s">
        <v>20</v>
      </c>
      <c r="I792" s="1"/>
      <c r="J792" s="1"/>
      <c r="K792" s="1"/>
      <c r="L792" s="1"/>
      <c r="M792" s="1"/>
    </row>
    <row r="793" spans="1:13" ht="90" customHeight="1" x14ac:dyDescent="0.3">
      <c r="A793" s="8"/>
      <c r="B793" s="9"/>
      <c r="C793" s="9"/>
      <c r="D793" s="9"/>
      <c r="E793" s="9"/>
      <c r="F793" s="9"/>
      <c r="G793" s="9"/>
      <c r="H793" s="9"/>
      <c r="I793" s="1"/>
      <c r="J793" s="1"/>
      <c r="K793" s="1"/>
      <c r="L793" s="1"/>
      <c r="M793" s="1"/>
    </row>
    <row r="794" spans="1:13" ht="90" customHeight="1" x14ac:dyDescent="0.3">
      <c r="A794" s="8"/>
      <c r="B794" s="9"/>
      <c r="C794" s="9"/>
      <c r="D794" s="9"/>
      <c r="E794" s="9"/>
      <c r="F794" s="9"/>
      <c r="G794" s="9"/>
      <c r="H794" s="9"/>
      <c r="I794" s="1"/>
      <c r="J794" s="1"/>
      <c r="K794" s="1"/>
      <c r="L794" s="1"/>
      <c r="M794" s="1"/>
    </row>
    <row r="795" spans="1:13" ht="90" customHeight="1" x14ac:dyDescent="0.3">
      <c r="A795" s="8"/>
      <c r="B795" s="9"/>
      <c r="C795" s="9"/>
      <c r="D795" s="9"/>
      <c r="E795" s="9"/>
      <c r="F795" s="9"/>
      <c r="G795" s="9"/>
      <c r="H795" s="9"/>
      <c r="I795" s="1"/>
      <c r="J795" s="1"/>
      <c r="K795" s="1"/>
      <c r="L795" s="1"/>
      <c r="M795" s="1"/>
    </row>
    <row r="796" spans="1:13" ht="90" customHeight="1" x14ac:dyDescent="0.3">
      <c r="A796" s="8"/>
      <c r="B796" s="9"/>
      <c r="C796" s="9"/>
      <c r="D796" s="9"/>
      <c r="E796" s="9"/>
      <c r="F796" s="9"/>
      <c r="G796" s="9"/>
      <c r="H796" s="9"/>
      <c r="I796" s="1"/>
      <c r="J796" s="1"/>
      <c r="K796" s="1"/>
      <c r="L796" s="1"/>
      <c r="M796" s="1"/>
    </row>
    <row r="797" spans="1:13" ht="90" customHeight="1" x14ac:dyDescent="0.3">
      <c r="A797" s="8">
        <v>284</v>
      </c>
      <c r="B797" s="8" t="s">
        <v>953</v>
      </c>
      <c r="C797" s="8" t="s">
        <v>410</v>
      </c>
      <c r="D797" s="8" t="s">
        <v>417</v>
      </c>
      <c r="E797" s="10" t="s">
        <v>17</v>
      </c>
      <c r="F797" s="10" t="s">
        <v>18</v>
      </c>
      <c r="G797" s="8" t="s">
        <v>954</v>
      </c>
      <c r="H797" s="8" t="s">
        <v>955</v>
      </c>
      <c r="I797" s="2" t="s">
        <v>956</v>
      </c>
      <c r="J797" s="2">
        <v>0.74543142318725586</v>
      </c>
      <c r="K797" s="2" t="s">
        <v>29</v>
      </c>
      <c r="L797" s="2" t="s">
        <v>957</v>
      </c>
      <c r="M797" s="2">
        <v>15</v>
      </c>
    </row>
    <row r="798" spans="1:13" ht="90" customHeight="1" x14ac:dyDescent="0.3">
      <c r="A798" s="8"/>
      <c r="B798" s="9"/>
      <c r="C798" s="9"/>
      <c r="D798" s="9"/>
      <c r="E798" s="9"/>
      <c r="F798" s="9"/>
      <c r="G798" s="9"/>
      <c r="H798" s="9"/>
      <c r="I798" s="1"/>
      <c r="J798" s="1"/>
      <c r="K798" s="1"/>
      <c r="L798" s="1"/>
      <c r="M798" s="1"/>
    </row>
    <row r="799" spans="1:13" ht="90" customHeight="1" x14ac:dyDescent="0.3">
      <c r="A799" s="8"/>
      <c r="B799" s="9"/>
      <c r="C799" s="9"/>
      <c r="D799" s="9"/>
      <c r="E799" s="9"/>
      <c r="F799" s="9"/>
      <c r="G799" s="9"/>
      <c r="H799" s="9"/>
      <c r="I799" s="1"/>
      <c r="J799" s="1"/>
      <c r="K799" s="1"/>
      <c r="L799" s="1"/>
      <c r="M799" s="1"/>
    </row>
    <row r="800" spans="1:13" ht="90" customHeight="1" x14ac:dyDescent="0.3">
      <c r="A800" s="8"/>
      <c r="B800" s="9"/>
      <c r="C800" s="9"/>
      <c r="D800" s="9"/>
      <c r="E800" s="9"/>
      <c r="F800" s="9"/>
      <c r="G800" s="9"/>
      <c r="H800" s="9"/>
      <c r="I800" s="1"/>
      <c r="J800" s="1"/>
      <c r="K800" s="1"/>
      <c r="L800" s="1"/>
      <c r="M800" s="1"/>
    </row>
    <row r="801" spans="1:13" ht="90" customHeight="1" x14ac:dyDescent="0.3">
      <c r="A801" s="8"/>
      <c r="B801" s="9"/>
      <c r="C801" s="9"/>
      <c r="D801" s="9"/>
      <c r="E801" s="9"/>
      <c r="F801" s="9"/>
      <c r="G801" s="9"/>
      <c r="H801" s="9"/>
      <c r="I801" s="1"/>
      <c r="J801" s="1"/>
      <c r="K801" s="1"/>
      <c r="L801" s="1"/>
      <c r="M801" s="1"/>
    </row>
    <row r="802" spans="1:13" ht="90" customHeight="1" x14ac:dyDescent="0.3">
      <c r="A802" s="8">
        <v>285</v>
      </c>
      <c r="B802" s="8" t="s">
        <v>958</v>
      </c>
      <c r="C802" s="8" t="s">
        <v>959</v>
      </c>
      <c r="D802" s="8" t="s">
        <v>916</v>
      </c>
      <c r="E802" s="10" t="s">
        <v>17</v>
      </c>
      <c r="F802" s="10" t="s">
        <v>18</v>
      </c>
      <c r="G802" s="8" t="s">
        <v>960</v>
      </c>
      <c r="H802" s="8" t="s">
        <v>20</v>
      </c>
      <c r="I802" s="1"/>
      <c r="J802" s="1"/>
      <c r="K802" s="1"/>
      <c r="L802" s="1"/>
      <c r="M802" s="1"/>
    </row>
    <row r="803" spans="1:13" ht="90" customHeight="1" x14ac:dyDescent="0.3">
      <c r="A803" s="8"/>
      <c r="B803" s="9"/>
      <c r="C803" s="9"/>
      <c r="D803" s="9"/>
      <c r="E803" s="9"/>
      <c r="F803" s="9"/>
      <c r="G803" s="9"/>
      <c r="H803" s="9"/>
      <c r="I803" s="1"/>
      <c r="J803" s="1"/>
      <c r="K803" s="1"/>
      <c r="L803" s="1"/>
      <c r="M803" s="1"/>
    </row>
    <row r="804" spans="1:13" ht="90" customHeight="1" x14ac:dyDescent="0.3">
      <c r="A804" s="8"/>
      <c r="B804" s="9"/>
      <c r="C804" s="9"/>
      <c r="D804" s="9"/>
      <c r="E804" s="9"/>
      <c r="F804" s="9"/>
      <c r="G804" s="9"/>
      <c r="H804" s="9"/>
      <c r="I804" s="1"/>
      <c r="J804" s="1"/>
      <c r="K804" s="1"/>
      <c r="L804" s="1"/>
      <c r="M804" s="1"/>
    </row>
    <row r="805" spans="1:13" ht="90" customHeight="1" x14ac:dyDescent="0.3">
      <c r="A805" s="8"/>
      <c r="B805" s="9"/>
      <c r="C805" s="9"/>
      <c r="D805" s="9"/>
      <c r="E805" s="9"/>
      <c r="F805" s="9"/>
      <c r="G805" s="9"/>
      <c r="H805" s="9"/>
      <c r="I805" s="1"/>
      <c r="J805" s="1"/>
      <c r="K805" s="1"/>
      <c r="L805" s="1"/>
      <c r="M805" s="1"/>
    </row>
    <row r="806" spans="1:13" ht="90" customHeight="1" x14ac:dyDescent="0.3">
      <c r="A806" s="8"/>
      <c r="B806" s="9"/>
      <c r="C806" s="9"/>
      <c r="D806" s="9"/>
      <c r="E806" s="9"/>
      <c r="F806" s="9"/>
      <c r="G806" s="9"/>
      <c r="H806" s="9"/>
      <c r="I806" s="1"/>
      <c r="J806" s="1"/>
      <c r="K806" s="1"/>
      <c r="L806" s="1"/>
      <c r="M806" s="1"/>
    </row>
    <row r="807" spans="1:13" ht="90" customHeight="1" x14ac:dyDescent="0.3">
      <c r="A807" s="8">
        <v>286</v>
      </c>
      <c r="B807" s="8" t="s">
        <v>961</v>
      </c>
      <c r="C807" s="8" t="s">
        <v>366</v>
      </c>
      <c r="D807" s="8" t="s">
        <v>962</v>
      </c>
      <c r="E807" s="10" t="s">
        <v>24</v>
      </c>
      <c r="F807" s="10" t="s">
        <v>25</v>
      </c>
      <c r="G807" s="8" t="s">
        <v>963</v>
      </c>
      <c r="H807" s="8" t="s">
        <v>964</v>
      </c>
      <c r="I807" s="4" t="s">
        <v>965</v>
      </c>
      <c r="J807" s="4">
        <v>0.99993252754211426</v>
      </c>
      <c r="K807" s="4" t="s">
        <v>29</v>
      </c>
      <c r="L807" s="4" t="s">
        <v>366</v>
      </c>
      <c r="M807" s="4">
        <v>19</v>
      </c>
    </row>
    <row r="808" spans="1:13" ht="90" customHeight="1" x14ac:dyDescent="0.3">
      <c r="A808" s="8"/>
      <c r="B808" s="9"/>
      <c r="C808" s="9"/>
      <c r="D808" s="9"/>
      <c r="E808" s="9"/>
      <c r="F808" s="9"/>
      <c r="G808" s="9"/>
      <c r="H808" s="9"/>
      <c r="I808" s="1" t="s">
        <v>448</v>
      </c>
      <c r="J808" s="1">
        <v>0.7792542576789856</v>
      </c>
      <c r="K808" s="1" t="s">
        <v>29</v>
      </c>
      <c r="L808" s="1" t="s">
        <v>33</v>
      </c>
      <c r="M808" s="1">
        <v>9</v>
      </c>
    </row>
    <row r="809" spans="1:13" ht="90" customHeight="1" x14ac:dyDescent="0.3">
      <c r="A809" s="8"/>
      <c r="B809" s="9"/>
      <c r="C809" s="9"/>
      <c r="D809" s="9"/>
      <c r="E809" s="9"/>
      <c r="F809" s="9"/>
      <c r="G809" s="9"/>
      <c r="H809" s="9"/>
      <c r="I809" s="1"/>
      <c r="J809" s="1"/>
      <c r="K809" s="1"/>
      <c r="L809" s="1"/>
      <c r="M809" s="1"/>
    </row>
    <row r="810" spans="1:13" ht="90" customHeight="1" x14ac:dyDescent="0.3">
      <c r="A810" s="8"/>
      <c r="B810" s="9"/>
      <c r="C810" s="9"/>
      <c r="D810" s="9"/>
      <c r="E810" s="9"/>
      <c r="F810" s="9"/>
      <c r="G810" s="9"/>
      <c r="H810" s="9"/>
      <c r="I810" s="1"/>
      <c r="J810" s="1"/>
      <c r="K810" s="1"/>
      <c r="L810" s="1"/>
      <c r="M810" s="1"/>
    </row>
    <row r="811" spans="1:13" ht="90" customHeight="1" x14ac:dyDescent="0.3">
      <c r="A811" s="8"/>
      <c r="B811" s="9"/>
      <c r="C811" s="9"/>
      <c r="D811" s="9"/>
      <c r="E811" s="9"/>
      <c r="F811" s="9"/>
      <c r="G811" s="9"/>
      <c r="H811" s="9"/>
      <c r="I811" s="1"/>
      <c r="J811" s="1"/>
      <c r="K811" s="1"/>
      <c r="L811" s="1"/>
      <c r="M811" s="1"/>
    </row>
    <row r="812" spans="1:13" ht="90" customHeight="1" x14ac:dyDescent="0.3">
      <c r="A812" s="8">
        <v>287</v>
      </c>
      <c r="B812" s="8" t="s">
        <v>966</v>
      </c>
      <c r="C812" s="8" t="s">
        <v>410</v>
      </c>
      <c r="D812" s="8" t="s">
        <v>417</v>
      </c>
      <c r="E812" s="10" t="s">
        <v>24</v>
      </c>
      <c r="F812" s="10" t="s">
        <v>25</v>
      </c>
      <c r="G812" s="8" t="s">
        <v>967</v>
      </c>
      <c r="H812" s="8" t="s">
        <v>968</v>
      </c>
      <c r="I812" s="4" t="s">
        <v>420</v>
      </c>
      <c r="J812" s="4">
        <v>0.99966466426848988</v>
      </c>
      <c r="K812" s="4" t="s">
        <v>29</v>
      </c>
      <c r="L812" s="4" t="s">
        <v>410</v>
      </c>
      <c r="M812" s="4">
        <v>36</v>
      </c>
    </row>
    <row r="813" spans="1:13" ht="90" customHeight="1" x14ac:dyDescent="0.3">
      <c r="A813" s="8"/>
      <c r="B813" s="9"/>
      <c r="C813" s="9"/>
      <c r="D813" s="9"/>
      <c r="E813" s="9"/>
      <c r="F813" s="9"/>
      <c r="G813" s="9"/>
      <c r="H813" s="9"/>
      <c r="I813" s="1"/>
      <c r="J813" s="1"/>
      <c r="K813" s="1"/>
      <c r="L813" s="1"/>
      <c r="M813" s="1"/>
    </row>
    <row r="814" spans="1:13" ht="90" customHeight="1" x14ac:dyDescent="0.3">
      <c r="A814" s="8"/>
      <c r="B814" s="9"/>
      <c r="C814" s="9"/>
      <c r="D814" s="9"/>
      <c r="E814" s="9"/>
      <c r="F814" s="9"/>
      <c r="G814" s="9"/>
      <c r="H814" s="9"/>
      <c r="I814" s="1"/>
      <c r="J814" s="1"/>
      <c r="K814" s="1"/>
      <c r="L814" s="1"/>
      <c r="M814" s="1"/>
    </row>
    <row r="815" spans="1:13" ht="90" customHeight="1" x14ac:dyDescent="0.3">
      <c r="A815" s="8"/>
      <c r="B815" s="9"/>
      <c r="C815" s="9"/>
      <c r="D815" s="9"/>
      <c r="E815" s="9"/>
      <c r="F815" s="9"/>
      <c r="G815" s="9"/>
      <c r="H815" s="9"/>
      <c r="I815" s="1"/>
      <c r="J815" s="1"/>
      <c r="K815" s="1"/>
      <c r="L815" s="1"/>
      <c r="M815" s="1"/>
    </row>
    <row r="816" spans="1:13" ht="90" customHeight="1" x14ac:dyDescent="0.3">
      <c r="A816" s="8"/>
      <c r="B816" s="9"/>
      <c r="C816" s="9"/>
      <c r="D816" s="9"/>
      <c r="E816" s="9"/>
      <c r="F816" s="9"/>
      <c r="G816" s="9"/>
      <c r="H816" s="9"/>
      <c r="I816" s="1"/>
      <c r="J816" s="1"/>
      <c r="K816" s="1"/>
      <c r="L816" s="1"/>
      <c r="M816" s="1"/>
    </row>
    <row r="817" spans="1:13" ht="90" customHeight="1" x14ac:dyDescent="0.3">
      <c r="A817" s="8">
        <v>292</v>
      </c>
      <c r="B817" s="8" t="s">
        <v>969</v>
      </c>
      <c r="C817" s="8" t="s">
        <v>140</v>
      </c>
      <c r="D817" s="8" t="s">
        <v>970</v>
      </c>
      <c r="E817" s="10" t="s">
        <v>17</v>
      </c>
      <c r="F817" s="10" t="s">
        <v>18</v>
      </c>
      <c r="G817" s="8" t="s">
        <v>971</v>
      </c>
      <c r="H817" s="8" t="s">
        <v>972</v>
      </c>
      <c r="I817" s="2" t="s">
        <v>973</v>
      </c>
      <c r="J817" s="2">
        <v>0.88575571775436401</v>
      </c>
      <c r="K817" s="2" t="s">
        <v>29</v>
      </c>
      <c r="L817" s="2" t="s">
        <v>192</v>
      </c>
      <c r="M817" s="2">
        <v>23</v>
      </c>
    </row>
    <row r="818" spans="1:13" ht="90" customHeight="1" x14ac:dyDescent="0.3">
      <c r="A818" s="8"/>
      <c r="B818" s="9"/>
      <c r="C818" s="9"/>
      <c r="D818" s="9"/>
      <c r="E818" s="9"/>
      <c r="F818" s="9"/>
      <c r="G818" s="9"/>
      <c r="H818" s="9"/>
      <c r="I818" s="2" t="s">
        <v>974</v>
      </c>
      <c r="J818" s="2">
        <v>0.77400970458984375</v>
      </c>
      <c r="K818" s="2" t="s">
        <v>29</v>
      </c>
      <c r="L818" s="2" t="s">
        <v>192</v>
      </c>
      <c r="M818" s="2">
        <v>233</v>
      </c>
    </row>
    <row r="819" spans="1:13" ht="90" customHeight="1" x14ac:dyDescent="0.3">
      <c r="A819" s="8"/>
      <c r="B819" s="9"/>
      <c r="C819" s="9"/>
      <c r="D819" s="9"/>
      <c r="E819" s="9"/>
      <c r="F819" s="9"/>
      <c r="G819" s="9"/>
      <c r="H819" s="9"/>
      <c r="I819" s="1"/>
      <c r="J819" s="1"/>
      <c r="K819" s="1"/>
      <c r="L819" s="1"/>
      <c r="M819" s="1"/>
    </row>
    <row r="820" spans="1:13" ht="90" customHeight="1" x14ac:dyDescent="0.3">
      <c r="A820" s="8"/>
      <c r="B820" s="9"/>
      <c r="C820" s="9"/>
      <c r="D820" s="9"/>
      <c r="E820" s="9"/>
      <c r="F820" s="9"/>
      <c r="G820" s="9"/>
      <c r="H820" s="9"/>
      <c r="I820" s="1"/>
      <c r="J820" s="1"/>
      <c r="K820" s="1"/>
      <c r="L820" s="1"/>
      <c r="M820" s="1"/>
    </row>
    <row r="821" spans="1:13" ht="90" customHeight="1" x14ac:dyDescent="0.3">
      <c r="A821" s="8"/>
      <c r="B821" s="9"/>
      <c r="C821" s="9"/>
      <c r="D821" s="9"/>
      <c r="E821" s="9"/>
      <c r="F821" s="9"/>
      <c r="G821" s="9"/>
      <c r="H821" s="9"/>
      <c r="I821" s="1"/>
      <c r="J821" s="1"/>
      <c r="K821" s="1"/>
      <c r="L821" s="1"/>
      <c r="M821" s="1"/>
    </row>
    <row r="822" spans="1:13" ht="90" customHeight="1" x14ac:dyDescent="0.3">
      <c r="A822" s="8">
        <v>299</v>
      </c>
      <c r="B822" s="8" t="s">
        <v>975</v>
      </c>
      <c r="C822" s="8" t="s">
        <v>525</v>
      </c>
      <c r="D822" s="8" t="s">
        <v>16</v>
      </c>
      <c r="E822" s="10" t="s">
        <v>24</v>
      </c>
      <c r="F822" s="10" t="s">
        <v>25</v>
      </c>
      <c r="G822" s="8" t="s">
        <v>976</v>
      </c>
      <c r="H822" s="8" t="s">
        <v>977</v>
      </c>
      <c r="I822" s="4" t="s">
        <v>675</v>
      </c>
      <c r="J822" s="4">
        <v>0.96657305955886841</v>
      </c>
      <c r="K822" s="4" t="s">
        <v>29</v>
      </c>
      <c r="L822" s="4" t="s">
        <v>525</v>
      </c>
      <c r="M822" s="4">
        <v>1</v>
      </c>
    </row>
    <row r="823" spans="1:13" ht="90" customHeight="1" x14ac:dyDescent="0.3">
      <c r="A823" s="8"/>
      <c r="B823" s="9"/>
      <c r="C823" s="9"/>
      <c r="D823" s="9"/>
      <c r="E823" s="9"/>
      <c r="F823" s="9"/>
      <c r="G823" s="9"/>
      <c r="H823" s="9"/>
      <c r="I823" s="1"/>
      <c r="J823" s="1"/>
      <c r="K823" s="1"/>
      <c r="L823" s="1"/>
      <c r="M823" s="1"/>
    </row>
    <row r="824" spans="1:13" ht="90" customHeight="1" x14ac:dyDescent="0.3">
      <c r="A824" s="8"/>
      <c r="B824" s="9"/>
      <c r="C824" s="9"/>
      <c r="D824" s="9"/>
      <c r="E824" s="9"/>
      <c r="F824" s="9"/>
      <c r="G824" s="9"/>
      <c r="H824" s="9"/>
      <c r="I824" s="1"/>
      <c r="J824" s="1"/>
      <c r="K824" s="1"/>
      <c r="L824" s="1"/>
      <c r="M824" s="1"/>
    </row>
    <row r="825" spans="1:13" ht="90" customHeight="1" x14ac:dyDescent="0.3">
      <c r="A825" s="8"/>
      <c r="B825" s="9"/>
      <c r="C825" s="9"/>
      <c r="D825" s="9"/>
      <c r="E825" s="9"/>
      <c r="F825" s="9"/>
      <c r="G825" s="9"/>
      <c r="H825" s="9"/>
      <c r="I825" s="1"/>
      <c r="J825" s="1"/>
      <c r="K825" s="1"/>
      <c r="L825" s="1"/>
      <c r="M825" s="1"/>
    </row>
    <row r="826" spans="1:13" ht="90" customHeight="1" x14ac:dyDescent="0.3">
      <c r="A826" s="8"/>
      <c r="B826" s="9"/>
      <c r="C826" s="9"/>
      <c r="D826" s="9"/>
      <c r="E826" s="9"/>
      <c r="F826" s="9"/>
      <c r="G826" s="9"/>
      <c r="H826" s="9"/>
      <c r="I826" s="1"/>
      <c r="J826" s="1"/>
      <c r="K826" s="1"/>
      <c r="L826" s="1"/>
      <c r="M826" s="1"/>
    </row>
    <row r="827" spans="1:13" ht="90" customHeight="1" x14ac:dyDescent="0.3">
      <c r="A827" s="8">
        <v>303</v>
      </c>
      <c r="B827" s="8" t="s">
        <v>978</v>
      </c>
      <c r="C827" s="8" t="s">
        <v>119</v>
      </c>
      <c r="D827" s="8" t="s">
        <v>16</v>
      </c>
      <c r="E827" s="10" t="s">
        <v>24</v>
      </c>
      <c r="F827" s="10" t="s">
        <v>25</v>
      </c>
      <c r="G827" s="8" t="s">
        <v>979</v>
      </c>
      <c r="H827" s="8" t="s">
        <v>980</v>
      </c>
      <c r="I827" s="4" t="s">
        <v>981</v>
      </c>
      <c r="J827" s="4">
        <v>0.99999737739562988</v>
      </c>
      <c r="K827" s="4" t="s">
        <v>29</v>
      </c>
      <c r="L827" s="4" t="s">
        <v>119</v>
      </c>
      <c r="M827" s="4">
        <v>1</v>
      </c>
    </row>
    <row r="828" spans="1:13" ht="90" customHeight="1" x14ac:dyDescent="0.3">
      <c r="A828" s="8"/>
      <c r="B828" s="9"/>
      <c r="C828" s="9"/>
      <c r="D828" s="9"/>
      <c r="E828" s="9"/>
      <c r="F828" s="9"/>
      <c r="G828" s="9"/>
      <c r="H828" s="9"/>
      <c r="I828" s="1"/>
      <c r="J828" s="1"/>
      <c r="K828" s="1"/>
      <c r="L828" s="1"/>
      <c r="M828" s="1"/>
    </row>
    <row r="829" spans="1:13" ht="90" customHeight="1" x14ac:dyDescent="0.3">
      <c r="A829" s="8"/>
      <c r="B829" s="9"/>
      <c r="C829" s="9"/>
      <c r="D829" s="9"/>
      <c r="E829" s="9"/>
      <c r="F829" s="9"/>
      <c r="G829" s="9"/>
      <c r="H829" s="9"/>
      <c r="I829" s="1"/>
      <c r="J829" s="1"/>
      <c r="K829" s="1"/>
      <c r="L829" s="1"/>
      <c r="M829" s="1"/>
    </row>
    <row r="830" spans="1:13" ht="90" customHeight="1" x14ac:dyDescent="0.3">
      <c r="A830" s="8"/>
      <c r="B830" s="9"/>
      <c r="C830" s="9"/>
      <c r="D830" s="9"/>
      <c r="E830" s="9"/>
      <c r="F830" s="9"/>
      <c r="G830" s="9"/>
      <c r="H830" s="9"/>
      <c r="I830" s="1"/>
      <c r="J830" s="1"/>
      <c r="K830" s="1"/>
      <c r="L830" s="1"/>
      <c r="M830" s="1"/>
    </row>
    <row r="831" spans="1:13" ht="90" customHeight="1" x14ac:dyDescent="0.3">
      <c r="A831" s="8"/>
      <c r="B831" s="9"/>
      <c r="C831" s="9"/>
      <c r="D831" s="9"/>
      <c r="E831" s="9"/>
      <c r="F831" s="9"/>
      <c r="G831" s="9"/>
      <c r="H831" s="9"/>
      <c r="I831" s="1"/>
      <c r="J831" s="1"/>
      <c r="K831" s="1"/>
      <c r="L831" s="1"/>
      <c r="M831" s="1"/>
    </row>
    <row r="832" spans="1:13" ht="90" customHeight="1" x14ac:dyDescent="0.3">
      <c r="A832" s="8">
        <v>304</v>
      </c>
      <c r="B832" s="8" t="s">
        <v>982</v>
      </c>
      <c r="C832" s="8" t="s">
        <v>119</v>
      </c>
      <c r="D832" s="8" t="s">
        <v>78</v>
      </c>
      <c r="E832" s="10" t="s">
        <v>24</v>
      </c>
      <c r="F832" s="10" t="s">
        <v>25</v>
      </c>
      <c r="G832" s="8" t="s">
        <v>983</v>
      </c>
      <c r="H832" s="8" t="s">
        <v>984</v>
      </c>
      <c r="I832" s="4" t="s">
        <v>985</v>
      </c>
      <c r="J832" s="4">
        <v>0.99999880790710449</v>
      </c>
      <c r="K832" s="4" t="s">
        <v>29</v>
      </c>
      <c r="L832" s="4" t="s">
        <v>119</v>
      </c>
      <c r="M832" s="4">
        <v>4</v>
      </c>
    </row>
    <row r="833" spans="1:13" ht="90" customHeight="1" x14ac:dyDescent="0.3">
      <c r="A833" s="8"/>
      <c r="B833" s="9"/>
      <c r="C833" s="9"/>
      <c r="D833" s="9"/>
      <c r="E833" s="9"/>
      <c r="F833" s="9"/>
      <c r="G833" s="9"/>
      <c r="H833" s="9"/>
      <c r="I833" s="2" t="s">
        <v>986</v>
      </c>
      <c r="J833" s="2">
        <v>0.99973660707473755</v>
      </c>
      <c r="K833" s="2" t="s">
        <v>29</v>
      </c>
      <c r="L833" s="2" t="s">
        <v>987</v>
      </c>
      <c r="M833" s="2">
        <v>31</v>
      </c>
    </row>
    <row r="834" spans="1:13" ht="90" customHeight="1" x14ac:dyDescent="0.3">
      <c r="A834" s="8"/>
      <c r="B834" s="9"/>
      <c r="C834" s="9"/>
      <c r="D834" s="9"/>
      <c r="E834" s="9"/>
      <c r="F834" s="9"/>
      <c r="G834" s="9"/>
      <c r="H834" s="9"/>
      <c r="I834" s="2" t="s">
        <v>988</v>
      </c>
      <c r="J834" s="2">
        <v>0.99934917688369751</v>
      </c>
      <c r="K834" s="2" t="s">
        <v>29</v>
      </c>
      <c r="L834" s="2" t="s">
        <v>989</v>
      </c>
      <c r="M834" s="2">
        <v>12</v>
      </c>
    </row>
    <row r="835" spans="1:13" ht="90" customHeight="1" x14ac:dyDescent="0.3">
      <c r="A835" s="8"/>
      <c r="B835" s="9"/>
      <c r="C835" s="9"/>
      <c r="D835" s="9"/>
      <c r="E835" s="9"/>
      <c r="F835" s="9"/>
      <c r="G835" s="9"/>
      <c r="H835" s="9"/>
      <c r="I835" s="1" t="s">
        <v>990</v>
      </c>
      <c r="J835" s="1">
        <v>0.99819689989089966</v>
      </c>
      <c r="K835" s="1" t="s">
        <v>29</v>
      </c>
      <c r="L835" s="1" t="s">
        <v>991</v>
      </c>
      <c r="M835" s="1">
        <v>10</v>
      </c>
    </row>
    <row r="836" spans="1:13" ht="90" customHeight="1" x14ac:dyDescent="0.3">
      <c r="A836" s="8"/>
      <c r="B836" s="9"/>
      <c r="C836" s="9"/>
      <c r="D836" s="9"/>
      <c r="E836" s="9"/>
      <c r="F836" s="9"/>
      <c r="G836" s="9"/>
      <c r="H836" s="9"/>
      <c r="I836" s="1" t="s">
        <v>992</v>
      </c>
      <c r="J836" s="1">
        <v>0.99597185850143433</v>
      </c>
      <c r="K836" s="1" t="s">
        <v>29</v>
      </c>
      <c r="L836" s="1" t="s">
        <v>993</v>
      </c>
      <c r="M836" s="1">
        <v>12</v>
      </c>
    </row>
    <row r="837" spans="1:13" ht="90" customHeight="1" x14ac:dyDescent="0.3">
      <c r="A837" s="8">
        <v>305</v>
      </c>
      <c r="B837" s="8" t="s">
        <v>994</v>
      </c>
      <c r="C837" s="8" t="s">
        <v>466</v>
      </c>
      <c r="D837" s="8" t="s">
        <v>995</v>
      </c>
      <c r="E837" s="10" t="s">
        <v>17</v>
      </c>
      <c r="F837" s="10" t="s">
        <v>18</v>
      </c>
      <c r="G837" s="8" t="s">
        <v>996</v>
      </c>
      <c r="H837" s="8" t="s">
        <v>997</v>
      </c>
      <c r="I837" s="2" t="s">
        <v>998</v>
      </c>
      <c r="J837" s="2">
        <v>0.99999690055847168</v>
      </c>
      <c r="K837" s="2" t="s">
        <v>29</v>
      </c>
      <c r="L837" s="2" t="s">
        <v>119</v>
      </c>
      <c r="M837" s="2">
        <v>6</v>
      </c>
    </row>
    <row r="838" spans="1:13" ht="90" customHeight="1" x14ac:dyDescent="0.3">
      <c r="A838" s="8"/>
      <c r="B838" s="9"/>
      <c r="C838" s="9"/>
      <c r="D838" s="9"/>
      <c r="E838" s="9"/>
      <c r="F838" s="9"/>
      <c r="G838" s="9"/>
      <c r="H838" s="9"/>
      <c r="I838" s="1"/>
      <c r="J838" s="1"/>
      <c r="K838" s="1"/>
      <c r="L838" s="1"/>
      <c r="M838" s="1"/>
    </row>
    <row r="839" spans="1:13" ht="90" customHeight="1" x14ac:dyDescent="0.3">
      <c r="A839" s="8"/>
      <c r="B839" s="9"/>
      <c r="C839" s="9"/>
      <c r="D839" s="9"/>
      <c r="E839" s="9"/>
      <c r="F839" s="9"/>
      <c r="G839" s="9"/>
      <c r="H839" s="9"/>
      <c r="I839" s="1"/>
      <c r="J839" s="1"/>
      <c r="K839" s="1"/>
      <c r="L839" s="1"/>
      <c r="M839" s="1"/>
    </row>
    <row r="840" spans="1:13" ht="90" customHeight="1" x14ac:dyDescent="0.3">
      <c r="A840" s="8"/>
      <c r="B840" s="9"/>
      <c r="C840" s="9"/>
      <c r="D840" s="9"/>
      <c r="E840" s="9"/>
      <c r="F840" s="9"/>
      <c r="G840" s="9"/>
      <c r="H840" s="9"/>
      <c r="I840" s="1"/>
      <c r="J840" s="1"/>
      <c r="K840" s="1"/>
      <c r="L840" s="1"/>
      <c r="M840" s="1"/>
    </row>
    <row r="841" spans="1:13" ht="90" customHeight="1" x14ac:dyDescent="0.3">
      <c r="A841" s="8"/>
      <c r="B841" s="9"/>
      <c r="C841" s="9"/>
      <c r="D841" s="9"/>
      <c r="E841" s="9"/>
      <c r="F841" s="9"/>
      <c r="G841" s="9"/>
      <c r="H841" s="9"/>
      <c r="I841" s="1"/>
      <c r="J841" s="1"/>
      <c r="K841" s="1"/>
      <c r="L841" s="1"/>
      <c r="M841" s="1"/>
    </row>
    <row r="842" spans="1:13" ht="90" customHeight="1" x14ac:dyDescent="0.3">
      <c r="A842" s="8">
        <v>306</v>
      </c>
      <c r="B842" s="8" t="s">
        <v>999</v>
      </c>
      <c r="C842" s="8" t="s">
        <v>119</v>
      </c>
      <c r="D842" s="8" t="s">
        <v>236</v>
      </c>
      <c r="E842" s="10" t="s">
        <v>24</v>
      </c>
      <c r="F842" s="10" t="s">
        <v>25</v>
      </c>
      <c r="G842" s="8" t="s">
        <v>1000</v>
      </c>
      <c r="H842" s="8" t="s">
        <v>1001</v>
      </c>
      <c r="I842" s="4" t="s">
        <v>274</v>
      </c>
      <c r="J842" s="4">
        <v>0.99771642684936523</v>
      </c>
      <c r="K842" s="4" t="s">
        <v>29</v>
      </c>
      <c r="L842" s="4" t="s">
        <v>119</v>
      </c>
      <c r="M842" s="4">
        <v>7</v>
      </c>
    </row>
    <row r="843" spans="1:13" ht="90" customHeight="1" x14ac:dyDescent="0.3">
      <c r="A843" s="8"/>
      <c r="B843" s="9"/>
      <c r="C843" s="9"/>
      <c r="D843" s="9"/>
      <c r="E843" s="9"/>
      <c r="F843" s="9"/>
      <c r="G843" s="9"/>
      <c r="H843" s="9"/>
      <c r="I843" s="1" t="s">
        <v>633</v>
      </c>
      <c r="J843" s="1">
        <v>0.95069205760955811</v>
      </c>
      <c r="K843" s="1" t="s">
        <v>29</v>
      </c>
      <c r="L843" s="1" t="s">
        <v>634</v>
      </c>
      <c r="M843" s="1">
        <v>1</v>
      </c>
    </row>
    <row r="844" spans="1:13" ht="90" customHeight="1" x14ac:dyDescent="0.3">
      <c r="A844" s="8"/>
      <c r="B844" s="9"/>
      <c r="C844" s="9"/>
      <c r="D844" s="9"/>
      <c r="E844" s="9"/>
      <c r="F844" s="9"/>
      <c r="G844" s="9"/>
      <c r="H844" s="9"/>
      <c r="I844" s="1"/>
      <c r="J844" s="1"/>
      <c r="K844" s="1"/>
      <c r="L844" s="1"/>
      <c r="M844" s="1"/>
    </row>
    <row r="845" spans="1:13" ht="90" customHeight="1" x14ac:dyDescent="0.3">
      <c r="A845" s="8"/>
      <c r="B845" s="9"/>
      <c r="C845" s="9"/>
      <c r="D845" s="9"/>
      <c r="E845" s="9"/>
      <c r="F845" s="9"/>
      <c r="G845" s="9"/>
      <c r="H845" s="9"/>
      <c r="I845" s="1"/>
      <c r="J845" s="1"/>
      <c r="K845" s="1"/>
      <c r="L845" s="1"/>
      <c r="M845" s="1"/>
    </row>
    <row r="846" spans="1:13" ht="90" customHeight="1" x14ac:dyDescent="0.3">
      <c r="A846" s="8"/>
      <c r="B846" s="9"/>
      <c r="C846" s="9"/>
      <c r="D846" s="9"/>
      <c r="E846" s="9"/>
      <c r="F846" s="9"/>
      <c r="G846" s="9"/>
      <c r="H846" s="9"/>
      <c r="I846" s="1"/>
      <c r="J846" s="1"/>
      <c r="K846" s="1"/>
      <c r="L846" s="1"/>
      <c r="M846" s="1"/>
    </row>
    <row r="847" spans="1:13" ht="90" customHeight="1" x14ac:dyDescent="0.3">
      <c r="A847" s="8">
        <v>307</v>
      </c>
      <c r="B847" s="8" t="s">
        <v>1002</v>
      </c>
      <c r="C847" s="8" t="s">
        <v>119</v>
      </c>
      <c r="D847" s="8" t="s">
        <v>347</v>
      </c>
      <c r="E847" s="10" t="s">
        <v>24</v>
      </c>
      <c r="F847" s="10" t="s">
        <v>25</v>
      </c>
      <c r="G847" s="8" t="s">
        <v>1003</v>
      </c>
      <c r="H847" s="8" t="s">
        <v>1004</v>
      </c>
      <c r="I847" s="4" t="s">
        <v>1005</v>
      </c>
      <c r="J847" s="4">
        <v>0.99959272146224976</v>
      </c>
      <c r="K847" s="4" t="s">
        <v>29</v>
      </c>
      <c r="L847" s="4" t="s">
        <v>119</v>
      </c>
      <c r="M847" s="4">
        <v>10</v>
      </c>
    </row>
    <row r="848" spans="1:13" ht="90" customHeight="1" x14ac:dyDescent="0.3">
      <c r="A848" s="8"/>
      <c r="B848" s="9"/>
      <c r="C848" s="9"/>
      <c r="D848" s="9"/>
      <c r="E848" s="9"/>
      <c r="F848" s="9"/>
      <c r="G848" s="9"/>
      <c r="H848" s="9"/>
      <c r="I848" s="1"/>
      <c r="J848" s="1"/>
      <c r="K848" s="1"/>
      <c r="L848" s="1"/>
      <c r="M848" s="1"/>
    </row>
    <row r="849" spans="1:13" ht="90" customHeight="1" x14ac:dyDescent="0.3">
      <c r="A849" s="8"/>
      <c r="B849" s="9"/>
      <c r="C849" s="9"/>
      <c r="D849" s="9"/>
      <c r="E849" s="9"/>
      <c r="F849" s="9"/>
      <c r="G849" s="9"/>
      <c r="H849" s="9"/>
      <c r="I849" s="1"/>
      <c r="J849" s="1"/>
      <c r="K849" s="1"/>
      <c r="L849" s="1"/>
      <c r="M849" s="1"/>
    </row>
    <row r="850" spans="1:13" ht="90" customHeight="1" x14ac:dyDescent="0.3">
      <c r="A850" s="8"/>
      <c r="B850" s="9"/>
      <c r="C850" s="9"/>
      <c r="D850" s="9"/>
      <c r="E850" s="9"/>
      <c r="F850" s="9"/>
      <c r="G850" s="9"/>
      <c r="H850" s="9"/>
      <c r="I850" s="1"/>
      <c r="J850" s="1"/>
      <c r="K850" s="1"/>
      <c r="L850" s="1"/>
      <c r="M850" s="1"/>
    </row>
    <row r="851" spans="1:13" ht="90" customHeight="1" x14ac:dyDescent="0.3">
      <c r="A851" s="8"/>
      <c r="B851" s="9"/>
      <c r="C851" s="9"/>
      <c r="D851" s="9"/>
      <c r="E851" s="9"/>
      <c r="F851" s="9"/>
      <c r="G851" s="9"/>
      <c r="H851" s="9"/>
      <c r="I851" s="1"/>
      <c r="J851" s="1"/>
      <c r="K851" s="1"/>
      <c r="L851" s="1"/>
      <c r="M851" s="1"/>
    </row>
    <row r="852" spans="1:13" ht="90" customHeight="1" x14ac:dyDescent="0.3">
      <c r="A852" s="8">
        <v>308</v>
      </c>
      <c r="B852" s="8" t="s">
        <v>1006</v>
      </c>
      <c r="C852" s="8" t="s">
        <v>119</v>
      </c>
      <c r="D852" s="8" t="s">
        <v>347</v>
      </c>
      <c r="E852" s="10" t="s">
        <v>24</v>
      </c>
      <c r="F852" s="10" t="s">
        <v>25</v>
      </c>
      <c r="G852" s="8" t="s">
        <v>1007</v>
      </c>
      <c r="H852" s="8" t="s">
        <v>1008</v>
      </c>
      <c r="I852" s="4" t="s">
        <v>1005</v>
      </c>
      <c r="J852" s="4">
        <v>0.99999713897705078</v>
      </c>
      <c r="K852" s="4" t="s">
        <v>29</v>
      </c>
      <c r="L852" s="4" t="s">
        <v>119</v>
      </c>
      <c r="M852" s="4">
        <v>10</v>
      </c>
    </row>
    <row r="853" spans="1:13" ht="90" customHeight="1" x14ac:dyDescent="0.3">
      <c r="A853" s="8"/>
      <c r="B853" s="9"/>
      <c r="C853" s="9"/>
      <c r="D853" s="9"/>
      <c r="E853" s="9"/>
      <c r="F853" s="9"/>
      <c r="G853" s="9"/>
      <c r="H853" s="9"/>
      <c r="I853" s="1" t="s">
        <v>1009</v>
      </c>
      <c r="J853" s="1">
        <v>0.77753818035125732</v>
      </c>
      <c r="K853" s="1" t="s">
        <v>29</v>
      </c>
      <c r="L853" s="1" t="s">
        <v>432</v>
      </c>
      <c r="M853" s="1">
        <v>7</v>
      </c>
    </row>
    <row r="854" spans="1:13" ht="90" customHeight="1" x14ac:dyDescent="0.3">
      <c r="A854" s="8"/>
      <c r="B854" s="9"/>
      <c r="C854" s="9"/>
      <c r="D854" s="9"/>
      <c r="E854" s="9"/>
      <c r="F854" s="9"/>
      <c r="G854" s="9"/>
      <c r="H854" s="9"/>
      <c r="I854" s="1"/>
      <c r="J854" s="1"/>
      <c r="K854" s="1"/>
      <c r="L854" s="1"/>
      <c r="M854" s="1"/>
    </row>
    <row r="855" spans="1:13" ht="90" customHeight="1" x14ac:dyDescent="0.3">
      <c r="A855" s="8"/>
      <c r="B855" s="9"/>
      <c r="C855" s="9"/>
      <c r="D855" s="9"/>
      <c r="E855" s="9"/>
      <c r="F855" s="9"/>
      <c r="G855" s="9"/>
      <c r="H855" s="9"/>
      <c r="I855" s="1"/>
      <c r="J855" s="1"/>
      <c r="K855" s="1"/>
      <c r="L855" s="1"/>
      <c r="M855" s="1"/>
    </row>
    <row r="856" spans="1:13" ht="90" customHeight="1" x14ac:dyDescent="0.3">
      <c r="A856" s="8"/>
      <c r="B856" s="9"/>
      <c r="C856" s="9"/>
      <c r="D856" s="9"/>
      <c r="E856" s="9"/>
      <c r="F856" s="9"/>
      <c r="G856" s="9"/>
      <c r="H856" s="9"/>
      <c r="I856" s="1"/>
      <c r="J856" s="1"/>
      <c r="K856" s="1"/>
      <c r="L856" s="1"/>
      <c r="M856" s="1"/>
    </row>
    <row r="857" spans="1:13" ht="90" customHeight="1" x14ac:dyDescent="0.3">
      <c r="A857" s="8">
        <v>309</v>
      </c>
      <c r="B857" s="8" t="s">
        <v>1010</v>
      </c>
      <c r="C857" s="8" t="s">
        <v>119</v>
      </c>
      <c r="D857" s="8" t="s">
        <v>1011</v>
      </c>
      <c r="E857" s="10" t="s">
        <v>24</v>
      </c>
      <c r="F857" s="10" t="s">
        <v>25</v>
      </c>
      <c r="G857" s="8" t="s">
        <v>1012</v>
      </c>
      <c r="H857" s="8" t="s">
        <v>1013</v>
      </c>
      <c r="I857" s="4" t="s">
        <v>1014</v>
      </c>
      <c r="J857" s="4">
        <v>0.9999992847442627</v>
      </c>
      <c r="K857" s="4" t="s">
        <v>29</v>
      </c>
      <c r="L857" s="4" t="s">
        <v>119</v>
      </c>
      <c r="M857" s="4">
        <v>21</v>
      </c>
    </row>
    <row r="858" spans="1:13" ht="90" customHeight="1" x14ac:dyDescent="0.3">
      <c r="A858" s="8"/>
      <c r="B858" s="9"/>
      <c r="C858" s="9"/>
      <c r="D858" s="9"/>
      <c r="E858" s="9"/>
      <c r="F858" s="9"/>
      <c r="G858" s="9"/>
      <c r="H858" s="9"/>
      <c r="I858" s="1" t="s">
        <v>1015</v>
      </c>
      <c r="J858" s="1">
        <v>0.99954336881637573</v>
      </c>
      <c r="K858" s="1" t="s">
        <v>29</v>
      </c>
      <c r="L858" s="1" t="s">
        <v>333</v>
      </c>
      <c r="M858" s="1">
        <v>427</v>
      </c>
    </row>
    <row r="859" spans="1:13" ht="90" customHeight="1" x14ac:dyDescent="0.3">
      <c r="A859" s="8"/>
      <c r="B859" s="9"/>
      <c r="C859" s="9"/>
      <c r="D859" s="9"/>
      <c r="E859" s="9"/>
      <c r="F859" s="9"/>
      <c r="G859" s="9"/>
      <c r="H859" s="9"/>
      <c r="I859" s="2" t="s">
        <v>1016</v>
      </c>
      <c r="J859" s="2">
        <v>0.99868541955947876</v>
      </c>
      <c r="K859" s="2" t="s">
        <v>29</v>
      </c>
      <c r="L859" s="2" t="s">
        <v>131</v>
      </c>
      <c r="M859" s="2">
        <v>398</v>
      </c>
    </row>
    <row r="860" spans="1:13" ht="90" customHeight="1" x14ac:dyDescent="0.3">
      <c r="A860" s="8"/>
      <c r="B860" s="9"/>
      <c r="C860" s="9"/>
      <c r="D860" s="9"/>
      <c r="E860" s="9"/>
      <c r="F860" s="9"/>
      <c r="G860" s="9"/>
      <c r="H860" s="9"/>
      <c r="I860" s="2" t="s">
        <v>1017</v>
      </c>
      <c r="J860" s="2">
        <v>0.99841618537902832</v>
      </c>
      <c r="K860" s="2" t="s">
        <v>29</v>
      </c>
      <c r="L860" s="2" t="s">
        <v>131</v>
      </c>
      <c r="M860" s="2">
        <v>466</v>
      </c>
    </row>
    <row r="861" spans="1:13" ht="90" customHeight="1" x14ac:dyDescent="0.3">
      <c r="A861" s="8"/>
      <c r="B861" s="9"/>
      <c r="C861" s="9"/>
      <c r="D861" s="9"/>
      <c r="E861" s="9"/>
      <c r="F861" s="9"/>
      <c r="G861" s="9"/>
      <c r="H861" s="9"/>
      <c r="I861" s="1" t="s">
        <v>1018</v>
      </c>
      <c r="J861" s="1">
        <v>0.99832302331924438</v>
      </c>
      <c r="K861" s="1" t="s">
        <v>29</v>
      </c>
      <c r="L861" s="1" t="s">
        <v>131</v>
      </c>
      <c r="M861" s="1">
        <v>397</v>
      </c>
    </row>
    <row r="862" spans="1:13" ht="90" customHeight="1" x14ac:dyDescent="0.3">
      <c r="A862" s="8">
        <v>310</v>
      </c>
      <c r="B862" s="8" t="s">
        <v>1019</v>
      </c>
      <c r="C862" s="8" t="s">
        <v>119</v>
      </c>
      <c r="D862" s="8" t="s">
        <v>23</v>
      </c>
      <c r="E862" s="10" t="s">
        <v>24</v>
      </c>
      <c r="F862" s="10" t="s">
        <v>25</v>
      </c>
      <c r="G862" s="8" t="s">
        <v>1020</v>
      </c>
      <c r="H862" s="8" t="s">
        <v>1021</v>
      </c>
      <c r="I862" s="4" t="s">
        <v>1022</v>
      </c>
      <c r="J862" s="4">
        <v>0.9999992847442627</v>
      </c>
      <c r="K862" s="4" t="s">
        <v>29</v>
      </c>
      <c r="L862" s="4" t="s">
        <v>119</v>
      </c>
      <c r="M862" s="4">
        <v>22</v>
      </c>
    </row>
    <row r="863" spans="1:13" ht="90" customHeight="1" x14ac:dyDescent="0.3">
      <c r="A863" s="8"/>
      <c r="B863" s="9"/>
      <c r="C863" s="9"/>
      <c r="D863" s="9"/>
      <c r="E863" s="9"/>
      <c r="F863" s="9"/>
      <c r="G863" s="9"/>
      <c r="H863" s="9"/>
      <c r="I863" s="2" t="s">
        <v>1023</v>
      </c>
      <c r="J863" s="2">
        <v>0.99736988544464111</v>
      </c>
      <c r="K863" s="2" t="s">
        <v>29</v>
      </c>
      <c r="L863" s="2" t="s">
        <v>466</v>
      </c>
      <c r="M863" s="2">
        <v>379</v>
      </c>
    </row>
    <row r="864" spans="1:13" ht="90" customHeight="1" x14ac:dyDescent="0.3">
      <c r="A864" s="8"/>
      <c r="B864" s="9"/>
      <c r="C864" s="9"/>
      <c r="D864" s="9"/>
      <c r="E864" s="9"/>
      <c r="F864" s="9"/>
      <c r="G864" s="9"/>
      <c r="H864" s="9"/>
      <c r="I864" s="2" t="s">
        <v>1024</v>
      </c>
      <c r="J864" s="2">
        <v>0.99502146244049072</v>
      </c>
      <c r="K864" s="2" t="s">
        <v>29</v>
      </c>
      <c r="L864" s="2" t="s">
        <v>466</v>
      </c>
      <c r="M864" s="2">
        <v>277</v>
      </c>
    </row>
    <row r="865" spans="1:13" ht="90" customHeight="1" x14ac:dyDescent="0.3">
      <c r="A865" s="8"/>
      <c r="B865" s="9"/>
      <c r="C865" s="9"/>
      <c r="D865" s="9"/>
      <c r="E865" s="9"/>
      <c r="F865" s="9"/>
      <c r="G865" s="9"/>
      <c r="H865" s="9"/>
      <c r="I865" s="1" t="s">
        <v>1025</v>
      </c>
      <c r="J865" s="1">
        <v>0.9909977912902832</v>
      </c>
      <c r="K865" s="1" t="s">
        <v>29</v>
      </c>
      <c r="L865" s="1" t="s">
        <v>466</v>
      </c>
      <c r="M865" s="1">
        <v>295</v>
      </c>
    </row>
    <row r="866" spans="1:13" ht="90" customHeight="1" x14ac:dyDescent="0.3">
      <c r="A866" s="8"/>
      <c r="B866" s="9"/>
      <c r="C866" s="9"/>
      <c r="D866" s="9"/>
      <c r="E866" s="9"/>
      <c r="F866" s="9"/>
      <c r="G866" s="9"/>
      <c r="H866" s="9"/>
      <c r="I866" s="1" t="s">
        <v>1026</v>
      </c>
      <c r="J866" s="1">
        <v>0.98886734247207642</v>
      </c>
      <c r="K866" s="1" t="s">
        <v>29</v>
      </c>
      <c r="L866" s="1" t="s">
        <v>131</v>
      </c>
      <c r="M866" s="1">
        <v>370</v>
      </c>
    </row>
    <row r="867" spans="1:13" ht="90" customHeight="1" x14ac:dyDescent="0.3">
      <c r="A867" s="8">
        <v>311</v>
      </c>
      <c r="B867" s="8" t="s">
        <v>1027</v>
      </c>
      <c r="C867" s="8" t="s">
        <v>119</v>
      </c>
      <c r="D867" s="8" t="s">
        <v>411</v>
      </c>
      <c r="E867" s="10" t="s">
        <v>24</v>
      </c>
      <c r="F867" s="10" t="s">
        <v>25</v>
      </c>
      <c r="G867" s="8" t="s">
        <v>1028</v>
      </c>
      <c r="H867" s="8" t="s">
        <v>1029</v>
      </c>
      <c r="I867" s="4" t="s">
        <v>1030</v>
      </c>
      <c r="J867" s="4">
        <v>0.99999892711639404</v>
      </c>
      <c r="K867" s="4" t="s">
        <v>29</v>
      </c>
      <c r="L867" s="4" t="s">
        <v>119</v>
      </c>
      <c r="M867" s="4">
        <v>23</v>
      </c>
    </row>
    <row r="868" spans="1:13" ht="90" customHeight="1" x14ac:dyDescent="0.3">
      <c r="A868" s="8"/>
      <c r="B868" s="9"/>
      <c r="C868" s="9"/>
      <c r="D868" s="9"/>
      <c r="E868" s="9"/>
      <c r="F868" s="9"/>
      <c r="G868" s="9"/>
      <c r="H868" s="9"/>
      <c r="I868" s="1"/>
      <c r="J868" s="1"/>
      <c r="K868" s="1"/>
      <c r="L868" s="1"/>
      <c r="M868" s="1"/>
    </row>
    <row r="869" spans="1:13" ht="90" customHeight="1" x14ac:dyDescent="0.3">
      <c r="A869" s="8"/>
      <c r="B869" s="9"/>
      <c r="C869" s="9"/>
      <c r="D869" s="9"/>
      <c r="E869" s="9"/>
      <c r="F869" s="9"/>
      <c r="G869" s="9"/>
      <c r="H869" s="9"/>
      <c r="I869" s="1"/>
      <c r="J869" s="1"/>
      <c r="K869" s="1"/>
      <c r="L869" s="1"/>
      <c r="M869" s="1"/>
    </row>
    <row r="870" spans="1:13" ht="90" customHeight="1" x14ac:dyDescent="0.3">
      <c r="A870" s="8"/>
      <c r="B870" s="9"/>
      <c r="C870" s="9"/>
      <c r="D870" s="9"/>
      <c r="E870" s="9"/>
      <c r="F870" s="9"/>
      <c r="G870" s="9"/>
      <c r="H870" s="9"/>
      <c r="I870" s="1"/>
      <c r="J870" s="1"/>
      <c r="K870" s="1"/>
      <c r="L870" s="1"/>
      <c r="M870" s="1"/>
    </row>
    <row r="871" spans="1:13" ht="90" customHeight="1" x14ac:dyDescent="0.3">
      <c r="A871" s="8"/>
      <c r="B871" s="9"/>
      <c r="C871" s="9"/>
      <c r="D871" s="9"/>
      <c r="E871" s="9"/>
      <c r="F871" s="9"/>
      <c r="G871" s="9"/>
      <c r="H871" s="9"/>
      <c r="I871" s="1"/>
      <c r="J871" s="1"/>
      <c r="K871" s="1"/>
      <c r="L871" s="1"/>
      <c r="M871" s="1"/>
    </row>
    <row r="872" spans="1:13" ht="90" customHeight="1" x14ac:dyDescent="0.3">
      <c r="A872" s="8">
        <v>312</v>
      </c>
      <c r="B872" s="8" t="s">
        <v>1031</v>
      </c>
      <c r="C872" s="8" t="s">
        <v>1032</v>
      </c>
      <c r="D872" s="8" t="s">
        <v>542</v>
      </c>
      <c r="E872" s="10" t="s">
        <v>24</v>
      </c>
      <c r="F872" s="10" t="s">
        <v>25</v>
      </c>
      <c r="G872" s="8" t="s">
        <v>1033</v>
      </c>
      <c r="H872" s="8" t="s">
        <v>1034</v>
      </c>
      <c r="I872" s="2" t="s">
        <v>1035</v>
      </c>
      <c r="J872" s="2">
        <v>0.99992179870605469</v>
      </c>
      <c r="K872" s="2" t="s">
        <v>29</v>
      </c>
      <c r="L872" s="2" t="s">
        <v>119</v>
      </c>
      <c r="M872" s="2">
        <v>25</v>
      </c>
    </row>
    <row r="873" spans="1:13" ht="90" customHeight="1" x14ac:dyDescent="0.3">
      <c r="A873" s="8"/>
      <c r="B873" s="9"/>
      <c r="C873" s="9"/>
      <c r="D873" s="9"/>
      <c r="E873" s="9"/>
      <c r="F873" s="9"/>
      <c r="G873" s="9"/>
      <c r="H873" s="9"/>
      <c r="I873" s="4" t="s">
        <v>1036</v>
      </c>
      <c r="J873" s="4">
        <v>0.99894803762435913</v>
      </c>
      <c r="K873" s="4" t="s">
        <v>68</v>
      </c>
      <c r="L873" s="4" t="s">
        <v>1032</v>
      </c>
      <c r="M873" s="4">
        <v>3</v>
      </c>
    </row>
    <row r="874" spans="1:13" ht="90" customHeight="1" x14ac:dyDescent="0.3">
      <c r="A874" s="8"/>
      <c r="B874" s="9"/>
      <c r="C874" s="9"/>
      <c r="D874" s="9"/>
      <c r="E874" s="9"/>
      <c r="F874" s="9"/>
      <c r="G874" s="9"/>
      <c r="H874" s="9"/>
      <c r="I874" s="5" t="s">
        <v>1037</v>
      </c>
      <c r="J874" s="5">
        <v>0.99757844209671021</v>
      </c>
      <c r="K874" s="5" t="s">
        <v>68</v>
      </c>
      <c r="L874" s="5" t="s">
        <v>1032</v>
      </c>
      <c r="M874" s="5">
        <v>2</v>
      </c>
    </row>
    <row r="875" spans="1:13" ht="90" customHeight="1" x14ac:dyDescent="0.3">
      <c r="A875" s="8"/>
      <c r="B875" s="9"/>
      <c r="C875" s="9"/>
      <c r="D875" s="9"/>
      <c r="E875" s="9"/>
      <c r="F875" s="9"/>
      <c r="G875" s="9"/>
      <c r="H875" s="9"/>
      <c r="I875" s="1" t="s">
        <v>1038</v>
      </c>
      <c r="J875" s="1">
        <v>0.88889998197555542</v>
      </c>
      <c r="K875" s="1" t="s">
        <v>29</v>
      </c>
      <c r="L875" s="1" t="s">
        <v>119</v>
      </c>
      <c r="M875" s="1">
        <v>26</v>
      </c>
    </row>
    <row r="876" spans="1:13" ht="90" customHeight="1" x14ac:dyDescent="0.3">
      <c r="A876" s="8"/>
      <c r="B876" s="9"/>
      <c r="C876" s="9"/>
      <c r="D876" s="9"/>
      <c r="E876" s="9"/>
      <c r="F876" s="9"/>
      <c r="G876" s="9"/>
      <c r="H876" s="9"/>
      <c r="I876" s="1"/>
      <c r="J876" s="1"/>
      <c r="K876" s="1"/>
      <c r="L876" s="1"/>
      <c r="M876" s="1"/>
    </row>
    <row r="877" spans="1:13" ht="90" customHeight="1" x14ac:dyDescent="0.3">
      <c r="A877" s="8">
        <v>313</v>
      </c>
      <c r="B877" s="8" t="s">
        <v>1039</v>
      </c>
      <c r="C877" s="8" t="s">
        <v>410</v>
      </c>
      <c r="D877" s="8" t="s">
        <v>417</v>
      </c>
      <c r="E877" s="10" t="s">
        <v>24</v>
      </c>
      <c r="F877" s="10" t="s">
        <v>25</v>
      </c>
      <c r="G877" s="8" t="s">
        <v>1040</v>
      </c>
      <c r="H877" s="8" t="s">
        <v>1041</v>
      </c>
      <c r="I877" s="4" t="s">
        <v>420</v>
      </c>
      <c r="J877" s="4">
        <v>0.98586523532867054</v>
      </c>
      <c r="K877" s="4" t="s">
        <v>29</v>
      </c>
      <c r="L877" s="4" t="s">
        <v>410</v>
      </c>
      <c r="M877" s="4">
        <v>36</v>
      </c>
    </row>
    <row r="878" spans="1:13" ht="90" customHeight="1" x14ac:dyDescent="0.3">
      <c r="A878" s="8"/>
      <c r="B878" s="9"/>
      <c r="C878" s="9"/>
      <c r="D878" s="9"/>
      <c r="E878" s="9"/>
      <c r="F878" s="9"/>
      <c r="G878" s="9"/>
      <c r="H878" s="9"/>
      <c r="I878" s="1"/>
      <c r="J878" s="1"/>
      <c r="K878" s="1"/>
      <c r="L878" s="1"/>
      <c r="M878" s="1"/>
    </row>
    <row r="879" spans="1:13" ht="90" customHeight="1" x14ac:dyDescent="0.3">
      <c r="A879" s="8"/>
      <c r="B879" s="9"/>
      <c r="C879" s="9"/>
      <c r="D879" s="9"/>
      <c r="E879" s="9"/>
      <c r="F879" s="9"/>
      <c r="G879" s="9"/>
      <c r="H879" s="9"/>
      <c r="I879" s="1"/>
      <c r="J879" s="1"/>
      <c r="K879" s="1"/>
      <c r="L879" s="1"/>
      <c r="M879" s="1"/>
    </row>
    <row r="880" spans="1:13" ht="90" customHeight="1" x14ac:dyDescent="0.3">
      <c r="A880" s="8"/>
      <c r="B880" s="9"/>
      <c r="C880" s="9"/>
      <c r="D880" s="9"/>
      <c r="E880" s="9"/>
      <c r="F880" s="9"/>
      <c r="G880" s="9"/>
      <c r="H880" s="9"/>
      <c r="I880" s="1"/>
      <c r="J880" s="1"/>
      <c r="K880" s="1"/>
      <c r="L880" s="1"/>
      <c r="M880" s="1"/>
    </row>
    <row r="881" spans="1:13" ht="90" customHeight="1" x14ac:dyDescent="0.3">
      <c r="A881" s="8"/>
      <c r="B881" s="9"/>
      <c r="C881" s="9"/>
      <c r="D881" s="9"/>
      <c r="E881" s="9"/>
      <c r="F881" s="9"/>
      <c r="G881" s="9"/>
      <c r="H881" s="9"/>
      <c r="I881" s="1"/>
      <c r="J881" s="1"/>
      <c r="K881" s="1"/>
      <c r="L881" s="1"/>
      <c r="M881" s="1"/>
    </row>
    <row r="882" spans="1:13" ht="90" customHeight="1" x14ac:dyDescent="0.3">
      <c r="A882" s="8">
        <v>314</v>
      </c>
      <c r="B882" s="8" t="s">
        <v>1042</v>
      </c>
      <c r="C882" s="8" t="s">
        <v>1043</v>
      </c>
      <c r="D882" s="8" t="s">
        <v>481</v>
      </c>
      <c r="E882" s="10" t="s">
        <v>24</v>
      </c>
      <c r="F882" s="10" t="s">
        <v>25</v>
      </c>
      <c r="G882" s="8" t="s">
        <v>1044</v>
      </c>
      <c r="H882" s="8" t="s">
        <v>1045</v>
      </c>
      <c r="I882" s="4" t="s">
        <v>1046</v>
      </c>
      <c r="J882" s="4">
        <v>0.99971509676842396</v>
      </c>
      <c r="K882" s="4" t="s">
        <v>29</v>
      </c>
      <c r="L882" s="4" t="s">
        <v>1043</v>
      </c>
      <c r="M882" s="4">
        <v>1</v>
      </c>
    </row>
    <row r="883" spans="1:13" ht="90" customHeight="1" x14ac:dyDescent="0.3">
      <c r="A883" s="8"/>
      <c r="B883" s="9"/>
      <c r="C883" s="9"/>
      <c r="D883" s="9"/>
      <c r="E883" s="9"/>
      <c r="F883" s="9"/>
      <c r="G883" s="9"/>
      <c r="H883" s="9"/>
      <c r="I883" s="5" t="s">
        <v>1047</v>
      </c>
      <c r="J883" s="5">
        <v>0.99963855743408203</v>
      </c>
      <c r="K883" s="5" t="s">
        <v>29</v>
      </c>
      <c r="L883" s="5" t="s">
        <v>1043</v>
      </c>
      <c r="M883" s="5">
        <v>2</v>
      </c>
    </row>
    <row r="884" spans="1:13" ht="90" customHeight="1" x14ac:dyDescent="0.3">
      <c r="A884" s="8"/>
      <c r="B884" s="9"/>
      <c r="C884" s="9"/>
      <c r="D884" s="9"/>
      <c r="E884" s="9"/>
      <c r="F884" s="9"/>
      <c r="G884" s="9"/>
      <c r="H884" s="9"/>
      <c r="I884" s="1"/>
      <c r="J884" s="1"/>
      <c r="K884" s="1"/>
      <c r="L884" s="1"/>
      <c r="M884" s="1"/>
    </row>
    <row r="885" spans="1:13" ht="90" customHeight="1" x14ac:dyDescent="0.3">
      <c r="A885" s="8"/>
      <c r="B885" s="9"/>
      <c r="C885" s="9"/>
      <c r="D885" s="9"/>
      <c r="E885" s="9"/>
      <c r="F885" s="9"/>
      <c r="G885" s="9"/>
      <c r="H885" s="9"/>
      <c r="I885" s="1"/>
      <c r="J885" s="1"/>
      <c r="K885" s="1"/>
      <c r="L885" s="1"/>
      <c r="M885" s="1"/>
    </row>
    <row r="886" spans="1:13" ht="90" customHeight="1" x14ac:dyDescent="0.3">
      <c r="A886" s="8"/>
      <c r="B886" s="9"/>
      <c r="C886" s="9"/>
      <c r="D886" s="9"/>
      <c r="E886" s="9"/>
      <c r="F886" s="9"/>
      <c r="G886" s="9"/>
      <c r="H886" s="9"/>
      <c r="I886" s="1"/>
      <c r="J886" s="1"/>
      <c r="K886" s="1"/>
      <c r="L886" s="1"/>
      <c r="M886" s="1"/>
    </row>
    <row r="887" spans="1:13" ht="90" customHeight="1" x14ac:dyDescent="0.3">
      <c r="A887" s="8">
        <v>315</v>
      </c>
      <c r="B887" s="8" t="s">
        <v>1048</v>
      </c>
      <c r="C887" s="8" t="s">
        <v>366</v>
      </c>
      <c r="D887" s="8" t="s">
        <v>962</v>
      </c>
      <c r="E887" s="10" t="s">
        <v>24</v>
      </c>
      <c r="F887" s="10" t="s">
        <v>25</v>
      </c>
      <c r="G887" s="8" t="s">
        <v>1049</v>
      </c>
      <c r="H887" s="8" t="s">
        <v>1050</v>
      </c>
      <c r="I887" s="4" t="s">
        <v>965</v>
      </c>
      <c r="J887" s="4">
        <v>0.99943608045578003</v>
      </c>
      <c r="K887" s="4" t="s">
        <v>29</v>
      </c>
      <c r="L887" s="4" t="s">
        <v>366</v>
      </c>
      <c r="M887" s="4">
        <v>19</v>
      </c>
    </row>
    <row r="888" spans="1:13" ht="90" customHeight="1" x14ac:dyDescent="0.3">
      <c r="A888" s="8"/>
      <c r="B888" s="9"/>
      <c r="C888" s="9"/>
      <c r="D888" s="9"/>
      <c r="E888" s="9"/>
      <c r="F888" s="9"/>
      <c r="G888" s="9"/>
      <c r="H888" s="9"/>
      <c r="I888" s="1"/>
      <c r="J888" s="1"/>
      <c r="K888" s="1"/>
      <c r="L888" s="1"/>
      <c r="M888" s="1"/>
    </row>
    <row r="889" spans="1:13" ht="90" customHeight="1" x14ac:dyDescent="0.3">
      <c r="A889" s="8"/>
      <c r="B889" s="9"/>
      <c r="C889" s="9"/>
      <c r="D889" s="9"/>
      <c r="E889" s="9"/>
      <c r="F889" s="9"/>
      <c r="G889" s="9"/>
      <c r="H889" s="9"/>
      <c r="I889" s="1"/>
      <c r="J889" s="1"/>
      <c r="K889" s="1"/>
      <c r="L889" s="1"/>
      <c r="M889" s="1"/>
    </row>
    <row r="890" spans="1:13" ht="90" customHeight="1" x14ac:dyDescent="0.3">
      <c r="A890" s="8"/>
      <c r="B890" s="9"/>
      <c r="C890" s="9"/>
      <c r="D890" s="9"/>
      <c r="E890" s="9"/>
      <c r="F890" s="9"/>
      <c r="G890" s="9"/>
      <c r="H890" s="9"/>
      <c r="I890" s="1"/>
      <c r="J890" s="1"/>
      <c r="K890" s="1"/>
      <c r="L890" s="1"/>
      <c r="M890" s="1"/>
    </row>
    <row r="891" spans="1:13" ht="90" customHeight="1" x14ac:dyDescent="0.3">
      <c r="A891" s="8"/>
      <c r="B891" s="9"/>
      <c r="C891" s="9"/>
      <c r="D891" s="9"/>
      <c r="E891" s="9"/>
      <c r="F891" s="9"/>
      <c r="G891" s="9"/>
      <c r="H891" s="9"/>
      <c r="I891" s="1"/>
      <c r="J891" s="1"/>
      <c r="K891" s="1"/>
      <c r="L891" s="1"/>
      <c r="M891" s="1"/>
    </row>
    <row r="892" spans="1:13" ht="90" customHeight="1" x14ac:dyDescent="0.3">
      <c r="A892" s="8">
        <v>316</v>
      </c>
      <c r="B892" s="8" t="s">
        <v>1051</v>
      </c>
      <c r="C892" s="8" t="s">
        <v>53</v>
      </c>
      <c r="D892" s="8" t="s">
        <v>1052</v>
      </c>
      <c r="E892" s="10" t="s">
        <v>24</v>
      </c>
      <c r="F892" s="10" t="s">
        <v>25</v>
      </c>
      <c r="G892" s="8" t="s">
        <v>1053</v>
      </c>
      <c r="H892" s="8" t="s">
        <v>1054</v>
      </c>
      <c r="I892" s="4" t="s">
        <v>716</v>
      </c>
      <c r="J892" s="4">
        <v>0.9997984766960144</v>
      </c>
      <c r="K892" s="4" t="s">
        <v>29</v>
      </c>
      <c r="L892" s="4" t="s">
        <v>53</v>
      </c>
      <c r="M892" s="4">
        <v>8</v>
      </c>
    </row>
    <row r="893" spans="1:13" ht="90" customHeight="1" x14ac:dyDescent="0.3">
      <c r="A893" s="8"/>
      <c r="B893" s="9"/>
      <c r="C893" s="9"/>
      <c r="D893" s="9"/>
      <c r="E893" s="9"/>
      <c r="F893" s="9"/>
      <c r="G893" s="9"/>
      <c r="H893" s="9"/>
      <c r="I893" s="4" t="s">
        <v>715</v>
      </c>
      <c r="J893" s="4">
        <v>0.99967098236083984</v>
      </c>
      <c r="K893" s="4" t="s">
        <v>29</v>
      </c>
      <c r="L893" s="4" t="s">
        <v>53</v>
      </c>
      <c r="M893" s="4">
        <v>7</v>
      </c>
    </row>
    <row r="894" spans="1:13" ht="90" customHeight="1" x14ac:dyDescent="0.3">
      <c r="A894" s="8"/>
      <c r="B894" s="9"/>
      <c r="C894" s="9"/>
      <c r="D894" s="9"/>
      <c r="E894" s="9"/>
      <c r="F894" s="9"/>
      <c r="G894" s="9"/>
      <c r="H894" s="9"/>
      <c r="I894" s="1"/>
      <c r="J894" s="1"/>
      <c r="K894" s="1"/>
      <c r="L894" s="1"/>
      <c r="M894" s="1"/>
    </row>
    <row r="895" spans="1:13" ht="90" customHeight="1" x14ac:dyDescent="0.3">
      <c r="A895" s="8"/>
      <c r="B895" s="9"/>
      <c r="C895" s="9"/>
      <c r="D895" s="9"/>
      <c r="E895" s="9"/>
      <c r="F895" s="9"/>
      <c r="G895" s="9"/>
      <c r="H895" s="9"/>
      <c r="I895" s="1"/>
      <c r="J895" s="1"/>
      <c r="K895" s="1"/>
      <c r="L895" s="1"/>
      <c r="M895" s="1"/>
    </row>
    <row r="896" spans="1:13" ht="90" customHeight="1" x14ac:dyDescent="0.3">
      <c r="A896" s="8"/>
      <c r="B896" s="9"/>
      <c r="C896" s="9"/>
      <c r="D896" s="9"/>
      <c r="E896" s="9"/>
      <c r="F896" s="9"/>
      <c r="G896" s="9"/>
      <c r="H896" s="9"/>
      <c r="I896" s="1"/>
      <c r="J896" s="1"/>
      <c r="K896" s="1"/>
      <c r="L896" s="1"/>
      <c r="M896" s="1"/>
    </row>
    <row r="897" spans="1:13" ht="90" customHeight="1" x14ac:dyDescent="0.3">
      <c r="A897" s="8">
        <v>318</v>
      </c>
      <c r="B897" s="8" t="s">
        <v>1055</v>
      </c>
      <c r="C897" s="8" t="s">
        <v>1056</v>
      </c>
      <c r="D897" s="8" t="s">
        <v>16</v>
      </c>
      <c r="E897" s="10" t="s">
        <v>24</v>
      </c>
      <c r="F897" s="10" t="s">
        <v>25</v>
      </c>
      <c r="G897" s="8" t="s">
        <v>1057</v>
      </c>
      <c r="H897" s="8" t="s">
        <v>1058</v>
      </c>
      <c r="I897" s="4" t="s">
        <v>1059</v>
      </c>
      <c r="J897" s="4">
        <v>0.83719629049301147</v>
      </c>
      <c r="K897" s="4" t="s">
        <v>29</v>
      </c>
      <c r="L897" s="4" t="s">
        <v>1056</v>
      </c>
      <c r="M897" s="4">
        <v>1</v>
      </c>
    </row>
    <row r="898" spans="1:13" ht="90" customHeight="1" x14ac:dyDescent="0.3">
      <c r="A898" s="8"/>
      <c r="B898" s="9"/>
      <c r="C898" s="9"/>
      <c r="D898" s="9"/>
      <c r="E898" s="9"/>
      <c r="F898" s="9"/>
      <c r="G898" s="9"/>
      <c r="H898" s="9"/>
      <c r="I898" s="1"/>
      <c r="J898" s="1"/>
      <c r="K898" s="1"/>
      <c r="L898" s="1"/>
      <c r="M898" s="1"/>
    </row>
    <row r="899" spans="1:13" ht="90" customHeight="1" x14ac:dyDescent="0.3">
      <c r="A899" s="8"/>
      <c r="B899" s="9"/>
      <c r="C899" s="9"/>
      <c r="D899" s="9"/>
      <c r="E899" s="9"/>
      <c r="F899" s="9"/>
      <c r="G899" s="9"/>
      <c r="H899" s="9"/>
      <c r="I899" s="1"/>
      <c r="J899" s="1"/>
      <c r="K899" s="1"/>
      <c r="L899" s="1"/>
      <c r="M899" s="1"/>
    </row>
    <row r="900" spans="1:13" ht="90" customHeight="1" x14ac:dyDescent="0.3">
      <c r="A900" s="8"/>
      <c r="B900" s="9"/>
      <c r="C900" s="9"/>
      <c r="D900" s="9"/>
      <c r="E900" s="9"/>
      <c r="F900" s="9"/>
      <c r="G900" s="9"/>
      <c r="H900" s="9"/>
      <c r="I900" s="1"/>
      <c r="J900" s="1"/>
      <c r="K900" s="1"/>
      <c r="L900" s="1"/>
      <c r="M900" s="1"/>
    </row>
    <row r="901" spans="1:13" ht="90" customHeight="1" x14ac:dyDescent="0.3">
      <c r="A901" s="8"/>
      <c r="B901" s="9"/>
      <c r="C901" s="9"/>
      <c r="D901" s="9"/>
      <c r="E901" s="9"/>
      <c r="F901" s="9"/>
      <c r="G901" s="9"/>
      <c r="H901" s="9"/>
      <c r="I901" s="1"/>
      <c r="J901" s="1"/>
      <c r="K901" s="1"/>
      <c r="L901" s="1"/>
      <c r="M901" s="1"/>
    </row>
    <row r="902" spans="1:13" ht="90" customHeight="1" x14ac:dyDescent="0.3">
      <c r="A902" s="8">
        <v>320</v>
      </c>
      <c r="B902" s="8" t="s">
        <v>1060</v>
      </c>
      <c r="C902" s="8" t="s">
        <v>356</v>
      </c>
      <c r="D902" s="11" t="s">
        <v>1204</v>
      </c>
      <c r="E902" s="10" t="s">
        <v>1201</v>
      </c>
      <c r="F902" s="10" t="s">
        <v>1202</v>
      </c>
      <c r="G902" s="8" t="s">
        <v>1061</v>
      </c>
      <c r="H902" s="8" t="s">
        <v>1062</v>
      </c>
      <c r="I902" s="6" t="s">
        <v>1063</v>
      </c>
      <c r="J902" s="6">
        <v>0.99826282262802124</v>
      </c>
      <c r="K902" s="6" t="s">
        <v>29</v>
      </c>
      <c r="L902" s="6" t="s">
        <v>356</v>
      </c>
      <c r="M902" s="6">
        <v>330</v>
      </c>
    </row>
    <row r="903" spans="1:13" ht="90" customHeight="1" x14ac:dyDescent="0.3">
      <c r="A903" s="8"/>
      <c r="B903" s="9"/>
      <c r="C903" s="9"/>
      <c r="D903" s="9"/>
      <c r="E903" s="9"/>
      <c r="F903" s="9"/>
      <c r="G903" s="9"/>
      <c r="H903" s="9"/>
      <c r="I903" s="1"/>
      <c r="J903" s="1"/>
      <c r="K903" s="1"/>
      <c r="L903" s="1"/>
      <c r="M903" s="1"/>
    </row>
    <row r="904" spans="1:13" ht="90" customHeight="1" x14ac:dyDescent="0.3">
      <c r="A904" s="8"/>
      <c r="B904" s="9"/>
      <c r="C904" s="9"/>
      <c r="D904" s="9"/>
      <c r="E904" s="9"/>
      <c r="F904" s="9"/>
      <c r="G904" s="9"/>
      <c r="H904" s="9"/>
      <c r="I904" s="1"/>
      <c r="J904" s="1"/>
      <c r="K904" s="1"/>
      <c r="L904" s="1"/>
      <c r="M904" s="1"/>
    </row>
    <row r="905" spans="1:13" ht="90" customHeight="1" x14ac:dyDescent="0.3">
      <c r="A905" s="8"/>
      <c r="B905" s="9"/>
      <c r="C905" s="9"/>
      <c r="D905" s="9"/>
      <c r="E905" s="9"/>
      <c r="F905" s="9"/>
      <c r="G905" s="9"/>
      <c r="H905" s="9"/>
      <c r="I905" s="1"/>
      <c r="J905" s="1"/>
      <c r="K905" s="1"/>
      <c r="L905" s="1"/>
      <c r="M905" s="1"/>
    </row>
    <row r="906" spans="1:13" ht="90" customHeight="1" x14ac:dyDescent="0.3">
      <c r="A906" s="8"/>
      <c r="B906" s="9"/>
      <c r="C906" s="9"/>
      <c r="D906" s="9"/>
      <c r="E906" s="9"/>
      <c r="F906" s="9"/>
      <c r="G906" s="9"/>
      <c r="H906" s="9"/>
      <c r="I906" s="1"/>
      <c r="J906" s="1"/>
      <c r="K906" s="1"/>
      <c r="L906" s="1"/>
      <c r="M906" s="1"/>
    </row>
    <row r="907" spans="1:13" ht="90" customHeight="1" x14ac:dyDescent="0.3">
      <c r="A907" s="8">
        <v>321</v>
      </c>
      <c r="B907" s="8" t="s">
        <v>1064</v>
      </c>
      <c r="C907" s="8" t="s">
        <v>866</v>
      </c>
      <c r="D907" s="8" t="s">
        <v>1065</v>
      </c>
      <c r="E907" s="10" t="s">
        <v>24</v>
      </c>
      <c r="F907" s="10" t="s">
        <v>25</v>
      </c>
      <c r="G907" s="8" t="s">
        <v>1066</v>
      </c>
      <c r="H907" s="8" t="s">
        <v>1067</v>
      </c>
      <c r="I907" s="4" t="s">
        <v>1068</v>
      </c>
      <c r="J907" s="4">
        <v>0.99970632791519165</v>
      </c>
      <c r="K907" s="4" t="s">
        <v>29</v>
      </c>
      <c r="L907" s="4" t="s">
        <v>866</v>
      </c>
      <c r="M907" s="4">
        <v>14</v>
      </c>
    </row>
    <row r="908" spans="1:13" ht="90" customHeight="1" x14ac:dyDescent="0.3">
      <c r="A908" s="8"/>
      <c r="B908" s="9"/>
      <c r="C908" s="9"/>
      <c r="D908" s="9"/>
      <c r="E908" s="9"/>
      <c r="F908" s="9"/>
      <c r="G908" s="9"/>
      <c r="H908" s="9"/>
      <c r="I908" s="1" t="s">
        <v>683</v>
      </c>
      <c r="J908" s="1">
        <v>0.93748205900192261</v>
      </c>
      <c r="K908" s="1" t="s">
        <v>29</v>
      </c>
      <c r="L908" s="1" t="s">
        <v>209</v>
      </c>
      <c r="M908" s="1">
        <v>45</v>
      </c>
    </row>
    <row r="909" spans="1:13" ht="90" customHeight="1" x14ac:dyDescent="0.3">
      <c r="A909" s="8"/>
      <c r="B909" s="9"/>
      <c r="C909" s="9"/>
      <c r="D909" s="9"/>
      <c r="E909" s="9"/>
      <c r="F909" s="9"/>
      <c r="G909" s="9"/>
      <c r="H909" s="9"/>
      <c r="I909" s="1"/>
      <c r="J909" s="1"/>
      <c r="K909" s="1"/>
      <c r="L909" s="1"/>
      <c r="M909" s="1"/>
    </row>
    <row r="910" spans="1:13" ht="90" customHeight="1" x14ac:dyDescent="0.3">
      <c r="A910" s="8"/>
      <c r="B910" s="9"/>
      <c r="C910" s="9"/>
      <c r="D910" s="9"/>
      <c r="E910" s="9"/>
      <c r="F910" s="9"/>
      <c r="G910" s="9"/>
      <c r="H910" s="9"/>
      <c r="I910" s="1"/>
      <c r="J910" s="1"/>
      <c r="K910" s="1"/>
      <c r="L910" s="1"/>
      <c r="M910" s="1"/>
    </row>
    <row r="911" spans="1:13" ht="90" customHeight="1" x14ac:dyDescent="0.3">
      <c r="A911" s="8"/>
      <c r="B911" s="9"/>
      <c r="C911" s="9"/>
      <c r="D911" s="9"/>
      <c r="E911" s="9"/>
      <c r="F911" s="9"/>
      <c r="G911" s="9"/>
      <c r="H911" s="9"/>
      <c r="I911" s="1"/>
      <c r="J911" s="1"/>
      <c r="K911" s="1"/>
      <c r="L911" s="1"/>
      <c r="M911" s="1"/>
    </row>
    <row r="912" spans="1:13" ht="90" customHeight="1" x14ac:dyDescent="0.3">
      <c r="A912" s="8">
        <v>322</v>
      </c>
      <c r="B912" s="8" t="s">
        <v>1069</v>
      </c>
      <c r="C912" s="8" t="s">
        <v>119</v>
      </c>
      <c r="D912" s="8" t="s">
        <v>127</v>
      </c>
      <c r="E912" s="10" t="s">
        <v>24</v>
      </c>
      <c r="F912" s="10" t="s">
        <v>25</v>
      </c>
      <c r="G912" s="8" t="s">
        <v>1070</v>
      </c>
      <c r="H912" s="8" t="s">
        <v>1071</v>
      </c>
      <c r="I912" s="4" t="s">
        <v>757</v>
      </c>
      <c r="J912" s="4">
        <v>0.99770313501357988</v>
      </c>
      <c r="K912" s="4" t="s">
        <v>29</v>
      </c>
      <c r="L912" s="4" t="s">
        <v>119</v>
      </c>
      <c r="M912" s="4">
        <v>13</v>
      </c>
    </row>
    <row r="913" spans="1:13" ht="90" customHeight="1" x14ac:dyDescent="0.3">
      <c r="A913" s="8"/>
      <c r="B913" s="9"/>
      <c r="C913" s="9"/>
      <c r="D913" s="9"/>
      <c r="E913" s="9"/>
      <c r="F913" s="9"/>
      <c r="G913" s="9"/>
      <c r="H913" s="9"/>
      <c r="I913" s="1"/>
      <c r="J913" s="1"/>
      <c r="K913" s="1"/>
      <c r="L913" s="1"/>
      <c r="M913" s="1"/>
    </row>
    <row r="914" spans="1:13" ht="90" customHeight="1" x14ac:dyDescent="0.3">
      <c r="A914" s="8"/>
      <c r="B914" s="9"/>
      <c r="C914" s="9"/>
      <c r="D914" s="9"/>
      <c r="E914" s="9"/>
      <c r="F914" s="9"/>
      <c r="G914" s="9"/>
      <c r="H914" s="9"/>
      <c r="I914" s="1"/>
      <c r="J914" s="1"/>
      <c r="K914" s="1"/>
      <c r="L914" s="1"/>
      <c r="M914" s="1"/>
    </row>
    <row r="915" spans="1:13" ht="90" customHeight="1" x14ac:dyDescent="0.3">
      <c r="A915" s="8"/>
      <c r="B915" s="9"/>
      <c r="C915" s="9"/>
      <c r="D915" s="9"/>
      <c r="E915" s="9"/>
      <c r="F915" s="9"/>
      <c r="G915" s="9"/>
      <c r="H915" s="9"/>
      <c r="I915" s="1"/>
      <c r="J915" s="1"/>
      <c r="K915" s="1"/>
      <c r="L915" s="1"/>
      <c r="M915" s="1"/>
    </row>
    <row r="916" spans="1:13" ht="90" customHeight="1" x14ac:dyDescent="0.3">
      <c r="A916" s="8"/>
      <c r="B916" s="9"/>
      <c r="C916" s="9"/>
      <c r="D916" s="9"/>
      <c r="E916" s="9"/>
      <c r="F916" s="9"/>
      <c r="G916" s="9"/>
      <c r="H916" s="9"/>
      <c r="I916" s="1"/>
      <c r="J916" s="1"/>
      <c r="K916" s="1"/>
      <c r="L916" s="1"/>
      <c r="M916" s="1"/>
    </row>
    <row r="917" spans="1:13" ht="90" customHeight="1" x14ac:dyDescent="0.3">
      <c r="A917" s="8">
        <v>324</v>
      </c>
      <c r="B917" s="8" t="s">
        <v>1072</v>
      </c>
      <c r="C917" s="8" t="s">
        <v>1073</v>
      </c>
      <c r="D917" s="8" t="s">
        <v>1074</v>
      </c>
      <c r="E917" s="10" t="s">
        <v>17</v>
      </c>
      <c r="F917" s="10" t="s">
        <v>18</v>
      </c>
      <c r="G917" s="8" t="s">
        <v>1075</v>
      </c>
      <c r="H917" s="8" t="s">
        <v>1076</v>
      </c>
      <c r="I917" s="2" t="s">
        <v>1077</v>
      </c>
      <c r="J917" s="2">
        <v>0.99427694082260132</v>
      </c>
      <c r="K917" s="2" t="s">
        <v>29</v>
      </c>
      <c r="L917" s="2" t="s">
        <v>320</v>
      </c>
      <c r="M917" s="2">
        <v>228</v>
      </c>
    </row>
    <row r="918" spans="1:13" ht="90" customHeight="1" x14ac:dyDescent="0.3">
      <c r="A918" s="8"/>
      <c r="B918" s="9"/>
      <c r="C918" s="9"/>
      <c r="D918" s="9"/>
      <c r="E918" s="9"/>
      <c r="F918" s="9"/>
      <c r="G918" s="9"/>
      <c r="H918" s="9"/>
      <c r="I918" s="2" t="s">
        <v>1078</v>
      </c>
      <c r="J918" s="2">
        <v>0.95850187540054321</v>
      </c>
      <c r="K918" s="2" t="s">
        <v>29</v>
      </c>
      <c r="L918" s="2" t="s">
        <v>1073</v>
      </c>
      <c r="M918" s="2">
        <v>51</v>
      </c>
    </row>
    <row r="919" spans="1:13" ht="90" customHeight="1" x14ac:dyDescent="0.3">
      <c r="A919" s="8"/>
      <c r="B919" s="9"/>
      <c r="C919" s="9"/>
      <c r="D919" s="9"/>
      <c r="E919" s="9"/>
      <c r="F919" s="9"/>
      <c r="G919" s="9"/>
      <c r="H919" s="9"/>
      <c r="I919" s="2" t="s">
        <v>1079</v>
      </c>
      <c r="J919" s="2">
        <v>0.9387516975402832</v>
      </c>
      <c r="K919" s="2" t="s">
        <v>68</v>
      </c>
      <c r="L919" s="2" t="s">
        <v>1080</v>
      </c>
      <c r="M919" s="2">
        <v>1</v>
      </c>
    </row>
    <row r="920" spans="1:13" ht="90" customHeight="1" x14ac:dyDescent="0.3">
      <c r="A920" s="8"/>
      <c r="B920" s="9"/>
      <c r="C920" s="9"/>
      <c r="D920" s="9"/>
      <c r="E920" s="9"/>
      <c r="F920" s="9"/>
      <c r="G920" s="9"/>
      <c r="H920" s="9"/>
      <c r="I920" s="1" t="s">
        <v>1081</v>
      </c>
      <c r="J920" s="1">
        <v>0.92527878284454346</v>
      </c>
      <c r="K920" s="1" t="s">
        <v>29</v>
      </c>
      <c r="L920" s="1" t="s">
        <v>323</v>
      </c>
      <c r="M920" s="1">
        <v>217</v>
      </c>
    </row>
    <row r="921" spans="1:13" ht="90" customHeight="1" x14ac:dyDescent="0.3">
      <c r="A921" s="8"/>
      <c r="B921" s="9"/>
      <c r="C921" s="9"/>
      <c r="D921" s="9"/>
      <c r="E921" s="9"/>
      <c r="F921" s="9"/>
      <c r="G921" s="9"/>
      <c r="H921" s="9"/>
      <c r="I921" s="1" t="s">
        <v>1082</v>
      </c>
      <c r="J921" s="1">
        <v>0.91823411237366759</v>
      </c>
      <c r="K921" s="1" t="s">
        <v>68</v>
      </c>
      <c r="L921" s="1" t="s">
        <v>1083</v>
      </c>
      <c r="M921" s="1">
        <v>2</v>
      </c>
    </row>
    <row r="922" spans="1:13" ht="90" customHeight="1" x14ac:dyDescent="0.3">
      <c r="A922" s="8">
        <v>327</v>
      </c>
      <c r="B922" s="8" t="s">
        <v>1084</v>
      </c>
      <c r="C922" s="8" t="s">
        <v>333</v>
      </c>
      <c r="D922" s="8" t="s">
        <v>1085</v>
      </c>
      <c r="E922" s="10" t="s">
        <v>17</v>
      </c>
      <c r="F922" s="10" t="s">
        <v>18</v>
      </c>
      <c r="G922" s="8" t="s">
        <v>1086</v>
      </c>
      <c r="H922" s="8" t="s">
        <v>20</v>
      </c>
      <c r="I922" s="1"/>
      <c r="J922" s="1"/>
      <c r="K922" s="1"/>
      <c r="L922" s="1"/>
      <c r="M922" s="1"/>
    </row>
    <row r="923" spans="1:13" ht="90" customHeight="1" x14ac:dyDescent="0.3">
      <c r="A923" s="8"/>
      <c r="B923" s="9"/>
      <c r="C923" s="9"/>
      <c r="D923" s="9"/>
      <c r="E923" s="9"/>
      <c r="F923" s="9"/>
      <c r="G923" s="9"/>
      <c r="H923" s="9"/>
      <c r="I923" s="1"/>
      <c r="J923" s="1"/>
      <c r="K923" s="1"/>
      <c r="L923" s="1"/>
      <c r="M923" s="1"/>
    </row>
    <row r="924" spans="1:13" ht="90" customHeight="1" x14ac:dyDescent="0.3">
      <c r="A924" s="8"/>
      <c r="B924" s="9"/>
      <c r="C924" s="9"/>
      <c r="D924" s="9"/>
      <c r="E924" s="9"/>
      <c r="F924" s="9"/>
      <c r="G924" s="9"/>
      <c r="H924" s="9"/>
      <c r="I924" s="1"/>
      <c r="J924" s="1"/>
      <c r="K924" s="1"/>
      <c r="L924" s="1"/>
      <c r="M924" s="1"/>
    </row>
    <row r="925" spans="1:13" ht="90" customHeight="1" x14ac:dyDescent="0.3">
      <c r="A925" s="8"/>
      <c r="B925" s="9"/>
      <c r="C925" s="9"/>
      <c r="D925" s="9"/>
      <c r="E925" s="9"/>
      <c r="F925" s="9"/>
      <c r="G925" s="9"/>
      <c r="H925" s="9"/>
      <c r="I925" s="1"/>
      <c r="J925" s="1"/>
      <c r="K925" s="1"/>
      <c r="L925" s="1"/>
      <c r="M925" s="1"/>
    </row>
    <row r="926" spans="1:13" ht="90" customHeight="1" x14ac:dyDescent="0.3">
      <c r="A926" s="8"/>
      <c r="B926" s="9"/>
      <c r="C926" s="9"/>
      <c r="D926" s="9"/>
      <c r="E926" s="9"/>
      <c r="F926" s="9"/>
      <c r="G926" s="9"/>
      <c r="H926" s="9"/>
      <c r="I926" s="1"/>
      <c r="J926" s="1"/>
      <c r="K926" s="1"/>
      <c r="L926" s="1"/>
      <c r="M926" s="1"/>
    </row>
    <row r="927" spans="1:13" ht="90" customHeight="1" x14ac:dyDescent="0.3">
      <c r="A927" s="8">
        <v>328</v>
      </c>
      <c r="B927" s="8" t="s">
        <v>1087</v>
      </c>
      <c r="C927" s="8" t="s">
        <v>573</v>
      </c>
      <c r="D927" s="8" t="s">
        <v>16</v>
      </c>
      <c r="E927" s="10" t="s">
        <v>24</v>
      </c>
      <c r="F927" s="10" t="s">
        <v>25</v>
      </c>
      <c r="G927" s="8" t="s">
        <v>1088</v>
      </c>
      <c r="H927" s="8" t="s">
        <v>1089</v>
      </c>
      <c r="I927" s="4" t="s">
        <v>576</v>
      </c>
      <c r="J927" s="4">
        <v>0.99992728233337402</v>
      </c>
      <c r="K927" s="4" t="s">
        <v>29</v>
      </c>
      <c r="L927" s="4" t="s">
        <v>573</v>
      </c>
      <c r="M927" s="4">
        <v>1</v>
      </c>
    </row>
    <row r="928" spans="1:13" ht="90" customHeight="1" x14ac:dyDescent="0.3">
      <c r="A928" s="8"/>
      <c r="B928" s="9"/>
      <c r="C928" s="9"/>
      <c r="D928" s="9"/>
      <c r="E928" s="9"/>
      <c r="F928" s="9"/>
      <c r="G928" s="9"/>
      <c r="H928" s="9"/>
      <c r="I928" s="1"/>
      <c r="J928" s="1"/>
      <c r="K928" s="1"/>
      <c r="L928" s="1"/>
      <c r="M928" s="1"/>
    </row>
    <row r="929" spans="1:13" ht="90" customHeight="1" x14ac:dyDescent="0.3">
      <c r="A929" s="8"/>
      <c r="B929" s="9"/>
      <c r="C929" s="9"/>
      <c r="D929" s="9"/>
      <c r="E929" s="9"/>
      <c r="F929" s="9"/>
      <c r="G929" s="9"/>
      <c r="H929" s="9"/>
      <c r="I929" s="1"/>
      <c r="J929" s="1"/>
      <c r="K929" s="1"/>
      <c r="L929" s="1"/>
      <c r="M929" s="1"/>
    </row>
    <row r="930" spans="1:13" ht="90" customHeight="1" x14ac:dyDescent="0.3">
      <c r="A930" s="8"/>
      <c r="B930" s="9"/>
      <c r="C930" s="9"/>
      <c r="D930" s="9"/>
      <c r="E930" s="9"/>
      <c r="F930" s="9"/>
      <c r="G930" s="9"/>
      <c r="H930" s="9"/>
      <c r="I930" s="1"/>
      <c r="J930" s="1"/>
      <c r="K930" s="1"/>
      <c r="L930" s="1"/>
      <c r="M930" s="1"/>
    </row>
    <row r="931" spans="1:13" ht="90" customHeight="1" x14ac:dyDescent="0.3">
      <c r="A931" s="8"/>
      <c r="B931" s="9"/>
      <c r="C931" s="9"/>
      <c r="D931" s="9"/>
      <c r="E931" s="9"/>
      <c r="F931" s="9"/>
      <c r="G931" s="9"/>
      <c r="H931" s="9"/>
      <c r="I931" s="1"/>
      <c r="J931" s="1"/>
      <c r="K931" s="1"/>
      <c r="L931" s="1"/>
      <c r="M931" s="1"/>
    </row>
    <row r="932" spans="1:13" ht="90" customHeight="1" x14ac:dyDescent="0.3">
      <c r="A932" s="8">
        <v>329</v>
      </c>
      <c r="B932" s="8" t="s">
        <v>661</v>
      </c>
      <c r="C932" s="8" t="s">
        <v>398</v>
      </c>
      <c r="D932" s="8" t="s">
        <v>399</v>
      </c>
      <c r="E932" s="10" t="s">
        <v>1201</v>
      </c>
      <c r="F932" s="10" t="s">
        <v>1202</v>
      </c>
      <c r="G932" s="8" t="s">
        <v>1090</v>
      </c>
      <c r="H932" s="8" t="s">
        <v>663</v>
      </c>
      <c r="I932" s="6" t="s">
        <v>402</v>
      </c>
      <c r="J932" s="6">
        <v>0.9999992847442627</v>
      </c>
      <c r="K932" s="6" t="s">
        <v>29</v>
      </c>
      <c r="L932" s="6" t="s">
        <v>403</v>
      </c>
      <c r="M932" s="6">
        <v>7</v>
      </c>
    </row>
    <row r="933" spans="1:13" ht="90" customHeight="1" x14ac:dyDescent="0.3">
      <c r="A933" s="8"/>
      <c r="B933" s="9"/>
      <c r="C933" s="9"/>
      <c r="D933" s="9"/>
      <c r="E933" s="9"/>
      <c r="F933" s="9"/>
      <c r="G933" s="9"/>
      <c r="H933" s="9"/>
      <c r="I933" s="6" t="s">
        <v>404</v>
      </c>
      <c r="J933" s="6">
        <v>0.99999737739562988</v>
      </c>
      <c r="K933" s="6" t="s">
        <v>29</v>
      </c>
      <c r="L933" s="6" t="s">
        <v>405</v>
      </c>
      <c r="M933" s="6">
        <v>1</v>
      </c>
    </row>
    <row r="934" spans="1:13" ht="90" customHeight="1" x14ac:dyDescent="0.3">
      <c r="A934" s="8"/>
      <c r="B934" s="9"/>
      <c r="C934" s="9"/>
      <c r="D934" s="9"/>
      <c r="E934" s="9"/>
      <c r="F934" s="9"/>
      <c r="G934" s="9"/>
      <c r="H934" s="9"/>
      <c r="I934" s="1"/>
      <c r="J934" s="1"/>
      <c r="K934" s="1"/>
      <c r="L934" s="1"/>
      <c r="M934" s="1"/>
    </row>
    <row r="935" spans="1:13" ht="90" customHeight="1" x14ac:dyDescent="0.3">
      <c r="A935" s="8"/>
      <c r="B935" s="9"/>
      <c r="C935" s="9"/>
      <c r="D935" s="9"/>
      <c r="E935" s="9"/>
      <c r="F935" s="9"/>
      <c r="G935" s="9"/>
      <c r="H935" s="9"/>
      <c r="I935" s="1"/>
      <c r="J935" s="1"/>
      <c r="K935" s="1"/>
      <c r="L935" s="1"/>
      <c r="M935" s="1"/>
    </row>
    <row r="936" spans="1:13" ht="90" customHeight="1" x14ac:dyDescent="0.3">
      <c r="A936" s="8"/>
      <c r="B936" s="9"/>
      <c r="C936" s="9"/>
      <c r="D936" s="9"/>
      <c r="E936" s="9"/>
      <c r="F936" s="9"/>
      <c r="G936" s="9"/>
      <c r="H936" s="9"/>
      <c r="I936" s="1"/>
      <c r="J936" s="1"/>
      <c r="K936" s="1"/>
      <c r="L936" s="1"/>
      <c r="M936" s="1"/>
    </row>
    <row r="937" spans="1:13" ht="90" customHeight="1" x14ac:dyDescent="0.3">
      <c r="A937" s="8">
        <v>330</v>
      </c>
      <c r="B937" s="8" t="s">
        <v>1091</v>
      </c>
      <c r="C937" s="8" t="s">
        <v>351</v>
      </c>
      <c r="D937" s="8" t="s">
        <v>114</v>
      </c>
      <c r="E937" s="10" t="s">
        <v>17</v>
      </c>
      <c r="F937" s="10" t="s">
        <v>18</v>
      </c>
      <c r="G937" s="8" t="s">
        <v>1092</v>
      </c>
      <c r="H937" s="8" t="s">
        <v>20</v>
      </c>
      <c r="I937" s="1"/>
      <c r="J937" s="1"/>
      <c r="K937" s="1"/>
      <c r="L937" s="1"/>
      <c r="M937" s="1"/>
    </row>
    <row r="938" spans="1:13" ht="90" customHeight="1" x14ac:dyDescent="0.3">
      <c r="A938" s="8"/>
      <c r="B938" s="9"/>
      <c r="C938" s="9"/>
      <c r="D938" s="9"/>
      <c r="E938" s="9"/>
      <c r="F938" s="9"/>
      <c r="G938" s="9"/>
      <c r="H938" s="9"/>
      <c r="I938" s="1"/>
      <c r="J938" s="1"/>
      <c r="K938" s="1"/>
      <c r="L938" s="1"/>
      <c r="M938" s="1"/>
    </row>
    <row r="939" spans="1:13" ht="90" customHeight="1" x14ac:dyDescent="0.3">
      <c r="A939" s="8"/>
      <c r="B939" s="9"/>
      <c r="C939" s="9"/>
      <c r="D939" s="9"/>
      <c r="E939" s="9"/>
      <c r="F939" s="9"/>
      <c r="G939" s="9"/>
      <c r="H939" s="9"/>
      <c r="I939" s="1"/>
      <c r="J939" s="1"/>
      <c r="K939" s="1"/>
      <c r="L939" s="1"/>
      <c r="M939" s="1"/>
    </row>
    <row r="940" spans="1:13" ht="90" customHeight="1" x14ac:dyDescent="0.3">
      <c r="A940" s="8"/>
      <c r="B940" s="9"/>
      <c r="C940" s="9"/>
      <c r="D940" s="9"/>
      <c r="E940" s="9"/>
      <c r="F940" s="9"/>
      <c r="G940" s="9"/>
      <c r="H940" s="9"/>
      <c r="I940" s="1"/>
      <c r="J940" s="1"/>
      <c r="K940" s="1"/>
      <c r="L940" s="1"/>
      <c r="M940" s="1"/>
    </row>
    <row r="941" spans="1:13" ht="90" customHeight="1" x14ac:dyDescent="0.3">
      <c r="A941" s="8"/>
      <c r="B941" s="9"/>
      <c r="C941" s="9"/>
      <c r="D941" s="9"/>
      <c r="E941" s="9"/>
      <c r="F941" s="9"/>
      <c r="G941" s="9"/>
      <c r="H941" s="9"/>
      <c r="I941" s="1"/>
      <c r="J941" s="1"/>
      <c r="K941" s="1"/>
      <c r="L941" s="1"/>
      <c r="M941" s="1"/>
    </row>
    <row r="942" spans="1:13" ht="90" customHeight="1" x14ac:dyDescent="0.3">
      <c r="A942" s="8">
        <v>331</v>
      </c>
      <c r="B942" s="8" t="s">
        <v>1093</v>
      </c>
      <c r="C942" s="8" t="s">
        <v>767</v>
      </c>
      <c r="D942" s="8" t="s">
        <v>46</v>
      </c>
      <c r="E942" s="10" t="s">
        <v>24</v>
      </c>
      <c r="F942" s="10" t="s">
        <v>25</v>
      </c>
      <c r="G942" s="8" t="s">
        <v>1094</v>
      </c>
      <c r="H942" s="8" t="s">
        <v>1095</v>
      </c>
      <c r="I942" s="4" t="s">
        <v>770</v>
      </c>
      <c r="J942" s="4">
        <v>0.99999654293060303</v>
      </c>
      <c r="K942" s="4" t="s">
        <v>68</v>
      </c>
      <c r="L942" s="4" t="s">
        <v>767</v>
      </c>
      <c r="M942" s="4">
        <v>1</v>
      </c>
    </row>
    <row r="943" spans="1:13" ht="90" customHeight="1" x14ac:dyDescent="0.3">
      <c r="A943" s="8"/>
      <c r="B943" s="9"/>
      <c r="C943" s="9"/>
      <c r="D943" s="9"/>
      <c r="E943" s="9"/>
      <c r="F943" s="9"/>
      <c r="G943" s="9"/>
      <c r="H943" s="9"/>
      <c r="I943" s="2" t="s">
        <v>1096</v>
      </c>
      <c r="J943" s="2">
        <v>0.99999606609344482</v>
      </c>
      <c r="K943" s="2" t="s">
        <v>68</v>
      </c>
      <c r="L943" s="2" t="s">
        <v>767</v>
      </c>
      <c r="M943" s="2">
        <v>2</v>
      </c>
    </row>
    <row r="944" spans="1:13" ht="90" customHeight="1" x14ac:dyDescent="0.3">
      <c r="A944" s="8"/>
      <c r="B944" s="9"/>
      <c r="C944" s="9"/>
      <c r="D944" s="9"/>
      <c r="E944" s="9"/>
      <c r="F944" s="9"/>
      <c r="G944" s="9"/>
      <c r="H944" s="9"/>
      <c r="I944" s="2" t="s">
        <v>1097</v>
      </c>
      <c r="J944" s="2">
        <v>0.99999356269836426</v>
      </c>
      <c r="K944" s="2" t="s">
        <v>68</v>
      </c>
      <c r="L944" s="2" t="s">
        <v>767</v>
      </c>
      <c r="M944" s="2">
        <v>3</v>
      </c>
    </row>
    <row r="945" spans="1:13" ht="90" customHeight="1" x14ac:dyDescent="0.3">
      <c r="A945" s="8"/>
      <c r="B945" s="9"/>
      <c r="C945" s="9"/>
      <c r="D945" s="9"/>
      <c r="E945" s="9"/>
      <c r="F945" s="9"/>
      <c r="G945" s="9"/>
      <c r="H945" s="9"/>
      <c r="I945" s="5" t="s">
        <v>1098</v>
      </c>
      <c r="J945" s="5">
        <v>0.99997127000883967</v>
      </c>
      <c r="K945" s="5" t="s">
        <v>68</v>
      </c>
      <c r="L945" s="5" t="s">
        <v>767</v>
      </c>
      <c r="M945" s="5">
        <v>3</v>
      </c>
    </row>
    <row r="946" spans="1:13" ht="90" customHeight="1" x14ac:dyDescent="0.3">
      <c r="A946" s="8"/>
      <c r="B946" s="9"/>
      <c r="C946" s="9"/>
      <c r="D946" s="9"/>
      <c r="E946" s="9"/>
      <c r="F946" s="9"/>
      <c r="G946" s="9"/>
      <c r="H946" s="9"/>
      <c r="I946" s="5" t="s">
        <v>1099</v>
      </c>
      <c r="J946" s="5">
        <v>0.83201441776110108</v>
      </c>
      <c r="K946" s="5" t="s">
        <v>68</v>
      </c>
      <c r="L946" s="5" t="s">
        <v>767</v>
      </c>
      <c r="M946" s="5">
        <v>2</v>
      </c>
    </row>
    <row r="947" spans="1:13" ht="90" customHeight="1" x14ac:dyDescent="0.3">
      <c r="A947" s="8">
        <v>332</v>
      </c>
      <c r="B947" s="8" t="s">
        <v>1100</v>
      </c>
      <c r="C947" s="8" t="s">
        <v>77</v>
      </c>
      <c r="D947" s="8" t="s">
        <v>54</v>
      </c>
      <c r="E947" s="10" t="s">
        <v>17</v>
      </c>
      <c r="F947" s="10" t="s">
        <v>18</v>
      </c>
      <c r="G947" s="8" t="s">
        <v>1101</v>
      </c>
      <c r="H947" s="8" t="s">
        <v>1102</v>
      </c>
      <c r="I947" s="1"/>
      <c r="J947" s="1"/>
      <c r="K947" s="1"/>
      <c r="L947" s="1"/>
      <c r="M947" s="1"/>
    </row>
    <row r="948" spans="1:13" ht="90" customHeight="1" x14ac:dyDescent="0.3">
      <c r="A948" s="8"/>
      <c r="B948" s="9"/>
      <c r="C948" s="9"/>
      <c r="D948" s="9"/>
      <c r="E948" s="9"/>
      <c r="F948" s="9"/>
      <c r="G948" s="9"/>
      <c r="H948" s="9"/>
      <c r="I948" s="1"/>
      <c r="J948" s="1"/>
      <c r="K948" s="1"/>
      <c r="L948" s="1"/>
      <c r="M948" s="1"/>
    </row>
    <row r="949" spans="1:13" ht="90" customHeight="1" x14ac:dyDescent="0.3">
      <c r="A949" s="8"/>
      <c r="B949" s="9"/>
      <c r="C949" s="9"/>
      <c r="D949" s="9"/>
      <c r="E949" s="9"/>
      <c r="F949" s="9"/>
      <c r="G949" s="9"/>
      <c r="H949" s="9"/>
      <c r="I949" s="1"/>
      <c r="J949" s="1"/>
      <c r="K949" s="1"/>
      <c r="L949" s="1"/>
      <c r="M949" s="1"/>
    </row>
    <row r="950" spans="1:13" ht="90" customHeight="1" x14ac:dyDescent="0.3">
      <c r="A950" s="8"/>
      <c r="B950" s="9"/>
      <c r="C950" s="9"/>
      <c r="D950" s="9"/>
      <c r="E950" s="9"/>
      <c r="F950" s="9"/>
      <c r="G950" s="9"/>
      <c r="H950" s="9"/>
      <c r="I950" s="1"/>
      <c r="J950" s="1"/>
      <c r="K950" s="1"/>
      <c r="L950" s="1"/>
      <c r="M950" s="1"/>
    </row>
    <row r="951" spans="1:13" ht="90" customHeight="1" x14ac:dyDescent="0.3">
      <c r="A951" s="8"/>
      <c r="B951" s="9"/>
      <c r="C951" s="9"/>
      <c r="D951" s="9"/>
      <c r="E951" s="9"/>
      <c r="F951" s="9"/>
      <c r="G951" s="9"/>
      <c r="H951" s="9"/>
      <c r="I951" s="1"/>
      <c r="J951" s="1"/>
      <c r="K951" s="1"/>
      <c r="L951" s="1"/>
      <c r="M951" s="1"/>
    </row>
    <row r="952" spans="1:13" ht="90" customHeight="1" x14ac:dyDescent="0.3">
      <c r="A952" s="8">
        <v>333</v>
      </c>
      <c r="B952" s="8" t="s">
        <v>1103</v>
      </c>
      <c r="C952" s="8" t="s">
        <v>119</v>
      </c>
      <c r="D952" s="8" t="s">
        <v>236</v>
      </c>
      <c r="E952" s="10" t="s">
        <v>24</v>
      </c>
      <c r="F952" s="10" t="s">
        <v>25</v>
      </c>
      <c r="G952" s="8" t="s">
        <v>1104</v>
      </c>
      <c r="H952" s="8" t="s">
        <v>1105</v>
      </c>
      <c r="I952" s="4" t="s">
        <v>274</v>
      </c>
      <c r="J952" s="4">
        <v>0.91416752338409424</v>
      </c>
      <c r="K952" s="4" t="s">
        <v>29</v>
      </c>
      <c r="L952" s="4" t="s">
        <v>119</v>
      </c>
      <c r="M952" s="4">
        <v>7</v>
      </c>
    </row>
    <row r="953" spans="1:13" ht="90" customHeight="1" x14ac:dyDescent="0.3">
      <c r="A953" s="8"/>
      <c r="B953" s="9"/>
      <c r="C953" s="9"/>
      <c r="D953" s="9"/>
      <c r="E953" s="9"/>
      <c r="F953" s="9"/>
      <c r="G953" s="9"/>
      <c r="H953" s="9"/>
      <c r="I953" s="1"/>
      <c r="J953" s="1"/>
      <c r="K953" s="1"/>
      <c r="L953" s="1"/>
      <c r="M953" s="1"/>
    </row>
    <row r="954" spans="1:13" ht="90" customHeight="1" x14ac:dyDescent="0.3">
      <c r="A954" s="8"/>
      <c r="B954" s="9"/>
      <c r="C954" s="9"/>
      <c r="D954" s="9"/>
      <c r="E954" s="9"/>
      <c r="F954" s="9"/>
      <c r="G954" s="9"/>
      <c r="H954" s="9"/>
      <c r="I954" s="1"/>
      <c r="J954" s="1"/>
      <c r="K954" s="1"/>
      <c r="L954" s="1"/>
      <c r="M954" s="1"/>
    </row>
    <row r="955" spans="1:13" ht="90" customHeight="1" x14ac:dyDescent="0.3">
      <c r="A955" s="8"/>
      <c r="B955" s="9"/>
      <c r="C955" s="9"/>
      <c r="D955" s="9"/>
      <c r="E955" s="9"/>
      <c r="F955" s="9"/>
      <c r="G955" s="9"/>
      <c r="H955" s="9"/>
      <c r="I955" s="1"/>
      <c r="J955" s="1"/>
      <c r="K955" s="1"/>
      <c r="L955" s="1"/>
      <c r="M955" s="1"/>
    </row>
    <row r="956" spans="1:13" ht="90" customHeight="1" x14ac:dyDescent="0.3">
      <c r="A956" s="8"/>
      <c r="B956" s="9"/>
      <c r="C956" s="9"/>
      <c r="D956" s="9"/>
      <c r="E956" s="9"/>
      <c r="F956" s="9"/>
      <c r="G956" s="9"/>
      <c r="H956" s="9"/>
      <c r="I956" s="1"/>
      <c r="J956" s="1"/>
      <c r="K956" s="1"/>
      <c r="L956" s="1"/>
      <c r="M956" s="1"/>
    </row>
    <row r="957" spans="1:13" ht="90" customHeight="1" x14ac:dyDescent="0.3">
      <c r="A957" s="8">
        <v>334</v>
      </c>
      <c r="B957" s="8" t="s">
        <v>1106</v>
      </c>
      <c r="C957" s="8" t="s">
        <v>492</v>
      </c>
      <c r="D957" s="8" t="s">
        <v>16</v>
      </c>
      <c r="E957" s="10" t="s">
        <v>24</v>
      </c>
      <c r="F957" s="10" t="s">
        <v>25</v>
      </c>
      <c r="G957" s="8" t="s">
        <v>1107</v>
      </c>
      <c r="H957" s="8" t="s">
        <v>1108</v>
      </c>
      <c r="I957" s="4" t="s">
        <v>495</v>
      </c>
      <c r="J957" s="4">
        <v>0.99429142475128174</v>
      </c>
      <c r="K957" s="4" t="s">
        <v>29</v>
      </c>
      <c r="L957" s="4" t="s">
        <v>492</v>
      </c>
      <c r="M957" s="4">
        <v>1</v>
      </c>
    </row>
    <row r="958" spans="1:13" ht="90" customHeight="1" x14ac:dyDescent="0.3">
      <c r="A958" s="8"/>
      <c r="B958" s="9"/>
      <c r="C958" s="9"/>
      <c r="D958" s="9"/>
      <c r="E958" s="9"/>
      <c r="F958" s="9"/>
      <c r="G958" s="9"/>
      <c r="H958" s="9"/>
      <c r="I958" s="1"/>
      <c r="J958" s="1"/>
      <c r="K958" s="1"/>
      <c r="L958" s="1"/>
      <c r="M958" s="1"/>
    </row>
    <row r="959" spans="1:13" ht="90" customHeight="1" x14ac:dyDescent="0.3">
      <c r="A959" s="8"/>
      <c r="B959" s="9"/>
      <c r="C959" s="9"/>
      <c r="D959" s="9"/>
      <c r="E959" s="9"/>
      <c r="F959" s="9"/>
      <c r="G959" s="9"/>
      <c r="H959" s="9"/>
      <c r="I959" s="1"/>
      <c r="J959" s="1"/>
      <c r="K959" s="1"/>
      <c r="L959" s="1"/>
      <c r="M959" s="1"/>
    </row>
    <row r="960" spans="1:13" ht="90" customHeight="1" x14ac:dyDescent="0.3">
      <c r="A960" s="8"/>
      <c r="B960" s="9"/>
      <c r="C960" s="9"/>
      <c r="D960" s="9"/>
      <c r="E960" s="9"/>
      <c r="F960" s="9"/>
      <c r="G960" s="9"/>
      <c r="H960" s="9"/>
      <c r="I960" s="1"/>
      <c r="J960" s="1"/>
      <c r="K960" s="1"/>
      <c r="L960" s="1"/>
      <c r="M960" s="1"/>
    </row>
    <row r="961" spans="1:13" ht="90" customHeight="1" x14ac:dyDescent="0.3">
      <c r="A961" s="8"/>
      <c r="B961" s="9"/>
      <c r="C961" s="9"/>
      <c r="D961" s="9"/>
      <c r="E961" s="9"/>
      <c r="F961" s="9"/>
      <c r="G961" s="9"/>
      <c r="H961" s="9"/>
      <c r="I961" s="1"/>
      <c r="J961" s="1"/>
      <c r="K961" s="1"/>
      <c r="L961" s="1"/>
      <c r="M961" s="1"/>
    </row>
    <row r="962" spans="1:13" ht="90" customHeight="1" x14ac:dyDescent="0.3">
      <c r="A962" s="8">
        <v>336</v>
      </c>
      <c r="B962" s="8" t="s">
        <v>1109</v>
      </c>
      <c r="C962" s="8" t="s">
        <v>1110</v>
      </c>
      <c r="D962" s="8" t="s">
        <v>1111</v>
      </c>
      <c r="E962" s="10" t="s">
        <v>24</v>
      </c>
      <c r="F962" s="10" t="s">
        <v>25</v>
      </c>
      <c r="G962" s="8" t="s">
        <v>1112</v>
      </c>
      <c r="H962" s="8" t="s">
        <v>1113</v>
      </c>
      <c r="I962" s="4" t="s">
        <v>1114</v>
      </c>
      <c r="J962" s="4">
        <v>0.99997389316558838</v>
      </c>
      <c r="K962" s="4" t="s">
        <v>29</v>
      </c>
      <c r="L962" s="4" t="s">
        <v>1110</v>
      </c>
      <c r="M962" s="4">
        <v>17</v>
      </c>
    </row>
    <row r="963" spans="1:13" ht="90" customHeight="1" x14ac:dyDescent="0.3">
      <c r="A963" s="8"/>
      <c r="B963" s="9"/>
      <c r="C963" s="9"/>
      <c r="D963" s="9"/>
      <c r="E963" s="9"/>
      <c r="F963" s="9"/>
      <c r="G963" s="9"/>
      <c r="H963" s="9"/>
      <c r="I963" s="2" t="s">
        <v>1115</v>
      </c>
      <c r="J963" s="2">
        <v>0.95427936315536499</v>
      </c>
      <c r="K963" s="2" t="s">
        <v>29</v>
      </c>
      <c r="L963" s="2" t="s">
        <v>1110</v>
      </c>
      <c r="M963" s="2">
        <v>12</v>
      </c>
    </row>
    <row r="964" spans="1:13" ht="90" customHeight="1" x14ac:dyDescent="0.3">
      <c r="A964" s="8"/>
      <c r="B964" s="9"/>
      <c r="C964" s="9"/>
      <c r="D964" s="9"/>
      <c r="E964" s="9"/>
      <c r="F964" s="9"/>
      <c r="G964" s="9"/>
      <c r="H964" s="9"/>
      <c r="I964" s="2" t="s">
        <v>1116</v>
      </c>
      <c r="J964" s="2">
        <v>0.94388073682785034</v>
      </c>
      <c r="K964" s="2" t="s">
        <v>29</v>
      </c>
      <c r="L964" s="2" t="s">
        <v>1110</v>
      </c>
      <c r="M964" s="2">
        <v>1</v>
      </c>
    </row>
    <row r="965" spans="1:13" ht="90" customHeight="1" x14ac:dyDescent="0.3">
      <c r="A965" s="8"/>
      <c r="B965" s="9"/>
      <c r="C965" s="9"/>
      <c r="D965" s="9"/>
      <c r="E965" s="9"/>
      <c r="F965" s="9"/>
      <c r="G965" s="9"/>
      <c r="H965" s="9"/>
      <c r="I965" s="1" t="s">
        <v>1117</v>
      </c>
      <c r="J965" s="1">
        <v>0.91289138793945313</v>
      </c>
      <c r="K965" s="1" t="s">
        <v>29</v>
      </c>
      <c r="L965" s="1" t="s">
        <v>1110</v>
      </c>
      <c r="M965" s="1">
        <v>10</v>
      </c>
    </row>
    <row r="966" spans="1:13" ht="90" customHeight="1" x14ac:dyDescent="0.3">
      <c r="A966" s="8"/>
      <c r="B966" s="9"/>
      <c r="C966" s="9"/>
      <c r="D966" s="9"/>
      <c r="E966" s="9"/>
      <c r="F966" s="9"/>
      <c r="G966" s="9"/>
      <c r="H966" s="9"/>
      <c r="I966" s="1" t="s">
        <v>1118</v>
      </c>
      <c r="J966" s="1">
        <v>0.89540469646453857</v>
      </c>
      <c r="K966" s="1" t="s">
        <v>68</v>
      </c>
      <c r="L966" s="1" t="s">
        <v>1119</v>
      </c>
      <c r="M966" s="1">
        <v>1</v>
      </c>
    </row>
    <row r="967" spans="1:13" ht="90" customHeight="1" x14ac:dyDescent="0.3">
      <c r="A967" s="8">
        <v>337</v>
      </c>
      <c r="B967" s="8" t="s">
        <v>1120</v>
      </c>
      <c r="C967" s="8" t="s">
        <v>1121</v>
      </c>
      <c r="D967" s="8" t="s">
        <v>916</v>
      </c>
      <c r="E967" s="10" t="s">
        <v>17</v>
      </c>
      <c r="F967" s="10" t="s">
        <v>18</v>
      </c>
      <c r="G967" s="8" t="s">
        <v>1122</v>
      </c>
      <c r="H967" s="8" t="s">
        <v>1123</v>
      </c>
      <c r="I967" s="2" t="s">
        <v>919</v>
      </c>
      <c r="J967" s="2">
        <v>0.82910054922103882</v>
      </c>
      <c r="K967" s="2" t="s">
        <v>29</v>
      </c>
      <c r="L967" s="2" t="s">
        <v>432</v>
      </c>
      <c r="M967" s="2">
        <v>48</v>
      </c>
    </row>
    <row r="968" spans="1:13" ht="90" customHeight="1" x14ac:dyDescent="0.3">
      <c r="A968" s="8"/>
      <c r="B968" s="9"/>
      <c r="C968" s="9"/>
      <c r="D968" s="9"/>
      <c r="E968" s="9"/>
      <c r="F968" s="9"/>
      <c r="G968" s="9"/>
      <c r="H968" s="9"/>
      <c r="I968" s="1" t="s">
        <v>1124</v>
      </c>
      <c r="J968" s="1">
        <v>0.72161197662353516</v>
      </c>
      <c r="K968" s="1" t="s">
        <v>29</v>
      </c>
      <c r="L968" s="1" t="s">
        <v>432</v>
      </c>
      <c r="M968" s="1">
        <v>49</v>
      </c>
    </row>
    <row r="969" spans="1:13" ht="90" customHeight="1" x14ac:dyDescent="0.3">
      <c r="A969" s="8"/>
      <c r="B969" s="9"/>
      <c r="C969" s="9"/>
      <c r="D969" s="9"/>
      <c r="E969" s="9"/>
      <c r="F969" s="9"/>
      <c r="G969" s="9"/>
      <c r="H969" s="9"/>
      <c r="I969" s="1"/>
      <c r="J969" s="1"/>
      <c r="K969" s="1"/>
      <c r="L969" s="1"/>
      <c r="M969" s="1"/>
    </row>
    <row r="970" spans="1:13" ht="90" customHeight="1" x14ac:dyDescent="0.3">
      <c r="A970" s="8"/>
      <c r="B970" s="9"/>
      <c r="C970" s="9"/>
      <c r="D970" s="9"/>
      <c r="E970" s="9"/>
      <c r="F970" s="9"/>
      <c r="G970" s="9"/>
      <c r="H970" s="9"/>
      <c r="I970" s="1"/>
      <c r="J970" s="1"/>
      <c r="K970" s="1"/>
      <c r="L970" s="1"/>
      <c r="M970" s="1"/>
    </row>
    <row r="971" spans="1:13" ht="90" customHeight="1" x14ac:dyDescent="0.3">
      <c r="A971" s="8"/>
      <c r="B971" s="9"/>
      <c r="C971" s="9"/>
      <c r="D971" s="9"/>
      <c r="E971" s="9"/>
      <c r="F971" s="9"/>
      <c r="G971" s="9"/>
      <c r="H971" s="9"/>
      <c r="I971" s="1"/>
      <c r="J971" s="1"/>
      <c r="K971" s="1"/>
      <c r="L971" s="1"/>
      <c r="M971" s="1"/>
    </row>
    <row r="972" spans="1:13" ht="90" customHeight="1" x14ac:dyDescent="0.3">
      <c r="A972" s="8">
        <v>338</v>
      </c>
      <c r="B972" s="8" t="s">
        <v>1125</v>
      </c>
      <c r="C972" s="8" t="s">
        <v>525</v>
      </c>
      <c r="D972" s="8" t="s">
        <v>16</v>
      </c>
      <c r="E972" s="10" t="s">
        <v>24</v>
      </c>
      <c r="F972" s="10" t="s">
        <v>25</v>
      </c>
      <c r="G972" s="8" t="s">
        <v>1126</v>
      </c>
      <c r="H972" s="8" t="s">
        <v>1127</v>
      </c>
      <c r="I972" s="4" t="s">
        <v>675</v>
      </c>
      <c r="J972" s="4">
        <v>0.99656468629837036</v>
      </c>
      <c r="K972" s="4" t="s">
        <v>29</v>
      </c>
      <c r="L972" s="4" t="s">
        <v>525</v>
      </c>
      <c r="M972" s="4">
        <v>1</v>
      </c>
    </row>
    <row r="973" spans="1:13" ht="90" customHeight="1" x14ac:dyDescent="0.3">
      <c r="A973" s="8"/>
      <c r="B973" s="9"/>
      <c r="C973" s="9"/>
      <c r="D973" s="9"/>
      <c r="E973" s="9"/>
      <c r="F973" s="9"/>
      <c r="G973" s="9"/>
      <c r="H973" s="9"/>
      <c r="I973" s="1" t="s">
        <v>1128</v>
      </c>
      <c r="J973" s="1">
        <v>0.74283200737525168</v>
      </c>
      <c r="K973" s="1" t="s">
        <v>29</v>
      </c>
      <c r="L973" s="1" t="s">
        <v>525</v>
      </c>
      <c r="M973" s="1">
        <v>2</v>
      </c>
    </row>
    <row r="974" spans="1:13" ht="90" customHeight="1" x14ac:dyDescent="0.3">
      <c r="A974" s="8"/>
      <c r="B974" s="9"/>
      <c r="C974" s="9"/>
      <c r="D974" s="9"/>
      <c r="E974" s="9"/>
      <c r="F974" s="9"/>
      <c r="G974" s="9"/>
      <c r="H974" s="9"/>
      <c r="I974" s="1"/>
      <c r="J974" s="1"/>
      <c r="K974" s="1"/>
      <c r="L974" s="1"/>
      <c r="M974" s="1"/>
    </row>
    <row r="975" spans="1:13" ht="90" customHeight="1" x14ac:dyDescent="0.3">
      <c r="A975" s="8"/>
      <c r="B975" s="9"/>
      <c r="C975" s="9"/>
      <c r="D975" s="9"/>
      <c r="E975" s="9"/>
      <c r="F975" s="9"/>
      <c r="G975" s="9"/>
      <c r="H975" s="9"/>
      <c r="I975" s="1"/>
      <c r="J975" s="1"/>
      <c r="K975" s="1"/>
      <c r="L975" s="1"/>
      <c r="M975" s="1"/>
    </row>
    <row r="976" spans="1:13" ht="90" customHeight="1" x14ac:dyDescent="0.3">
      <c r="A976" s="8"/>
      <c r="B976" s="9"/>
      <c r="C976" s="9"/>
      <c r="D976" s="9"/>
      <c r="E976" s="9"/>
      <c r="F976" s="9"/>
      <c r="G976" s="9"/>
      <c r="H976" s="9"/>
      <c r="I976" s="1"/>
      <c r="J976" s="1"/>
      <c r="K976" s="1"/>
      <c r="L976" s="1"/>
      <c r="M976" s="1"/>
    </row>
    <row r="977" spans="1:13" ht="90" customHeight="1" x14ac:dyDescent="0.3">
      <c r="A977" s="8">
        <v>340</v>
      </c>
      <c r="B977" s="8" t="s">
        <v>1129</v>
      </c>
      <c r="C977" s="8" t="s">
        <v>555</v>
      </c>
      <c r="D977" s="8" t="s">
        <v>1130</v>
      </c>
      <c r="E977" s="10" t="s">
        <v>24</v>
      </c>
      <c r="F977" s="10" t="s">
        <v>25</v>
      </c>
      <c r="G977" s="8" t="s">
        <v>1131</v>
      </c>
      <c r="H977" s="8" t="s">
        <v>1132</v>
      </c>
      <c r="I977" s="4" t="s">
        <v>1133</v>
      </c>
      <c r="J977" s="4">
        <v>0.99998974800109863</v>
      </c>
      <c r="K977" s="4" t="s">
        <v>29</v>
      </c>
      <c r="L977" s="4" t="s">
        <v>555</v>
      </c>
      <c r="M977" s="4">
        <v>169</v>
      </c>
    </row>
    <row r="978" spans="1:13" ht="90" customHeight="1" x14ac:dyDescent="0.3">
      <c r="A978" s="8"/>
      <c r="B978" s="9"/>
      <c r="C978" s="9"/>
      <c r="D978" s="9"/>
      <c r="E978" s="9"/>
      <c r="F978" s="9"/>
      <c r="G978" s="9"/>
      <c r="H978" s="9"/>
      <c r="I978" s="1"/>
      <c r="J978" s="1"/>
      <c r="K978" s="1"/>
      <c r="L978" s="1"/>
      <c r="M978" s="1"/>
    </row>
    <row r="979" spans="1:13" ht="90" customHeight="1" x14ac:dyDescent="0.3">
      <c r="A979" s="8"/>
      <c r="B979" s="9"/>
      <c r="C979" s="9"/>
      <c r="D979" s="9"/>
      <c r="E979" s="9"/>
      <c r="F979" s="9"/>
      <c r="G979" s="9"/>
      <c r="H979" s="9"/>
      <c r="I979" s="1"/>
      <c r="J979" s="1"/>
      <c r="K979" s="1"/>
      <c r="L979" s="1"/>
      <c r="M979" s="1"/>
    </row>
    <row r="980" spans="1:13" ht="90" customHeight="1" x14ac:dyDescent="0.3">
      <c r="A980" s="8"/>
      <c r="B980" s="9"/>
      <c r="C980" s="9"/>
      <c r="D980" s="9"/>
      <c r="E980" s="9"/>
      <c r="F980" s="9"/>
      <c r="G980" s="9"/>
      <c r="H980" s="9"/>
      <c r="I980" s="1"/>
      <c r="J980" s="1"/>
      <c r="K980" s="1"/>
      <c r="L980" s="1"/>
      <c r="M980" s="1"/>
    </row>
    <row r="981" spans="1:13" ht="90" customHeight="1" x14ac:dyDescent="0.3">
      <c r="A981" s="8"/>
      <c r="B981" s="9"/>
      <c r="C981" s="9"/>
      <c r="D981" s="9"/>
      <c r="E981" s="9"/>
      <c r="F981" s="9"/>
      <c r="G981" s="9"/>
      <c r="H981" s="9"/>
      <c r="I981" s="1"/>
      <c r="J981" s="1"/>
      <c r="K981" s="1"/>
      <c r="L981" s="1"/>
      <c r="M981" s="1"/>
    </row>
    <row r="982" spans="1:13" ht="90" customHeight="1" x14ac:dyDescent="0.3">
      <c r="A982" s="8">
        <v>341</v>
      </c>
      <c r="B982" s="8" t="s">
        <v>1134</v>
      </c>
      <c r="C982" s="8" t="s">
        <v>333</v>
      </c>
      <c r="D982" s="8" t="s">
        <v>1135</v>
      </c>
      <c r="E982" s="10" t="s">
        <v>17</v>
      </c>
      <c r="F982" s="10" t="s">
        <v>18</v>
      </c>
      <c r="G982" s="8" t="s">
        <v>1136</v>
      </c>
      <c r="H982" s="8" t="s">
        <v>1137</v>
      </c>
      <c r="I982" s="2" t="s">
        <v>1138</v>
      </c>
      <c r="J982" s="2">
        <v>0.71674066781997681</v>
      </c>
      <c r="K982" s="2" t="s">
        <v>29</v>
      </c>
      <c r="L982" s="2" t="s">
        <v>1139</v>
      </c>
      <c r="M982" s="2">
        <v>225</v>
      </c>
    </row>
    <row r="983" spans="1:13" ht="90" customHeight="1" x14ac:dyDescent="0.3">
      <c r="A983" s="8"/>
      <c r="B983" s="9"/>
      <c r="C983" s="9"/>
      <c r="D983" s="9"/>
      <c r="E983" s="9"/>
      <c r="F983" s="9"/>
      <c r="G983" s="9"/>
      <c r="H983" s="9"/>
      <c r="I983" s="1"/>
      <c r="J983" s="1"/>
      <c r="K983" s="1"/>
      <c r="L983" s="1"/>
      <c r="M983" s="1"/>
    </row>
    <row r="984" spans="1:13" ht="90" customHeight="1" x14ac:dyDescent="0.3">
      <c r="A984" s="8"/>
      <c r="B984" s="9"/>
      <c r="C984" s="9"/>
      <c r="D984" s="9"/>
      <c r="E984" s="9"/>
      <c r="F984" s="9"/>
      <c r="G984" s="9"/>
      <c r="H984" s="9"/>
      <c r="I984" s="1"/>
      <c r="J984" s="1"/>
      <c r="K984" s="1"/>
      <c r="L984" s="1"/>
      <c r="M984" s="1"/>
    </row>
    <row r="985" spans="1:13" ht="90" customHeight="1" x14ac:dyDescent="0.3">
      <c r="A985" s="8"/>
      <c r="B985" s="9"/>
      <c r="C985" s="9"/>
      <c r="D985" s="9"/>
      <c r="E985" s="9"/>
      <c r="F985" s="9"/>
      <c r="G985" s="9"/>
      <c r="H985" s="9"/>
      <c r="I985" s="1"/>
      <c r="J985" s="1"/>
      <c r="K985" s="1"/>
      <c r="L985" s="1"/>
      <c r="M985" s="1"/>
    </row>
    <row r="986" spans="1:13" ht="90" customHeight="1" x14ac:dyDescent="0.3">
      <c r="A986" s="8"/>
      <c r="B986" s="9"/>
      <c r="C986" s="9"/>
      <c r="D986" s="9"/>
      <c r="E986" s="9"/>
      <c r="F986" s="9"/>
      <c r="G986" s="9"/>
      <c r="H986" s="9"/>
      <c r="I986" s="1"/>
      <c r="J986" s="1"/>
      <c r="K986" s="1"/>
      <c r="L986" s="1"/>
      <c r="M986" s="1"/>
    </row>
    <row r="987" spans="1:13" ht="90" customHeight="1" x14ac:dyDescent="0.3">
      <c r="A987" s="8">
        <v>342</v>
      </c>
      <c r="B987" s="8" t="s">
        <v>1140</v>
      </c>
      <c r="C987" s="8" t="s">
        <v>948</v>
      </c>
      <c r="D987" s="8" t="s">
        <v>1141</v>
      </c>
      <c r="E987" s="10" t="s">
        <v>24</v>
      </c>
      <c r="F987" s="10" t="s">
        <v>25</v>
      </c>
      <c r="G987" s="8" t="s">
        <v>1142</v>
      </c>
      <c r="H987" s="8" t="s">
        <v>1143</v>
      </c>
      <c r="I987" s="2" t="s">
        <v>1144</v>
      </c>
      <c r="J987" s="2">
        <v>0.97021758556365967</v>
      </c>
      <c r="K987" s="2" t="s">
        <v>29</v>
      </c>
      <c r="L987" s="2" t="s">
        <v>320</v>
      </c>
      <c r="M987" s="2">
        <v>260</v>
      </c>
    </row>
    <row r="988" spans="1:13" ht="90" customHeight="1" x14ac:dyDescent="0.3">
      <c r="A988" s="8"/>
      <c r="B988" s="9"/>
      <c r="C988" s="9"/>
      <c r="D988" s="9"/>
      <c r="E988" s="9"/>
      <c r="F988" s="9"/>
      <c r="G988" s="9"/>
      <c r="H988" s="9"/>
      <c r="I988" s="2" t="s">
        <v>1145</v>
      </c>
      <c r="J988" s="2">
        <v>0.96371620893478394</v>
      </c>
      <c r="K988" s="2" t="s">
        <v>29</v>
      </c>
      <c r="L988" s="2" t="s">
        <v>320</v>
      </c>
      <c r="M988" s="2">
        <v>261</v>
      </c>
    </row>
    <row r="989" spans="1:13" ht="90" customHeight="1" x14ac:dyDescent="0.3">
      <c r="A989" s="8"/>
      <c r="B989" s="9"/>
      <c r="C989" s="9"/>
      <c r="D989" s="9"/>
      <c r="E989" s="9"/>
      <c r="F989" s="9"/>
      <c r="G989" s="9"/>
      <c r="H989" s="9"/>
      <c r="I989" s="4" t="s">
        <v>1146</v>
      </c>
      <c r="J989" s="4">
        <v>0.92925882339477539</v>
      </c>
      <c r="K989" s="4" t="s">
        <v>29</v>
      </c>
      <c r="L989" s="4" t="s">
        <v>948</v>
      </c>
      <c r="M989" s="4">
        <v>139</v>
      </c>
    </row>
    <row r="990" spans="1:13" ht="90" customHeight="1" x14ac:dyDescent="0.3">
      <c r="A990" s="8"/>
      <c r="B990" s="9"/>
      <c r="C990" s="9"/>
      <c r="D990" s="9"/>
      <c r="E990" s="9"/>
      <c r="F990" s="9"/>
      <c r="G990" s="9"/>
      <c r="H990" s="9"/>
      <c r="I990" s="1" t="s">
        <v>1147</v>
      </c>
      <c r="J990" s="1">
        <v>0.89284604787826538</v>
      </c>
      <c r="K990" s="1" t="s">
        <v>29</v>
      </c>
      <c r="L990" s="1" t="s">
        <v>1148</v>
      </c>
      <c r="M990" s="1">
        <v>16</v>
      </c>
    </row>
    <row r="991" spans="1:13" ht="90" customHeight="1" x14ac:dyDescent="0.3">
      <c r="A991" s="8"/>
      <c r="B991" s="9"/>
      <c r="C991" s="9"/>
      <c r="D991" s="9"/>
      <c r="E991" s="9"/>
      <c r="F991" s="9"/>
      <c r="G991" s="9"/>
      <c r="H991" s="9"/>
      <c r="I991" s="1" t="s">
        <v>1149</v>
      </c>
      <c r="J991" s="1">
        <v>0.86083471775054932</v>
      </c>
      <c r="K991" s="1" t="s">
        <v>68</v>
      </c>
      <c r="L991" s="1" t="s">
        <v>1150</v>
      </c>
      <c r="M991" s="1">
        <v>1</v>
      </c>
    </row>
    <row r="992" spans="1:13" ht="90" customHeight="1" x14ac:dyDescent="0.3">
      <c r="A992" s="8">
        <v>346</v>
      </c>
      <c r="B992" s="8" t="s">
        <v>1151</v>
      </c>
      <c r="C992" s="8" t="s">
        <v>333</v>
      </c>
      <c r="D992" s="8" t="s">
        <v>1152</v>
      </c>
      <c r="E992" s="10" t="s">
        <v>24</v>
      </c>
      <c r="F992" s="10" t="s">
        <v>25</v>
      </c>
      <c r="G992" s="8" t="s">
        <v>1153</v>
      </c>
      <c r="H992" s="8" t="s">
        <v>1154</v>
      </c>
      <c r="I992" s="4" t="s">
        <v>1155</v>
      </c>
      <c r="J992" s="4">
        <v>0.99672406911849976</v>
      </c>
      <c r="K992" s="4" t="s">
        <v>29</v>
      </c>
      <c r="L992" s="4" t="s">
        <v>333</v>
      </c>
      <c r="M992" s="4">
        <v>404</v>
      </c>
    </row>
    <row r="993" spans="1:13" ht="90" customHeight="1" x14ac:dyDescent="0.3">
      <c r="A993" s="8"/>
      <c r="B993" s="9"/>
      <c r="C993" s="9"/>
      <c r="D993" s="9"/>
      <c r="E993" s="9"/>
      <c r="F993" s="9"/>
      <c r="G993" s="9"/>
      <c r="H993" s="9"/>
      <c r="I993" s="1"/>
      <c r="J993" s="1"/>
      <c r="K993" s="1"/>
      <c r="L993" s="1"/>
      <c r="M993" s="1"/>
    </row>
    <row r="994" spans="1:13" ht="90" customHeight="1" x14ac:dyDescent="0.3">
      <c r="A994" s="8"/>
      <c r="B994" s="9"/>
      <c r="C994" s="9"/>
      <c r="D994" s="9"/>
      <c r="E994" s="9"/>
      <c r="F994" s="9"/>
      <c r="G994" s="9"/>
      <c r="H994" s="9"/>
      <c r="I994" s="1"/>
      <c r="J994" s="1"/>
      <c r="K994" s="1"/>
      <c r="L994" s="1"/>
      <c r="M994" s="1"/>
    </row>
    <row r="995" spans="1:13" ht="90" customHeight="1" x14ac:dyDescent="0.3">
      <c r="A995" s="8"/>
      <c r="B995" s="9"/>
      <c r="C995" s="9"/>
      <c r="D995" s="9"/>
      <c r="E995" s="9"/>
      <c r="F995" s="9"/>
      <c r="G995" s="9"/>
      <c r="H995" s="9"/>
      <c r="I995" s="1"/>
      <c r="J995" s="1"/>
      <c r="K995" s="1"/>
      <c r="L995" s="1"/>
      <c r="M995" s="1"/>
    </row>
    <row r="996" spans="1:13" ht="90" customHeight="1" x14ac:dyDescent="0.3">
      <c r="A996" s="8"/>
      <c r="B996" s="9"/>
      <c r="C996" s="9"/>
      <c r="D996" s="9"/>
      <c r="E996" s="9"/>
      <c r="F996" s="9"/>
      <c r="G996" s="9"/>
      <c r="H996" s="9"/>
      <c r="I996" s="1"/>
      <c r="J996" s="1"/>
      <c r="K996" s="1"/>
      <c r="L996" s="1"/>
      <c r="M996" s="1"/>
    </row>
    <row r="997" spans="1:13" ht="90" customHeight="1" x14ac:dyDescent="0.3">
      <c r="A997" s="8">
        <v>348</v>
      </c>
      <c r="B997" s="8" t="s">
        <v>1156</v>
      </c>
      <c r="C997" s="8" t="s">
        <v>316</v>
      </c>
      <c r="D997" s="8" t="s">
        <v>568</v>
      </c>
      <c r="E997" s="10" t="s">
        <v>24</v>
      </c>
      <c r="F997" s="10" t="s">
        <v>25</v>
      </c>
      <c r="G997" s="8" t="s">
        <v>1157</v>
      </c>
      <c r="H997" s="8" t="s">
        <v>1158</v>
      </c>
      <c r="I997" s="4" t="s">
        <v>1159</v>
      </c>
      <c r="J997" s="4">
        <v>0.9661325216293335</v>
      </c>
      <c r="K997" s="4" t="s">
        <v>29</v>
      </c>
      <c r="L997" s="4" t="s">
        <v>316</v>
      </c>
      <c r="M997" s="4">
        <v>3</v>
      </c>
    </row>
    <row r="998" spans="1:13" ht="90" customHeight="1" x14ac:dyDescent="0.3">
      <c r="A998" s="8"/>
      <c r="B998" s="9"/>
      <c r="C998" s="9"/>
      <c r="D998" s="9"/>
      <c r="E998" s="9"/>
      <c r="F998" s="9"/>
      <c r="G998" s="9"/>
      <c r="H998" s="9"/>
      <c r="I998" s="1"/>
      <c r="J998" s="1"/>
      <c r="K998" s="1"/>
      <c r="L998" s="1"/>
      <c r="M998" s="1"/>
    </row>
    <row r="999" spans="1:13" ht="90" customHeight="1" x14ac:dyDescent="0.3">
      <c r="A999" s="8"/>
      <c r="B999" s="9"/>
      <c r="C999" s="9"/>
      <c r="D999" s="9"/>
      <c r="E999" s="9"/>
      <c r="F999" s="9"/>
      <c r="G999" s="9"/>
      <c r="H999" s="9"/>
      <c r="I999" s="1"/>
      <c r="J999" s="1"/>
      <c r="K999" s="1"/>
      <c r="L999" s="1"/>
      <c r="M999" s="1"/>
    </row>
    <row r="1000" spans="1:13" ht="90" customHeight="1" x14ac:dyDescent="0.3">
      <c r="A1000" s="8"/>
      <c r="B1000" s="9"/>
      <c r="C1000" s="9"/>
      <c r="D1000" s="9"/>
      <c r="E1000" s="9"/>
      <c r="F1000" s="9"/>
      <c r="G1000" s="9"/>
      <c r="H1000" s="9"/>
      <c r="I1000" s="1"/>
      <c r="J1000" s="1"/>
      <c r="K1000" s="1"/>
      <c r="L1000" s="1"/>
      <c r="M1000" s="1"/>
    </row>
    <row r="1001" spans="1:13" ht="90" customHeight="1" x14ac:dyDescent="0.3">
      <c r="A1001" s="8"/>
      <c r="B1001" s="9"/>
      <c r="C1001" s="9"/>
      <c r="D1001" s="9"/>
      <c r="E1001" s="9"/>
      <c r="F1001" s="9"/>
      <c r="G1001" s="9"/>
      <c r="H1001" s="9"/>
      <c r="I1001" s="1"/>
      <c r="J1001" s="1"/>
      <c r="K1001" s="1"/>
      <c r="L1001" s="1"/>
      <c r="M1001" s="1"/>
    </row>
    <row r="1002" spans="1:13" ht="90" customHeight="1" x14ac:dyDescent="0.3">
      <c r="A1002" s="8">
        <v>349</v>
      </c>
      <c r="B1002" s="8" t="s">
        <v>1160</v>
      </c>
      <c r="C1002" s="8" t="s">
        <v>326</v>
      </c>
      <c r="D1002" s="8" t="s">
        <v>1161</v>
      </c>
      <c r="E1002" s="10" t="s">
        <v>17</v>
      </c>
      <c r="F1002" s="10" t="s">
        <v>18</v>
      </c>
      <c r="G1002" s="8" t="s">
        <v>1162</v>
      </c>
      <c r="H1002" s="8" t="s">
        <v>1163</v>
      </c>
      <c r="I1002" s="2" t="s">
        <v>949</v>
      </c>
      <c r="J1002" s="2">
        <v>0.88403463363647461</v>
      </c>
      <c r="K1002" s="2" t="s">
        <v>29</v>
      </c>
      <c r="L1002" s="2" t="s">
        <v>326</v>
      </c>
      <c r="M1002" s="2">
        <v>100</v>
      </c>
    </row>
    <row r="1003" spans="1:13" ht="90" customHeight="1" x14ac:dyDescent="0.3">
      <c r="A1003" s="8"/>
      <c r="B1003" s="9"/>
      <c r="C1003" s="9"/>
      <c r="D1003" s="9"/>
      <c r="E1003" s="9"/>
      <c r="F1003" s="9"/>
      <c r="G1003" s="9"/>
      <c r="H1003" s="9"/>
      <c r="I1003" s="1"/>
      <c r="J1003" s="1"/>
      <c r="K1003" s="1"/>
      <c r="L1003" s="1"/>
      <c r="M1003" s="1"/>
    </row>
    <row r="1004" spans="1:13" ht="90" customHeight="1" x14ac:dyDescent="0.3">
      <c r="A1004" s="8"/>
      <c r="B1004" s="9"/>
      <c r="C1004" s="9"/>
      <c r="D1004" s="9"/>
      <c r="E1004" s="9"/>
      <c r="F1004" s="9"/>
      <c r="G1004" s="9"/>
      <c r="H1004" s="9"/>
      <c r="I1004" s="1"/>
      <c r="J1004" s="1"/>
      <c r="K1004" s="1"/>
      <c r="L1004" s="1"/>
      <c r="M1004" s="1"/>
    </row>
    <row r="1005" spans="1:13" ht="90" customHeight="1" x14ac:dyDescent="0.3">
      <c r="A1005" s="8"/>
      <c r="B1005" s="9"/>
      <c r="C1005" s="9"/>
      <c r="D1005" s="9"/>
      <c r="E1005" s="9"/>
      <c r="F1005" s="9"/>
      <c r="G1005" s="9"/>
      <c r="H1005" s="9"/>
      <c r="I1005" s="1"/>
      <c r="J1005" s="1"/>
      <c r="K1005" s="1"/>
      <c r="L1005" s="1"/>
      <c r="M1005" s="1"/>
    </row>
    <row r="1006" spans="1:13" ht="90" customHeight="1" x14ac:dyDescent="0.3">
      <c r="A1006" s="8"/>
      <c r="B1006" s="9"/>
      <c r="C1006" s="9"/>
      <c r="D1006" s="9"/>
      <c r="E1006" s="9"/>
      <c r="F1006" s="9"/>
      <c r="G1006" s="9"/>
      <c r="H1006" s="9"/>
      <c r="I1006" s="1"/>
      <c r="J1006" s="1"/>
      <c r="K1006" s="1"/>
      <c r="L1006" s="1"/>
      <c r="M1006" s="1"/>
    </row>
    <row r="1007" spans="1:13" ht="90" customHeight="1" x14ac:dyDescent="0.3">
      <c r="A1007" s="8">
        <v>351</v>
      </c>
      <c r="B1007" s="8" t="s">
        <v>1164</v>
      </c>
      <c r="C1007" s="8" t="s">
        <v>1165</v>
      </c>
      <c r="D1007" s="8" t="s">
        <v>1166</v>
      </c>
      <c r="E1007" s="10" t="s">
        <v>1201</v>
      </c>
      <c r="F1007" s="10" t="s">
        <v>1202</v>
      </c>
      <c r="G1007" s="8" t="s">
        <v>1167</v>
      </c>
      <c r="H1007" s="8" t="s">
        <v>1168</v>
      </c>
      <c r="I1007" s="6" t="s">
        <v>350</v>
      </c>
      <c r="J1007" s="6">
        <v>0.99998295307159424</v>
      </c>
      <c r="K1007" s="6" t="s">
        <v>29</v>
      </c>
      <c r="L1007" s="6" t="s">
        <v>351</v>
      </c>
      <c r="M1007" s="6">
        <v>2</v>
      </c>
    </row>
    <row r="1008" spans="1:13" ht="90" customHeight="1" x14ac:dyDescent="0.3">
      <c r="A1008" s="8"/>
      <c r="B1008" s="9"/>
      <c r="C1008" s="9"/>
      <c r="D1008" s="9"/>
      <c r="E1008" s="9"/>
      <c r="F1008" s="9"/>
      <c r="G1008" s="9"/>
      <c r="H1008" s="9"/>
      <c r="I1008" s="7" t="s">
        <v>1169</v>
      </c>
      <c r="J1008" s="7">
        <v>0.99995982646942139</v>
      </c>
      <c r="K1008" s="7" t="s">
        <v>29</v>
      </c>
      <c r="L1008" s="7" t="s">
        <v>1170</v>
      </c>
      <c r="M1008" s="7">
        <v>1</v>
      </c>
    </row>
    <row r="1009" spans="1:13" ht="90" customHeight="1" x14ac:dyDescent="0.3">
      <c r="A1009" s="8"/>
      <c r="B1009" s="9"/>
      <c r="C1009" s="9"/>
      <c r="D1009" s="9"/>
      <c r="E1009" s="9"/>
      <c r="F1009" s="9"/>
      <c r="G1009" s="9"/>
      <c r="H1009" s="9"/>
      <c r="I1009" s="1"/>
      <c r="J1009" s="1"/>
      <c r="K1009" s="1"/>
      <c r="L1009" s="1"/>
      <c r="M1009" s="1"/>
    </row>
    <row r="1010" spans="1:13" ht="90" customHeight="1" x14ac:dyDescent="0.3">
      <c r="A1010" s="8"/>
      <c r="B1010" s="9"/>
      <c r="C1010" s="9"/>
      <c r="D1010" s="9"/>
      <c r="E1010" s="9"/>
      <c r="F1010" s="9"/>
      <c r="G1010" s="9"/>
      <c r="H1010" s="9"/>
      <c r="I1010" s="1"/>
      <c r="J1010" s="1"/>
      <c r="K1010" s="1"/>
      <c r="L1010" s="1"/>
      <c r="M1010" s="1"/>
    </row>
    <row r="1011" spans="1:13" ht="90" customHeight="1" x14ac:dyDescent="0.3">
      <c r="A1011" s="8"/>
      <c r="B1011" s="9"/>
      <c r="C1011" s="9"/>
      <c r="D1011" s="9"/>
      <c r="E1011" s="9"/>
      <c r="F1011" s="9"/>
      <c r="G1011" s="9"/>
      <c r="H1011" s="9"/>
      <c r="I1011" s="1"/>
      <c r="J1011" s="1"/>
      <c r="K1011" s="1"/>
      <c r="L1011" s="1"/>
      <c r="M1011" s="1"/>
    </row>
    <row r="1012" spans="1:13" ht="90" customHeight="1" x14ac:dyDescent="0.3">
      <c r="A1012" s="8">
        <v>352</v>
      </c>
      <c r="B1012" s="8" t="s">
        <v>1171</v>
      </c>
      <c r="C1012" s="8" t="s">
        <v>316</v>
      </c>
      <c r="D1012" s="8" t="s">
        <v>16</v>
      </c>
      <c r="E1012" s="10" t="s">
        <v>24</v>
      </c>
      <c r="F1012" s="10" t="s">
        <v>25</v>
      </c>
      <c r="G1012" s="8" t="s">
        <v>1172</v>
      </c>
      <c r="H1012" s="8" t="s">
        <v>1173</v>
      </c>
      <c r="I1012" s="4" t="s">
        <v>753</v>
      </c>
      <c r="J1012" s="4">
        <v>0.99009013175964355</v>
      </c>
      <c r="K1012" s="4" t="s">
        <v>29</v>
      </c>
      <c r="L1012" s="4" t="s">
        <v>316</v>
      </c>
      <c r="M1012" s="4">
        <v>1</v>
      </c>
    </row>
    <row r="1013" spans="1:13" ht="90" customHeight="1" x14ac:dyDescent="0.3">
      <c r="A1013" s="8"/>
      <c r="B1013" s="9"/>
      <c r="C1013" s="9"/>
      <c r="D1013" s="9"/>
      <c r="E1013" s="9"/>
      <c r="F1013" s="9"/>
      <c r="G1013" s="9"/>
      <c r="H1013" s="9"/>
      <c r="I1013" s="1"/>
      <c r="J1013" s="1"/>
      <c r="K1013" s="1"/>
      <c r="L1013" s="1"/>
      <c r="M1013" s="1"/>
    </row>
    <row r="1014" spans="1:13" ht="90" customHeight="1" x14ac:dyDescent="0.3">
      <c r="A1014" s="8"/>
      <c r="B1014" s="9"/>
      <c r="C1014" s="9"/>
      <c r="D1014" s="9"/>
      <c r="E1014" s="9"/>
      <c r="F1014" s="9"/>
      <c r="G1014" s="9"/>
      <c r="H1014" s="9"/>
      <c r="I1014" s="1"/>
      <c r="J1014" s="1"/>
      <c r="K1014" s="1"/>
      <c r="L1014" s="1"/>
      <c r="M1014" s="1"/>
    </row>
    <row r="1015" spans="1:13" ht="90" customHeight="1" x14ac:dyDescent="0.3">
      <c r="A1015" s="8"/>
      <c r="B1015" s="9"/>
      <c r="C1015" s="9"/>
      <c r="D1015" s="9"/>
      <c r="E1015" s="9"/>
      <c r="F1015" s="9"/>
      <c r="G1015" s="9"/>
      <c r="H1015" s="9"/>
      <c r="I1015" s="1"/>
      <c r="J1015" s="1"/>
      <c r="K1015" s="1"/>
      <c r="L1015" s="1"/>
      <c r="M1015" s="1"/>
    </row>
    <row r="1016" spans="1:13" ht="90" customHeight="1" x14ac:dyDescent="0.3">
      <c r="A1016" s="8"/>
      <c r="B1016" s="9"/>
      <c r="C1016" s="9"/>
      <c r="D1016" s="9"/>
      <c r="E1016" s="9"/>
      <c r="F1016" s="9"/>
      <c r="G1016" s="9"/>
      <c r="H1016" s="9"/>
      <c r="I1016" s="1"/>
      <c r="J1016" s="1"/>
      <c r="K1016" s="1"/>
      <c r="L1016" s="1"/>
      <c r="M1016" s="1"/>
    </row>
    <row r="1017" spans="1:13" ht="90" customHeight="1" x14ac:dyDescent="0.3">
      <c r="A1017" s="8">
        <v>353</v>
      </c>
      <c r="B1017" s="8" t="s">
        <v>1174</v>
      </c>
      <c r="C1017" s="8" t="s">
        <v>87</v>
      </c>
      <c r="D1017" s="8" t="s">
        <v>16</v>
      </c>
      <c r="E1017" s="10" t="s">
        <v>24</v>
      </c>
      <c r="F1017" s="10" t="s">
        <v>25</v>
      </c>
      <c r="G1017" s="8" t="s">
        <v>1175</v>
      </c>
      <c r="H1017" s="8" t="s">
        <v>1176</v>
      </c>
      <c r="I1017" s="4" t="s">
        <v>90</v>
      </c>
      <c r="J1017" s="4">
        <v>0.96748816967010476</v>
      </c>
      <c r="K1017" s="4" t="s">
        <v>29</v>
      </c>
      <c r="L1017" s="4" t="s">
        <v>87</v>
      </c>
      <c r="M1017" s="4">
        <v>1</v>
      </c>
    </row>
    <row r="1018" spans="1:13" ht="90" customHeight="1" x14ac:dyDescent="0.3">
      <c r="A1018" s="8"/>
      <c r="B1018" s="9"/>
      <c r="C1018" s="9"/>
      <c r="D1018" s="9"/>
      <c r="E1018" s="9"/>
      <c r="F1018" s="9"/>
      <c r="G1018" s="9"/>
      <c r="H1018" s="9"/>
      <c r="I1018" s="1"/>
      <c r="J1018" s="1"/>
      <c r="K1018" s="1"/>
      <c r="L1018" s="1"/>
      <c r="M1018" s="1"/>
    </row>
    <row r="1019" spans="1:13" ht="90" customHeight="1" x14ac:dyDescent="0.3">
      <c r="A1019" s="8"/>
      <c r="B1019" s="9"/>
      <c r="C1019" s="9"/>
      <c r="D1019" s="9"/>
      <c r="E1019" s="9"/>
      <c r="F1019" s="9"/>
      <c r="G1019" s="9"/>
      <c r="H1019" s="9"/>
      <c r="I1019" s="1"/>
      <c r="J1019" s="1"/>
      <c r="K1019" s="1"/>
      <c r="L1019" s="1"/>
      <c r="M1019" s="1"/>
    </row>
    <row r="1020" spans="1:13" ht="90" customHeight="1" x14ac:dyDescent="0.3">
      <c r="A1020" s="8"/>
      <c r="B1020" s="9"/>
      <c r="C1020" s="9"/>
      <c r="D1020" s="9"/>
      <c r="E1020" s="9"/>
      <c r="F1020" s="9"/>
      <c r="G1020" s="9"/>
      <c r="H1020" s="9"/>
      <c r="I1020" s="1"/>
      <c r="J1020" s="1"/>
      <c r="K1020" s="1"/>
      <c r="L1020" s="1"/>
      <c r="M1020" s="1"/>
    </row>
    <row r="1021" spans="1:13" ht="90" customHeight="1" x14ac:dyDescent="0.3">
      <c r="A1021" s="8"/>
      <c r="B1021" s="9"/>
      <c r="C1021" s="9"/>
      <c r="D1021" s="9"/>
      <c r="E1021" s="9"/>
      <c r="F1021" s="9"/>
      <c r="G1021" s="9"/>
      <c r="H1021" s="9"/>
      <c r="I1021" s="1"/>
      <c r="J1021" s="1"/>
      <c r="K1021" s="1"/>
      <c r="L1021" s="1"/>
      <c r="M1021" s="1"/>
    </row>
    <row r="1022" spans="1:13" ht="90" customHeight="1" x14ac:dyDescent="0.3">
      <c r="A1022" s="8">
        <v>359</v>
      </c>
      <c r="B1022" s="8" t="s">
        <v>1177</v>
      </c>
      <c r="C1022" s="8" t="s">
        <v>351</v>
      </c>
      <c r="D1022" s="8" t="s">
        <v>1205</v>
      </c>
      <c r="E1022" s="10" t="s">
        <v>1201</v>
      </c>
      <c r="F1022" s="10" t="s">
        <v>1202</v>
      </c>
      <c r="G1022" s="8" t="s">
        <v>1178</v>
      </c>
      <c r="H1022" s="8" t="s">
        <v>1179</v>
      </c>
      <c r="I1022" s="6" t="s">
        <v>1180</v>
      </c>
      <c r="J1022" s="6">
        <v>0.99995601177215576</v>
      </c>
      <c r="K1022" s="6" t="s">
        <v>29</v>
      </c>
      <c r="L1022" s="6" t="s">
        <v>351</v>
      </c>
      <c r="M1022" s="6">
        <v>4</v>
      </c>
    </row>
    <row r="1023" spans="1:13" ht="90" customHeight="1" x14ac:dyDescent="0.3">
      <c r="A1023" s="8"/>
      <c r="B1023" s="9"/>
      <c r="C1023" s="9"/>
      <c r="D1023" s="9"/>
      <c r="E1023" s="9"/>
      <c r="F1023" s="9"/>
      <c r="G1023" s="9"/>
      <c r="H1023" s="9"/>
      <c r="I1023" s="7" t="s">
        <v>350</v>
      </c>
      <c r="J1023" s="7">
        <v>0.99942147731781006</v>
      </c>
      <c r="K1023" s="7" t="s">
        <v>29</v>
      </c>
      <c r="L1023" s="7" t="s">
        <v>351</v>
      </c>
      <c r="M1023" s="7">
        <v>2</v>
      </c>
    </row>
    <row r="1024" spans="1:13" ht="90" customHeight="1" x14ac:dyDescent="0.3">
      <c r="A1024" s="8"/>
      <c r="B1024" s="9"/>
      <c r="C1024" s="9"/>
      <c r="D1024" s="9"/>
      <c r="E1024" s="9"/>
      <c r="F1024" s="9"/>
      <c r="G1024" s="9"/>
      <c r="H1024" s="9"/>
      <c r="I1024" s="1"/>
      <c r="J1024" s="1"/>
      <c r="K1024" s="1"/>
      <c r="L1024" s="1"/>
      <c r="M1024" s="1"/>
    </row>
    <row r="1025" spans="1:13" ht="90" customHeight="1" x14ac:dyDescent="0.3">
      <c r="A1025" s="8"/>
      <c r="B1025" s="9"/>
      <c r="C1025" s="9"/>
      <c r="D1025" s="9"/>
      <c r="E1025" s="9"/>
      <c r="F1025" s="9"/>
      <c r="G1025" s="9"/>
      <c r="H1025" s="9"/>
      <c r="I1025" s="1"/>
      <c r="J1025" s="1"/>
      <c r="K1025" s="1"/>
      <c r="L1025" s="1"/>
      <c r="M1025" s="1"/>
    </row>
    <row r="1026" spans="1:13" ht="90" customHeight="1" x14ac:dyDescent="0.3">
      <c r="A1026" s="8"/>
      <c r="B1026" s="9"/>
      <c r="C1026" s="9"/>
      <c r="D1026" s="9"/>
      <c r="E1026" s="9"/>
      <c r="F1026" s="9"/>
      <c r="G1026" s="9"/>
      <c r="H1026" s="9"/>
      <c r="I1026" s="1"/>
      <c r="J1026" s="1"/>
      <c r="K1026" s="1"/>
      <c r="L1026" s="1"/>
      <c r="M1026" s="1"/>
    </row>
    <row r="1027" spans="1:13" ht="90" customHeight="1" x14ac:dyDescent="0.3">
      <c r="A1027" s="8">
        <v>361</v>
      </c>
      <c r="B1027" s="8" t="s">
        <v>594</v>
      </c>
      <c r="C1027" s="8" t="s">
        <v>595</v>
      </c>
      <c r="D1027" s="8" t="s">
        <v>596</v>
      </c>
      <c r="E1027" s="10" t="s">
        <v>1201</v>
      </c>
      <c r="F1027" s="10" t="s">
        <v>1202</v>
      </c>
      <c r="G1027" s="8" t="s">
        <v>1181</v>
      </c>
      <c r="H1027" s="8" t="s">
        <v>598</v>
      </c>
      <c r="I1027" s="6" t="s">
        <v>50</v>
      </c>
      <c r="J1027" s="6">
        <v>0.99126605341690588</v>
      </c>
      <c r="K1027" s="6" t="s">
        <v>29</v>
      </c>
      <c r="L1027" s="6" t="s">
        <v>45</v>
      </c>
      <c r="M1027" s="6">
        <v>3</v>
      </c>
    </row>
    <row r="1028" spans="1:13" ht="90" customHeight="1" x14ac:dyDescent="0.3">
      <c r="A1028" s="8"/>
      <c r="B1028" s="9"/>
      <c r="C1028" s="9"/>
      <c r="D1028" s="9"/>
      <c r="E1028" s="9"/>
      <c r="F1028" s="9"/>
      <c r="G1028" s="9"/>
      <c r="H1028" s="9"/>
      <c r="I1028" s="6" t="s">
        <v>49</v>
      </c>
      <c r="J1028" s="6">
        <v>0.991054304204534</v>
      </c>
      <c r="K1028" s="6" t="s">
        <v>29</v>
      </c>
      <c r="L1028" s="6" t="s">
        <v>45</v>
      </c>
      <c r="M1028" s="6">
        <v>1</v>
      </c>
    </row>
    <row r="1029" spans="1:13" ht="90" customHeight="1" x14ac:dyDescent="0.3">
      <c r="A1029" s="8"/>
      <c r="B1029" s="9"/>
      <c r="C1029" s="9"/>
      <c r="D1029" s="9"/>
      <c r="E1029" s="9"/>
      <c r="F1029" s="9"/>
      <c r="G1029" s="9"/>
      <c r="H1029" s="9"/>
      <c r="I1029" s="6" t="s">
        <v>279</v>
      </c>
      <c r="J1029" s="6">
        <v>0.92826455858766943</v>
      </c>
      <c r="K1029" s="6" t="s">
        <v>29</v>
      </c>
      <c r="L1029" s="6" t="s">
        <v>77</v>
      </c>
      <c r="M1029" s="6">
        <v>5</v>
      </c>
    </row>
    <row r="1030" spans="1:13" ht="90" customHeight="1" x14ac:dyDescent="0.3">
      <c r="A1030" s="8"/>
      <c r="B1030" s="9"/>
      <c r="C1030" s="9"/>
      <c r="D1030" s="9"/>
      <c r="E1030" s="9"/>
      <c r="F1030" s="9"/>
      <c r="G1030" s="9"/>
      <c r="H1030" s="9"/>
      <c r="I1030" s="7" t="s">
        <v>51</v>
      </c>
      <c r="J1030" s="7">
        <v>0.90827584177433696</v>
      </c>
      <c r="K1030" s="7" t="s">
        <v>29</v>
      </c>
      <c r="L1030" s="7" t="s">
        <v>45</v>
      </c>
      <c r="M1030" s="7">
        <v>2</v>
      </c>
    </row>
    <row r="1031" spans="1:13" ht="90" customHeight="1" x14ac:dyDescent="0.3">
      <c r="A1031" s="8"/>
      <c r="B1031" s="9"/>
      <c r="C1031" s="9"/>
      <c r="D1031" s="9"/>
      <c r="E1031" s="9"/>
      <c r="F1031" s="9"/>
      <c r="G1031" s="9"/>
      <c r="H1031" s="9"/>
      <c r="I1031" s="1"/>
      <c r="J1031" s="1"/>
      <c r="K1031" s="1"/>
      <c r="L1031" s="1"/>
      <c r="M1031" s="1"/>
    </row>
    <row r="1032" spans="1:13" ht="90" customHeight="1" x14ac:dyDescent="0.3">
      <c r="A1032" s="8">
        <v>362</v>
      </c>
      <c r="B1032" s="8" t="s">
        <v>599</v>
      </c>
      <c r="C1032" s="8" t="s">
        <v>241</v>
      </c>
      <c r="D1032" s="8" t="s">
        <v>600</v>
      </c>
      <c r="E1032" s="10" t="s">
        <v>17</v>
      </c>
      <c r="F1032" s="10" t="s">
        <v>18</v>
      </c>
      <c r="G1032" s="8" t="s">
        <v>1182</v>
      </c>
      <c r="H1032" s="8" t="s">
        <v>602</v>
      </c>
      <c r="I1032" s="1"/>
      <c r="J1032" s="1"/>
      <c r="K1032" s="1"/>
      <c r="L1032" s="1"/>
      <c r="M1032" s="1"/>
    </row>
    <row r="1033" spans="1:13" ht="90" customHeight="1" x14ac:dyDescent="0.3">
      <c r="A1033" s="8"/>
      <c r="B1033" s="9"/>
      <c r="C1033" s="9"/>
      <c r="D1033" s="9"/>
      <c r="E1033" s="9"/>
      <c r="F1033" s="9"/>
      <c r="G1033" s="9"/>
      <c r="H1033" s="9"/>
      <c r="I1033" s="1"/>
      <c r="J1033" s="1"/>
      <c r="K1033" s="1"/>
      <c r="L1033" s="1"/>
      <c r="M1033" s="1"/>
    </row>
    <row r="1034" spans="1:13" ht="90" customHeight="1" x14ac:dyDescent="0.3">
      <c r="A1034" s="8"/>
      <c r="B1034" s="9"/>
      <c r="C1034" s="9"/>
      <c r="D1034" s="9"/>
      <c r="E1034" s="9"/>
      <c r="F1034" s="9"/>
      <c r="G1034" s="9"/>
      <c r="H1034" s="9"/>
      <c r="I1034" s="1"/>
      <c r="J1034" s="1"/>
      <c r="K1034" s="1"/>
      <c r="L1034" s="1"/>
      <c r="M1034" s="1"/>
    </row>
    <row r="1035" spans="1:13" ht="90" customHeight="1" x14ac:dyDescent="0.3">
      <c r="A1035" s="8"/>
      <c r="B1035" s="9"/>
      <c r="C1035" s="9"/>
      <c r="D1035" s="9"/>
      <c r="E1035" s="9"/>
      <c r="F1035" s="9"/>
      <c r="G1035" s="9"/>
      <c r="H1035" s="9"/>
      <c r="I1035" s="1"/>
      <c r="J1035" s="1"/>
      <c r="K1035" s="1"/>
      <c r="L1035" s="1"/>
      <c r="M1035" s="1"/>
    </row>
    <row r="1036" spans="1:13" ht="90" customHeight="1" x14ac:dyDescent="0.3">
      <c r="A1036" s="8"/>
      <c r="B1036" s="9"/>
      <c r="C1036" s="9"/>
      <c r="D1036" s="9"/>
      <c r="E1036" s="9"/>
      <c r="F1036" s="9"/>
      <c r="G1036" s="9"/>
      <c r="H1036" s="9"/>
      <c r="I1036" s="1"/>
      <c r="J1036" s="1"/>
      <c r="K1036" s="1"/>
      <c r="L1036" s="1"/>
      <c r="M1036" s="1"/>
    </row>
    <row r="1037" spans="1:13" ht="90" customHeight="1" x14ac:dyDescent="0.3">
      <c r="A1037" s="8">
        <v>366</v>
      </c>
      <c r="B1037" s="8" t="s">
        <v>614</v>
      </c>
      <c r="C1037" s="8" t="s">
        <v>63</v>
      </c>
      <c r="D1037" s="8" t="s">
        <v>615</v>
      </c>
      <c r="E1037" s="10" t="s">
        <v>17</v>
      </c>
      <c r="F1037" s="10" t="s">
        <v>18</v>
      </c>
      <c r="G1037" s="8" t="s">
        <v>1183</v>
      </c>
      <c r="H1037" s="8" t="s">
        <v>617</v>
      </c>
      <c r="I1037" s="2" t="s">
        <v>618</v>
      </c>
      <c r="J1037" s="2">
        <v>0.99877625703811646</v>
      </c>
      <c r="K1037" s="2" t="s">
        <v>29</v>
      </c>
      <c r="L1037" s="2" t="s">
        <v>345</v>
      </c>
      <c r="M1037" s="2">
        <v>41</v>
      </c>
    </row>
    <row r="1038" spans="1:13" ht="90" customHeight="1" x14ac:dyDescent="0.3">
      <c r="A1038" s="8"/>
      <c r="B1038" s="9"/>
      <c r="C1038" s="9"/>
      <c r="D1038" s="9"/>
      <c r="E1038" s="9"/>
      <c r="F1038" s="9"/>
      <c r="G1038" s="9"/>
      <c r="H1038" s="9"/>
      <c r="I1038" s="2" t="s">
        <v>619</v>
      </c>
      <c r="J1038" s="2">
        <v>0.99703502655029297</v>
      </c>
      <c r="K1038" s="2" t="s">
        <v>29</v>
      </c>
      <c r="L1038" s="2" t="s">
        <v>339</v>
      </c>
      <c r="M1038" s="2">
        <v>77</v>
      </c>
    </row>
    <row r="1039" spans="1:13" ht="90" customHeight="1" x14ac:dyDescent="0.3">
      <c r="A1039" s="8"/>
      <c r="B1039" s="9"/>
      <c r="C1039" s="9"/>
      <c r="D1039" s="9"/>
      <c r="E1039" s="9"/>
      <c r="F1039" s="9"/>
      <c r="G1039" s="9"/>
      <c r="H1039" s="9"/>
      <c r="I1039" s="2" t="s">
        <v>620</v>
      </c>
      <c r="J1039" s="2">
        <v>0.99694710969924927</v>
      </c>
      <c r="K1039" s="2" t="s">
        <v>29</v>
      </c>
      <c r="L1039" s="2" t="s">
        <v>343</v>
      </c>
      <c r="M1039" s="2">
        <v>79</v>
      </c>
    </row>
    <row r="1040" spans="1:13" ht="90" customHeight="1" x14ac:dyDescent="0.3">
      <c r="A1040" s="8"/>
      <c r="B1040" s="9"/>
      <c r="C1040" s="9"/>
      <c r="D1040" s="9"/>
      <c r="E1040" s="9"/>
      <c r="F1040" s="9"/>
      <c r="G1040" s="9"/>
      <c r="H1040" s="9"/>
      <c r="I1040" s="1" t="s">
        <v>621</v>
      </c>
      <c r="J1040" s="1">
        <v>0.99272924661636353</v>
      </c>
      <c r="K1040" s="1" t="s">
        <v>29</v>
      </c>
      <c r="L1040" s="1" t="s">
        <v>339</v>
      </c>
      <c r="M1040" s="1">
        <v>183</v>
      </c>
    </row>
    <row r="1041" spans="1:13" ht="90" customHeight="1" x14ac:dyDescent="0.3">
      <c r="A1041" s="8"/>
      <c r="B1041" s="9"/>
      <c r="C1041" s="9"/>
      <c r="D1041" s="9"/>
      <c r="E1041" s="9"/>
      <c r="F1041" s="9"/>
      <c r="G1041" s="9"/>
      <c r="H1041" s="9"/>
      <c r="I1041" s="1" t="s">
        <v>622</v>
      </c>
      <c r="J1041" s="1">
        <v>0.99215322732925415</v>
      </c>
      <c r="K1041" s="1" t="s">
        <v>29</v>
      </c>
      <c r="L1041" s="1" t="s">
        <v>343</v>
      </c>
      <c r="M1041" s="1">
        <v>185</v>
      </c>
    </row>
    <row r="1042" spans="1:13" ht="90" customHeight="1" x14ac:dyDescent="0.3">
      <c r="A1042" s="8">
        <v>369</v>
      </c>
      <c r="B1042" s="8" t="s">
        <v>1184</v>
      </c>
      <c r="C1042" s="8" t="s">
        <v>87</v>
      </c>
      <c r="D1042" s="8" t="s">
        <v>1065</v>
      </c>
      <c r="E1042" s="10" t="s">
        <v>24</v>
      </c>
      <c r="F1042" s="10" t="s">
        <v>25</v>
      </c>
      <c r="G1042" s="8" t="s">
        <v>1185</v>
      </c>
      <c r="H1042" s="8" t="s">
        <v>1186</v>
      </c>
      <c r="I1042" s="4" t="s">
        <v>1187</v>
      </c>
      <c r="J1042" s="4">
        <v>0.87979531288146973</v>
      </c>
      <c r="K1042" s="4" t="s">
        <v>29</v>
      </c>
      <c r="L1042" s="4" t="s">
        <v>87</v>
      </c>
      <c r="M1042" s="4">
        <v>14</v>
      </c>
    </row>
    <row r="1043" spans="1:13" ht="90" customHeight="1" x14ac:dyDescent="0.3">
      <c r="A1043" s="8"/>
      <c r="B1043" s="9"/>
      <c r="C1043" s="9"/>
      <c r="D1043" s="9"/>
      <c r="E1043" s="9"/>
      <c r="F1043" s="9"/>
      <c r="G1043" s="9"/>
      <c r="H1043" s="9"/>
      <c r="I1043" s="1"/>
      <c r="J1043" s="1"/>
      <c r="K1043" s="1"/>
      <c r="L1043" s="1"/>
      <c r="M1043" s="1"/>
    </row>
    <row r="1044" spans="1:13" ht="90" customHeight="1" x14ac:dyDescent="0.3">
      <c r="A1044" s="8"/>
      <c r="B1044" s="9"/>
      <c r="C1044" s="9"/>
      <c r="D1044" s="9"/>
      <c r="E1044" s="9"/>
      <c r="F1044" s="9"/>
      <c r="G1044" s="9"/>
      <c r="H1044" s="9"/>
      <c r="I1044" s="1"/>
      <c r="J1044" s="1"/>
      <c r="K1044" s="1"/>
      <c r="L1044" s="1"/>
      <c r="M1044" s="1"/>
    </row>
    <row r="1045" spans="1:13" ht="90" customHeight="1" x14ac:dyDescent="0.3">
      <c r="A1045" s="8"/>
      <c r="B1045" s="9"/>
      <c r="C1045" s="9"/>
      <c r="D1045" s="9"/>
      <c r="E1045" s="9"/>
      <c r="F1045" s="9"/>
      <c r="G1045" s="9"/>
      <c r="H1045" s="9"/>
      <c r="I1045" s="1"/>
      <c r="J1045" s="1"/>
      <c r="K1045" s="1"/>
      <c r="L1045" s="1"/>
      <c r="M1045" s="1"/>
    </row>
    <row r="1046" spans="1:13" ht="90" customHeight="1" x14ac:dyDescent="0.3">
      <c r="A1046" s="8"/>
      <c r="B1046" s="9"/>
      <c r="C1046" s="9"/>
      <c r="D1046" s="9"/>
      <c r="E1046" s="9"/>
      <c r="F1046" s="9"/>
      <c r="G1046" s="9"/>
      <c r="H1046" s="9"/>
      <c r="I1046" s="1"/>
      <c r="J1046" s="1"/>
      <c r="K1046" s="1"/>
      <c r="L1046" s="1"/>
      <c r="M1046" s="1"/>
    </row>
    <row r="1047" spans="1:13" ht="90" customHeight="1" x14ac:dyDescent="0.3">
      <c r="A1047" s="8">
        <v>370</v>
      </c>
      <c r="B1047" s="8" t="s">
        <v>630</v>
      </c>
      <c r="C1047" s="8" t="s">
        <v>119</v>
      </c>
      <c r="D1047" s="8" t="s">
        <v>236</v>
      </c>
      <c r="E1047" s="10" t="s">
        <v>24</v>
      </c>
      <c r="F1047" s="10" t="s">
        <v>25</v>
      </c>
      <c r="G1047" s="8" t="s">
        <v>1188</v>
      </c>
      <c r="H1047" s="8" t="s">
        <v>632</v>
      </c>
      <c r="I1047" s="4" t="s">
        <v>274</v>
      </c>
      <c r="J1047" s="4">
        <v>0.99519312381744385</v>
      </c>
      <c r="K1047" s="4" t="s">
        <v>29</v>
      </c>
      <c r="L1047" s="4" t="s">
        <v>119</v>
      </c>
      <c r="M1047" s="4">
        <v>7</v>
      </c>
    </row>
    <row r="1048" spans="1:13" ht="90" customHeight="1" x14ac:dyDescent="0.3">
      <c r="A1048" s="8"/>
      <c r="B1048" s="9"/>
      <c r="C1048" s="9"/>
      <c r="D1048" s="9"/>
      <c r="E1048" s="9"/>
      <c r="F1048" s="9"/>
      <c r="G1048" s="9"/>
      <c r="H1048" s="9"/>
      <c r="I1048" s="2" t="s">
        <v>633</v>
      </c>
      <c r="J1048" s="2">
        <v>0.93133747577667236</v>
      </c>
      <c r="K1048" s="2" t="s">
        <v>29</v>
      </c>
      <c r="L1048" s="2" t="s">
        <v>634</v>
      </c>
      <c r="M1048" s="2">
        <v>1</v>
      </c>
    </row>
    <row r="1049" spans="1:13" ht="90" customHeight="1" x14ac:dyDescent="0.3">
      <c r="A1049" s="8"/>
      <c r="B1049" s="9"/>
      <c r="C1049" s="9"/>
      <c r="D1049" s="9"/>
      <c r="E1049" s="9"/>
      <c r="F1049" s="9"/>
      <c r="G1049" s="9"/>
      <c r="H1049" s="9"/>
      <c r="I1049" s="1" t="s">
        <v>635</v>
      </c>
      <c r="J1049" s="1">
        <v>0.92969197034835815</v>
      </c>
      <c r="K1049" s="1" t="s">
        <v>29</v>
      </c>
      <c r="L1049" s="1" t="s">
        <v>636</v>
      </c>
      <c r="M1049" s="1">
        <v>32</v>
      </c>
    </row>
    <row r="1050" spans="1:13" ht="90" customHeight="1" x14ac:dyDescent="0.3">
      <c r="A1050" s="8"/>
      <c r="B1050" s="9"/>
      <c r="C1050" s="9"/>
      <c r="D1050" s="9"/>
      <c r="E1050" s="9"/>
      <c r="F1050" s="9"/>
      <c r="G1050" s="9"/>
      <c r="H1050" s="9"/>
      <c r="I1050" s="1" t="s">
        <v>272</v>
      </c>
      <c r="J1050" s="1">
        <v>0.84267610311508179</v>
      </c>
      <c r="K1050" s="1" t="s">
        <v>68</v>
      </c>
      <c r="L1050" s="1" t="s">
        <v>273</v>
      </c>
      <c r="M1050" s="1">
        <v>1</v>
      </c>
    </row>
    <row r="1051" spans="1:13" ht="90" customHeight="1" x14ac:dyDescent="0.3">
      <c r="A1051" s="8"/>
      <c r="B1051" s="9"/>
      <c r="C1051" s="9"/>
      <c r="D1051" s="9"/>
      <c r="E1051" s="9"/>
      <c r="F1051" s="9"/>
      <c r="G1051" s="9"/>
      <c r="H1051" s="9"/>
      <c r="I1051" s="1"/>
      <c r="J1051" s="1"/>
      <c r="K1051" s="1"/>
      <c r="L1051" s="1"/>
      <c r="M1051" s="1"/>
    </row>
    <row r="1052" spans="1:13" ht="90" customHeight="1" x14ac:dyDescent="0.3">
      <c r="A1052" s="8">
        <v>375</v>
      </c>
      <c r="B1052" s="8" t="s">
        <v>1189</v>
      </c>
      <c r="C1052" s="8" t="s">
        <v>309</v>
      </c>
      <c r="D1052" s="8" t="s">
        <v>78</v>
      </c>
      <c r="E1052" s="10" t="s">
        <v>24</v>
      </c>
      <c r="F1052" s="10" t="s">
        <v>25</v>
      </c>
      <c r="G1052" s="8" t="s">
        <v>1190</v>
      </c>
      <c r="H1052" s="8" t="s">
        <v>1191</v>
      </c>
      <c r="I1052" s="4" t="s">
        <v>1192</v>
      </c>
      <c r="J1052" s="4">
        <v>0.99854624271392822</v>
      </c>
      <c r="K1052" s="4" t="s">
        <v>29</v>
      </c>
      <c r="L1052" s="4" t="s">
        <v>309</v>
      </c>
      <c r="M1052" s="4">
        <v>4</v>
      </c>
    </row>
    <row r="1053" spans="1:13" ht="90" customHeight="1" x14ac:dyDescent="0.3">
      <c r="A1053" s="8"/>
      <c r="B1053" s="9"/>
      <c r="C1053" s="9"/>
      <c r="D1053" s="9"/>
      <c r="E1053" s="9"/>
      <c r="F1053" s="9"/>
      <c r="G1053" s="9"/>
      <c r="H1053" s="9"/>
      <c r="I1053" s="1"/>
      <c r="J1053" s="1"/>
      <c r="K1053" s="1"/>
      <c r="L1053" s="1"/>
      <c r="M1053" s="1"/>
    </row>
    <row r="1054" spans="1:13" ht="90" customHeight="1" x14ac:dyDescent="0.3">
      <c r="A1054" s="8"/>
      <c r="B1054" s="9"/>
      <c r="C1054" s="9"/>
      <c r="D1054" s="9"/>
      <c r="E1054" s="9"/>
      <c r="F1054" s="9"/>
      <c r="G1054" s="9"/>
      <c r="H1054" s="9"/>
      <c r="I1054" s="1"/>
      <c r="J1054" s="1"/>
      <c r="K1054" s="1"/>
      <c r="L1054" s="1"/>
      <c r="M1054" s="1"/>
    </row>
    <row r="1055" spans="1:13" ht="90" customHeight="1" x14ac:dyDescent="0.3">
      <c r="A1055" s="8"/>
      <c r="B1055" s="9"/>
      <c r="C1055" s="9"/>
      <c r="D1055" s="9"/>
      <c r="E1055" s="9"/>
      <c r="F1055" s="9"/>
      <c r="G1055" s="9"/>
      <c r="H1055" s="9"/>
      <c r="I1055" s="1"/>
      <c r="J1055" s="1"/>
      <c r="K1055" s="1"/>
      <c r="L1055" s="1"/>
      <c r="M1055" s="1"/>
    </row>
    <row r="1056" spans="1:13" ht="90" customHeight="1" x14ac:dyDescent="0.3">
      <c r="A1056" s="8"/>
      <c r="B1056" s="9"/>
      <c r="C1056" s="9"/>
      <c r="D1056" s="9"/>
      <c r="E1056" s="9"/>
      <c r="F1056" s="9"/>
      <c r="G1056" s="9"/>
      <c r="H1056" s="9"/>
      <c r="I1056" s="1"/>
      <c r="J1056" s="1"/>
      <c r="K1056" s="1"/>
      <c r="L1056" s="1"/>
      <c r="M1056" s="1"/>
    </row>
    <row r="1057" spans="1:13" ht="90" customHeight="1" x14ac:dyDescent="0.3">
      <c r="A1057" s="8">
        <v>377</v>
      </c>
      <c r="B1057" s="8" t="s">
        <v>1193</v>
      </c>
      <c r="C1057" s="8" t="s">
        <v>333</v>
      </c>
      <c r="D1057" s="8" t="s">
        <v>1194</v>
      </c>
      <c r="E1057" s="10" t="s">
        <v>24</v>
      </c>
      <c r="F1057" s="10" t="s">
        <v>25</v>
      </c>
      <c r="G1057" s="8" t="s">
        <v>1195</v>
      </c>
      <c r="H1057" s="8" t="s">
        <v>1196</v>
      </c>
      <c r="I1057" s="4" t="s">
        <v>1197</v>
      </c>
      <c r="J1057" s="4">
        <v>0.99999058246612549</v>
      </c>
      <c r="K1057" s="4" t="s">
        <v>29</v>
      </c>
      <c r="L1057" s="4" t="s">
        <v>333</v>
      </c>
      <c r="M1057" s="4">
        <v>163</v>
      </c>
    </row>
    <row r="1058" spans="1:13" ht="90" customHeight="1" x14ac:dyDescent="0.3">
      <c r="A1058" s="8"/>
      <c r="B1058" s="9"/>
      <c r="C1058" s="9"/>
      <c r="D1058" s="9"/>
      <c r="E1058" s="9"/>
      <c r="F1058" s="9"/>
      <c r="G1058" s="9"/>
      <c r="H1058" s="9"/>
      <c r="I1058" s="2" t="s">
        <v>1198</v>
      </c>
      <c r="J1058" s="2">
        <v>0.9018561840057373</v>
      </c>
      <c r="K1058" s="2" t="s">
        <v>29</v>
      </c>
      <c r="L1058" s="2" t="s">
        <v>1199</v>
      </c>
      <c r="M1058" s="2">
        <v>175</v>
      </c>
    </row>
    <row r="1059" spans="1:13" ht="90" customHeight="1" x14ac:dyDescent="0.3">
      <c r="A1059" s="8"/>
      <c r="B1059" s="9"/>
      <c r="C1059" s="9"/>
      <c r="D1059" s="9"/>
      <c r="E1059" s="9"/>
      <c r="F1059" s="9"/>
      <c r="G1059" s="9"/>
      <c r="H1059" s="9"/>
      <c r="I1059" s="1"/>
      <c r="J1059" s="1"/>
      <c r="K1059" s="1"/>
      <c r="L1059" s="1"/>
      <c r="M1059" s="1"/>
    </row>
    <row r="1060" spans="1:13" ht="90" customHeight="1" x14ac:dyDescent="0.3">
      <c r="A1060" s="8"/>
      <c r="B1060" s="9"/>
      <c r="C1060" s="9"/>
      <c r="D1060" s="9"/>
      <c r="E1060" s="9"/>
      <c r="F1060" s="9"/>
      <c r="G1060" s="9"/>
      <c r="H1060" s="9"/>
      <c r="I1060" s="1"/>
      <c r="J1060" s="1"/>
      <c r="K1060" s="1"/>
      <c r="L1060" s="1"/>
      <c r="M1060" s="1"/>
    </row>
    <row r="1061" spans="1:13" ht="90" customHeight="1" x14ac:dyDescent="0.3">
      <c r="A1061" s="8"/>
      <c r="B1061" s="9"/>
      <c r="C1061" s="9"/>
      <c r="D1061" s="9"/>
      <c r="E1061" s="9"/>
      <c r="F1061" s="9"/>
      <c r="G1061" s="9"/>
      <c r="H1061" s="9"/>
      <c r="I1061" s="1"/>
      <c r="J1061" s="1"/>
      <c r="K1061" s="1"/>
      <c r="L1061" s="1"/>
      <c r="M1061" s="1"/>
    </row>
  </sheetData>
  <autoFilter ref="A1:M1061" xr:uid="{00000000-0001-0000-0100-000000000000}"/>
  <mergeCells count="1696">
    <mergeCell ref="E167:E171"/>
    <mergeCell ref="H22:H26"/>
    <mergeCell ref="C832:C836"/>
    <mergeCell ref="G652:G656"/>
    <mergeCell ref="H1047:H1051"/>
    <mergeCell ref="H292:H296"/>
    <mergeCell ref="D197:D201"/>
    <mergeCell ref="E467:E471"/>
    <mergeCell ref="B422:B426"/>
    <mergeCell ref="G952:G956"/>
    <mergeCell ref="E162:E166"/>
    <mergeCell ref="G227:G231"/>
    <mergeCell ref="D182:D186"/>
    <mergeCell ref="H317:H321"/>
    <mergeCell ref="B722:B726"/>
    <mergeCell ref="A357:A361"/>
    <mergeCell ref="C87:C91"/>
    <mergeCell ref="A627:A631"/>
    <mergeCell ref="F1007:F1011"/>
    <mergeCell ref="A352:A356"/>
    <mergeCell ref="A787:A791"/>
    <mergeCell ref="G67:G71"/>
    <mergeCell ref="F127:F131"/>
    <mergeCell ref="B152:B156"/>
    <mergeCell ref="H977:H981"/>
    <mergeCell ref="G367:G371"/>
    <mergeCell ref="C117:C121"/>
    <mergeCell ref="E182:E186"/>
    <mergeCell ref="B452:B456"/>
    <mergeCell ref="F272:F276"/>
    <mergeCell ref="G667:G671"/>
    <mergeCell ref="D87:D91"/>
    <mergeCell ref="A42:A46"/>
    <mergeCell ref="F597:F601"/>
    <mergeCell ref="C442:C446"/>
    <mergeCell ref="A202:A206"/>
    <mergeCell ref="F897:F901"/>
    <mergeCell ref="D82:D86"/>
    <mergeCell ref="C932:C936"/>
    <mergeCell ref="H707:H711"/>
    <mergeCell ref="H392:H396"/>
    <mergeCell ref="E662:E666"/>
    <mergeCell ref="A502:A506"/>
    <mergeCell ref="B837:B841"/>
    <mergeCell ref="E322:E326"/>
    <mergeCell ref="C477:C481"/>
    <mergeCell ref="G1052:G1056"/>
    <mergeCell ref="G297:G301"/>
    <mergeCell ref="D982:D986"/>
    <mergeCell ref="H692:H696"/>
    <mergeCell ref="E962:E966"/>
    <mergeCell ref="E622:E626"/>
    <mergeCell ref="B822:B826"/>
    <mergeCell ref="G597:G601"/>
    <mergeCell ref="B832:B836"/>
    <mergeCell ref="B77:B81"/>
    <mergeCell ref="A727:A731"/>
    <mergeCell ref="H992:H996"/>
    <mergeCell ref="G292:G296"/>
    <mergeCell ref="A422:A426"/>
    <mergeCell ref="B377:B381"/>
    <mergeCell ref="C487:C491"/>
    <mergeCell ref="F952:F956"/>
    <mergeCell ref="A1027:A1031"/>
    <mergeCell ref="D852:D856"/>
    <mergeCell ref="A887:A891"/>
    <mergeCell ref="H262:H266"/>
    <mergeCell ref="F662:F666"/>
    <mergeCell ref="E77:E81"/>
    <mergeCell ref="C617:C621"/>
    <mergeCell ref="E377:E381"/>
    <mergeCell ref="C917:C921"/>
    <mergeCell ref="A882:A886"/>
    <mergeCell ref="G12:G16"/>
    <mergeCell ref="A142:A146"/>
    <mergeCell ref="B97:B101"/>
    <mergeCell ref="F672:F676"/>
    <mergeCell ref="E247:E251"/>
    <mergeCell ref="G312:G316"/>
    <mergeCell ref="A757:A761"/>
    <mergeCell ref="A442:A446"/>
    <mergeCell ref="B162:B166"/>
    <mergeCell ref="D227:D231"/>
    <mergeCell ref="H802:H806"/>
    <mergeCell ref="C282:C286"/>
    <mergeCell ref="A822:A826"/>
    <mergeCell ref="A97:A101"/>
    <mergeCell ref="C582:C586"/>
    <mergeCell ref="D222:D226"/>
    <mergeCell ref="H42:H46"/>
    <mergeCell ref="E217:E221"/>
    <mergeCell ref="F197:F201"/>
    <mergeCell ref="E412:E416"/>
    <mergeCell ref="C62:C66"/>
    <mergeCell ref="C12:C16"/>
    <mergeCell ref="H542:H546"/>
    <mergeCell ref="G7:G11"/>
    <mergeCell ref="F217:F221"/>
    <mergeCell ref="A452:A456"/>
    <mergeCell ref="A572:A576"/>
    <mergeCell ref="F667:F671"/>
    <mergeCell ref="H642:H646"/>
    <mergeCell ref="F552:F556"/>
    <mergeCell ref="B992:B996"/>
    <mergeCell ref="H942:H946"/>
    <mergeCell ref="D967:D971"/>
    <mergeCell ref="D212:D216"/>
    <mergeCell ref="D627:D631"/>
    <mergeCell ref="A897:A901"/>
    <mergeCell ref="E607:E611"/>
    <mergeCell ref="G707:G711"/>
    <mergeCell ref="D322:D326"/>
    <mergeCell ref="E302:E306"/>
    <mergeCell ref="D512:D516"/>
    <mergeCell ref="B477:B481"/>
    <mergeCell ref="D962:D966"/>
    <mergeCell ref="D207:D211"/>
    <mergeCell ref="D622:D626"/>
    <mergeCell ref="D507:D511"/>
    <mergeCell ref="H792:H796"/>
    <mergeCell ref="B922:B926"/>
    <mergeCell ref="B167:B171"/>
    <mergeCell ref="G262:G266"/>
    <mergeCell ref="G122:G126"/>
    <mergeCell ref="B617:B621"/>
    <mergeCell ref="C257:C261"/>
    <mergeCell ref="A522:A526"/>
    <mergeCell ref="B917:B921"/>
    <mergeCell ref="B1057:B1061"/>
    <mergeCell ref="G437:G441"/>
    <mergeCell ref="B937:B941"/>
    <mergeCell ref="A237:A241"/>
    <mergeCell ref="C212:C216"/>
    <mergeCell ref="D607:D611"/>
    <mergeCell ref="A562:A566"/>
    <mergeCell ref="A537:A541"/>
    <mergeCell ref="C512:C516"/>
    <mergeCell ref="D907:D911"/>
    <mergeCell ref="H727:H731"/>
    <mergeCell ref="A862:A866"/>
    <mergeCell ref="E997:E1001"/>
    <mergeCell ref="C207:C211"/>
    <mergeCell ref="C812:C816"/>
    <mergeCell ref="A22:A26"/>
    <mergeCell ref="E392:E396"/>
    <mergeCell ref="H1027:H1031"/>
    <mergeCell ref="H887:H891"/>
    <mergeCell ref="D1052:D1056"/>
    <mergeCell ref="G792:G796"/>
    <mergeCell ref="D747:D751"/>
    <mergeCell ref="A922:A926"/>
    <mergeCell ref="A167:A171"/>
    <mergeCell ref="D22:D26"/>
    <mergeCell ref="B562:B566"/>
    <mergeCell ref="C652:C656"/>
    <mergeCell ref="D1047:D1051"/>
    <mergeCell ref="A467:A471"/>
    <mergeCell ref="H457:H461"/>
    <mergeCell ref="F1022:F1026"/>
    <mergeCell ref="H142:H146"/>
    <mergeCell ref="C952:C956"/>
    <mergeCell ref="A917:A921"/>
    <mergeCell ref="A162:A166"/>
    <mergeCell ref="C227:C231"/>
    <mergeCell ref="H782:H786"/>
    <mergeCell ref="H757:H761"/>
    <mergeCell ref="E712:E716"/>
    <mergeCell ref="B1007:B1011"/>
    <mergeCell ref="G207:G211"/>
    <mergeCell ref="E747:E751"/>
    <mergeCell ref="C222:C226"/>
    <mergeCell ref="D652:D656"/>
    <mergeCell ref="C67:C71"/>
    <mergeCell ref="E197:E201"/>
    <mergeCell ref="G987:G991"/>
    <mergeCell ref="B127:B131"/>
    <mergeCell ref="G507:G511"/>
    <mergeCell ref="A637:A641"/>
    <mergeCell ref="F437:F441"/>
    <mergeCell ref="F412:F416"/>
    <mergeCell ref="D977:D981"/>
    <mergeCell ref="C367:C371"/>
    <mergeCell ref="G807:G811"/>
    <mergeCell ref="A937:A941"/>
    <mergeCell ref="A182:A186"/>
    <mergeCell ref="E342:E346"/>
    <mergeCell ref="H172:H176"/>
    <mergeCell ref="F737:F741"/>
    <mergeCell ref="F712:F716"/>
    <mergeCell ref="C667:C671"/>
    <mergeCell ref="G102:G106"/>
    <mergeCell ref="E642:E646"/>
    <mergeCell ref="F1037:F1041"/>
    <mergeCell ref="E337:E341"/>
    <mergeCell ref="A177:A181"/>
    <mergeCell ref="G402:G406"/>
    <mergeCell ref="E942:E946"/>
    <mergeCell ref="C152:C156"/>
    <mergeCell ref="G97:G101"/>
    <mergeCell ref="B812:B816"/>
    <mergeCell ref="D707:D711"/>
    <mergeCell ref="D392:D396"/>
    <mergeCell ref="F2:F6"/>
    <mergeCell ref="C1052:C1056"/>
    <mergeCell ref="C297:C301"/>
    <mergeCell ref="D692:D696"/>
    <mergeCell ref="H827:H831"/>
    <mergeCell ref="G432:G436"/>
    <mergeCell ref="E57:E61"/>
    <mergeCell ref="H522:H526"/>
    <mergeCell ref="C597:C601"/>
    <mergeCell ref="F337:F341"/>
    <mergeCell ref="C1047:C1051"/>
    <mergeCell ref="C292:C296"/>
    <mergeCell ref="E357:E361"/>
    <mergeCell ref="E1022:E1026"/>
    <mergeCell ref="B952:B956"/>
    <mergeCell ref="H97:H101"/>
    <mergeCell ref="E52:E56"/>
    <mergeCell ref="D262:D266"/>
    <mergeCell ref="B227:B231"/>
    <mergeCell ref="G877:G881"/>
    <mergeCell ref="A1007:A1011"/>
    <mergeCell ref="E352:E356"/>
    <mergeCell ref="B672:B676"/>
    <mergeCell ref="A247:A251"/>
    <mergeCell ref="C312:C316"/>
    <mergeCell ref="G447:G451"/>
    <mergeCell ref="C977:C981"/>
    <mergeCell ref="F77:F81"/>
    <mergeCell ref="B217:B221"/>
    <mergeCell ref="A272:A276"/>
    <mergeCell ref="E737:E741"/>
    <mergeCell ref="B667:B671"/>
    <mergeCell ref="F377:F381"/>
    <mergeCell ref="G467:G471"/>
    <mergeCell ref="D642:D646"/>
    <mergeCell ref="E1037:E1041"/>
    <mergeCell ref="E282:E286"/>
    <mergeCell ref="G932:G936"/>
    <mergeCell ref="D942:D946"/>
    <mergeCell ref="C707:C711"/>
    <mergeCell ref="C392:C396"/>
    <mergeCell ref="A662:A666"/>
    <mergeCell ref="A962:A966"/>
    <mergeCell ref="D97:D101"/>
    <mergeCell ref="A112:A116"/>
    <mergeCell ref="B507:B511"/>
    <mergeCell ref="F517:F521"/>
    <mergeCell ref="D992:D996"/>
    <mergeCell ref="D237:D241"/>
    <mergeCell ref="A412:A416"/>
    <mergeCell ref="G912:G916"/>
    <mergeCell ref="B807:B811"/>
    <mergeCell ref="F212:F216"/>
    <mergeCell ref="C897:C901"/>
    <mergeCell ref="H922:H926"/>
    <mergeCell ref="H167:H171"/>
    <mergeCell ref="B297:B301"/>
    <mergeCell ref="B272:B276"/>
    <mergeCell ref="G187:G191"/>
    <mergeCell ref="E727:E731"/>
    <mergeCell ref="C692:C696"/>
    <mergeCell ref="G827:G831"/>
    <mergeCell ref="H467:H471"/>
    <mergeCell ref="E422:E426"/>
    <mergeCell ref="B597:B601"/>
    <mergeCell ref="G487:G491"/>
    <mergeCell ref="C992:C996"/>
    <mergeCell ref="D357:D361"/>
    <mergeCell ref="B897:B901"/>
    <mergeCell ref="C262:C266"/>
    <mergeCell ref="C122:C126"/>
    <mergeCell ref="D787:D791"/>
    <mergeCell ref="G242:G246"/>
    <mergeCell ref="E907:E911"/>
    <mergeCell ref="B327:B331"/>
    <mergeCell ref="D802:D806"/>
    <mergeCell ref="H132:H136"/>
    <mergeCell ref="H662:H666"/>
    <mergeCell ref="C457:C461"/>
    <mergeCell ref="F582:F586"/>
    <mergeCell ref="C757:C761"/>
    <mergeCell ref="C877:C881"/>
    <mergeCell ref="H217:H221"/>
    <mergeCell ref="B207:B211"/>
    <mergeCell ref="G612:G616"/>
    <mergeCell ref="D542:D546"/>
    <mergeCell ref="B12:B16"/>
    <mergeCell ref="G882:G886"/>
    <mergeCell ref="G542:G546"/>
    <mergeCell ref="D812:D816"/>
    <mergeCell ref="B312:B316"/>
    <mergeCell ref="F447:F451"/>
    <mergeCell ref="A217:A221"/>
    <mergeCell ref="A377:A381"/>
    <mergeCell ref="F932:F936"/>
    <mergeCell ref="E837:E841"/>
    <mergeCell ref="E497:E501"/>
    <mergeCell ref="D727:D731"/>
    <mergeCell ref="E92:E96"/>
    <mergeCell ref="F487:F491"/>
    <mergeCell ref="D1027:D1031"/>
    <mergeCell ref="D887:D891"/>
    <mergeCell ref="E977:E981"/>
    <mergeCell ref="E252:E256"/>
    <mergeCell ref="C792:C796"/>
    <mergeCell ref="E87:E91"/>
    <mergeCell ref="G217:G221"/>
    <mergeCell ref="E617:E621"/>
    <mergeCell ref="D827:D831"/>
    <mergeCell ref="B792:B796"/>
    <mergeCell ref="G682:G686"/>
    <mergeCell ref="C432:C436"/>
    <mergeCell ref="D522:D526"/>
    <mergeCell ref="F587:F591"/>
    <mergeCell ref="D552:D556"/>
    <mergeCell ref="F527:F531"/>
    <mergeCell ref="F282:F286"/>
    <mergeCell ref="D822:D826"/>
    <mergeCell ref="H1007:H1011"/>
    <mergeCell ref="E552:E556"/>
    <mergeCell ref="A302:A306"/>
    <mergeCell ref="B392:B396"/>
    <mergeCell ref="G527:G531"/>
    <mergeCell ref="D457:D461"/>
    <mergeCell ref="D152:D156"/>
    <mergeCell ref="F92:F96"/>
    <mergeCell ref="B692:B696"/>
    <mergeCell ref="D757:D761"/>
    <mergeCell ref="D452:D456"/>
    <mergeCell ref="H272:H276"/>
    <mergeCell ref="A747:A751"/>
    <mergeCell ref="F87:F91"/>
    <mergeCell ref="C42:C46"/>
    <mergeCell ref="E692:E696"/>
    <mergeCell ref="C507:C511"/>
    <mergeCell ref="E482:E486"/>
    <mergeCell ref="B412:B416"/>
    <mergeCell ref="G967:G971"/>
    <mergeCell ref="C807:C811"/>
    <mergeCell ref="G627:G631"/>
    <mergeCell ref="E782:E786"/>
    <mergeCell ref="G662:G666"/>
    <mergeCell ref="E477:E481"/>
    <mergeCell ref="F567:F571"/>
    <mergeCell ref="D67:D71"/>
    <mergeCell ref="F867:F871"/>
    <mergeCell ref="C727:C731"/>
    <mergeCell ref="D682:D686"/>
    <mergeCell ref="G382:G386"/>
    <mergeCell ref="E922:E926"/>
    <mergeCell ref="G607:G611"/>
    <mergeCell ref="D537:D541"/>
    <mergeCell ref="C172:C176"/>
    <mergeCell ref="A737:A741"/>
    <mergeCell ref="A712:A716"/>
    <mergeCell ref="F512:F516"/>
    <mergeCell ref="E147:E151"/>
    <mergeCell ref="H577:H581"/>
    <mergeCell ref="G907:G911"/>
    <mergeCell ref="A1037:A1041"/>
    <mergeCell ref="G752:G756"/>
    <mergeCell ref="F812:F816"/>
    <mergeCell ref="B192:B196"/>
    <mergeCell ref="G747:G751"/>
    <mergeCell ref="D922:D926"/>
    <mergeCell ref="D167:D171"/>
    <mergeCell ref="A342:A346"/>
    <mergeCell ref="E562:E566"/>
    <mergeCell ref="E1027:E1031"/>
    <mergeCell ref="G1002:G1006"/>
    <mergeCell ref="H997:H1001"/>
    <mergeCell ref="H717:H721"/>
    <mergeCell ref="E672:E676"/>
    <mergeCell ref="B847:B851"/>
    <mergeCell ref="H437:H441"/>
    <mergeCell ref="H412:H416"/>
    <mergeCell ref="E367:E371"/>
    <mergeCell ref="B542:B546"/>
    <mergeCell ref="B977:B981"/>
    <mergeCell ref="G342:G346"/>
    <mergeCell ref="C182:C186"/>
    <mergeCell ref="D272:D276"/>
    <mergeCell ref="A127:A131"/>
    <mergeCell ref="C827:C831"/>
    <mergeCell ref="F682:F686"/>
    <mergeCell ref="C102:C106"/>
    <mergeCell ref="A642:A646"/>
    <mergeCell ref="E587:E591"/>
    <mergeCell ref="A337:A341"/>
    <mergeCell ref="F227:F231"/>
    <mergeCell ref="C402:C406"/>
    <mergeCell ref="E132:E136"/>
    <mergeCell ref="C97:C101"/>
    <mergeCell ref="H472:H476"/>
    <mergeCell ref="B877:B881"/>
    <mergeCell ref="C242:C246"/>
    <mergeCell ref="A57:A61"/>
    <mergeCell ref="G977:G981"/>
    <mergeCell ref="F612:F616"/>
    <mergeCell ref="C882:C886"/>
    <mergeCell ref="C542:C546"/>
    <mergeCell ref="H342:H346"/>
    <mergeCell ref="C237:C241"/>
    <mergeCell ref="B447:B451"/>
    <mergeCell ref="F912:F916"/>
    <mergeCell ref="E212:E216"/>
    <mergeCell ref="H57:H61"/>
    <mergeCell ref="H697:H701"/>
    <mergeCell ref="H357:H361"/>
    <mergeCell ref="A552:A556"/>
    <mergeCell ref="E372:E376"/>
    <mergeCell ref="H112:H116"/>
    <mergeCell ref="C187:C191"/>
    <mergeCell ref="F652:F656"/>
    <mergeCell ref="A52:A56"/>
    <mergeCell ref="B142:B146"/>
    <mergeCell ref="G277:G281"/>
    <mergeCell ref="E817:E821"/>
    <mergeCell ref="E512:E516"/>
    <mergeCell ref="B442:B446"/>
    <mergeCell ref="G577:G581"/>
    <mergeCell ref="B932:B936"/>
    <mergeCell ref="F752:F756"/>
    <mergeCell ref="D567:D571"/>
    <mergeCell ref="A837:A841"/>
    <mergeCell ref="A497:A501"/>
    <mergeCell ref="F1052:F1056"/>
    <mergeCell ref="F297:F301"/>
    <mergeCell ref="C472:C476"/>
    <mergeCell ref="C982:C986"/>
    <mergeCell ref="F327:F331"/>
    <mergeCell ref="D867:D871"/>
    <mergeCell ref="C167:C171"/>
    <mergeCell ref="E232:E236"/>
    <mergeCell ref="C772:C776"/>
    <mergeCell ref="B827:B831"/>
    <mergeCell ref="G717:G721"/>
    <mergeCell ref="D892:D896"/>
    <mergeCell ref="C467:C471"/>
    <mergeCell ref="E532:E536"/>
    <mergeCell ref="F622:F626"/>
    <mergeCell ref="D1022:D1026"/>
    <mergeCell ref="E227:E231"/>
    <mergeCell ref="B522:B526"/>
    <mergeCell ref="D132:D136"/>
    <mergeCell ref="F782:F786"/>
    <mergeCell ref="A447:A451"/>
    <mergeCell ref="H712:H716"/>
    <mergeCell ref="E157:E161"/>
    <mergeCell ref="B87:B91"/>
    <mergeCell ref="G642:G646"/>
    <mergeCell ref="E457:E461"/>
    <mergeCell ref="D1037:D1041"/>
    <mergeCell ref="A482:A486"/>
    <mergeCell ref="F1012:F1016"/>
    <mergeCell ref="C627:C631"/>
    <mergeCell ref="H307:H311"/>
    <mergeCell ref="F707:F711"/>
    <mergeCell ref="E602:E606"/>
    <mergeCell ref="F997:F1001"/>
    <mergeCell ref="A477:A481"/>
    <mergeCell ref="E297:E301"/>
    <mergeCell ref="B982:B986"/>
    <mergeCell ref="G362:G366"/>
    <mergeCell ref="E902:E906"/>
    <mergeCell ref="H677:H681"/>
    <mergeCell ref="H837:H841"/>
    <mergeCell ref="H497:H501"/>
    <mergeCell ref="H92:H96"/>
    <mergeCell ref="E267:E271"/>
    <mergeCell ref="H252:H256"/>
    <mergeCell ref="F792:F796"/>
    <mergeCell ref="E427:E431"/>
    <mergeCell ref="C967:C971"/>
    <mergeCell ref="E262:E266"/>
    <mergeCell ref="G157:G161"/>
    <mergeCell ref="E122:E126"/>
    <mergeCell ref="E697:E701"/>
    <mergeCell ref="G57:G61"/>
    <mergeCell ref="F267:F271"/>
    <mergeCell ref="E597:E601"/>
    <mergeCell ref="G357:G361"/>
    <mergeCell ref="C1022:C1026"/>
    <mergeCell ref="F262:F266"/>
    <mergeCell ref="F122:F126"/>
    <mergeCell ref="D662:D666"/>
    <mergeCell ref="C132:C136"/>
    <mergeCell ref="E27:E31"/>
    <mergeCell ref="C1007:C1011"/>
    <mergeCell ref="E317:E321"/>
    <mergeCell ref="E327:E331"/>
    <mergeCell ref="G802:G806"/>
    <mergeCell ref="E12:E16"/>
    <mergeCell ref="D672:D676"/>
    <mergeCell ref="A92:A96"/>
    <mergeCell ref="D217:D221"/>
    <mergeCell ref="D77:D81"/>
    <mergeCell ref="A87:A91"/>
    <mergeCell ref="D377:D381"/>
    <mergeCell ref="E1012:E1016"/>
    <mergeCell ref="B967:B971"/>
    <mergeCell ref="B627:B631"/>
    <mergeCell ref="C607:C611"/>
    <mergeCell ref="E707:E711"/>
    <mergeCell ref="D602:D606"/>
    <mergeCell ref="A147:A151"/>
    <mergeCell ref="C907:C911"/>
    <mergeCell ref="G727:G731"/>
    <mergeCell ref="F362:F366"/>
    <mergeCell ref="D902:D906"/>
    <mergeCell ref="C662:C666"/>
    <mergeCell ref="D17:D21"/>
    <mergeCell ref="H552:H556"/>
    <mergeCell ref="B682:B686"/>
    <mergeCell ref="F817:F821"/>
    <mergeCell ref="D27:D31"/>
    <mergeCell ref="G457:G461"/>
    <mergeCell ref="D317:D321"/>
    <mergeCell ref="A587:A591"/>
    <mergeCell ref="G152:G156"/>
    <mergeCell ref="D327:D331"/>
    <mergeCell ref="F802:F806"/>
    <mergeCell ref="D12:D16"/>
    <mergeCell ref="G757:G761"/>
    <mergeCell ref="E567:E571"/>
    <mergeCell ref="H447:H451"/>
    <mergeCell ref="C217:C221"/>
    <mergeCell ref="B67:B71"/>
    <mergeCell ref="E402:E406"/>
    <mergeCell ref="E547:E551"/>
    <mergeCell ref="F187:F191"/>
    <mergeCell ref="E242:E246"/>
    <mergeCell ref="H672:H676"/>
    <mergeCell ref="G307:G311"/>
    <mergeCell ref="F137:F141"/>
    <mergeCell ref="H17:H21"/>
    <mergeCell ref="G677:G681"/>
    <mergeCell ref="B157:B161"/>
    <mergeCell ref="C552:C556"/>
    <mergeCell ref="E492:E496"/>
    <mergeCell ref="B762:B766"/>
    <mergeCell ref="G372:G376"/>
    <mergeCell ref="E867:E871"/>
    <mergeCell ref="E112:E116"/>
    <mergeCell ref="C77:C81"/>
    <mergeCell ref="A617:A621"/>
    <mergeCell ref="G842:G846"/>
    <mergeCell ref="C682:C686"/>
    <mergeCell ref="D772:D776"/>
    <mergeCell ref="H482:H486"/>
    <mergeCell ref="C377:C381"/>
    <mergeCell ref="B587:B591"/>
    <mergeCell ref="H932:H936"/>
    <mergeCell ref="F532:F536"/>
    <mergeCell ref="B282:B286"/>
    <mergeCell ref="G172:G176"/>
    <mergeCell ref="G837:G841"/>
    <mergeCell ref="A212:A216"/>
    <mergeCell ref="C522:C526"/>
    <mergeCell ref="B582:B586"/>
    <mergeCell ref="A512:A516"/>
    <mergeCell ref="H502:H506"/>
    <mergeCell ref="E797:E801"/>
    <mergeCell ref="B752:B756"/>
    <mergeCell ref="B727:B731"/>
    <mergeCell ref="G557:G561"/>
    <mergeCell ref="D487:D491"/>
    <mergeCell ref="D112:D116"/>
    <mergeCell ref="D737:D741"/>
    <mergeCell ref="D712:D716"/>
    <mergeCell ref="H872:H876"/>
    <mergeCell ref="H147:H151"/>
    <mergeCell ref="C642:C646"/>
    <mergeCell ref="G927:G931"/>
    <mergeCell ref="B1052:B1056"/>
    <mergeCell ref="B1027:B1031"/>
    <mergeCell ref="H197:H201"/>
    <mergeCell ref="G252:G256"/>
    <mergeCell ref="E792:E796"/>
    <mergeCell ref="G857:G861"/>
    <mergeCell ref="F157:F161"/>
    <mergeCell ref="A987:A991"/>
    <mergeCell ref="A232:A236"/>
    <mergeCell ref="D697:D701"/>
    <mergeCell ref="G552:G556"/>
    <mergeCell ref="F762:F766"/>
    <mergeCell ref="F457:F461"/>
    <mergeCell ref="A532:A536"/>
    <mergeCell ref="D997:D1001"/>
    <mergeCell ref="C752:C756"/>
    <mergeCell ref="A227:A231"/>
    <mergeCell ref="G697:G701"/>
    <mergeCell ref="F757:F761"/>
    <mergeCell ref="G997:G1001"/>
    <mergeCell ref="C747:C751"/>
    <mergeCell ref="E812:E816"/>
    <mergeCell ref="F902:F906"/>
    <mergeCell ref="B652:B656"/>
    <mergeCell ref="D717:D721"/>
    <mergeCell ref="G482:G486"/>
    <mergeCell ref="D437:D441"/>
    <mergeCell ref="D412:D416"/>
    <mergeCell ref="C342:C346"/>
    <mergeCell ref="C317:C321"/>
    <mergeCell ref="G782:G786"/>
    <mergeCell ref="F172:F176"/>
    <mergeCell ref="B1012:B1016"/>
    <mergeCell ref="E437:E441"/>
    <mergeCell ref="B707:B711"/>
    <mergeCell ref="B367:B371"/>
    <mergeCell ref="G922:G926"/>
    <mergeCell ref="G167:G171"/>
    <mergeCell ref="D342:D346"/>
    <mergeCell ref="A1052:A1056"/>
    <mergeCell ref="A297:A301"/>
    <mergeCell ref="G197:G201"/>
    <mergeCell ref="H287:H291"/>
    <mergeCell ref="D127:D131"/>
    <mergeCell ref="F827:F831"/>
    <mergeCell ref="A327:A331"/>
    <mergeCell ref="H892:H896"/>
    <mergeCell ref="F102:F106"/>
    <mergeCell ref="C57:C61"/>
    <mergeCell ref="A597:A601"/>
    <mergeCell ref="H587:H591"/>
    <mergeCell ref="E762:E766"/>
    <mergeCell ref="F402:F406"/>
    <mergeCell ref="C357:C361"/>
    <mergeCell ref="B122:B126"/>
    <mergeCell ref="E877:E881"/>
    <mergeCell ref="A782:A786"/>
    <mergeCell ref="F242:F246"/>
    <mergeCell ref="C417:C421"/>
    <mergeCell ref="F847:F851"/>
    <mergeCell ref="D57:D61"/>
    <mergeCell ref="C112:C116"/>
    <mergeCell ref="A652:A656"/>
    <mergeCell ref="H372:H376"/>
    <mergeCell ref="H2:H6"/>
    <mergeCell ref="F542:F546"/>
    <mergeCell ref="E177:E181"/>
    <mergeCell ref="C717:C721"/>
    <mergeCell ref="H517:H521"/>
    <mergeCell ref="E447:E451"/>
    <mergeCell ref="C412:C416"/>
    <mergeCell ref="H817:H821"/>
    <mergeCell ref="F27:F31"/>
    <mergeCell ref="E172:E176"/>
    <mergeCell ref="A372:A376"/>
    <mergeCell ref="F927:F931"/>
    <mergeCell ref="A67:A71"/>
    <mergeCell ref="G567:G571"/>
    <mergeCell ref="A1012:A1016"/>
    <mergeCell ref="D497:D501"/>
    <mergeCell ref="A672:A676"/>
    <mergeCell ref="F472:F476"/>
    <mergeCell ref="A707:A711"/>
    <mergeCell ref="A367:A371"/>
    <mergeCell ref="G592:G596"/>
    <mergeCell ref="H987:H991"/>
    <mergeCell ref="H232:H236"/>
    <mergeCell ref="C127:C131"/>
    <mergeCell ref="A667:A671"/>
    <mergeCell ref="G892:G896"/>
    <mergeCell ref="G137:G141"/>
    <mergeCell ref="H532:H536"/>
    <mergeCell ref="F957:F961"/>
    <mergeCell ref="A262:A266"/>
    <mergeCell ref="C912:C916"/>
    <mergeCell ref="A122:A126"/>
    <mergeCell ref="E847:E851"/>
    <mergeCell ref="B802:B806"/>
    <mergeCell ref="H612:H616"/>
    <mergeCell ref="E542:E546"/>
    <mergeCell ref="A567:A571"/>
    <mergeCell ref="G517:G521"/>
    <mergeCell ref="D447:D451"/>
    <mergeCell ref="H157:H161"/>
    <mergeCell ref="B262:B266"/>
    <mergeCell ref="A867:A871"/>
    <mergeCell ref="G817:G821"/>
    <mergeCell ref="C842:C846"/>
    <mergeCell ref="D482:D486"/>
    <mergeCell ref="H1057:H1061"/>
    <mergeCell ref="H1032:H1036"/>
    <mergeCell ref="D932:D936"/>
    <mergeCell ref="C802:C806"/>
    <mergeCell ref="H602:H606"/>
    <mergeCell ref="C837:C841"/>
    <mergeCell ref="C497:C501"/>
    <mergeCell ref="E472:E476"/>
    <mergeCell ref="G232:G236"/>
    <mergeCell ref="D502:D506"/>
    <mergeCell ref="E772:E776"/>
    <mergeCell ref="A797:A801"/>
    <mergeCell ref="G532:G536"/>
    <mergeCell ref="H622:H626"/>
    <mergeCell ref="E932:E936"/>
    <mergeCell ref="D837:D841"/>
    <mergeCell ref="C252:C256"/>
    <mergeCell ref="A792:A796"/>
    <mergeCell ref="C857:C861"/>
    <mergeCell ref="E527:E531"/>
    <mergeCell ref="E187:E191"/>
    <mergeCell ref="B457:B461"/>
    <mergeCell ref="G672:G676"/>
    <mergeCell ref="D92:D96"/>
    <mergeCell ref="E487:E491"/>
    <mergeCell ref="B757:B761"/>
    <mergeCell ref="D252:D256"/>
    <mergeCell ref="E972:E976"/>
    <mergeCell ref="A812:A816"/>
    <mergeCell ref="C157:C161"/>
    <mergeCell ref="C482:C486"/>
    <mergeCell ref="C142:C146"/>
    <mergeCell ref="H1012:H1016"/>
    <mergeCell ref="E967:E971"/>
    <mergeCell ref="D577:D581"/>
    <mergeCell ref="C782:C786"/>
    <mergeCell ref="B172:B176"/>
    <mergeCell ref="G602:G606"/>
    <mergeCell ref="D147:D151"/>
    <mergeCell ref="B687:B691"/>
    <mergeCell ref="G902:G906"/>
    <mergeCell ref="C927:C931"/>
    <mergeCell ref="H267:H271"/>
    <mergeCell ref="D532:D536"/>
    <mergeCell ref="F632:F636"/>
    <mergeCell ref="C587:C591"/>
    <mergeCell ref="A402:A406"/>
    <mergeCell ref="G872:G876"/>
    <mergeCell ref="G117:G121"/>
    <mergeCell ref="G417:G421"/>
    <mergeCell ref="A547:A551"/>
    <mergeCell ref="G32:G36"/>
    <mergeCell ref="A437:A441"/>
    <mergeCell ref="H427:H431"/>
    <mergeCell ref="F967:F971"/>
    <mergeCell ref="C922:C926"/>
    <mergeCell ref="B557:B561"/>
    <mergeCell ref="E987:E991"/>
    <mergeCell ref="H122:H126"/>
    <mergeCell ref="C197:C201"/>
    <mergeCell ref="G332:G336"/>
    <mergeCell ref="G17:G21"/>
    <mergeCell ref="A462:A466"/>
    <mergeCell ref="G27:G31"/>
    <mergeCell ref="B857:B861"/>
    <mergeCell ref="B102:B106"/>
    <mergeCell ref="G632:G636"/>
    <mergeCell ref="G317:G321"/>
    <mergeCell ref="A762:A766"/>
    <mergeCell ref="G327:G331"/>
    <mergeCell ref="B402:B406"/>
    <mergeCell ref="A457:A461"/>
    <mergeCell ref="H567:H571"/>
    <mergeCell ref="E742:E746"/>
    <mergeCell ref="D72:D76"/>
    <mergeCell ref="C592:C596"/>
    <mergeCell ref="D987:D991"/>
    <mergeCell ref="D232:D236"/>
    <mergeCell ref="B197:B201"/>
    <mergeCell ref="F332:F336"/>
    <mergeCell ref="A827:A831"/>
    <mergeCell ref="C892:C896"/>
    <mergeCell ref="A102:A106"/>
    <mergeCell ref="A2:A6"/>
    <mergeCell ref="F382:F386"/>
    <mergeCell ref="G472:G476"/>
    <mergeCell ref="H867:H871"/>
    <mergeCell ref="E1042:E1046"/>
    <mergeCell ref="E287:E291"/>
    <mergeCell ref="G772:G776"/>
    <mergeCell ref="D947:D951"/>
    <mergeCell ref="A902:A906"/>
    <mergeCell ref="G47:G51"/>
    <mergeCell ref="B482:B486"/>
    <mergeCell ref="E912:E916"/>
    <mergeCell ref="G1012:G1016"/>
    <mergeCell ref="C697:C701"/>
    <mergeCell ref="D817:D821"/>
    <mergeCell ref="B782:B786"/>
    <mergeCell ref="B27:B31"/>
    <mergeCell ref="A172:A176"/>
    <mergeCell ref="C147:C151"/>
    <mergeCell ref="C997:C1001"/>
    <mergeCell ref="F577:F581"/>
    <mergeCell ref="H797:H801"/>
    <mergeCell ref="B927:B931"/>
    <mergeCell ref="B902:B906"/>
    <mergeCell ref="H72:H76"/>
    <mergeCell ref="G267:G271"/>
    <mergeCell ref="E2:E6"/>
    <mergeCell ref="C567:C571"/>
    <mergeCell ref="G702:G706"/>
    <mergeCell ref="D687:D691"/>
    <mergeCell ref="B472:B476"/>
    <mergeCell ref="G427:G431"/>
    <mergeCell ref="G867:G871"/>
    <mergeCell ref="G112:G116"/>
    <mergeCell ref="F322:F326"/>
    <mergeCell ref="D287:D291"/>
    <mergeCell ref="A242:A246"/>
    <mergeCell ref="F772:F776"/>
    <mergeCell ref="F17:F21"/>
    <mergeCell ref="A847:A851"/>
    <mergeCell ref="G412:G416"/>
    <mergeCell ref="F47:F51"/>
    <mergeCell ref="D612:D616"/>
    <mergeCell ref="D587:D591"/>
    <mergeCell ref="A542:A546"/>
    <mergeCell ref="F317:F321"/>
    <mergeCell ref="C517:C521"/>
    <mergeCell ref="E827:E831"/>
    <mergeCell ref="D912:D916"/>
    <mergeCell ref="E277:E281"/>
    <mergeCell ref="C817:C821"/>
    <mergeCell ref="E67:E71"/>
    <mergeCell ref="C677:C681"/>
    <mergeCell ref="F417:F421"/>
    <mergeCell ref="C372:C376"/>
    <mergeCell ref="F62:F66"/>
    <mergeCell ref="C332:C336"/>
    <mergeCell ref="C17:C21"/>
    <mergeCell ref="A632:A636"/>
    <mergeCell ref="A752:A756"/>
    <mergeCell ref="A27:A31"/>
    <mergeCell ref="A717:A721"/>
    <mergeCell ref="E887:E891"/>
    <mergeCell ref="G182:G186"/>
    <mergeCell ref="D1032:D1036"/>
    <mergeCell ref="D1057:D1061"/>
    <mergeCell ref="B242:B246"/>
    <mergeCell ref="E577:E581"/>
    <mergeCell ref="G132:G136"/>
    <mergeCell ref="G797:G801"/>
    <mergeCell ref="B882:B886"/>
    <mergeCell ref="D2:D6"/>
    <mergeCell ref="B567:B571"/>
    <mergeCell ref="F702:F706"/>
    <mergeCell ref="E722:E726"/>
    <mergeCell ref="A472:A476"/>
    <mergeCell ref="H462:H466"/>
    <mergeCell ref="B867:B871"/>
    <mergeCell ref="F1002:F1006"/>
    <mergeCell ref="C232:C236"/>
    <mergeCell ref="A772:A776"/>
    <mergeCell ref="H762:H766"/>
    <mergeCell ref="H7:H11"/>
    <mergeCell ref="E717:E721"/>
    <mergeCell ref="B137:B141"/>
    <mergeCell ref="E1057:E1061"/>
    <mergeCell ref="C532:C536"/>
    <mergeCell ref="A932:A936"/>
    <mergeCell ref="G212:G216"/>
    <mergeCell ref="E752:E756"/>
    <mergeCell ref="B1022:B1026"/>
    <mergeCell ref="F117:F121"/>
    <mergeCell ref="G512:G516"/>
    <mergeCell ref="D782:D786"/>
    <mergeCell ref="E1052:E1056"/>
    <mergeCell ref="A957:A961"/>
    <mergeCell ref="H902:H906"/>
    <mergeCell ref="F112:F116"/>
    <mergeCell ref="A187:A191"/>
    <mergeCell ref="H177:H181"/>
    <mergeCell ref="F717:F721"/>
    <mergeCell ref="A197:A201"/>
    <mergeCell ref="C672:C676"/>
    <mergeCell ref="E17:E21"/>
    <mergeCell ref="G82:G86"/>
    <mergeCell ref="A487:A491"/>
    <mergeCell ref="B437:B441"/>
    <mergeCell ref="B737:B741"/>
    <mergeCell ref="D372:D376"/>
    <mergeCell ref="B1037:B1041"/>
    <mergeCell ref="F347:F351"/>
    <mergeCell ref="C1032:C1036"/>
    <mergeCell ref="G742:G746"/>
    <mergeCell ref="D1012:D1016"/>
    <mergeCell ref="F132:F136"/>
    <mergeCell ref="H107:H111"/>
    <mergeCell ref="E37:E41"/>
    <mergeCell ref="E72:E76"/>
    <mergeCell ref="H407:H411"/>
    <mergeCell ref="H102:H106"/>
    <mergeCell ref="B232:B236"/>
    <mergeCell ref="A137:A141"/>
    <mergeCell ref="C447:C451"/>
    <mergeCell ref="B532:B536"/>
    <mergeCell ref="D427:D431"/>
    <mergeCell ref="H247:H251"/>
    <mergeCell ref="A1022:A1026"/>
    <mergeCell ref="D122:D126"/>
    <mergeCell ref="H547:H551"/>
    <mergeCell ref="C27:C31"/>
    <mergeCell ref="B677:B681"/>
    <mergeCell ref="C632:C636"/>
    <mergeCell ref="H242:H246"/>
    <mergeCell ref="H847:H851"/>
    <mergeCell ref="F57:F61"/>
    <mergeCell ref="C327:C331"/>
    <mergeCell ref="B987:B991"/>
    <mergeCell ref="A742:A746"/>
    <mergeCell ref="B382:B386"/>
    <mergeCell ref="A1042:A1046"/>
    <mergeCell ref="A287:A291"/>
    <mergeCell ref="F842:F846"/>
    <mergeCell ref="C1017:C1021"/>
    <mergeCell ref="C47:C51"/>
    <mergeCell ref="H927:H931"/>
    <mergeCell ref="A282:A286"/>
    <mergeCell ref="C1012:C1016"/>
    <mergeCell ref="D37:D41"/>
    <mergeCell ref="B602:B606"/>
    <mergeCell ref="D362:D366"/>
    <mergeCell ref="F257:F261"/>
    <mergeCell ref="D797:D801"/>
    <mergeCell ref="A972:A976"/>
    <mergeCell ref="C267:C271"/>
    <mergeCell ref="H647:H651"/>
    <mergeCell ref="F557:F561"/>
    <mergeCell ref="H657:H661"/>
    <mergeCell ref="B32:B36"/>
    <mergeCell ref="F252:F256"/>
    <mergeCell ref="H192:H196"/>
    <mergeCell ref="H947:H951"/>
    <mergeCell ref="C427:C431"/>
    <mergeCell ref="A967:A971"/>
    <mergeCell ref="F857:F861"/>
    <mergeCell ref="H957:H961"/>
    <mergeCell ref="H202:H206"/>
    <mergeCell ref="G852:G856"/>
    <mergeCell ref="B332:B336"/>
    <mergeCell ref="B17:B21"/>
    <mergeCell ref="G547:G551"/>
    <mergeCell ref="H527:H531"/>
    <mergeCell ref="H187:H191"/>
    <mergeCell ref="B632:B636"/>
    <mergeCell ref="B317:B321"/>
    <mergeCell ref="G847:G851"/>
    <mergeCell ref="G92:G96"/>
    <mergeCell ref="C872:C876"/>
    <mergeCell ref="A382:A386"/>
    <mergeCell ref="C867:C871"/>
    <mergeCell ref="A77:A81"/>
    <mergeCell ref="E842:E846"/>
    <mergeCell ref="A682:A686"/>
    <mergeCell ref="B772:B776"/>
    <mergeCell ref="F482:F486"/>
    <mergeCell ref="C657:C661"/>
    <mergeCell ref="B47:B51"/>
    <mergeCell ref="E387:E391"/>
    <mergeCell ref="E802:E806"/>
    <mergeCell ref="C957:C961"/>
    <mergeCell ref="G147:G151"/>
    <mergeCell ref="F807:F811"/>
    <mergeCell ref="H442:H446"/>
    <mergeCell ref="H302:H306"/>
    <mergeCell ref="C797:C801"/>
    <mergeCell ref="B187:B191"/>
    <mergeCell ref="H572:H576"/>
    <mergeCell ref="C72:C76"/>
    <mergeCell ref="D162:D166"/>
    <mergeCell ref="B702:B706"/>
    <mergeCell ref="E557:E561"/>
    <mergeCell ref="B487:B491"/>
    <mergeCell ref="D462:D466"/>
    <mergeCell ref="B1002:B1006"/>
    <mergeCell ref="E857:E861"/>
    <mergeCell ref="E102:E106"/>
    <mergeCell ref="G202:G206"/>
    <mergeCell ref="B277:B281"/>
    <mergeCell ref="F222:F226"/>
    <mergeCell ref="D762:D766"/>
    <mergeCell ref="G502:G506"/>
    <mergeCell ref="E127:E131"/>
    <mergeCell ref="F397:F401"/>
    <mergeCell ref="C527:C531"/>
    <mergeCell ref="E1002:E1006"/>
    <mergeCell ref="G347:G351"/>
    <mergeCell ref="H742:H746"/>
    <mergeCell ref="B117:B121"/>
    <mergeCell ref="G647:G651"/>
    <mergeCell ref="B342:B346"/>
    <mergeCell ref="D407:D411"/>
    <mergeCell ref="G587:G591"/>
    <mergeCell ref="C612:C616"/>
    <mergeCell ref="B82:B86"/>
    <mergeCell ref="H277:H281"/>
    <mergeCell ref="H1042:H1046"/>
    <mergeCell ref="E462:E466"/>
    <mergeCell ref="B417:B421"/>
    <mergeCell ref="G972:G976"/>
    <mergeCell ref="G947:G951"/>
    <mergeCell ref="B112:B116"/>
    <mergeCell ref="A322:A326"/>
    <mergeCell ref="G222:G226"/>
    <mergeCell ref="D177:D181"/>
    <mergeCell ref="F877:F881"/>
    <mergeCell ref="B717:B721"/>
    <mergeCell ref="A17:A21"/>
    <mergeCell ref="C82:C86"/>
    <mergeCell ref="A622:A626"/>
    <mergeCell ref="F697:F701"/>
    <mergeCell ref="D172:D176"/>
    <mergeCell ref="F147:F151"/>
    <mergeCell ref="H972:H976"/>
    <mergeCell ref="E927:E931"/>
    <mergeCell ref="B347:B351"/>
    <mergeCell ref="E202:E206"/>
    <mergeCell ref="F292:F296"/>
    <mergeCell ref="B132:B136"/>
    <mergeCell ref="B797:B801"/>
    <mergeCell ref="G687:G691"/>
    <mergeCell ref="D862:D866"/>
    <mergeCell ref="D107:D111"/>
    <mergeCell ref="A37:A41"/>
    <mergeCell ref="A702:A706"/>
    <mergeCell ref="E502:E506"/>
    <mergeCell ref="F592:F596"/>
    <mergeCell ref="C767:C771"/>
    <mergeCell ref="A1002:A1006"/>
    <mergeCell ref="H352:H356"/>
    <mergeCell ref="F892:F896"/>
    <mergeCell ref="D857:D861"/>
    <mergeCell ref="D102:D106"/>
    <mergeCell ref="C762:C766"/>
    <mergeCell ref="C7:C11"/>
    <mergeCell ref="E657:E661"/>
    <mergeCell ref="H387:H391"/>
    <mergeCell ref="G1047:G1051"/>
    <mergeCell ref="B527:B531"/>
    <mergeCell ref="D247:D251"/>
    <mergeCell ref="C307:C311"/>
    <mergeCell ref="E957:E961"/>
    <mergeCell ref="H687:H691"/>
    <mergeCell ref="B817:B821"/>
    <mergeCell ref="B62:B66"/>
    <mergeCell ref="H382:H386"/>
    <mergeCell ref="F7:F11"/>
    <mergeCell ref="D547:D551"/>
    <mergeCell ref="B512:B516"/>
    <mergeCell ref="F647:F651"/>
    <mergeCell ref="A722:A726"/>
    <mergeCell ref="G1042:G1046"/>
    <mergeCell ref="G287:G291"/>
    <mergeCell ref="D242:D246"/>
    <mergeCell ref="A417:A421"/>
    <mergeCell ref="H682:H686"/>
    <mergeCell ref="F307:F311"/>
    <mergeCell ref="D847:D851"/>
    <mergeCell ref="F947:F951"/>
    <mergeCell ref="B57:B61"/>
    <mergeCell ref="G1057:G1061"/>
    <mergeCell ref="G1032:G1036"/>
    <mergeCell ref="H397:H401"/>
    <mergeCell ref="D927:D931"/>
    <mergeCell ref="A347:A351"/>
    <mergeCell ref="E882:E886"/>
    <mergeCell ref="G2:G6"/>
    <mergeCell ref="H337:H341"/>
    <mergeCell ref="A132:A136"/>
    <mergeCell ref="D472:D476"/>
    <mergeCell ref="C107:C111"/>
    <mergeCell ref="A647:A651"/>
    <mergeCell ref="H637:H641"/>
    <mergeCell ref="F987:F991"/>
    <mergeCell ref="F232:F236"/>
    <mergeCell ref="H332:H336"/>
    <mergeCell ref="C407:C411"/>
    <mergeCell ref="H937:H941"/>
    <mergeCell ref="E892:E896"/>
    <mergeCell ref="E137:E141"/>
    <mergeCell ref="H752:H756"/>
    <mergeCell ref="D657:D661"/>
    <mergeCell ref="D957:D961"/>
    <mergeCell ref="D202:D206"/>
    <mergeCell ref="H777:H781"/>
    <mergeCell ref="C852:C856"/>
    <mergeCell ref="A62:A66"/>
    <mergeCell ref="C547:C551"/>
    <mergeCell ref="D187:D191"/>
    <mergeCell ref="H322:H326"/>
    <mergeCell ref="A362:A366"/>
    <mergeCell ref="C847:C851"/>
    <mergeCell ref="C92:C96"/>
    <mergeCell ref="B612:B616"/>
    <mergeCell ref="A517:A521"/>
    <mergeCell ref="B912:B916"/>
    <mergeCell ref="C277:C281"/>
    <mergeCell ref="A842:A846"/>
    <mergeCell ref="A817:A821"/>
    <mergeCell ref="H492:H496"/>
    <mergeCell ref="F1057:F1061"/>
    <mergeCell ref="F1032:F1036"/>
    <mergeCell ref="C577:C581"/>
    <mergeCell ref="G397:G401"/>
    <mergeCell ref="A802:A806"/>
    <mergeCell ref="H62:H66"/>
    <mergeCell ref="H37:H41"/>
    <mergeCell ref="F602:F606"/>
    <mergeCell ref="H362:H366"/>
    <mergeCell ref="D302:D306"/>
    <mergeCell ref="B842:B846"/>
    <mergeCell ref="A257:A261"/>
    <mergeCell ref="F787:F791"/>
    <mergeCell ref="C962:C966"/>
    <mergeCell ref="H422:H426"/>
    <mergeCell ref="A557:A561"/>
    <mergeCell ref="H117:H121"/>
    <mergeCell ref="C192:C196"/>
    <mergeCell ref="H722:H726"/>
    <mergeCell ref="A857:A861"/>
    <mergeCell ref="E992:E996"/>
    <mergeCell ref="C202:C206"/>
    <mergeCell ref="E677:E681"/>
    <mergeCell ref="B852:B856"/>
    <mergeCell ref="H417:H421"/>
    <mergeCell ref="E687:E691"/>
    <mergeCell ref="C492:C496"/>
    <mergeCell ref="C502:C506"/>
    <mergeCell ref="H882:H886"/>
    <mergeCell ref="G322:G326"/>
    <mergeCell ref="B397:B401"/>
    <mergeCell ref="B257:B261"/>
    <mergeCell ref="C347:C351"/>
    <mergeCell ref="G787:G791"/>
    <mergeCell ref="B92:B96"/>
    <mergeCell ref="D742:D746"/>
    <mergeCell ref="C647:C651"/>
    <mergeCell ref="A612:A616"/>
    <mergeCell ref="F502:F506"/>
    <mergeCell ref="D1042:D1046"/>
    <mergeCell ref="B252:B256"/>
    <mergeCell ref="H477:H481"/>
    <mergeCell ref="F1017:F1021"/>
    <mergeCell ref="H137:H141"/>
    <mergeCell ref="E407:E411"/>
    <mergeCell ref="F677:F681"/>
    <mergeCell ref="C947:C951"/>
    <mergeCell ref="A912:A916"/>
    <mergeCell ref="A157:A161"/>
    <mergeCell ref="B552:B556"/>
    <mergeCell ref="F372:F376"/>
    <mergeCell ref="C287:C291"/>
    <mergeCell ref="H842:H846"/>
    <mergeCell ref="E1017:E1021"/>
    <mergeCell ref="B947:B951"/>
    <mergeCell ref="F657:F661"/>
    <mergeCell ref="G42:G46"/>
    <mergeCell ref="D527:D531"/>
    <mergeCell ref="A1057:A1061"/>
    <mergeCell ref="B577:B581"/>
    <mergeCell ref="B697:B701"/>
    <mergeCell ref="G377:G381"/>
    <mergeCell ref="G37:G41"/>
    <mergeCell ref="A602:A606"/>
    <mergeCell ref="B147:B151"/>
    <mergeCell ref="B997:B1001"/>
    <mergeCell ref="F432:F436"/>
    <mergeCell ref="D972:D976"/>
    <mergeCell ref="C362:C366"/>
    <mergeCell ref="F732:F736"/>
    <mergeCell ref="E32:E36"/>
    <mergeCell ref="C572:C576"/>
    <mergeCell ref="F427:F431"/>
    <mergeCell ref="E637:E641"/>
    <mergeCell ref="E332:E336"/>
    <mergeCell ref="E937:E941"/>
    <mergeCell ref="B202:B206"/>
    <mergeCell ref="F572:F576"/>
    <mergeCell ref="E632:E636"/>
    <mergeCell ref="D387:D391"/>
    <mergeCell ref="A317:A321"/>
    <mergeCell ref="F872:F876"/>
    <mergeCell ref="A397:A401"/>
    <mergeCell ref="F32:F36"/>
    <mergeCell ref="C742:C746"/>
    <mergeCell ref="D382:D386"/>
    <mergeCell ref="B647:B651"/>
    <mergeCell ref="C1042:C1046"/>
    <mergeCell ref="E47:E51"/>
    <mergeCell ref="B222:B226"/>
    <mergeCell ref="G22:G26"/>
    <mergeCell ref="A697:A701"/>
    <mergeCell ref="H562:H566"/>
    <mergeCell ref="A997:A1001"/>
    <mergeCell ref="H257:H261"/>
    <mergeCell ref="F797:F801"/>
    <mergeCell ref="E432:E436"/>
    <mergeCell ref="E1007:E1011"/>
    <mergeCell ref="C972:C976"/>
    <mergeCell ref="B362:B366"/>
    <mergeCell ref="H862:H866"/>
    <mergeCell ref="F72:F76"/>
    <mergeCell ref="G162:G166"/>
    <mergeCell ref="C2:C6"/>
    <mergeCell ref="E702:E706"/>
    <mergeCell ref="D337:D341"/>
    <mergeCell ref="A267:A271"/>
    <mergeCell ref="H557:H561"/>
    <mergeCell ref="G767:G771"/>
    <mergeCell ref="E732:E736"/>
    <mergeCell ref="G462:G466"/>
    <mergeCell ref="D637:D641"/>
    <mergeCell ref="H857:H861"/>
    <mergeCell ref="D332:D336"/>
    <mergeCell ref="G762:G766"/>
    <mergeCell ref="D937:D941"/>
    <mergeCell ref="A892:A896"/>
    <mergeCell ref="H617:H621"/>
    <mergeCell ref="D752:D756"/>
    <mergeCell ref="C387:C391"/>
    <mergeCell ref="A927:A931"/>
    <mergeCell ref="H917:H921"/>
    <mergeCell ref="H162:H166"/>
    <mergeCell ref="E872:E876"/>
    <mergeCell ref="E117:E121"/>
    <mergeCell ref="B292:B296"/>
    <mergeCell ref="C687:C691"/>
    <mergeCell ref="D777:D781"/>
    <mergeCell ref="A952:A956"/>
    <mergeCell ref="E417:E421"/>
    <mergeCell ref="C382:C386"/>
    <mergeCell ref="D52:D56"/>
    <mergeCell ref="B592:B596"/>
    <mergeCell ref="C987:C991"/>
    <mergeCell ref="G392:G396"/>
    <mergeCell ref="B287:B291"/>
    <mergeCell ref="H787:H791"/>
    <mergeCell ref="G177:G181"/>
    <mergeCell ref="D352:D356"/>
    <mergeCell ref="B892:B896"/>
    <mergeCell ref="A307:A311"/>
    <mergeCell ref="A947:A951"/>
    <mergeCell ref="G692:G696"/>
    <mergeCell ref="B732:B736"/>
    <mergeCell ref="D832:D836"/>
    <mergeCell ref="B427:B431"/>
    <mergeCell ref="F247:F251"/>
    <mergeCell ref="C422:C426"/>
    <mergeCell ref="G957:G961"/>
    <mergeCell ref="H312:H316"/>
    <mergeCell ref="F852:F856"/>
    <mergeCell ref="H952:H956"/>
    <mergeCell ref="D47:D51"/>
    <mergeCell ref="A657:A661"/>
    <mergeCell ref="H812:H816"/>
    <mergeCell ref="F22:F26"/>
    <mergeCell ref="E777:E781"/>
    <mergeCell ref="H632:H636"/>
    <mergeCell ref="B7:B11"/>
    <mergeCell ref="G562:G566"/>
    <mergeCell ref="G537:G541"/>
    <mergeCell ref="D492:D496"/>
    <mergeCell ref="B1032:B1036"/>
    <mergeCell ref="F467:F471"/>
    <mergeCell ref="B307:B311"/>
    <mergeCell ref="D1007:D1011"/>
    <mergeCell ref="C397:C401"/>
    <mergeCell ref="G862:G866"/>
    <mergeCell ref="G107:G111"/>
    <mergeCell ref="D282:D286"/>
    <mergeCell ref="H702:H706"/>
    <mergeCell ref="H152:H156"/>
    <mergeCell ref="H1002:H1006"/>
    <mergeCell ref="H452:H456"/>
    <mergeCell ref="H597:H601"/>
    <mergeCell ref="A1032:A1036"/>
    <mergeCell ref="H897:H901"/>
    <mergeCell ref="H592:H596"/>
    <mergeCell ref="G497:G501"/>
    <mergeCell ref="B432:B436"/>
    <mergeCell ref="E312:E316"/>
    <mergeCell ref="G962:G966"/>
    <mergeCell ref="G622:G626"/>
    <mergeCell ref="G657:G661"/>
    <mergeCell ref="B2:B6"/>
    <mergeCell ref="F767:F771"/>
    <mergeCell ref="F12:F16"/>
    <mergeCell ref="B517:B521"/>
    <mergeCell ref="D582:D586"/>
    <mergeCell ref="F462:F466"/>
    <mergeCell ref="D277:D281"/>
    <mergeCell ref="E832:E836"/>
    <mergeCell ref="E517:E521"/>
    <mergeCell ref="C1057:C1061"/>
    <mergeCell ref="D422:D426"/>
    <mergeCell ref="D117:D121"/>
    <mergeCell ref="F182:F186"/>
    <mergeCell ref="D722:D726"/>
    <mergeCell ref="D417:D421"/>
    <mergeCell ref="F392:F396"/>
    <mergeCell ref="D882:D886"/>
    <mergeCell ref="C322:C326"/>
    <mergeCell ref="F177:F181"/>
    <mergeCell ref="C787:C791"/>
    <mergeCell ref="E82:E86"/>
    <mergeCell ref="D477:D481"/>
    <mergeCell ref="B1017:B1021"/>
    <mergeCell ref="D137:D141"/>
    <mergeCell ref="B372:B376"/>
    <mergeCell ref="D347:D351"/>
    <mergeCell ref="F107:F111"/>
    <mergeCell ref="F82:F86"/>
    <mergeCell ref="D647:D651"/>
    <mergeCell ref="C37:C41"/>
    <mergeCell ref="E767:E771"/>
    <mergeCell ref="F407:F411"/>
    <mergeCell ref="H32:H36"/>
    <mergeCell ref="C862:C866"/>
    <mergeCell ref="A72:A76"/>
    <mergeCell ref="B42:B46"/>
    <mergeCell ref="C22:C26"/>
    <mergeCell ref="H237:H241"/>
    <mergeCell ref="F777:F781"/>
    <mergeCell ref="G897:G901"/>
    <mergeCell ref="G142:G146"/>
    <mergeCell ref="B37:B41"/>
    <mergeCell ref="H537:H541"/>
    <mergeCell ref="B502:B506"/>
    <mergeCell ref="G442:G446"/>
    <mergeCell ref="G302:G306"/>
    <mergeCell ref="A432:A436"/>
    <mergeCell ref="A407:A411"/>
    <mergeCell ref="F962:F966"/>
    <mergeCell ref="B72:B76"/>
    <mergeCell ref="F207:F211"/>
    <mergeCell ref="A732:A736"/>
    <mergeCell ref="F507:F511"/>
    <mergeCell ref="B22:B26"/>
    <mergeCell ref="A47:A51"/>
    <mergeCell ref="E207:E211"/>
    <mergeCell ref="C557:C561"/>
    <mergeCell ref="B767:B771"/>
    <mergeCell ref="E507:E511"/>
    <mergeCell ref="E192:E196"/>
    <mergeCell ref="B462:B466"/>
    <mergeCell ref="F747:F751"/>
    <mergeCell ref="E807:E811"/>
    <mergeCell ref="G387:G391"/>
    <mergeCell ref="A32:A36"/>
    <mergeCell ref="E582:E586"/>
    <mergeCell ref="D157:D161"/>
    <mergeCell ref="A332:A336"/>
    <mergeCell ref="F887:F891"/>
    <mergeCell ref="B572:B576"/>
    <mergeCell ref="B872:B876"/>
    <mergeCell ref="G237:G241"/>
    <mergeCell ref="A777:A781"/>
    <mergeCell ref="F142:F146"/>
    <mergeCell ref="D632:D636"/>
    <mergeCell ref="F607:F611"/>
    <mergeCell ref="C562:C566"/>
    <mergeCell ref="C537:C541"/>
    <mergeCell ref="F302:F306"/>
    <mergeCell ref="D842:D846"/>
    <mergeCell ref="B467:B471"/>
    <mergeCell ref="D562:D566"/>
    <mergeCell ref="A832:A836"/>
    <mergeCell ref="E652:E656"/>
    <mergeCell ref="D62:D66"/>
    <mergeCell ref="F547:F551"/>
    <mergeCell ref="C722:C726"/>
    <mergeCell ref="G72:G76"/>
    <mergeCell ref="E612:E616"/>
    <mergeCell ref="B787:B791"/>
    <mergeCell ref="G247:G251"/>
    <mergeCell ref="D517:D521"/>
    <mergeCell ref="G887:G891"/>
    <mergeCell ref="F277:F281"/>
    <mergeCell ref="G572:G576"/>
    <mergeCell ref="C452:C456"/>
    <mergeCell ref="H52:H56"/>
    <mergeCell ref="D557:D561"/>
    <mergeCell ref="B182:B186"/>
    <mergeCell ref="E647:E651"/>
    <mergeCell ref="F1042:F1046"/>
    <mergeCell ref="F287:F291"/>
    <mergeCell ref="G712:G716"/>
    <mergeCell ref="C462:C466"/>
    <mergeCell ref="H1017:H1021"/>
    <mergeCell ref="G407:G411"/>
    <mergeCell ref="E947:E951"/>
    <mergeCell ref="D702:D706"/>
    <mergeCell ref="H1037:H1041"/>
    <mergeCell ref="G62:G66"/>
    <mergeCell ref="F1027:F1031"/>
    <mergeCell ref="A507:A511"/>
    <mergeCell ref="A192:A196"/>
    <mergeCell ref="H182:H186"/>
    <mergeCell ref="F722:F726"/>
    <mergeCell ref="B747:B751"/>
    <mergeCell ref="A807:A811"/>
    <mergeCell ref="G87:G91"/>
    <mergeCell ref="E627:E631"/>
    <mergeCell ref="H982:H986"/>
    <mergeCell ref="F192:F196"/>
    <mergeCell ref="A427:A431"/>
    <mergeCell ref="F202:F206"/>
    <mergeCell ref="E852:E856"/>
    <mergeCell ref="D617:D621"/>
    <mergeCell ref="E257:E261"/>
    <mergeCell ref="B267:B271"/>
    <mergeCell ref="D917:D921"/>
    <mergeCell ref="H47:H51"/>
    <mergeCell ref="E222:E226"/>
    <mergeCell ref="F312:F316"/>
    <mergeCell ref="B177:B181"/>
    <mergeCell ref="D1002:D1006"/>
    <mergeCell ref="B212:B216"/>
    <mergeCell ref="F977:F981"/>
    <mergeCell ref="A117:A121"/>
    <mergeCell ref="E62:E66"/>
    <mergeCell ref="C602:C606"/>
    <mergeCell ref="B237:B241"/>
    <mergeCell ref="H737:H741"/>
    <mergeCell ref="E667:E671"/>
    <mergeCell ref="H432:H436"/>
    <mergeCell ref="F972:F976"/>
    <mergeCell ref="E362:E366"/>
    <mergeCell ref="C902:C906"/>
    <mergeCell ref="B537:B541"/>
    <mergeCell ref="G337:G341"/>
    <mergeCell ref="C177:C181"/>
    <mergeCell ref="D267:D271"/>
    <mergeCell ref="H732:H736"/>
    <mergeCell ref="G942:G946"/>
    <mergeCell ref="E152:E156"/>
    <mergeCell ref="B862:B866"/>
    <mergeCell ref="B107:B111"/>
    <mergeCell ref="G637:G641"/>
    <mergeCell ref="A767:A771"/>
    <mergeCell ref="A852:A856"/>
    <mergeCell ref="B907:B911"/>
    <mergeCell ref="F422:F426"/>
    <mergeCell ref="H487:H491"/>
    <mergeCell ref="A12:A16"/>
    <mergeCell ref="B407:B411"/>
    <mergeCell ref="F982:F986"/>
    <mergeCell ref="H877:H881"/>
    <mergeCell ref="G937:G941"/>
    <mergeCell ref="A312:A316"/>
    <mergeCell ref="F692:F696"/>
    <mergeCell ref="C622:C626"/>
    <mergeCell ref="F387:F391"/>
    <mergeCell ref="E1047:E1051"/>
    <mergeCell ref="E292:E296"/>
    <mergeCell ref="F687:F691"/>
    <mergeCell ref="G1022:G1026"/>
    <mergeCell ref="G777:G781"/>
    <mergeCell ref="D952:D956"/>
    <mergeCell ref="G52:G56"/>
    <mergeCell ref="E592:E596"/>
    <mergeCell ref="G352:G356"/>
    <mergeCell ref="C702:C706"/>
    <mergeCell ref="C1002:C1006"/>
    <mergeCell ref="C247:C251"/>
    <mergeCell ref="G192:G196"/>
    <mergeCell ref="D367:D371"/>
    <mergeCell ref="H77:H81"/>
    <mergeCell ref="C887:C891"/>
    <mergeCell ref="A107:A111"/>
    <mergeCell ref="A82:A86"/>
    <mergeCell ref="B662:B666"/>
    <mergeCell ref="B322:B326"/>
    <mergeCell ref="B962:B966"/>
    <mergeCell ref="B622:B626"/>
    <mergeCell ref="B957:B961"/>
    <mergeCell ref="E7:E11"/>
    <mergeCell ref="F342:F346"/>
    <mergeCell ref="C272:C276"/>
    <mergeCell ref="G737:G741"/>
    <mergeCell ref="G492:G496"/>
    <mergeCell ref="E1032:E1036"/>
    <mergeCell ref="D667:D671"/>
    <mergeCell ref="H377:H381"/>
    <mergeCell ref="E307:E311"/>
    <mergeCell ref="G1007:G1011"/>
    <mergeCell ref="F642:F646"/>
    <mergeCell ref="G1037:G1041"/>
    <mergeCell ref="G282:G286"/>
    <mergeCell ref="H402:H406"/>
    <mergeCell ref="G732:G736"/>
    <mergeCell ref="F942:F946"/>
    <mergeCell ref="H67:H71"/>
    <mergeCell ref="F637:F641"/>
    <mergeCell ref="H822:H826"/>
    <mergeCell ref="C302:C306"/>
    <mergeCell ref="D297:D301"/>
    <mergeCell ref="H832:H836"/>
    <mergeCell ref="G422:G426"/>
    <mergeCell ref="D597:D601"/>
    <mergeCell ref="D292:D296"/>
    <mergeCell ref="G722:G726"/>
    <mergeCell ref="F357:F361"/>
    <mergeCell ref="D897:D901"/>
    <mergeCell ref="H87:H91"/>
    <mergeCell ref="F52:F56"/>
    <mergeCell ref="F627:F631"/>
    <mergeCell ref="D592:D596"/>
    <mergeCell ref="H27:H31"/>
    <mergeCell ref="F352:F356"/>
    <mergeCell ref="H327:H331"/>
    <mergeCell ref="H82:H86"/>
    <mergeCell ref="A252:A256"/>
    <mergeCell ref="F497:F501"/>
    <mergeCell ref="B247:B251"/>
    <mergeCell ref="G452:G456"/>
    <mergeCell ref="D312:D316"/>
    <mergeCell ref="A582:A586"/>
    <mergeCell ref="B887:B891"/>
    <mergeCell ref="D7:D11"/>
    <mergeCell ref="A277:A281"/>
    <mergeCell ref="B547:B551"/>
    <mergeCell ref="F42:F46"/>
    <mergeCell ref="H772:H776"/>
    <mergeCell ref="F492:F496"/>
    <mergeCell ref="D307:D311"/>
    <mergeCell ref="A577:A581"/>
    <mergeCell ref="E397:E401"/>
    <mergeCell ref="F37:F41"/>
    <mergeCell ref="H767:H771"/>
    <mergeCell ref="H12:H16"/>
    <mergeCell ref="G522:G526"/>
    <mergeCell ref="D792:D796"/>
    <mergeCell ref="B607:B611"/>
    <mergeCell ref="G822:G826"/>
    <mergeCell ref="B302:B306"/>
    <mergeCell ref="G832:G836"/>
    <mergeCell ref="G77:G81"/>
    <mergeCell ref="F727:F731"/>
    <mergeCell ref="A207:A211"/>
    <mergeCell ref="E42:E46"/>
    <mergeCell ref="E682:E686"/>
    <mergeCell ref="F837:F841"/>
    <mergeCell ref="G477:G481"/>
    <mergeCell ref="D432:D436"/>
    <mergeCell ref="B972:B976"/>
    <mergeCell ref="A607:A611"/>
    <mergeCell ref="F67:F71"/>
    <mergeCell ref="C337:C341"/>
    <mergeCell ref="A877:A881"/>
    <mergeCell ref="D732:D736"/>
    <mergeCell ref="F832:F836"/>
    <mergeCell ref="C942:C946"/>
    <mergeCell ref="A907:A911"/>
    <mergeCell ref="A152:A156"/>
    <mergeCell ref="A387:A391"/>
    <mergeCell ref="E522:E526"/>
    <mergeCell ref="F917:F921"/>
    <mergeCell ref="D257:D261"/>
    <mergeCell ref="A527:A531"/>
    <mergeCell ref="E347:E351"/>
    <mergeCell ref="F742:F746"/>
    <mergeCell ref="E952:E956"/>
    <mergeCell ref="C162:C166"/>
    <mergeCell ref="A872:A876"/>
    <mergeCell ref="C822:C826"/>
    <mergeCell ref="F907:F911"/>
    <mergeCell ref="E917:E921"/>
    <mergeCell ref="C137:C141"/>
    <mergeCell ref="G272:G276"/>
    <mergeCell ref="A677:A681"/>
    <mergeCell ref="B657:B661"/>
    <mergeCell ref="G1017:G1021"/>
    <mergeCell ref="A692:A696"/>
    <mergeCell ref="G257:G261"/>
    <mergeCell ref="H347:H351"/>
    <mergeCell ref="B1047:B1051"/>
    <mergeCell ref="E787:E791"/>
    <mergeCell ref="B742:B746"/>
    <mergeCell ref="D807:D811"/>
    <mergeCell ref="F152:F156"/>
    <mergeCell ref="H627:H631"/>
    <mergeCell ref="F442:F446"/>
    <mergeCell ref="B1042:B1046"/>
    <mergeCell ref="F477:F481"/>
    <mergeCell ref="F452:F456"/>
    <mergeCell ref="D1017:D1021"/>
    <mergeCell ref="D677:D681"/>
    <mergeCell ref="E382:E386"/>
    <mergeCell ref="A222:A226"/>
    <mergeCell ref="F1047:F1051"/>
    <mergeCell ref="H1022:H1026"/>
    <mergeCell ref="H807:H811"/>
    <mergeCell ref="C1027:C1031"/>
    <mergeCell ref="A982:A986"/>
    <mergeCell ref="A1017:A1021"/>
    <mergeCell ref="G982:G986"/>
    <mergeCell ref="G992:G996"/>
    <mergeCell ref="A492:A496"/>
    <mergeCell ref="D397:D401"/>
    <mergeCell ref="F882:F886"/>
    <mergeCell ref="F162:F166"/>
    <mergeCell ref="A992:A996"/>
    <mergeCell ref="A942:A946"/>
    <mergeCell ref="F922:F926"/>
    <mergeCell ref="F167:F171"/>
    <mergeCell ref="H652:H656"/>
    <mergeCell ref="F617:F621"/>
    <mergeCell ref="C32:C36"/>
    <mergeCell ref="E97:E101"/>
    <mergeCell ref="F367:F371"/>
    <mergeCell ref="C637:C641"/>
    <mergeCell ref="H852:H856"/>
    <mergeCell ref="E272:E276"/>
    <mergeCell ref="H127:H131"/>
    <mergeCell ref="C937:C941"/>
    <mergeCell ref="G617:G621"/>
    <mergeCell ref="B387:B391"/>
    <mergeCell ref="F522:F526"/>
    <mergeCell ref="G917:G921"/>
    <mergeCell ref="A1047:A1051"/>
    <mergeCell ref="A292:A296"/>
    <mergeCell ref="H282:H286"/>
    <mergeCell ref="F822:F826"/>
    <mergeCell ref="D32:D36"/>
    <mergeCell ref="F97:F101"/>
    <mergeCell ref="C52:C56"/>
    <mergeCell ref="A592:A596"/>
    <mergeCell ref="H582:H586"/>
    <mergeCell ref="E757:E761"/>
    <mergeCell ref="B712:B716"/>
    <mergeCell ref="C352:C356"/>
    <mergeCell ref="E452:E456"/>
    <mergeCell ref="E572:E576"/>
    <mergeCell ref="D42:D46"/>
    <mergeCell ref="C1037:C1041"/>
    <mergeCell ref="E862:E866"/>
    <mergeCell ref="E107:E111"/>
    <mergeCell ref="G812:G816"/>
    <mergeCell ref="D767:D771"/>
    <mergeCell ref="E22:E26"/>
    <mergeCell ref="F992:F996"/>
    <mergeCell ref="F237:F241"/>
    <mergeCell ref="C437:C441"/>
    <mergeCell ref="A977:A981"/>
    <mergeCell ref="H967:H971"/>
    <mergeCell ref="H212:H216"/>
    <mergeCell ref="E897:E901"/>
    <mergeCell ref="A7:A11"/>
    <mergeCell ref="E142:E146"/>
    <mergeCell ref="F562:F566"/>
    <mergeCell ref="F537:F541"/>
    <mergeCell ref="C737:C741"/>
    <mergeCell ref="C712:C716"/>
    <mergeCell ref="H512:H516"/>
    <mergeCell ref="E442:E446"/>
    <mergeCell ref="B642:B646"/>
    <mergeCell ref="F862:F866"/>
    <mergeCell ref="H962:H966"/>
    <mergeCell ref="H207:H211"/>
    <mergeCell ref="B337:B341"/>
    <mergeCell ref="C732:C736"/>
    <mergeCell ref="D402:D406"/>
    <mergeCell ref="B942:B946"/>
    <mergeCell ref="H507:H511"/>
    <mergeCell ref="B637:B641"/>
    <mergeCell ref="D192:D196"/>
    <mergeCell ref="A392:A396"/>
    <mergeCell ref="H1052:H1056"/>
    <mergeCell ref="H297:H301"/>
    <mergeCell ref="E982:E986"/>
    <mergeCell ref="H747:H751"/>
    <mergeCell ref="H227:H231"/>
    <mergeCell ref="B357:B361"/>
    <mergeCell ref="A687:A691"/>
    <mergeCell ref="E822:E826"/>
    <mergeCell ref="B777:B781"/>
    <mergeCell ref="B52:B56"/>
    <mergeCell ref="G582:G586"/>
    <mergeCell ref="D877:D881"/>
    <mergeCell ref="H222:H226"/>
    <mergeCell ref="B352:B356"/>
    <mergeCell ref="D572:D576"/>
    <mergeCell ref="G127:G131"/>
    <mergeCell ref="H367:H371"/>
    <mergeCell ref="D872:D876"/>
    <mergeCell ref="B497:B501"/>
    <mergeCell ref="F937:F941"/>
    <mergeCell ref="G1027:G1031"/>
    <mergeCell ref="E237:E241"/>
    <mergeCell ref="C777:C781"/>
    <mergeCell ref="H912:H916"/>
    <mergeCell ref="H667:H671"/>
    <mergeCell ref="D142:D146"/>
    <mergeCell ref="H607:H611"/>
    <mergeCell ref="E537:E541"/>
    <mergeCell ref="B492:B496"/>
    <mergeCell ref="D467:D471"/>
    <mergeCell ref="D442:D446"/>
    <mergeCell ref="H907:H911"/>
  </mergeCells>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Statistics</vt:lpstr>
      <vt:lpstr>Logs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2025-12-12T06:22:56Z</dcterms:created>
  <dcterms:modified xsi:type="dcterms:W3CDTF">2025-12-12T06:58:48Z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Fasoo_Trace_ID" pid="2">
    <vt:lpwstr>eyJub2RlMSI6eyJkc2QiOiIwMTAwMDAwMDAwMDAxNDMzIiwibG9nVGltZSI6IjIwMjUtMTItMTJUMDY6MzE6NTFaIiwicElEIjoxLCJwcm9jZXNzSWQiOjYzMjgsInByb2Nlc3NOYW1lIjoiRVhDRUwuRVhFIiwidHJhY2VJZCI6IjRERDA4Qjk1NzIzODRBOTQ4RUY3N0VBMUNBOUEwNjk3IiwidXNlckNvZGUiOiJtdWx0aWR5MTk4NSJ9LCJub2RlMiI6eyJkc2QiOiIwMTAwMDAwMDAwMDAxNDMzIiwibG9nVGltZSI6IjIwMjUtMTItMTJUMDY6MzE6NTFaIiwicElEIjoxLCJwcm9jZXNzSWQiOjYzMjgsInByb2Nlc3NOYW1lIjoiRVhDRUwuRVhFIiwidHJhY2VJZCI6IjRERDA4Qjk1NzIzODRBOTQ4RUY3N0VBMUNBOUEwNjk3IiwidXNlckNvZGUiOiJtdWx0aWR5MTk4NSJ9LCJub2RlMyI6eyJkc2QiOiIwMTAwMDAwMDAwMDAxNDMzIiwibG9nVGltZSI6IjIwMjUtMTItMTJUMDY6MzE6NTFaIiwicElEIjoxLCJwcm9jZXNzSWQiOjYzMjgsInByb2Nlc3NOYW1lIjoiRVhDRUwuRVhFIiwidHJhY2VJZCI6IjRERDA4Qjk1NzIzODRBOTQ4RUY3N0VBMUNBOUEwNjk3IiwidXNlckNvZGUiOiJtdWx0aWR5MTk4NSJ9LCJub2RlNCI6eyJkc2QiOiIwMTAwMDAwMDAwMDAxNDMzIiwibG9nVGltZSI6IjIwMjUtMTItMTJUMDY6MzE6NTFaIiwicElEIjoxLCJwcm9jZXNzSWQiOjYzMjgsInByb2Nlc3NOYW1lIjoiRVhDRUwuRVhFIiwidHJhY2VJZCI6IjRERDA4Qjk1NzIzODRBOTQ4RUY3N0VBMUNBOUEwNjk3IiwidXNlckNvZGUiOiJtdWx0aWR5MTk4NSJ9LCJub2RlNSI6eyJkc2QiOiIwMDAwMDAwMDAwMDAwMDAwIiwibG9nVGltZSI6IjIwMjUtMTItMTJUMDY6NTk6MDdaIiwicElEIjoyMDQ4LCJwcm9jZXNzSWQiOjYzMjgsInByb2Nlc3NOYW1lIjoiRVhDRUwuRVhFIiwidHJhY2VJZCI6IjY5MjUzOTk0Njc1RDQzOTVCNkI3NTEyQzM3QzQyNzNFIiwidXNlckNvZGUiOiJtdWx0aWR5MTk4NSJ9LCJub2RlQ291bnQiOjIsInJvb3RUcmFjZUlkIjoiNEREMDhCOTU3MjM4NEE5NDhFRjc3RUExQ0E5QTA2OTcifQ==</vt:lpwstr>
  </property>
</Properties>
</file>