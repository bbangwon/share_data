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제출내역" sheetId="1" r:id="rId4"/>
    <sheet state="visible" name="작업완료질문" sheetId="2" r:id="rId5"/>
    <sheet state="visible" name="GoldenSet모아라(11.24-12.07)" sheetId="3" r:id="rId6"/>
  </sheets>
  <definedNames>
    <definedName hidden="1" localSheetId="0" name="_xlnm._FilterDatabase">'제출내역'!$A$3:$O$381</definedName>
    <definedName hidden="1" localSheetId="2" name="_xlnm._FilterDatabase">'GoldenSet모아라(11.24-12.07)'!$A$3:$L$270</definedName>
    <definedName hidden="1" localSheetId="0" name="Z_4B501203_532A_4297_A52F_0EDDABCA0E36_.wvu.FilterData">'제출내역'!$A$3:$O$382</definedName>
  </definedNames>
  <calcPr/>
  <customWorkbookViews>
    <customWorkbookView activeSheetId="0" maximized="1" windowHeight="0" windowWidth="0" guid="{4B501203-532A-4297-A52F-0EDDABCA0E36}" name="기본필터"/>
  </customWorkbookViews>
</workbook>
</file>

<file path=xl/sharedStrings.xml><?xml version="1.0" encoding="utf-8"?>
<sst xmlns="http://schemas.openxmlformats.org/spreadsheetml/2006/main" count="5728" uniqueCount="3459">
  <si>
    <t>부서별 질의응답 제출</t>
  </si>
  <si>
    <t>참조문서확정수 :</t>
  </si>
  <si>
    <t>노란색 - 문서명 재정리</t>
  </si>
  <si>
    <t>녹색 
 [페이지변경]</t>
  </si>
  <si>
    <t>주황색 - 부산시 추가 논의 필요 
 파란색 - 청크 데이터 확인 후 논의 필요</t>
  </si>
  <si>
    <t>작업청크수</t>
  </si>
  <si>
    <t>AI 부기주무관 답변</t>
  </si>
  <si>
    <t>부산시 의견</t>
  </si>
  <si>
    <t>답변 분류 및 체크 사항</t>
  </si>
  <si>
    <t>답변 참조 데이터</t>
  </si>
  <si>
    <t>검색작업</t>
  </si>
  <si>
    <t>RAG 문서 검토</t>
  </si>
  <si>
    <t>순번</t>
  </si>
  <si>
    <t>질의문</t>
  </si>
  <si>
    <t>질의문 확장</t>
  </si>
  <si>
    <t>답변</t>
  </si>
  <si>
    <t>관련문서명</t>
  </si>
  <si>
    <t>부기주무관 답변 확인 의견</t>
  </si>
  <si>
    <t>기대답변 (부산시 작성 필요)</t>
  </si>
  <si>
    <t>예상답변방안</t>
  </si>
  <si>
    <t>체크사항</t>
  </si>
  <si>
    <t>답변 참조 문서명</t>
  </si>
  <si>
    <t>참조 페이지</t>
  </si>
  <si>
    <t>참조 내용</t>
  </si>
  <si>
    <t>작업여부</t>
  </si>
  <si>
    <t>작업내역</t>
  </si>
  <si>
    <t>유사질문그룹
(Similar Query Group)</t>
  </si>
  <si>
    <t>검토자료 #1</t>
  </si>
  <si>
    <t>검토자료 #2</t>
  </si>
  <si>
    <t>검토자료 #3</t>
  </si>
  <si>
    <t>검토자료 #4</t>
  </si>
  <si>
    <t>검토자료 #5</t>
  </si>
  <si>
    <t>직원들(6급 이하)의 유연근무 등의 복무결재시 전결권자는 누구인가요?</t>
  </si>
  <si>
    <t>부산광역시 공무원(6급 이하, 7급, 8급, 9급 포함)의 유연근무 신청, 변경 등의 복무에 관한 결재를 진행할때 전결(시장으로부터 복무 결재에 대한 권한을 전달받은 자)을 수행하는 직급은 무엇인가요?</t>
  </si>
  <si>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</si>
  <si>
    <r>
      <rPr>
        <rFont val="Calibri"/>
        <color theme="1"/>
        <sz val="11.0"/>
      </rPr>
      <t>75233_</t>
    </r>
    <r>
      <rPr>
        <rFont val="맑은 고딕"/>
        <color theme="1"/>
        <sz val="11.0"/>
      </rPr>
      <t>부산광역시</t>
    </r>
    <r>
      <rPr>
        <rFont val="Calibri"/>
        <color theme="1"/>
        <sz val="11.0"/>
      </rPr>
      <t>_</t>
    </r>
    <r>
      <rPr>
        <rFont val="맑은 고딕"/>
        <color theme="1"/>
        <sz val="11.0"/>
      </rPr>
      <t>공무원</t>
    </r>
    <r>
      <rPr>
        <rFont val="Calibri"/>
        <color theme="1"/>
        <sz val="11.0"/>
      </rPr>
      <t>_</t>
    </r>
    <r>
      <rPr>
        <rFont val="맑은 고딕"/>
        <color theme="1"/>
        <sz val="11.0"/>
      </rPr>
      <t>복무</t>
    </r>
    <r>
      <rPr>
        <rFont val="Calibri"/>
        <color theme="1"/>
        <sz val="11.0"/>
      </rPr>
      <t>_</t>
    </r>
    <r>
      <rPr>
        <rFont val="맑은 고딕"/>
        <color theme="1"/>
        <sz val="11.0"/>
      </rPr>
      <t>조례</t>
    </r>
    <r>
      <rPr>
        <rFont val="Calibri"/>
        <color theme="1"/>
        <sz val="11.0"/>
      </rPr>
      <t>_</t>
    </r>
    <r>
      <rPr>
        <rFont val="맑은 고딕"/>
        <color theme="1"/>
        <sz val="11.0"/>
      </rPr>
      <t>일부개정</t>
    </r>
    <r>
      <rPr>
        <rFont val="Calibri"/>
        <color theme="1"/>
        <sz val="11.0"/>
      </rPr>
      <t>_</t>
    </r>
    <r>
      <rPr>
        <rFont val="맑은 고딕"/>
        <color theme="1"/>
        <sz val="11.0"/>
      </rPr>
      <t>입법예고문</t>
    </r>
    <r>
      <rPr>
        <rFont val="Calibri"/>
        <color theme="1"/>
        <sz val="11.0"/>
      </rPr>
      <t>-hwp.pdf (p.1)</t>
    </r>
  </si>
  <si>
    <t>관련 문서 확인이 필요할거 같습니다(근거 문서 다운로드가 안됨) 미제출이면 답변이 제대로 안나오는게 맞습니다. 만약 근거문서가 없다면 답변 자체는 괜찮은거 같습니다.</t>
  </si>
  <si>
    <t>문서가 엑셀파일로 되어 있어서 해당 문서를 참고로 답변이 잘 나올지 모르겠습니다. 
 기대답변 : 
 유연근무 등 근무명령에 대한 직원(6급이하)의 전결권자는 과장(담당관, 단장) 입니다.</t>
  </si>
  <si>
    <t>RAG문서정리</t>
  </si>
  <si>
    <t>[]논의필요</t>
  </si>
  <si>
    <r>
      <rPr>
        <rFont val="&quot;맑은 고딕&quot;"/>
        <color rgb="FF000000"/>
        <sz val="11.0"/>
      </rPr>
      <t xml:space="preserve">부산광역시 사무 전결처리 규칙
  -붙임파일(별표)전결사항
  (탭) 공통사항
 </t>
    </r>
    <r>
      <rPr>
        <rFont val="&quot;맑은 고딕&quot;"/>
        <color rgb="FF0000FF"/>
        <sz val="11.0"/>
      </rPr>
      <t xml:space="preserve">
 &gt;&gt; 내부(0), 온나라(2), 외부(10) 비슷한 이름의 문서 총 12건을 확인했지만 해당 참조내용의 문서를 찾지 못했습니다.
 </t>
    </r>
    <r>
      <rPr>
        <rFont val="&quot;맑은 고딕&quot;"/>
        <color rgb="FF00FF00"/>
        <sz val="11.0"/>
      </rPr>
      <t xml:space="preserve">
 &gt;&gt; 자치법규에 있습니다.
 </t>
    </r>
    <r>
      <rPr>
        <rFont val="&quot;맑은 고딕&quot;"/>
        <color rgb="FFFF0000"/>
        <sz val="11.0"/>
      </rPr>
      <t xml:space="preserve">
 -&gt; [클라이온의견] 해당표를 임베딩할 수는 있으나 표에 있는 별표, 동그라미가 나타내는 사항을 하위 항목으로 인식할 수 없어서 해당 내용은 RAG로 추출하더라도 SLM에 답변에 활용되는 것은 어려울 것으로 예상됨</t>
    </r>
  </si>
  <si>
    <t>1</t>
  </si>
  <si>
    <t>13. 복무 1. 휴가 및 관외출장 명령 
 가. 국장급 및 3급 이상 산하기관장 ★ ○ 
 나. 과장급 및 4급 이하 산하기관장 ★ ○ 
 다. 5급 ★ ○ 
 라. 6급 이하 ★ ○ 
 2. 조퇴, 외출, 관내출장 명령 
 가. 3급 이상 ★ ○ 
 나. 과장급 ★ ○ 
 다. 5급 ★ ○ 
 라. 6급 이하 ★ ○ 
 3. 공무국외출장 계획 
 가. 4급(상당) 이상 공무원 ★ ○ 
 나. 5급(상당) 이하 공무원 ★ ○ 
  4. 시간외 및 공휴일 등 근무명령 ★ ○</t>
  </si>
  <si>
    <t>(❌ 문서를 찾을 수 없습니다)</t>
  </si>
  <si>
    <t>질병휴직시 필요한 서류가 무엇인가요?</t>
  </si>
  <si>
    <t>부산광역시 공무원이 질병휴직을 신청할 때 필요한 서류가 무엇인가요?</t>
  </si>
  <si>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</si>
  <si>
    <t>ㆍ1117_압축규정25228.pdf (p.44)</t>
  </si>
  <si>
    <t xml:space="preserve">근거문서가 부산정보산업진흥원 문서입니다. </t>
  </si>
  <si>
    <t>검토자료 1번은 공무직 및 기간제 관련 자료인데 질의문에 공무직이나 기간제 관련 내용이 없기 때문에 공무원 대상 질의문이라고 봐야 합니다. 
 기대답변 :
 질병휴직은 신체ㆍ정신상의 장애, 불임 또는 난임 치료가 필요한 경우 가능하며, 진단서 또는 휴직 사유를 증빙할 수 있는 자료가 필요합니다.</t>
  </si>
  <si>
    <t>RAG검색답변</t>
  </si>
  <si>
    <t>참조문서확정</t>
  </si>
  <si>
    <t>293_2501_인사과_지침_행정안전부_지방공무원_인사제도_운영지침행정안전부예규제314호.pdf</t>
  </si>
  <si>
    <t>22</t>
  </si>
  <si>
    <t>제70조(질병휴직) ① 질병휴직은 신체ㆍ정신상의 장애, 불임 또는 난임 치료가 필요한 경우 가능하며, 진단서 또는
 휴직 사유를 증빙할 수 있는 자료를 통해 휴직여부를 판단한다.</t>
  </si>
  <si>
    <t>휴직 신청 절차, 휴직 신청 행정처리 방법 안내, 질병 휴직 신청 방법, 질병 휴직 신청 필요 서류</t>
  </si>
  <si>
    <r>
      <rPr>
        <rFont val="맑은 고딕"/>
        <b/>
        <color theme="1"/>
        <sz val="11.0"/>
      </rPr>
      <t xml:space="preserve">- 747_페이지75_문서7_163334_부산광역시_공무직_및_기간제노동자_인사관리_규정.pdf[7] </t>
    </r>
    <r>
      <rPr>
        <rFont val="맑은 고딕"/>
        <color theme="1"/>
        <sz val="11.0"/>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rFont val="맑은 고딕"/>
        <color rgb="FFFF0000"/>
        <sz val="11.0"/>
      </rPr>
      <t>③ 질병휴직을 청하는 공무직은 「의료법」 제17조에 의하여 교부된 진단서를 제출하여야 한다.</t>
    </r>
    <r>
      <rPr>
        <rFont val="맑은 고딕"/>
        <color theme="1"/>
        <sz val="11.0"/>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</si>
  <si>
    <r>
      <rPr>
        <rFont val="맑은 고딕"/>
        <b/>
        <color theme="1"/>
        <sz val="11.0"/>
      </rPr>
      <t xml:space="preserve">- 264_2401_인사과_법령_행정안전부_지방공무원_인사관계_법령집.pdf[893] : </t>
    </r>
    <r>
      <rPr>
        <rFont val="맑은 고딕"/>
        <color theme="1"/>
        <sz val="11.0"/>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</si>
  <si>
    <r>
      <rPr>
        <rFont val="맑은 고딕"/>
        <b/>
        <color theme="1"/>
        <sz val="11.0"/>
      </rPr>
      <t>- 291_2501_인사과_대통령령_인사혁신처_공무원임용령대통령령제35191호.pdf[37]</t>
    </r>
    <r>
      <rPr>
        <rFont val="맑은 고딕"/>
        <color theme="1"/>
        <sz val="11.0"/>
      </rPr>
      <t xml:space="preserve">
-----
</t>
    </r>
    <r>
      <rPr>
        <rFont val="맑은 고딕"/>
        <color theme="1"/>
        <sz val="11.0"/>
      </rPr>
      <t>제57조의7</t>
    </r>
    <r>
      <rPr>
        <rFont val="맑은 고딕"/>
        <b/>
        <color rgb="FFFF0000"/>
        <sz val="11.0"/>
      </rPr>
      <t>(</t>
    </r>
    <r>
      <rPr>
        <rFont val="맑은 고딕"/>
        <color theme="1"/>
        <sz val="11.0"/>
      </rPr>
      <t>질병휴직</t>
    </r>
    <r>
      <rPr>
        <rFont val="맑은 고딕"/>
        <b/>
        <color rgb="FFFF0000"/>
        <sz val="11.0"/>
      </rPr>
      <t>)</t>
    </r>
    <r>
      <rPr>
        <rFont val="맑은 고딕"/>
        <color theme="1"/>
        <sz val="11.0"/>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</si>
  <si>
    <t>육아휴직시 필요한 서류가 무엇인가요?</t>
  </si>
  <si>
    <t>부산광역시 공무원이 육아휴직을 신청할 때 필요한 서류가 무엇인가요?</t>
  </si>
  <si>
    <t>육아휴직 신청 시 필요한 서류는 신청인 신분증(확인용), 아빠 육아휴직 장려금 지원 신청서, 고용센터 육아휴직급여 지급결정통지서, 육아휴직확인서입니다.</t>
  </si>
  <si>
    <t>답변 근거 문서가 안나옵니다.</t>
  </si>
  <si>
    <t>미답변 처리
 검토자료의 경우 부부 두명 다 휴직을 한 다음 수당을 받을때의 자료이므로 해당 질문과는 좀 성격이 다릅니다.</t>
  </si>
  <si>
    <t>미답변</t>
  </si>
  <si>
    <t>미답변처리</t>
  </si>
  <si>
    <r>
      <rPr>
        <rFont val="맑은 고딕"/>
        <b/>
        <color theme="1"/>
        <sz val="11.0"/>
      </rPr>
      <t xml:space="preserve">- 214_2501_예산담당관_업무매뉴얼_행정안전부_지방공무원보수업무_등_처리지침.pdf[307] : 0.99 
</t>
    </r>
    <r>
      <rPr>
        <rFont val="맑은 고딕"/>
        <color theme="1"/>
        <sz val="11.0"/>
      </rPr>
      <t xml:space="preserve">---- 
</t>
    </r>
    <r>
      <rPr>
        <rFont val="맑은 고딕"/>
        <color theme="1"/>
        <sz val="11.0"/>
      </rPr>
      <t xml:space="preserve">
</t>
    </r>
    <r>
      <rPr>
        <rFont val="맑은 고딕"/>
        <color theme="1"/>
        <sz val="11.0"/>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rFont val="MS UI Gothic"/>
        <color theme="1"/>
        <sz val="11.0"/>
      </rPr>
      <t>․</t>
    </r>
    <r>
      <rPr>
        <rFont val="맑은 고딕"/>
        <color theme="1"/>
        <sz val="11.0"/>
      </rPr>
      <t xml:space="preserve"> 육아휴직 시작일부터 3개월째까지 : 250만원
 </t>
    </r>
    <r>
      <rPr>
        <rFont val="MS UI Gothic"/>
        <color theme="1"/>
        <sz val="11.0"/>
      </rPr>
      <t>․</t>
    </r>
    <r>
      <rPr>
        <rFont val="맑은 고딕"/>
        <color theme="1"/>
        <sz val="11.0"/>
      </rPr>
      <t xml:space="preserve"> 육아휴직 4개월째부터 6개월째까지 : 200만원
 </t>
    </r>
    <r>
      <rPr>
        <rFont val="MS UI Gothic"/>
        <color theme="1"/>
        <sz val="11.0"/>
      </rPr>
      <t>․</t>
    </r>
    <r>
      <rPr>
        <rFont val="맑은 고딕"/>
        <color theme="1"/>
        <sz val="11.0"/>
      </rPr>
      <t xml:space="preserve"> 육아휴직 7개월째 이후 : 160만원
나) 같은 자녀에 대하여 부모가 순차적으로 육아휴직을 하여 두 번째 육아휴직을 한
사람이 공무원인 경우 육아휴직수당은 다음의 구분에 따른다.
 </t>
    </r>
    <r>
      <rPr>
        <rFont val="MS UI Gothic"/>
        <color theme="1"/>
        <sz val="11.0"/>
      </rPr>
      <t>․</t>
    </r>
    <r>
      <rPr>
        <rFont val="맑은 고딕"/>
        <color theme="1"/>
        <sz val="11.0"/>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rFont val="MS UI Gothic"/>
        <color theme="1"/>
        <sz val="11.0"/>
      </rPr>
      <t>․</t>
    </r>
    <r>
      <rPr>
        <rFont val="맑은 고딕"/>
        <color theme="1"/>
        <sz val="11.0"/>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rFont val="맑은 고딕"/>
        <color rgb="FFFF0000"/>
        <sz val="11.0"/>
      </rPr>
      <t xml:space="preserve">증빙하여야 하므로, 배우자가 공무원인 경우 (육아)휴직증명서, 인사발령(휴직)통지서 등
공문, 공무원이 아닌 경우 「남녀고용평등과 일·가정 양립 지원에 관한 법률」에 따른
</t>
    </r>
    <r>
      <rPr>
        <rFont val="맑은 고딕"/>
        <color theme="1"/>
        <sz val="11.0"/>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</si>
  <si>
    <r>
      <rPr>
        <rFont val="맑은 고딕"/>
        <b/>
        <color theme="1"/>
        <sz val="11.0"/>
      </rPr>
      <t xml:space="preserve">- 214_2501_예산담당관_업무매뉴얼_행정안전부_지방공무원보수업무_등_처리지침.pdf[312] 
</t>
    </r>
    <r>
      <rPr>
        <rFont val="맑은 고딕"/>
        <color theme="1"/>
        <sz val="11.0"/>
      </rPr>
      <t xml:space="preserve">---- 
</t>
    </r>
    <r>
      <rPr>
        <rFont val="맑은 고딕"/>
        <color theme="1"/>
        <sz val="11.0"/>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rFont val="맑은 고딕"/>
        <color rgb="FFFF0000"/>
        <sz val="11.0"/>
      </rPr>
      <t xml:space="preserve">배우자가 공무원인 경우 (육아)휴직증명서,
인사발령(휴직)통지서 등 공문, 공무원이 아닌 경우 </t>
    </r>
    <r>
      <rPr>
        <rFont val="Noto Sans KR"/>
        <color rgb="FFFF0000"/>
        <sz val="11.0"/>
      </rPr>
      <t>｢</t>
    </r>
    <r>
      <rPr>
        <rFont val="맑은 고딕"/>
        <color rgb="FFFF0000"/>
        <sz val="11.0"/>
      </rPr>
      <t>남녀고용평등과 일·가정 양립
지원에 관한 법률</t>
    </r>
    <r>
      <rPr>
        <rFont val="Noto Sans KR"/>
        <color rgb="FFFF0000"/>
        <sz val="11.0"/>
      </rPr>
      <t>｣</t>
    </r>
    <r>
      <rPr>
        <rFont val="맑은 고딕"/>
        <color rgb="FFFF0000"/>
        <sz val="11.0"/>
      </rPr>
      <t>에 따른 육아휴직에 대하여 사업장에서 발행한 육아휴직확인서
또는 관할 고용복지센터에서 발급한 육아휴직을 입증하는 서류 등을 소속기관장
에게 제출하여 신청</t>
    </r>
    <r>
      <rPr>
        <rFont val="맑은 고딕"/>
        <color theme="1"/>
        <sz val="11.0"/>
      </rPr>
      <t>(육아휴직 기간 및 대상 자녀가 기재된 것이어야 함</t>
    </r>
  </si>
  <si>
    <t>수의계약시 필요한 서류가 무엇인가요?</t>
  </si>
  <si>
    <t>부산광역시의 물품, 공사, 용역 등의 수의계약을 진행할 때 필요한 서류가 무엇인가요?</t>
  </si>
  <si>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</si>
  <si>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</si>
  <si>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</si>
  <si>
    <t>미답변 처리
 수의계약 시 필요한 서류 목록을 정리해놓은 파일이 없고
 중구난방으로 흩어져 있는데 정확도 여부에 대한 판단이 안되므로 미답변 처리하는게 맞는거 같습니다.</t>
  </si>
  <si>
    <r>
      <rPr>
        <rFont val="맑은 고딕"/>
        <b/>
        <color theme="1"/>
        <sz val="11.0"/>
      </rPr>
      <t xml:space="preserve">- 478_2505_회계재산담당관_업무매뉴얼_회계재산담당관_계약업무_참고자료회계재산담당관외부용.pdf[14] : 0.99 
-----
</t>
    </r>
    <r>
      <rPr>
        <rFont val="맑은 고딕"/>
        <color rgb="FFFF0000"/>
        <sz val="11.0"/>
      </rPr>
      <t xml:space="preserve">5. 추정가격에 따른 계약방법
[표 내용에 공사,용역,물품에 대한 표가 제공됨] 
상세 서류 내용은 제공되지 않음 </t>
    </r>
  </si>
  <si>
    <r>
      <rPr>
        <rFont val="맑은 고딕"/>
        <b/>
        <color theme="1"/>
        <sz val="11.0"/>
      </rPr>
      <t>- 471_2411_회계재산담당관_업무매뉴얼_한국지방재정공제회_2024년_개정판_공사계약_길라잡이한국지방재정공제회.pdf[245] : 0.99.</t>
    </r>
    <r>
      <rPr>
        <rFont val="맑은 고딕"/>
        <color theme="1"/>
        <sz val="11.0"/>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rFont val="Yu Gothic"/>
        <color theme="1"/>
        <sz val="11.0"/>
      </rPr>
      <t>・</t>
    </r>
    <r>
      <rPr>
        <rFont val="맑은 고딕"/>
        <color theme="1"/>
        <sz val="11.0"/>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rFont val="Yu Gothic"/>
        <color theme="1"/>
        <sz val="11.0"/>
      </rPr>
      <t>・</t>
    </r>
    <r>
      <rPr>
        <rFont val="맑은 고딕"/>
        <color theme="1"/>
        <sz val="11.0"/>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rFont val="Segoe UI Symbol"/>
        <color theme="1"/>
        <sz val="11.0"/>
      </rPr>
      <t>❍</t>
    </r>
    <r>
      <rPr>
        <rFont val="맑은 고딕"/>
        <color theme="1"/>
        <sz val="11.0"/>
      </rPr>
      <t xml:space="preserve"> 계약문서는 상호보완의 효력을 가지며 계약당사자 간에 행한 통지문서 등은 계약문서의 효력을 가짐 제 6 장 계 약 및 이 행 </t>
    </r>
    <r>
      <rPr>
        <rFont val="Segoe UI Symbol"/>
        <color theme="1"/>
        <sz val="11.0"/>
      </rPr>
      <t>❍</t>
    </r>
    <r>
      <rPr>
        <rFont val="맑은 고딕"/>
        <color theme="1"/>
        <sz val="11.0"/>
      </rPr>
      <t xml:space="preserve"> 산출내역서는 계약금액의 조정과 기성부분에 대한 대가지급 시 단가산정에 적용할 기준 으로서 계약문서의 효력을 가짐(산출내역서는 간인) 제6장 계약 및 이행 237</t>
    </r>
  </si>
  <si>
    <r>
      <rPr>
        <rFont val="맑은 고딕"/>
        <b/>
        <color theme="1"/>
        <sz val="11.0"/>
      </rPr>
      <t xml:space="preserve">- 468_2404_회계재산담당관_법령_행정안전부_지방자치단체_입찰_및_계약집행기준_00.pdf[149] : 0.99 
-----
- 468_2404_회계재산담당관_법령_행정안전부_지방자치단체_입찰_및_계약집행기준_00.pdf[147] : 0.99 
-----
</t>
    </r>
    <r>
      <rPr>
        <rFont val="맑은 고딕"/>
        <color theme="1"/>
        <sz val="11.0"/>
      </rPr>
      <t xml:space="preserve">
</t>
    </r>
    <r>
      <rPr>
        <rFont val="맑은 고딕"/>
        <color rgb="FFFF0000"/>
        <sz val="11.0"/>
      </rPr>
      <t>[문서서식임] 
수의계약시 계약대상 업체 정보 입력란 + 첨부서류가 있어서 해당 문서가 가이드 되는 것으로 보임. 
유사도 높으나 답에서 걸러져야 하는 항목임</t>
    </r>
  </si>
  <si>
    <r>
      <rPr>
        <rFont val="맑은 고딕"/>
        <b/>
        <color theme="1"/>
        <sz val="11.0"/>
      </rPr>
      <t>- 473_2411_회계재산담당관_업무매뉴얼_한국지방재정공제회_2024년_개정판_용역계약_길라잡이한국지방재정공제회.pdf[280] : 0.99</t>
    </r>
    <r>
      <rPr>
        <rFont val="맑은 고딕"/>
        <color theme="1"/>
        <sz val="11.0"/>
      </rPr>
      <t xml:space="preserve">
-----
</t>
    </r>
    <r>
      <rPr>
        <rFont val="Segoe UI Symbol"/>
        <color theme="1"/>
        <sz val="11.0"/>
      </rPr>
      <t>❍</t>
    </r>
    <r>
      <rPr>
        <rFont val="맑은 고딕"/>
        <color theme="1"/>
        <sz val="11.0"/>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rFont val="Yu Gothic"/>
        <color theme="1"/>
        <sz val="11.0"/>
      </rPr>
      <t>・</t>
    </r>
    <r>
      <rPr>
        <rFont val="맑은 고딕"/>
        <color theme="1"/>
        <sz val="11.0"/>
      </rPr>
      <t>가스</t>
    </r>
    <r>
      <rPr>
        <rFont val="Yu Gothic"/>
        <color theme="1"/>
        <sz val="11.0"/>
      </rPr>
      <t>・</t>
    </r>
    <r>
      <rPr>
        <rFont val="맑은 고딕"/>
        <color theme="1"/>
        <sz val="11.0"/>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rFont val="Yu Gothic"/>
        <color theme="1"/>
        <sz val="11.0"/>
      </rPr>
      <t>・</t>
    </r>
    <r>
      <rPr>
        <rFont val="맑은 고딕"/>
        <color theme="1"/>
        <sz val="11.0"/>
      </rPr>
      <t>계획서 2 계약서(계약당사자간 상호 전자서명</t>
    </r>
    <r>
      <rPr>
        <rFont val="Yu Gothic"/>
        <color theme="1"/>
        <sz val="11.0"/>
      </rPr>
      <t>・</t>
    </r>
    <r>
      <rPr>
        <rFont val="맑은 고딕"/>
        <color theme="1"/>
        <sz val="11.0"/>
      </rPr>
      <t>날인</t>
    </r>
    <r>
      <rPr>
        <rFont val="Yu Gothic"/>
        <color theme="1"/>
        <sz val="11.0"/>
      </rPr>
      <t>・</t>
    </r>
    <r>
      <rPr>
        <rFont val="맑은 고딕"/>
        <color theme="1"/>
        <sz val="11.0"/>
      </rPr>
      <t>간인) ※ 산출내역서도 간인 3 입찰유의서, 계약 일반조건, 계약 특수조건(필요시) 4 과업내용서 및 산출내역서 5 착수</t>
    </r>
    <r>
      <rPr>
        <rFont val="Yu Gothic"/>
        <color theme="1"/>
        <sz val="11.0"/>
      </rPr>
      <t>・</t>
    </r>
    <r>
      <rPr>
        <rFont val="맑은 고딕"/>
        <color theme="1"/>
        <sz val="11.0"/>
      </rPr>
      <t>완료신고서, 과업수행일정표 등 6 감독관, 검사</t>
    </r>
    <r>
      <rPr>
        <rFont val="Yu Gothic"/>
        <color theme="1"/>
        <sz val="11.0"/>
      </rPr>
      <t>・</t>
    </r>
    <r>
      <rPr>
        <rFont val="맑은 고딕"/>
        <color theme="1"/>
        <sz val="11.0"/>
      </rPr>
      <t>검수공무원이 지정하는 서류, 감독조서, 검사</t>
    </r>
    <r>
      <rPr>
        <rFont val="Yu Gothic"/>
        <color theme="1"/>
        <sz val="11.0"/>
      </rPr>
      <t>・</t>
    </r>
    <r>
      <rPr>
        <rFont val="맑은 고딕"/>
        <color theme="1"/>
        <sz val="11.0"/>
      </rPr>
      <t>검수조서 등 7 입찰</t>
    </r>
    <r>
      <rPr>
        <rFont val="Yu Gothic"/>
        <color theme="1"/>
        <sz val="11.0"/>
      </rPr>
      <t>・</t>
    </r>
    <r>
      <rPr>
        <rFont val="맑은 고딕"/>
        <color theme="1"/>
        <sz val="11.0"/>
      </rPr>
      <t>계약</t>
    </r>
    <r>
      <rPr>
        <rFont val="Yu Gothic"/>
        <color theme="1"/>
        <sz val="11.0"/>
      </rPr>
      <t>・</t>
    </r>
    <r>
      <rPr>
        <rFont val="맑은 고딕"/>
        <color theme="1"/>
        <sz val="11.0"/>
      </rPr>
      <t>하자</t>
    </r>
    <r>
      <rPr>
        <rFont val="Yu Gothic"/>
        <color theme="1"/>
        <sz val="11.0"/>
      </rPr>
      <t>・</t>
    </r>
    <r>
      <rPr>
        <rFont val="맑은 고딕"/>
        <color theme="1"/>
        <sz val="11.0"/>
      </rPr>
      <t>선금 보증서(계약기간</t>
    </r>
    <r>
      <rPr>
        <rFont val="Yu Gothic"/>
        <color theme="1"/>
        <sz val="11.0"/>
      </rPr>
      <t>・</t>
    </r>
    <r>
      <rPr>
        <rFont val="맑은 고딕"/>
        <color theme="1"/>
        <sz val="11.0"/>
      </rPr>
      <t>보증기간</t>
    </r>
    <r>
      <rPr>
        <rFont val="Yu Gothic"/>
        <color theme="1"/>
        <sz val="11.0"/>
      </rPr>
      <t>・</t>
    </r>
    <r>
      <rPr>
        <rFont val="맑은 고딕"/>
        <color theme="1"/>
        <sz val="11.0"/>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rFont val="맑은 고딕"/>
        <color rgb="FFFF0000"/>
        <sz val="11.0"/>
      </rPr>
      <t xml:space="preserve"> (수의계약 시) 수의계약 체결제한여부 확인서, 수의계약 각서 ∙ 계약보증금 납부서 및 보증금 지급서류</t>
    </r>
    <r>
      <rPr>
        <rFont val="맑은 고딕"/>
        <color theme="1"/>
        <sz val="11.0"/>
      </rPr>
      <t xml:space="preserve"> - 계약보증서 : 계약금액의 10% 이상 - 계약보증금 지급각서 : 5천만 원 이하 계약 272 한국지방재정공제회</t>
    </r>
  </si>
  <si>
    <t>협상에 의한 계약을 진행할 시 절차가 어떻게 되나요?</t>
  </si>
  <si>
    <t>부산광역시 공무원이 협상에 의한 계약을 진행할 시 수행해야할 절차가 어떻게 되나요?</t>
  </si>
  <si>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</si>
  <si>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</si>
  <si>
    <t>1번, 2번은 잘못된 근거규정입니다. 2번 파일은 열리지 않습니다.
1번 파일을 참고할 경우 내용은 맞지만 계획서를 관련 근거로 할 수는 없습니다.
3번 파일은 근거 자료로 활용 가능합니다.</t>
  </si>
  <si>
    <t>부기주무관 질의시 제대로 된 답변 생성됩니다. 맨 앞에 4P 내용만 추가되었으면 좋겠습니다.
 기대답변:
 1. 추가되면 좋을 내용 {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물품과 용역만이 협상에 의한 계약 대상이며, 또한, 단순 물품구매와 청소 용역 등 단순 노무 또한 계약 대상에서 제외
 }
 2. 아래는 부기주무관 생성답변입니다. 
 부산광역시 공무원이 협상에 의한 계약을 진행할 때는 다음과 같은 절차를 따릅니다.
 1. 일상감사 및 계약의뢰
 발주부서: 일상감사를 실시한 후 계약 체결을 위해 계약부서에 의뢰합니다.
 2. 입찰공고
 계약부서: 공고기간은 추정가격에 따라 다음과 같습니다:
 추정가격 10억 원 이상: 40일
 추정가격 10억 원 미만 ~ 1억 원 이상: 20일
 추정가격 1억 원 미만: 10일
 긴급 또는 재공고 입찰: 제안서 제출 마감일 전일부터 기산하여 10일 전까지 공고 가능합니다.
 3. 평가위원 모집공고 및 추천의뢰
 발주부서: 평가위원을 모집하기 위한 공고를 내고, 관련 기관(협회, 학회, 대학 등)에 평가위원 추천을 의뢰합니다.
 4. 평가예비위원 명단 작성
 감사관실, 계약부서, 발주부서: 평가예비위원 명단을 작성하며, 이 과정에서 세 부서 간 협의를 통해 최종 명단을 확정합니다.
 평가예비위원 명부 통보: 평가위원회 개최 1일 전에 고유번호가 부여된 평가예비위원 명부를 발주부서에 통보합니다.
 5. 기술제안서 및 가격제안서 접수
 발주부서: 기술제안서를 수기로 접수합니다.
 계약부서: 가격제안서를 전자적으로 접수합니다.
 6. 기술제안서 평가위원회 개최
 평가위원 구성: 평가위원 중 20% 이상을 다른 시·도의 위원으로 선정합니다.
 평가 결과 공개: 위원회 개최 후 각 평가위원의 점수를 공개합니다.
 7. 제안서 평가결과 통보
 발주부서에서 계약부서로: 참여 업체별 평가점수를 통보합니다.
 8. 가격평가
 계약부서: 나라장터를 통해 기술제안서 평가 결과를 입력하고, 가격 개찰 및 평가를 실시합니다. 시스템에서 자동으로 평가됩니다.
 9. 협상대상자 통보
 계약부서에서 발주부서 및 해당 업체로: 평가결과 합산점수가 70점 이상인 자를 협상 적격자로 선정하고, 협상 순위와 함께 통보합니다.
 10. 협상
 발주부서: 협상 순위에 따라 일정을 조율하고 협상을 진행합니다.
 협상결과 통보: 협상 내용을 첨부하여 계약부서에 협상 결과를 통보합니다.
 11. 계약체결
 계약부서: 협상 결과에 따라 계약을 체결합니다.
 이러한 절차를 통해 부산광역시 공무원은 협상에 의한 계약을 효율적으로 진행할 수 있습니다. 추가적인 문의나 도움이 필요하시면 언제든지 말씀해 주세요!</t>
  </si>
  <si>
    <t>478_2505_회계재산담당관_업무매뉴얼_회계재산담당관_계약업무_참고자료회계재산담당관외부용.pdf</t>
  </si>
  <si>
    <t>4, 17</t>
  </si>
  <si>
    <t>♣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 
 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 물품과 용역만이 협상에 의한 계약 
 대상이며, 또한, 단순 물품구매와 청소 용역 등 단순 노무 또한 계약 대상에서 제외
 17P 내용 일체</t>
  </si>
  <si>
    <t>협상에 의한 계약 절차 안내</t>
  </si>
  <si>
    <r>
      <rPr>
        <rFont val="맑은 고딕"/>
        <b/>
        <color theme="1"/>
        <sz val="11.0"/>
      </rPr>
      <t>472_2411_회계재산담당관_업무매뉴얼_한국지방재정공제회_2024년_개정판_물품계약_길라잡이한국지방재정공제회.pdf (p.174)" 
[11.14에 검색이 되지 않았음]</t>
    </r>
    <r>
      <rPr>
        <rFont val="맑은 고딕"/>
        <color theme="1"/>
        <sz val="11.0"/>
      </rPr>
      <t xml:space="preserve">
-----
</t>
    </r>
    <r>
      <rPr>
        <rFont val="맑은 고딕"/>
        <color rgb="FFFF0000"/>
        <sz val="11.0"/>
      </rPr>
      <t>2. 협상에 의한 계약절차
청크 내용 확인 필요 (페이지 잘림)</t>
    </r>
  </si>
  <si>
    <t>DRM 비밀번호 초기화 방법이 무엇인가요?</t>
  </si>
  <si>
    <t>DRM(자료유출방지시스템) 비밀번호 초기화 방법이 무엇인가요?</t>
  </si>
  <si>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</si>
  <si>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</si>
  <si>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</si>
  <si>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331_2112_정보화정책과_업무매뉴얼_정보화정책과_부서관리자_매뉴얼자료유출방지시스템_DRM_v50_비번초기화.pdf</t>
  </si>
  <si>
    <t>1, 2, 3</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</si>
  <si>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t>
  </si>
  <si>
    <t>SQG001</t>
  </si>
  <si>
    <r>
      <rPr>
        <rFont val="Arial"/>
        <b/>
        <color theme="1"/>
        <sz val="11.0"/>
      </rPr>
      <t>331_2112_정보화정책과_업무매뉴얼_정보화정책과_부서관리자_매뉴얼자료유출방지시스템_DRM_v50_비번초기화.pdf[1~4]</t>
    </r>
    <r>
      <rPr>
        <rFont val="Arial"/>
        <color theme="1"/>
        <sz val="11.0"/>
      </rPr>
      <t xml:space="preserve">
-----
</t>
    </r>
    <r>
      <rPr>
        <rFont val="Arial"/>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</si>
  <si>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장관표창 공적심사 의뢰 시 제출서류가 무엇인가요?</t>
  </si>
  <si>
    <t>장관표창을 수여받기 위한 공적심사를 의뢰하기 위해서 필요한 제출서류가 무엇인가요?</t>
  </si>
  <si>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</si>
  <si>
    <t>ㆍ2444_압축1_제출서류_목록표-hwp.pdf (p.1)</t>
  </si>
  <si>
    <t>근거자료는 시장 표창시 제출서류 목록입니다.</t>
  </si>
  <si>
    <t>기대답변 :
 1. 공적심사 의뢰 공문 (주무부서)
  ※ 감사장, 상장은 해당부서
 2. 제1공적심사위원회 의결서(사본) 및 심의기준
 3. 포상분야별 표창 대상자 선정 보고
 4. 정부포상, 장관표창 자체 추천 계획(정부포상 추천보고 시
 인사과 담당자 협조 득)
 5. 표창심의(추천)대상자 명단 및 공적개요
  ※ 포상관리시스템 입력 후 다운로드 받아 공문 첨부 제출
 ※ 포상관리시스템(ICT)에 입력이 불가한 정부포상(국무총리 이상), 장관표창은 공적 심사 의뢰 시 (서식3) 엑셀파일 작성 제출</t>
  </si>
  <si>
    <t>1282_2501_인사과_지침_인사과_부산광역시_시장포상_업무지침20230517_일부개정.pdf</t>
  </si>
  <si>
    <t>25</t>
  </si>
  <si>
    <t>&gt;&gt;&gt;   해당 내용의 경우 표에  O, X로 표기되어 있는 형태이며 답변생성 결과 확인 필요</t>
  </si>
  <si>
    <t>(2순위 - 정답 문서 찾아옴 / 추가작업 X)</t>
  </si>
  <si>
    <t>시장표창 공적심사 의뢰 시 제출서류가 무엇인가요?</t>
  </si>
  <si>
    <t>부산시장표창을 수여받기 위한 공적심사를 의뢰하기 위해서 필요한 제출서류가 무엇인가요?</t>
  </si>
  <si>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</si>
  <si>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</si>
  <si>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</si>
  <si>
    <t>기대답변 :
 시장표창(표창장, 감사장, 상장) 제출서류 목록입니다
 1. 공적심사 의뢰 공문(주무부서)
  ※ 감사장, 상장은 해당부서
 2. 제1공적심사위원회 의결서(사본) 및 심의기준
  - 표창장만 해당, 감사장과 상장은 미해당
 3. 포상분야별 표창 수여 계획(계획 수립 시 인사과 포상담당자 협조 득)
 4. 포상분야별 표창 대상자 선정 보고
 5. 표창심의(추천)대상자 명단 및 공적개요
 ※ 포상관리시스템 입력 후 다운로드 받아 공문 첨부 제출
  - 표창장만 해당, 감사장과 상장은 미해당
 6. 감사장, 상장번호 부여 요청서
 ※포상관리시스템 입력 후 다운 로드 받아 공문 첨부 제출
  - 표창장 미해당, 감사장과 상장만 해당</t>
  </si>
  <si>
    <r>
      <rPr>
        <rFont val="맑은 고딕"/>
        <b/>
        <color theme="1"/>
        <sz val="11.0"/>
      </rPr>
      <t>[온나라] 771_압축붙임1_포상_공적심사_제출서류_안내-hwp.pdf[1]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</si>
  <si>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r>
      <rPr>
        <rFont val="맑은 고딕"/>
        <b/>
        <color theme="1"/>
        <sz val="11.0"/>
      </rPr>
      <t>[온나라] 4148_압축붙임1_포상_공적심사_제출서류_안내-hwp.pdf[1]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</si>
  <si>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t>일상경비 교부대상 통계목이 무엇인가요?</t>
  </si>
  <si>
    <t>일상경비로 교부가 가능한 대상에 대한 예산 통계항목이 무엇인가요?</t>
  </si>
  <si>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</si>
  <si>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</si>
  <si>
    <t>근거자료랑 답변 둘다 오류입니다.</t>
  </si>
  <si>
    <t>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</si>
  <si>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t>1257_2412_회계재산담당관_공문_회계재산담당관_2025년도_일상경비_교부운영계획.pdf</t>
  </si>
  <si>
    <t>5</t>
  </si>
  <si>
    <t>5P 전문 활용
 201 일반운영비
 01. 사무관리비
 - 교부범위
  ✓ 건당 천만원 미만의 경비
  ※ 단, 임차료는 건당 300만원 미만(소액) 집행금액
 - 교부한도(1회) : 제한없음
 02. 공공운영비
 - 교부범위
  ✓ 공공요금 및 제세
  ※ 단, 기관단위요금 성격 제외
  ✓ 차량․선박비
  ※ 단, 건당 300만원 미만(소액) 집행금액
 - 교부한도(1회) : 제한없음
 03. 행사운영비
 - 교부범위
  ✓ 건당 천만원 미만의 경비
  ※ 단, 임차료는 건당 300만원 미만(소액) 집행금액
 - 교부한도(1회) : 제한없음
 202 여비
 01. 국내여비
 - 교부범위
  ✓ 전체 예산액
 - 교부한도(1회) : 1천만원
 02. 월액여비
 - 교부범위
  ✓ 전체 예산액
 - 교부한도(1회) : 1천만원
 203 업무추진비
 전체 통계목
 - 교부범위
  ✓ 전체 예산액
 - 교부한도(1회) : 제한없음
 301 일반보전금
 11. 행사실비지원금
 - 교부범위
  ✓ 건당 천만원 미만의 경비
 - 교부한도(1회) : 제한없음
 외국에서 지급하는 경비(불가피한 현금 지급의 경우)
 해당 통계목
 - 교부범위
  ✓ 건당 천만원 미만의 경비
 - 교부한도(1회) : 제한없음
  ※ 교부 제외대상
  - 기관 전체에 공통적으로 소요되는 경비(예산담당관의 기관운영공통경비 등)
  - 국외업무여비, 국제화여비, 공무원교육여비
  - 일반운영비 중 피복비
  - 집행빈도가 낮은 경비(재료비, 연구개발비, 자산취득비 등) 제외 / ‘23년도 부터</t>
  </si>
  <si>
    <t>일상경비 교부대상 통계목 종류 안내, 일상경비 교부 범위</t>
  </si>
  <si>
    <r>
      <rPr>
        <rFont val="맑은 고딕"/>
        <b/>
        <color theme="1"/>
        <sz val="11.0"/>
      </rPr>
      <t>477_2505_회계재산담당관_업무매뉴얼_메타넷디지털_일반지출_절차_및_삭제_회계재산담당관_경리팀.pdf[10]</t>
    </r>
    <r>
      <rPr>
        <rFont val="맑은 고딕"/>
        <color theme="1"/>
        <sz val="11.0"/>
      </rPr>
      <t xml:space="preserve">
</t>
    </r>
    <r>
      <rPr>
        <rFont val="맑은 고딕"/>
        <color theme="1"/>
        <sz val="11.0"/>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rFont val="맑은 고딕"/>
        <color rgb="FFFF0000"/>
        <sz val="11.0"/>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rFont val="맑은 고딕"/>
        <color theme="1"/>
        <sz val="11.0"/>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</si>
  <si>
    <r>
      <rPr>
        <rFont val="맑은 고딕"/>
        <b/>
        <color theme="1"/>
        <sz val="11.0"/>
      </rPr>
      <t>469_2406_회계재산담당관_법령_행정안전부_지방자치단체_회계관리에_관한_훈령_00.pdf[250]</t>
    </r>
    <r>
      <rPr>
        <rFont val="맑은 고딕"/>
        <color theme="1"/>
        <sz val="11.0"/>
      </rPr>
      <t xml:space="preserve">
</t>
    </r>
    <r>
      <rPr>
        <rFont val="맑은 고딕"/>
        <color rgb="FFFF0000"/>
        <sz val="11.0"/>
      </rPr>
      <t>-----
[표형식임 - 실제 내용 없음/답변활용X]</t>
    </r>
  </si>
  <si>
    <t>일상경비 교부범위가 어떻게 되나요?</t>
  </si>
  <si>
    <t>일상경비로 교부가 가능한 예산 범위에 대해 알려주세요</t>
  </si>
  <si>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</si>
  <si>
    <t>ㆍ1120_압축부산글로벌도시재단_규정집20250409.pdf (p.193)
https://busanai.busan.go.kr/download/1120_압축부산글로벌도시재단_규정집20250409.pdf
ㆍ1115_압축규정집202544.pdf (p.487)
https://busanai.busan.go.kr/download/1115_압축규정집202544.pdf</t>
  </si>
  <si>
    <t>근거자료 오류, 답변 오류입니다.</t>
  </si>
  <si>
    <t>9번 질문과 동일하다가 판단되어 동일한 답변 작성드립니다.
 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</si>
  <si>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r>
      <rPr>
        <rFont val="맑은 고딕"/>
        <b/>
        <color theme="1"/>
        <sz val="11.0"/>
      </rPr>
      <t xml:space="preserve">21_2501_공공기관담당관_법령_행정안전부_지방공기업법_시행령.pdf[7] </t>
    </r>
    <r>
      <rPr>
        <rFont val="맑은 고딕"/>
        <color theme="1"/>
        <sz val="11.0"/>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</si>
  <si>
    <r>
      <rPr>
        <rFont val="맑은 고딕"/>
        <b/>
        <color theme="1"/>
        <sz val="11.0"/>
      </rPr>
      <t>469_2406_회계재산담당관_법령_행정안전부_지방자치단체_회계관리에_관한_훈령_00.pdf[213, 214, 250]</t>
    </r>
    <r>
      <rPr>
        <rFont val="맑은 고딕"/>
        <color theme="1"/>
        <sz val="11.0"/>
      </rPr>
      <t xml:space="preserve">
</t>
    </r>
    <r>
      <rPr>
        <rFont val="맑은 고딕"/>
        <color rgb="FFFF0000"/>
        <sz val="11.0"/>
      </rPr>
      <t>-----
[표형식임 - 실제 내용 없음/답변활용X]</t>
    </r>
  </si>
  <si>
    <t>DRM 암호 초기화 어떻게 하나요?</t>
  </si>
  <si>
    <t>DRM(자료유출방지시스템) 암호(비밀번호) 초기화는 어떻게 하나요?</t>
  </si>
  <si>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</si>
  <si>
    <r>
      <rPr>
        <rFont val="맑은 고딕"/>
        <b/>
        <color theme="1"/>
        <sz val="11.0"/>
      </rPr>
      <t>331_2112_정보화정책과_업무매뉴얼_정보화정책과_부서관리자_매뉴얼자료유출방지시스템_DRM_v50_비번초기화.pdf[1~4]</t>
    </r>
    <r>
      <rPr>
        <rFont val="맑은 고딕"/>
        <color theme="1"/>
        <sz val="11.0"/>
      </rPr>
      <t xml:space="preserve">
-----
</t>
    </r>
    <r>
      <rPr>
        <rFont val="맑은 고딕"/>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</si>
  <si>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무료주차 신청 절차는?</t>
  </si>
  <si>
    <t>부산시청 주차장에 무료로 주차하기 위한 신청 절차에 대해 알려주세요</t>
  </si>
  <si>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</si>
  <si>
    <t>ㆍ912_압축벡스코_규정집202525.pdf (p.233)
https://busanai.busan.go.kr/download/912_압축벡스코_규정집202525.pdf</t>
  </si>
  <si>
    <t>잘못된 관련문서로 답변합니다. 답변 내용도 오류로 나옵니다.
제공된 자료 중에 직원주차장 이용 안내라는 문서가 있음에도 불구하고 
벡스코 자료로 답변을 합니다.</t>
  </si>
  <si>
    <t>해당 질문은 1일 무료주차에 좀 더 가까운 질의로 보여서
 해당 질문에 대한 답변은 미답변 처리 하시면 됩니다.
 직원 주차 등록 관련 질문이 아닐 것으로 판단됩니다.</t>
  </si>
  <si>
    <r>
      <rPr>
        <rFont val="맑은 고딕"/>
        <b/>
        <color theme="1"/>
        <sz val="11.0"/>
      </rPr>
      <t>409_2505_총무과_주요질문사항_직원주차장_이용_안내.pdf[1]</t>
    </r>
    <r>
      <rPr>
        <rFont val="맑은 고딕"/>
        <color theme="1"/>
        <sz val="11.0"/>
      </rPr>
      <t xml:space="preserve">
-----
</t>
    </r>
    <r>
      <rPr>
        <rFont val="맑은 고딕"/>
        <color rgb="FFFF0000"/>
        <sz val="11.0"/>
      </rPr>
      <t xml:space="preserve">[무료주차장 관련 정보 없음]
</t>
    </r>
    <r>
      <rPr>
        <rFont val="맑은 고딕"/>
        <color theme="1"/>
        <sz val="11.0"/>
      </rPr>
      <t xml:space="preserve">-----
총무과 주차장 등록 방법 및 이용요금, 요일제 안내 
1. 직원 정기권 등록 방법?
2. 승용차 요일제 신청방법?
3. 출입구 전광판에 "기간만료일"문구가 뜨면
4. 주차장 이용시간은? </t>
    </r>
  </si>
  <si>
    <t>보도자료 작성 기한은?</t>
  </si>
  <si>
    <t>보도자료를 배포하려고 하는데 작성 기한에 대해 알려주세요</t>
  </si>
  <si>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</si>
  <si>
    <t>제출 자료중에는 보도자료 작성 기한에 대한 내용이 없어서 
첫줄만 나오면 될 거 같습니다. 뒤에 내용은 오류로 보입니다.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</si>
  <si>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t>
  </si>
  <si>
    <t>1284_2512_부산시_업무관련_FAQ문서.pdf</t>
  </si>
  <si>
    <t>4</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</si>
  <si>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</si>
  <si>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보도자료 작성 기한 및 제출 기한 안내, 보도자료 배포 과정, 보도 자료 배포 프로세스</t>
  </si>
  <si>
    <t>인사고충 신청을 하려고 하는데 방법은?</t>
  </si>
  <si>
    <t>인사고충을 신청하려고 하는데 절차나 방법 등에 대해 알려주세요</t>
  </si>
  <si>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</si>
  <si>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</si>
  <si>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</si>
  <si>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</si>
  <si>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274_2501_인사과_기본계획_인사과_2025년도_부산광역시_인사운영_기본계획.pdf</t>
  </si>
  <si>
    <t>11</t>
  </si>
  <si>
    <t>□ 인사상담 활성화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</si>
  <si>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r>
      <rPr>
        <rFont val="맑은 고딕"/>
        <b/>
        <color theme="1"/>
        <sz val="11.0"/>
      </rPr>
      <t xml:space="preserve">264_2401_인사과_법령_행정안전부_지방공무원_인사관계_법령집.pdf [56]
-----
</t>
    </r>
    <r>
      <rPr>
        <rFont val="맑은 고딕"/>
        <color theme="1"/>
        <sz val="11.0"/>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</si>
  <si>
    <t>[인사과 자주찾는 질문 내역에 고충처리 관련 사항을 확인하지 못함. 부산시 확인 필요]</t>
  </si>
  <si>
    <t>인사랑이 열리지 않을때 조치방법은?</t>
  </si>
  <si>
    <t>인사랑 시스템에 접속이 되지 않는데 이럴때 조치방법에 대해 알려주세요</t>
  </si>
  <si>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</si>
  <si>
    <t xml:space="preserve">인사랑 관련 문서는 없어서 답변이 어려울 것으로 보입니다. </t>
  </si>
  <si>
    <t>인사랑만 조치하는 방법에 대한 답변은 없는데 행정포털 오류조치 안내에 전체적인 행정 초기 시스템에 대한 초기화 방법이 있어서 해당 내용을 안내하면 될 것 같습니다.
 기대답변 :
 아래의 링크(http://99.1.1.29/resources/xf/portal/table.html?)
 Q. [행정포털] 장애조치 Q3. 새 PC설치 시, 에러 발생 시 &gt; 해당 방법으로 조치하시기 바랍니다.</t>
  </si>
  <si>
    <t>1255_행정포털_오류조치_안내_정보화정책과_20251112.pdf</t>
  </si>
  <si>
    <t>Q. [행정포털] 장애조치 Q3. 새 PC설치 시, 에러 발생 시</t>
  </si>
  <si>
    <t>인사랑 시스템 접속이 안 될 때 해결 방법, 행정포털 시스템 접속 장애 발생시 대처 방법, 새로운 PC 교체시 필요한 보안 등록 절차 및 에러 발생시 해결 방법</t>
  </si>
  <si>
    <t>SQG018</t>
  </si>
  <si>
    <r>
      <rPr>
        <rFont val="맑은 고딕"/>
        <b/>
        <color theme="1"/>
        <sz val="11.0"/>
      </rPr>
      <t>299_2502_인사과_업무매뉴얼_인사과_당직원근무자료.pdf[4]</t>
    </r>
    <r>
      <rPr>
        <rFont val="맑은 고딕"/>
        <color theme="1"/>
        <sz val="11.0"/>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</si>
  <si>
    <t>행정포털 접속 장애 시 조치 방법은?</t>
  </si>
  <si>
    <t>행정포털 시스템에 접속 시 장애가 발생하는데 조치 방법에 대해 알려주세요.</t>
  </si>
  <si>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</si>
  <si>
    <t>행종포털 관련 문서는 학습자료 중 URL 부분에 관련 자료를 작성해서 전달해드렸습니다.
아직 URL이 전부 반영이 되어 있지 않아서 기본적인 답변만 나온것으로 보입니다.</t>
  </si>
  <si>
    <t>기대답변 :
 아래의 링크(http://99.1.1.29/resources/xf/portal/table.html?)
 Q. [행정포털] 장애조치 Q3. 새 PC설치 시, 에러 발생 시 &gt; 해당 방법으로 조치하시기 바랍니다.</t>
  </si>
  <si>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</si>
  <si>
    <t>회의장 예약 방법은?</t>
  </si>
  <si>
    <t>부산광역시 공무원이 부산광역시청의 회의장을 예약하고 싶은데 예약 방법에 대해 알려주세요.</t>
  </si>
  <si>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</si>
  <si>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</si>
  <si>
    <t>해당 내용은 제출된 파일이 없지만 기본적인 내용이라 답변이 필요할 것으로 보입니다.
 기대답변 : 
 행정포털 - 개인서비스 - 회의장 클릭 후 원하는 날짜 예약</t>
  </si>
  <si>
    <t>1. 회의장 예약 방법 안내
 행정포털 - 개인서비스 - 회의장 클릭 후 원하는 날짜 예약</t>
  </si>
  <si>
    <t>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t>
  </si>
  <si>
    <t>SQG019</t>
  </si>
  <si>
    <t>PC 개인정보 삭제 방법은? </t>
  </si>
  <si>
    <t>컴퓨터에 있는 개인정보 파일을 삭제 할 수 있는 방법이 있나요?</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</si>
  <si>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</si>
  <si>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</si>
  <si>
    <t>이상없습니다.</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</si>
  <si>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</si>
  <si>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357_2412_정보화정책과_업무매뉴얼_정보화정책과_PC개인정보파일_정비방법간단매뉴얼_0310.pdf</t>
  </si>
  <si>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</si>
  <si>
    <t>PC 개인정보 안전 삭제 방법  및 개인정보 파일 삭제 가이드</t>
  </si>
  <si>
    <r>
      <rPr>
        <rFont val="맑은 고딕"/>
        <b/>
        <color theme="1"/>
        <sz val="11.0"/>
      </rPr>
      <t xml:space="preserve">357_2412_정보화정책과_업무매뉴얼_정보화정책과_PC개인정보파일_정비방법간단매뉴얼_0310.pdf[1]
-----
</t>
    </r>
    <r>
      <rPr>
        <rFont val="맑은 고딕"/>
        <color theme="1"/>
        <sz val="11.0"/>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</si>
  <si>
    <t>부산시 관용차량을 운행하기 위해 배차 신청을 하려고 하는데 절차에 대해서 알려주세요</t>
  </si>
  <si>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</si>
  <si>
    <t xml:space="preserve">관련 근거문서는 없습니다. 이것 또한 앞의 질문과 관련이 없음에도 불구하고 앞 질문(행정포털 관련) 내용이 들어가 있어서 오류가 있습니다. </t>
  </si>
  <si>
    <t>해당 답변 또한 기본적인 질문으로 보여 참조 답변 생성이 필요할 것으로 보입니다.
 기대답변 :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</si>
  <si>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t>2.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</si>
  <si>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r>
      <rPr>
        <rFont val="맑은 고딕"/>
        <b/>
        <color theme="1"/>
        <sz val="11.0"/>
      </rPr>
      <t>336_페이지34_문서6_162645_부산광역시_공용차량_관리_규정.pdf[3][자치법규]</t>
    </r>
    <r>
      <rPr>
        <rFont val="맑은 고딕"/>
        <color theme="1"/>
        <sz val="11.0"/>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rFont val="맑은 고딕"/>
        <color rgb="FFFF0000"/>
        <sz val="11.0"/>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rFont val="맑은 고딕"/>
        <color theme="1"/>
        <sz val="11.0"/>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</si>
  <si>
    <t>시 공무원 장례비 지원 및 사망조위금 신청방법은?</t>
  </si>
  <si>
    <t>부산광역시 지방공무원 또는 가족의 사망 시 관련 규정에서 정한 장례비와 사망조위금의 지원 기준, 지급 요건, 신청 절차는 각각 어떻게 되나요?</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</si>
  <si>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</si>
  <si>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 (p.2)
https://busanai.busan.go.kr/download/278_2501_인사과_기타_인사과_2025년_공무원_장례비_지원_추진계획.pdf</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</si>
  <si>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</si>
  <si>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t>
  </si>
  <si>
    <t>2</t>
  </si>
  <si>
    <t>2025년 공무원 장례비 지원 추진계획 친족의 부고 발생에 따른 대상자를 격려하고 소속감 고취를 위한 공무원 장례비 지원 추진계획임 I 추진개요 m 추진근거 - 「지방공무원법」,「부산광역시 공무원 후생복지에 관한 조례」 - 「공공기관 1회용품 등 사용 줄이기 실천지침」국무총리 훈령 - 「부산광역시 1회용품 사용 줄이기 조례」 m 지원목적: 친족 부고에 따른 직원 격려 및 소속감 고취 m 지원대상: 본청·직속기관·사업소·시의회(시의원 포함) 소속 공무원 ※ 상수도사업본부, 소방재난본부 별도 시행 m 지원범위: 배우자, 부모(배우자의 부모 포함), 자녀, 사위, 며느리 사망(조부모 제외) ※ 공무원 사망의 경우 유가족 위로금(5,000천원) 별도 지급 m 예 산 액: 170,000천원 (1,000천원 × 170명) m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m 지원금액: 1,000천 원 이내 실비 지원 (단, 재직 중 최대 2회) ※ 사망일기준 1년이내 미 청구시 소멸 m 신청방법: 장례비용 선결제 후 영수증 및 증빙자료* 복지지원시스템 등록 ※ 증빙자료: [제출자료] 참조</t>
  </si>
  <si>
    <t xml:space="preserve">시 공무원 사망 장례비 지원 절차 및 사망조위금 신청 방법 </t>
  </si>
  <si>
    <r>
      <rPr>
        <rFont val="맑은 고딕"/>
        <b/>
        <color theme="1"/>
        <sz val="11.0"/>
      </rPr>
      <t>278_2501_인사과_기타_인사과_2025년_공무원_장례비_지원_추진계획.pdf[2]</t>
    </r>
    <r>
      <rPr>
        <rFont val="맑은 고딕"/>
        <color theme="1"/>
        <sz val="11.0"/>
      </rPr>
      <t xml:space="preserve">
-----
2025년 공무원 장례비 지원 추진계획 친족의 부고 발생에 따른 대상자를 격려하고 소속감 고취를 위한 공무원 장례비 지원 추진계획임 I 추진개요 </t>
    </r>
    <r>
      <rPr>
        <rFont val="Wingdings"/>
        <color theme="1"/>
        <sz val="11.0"/>
      </rPr>
      <t></t>
    </r>
    <r>
      <rPr>
        <rFont val="맑은 고딕"/>
        <color theme="1"/>
        <sz val="11.0"/>
      </rPr>
      <t xml:space="preserve"> 추진근거 - 「지방공무원법」,「부산광역시 공무원 후생복지에 관한 조례」 - 「공공기관 1회용품 등 사용 줄이기 실천지침」국무총리 훈령 - 「부산광역시 1회용품 사용 줄이기 조례」 </t>
    </r>
    <r>
      <rPr>
        <rFont val="Wingdings"/>
        <color theme="1"/>
        <sz val="11.0"/>
      </rPr>
      <t></t>
    </r>
    <r>
      <rPr>
        <rFont val="맑은 고딕"/>
        <color theme="1"/>
        <sz val="11.0"/>
      </rPr>
      <t xml:space="preserve"> 지원목적: 친족 부고에 따른 직원 격려 및 소속감 고취 </t>
    </r>
    <r>
      <rPr>
        <rFont val="Wingdings"/>
        <color theme="1"/>
        <sz val="11.0"/>
      </rPr>
      <t></t>
    </r>
    <r>
      <rPr>
        <rFont val="맑은 고딕"/>
        <color theme="1"/>
        <sz val="11.0"/>
      </rPr>
      <t xml:space="preserve"> 지원대상: 본청·직속기관·사업소·시의회(시의원 포함) 소속 공무원 ※ 상수도사업본부, 소방재난본부 별도 시행 </t>
    </r>
    <r>
      <rPr>
        <rFont val="Wingdings"/>
        <color theme="1"/>
        <sz val="11.0"/>
      </rPr>
      <t></t>
    </r>
    <r>
      <rPr>
        <rFont val="맑은 고딕"/>
        <color theme="1"/>
        <sz val="11.0"/>
      </rPr>
      <t xml:space="preserve"> 지원범위: 배우자, 부모(배우자의 부모 포함), 자녀, 사위, 며느리 사망(조부모 제외) ※ 공무원 사망의 경우 유가족 위로금(5,000천원) 별도 지급 </t>
    </r>
    <r>
      <rPr>
        <rFont val="Wingdings"/>
        <color theme="1"/>
        <sz val="11.0"/>
      </rPr>
      <t></t>
    </r>
    <r>
      <rPr>
        <rFont val="맑은 고딕"/>
        <color theme="1"/>
        <sz val="11.0"/>
      </rPr>
      <t xml:space="preserve"> 예 산 액: 170,000천원 (1,000천원 × 170명) </t>
    </r>
    <r>
      <rPr>
        <rFont val="Wingdings"/>
        <color theme="1"/>
        <sz val="11.0"/>
      </rPr>
      <t></t>
    </r>
    <r>
      <rPr>
        <rFont val="맑은 고딕"/>
        <color theme="1"/>
        <sz val="11.0"/>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rFont val="Wingdings"/>
        <color theme="1"/>
        <sz val="11.0"/>
      </rPr>
      <t></t>
    </r>
    <r>
      <rPr>
        <rFont val="맑은 고딕"/>
        <color theme="1"/>
        <sz val="11.0"/>
      </rPr>
      <t xml:space="preserve"> 지원금액: 1,000천 원 이내 실비 지원 (단, 재직 중 최대 2회) ※ 사망일기준 1년이내 미 청구시 소멸 </t>
    </r>
    <r>
      <rPr>
        <rFont val="Wingdings"/>
        <color theme="1"/>
        <sz val="11.0"/>
      </rPr>
      <t></t>
    </r>
    <r>
      <rPr>
        <rFont val="맑은 고딕"/>
        <color theme="1"/>
        <sz val="11.0"/>
      </rPr>
      <t xml:space="preserve"> 신청방법: 장례비용 선결제 후 영수증 및 증빙자료* 복지지원시스템 등록 ※ 증빙자료: [제출자료] 참조</t>
    </r>
  </si>
  <si>
    <t>민원 전화시 민원내용 담당부서가 어디인지 알려줘</t>
  </si>
  <si>
    <t>부산시에 관한 민원(예: 주차 단속 문의, 도로시설물 파손, 버스나 택시 관련, 그 외 다양한 민원 포함)이 접수된 경우, 부산시에서 해당 민원을 담당하는 부서는 어디인가요?</t>
  </si>
  <si>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</si>
  <si>
    <t>ㆍ80_민원_1회방문처리제_부산민원120.pdf (p.1)</t>
  </si>
  <si>
    <t>첨부파일 확인 필요한데 다운로드가 안됩니다.</t>
  </si>
  <si>
    <t>미답변 처리
  &gt; 관련 내용이 너무 많고 통합민원과에서 업무편람 파일 미제공으로 미답변 처리</t>
  </si>
  <si>
    <t>회의실 예약은 어떻게 하나요?</t>
  </si>
  <si>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</si>
  <si>
    <t>근거문서가 없기 때문에 관련 내용이 없다고 나와야 할거 같습니다.
내용은 잘못된 내용으로 나옵니다.</t>
  </si>
  <si>
    <t>게시판(벼룩시장)에 등록하는 방법은?</t>
  </si>
  <si>
    <t>부산광역시 행정포털 내의 ‘벼룩시장’ 게시판에 글을 등록하려는 경우, 직원이 따라야 하는 작성 절차와 승인 여부는 어떻게 되나요?</t>
  </si>
  <si>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</si>
  <si>
    <t>이것도 근거문서가 없기 때문에 관련 내용이 없다고 나와야 할거 같습니다
내용도 잘못된 내용입니다</t>
  </si>
  <si>
    <t>미답변 처리</t>
  </si>
  <si>
    <t>임기제공무원은 어떻게 임용되나요?</t>
  </si>
  <si>
    <t>지방자치단체에서 임기제공무원을 신규로 채용·임용할 때 적용되는 절차(채용 공고, 선발 방식, 임용 결정 순서)는 어떻게 이루어지나요?</t>
  </si>
  <si>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</si>
  <si>
    <t>내용은 괜찮은데 관련 근거가 있음에도 불구하고 안나옵니다.
2501_인사과_대통령령_인사혁신처_공무원임용령(대통령령)(제35191호) 제22조4(임기제공무원의 임용 절차 등) 이라는 근거가 있습니다</t>
  </si>
  <si>
    <t>기대답변 :
 1. 운영 목적
  - 새로운 행정수요 대응과 전문분야 역량 강화를 위해 민간 전문가를 채용하여 행정의 유연성과 전문성을 높이기 위해 운용됨.
 2. 임용 요건 
  - 일반임기제: 정원 및 예산 범위 내에서 임용
  - 전문·시간선택제·한시임기제: 예산 범위 내에서 계약으로 임용
 3. 임용 기간
  - 기본적으로 최대 5년
  - 총 근무 5년에 도달한 자가 성과가 뛰어난 경우, 인사위원회 의결을 거쳐 추가 5년 범위 내에서 기간 단위 연장 가능
 4. 임용 절차
  - 해당 부서의 채용 의뢰 → 인사위원회에서 선발
 5. 운영 방향
  - 전문성이 필요한 신규 직위에 임기제 채용 확대
  - 행정 수요 감소 또는 일반직 수행 가능 분야는 단계적 정비
  - 일반·시간선택제 임기제 임용 시 직무진단 및 사전협의 절차 필수</t>
  </si>
  <si>
    <t>291_2501_인사과_대통령령_인사혁신처_공무원임용령대통령령제35191호.pdf</t>
  </si>
  <si>
    <t>13</t>
  </si>
  <si>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</si>
  <si>
    <t>임기제 공무원 임용 방법 안내</t>
  </si>
  <si>
    <r>
      <rPr>
        <rFont val="맑은 고딕"/>
        <b/>
        <color theme="1"/>
        <sz val="11.0"/>
      </rPr>
      <t xml:space="preserve">264_2401_인사과_법령_행정안전부_지방공무원_인사관계_법령집.pdf[107] 
-----
</t>
    </r>
    <r>
      <rPr>
        <rFont val="맑은 고딕"/>
        <color theme="1"/>
        <sz val="11.0"/>
      </rPr>
      <t>[제목개정 2021. 11. 30.]</t>
    </r>
    <r>
      <rPr>
        <rFont val="맑은 고딕"/>
        <color rgb="FFFF0000"/>
        <sz val="11.0"/>
      </rPr>
      <t xml:space="preserve"> 제21조의3(임기제공무원의 임용절차 등) </t>
    </r>
    <r>
      <rPr>
        <rFont val="맑은 고딕"/>
        <color theme="1"/>
        <sz val="11.0"/>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</si>
  <si>
    <r>
      <rPr>
        <rFont val="맑은 고딕"/>
        <b/>
        <color theme="1"/>
        <sz val="11.0"/>
      </rPr>
      <t xml:space="preserve">264_2401_인사과_법령_행정안전부_지방공무원_인사관계_법령집.pdf[863] 
-----
</t>
    </r>
    <r>
      <rPr>
        <rFont val="맑은 고딕"/>
        <color rgb="FFFF0000"/>
        <sz val="11.0"/>
      </rPr>
      <t>제 22조의4 (임기제공무원의 임용 절차 등)</t>
    </r>
    <r>
      <rPr>
        <rFont val="맑은 고딕"/>
        <color theme="1"/>
        <sz val="11.0"/>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</si>
  <si>
    <r>
      <rPr>
        <rFont val="맑은 고딕"/>
        <b/>
        <color theme="1"/>
        <sz val="11.0"/>
      </rPr>
      <t xml:space="preserve">264_2401_인사과_법령_행정안전부_지방공무원_인사관계_법령집.pdf[37] </t>
    </r>
    <r>
      <rPr>
        <rFont val="맑은 고딕"/>
        <color theme="1"/>
        <sz val="11.0"/>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rFont val="맑은 고딕"/>
        <color rgb="FFFF0000"/>
        <sz val="11.0"/>
      </rPr>
      <t xml:space="preserve">제27조(신규임용) 1 공무원의 신규임용은 공개경쟁임용시험으로 한다. </t>
    </r>
    <r>
      <rPr>
        <rFont val="맑은 고딕"/>
        <color theme="1"/>
        <sz val="11.0"/>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</si>
  <si>
    <t>부산시 도시관리계획 결정변경절차는 어떻게 되나요?</t>
  </si>
  <si>
    <t>부산광역시가 도시관리계획(용도지역·지구·구역 등)을 변경하고자 할 때, 행정청 자체 결정 변경에 적용되는 검토·입안·공고·결정 절차는 어떻게 진행되나요?</t>
  </si>
  <si>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</si>
  <si>
    <t>ㆍ9708_부산광역시고시_제2022-192호지형도면고시문-공중보행로_6번보도교.pdf (p.1)</t>
  </si>
  <si>
    <t>관련 근거 링크 오류, 내용도 오류인거 같습니다. 
동구청장이 변경, 결정을 하는 내용이 오류입니다.</t>
  </si>
  <si>
    <t>미답변 처리
  &gt; 조례로만 해당 절차에 대해 설명하기 어려움</t>
  </si>
  <si>
    <r>
      <rPr>
        <rFont val="맑은 고딕"/>
        <b/>
        <color theme="1"/>
        <sz val="11.0"/>
      </rPr>
      <t>580_페이지58_문서10_163054_부산광역시_도시균형발전_지원에_관한_조례.pdf[4] : 0.89</t>
    </r>
    <r>
      <rPr>
        <rFont val="맑은 고딕"/>
        <color theme="1"/>
        <sz val="11.0"/>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</si>
  <si>
    <r>
      <rPr>
        <rFont val="맑은 고딕"/>
        <b/>
        <color theme="1"/>
        <sz val="11.0"/>
      </rPr>
      <t xml:space="preserve">28_페이지3_문서8_162125_부산광역시_도시계획_조례.pdf[23]
-----
</t>
    </r>
    <r>
      <rPr>
        <rFont val="맑은 고딕"/>
        <color theme="1"/>
        <sz val="11.0"/>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</si>
  <si>
    <t>용도지역을 바꾸고 싶은데 어떻게 해야하나요?</t>
  </si>
  <si>
    <t>부산광역시에서 토지 소유자가 용도지역 변경을 신청하려는 경우 변경 절차는 어떻게 진행되나요?</t>
  </si>
  <si>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</si>
  <si>
    <t>관련 근거가 없어 내용 확인이 불가합니다. 기초적인 내용만 써있는걸로 보입니다.</t>
  </si>
  <si>
    <t>제 땅이 도시계획시설에 편입되어 있는데 보상받는 방법은 어떻게 되나요?</t>
  </si>
  <si>
    <t>부산광역시에서 도시계획시설 사업이 시행되어 제 토지가 편입된 경우, 토지 소유자가 받을 수 있는 보상 절차는 어떻게 진행되나요?</t>
  </si>
  <si>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</si>
  <si>
    <t>ㆍ502_압축보상업무규정20241231.pdf (p.3)</t>
  </si>
  <si>
    <t>관련 근거 오류입니다. 아마 해당 질문에 대한 관련 근거는 제출 자료에 없을것으로 보입니다. (자료 요청한 부서에 해당되지 않음)</t>
  </si>
  <si>
    <t>주택건설사업은 어떻게 하나요?</t>
  </si>
  <si>
    <t>부산광역시에서 민간 사업자가 공동주택을 건설하기 위해 주택건설사업 계획 승인을 받으려는 경우, 인허가 절차는 어떻게 진행되나요?</t>
  </si>
  <si>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</si>
  <si>
    <t xml:space="preserve">제출 자료 중에 근거자료가 없을것으로 보입니다. </t>
  </si>
  <si>
    <t>부산의 도시계획 고시는 어디서 확인할 수 있나요?</t>
  </si>
  <si>
    <t>부산광역시에서 도시관리계획이 고시된 경우, 시민이나 사업자가 해당 고시 내용을 확인할 수 있는 공식 열람 경로는 어디인가요?</t>
  </si>
  <si>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</si>
  <si>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</si>
  <si>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</si>
  <si>
    <t>부산의 도시계획현황에 대해서 자세하게 설명해주세요?</t>
  </si>
  <si>
    <t>부산광역시의 도시관리계획 현황(용도지역, 지구·구역, 지구단위계획 등)에 대해 자료와 열람 방법, 제공되는 정보 범위는 무엇인가요?</t>
  </si>
  <si>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</si>
  <si>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</si>
  <si>
    <t>미답변 처리
  &gt; 도시계획과 등 담당부서의 파일이 필요합니다.
  자치법규에 있는 자료로는 해당 내용을 답변하기 어렵습니다</t>
  </si>
  <si>
    <r>
      <rPr>
        <rFont val="맑은 고딕"/>
        <b/>
        <color theme="1"/>
        <sz val="11.0"/>
      </rPr>
      <t xml:space="preserve">69_2410_기획담당관_기타_기획담당관_2024년_하반기_시정현황24930기준_fn.pdf[108]
-----
</t>
    </r>
    <r>
      <rPr>
        <rFont val="맑은 고딕"/>
        <color theme="1"/>
        <sz val="11.0"/>
      </rPr>
      <t xml:space="preserve"> 도시계획·균형발전 □ 도시계획 현황 </t>
    </r>
    <r>
      <rPr>
        <rFont val="Segoe UI Symbol"/>
        <color theme="1"/>
        <sz val="11.0"/>
      </rPr>
      <t>▮</t>
    </r>
    <r>
      <rPr>
        <rFont val="맑은 고딕"/>
        <color theme="1"/>
        <sz val="11.0"/>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rFont val="Segoe UI Symbol"/>
        <color theme="1"/>
        <sz val="11.0"/>
      </rPr>
      <t>▮</t>
    </r>
    <r>
      <rPr>
        <rFont val="맑은 고딕"/>
        <color theme="1"/>
        <sz val="11.0"/>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rFont val="Segoe UI Symbol"/>
        <color theme="1"/>
        <sz val="11.0"/>
      </rPr>
      <t>▮</t>
    </r>
    <r>
      <rPr>
        <rFont val="맑은 고딕"/>
        <color theme="1"/>
        <sz val="11.0"/>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rFont val="Segoe UI Symbol"/>
        <color theme="1"/>
        <sz val="11.0"/>
      </rPr>
      <t>▮</t>
    </r>
    <r>
      <rPr>
        <rFont val="맑은 고딕"/>
        <color theme="1"/>
        <sz val="11.0"/>
      </rPr>
      <t xml:space="preserve"> 영도공업지역 활성화 시범사업 - KDI 예비타당성 조사 통과(’23.11.) - 실시설계 용역 발주 준비 중(’24.2. 발주예정) 104 부산광역시</t>
    </r>
  </si>
  <si>
    <r>
      <rPr>
        <rFont val="맑은 고딕"/>
        <b/>
        <color theme="1"/>
        <sz val="11.0"/>
      </rPr>
      <t>418_2203_탄소중립정책과_중장기기본계획_탄소중립정책과_제3차_부산광역시_기후변화_적응대책_세부시행계획.pdf[460]</t>
    </r>
    <r>
      <rPr>
        <rFont val="맑은 고딕"/>
        <color theme="1"/>
        <sz val="11.0"/>
      </rPr>
      <t xml:space="preserve">
-----
사. 2030년 부산도시기본계획(변경) 1) 계획의 개요 q 계획의 수립 배경 </t>
    </r>
    <r>
      <rPr>
        <rFont val="Segoe UI Symbol"/>
        <color theme="1"/>
        <sz val="11.0"/>
      </rPr>
      <t>❍</t>
    </r>
    <r>
      <rPr>
        <rFont val="맑은 고딕"/>
        <color theme="1"/>
        <sz val="11.0"/>
      </rPr>
      <t xml:space="preserve"> 시민의식 성숙과 삶의 질에 대한 욕구증가 등 주민의식 변화와 고령사회·저성장 시대 도래로 지속가능한 도시성장 관리로의 도시계획 패러다임 변화 </t>
    </r>
    <r>
      <rPr>
        <rFont val="Segoe UI Symbol"/>
        <color theme="1"/>
        <sz val="11.0"/>
      </rPr>
      <t>❍</t>
    </r>
    <r>
      <rPr>
        <rFont val="맑은 고딕"/>
        <color theme="1"/>
        <sz val="11.0"/>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rFont val="Segoe UI Symbol"/>
        <color theme="1"/>
        <sz val="11.0"/>
      </rPr>
      <t>❍</t>
    </r>
    <r>
      <rPr>
        <rFont val="맑은 고딕"/>
        <color theme="1"/>
        <sz val="11.0"/>
      </rPr>
      <t xml:space="preserve"> 「2030년 부산도시기본계획」에 대한 전반적 재검토를 통해 민선6기 정책사항 반영 및 부산광역시 현안문제의 대응(「국토의 계획 및 이용에 관한 법률」 23조에 따른 재검토) </t>
    </r>
    <r>
      <rPr>
        <rFont val="Segoe UI Symbol"/>
        <color theme="1"/>
        <sz val="11.0"/>
      </rPr>
      <t>❍</t>
    </r>
    <r>
      <rPr>
        <rFont val="맑은 고딕"/>
        <color theme="1"/>
        <sz val="11.0"/>
      </rPr>
      <t xml:space="preserve"> 미래지향적이고 지속가능한 도시발전전략을 수립하여 기존 계획과 차별화된 부산권 맞춤형 도시기본계획인 「2030년 도시기본계획(변경)」을 수립하고자 함 q 계획의 범위 </t>
    </r>
    <r>
      <rPr>
        <rFont val="Segoe UI Symbol"/>
        <color theme="1"/>
        <sz val="11.0"/>
      </rPr>
      <t>❍</t>
    </r>
    <r>
      <rPr>
        <rFont val="맑은 고딕"/>
        <color theme="1"/>
        <sz val="11.0"/>
      </rPr>
      <t xml:space="preserve"> 시간적 범위 - 기준년도: 2013년(기정 기보계획: 2008년) - 목표연도: 2030년 </t>
    </r>
    <r>
      <rPr>
        <rFont val="Segoe UI Symbol"/>
        <color theme="1"/>
        <sz val="11.0"/>
      </rPr>
      <t>❍</t>
    </r>
    <r>
      <rPr>
        <rFont val="맑은 고딕"/>
        <color theme="1"/>
        <sz val="11.0"/>
      </rPr>
      <t xml:space="preserve"> 공간적 범위 - 위치: 부산광역시 행정구역 및 항만·어항구역으로 설정 - 면적: 993.544km2(항만·어항구역 223.72km2 포함) 440 제3차 부산광역시 기후변화 적응대책 세부시행계획(2022-2026)</t>
    </r>
  </si>
  <si>
    <r>
      <rPr>
        <rFont val="맑은 고딕"/>
        <b/>
        <color theme="1"/>
        <sz val="11.0"/>
      </rPr>
      <t xml:space="preserve">75_2112_맑은물정책과_중장기기본계획_맑은물정책과_부산광역시_물_재이용_관리계획.pdf[102]
-----
</t>
    </r>
    <r>
      <rPr>
        <rFont val="맑은 고딕"/>
        <color theme="1"/>
        <sz val="11.0"/>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</si>
  <si>
    <t>부산의 용도지역, 용도지구, 용도구역 현황을 알려주세요.</t>
  </si>
  <si>
    <t>부산광역시의 용도지역, 용도지구, 용도구역 현황에 대해 확인할 수 있는 자료와 열람 방법, 제공되는 정보 범위는 무엇인가요?</t>
  </si>
  <si>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</si>
  <si>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</si>
  <si>
    <r>
      <rPr>
        <rFont val="맑은 고딕"/>
        <b/>
        <color theme="1"/>
        <sz val="11.0"/>
      </rPr>
      <t>460_2401_환경정책과_정책용역보고서_환경정책과_부산광역시_빛공해환경영향평가_종합보고서.pdf[37] : 0.98 (부산 용도지역 현황)</t>
    </r>
    <r>
      <rPr>
        <rFont val="맑은 고딕"/>
        <color theme="1"/>
        <sz val="11.0"/>
      </rPr>
      <t xml:space="preserve">
-----
II. 지역 환경 현황조사 2.2.2 구</t>
    </r>
    <r>
      <rPr>
        <rFont val="Noto Sans KR"/>
        <color theme="1"/>
        <sz val="11.0"/>
      </rPr>
      <t>‧</t>
    </r>
    <r>
      <rPr>
        <rFont val="Noto Sans KR"/>
        <color theme="1"/>
        <sz val="11.0"/>
      </rPr>
      <t>군별</t>
    </r>
    <r>
      <rPr>
        <rFont val="맑은 고딕"/>
        <color theme="1"/>
        <sz val="11.0"/>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rFont val="Noto Sans KR"/>
        <color theme="1"/>
        <sz val="11.0"/>
      </rPr>
      <t>‧</t>
    </r>
    <r>
      <rPr>
        <rFont val="Noto Sans KR"/>
        <color theme="1"/>
        <sz val="11.0"/>
      </rPr>
      <t>군별</t>
    </r>
    <r>
      <rPr>
        <rFont val="맑은 고딕"/>
        <color theme="1"/>
        <sz val="11.0"/>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</si>
  <si>
    <r>
      <rPr>
        <rFont val="맑은 고딕"/>
        <b/>
        <color theme="1"/>
        <sz val="11.0"/>
      </rPr>
      <t>75_2112_맑은물정책과_중장기기본계획_맑은물정책과_부산광역시_물_재이용_관리계획.pdf[86]  (부산 용도지역 현황)</t>
    </r>
    <r>
      <rPr>
        <rFont val="맑은 고딕"/>
        <color theme="1"/>
        <sz val="11.0"/>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</si>
  <si>
    <t>데이터산업 혁신생태계 조성 전략의 내용은?</t>
  </si>
  <si>
    <t>부산광역시에서 추진 중인 ‘데이터산업 혁신생태계 조성 전략’의 주요 내용과 목표, 추진 과제, 기대 효과는 무엇인가요?</t>
  </si>
  <si>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</si>
  <si>
    <r>
      <rPr>
        <rFont val="Malgun Gothic"/>
        <color theme="1"/>
        <sz val="11.0"/>
      </rP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rFont val="MS Mincho"/>
        <color theme="1"/>
        <sz val="11.0"/>
      </rPr>
      <t>․</t>
    </r>
    <r>
      <rPr>
        <rFont val="맑은 고딕"/>
        <color theme="1"/>
        <sz val="11.0"/>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rFont val="맑은 고딕"/>
        <color theme="1"/>
        <sz val="11.0"/>
      </rPr>
      <t xml:space="preserve">
링크 : 2503_빅데이터과_업무매뉴얼_빅데이터과_빅데이터과바인더.hwp</t>
    </r>
  </si>
  <si>
    <t>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수요․공급기업 매칭 사업 등
 4. (인재양성) 데이터 실무 융합형 전문인재 양성
  - 프로젝트기반의 산업별 맞춤형 인재양성 
  - 지산학협력 교육과정 개설지원 및 PBL지원
 5. (인프라구축) 부산형 데이터 통합플랫폼 구축</t>
  </si>
  <si>
    <t>170_2503_빅데이터과_업무매뉴얼_빅데이터과_빅데이터과바인더.pdf</t>
  </si>
  <si>
    <t>24</t>
  </si>
  <si>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</si>
  <si>
    <t>(1순위 - 정답 문서 찾아옴 / 추가작업 X)</t>
  </si>
  <si>
    <r>
      <rPr>
        <rFont val="맑은 고딕"/>
        <b/>
        <color theme="1"/>
        <sz val="11.0"/>
      </rPr>
      <t>170_2503_빅데이터과_업무매뉴얼_빅데이터과_빅데이터과바인더.pdf[24]</t>
    </r>
    <r>
      <rPr>
        <rFont val="맑은 고딕"/>
        <color theme="1"/>
        <sz val="11.0"/>
      </rPr>
      <t xml:space="preserve">
-----
2. 데이터산업 혁신생태계 조성 전략 (데이터기획팀 정성숙 2342, </t>
    </r>
    <r>
      <rPr>
        <rFont val="Segoe UI"/>
        <color theme="1"/>
        <sz val="11.0"/>
      </rPr>
      <t>́</t>
    </r>
    <r>
      <rPr>
        <rFont val="맑은 고딕"/>
        <color theme="1"/>
        <sz val="11.0"/>
      </rPr>
      <t xml:space="preserve">25. 3 기준) </t>
    </r>
    <r>
      <rPr>
        <rFont val="Segoe UI Symbol"/>
        <color theme="1"/>
        <sz val="11.0"/>
      </rPr>
      <t>◦</t>
    </r>
    <r>
      <rPr>
        <rFont val="맑은 고딕"/>
        <color theme="1"/>
        <sz val="11.0"/>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rFont val="Segoe UI Symbol"/>
        <color theme="1"/>
        <sz val="11.0"/>
      </rPr>
      <t>◦</t>
    </r>
    <r>
      <rPr>
        <rFont val="맑은 고딕"/>
        <color theme="1"/>
        <sz val="11.0"/>
      </rPr>
      <t>데이터 생산에서 가공</t>
    </r>
    <r>
      <rPr>
        <rFont val="Noto Sans KR"/>
        <color theme="1"/>
        <sz val="11.0"/>
      </rPr>
      <t>‧</t>
    </r>
    <r>
      <rPr>
        <rFont val="Noto Sans KR"/>
        <color theme="1"/>
        <sz val="11.0"/>
      </rPr>
      <t>활용</t>
    </r>
    <r>
      <rPr>
        <rFont val="맑은 고딕"/>
        <color theme="1"/>
        <sz val="11.0"/>
      </rPr>
      <t xml:space="preserve"> 전주기를 지원하는 「부산형 데이터 통합플랫폼」 구축하여 도시현안 해결 등 데이터기반 행정실현과 데이터</t>
    </r>
    <r>
      <rPr>
        <rFont val="Noto Sans KR"/>
        <color theme="1"/>
        <sz val="11.0"/>
      </rPr>
      <t>‧</t>
    </r>
    <r>
      <rPr>
        <rFont val="맑은 고딕"/>
        <color theme="1"/>
        <sz val="11.0"/>
      </rPr>
      <t xml:space="preserve">AI 기업 육성을 위한 데이터통합관리체계 마련(`23~`25년) * 부산형 데이터 통합플랫폼 전략 수립 완료(`22년 3~9월) □ 2025년 추진계획 </t>
    </r>
    <r>
      <rPr>
        <rFont val="Segoe UI Symbol"/>
        <color theme="1"/>
        <sz val="11.0"/>
      </rPr>
      <t>▹</t>
    </r>
    <r>
      <rPr>
        <rFont val="맑은 고딕"/>
        <color theme="1"/>
        <sz val="11.0"/>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rFont val="Noto Sans KR"/>
        <color theme="1"/>
        <sz val="11.0"/>
      </rPr>
      <t>‧</t>
    </r>
    <r>
      <rPr>
        <rFont val="Noto Sans KR"/>
        <color theme="1"/>
        <sz val="11.0"/>
      </rPr>
      <t>성장</t>
    </r>
    <r>
      <rPr>
        <rFont val="맑은 고딕"/>
        <color theme="1"/>
        <sz val="11.0"/>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rFont val="Noto Sans KR"/>
        <color theme="1"/>
        <sz val="11.0"/>
      </rPr>
      <t>‧</t>
    </r>
    <r>
      <rPr>
        <rFont val="Noto Sans KR"/>
        <color theme="1"/>
        <sz val="11.0"/>
      </rPr>
      <t>단체</t>
    </r>
    <r>
      <rPr>
        <rFont val="맑은 고딕"/>
        <color theme="1"/>
        <sz val="11.0"/>
      </rPr>
      <t xml:space="preserve"> MOU 체결, 비예산 ‘21.12월~‘26. 12월) ※ 한국과학기술정보원(KISTI) 주도 - 데이터산업 생태계 조성 및 지학언 협력 시범사업 (지산언 MOU 체결, 시범사업, 비예산) - 24 -</t>
    </r>
  </si>
  <si>
    <t>데이터 활용 지원센터(빅데이터혁신센터)의 혁신성장 데이터 챌린지 프로그램은 어떤 것들이 있나요?</t>
  </si>
  <si>
    <t>부산광역시 데이터 활용 지원센터(빅데이터혁신센터)에서 운영하는 ‘혁신성장 데이터 챌린지’ 프로그램의 종류, 참여 대상, 주요 내용과 지원 방식은 무엇인가요?</t>
  </si>
  <si>
    <t>부산시 데이터 활용 지원센터(빅데이터혁신센터)에서 진행하는 혁신성장 데이터 챌린지 프로그램에는 스타트업 위크엔드, DX 스프린트, 부트캠프, 포럼, 코드포부산, 성과 보고회 등이 있습니다.</t>
  </si>
  <si>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</si>
  <si>
    <t>[프로그램1] Busan Data Week 
 [프로그램2] DX 부트캠프
 [프로그램3] DX 포럼
 [프로그램4] 글로벌 해커톤
 [프로그램5] 빅데이터 분석 해커톤
 [프로그램6] 코드포부산</t>
  </si>
  <si>
    <t>61, 62</t>
  </si>
  <si>
    <t>본문 전체 내용 참조</t>
  </si>
  <si>
    <t>데이터 활용 지원센터 혁신성장 데이터 챌린지 프로그램 운영 지원 안내</t>
  </si>
  <si>
    <r>
      <rPr>
        <rFont val="맑은 고딕"/>
        <b/>
        <color theme="1"/>
        <sz val="11.0"/>
      </rPr>
      <t>170_2503_빅데이터과_업무매뉴얼_빅데이터과_빅데이터과바인더.pdf[27]</t>
    </r>
    <r>
      <rPr>
        <rFont val="맑은 고딕"/>
        <color theme="1"/>
        <sz val="11.0"/>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rFont val="맑은 고딕"/>
        <color rgb="FFFF0000"/>
        <sz val="11.0"/>
      </rPr>
      <t>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t>
    </r>
    <r>
      <rPr>
        <rFont val="맑은 고딕"/>
        <color rgb="FFFF0000"/>
        <sz val="11.0"/>
      </rPr>
      <t>○ 혁신성장 데이터 챌린지 사업- 글로벌 해커톤(DIVE 2025), Big Data 분석 해커톤, DX Camp</t>
    </r>
    <r>
      <rPr>
        <rFont val="맑은 고딕"/>
        <color rgb="FFFF0000"/>
        <sz val="11.0"/>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</si>
  <si>
    <r>
      <rPr>
        <rFont val="맑은 고딕"/>
        <b/>
        <color theme="1"/>
        <sz val="11.0"/>
      </rPr>
      <t>139_2302_빅데이터과_중장기기본계획_빅데이터과_데이터기반행정_활성화_기본계획.pdf[22]</t>
    </r>
    <r>
      <rPr>
        <rFont val="맑은 고딕"/>
        <color theme="1"/>
        <sz val="11.0"/>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rFont val="Noto Sans KR"/>
        <color theme="1"/>
        <sz val="11.0"/>
      </rPr>
      <t>‧</t>
    </r>
    <r>
      <rPr>
        <rFont val="Noto Sans KR"/>
        <color theme="1"/>
        <sz val="11.0"/>
      </rPr>
      <t>운영</t>
    </r>
    <r>
      <rPr>
        <rFont val="맑은 고딕"/>
        <color theme="1"/>
        <sz val="11.0"/>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rFont val="맑은 고딕"/>
        <color rgb="FFFF0000"/>
        <sz val="11.0"/>
      </rPr>
      <t xml:space="preserve"> ※ 빅데이터혁신센터 데이터 챌린지 사업 </t>
    </r>
    <r>
      <rPr>
        <rFont val="Cambria Math"/>
        <color rgb="FFFF0000"/>
        <sz val="11.0"/>
      </rPr>
      <t>⦁</t>
    </r>
    <r>
      <rPr>
        <rFont val="맑은 고딕"/>
        <color rgb="FFFF0000"/>
        <sz val="11.0"/>
      </rPr>
      <t xml:space="preserve">(Busan Data Week) 부산 데이터산업 육성 컨퍼런스 개최 </t>
    </r>
    <r>
      <rPr>
        <rFont val="Cambria Math"/>
        <color rgb="FFFF0000"/>
        <sz val="11.0"/>
      </rPr>
      <t>⦁</t>
    </r>
    <r>
      <rPr>
        <rFont val="맑은 고딕"/>
        <color rgb="FFFF0000"/>
        <sz val="11.0"/>
      </rPr>
      <t>(DX 부트캠프) 데이터 미래인재 양성 및 스타트업 발굴</t>
    </r>
    <r>
      <rPr>
        <rFont val="Noto Sans KR"/>
        <color rgb="FFFF0000"/>
        <sz val="11.0"/>
      </rPr>
      <t>‧</t>
    </r>
    <r>
      <rPr>
        <rFont val="Noto Sans KR"/>
        <color rgb="FFFF0000"/>
        <sz val="11.0"/>
      </rPr>
      <t>지원</t>
    </r>
    <r>
      <rPr>
        <rFont val="맑은 고딕"/>
        <color rgb="FFFF0000"/>
        <sz val="11.0"/>
      </rPr>
      <t xml:space="preserve"> </t>
    </r>
    <r>
      <rPr>
        <rFont val="Cambria Math"/>
        <color rgb="FFFF0000"/>
        <sz val="11.0"/>
      </rPr>
      <t>⦁</t>
    </r>
    <r>
      <rPr>
        <rFont val="맑은 고딕"/>
        <color rgb="FFFF0000"/>
        <sz val="11.0"/>
      </rPr>
      <t xml:space="preserve">(DX 포럼) 데이터전환 성공사례 및 데이터 관련 최신 기술 동향 공유 </t>
    </r>
    <r>
      <rPr>
        <rFont val="Cambria Math"/>
        <color rgb="FFFF0000"/>
        <sz val="11.0"/>
      </rPr>
      <t>⦁</t>
    </r>
    <r>
      <rPr>
        <rFont val="맑은 고딕"/>
        <color rgb="FFFF0000"/>
        <sz val="11.0"/>
      </rPr>
      <t>(데이터 글로벌 해커톤) 데이터분석</t>
    </r>
    <r>
      <rPr>
        <rFont val="Noto Sans KR"/>
        <color rgb="FFFF0000"/>
        <sz val="11.0"/>
      </rPr>
      <t>‧</t>
    </r>
    <r>
      <rPr>
        <rFont val="Noto Sans KR"/>
        <color rgb="FFFF0000"/>
        <sz val="11.0"/>
      </rPr>
      <t>서비스개발</t>
    </r>
    <r>
      <rPr>
        <rFont val="맑은 고딕"/>
        <color rgb="FFFF0000"/>
        <sz val="11.0"/>
      </rPr>
      <t xml:space="preserve"> 글로벌 해커톤 대회 개최 </t>
    </r>
    <r>
      <rPr>
        <rFont val="Cambria Math"/>
        <color rgb="FFFF0000"/>
        <sz val="11.0"/>
      </rPr>
      <t>⦁</t>
    </r>
    <r>
      <rPr>
        <rFont val="맑은 고딕"/>
        <color rgb="FFFF0000"/>
        <sz val="11.0"/>
      </rPr>
      <t>(빅데이터 분석 해커톤) 데이터 활용</t>
    </r>
    <r>
      <rPr>
        <rFont val="Noto Sans KR"/>
        <color rgb="FFFF0000"/>
        <sz val="11.0"/>
      </rPr>
      <t>‧</t>
    </r>
    <r>
      <rPr>
        <rFont val="Noto Sans KR"/>
        <color rgb="FFFF0000"/>
        <sz val="11.0"/>
      </rPr>
      <t>분석하여</t>
    </r>
    <r>
      <rPr>
        <rFont val="맑은 고딕"/>
        <color rgb="FFFF0000"/>
        <sz val="11.0"/>
      </rPr>
      <t xml:space="preserve"> 현안발굴 및 해결솔루션 제안 </t>
    </r>
    <r>
      <rPr>
        <rFont val="Cambria Math"/>
        <color rgb="FFFF0000"/>
        <sz val="11.0"/>
      </rPr>
      <t>⦁</t>
    </r>
    <r>
      <rPr>
        <rFont val="맑은 고딕"/>
        <color rgb="FFFF0000"/>
        <sz val="11.0"/>
      </rPr>
      <t xml:space="preserve">(데이터 분석활용 인큐베이팅) 데이터산업 문제해결 서비스개발 및 정책제안 </t>
    </r>
    <r>
      <rPr>
        <rFont val="Cambria Math"/>
        <color rgb="FFFF0000"/>
        <sz val="11.0"/>
      </rPr>
      <t>⦁</t>
    </r>
    <r>
      <rPr>
        <rFont val="맑은 고딕"/>
        <color rgb="FFFF0000"/>
        <sz val="11.0"/>
      </rPr>
      <t>(코드포부산) 데이터분석가 등 전문가 네트워킹으로 현안문제 해결 서비스 개발</t>
    </r>
    <r>
      <rPr>
        <rFont val="맑은 고딕"/>
        <color theme="1"/>
        <sz val="11.0"/>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</si>
  <si>
    <r>
      <rPr>
        <rFont val="맑은 고딕"/>
        <b/>
        <color theme="1"/>
        <sz val="11.0"/>
      </rPr>
      <t>170_2503_빅데이터과_업무매뉴얼_빅데이터과_빅데이터과바인더.pdf[26]</t>
    </r>
    <r>
      <rPr>
        <rFont val="맑은 고딕"/>
        <color theme="1"/>
        <sz val="11.0"/>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rFont val="맑은 고딕"/>
        <color rgb="FFFF0000"/>
        <sz val="11.0"/>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rFont val="맑은 고딕"/>
        <color theme="1"/>
        <sz val="11.0"/>
      </rPr>
      <t>)(E)&lt;/td&gt;&lt;td&gt;17.39&lt;/td&gt;&lt;td&gt;부산테크노파크&lt;/td&gt;&lt;/tr&gt;&lt;tr&gt;&lt;td&gt;부산 가명정보 활용지원센터 운영(A)&lt;/td&gt;&lt;td&gt;4(국2)&lt;/td&gt;&lt;td&gt;&lt;/td&gt;&lt;/tr&gt;&lt;tr&gt;&lt;td&gt;공공</t>
    </r>
    <r>
      <rPr>
        <rFont val="Noto Sans KR"/>
        <color theme="1"/>
        <sz val="11.0"/>
      </rPr>
      <t>‧</t>
    </r>
    <r>
      <rPr>
        <rFont val="Noto Sans KR"/>
        <color theme="1"/>
        <sz val="11.0"/>
      </rPr>
      <t>빅데이터</t>
    </r>
    <r>
      <rPr>
        <rFont val="맑은 고딕"/>
        <color theme="1"/>
        <sz val="11.0"/>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rFont val="Noto Sans KR"/>
        <color theme="1"/>
        <sz val="11.0"/>
      </rPr>
      <t>‧</t>
    </r>
    <r>
      <rPr>
        <rFont val="Noto Sans KR"/>
        <color theme="1"/>
        <sz val="11.0"/>
      </rPr>
      <t>활용</t>
    </r>
    <r>
      <rPr>
        <rFont val="맑은 고딕"/>
        <color theme="1"/>
        <sz val="11.0"/>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</si>
  <si>
    <r>
      <rPr>
        <rFont val="맑은 고딕"/>
        <b/>
        <color theme="1"/>
        <sz val="11.0"/>
      </rPr>
      <t>170_2503_빅데이터과_업무매뉴얼_빅데이터과_빅데이터과바인더.pdf[25]</t>
    </r>
    <r>
      <rPr>
        <rFont val="맑은 고딕"/>
        <color theme="1"/>
        <sz val="11.0"/>
      </rPr>
      <t xml:space="preserve">
-----
</t>
    </r>
    <r>
      <rPr>
        <rFont val="맑은 고딕"/>
        <color rgb="FFFF0000"/>
        <sz val="11.0"/>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rFont val="맑은 고딕"/>
        <color theme="1"/>
        <sz val="11.0"/>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rFont val="Noto Sans KR"/>
        <color theme="1"/>
        <sz val="11.0"/>
      </rPr>
      <t>‧</t>
    </r>
    <r>
      <rPr>
        <rFont val="맑은 고딕"/>
        <color theme="1"/>
        <sz val="11.0"/>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rFont val="Noto Sans KR"/>
        <color theme="1"/>
        <sz val="11.0"/>
      </rPr>
      <t>‧</t>
    </r>
    <r>
      <rPr>
        <rFont val="Noto Sans KR"/>
        <color theme="1"/>
        <sz val="11.0"/>
      </rPr>
      <t>지속성장</t>
    </r>
    <r>
      <rPr>
        <rFont val="맑은 고딕"/>
        <color theme="1"/>
        <sz val="11.0"/>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rFont val="Noto Sans KR"/>
        <color theme="1"/>
        <sz val="11.0"/>
      </rPr>
      <t>‧</t>
    </r>
    <r>
      <rPr>
        <rFont val="Noto Sans KR"/>
        <color theme="1"/>
        <sz val="11.0"/>
      </rPr>
      <t>민간</t>
    </r>
    <r>
      <rPr>
        <rFont val="맑은 고딕"/>
        <color theme="1"/>
        <sz val="11.0"/>
      </rPr>
      <t xml:space="preserve"> 데이터 통합, 공유</t>
    </r>
    <r>
      <rPr>
        <rFont val="Noto Sans KR"/>
        <color theme="1"/>
        <sz val="11.0"/>
      </rPr>
      <t>‧</t>
    </r>
    <r>
      <rPr>
        <rFont val="Noto Sans KR"/>
        <color theme="1"/>
        <sz val="11.0"/>
      </rPr>
      <t>활용</t>
    </r>
    <r>
      <rPr>
        <rFont val="맑은 고딕"/>
        <color theme="1"/>
        <sz val="11.0"/>
      </rPr>
      <t xml:space="preserve"> 확산 등 데이터 선순환 생태계 조성을 위한 플랫폼 구축 및 데이터거버넌스 구성(’23.8.8.~’25.3.30.) - (1단계) ’23.8.~’24.6. 데이터 통합저장소, 민</t>
    </r>
    <r>
      <rPr>
        <rFont val="Noto Sans KR"/>
        <color theme="1"/>
        <sz val="11.0"/>
      </rPr>
      <t>‧</t>
    </r>
    <r>
      <rPr>
        <rFont val="Noto Sans KR"/>
        <color theme="1"/>
        <sz val="11.0"/>
      </rPr>
      <t>관</t>
    </r>
    <r>
      <rPr>
        <rFont val="맑은 고딕"/>
        <color theme="1"/>
        <sz val="11.0"/>
      </rPr>
      <t xml:space="preserve"> 공유활용 플랫폼#1, 데이터 통합지도#1 (2단계) ’24.6.~’25.3. 데이터 거래소, 민</t>
    </r>
    <r>
      <rPr>
        <rFont val="Noto Sans KR"/>
        <color theme="1"/>
        <sz val="11.0"/>
      </rPr>
      <t>‧</t>
    </r>
    <r>
      <rPr>
        <rFont val="Noto Sans KR"/>
        <color theme="1"/>
        <sz val="11.0"/>
      </rPr>
      <t>관</t>
    </r>
    <r>
      <rPr>
        <rFont val="맑은 고딕"/>
        <color theme="1"/>
        <sz val="11.0"/>
      </rPr>
      <t xml:space="preserve"> 공유활용 플랫폼#2, 데이터 통합지도#2 ※ 총사업비 : 110.6억원(’23년 60.2억원, ’24년 50.4억원) - 25 -</t>
    </r>
  </si>
  <si>
    <r>
      <rPr>
        <rFont val="맑은 고딕"/>
        <b/>
        <color theme="1"/>
        <sz val="11.0"/>
      </rPr>
      <t>170_2503_빅데이터과_업무매뉴얼_빅데이터과_빅데이터과바인더.pdf[74]</t>
    </r>
    <r>
      <rPr>
        <rFont val="맑은 고딕"/>
        <color theme="1"/>
        <sz val="11.0"/>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rFont val="맑은 고딕"/>
        <color rgb="FFFF0000"/>
        <sz val="11.0"/>
      </rPr>
      <t>&amp;lt; 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</si>
  <si>
    <t>부산광역시 데이터 활용 및 데이터산업 육성에 관한 조례에 따른 기본계획의 수립 내용은?</t>
  </si>
  <si>
    <t>부산광역시 ‘데이터 활용 및 데이터산업 육성에 관한 조례’에 따라 수립되는 기본계획의 주요 내용, 추진 목표, 세부 과제 및 시행 방법은 무엇인가요?</t>
  </si>
  <si>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</si>
  <si>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</si>
  <si>
    <t>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</si>
  <si>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158_2408_빅데이터과_조례_빅데이터과_부산광역시_데이터_활용_및_데이터산업_육성에_관한_조례.pdf</t>
  </si>
  <si>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</si>
  <si>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(4순위 - 정답 문서 찾아옴 / 추가작업 X)</t>
  </si>
  <si>
    <r>
      <rPr>
        <rFont val="맑은 고딕"/>
        <b/>
        <color theme="1"/>
        <sz val="11.0"/>
      </rPr>
      <t>158_2408_빅데이터과_조례_빅데이터과_부산광역시_데이터_활용_및_데이터산업_육성에_관한_조례.pdf[1]</t>
    </r>
    <r>
      <rPr>
        <rFont val="맑은 고딕"/>
        <color theme="1"/>
        <sz val="11.0"/>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rFont val="맑은 고딕"/>
        <color rgb="FFFF0000"/>
        <sz val="11.0"/>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rFont val="맑은 고딕"/>
        <color theme="1"/>
        <sz val="11.0"/>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</si>
  <si>
    <r>
      <rPr>
        <rFont val="맑은 고딕"/>
        <b/>
        <color theme="1"/>
        <sz val="11.0"/>
      </rPr>
      <t>170_2503_빅데이터과_업무매뉴얼_빅데이터과_빅데이터과바인더.pdf[11]</t>
    </r>
    <r>
      <rPr>
        <rFont val="맑은 고딕"/>
        <color theme="1"/>
        <sz val="11.0"/>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rFont val="맑은 고딕"/>
        <color rgb="FFFF0000"/>
        <sz val="11.0"/>
      </rPr>
      <t xml:space="preserve">- 기본계획 및 시행계획 수립 등의 심의를 위한 데이터위원회의 설치를 규정함 (제8조) </t>
    </r>
    <r>
      <rPr>
        <rFont val="맑은 고딕"/>
        <color theme="1"/>
        <sz val="11.0"/>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</si>
  <si>
    <r>
      <rPr>
        <rFont val="맑은 고딕"/>
        <b/>
        <color theme="1"/>
        <sz val="11.0"/>
      </rPr>
      <t>170_2503_빅데이터과_업무매뉴얼_빅데이터과_빅데이터과바인더.pdf[14]</t>
    </r>
    <r>
      <rPr>
        <rFont val="맑은 고딕"/>
        <color theme="1"/>
        <sz val="11.0"/>
      </rPr>
      <t xml:space="preserve">
-----
1. 빅데이터 활용에 관한 기본계획 수립 용역 추진 (제2차) (데이터기획팀 정성숙 2342, </t>
    </r>
    <r>
      <rPr>
        <rFont val="Segoe UI"/>
        <color theme="1"/>
        <sz val="11.0"/>
      </rPr>
      <t>́</t>
    </r>
    <r>
      <rPr>
        <rFont val="맑은 고딕"/>
        <color theme="1"/>
        <sz val="11.0"/>
      </rPr>
      <t>25. 3 기준) □ 추진근거</t>
    </r>
    <r>
      <rPr>
        <rFont val="맑은 고딕"/>
        <color rgb="FFFF0000"/>
        <sz val="11.0"/>
      </rPr>
      <t xml:space="preserve"> ○ ‘부산광역시 빅데이터 활용 및 빅데이터산업 육성에 관한 조례' 제5조 - 부산광역시장은 빅데이터의 활용 및 빅데이터산업 육성에 관한 기본 계획을 3년마다 수립하여야 한다. </t>
    </r>
    <r>
      <rPr>
        <rFont val="맑은 고딕"/>
        <color theme="1"/>
        <sz val="11.0"/>
      </rPr>
      <t>□ 추진배경 ○ 민선 8기 공약과제인 ‘미래를 선도하는 디지털 혁신도시’ 구축을 목 표로 ‘빅데이터 활용 활성화 및 데이터 산업기반 조성’ 추진 필요 ○ 시정현안 해결의 실증적 정책지원과 과학</t>
    </r>
    <r>
      <rPr>
        <rFont val="Noto Sans KR"/>
        <color theme="1"/>
        <sz val="11.0"/>
      </rPr>
      <t>‧</t>
    </r>
    <r>
      <rPr>
        <rFont val="Noto Sans KR"/>
        <color theme="1"/>
        <sz val="11.0"/>
      </rPr>
      <t>지능적</t>
    </r>
    <r>
      <rPr>
        <rFont val="맑은 고딕"/>
        <color theme="1"/>
        <sz val="11.0"/>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</si>
  <si>
    <r>
      <rPr>
        <rFont val="맑은 고딕"/>
        <b/>
        <color theme="1"/>
        <sz val="11.0"/>
      </rPr>
      <t>170_2503_빅데이터과_업무매뉴얼_빅데이터과_빅데이터과바인더.pdf[10]</t>
    </r>
    <r>
      <rPr>
        <rFont val="맑은 고딕"/>
        <color theme="1"/>
        <sz val="11.0"/>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rFont val="맑은 고딕"/>
        <color rgb="FFFF0000"/>
        <sz val="11.0"/>
      </rPr>
      <t xml:space="preserve"> ○ 조례 제정 : 2016.12.3. 전봉민 의원 발의(2016.10.6.) ○ 주요내용 - 빅데이터의 활용 및 빅데이터산업 육성에 관한 기본계획의 수립 및 시행에 관 한 사항을 정함(제5조)</t>
    </r>
    <r>
      <rPr>
        <rFont val="맑은 고딕"/>
        <color theme="1"/>
        <sz val="11.0"/>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</si>
  <si>
    <t>공공데이터 포털에 공공데이터를 등록하는 절차가 무엇인가요?</t>
  </si>
  <si>
    <t>공공데이터를 공공데이터 포털에 등록하려는 경우, 관련 내부 규정과 절차에 따라 신청, 검토, 승인, 공개까지의 과정은 어떻게 진행되나요?</t>
  </si>
  <si>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</si>
  <si>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</si>
  <si>
    <t>공공데이터 등록은 '공공데이터목록등록관리시스템(all.data.go.kr)' 사이트를 통해 진행하며
 ① 등록대상 목록 구성 ② 공공데이터 목록·데이터 등록 ③ 현행화 관리
 절차를 통해 진행됩니다.</t>
  </si>
  <si>
    <t>141_2306_빅데이터과_업무매뉴얼_공공데이터_제공관리_실무매뉴얼.pdf</t>
  </si>
  <si>
    <t>30</t>
  </si>
  <si>
    <t>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 공공데이터 목록 및 데이터 등록 절차
 ① 등록대상 목록 구성 ② 공공데이터 목록·데이터 등록 ③ 현행화 관리공공데이터 등록대상
 목록 선정 및 구성 ➡
 공공데이터
 목록·데이터 등록
 (all.data.go.kr)
 ⇒
 개방검토*
 (활용지원센터) ➡
 공공데이터 목록·데이터
 지속관리
 * 등록된 목록․데이터의 개방 적합여부 검토
 : 데이터의 형식 등 목록․데이터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</si>
  <si>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포털에 공공데이터를 등록하는 절차에 대한 설명</t>
  </si>
  <si>
    <r>
      <rPr>
        <rFont val="맑은 고딕"/>
        <b/>
        <color theme="1"/>
        <sz val="11.0"/>
      </rPr>
      <t>141_2306_빅데이터과_업무매뉴얼_공공데이터_제공관리_실무매뉴얼.pdf[41] : 0.99</t>
    </r>
    <r>
      <rPr>
        <rFont val="맑은 고딕"/>
        <color theme="1"/>
        <sz val="11.0"/>
      </rPr>
      <t xml:space="preserve">
-----</t>
    </r>
    <r>
      <rPr>
        <rFont val="맑은 고딕"/>
        <color theme="1"/>
        <sz val="11.0"/>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</si>
  <si>
    <r>
      <rPr>
        <rFont val="맑은 고딕"/>
        <b/>
        <color theme="1"/>
        <sz val="11.0"/>
      </rPr>
      <t>141_2306_빅데이터과_업무매뉴얼_공공데이터_제공관리_실무매뉴얼.pdf[126, 127] : 0.98</t>
    </r>
    <r>
      <rPr>
        <rFont val="맑은 고딕"/>
        <color theme="1"/>
        <sz val="11.0"/>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rFont val="맑은 고딕"/>
        <color rgb="FFFF0000"/>
        <sz val="11.0"/>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</si>
  <si>
    <r>
      <rPr>
        <rFont val="맑은 고딕"/>
        <b/>
        <color theme="1"/>
        <sz val="11.0"/>
      </rPr>
      <t>141_2306_빅데이터과_업무매뉴얼_공공데이터_제공관리_실무매뉴얼.pdf[31]</t>
    </r>
    <r>
      <rPr>
        <rFont val="맑은 고딕"/>
        <color theme="1"/>
        <sz val="11.0"/>
      </rPr>
      <t xml:space="preserve">
-----
</t>
    </r>
    <r>
      <rPr>
        <rFont val="맑은 고딕"/>
        <color theme="1"/>
        <sz val="11.0"/>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rFont val="맑은 고딕"/>
        <color rgb="FFFF0000"/>
        <sz val="11.0"/>
      </rPr>
      <t xml:space="preserve">▶ 공공데이터 목록 구성 및 등록 절차 1 공공데이터 목록 2 공공데이터 목록 단위 적합 여부 확인 3 공공데이터 목록 4 공공데이터 목록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</si>
  <si>
    <r>
      <rPr>
        <rFont val="맑은 고딕"/>
        <b/>
        <color theme="1"/>
        <sz val="11.0"/>
      </rPr>
      <t>141_2306_빅데이터과_업무매뉴얼_공공데이터_제공관리_실무매뉴얼.pdf[37]</t>
    </r>
    <r>
      <rPr>
        <rFont val="맑은 고딕"/>
        <color theme="1"/>
        <sz val="11.0"/>
      </rPr>
      <t xml:space="preserve">
-----
</t>
    </r>
    <r>
      <rPr>
        <rFont val="맑은 고딕"/>
        <color theme="1"/>
        <sz val="11.0"/>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</si>
  <si>
    <t>공공데이터 목록과 제공 대상 공공데이터의 차이는 무엇인가요?</t>
  </si>
  <si>
    <t>공공데이터와 관련하여, ‘공공데이터 목록’과 실제 시민이나 기관에 제공되는 ‘공공데이터 제공 대상’의 정의와 차이점은 무엇인가요?</t>
  </si>
  <si>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</si>
  <si>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</si>
  <si>
    <t>기대답변 :
 1. 공공데이터 목록
  - 정의: 공공기관이 생성 또는 취득하여 관리하고 있는 모든 자료 또는 정보를 포함한 목록입니다. 이는 데이터베이스, 전자화된 파일 등 다양한 형태로 존재하며, 텍스트, 문서, 수치, 이미지, 동영상, 오디오 등 모든 자료가 포함됩니다.
  - 목적: 공공기관이 일상적 업무 수행의 결과물로 생성된 다양한 자료를 체계적으로 관리하고, 이를 공개 가능한 형태로 정리하는 데 목적이 있습니다.
  - 관리 방식: 각 기관은 제공대상으로 식별된 공공데이터를 대상으로 목록을 구성하고 관리합니다. 제공제외 대상에 해당하는 경우에는 별도로 관리하되, 향후 제공제외 사유가 소멸하면 개방 전환할 수 있습니다.
 2. 제공 대상 공공데이터
  - 정의: 공개가 가능한 공공데이터로, 개인정보 등 비공개 대상 정보가 포함되지 않고, 저작권 등 제3자 권리가 포함되지 않은 데이터를 말합니다.
  - 확인 절차:
  &gt; 1차 확인: 개인정보 등 비공개 대상 정보 포함 여부를 확인합니다.
  &gt; 2차 확인: 저작권 등 제3자 권리 포함 여부를 확인합니다.
 3. 차이점 요약
  - 공공데이터 목록: 모든 공공데이터를 포함한 목록으로, 제공 가능 여부와 관계없이 체계적으로 관리됩니다.
  - 제공 대상 공공데이터: 공개가 가능한 공공데이터로, 개인정보 및 제3자 권리가 포함되지 않은 데이터만 선별하여 제공합니다.
 이러한 구분은 공공데이터의 체계적인 관리와 투명한 공개를 위해 중요합니다.</t>
  </si>
  <si>
    <t>7, 18, 23, 30</t>
  </si>
  <si>
    <t>7P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공공데이터는 개별 공공기관이 일상적 업무수행의 결과물로 생성 또는 수집·취득한 다양한 형태(텍스트·문서, 수치, 이미지, 동영상, 오디오 등)의 모든 자료 또는 정보가 대상)
 18P
  - 개인정보 등 비공개 대상정보의 포함 여부 확인 (1차 확인)
 &lt; 제공대상 확정 절차 &gt;
 1차 확인 (비공개 대상 정보 포함 여부 확인)
 2차 확인 (저작권 등 제3자 권리 포함 여부 확인)
 23P
  - 저작권 등 제3자 권리의 포함 여부 확인 (2차 확인)
 30P
 등록대상 공공데이터 목록의 구성 등
 • 각 기관은 “2. 공공데이터 등록을 위한 처리” 단계에서 제공대상으로 식별된 공공데이터를 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</si>
  <si>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목록과 제공 대상 공공데이터의 차이</t>
  </si>
  <si>
    <r>
      <rPr>
        <rFont val="맑은 고딕"/>
        <b/>
        <color theme="1"/>
        <sz val="11.0"/>
      </rPr>
      <t>141_2306_빅데이터과_업무매뉴얼_공공데이터_제공관리_실무매뉴얼.pdf[34]</t>
    </r>
    <r>
      <rPr>
        <rFont val="맑은 고딕"/>
        <color theme="1"/>
        <sz val="11.0"/>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</si>
  <si>
    <r>
      <rPr>
        <rFont val="맑은 고딕"/>
        <b/>
        <color theme="1"/>
        <sz val="11.0"/>
      </rPr>
      <t>141_2306_빅데이터과_업무매뉴얼_공공데이터_제공관리_실무매뉴얼.pdf[7]</t>
    </r>
    <r>
      <rPr>
        <rFont val="맑은 고딕"/>
        <color theme="1"/>
        <sz val="11.0"/>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</si>
  <si>
    <r>
      <rPr>
        <rFont val="맑은 고딕"/>
        <b/>
        <color theme="1"/>
        <sz val="11.0"/>
      </rPr>
      <t>141_2306_빅데이터과_업무매뉴얼_공공데이터_제공관리_실무매뉴얼.pdf[39]</t>
    </r>
    <r>
      <rPr>
        <rFont val="맑은 고딕"/>
        <color theme="1"/>
        <sz val="11.0"/>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</si>
  <si>
    <t>공공데이터 제공 표준이 무엇인가요?</t>
  </si>
  <si>
    <t>부산광역시에서 공공데이터를 제공할 때 적용되는 ‘공공데이터 제공 표준’의 정의와 범위, 주요 기준과 지침은 무엇인가요?</t>
  </si>
  <si>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</si>
  <si>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</si>
  <si>
    <t>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t>
  </si>
  <si>
    <t>72</t>
  </si>
  <si>
    <t>2 공공데이터 제공 표준 개요
 개 요
 ◈ 행정안전부 장관이 민간의 활용수요가 높은 공공데이터 중 동일한 항목과 형식으로
 제공해야 하는 데이터셋을 정하고, 데이터셋 제공시 적용해야 하는 표준
 �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</si>
  <si>
    <r>
      <rPr>
        <rFont val="맑은 고딕"/>
        <b/>
        <color theme="1"/>
        <sz val="11.0"/>
      </rPr>
      <t>141_2306_빅데이터과_업무매뉴얼_공공데이터_제공관리_실무매뉴얼.pdf[72]</t>
    </r>
    <r>
      <rPr>
        <rFont val="맑은 고딕"/>
        <color theme="1"/>
        <sz val="11.0"/>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</si>
  <si>
    <r>
      <rPr>
        <rFont val="맑은 고딕"/>
        <b/>
        <color theme="1"/>
        <sz val="11.0"/>
      </rPr>
      <t>141_2306_빅데이터과_업무매뉴얼_공공데이터_제공관리_실무매뉴얼.pdf[75]</t>
    </r>
    <r>
      <rPr>
        <rFont val="맑은 고딕"/>
        <color theme="1"/>
        <sz val="11.0"/>
      </rPr>
      <t xml:space="preserve">
-----</t>
    </r>
  </si>
  <si>
    <r>
      <rPr>
        <rFont val="맑은 고딕"/>
        <b/>
        <color theme="1"/>
        <sz val="11.0"/>
      </rPr>
      <t>141_2306_빅데이터과_업무매뉴얼_공공데이터_제공관리_실무매뉴얼.pdf[150]</t>
    </r>
    <r>
      <rPr>
        <rFont val="맑은 고딕"/>
        <color theme="1"/>
        <sz val="11.0"/>
      </rPr>
      <t xml:space="preserve">
-----</t>
    </r>
  </si>
  <si>
    <r>
      <rPr>
        <rFont val="맑은 고딕"/>
        <b/>
        <color theme="1"/>
        <sz val="11.0"/>
      </rPr>
      <t>141_2306_빅데이터과_업무매뉴얼_공공데이터_제공관리_실무매뉴얼.pdf[67]</t>
    </r>
    <r>
      <rPr>
        <rFont val="맑은 고딕"/>
        <color theme="1"/>
        <sz val="11.0"/>
      </rPr>
      <t xml:space="preserve">
-----</t>
    </r>
  </si>
  <si>
    <r>
      <rPr>
        <rFont val="맑은 고딕"/>
        <b/>
        <color theme="1"/>
        <sz val="11.0"/>
      </rPr>
      <t>141_2306_빅데이터과_업무매뉴얼_공공데이터_제공관리_실무매뉴얼.pdf[38]</t>
    </r>
    <r>
      <rPr>
        <rFont val="맑은 고딕"/>
        <color theme="1"/>
        <sz val="11.0"/>
      </rPr>
      <t xml:space="preserve">
-----</t>
    </r>
  </si>
  <si>
    <r>
      <rPr>
        <rFont val="Arial"/>
        <color rgb="FF000000"/>
        <sz val="11.0"/>
      </rPr>
      <t>가명정보</t>
    </r>
    <r>
      <rPr>
        <rFont val="MS Mincho"/>
        <color rgb="FF000000"/>
        <sz val="11.0"/>
      </rPr>
      <t> </t>
    </r>
    <r>
      <rPr>
        <rFont val="Arial"/>
        <color rgb="FF000000"/>
        <sz val="11.0"/>
      </rPr>
      <t>처리가</t>
    </r>
    <r>
      <rPr>
        <rFont val="MS Mincho"/>
        <color rgb="FF000000"/>
        <sz val="11.0"/>
      </rPr>
      <t> </t>
    </r>
    <r>
      <rPr>
        <rFont val="Arial"/>
        <color rgb="FF000000"/>
        <sz val="11.0"/>
      </rPr>
      <t>가능한</t>
    </r>
    <r>
      <rPr>
        <rFont val="MS Mincho"/>
        <color rgb="FF000000"/>
        <sz val="11.0"/>
      </rPr>
      <t> </t>
    </r>
    <r>
      <rPr>
        <rFont val="Arial"/>
        <color rgb="FF000000"/>
        <sz val="11.0"/>
      </rPr>
      <t>목적은</t>
    </r>
    <r>
      <rPr>
        <rFont val="MS Mincho"/>
        <color rgb="FF000000"/>
        <sz val="11.0"/>
      </rPr>
      <t> </t>
    </r>
    <r>
      <rPr>
        <rFont val="Arial"/>
        <color rgb="FF000000"/>
        <sz val="11.0"/>
      </rPr>
      <t>무엇인가요</t>
    </r>
    <r>
      <rPr>
        <rFont val="MS Mincho"/>
        <color rgb="FF000000"/>
        <sz val="11.0"/>
      </rPr>
      <t>?</t>
    </r>
  </si>
  <si>
    <t>개인정보를 가명정보로 처리할 수 있는 경우, 관련 법령과 내부 지침에서 정한 처리 목적과 허용 범위는 무엇인가요?</t>
  </si>
  <si>
    <r>
      <rPr>
        <rFont val="맑은 고딕"/>
        <color theme="1"/>
        <sz val="11.0"/>
      </rPr>
      <t>공공데이터</t>
    </r>
    <r>
      <rPr>
        <rFont val="Calibri"/>
        <color theme="1"/>
        <sz val="11.0"/>
      </rPr>
      <t xml:space="preserve"> </t>
    </r>
    <r>
      <rPr>
        <rFont val="맑은 고딕"/>
        <color theme="1"/>
        <sz val="11.0"/>
      </rPr>
      <t>제공과</t>
    </r>
    <r>
      <rPr>
        <rFont val="Calibri"/>
        <color theme="1"/>
        <sz val="11.0"/>
      </rPr>
      <t xml:space="preserve"> </t>
    </r>
    <r>
      <rPr>
        <rFont val="맑은 고딕"/>
        <color theme="1"/>
        <sz val="11.0"/>
      </rPr>
      <t>관련하여</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가능한</t>
    </r>
    <r>
      <rPr>
        <rFont val="Calibri"/>
        <color theme="1"/>
        <sz val="11.0"/>
      </rPr>
      <t xml:space="preserve"> </t>
    </r>
    <r>
      <rPr>
        <rFont val="맑은 고딕"/>
        <color theme="1"/>
        <sz val="11.0"/>
      </rPr>
      <t>목적은</t>
    </r>
    <r>
      <rPr>
        <rFont val="Calibri"/>
        <color theme="1"/>
        <sz val="11.0"/>
      </rPr>
      <t xml:space="preserve"> </t>
    </r>
    <r>
      <rPr>
        <rFont val="맑은 고딕"/>
        <color theme="1"/>
        <sz val="11.0"/>
      </rPr>
      <t>크게</t>
    </r>
    <r>
      <rPr>
        <rFont val="Calibri"/>
        <color theme="1"/>
        <sz val="11.0"/>
      </rPr>
      <t xml:space="preserve"> “</t>
    </r>
    <r>
      <rPr>
        <rFont val="맑은 고딕"/>
        <color theme="1"/>
        <sz val="11.0"/>
      </rPr>
      <t>통계작성”</t>
    </r>
    <r>
      <rPr>
        <rFont val="Calibri"/>
        <color theme="1"/>
        <sz val="11.0"/>
      </rPr>
      <t>, “</t>
    </r>
    <r>
      <rPr>
        <rFont val="맑은 고딕"/>
        <color theme="1"/>
        <sz val="11.0"/>
      </rPr>
      <t>공익적</t>
    </r>
    <r>
      <rPr>
        <rFont val="Calibri"/>
        <color theme="1"/>
        <sz val="11.0"/>
      </rPr>
      <t xml:space="preserve"> </t>
    </r>
    <r>
      <rPr>
        <rFont val="맑은 고딕"/>
        <color theme="1"/>
        <sz val="11.0"/>
      </rPr>
      <t>기록보존”</t>
    </r>
    <r>
      <rPr>
        <rFont val="Calibri"/>
        <color theme="1"/>
        <sz val="11.0"/>
      </rPr>
      <t>, "</t>
    </r>
    <r>
      <rPr>
        <rFont val="맑은 고딕"/>
        <color theme="1"/>
        <sz val="11.0"/>
      </rPr>
      <t>과학적</t>
    </r>
    <r>
      <rPr>
        <rFont val="Calibri"/>
        <color theme="1"/>
        <sz val="11.0"/>
      </rPr>
      <t xml:space="preserve"> </t>
    </r>
    <r>
      <rPr>
        <rFont val="맑은 고딕"/>
        <color theme="1"/>
        <sz val="11.0"/>
      </rPr>
      <t>연구</t>
    </r>
    <r>
      <rPr>
        <rFont val="Calibri"/>
        <color theme="1"/>
        <sz val="11.0"/>
      </rPr>
      <t>"</t>
    </r>
    <r>
      <rPr>
        <rFont val="맑은 고딕"/>
        <color theme="1"/>
        <sz val="11.0"/>
      </rPr>
      <t>로</t>
    </r>
    <r>
      <rPr>
        <rFont val="Calibri"/>
        <color theme="1"/>
        <sz val="11.0"/>
      </rPr>
      <t xml:space="preserve"> </t>
    </r>
    <r>
      <rPr>
        <rFont val="맑은 고딕"/>
        <color theme="1"/>
        <sz val="11.0"/>
      </rPr>
      <t>구분됩니다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통계작성</t>
    </r>
    <r>
      <rPr>
        <rFont val="Calibri"/>
        <color theme="1"/>
        <sz val="11.0"/>
      </rPr>
      <t xml:space="preserve">: </t>
    </r>
    <r>
      <rPr>
        <rFont val="맑은 고딕"/>
        <color theme="1"/>
        <sz val="11.0"/>
      </rPr>
      <t>특정</t>
    </r>
    <r>
      <rPr>
        <rFont val="Calibri"/>
        <color theme="1"/>
        <sz val="11.0"/>
      </rPr>
      <t xml:space="preserve"> </t>
    </r>
    <r>
      <rPr>
        <rFont val="맑은 고딕"/>
        <color theme="1"/>
        <sz val="11.0"/>
      </rPr>
      <t>집단이나</t>
    </r>
    <r>
      <rPr>
        <rFont val="Calibri"/>
        <color theme="1"/>
        <sz val="11.0"/>
      </rPr>
      <t xml:space="preserve"> </t>
    </r>
    <r>
      <rPr>
        <rFont val="맑은 고딕"/>
        <color theme="1"/>
        <sz val="11.0"/>
      </rPr>
      <t>대상</t>
    </r>
    <r>
      <rPr>
        <rFont val="Calibri"/>
        <color theme="1"/>
        <sz val="11.0"/>
      </rPr>
      <t xml:space="preserve"> </t>
    </r>
    <r>
      <rPr>
        <rFont val="맑은 고딕"/>
        <color theme="1"/>
        <sz val="11.0"/>
      </rPr>
      <t>등에</t>
    </r>
    <r>
      <rPr>
        <rFont val="Calibri"/>
        <color theme="1"/>
        <sz val="11.0"/>
      </rPr>
      <t xml:space="preserve"> </t>
    </r>
    <r>
      <rPr>
        <rFont val="맑은 고딕"/>
        <color theme="1"/>
        <sz val="11.0"/>
      </rPr>
      <t>관한</t>
    </r>
    <r>
      <rPr>
        <rFont val="Calibri"/>
        <color theme="1"/>
        <sz val="11.0"/>
      </rPr>
      <t xml:space="preserve"> </t>
    </r>
    <r>
      <rPr>
        <rFont val="맑은 고딕"/>
        <color theme="1"/>
        <sz val="11.0"/>
      </rPr>
      <t>수량적인</t>
    </r>
    <r>
      <rPr>
        <rFont val="Calibri"/>
        <color theme="1"/>
        <sz val="11.0"/>
      </rPr>
      <t xml:space="preserve"> </t>
    </r>
    <r>
      <rPr>
        <rFont val="맑은 고딕"/>
        <color theme="1"/>
        <sz val="11.0"/>
      </rPr>
      <t>정보를</t>
    </r>
    <r>
      <rPr>
        <rFont val="Calibri"/>
        <color theme="1"/>
        <sz val="11.0"/>
      </rPr>
      <t xml:space="preserve"> </t>
    </r>
    <r>
      <rPr>
        <rFont val="맑은 고딕"/>
        <color theme="1"/>
        <sz val="11.0"/>
      </rPr>
      <t>의미하는</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작성하기</t>
    </r>
    <r>
      <rPr>
        <rFont val="Calibri"/>
        <color theme="1"/>
        <sz val="11.0"/>
      </rPr>
      <t xml:space="preserve"> </t>
    </r>
    <r>
      <rPr>
        <rFont val="맑은 고딕"/>
        <color theme="1"/>
        <sz val="11.0"/>
      </rPr>
      <t>위해</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이용</t>
    </r>
    <r>
      <rPr>
        <rFont val="Calibri"/>
        <color theme="1"/>
        <sz val="11.0"/>
      </rPr>
      <t xml:space="preserve">, </t>
    </r>
    <r>
      <rPr>
        <rFont val="맑은 고딕"/>
        <color theme="1"/>
        <sz val="11.0"/>
      </rPr>
      <t>분석</t>
    </r>
    <r>
      <rPr>
        <rFont val="Calibri"/>
        <color theme="1"/>
        <sz val="11.0"/>
      </rPr>
      <t xml:space="preserve">, </t>
    </r>
    <r>
      <rPr>
        <rFont val="맑은 고딕"/>
        <color theme="1"/>
        <sz val="11.0"/>
      </rPr>
      <t>제공하는</t>
    </r>
    <r>
      <rPr>
        <rFont val="Calibri"/>
        <color theme="1"/>
        <sz val="11.0"/>
      </rPr>
      <t xml:space="preserve"> </t>
    </r>
    <r>
      <rPr>
        <rFont val="맑은 고딕"/>
        <color theme="1"/>
        <sz val="11.0"/>
      </rPr>
      <t>등의</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지방자치단체가</t>
    </r>
    <r>
      <rPr>
        <rFont val="Calibri"/>
        <color theme="1"/>
        <sz val="11.0"/>
      </rPr>
      <t xml:space="preserve"> </t>
    </r>
    <r>
      <rPr>
        <rFont val="맑은 고딕"/>
        <color theme="1"/>
        <sz val="11.0"/>
      </rPr>
      <t>연령에</t>
    </r>
    <r>
      <rPr>
        <rFont val="Calibri"/>
        <color theme="1"/>
        <sz val="11.0"/>
      </rPr>
      <t xml:space="preserve"> </t>
    </r>
    <r>
      <rPr>
        <rFont val="맑은 고딕"/>
        <color theme="1"/>
        <sz val="11.0"/>
      </rPr>
      <t>따른</t>
    </r>
    <r>
      <rPr>
        <rFont val="Calibri"/>
        <color theme="1"/>
        <sz val="11.0"/>
      </rPr>
      <t xml:space="preserve"> </t>
    </r>
    <r>
      <rPr>
        <rFont val="맑은 고딕"/>
        <color theme="1"/>
        <sz val="11.0"/>
      </rPr>
      <t>편의시설</t>
    </r>
    <r>
      <rPr>
        <rFont val="Calibri"/>
        <color theme="1"/>
        <sz val="11.0"/>
      </rPr>
      <t xml:space="preserve"> </t>
    </r>
    <r>
      <rPr>
        <rFont val="맑은 고딕"/>
        <color theme="1"/>
        <sz val="11.0"/>
      </rPr>
      <t>확대를</t>
    </r>
    <r>
      <rPr>
        <rFont val="Calibri"/>
        <color theme="1"/>
        <sz val="11.0"/>
      </rPr>
      <t xml:space="preserve"> </t>
    </r>
    <r>
      <rPr>
        <rFont val="맑은 고딕"/>
        <color theme="1"/>
        <sz val="11.0"/>
      </rPr>
      <t>위해</t>
    </r>
    <r>
      <rPr>
        <rFont val="Calibri"/>
        <color theme="1"/>
        <sz val="11.0"/>
      </rPr>
      <t xml:space="preserve"> </t>
    </r>
    <r>
      <rPr>
        <rFont val="맑은 고딕"/>
        <color theme="1"/>
        <sz val="11.0"/>
      </rPr>
      <t>편의시설의</t>
    </r>
    <r>
      <rPr>
        <rFont val="Calibri"/>
        <color theme="1"/>
        <sz val="11.0"/>
      </rPr>
      <t xml:space="preserve"> </t>
    </r>
    <r>
      <rPr>
        <rFont val="맑은 고딕"/>
        <color theme="1"/>
        <sz val="11.0"/>
      </rPr>
      <t>이용</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공익적</t>
    </r>
    <r>
      <rPr>
        <rFont val="Calibri"/>
        <color theme="1"/>
        <sz val="11.0"/>
      </rPr>
      <t xml:space="preserve"> </t>
    </r>
    <r>
      <rPr>
        <rFont val="맑은 고딕"/>
        <color theme="1"/>
        <sz val="11.0"/>
      </rPr>
      <t>기록보존</t>
    </r>
    <r>
      <rPr>
        <rFont val="Calibri"/>
        <color theme="1"/>
        <sz val="11.0"/>
      </rPr>
      <t xml:space="preserve">: </t>
    </r>
    <r>
      <rPr>
        <rFont val="맑은 고딕"/>
        <color theme="1"/>
        <sz val="11.0"/>
      </rPr>
      <t>공공의</t>
    </r>
    <r>
      <rPr>
        <rFont val="Calibri"/>
        <color theme="1"/>
        <sz val="11.0"/>
      </rPr>
      <t xml:space="preserve"> </t>
    </r>
    <r>
      <rPr>
        <rFont val="맑은 고딕"/>
        <color theme="1"/>
        <sz val="11.0"/>
      </rPr>
      <t>이익을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지속적으로</t>
    </r>
    <r>
      <rPr>
        <rFont val="Calibri"/>
        <color theme="1"/>
        <sz val="11.0"/>
      </rPr>
      <t xml:space="preserve"> </t>
    </r>
    <r>
      <rPr>
        <rFont val="맑은 고딕"/>
        <color theme="1"/>
        <sz val="11.0"/>
      </rPr>
      <t>열람할</t>
    </r>
    <r>
      <rPr>
        <rFont val="Calibri"/>
        <color theme="1"/>
        <sz val="11.0"/>
      </rPr>
      <t xml:space="preserve"> </t>
    </r>
    <r>
      <rPr>
        <rFont val="맑은 고딕"/>
        <color theme="1"/>
        <sz val="11.0"/>
      </rPr>
      <t>가치가</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기록하여</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것을</t>
    </r>
    <r>
      <rPr>
        <rFont val="Calibri"/>
        <color theme="1"/>
        <sz val="11.0"/>
      </rPr>
      <t xml:space="preserve"> </t>
    </r>
    <r>
      <rPr>
        <rFont val="맑은 고딕"/>
        <color theme="1"/>
        <sz val="11.0"/>
      </rPr>
      <t>의미하며</t>
    </r>
    <r>
      <rPr>
        <rFont val="Calibri"/>
        <color theme="1"/>
        <sz val="11.0"/>
      </rPr>
      <t xml:space="preserve">, </t>
    </r>
    <r>
      <rPr>
        <rFont val="맑은 고딕"/>
        <color theme="1"/>
        <sz val="11.0"/>
      </rPr>
      <t>공공기관이</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경우뿐만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기업</t>
    </r>
    <r>
      <rPr>
        <rFont val="Calibri"/>
        <color theme="1"/>
        <sz val="11.0"/>
      </rPr>
      <t xml:space="preserve">, </t>
    </r>
    <r>
      <rPr>
        <rFont val="맑은 고딕"/>
        <color theme="1"/>
        <sz val="11.0"/>
      </rPr>
      <t>단체</t>
    </r>
    <r>
      <rPr>
        <rFont val="Calibri"/>
        <color theme="1"/>
        <sz val="11.0"/>
      </rPr>
      <t xml:space="preserve"> </t>
    </r>
    <r>
      <rPr>
        <rFont val="맑은 고딕"/>
        <color theme="1"/>
        <sz val="11.0"/>
      </rPr>
      <t>등이</t>
    </r>
    <r>
      <rPr>
        <rFont val="Calibri"/>
        <color theme="1"/>
        <sz val="11.0"/>
      </rPr>
      <t xml:space="preserve"> </t>
    </r>
    <r>
      <rPr>
        <rFont val="맑은 고딕"/>
        <color theme="1"/>
        <sz val="11.0"/>
      </rPr>
      <t>일반적인</t>
    </r>
    <r>
      <rPr>
        <rFont val="Calibri"/>
        <color theme="1"/>
        <sz val="11.0"/>
      </rPr>
      <t xml:space="preserve"> </t>
    </r>
    <r>
      <rPr>
        <rFont val="맑은 고딕"/>
        <color theme="1"/>
        <sz val="11.0"/>
      </rPr>
      <t>공익을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기록을</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경우에도</t>
    </r>
    <r>
      <rPr>
        <rFont val="Calibri"/>
        <color theme="1"/>
        <sz val="11.0"/>
      </rPr>
      <t xml:space="preserve"> </t>
    </r>
    <r>
      <rPr>
        <rFont val="맑은 고딕"/>
        <color theme="1"/>
        <sz val="11.0"/>
      </rPr>
      <t>인정됩니다</t>
    </r>
    <r>
      <rPr>
        <rFont val="Calibri"/>
        <color theme="1"/>
        <sz val="11.0"/>
      </rPr>
      <t xml:space="preserve">.
</t>
    </r>
    <r>
      <rPr>
        <rFont val="맑은 고딕"/>
        <color theme="1"/>
        <sz val="11.0"/>
      </rPr>
      <t>과학적</t>
    </r>
    <r>
      <rPr>
        <rFont val="Calibri"/>
        <color theme="1"/>
        <sz val="11.0"/>
      </rPr>
      <t xml:space="preserve"> </t>
    </r>
    <r>
      <rPr>
        <rFont val="맑은 고딕"/>
        <color theme="1"/>
        <sz val="11.0"/>
      </rPr>
      <t>연구</t>
    </r>
    <r>
      <rPr>
        <rFont val="Calibri"/>
        <color theme="1"/>
        <sz val="11.0"/>
      </rPr>
      <t xml:space="preserve">: </t>
    </r>
    <r>
      <rPr>
        <rFont val="맑은 고딕"/>
        <color theme="1"/>
        <sz val="11.0"/>
      </rPr>
      <t>과학적</t>
    </r>
    <r>
      <rPr>
        <rFont val="Calibri"/>
        <color theme="1"/>
        <sz val="11.0"/>
      </rPr>
      <t xml:space="preserve"> </t>
    </r>
    <r>
      <rPr>
        <rFont val="맑은 고딕"/>
        <color theme="1"/>
        <sz val="11.0"/>
      </rPr>
      <t>방법을</t>
    </r>
    <r>
      <rPr>
        <rFont val="Calibri"/>
        <color theme="1"/>
        <sz val="11.0"/>
      </rPr>
      <t xml:space="preserve"> </t>
    </r>
    <r>
      <rPr>
        <rFont val="맑은 고딕"/>
        <color theme="1"/>
        <sz val="11.0"/>
      </rPr>
      <t>적용하는</t>
    </r>
    <r>
      <rPr>
        <rFont val="Calibri"/>
        <color theme="1"/>
        <sz val="11.0"/>
      </rPr>
      <t xml:space="preserve"> </t>
    </r>
    <r>
      <rPr>
        <rFont val="맑은 고딕"/>
        <color theme="1"/>
        <sz val="11.0"/>
      </rPr>
      <t>연구로서</t>
    </r>
    <r>
      <rPr>
        <rFont val="Calibri"/>
        <color theme="1"/>
        <sz val="11.0"/>
      </rPr>
      <t xml:space="preserve"> </t>
    </r>
    <r>
      <rPr>
        <rFont val="맑은 고딕"/>
        <color theme="1"/>
        <sz val="11.0"/>
      </rPr>
      <t>자연과학</t>
    </r>
    <r>
      <rPr>
        <rFont val="Calibri"/>
        <color theme="1"/>
        <sz val="11.0"/>
      </rPr>
      <t xml:space="preserve">, </t>
    </r>
    <r>
      <rPr>
        <rFont val="맑은 고딕"/>
        <color theme="1"/>
        <sz val="11.0"/>
      </rPr>
      <t>사회과학</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분야에서</t>
    </r>
    <r>
      <rPr>
        <rFont val="Calibri"/>
        <color theme="1"/>
        <sz val="11.0"/>
      </rPr>
      <t xml:space="preserve"> </t>
    </r>
    <r>
      <rPr>
        <rFont val="맑은 고딕"/>
        <color theme="1"/>
        <sz val="11.0"/>
      </rPr>
      <t>이루어질</t>
    </r>
    <r>
      <rPr>
        <rFont val="Calibri"/>
        <color theme="1"/>
        <sz val="11.0"/>
      </rPr>
      <t xml:space="preserve"> </t>
    </r>
    <r>
      <rPr>
        <rFont val="맑은 고딕"/>
        <color theme="1"/>
        <sz val="11.0"/>
      </rPr>
      <t>수</t>
    </r>
    <r>
      <rPr>
        <rFont val="Calibri"/>
        <color theme="1"/>
        <sz val="11.0"/>
      </rPr>
      <t xml:space="preserve"> </t>
    </r>
    <r>
      <rPr>
        <rFont val="맑은 고딕"/>
        <color theme="1"/>
        <sz val="11.0"/>
      </rPr>
      <t>있으며</t>
    </r>
    <r>
      <rPr>
        <rFont val="Calibri"/>
        <color theme="1"/>
        <sz val="11.0"/>
      </rPr>
      <t xml:space="preserve">, </t>
    </r>
    <r>
      <rPr>
        <rFont val="맑은 고딕"/>
        <color theme="1"/>
        <sz val="11.0"/>
      </rPr>
      <t>기초연구</t>
    </r>
    <r>
      <rPr>
        <rFont val="Calibri"/>
        <color theme="1"/>
        <sz val="11.0"/>
      </rPr>
      <t xml:space="preserve">, </t>
    </r>
    <r>
      <rPr>
        <rFont val="맑은 고딕"/>
        <color theme="1"/>
        <sz val="11.0"/>
      </rPr>
      <t>응용연구뿐만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새로운</t>
    </r>
    <r>
      <rPr>
        <rFont val="Calibri"/>
        <color theme="1"/>
        <sz val="11.0"/>
      </rPr>
      <t xml:space="preserve"> </t>
    </r>
    <r>
      <rPr>
        <rFont val="맑은 고딕"/>
        <color theme="1"/>
        <sz val="11.0"/>
      </rPr>
      <t>기술</t>
    </r>
    <r>
      <rPr>
        <rFont val="Calibri"/>
        <color theme="1"/>
        <sz val="11.0"/>
      </rPr>
      <t>·</t>
    </r>
    <r>
      <rPr>
        <rFont val="맑은 고딕"/>
        <color theme="1"/>
        <sz val="11.0"/>
      </rPr>
      <t>제품</t>
    </r>
    <r>
      <rPr>
        <rFont val="Calibri"/>
        <color theme="1"/>
        <sz val="11.0"/>
      </rPr>
      <t>·</t>
    </r>
    <r>
      <rPr>
        <rFont val="맑은 고딕"/>
        <color theme="1"/>
        <sz val="11.0"/>
      </rPr>
      <t>서비스</t>
    </r>
    <r>
      <rPr>
        <rFont val="Calibri"/>
        <color theme="1"/>
        <sz val="11.0"/>
      </rPr>
      <t xml:space="preserve"> </t>
    </r>
    <r>
      <rPr>
        <rFont val="맑은 고딕"/>
        <color theme="1"/>
        <sz val="11.0"/>
      </rPr>
      <t>개발</t>
    </r>
    <r>
      <rPr>
        <rFont val="Calibri"/>
        <color theme="1"/>
        <sz val="11.0"/>
      </rPr>
      <t xml:space="preserve"> </t>
    </r>
    <r>
      <rPr>
        <rFont val="맑은 고딕"/>
        <color theme="1"/>
        <sz val="11.0"/>
      </rPr>
      <t>및</t>
    </r>
    <r>
      <rPr>
        <rFont val="Calibri"/>
        <color theme="1"/>
        <sz val="11.0"/>
      </rPr>
      <t xml:space="preserve"> </t>
    </r>
    <r>
      <rPr>
        <rFont val="맑은 고딕"/>
        <color theme="1"/>
        <sz val="11.0"/>
      </rPr>
      <t>실증을</t>
    </r>
    <r>
      <rPr>
        <rFont val="Calibri"/>
        <color theme="1"/>
        <sz val="11.0"/>
      </rPr>
      <t xml:space="preserve"> </t>
    </r>
    <r>
      <rPr>
        <rFont val="맑은 고딕"/>
        <color theme="1"/>
        <sz val="11.0"/>
      </rPr>
      <t>위한</t>
    </r>
    <r>
      <rPr>
        <rFont val="Calibri"/>
        <color theme="1"/>
        <sz val="11.0"/>
      </rPr>
      <t xml:space="preserve"> </t>
    </r>
    <r>
      <rPr>
        <rFont val="맑은 고딕"/>
        <color theme="1"/>
        <sz val="11.0"/>
      </rPr>
      <t>산업적</t>
    </r>
    <r>
      <rPr>
        <rFont val="Calibri"/>
        <color theme="1"/>
        <sz val="11.0"/>
      </rPr>
      <t xml:space="preserve"> </t>
    </r>
    <r>
      <rPr>
        <rFont val="맑은 고딕"/>
        <color theme="1"/>
        <sz val="11.0"/>
      </rPr>
      <t>연구도</t>
    </r>
    <r>
      <rPr>
        <rFont val="Calibri"/>
        <color theme="1"/>
        <sz val="11.0"/>
      </rPr>
      <t xml:space="preserve"> </t>
    </r>
    <r>
      <rPr>
        <rFont val="맑은 고딕"/>
        <color theme="1"/>
        <sz val="11.0"/>
      </rPr>
      <t>포함됩니다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코로나</t>
    </r>
    <r>
      <rPr>
        <rFont val="Calibri"/>
        <color theme="1"/>
        <sz val="11.0"/>
      </rPr>
      <t xml:space="preserve">19 </t>
    </r>
    <r>
      <rPr>
        <rFont val="맑은 고딕"/>
        <color theme="1"/>
        <sz val="11.0"/>
      </rPr>
      <t>위험</t>
    </r>
    <r>
      <rPr>
        <rFont val="Calibri"/>
        <color theme="1"/>
        <sz val="11.0"/>
      </rPr>
      <t xml:space="preserve"> </t>
    </r>
    <r>
      <rPr>
        <rFont val="맑은 고딕"/>
        <color theme="1"/>
        <sz val="11.0"/>
      </rPr>
      <t>경고를</t>
    </r>
    <r>
      <rPr>
        <rFont val="Calibri"/>
        <color theme="1"/>
        <sz val="11.0"/>
      </rPr>
      <t xml:space="preserve"> </t>
    </r>
    <r>
      <rPr>
        <rFont val="맑은 고딕"/>
        <color theme="1"/>
        <sz val="11.0"/>
      </rPr>
      <t>위해</t>
    </r>
    <r>
      <rPr>
        <rFont val="Calibri"/>
        <color theme="1"/>
        <sz val="11.0"/>
      </rPr>
      <t xml:space="preserve"> </t>
    </r>
    <r>
      <rPr>
        <rFont val="맑은 고딕"/>
        <color theme="1"/>
        <sz val="11.0"/>
      </rPr>
      <t>생활패턴과</t>
    </r>
    <r>
      <rPr>
        <rFont val="Calibri"/>
        <color theme="1"/>
        <sz val="11.0"/>
      </rPr>
      <t xml:space="preserve"> </t>
    </r>
    <r>
      <rPr>
        <rFont val="맑은 고딕"/>
        <color theme="1"/>
        <sz val="11.0"/>
      </rPr>
      <t>감염률의</t>
    </r>
    <r>
      <rPr>
        <rFont val="Calibri"/>
        <color theme="1"/>
        <sz val="11.0"/>
      </rPr>
      <t xml:space="preserve"> </t>
    </r>
    <r>
      <rPr>
        <rFont val="맑은 고딕"/>
        <color theme="1"/>
        <sz val="11.0"/>
      </rPr>
      <t>상관성에</t>
    </r>
    <r>
      <rPr>
        <rFont val="Calibri"/>
        <color theme="1"/>
        <sz val="11.0"/>
      </rPr>
      <t xml:space="preserve"> </t>
    </r>
    <r>
      <rPr>
        <rFont val="맑은 고딕"/>
        <color theme="1"/>
        <sz val="11.0"/>
      </rPr>
      <t>대한</t>
    </r>
    <r>
      <rPr>
        <rFont val="Calibri"/>
        <color theme="1"/>
        <sz val="11.0"/>
      </rPr>
      <t xml:space="preserve"> </t>
    </r>
    <r>
      <rPr>
        <rFont val="맑은 고딕"/>
        <color theme="1"/>
        <sz val="11.0"/>
      </rPr>
      <t>연구를</t>
    </r>
    <r>
      <rPr>
        <rFont val="Calibri"/>
        <color theme="1"/>
        <sz val="11.0"/>
      </rPr>
      <t xml:space="preserve"> </t>
    </r>
    <r>
      <rPr>
        <rFont val="맑은 고딕"/>
        <color theme="1"/>
        <sz val="11.0"/>
      </rPr>
      <t>수행하는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이러한</t>
    </r>
    <r>
      <rPr>
        <rFont val="Calibri"/>
        <color theme="1"/>
        <sz val="11.0"/>
      </rPr>
      <t xml:space="preserve"> </t>
    </r>
    <r>
      <rPr>
        <rFont val="맑은 고딕"/>
        <color theme="1"/>
        <sz val="11.0"/>
      </rPr>
      <t>목적의</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처리는</t>
    </r>
    <r>
      <rPr>
        <rFont val="Calibri"/>
        <color theme="1"/>
        <sz val="11.0"/>
      </rPr>
      <t xml:space="preserve"> </t>
    </r>
    <r>
      <rPr>
        <rFont val="맑은 고딕"/>
        <color theme="1"/>
        <sz val="11.0"/>
      </rPr>
      <t>공공데이터의</t>
    </r>
    <r>
      <rPr>
        <rFont val="Calibri"/>
        <color theme="1"/>
        <sz val="11.0"/>
      </rPr>
      <t xml:space="preserve"> </t>
    </r>
    <r>
      <rPr>
        <rFont val="맑은 고딕"/>
        <color theme="1"/>
        <sz val="11.0"/>
      </rPr>
      <t>개방과</t>
    </r>
    <r>
      <rPr>
        <rFont val="Calibri"/>
        <color theme="1"/>
        <sz val="11.0"/>
      </rPr>
      <t xml:space="preserve"> </t>
    </r>
    <r>
      <rPr>
        <rFont val="맑은 고딕"/>
        <color theme="1"/>
        <sz val="11.0"/>
      </rPr>
      <t>활성화를</t>
    </r>
    <r>
      <rPr>
        <rFont val="Calibri"/>
        <color theme="1"/>
        <sz val="11.0"/>
      </rPr>
      <t xml:space="preserve"> </t>
    </r>
    <r>
      <rPr>
        <rFont val="맑은 고딕"/>
        <color theme="1"/>
        <sz val="11.0"/>
      </rPr>
      <t>위해</t>
    </r>
    <r>
      <rPr>
        <rFont val="Calibri"/>
        <color theme="1"/>
        <sz val="11.0"/>
      </rPr>
      <t xml:space="preserve"> </t>
    </r>
    <r>
      <rPr>
        <rFont val="맑은 고딕"/>
        <color theme="1"/>
        <sz val="11.0"/>
      </rPr>
      <t>중요한</t>
    </r>
    <r>
      <rPr>
        <rFont val="Calibri"/>
        <color theme="1"/>
        <sz val="11.0"/>
      </rPr>
      <t xml:space="preserve"> </t>
    </r>
    <r>
      <rPr>
        <rFont val="맑은 고딕"/>
        <color theme="1"/>
        <sz val="11.0"/>
      </rPr>
      <t>역할을</t>
    </r>
    <r>
      <rPr>
        <rFont val="Calibri"/>
        <color theme="1"/>
        <sz val="11.0"/>
      </rPr>
      <t xml:space="preserve"> </t>
    </r>
    <r>
      <rPr>
        <rFont val="맑은 고딕"/>
        <color theme="1"/>
        <sz val="11.0"/>
      </rPr>
      <t>하며</t>
    </r>
    <r>
      <rPr>
        <rFont val="Calibri"/>
        <color theme="1"/>
        <sz val="11.0"/>
      </rPr>
      <t xml:space="preserve">, </t>
    </r>
    <r>
      <rPr>
        <rFont val="맑은 고딕"/>
        <color theme="1"/>
        <sz val="11.0"/>
      </rPr>
      <t>각</t>
    </r>
    <r>
      <rPr>
        <rFont val="Calibri"/>
        <color theme="1"/>
        <sz val="11.0"/>
      </rPr>
      <t xml:space="preserve"> </t>
    </r>
    <r>
      <rPr>
        <rFont val="맑은 고딕"/>
        <color theme="1"/>
        <sz val="11.0"/>
      </rPr>
      <t>목적에</t>
    </r>
    <r>
      <rPr>
        <rFont val="Calibri"/>
        <color theme="1"/>
        <sz val="11.0"/>
      </rPr>
      <t xml:space="preserve"> </t>
    </r>
    <r>
      <rPr>
        <rFont val="맑은 고딕"/>
        <color theme="1"/>
        <sz val="11.0"/>
      </rPr>
      <t>따라</t>
    </r>
    <r>
      <rPr>
        <rFont val="Calibri"/>
        <color theme="1"/>
        <sz val="11.0"/>
      </rPr>
      <t xml:space="preserve"> </t>
    </r>
    <r>
      <rPr>
        <rFont val="맑은 고딕"/>
        <color theme="1"/>
        <sz val="11.0"/>
      </rPr>
      <t>적절한</t>
    </r>
    <r>
      <rPr>
        <rFont val="Calibri"/>
        <color theme="1"/>
        <sz val="11.0"/>
      </rPr>
      <t xml:space="preserve"> </t>
    </r>
    <r>
      <rPr>
        <rFont val="맑은 고딕"/>
        <color theme="1"/>
        <sz val="11.0"/>
      </rPr>
      <t>절차와</t>
    </r>
    <r>
      <rPr>
        <rFont val="Calibri"/>
        <color theme="1"/>
        <sz val="11.0"/>
      </rPr>
      <t xml:space="preserve"> </t>
    </r>
    <r>
      <rPr>
        <rFont val="맑은 고딕"/>
        <color theme="1"/>
        <sz val="11.0"/>
      </rPr>
      <t>기준을</t>
    </r>
    <r>
      <rPr>
        <rFont val="Calibri"/>
        <color theme="1"/>
        <sz val="11.0"/>
      </rPr>
      <t xml:space="preserve"> </t>
    </r>
    <r>
      <rPr>
        <rFont val="맑은 고딕"/>
        <color theme="1"/>
        <sz val="11.0"/>
      </rPr>
      <t>준수해야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</si>
  <si>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t>
    </r>
    <r>
      <rPr>
        <rFont val="MS Mincho"/>
        <color theme="1"/>
        <sz val="11.0"/>
      </rPr>
      <t> </t>
    </r>
    <r>
      <rPr>
        <rFont val="맑은 고딕"/>
        <color theme="1"/>
        <sz val="11.0"/>
      </rPr>
      <t>처리는</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알아볼</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가명처리한</t>
    </r>
    <r>
      <rPr>
        <rFont val="MS Mincho"/>
        <color theme="1"/>
        <sz val="11.0"/>
      </rPr>
      <t> </t>
    </r>
    <r>
      <rPr>
        <rFont val="맑은 고딕"/>
        <color theme="1"/>
        <sz val="11.0"/>
      </rPr>
      <t>데이터를</t>
    </r>
    <r>
      <rPr>
        <rFont val="MS Mincho"/>
        <color theme="1"/>
        <sz val="11.0"/>
      </rPr>
      <t> </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등에서</t>
    </r>
    <r>
      <rPr>
        <rFont val="MS Mincho"/>
        <color theme="1"/>
        <sz val="11.0"/>
      </rPr>
      <t> </t>
    </r>
    <r>
      <rPr>
        <rFont val="맑은 고딕"/>
        <color theme="1"/>
        <sz val="11.0"/>
      </rPr>
      <t>폭넓게</t>
    </r>
    <r>
      <rPr>
        <rFont val="MS Mincho"/>
        <color theme="1"/>
        <sz val="11.0"/>
      </rPr>
      <t> </t>
    </r>
    <r>
      <rPr>
        <rFont val="맑은 고딕"/>
        <color theme="1"/>
        <sz val="11.0"/>
      </rPr>
      <t>활용하기</t>
    </r>
    <r>
      <rPr>
        <rFont val="MS Mincho"/>
        <color theme="1"/>
        <sz val="11.0"/>
      </rPr>
      <t> </t>
    </r>
    <r>
      <rPr>
        <rFont val="맑은 고딕"/>
        <color theme="1"/>
        <sz val="11.0"/>
      </rPr>
      <t>위한</t>
    </r>
    <r>
      <rPr>
        <rFont val="MS Mincho"/>
        <color theme="1"/>
        <sz val="11.0"/>
      </rPr>
      <t> </t>
    </r>
    <r>
      <rPr>
        <rFont val="맑은 고딕"/>
        <color theme="1"/>
        <sz val="11.0"/>
      </rPr>
      <t>것입니다</t>
    </r>
    <r>
      <rPr>
        <rFont val="MS Mincho"/>
        <color theme="1"/>
        <sz val="11.0"/>
      </rPr>
      <t>. </t>
    </r>
    <r>
      <rPr>
        <rFont val="맑은 고딕"/>
        <color theme="1"/>
        <sz val="11.0"/>
      </rPr>
      <t>가명정보는</t>
    </r>
    <r>
      <rPr>
        <rFont val="MS Mincho"/>
        <color theme="1"/>
        <sz val="11.0"/>
      </rPr>
      <t> </t>
    </r>
    <r>
      <rPr>
        <rFont val="맑은 고딕"/>
        <color theme="1"/>
        <sz val="11.0"/>
      </rPr>
      <t>원래의</t>
    </r>
    <r>
      <rPr>
        <rFont val="MS Mincho"/>
        <color theme="1"/>
        <sz val="11.0"/>
      </rPr>
      <t> </t>
    </r>
    <r>
      <rPr>
        <rFont val="맑은 고딕"/>
        <color theme="1"/>
        <sz val="11.0"/>
      </rPr>
      <t>개인을</t>
    </r>
    <r>
      <rPr>
        <rFont val="MS Mincho"/>
        <color theme="1"/>
        <sz val="11.0"/>
      </rPr>
      <t> </t>
    </r>
    <r>
      <rPr>
        <rFont val="맑은 고딕"/>
        <color theme="1"/>
        <sz val="11.0"/>
      </rPr>
      <t>재식별할</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처리된</t>
    </r>
    <r>
      <rPr>
        <rFont val="MS Mincho"/>
        <color theme="1"/>
        <sz val="11.0"/>
      </rPr>
      <t> </t>
    </r>
    <r>
      <rPr>
        <rFont val="맑은 고딕"/>
        <color theme="1"/>
        <sz val="11.0"/>
      </rPr>
      <t>정보로</t>
    </r>
    <r>
      <rPr>
        <rFont val="MS Mincho"/>
        <color theme="1"/>
        <sz val="11.0"/>
      </rPr>
      <t>, </t>
    </r>
    <r>
      <rPr>
        <rFont val="맑은 고딕"/>
        <color theme="1"/>
        <sz val="11.0"/>
      </rPr>
      <t>이를</t>
    </r>
    <r>
      <rPr>
        <rFont val="MS Mincho"/>
        <color theme="1"/>
        <sz val="11.0"/>
      </rPr>
      <t> </t>
    </r>
    <r>
      <rPr>
        <rFont val="맑은 고딕"/>
        <color theme="1"/>
        <sz val="11.0"/>
      </rPr>
      <t>활용하면</t>
    </r>
    <r>
      <rPr>
        <rFont val="MS Mincho"/>
        <color theme="1"/>
        <sz val="11.0"/>
      </rPr>
      <t> </t>
    </r>
    <r>
      <rPr>
        <rFont val="맑은 고딕"/>
        <color theme="1"/>
        <sz val="11.0"/>
      </rPr>
      <t>개인정보</t>
    </r>
    <r>
      <rPr>
        <rFont val="MS Mincho"/>
        <color theme="1"/>
        <sz val="11.0"/>
      </rPr>
      <t> </t>
    </r>
    <r>
      <rPr>
        <rFont val="맑은 고딕"/>
        <color theme="1"/>
        <sz val="11.0"/>
      </rPr>
      <t>보호를</t>
    </r>
    <r>
      <rPr>
        <rFont val="MS Mincho"/>
        <color theme="1"/>
        <sz val="11.0"/>
      </rPr>
      <t> </t>
    </r>
    <r>
      <rPr>
        <rFont val="맑은 고딕"/>
        <color theme="1"/>
        <sz val="11.0"/>
      </rPr>
      <t>강화하면서</t>
    </r>
    <r>
      <rPr>
        <rFont val="MS Mincho"/>
        <color theme="1"/>
        <sz val="11.0"/>
      </rPr>
      <t> </t>
    </r>
    <r>
      <rPr>
        <rFont val="맑은 고딕"/>
        <color theme="1"/>
        <sz val="11.0"/>
      </rPr>
      <t>데이터</t>
    </r>
    <r>
      <rPr>
        <rFont val="MS Mincho"/>
        <color theme="1"/>
        <sz val="11.0"/>
      </rPr>
      <t> </t>
    </r>
    <r>
      <rPr>
        <rFont val="맑은 고딕"/>
        <color theme="1"/>
        <sz val="11.0"/>
      </rPr>
      <t>활용성을</t>
    </r>
    <r>
      <rPr>
        <rFont val="MS Mincho"/>
        <color theme="1"/>
        <sz val="11.0"/>
      </rPr>
      <t> </t>
    </r>
    <r>
      <rPr>
        <rFont val="맑은 고딕"/>
        <color theme="1"/>
        <sz val="11.0"/>
      </rPr>
      <t>높일</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t>
    </r>
    <r>
      <rPr>
        <rFont val="맑은 고딕"/>
        <color theme="1"/>
        <sz val="11.0"/>
      </rPr>
      <t>개인정보처리자는</t>
    </r>
    <r>
      <rPr>
        <rFont val="MS Mincho"/>
        <color theme="1"/>
        <sz val="11.0"/>
      </rPr>
      <t> </t>
    </r>
    <r>
      <rPr>
        <rFont val="맑은 고딕"/>
        <color theme="1"/>
        <sz val="11.0"/>
      </rPr>
      <t>관련</t>
    </r>
    <r>
      <rPr>
        <rFont val="MS Mincho"/>
        <color theme="1"/>
        <sz val="11.0"/>
      </rPr>
      <t> </t>
    </r>
    <r>
      <rPr>
        <rFont val="맑은 고딕"/>
        <color theme="1"/>
        <sz val="11.0"/>
      </rPr>
      <t>법령에</t>
    </r>
    <r>
      <rPr>
        <rFont val="MS Mincho"/>
        <color theme="1"/>
        <sz val="11.0"/>
      </rPr>
      <t> </t>
    </r>
    <r>
      <rPr>
        <rFont val="맑은 고딕"/>
        <color theme="1"/>
        <sz val="11.0"/>
      </rPr>
      <t>명시된</t>
    </r>
    <r>
      <rPr>
        <rFont val="MS Mincho"/>
        <color theme="1"/>
        <sz val="11.0"/>
      </rPr>
      <t> </t>
    </r>
    <r>
      <rPr>
        <rFont val="맑은 고딕"/>
        <color theme="1"/>
        <sz val="11.0"/>
      </rPr>
      <t>목적과</t>
    </r>
    <r>
      <rPr>
        <rFont val="MS Mincho"/>
        <color theme="1"/>
        <sz val="11.0"/>
      </rPr>
      <t> </t>
    </r>
    <r>
      <rPr>
        <rFont val="맑은 고딕"/>
        <color theme="1"/>
        <sz val="11.0"/>
      </rPr>
      <t>기준을</t>
    </r>
    <r>
      <rPr>
        <rFont val="MS Mincho"/>
        <color theme="1"/>
        <sz val="11.0"/>
      </rPr>
      <t> </t>
    </r>
    <r>
      <rPr>
        <rFont val="맑은 고딕"/>
        <color theme="1"/>
        <sz val="11.0"/>
      </rPr>
      <t>준수하여</t>
    </r>
    <r>
      <rPr>
        <rFont val="MS Mincho"/>
        <color theme="1"/>
        <sz val="11.0"/>
      </rPr>
      <t> </t>
    </r>
    <r>
      <rPr>
        <rFont val="맑은 고딕"/>
        <color theme="1"/>
        <sz val="11.0"/>
      </rPr>
      <t>가명처리를</t>
    </r>
    <r>
      <rPr>
        <rFont val="MS Mincho"/>
        <color theme="1"/>
        <sz val="11.0"/>
      </rPr>
      <t> </t>
    </r>
    <r>
      <rPr>
        <rFont val="맑은 고딕"/>
        <color theme="1"/>
        <sz val="11.0"/>
      </rPr>
      <t>해야</t>
    </r>
    <r>
      <rPr>
        <rFont val="MS Mincho"/>
        <color theme="1"/>
        <sz val="11.0"/>
      </rPr>
      <t> </t>
    </r>
    <r>
      <rPr>
        <rFont val="맑은 고딕"/>
        <color theme="1"/>
        <sz val="11.0"/>
      </rPr>
      <t>하며</t>
    </r>
    <r>
      <rPr>
        <rFont val="MS Mincho"/>
        <color theme="1"/>
        <sz val="11.0"/>
      </rPr>
      <t>, </t>
    </r>
    <r>
      <rPr>
        <rFont val="맑은 고딕"/>
        <color theme="1"/>
        <sz val="11.0"/>
      </rPr>
      <t>안전한</t>
    </r>
    <r>
      <rPr>
        <rFont val="MS Mincho"/>
        <color theme="1"/>
        <sz val="11.0"/>
      </rPr>
      <t> </t>
    </r>
    <r>
      <rPr>
        <rFont val="맑은 고딕"/>
        <color theme="1"/>
        <sz val="11.0"/>
      </rPr>
      <t>관리</t>
    </r>
    <r>
      <rPr>
        <rFont val="MS Mincho"/>
        <color theme="1"/>
        <sz val="11.0"/>
      </rPr>
      <t> </t>
    </r>
    <r>
      <rPr>
        <rFont val="맑은 고딕"/>
        <color theme="1"/>
        <sz val="11.0"/>
      </rPr>
      <t>절차를</t>
    </r>
    <r>
      <rPr>
        <rFont val="MS Mincho"/>
        <color theme="1"/>
        <sz val="11.0"/>
      </rPr>
      <t> </t>
    </r>
    <r>
      <rPr>
        <rFont val="맑은 고딕"/>
        <color theme="1"/>
        <sz val="11.0"/>
      </rPr>
      <t>통해</t>
    </r>
    <r>
      <rPr>
        <rFont val="MS Mincho"/>
        <color theme="1"/>
        <sz val="11.0"/>
      </rPr>
      <t> </t>
    </r>
    <r>
      <rPr>
        <rFont val="맑은 고딕"/>
        <color theme="1"/>
        <sz val="11.0"/>
      </rPr>
      <t>데이터가</t>
    </r>
    <r>
      <rPr>
        <rFont val="MS Mincho"/>
        <color theme="1"/>
        <sz val="11.0"/>
      </rPr>
      <t> </t>
    </r>
    <r>
      <rPr>
        <rFont val="맑은 고딕"/>
        <color theme="1"/>
        <sz val="11.0"/>
      </rPr>
      <t>오남용되지</t>
    </r>
    <r>
      <rPr>
        <rFont val="MS Mincho"/>
        <color theme="1"/>
        <sz val="11.0"/>
      </rPr>
      <t> </t>
    </r>
    <r>
      <rPr>
        <rFont val="맑은 고딕"/>
        <color theme="1"/>
        <sz val="11.0"/>
      </rPr>
      <t>않도록</t>
    </r>
    <r>
      <rPr>
        <rFont val="MS Mincho"/>
        <color theme="1"/>
        <sz val="11.0"/>
      </rPr>
      <t> </t>
    </r>
    <r>
      <rPr>
        <rFont val="맑은 고딕"/>
        <color theme="1"/>
        <sz val="11.0"/>
      </rPr>
      <t>보호해야</t>
    </r>
    <r>
      <rPr>
        <rFont val="MS Mincho"/>
        <color theme="1"/>
        <sz val="11.0"/>
      </rPr>
      <t> </t>
    </r>
    <r>
      <rPr>
        <rFont val="맑은 고딕"/>
        <color theme="1"/>
        <sz val="11.0"/>
      </rPr>
      <t>합니다</t>
    </r>
    <r>
      <rPr>
        <rFont val="MS Mincho"/>
        <color theme="1"/>
        <sz val="11.0"/>
      </rPr>
      <t xml:space="preserve">.
</t>
    </r>
    <r>
      <rPr>
        <rFont val="맑은 고딕"/>
        <color theme="1"/>
        <sz val="11.0"/>
      </rPr>
      <t>링크 : 가명정보</t>
    </r>
    <r>
      <rPr>
        <rFont val="Calibri"/>
        <color theme="1"/>
        <sz val="11.0"/>
      </rPr>
      <t> </t>
    </r>
    <r>
      <rPr>
        <rFont val="맑은 고딕"/>
        <color theme="1"/>
        <sz val="11.0"/>
      </rPr>
      <t>처리</t>
    </r>
    <r>
      <rPr>
        <rFont val="Calibri"/>
        <color theme="1"/>
        <sz val="11.0"/>
      </rPr>
      <t> </t>
    </r>
    <r>
      <rPr>
        <rFont val="맑은 고딕"/>
        <color theme="1"/>
        <sz val="11.0"/>
      </rPr>
      <t>가이드라인</t>
    </r>
    <r>
      <rPr>
        <rFont val="Calibri"/>
        <color theme="1"/>
        <sz val="11.0"/>
      </rPr>
      <t>(2024.2)</t>
    </r>
  </si>
  <si>
    <t>기대답변 :
 ○ 가명정보 처리가 가능한 목적 : 가명정보는 일반 개인정보와 달리, 정보주체 동의 없이 처리할 수 있는 목적이 법으로 제한되어 있다. 해당 범위는 다음 세 가지뿐이다.
 1. 통계작성
  - 행정·산업·사회 현상을 분석하기 위한 통계 산출 목적
  - 단순 내부 데이터 정리나 보관은 해당하지 않음.
 2. 과학적 연구
  - 새로운 지식·기술 개발, 검증 등 연구 목적
  - 연구 요건이 갖춰진 경우에 한정되며, 연구 명목 없는 ‘보유 목적 가명처리’는 허용되지 않음
 3. 공익적 기록보존
  - 국가·사회적 필요에 따라 기록물 보존이 요구되는 경우
  - 이 역시 목적이 설정돼 있어야 하며, 무목적 보관은 허용 근거가 되지 않음
 ○ 목적 외 처리는 불가
 1. 목적이 설정되지 않은 개인정보를 가명처리해 단순 보관하는 행위 → 법적 근거가 없음.
 (“가명정보 처리에 관한 특례”는 위 3개 목적일 때만 적용)
 2. 불특정 다수(제3자)에게 제공하는 경우 → 익명정보로 처리해야 함이 원칙.
 ○ 가명정보 결합 관련 제한
 1. 서로 다른 기관 간 가명정보 결합은 목적이 동일하더라도 지정된 전문기관에서만 수행 가능(보호법 제28조의3)
 2. 개인정보처리자가 임의로 결합하는 것은 허용되지 않음</t>
  </si>
  <si>
    <t>150_2402_빅데이터과_기타_개인정보보호위원회_가명정보_처리_가이드라인.pdf</t>
  </si>
  <si>
    <t>개인정보처리자는 통계작성, 과학적 연구, 공익적 기록보존 등을 위하여 정보주체의 동의 없이 
 가명정보를 이용, 제공, 결합 등 처리 할 수 있음(보호법 제28조의2 제1항, 제28조의3 제1항)
  ※ (주의) 「가명정보 처리에 관한 특례」에 따라 정보주체의 동의 없이 처리가 가능한 가명정보는 통계작성, 
 과학적 연구, 공익적 기록보존 등 목적에 한정되므로 처리 목적이 설정되지 않은 상황에서 보유하고 
 있는 개인정보를 가명처리하여 보관하는 것은 「가명정보 처리에 관한 특례」에 근거한 처리로 볼 수 없음
 ※ 불특정 제3자에게 제공하는 경우(공개 등) 익명정보로 처리하는 것을 원칙으로 함
 제28조의2(가명정보의 처리 등) ① 개인정보처리자는 통계작성, 과학적 연구, 공익적 기록보존 
 등을 위하여 정보주체의 동의 없이 가명정보를 처리할 수 있다.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t>
  </si>
  <si>
    <r>
      <rPr>
        <rFont val="맑은 고딕"/>
        <b/>
        <color theme="1"/>
        <sz val="11.0"/>
      </rPr>
      <t>150_2402_빅데이터과_기타_개인정보보호위원회_가명정보_처리_가이드라인.pdf[7]</t>
    </r>
    <r>
      <rPr>
        <rFont val="맑은 고딕"/>
        <color theme="1"/>
        <sz val="11.0"/>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</si>
  <si>
    <r>
      <rPr>
        <rFont val="맑은 고딕"/>
        <b/>
        <color theme="1"/>
        <sz val="11.0"/>
      </rPr>
      <t>150_2402_빅데이터과_기타_개인정보보호위원회_가명정보_처리_가이드라인.pdf[3]</t>
    </r>
    <r>
      <rPr>
        <rFont val="맑은 고딕"/>
        <color theme="1"/>
        <sz val="11.0"/>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rFont val="Yu Gothic"/>
        <color theme="1"/>
        <sz val="11.0"/>
      </rPr>
      <t>・</t>
    </r>
    <r>
      <rPr>
        <rFont val="맑은 고딕"/>
        <color theme="1"/>
        <sz val="11.0"/>
      </rPr>
      <t>개정 이력 개인정보보호 관련 법</t>
    </r>
    <r>
      <rPr>
        <rFont val="Yu Gothic"/>
        <color theme="1"/>
        <sz val="11.0"/>
      </rPr>
      <t>・</t>
    </r>
    <r>
      <rPr>
        <rFont val="맑은 고딕"/>
        <color theme="1"/>
        <sz val="11.0"/>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rFont val="Yu Gothic"/>
        <color theme="1"/>
        <sz val="11.0"/>
      </rPr>
      <t>・</t>
    </r>
    <r>
      <rPr>
        <rFont val="맑은 고딕"/>
        <color theme="1"/>
        <sz val="11.0"/>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</si>
  <si>
    <r>
      <rPr>
        <rFont val="맑은 고딕"/>
        <b/>
        <color theme="1"/>
        <sz val="11.0"/>
      </rPr>
      <t>150_2402_빅데이터과_기타_개인정보보호위원회_가명정보_처리_가이드라인.pdf[82]</t>
    </r>
    <r>
      <rPr>
        <rFont val="맑은 고딕"/>
        <color theme="1"/>
        <sz val="11.0"/>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</si>
  <si>
    <r>
      <rPr>
        <rFont val="Arial"/>
        <color rgb="FF000000"/>
        <sz val="11.0"/>
      </rPr>
      <t>가명정보</t>
    </r>
    <r>
      <rPr>
        <rFont val="MS Mincho"/>
        <color rgb="FF000000"/>
        <sz val="11.0"/>
      </rPr>
      <t> </t>
    </r>
    <r>
      <rPr>
        <rFont val="Arial"/>
        <color rgb="FF000000"/>
        <sz val="11.0"/>
      </rPr>
      <t>처리</t>
    </r>
    <r>
      <rPr>
        <rFont val="MS Mincho"/>
        <color rgb="FF000000"/>
        <sz val="11.0"/>
      </rPr>
      <t> </t>
    </r>
    <r>
      <rPr>
        <rFont val="Arial"/>
        <color rgb="FF000000"/>
        <sz val="11.0"/>
      </rPr>
      <t>시</t>
    </r>
    <r>
      <rPr>
        <rFont val="MS Mincho"/>
        <color rgb="FF000000"/>
        <sz val="11.0"/>
      </rPr>
      <t> </t>
    </r>
    <r>
      <rPr>
        <rFont val="Arial"/>
        <color rgb="FF000000"/>
        <sz val="11.0"/>
      </rPr>
      <t>개인정보</t>
    </r>
    <r>
      <rPr>
        <rFont val="MS Mincho"/>
        <color rgb="FF000000"/>
        <sz val="11.0"/>
      </rPr>
      <t> </t>
    </r>
    <r>
      <rPr>
        <rFont val="Arial"/>
        <color rgb="FF000000"/>
        <sz val="11.0"/>
      </rPr>
      <t>주체의</t>
    </r>
    <r>
      <rPr>
        <rFont val="MS Mincho"/>
        <color rgb="FF000000"/>
        <sz val="11.0"/>
      </rPr>
      <t> </t>
    </r>
    <r>
      <rPr>
        <rFont val="Arial"/>
        <color rgb="FF000000"/>
        <sz val="11.0"/>
      </rPr>
      <t>동의가</t>
    </r>
    <r>
      <rPr>
        <rFont val="MS Mincho"/>
        <color rgb="FF000000"/>
        <sz val="11.0"/>
      </rPr>
      <t> </t>
    </r>
    <r>
      <rPr>
        <rFont val="Arial"/>
        <color rgb="FF000000"/>
        <sz val="11.0"/>
      </rPr>
      <t>반드시</t>
    </r>
    <r>
      <rPr>
        <rFont val="MS Mincho"/>
        <color rgb="FF000000"/>
        <sz val="11.0"/>
      </rPr>
      <t> </t>
    </r>
    <r>
      <rPr>
        <rFont val="Arial"/>
        <color rgb="FF000000"/>
        <sz val="11.0"/>
      </rPr>
      <t>필요한가요</t>
    </r>
    <r>
      <rPr>
        <rFont val="MS Mincho"/>
        <color rgb="FF000000"/>
        <sz val="11.0"/>
      </rPr>
      <t>?</t>
    </r>
  </si>
  <si>
    <t>개인정보를 가명정보로 처리할 때, 관련 법령과 내부 지침에 따라 개인정보 주체의 동의가 반드시 필요한지, 필요하지 않은 경우 적용되는 조건과 절차는 무엇인가요?</t>
  </si>
  <si>
    <r>
      <rPr>
        <rFont val="맑은 고딕"/>
        <color theme="1"/>
        <sz val="11.0"/>
      </rPr>
      <t>가명정보</t>
    </r>
    <r>
      <rPr>
        <rFont val="Calibri"/>
        <color theme="1"/>
        <sz val="11.0"/>
      </rPr>
      <t xml:space="preserve"> </t>
    </r>
    <r>
      <rPr>
        <rFont val="맑은 고딕"/>
        <color theme="1"/>
        <sz val="11.0"/>
      </rPr>
      <t>처리</t>
    </r>
    <r>
      <rPr>
        <rFont val="Calibri"/>
        <color theme="1"/>
        <sz val="11.0"/>
      </rPr>
      <t xml:space="preserve"> </t>
    </r>
    <r>
      <rPr>
        <rFont val="맑은 고딕"/>
        <color theme="1"/>
        <sz val="11.0"/>
      </rPr>
      <t>시</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주체의</t>
    </r>
    <r>
      <rPr>
        <rFont val="Calibri"/>
        <color theme="1"/>
        <sz val="11.0"/>
      </rPr>
      <t xml:space="preserve"> </t>
    </r>
    <r>
      <rPr>
        <rFont val="맑은 고딕"/>
        <color theme="1"/>
        <sz val="11.0"/>
      </rPr>
      <t>동의가</t>
    </r>
    <r>
      <rPr>
        <rFont val="Calibri"/>
        <color theme="1"/>
        <sz val="11.0"/>
      </rPr>
      <t xml:space="preserve"> </t>
    </r>
    <r>
      <rPr>
        <rFont val="맑은 고딕"/>
        <color theme="1"/>
        <sz val="11.0"/>
      </rPr>
      <t>반드시</t>
    </r>
    <r>
      <rPr>
        <rFont val="Calibri"/>
        <color theme="1"/>
        <sz val="11.0"/>
      </rPr>
      <t xml:space="preserve"> </t>
    </r>
    <r>
      <rPr>
        <rFont val="맑은 고딕"/>
        <color theme="1"/>
        <sz val="11.0"/>
      </rPr>
      <t>필요한</t>
    </r>
    <r>
      <rPr>
        <rFont val="Calibri"/>
        <color theme="1"/>
        <sz val="11.0"/>
      </rPr>
      <t xml:space="preserve"> </t>
    </r>
    <r>
      <rPr>
        <rFont val="맑은 고딕"/>
        <color theme="1"/>
        <sz val="11.0"/>
      </rPr>
      <t>조건은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목적이</t>
    </r>
    <r>
      <rPr>
        <rFont val="Calibri"/>
        <color theme="1"/>
        <sz val="11.0"/>
      </rPr>
      <t xml:space="preserve"> </t>
    </r>
    <r>
      <rPr>
        <rFont val="맑은 고딕"/>
        <color theme="1"/>
        <sz val="11.0"/>
      </rPr>
      <t>법에서</t>
    </r>
    <r>
      <rPr>
        <rFont val="Calibri"/>
        <color theme="1"/>
        <sz val="11.0"/>
      </rPr>
      <t xml:space="preserve"> </t>
    </r>
    <r>
      <rPr>
        <rFont val="맑은 고딕"/>
        <color theme="1"/>
        <sz val="11.0"/>
      </rPr>
      <t>허용하는</t>
    </r>
    <r>
      <rPr>
        <rFont val="Calibri"/>
        <color theme="1"/>
        <sz val="11.0"/>
      </rPr>
      <t xml:space="preserve"> </t>
    </r>
    <r>
      <rPr>
        <rFont val="맑은 고딕"/>
        <color theme="1"/>
        <sz val="11.0"/>
      </rPr>
      <t>목적</t>
    </r>
    <r>
      <rPr>
        <rFont val="Calibri"/>
        <color theme="1"/>
        <sz val="11.0"/>
      </rPr>
      <t xml:space="preserve"> </t>
    </r>
    <r>
      <rPr>
        <rFont val="맑은 고딕"/>
        <color theme="1"/>
        <sz val="11.0"/>
      </rPr>
      <t>범위에</t>
    </r>
    <r>
      <rPr>
        <rFont val="Calibri"/>
        <color theme="1"/>
        <sz val="11.0"/>
      </rPr>
      <t xml:space="preserve"> </t>
    </r>
    <r>
      <rPr>
        <rFont val="맑은 고딕"/>
        <color theme="1"/>
        <sz val="11.0"/>
      </rPr>
      <t>해당하는</t>
    </r>
    <r>
      <rPr>
        <rFont val="Calibri"/>
        <color theme="1"/>
        <sz val="11.0"/>
      </rPr>
      <t xml:space="preserve"> </t>
    </r>
    <r>
      <rPr>
        <rFont val="맑은 고딕"/>
        <color theme="1"/>
        <sz val="11.0"/>
      </rPr>
      <t>경우입니다</t>
    </r>
    <r>
      <rPr>
        <rFont val="Calibri"/>
        <color theme="1"/>
        <sz val="11.0"/>
      </rPr>
      <t>.</t>
    </r>
  </si>
  <si>
    <r>
      <rPr>
        <rFont val="맑은 고딕"/>
        <color theme="1"/>
        <sz val="11.0"/>
      </rPr>
      <t>기대답변
원칙적으로</t>
    </r>
    <r>
      <rPr>
        <rFont val="MS Mincho"/>
        <color theme="1"/>
        <sz val="11.0"/>
      </rPr>
      <t> </t>
    </r>
    <r>
      <rPr>
        <rFont val="맑은 고딕"/>
        <color theme="1"/>
        <sz val="11.0"/>
      </rPr>
      <t>개인정보의</t>
    </r>
    <r>
      <rPr>
        <rFont val="MS Mincho"/>
        <color theme="1"/>
        <sz val="11.0"/>
      </rPr>
      <t> </t>
    </r>
    <r>
      <rPr>
        <rFont val="맑은 고딕"/>
        <color theme="1"/>
        <sz val="11.0"/>
      </rPr>
      <t>수집과</t>
    </r>
    <r>
      <rPr>
        <rFont val="MS Mincho"/>
        <color theme="1"/>
        <sz val="11.0"/>
      </rPr>
      <t> </t>
    </r>
    <r>
      <rPr>
        <rFont val="맑은 고딕"/>
        <color theme="1"/>
        <sz val="11.0"/>
      </rPr>
      <t>활용은</t>
    </r>
    <r>
      <rPr>
        <rFont val="MS Mincho"/>
        <color theme="1"/>
        <sz val="11.0"/>
      </rPr>
      <t> </t>
    </r>
    <r>
      <rPr>
        <rFont val="맑은 고딕"/>
        <color theme="1"/>
        <sz val="11.0"/>
      </rPr>
      <t>정보</t>
    </r>
    <r>
      <rPr>
        <rFont val="MS Mincho"/>
        <color theme="1"/>
        <sz val="11.0"/>
      </rPr>
      <t> </t>
    </r>
    <r>
      <rPr>
        <rFont val="맑은 고딕"/>
        <color theme="1"/>
        <sz val="11.0"/>
      </rPr>
      <t>주체의</t>
    </r>
    <r>
      <rPr>
        <rFont val="MS Mincho"/>
        <color theme="1"/>
        <sz val="11.0"/>
      </rPr>
      <t> </t>
    </r>
    <r>
      <rPr>
        <rFont val="맑은 고딕"/>
        <color theme="1"/>
        <sz val="11.0"/>
      </rPr>
      <t>동의를</t>
    </r>
    <r>
      <rPr>
        <rFont val="MS Mincho"/>
        <color theme="1"/>
        <sz val="11.0"/>
      </rPr>
      <t> </t>
    </r>
    <r>
      <rPr>
        <rFont val="맑은 고딕"/>
        <color theme="1"/>
        <sz val="11.0"/>
      </rPr>
      <t>받아야</t>
    </r>
    <r>
      <rPr>
        <rFont val="MS Mincho"/>
        <color theme="1"/>
        <sz val="11.0"/>
      </rPr>
      <t> </t>
    </r>
    <r>
      <rPr>
        <rFont val="맑은 고딕"/>
        <color theme="1"/>
        <sz val="11.0"/>
      </rPr>
      <t>하지만</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가명처리를</t>
    </r>
    <r>
      <rPr>
        <rFont val="MS Mincho"/>
        <color theme="1"/>
        <sz val="11.0"/>
      </rPr>
      <t> </t>
    </r>
    <r>
      <rPr>
        <rFont val="맑은 고딕"/>
        <color theme="1"/>
        <sz val="11.0"/>
      </rPr>
      <t>하는</t>
    </r>
    <r>
      <rPr>
        <rFont val="MS Mincho"/>
        <color theme="1"/>
        <sz val="11.0"/>
      </rPr>
      <t> </t>
    </r>
    <r>
      <rPr>
        <rFont val="맑은 고딕"/>
        <color theme="1"/>
        <sz val="11.0"/>
      </rPr>
      <t>경우에는</t>
    </r>
    <r>
      <rPr>
        <rFont val="MS Mincho"/>
        <color theme="1"/>
        <sz val="11.0"/>
      </rPr>
      <t> </t>
    </r>
    <r>
      <rPr>
        <rFont val="맑은 고딕"/>
        <color theme="1"/>
        <sz val="11.0"/>
      </rPr>
      <t>특정</t>
    </r>
    <r>
      <rPr>
        <rFont val="MS Mincho"/>
        <color theme="1"/>
        <sz val="11.0"/>
      </rPr>
      <t> </t>
    </r>
    <r>
      <rPr>
        <rFont val="맑은 고딕"/>
        <color theme="1"/>
        <sz val="11.0"/>
      </rPr>
      <t>목적</t>
    </r>
    <r>
      <rPr>
        <rFont val="MS Mincho"/>
        <color theme="1"/>
        <sz val="11.0"/>
      </rPr>
      <t>(</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t>
    </r>
    <r>
      <rPr>
        <rFont val="MS Mincho"/>
        <color theme="1"/>
        <sz val="11.0"/>
      </rPr>
      <t>)</t>
    </r>
    <r>
      <rPr>
        <rFont val="맑은 고딕"/>
        <color theme="1"/>
        <sz val="11.0"/>
      </rPr>
      <t>을</t>
    </r>
    <r>
      <rPr>
        <rFont val="MS Mincho"/>
        <color theme="1"/>
        <sz val="11.0"/>
      </rPr>
      <t> </t>
    </r>
    <r>
      <rPr>
        <rFont val="맑은 고딕"/>
        <color theme="1"/>
        <sz val="11.0"/>
      </rPr>
      <t>위해</t>
    </r>
    <r>
      <rPr>
        <rFont val="MS Mincho"/>
        <color theme="1"/>
        <sz val="11.0"/>
      </rPr>
      <t> </t>
    </r>
    <r>
      <rPr>
        <rFont val="맑은 고딕"/>
        <color theme="1"/>
        <sz val="11.0"/>
      </rPr>
      <t>개인정보</t>
    </r>
    <r>
      <rPr>
        <rFont val="MS Mincho"/>
        <color theme="1"/>
        <sz val="11.0"/>
      </rPr>
      <t> </t>
    </r>
    <r>
      <rPr>
        <rFont val="맑은 고딕"/>
        <color theme="1"/>
        <sz val="11.0"/>
      </rPr>
      <t>주체의</t>
    </r>
    <r>
      <rPr>
        <rFont val="MS Mincho"/>
        <color theme="1"/>
        <sz val="11.0"/>
      </rPr>
      <t> </t>
    </r>
    <r>
      <rPr>
        <rFont val="맑은 고딕"/>
        <color theme="1"/>
        <sz val="11.0"/>
      </rPr>
      <t>별도</t>
    </r>
    <r>
      <rPr>
        <rFont val="MS Mincho"/>
        <color theme="1"/>
        <sz val="11.0"/>
      </rPr>
      <t> </t>
    </r>
    <r>
      <rPr>
        <rFont val="맑은 고딕"/>
        <color theme="1"/>
        <sz val="11.0"/>
      </rPr>
      <t>동의</t>
    </r>
    <r>
      <rPr>
        <rFont val="MS Mincho"/>
        <color theme="1"/>
        <sz val="11.0"/>
      </rPr>
      <t> </t>
    </r>
    <r>
      <rPr>
        <rFont val="맑은 고딕"/>
        <color theme="1"/>
        <sz val="11.0"/>
      </rPr>
      <t>없이</t>
    </r>
    <r>
      <rPr>
        <rFont val="MS Mincho"/>
        <color theme="1"/>
        <sz val="11.0"/>
      </rPr>
      <t> </t>
    </r>
    <r>
      <rPr>
        <rFont val="맑은 고딕"/>
        <color theme="1"/>
        <sz val="11.0"/>
      </rPr>
      <t>가능합니다</t>
    </r>
    <r>
      <rPr>
        <rFont val="MS Mincho"/>
        <color theme="1"/>
        <sz val="11.0"/>
      </rPr>
      <t>. </t>
    </r>
    <r>
      <rPr>
        <rFont val="맑은 고딕"/>
        <color theme="1"/>
        <sz val="11.0"/>
      </rPr>
      <t>다만</t>
    </r>
    <r>
      <rPr>
        <rFont val="MS Mincho"/>
        <color theme="1"/>
        <sz val="11.0"/>
      </rPr>
      <t>, </t>
    </r>
    <r>
      <rPr>
        <rFont val="맑은 고딕"/>
        <color theme="1"/>
        <sz val="11.0"/>
      </rPr>
      <t>가명처리를</t>
    </r>
    <r>
      <rPr>
        <rFont val="MS Mincho"/>
        <color theme="1"/>
        <sz val="11.0"/>
      </rPr>
      <t> </t>
    </r>
    <r>
      <rPr>
        <rFont val="맑은 고딕"/>
        <color theme="1"/>
        <sz val="11.0"/>
      </rPr>
      <t>진행할</t>
    </r>
    <r>
      <rPr>
        <rFont val="MS Mincho"/>
        <color theme="1"/>
        <sz val="11.0"/>
      </rPr>
      <t> </t>
    </r>
    <r>
      <rPr>
        <rFont val="맑은 고딕"/>
        <color theme="1"/>
        <sz val="11.0"/>
      </rPr>
      <t>때는</t>
    </r>
    <r>
      <rPr>
        <rFont val="MS Mincho"/>
        <color theme="1"/>
        <sz val="11.0"/>
      </rPr>
      <t> </t>
    </r>
    <r>
      <rPr>
        <rFont val="맑은 고딕"/>
        <color theme="1"/>
        <sz val="11.0"/>
      </rPr>
      <t>개인정보</t>
    </r>
    <r>
      <rPr>
        <rFont val="MS Mincho"/>
        <color theme="1"/>
        <sz val="11.0"/>
      </rPr>
      <t> </t>
    </r>
    <r>
      <rPr>
        <rFont val="맑은 고딕"/>
        <color theme="1"/>
        <sz val="11.0"/>
      </rPr>
      <t>처리</t>
    </r>
    <r>
      <rPr>
        <rFont val="MS Mincho"/>
        <color theme="1"/>
        <sz val="11.0"/>
      </rPr>
      <t> </t>
    </r>
    <r>
      <rPr>
        <rFont val="맑은 고딕"/>
        <color theme="1"/>
        <sz val="11.0"/>
      </rPr>
      <t>과정이</t>
    </r>
    <r>
      <rPr>
        <rFont val="MS Mincho"/>
        <color theme="1"/>
        <sz val="11.0"/>
      </rPr>
      <t> </t>
    </r>
    <r>
      <rPr>
        <rFont val="맑은 고딕"/>
        <color theme="1"/>
        <sz val="11.0"/>
      </rPr>
      <t>명확하고</t>
    </r>
    <r>
      <rPr>
        <rFont val="MS Mincho"/>
        <color theme="1"/>
        <sz val="11.0"/>
      </rPr>
      <t> </t>
    </r>
    <r>
      <rPr>
        <rFont val="맑은 고딕"/>
        <color theme="1"/>
        <sz val="11.0"/>
      </rPr>
      <t>합법적인</t>
    </r>
    <r>
      <rPr>
        <rFont val="MS Mincho"/>
        <color theme="1"/>
        <sz val="11.0"/>
      </rPr>
      <t> </t>
    </r>
    <r>
      <rPr>
        <rFont val="맑은 고딕"/>
        <color theme="1"/>
        <sz val="11.0"/>
      </rPr>
      <t>목적에</t>
    </r>
    <r>
      <rPr>
        <rFont val="MS Mincho"/>
        <color theme="1"/>
        <sz val="11.0"/>
      </rPr>
      <t> </t>
    </r>
    <r>
      <rPr>
        <rFont val="맑은 고딕"/>
        <color theme="1"/>
        <sz val="11.0"/>
      </rPr>
      <t>부합하는지</t>
    </r>
    <r>
      <rPr>
        <rFont val="MS Mincho"/>
        <color theme="1"/>
        <sz val="11.0"/>
      </rPr>
      <t>, </t>
    </r>
    <r>
      <rPr>
        <rFont val="맑은 고딕"/>
        <color theme="1"/>
        <sz val="11.0"/>
      </rPr>
      <t>또한</t>
    </r>
    <r>
      <rPr>
        <rFont val="MS Mincho"/>
        <color theme="1"/>
        <sz val="11.0"/>
      </rPr>
      <t> </t>
    </r>
    <r>
      <rPr>
        <rFont val="맑은 고딕"/>
        <color theme="1"/>
        <sz val="11.0"/>
      </rPr>
      <t>안전성</t>
    </r>
    <r>
      <rPr>
        <rFont val="MS Mincho"/>
        <color theme="1"/>
        <sz val="11.0"/>
      </rPr>
      <t> </t>
    </r>
    <r>
      <rPr>
        <rFont val="맑은 고딕"/>
        <color theme="1"/>
        <sz val="11.0"/>
      </rPr>
      <t>확보를</t>
    </r>
    <r>
      <rPr>
        <rFont val="MS Mincho"/>
        <color theme="1"/>
        <sz val="11.0"/>
      </rPr>
      <t> </t>
    </r>
    <r>
      <rPr>
        <rFont val="맑은 고딕"/>
        <color theme="1"/>
        <sz val="11.0"/>
      </rPr>
      <t>위한</t>
    </r>
    <r>
      <rPr>
        <rFont val="MS Mincho"/>
        <color theme="1"/>
        <sz val="11.0"/>
      </rPr>
      <t> </t>
    </r>
    <r>
      <rPr>
        <rFont val="맑은 고딕"/>
        <color theme="1"/>
        <sz val="11.0"/>
      </rPr>
      <t>기술적</t>
    </r>
    <r>
      <rPr>
        <rFont val="MS Mincho"/>
        <color theme="1"/>
        <sz val="11.0"/>
      </rPr>
      <t>, </t>
    </r>
    <r>
      <rPr>
        <rFont val="맑은 고딕"/>
        <color theme="1"/>
        <sz val="11.0"/>
      </rPr>
      <t>관리적</t>
    </r>
    <r>
      <rPr>
        <rFont val="MS Mincho"/>
        <color theme="1"/>
        <sz val="11.0"/>
      </rPr>
      <t> </t>
    </r>
    <r>
      <rPr>
        <rFont val="맑은 고딕"/>
        <color theme="1"/>
        <sz val="11.0"/>
      </rPr>
      <t>조치가</t>
    </r>
    <r>
      <rPr>
        <rFont val="MS Mincho"/>
        <color theme="1"/>
        <sz val="11.0"/>
      </rPr>
      <t> </t>
    </r>
    <r>
      <rPr>
        <rFont val="맑은 고딕"/>
        <color theme="1"/>
        <sz val="11.0"/>
      </rPr>
      <t>충분히</t>
    </r>
    <r>
      <rPr>
        <rFont val="MS Mincho"/>
        <color theme="1"/>
        <sz val="11.0"/>
      </rPr>
      <t> </t>
    </r>
    <r>
      <rPr>
        <rFont val="맑은 고딕"/>
        <color theme="1"/>
        <sz val="11.0"/>
      </rPr>
      <t>마련되었는지</t>
    </r>
    <r>
      <rPr>
        <rFont val="MS Mincho"/>
        <color theme="1"/>
        <sz val="11.0"/>
      </rPr>
      <t> </t>
    </r>
    <r>
      <rPr>
        <rFont val="맑은 고딕"/>
        <color theme="1"/>
        <sz val="11.0"/>
      </rPr>
      <t>등의</t>
    </r>
    <r>
      <rPr>
        <rFont val="MS Mincho"/>
        <color theme="1"/>
        <sz val="11.0"/>
      </rPr>
      <t> </t>
    </r>
    <r>
      <rPr>
        <rFont val="맑은 고딕"/>
        <color theme="1"/>
        <sz val="11.0"/>
      </rPr>
      <t>조건을</t>
    </r>
    <r>
      <rPr>
        <rFont val="MS Mincho"/>
        <color theme="1"/>
        <sz val="11.0"/>
      </rPr>
      <t> </t>
    </r>
    <r>
      <rPr>
        <rFont val="맑은 고딕"/>
        <color theme="1"/>
        <sz val="11.0"/>
      </rPr>
      <t>충족해야</t>
    </r>
    <r>
      <rPr>
        <rFont val="MS Mincho"/>
        <color theme="1"/>
        <sz val="11.0"/>
      </rPr>
      <t> </t>
    </r>
    <r>
      <rPr>
        <rFont val="맑은 고딕"/>
        <color theme="1"/>
        <sz val="11.0"/>
      </rPr>
      <t>합니다</t>
    </r>
    <r>
      <rPr>
        <rFont val="MS Mincho"/>
        <color theme="1"/>
        <sz val="11.0"/>
      </rPr>
      <t xml:space="preserve">.
</t>
    </r>
    <r>
      <rPr>
        <rFont val="MS Mincho"/>
        <color theme="1"/>
        <sz val="11.0"/>
      </rPr>
      <t xml:space="preserve">
</t>
    </r>
    <r>
      <rPr>
        <rFont val="맑은 고딕"/>
        <color theme="1"/>
        <sz val="11.0"/>
      </rPr>
      <t>링크 : 가명정보</t>
    </r>
    <r>
      <rPr>
        <rFont val="MS Mincho"/>
        <color theme="1"/>
        <sz val="11.0"/>
      </rPr>
      <t> </t>
    </r>
    <r>
      <rPr>
        <rFont val="맑은 고딕"/>
        <color theme="1"/>
        <sz val="11.0"/>
      </rPr>
      <t>처리</t>
    </r>
    <r>
      <rPr>
        <rFont val="MS Mincho"/>
        <color theme="1"/>
        <sz val="11.0"/>
      </rPr>
      <t> </t>
    </r>
    <r>
      <rPr>
        <rFont val="맑은 고딕"/>
        <color theme="1"/>
        <sz val="11.0"/>
      </rPr>
      <t>가이드라인</t>
    </r>
    <r>
      <rPr>
        <rFont val="MS Mincho"/>
        <color theme="1"/>
        <sz val="11.0"/>
      </rPr>
      <t>(2024.2)</t>
    </r>
  </si>
  <si>
    <t>기대답변:
 가명정보 처리 시 개인정보 주체의 동의 필요 여부
 1. 동의가 필요하지 않은 경우
  - 법적 근거: 개인정보처리자는 통계작성, 과학적 연구, 공익적 기록보존 등을 위하여 정보주체의 동의 없이 가명정보를 이용, 제공, 결합 등 처리할 수 있습니다. (보호법 제28조의2 제1항, 제28조의3 제1항)
  - 적용 범위: 위의 목적에 해당하는 경우, 정보주체의 동의 없이도 가명정보 처리가 가능합니다.
 2. 주의사항
  - 처리 목적 설정: 가명정보 처리는 반드시 통계작성, 과학적 연구, 공익적 기록보존 등의 목적에 한정됩니다. 처리 목적이 설정되지 않은 상황에서 개인정보를 가명처리하여 보관하는 것은 허용되지 않습니다.
  - 불특정 제3자에게 제공 시: 불특정 제3자에게 제공하는 경우(공개 등)에는 익명정보로 처리하는 것을 원칙으로 합니다.
 3. 결론
  - 동의 불필요: 통계작성, 과학적 연구, 공익적 기록보존 등의 목적에 해당하는 가명정보 처리 시에는 정보주체의 동의가 반드시 필요하지 않습니다.
  - 목적 한정: 처리 목적이 설정되지 않은 상황에서 개인정보를 가명처리하여 보관하는 것은 허용되지 않습니다.
 이러한 규정에 따라 가명정보 처리를 통해 개인정보 보호와 데이터 활용의 균형을 유지할 수 있습니다.</t>
  </si>
  <si>
    <r>
      <rPr>
        <rFont val="맑은 고딕"/>
        <b/>
        <color theme="1"/>
        <sz val="11.0"/>
      </rPr>
      <t>150_2402_빅데이터과_기타_개인정보보호위원회_가명정보_처리_가이드라인.pdf[11]</t>
    </r>
    <r>
      <rPr>
        <rFont val="맑은 고딕"/>
        <color theme="1"/>
        <sz val="11.0"/>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rFont val="맑은 고딕"/>
        <color rgb="FFFF0000"/>
        <sz val="11.0"/>
      </rPr>
      <t xml:space="preserve"> 개 인정보처리자는 통계작성, 과학적 연구, 공익적 기록보존 등을 위하여 정보주체의 동의 없 가명정보를 이용, 제공, 결합 등 처리 할 수 있음</t>
    </r>
    <r>
      <rPr>
        <rFont val="맑은 고딕"/>
        <color theme="1"/>
        <sz val="11.0"/>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</si>
  <si>
    <r>
      <rPr>
        <rFont val="맑은 고딕"/>
        <b/>
        <color theme="1"/>
        <sz val="11.0"/>
      </rPr>
      <t>150_2402_빅데이터과_기타_개인정보보호위원회_가명정보_처리_가이드라인.pdf[39]</t>
    </r>
    <r>
      <rPr>
        <rFont val="맑은 고딕"/>
        <color theme="1"/>
        <sz val="11.0"/>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</si>
  <si>
    <r>
      <rPr>
        <rFont val="맑은 고딕"/>
        <b/>
        <color theme="1"/>
        <sz val="11.0"/>
      </rPr>
      <t>150_2402_빅데이터과_기타_개인정보보호위원회_가명정보_처리_가이드라인.pdf[239]</t>
    </r>
    <r>
      <rPr>
        <rFont val="맑은 고딕"/>
        <color theme="1"/>
        <sz val="11.0"/>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rFont val="맑은 고딕"/>
        <color rgb="FFFF0000"/>
        <sz val="11.0"/>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rFont val="맑은 고딕"/>
        <color theme="1"/>
        <sz val="11.0"/>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</si>
  <si>
    <r>
      <rPr>
        <rFont val="맑은 고딕"/>
        <color rgb="FF000000"/>
        <sz val="11.0"/>
      </rPr>
      <t>가명정보를</t>
    </r>
    <r>
      <rPr>
        <rFont val="MS Mincho"/>
        <color rgb="FF000000"/>
        <sz val="11.0"/>
      </rPr>
      <t> </t>
    </r>
    <r>
      <rPr>
        <rFont val="맑은 고딕"/>
        <color rgb="FF000000"/>
        <sz val="11.0"/>
      </rPr>
      <t>제</t>
    </r>
    <r>
      <rPr>
        <rFont val="MS Mincho"/>
        <color rgb="FF000000"/>
        <sz val="11.0"/>
      </rPr>
      <t>3</t>
    </r>
    <r>
      <rPr>
        <rFont val="맑은 고딕"/>
        <color rgb="FF000000"/>
        <sz val="11.0"/>
      </rPr>
      <t>자에게</t>
    </r>
    <r>
      <rPr>
        <rFont val="MS Mincho"/>
        <color rgb="FF000000"/>
        <sz val="11.0"/>
      </rPr>
      <t> </t>
    </r>
    <r>
      <rPr>
        <rFont val="맑은 고딕"/>
        <color rgb="FF000000"/>
        <sz val="11.0"/>
      </rPr>
      <t>제공할</t>
    </r>
    <r>
      <rPr>
        <rFont val="MS Mincho"/>
        <color rgb="FF000000"/>
        <sz val="11.0"/>
      </rPr>
      <t> </t>
    </r>
    <r>
      <rPr>
        <rFont val="맑은 고딕"/>
        <color rgb="FF000000"/>
        <sz val="11.0"/>
      </rPr>
      <t>때</t>
    </r>
    <r>
      <rPr>
        <rFont val="MS Mincho"/>
        <color rgb="FF000000"/>
        <sz val="11.0"/>
      </rPr>
      <t> </t>
    </r>
    <r>
      <rPr>
        <rFont val="맑은 고딕"/>
        <color rgb="FF000000"/>
        <sz val="11.0"/>
      </rPr>
      <t>특별한</t>
    </r>
    <r>
      <rPr>
        <rFont val="MS Mincho"/>
        <color rgb="FF000000"/>
        <sz val="11.0"/>
      </rPr>
      <t> </t>
    </r>
    <r>
      <rPr>
        <rFont val="맑은 고딕"/>
        <color rgb="FF000000"/>
        <sz val="11.0"/>
      </rPr>
      <t>조치가</t>
    </r>
    <r>
      <rPr>
        <rFont val="MS Mincho"/>
        <color rgb="FF000000"/>
        <sz val="11.0"/>
      </rPr>
      <t> </t>
    </r>
    <r>
      <rPr>
        <rFont val="맑은 고딕"/>
        <color rgb="FF000000"/>
        <sz val="11.0"/>
      </rPr>
      <t>필요한가요</t>
    </r>
    <r>
      <rPr>
        <rFont val="MS Mincho"/>
        <color rgb="FF000000"/>
        <sz val="11.0"/>
      </rPr>
      <t>?</t>
    </r>
  </si>
  <si>
    <t>개인정보를 가명정보로 처리한 후 제3자에게 제공할 때, 관련 법령과 내부 지침에서 요구하는 안전조치, 계약 체결, 관리·감독 절차 등 특별한 조치는 무엇인가요?</t>
  </si>
  <si>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관리</t>
    </r>
    <r>
      <rPr>
        <rFont val="Calibri"/>
        <color theme="1"/>
        <sz val="11.0"/>
      </rPr>
      <t>·</t>
    </r>
    <r>
      <rPr>
        <rFont val="맑은 고딕"/>
        <color theme="1"/>
        <sz val="11.0"/>
      </rPr>
      <t>감독</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등의</t>
    </r>
    <r>
      <rPr>
        <rFont val="Calibri"/>
        <color theme="1"/>
        <sz val="11.0"/>
      </rPr>
      <t xml:space="preserve"> </t>
    </r>
    <r>
      <rPr>
        <rFont val="맑은 고딕"/>
        <color theme="1"/>
        <sz val="11.0"/>
      </rPr>
      <t>조치가</t>
    </r>
    <r>
      <rPr>
        <rFont val="Calibri"/>
        <color theme="1"/>
        <sz val="11.0"/>
      </rPr>
      <t xml:space="preserve"> </t>
    </r>
    <r>
      <rPr>
        <rFont val="맑은 고딕"/>
        <color theme="1"/>
        <sz val="11.0"/>
      </rPr>
      <t>필요합니다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처리하거나</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법</t>
    </r>
    <r>
      <rPr>
        <rFont val="Calibri"/>
        <color theme="1"/>
        <sz val="11.0"/>
      </rPr>
      <t xml:space="preserve"> </t>
    </r>
    <r>
      <rPr>
        <rFont val="맑은 고딕"/>
        <color theme="1"/>
        <sz val="11.0"/>
      </rPr>
      <t>시행령</t>
    </r>
    <r>
      <rPr>
        <rFont val="Calibri"/>
        <color theme="1"/>
        <sz val="11.0"/>
      </rPr>
      <t xml:space="preserve"> </t>
    </r>
    <r>
      <rPr>
        <rFont val="맑은 고딕"/>
        <color theme="1"/>
        <sz val="11.0"/>
      </rPr>
      <t>제</t>
    </r>
    <r>
      <rPr>
        <rFont val="Calibri"/>
        <color theme="1"/>
        <sz val="11.0"/>
      </rPr>
      <t>30</t>
    </r>
    <r>
      <rPr>
        <rFont val="맑은 고딕"/>
        <color theme="1"/>
        <sz val="11.0"/>
      </rPr>
      <t>조에</t>
    </r>
    <r>
      <rPr>
        <rFont val="Calibri"/>
        <color theme="1"/>
        <sz val="11.0"/>
      </rPr>
      <t xml:space="preserve"> </t>
    </r>
    <r>
      <rPr>
        <rFont val="맑은 고딕"/>
        <color theme="1"/>
        <sz val="11.0"/>
      </rPr>
      <t>따른</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조치를</t>
    </r>
    <r>
      <rPr>
        <rFont val="Calibri"/>
        <color theme="1"/>
        <sz val="11.0"/>
      </rPr>
      <t xml:space="preserve"> </t>
    </r>
    <r>
      <rPr>
        <rFont val="맑은 고딕"/>
        <color theme="1"/>
        <sz val="11.0"/>
      </rPr>
      <t>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특정</t>
    </r>
    <r>
      <rPr>
        <rFont val="Calibri"/>
        <color theme="1"/>
        <sz val="11.0"/>
      </rPr>
      <t xml:space="preserve"> </t>
    </r>
    <r>
      <rPr>
        <rFont val="맑은 고딕"/>
        <color theme="1"/>
        <sz val="11.0"/>
      </rPr>
      <t>개인을</t>
    </r>
    <r>
      <rPr>
        <rFont val="Calibri"/>
        <color theme="1"/>
        <sz val="11.0"/>
      </rPr>
      <t xml:space="preserve"> </t>
    </r>
    <r>
      <rPr>
        <rFont val="맑은 고딕"/>
        <color theme="1"/>
        <sz val="11.0"/>
      </rPr>
      <t>알아볼</t>
    </r>
    <r>
      <rPr>
        <rFont val="Calibri"/>
        <color theme="1"/>
        <sz val="11.0"/>
      </rPr>
      <t xml:space="preserve"> </t>
    </r>
    <r>
      <rPr>
        <rFont val="맑은 고딕"/>
        <color theme="1"/>
        <sz val="11.0"/>
      </rPr>
      <t>수</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포함해서는</t>
    </r>
    <r>
      <rPr>
        <rFont val="Calibri"/>
        <color theme="1"/>
        <sz val="11.0"/>
      </rPr>
      <t xml:space="preserve"> </t>
    </r>
    <r>
      <rPr>
        <rFont val="맑은 고딕"/>
        <color theme="1"/>
        <sz val="11.0"/>
      </rPr>
      <t>안</t>
    </r>
    <r>
      <rPr>
        <rFont val="Calibri"/>
        <color theme="1"/>
        <sz val="11.0"/>
      </rPr>
      <t xml:space="preserve"> </t>
    </r>
    <r>
      <rPr>
        <rFont val="맑은 고딕"/>
        <color theme="1"/>
        <sz val="11.0"/>
      </rPr>
      <t>됩니다</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필요에</t>
    </r>
    <r>
      <rPr>
        <rFont val="Calibri"/>
        <color theme="1"/>
        <sz val="11.0"/>
      </rPr>
      <t xml:space="preserve"> </t>
    </r>
    <r>
      <rPr>
        <rFont val="맑은 고딕"/>
        <color theme="1"/>
        <sz val="11.0"/>
      </rPr>
      <t>따라</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처리</t>
    </r>
    <r>
      <rPr>
        <rFont val="Calibri"/>
        <color theme="1"/>
        <sz val="11.0"/>
      </rPr>
      <t xml:space="preserve"> </t>
    </r>
    <r>
      <rPr>
        <rFont val="맑은 고딕"/>
        <color theme="1"/>
        <sz val="11.0"/>
      </rPr>
      <t>기록</t>
    </r>
    <r>
      <rPr>
        <rFont val="Calibri"/>
        <color theme="1"/>
        <sz val="11.0"/>
      </rPr>
      <t xml:space="preserve"> </t>
    </r>
    <r>
      <rPr>
        <rFont val="맑은 고딕"/>
        <color theme="1"/>
        <sz val="11.0"/>
      </rPr>
      <t>작성</t>
    </r>
    <r>
      <rPr>
        <rFont val="Calibri"/>
        <color theme="1"/>
        <sz val="11.0"/>
      </rPr>
      <t xml:space="preserve"> </t>
    </r>
    <r>
      <rPr>
        <rFont val="맑은 고딕"/>
        <color theme="1"/>
        <sz val="11.0"/>
      </rPr>
      <t>및</t>
    </r>
    <r>
      <rPr>
        <rFont val="Calibri"/>
        <color theme="1"/>
        <sz val="11.0"/>
      </rPr>
      <t xml:space="preserve"> </t>
    </r>
    <r>
      <rPr>
        <rFont val="맑은 고딕"/>
        <color theme="1"/>
        <sz val="11.0"/>
      </rPr>
      <t>보관</t>
    </r>
    <r>
      <rPr>
        <rFont val="Calibri"/>
        <color theme="1"/>
        <sz val="11.0"/>
      </rPr>
      <t xml:space="preserve">, </t>
    </r>
    <r>
      <rPr>
        <rFont val="맑은 고딕"/>
        <color theme="1"/>
        <sz val="11.0"/>
      </rPr>
      <t>파기</t>
    </r>
    <r>
      <rPr>
        <rFont val="Calibri"/>
        <color theme="1"/>
        <sz val="11.0"/>
      </rPr>
      <t xml:space="preserve">, </t>
    </r>
    <r>
      <rPr>
        <rFont val="맑은 고딕"/>
        <color theme="1"/>
        <sz val="11.0"/>
      </rPr>
      <t>재식별</t>
    </r>
    <r>
      <rPr>
        <rFont val="Calibri"/>
        <color theme="1"/>
        <sz val="11.0"/>
      </rPr>
      <t xml:space="preserve"> </t>
    </r>
    <r>
      <rPr>
        <rFont val="맑은 고딕"/>
        <color theme="1"/>
        <sz val="11.0"/>
      </rPr>
      <t>시</t>
    </r>
    <r>
      <rPr>
        <rFont val="Calibri"/>
        <color theme="1"/>
        <sz val="11.0"/>
      </rPr>
      <t xml:space="preserve"> </t>
    </r>
    <r>
      <rPr>
        <rFont val="맑은 고딕"/>
        <color theme="1"/>
        <sz val="11.0"/>
      </rPr>
      <t>책임</t>
    </r>
    <r>
      <rPr>
        <rFont val="Calibri"/>
        <color theme="1"/>
        <sz val="11.0"/>
      </rPr>
      <t xml:space="preserve"> </t>
    </r>
    <r>
      <rPr>
        <rFont val="맑은 고딕"/>
        <color theme="1"/>
        <sz val="11.0"/>
      </rPr>
      <t>및</t>
    </r>
    <r>
      <rPr>
        <rFont val="Calibri"/>
        <color theme="1"/>
        <sz val="11.0"/>
      </rPr>
      <t xml:space="preserve"> </t>
    </r>
    <r>
      <rPr>
        <rFont val="맑은 고딕"/>
        <color theme="1"/>
        <sz val="11.0"/>
      </rPr>
      <t>손해배상</t>
    </r>
    <r>
      <rPr>
        <rFont val="Calibri"/>
        <color theme="1"/>
        <sz val="11.0"/>
      </rPr>
      <t xml:space="preserve"> </t>
    </r>
    <r>
      <rPr>
        <rFont val="맑은 고딕"/>
        <color theme="1"/>
        <sz val="11.0"/>
      </rPr>
      <t>등을</t>
    </r>
    <r>
      <rPr>
        <rFont val="Calibri"/>
        <color theme="1"/>
        <sz val="11.0"/>
      </rPr>
      <t xml:space="preserve"> </t>
    </r>
    <r>
      <rPr>
        <rFont val="맑은 고딕"/>
        <color theme="1"/>
        <sz val="11.0"/>
      </rPr>
      <t>포함한</t>
    </r>
    <r>
      <rPr>
        <rFont val="Calibri"/>
        <color theme="1"/>
        <sz val="11.0"/>
      </rPr>
      <t xml:space="preserve"> </t>
    </r>
    <r>
      <rPr>
        <rFont val="맑은 고딕"/>
        <color theme="1"/>
        <sz val="11.0"/>
      </rPr>
      <t>계약서를</t>
    </r>
    <r>
      <rPr>
        <rFont val="Calibri"/>
        <color theme="1"/>
        <sz val="11.0"/>
      </rPr>
      <t xml:space="preserve"> </t>
    </r>
    <r>
      <rPr>
        <rFont val="맑은 고딕"/>
        <color theme="1"/>
        <sz val="11.0"/>
      </rPr>
      <t>작성할</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처리를</t>
    </r>
    <r>
      <rPr>
        <rFont val="Calibri"/>
        <color theme="1"/>
        <sz val="11.0"/>
      </rPr>
      <t xml:space="preserve"> </t>
    </r>
    <r>
      <rPr>
        <rFont val="맑은 고딕"/>
        <color theme="1"/>
        <sz val="11.0"/>
      </rPr>
      <t>위탁하는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업무</t>
    </r>
    <r>
      <rPr>
        <rFont val="Calibri"/>
        <color theme="1"/>
        <sz val="11.0"/>
      </rPr>
      <t xml:space="preserve"> </t>
    </r>
    <r>
      <rPr>
        <rFont val="맑은 고딕"/>
        <color theme="1"/>
        <sz val="11.0"/>
      </rPr>
      <t>공개</t>
    </r>
    <r>
      <rPr>
        <rFont val="Calibri"/>
        <color theme="1"/>
        <sz val="11.0"/>
      </rPr>
      <t xml:space="preserve">, </t>
    </r>
    <r>
      <rPr>
        <rFont val="맑은 고딕"/>
        <color theme="1"/>
        <sz val="11.0"/>
      </rPr>
      <t>수탁사에</t>
    </r>
    <r>
      <rPr>
        <rFont val="Calibri"/>
        <color theme="1"/>
        <sz val="11.0"/>
      </rPr>
      <t xml:space="preserve"> </t>
    </r>
    <r>
      <rPr>
        <rFont val="맑은 고딕"/>
        <color theme="1"/>
        <sz val="11.0"/>
      </rPr>
      <t>대한</t>
    </r>
    <r>
      <rPr>
        <rFont val="Calibri"/>
        <color theme="1"/>
        <sz val="11.0"/>
      </rPr>
      <t xml:space="preserve"> </t>
    </r>
    <r>
      <rPr>
        <rFont val="맑은 고딕"/>
        <color theme="1"/>
        <sz val="11.0"/>
      </rPr>
      <t>관리</t>
    </r>
    <r>
      <rPr>
        <rFont val="Calibri"/>
        <color theme="1"/>
        <sz val="11.0"/>
      </rPr>
      <t>·</t>
    </r>
    <r>
      <rPr>
        <rFont val="맑은 고딕"/>
        <color theme="1"/>
        <sz val="11.0"/>
      </rPr>
      <t>감독에</t>
    </r>
    <r>
      <rPr>
        <rFont val="Calibri"/>
        <color theme="1"/>
        <sz val="11.0"/>
      </rPr>
      <t xml:space="preserve"> </t>
    </r>
    <r>
      <rPr>
        <rFont val="맑은 고딕"/>
        <color theme="1"/>
        <sz val="11.0"/>
      </rPr>
      <t>관한</t>
    </r>
    <r>
      <rPr>
        <rFont val="Calibri"/>
        <color theme="1"/>
        <sz val="11.0"/>
      </rPr>
      <t xml:space="preserve"> </t>
    </r>
    <r>
      <rPr>
        <rFont val="맑은 고딕"/>
        <color theme="1"/>
        <sz val="11.0"/>
      </rPr>
      <t>사항</t>
    </r>
    <r>
      <rPr>
        <rFont val="Calibri"/>
        <color theme="1"/>
        <sz val="11.0"/>
      </rPr>
      <t xml:space="preserve"> </t>
    </r>
    <r>
      <rPr>
        <rFont val="맑은 고딕"/>
        <color theme="1"/>
        <sz val="11.0"/>
      </rPr>
      <t>등을</t>
    </r>
    <r>
      <rPr>
        <rFont val="Calibri"/>
        <color theme="1"/>
        <sz val="11.0"/>
      </rPr>
      <t xml:space="preserve"> </t>
    </r>
    <r>
      <rPr>
        <rFont val="맑은 고딕"/>
        <color theme="1"/>
        <sz val="11.0"/>
      </rPr>
      <t>확인하여야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활용</t>
    </r>
    <r>
      <rPr>
        <rFont val="Calibri"/>
        <color theme="1"/>
        <sz val="11.0"/>
      </rPr>
      <t xml:space="preserve"> </t>
    </r>
    <r>
      <rPr>
        <rFont val="맑은 고딕"/>
        <color theme="1"/>
        <sz val="11.0"/>
      </rPr>
      <t>및</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등에</t>
    </r>
    <r>
      <rPr>
        <rFont val="Calibri"/>
        <color theme="1"/>
        <sz val="11.0"/>
      </rPr>
      <t xml:space="preserve"> </t>
    </r>
    <r>
      <rPr>
        <rFont val="맑은 고딕"/>
        <color theme="1"/>
        <sz val="11.0"/>
      </rPr>
      <t>대해</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절차를</t>
    </r>
    <r>
      <rPr>
        <rFont val="Calibri"/>
        <color theme="1"/>
        <sz val="11.0"/>
      </rPr>
      <t xml:space="preserve"> </t>
    </r>
    <r>
      <rPr>
        <rFont val="맑은 고딕"/>
        <color theme="1"/>
        <sz val="11.0"/>
      </rPr>
      <t>별도로</t>
    </r>
    <r>
      <rPr>
        <rFont val="Calibri"/>
        <color theme="1"/>
        <sz val="11.0"/>
      </rPr>
      <t xml:space="preserve"> </t>
    </r>
    <r>
      <rPr>
        <rFont val="맑은 고딕"/>
        <color theme="1"/>
        <sz val="11.0"/>
      </rPr>
      <t>두고</t>
    </r>
    <r>
      <rPr>
        <rFont val="Calibri"/>
        <color theme="1"/>
        <sz val="11.0"/>
      </rPr>
      <t xml:space="preserve"> </t>
    </r>
    <r>
      <rPr>
        <rFont val="맑은 고딕"/>
        <color theme="1"/>
        <sz val="11.0"/>
      </rPr>
      <t>있는</t>
    </r>
    <r>
      <rPr>
        <rFont val="Calibri"/>
        <color theme="1"/>
        <sz val="11.0"/>
      </rPr>
      <t xml:space="preserve"> </t>
    </r>
    <r>
      <rPr>
        <rFont val="맑은 고딕"/>
        <color theme="1"/>
        <sz val="11.0"/>
      </rPr>
      <t>경우</t>
    </r>
    <r>
      <rPr>
        <rFont val="Calibri"/>
        <color theme="1"/>
        <sz val="11.0"/>
      </rPr>
      <t xml:space="preserve">, </t>
    </r>
    <r>
      <rPr>
        <rFont val="맑은 고딕"/>
        <color theme="1"/>
        <sz val="11.0"/>
      </rPr>
      <t>해당</t>
    </r>
    <r>
      <rPr>
        <rFont val="Calibri"/>
        <color theme="1"/>
        <sz val="11.0"/>
      </rPr>
      <t xml:space="preserve"> </t>
    </r>
    <r>
      <rPr>
        <rFont val="맑은 고딕"/>
        <color theme="1"/>
        <sz val="11.0"/>
      </rPr>
      <t>절차를</t>
    </r>
    <r>
      <rPr>
        <rFont val="Calibri"/>
        <color theme="1"/>
        <sz val="11.0"/>
      </rPr>
      <t xml:space="preserve"> </t>
    </r>
    <r>
      <rPr>
        <rFont val="맑은 고딕"/>
        <color theme="1"/>
        <sz val="11.0"/>
      </rPr>
      <t>진행하여야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</si>
  <si>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가명정보를</t>
    </r>
    <r>
      <rPr>
        <rFont val="MS Mincho"/>
        <color theme="1"/>
        <sz val="11.0"/>
      </rPr>
      <t> </t>
    </r>
    <r>
      <rPr>
        <rFont val="맑은 고딕"/>
        <color theme="1"/>
        <sz val="11.0"/>
      </rPr>
      <t>제</t>
    </r>
    <r>
      <rPr>
        <rFont val="MS Mincho"/>
        <color theme="1"/>
        <sz val="11.0"/>
      </rPr>
      <t>3</t>
    </r>
    <r>
      <rPr>
        <rFont val="맑은 고딕"/>
        <color theme="1"/>
        <sz val="11.0"/>
      </rPr>
      <t>자에게</t>
    </r>
    <r>
      <rPr>
        <rFont val="MS Mincho"/>
        <color theme="1"/>
        <sz val="11.0"/>
      </rPr>
      <t> </t>
    </r>
    <r>
      <rPr>
        <rFont val="맑은 고딕"/>
        <color theme="1"/>
        <sz val="11.0"/>
      </rPr>
      <t>제공할</t>
    </r>
    <r>
      <rPr>
        <rFont val="MS Mincho"/>
        <color theme="1"/>
        <sz val="11.0"/>
      </rPr>
      <t> </t>
    </r>
    <r>
      <rPr>
        <rFont val="맑은 고딕"/>
        <color theme="1"/>
        <sz val="11.0"/>
      </rPr>
      <t>때는</t>
    </r>
    <r>
      <rPr>
        <rFont val="MS Mincho"/>
        <color theme="1"/>
        <sz val="11.0"/>
      </rPr>
      <t> </t>
    </r>
    <r>
      <rPr>
        <rFont val="맑은 고딕"/>
        <color theme="1"/>
        <sz val="11.0"/>
      </rPr>
      <t>추가적인</t>
    </r>
    <r>
      <rPr>
        <rFont val="MS Mincho"/>
        <color theme="1"/>
        <sz val="11.0"/>
      </rPr>
      <t> </t>
    </r>
    <r>
      <rPr>
        <rFont val="맑은 고딕"/>
        <color theme="1"/>
        <sz val="11.0"/>
      </rPr>
      <t>가명처리를</t>
    </r>
    <r>
      <rPr>
        <rFont val="MS Mincho"/>
        <color theme="1"/>
        <sz val="11.0"/>
      </rPr>
      <t> </t>
    </r>
    <r>
      <rPr>
        <rFont val="맑은 고딕"/>
        <color theme="1"/>
        <sz val="11.0"/>
      </rPr>
      <t>통해</t>
    </r>
    <r>
      <rPr>
        <rFont val="MS Mincho"/>
        <color theme="1"/>
        <sz val="11.0"/>
      </rPr>
      <t> </t>
    </r>
    <r>
      <rPr>
        <rFont val="맑은 고딕"/>
        <color theme="1"/>
        <sz val="11.0"/>
      </rPr>
      <t>데이터에서</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식별할</t>
    </r>
    <r>
      <rPr>
        <rFont val="MS Mincho"/>
        <color theme="1"/>
        <sz val="11.0"/>
      </rPr>
      <t> </t>
    </r>
    <r>
      <rPr>
        <rFont val="맑은 고딕"/>
        <color theme="1"/>
        <sz val="11.0"/>
      </rPr>
      <t>가능성을</t>
    </r>
    <r>
      <rPr>
        <rFont val="MS Mincho"/>
        <color theme="1"/>
        <sz val="11.0"/>
      </rPr>
      <t> </t>
    </r>
    <r>
      <rPr>
        <rFont val="맑은 고딕"/>
        <color theme="1"/>
        <sz val="11.0"/>
      </rPr>
      <t>최소화하는</t>
    </r>
    <r>
      <rPr>
        <rFont val="MS Mincho"/>
        <color theme="1"/>
        <sz val="11.0"/>
      </rPr>
      <t> </t>
    </r>
    <r>
      <rPr>
        <rFont val="맑은 고딕"/>
        <color theme="1"/>
        <sz val="11.0"/>
      </rPr>
      <t>절차가</t>
    </r>
    <r>
      <rPr>
        <rFont val="MS Mincho"/>
        <color theme="1"/>
        <sz val="11.0"/>
      </rPr>
      <t> </t>
    </r>
    <r>
      <rPr>
        <rFont val="맑은 고딕"/>
        <color theme="1"/>
        <sz val="11.0"/>
      </rPr>
      <t>반드시</t>
    </r>
    <r>
      <rPr>
        <rFont val="MS Mincho"/>
        <color theme="1"/>
        <sz val="11.0"/>
      </rPr>
      <t> </t>
    </r>
    <r>
      <rPr>
        <rFont val="맑은 고딕"/>
        <color theme="1"/>
        <sz val="11.0"/>
      </rPr>
      <t>이루어져야</t>
    </r>
    <r>
      <rPr>
        <rFont val="MS Mincho"/>
        <color theme="1"/>
        <sz val="11.0"/>
      </rPr>
      <t> </t>
    </r>
    <r>
      <rPr>
        <rFont val="맑은 고딕"/>
        <color theme="1"/>
        <sz val="11.0"/>
      </rPr>
      <t>합니다</t>
    </r>
    <r>
      <rPr>
        <rFont val="MS Mincho"/>
        <color theme="1"/>
        <sz val="11.0"/>
      </rPr>
      <t>. </t>
    </r>
    <r>
      <rPr>
        <rFont val="맑은 고딕"/>
        <color theme="1"/>
        <sz val="11.0"/>
      </rPr>
      <t>이와</t>
    </r>
    <r>
      <rPr>
        <rFont val="MS Mincho"/>
        <color theme="1"/>
        <sz val="11.0"/>
      </rPr>
      <t> </t>
    </r>
    <r>
      <rPr>
        <rFont val="맑은 고딕"/>
        <color theme="1"/>
        <sz val="11.0"/>
      </rPr>
      <t>함께</t>
    </r>
    <r>
      <rPr>
        <rFont val="MS Mincho"/>
        <color theme="1"/>
        <sz val="11.0"/>
      </rPr>
      <t> </t>
    </r>
    <r>
      <rPr>
        <rFont val="맑은 고딕"/>
        <color theme="1"/>
        <sz val="11.0"/>
      </rPr>
      <t>가명정보의</t>
    </r>
    <r>
      <rPr>
        <rFont val="MS Mincho"/>
        <color theme="1"/>
        <sz val="11.0"/>
      </rPr>
      <t> </t>
    </r>
    <r>
      <rPr>
        <rFont val="맑은 고딕"/>
        <color theme="1"/>
        <sz val="11.0"/>
      </rPr>
      <t>제공</t>
    </r>
    <r>
      <rPr>
        <rFont val="MS Mincho"/>
        <color theme="1"/>
        <sz val="11.0"/>
      </rPr>
      <t> </t>
    </r>
    <r>
      <rPr>
        <rFont val="맑은 고딕"/>
        <color theme="1"/>
        <sz val="11.0"/>
      </rPr>
      <t>목적</t>
    </r>
    <r>
      <rPr>
        <rFont val="MS Mincho"/>
        <color theme="1"/>
        <sz val="11.0"/>
      </rPr>
      <t>, </t>
    </r>
    <r>
      <rPr>
        <rFont val="맑은 고딕"/>
        <color theme="1"/>
        <sz val="11.0"/>
      </rPr>
      <t>제공받는</t>
    </r>
    <r>
      <rPr>
        <rFont val="MS Mincho"/>
        <color theme="1"/>
        <sz val="11.0"/>
      </rPr>
      <t> </t>
    </r>
    <r>
      <rPr>
        <rFont val="맑은 고딕"/>
        <color theme="1"/>
        <sz val="11.0"/>
      </rPr>
      <t>자의</t>
    </r>
    <r>
      <rPr>
        <rFont val="MS Mincho"/>
        <color theme="1"/>
        <sz val="11.0"/>
      </rPr>
      <t> </t>
    </r>
    <r>
      <rPr>
        <rFont val="맑은 고딕"/>
        <color theme="1"/>
        <sz val="11.0"/>
      </rPr>
      <t>안전</t>
    </r>
    <r>
      <rPr>
        <rFont val="MS Mincho"/>
        <color theme="1"/>
        <sz val="11.0"/>
      </rPr>
      <t> </t>
    </r>
    <r>
      <rPr>
        <rFont val="맑은 고딕"/>
        <color theme="1"/>
        <sz val="11.0"/>
      </rPr>
      <t>관리</t>
    </r>
    <r>
      <rPr>
        <rFont val="MS Mincho"/>
        <color theme="1"/>
        <sz val="11.0"/>
      </rPr>
      <t> </t>
    </r>
    <r>
      <rPr>
        <rFont val="맑은 고딕"/>
        <color theme="1"/>
        <sz val="11.0"/>
      </rPr>
      <t>능력</t>
    </r>
    <r>
      <rPr>
        <rFont val="MS Mincho"/>
        <color theme="1"/>
        <sz val="11.0"/>
      </rPr>
      <t> </t>
    </r>
    <r>
      <rPr>
        <rFont val="맑은 고딕"/>
        <color theme="1"/>
        <sz val="11.0"/>
      </rPr>
      <t>확인</t>
    </r>
    <r>
      <rPr>
        <rFont val="MS Mincho"/>
        <color theme="1"/>
        <sz val="11.0"/>
      </rPr>
      <t>, </t>
    </r>
    <r>
      <rPr>
        <rFont val="맑은 고딕"/>
        <color theme="1"/>
        <sz val="11.0"/>
      </rPr>
      <t>추가적인</t>
    </r>
    <r>
      <rPr>
        <rFont val="MS Mincho"/>
        <color theme="1"/>
        <sz val="11.0"/>
      </rPr>
      <t> </t>
    </r>
    <r>
      <rPr>
        <rFont val="맑은 고딕"/>
        <color theme="1"/>
        <sz val="11.0"/>
      </rPr>
      <t>안전성</t>
    </r>
    <r>
      <rPr>
        <rFont val="MS Mincho"/>
        <color theme="1"/>
        <sz val="11.0"/>
      </rPr>
      <t> </t>
    </r>
    <r>
      <rPr>
        <rFont val="맑은 고딕"/>
        <color theme="1"/>
        <sz val="11.0"/>
      </rPr>
      <t>확보</t>
    </r>
    <r>
      <rPr>
        <rFont val="MS Mincho"/>
        <color theme="1"/>
        <sz val="11.0"/>
      </rPr>
      <t> </t>
    </r>
    <r>
      <rPr>
        <rFont val="맑은 고딕"/>
        <color theme="1"/>
        <sz val="11.0"/>
      </rPr>
      <t>조치</t>
    </r>
    <r>
      <rPr>
        <rFont val="MS Mincho"/>
        <color theme="1"/>
        <sz val="11.0"/>
      </rPr>
      <t>(</t>
    </r>
    <r>
      <rPr>
        <rFont val="맑은 고딕"/>
        <color theme="1"/>
        <sz val="11.0"/>
      </rPr>
      <t>암호화</t>
    </r>
    <r>
      <rPr>
        <rFont val="MS Mincho"/>
        <color theme="1"/>
        <sz val="11.0"/>
      </rPr>
      <t>, </t>
    </r>
    <r>
      <rPr>
        <rFont val="맑은 고딕"/>
        <color theme="1"/>
        <sz val="11.0"/>
      </rPr>
      <t>접근</t>
    </r>
    <r>
      <rPr>
        <rFont val="MS Mincho"/>
        <color theme="1"/>
        <sz val="11.0"/>
      </rPr>
      <t> </t>
    </r>
    <r>
      <rPr>
        <rFont val="맑은 고딕"/>
        <color theme="1"/>
        <sz val="11.0"/>
      </rPr>
      <t>제한</t>
    </r>
    <r>
      <rPr>
        <rFont val="MS Mincho"/>
        <color theme="1"/>
        <sz val="11.0"/>
      </rPr>
      <t>, </t>
    </r>
    <r>
      <rPr>
        <rFont val="맑은 고딕"/>
        <color theme="1"/>
        <sz val="11.0"/>
      </rPr>
      <t>관리적</t>
    </r>
    <r>
      <rPr>
        <rFont val="MS Mincho"/>
        <color theme="1"/>
        <sz val="11.0"/>
      </rPr>
      <t> </t>
    </r>
    <r>
      <rPr>
        <rFont val="맑은 고딕"/>
        <color theme="1"/>
        <sz val="11.0"/>
      </rPr>
      <t>통제</t>
    </r>
    <r>
      <rPr>
        <rFont val="MS Mincho"/>
        <color theme="1"/>
        <sz val="11.0"/>
      </rPr>
      <t> </t>
    </r>
    <r>
      <rPr>
        <rFont val="맑은 고딕"/>
        <color theme="1"/>
        <sz val="11.0"/>
      </rPr>
      <t>등</t>
    </r>
    <r>
      <rPr>
        <rFont val="MS Mincho"/>
        <color theme="1"/>
        <sz val="11.0"/>
      </rPr>
      <t>)</t>
    </r>
    <r>
      <rPr>
        <rFont val="맑은 고딕"/>
        <color theme="1"/>
        <sz val="11.0"/>
      </rPr>
      <t>를</t>
    </r>
    <r>
      <rPr>
        <rFont val="MS Mincho"/>
        <color theme="1"/>
        <sz val="11.0"/>
      </rPr>
      <t> </t>
    </r>
    <r>
      <rPr>
        <rFont val="맑은 고딕"/>
        <color theme="1"/>
        <sz val="11.0"/>
      </rPr>
      <t>반드시</t>
    </r>
    <r>
      <rPr>
        <rFont val="MS Mincho"/>
        <color theme="1"/>
        <sz val="11.0"/>
      </rPr>
      <t> </t>
    </r>
    <r>
      <rPr>
        <rFont val="맑은 고딕"/>
        <color theme="1"/>
        <sz val="11.0"/>
      </rPr>
      <t>이행해야</t>
    </r>
    <r>
      <rPr>
        <rFont val="MS Mincho"/>
        <color theme="1"/>
        <sz val="11.0"/>
      </rPr>
      <t> </t>
    </r>
    <r>
      <rPr>
        <rFont val="맑은 고딕"/>
        <color theme="1"/>
        <sz val="11.0"/>
      </rPr>
      <t>합니다</t>
    </r>
    <r>
      <rPr>
        <rFont val="MS Mincho"/>
        <color theme="1"/>
        <sz val="11.0"/>
      </rPr>
      <t>. </t>
    </r>
    <r>
      <rPr>
        <rFont val="맑은 고딕"/>
        <color theme="1"/>
        <sz val="11.0"/>
      </rPr>
      <t>이를</t>
    </r>
    <r>
      <rPr>
        <rFont val="MS Mincho"/>
        <color theme="1"/>
        <sz val="11.0"/>
      </rPr>
      <t> </t>
    </r>
    <r>
      <rPr>
        <rFont val="맑은 고딕"/>
        <color theme="1"/>
        <sz val="11.0"/>
      </rPr>
      <t>통해</t>
    </r>
    <r>
      <rPr>
        <rFont val="MS Mincho"/>
        <color theme="1"/>
        <sz val="11.0"/>
      </rPr>
      <t> </t>
    </r>
    <r>
      <rPr>
        <rFont val="맑은 고딕"/>
        <color theme="1"/>
        <sz val="11.0"/>
      </rPr>
      <t>데이터의</t>
    </r>
    <r>
      <rPr>
        <rFont val="MS Mincho"/>
        <color theme="1"/>
        <sz val="11.0"/>
      </rPr>
      <t> </t>
    </r>
    <r>
      <rPr>
        <rFont val="맑은 고딕"/>
        <color theme="1"/>
        <sz val="11.0"/>
      </rPr>
      <t>안전성을</t>
    </r>
    <r>
      <rPr>
        <rFont val="MS Mincho"/>
        <color theme="1"/>
        <sz val="11.0"/>
      </rPr>
      <t> </t>
    </r>
    <r>
      <rPr>
        <rFont val="맑은 고딕"/>
        <color theme="1"/>
        <sz val="11.0"/>
      </rPr>
      <t>보장하고</t>
    </r>
    <r>
      <rPr>
        <rFont val="MS Mincho"/>
        <color theme="1"/>
        <sz val="11.0"/>
      </rPr>
      <t> </t>
    </r>
    <r>
      <rPr>
        <rFont val="맑은 고딕"/>
        <color theme="1"/>
        <sz val="11.0"/>
      </rPr>
      <t>개인정보</t>
    </r>
    <r>
      <rPr>
        <rFont val="MS Mincho"/>
        <color theme="1"/>
        <sz val="11.0"/>
      </rPr>
      <t> </t>
    </r>
    <r>
      <rPr>
        <rFont val="맑은 고딕"/>
        <color theme="1"/>
        <sz val="11.0"/>
      </rPr>
      <t>유출</t>
    </r>
    <r>
      <rPr>
        <rFont val="MS Mincho"/>
        <color theme="1"/>
        <sz val="11.0"/>
      </rPr>
      <t> </t>
    </r>
    <r>
      <rPr>
        <rFont val="맑은 고딕"/>
        <color theme="1"/>
        <sz val="11.0"/>
      </rPr>
      <t>및</t>
    </r>
    <r>
      <rPr>
        <rFont val="MS Mincho"/>
        <color theme="1"/>
        <sz val="11.0"/>
      </rPr>
      <t> </t>
    </r>
    <r>
      <rPr>
        <rFont val="맑은 고딕"/>
        <color theme="1"/>
        <sz val="11.0"/>
      </rPr>
      <t>재식별의</t>
    </r>
    <r>
      <rPr>
        <rFont val="MS Mincho"/>
        <color theme="1"/>
        <sz val="11.0"/>
      </rPr>
      <t> </t>
    </r>
    <r>
      <rPr>
        <rFont val="맑은 고딕"/>
        <color theme="1"/>
        <sz val="11.0"/>
      </rPr>
      <t>위험을</t>
    </r>
    <r>
      <rPr>
        <rFont val="MS Mincho"/>
        <color theme="1"/>
        <sz val="11.0"/>
      </rPr>
      <t> </t>
    </r>
    <r>
      <rPr>
        <rFont val="맑은 고딕"/>
        <color theme="1"/>
        <sz val="11.0"/>
      </rPr>
      <t>효과적으로</t>
    </r>
    <r>
      <rPr>
        <rFont val="MS Mincho"/>
        <color theme="1"/>
        <sz val="11.0"/>
      </rPr>
      <t> </t>
    </r>
    <r>
      <rPr>
        <rFont val="맑은 고딕"/>
        <color theme="1"/>
        <sz val="11.0"/>
      </rPr>
      <t>방지할</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xml:space="preserve">.
</t>
    </r>
    <r>
      <rPr>
        <rFont val="돋움"/>
        <color theme="1"/>
        <sz val="11.0"/>
      </rPr>
      <t>링크 : 가명정보</t>
    </r>
    <r>
      <rPr>
        <rFont val="Calibri"/>
        <color theme="1"/>
        <sz val="11.0"/>
      </rPr>
      <t> </t>
    </r>
    <r>
      <rPr>
        <rFont val="돋움"/>
        <color theme="1"/>
        <sz val="11.0"/>
      </rPr>
      <t>처리</t>
    </r>
    <r>
      <rPr>
        <rFont val="Calibri"/>
        <color theme="1"/>
        <sz val="11.0"/>
      </rPr>
      <t> </t>
    </r>
    <r>
      <rPr>
        <rFont val="돋움"/>
        <color theme="1"/>
        <sz val="11.0"/>
      </rPr>
      <t>가이드라인</t>
    </r>
    <r>
      <rPr>
        <rFont val="Calibri"/>
        <color theme="1"/>
        <sz val="11.0"/>
      </rPr>
      <t>(2024.2)</t>
    </r>
  </si>
  <si>
    <t>기대답변 :
 1. 재식별 위험 최소화 의무
  - 제3자의 개인정보 보호수준과 신뢰도를 고려하여, 재식별 가능성을 최소화하는 수준으로 가명처리를 해야 한다.
  - 보호수준이 낮은 기관이라면 더 강한 수준의 가명처리를 적용해야 한다.
 2. 추가정보 제공 금지
  - 제공하는 가명정보에는 특정 개인을 알아볼 수 있는 정보(추가정보 등)를 포함해서는 안 된다.(법 제28조의2 제2항)
 3. 제3자가 이미 보유한 정보 고려
  - 제3자가 사전에 보유·접근 가능한 정보나, 제공받는 다른 정보와의 연계 가능성을 반드시 검토해야 한다.
  - 이를 파악하기 위해 제공받는 측에 관련 개인정보 목록 등을 요청하는 것도 가능하다.
 4. 계약 단계에서 이용환경 확인
  - 사전 계약서에 데이터 이용환경 제한이 기재되어 있다면(예: 폐쇄망 활용), 이를 고려하여 제공 여부와 수준을 판단해야 한다.</t>
  </si>
  <si>
    <t>나. 다른 개인정보처리자 제공(제3자 제공)
 개인정보처리자가 보유한 개인정보를 가명처리하여 특정 제3자에게 제공하는 경우를 의미함- 제3자의 개인정보 보호수준 및 신뢰도를 고려하여 제공하는 가명정보로 발생할 수 있는 재식별 
 위험을 최소화하기 위하여 노력하여야 함*
  * 보호수준이 낮은 기관에는 상대적으로 높은 수준의 가명처리 수준을 적용하는 방법 등 - 가명정보를 제3자에게 제공하는 경우 추가정보 등 특정 개인을 알아보기 위하여 사용될 수 있는 
 정보를 제공하여서는 아니됨(보호법 제28조의2 제2항)
 제28조의2(가명정보의 처리 등) ② 개인정보처리자는 제1항에 따라 가명정보를 제3자에게 
 제공하는 경우에는 특정 개인을 알아보기 위하여 사용될 수 있는 정보를 포함해서는 아니 된다.- 또한 개인정보처리자는 제3자가 사전에 보유하고 있는(접근 가능한) 정보, 처리 시점을 기준으로 
 제공받는 다른(개인)정보 등을 고려하여야 하고, 이를 파악하기 위해 관련 정보*를 요청하는 것도 
 가능함
 * 제3자가 관리하고 있는 개인정보 중 제공받는 가명정보와 연계 또는 조합 가능성이 있는 개인정보 목록 등- 사전 준비 단계의 계약서에 데이터의 이용환경에 대한 제한 등에 대하여 명시한 사항*이 있다면 
 이를 고려할 수 있음 
 * 다른 정보의 접근이 제한된 폐쇄망 환경에서 이용하겠다는 사항 등</t>
  </si>
  <si>
    <t>개인정보 가명정보 처리 및 제3자 제공에 대해 관련 법령(안전조치, 계약체결, 관라감독 절차 등 필요한 특별 조치) 안내</t>
  </si>
  <si>
    <r>
      <rPr>
        <rFont val="맑은 고딕"/>
        <b/>
        <color theme="1"/>
        <sz val="11.0"/>
      </rPr>
      <t>150_2402_빅데이터과_기타_개인정보보호위원회_가명정보_처리_가이드라인.pdf[16]</t>
    </r>
    <r>
      <rPr>
        <rFont val="맑은 고딕"/>
        <color theme="1"/>
        <sz val="11.0"/>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rFont val="맑은 고딕"/>
        <color rgb="FFFF0000"/>
        <sz val="11.0"/>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rFont val="맑은 고딕"/>
        <color theme="1"/>
        <sz val="11.0"/>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</si>
  <si>
    <r>
      <rPr>
        <rFont val="맑은 고딕"/>
        <b/>
        <color theme="1"/>
        <sz val="11.0"/>
      </rPr>
      <t>150_2402_빅데이터과_기타_개인정보보호위원회_가명정보_처리_가이드라인.pdf[24]</t>
    </r>
    <r>
      <rPr>
        <rFont val="맑은 고딕"/>
        <color theme="1"/>
        <sz val="11.0"/>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</si>
  <si>
    <r>
      <rPr>
        <rFont val="Arial"/>
        <color rgb="FF000000"/>
        <sz val="11.0"/>
      </rPr>
      <t>비정형</t>
    </r>
    <r>
      <rPr>
        <rFont val="MS Mincho"/>
        <color rgb="FF000000"/>
        <sz val="11.0"/>
      </rPr>
      <t> </t>
    </r>
    <r>
      <rPr>
        <rFont val="Arial"/>
        <color rgb="FF000000"/>
        <sz val="11.0"/>
      </rPr>
      <t>데이터의</t>
    </r>
    <r>
      <rPr>
        <rFont val="MS Mincho"/>
        <color rgb="FF000000"/>
        <sz val="11.0"/>
      </rPr>
      <t> </t>
    </r>
    <r>
      <rPr>
        <rFont val="Arial"/>
        <color rgb="FF000000"/>
        <sz val="11.0"/>
      </rPr>
      <t>가명처리</t>
    </r>
    <r>
      <rPr>
        <rFont val="MS Mincho"/>
        <color rgb="FF000000"/>
        <sz val="11.0"/>
      </rPr>
      <t> </t>
    </r>
    <r>
      <rPr>
        <rFont val="Arial"/>
        <color rgb="FF000000"/>
        <sz val="11.0"/>
      </rPr>
      <t>시</t>
    </r>
    <r>
      <rPr>
        <rFont val="MS Mincho"/>
        <color rgb="FF000000"/>
        <sz val="11.0"/>
      </rPr>
      <t> </t>
    </r>
    <r>
      <rPr>
        <rFont val="Arial"/>
        <color rgb="FF000000"/>
        <sz val="11.0"/>
      </rPr>
      <t>유의할</t>
    </r>
    <r>
      <rPr>
        <rFont val="MS Mincho"/>
        <color rgb="FF000000"/>
        <sz val="11.0"/>
      </rPr>
      <t> </t>
    </r>
    <r>
      <rPr>
        <rFont val="Arial"/>
        <color rgb="FF000000"/>
        <sz val="11.0"/>
      </rPr>
      <t>사항은</t>
    </r>
    <r>
      <rPr>
        <rFont val="MS Mincho"/>
        <color rgb="FF000000"/>
        <sz val="11.0"/>
      </rPr>
      <t> </t>
    </r>
    <r>
      <rPr>
        <rFont val="Arial"/>
        <color rgb="FF000000"/>
        <sz val="11.0"/>
      </rPr>
      <t>무엇인가요</t>
    </r>
    <r>
      <rPr>
        <rFont val="MS Mincho"/>
        <color rgb="FF000000"/>
        <sz val="11.0"/>
      </rPr>
      <t>?</t>
    </r>
  </si>
  <si>
    <t>비정형 데이터(문서, 이미지, 로그 등)를 가명정보로 처리할 때, 관련 법령과 내부 지침상 유의해야 할 사항과 안전조치 기준은 무엇인가요?</t>
  </si>
  <si>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시</t>
    </r>
    <r>
      <rPr>
        <rFont val="Calibri"/>
        <color theme="1"/>
        <sz val="11.0"/>
      </rPr>
      <t xml:space="preserve"> </t>
    </r>
    <r>
      <rPr>
        <rFont val="맑은 고딕"/>
        <color theme="1"/>
        <sz val="11.0"/>
      </rPr>
      <t>유의할</t>
    </r>
    <r>
      <rPr>
        <rFont val="Calibri"/>
        <color theme="1"/>
        <sz val="11.0"/>
      </rPr>
      <t xml:space="preserve"> </t>
    </r>
    <r>
      <rPr>
        <rFont val="맑은 고딕"/>
        <color theme="1"/>
        <sz val="11.0"/>
      </rPr>
      <t>사항은</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고려사항입니다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데이터는</t>
    </r>
    <r>
      <rPr>
        <rFont val="Calibri"/>
        <color theme="1"/>
        <sz val="11.0"/>
      </rPr>
      <t xml:space="preserve"> </t>
    </r>
    <r>
      <rPr>
        <rFont val="맑은 고딕"/>
        <color theme="1"/>
        <sz val="11.0"/>
      </rPr>
      <t>텍스트</t>
    </r>
    <r>
      <rPr>
        <rFont val="Calibri"/>
        <color theme="1"/>
        <sz val="11.0"/>
      </rPr>
      <t xml:space="preserve">, </t>
    </r>
    <r>
      <rPr>
        <rFont val="맑은 고딕"/>
        <color theme="1"/>
        <sz val="11.0"/>
      </rPr>
      <t>이미지</t>
    </r>
    <r>
      <rPr>
        <rFont val="Calibri"/>
        <color theme="1"/>
        <sz val="11.0"/>
      </rPr>
      <t xml:space="preserve">, </t>
    </r>
    <r>
      <rPr>
        <rFont val="맑은 고딕"/>
        <color theme="1"/>
        <sz val="11.0"/>
      </rPr>
      <t>오디오</t>
    </r>
    <r>
      <rPr>
        <rFont val="Calibri"/>
        <color theme="1"/>
        <sz val="11.0"/>
      </rPr>
      <t xml:space="preserve">, </t>
    </r>
    <r>
      <rPr>
        <rFont val="맑은 고딕"/>
        <color theme="1"/>
        <sz val="11.0"/>
      </rPr>
      <t>비디오</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형태로</t>
    </r>
    <r>
      <rPr>
        <rFont val="Calibri"/>
        <color theme="1"/>
        <sz val="11.0"/>
      </rPr>
      <t xml:space="preserve"> </t>
    </r>
    <r>
      <rPr>
        <rFont val="맑은 고딕"/>
        <color theme="1"/>
        <sz val="11.0"/>
      </rPr>
      <t>존재하며</t>
    </r>
    <r>
      <rPr>
        <rFont val="Calibri"/>
        <color theme="1"/>
        <sz val="11.0"/>
      </rPr>
      <t xml:space="preserve">, </t>
    </r>
    <r>
      <rPr>
        <rFont val="맑은 고딕"/>
        <color theme="1"/>
        <sz val="11.0"/>
      </rPr>
      <t>각</t>
    </r>
    <r>
      <rPr>
        <rFont val="Calibri"/>
        <color theme="1"/>
        <sz val="11.0"/>
      </rPr>
      <t xml:space="preserve"> </t>
    </r>
    <r>
      <rPr>
        <rFont val="맑은 고딕"/>
        <color theme="1"/>
        <sz val="11.0"/>
      </rPr>
      <t>형태에</t>
    </r>
    <r>
      <rPr>
        <rFont val="Calibri"/>
        <color theme="1"/>
        <sz val="11.0"/>
      </rPr>
      <t xml:space="preserve"> </t>
    </r>
    <r>
      <rPr>
        <rFont val="맑은 고딕"/>
        <color theme="1"/>
        <sz val="11.0"/>
      </rPr>
      <t>따라</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방법이</t>
    </r>
    <r>
      <rPr>
        <rFont val="Calibri"/>
        <color theme="1"/>
        <sz val="11.0"/>
      </rPr>
      <t xml:space="preserve"> </t>
    </r>
    <r>
      <rPr>
        <rFont val="맑은 고딕"/>
        <color theme="1"/>
        <sz val="11.0"/>
      </rPr>
      <t>달라질</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따라서</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특성에</t>
    </r>
    <r>
      <rPr>
        <rFont val="Calibri"/>
        <color theme="1"/>
        <sz val="11.0"/>
      </rPr>
      <t xml:space="preserve"> </t>
    </r>
    <r>
      <rPr>
        <rFont val="맑은 고딕"/>
        <color theme="1"/>
        <sz val="11.0"/>
      </rPr>
      <t>맞는</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방법을</t>
    </r>
    <r>
      <rPr>
        <rFont val="Calibri"/>
        <color theme="1"/>
        <sz val="11.0"/>
      </rPr>
      <t xml:space="preserve"> </t>
    </r>
    <r>
      <rPr>
        <rFont val="맑은 고딕"/>
        <color theme="1"/>
        <sz val="11.0"/>
      </rPr>
      <t>선택해야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무결성</t>
    </r>
    <r>
      <rPr>
        <rFont val="Calibri"/>
        <color theme="1"/>
        <sz val="11.0"/>
      </rPr>
      <t xml:space="preserve">, integrity, </t>
    </r>
    <r>
      <rPr>
        <rFont val="맑은 고딕"/>
        <color theme="1"/>
        <sz val="11.0"/>
      </rPr>
      <t>가용성</t>
    </r>
    <r>
      <rPr>
        <rFont val="Calibri"/>
        <color theme="1"/>
        <sz val="11.0"/>
      </rPr>
      <t xml:space="preserve">, availability, </t>
    </r>
    <r>
      <rPr>
        <rFont val="맑은 고딕"/>
        <color theme="1"/>
        <sz val="11.0"/>
      </rPr>
      <t>보안성</t>
    </r>
    <r>
      <rPr>
        <rFont val="Calibri"/>
        <color theme="1"/>
        <sz val="11.0"/>
      </rPr>
      <t>, security</t>
    </r>
    <r>
      <rPr>
        <rFont val="맑은 고딕"/>
        <color theme="1"/>
        <sz val="11.0"/>
      </rPr>
      <t>을</t>
    </r>
    <r>
      <rPr>
        <rFont val="Calibri"/>
        <color theme="1"/>
        <sz val="11.0"/>
      </rPr>
      <t xml:space="preserve"> </t>
    </r>
    <r>
      <rPr>
        <rFont val="맑은 고딕"/>
        <color theme="1"/>
        <sz val="11.0"/>
      </rPr>
      <t>유지하면서</t>
    </r>
    <r>
      <rPr>
        <rFont val="Calibri"/>
        <color theme="1"/>
        <sz val="11.0"/>
      </rPr>
      <t xml:space="preserve"> </t>
    </r>
    <r>
      <rPr>
        <rFont val="맑은 고딕"/>
        <color theme="1"/>
        <sz val="11.0"/>
      </rPr>
      <t>수행해야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단계에서는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특성을</t>
    </r>
    <r>
      <rPr>
        <rFont val="Calibri"/>
        <color theme="1"/>
        <sz val="11.0"/>
      </rPr>
      <t xml:space="preserve"> </t>
    </r>
    <r>
      <rPr>
        <rFont val="맑은 고딕"/>
        <color theme="1"/>
        <sz val="11.0"/>
      </rPr>
      <t>고려한</t>
    </r>
    <r>
      <rPr>
        <rFont val="Calibri"/>
        <color theme="1"/>
        <sz val="11.0"/>
      </rPr>
      <t xml:space="preserve"> </t>
    </r>
    <r>
      <rPr>
        <rFont val="맑은 고딕"/>
        <color theme="1"/>
        <sz val="11.0"/>
      </rPr>
      <t>가명화</t>
    </r>
    <r>
      <rPr>
        <rFont val="Calibri"/>
        <color theme="1"/>
        <sz val="11.0"/>
      </rPr>
      <t xml:space="preserve"> </t>
    </r>
    <r>
      <rPr>
        <rFont val="맑은 고딕"/>
        <color theme="1"/>
        <sz val="11.0"/>
      </rPr>
      <t>방법</t>
    </r>
    <r>
      <rPr>
        <rFont val="Calibri"/>
        <color theme="1"/>
        <sz val="11.0"/>
      </rPr>
      <t xml:space="preserve"> </t>
    </r>
    <r>
      <rPr>
        <rFont val="맑은 고딕"/>
        <color theme="1"/>
        <sz val="11.0"/>
      </rPr>
      <t>선택</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안전한</t>
    </r>
    <r>
      <rPr>
        <rFont val="Calibri"/>
        <color theme="1"/>
        <sz val="11.0"/>
      </rPr>
      <t xml:space="preserve"> </t>
    </r>
    <r>
      <rPr>
        <rFont val="맑은 고딕"/>
        <color theme="1"/>
        <sz val="11.0"/>
      </rPr>
      <t>저장</t>
    </r>
    <r>
      <rPr>
        <rFont val="Calibri"/>
        <color theme="1"/>
        <sz val="11.0"/>
      </rPr>
      <t xml:space="preserve"> </t>
    </r>
    <r>
      <rPr>
        <rFont val="맑은 고딕"/>
        <color theme="1"/>
        <sz val="11.0"/>
      </rPr>
      <t>및</t>
    </r>
    <r>
      <rPr>
        <rFont val="Calibri"/>
        <color theme="1"/>
        <sz val="11.0"/>
      </rPr>
      <t xml:space="preserve"> </t>
    </r>
    <r>
      <rPr>
        <rFont val="맑은 고딕"/>
        <color theme="1"/>
        <sz val="11.0"/>
      </rPr>
      <t>관리</t>
    </r>
    <r>
      <rPr>
        <rFont val="Calibri"/>
        <color theme="1"/>
        <sz val="11.0"/>
      </rPr>
      <t xml:space="preserve">, </t>
    </r>
    <r>
      <rPr>
        <rFont val="맑은 고딕"/>
        <color theme="1"/>
        <sz val="11.0"/>
      </rPr>
      <t>접근</t>
    </r>
    <r>
      <rPr>
        <rFont val="Calibri"/>
        <color theme="1"/>
        <sz val="11.0"/>
      </rPr>
      <t xml:space="preserve"> </t>
    </r>
    <r>
      <rPr>
        <rFont val="맑은 고딕"/>
        <color theme="1"/>
        <sz val="11.0"/>
      </rPr>
      <t>권한</t>
    </r>
    <r>
      <rPr>
        <rFont val="Calibri"/>
        <color theme="1"/>
        <sz val="11.0"/>
      </rPr>
      <t xml:space="preserve"> </t>
    </r>
    <r>
      <rPr>
        <rFont val="맑은 고딕"/>
        <color theme="1"/>
        <sz val="11.0"/>
      </rPr>
      <t>관리</t>
    </r>
    <r>
      <rPr>
        <rFont val="Calibri"/>
        <color theme="1"/>
        <sz val="11.0"/>
      </rPr>
      <t xml:space="preserve">, </t>
    </r>
    <r>
      <rPr>
        <rFont val="맑은 고딕"/>
        <color theme="1"/>
        <sz val="11.0"/>
      </rPr>
      <t>모니터링</t>
    </r>
    <r>
      <rPr>
        <rFont val="Calibri"/>
        <color theme="1"/>
        <sz val="11.0"/>
      </rPr>
      <t xml:space="preserve"> </t>
    </r>
    <r>
      <rPr>
        <rFont val="맑은 고딕"/>
        <color theme="1"/>
        <sz val="11.0"/>
      </rPr>
      <t>및</t>
    </r>
    <r>
      <rPr>
        <rFont val="Calibri"/>
        <color theme="1"/>
        <sz val="11.0"/>
      </rPr>
      <t xml:space="preserve"> audit log </t>
    </r>
    <r>
      <rPr>
        <rFont val="맑은 고딕"/>
        <color theme="1"/>
        <sz val="11.0"/>
      </rPr>
      <t>관리</t>
    </r>
    <r>
      <rPr>
        <rFont val="Calibri"/>
        <color theme="1"/>
        <sz val="11.0"/>
      </rPr>
      <t xml:space="preserve"> </t>
    </r>
    <r>
      <rPr>
        <rFont val="맑은 고딕"/>
        <color theme="1"/>
        <sz val="11.0"/>
      </rPr>
      <t>등이</t>
    </r>
    <r>
      <rPr>
        <rFont val="Calibri"/>
        <color theme="1"/>
        <sz val="11.0"/>
      </rPr>
      <t xml:space="preserve"> </t>
    </r>
    <r>
      <rPr>
        <rFont val="맑은 고딕"/>
        <color theme="1"/>
        <sz val="11.0"/>
      </rPr>
      <t>포함됩니다</t>
    </r>
    <r>
      <rPr>
        <rFont val="Calibri"/>
        <color theme="1"/>
        <sz val="11.0"/>
      </rPr>
      <t>.</t>
    </r>
  </si>
  <si>
    <r>
      <rPr>
        <rFont val="맑은 고딕"/>
        <color theme="1"/>
        <sz val="11.0"/>
      </rPr>
      <t>기대답변
비정형</t>
    </r>
    <r>
      <rPr>
        <rFont val="MS Mincho"/>
        <color theme="1"/>
        <sz val="11.0"/>
      </rPr>
      <t> </t>
    </r>
    <r>
      <rPr>
        <rFont val="맑은 고딕"/>
        <color theme="1"/>
        <sz val="11.0"/>
      </rPr>
      <t>데이터</t>
    </r>
    <r>
      <rPr>
        <rFont val="MS Mincho"/>
        <color theme="1"/>
        <sz val="11.0"/>
      </rPr>
      <t>(</t>
    </r>
    <r>
      <rPr>
        <rFont val="맑은 고딕"/>
        <color theme="1"/>
        <sz val="11.0"/>
      </rPr>
      <t>텍스트</t>
    </r>
    <r>
      <rPr>
        <rFont val="MS Mincho"/>
        <color theme="1"/>
        <sz val="11.0"/>
      </rPr>
      <t>, </t>
    </r>
    <r>
      <rPr>
        <rFont val="맑은 고딕"/>
        <color theme="1"/>
        <sz val="11.0"/>
      </rPr>
      <t>이미지</t>
    </r>
    <r>
      <rPr>
        <rFont val="MS Mincho"/>
        <color theme="1"/>
        <sz val="11.0"/>
      </rPr>
      <t>, </t>
    </r>
    <r>
      <rPr>
        <rFont val="맑은 고딕"/>
        <color theme="1"/>
        <sz val="11.0"/>
      </rPr>
      <t>음성</t>
    </r>
    <r>
      <rPr>
        <rFont val="MS Mincho"/>
        <color theme="1"/>
        <sz val="11.0"/>
      </rPr>
      <t> </t>
    </r>
    <r>
      <rPr>
        <rFont val="맑은 고딕"/>
        <color theme="1"/>
        <sz val="11.0"/>
      </rPr>
      <t>등</t>
    </r>
    <r>
      <rPr>
        <rFont val="MS Mincho"/>
        <color theme="1"/>
        <sz val="11.0"/>
      </rPr>
      <t>)</t>
    </r>
    <r>
      <rPr>
        <rFont val="맑은 고딕"/>
        <color theme="1"/>
        <sz val="11.0"/>
      </rPr>
      <t>는</t>
    </r>
    <r>
      <rPr>
        <rFont val="MS Mincho"/>
        <color theme="1"/>
        <sz val="11.0"/>
      </rPr>
      <t> </t>
    </r>
    <r>
      <rPr>
        <rFont val="맑은 고딕"/>
        <color theme="1"/>
        <sz val="11.0"/>
      </rPr>
      <t>정형</t>
    </r>
    <r>
      <rPr>
        <rFont val="MS Mincho"/>
        <color theme="1"/>
        <sz val="11.0"/>
      </rPr>
      <t> </t>
    </r>
    <r>
      <rPr>
        <rFont val="맑은 고딕"/>
        <color theme="1"/>
        <sz val="11.0"/>
      </rPr>
      <t>데이터와</t>
    </r>
    <r>
      <rPr>
        <rFont val="MS Mincho"/>
        <color theme="1"/>
        <sz val="11.0"/>
      </rPr>
      <t> </t>
    </r>
    <r>
      <rPr>
        <rFont val="맑은 고딕"/>
        <color theme="1"/>
        <sz val="11.0"/>
      </rPr>
      <t>달리</t>
    </r>
    <r>
      <rPr>
        <rFont val="MS Mincho"/>
        <color theme="1"/>
        <sz val="11.0"/>
      </rPr>
      <t> </t>
    </r>
    <r>
      <rPr>
        <rFont val="맑은 고딕"/>
        <color theme="1"/>
        <sz val="11.0"/>
      </rPr>
      <t>형식이</t>
    </r>
    <r>
      <rPr>
        <rFont val="MS Mincho"/>
        <color theme="1"/>
        <sz val="11.0"/>
      </rPr>
      <t> </t>
    </r>
    <r>
      <rPr>
        <rFont val="맑은 고딕"/>
        <color theme="1"/>
        <sz val="11.0"/>
      </rPr>
      <t>정해져</t>
    </r>
    <r>
      <rPr>
        <rFont val="MS Mincho"/>
        <color theme="1"/>
        <sz val="11.0"/>
      </rPr>
      <t> </t>
    </r>
    <r>
      <rPr>
        <rFont val="맑은 고딕"/>
        <color theme="1"/>
        <sz val="11.0"/>
      </rPr>
      <t>있지</t>
    </r>
    <r>
      <rPr>
        <rFont val="MS Mincho"/>
        <color theme="1"/>
        <sz val="11.0"/>
      </rPr>
      <t> </t>
    </r>
    <r>
      <rPr>
        <rFont val="맑은 고딕"/>
        <color theme="1"/>
        <sz val="11.0"/>
      </rPr>
      <t>않아</t>
    </r>
    <r>
      <rPr>
        <rFont val="MS Mincho"/>
        <color theme="1"/>
        <sz val="11.0"/>
      </rPr>
      <t> </t>
    </r>
    <r>
      <rPr>
        <rFont val="맑은 고딕"/>
        <color theme="1"/>
        <sz val="11.0"/>
      </rPr>
      <t>처리</t>
    </r>
    <r>
      <rPr>
        <rFont val="MS Mincho"/>
        <color theme="1"/>
        <sz val="11.0"/>
      </rPr>
      <t> </t>
    </r>
    <r>
      <rPr>
        <rFont val="맑은 고딕"/>
        <color theme="1"/>
        <sz val="11.0"/>
      </rPr>
      <t>과정에서</t>
    </r>
    <r>
      <rPr>
        <rFont val="MS Mincho"/>
        <color theme="1"/>
        <sz val="11.0"/>
      </rPr>
      <t> </t>
    </r>
    <r>
      <rPr>
        <rFont val="맑은 고딕"/>
        <color theme="1"/>
        <sz val="11.0"/>
      </rPr>
      <t>추가적인</t>
    </r>
    <r>
      <rPr>
        <rFont val="MS Mincho"/>
        <color theme="1"/>
        <sz val="11.0"/>
      </rPr>
      <t> </t>
    </r>
    <r>
      <rPr>
        <rFont val="맑은 고딕"/>
        <color theme="1"/>
        <sz val="11.0"/>
      </rPr>
      <t>주의가</t>
    </r>
    <r>
      <rPr>
        <rFont val="MS Mincho"/>
        <color theme="1"/>
        <sz val="11.0"/>
      </rPr>
      <t> </t>
    </r>
    <r>
      <rPr>
        <rFont val="맑은 고딕"/>
        <color theme="1"/>
        <sz val="11.0"/>
      </rPr>
      <t>필요합니다</t>
    </r>
    <r>
      <rPr>
        <rFont val="MS Mincho"/>
        <color theme="1"/>
        <sz val="11.0"/>
      </rPr>
      <t>. </t>
    </r>
    <r>
      <rPr>
        <rFont val="맑은 고딕"/>
        <color theme="1"/>
        <sz val="11.0"/>
      </rPr>
      <t>비정형</t>
    </r>
    <r>
      <rPr>
        <rFont val="MS Mincho"/>
        <color theme="1"/>
        <sz val="11.0"/>
      </rPr>
      <t> </t>
    </r>
    <r>
      <rPr>
        <rFont val="맑은 고딕"/>
        <color theme="1"/>
        <sz val="11.0"/>
      </rPr>
      <t>데이터를</t>
    </r>
    <r>
      <rPr>
        <rFont val="MS Mincho"/>
        <color theme="1"/>
        <sz val="11.0"/>
      </rPr>
      <t> </t>
    </r>
    <r>
      <rPr>
        <rFont val="맑은 고딕"/>
        <color theme="1"/>
        <sz val="11.0"/>
      </rPr>
      <t>가명처리할</t>
    </r>
    <r>
      <rPr>
        <rFont val="MS Mincho"/>
        <color theme="1"/>
        <sz val="11.0"/>
      </rPr>
      <t> </t>
    </r>
    <r>
      <rPr>
        <rFont val="맑은 고딕"/>
        <color theme="1"/>
        <sz val="11.0"/>
      </rPr>
      <t>때는</t>
    </r>
    <r>
      <rPr>
        <rFont val="MS Mincho"/>
        <color theme="1"/>
        <sz val="11.0"/>
      </rPr>
      <t> </t>
    </r>
    <r>
      <rPr>
        <rFont val="맑은 고딕"/>
        <color theme="1"/>
        <sz val="11.0"/>
      </rPr>
      <t>데이터의</t>
    </r>
    <r>
      <rPr>
        <rFont val="MS Mincho"/>
        <color theme="1"/>
        <sz val="11.0"/>
      </rPr>
      <t> </t>
    </r>
    <r>
      <rPr>
        <rFont val="맑은 고딕"/>
        <color theme="1"/>
        <sz val="11.0"/>
      </rPr>
      <t>특성과</t>
    </r>
    <r>
      <rPr>
        <rFont val="MS Mincho"/>
        <color theme="1"/>
        <sz val="11.0"/>
      </rPr>
      <t> </t>
    </r>
    <r>
      <rPr>
        <rFont val="맑은 고딕"/>
        <color theme="1"/>
        <sz val="11.0"/>
      </rPr>
      <t>처리</t>
    </r>
    <r>
      <rPr>
        <rFont val="MS Mincho"/>
        <color theme="1"/>
        <sz val="11.0"/>
      </rPr>
      <t> </t>
    </r>
    <r>
      <rPr>
        <rFont val="맑은 고딕"/>
        <color theme="1"/>
        <sz val="11.0"/>
      </rPr>
      <t>목적을</t>
    </r>
    <r>
      <rPr>
        <rFont val="MS Mincho"/>
        <color theme="1"/>
        <sz val="11.0"/>
      </rPr>
      <t> </t>
    </r>
    <r>
      <rPr>
        <rFont val="맑은 고딕"/>
        <color theme="1"/>
        <sz val="11.0"/>
      </rPr>
      <t>명확히</t>
    </r>
    <r>
      <rPr>
        <rFont val="MS Mincho"/>
        <color theme="1"/>
        <sz val="11.0"/>
      </rPr>
      <t> </t>
    </r>
    <r>
      <rPr>
        <rFont val="맑은 고딕"/>
        <color theme="1"/>
        <sz val="11.0"/>
      </rPr>
      <t>파악하고</t>
    </r>
    <r>
      <rPr>
        <rFont val="MS Mincho"/>
        <color theme="1"/>
        <sz val="11.0"/>
      </rPr>
      <t>, </t>
    </r>
    <r>
      <rPr>
        <rFont val="맑은 고딕"/>
        <color theme="1"/>
        <sz val="11.0"/>
      </rPr>
      <t>각</t>
    </r>
    <r>
      <rPr>
        <rFont val="MS Mincho"/>
        <color theme="1"/>
        <sz val="11.0"/>
      </rPr>
      <t> </t>
    </r>
    <r>
      <rPr>
        <rFont val="맑은 고딕"/>
        <color theme="1"/>
        <sz val="11.0"/>
      </rPr>
      <t>유형에</t>
    </r>
    <r>
      <rPr>
        <rFont val="MS Mincho"/>
        <color theme="1"/>
        <sz val="11.0"/>
      </rPr>
      <t> </t>
    </r>
    <r>
      <rPr>
        <rFont val="맑은 고딕"/>
        <color theme="1"/>
        <sz val="11.0"/>
      </rPr>
      <t>적합한</t>
    </r>
    <r>
      <rPr>
        <rFont val="MS Mincho"/>
        <color theme="1"/>
        <sz val="11.0"/>
      </rPr>
      <t> </t>
    </r>
    <r>
      <rPr>
        <rFont val="맑은 고딕"/>
        <color theme="1"/>
        <sz val="11.0"/>
      </rPr>
      <t>처리</t>
    </r>
    <r>
      <rPr>
        <rFont val="MS Mincho"/>
        <color theme="1"/>
        <sz val="11.0"/>
      </rPr>
      <t> </t>
    </r>
    <r>
      <rPr>
        <rFont val="맑은 고딕"/>
        <color theme="1"/>
        <sz val="11.0"/>
      </rPr>
      <t>기준과</t>
    </r>
    <r>
      <rPr>
        <rFont val="MS Mincho"/>
        <color theme="1"/>
        <sz val="11.0"/>
      </rPr>
      <t> </t>
    </r>
    <r>
      <rPr>
        <rFont val="맑은 고딕"/>
        <color theme="1"/>
        <sz val="11.0"/>
      </rPr>
      <t>방법을</t>
    </r>
    <r>
      <rPr>
        <rFont val="MS Mincho"/>
        <color theme="1"/>
        <sz val="11.0"/>
      </rPr>
      <t> </t>
    </r>
    <r>
      <rPr>
        <rFont val="맑은 고딕"/>
        <color theme="1"/>
        <sz val="11.0"/>
      </rPr>
      <t>개별적으로</t>
    </r>
    <r>
      <rPr>
        <rFont val="MS Mincho"/>
        <color theme="1"/>
        <sz val="11.0"/>
      </rPr>
      <t> </t>
    </r>
    <r>
      <rPr>
        <rFont val="맑은 고딕"/>
        <color theme="1"/>
        <sz val="11.0"/>
      </rPr>
      <t>수립해야</t>
    </r>
    <r>
      <rPr>
        <rFont val="MS Mincho"/>
        <color theme="1"/>
        <sz val="11.0"/>
      </rPr>
      <t> </t>
    </r>
    <r>
      <rPr>
        <rFont val="맑은 고딕"/>
        <color theme="1"/>
        <sz val="11.0"/>
      </rPr>
      <t>합니다</t>
    </r>
    <r>
      <rPr>
        <rFont val="MS Mincho"/>
        <color theme="1"/>
        <sz val="11.0"/>
      </rPr>
      <t>. </t>
    </r>
    <r>
      <rPr>
        <rFont val="맑은 고딕"/>
        <color theme="1"/>
        <sz val="11.0"/>
      </rPr>
      <t>특히</t>
    </r>
    <r>
      <rPr>
        <rFont val="MS Mincho"/>
        <color theme="1"/>
        <sz val="11.0"/>
      </rPr>
      <t>, </t>
    </r>
    <r>
      <rPr>
        <rFont val="맑은 고딕"/>
        <color theme="1"/>
        <sz val="11.0"/>
      </rPr>
      <t>처리</t>
    </r>
    <r>
      <rPr>
        <rFont val="MS Mincho"/>
        <color theme="1"/>
        <sz val="11.0"/>
      </rPr>
      <t> </t>
    </r>
    <r>
      <rPr>
        <rFont val="맑은 고딕"/>
        <color theme="1"/>
        <sz val="11.0"/>
      </rPr>
      <t>단계마다</t>
    </r>
    <r>
      <rPr>
        <rFont val="MS Mincho"/>
        <color theme="1"/>
        <sz val="11.0"/>
      </rPr>
      <t> </t>
    </r>
    <r>
      <rPr>
        <rFont val="맑은 고딕"/>
        <color theme="1"/>
        <sz val="11.0"/>
      </rPr>
      <t>재식별</t>
    </r>
    <r>
      <rPr>
        <rFont val="MS Mincho"/>
        <color theme="1"/>
        <sz val="11.0"/>
      </rPr>
      <t> </t>
    </r>
    <r>
      <rPr>
        <rFont val="맑은 고딕"/>
        <color theme="1"/>
        <sz val="11.0"/>
      </rPr>
      <t>가능성</t>
    </r>
    <r>
      <rPr>
        <rFont val="MS Mincho"/>
        <color theme="1"/>
        <sz val="11.0"/>
      </rPr>
      <t> </t>
    </r>
    <r>
      <rPr>
        <rFont val="맑은 고딕"/>
        <color theme="1"/>
        <sz val="11.0"/>
      </rPr>
      <t>평가를</t>
    </r>
    <r>
      <rPr>
        <rFont val="MS Mincho"/>
        <color theme="1"/>
        <sz val="11.0"/>
      </rPr>
      <t> </t>
    </r>
    <r>
      <rPr>
        <rFont val="맑은 고딕"/>
        <color theme="1"/>
        <sz val="11.0"/>
      </rPr>
      <t>실시하여</t>
    </r>
    <r>
      <rPr>
        <rFont val="MS Mincho"/>
        <color theme="1"/>
        <sz val="11.0"/>
      </rPr>
      <t> </t>
    </r>
    <r>
      <rPr>
        <rFont val="맑은 고딕"/>
        <color theme="1"/>
        <sz val="11.0"/>
      </rPr>
      <t>필요한</t>
    </r>
    <r>
      <rPr>
        <rFont val="MS Mincho"/>
        <color theme="1"/>
        <sz val="11.0"/>
      </rPr>
      <t> </t>
    </r>
    <r>
      <rPr>
        <rFont val="맑은 고딕"/>
        <color theme="1"/>
        <sz val="11.0"/>
      </rPr>
      <t>경우</t>
    </r>
    <r>
      <rPr>
        <rFont val="MS Mincho"/>
        <color theme="1"/>
        <sz val="11.0"/>
      </rPr>
      <t> </t>
    </r>
    <r>
      <rPr>
        <rFont val="맑은 고딕"/>
        <color theme="1"/>
        <sz val="11.0"/>
      </rPr>
      <t>추가적인</t>
    </r>
    <r>
      <rPr>
        <rFont val="MS Mincho"/>
        <color theme="1"/>
        <sz val="11.0"/>
      </rPr>
      <t> </t>
    </r>
    <r>
      <rPr>
        <rFont val="맑은 고딕"/>
        <color theme="1"/>
        <sz val="11.0"/>
      </rPr>
      <t>보호</t>
    </r>
    <r>
      <rPr>
        <rFont val="MS Mincho"/>
        <color theme="1"/>
        <sz val="11.0"/>
      </rPr>
      <t> </t>
    </r>
    <r>
      <rPr>
        <rFont val="맑은 고딕"/>
        <color theme="1"/>
        <sz val="11.0"/>
      </rPr>
      <t>조치를</t>
    </r>
    <r>
      <rPr>
        <rFont val="MS Mincho"/>
        <color theme="1"/>
        <sz val="11.0"/>
      </rPr>
      <t> </t>
    </r>
    <r>
      <rPr>
        <rFont val="맑은 고딕"/>
        <color theme="1"/>
        <sz val="11.0"/>
      </rPr>
      <t>적용해야</t>
    </r>
    <r>
      <rPr>
        <rFont val="MS Mincho"/>
        <color theme="1"/>
        <sz val="11.0"/>
      </rPr>
      <t> </t>
    </r>
    <r>
      <rPr>
        <rFont val="맑은 고딕"/>
        <color theme="1"/>
        <sz val="11.0"/>
      </rPr>
      <t>하며</t>
    </r>
    <r>
      <rPr>
        <rFont val="MS Mincho"/>
        <color theme="1"/>
        <sz val="11.0"/>
      </rPr>
      <t>, </t>
    </r>
    <r>
      <rPr>
        <rFont val="맑은 고딕"/>
        <color theme="1"/>
        <sz val="11.0"/>
      </rPr>
      <t>가명처리</t>
    </r>
    <r>
      <rPr>
        <rFont val="MS Mincho"/>
        <color theme="1"/>
        <sz val="11.0"/>
      </rPr>
      <t> </t>
    </r>
    <r>
      <rPr>
        <rFont val="맑은 고딕"/>
        <color theme="1"/>
        <sz val="11.0"/>
      </rPr>
      <t>이후에도</t>
    </r>
    <r>
      <rPr>
        <rFont val="MS Mincho"/>
        <color theme="1"/>
        <sz val="11.0"/>
      </rPr>
      <t> </t>
    </r>
    <r>
      <rPr>
        <rFont val="맑은 고딕"/>
        <color theme="1"/>
        <sz val="11.0"/>
      </rPr>
      <t>데이터</t>
    </r>
    <r>
      <rPr>
        <rFont val="MS Mincho"/>
        <color theme="1"/>
        <sz val="11.0"/>
      </rPr>
      <t> </t>
    </r>
    <r>
      <rPr>
        <rFont val="맑은 고딕"/>
        <color theme="1"/>
        <sz val="11.0"/>
      </rPr>
      <t>활용</t>
    </r>
    <r>
      <rPr>
        <rFont val="MS Mincho"/>
        <color theme="1"/>
        <sz val="11.0"/>
      </rPr>
      <t> </t>
    </r>
    <r>
      <rPr>
        <rFont val="맑은 고딕"/>
        <color theme="1"/>
        <sz val="11.0"/>
      </rPr>
      <t>과정</t>
    </r>
    <r>
      <rPr>
        <rFont val="MS Mincho"/>
        <color theme="1"/>
        <sz val="11.0"/>
      </rPr>
      <t> </t>
    </r>
    <r>
      <rPr>
        <rFont val="맑은 고딕"/>
        <color theme="1"/>
        <sz val="11.0"/>
      </rPr>
      <t>전반에</t>
    </r>
    <r>
      <rPr>
        <rFont val="MS Mincho"/>
        <color theme="1"/>
        <sz val="11.0"/>
      </rPr>
      <t> </t>
    </r>
    <r>
      <rPr>
        <rFont val="맑은 고딕"/>
        <color theme="1"/>
        <sz val="11.0"/>
      </rPr>
      <t>걸쳐</t>
    </r>
    <r>
      <rPr>
        <rFont val="MS Mincho"/>
        <color theme="1"/>
        <sz val="11.0"/>
      </rPr>
      <t> </t>
    </r>
    <r>
      <rPr>
        <rFont val="맑은 고딕"/>
        <color theme="1"/>
        <sz val="11.0"/>
      </rPr>
      <t>지속적인</t>
    </r>
    <r>
      <rPr>
        <rFont val="MS Mincho"/>
        <color theme="1"/>
        <sz val="11.0"/>
      </rPr>
      <t> </t>
    </r>
    <r>
      <rPr>
        <rFont val="맑은 고딕"/>
        <color theme="1"/>
        <sz val="11.0"/>
      </rPr>
      <t>관리와</t>
    </r>
    <r>
      <rPr>
        <rFont val="MS Mincho"/>
        <color theme="1"/>
        <sz val="11.0"/>
      </rPr>
      <t> </t>
    </r>
    <r>
      <rPr>
        <rFont val="맑은 고딕"/>
        <color theme="1"/>
        <sz val="11.0"/>
      </rPr>
      <t>모니터링이</t>
    </r>
    <r>
      <rPr>
        <rFont val="MS Mincho"/>
        <color theme="1"/>
        <sz val="11.0"/>
      </rPr>
      <t> </t>
    </r>
    <r>
      <rPr>
        <rFont val="맑은 고딕"/>
        <color theme="1"/>
        <sz val="11.0"/>
      </rPr>
      <t>필수입니다</t>
    </r>
    <r>
      <rPr>
        <rFont val="MS Mincho"/>
        <color theme="1"/>
        <sz val="11.0"/>
      </rPr>
      <t xml:space="preserve">.
</t>
    </r>
    <r>
      <rPr>
        <rFont val="맑은 고딕"/>
        <color theme="1"/>
        <sz val="11.0"/>
      </rPr>
      <t>링크 : 가명정보 처리 가이드라인(2024.2)</t>
    </r>
  </si>
  <si>
    <t>기대답변 :
 비정형 데이터의 가명처리 시 유의할 사항은 다음과 같습니다:
 1. 개인식별성 판단의 어려움
  - 개인식별 가능 정보와 그렇지 않은 정보의 구분이 상대적이며, 처리 목적·환경 등에 따라 다르게 판단될 수 있습니다.
  - 예: 얼굴 CT 사진 1장으로는 개인식별 위험성이 낮지만, 여러 위치·각도에서 촬영한 사진을 결합하면 개인식별 위험성이 증가합니다.
 2. 가명처리 기술의 불완전성
  - 비정형 데이터 내 개인식별 위험성이 있는 모든 항목을 완벽하게 탐지·처리할 수 있는 기술이 부재합니다.
  - 예: 이미지·영상 데이터의 경우, 해상도, 조명 각도, 객체 크기 등에 따라 얼굴 등을 탐지하지 못하는 경우가 존재합니다.
 3. 재식별 공격 위험
  - AI 및 데이터 복원기술 발달로, 다른 정보와의 연계·결합 없이도 개인 재식별 공격 위험성이 증가합니다.
  - 예: 음성변조 규칙을 몰라도 화자의 원본 목소리를 복원할 수 있는 기술이 존재합니다.
 4. 비정형 데이터 가명처리 기본원칙
  - 데이터 처리 목적·환경, 민감도 등을 종합적으로 고려하여 개인식별 위험성이 있는 정보를 판단하고, 합리적인 처리 방법·수준을 설정합니다.
  - 가명처리 기술의 한계 등을 보완하기 위해, 사전 준비단계부터 위험성을 충실히 검토하고 적절한 안전조치를 수행합니다.
  - 데이터 복원기술 발달 등에 대응하여, 가명처리된 비정형 데이터 활용 시 관련 시스템·SW의 접근·사용 제한 등 통제방안을 마련합니다.</t>
  </si>
  <si>
    <t>42, 43</t>
  </si>
  <si>
    <t>2
 비정형데이터 가명처리·활용의 특수성 및 고려사항
  (개인식별성 판단의 어려움) 개인식별 가능 정보와 그렇지 않은 정보의 구분이 상대적이며, 처리 
 목적·환경 등에 따라 다르게 판단될 수 있음
 예시
 ▪ 얼굴 CT 사진 1장으로는 개인식별 위험성이 낮지만, 여러 위치·각도에서 촬영한 얼굴 
 CT 사진을 여러장 결합하면 얼굴형상 재건이 가능하여 개인식별 위험성 증가 
 ▪ 눈·코·입을 알아볼 수 없는 거리에서 찍힌 CCTV 영상은 통상 개인식별 위험성이 낮지만, 
 흉터, 문신, 머리스타일 등 특이한 신체 특징이 있는 경우 개인식별 위험성이 높음
  (가명처리 기술의 불완전성) 비정형데이터 내 개인식별 위험성이 있는 모든 항목을 완벽하게 
 탐지·처리할 수 있는 기술이 부재
 예시
 ▪ 이미지·영상 데이터의 경우, 해상도, 조명 각도, 객체 크기 등에 따라 얼굴 등을 
 탐지하지 못하는 경우가 존재 → 최근 AI 기술의 객체 탐지 정확도는 90~98% 수준1)
  ▪ ‘신뢰역 1번출구 앞 파란건물 1층 1호가 우리집’ 텍스트를 주소로 인식하지 않아 처리 
 하지 않거나, ‘김신뢰 김밥’ 등 상호명을 개인정보(이름)로 인식해 불필요하게 삭제 
  (재식별 공격 위험) AI 및 데이터 복원기술 발달로, 다른 정보와의 연계·결합 없이도 개인 재식별 공격 
 위험성 증가
 예시
 ▪ 음성변조 규칙을 몰라도 화자의 원본 목소리를 복원할 수 있는 기술 존재2)
  ▪ 가명처리된 사진의 모자이크 패턴을 몰라도, AI를 통해 모자이크된 사진을 원본에 
 가깝게 복원해낼 수 있는 기술 연구 중3)
  ⇒ 비정형데이터 가명처리·활용 시 데이터 처리 맥락(context), 가명처리 기술의 한계, 재식별 
 공격 위험 등을 고려하여 개인식별 위험성을 낮춰야 함
 3
 비정형데이터 가명처리 기본원칙
 1 데이터 처리 목적·환경, 민감도 등을 종합적으로 고려하여 개인식별 위험성이 있는 정보를 
 판단하고, 합리적인 처리 방법·수준 설정
 ※ 비정형데이터 식별 위험성 체크리스트(52p), 항목별 조치 가이드(55p) 참고 가능
 연구목적에 맞춰 데이터 자체 훼손을 최소화하면서 관리적·환경적 통제 등 다양한 안전성 확보 
 방안 적용 가능- 연구목적 달성에 필수적인 정보항목을 남기는 대신 그 외 정보항목에 대한 가명처리 수준을 
 높이거나, 다른 정보 및 소프트웨어(SW) 반입제한 등 충분한 안전조치를 보완하여 활용
 2 가명처리 기술의 한계 등을 보완하기 위해, 사전 준비단계(연구 및 기술개발 기획 시)부터 위험성을 
 충실히 검토하고 적절한 안전조치를 수행
 가명처리 기술의 한계 보완을 위해 다음 조치를 이행할 것을 권고
 ❶ 가명처리 기술의 적절성·신뢰성을 확인할 수 있는 근거 작성·보관
 ❷ 가명처리 기술 적용 이후, 처리 결과에 대해 자체적인 검수 수행
 ❸ 가명처리 적정성 검토 과정에서 ❶, ❷를 포함하여 점검(외부전문가 과반 이상 참여 바람직)
 사전에 식별된 개인정보 침해 위험을 예방하기 위해서 가명정보 활용에 참여하는 각 기관의 
 내부통제 강화 노력이 병행될 필요
 가명정보의 처리목적을 달성하면 신속히 가명정보를 파기하여 사후적 위험 최소화
 3 데이터 복원기술 발달 등에 대응하여, 가명처리된 비정형데이터 활용 시 관련 시스템‧SW의 
 접근·사용 제한 등 통제방안 마련
 * 원본 복원에 활용될 수 있는 추가정보 분리보관, 복원 SW에 대한 접근권한 제한 등
 AI 개발·활용 상황에서 나타날 수 있는 다양한 위험을 사전에 완벽하게 제거하는 것은 
 불가능하므로, AI 서비스 제공과정에서도 개인식별 위험 등 정보주체 권익 침해 가능성을 지속 
 모니터링</t>
  </si>
  <si>
    <t>비정형 데이터 가명처리 시 유의사항 안내</t>
  </si>
  <si>
    <r>
      <rPr>
        <rFont val="맑은 고딕"/>
        <b/>
        <color theme="1"/>
        <sz val="11.0"/>
      </rPr>
      <t>150_2402_빅데이터과_기타_개인정보보호위원회_가명정보_처리_가이드라인.pdf[42]</t>
    </r>
    <r>
      <rPr>
        <rFont val="맑은 고딕"/>
        <color theme="1"/>
        <sz val="11.0"/>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rFont val="Segoe UI Symbol"/>
        <color theme="1"/>
        <sz val="11.0"/>
      </rPr>
      <t>▪</t>
    </r>
    <r>
      <rPr>
        <rFont val="맑은 고딕"/>
        <color theme="1"/>
        <sz val="11.0"/>
      </rPr>
      <t xml:space="preserve"> 얼굴 CT 사진 1장으로는 개인식별 위험성이 낮지만, 여러 위치·각도에서 촬영한 얼굴 </t>
    </r>
    <r>
      <rPr>
        <rFont val="Segoe UI Symbol"/>
        <color theme="1"/>
        <sz val="11.0"/>
      </rPr>
      <t>▪</t>
    </r>
    <r>
      <rPr>
        <rFont val="맑은 고딕"/>
        <color theme="1"/>
        <sz val="11.0"/>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rFont val="Segoe UI Symbol"/>
        <color theme="1"/>
        <sz val="11.0"/>
      </rPr>
      <t>▪</t>
    </r>
    <r>
      <rPr>
        <rFont val="맑은 고딕"/>
        <color theme="1"/>
        <sz val="11.0"/>
      </rPr>
      <t xml:space="preserve"> 눈·코·입을 알아볼 수 없는 거리에서 찍힌 CCTV 영상은 통상 개인식별 위험성이 낮지만, </t>
    </r>
    <r>
      <rPr>
        <rFont val="Segoe UI Symbol"/>
        <color theme="1"/>
        <sz val="11.0"/>
      </rPr>
      <t>▪</t>
    </r>
    <r>
      <rPr>
        <rFont val="맑은 고딕"/>
        <color theme="1"/>
        <sz val="11.0"/>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rFont val="Segoe UI Symbol"/>
        <color theme="1"/>
        <sz val="11.0"/>
      </rPr>
      <t>▪</t>
    </r>
    <r>
      <rPr>
        <rFont val="맑은 고딕"/>
        <color theme="1"/>
        <sz val="11.0"/>
      </rPr>
      <t xml:space="preserve"> 이미지·영상 데이터의 경우, 해상도, 조명 각도, 객체 크기 등에 따라 얼굴 등을 </t>
    </r>
    <r>
      <rPr>
        <rFont val="Segoe UI Symbol"/>
        <color theme="1"/>
        <sz val="11.0"/>
      </rPr>
      <t>▪</t>
    </r>
    <r>
      <rPr>
        <rFont val="맑은 고딕"/>
        <color theme="1"/>
        <sz val="11.0"/>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rFont val="Segoe UI Symbol"/>
        <color theme="1"/>
        <sz val="11.0"/>
      </rPr>
      <t>▪</t>
    </r>
    <r>
      <rPr>
        <rFont val="맑은 고딕"/>
        <color theme="1"/>
        <sz val="11.0"/>
      </rPr>
      <t xml:space="preserve"> ‘신뢰역 1번출구 앞 파란건물 1층 1호가 우리집’ 텍스트를 주소로 인식하지 않아 처리 </t>
    </r>
    <r>
      <rPr>
        <rFont val="Segoe UI Symbol"/>
        <color theme="1"/>
        <sz val="11.0"/>
      </rPr>
      <t>▪</t>
    </r>
    <r>
      <rPr>
        <rFont val="맑은 고딕"/>
        <color theme="1"/>
        <sz val="11.0"/>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</si>
  <si>
    <r>
      <rPr>
        <rFont val="맑은 고딕"/>
        <b/>
        <color theme="1"/>
        <sz val="11.0"/>
      </rPr>
      <t>150_2402_빅데이터과_기타_개인정보보호위원회_가명정보_처리_가이드라인.pdf[49</t>
    </r>
    <r>
      <rPr>
        <rFont val="맑은 고딕"/>
        <color theme="1"/>
        <sz val="11.0"/>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 </t>
    </r>
    <r>
      <rPr>
        <rFont val="Segoe UI Symbol"/>
        <color theme="1"/>
        <sz val="11.0"/>
      </rPr>
      <t>❸</t>
    </r>
    <r>
      <rPr>
        <rFont val="맑은 고딕"/>
        <color theme="1"/>
        <sz val="11.0"/>
      </rPr>
      <t xml:space="preserve">  개 인식별 가능성이 높은 정보( 식별정보, 식별가능정보), 특이정보, 데이터 특성만으로 개 인식별 가능성이 높은 정보( </t>
    </r>
    <r>
      <rPr>
        <rFont val="Segoe UI Symbol"/>
        <color theme="1"/>
        <sz val="11.0"/>
      </rPr>
      <t>❶</t>
    </r>
    <r>
      <rPr>
        <rFont val="맑은 고딕"/>
        <color theme="1"/>
        <sz val="11.0"/>
      </rPr>
      <t xml:space="preserve">식별정보, </t>
    </r>
    <r>
      <rPr>
        <rFont val="Segoe UI Symbol"/>
        <color theme="1"/>
        <sz val="11.0"/>
      </rPr>
      <t>❷</t>
    </r>
    <r>
      <rPr>
        <rFont val="맑은 고딕"/>
        <color theme="1"/>
        <sz val="11.0"/>
      </rPr>
      <t>식 재식별 시 영향도가 높은 항목이 있는지 검토 데이터 자체 개인식별 위험성 요소 식별 재식별 시 식별정보 특이정보 가능정보 영향도 47</t>
    </r>
  </si>
  <si>
    <r>
      <rPr>
        <rFont val="맑은 고딕"/>
        <b/>
        <color theme="1"/>
        <sz val="11.0"/>
      </rPr>
      <t>150_2402_빅데이터과_기타_개인정보보호위원회_가명정보_처리_가이드라인.pdf[43]</t>
    </r>
    <r>
      <rPr>
        <rFont val="맑은 고딕"/>
        <color theme="1"/>
        <sz val="11.0"/>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rFont val="Segoe UI Symbol"/>
        <color theme="1"/>
        <sz val="11.0"/>
      </rPr>
      <t>❶</t>
    </r>
    <r>
      <rPr>
        <rFont val="맑은 고딕"/>
        <color theme="1"/>
        <sz val="11.0"/>
      </rPr>
      <t xml:space="preserve"> 가명처리 기술의 적절성·신뢰성을 확인할 수 있는 근거 작성·보관 </t>
    </r>
    <r>
      <rPr>
        <rFont val="Segoe UI Symbol"/>
        <color theme="1"/>
        <sz val="11.0"/>
      </rPr>
      <t>❶</t>
    </r>
    <r>
      <rPr>
        <rFont val="맑은 고딕"/>
        <color theme="1"/>
        <sz val="11.0"/>
      </rPr>
      <t xml:space="preserve"> 가명처리 기술의 적절성·신뢰성을 확인할 수 있는 근거 작성·보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를 포함하여 점검(외부전문가 과반 이상 참여 바람직)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rFont val="Noto Sans KR"/>
        <color theme="1"/>
        <sz val="11.0"/>
      </rPr>
      <t>‧</t>
    </r>
    <r>
      <rPr>
        <rFont val="맑은 고딕"/>
        <color theme="1"/>
        <sz val="11.0"/>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</si>
  <si>
    <t>부산광역시에서 생산하는 통계는 어떤 것들이 있나요?</t>
  </si>
  <si>
    <t>부산광역시에서 생산·관리하는 공식 통계의 종류와 각 통계별 작성 주체, 수집 범위, 제공 방식 및 이용 가능한 대상은 무엇인가요?</t>
  </si>
  <si>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</si>
  <si>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</si>
  <si>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</si>
  <si>
    <t>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t>
  </si>
  <si>
    <t>164_2502_빅데이터과_기타_빅데이터과_2025년도_통계_주요업무_시행계획.pdf</t>
  </si>
  <si>
    <t>50, 51</t>
  </si>
  <si>
    <t>해당 페이지 내용 전체</t>
  </si>
  <si>
    <t>부산광역시에서 생산하는 통계의 종류</t>
  </si>
  <si>
    <t>내부 지침 및 조례를 빠르게 찾고 싶은데 어떻게 하나요?</t>
  </si>
  <si>
    <t>부산광역시 소속 직원이 업무 관련 내부 지침이나 조례를 신속하게 검색·확인하려는 경우, 공식 포털, 내부 시스템, 검색 절차 및 접근 방법은 무엇인가요?</t>
  </si>
  <si>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</si>
  <si>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</si>
  <si>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</si>
  <si>
    <t>기대답변 :
 자치법규정보시스템(조례, 내부 지침)에서 확인 가능합니다.
 링크 : https://www.elis.go.kr/locgovalr/locgovClAlrList?ctpvSggCd=26000</t>
  </si>
  <si>
    <t>7</t>
  </si>
  <si>
    <t>자치법규 링크만 제공하면 될 것 같습니다.
 간단한 질문 대응 FAQ에 입력 완료
------
Q7. 자치법규정보시스템의 웹사이트 주소를 알려주세요.</t>
  </si>
  <si>
    <t>내부 지침 및 조례 찾는 방법, 자치법규정보시스템 사이트(URL, 링크) 정보</t>
  </si>
  <si>
    <t>시청 내부 직원교육 리스트 일정 및 내용을 보는 방법 있나요?</t>
  </si>
  <si>
    <t>내부 직원교육 프로그램의 전체 리스트, 일정, 교육 내용을 확인하려는 경우, 공식 시스템이나 포털에서 조회하는 방법과 접근 절차는 무엇인가요?</t>
  </si>
  <si>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</si>
  <si>
    <t>관련 근거 문서가 없어서 기초 답변이 나온거 같습니다. 다만 홈페이지내 공식 SNS에서는 확인이 불가능한데 잘못된 정보가 생성이 됩니다.</t>
  </si>
  <si>
    <t>문서 보존기간은 얼마인가요?</t>
  </si>
  <si>
    <t>행정문서 또는 기록물의 종류별 보존기간과 관련 법령·내부 지침상 보존 기간 산정 기준은 무엇인가요?</t>
  </si>
  <si>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</si>
  <si>
    <t>ㆍ587_압축사무관리규정_시행내규20130930.pdf (p.5)
https://busanai.busan.go.kr/download/587_압축사무관리규정_시행내규20130930.pdf</t>
  </si>
  <si>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</si>
  <si>
    <t>기대답변 :
 문서 보존기간은 기록물의 성격과 증명·관리 필요성에 따라 영구 → 준영구 → 30년 → 10년 → 5년 → 3년 → 1년으로 구분된다. 각 기간은 다음 기준에 따라 책정된다.
 1. 영구 보존 : 다음과 같이 국가·기관·국민의 권리‧의무 또는 역사적 가치가 큰 기록물이 해당한다.
  - 기관 핵심 업무 수행 증명 기록
  - 국민·기관의 지위·신분·재산·권리를 증명하는 기록
  - 국가·지역사회 역사 경험을 증명하는 기록
  - 건강·환경 보호 관련 중요 기록
  - 주요 정책·제도 결정 및 변화 관련 기록
  - 학술·문화예술 분야의 중대한 성과
  - 조직 구조 변화 및 주요 직위 임면 관련 기록
  - 국토·환경에 큰 영향을 미치는 사업 관련 기록
  - 법령에서 영구보존을 요구한 기록
  - 백서·정책자료집, 정부 지시사항, 주요 사건·사고 기록 등
 2. 준영구 보존 : 장기간 필요하지만 영구는 아닌 기록
  - 신분·재산·권리 증빙 기록 중 관리대상이 소멸하는 경우
  - 장기 보존 필요가 있는 비치기록물
  - 행정정보시스템 데이터셋
  - 토지수용 등 재산권 관련 30년 이상 보존 필요 기록
  - 법령에서 장기 책임·시효가 유지되는 기록
 3. 30년 보존 : 주요 업무 관련 기록 중 10년 이상 필요하나 영구는 아닌 기록
  - 고위직 기관장 결재를 요하는 일반사항
  - 법령에 따른 10~30년 보존 필요 항목
 4. 10년 보존 : 기관 주요업무 중 장기 검토가 필요한 기록
  - 본부·국·실 단위 일반 업무 관련 기록
  - 법령상 5~10년 보존 필요 항목
 5. 5년 보존 : 처리과 주요업무 관련 기록(3~5년 필요)
  - 일반 예산·회계 기록
  - 법령상 3~5년 보존 항목
 6. 3년 보존 : 처리과 일상적 업무 기록(1~3년 필요)
  - 각종 증명서 발급 기록
  - 주간·월간·분기별 계획 수립 기록
 7. 1년 보존 : 행정적·법적·재정적 증명 가치가 없는 단순 기록
  - 기관 간 단순 전달·문의·연락
  - 상급 요구에 따른 단순 현황 보고 기록</t>
  </si>
  <si>
    <t>438_2502_통합민원과_업무메뉴얼_통합민원과_기록관리_업무편람기정너.pdf</t>
  </si>
  <si>
    <t>85, 86, 87</t>
  </si>
  <si>
    <t>페이지 내용 전체</t>
  </si>
  <si>
    <r>
      <rPr>
        <rFont val="맑은 고딕"/>
        <b/>
        <color theme="1"/>
        <sz val="11.0"/>
      </rPr>
      <t xml:space="preserve">438_2502_통합민원과_업무메뉴얼_통합민원과_기록관리_업무편람기정너.pdf[29]
-----
</t>
    </r>
    <r>
      <rPr>
        <rFont val="맑은 고딕"/>
        <color theme="1"/>
        <sz val="11.0"/>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rFont val="맑은 고딕"/>
        <color rgb="FFFF0000"/>
        <sz val="11.0"/>
      </rPr>
      <t>4. 보존기간 기 록물의 보존ᆞ활용ᆞ폐기 등 등록 이후 기록물 관리의 핵심 • 구 분 : 1년, 3년, 5년, 10년, 30년, 준영구, 영구 • 관계 법령, 업무의 중요도, 활용여부, 역사적 가치 등을 종합적으로 검토하여 결정</t>
    </r>
    <r>
      <rPr>
        <rFont val="맑은 고딕"/>
        <color theme="1"/>
        <sz val="11.0"/>
      </rPr>
      <t xml:space="preserve"> 기 산일 : 기록물의 처리가 완결된 날이 속하는 다음 연도의 1월 1일 • [ 예] 2021.10.23 생산한 보존기간 3년인 문서의 보존기간→ 2022.1. 1 ~ 2024. 12. 3 </t>
    </r>
    <r>
      <rPr>
        <rFont val="Segoe UI Symbol"/>
        <color theme="1"/>
        <sz val="11.0"/>
      </rPr>
      <t>✽</t>
    </r>
    <r>
      <rPr>
        <rFont val="맑은 고딕"/>
        <color theme="1"/>
        <sz val="11.0"/>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rFont val="Segoe UI Symbol"/>
        <color theme="1"/>
        <sz val="11.0"/>
      </rPr>
      <t>✽</t>
    </r>
    <r>
      <rPr>
        <rFont val="맑은 고딕"/>
        <color theme="1"/>
        <sz val="11.0"/>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</si>
  <si>
    <r>
      <rPr>
        <rFont val="맑은 고딕"/>
        <b/>
        <color theme="1"/>
        <sz val="11.0"/>
      </rPr>
      <t xml:space="preserve">432_2412_통합민원과_업무메뉴얼_국가기록원_25년_기록물관리_지침.pdf[18] </t>
    </r>
    <r>
      <rPr>
        <rFont val="맑은 고딕"/>
        <color theme="1"/>
        <sz val="11.0"/>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</si>
  <si>
    <r>
      <rPr>
        <rFont val="맑은 고딕"/>
        <b/>
        <color theme="1"/>
        <sz val="11.0"/>
      </rPr>
      <t xml:space="preserve">432_2412_통합민원과_업무메뉴얼_국가기록원_25년_기록물관리_지침.pdf[22] </t>
    </r>
    <r>
      <rPr>
        <rFont val="맑은 고딕"/>
        <color theme="1"/>
        <sz val="11.0"/>
      </rPr>
      <t xml:space="preserve">
-----
</t>
    </r>
    <r>
      <rPr>
        <rFont val="맑은 고딕"/>
        <color rgb="FFFF0000"/>
        <sz val="11.0"/>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</si>
  <si>
    <t>직원대상 후생복지 내용을 보는 방법이 있나요?</t>
  </si>
  <si>
    <t>후생복지 제도의 종류와 상세 내용, 안내 자료를 확인하려는 경우, 공식 시스템이나 포털에서 조회하는 방법과 접근 절차는 무엇인가요?</t>
  </si>
  <si>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</si>
  <si>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</si>
  <si>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</si>
  <si>
    <t>기대답변:
 2025년 공무원 후생복지 추진계획(배포)에서 확인가능합니다.
 1. 여가지원
  1-1 맞춤형 복지제도 운영 
  1-2 연휴연계 휴가 활성화
  1-3 장기재직휴가 실시
  1-4 장기재직휴가(휴양시설) 지원
  1-5 직원 휴양시설(콘도) 회원권 지원
  1-6 휴양시설 이용 지원
 2. 건강관리
  2-1 종합 건강검진비 지원
  2-2 독감 예방접종비 지원 
  2-3 대상포진 예방접종비 지원 
  2-4 체력단련실 운영
  2-5 청내부속의원 및 힐링센터 설치
  2-6 열린상담실 운영
  2-7 의무실 운영
 3. 가정 친화
  3-1 가족과 함께하는 문화활동 지원
  3-2 임산부 및 출산직원 지원
  3-3 임신검진 동행휴가(특별휴가) 신설 
  3-4 직원 자녀 야간 돌봄 서비스 제공
  3-5 학습지도시간(특별휴가) 신설 
  3-6 육아시간 사용 직원 업무 대행자 보상실시
  3-7 모성쉼터 운영 지원
  3-8 가족 사랑의 날 운영
  3-9 가환(家患) 직원 격려
  3-10 장례비 지원
  3-11 유가족 위로금 지급
 4. 자긍심 고취
  4-1 청사 내 텀블러세척기 설치
  4-2 직원식당 직영 운영
  4-3 생일 축하품 지원
  4-4 장애인공무원 보조공학기기 지원
  4-5 행정종합배상공제 가입
  4-6 퇴직공무원 격려금 지급
  4-7 6급이하 퇴직공무원 기념품 지급
 5. 역량 강화
  5-1 업무유공 공무원 등 해외시찰
  5-2 직원 해외정책 연수 
  5-3 미혼남녀 공무원 만남과 소통의 행사 개최
  5-4 신규 공무원 공직 적응 지원 프로그램 운영
  5-5 동호회 활동 지원 
  5-6 전자책 서비스 
  5-7 직원 연금 및 보수 교육 
 세부적인 사항은 첨부파일을 참고하시면 됩니다. 감사합니다.</t>
  </si>
  <si>
    <t>1283_2503_인사과_공문_인사과_2025년_공무원_후생복지_추진계획배포-hwp.pdf</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</si>
  <si>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</si>
  <si>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t>직원 대상 후생복지 내용 확인 방법, 부산시 공무원 복지지원 프로그램 전체 내용</t>
  </si>
  <si>
    <r>
      <rPr>
        <rFont val="맑은 고딕"/>
        <b/>
        <color theme="1"/>
        <sz val="11.0"/>
      </rPr>
      <t>128_페이지13_문서8_162323_부산광역시_공무원_후생복지에_관한_조례.pdf</t>
    </r>
    <r>
      <rPr>
        <rFont val="맑은 고딕"/>
        <color theme="1"/>
        <sz val="11.0"/>
      </rPr>
      <t xml:space="preserve">
-----
</t>
    </r>
    <r>
      <rPr>
        <rFont val="맑은 고딕"/>
        <color rgb="FFFF0000"/>
        <sz val="11.0"/>
      </rPr>
      <t xml:space="preserve">자치법규 조례에 위 파일이 있으나 실제 내용에 후생복지 내용에 대한 세부 사항이 정리되어 있지는 않음 </t>
    </r>
  </si>
  <si>
    <r>
      <rPr>
        <rFont val="맑은 고딕"/>
        <b/>
        <color theme="1"/>
        <sz val="11.0"/>
      </rPr>
      <t xml:space="preserve">300_2502_인사과_업무매뉴얼_인사과_직원복지지원시스템_사용방법_안내장례비.pdf
-----
301_2502_인사과_업무매뉴얼_인사과_직원복지지원시스템_신청방법휴양시설_이용_지원.pdf
-----
</t>
    </r>
    <r>
      <rPr>
        <rFont val="맑은 고딕"/>
        <color rgb="FFFF0000"/>
        <sz val="11.0"/>
      </rPr>
      <t>신청 방법에 대한 간단한 설명은 있으나 내용을 확인할 수 없음</t>
    </r>
  </si>
  <si>
    <t>공무직 업무 담당자를 위한 사례집이 있나요?</t>
  </si>
  <si>
    <t>공무직 업무 담당자가 참고할 수 있는 업무 사례집이나 가이드 자료가 존재하는지, 존재할 경우 확인 및 열람 방법은 무엇인가요?</t>
  </si>
  <si>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</si>
  <si>
    <t>제출된 자료 중에는 공무직 업무 담당자 사례집이 없으므로 이상없습니다.</t>
  </si>
  <si>
    <t>지방재정시스템 전체 매뉴얼이 있을까요?</t>
  </si>
  <si>
    <t>지방재정시스템(e호조, 이호조)과 관련하여, 전체 기능과 사용 절차를 안내하는 공식 매뉴얼이나 가이드 자료가 존재하는지, 존재할 경우 확인 및 열람 방법은 무엇인가요?</t>
  </si>
  <si>
    <t xml:space="preserve">지방재정시스템 전체 매뉴얼은 부산광역시에서 제공하고 있으며, 해당 매뉴얼을 확인할 수 있는 방법은 부산광역시 재정관리시스템 홈페이지에서 다운로드 받을 수 있습니다. </t>
  </si>
  <si>
    <t>제출된 자료 중에는 지방재정시스템 매뉴얼이 없습니다. 공무직 업무 담당자를 위한 사례집 답변처럼 되어야 할것으로 보입니다.</t>
  </si>
  <si>
    <t>세정정책담당관_e호조 예산결산 매뉴얼이 있긴 하나
 전체 매뉴얼은 아니므로 미답변 처리 바랍니다.</t>
  </si>
  <si>
    <t>금액별 수의, 조달, 계약 절차 매뉴얼을 찾고 싶어요</t>
  </si>
  <si>
    <t>금액 구간별(소액, 수의계약, 조달 계약 등) 계약 절차와 관련한 매뉴얼이나 안내 자료를 확인하려는 경우, 공식 자료의 존재 여부와 조회·열람 방법은 무엇인가요?</t>
  </si>
  <si>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</si>
  <si>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</si>
  <si>
    <t>기대답변:
 회계재산담당관 업무매뉴얼 계약업무 참고자료에 절차 관련 매뉴얼이 있습니다.
 1. 수의 계약
  - 1인견적 가능
  &gt; 공사, 용역, 물품: 2천만원 이하 (여성, 장애인기업 등은 5천만원 이하)
  ▶ 견적 제출: 수기제출
  ▶ 2백만원 이상 1인견적 수의계약 요청 시, 수의계약요청사유서 첨부 (부산시 지침)
  - 2인 이상 견적 (공사)
  &gt; 종합공사: 2천만원 ~ 4억원 이하
  &gt; 전문공사: 2천만원 ~ 2억원 이하
  &gt; 기타공사: 2천만원 ~ 1.6억원 이하
  &gt; 견적 제출: 나라장터(g2b) [전자수의(견적입찰)]
  - 2인 이상 견적 (용역, 물품)
  &gt; 2천만원 ~ 1억원 이하
  &gt; 견적 제출: 나라장터(g2b) [전자수의(견적입찰)]
 2. 지역 제한
  - 공사
  &gt; 종합공사: 100억원 미만
  &gt; 전문공사: 10억원 미만
  &gt; 기타공사: 10억원 미만
  &gt; 지역제한 불가 시, 사전검토 절차 이행 (부산시 지침)
  감사관 사전컨설팅 감사신청, 지역제한 불가 명백한 사유 有 ⇒ 회계재산담당관 사전검토 후 전국입찰 시행 예외: 지역 내 1개 업체, 해당업체 부재, 타행정구역 내 청사위치 등 지역제한 입찰 미적용 사유
  - 용역
  &gt; 건설기술용역: 3.3억원 미만
  &gt; 건설기술용역 외: 3.5억원 미만
  &gt; 정밀안전진단: 1.5억원 미만
  &gt; 지역제한 불가 시, 위와 동일한 절차 적용
  - 물품
  &gt; 3.5억원 미만
  &gt; 지역제한 불가 시, 위와 동일한 절차 적용
 3. 전국 입찰
  - 공사, 용역, 물품
  &gt; 지역제한 금액 이상
  &gt; 지역의무공동도급 (공사) 원칙: 40%, 예외: 49%
  &gt; 물품, 용역: 지역의무공동도급 ×
  &gt; 지역업체와 자발적 공동수급체 구성 시 가점부여 (용역), 기술용역: 30% 이상 (3점), 일반용역: 40% 이상 (5점)
 4. 국제 입찰
  - 공사, 용역, 물품
  &gt; 공사: 265억원 이상
  &gt; 용역, 물품: 3.5억원 이상
  &gt; 국제입찰에 의하는 지방자치단체의 공사 및 물품, 용역의 범위에 관한 고시 (행안부 고시)</t>
  </si>
  <si>
    <t>페이지 내용 전체 
 ------
 [문서 해당 페이지가 질문에 대한 매뉴얼에 해당되는 문서임]</t>
  </si>
  <si>
    <t>금액별 수의계약, 조달계약 절차 관련 매뉴얼</t>
  </si>
  <si>
    <r>
      <rPr>
        <rFont val="맑은 고딕"/>
        <b/>
        <color theme="1"/>
        <sz val="11.0"/>
      </rPr>
      <t>478_2505_회계재산담당관_업무매뉴얼_회계재산담당관_계약업무_참고자료회계재산담당관외부용.pdf[14]</t>
    </r>
    <r>
      <rPr>
        <rFont val="맑은 고딕"/>
        <color theme="1"/>
        <sz val="11.0"/>
      </rPr>
      <t xml:space="preserve">
-----
5. 추정가격에 따른 계약방법
[표로 수의계약, 지역제한, 전국입찰 관련 사항이 정리되어 있음]</t>
    </r>
  </si>
  <si>
    <r>
      <rPr>
        <rFont val="맑은 고딕"/>
        <b/>
        <color theme="1"/>
        <sz val="11.0"/>
      </rPr>
      <t>475_2501_회계재산담당관_업무매뉴얼_회계재산담당관_2025년_계약업무_통합운영_매뉴얼2511_회계재산담당관_계약지원팀.pdf</t>
    </r>
    <r>
      <rPr>
        <rFont val="맑은 고딕"/>
        <color theme="1"/>
        <sz val="11.0"/>
      </rPr>
      <t xml:space="preserve">
-----
금액 별 수의계약, 조달 등의 계약 절차에 대한 내용을 찾을 수 없음</t>
    </r>
  </si>
  <si>
    <t>DRM, 네트워크접근제어 아이디, 패스워드 찾는 매뉴얼이 있나요?</t>
  </si>
  <si>
    <t>DRM(자료반출관리시스템, 문서암호화시스템) 및 네트워크접근제어(NAC) 계정·비밀번호 관련 매뉴얼이나 안내 자료를 확인하려는 경우, 공식 매뉴얼의 존재 여부와 조회·열람 방법은 무엇인가요?</t>
  </si>
  <si>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</si>
  <si>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</si>
  <si>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331_2112_정보화정책과_업무매뉴얼_정보화정책과_부서관리자_매뉴얼자료유출방지시스템_DRM_v50_비번초기화.pdf
1284_2512_부산시_업무관련_FAQ문서.pdf</t>
  </si>
  <si>
    <t>1, 2, 3
5</t>
  </si>
  <si>
    <t>본문 내용 일체
 5. 네트워크 인증 시스템(NAC)
  - 네트워크가 차단되셨다면 행정전화(5999)로 연락바랍니다
  - 네트워크 인증 시스템 비밀번호 분실 시 행정전화(5999)로 연락바랍니다</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</si>
  <si>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
---
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</si>
  <si>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온나라 2.0 이후 많이 발생하는 오류 사례집이 있나요?</t>
  </si>
  <si>
    <t>온나라(온나라 문서) 2.0 시스템을 사용하면서 자주 발생하는 오류 사례와 해결 방법을 정리한 공식 사례집이나 안내 자료가 존재하는지, 존재할 경우 조회·열람 방법은 무엇인가요?</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</si>
  <si>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</si>
  <si>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</si>
  <si>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</si>
  <si>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353_2412_정보화정책과_업무매뉴얼_KLID_온나라_20_달라지는_점PDF.pdf</t>
  </si>
  <si>
    <t>25, 26</t>
  </si>
  <si>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</si>
  <si>
    <t>온나라 2.0 전환 이후 자주 발생하는 오류에 대한 사례집 및 질문과 답변, 온나라 2.0 FAQ</t>
  </si>
  <si>
    <r>
      <rPr>
        <rFont val="맑은 고딕"/>
        <b/>
        <color theme="1"/>
        <sz val="11.0"/>
      </rPr>
      <t xml:space="preserve">365_2412_정보화정책과_업무매뉴얼_정보화정책과_온나라20문서작성매뉴얼_NO2_본문내용_복사하기.pdf (p.6)
354_2412_정보화정책과_업무매뉴얼_KLID_온나라_20_전환기관_공통교안PDF.pdf (p.34)
</t>
    </r>
    <r>
      <rPr>
        <rFont val="맑은 고딕"/>
        <color theme="1"/>
        <sz val="11.0"/>
      </rPr>
      <t>-----
관련 있는 데이터가 없었음</t>
    </r>
  </si>
  <si>
    <t xml:space="preserve">전자적 인수인계 매뉴얼이 있나요? </t>
  </si>
  <si>
    <t>내부 업무에서 사용되는 전자적 인수인계 시스템 또는 절차에 대해, 공식 매뉴얼이나 표준 지침이 존재하는지와 이를 확인·열람하는 방법은 무엇인가요?</t>
  </si>
  <si>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</si>
  <si>
    <t>전자적 인수인계 매뉴얼은 없는데 있다고 내용이 나와서 오류입니다. 그리고 매뉴얼이 있다고 하는데 근거자료로 링크가 제공되지 않습니다.</t>
  </si>
  <si>
    <t>공용차량 신청방법</t>
  </si>
  <si>
    <t>공용차량(관용차, 관용차량)을 이용하려는 경우, 관련 내부 규정과 절차에 따라 신청, 승인, 배차까지 진행되는 방법은 무엇인가요?</t>
  </si>
  <si>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</si>
  <si>
    <t>관련 근거 문서가 없기 때문에 기본적인 답변이 나온것으로 보입니다.</t>
  </si>
  <si>
    <t>공용차랑 신청방법 안내, 공용 차량 신청 및 배차 방법 안내, 차량 배차 협조 요청 절차 및 처리 방법 안내</t>
  </si>
  <si>
    <t>SQG020</t>
  </si>
  <si>
    <t>공무원증 재발급 방법</t>
  </si>
  <si>
    <t>공무원증을 분실하거나 훼손했을 때, 관련 내부 규정과 절차에 따라 재발급을 신청하고 수령하는 방법은 무엇인가요?</t>
  </si>
  <si>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</si>
  <si>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</si>
  <si>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</si>
  <si>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</si>
  <si>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1219_2510_인사과_매뉴얼_인사과_자주찾는_질문인사과_전체.pdf</t>
  </si>
  <si>
    <t>질 문
 ◦ 공무원증 신청방법? 발급되는데 얼마나 걸리나요?
 ◦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</si>
  <si>
    <t>공무원증 신청 및 승인처리 방법, 공무원증 재발급 받는 방법, 청사 공무원증 발급 방법, 청사 출입 방법, 모바일 공무원증 발급 방법, 공무원증 활용 방안</t>
  </si>
  <si>
    <t>SQG016</t>
  </si>
  <si>
    <t>네트워크 차단 시 조치방법</t>
  </si>
  <si>
    <t>내부 업무망 사용 중 네트워크 차단이 발생했을 때, 관련 보안·전산 운영 규정에 따라 수행해야 하는 확인 절차와 조치 방법은 무엇인가요?</t>
  </si>
  <si>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</si>
  <si>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</si>
  <si>
    <t>제출 문서가 없지만 기본적인 내용이라 답변이 필요할 것으로 보입니다.
 기대답변 :
 네트워크가 차단되셨다면 행정전화(5999)로 연락바랍니다.</t>
  </si>
  <si>
    <t>5. 네트워크 인증 시스템(NAC, PClient) 오류나 문제가 발생하였을 때 대처방법을 알려주세요.
  - 네트워크가 차단되셨다면 행정전화(5999)로 연락바랍니다
  - 네트워크 인증 시스템 비밀번호 분실 시 행정전화(5999)로 연락바랍니다</t>
  </si>
  <si>
    <t>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</si>
  <si>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도모헌공간 신청방법</t>
  </si>
  <si>
    <t>‘도모헌’ 공간을 사용하려는 경우, 관련 내부 규정과 절차에 따라 신청, 승인, 사용까지 진행되는 방법은 무엇인가요?</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</si>
  <si>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</si>
  <si>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ㆍ407_2505_총무과_주요질문사항_도모헌_이용범위_및_신청_절차.pdf (p.1)</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</si>
  <si>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</si>
  <si>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407_2505_총무과_주요질문사항_도모헌_이용범위_및_신청_절차.pdf</t>
  </si>
  <si>
    <t>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</si>
  <si>
    <t>도모헌 공간 신청 방법 및 절차에 대한 설명</t>
  </si>
  <si>
    <t xml:space="preserve">부산시 공무원 복지지원 프로그램 총괄 </t>
  </si>
  <si>
    <t>복지지원 프로그램 전체 현황과 종류, 지원 대상, 신청 절차 및 이용 방법을 총괄적으로 확인할 수 있는 방법은 무엇인가요?</t>
  </si>
  <si>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</si>
  <si>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</si>
  <si>
    <t>입법예고문이 근거자료로 활용되기에는 좀 어렵습니다.
그 외 복지프로그램 사용 방법에 대한 문서도 2개 있는데
해당 질의의 의도 분류가 좀 어려울 수도 있어서 답변 자체는 나쁘지 않은것 같습닏.</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</si>
  <si>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</si>
  <si>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r>
      <rPr>
        <rFont val="맑은 고딕"/>
        <b/>
        <color theme="1"/>
        <sz val="11.0"/>
      </rPr>
      <t>290_2501_인사과_기타_인사과_2025년도_부산광역시_맞춤형복지제도_운영계획.pdf[3]</t>
    </r>
    <r>
      <rPr>
        <rFont val="맑은 고딕"/>
        <color theme="1"/>
        <sz val="11.0"/>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rFont val="Segoe UI Symbol"/>
        <color theme="1"/>
        <sz val="11.0"/>
      </rPr>
      <t>▹</t>
    </r>
    <r>
      <rPr>
        <rFont val="맑은 고딕"/>
        <color theme="1"/>
        <sz val="11.0"/>
      </rPr>
      <t xml:space="preserve"> (복지포인트) 6,762,000천원, (단체보험) 906,500천원 - 공무직 등 </t>
    </r>
    <r>
      <rPr>
        <rFont val="Segoe UI Symbol"/>
        <color theme="1"/>
        <sz val="11.0"/>
      </rPr>
      <t>▹</t>
    </r>
    <r>
      <rPr>
        <rFont val="맑은 고딕"/>
        <color theme="1"/>
        <sz val="11.0"/>
      </rPr>
      <t xml:space="preserve"> (복지포인트) 1,758,120천원, (단체보험) 235,690천원</t>
    </r>
    <r>
      <rPr>
        <rFont val="맑은 고딕"/>
        <color rgb="FFFF0000"/>
        <sz val="11.0"/>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rFont val="Segoe UI Symbol"/>
        <color rgb="FFFF0000"/>
        <sz val="11.0"/>
      </rPr>
      <t>▹</t>
    </r>
    <r>
      <rPr>
        <rFont val="맑은 고딕"/>
        <color rgb="FFFF0000"/>
        <sz val="11.0"/>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</si>
  <si>
    <r>
      <rPr>
        <rFont val="맑은 고딕"/>
        <b/>
        <color theme="1"/>
        <sz val="11.0"/>
      </rPr>
      <t>290_2501_인사과_기타_인사과_2025년도_부산광역시_맞춤형복지제도_운영계획.pdf[1</t>
    </r>
    <r>
      <rPr>
        <rFont val="맑은 고딕"/>
        <color theme="1"/>
        <sz val="11.0"/>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rFont val="맑은 고딕"/>
        <color rgb="FFFF0000"/>
        <sz val="11.0"/>
      </rPr>
      <t xml:space="preserve">&lt;2025년도 달라지는 내용&gt; </t>
    </r>
    <r>
      <rPr>
        <rFont val="Segoe UI Symbol"/>
        <color rgb="FFFF0000"/>
        <sz val="11.0"/>
      </rPr>
      <t>❖</t>
    </r>
    <r>
      <rPr>
        <rFont val="맑은 고딕"/>
        <color rgb="FFFF0000"/>
        <sz val="11.0"/>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rFont val="Segoe UI Symbol"/>
        <color rgb="FFFF0000"/>
        <sz val="11.0"/>
      </rPr>
      <t>▹</t>
    </r>
    <r>
      <rPr>
        <rFont val="맑은 고딕"/>
        <color rgb="FFFF0000"/>
        <sz val="11.0"/>
      </rPr>
      <t xml:space="preserve">한시적 </t>
    </r>
    <r>
      <rPr>
        <rFont val="Segoe UI Symbol"/>
        <color rgb="FFFF0000"/>
        <sz val="11.0"/>
      </rPr>
      <t>❖</t>
    </r>
    <r>
      <rPr>
        <rFont val="맑은 고딕"/>
        <color rgb="FFFF0000"/>
        <sz val="11.0"/>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</si>
  <si>
    <r>
      <rPr>
        <rFont val="맑은 고딕"/>
        <b/>
        <color theme="1"/>
        <sz val="11.0"/>
      </rPr>
      <t>284_2501_인사과_기타_인사과_2025년_직원_장기재직휴가_지원_계획.pdf[2]</t>
    </r>
    <r>
      <rPr>
        <rFont val="맑은 고딕"/>
        <color theme="1"/>
        <sz val="11.0"/>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rFont val="Segoe UI Symbol"/>
        <color theme="1"/>
        <sz val="11.0"/>
      </rPr>
      <t>▹</t>
    </r>
    <r>
      <rPr>
        <rFont val="맑은 고딕"/>
        <color theme="1"/>
        <sz val="11.0"/>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</si>
  <si>
    <r>
      <rPr>
        <rFont val="맑은 고딕"/>
        <b/>
        <color theme="1"/>
        <sz val="11.0"/>
      </rPr>
      <t>278_2501_인사과_기타_인사과_2025년_공무원_장례비_지원_추진계획.pdf[1]</t>
    </r>
    <r>
      <rPr>
        <rFont val="맑은 고딕"/>
        <color theme="1"/>
        <sz val="11.0"/>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</si>
  <si>
    <t>사무실 물품 지원 절차 및 지원 목록</t>
  </si>
  <si>
    <t>사무실 물품을 지원받으려는 경우, 관련 내부 규정과 절차에 따라 신청, 승인, 수령까지 진행되는 방법과 제공되는 물품 목록은 무엇인가요?</t>
  </si>
  <si>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</si>
  <si>
    <t>근거문서가 아마 없을것으로 판단됩니다.
하지만 내부 직원의 문의나 신청등은 보통 시 홈페이지로 받지는 않습니다.
시 홈페이지는 대민서비스 위주로 보시면 됩니다</t>
  </si>
  <si>
    <t>사무실 가구 파손 시 수리 안내</t>
  </si>
  <si>
    <t>사무실 가구가 파손된 경우, 관련 절차에 따라 수리 요청, 처리 및 완료까지 진행되는 방법은 무엇인가요?</t>
  </si>
  <si>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</si>
  <si>
    <t>해당 질의도 근거 문서가 없는 질문입니다.
그래서 일반적인 기초 답변 정도로 생성된거 같습니다.</t>
  </si>
  <si>
    <t>보안 USB 반출 및 반입 절차는?</t>
  </si>
  <si>
    <t>보안 USB를 업무상 반출·반입하려는 경우, 매체제어시스템(보안USB 관리시스템)에서 어떻게 처리해야 하나요?</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</si>
  <si>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</si>
  <si>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</si>
  <si>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</si>
  <si>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369_2412_정보화정책과_업무매뉴얼_채울_휴대용저장매체관리시스템_사용자_매뉴얼.pdf</t>
  </si>
  <si>
    <t>23, 24, 26</t>
  </si>
  <si>
    <t>관리 : 보안 USB 반출
 ①uToken 아이콘 우 클릭
  - 작업표시줄의 uToken 아이콘을 우 클릭 한 후 , 관리를 클릭합니다
 ②반출신청 탭 클릭
  - 반출 신청을 마우스 좌 클릭 후 보안 USB에 대한 반출을 신청합니다
 ③반출신청 신청서 작성
  - 반출신청서 작성 후 신청 버튼을 마우스 좌 클릭하여 보안 USB 에 대한 반출을 신청합니다
 ④보안 USB 반출 신청 확인
  - 확인버튼을 마우스 좌 클릭하여 반출신청에 대한 확인을 진행합니다 
 ④보안 USB 반출 신청 확인
 ※ 유의사항
 - 보안 USB 반출 신청 이 후 부서관리자 및 총괄관리자의 승인이 완료되면 신청확인을 해야만 반출 완료 반출신청확인을 진행하지 않으면 외부에서 보안 USB 사용 불가
 관리 : 보안 USB 반입
 ①uToken 아이콘 우 클릭
  - 작업표시줄의 uToken 아이콘을 우 클릭 한 후 , 관리를 클릭합니다
 ②반입신청 탭 클릭
  - 반입 신청 버튼 마우스 좌 클릭 후 보안 USB 에 대한 반입을 신청합니다
 ③반입 진행
  - 신청 버튼 마우스 좌 클릭 이 후 반출 된 보안 USB 에 대해서 반입이 진행됩니다</t>
  </si>
  <si>
    <t>보안 USB 외부 반출 절차, 보안 USB 내부 반입 절차, 유에스비 반입 반출 절차 안내</t>
  </si>
  <si>
    <r>
      <rPr>
        <rFont val="맑은 고딕"/>
        <b/>
        <color theme="1"/>
        <sz val="11.0"/>
      </rPr>
      <t xml:space="preserve">369_2412_정보화정책과_업무매뉴얼_채울_휴대용저장매체관리시스템_사용자_매뉴얼.pdf[23~24]
-----
</t>
    </r>
    <r>
      <rPr>
        <rFont val="맑은 고딕"/>
        <color theme="1"/>
        <sz val="11.0"/>
      </rPr>
      <t xml:space="preserve">[보안 USB 반출절차]
</t>
    </r>
  </si>
  <si>
    <r>
      <rPr>
        <rFont val="맑은 고딕"/>
        <b/>
        <color theme="1"/>
        <sz val="11.0"/>
      </rPr>
      <t xml:space="preserve">369_2412_정보화정책과_업무매뉴얼_채울_휴대용저장매체관리시스템_사용자_매뉴얼.pdf[26]
-----
</t>
    </r>
    <r>
      <rPr>
        <rFont val="맑은 고딕"/>
        <color theme="1"/>
        <sz val="11.0"/>
      </rPr>
      <t>[보안 USB 반입절차]</t>
    </r>
  </si>
  <si>
    <r>
      <rPr>
        <rFont val="맑은 고딕"/>
        <b/>
        <color theme="1"/>
        <sz val="11.0"/>
      </rPr>
      <t xml:space="preserve">368_2412_정보화정책과_업무매뉴얼_채울_휴대용저장매체관리시스템_부서관리자_매뉴얼.pdf [12~13]
-----
</t>
    </r>
    <r>
      <rPr>
        <rFont val="맑은 고딕"/>
        <color theme="1"/>
        <sz val="11.0"/>
      </rPr>
      <t>[보안 USB 반출 신청서 승인처리]</t>
    </r>
  </si>
  <si>
    <t>시청 방송 채널 번호를 모르겠어요</t>
  </si>
  <si>
    <t>내부 방송 또는 시정 방송을 시청하기 위해 필요한 채널 번호와 시청 방법을 확인할 수 있는 절차는 무엇인가요?</t>
  </si>
  <si>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</si>
  <si>
    <t>해당 자료는 관련 매뉴얼이 없습니다.
해당 채널 번호에 대해 확인이 어려워
정합성에 대한 여부 확인이 불가능하니
시청 방송 채널 번호에 대한 자료는 없다고 표출하는것이 맞는거 같습니다.</t>
  </si>
  <si>
    <t>구청에서 근무 중인 시직원도 장기재직 휴가 쓸 수 있나요?</t>
  </si>
  <si>
    <t>부산광역시 소속 공무원이 구청 등 산하기관에 파견·전출되어 근무하는 경우에도, 내부 인사 규정에서 정한 장기재직 휴가를 동일하게 신청·사용할 수 있는지와 그 적용 기준은 무엇인가요?</t>
  </si>
  <si>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</si>
  <si>
    <t>ㆍ284_2501_인사과_기타_인사과_2025년_직원_장기재직휴가_지원_계획.pdf (p.2)
https://busanai.busan.go.kr/download/284_2501_인사과_기타_인사과_2025년_직원_장기재직휴가_지원_계획.pdf</t>
  </si>
  <si>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</si>
  <si>
    <t>기대답변:
 &lt;자치구・군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</si>
  <si>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1227_2407_부산광역시_인사과_업무매뉴얼_인사과_장기재직휴가_시행지침_개정전문.pdf</t>
  </si>
  <si>
    <t>&lt;자치구・군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</si>
  <si>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장기재직휴가 등록 기준 및 사용 방법과 신청 절차, 장기재직휴가 기준 및 사용방법과 신청절차, 장기재직휴가 사용 요건 인사랑 자동 반영여부, 인사교류 파견자의 장기재직휴가 사용 안내, 구청 근무 시직원 장기재직휴가 사용 안내</t>
  </si>
  <si>
    <t>임기제 공무원 고용보험 가입 요청 시 어떻게 해야 하나요?</t>
  </si>
  <si>
    <t>임기제 공무원을 신규 임용하거나 계약 갱신할 때, 고용보험 가입이 필요한 경우 관련 규정에 따라 신청, 처리, 확인까지 진행되는 절차는 무엇인가요?</t>
  </si>
  <si>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</si>
  <si>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</si>
  <si>
    <r>
      <rPr>
        <rFont val="맑은 고딕"/>
        <b/>
        <color theme="1"/>
        <sz val="11.0"/>
      </rPr>
      <t xml:space="preserve">298_2502_인사과_업무매뉴얼_근로복지공단_2025_산재고용보험_가입_및_부과업무_실무편람.pdf[32]
-----
</t>
    </r>
    <r>
      <rPr>
        <rFont val="맑은 고딕"/>
        <b/>
        <color rgb="FFFF0000"/>
        <sz val="11.0"/>
      </rPr>
      <t>[아래 내용에 가이드해준 문구가 있으나 실제 내용은 고용보험 가입제외 대상 근로자 내용에 이 부분이 있어 조회가 되어도 답으로 활용할 수 있을지 검토 필요]</t>
    </r>
    <r>
      <rPr>
        <rFont val="맑은 고딕"/>
        <b/>
        <color theme="1"/>
        <sz val="11.0"/>
      </rPr>
      <t xml:space="preserve">
</t>
    </r>
    <r>
      <rPr>
        <rFont val="맑은 고딕"/>
        <color theme="1"/>
        <sz val="11.0"/>
      </rPr>
      <t xml:space="preserve">
제1장 보험 가입 근로자
1 보험 가입 대상 근로자
산재보험과 고용보험 가입 대상인 근로자는 </t>
    </r>
    <r>
      <rPr>
        <rFont val="Noto Sans KR"/>
        <color theme="1"/>
        <sz val="11.0"/>
      </rPr>
      <t>｢</t>
    </r>
    <r>
      <rPr>
        <rFont val="맑은 고딕"/>
        <color theme="1"/>
        <sz val="11.0"/>
      </rPr>
      <t>근로기준법</t>
    </r>
    <r>
      <rPr>
        <rFont val="Noto Sans KR"/>
        <color theme="1"/>
        <sz val="11.0"/>
      </rPr>
      <t>｣</t>
    </r>
    <r>
      <rPr>
        <rFont val="맑은 고딕"/>
        <color theme="1"/>
        <sz val="11.0"/>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rFont val="Noto Sans KR"/>
        <color theme="1"/>
        <sz val="11.0"/>
      </rPr>
      <t>｢</t>
    </r>
    <r>
      <rPr>
        <rFont val="맑은 고딕"/>
        <color theme="1"/>
        <sz val="11.0"/>
      </rPr>
      <t>공무원 재해보상법</t>
    </r>
    <r>
      <rPr>
        <rFont val="Noto Sans KR"/>
        <color theme="1"/>
        <sz val="11.0"/>
      </rPr>
      <t>｣</t>
    </r>
    <r>
      <rPr>
        <rFont val="맑은 고딕"/>
        <color theme="1"/>
        <sz val="11.0"/>
      </rPr>
      <t xml:space="preserve"> 또는 </t>
    </r>
    <r>
      <rPr>
        <rFont val="Noto Sans KR"/>
        <color theme="1"/>
        <sz val="11.0"/>
      </rPr>
      <t>｢</t>
    </r>
    <r>
      <rPr>
        <rFont val="맑은 고딕"/>
        <color theme="1"/>
        <sz val="11.0"/>
      </rPr>
      <t>군인 재해보상법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선원법</t>
    </r>
    <r>
      <rPr>
        <rFont val="Noto Sans KR"/>
        <color theme="1"/>
        <sz val="11.0"/>
      </rPr>
      <t>｣</t>
    </r>
    <r>
      <rPr>
        <rFont val="맑은 고딕"/>
        <color theme="1"/>
        <sz val="11.0"/>
      </rPr>
      <t xml:space="preserve"> 또는 </t>
    </r>
    <r>
      <rPr>
        <rFont val="Noto Sans KR"/>
        <color theme="1"/>
        <sz val="11.0"/>
      </rPr>
      <t>｢</t>
    </r>
    <r>
      <rPr>
        <rFont val="맑은 고딕"/>
        <color theme="1"/>
        <sz val="11.0"/>
      </rPr>
      <t>어선원 및 어선재해보상보험법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사립학교교직원연금법</t>
    </r>
    <r>
      <rPr>
        <rFont val="Noto Sans KR"/>
        <color theme="1"/>
        <sz val="11.0"/>
      </rPr>
      <t>｣</t>
    </r>
    <r>
      <rPr>
        <rFont val="맑은 고딕"/>
        <color theme="1"/>
        <sz val="11.0"/>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rFont val="Noto Sans KR"/>
        <color theme="1"/>
        <sz val="11.0"/>
      </rPr>
      <t>｢</t>
    </r>
    <r>
      <rPr>
        <rFont val="맑은 고딕"/>
        <color theme="1"/>
        <sz val="11.0"/>
      </rPr>
      <t>고용보험법</t>
    </r>
    <r>
      <rPr>
        <rFont val="Noto Sans KR"/>
        <color theme="1"/>
        <sz val="11.0"/>
      </rPr>
      <t>｣</t>
    </r>
    <r>
      <rPr>
        <rFont val="맑은 고딕"/>
        <color theme="1"/>
        <sz val="11.0"/>
      </rPr>
      <t xml:space="preserve"> 제2조제6호의 규정에 의한
1개월 미만의 기간 동안 고용된 일용근로자는 가입대상 근로자임
</t>
    </r>
    <r>
      <rPr>
        <rFont val="Noto Sans KR"/>
        <color rgb="FFFF0000"/>
        <sz val="11.0"/>
      </rPr>
      <t>｢</t>
    </r>
    <r>
      <rPr>
        <rFont val="맑은 고딕"/>
        <color rgb="FFFF0000"/>
        <sz val="11.0"/>
      </rPr>
      <t>국가공무원법</t>
    </r>
    <r>
      <rPr>
        <rFont val="Noto Sans KR"/>
        <color rgb="FFFF0000"/>
        <sz val="11.0"/>
      </rPr>
      <t>｣</t>
    </r>
    <r>
      <rPr>
        <rFont val="맑은 고딕"/>
        <color rgb="FFFF0000"/>
        <sz val="11.0"/>
      </rPr>
      <t xml:space="preserve">과 </t>
    </r>
    <r>
      <rPr>
        <rFont val="Noto Sans KR"/>
        <color rgb="FFFF0000"/>
        <sz val="11.0"/>
      </rPr>
      <t>｢</t>
    </r>
    <r>
      <rPr>
        <rFont val="맑은 고딕"/>
        <color rgb="FFFF0000"/>
        <sz val="11.0"/>
      </rPr>
      <t>지방공무원법</t>
    </r>
    <r>
      <rPr>
        <rFont val="Noto Sans KR"/>
        <color rgb="FFFF0000"/>
        <sz val="11.0"/>
      </rPr>
      <t>｣</t>
    </r>
    <r>
      <rPr>
        <rFont val="맑은 고딕"/>
        <color rgb="FFFF0000"/>
        <sz val="11.0"/>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</si>
  <si>
    <t>4시간 미만 관외출장의 경우 일비 및 식비 정액 지급하는지?</t>
  </si>
  <si>
    <t>4시간 미만의 관외출장을 실시한 경우, 내부 여비 규정에 따라 일비와 식비가 정액으로 지급되는지 여부와 그 적용 기준은 무엇인가요?</t>
  </si>
  <si>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</si>
  <si>
    <t>ㆍ84095_공개문_2023년_하반기_출연기관_종합감사_결과_보고서.pdf (p.70)
https://busanai.busan.go.kr/download/84095_공개문_2023년_하반기_출연기관_종합감사_결과_보고서.pdf</t>
  </si>
  <si>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</si>
  <si>
    <t>기대답변 :
 근무지외 출장시 영 제9조(운임) 및 제16조(일비, 숙박비, 식비)에 따라 여비를 정액 지급할 수 있습니다.
 다만 여비 부족, 식비 지출이 예상되지 않는 짧은 시간이 소요되는 출장의 경우에는 공무원 여비규정 제28조 제1항에 따라 식비를 감액할 수 있습니다.</t>
  </si>
  <si>
    <t>1229_공무원_여비_규정대통령령제35811호20251001.pdf
 1226_2025_공무원보수_등의_업무지침인사혁신처_예규_제192호.pdf</t>
  </si>
  <si>
    <t>2,3,5
 594, 595</t>
  </si>
  <si>
    <t>제9조(운임의 구분) ① 운임은 철도운임ㆍ선박운임ㆍ항공운임ㆍ자동차운임으로 구분하되, 철도운임은 철도여행에, 선
 박운임은 수로(水路)여행에, 항공운임은 항공여행에, 자동차운임은 철도 외의 육로여행에 각각 지급한다.
 ② 국외 여행의 경우 제1항의 운임에는 통행세를 포함한다.
 [전문개정 2010. 11. 10.]
 제16조(일비ㆍ숙박비ㆍ식비의 지급) ① 국내 여행자의 일비(日費)ㆍ숙박비 및 식비는 별표 2에 따라 지급하고, 국외 여
 행자의 경우는 별표 4에 따라 지급한다. 다만, 공무의 형편이나 그 밖의 부득이한 사유로 숙박비의 상한액 및 지급받
 은 식비(국내 여행의 경우 식비는 제외한다)를 초과하여 여비를 지출하였을 때에는 국내 여행의 경우에는 숙박비 상
 한액의 10분의 3을, 국외 여행의 경우에는 숙박비 및 식비의 2분의 1을 넘지 아니하는 범위에서 여비를 추가로 지급
 할 수 있다. &lt;개정 2011. 2. 9.&gt;
 ② 제1항 단서에 따라 여비를 추가로 지급받으려는 공무원은 여행을 마친 날의 다음 날부터 기산하여 1주일 이내
 (국외 여행의 경우에는 2주일 이내를 말한다)에 정부구매카드 또는 신용카드를 사용하고 받은 매출전표에 세부 사
 용내용이 명시된 증거자료를 갖추어 회계 관계 공무원에게 정산을 신청하여야 한다.&lt;개정 2011. 2. 9.&gt;
 ③ 일비는 여행일수에 따라 지급하되, 공무용 차량을 이용하는 경우 등 인사혁신처장이 정하는 바에 따라 여행을 하
 는 경우에는 일비의 2분의 1을 지급한다.&lt;개정 2013. 3. 23., 2014. 11. 19., 2024. 7. 2.&gt;
 ④ 숙박비는 숙박하는 밤의 수에 따라 지급한다. 다만, 수로여행과 항공여행에는 숙박비를 지급하지 아니하되, 천재
 지변이나 그 밖의 부득이한 사유로 육지에서 숙박할 필요가 있는 경우에는 숙박비를 지급한다.
 ⑤ 식비는 여행일수에 따라 지급한다. 다만, 수로여행과 항공여행에는 따로 식비가 필요한 경우에만 식비를 지급한
 다.
 ⑥ 삭제&lt;2012. 1. 6.&gt;
 [전문개정 2010. 11. 10.]
 제28조(여비의 조정) ① 소속 기관의 장은 예산의 부족 또는 그 밖의 사유로 여비를 지급하지 아니할 충분한 이유가 있
 다고 인정될 때에는 지급하는 여비를 감액하거나 여비의 전부 또는 일부를 지급하지 아니할 수 있다.
 ※ 근무지외 출장시에도 영 제9조(운임) 및 제16조(일비, 숙박비, 식비)에 따라 여비를 지급할 수 있으나, 지출이 불필요하거나 해당 정액 보다 적게 소요되는 것이 명백한 경우에는 영 제28조 제1항에 따라 여비를 감액하거나 여비의 전부 또는 일부를 지급하지 아니할 수 있다.
 Ⅳ. 근무지외 국내출장시의 여비
 1. 근무지외 여비의 계산
  가. 지급되는 여비항목 : 운임, 숙박비, 식비, 일비
  나. 여비의 조정(영 제28조)
  ※여비의 조정 영 (제28조)에 대한 상세 내용은 Ⅷ. 보칙 부분 참조
  1)소속 기관의 장은 예산의 부족 또는 그 밖의 사유로 여비를 지급하지 아니할 충분한 이유가 있다고 인정될 때에는 지급하는 여비를 감액하거나 여비의 전부 또는 일부를 지급하지 아니할 수 있다.
  2)소속기관 이외의 다른 기관･단체(외국정부 또는 국제연합기구 등) 등으로부터 여비의 전부 또는 일부를 지급받은 경우에는 이 영에 규정된 여비 중에서 그 금액을 빼고 지급한다. 
  3)2명 이상의 공무원이 같은 목적으로 동행하여 출장하는 경우에 출장목적 수행상 부득이하다고 인정될 때에는 영 제3조 및 별표 1에도 불구하고 운임(국외여비는 제외한다)･숙박비 및 식비에 한정하여 상급자와의 동행에 필요한 최소한의 등급에 해당하는 여비를 지급할 수 있다. 
  4)다만, 영 제16조 제1항에 따라 숙박비를 추가지급 받은 경우에는 동 규정에 의한 여비등급의 상향조정을 할 수 없다.</t>
  </si>
  <si>
    <t>관외 출장 일비 및 식비 지급 안내, 4시간 미만 관외 출장 여비 지급 여부</t>
  </si>
  <si>
    <t>출장 시간 계산 시 18시 근무시간 이후 시간도 포함해야 하는지?</t>
  </si>
  <si>
    <t>관내·관외출장을 수행할 때, 출장 시간 산정 과정에서 18시 이후의 근무시간 외 시간이 포함되는지 여부와 그 적용 기준은 무엇인가요?</t>
  </si>
  <si>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</si>
  <si>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</si>
  <si>
    <t>기대답변 : 
 관내출장 시 18:00 이후 복귀하더라도 출장 시간이 인정될 수 있습니다. 다만, 이는 출장 목적과 업무 수행의 필요성에 따라 달라질 수 있으며, 사전 허가 및 증빙 자료 제출이 필수적입니다.
 □ 「지방공무원 복무규정」 제4조의2에 따르면, 지방자치단체의 장과 지방의회의 의장은 소속 공무원이 정규 근무지 외의 장소에서 공무를 수행할 경우, 업무 수행의 필요성과 사전 허가 여부를 고려하여 출장 시간을 인정할 수 있습니다. 
 □ 다만 지방자치단체 관내출장 시 18:00 이후 복귀하더라도 출장 시간이 인정받기 위해서는 사전 허가 또는 사후 승인 절차를 준수하고, 관련 증빙 자료를 제출하는 것이 중요합니다.</t>
  </si>
  <si>
    <t>1249_지방공무원_복무규정대통령령제35666호20250722.pdf</t>
  </si>
  <si>
    <t>3, 4</t>
  </si>
  <si>
    <t>제4조의2(출장공무원) ① 상사의 명에 따라 정규 근무지 외의 장소에서 공무를 수행하는 공무원(이하 “출장공무원”이라
 한다)은 해당 공무 수행을 위해 전력을 다해야 하며, 사적인 일을 위하여 시간을 소비해서는 안 된다. &lt;개정 2019.
 12. 31.&gt;
 ② 출장공무원은 지정된 출장기간 내에 그 업무를 완수해야 하며, 출장기간을 변경할 사유가 발생하면 지체 없이 전
 화, 팩스 또는 그 밖의 방법으로 소속 기관의 장에게 보고하고 그 지시를 받아야 한다. 다만, 신속히 업무를 수행해
 야 하는 긴급한 사정이 있는 경우에는 사후에 보고할 수 있다.&lt;개정 2019. 12. 31.&gt;
 ③ 출장공무원은 그 출장 용무를 마치고 사무실로 돌아왔을 때에는 지체 없이 지방자치단체의 장이나 지방의회의
 의장에게 결과 보고서를 제출하여야 한다. 다만, 경미한 사항에 대한 결과 보고는 말로 할 수 있다.&lt;개정 2021. 11.
 30.&gt;
 ④ 지방자치단체의 장과 지방의회의 의장은 임신 중인 공무원과 태아의 건강을 보호하기 위하여 해당 공무원의 장
 거리 또는 장기간 출장을 제한할 수 있다.&lt;개정 2021. 11. 30.&gt;
 [본조신설 2017. 4. 25.]</t>
  </si>
  <si>
    <t>SQG022</t>
  </si>
  <si>
    <t>세외수입 부과 후 해당 회계연도 내 미수납 된 모든 건들은 지난년도수입으로 관리되는 건지?</t>
  </si>
  <si>
    <t>세외수입을 부과했음에도 해당 회계연도 내에 미수납된 경우, 다음 연도에 이를 지난년도수입으로 처리해야 하는지 여부와 적용 기준은 무엇인가요?</t>
  </si>
  <si>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</si>
  <si>
    <t>해당 내용도 위와 같습니다.</t>
  </si>
  <si>
    <t>조례 제정 및 개정 절차는?</t>
  </si>
  <si>
    <t>조례를 새로 제정하거나 기존 조례를 개정할 때, 관련 법령과 내부 절차에 따라 입안부터 공포까지 진행되는 단계별 절차는 무엇인가요?</t>
  </si>
  <si>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</si>
  <si>
    <t>ㆍ76111_입법예고문부산광역시_시민제안제도_운영_조례-hwp.pdf (p.1)
https://busanai.busan.go.kr/download/76111_입법예고문부산광역시_시민제안제도_운영_조례-hwp.pdf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</si>
  <si>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</si>
  <si>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 조례 입법절차
 ○ 시장 발의 ▸「지방자치법」제32조․제35조,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조례규칙심의회심의․의결(재적위원 과반수 찬성)
  · 위원장 시장
  · 위원 31명(부시장, 실·국장)
 7. 시의회 제출(회기 10일전)
 8. 시의회 심의․의결(상임위 및 본회의)
 9. 조례안 이송(의결 후 5일 이내)
 10. 조례안 사전보고(이송후5일이내, 행안부)
 11. 조례규칙심의회(시의회 수정가결時)
 12. 조례안 공포(이송 후 20일 이내)
 ○ 의원 발의 ▸「지방자치법」제32조․제35조, 「지방자치법시행령」제28조, 「부산광역시법제업무운영규칙」
 1. 조례안 입안(입법정책담당관 지원) 
 2. 조례안 발의(재적의원 1/5 또는10명이상) 
 3. 소관 상임위 배부
 4. 상임위 조례안 심의(입법예고 5일 이상)
 5. 본회의 심의․의결(재적의원 과반수 출석, 출석의원 과반수 찬성)
 6. 조례안 이송(의결 후 5일 이내)
 7. 조례안 사전보고(이송 후 5일 이내, 행안부)
 8. 조례규칙심의회(재의여부 심의)
 9. 조례안 공포(이송 후 20일 이내)
 □ 규칙 입법절차
 ▸「지방자치법」제32조․제35조,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심의․의결
 8. 사전보고[행안부](공포예정일 15일전)
 9. 규칙안 공포</t>
  </si>
  <si>
    <t>92_2501_법무담당관_업무매뉴얼_법무담당관_자치법규_입법절차_등.pdf</t>
  </si>
  <si>
    <t>1. 자치법규 입법절차
 □ 조례 입법절차
 ○ 시장 발의 ▸「지방자치법」제32조․제35조,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조례규칙심의회심의․의결(재적위원 과반수 찬성) ⇒· 입법이유서, 입법안, 입법예고결과 요약서, 비용추계서 등 첨부 심사 의뢰 · 위원장 시장 위원 31명(부시장, 실·국장)
 ⑥ 시의회 제출
 (회기 10일전) ⇒ ⑦ 시의회 심의․의결
 (상임위 및 본회의) ⇒ ⑧ 조례안 이송
 (의결 후 5일 이내) ⇒⑨ 조례안 사전보고
 (이송 후 5일 이내, 행안부) ⇒ �� 조례규칙심의회
 (시의회 수정가결時) ⇒ ⑪ 조례안 공포
 (이송 후 20일 이내)
 ○ 의원 발의 ▸「지방자치법」제32조․제35조, 「지방자치법 시행령」제28조, 「부산광역시 법제업무 운영규칙」□ 규칙 입법절차 ▸「지방자치법」제32조․제35조,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심의․의결 ⇒ ⑧ 사전보고[행안부] (공포예정일 15일전) ⇒ ⑨ 규칙안 공포</t>
  </si>
  <si>
    <r>
      <rPr>
        <rFont val="Malgun Gothic"/>
        <color rgb="FF000000"/>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제정 및 개정 입법 절차는?</t>
    </r>
  </si>
  <si>
    <t>SQG012</t>
  </si>
  <si>
    <t>[RAG 청크 내용 확인 필요]</t>
  </si>
  <si>
    <t>캐비닛 등 물품 파손 시 어디까지 수리해주시나요?</t>
  </si>
  <si>
    <t>사무실에서 캐비닛 등 집기류가 파손된 경우, 내부 물품관리 규정에 따라 지원받을 수 있는 수리 범위와 담당 부서의 처리 기준은 무엇인가요?</t>
  </si>
  <si>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</si>
  <si>
    <t>해당 내용도 세외수입 부과 후 질의와 동일합니다.</t>
  </si>
  <si>
    <t>행정전화기 사용방법을 모르겠습니다</t>
  </si>
  <si>
    <t>행정전화기의 기본 기능(걸기·받기·보류·호전환 등)과 사용 절차를 단계별로 설명해줄 수 있나요?</t>
  </si>
  <si>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</si>
  <si>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</si>
  <si>
    <t>e호조 (과장/팀장/지출담당자) 권한신청 어떻게 하면 되나요?</t>
  </si>
  <si>
    <t>e호조(지방재정시스템)시스템을 사용하기 위해 과장, 팀장, 지출담당자 권한을 신규로 신청하거나 변경할 때, 내부 승인 절차와 필요 서류는 무엇인가요?</t>
  </si>
  <si>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</si>
  <si>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</si>
  <si>
    <t>구군에서 전입오고 처음으로 정보공개청구포털에 로그인하려니 안되는데, 어떻게 해야 하나요?</t>
  </si>
  <si>
    <t>구·군에서 전입한 공무원이 정보공개청구 포털을 처음 이용하려고 로그인할 때, 로그인 실패가 발생하는 경우 계정 활성화 및 초기 접속을 정상화하는 방법은 무엇인가요?</t>
  </si>
  <si>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</si>
  <si>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</si>
  <si>
    <t>기대답변 :
 정보공개청구포털에 로그인할 수 없는 경우, 다음과 같은 절차를 통해 해결할 수 있습니다
 1. 공동인증서 로그인
  - 인터넷망(iadmin.open.go.kr)에서 행정전자서명(GPKI), 교육부 인증서(EPKI), 공동인증서(NPKI)로 로그인 가능합니다.
  - 행정망(admin.open.go.kr)에서는 행정전자서명(GPKI)으로만 로그인 가능합니다.
 2. 사용자 신청 및 공동인증서 등록
  - 신규 사용자의 경우, 사용자 신청 후 해당 기관 관리자로부터 승인을 받아야 합니다.
  - 승인 후 인증서를 등록하여 사용합니다.
  - 사전에 접수처 등록이 되어 있어야 사용자 신청이 가능합니다.
  - 인증서 로그인 프로그램이 제대로 설치되지 않은 경우, 수동 설치를 진행합니다.
 3. 신규 접수처 등록
  - 신규 접수처 등록신청서를 작성하여 온라인으로 신청하고, 승인 후 사용합니다.
 4. 아이디/비밀번호 확인
  - 기존에 사용 중인 아이디와 비밀번호를 분실한 경우, 기관 관리자에게 아이디 확인 및 비밀번호 초기화를 요청합니다.
 이 절차를 따라 문제를 해결할 수 있습니다.</t>
  </si>
  <si>
    <t>424_2108_통합민원과_업무매뉴얼_행정안전부_정보공개운영안내서.pdf</t>
  </si>
  <si>
    <t>219, 220</t>
  </si>
  <si>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❸)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</si>
  <si>
    <t>정보공개시스템 로그인 및 접속 불가시 대처 방법, 구군 전입 이후 정보공개청구포털 로그인 실패 상황에 대한 해결 방법 및 대처 방안</t>
  </si>
  <si>
    <t>인건비 편성할 때 정원, 현원 중 어떤 기준으로 산출해야 하는지 알려주세요</t>
  </si>
  <si>
    <t>인건비를 편성할 때, 내부 회계·인사 규정에 따라 정원 기준과 현원 기준 중 어느 기준을 적용하여 산출해야 하는지, 그리고 그 적용 기준과 산출 방법은 무엇인가요?</t>
  </si>
  <si>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</si>
  <si>
    <t>ㆍ41_2306_공공하수인프라과_업무매뉴얼_행정안전부_2024년도_지방공기업_예산편성기준.pdf (p.64)
https://busanai.busan.go.kr/download/41_2306_공공하수인프라과_업무매뉴얼_행정안전부_2024년도_지방공기업_예산편성기준.pdf</t>
  </si>
  <si>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</si>
  <si>
    <t>기대답변 :
 세출예산 성질별 분류에 따라 인건비 편성 시, 정원 또는 현원을 기준으로 산출해야 합니다.</t>
  </si>
  <si>
    <t>212_2407_예산담당관_업무매뉴얼_행정안전부_2025년도_지방자치단체_예산편성_운영기준_및_기금운용계획_수립기준.pdf</t>
  </si>
  <si>
    <t>99</t>
  </si>
  <si>
    <t>별표 11 세출예산 성질별 분류(목그룹 ․ 편성목 ․ 통계목)
 그룹 편 성 목 설 정 ( 통 계 목 포 함 ) 비고100 인건비
 101 인건비 01. 보수
 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</si>
  <si>
    <t>인건비 편성 시 정원, 현원 기준 산출 안내</t>
  </si>
  <si>
    <t xml:space="preserve">[범위가 명확하지 않아 질문에 대한 답변 이슈가 다양하게 해석될 수 있을 것으로 예상됨]
</t>
  </si>
  <si>
    <t>행정전화기 사용 매뉴얼 알려주세요</t>
  </si>
  <si>
    <t>행정전화기의 기능(발신, 수신, 보류, 전환 등)과 관련 내부 지침에 따른 올바른 사용 방법을 단계별로 안내하는 공식 매뉴얼이나 안내 자료는 무엇이며, 확인·열람 방법은 어떻게 되나요?</t>
  </si>
  <si>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</si>
  <si>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</si>
  <si>
    <t>120 콜센터와 행정전화는 연관이 없는데 잘못 나오고 있습니다.
120 콜센터는 외부 민원에 대한 콜센터이고 행정전화는 내부직원들이 사용하는 전화기입니다.</t>
  </si>
  <si>
    <t>30일 이상 장기 휴가 시 미지급해야할 수당이 뭐가 있나요?</t>
  </si>
  <si>
    <t>부산광역시 소속 공무원이 30일 이상 장기 휴가를 사용할 경우, 지방공무원 보수·수당 관련 내부 규정에서 지급되지 않거나 제한되는 수당 항목과 그 적용 기준은 무엇인가요?</t>
  </si>
  <si>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</si>
  <si>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</si>
  <si>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</si>
  <si>
    <t>(공사,용역,물품) 계약 시 필요한 서류가 뭐가 있는지 알려주세요</t>
  </si>
  <si>
    <t>공사, 용역, 물품 계약을 체결할 때, 관련 내부 규정과 절차에 따라 계약 신청·승인·체결을 위해 반드시 제출해야 하는 서류와 작성 요건은 무엇인가요?</t>
  </si>
  <si>
    <r>
      <rPr>
        <rFont val="Malgun Gothic"/>
        <color theme="1"/>
        <sz val="11.0"/>
      </rPr>
      <t>공사, 용역, 물품 계약 시 필요한 서류는 적격심사 신청서, 적격심사 자기평가와 심사표,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신용평가등급 확인서, 직접생산 확인서, 중소기업</t>
    </r>
    <r>
      <rPr>
        <rFont val="Yu Gothic"/>
        <color theme="1"/>
        <sz val="11.0"/>
      </rPr>
      <t>･</t>
    </r>
    <r>
      <rPr>
        <rFont val="맑은 고딕"/>
        <color theme="1"/>
        <sz val="11.0"/>
      </rPr>
      <t>소상공인 확인서, 여성기업 확인서, 장애인기업 확인서, 창업기업 확인서 등이 있습니다.
관련내용은 다음과 같습니다.
적격심사 신청서 1부
적격심사 자기평가와 심사표 1부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rFont val="Yu Gothic"/>
        <color theme="1"/>
        <sz val="11.0"/>
      </rPr>
      <t>･</t>
    </r>
    <r>
      <rPr>
        <rFont val="맑은 고딕"/>
        <color theme="1"/>
        <sz val="11.0"/>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</si>
  <si>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</si>
  <si>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</si>
  <si>
    <t>기대답변 :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</si>
  <si>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10</t>
  </si>
  <si>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</si>
  <si>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온나라 접수 문서를 부서원들도 열람할 수 없도록 하는 방법을 알려주세요</t>
  </si>
  <si>
    <t>온나라 시스템에 접수된 문서를 특정 부서원들이 열람하지 못하도록 권한을 제한하려는 경우, 내부 규정과 시스템 설정에 따라 권한 관리·접근 제한을 적용하는 방법은 무엇인가요?</t>
  </si>
  <si>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</si>
  <si>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</si>
  <si>
    <t>기대답변 :
 문서관리카드[시행정보, 관리정보] - 열람범위 - 열람불가 설정 시 보고경로자, 공유/공람자, 과제담당자, 문서과/처리과 문서담당자, 시스템관리자만 열람 가능
 열람제한기간-[지정날짜까지] 설정 시 보고경로자, 공유/공람자만 열람가능(접수문서 예외)</t>
  </si>
  <si>
    <t>343_2405_정보화정책과_업무매뉴얼_행정안전부_온나라20_사용자교육자료배포용.pdf</t>
  </si>
  <si>
    <t>33</t>
  </si>
  <si>
    <t>3.6 문서작성 &gt; 문서관리카드 시행정보 · 관리정보
 시행정보 및 자동발송여부 , 관리정보 지정
 •문서공개여부 비공개 ’, 부분공개
 관련법령 을 참고하여 비공개
 근거를 선택하고 사유를 입력
 *공공기관 정보공개에 관한 법률 에 의하여
 지정 통합정보공개시스템으로의 공개여부
 ※문서열람가능자
 •열람범위 열람불가 ]
 보고경로자, 공유 / 공람자 , 과제담당자 ,문서과 / 처리과 문서담당자 , 시스템관리자
 •열람제한기간 지정날짜까지 ]
 보고경로자, 공유 / 공람자만 열람가능접수문서 예외
 ※관리정보 수정 가능자
 기안자, 과제카드관리자 , 시스템관리자</t>
  </si>
  <si>
    <t>온나라 시스템을 통한 접수 문서에 접근을 제한하는 방법입니다.</t>
  </si>
  <si>
    <t>(공사,용역,물품) 계약 선금 신청 및 지급 절차를 알려주세요</t>
  </si>
  <si>
    <t>공사, 용역, 물품 계약과 관련하여 선금 지급을 신청할 경우, 내부 규정과 절차에 따라 신청서 제출, 승인, 지급까지 진행되는 단계별 방법과 주의사항은 무엇인가요?</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</si>
  <si>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</si>
  <si>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</si>
  <si>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</si>
  <si>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472_2411_회계재산담당관_업무매뉴얼_한국지방재정공제회_2024년_개정판_물품계약_길라잡이한국지방재정공제회.pdf</t>
  </si>
  <si>
    <t>268, 269</t>
  </si>
  <si>
    <t>제2절 선금의 지급
 ※ 관련규정 : ｢지방계약법｣ 제18조 및 같은 법 시행령 제67조, ｢지방회계법｣ 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 급
 ❍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</si>
  <si>
    <t>(문서 찾아옴, 추가 작업 X)</t>
  </si>
  <si>
    <t>(공사,용역,물품) 계약 시 지역제한임찰 대상 금액을 알려주세요</t>
  </si>
  <si>
    <t>공사, 용역, 물품 계약을 체결할 때, 내부 규정에 따라 지역제한 입찰을 적용해야 하는 금액 기준과 적용 범위는 무엇인가요?</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</si>
  <si>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</si>
  <si>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</si>
  <si>
    <t>2번째 파일은 오류건입니다
그 외 이상없습니다.</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</si>
  <si>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</si>
  <si>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10, 14</t>
  </si>
  <si>
    <t>[P.10]
  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▸2천만원 이하
 ※ 여성,장애인기업 등: 5천만원 이하
 ▸견적제출 : 수기제출
 ※ 2백만원 이상 1인견적 수의계약 요청시 수의계약요청사유서 첨부 (부산시 지침)
 2인
 이상
 견적
 공사
 ▸종합공사: 2천만원~4억원 이하
 ▸전문공사: 2천만원~2억원 이하
 ▸기타공사: 2천만원~1.6억원 이하
 ▸견적제출 : 나라장터(g2b) [전자수의(견적입찰)]
 ※ 안내공고 상 참가자격요건을 갖춘
 업체는 제한없이 견적서 제출할수 있어서 경쟁입찰과 유사
 용역
 물품
 ▸2천만원~1억원 이하
 지역
 제한
 공사
 ▸종합공사: 100억원 미만
 ▸전문공사: 10억원 미만
 ▸기타공사: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▸건설기술용역: 3.3억원 미만
 ▸건설기술용역 外: 3.5억원 미만
 ▸정밀안전진단: 1.5억원 미만
 물품 ▸3.5억원 미만
 전국
 입찰
 공사
 용역
 물품
 ▸지역제한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▸공사: 265억원 이상
 ▸용역,물품: 3.5억원 이상
 ※ 국제입찰에 의하는 지방자치단체의 공사 및 물품,용역의 범위에 관한 고시(행안부 고시)</t>
  </si>
  <si>
    <t>(1, 2순위 - 정답 문서 찾아옴 / 추가작업 X)</t>
  </si>
  <si>
    <t>[P.14 청크 수정 필요]</t>
  </si>
  <si>
    <t>온나라 지식행정에 접속하면 흰창만 나오는데, 어떻게 해결해야하나요?</t>
  </si>
  <si>
    <t>부산광역시 소속 직원이 온나라 지식행정 시스템에 접속할 때 화면이 흰창만 표시되는 경우, 시스템 관리 절차에 따라 문제 원인 확인, 조치 및 정상 접속 복구 방법은 무엇인가요?</t>
  </si>
  <si>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</si>
  <si>
    <t>온나라 지식 접속 오류 조치 방법에 관한 내용으로 답변이 되면 될 것으로 보입니다.
해당 자료는 정보화정책과 온톡, 온메일, 온나라 지식 사용재 매뉴얼에 있습니다.</t>
  </si>
  <si>
    <t>기대답변 :
 온나라 지식 접속 오류 조치 방법
 ○ 온나라 2.0 &gt; 지식(메일, 참여할 설문, 회의장 포함) 접속 시 흰 화면이 뜨는 경우 조치 방법
  1. 행정포털 &gt; 오류조치안내(http://99.1.1.29/resources/xf/portal/table.html?)
  2. [행정포털] 장애조치 &gt; 엣지 IE모드 설정 방법대로 조치 
 ○ 온나라 2.0 &gt; 지식(메일, 참여할 설문, 회의장 포함) 접속 시 자동 로그인이 안되는 경우 조치 방법
  1. 엣지 &gt; 설정 및 기타 &gt; 설정 ※ 빠른 단축키(엣지 화면에서): Ctrl + Shift + Delete 
  2. 개인 정보, 검색 및 서비스 &gt; 지울 항목 선택 &gt; “모든 시간” &gt; 지금 지우기 &gt; 재부팅 후 접속 확인
  3. 재부팅 후에도 접속이 안 되는 경우: 잘되는 자리 PC에서 로그인
  - 접속됨: PC 인터넷 재설정(행정포털 &gt; 오류조치안내 Q3. 1. 인터넷 옵션 변경 설정)
  - 접속 안 됨: 통합계정 연계 오류로 지식 담당자에게 쪽지</t>
  </si>
  <si>
    <t>371_2503_정보화정책과_업무매뉴얼_정보화정책과_온톡_온메일_온나라_지식_사용자_매뉴얼_v21.pdf</t>
  </si>
  <si>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</si>
  <si>
    <t>온나라 지식행정 오류 해결 방법입니다.</t>
  </si>
  <si>
    <t>[Rerank 순위 낮음]</t>
  </si>
  <si>
    <t>장기재직휴가 신청 절차는?</t>
  </si>
  <si>
    <t>부산광역시 소속 공무원이 장기재직휴가를 신청하려는 경우, 내부 인사 규정과 절차에 따라 신청서 작성, 결재, 승인, 휴가 확정까지 진행되는 단계별 방법은 무엇인가요?</t>
  </si>
  <si>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</si>
  <si>
    <t>ㆍ1110_압축부산테크노파크_규정집정관_규정_규칙-20253.pdf (p.84)
https://busanai.busan.go.kr/download/1110_압축부산테크노파크_규정집정관_규정_규칙-20253.pdf</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</si>
  <si>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</si>
  <si>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</si>
  <si>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</si>
  <si>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장기재직휴가 등록 기준 및 사용 방법과 신청 절차, 장기재직휴가 기준 및 사용방법과 신청절차, 장기재직휴가 사용 요건 인사랑 자동 반영여부</t>
  </si>
  <si>
    <t>SQG005</t>
  </si>
  <si>
    <t>직원 단체보장보험 보장내용 및 실비 등 청구 방법은?</t>
  </si>
  <si>
    <t>직원 단체보장보험의 보장 범위와 실비 청구 절차 등 관련 내용에 대해 알려주세요</t>
  </si>
  <si>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</si>
  <si>
    <t>단체보장보험 관련 청구안내문, 가입내용 및 청구방법 안내 등의 관련 문서가 있음에도 불구하고
해당 내용이 검색되지 않습니다.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</si>
  <si>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</si>
  <si>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279_2501_인사과_기타_인사과_2025년_맞춤형복지_단체보장보험_가입내용_및_청구방법_안내.pdf
283_2501_인사과_기타_인사과_2025년_부산광역시_청구안내문단체보장보험.pdf</t>
  </si>
  <si>
    <t>1
 7</t>
  </si>
  <si>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</si>
  <si>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단체보장보험의 세부 보장 내용과 보험금 청구 방법 안내
---
단체보장보험의 세부 보장 내용과 보험금 청구 방법 안내</t>
  </si>
  <si>
    <t>SQG024</t>
  </si>
  <si>
    <t>PC 네트워크 비밀번호 분실 시 해결방법은?</t>
  </si>
  <si>
    <t>PC 네트워크(네트워크 접근제어 시스템, NAC, 네트워크 인증 시스템, PClient) 로그인 비밀번호를 분실했을 때 초기화 또는 재설정을 위한 공식 절차는 어떻게 되나요?</t>
  </si>
  <si>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</si>
  <si>
    <t>ㆍ4122_부산광역시_연구용_지하연구시설_유치를_위한_결의문에_대한_답변.pdf (p.2)
https://busanai.busan.go.kr/download/4122_부산광역시_연구용_지하연구시설_유치를_위한_결의문에_대한_답변.pdf</t>
  </si>
  <si>
    <t>해당 매뉴얼은 없어서 관련 근거가 나오지 않고 일반적인 답변이 나와야 합니다.
내용의 IT 지원팀, 전화번호 등 다 잘못된 정보가 노출됩니다. 
관련 근거 또한 전혀 상관없는 내용이 첨부됩니다.</t>
  </si>
  <si>
    <t>기대답변 : 
 네트워크 인증 시스템 비밀번호 분실 시 행정전화(5999)로 연락바랍니다</t>
  </si>
  <si>
    <t>5. 네트워크 인증 시스템(NAC, PClinet)
  - 네트워크가 차단되셨다면 행정전화(5999)로 연락바랍니다
  - 네트워크 인증 시스템 비밀번호 분실 시 행정전화(5999)로 연락바랍니다</t>
  </si>
  <si>
    <t>일상경비 집행잔액은 조회 방법은?</t>
  </si>
  <si>
    <t>일상경비 집행 후 남은 잔액을 조회하기 위한 시스템별 절차와 확인 경로는 어떻게 되나요?</t>
  </si>
  <si>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</si>
  <si>
    <t>지방재정시스템에 관한 매뉴얼이 없습니다.
일반적으로 행정에 관한 질의일 경우 시 홈페이지에서 관련 내용을 찾을수는 없습니다.</t>
  </si>
  <si>
    <t>올해 포상휴가 몇 개 나왔고 몇 개 썼는지 조회하는 방법은?</t>
  </si>
  <si>
    <t>올해 부여된 포상휴가 일수와 사용 일수를 확인하기 위해 어느 시스템에서 어떤 메뉴를 통해 조회해야 하나요?</t>
  </si>
  <si>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</si>
  <si>
    <t>해당 질문에 대한 매뉴얼이 없습니다.
이 또한 일반적으로 행정에 관한 질의라 시 홈페이지에서 관련 내용을 찾을수는 없습니다.</t>
  </si>
  <si>
    <t>예산편성 관련 사전절차는 어떤게 있으며 이행여부 조회할 수 있는 방법은?</t>
  </si>
  <si>
    <t>예산편성 과정에서 요구되는 사전절차에는 어떤 항목들이 있으며, 각 사전절차의 이행 여부는 어디에서 확인할 수 있나요?</t>
  </si>
  <si>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</si>
  <si>
    <t>ㆍ83991_건설본부_종합감사_보고서_게시.pdf (p.80)
https://busanai.busan.go.kr/download/83991_건설본부_종합감사_보고서_게시.pdf</t>
  </si>
  <si>
    <t>잘못된 답변과 잘못된 근거자료가 활용되었습니다.
예산담당관 2025년 예산편성계획 30P에 주요목별 평성기준 및 사전절차가 안내되어 있습니다.</t>
  </si>
  <si>
    <t>기대답변 :
 □ 법정절차 및 선행절차(사전절차제도)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이행여부 조회 방법은 관련 내용이 없으므로 담당 부서나 업무 담당자에게 문의하시기 바랍니다.</t>
  </si>
  <si>
    <t>213_2408_예산담당관_예산편성계획_예산담당관_2025년_예산편성계획.pdf</t>
  </si>
  <si>
    <t>23</t>
  </si>
  <si>
    <t>□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t>
  </si>
  <si>
    <t>예산편성 시 주요목별 편성기준 및 사전절차와 해당 절차 이행 여부 확인 방법</t>
  </si>
  <si>
    <t>[RAG 검색 유사도 낮음]</t>
  </si>
  <si>
    <t>올해 필수교육은 뭐가 있는지?</t>
  </si>
  <si>
    <t>올해 이수해야 하는 필수교육의 종류와 이를 확인할 수 있는 시스템별 조회 경로는 무엇인가요?</t>
  </si>
  <si>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</si>
  <si>
    <t>필수 교육 관련 매뉴얼이 없기 때문에 세부적으로 확인이 필요하다는 메시지가 출력되어야 할 것 같습니다.</t>
  </si>
  <si>
    <t>차세대지방재정시스템에서 분기별 예산배정금액 확인방법은?</t>
  </si>
  <si>
    <t>차세대지방재정시스템(e호조, 이호조)에서 분기별 예산배정 금액을 확인하기 위해 어떤 메뉴 경로와 조회 절차를 따라야 하나요?</t>
  </si>
  <si>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</si>
  <si>
    <t>차세대 지방재정시스템 관련 매뉴얼이 없기 때문에
차세대 지방재정시스템 매뉴얼이 없으므로 관련 담당자에게 문의하시기 바랍니다.
라는 식의 메시지가 출력되어야 합니다.</t>
  </si>
  <si>
    <t>사무실 가구 등 비품 부족 또는 고장 시 청사 내 조달 및 수리 등 대응 방법은?</t>
  </si>
  <si>
    <t>사무실 내 비품이 부족하거나 가구가 고장났을 때, 청사에서 수행하는 비품 조달 요청 및 수리 의뢰 절차는 각각 어떻게 진행되나요?</t>
  </si>
  <si>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</si>
  <si>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</si>
  <si>
    <t>인사발령시 권한 이관 등 관련 발령 당사자와 서무가 해야하는 것은?</t>
  </si>
  <si>
    <t>인사발령 시 발령 대상자와 서무 담당자가 수행해야 하는 권한 이관, 시스템 접근 조정, 문서 및 업무 인수인계 절차는 무엇인가요?</t>
  </si>
  <si>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</si>
  <si>
    <t>사업예산 편성 시 총사업비와 국비사업비의 금액에 따라 거쳐야 될 사전절차에는 어떤 것이 있나요?</t>
  </si>
  <si>
    <t>사업예산을 편성할 때 총사업비와 국비사업비 금액 구간에 따라 반드시 거쳐야 하는 사전 승인·검토 절차는 무엇인가요?</t>
  </si>
  <si>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</si>
  <si>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</si>
  <si>
    <t>참조 내용을 지피티로 요약한 내용을 기대답변으로 써놨습니다.
 기대 답변 : 
 1. 총사업비/신규사업 기준 사전심사
  ○ 신규사업
  - 시비 1억 원 초과 신규사업 → 신규사업 사전심사 필수
  - 신규 센터 설치 → 금액 불문 사전심사 필수
  ○ 총사업비 관리
  - 총사업비 50억 이상, 사업기간 2년 이상 건설·정보화사업 → 사전심사 필요
 2. 지방재정영향평가 (지방재정법 제27조의6)
  ○ 대상사업
  - 총사업비 30억 이상 행사성 사업(경기대회, 공연, 축제)
  - 총사업비 100억 이상, 지방비 50억 이상 신규 공모사업
  ○ 심사시기 : 정기(2,5,8,10월), 필요시 수시
 3. 중기지방재정계획·공유재산 계획
  ○ 중기지방재정계획 : 일반회계, 특별회계, 기금
  - 제출 : 예산요구서 제출 시
  - 심사시기 : 10월(확정 10월 말)
  ○ 중기공유재산관리계획 : 취득, 처분, 사용료 감면, 수입금 지출
  - 제출 : 예산요구서 제출 시
  - 심사시기 : 10월(공유재산심의회)
 4. 예비타당성·타당성 조사
  ○ 예비타당성 조사
  - 총사업비 500억 이상, 국비 300억 이상 건설·정보화·연구개발사업
  - 제출시기 : 연 4회 분기별
  ○ 투자심사
  - 신규사업 40억 이상, 구·군사업 60억 이상, 행사성 3억 이상, 홍보관 5억 이상
  - 심사시기 : 정기(3,6,9월), 수시
 5. 공유재산·정책연구·기술용역 관련
  ○ 공유재산관리계획 : 예정가격 취득 20억↑, 처분 10억↑, 면적 기준 취득 6,000㎡↑, 처분 5,000㎡↑
  - 제출기한 : 8월 중순
  ○ 정책연구용역심사 : 건당 1,000만 원 초과 → 제출 8월 중순
  ○ 기술용역 사전심의 : 건당 1억 원 이상 → 제출 8월 중순
  ○ 정보화사업 예산타당성 검토 : 단순 유지보수 제외, 제출 8월 말
 6. 지방보조금·물품·출자·위탁
  ○ 지방보조금 신규 행사·축제사업
  - 1억 초과 신규 심사, 3억 이상 행사축제 → 별도 심사
  - 제출기한 : 8월 중순
  ○ 정수물품 취득승인 : 제출 8월 중순
  ○ 출자·출연금 승인 : 신규사업은 시의회 사전승인 필요
  ○ 민간·공기관 위탁 : 3억 초과 신규·재위탁 사업 시 의회 사전 동의
 7. 예산 편성·심의 단계
  ○ 예산편성 : 8월 5일 계획 시달, 8월 16일 예산요구서 제출, 9~10월 심사·조정, 10월 말 결재
  ○ 예산안 심의·의결 : 11월 11일 시의회 제출, 11~12월 상임위·예결특위, 12월 본회의 의결
  ○ 의결 후 : 의결내용 자치단체장 이송(3일 내), 고시 즉시</t>
  </si>
  <si>
    <t>36</t>
  </si>
  <si>
    <t>- 세출예산 절차별 이행사항 미 이행시 편성 불가 - 
 1. 신규사업 사전심사 총사업비 관리제
  ∙ 신규사업 : 시비 1억원 초과 신규사업(월 1회, 수시)
  ※ 신규 센터 설치시 금액불문 사전심사 이행 필요
 ∙ 총사업비관리 : 총사업비 50억원이상, 사업기간 2년이상 건설․정보화사업
 2. 지방재정영향평가(지방재정법 제27조의6)
  ∙ 심사대상 : 총사업비 30억원이상 경기대회, 공연・축제 등 행사성 사업, 총사업비 100억원 이상, 지방비 50억원 이상인 신규공모사업
  ∙ 심사시기 : 정기(2, 5, 8, 10월), 수시(필요시)
 3. 중기지방재정계획(지방재정법제33조)
  ∙ 대 상 : 일반회계, 특별회계, 기금
  ∙ 심사시기 : 10월중(확정 10월말), ∙제출기한 : 예산요구서 제출시
 4. 중기공유재산관리계획(공유재산 및 물품관리법 제10조)
  ∙ 대 상 : 공유재산관리계획 총괄계획(취득, 처분, 사용료 감면, 수입금 지출)
  ∙ 심사시기 : 10월(공유재산심의회) ∙제출기한 : 예산요구서 제출시
 5. 예비타당성 조사(국가재정법 제38조), 타당성 조사(지방재정법 제37조)
  ∙ 대 상 : 총사업비 500억원 이상(예타 : 국비 300억원 이상) 건설사업,정보화사업, 국가연구개발사업
  ∙ 심사시기 : 분기 1회 ∙제출시기 : 매년 4회
 6. 투자심사(지방재정법 제37조)
  ∙ 심사대상 : 40억이상 신규사업, 60억이상 구․군사업, 3억이상 행사성, 5억이상 홍보관 사업
  ∙ 심사시기 : 정기(3, 6, 9월), 수시(필요시)
 7. 공유재산관리계획(공유재산 및 물품관리법 제10조2)
  ∙ 대상사업 : 예정가격 기준 1건당 취득(20억원), 처분(10억원) 이상 면적기준 1건당 취득(6,000㎡), 처분(5,000㎡) 이상
  ∙ 요청시기 : 예산편성 전 단계 ∙제출기한 : 8월 중순
 8. 정책연구용역심사(부산시 정책연구용역 관리 조례)
  ∙ 심사대상 : 건당 10백만원 초과
  ∙ 심사시기 : 9월 중순(예산편성 전) ∙제출기한 : 8월 중순(기획담당관)
 9. 기술용역 사전심의(부산시 기술용역 관리 조례)
  ∙ 심사대상 : 건당 100백만원 이상
  ∙ 심사시기 : 9월 중순(예산편성 전) ∙제출기한 : 8월중(기술심사과)
 10. 정보화사업 예산타당성 검토(부산시 정보시스템 도입·운영 규정)
  ∙ 검토대상 : 정보화사업(단순 유지보수‧운영사업, 국비지원사업등은 제외)
  ∙ 검토시기 : 9월 중순(예산편성 전)∙제출기한 : 8월말(정보화정책과)
 11. 지방보조금사업 신규 행사‧축제사업
  ∙ 지방보조금 : 민간경상사업보조 등 15개 과목 ※ 28페이지 과목 참고
  ∙ 신규 행사‧축제사업 : 행사운영비 등 3개 과목 ※ 28페이지 과목 참고
  ▷ 사전심의 : 지방보조금심의위원회
  ▷ 제출기한 : 8월 중순(재정협력담당관)
  ※ 1억초과 신규심사/3억 이상 행사축제, 40억 이상 투자심사 별도필요
 12. 정수물품 취득승인(공유재산및물품관리법시행령 제58조)
  ∙ 대상물품 : 행정안전부 장관이 정하는 정수물품
  ∙ 책정시기 : 8월말 ∙ 제출기한 : 8월 중순
 13. 출자․출연금 승인(지방재정법 제18조, 지방출자출연법)
  ∙ 출자·출연금 신규사업은 예산편성 전 지원 근거 마련
  ∙ 시 재정지원 모든 출자·출연금 시의회 사전승인
 14.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
 15, 예산안 편성
  ∙ 예산편성계획 시달(8.5.)
  ∙ 예산요구서 작성 제출(8.16.한)
  ∙ 심사․조정(9～10월)
  ∙ 예산안 결재(10월말)
 16. 예산안 심의․의결(회계연도 개시 15일전까지)
  ∙ 예산안 시의회 제출 : 11월 11일(법정기한)
  ∙ 상임위 및 예결특위 심의․의결(11월~12월초) → 본회의 의결(12월 중순)
 17. 예산 의결결과 이송
  ∙ 시의회가 의결한 예산을 자치단체장에게 이송(의결된 날부터 3일 이내)
 18. 예산 의결내용 고시
  ∙ 즉시 고시</t>
  </si>
  <si>
    <t>예산 편성 절차 관련 사업비별 사전 이행 절차와 과정, 통계목별 필수 예산 심의 사전절차와 과정, 신규 사업 추진을 위한 사전 심의 절차 안내, 예산 편성시 총사업비와 국비사업비 금액에 따른 사전절차 안내</t>
  </si>
  <si>
    <t>용역사업의 과업지시서를 작성할 때 포함되어야 할 내용은 무엇인지 목차별로 정리해 주세요.</t>
  </si>
  <si>
    <t>용역사업의 과업지시서를 작성할 때, 필수 포함 항목은 무엇이며 목차는 어떻게 구성해야 하나요?</t>
  </si>
  <si>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</si>
  <si>
    <t>의도분류가 잘못된거 같습니다.
검색을 요구했는데
문서 초안 생성으로 분류가 되어서
문서 초안을 생성해줍니다.</t>
  </si>
  <si>
    <t>재검토 후 해당 내용은 초안생성쪽으로 반영되면 될 것으로 보입니다.
 다만 초안생성 쪽은 이후 AI 부기주무관을 나눠서 초안생성 주무관을 따로 생성해야할 것 같습니다.(범정부 등)
 초안생성 쪽으로 나간다면 초안생성을 위한 온나라 문서나 BDI, 연구용역자료 등으로 해당 문서 초안 생성을 위한 자료로 활용되어야 할 것 같습니다.</t>
  </si>
  <si>
    <t>초안생성</t>
  </si>
  <si>
    <t>정부 R&amp;D 지원 또는 공모사업을 한꺼번에 조회할 수 있는 온라인 사이트는 무엇인가요?</t>
  </si>
  <si>
    <t>정부 R&amp;D 지원사업과 공모사업을 통합 조회할 수 있는 온라인 플랫폼이나 포털은 무엇이며, 조회 방법과 제공 정보는 어떻게 되나요?</t>
  </si>
  <si>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</si>
  <si>
    <t>관련 매뉴얼이 없습니다.
그리고 해당 사이트는 NTIS 사이트(국가과학기술지식정보서비스)로 확인됩니다.</t>
  </si>
  <si>
    <t>부서에서 과장님, 팀장님(일상경비 출납원) 인사이동시 처리해야할 회계 절차는 어떤것들이 있나?</t>
  </si>
  <si>
    <t>부서에서 과장 또는 팀장(일상경비 출납원)의 인사이동 발생 시, 회계 담당자가 수행해야 하는 권한 이관, 계정 정리, 출납 기록 인수인계 등 관련 회계 절차는 무엇인가요?</t>
  </si>
  <si>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</si>
  <si>
    <t>ㆍ83926_2017감사사례집1장에서_5장까지.pdf (p.159)
https://busanai.busan.go.kr/download/83926_2017감사사례집1장에서_5장까지.pdf</t>
  </si>
  <si>
    <t>근거자료 오류입니다.
관련 매뉴얼이 없어서
해당 답변에서 자세한 내용은 회계 관련 업무 담당자에게 문의하라는 식의 답변이 추가되어야 할 것 같습니다.</t>
  </si>
  <si>
    <t>결재권자(원인행위 승인, 지급명령 승인) 부재 시 대직자 설정 등 지출 방법을 알려줘~</t>
  </si>
  <si>
    <t>결재권자(원인행위 승인, 지급명령 승인)가 부재한 경우, 내부 규정에 따라 대직자 지정 및 결재 권한 위임을 통해 지출을 처리하는 절차와 승인 기준은 무엇인가요?</t>
  </si>
  <si>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</si>
  <si>
    <t>관련 매뉴얼이 없습니다.
지출 관련 업무 담당자에게 문의하시기 바랍니다. 라는 식의 멘트가 필요합니다</t>
  </si>
  <si>
    <t>부산시 업무협약 체결할때, 의회 사전동의 유무, 협약서 검토 등 구체적인 절차를 알려줘~</t>
  </si>
  <si>
    <t>부산광역시에서 업무협약(MOU)을 체결할 때, 의회의 사전 동의가 필요한 경우, 협약서 검토 절차, 내부 결재 과정, 관련 부서 협의, 최종 체결까지의 구체적인 단계는 어떻게 되나요?</t>
  </si>
  <si>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</si>
  <si>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</si>
  <si>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</si>
  <si>
    <t>기대답변 :
 업무협약 추진 흐름도
 1. 업무협약 추진 검토
  - 모든 여건 검토
  &gt; 소요예산 업무처리능력 추진성과 긴급한 추진 필요성 등 전반적인 여건 검토
 2. 업무협약 체결계획 수립
  - 협약서 작성
  &gt; 재정부담 수반하는 경우 협의 : 예산담당관
  &gt; 협약서 안 검토 : 법무담당관
  &gt; 외국어 협약서 안 검토 : 국제협력과
 3. 시의회 의결
  - 의 결 : 시의회 의결대상 업무협약
  &gt; 부의안건으로 제출 실 국 본부 기획담당관
  * 부산광역시 업무협약 관리에 관한 조례 제6조제2항
  ► 사후의결의 경우 소관 상임위원회에 사전설명 필수
 4. 업무협약 체결, 시의회 사후보고
  - 협약 체결 : 대상기관 과 업무협약 체결
  * 정부 및 다른 지방자치단체도 포함
  - 사후 보고 : 시의회 의결사항 이외의 업무협약, 취소사유 등 이 발생한 업무협약
  보고안건으로 제출 실 국 본부 소관 상임위
  ► 부산광역시 업무협약 관리에 관한 조례 제5조제3항, 제6조제1항
 5. 사후관리
  - 점검 관리
  &gt; 추진상황 기록 관리
  &gt; 분기별 점검자료 제출 실 국 본부 조직담당관
  &gt; 관리현황 제출 실 국 본부 소관 상임위
  ► 관리현황(전년도말 기준)은 익년도 2월말까지 제출</t>
  </si>
  <si>
    <t>376_2210_조직담당관_업무매뉴얼_조직담당관_업무협약_관리_매뉴얼.pdf</t>
  </si>
  <si>
    <t>6</t>
  </si>
  <si>
    <t>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 부산광역시 업무협약 관리에 관한 조례 제 5조제 3항 제 6조제 1항
 5. 사후관리
 점검 관리
 추진상황 기록 관리
 분기별 점검자료 제출 실 국 본부 조직담당관
 관리현황 제출 실 국 본부 소관 상임위
  ► 관리현황 (전년도말) 기준 은 익년도 2월말까지 제출</t>
  </si>
  <si>
    <t>업무협약 추진 절차, 업무협약 추진 과정, 업무협약서의 검토 과정, 업무협약 체결계획 수립,업무협약 체결 절차, 업무협약 체결 과정, 업무협약 시의회 의결</t>
  </si>
  <si>
    <t>[RAG 검색되었으나 유사도 낮음]
[청크 데이터 확인 필요]</t>
  </si>
  <si>
    <t>시청 각 회의장별 좌석배치도(안)을 검색해줘~</t>
  </si>
  <si>
    <t>부산광역시청 각 회의장별 좌석배치(안)를 확인하거나 열람할 수 있는 공식 자료와 접근 방법은 무엇인가요?</t>
  </si>
  <si>
    <t>부산시청 각 회의장별 좌석배치도(안)은 부산시청 홈페이지에서 확인하실 수 있습니다.
부산시청 홈페이지에 접속하여 "회의실" 메뉴를 선택하시면 각 회의장별 좌석배치도를 확인하실 수 있습니다</t>
  </si>
  <si>
    <t>시청 회의실 관련 좌석배치도가 시청 홈페이지에 확인이 안됩니다.
근거 문서도 없습니다.</t>
  </si>
  <si>
    <t>시차출퇴근제 신청 한 날 반가를 쓰면 퇴근을 지정해야하는지? 유연근무제 복무 유의사항은 무엇이 있을까?</t>
  </si>
  <si>
    <t>부산광역시청 시차출퇴근제를 신청한 날에는 퇴근 시간 지정이 필요한지, 유연근무제 적용 시 준수해야 할 복무 유의사항과 내부 규정 기준은 무엇인가요?</t>
  </si>
  <si>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</si>
  <si>
    <t>관련 내용에 대한 근거문서는 없습니다.
내용은 담당자에게 문의하라는 내용이 있어서 괜찮을거 같습니다.</t>
  </si>
  <si>
    <t>기대답변
 1. 시차출퇴근제 신청 날 반일(연가, 지각, 조퇴 등) 사용 시 퇴근 지정 여부
  ○ 반일 연가, 지각, 조퇴, 시간 단위 특별휴가·공가를 사용하더라도 출·퇴근 시간은 반드시 지정해야 함.
  ○ 구체 사례:
  - 출근 전 지각 사용: 실제 출근 시간에 출근 지정, 퇴근은 정규 퇴근 시간 이후 지정
  - 출근 후 반일연가/조퇴 사용: 출근은 원래 출근시간 지정, 퇴근은 연가·조퇴 종료 시 지정
  - 출근 전 시간 단위 공가/특별휴가: 사용 후 실제 출근 시간에 출근 지정, 퇴근은 정규 퇴근 시간 이후 지정
  - 출근 후 시간 단위 공가/특별휴가: 복귀 시 출근·퇴근 모두 지정, 복귀하지 못하면 출근만 지정, 퇴근은 휴가 종료 시점으로 지정
 → 요약: 유연근무제 날이라도 근무시간 일부를 연가 등으로 사용하더라도 출·퇴근 지정은 필수입니다.
 2. 유연근무제 출·퇴근 지정 관련 유의사항
  ○ 출근시간 지각 시
  - 지각 시간만큼 연가 차감 후, 퇴근은 원래 퇴근시간에 지정
  ○ 근무시간선택형(정규근무시간 일부 변경)
  - 출·퇴근 모두 지정 필요
  - 단, 정규근무와 동일한 날은 출·퇴근 지정 불필요
  ○ 출장과 유연근무
  - 출근 전 출장: 출장 시작 시 부서장 보고 → 퇴근은 지정 필요 또는 출장 종료 시 보고
  - 출근 후 출장: 출근 시간 지정, 퇴근은 출장 종료 시 보고
  - 증빙자료 제출 필요(기차표, 출장보고서 등)
  ○ 휴가와 유연근무 병행
  - 출·퇴근 지정 필수
  - 실제 근무 시작과 종료 시간을 기준으로 지정</t>
  </si>
  <si>
    <t>1259_지방공무원_복무에_관한_예규_개정안전문_행정안전부_예규_제340호.pdf</t>
  </si>
  <si>
    <t>&lt; 유연근무 출·퇴근 지정 관련 주요 사례 &gt;
 ￭ 유연근무 출근시간을 지나서 출근한 경우
 (사례1) 시차출퇴근형 8:30 ∼ 17:30 근무인데 8:40분 출근한 경우
  ⇒ 지각한 시간(10분)만큼 ‘지각’(연가 차감)을 사용하고 17:30분에 퇴근
 ￭ 유연근무로 정규근무시간(9~18시)에서 퇴근시간만 바뀌는 경우
 (사례2) 근무시간선택형 9:00 ∼ 17:00 근무
  ⇒ 출·퇴근시간 모두 지정하여야 함(9시 이전 출근 지정, 17시 이후 퇴근 지정) ※ 유연근무로 정규근무시간에서 출근시간만 바뀌는 경우도 동일
 ￭ 1주일의 유연근무 중에 정규근무시간(9~18시) 근무를 하는 날의 경우
 (사례3) 근무시간선택형을 선택하여 월요일 9∼17시, 화요일 9∼19시, 수요일 9∼18시, 목요일 9∼17시, 금요일 9∼19시 근무를 설정
  ⇒ 근무시간선택형으로 선택한 근무일 중 정규근무시간과 동일한 수요일은 출·퇴근지정 불필요
 ￭ 유연근무일에 출장을 가는 경우
  - 출장이 예정되어 있는 날에는 유연근무를 하지 않는 것이 원칙, 단, 유연근무 하는 날에 출장을 간다하더라도 가능한 한 출·퇴근시간을 지정 하여야 함
 (사례4) 사무실 출근 전에 출장을 가는 경우
  ⇒ (사례4-1) 퇴근 시간 전에 사무실로 복귀 시 
  ☞ (출근시간) 출장 시작 시 부서장 보고로 갈음(전화, 메신저 등)
  ※ 필요 시 출장일정을 증빙할 수 있는 자료(기차표, 출장보고서 등)를 부서 복무담당자에게 제출
  ☞ (퇴근시간) 퇴근시간 지정 필요
 - 22 -
  ⇒ (사례4-2) 퇴근시간까지 사무실로 복귀하지 못할 시 
  ☞ (출근시간) 출장 시작 시 부서장 보고로 갈음(전화 메신저 등) ☞ (퇴근시간) 출장 종료 시 부서장 보고로 갈음(전화, 메신저 등)
  ※ 필요 시 출장일정을 증빙할 수 있는 자료(기차표, 출장보고서 등)를 부서 복무담당자에게 제출
 (사례5) 사무실 출근 후 출장을 가는 경우
  ⇒ (사례5-1) 퇴근 시간 전에 사무실로 복귀 시 
  ☞ (출·퇴근시간) 모두 지정 필요
  ⇒ (사례5-2) 퇴근시간까지 사무실로 복귀하지 못할 시 
  ☞ (출근시간) 지정 필요
  ☞ (퇴근시간) 출장 종료 시 부서장 보고로 갈음(전화, 메신저 등)
  ※ 필요 시 출장일정을 증빙할 수 있는 자료(기차표, 출장보고서 등)를 부서 복무담당자에게 제출
 ￭ 유연근무일에 반일연가·지각·조퇴 또는 시간 단위로 특별휴가·공가를 사용한 경우
  - 유연근무를 하는 날의 근무시간 중 일부 시간을 연가 등 휴가를 사용하더라도 출·퇴근 
 지정을 하여야 함
 (사례6) 출근 전 ‘지각’을 사용 
  - 시차출퇴근형(9:30～18:30) 이용한 날, 30분 지각을 사용한 경우
  ⇒ 지각 사용 후 실제 출근하는 시간에 출근 지정해야 하므로, 10:00 이전에 출근하면서 출근시간을 지정하고, 18:30 이후 퇴근 지정
 (사례7) 출근 후 ‘반일연가’ 또는 ‘조퇴’를 사용한 경우
  - 시차출퇴근형(09:30～18:30) 이용한 날, 3시간 조퇴를 사용한 경우 
  ⇒ 출근시간인 09:30에 출근지정하고, 15:30 이후 조퇴를 하면서 사무실을 떠나는 시간에 퇴근 지정
 (사례8) 출근 전 시간단위 ‘특별휴가’ 또는 ‘공가’를 사용한 경우
  - 시차출퇴근형(09:30～18:30) 이용한 날, 09:30부터 10:00까지 30분간 육아시간을
 사용하여 사용한 경우 
  ⇒ 30분 육아시간 사용 후 실제 출근하신 시간에 출근을 지정해야 하므로
 10:00 이전에 출근지정을 하고, 18:30 이후 퇴근 지정
 (사례9) 출근 후 시간단위 ‘특별휴가’ 또는 ‘공가’를 사용한 경우
  - 시차출퇴근형(09:30~18:30), 3시간 ‘공가’를 사용한 경우 
  ⇒ (사례9-1) 3시간 공가 사용(13:00~16:00)하여 사무실 복귀하는 경우
  ☞ 출·퇴근 시간 모두 지정 필요
  ⇒ (사례9-2) 3시간 공가 사용(15:30~18:30)으로 사무실로 복귀하지 못하는 경우 
  ☞ 출근 시 출근 지정, 공가 사용시작 시간인 15:30 이후에 퇴근지정</t>
  </si>
  <si>
    <t>장기재직휴가 관련해서 구군 전입 전출 직원은 인사랑에 기록이 안남아있나요?</t>
  </si>
  <si>
    <t>구·군 간 전입·전출 직원의 장기재직휴가 이력과 관련해서 인사랑 시스템에 누락되는 경우가 실제로 존재하는지, 그리고 이를 확인·정정하는절차는 무엇인가요?</t>
  </si>
  <si>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</si>
  <si>
    <t>ㆍ83926_2017감사사례집1장에서_5장까지.pdf (p.86)
https://busanai.busan.go.kr/download/83926_2017감사사례집1장에서_5장까지.pdf</t>
  </si>
  <si>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</si>
  <si>
    <t>인사랑 관련 매뉴얼이 없으므로
 미답변 처리 하시면 됩니다.</t>
  </si>
  <si>
    <t>탄력근무제 관련해서 자세한 매뉴얼이 있나요</t>
  </si>
  <si>
    <t>부산광역시에서 실시하는 탄력근무제 운영에 관한 공식 매뉴얼이나 지침서가 존재하는지, 존재할 경우 확인·열람하는 방법은 무엇인가요?</t>
  </si>
  <si>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</si>
  <si>
    <t>해당 근거문서가 없습니다. 
그리고 매뉴얼의 존재여부에 대해 질의를 했는데
매뉴얼의 필요성에 대한 답변이 나와서 질의 해석이 잘못된거 같습니다.</t>
  </si>
  <si>
    <t>기대답변 : 
 지방공무원 복무에 관한 예규에 탄력근무제 관련한 자세한 내용이 있습니다.
 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</si>
  <si>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12</t>
  </si>
  <si>
    <t>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</si>
  <si>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탄력근무제와 관련한 매뉴얼, 메뉴얼, 안내서</t>
  </si>
  <si>
    <t>DRM, 네트워크 인증 등 신규직원이 컴퓨터 사용에 알아야할 것들에 대해 정리해주세요.</t>
  </si>
  <si>
    <t>신규 직원이 컴퓨터 및 네트워크를 사용할 때 알아야 하는 DRM(자료반출관리시스템) 사용, 네트워크 접근 인증(NAC, 네트워크 접근제어) 등의 필수 사항을 알려주세요.</t>
  </si>
  <si>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</si>
  <si>
    <t>ㆍ10081_과업지시서-hwp.pdf (p.45)
https://busanai.busan.go.kr/download/10081_과업지시서-hwp.pdf</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</si>
  <si>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</si>
  <si>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부서에서 회계과로 계약요청을 하기 위한 절차는 어떻게 되나요</t>
  </si>
  <si>
    <t>부서에서 공사·용역·물품 계약을 위해 회계과에 계약 요청을 할 때, 신청 서류, 결재 단계, 검토 절차, 요청 방법 등 전체 과정을 단계별로 상세히 안내해 주세요.</t>
  </si>
  <si>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</si>
  <si>
    <t>회계재산담당관에서 제출한 계약업무 참고자료에 보면 계약집행 흐름도가 있는데
해당 페이지(9P)에 관련 내용이 있습니다.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</si>
  <si>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t>
  </si>
  <si>
    <t>9, 10</t>
  </si>
  <si>
    <t>계약집행 흐름도
 1. 사업부서
 ○ 계약심사 : 추정금액 종합공사 5억원, 전문공사 등 3억원, 용역 1억원, 물품 2천만원 이상(조달청 의뢰계약, 협상에 의한 계약 제외)
 ※ 공사원가 사전검토 : 추정가격 100억원 이상인 공사 → 조달청에 공사원가 사전검토 요청
 ○ 사전규격공개(5천만원 이상) : 용역(과업지시서 등), 물품(규격서, 제작시방서 등) g2b 공개 5일(긴급3일)
 ○ 계약심의 : 광역지자체 - 추정가격 공사 70억원, 용역․물품 20억원 이상 (긴급한 재해복구사업, 지역경제 활성화를 위하여 예산을 조기집행할 필요가 있는 사업 제외)
 2. 계약의뢰
 3. 일상감사
 ○ 대 상 : 추정가격 종합공사 5억원, 전문공사 등 3억원, 용역 2억원, 물품 2천만원 이상(조달청 의뢰계약 제외)
 ○ 시 기 : 계약부서에서 입찰공고 직전 일상감사 부서로 일상감사 의뢰(예외 : PQ 설계공모, 협상에 의한 계약은 발주부서가 의뢰, 단, 협상계약(용역2억↑,물품2천만↑은 계약부서 타당성검토 받은 후 요청)
 4. 입찰공고 (1인 견적 수의계약 제외) : 계약부서
 ○ 공고방법 : 지정정보처리장치(G2B) 및 시홈페이지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
 ○ 공고내용 : 입찰에 부치는 사항, 개찰장소와 일시 등 입찰에 필요한 사항
 ○ 지역제한입찰 대상
  ▷ 공사 : 종합 100억원미만, 전문·전기·그밖의 공사 10억원미만
  ▷ 건설기술용역 : 기획재정부장관 고시금액[3.3억원] 미만(안전진단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5. 입찰 및 적격심사 : 계약부서
 ○ 적격심사 대상 : 입찰을 하는 사업만 적격심사 실시(수의계약[전자수의 포함]은 적격심사 미실시)
 ○ 적격심사절차 : 자료제출(통보일부터 7일이내, 30억이상~100억미만 공사는 15일이내) → 심사(7일이내) → 낙찰자 결정통보 → 계약체결(10일이내)
 6. 계약체결 : 계약부서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</si>
  <si>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용역 계약 절차 상세 안내, 부서에서 회계과 계약요청 절차 안내</t>
  </si>
  <si>
    <r>
      <rPr>
        <rFont val="맑은 고딕"/>
        <b/>
        <color rgb="FFFF0000"/>
        <sz val="11.0"/>
      </rPr>
      <t>478_2505_회계재산담당관_업무매뉴얼_회계재산담당관_계약업무_참고자료회계재산담당관외부용.pdf[9]</t>
    </r>
    <r>
      <rPr>
        <rFont val="맑은 고딕"/>
        <color rgb="FFFF0000"/>
        <sz val="11.0"/>
      </rPr>
      <t xml:space="preserve">
-----
</t>
    </r>
    <r>
      <rPr>
        <rFont val="맑은 고딕"/>
        <color rgb="FFFF0000"/>
        <sz val="11.0"/>
      </rPr>
      <t xml:space="preserve">[계약을 요청하기 위한 절차는 "3. 계약 집행 흐름도 전체를 넘겨야 하는지 확인 필요]
</t>
    </r>
    <r>
      <rPr>
        <rFont val="맑은 고딕"/>
        <color rgb="FFFF0000"/>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rgb="FFFF0000"/>
        <sz val="11.0"/>
      </rPr>
      <t>․</t>
    </r>
    <r>
      <rPr>
        <rFont val="맑은 고딕"/>
        <color rgb="FFFF0000"/>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</si>
  <si>
    <t>인사상담은 쪽지로 담당자한테 연락하는 방법 외에는 없나요</t>
  </si>
  <si>
    <t>인사 관련 상담을 받을 때, 쪽지 외에 공식적으로 활용할 수 있는 상담 경로(시스템, 전화, 방문창구 등)가 무엇인지 전체 목록과 이용 조건을 포함해 알려주세요.</t>
  </si>
  <si>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</si>
  <si>
    <t>ㆍ19421_2023-2403_부산광역시청어린이집_민간위탁_성과평가_결과_공고.pdf (p.2)
https://busanai.busan.go.kr/download/19421_2023-2403_부산광역시청어린이집_민간위탁_성과평가_결과_공고.pdf</t>
  </si>
  <si>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</si>
  <si>
    <t>기대답변 :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</si>
  <si>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r>
      <rPr>
        <rFont val="맑은 고딕"/>
        <b/>
        <color theme="1"/>
        <sz val="11.0"/>
      </rPr>
      <t xml:space="preserve">263_2401_인사과_기본계획_인사과_2024년도_부산광역시_인사운영_기본계획.pdf[11]
-----
</t>
    </r>
    <r>
      <rPr>
        <rFont val="맑은 고딕"/>
        <color rgb="FFFF0000"/>
        <sz val="11.0"/>
      </rPr>
      <t xml:space="preserve">[2025년도 자료를 찾을 수 없음. 확인 필요함]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 인사상담 활성화
</t>
    </r>
    <r>
      <rPr>
        <rFont val="Segoe UI Symbol"/>
        <color theme="1"/>
        <sz val="11.0"/>
      </rPr>
      <t>❍</t>
    </r>
    <r>
      <rPr>
        <rFont val="맑은 고딕"/>
        <color theme="1"/>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theme="1"/>
        <sz val="11.0"/>
      </rPr>
      <t>❍</t>
    </r>
    <r>
      <rPr>
        <rFont val="맑은 고딕"/>
        <color theme="1"/>
        <sz val="11.0"/>
      </rPr>
      <t xml:space="preserve"> (찾아가는 인사상담) 직접 찾아가서 상담하는 적극적 인사 운영- (운영시기) 상</t>
    </r>
    <r>
      <rPr>
        <rFont val="MS UI Gothic"/>
        <color theme="1"/>
        <sz val="11.0"/>
      </rPr>
      <t>․</t>
    </r>
    <r>
      <rPr>
        <rFont val="맑은 고딕"/>
        <color theme="1"/>
        <sz val="11.0"/>
      </rPr>
      <t xml:space="preserve">하반기 연 2회 </t>
    </r>
    <r>
      <rPr>
        <rFont val="Tahoma"/>
        <color theme="1"/>
        <sz val="11.0"/>
      </rPr>
      <t>‣</t>
    </r>
    <r>
      <rPr>
        <rFont val="맑은 고딕"/>
        <color theme="1"/>
        <sz val="11.0"/>
      </rPr>
      <t xml:space="preserve"> 정기인사 전</t>
    </r>
    <r>
      <rPr>
        <rFont val="Noto Sans KR"/>
        <color theme="1"/>
        <sz val="11.0"/>
      </rPr>
      <t>‧</t>
    </r>
    <r>
      <rPr>
        <rFont val="Noto Sans KR"/>
        <color theme="1"/>
        <sz val="11.0"/>
      </rPr>
      <t>후</t>
    </r>
    <r>
      <rPr>
        <rFont val="맑은 고딕"/>
        <color theme="1"/>
        <sz val="11.0"/>
      </rPr>
      <t xml:space="preserve">
- (운영내용) 실</t>
    </r>
    <r>
      <rPr>
        <rFont val="Noto Sans KR"/>
        <color theme="1"/>
        <sz val="11.0"/>
      </rPr>
      <t>‧</t>
    </r>
    <r>
      <rPr>
        <rFont val="Noto Sans KR"/>
        <color theme="1"/>
        <sz val="11.0"/>
      </rPr>
      <t>국‧본부별</t>
    </r>
    <r>
      <rPr>
        <rFont val="맑은 고딕"/>
        <color theme="1"/>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</si>
  <si>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전화기 통화 녹음 하는 방법 및 매뉴얼 알려주세요</t>
  </si>
  <si>
    <t>행정전화기의 통화 녹음 기능은 어떤 방식으로 이용할 수 있으며, 녹음 절차와 관련 매뉴얼은 어디에서 확인할 수 있는지 알려주세요</t>
  </si>
  <si>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</si>
  <si>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</si>
  <si>
    <t>기대답변 :
 1. 통화상태에서 #11을 누른 후 LCD화면의 회의버튼을 누르면 녹취멘트가나오면서 녹취가 시작됩니다.
 2. 녹취 후 LCD화면의 회의종료 버튼을 누르면 녹취가 완료됩니다.</t>
  </si>
  <si>
    <t>410_2505_총무과_주요질문사항_행정전화_녹취방법.pdf</t>
  </si>
  <si>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</si>
  <si>
    <t>(별도 작업 없음. 문서 잘 나옴)</t>
  </si>
  <si>
    <r>
      <rPr>
        <rFont val="맑은 고딕"/>
        <b/>
        <color theme="1"/>
        <sz val="11.0"/>
      </rPr>
      <t xml:space="preserve">406_2505_총무과_매뉴얼_IP전화기_사용방법알카텔_전화기_사용기관.pdf[2] </t>
    </r>
    <r>
      <rPr>
        <rFont val="맑은 고딕"/>
        <color theme="1"/>
        <sz val="11.0"/>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rFont val="맑은 고딕"/>
        <color rgb="FFFF0000"/>
        <sz val="11.0"/>
      </rPr>
      <t>5 녹취☞ 통화 내용 녹음&lt;/td&gt;&lt;td&gt;1 통화 상태에서 #11을 누른 후 LCD 화면 오른쪽에 있는 해당 Soft key(회의)를 누른다.2 녹음이 완료되면 LCD 화면 오른쪽에 있는 해당 Soft key(회의 종료)를 누른다.</t>
    </r>
    <r>
      <rPr>
        <rFont val="맑은 고딕"/>
        <color theme="1"/>
        <sz val="11.0"/>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</si>
  <si>
    <t>의무교육이라고 공문이 오는게 많은데 의무교육 목록들이 정리되어있는것은 없나요</t>
  </si>
  <si>
    <t>부산광역시 공무원 대상 의무교육 공문이 다수 발송되는데, 모든 의무교육 목록과 세부 내용을 한눈에 확인할 수 있는 공식 자료나 시스템은 무엇인가요?</t>
  </si>
  <si>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</si>
  <si>
    <t>ㆍ82257_2025년_상반기_시의회_업무보고시민건강국-최종.pdf (p.41)
https://busanai.busan.go.kr/download/82257_2025년_상반기_시의회_업무보고시민건강국-최종.pdf</t>
  </si>
  <si>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</si>
  <si>
    <t>악성민원 응대 및 대응관련 매뉴얼 알려주세요.</t>
  </si>
  <si>
    <t>악성 민원 발생 시 공무원이 따라야 하는 대응 절차와 보호 매뉴얼은 어디에서 확인할 수 있으며, 단계별 조치 기준은 어떻게 되어 있는지 알려주세요</t>
  </si>
  <si>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</si>
  <si>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</si>
  <si>
    <t>관련 근거과 내용에 오류가 있습니다.
해당 내용은 통합민원과에서 제공한 민원인의 위법행위 및 반복민원 대응방안(지침)에 관련 내용이 있습니다.</t>
  </si>
  <si>
    <t>해당 내용만 제외 하고 부기주무관을 통해 생성한 답변 그대로 활용하면 될 것 같습니다.
 오류 : 이 문서는 페이지 1부터 페이지 54까지 총 54페이지로 구성되어 있으며, 각 섹션마다 체계적인 정보와 지침을 제공하고 있어요.
 기대답변 :
 네, 악성민원 응대 및 대응에 관한 매뉴얼을 제공해 드릴게요.
 **‘민원인의 위법행위 및 반복민원 대응방안 지침’**이라는 파일이 있어요. 이 문서는 다음과 같은 정보를 포함하고 있습니다:
 제1장: 민원인의 위법행위 등 대응방안에 대한 목적, 배경, 특이민원의 정의와 유형, 그리고 대응 기본방향 등을 다루고 있어요.
 제2장: 민원처리담당자의 보호를 위한 조치로서, 특이민원 예방 및 차단 방법, 안전한 민원환경 구축 방안, 민원담당자의 근무 여건 개선 등에 대해 상세히 설명하고 있어요.
 제3장: 민원인의 위법행위에 대한 현장 대응 요령으로, 기본 원칙과 함께 구체적인 대응 방법을 제시하고 있으며, 민원담당자의 회복 지원 방안에 대해서도 다루고 있어요.
 제4장: 반복민원 등의 대응 방안으로서, 반복민원 심의·종결 제도와 그 절차를 상세히 설명하고 있어요.
 이 문서는 페이지 1부터 페이지 54까지 총 54페이지로 구성되어 있으며, 각 섹션마다 체계적인 정보와 지침을 제공하고 있어요.
 만약 이 문서를 직접 확인하고 싶으시면, 제가 제공하는 링크를 통해 다운로드하실 수 있어요. 또한, 문서 내에서 특정 부분에 대한 자세한 정보가 필요하다면 말씀해 주세요. 도와드릴 수 있는 부분이 있다면 언제든지 알려주세요!</t>
  </si>
  <si>
    <t>431_2410_통합민원과_업무매뉴얼_행정안전부_민원인의_위법행위_및_반복민원_대응방안지침.pdf</t>
  </si>
  <si>
    <t>2P의 차례 부분 활용</t>
  </si>
  <si>
    <t>민원인의 특이 민원, 악성 민원, 반복 민원, 위법행위 등에 관한 응대 매뉴얼(메뉴얼, 가이드, 안내서, 지침)</t>
  </si>
  <si>
    <r>
      <rPr>
        <rFont val="맑은 고딕"/>
        <b/>
        <color theme="1"/>
        <sz val="11.0"/>
      </rPr>
      <t>431_2410_통합민원과_업무매뉴얼_행정안전부_민원인의_위법행위_및_반복민원_대응방안지침.pdf[23]</t>
    </r>
    <r>
      <rPr>
        <rFont val="맑은 고딕"/>
        <color theme="1"/>
        <sz val="11.0"/>
      </rPr>
      <t xml:space="preserve">
-----
 Ⅷ. 기본원칙 등
1 기본 원칙
□ 행정기관의 장은 민원처리법령에 따라, 민원인의 폭언</t>
    </r>
    <r>
      <rPr>
        <rFont val="Noto Sans KR"/>
        <color theme="1"/>
        <sz val="11.0"/>
      </rPr>
      <t>‧</t>
    </r>
    <r>
      <rPr>
        <rFont val="Noto Sans KR"/>
        <color theme="1"/>
        <sz val="11.0"/>
      </rPr>
      <t>폭행</t>
    </r>
    <r>
      <rPr>
        <rFont val="맑은 고딕"/>
        <color theme="1"/>
        <sz val="11.0"/>
      </rPr>
      <t xml:space="preserve"> 등 위법행위로부터 민원담당자를 의무적으로 보호해야 함
□ 민원인 위법행위에 대해 법적 대응 시 기관 차원 고발이 원칙으로,
고소</t>
    </r>
    <r>
      <rPr>
        <rFont val="Noto Sans KR"/>
        <color theme="1"/>
        <sz val="11.0"/>
      </rPr>
      <t>‧</t>
    </r>
    <r>
      <rPr>
        <rFont val="Noto Sans KR"/>
        <color theme="1"/>
        <sz val="11.0"/>
      </rPr>
      <t>고발</t>
    </r>
    <r>
      <rPr>
        <rFont val="맑은 고딕"/>
        <color theme="1"/>
        <sz val="11.0"/>
      </rPr>
      <t xml:space="preserve"> 등 법적 대응 全 과정을 법적 대응 전담부서가 총괄민원처리법 시행령 제4조(민원처리 담당자의 보호) ② 행정기관의 장은 민원인의 폭언</t>
    </r>
    <r>
      <rPr>
        <rFont val="Noto Sans KR"/>
        <color theme="1"/>
        <sz val="11.0"/>
      </rPr>
      <t>‧</t>
    </r>
    <r>
      <rPr>
        <rFont val="Noto Sans KR"/>
        <color theme="1"/>
        <sz val="11.0"/>
      </rPr>
      <t>폭행</t>
    </r>
    <r>
      <rPr>
        <rFont val="맑은 고딕"/>
        <color theme="1"/>
        <sz val="11.0"/>
      </rPr>
      <t xml:space="preserve"> 등에 대한 효과적인 대응, 재발 방지 또는 피해 최소화 등을 위해 필요한
경우에는 폭언</t>
    </r>
    <r>
      <rPr>
        <rFont val="Noto Sans KR"/>
        <color theme="1"/>
        <sz val="11.0"/>
      </rPr>
      <t>‧</t>
    </r>
    <r>
      <rPr>
        <rFont val="Noto Sans KR"/>
        <color theme="1"/>
        <sz val="11.0"/>
      </rPr>
      <t>폭행</t>
    </r>
    <r>
      <rPr>
        <rFont val="맑은 고딕"/>
        <color theme="1"/>
        <sz val="11.0"/>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rFont val="Noto Sans KR"/>
        <color theme="1"/>
        <sz val="11.0"/>
      </rPr>
      <t>‧</t>
    </r>
    <r>
      <rPr>
        <rFont val="Noto Sans KR"/>
        <color theme="1"/>
        <sz val="11.0"/>
      </rPr>
      <t>고발</t>
    </r>
    <r>
      <rPr>
        <rFont val="맑은 고딕"/>
        <color theme="1"/>
        <sz val="11.0"/>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rFont val="Segoe UI Symbol"/>
        <color theme="1"/>
        <sz val="11.0"/>
      </rPr>
      <t>▪</t>
    </r>
    <r>
      <rPr>
        <rFont val="맑은 고딕"/>
        <color theme="1"/>
        <sz val="11.0"/>
      </rPr>
      <t>현행범 신고 및 증거</t>
    </r>
    <r>
      <rPr>
        <rFont val="Noto Sans KR"/>
        <color theme="1"/>
        <sz val="11.0"/>
      </rPr>
      <t>‧</t>
    </r>
    <r>
      <rPr>
        <rFont val="Noto Sans KR"/>
        <color theme="1"/>
        <sz val="11.0"/>
      </rPr>
      <t>증인</t>
    </r>
    <r>
      <rPr>
        <rFont val="맑은 고딕"/>
        <color theme="1"/>
        <sz val="11.0"/>
      </rPr>
      <t xml:space="preserve"> 확보
</t>
    </r>
    <r>
      <rPr>
        <rFont val="Segoe UI Symbol"/>
        <color theme="1"/>
        <sz val="11.0"/>
      </rPr>
      <t>▪</t>
    </r>
    <r>
      <rPr>
        <rFont val="맑은 고딕"/>
        <color theme="1"/>
        <sz val="11.0"/>
      </rPr>
      <t xml:space="preserve">위법행위 관련 사건경위 등 부서장 보고
민원부서
(부서장,동료공무원)
</t>
    </r>
    <r>
      <rPr>
        <rFont val="Cambria Math"/>
        <color theme="1"/>
        <sz val="11.0"/>
      </rPr>
      <t>⇩</t>
    </r>
    <r>
      <rPr>
        <rFont val="맑은 고딕"/>
        <color theme="1"/>
        <sz val="11.0"/>
      </rPr>
      <t xml:space="preserve">
2단계
(특이민원 보고) </t>
    </r>
    <r>
      <rPr>
        <rFont val="Segoe UI Symbol"/>
        <color theme="1"/>
        <sz val="11.0"/>
      </rPr>
      <t>▪“</t>
    </r>
    <r>
      <rPr>
        <rFont val="맑은 고딕"/>
        <color theme="1"/>
        <sz val="11.0"/>
      </rPr>
      <t xml:space="preserve">특이민원 발생보고서” 작성 </t>
    </r>
    <r>
      <rPr>
        <rFont val="Noto Sans KR"/>
        <color theme="1"/>
        <sz val="11.0"/>
      </rPr>
      <t>‧</t>
    </r>
    <r>
      <rPr>
        <rFont val="맑은 고딕"/>
        <color theme="1"/>
        <sz val="11.0"/>
      </rPr>
      <t xml:space="preserve"> 제출
* 피해공무원 등 진술 및 근거자료를 바탕으로 작성
민원부서
→ 전담부서</t>
    </r>
    <r>
      <rPr>
        <rFont val="Cambria Math"/>
        <color theme="1"/>
        <sz val="11.0"/>
      </rPr>
      <t>⇩</t>
    </r>
    <r>
      <rPr>
        <rFont val="맑은 고딕"/>
        <color theme="1"/>
        <sz val="11.0"/>
      </rPr>
      <t xml:space="preserve">
3단계
(법적대응 여부
건의 및 결정)
</t>
    </r>
    <r>
      <rPr>
        <rFont val="Segoe UI Symbol"/>
        <color theme="1"/>
        <sz val="11.0"/>
      </rPr>
      <t>▪</t>
    </r>
    <r>
      <rPr>
        <rFont val="맑은 고딕"/>
        <color theme="1"/>
        <sz val="11.0"/>
      </rPr>
      <t xml:space="preserve">사건 발생경위 및 법적대응 계획을 기관장에 보고
</t>
    </r>
    <r>
      <rPr>
        <rFont val="Segoe UI Symbol"/>
        <color theme="1"/>
        <sz val="11.0"/>
      </rPr>
      <t>▪</t>
    </r>
    <r>
      <rPr>
        <rFont val="맑은 고딕"/>
        <color theme="1"/>
        <sz val="11.0"/>
      </rPr>
      <t>법적대응여부</t>
    </r>
    <r>
      <rPr>
        <rFont val="Noto Sans KR"/>
        <color theme="1"/>
        <sz val="11.0"/>
      </rPr>
      <t>‧</t>
    </r>
    <r>
      <rPr>
        <rFont val="Noto Sans KR"/>
        <color theme="1"/>
        <sz val="11.0"/>
      </rPr>
      <t>방안을</t>
    </r>
    <r>
      <rPr>
        <rFont val="맑은 고딕"/>
        <color theme="1"/>
        <sz val="11.0"/>
      </rPr>
      <t xml:space="preserve"> 기관장이 최종 결정
전담부서
→ 기관장
</t>
    </r>
    <r>
      <rPr>
        <rFont val="Cambria Math"/>
        <color theme="1"/>
        <sz val="11.0"/>
      </rPr>
      <t>⇩</t>
    </r>
    <r>
      <rPr>
        <rFont val="맑은 고딕"/>
        <color theme="1"/>
        <sz val="11.0"/>
      </rPr>
      <t xml:space="preserve">
4단계
(법적대응) </t>
    </r>
    <r>
      <rPr>
        <rFont val="Segoe UI Symbol"/>
        <color theme="1"/>
        <sz val="11.0"/>
      </rPr>
      <t>▪</t>
    </r>
    <r>
      <rPr>
        <rFont val="맑은 고딕"/>
        <color theme="1"/>
        <sz val="11.0"/>
      </rPr>
      <t>법적대응 시 전담부서를 중심으로 고소</t>
    </r>
    <r>
      <rPr>
        <rFont val="Noto Sans KR"/>
        <color theme="1"/>
        <sz val="11.0"/>
      </rPr>
      <t>‧</t>
    </r>
    <r>
      <rPr>
        <rFont val="Noto Sans KR"/>
        <color theme="1"/>
        <sz val="11.0"/>
      </rPr>
      <t>고발</t>
    </r>
    <r>
      <rPr>
        <rFont val="맑은 고딕"/>
        <color theme="1"/>
        <sz val="11.0"/>
      </rPr>
      <t xml:space="preserve"> 등
수사</t>
    </r>
    <r>
      <rPr>
        <rFont val="Noto Sans KR"/>
        <color theme="1"/>
        <sz val="11.0"/>
      </rPr>
      <t>‧</t>
    </r>
    <r>
      <rPr>
        <rFont val="Noto Sans KR"/>
        <color theme="1"/>
        <sz val="11.0"/>
      </rPr>
      <t>재판</t>
    </r>
    <r>
      <rPr>
        <rFont val="맑은 고딕"/>
        <color theme="1"/>
        <sz val="11.0"/>
      </rPr>
      <t xml:space="preserve"> 절차에 체계적으로 대응 전담부서</t>
    </r>
  </si>
  <si>
    <r>
      <rPr>
        <rFont val="맑은 고딕"/>
        <b/>
        <color theme="1"/>
        <sz val="11.0"/>
      </rPr>
      <t>431_2410_통합민원과_업무매뉴얼_행정안전부_민원인의_위법행위_및_반복민원_대응방안지침.pdf[24]</t>
    </r>
    <r>
      <rPr>
        <rFont val="맑은 고딕"/>
        <color theme="1"/>
        <sz val="11.0"/>
      </rPr>
      <t xml:space="preserve">
-----
Ⅸ. 위법행위 현장 대응요령
1 공통 사항
□ (안전한 업무환경 조성) 대면상담은 녹음</t>
    </r>
    <r>
      <rPr>
        <rFont val="Noto Sans KR"/>
        <color theme="1"/>
        <sz val="11.0"/>
      </rPr>
      <t>‧</t>
    </r>
    <r>
      <rPr>
        <rFont val="Noto Sans KR"/>
        <color theme="1"/>
        <sz val="11.0"/>
      </rPr>
      <t>녹화</t>
    </r>
    <r>
      <rPr>
        <rFont val="맑은 고딕"/>
        <color theme="1"/>
        <sz val="11.0"/>
      </rPr>
      <t xml:space="preserve"> 가능(민원 통화는 전체내용 녹음)하고 안전요원 협조가 용이한 곳에서 진행
 ※ 민원실 등에 상담내용이 녹화</t>
    </r>
    <r>
      <rPr>
        <rFont val="Noto Sans KR"/>
        <color theme="1"/>
        <sz val="11.0"/>
      </rPr>
      <t>‧</t>
    </r>
    <r>
      <rPr>
        <rFont val="Noto Sans KR"/>
        <color theme="1"/>
        <sz val="11.0"/>
      </rPr>
      <t>녹음될</t>
    </r>
    <r>
      <rPr>
        <rFont val="맑은 고딕"/>
        <color theme="1"/>
        <sz val="11.0"/>
      </rPr>
      <t xml:space="preserve"> 수 있음을 안내하는 고지문(안내문) 게시
○ 특히, 위법행위 전력이 있는 민원인을 면담해야 하는 경우, 준비된장소(CCTV, 휴대용 장비 확보)에서 청원경찰 등 입회 하 면담○ 민원인의 욕설</t>
    </r>
    <r>
      <rPr>
        <rFont val="Noto Sans KR"/>
        <color theme="1"/>
        <sz val="11.0"/>
      </rPr>
      <t>‧</t>
    </r>
    <r>
      <rPr>
        <rFont val="Noto Sans KR"/>
        <color theme="1"/>
        <sz val="11.0"/>
      </rPr>
      <t>협박‧성희롱으로</t>
    </r>
    <r>
      <rPr>
        <rFont val="맑은 고딕"/>
        <color theme="1"/>
        <sz val="11.0"/>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rFont val="Noto Sans KR"/>
        <color theme="1"/>
        <sz val="11.0"/>
      </rPr>
      <t>‧</t>
    </r>
    <r>
      <rPr>
        <rFont val="Noto Sans KR"/>
        <color theme="1"/>
        <sz val="11.0"/>
      </rPr>
      <t>민원센터</t>
    </r>
    <r>
      <rPr>
        <rFont val="맑은 고딕"/>
        <color theme="1"/>
        <sz val="11.0"/>
      </rPr>
      <t xml:space="preserve"> 등은비상대응팀을 조직하고 모의훈련을 철저하게 실시
○ 협박</t>
    </r>
    <r>
      <rPr>
        <rFont val="Noto Sans KR"/>
        <color theme="1"/>
        <sz val="11.0"/>
      </rPr>
      <t>‧</t>
    </r>
    <r>
      <rPr>
        <rFont val="Noto Sans KR"/>
        <color theme="1"/>
        <sz val="11.0"/>
      </rPr>
      <t>폭행‧위험물</t>
    </r>
    <r>
      <rPr>
        <rFont val="맑은 고딕"/>
        <color theme="1"/>
        <sz val="11.0"/>
      </rPr>
      <t xml:space="preserve"> 소지 등 심각한 위법행위를 억제</t>
    </r>
    <r>
      <rPr>
        <rFont val="Noto Sans KR"/>
        <color theme="1"/>
        <sz val="11.0"/>
      </rPr>
      <t>‧</t>
    </r>
    <r>
      <rPr>
        <rFont val="Noto Sans KR"/>
        <color theme="1"/>
        <sz val="11.0"/>
      </rPr>
      <t>제어할</t>
    </r>
    <r>
      <rPr>
        <rFont val="맑은 고딕"/>
        <color theme="1"/>
        <sz val="11.0"/>
      </rPr>
      <t xml:space="preserve"> 수 있는 안전요원</t>
    </r>
    <r>
      <rPr>
        <rFont val="Noto Sans KR"/>
        <color theme="1"/>
        <sz val="11.0"/>
      </rPr>
      <t>‧</t>
    </r>
    <r>
      <rPr>
        <rFont val="Noto Sans KR"/>
        <color theme="1"/>
        <sz val="11.0"/>
      </rPr>
      <t>청원경찰‧경찰</t>
    </r>
    <r>
      <rPr>
        <rFont val="맑은 고딕"/>
        <color theme="1"/>
        <sz val="11.0"/>
      </rPr>
      <t xml:space="preserve"> 등과 긴밀한 협조체계 마련
□ [위법행위 경고</t>
    </r>
    <r>
      <rPr>
        <rFont val="Noto Sans KR"/>
        <color theme="1"/>
        <sz val="11.0"/>
      </rPr>
      <t>‧</t>
    </r>
    <r>
      <rPr>
        <rFont val="Noto Sans KR"/>
        <color theme="1"/>
        <sz val="11.0"/>
      </rPr>
      <t>퇴거</t>
    </r>
    <r>
      <rPr>
        <rFont val="맑은 고딕"/>
        <color theme="1"/>
        <sz val="11.0"/>
      </rPr>
      <t>] 위법행위 발생 시 ①녹음</t>
    </r>
    <r>
      <rPr>
        <rFont val="Noto Sans KR"/>
        <color theme="1"/>
        <sz val="11.0"/>
      </rPr>
      <t>‧</t>
    </r>
    <r>
      <rPr>
        <rFont val="Noto Sans KR"/>
        <color theme="1"/>
        <sz val="11.0"/>
      </rPr>
      <t>녹화</t>
    </r>
    <r>
      <rPr>
        <rFont val="맑은 고딕"/>
        <color theme="1"/>
        <sz val="11.0"/>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rFont val="Noto Sans KR"/>
        <color theme="1"/>
        <sz val="11.0"/>
      </rPr>
      <t>‧</t>
    </r>
    <r>
      <rPr>
        <rFont val="Noto Sans KR"/>
        <color theme="1"/>
        <sz val="11.0"/>
      </rPr>
      <t>보고</t>
    </r>
  </si>
  <si>
    <r>
      <rPr>
        <rFont val="맑은 고딕"/>
        <b/>
        <color theme="1"/>
        <sz val="11.0"/>
      </rPr>
      <t>431_2410_통합민원과_업무매뉴얼_행정안전부_민원인의_위법행위_및_반복민원_대응방안지침.pdf[25~29]</t>
    </r>
    <r>
      <rPr>
        <rFont val="맑은 고딕"/>
        <color theme="1"/>
        <sz val="11.0"/>
      </rPr>
      <t xml:space="preserve">
-----
</t>
    </r>
    <r>
      <rPr>
        <rFont val="맑은 고딕"/>
        <b/>
        <color rgb="FFFF0000"/>
        <sz val="11.0"/>
      </rPr>
      <t>유형별 현장대응 가이드라인</t>
    </r>
  </si>
  <si>
    <t>근무시간 중 개인사정으로 연가(외출)사용 후 돌아와서 시간외근무를 하면 시간외근무가 인정이 되는지 여부가 궁금해요.</t>
  </si>
  <si>
    <t>근무시간 중 개인사정으로 연가나 외출을 사용한 뒤 복귀하여 근무를 계속하는 경우, 그날의 시간외근무 인정 가능 여부와 적용 기준은 무엇인가요?</t>
  </si>
  <si>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</si>
  <si>
    <t>ㆍ214_2501_예산담당관_업무매뉴얼_행정안전부_지방공무원보수업무_등_처리지침.pdf (p.343)
https://busanai.busan.go.kr/download/214_2501_예산담당관_업무매뉴얼_행정안전부_지방공무원보수업무_등_처리지침.pdf</t>
  </si>
  <si>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</si>
  <si>
    <t>부기주무관을 통해 생성한 답변인데 해당 내용으로 그대로 나오면 될 것 같습니다.
 기대답변 :
 네, 질문하신 내용에 대해 답변드리겠습니다.
 우선, 제공해주신 문서들을 살펴보면 '시간외근무’와 관련된 지침들이 있습니다. 특히 **“시간외근무 중 개인용무시간 제외”**라는 부분이 중요한데요. 이를 통해 시간외근무를 산정할 때 개인용무시간은 제외하고 실제로 본연의 업무를 수행한 시간만을 인정한다는 것을 알 수 있습니다.
 구체적으로 말씀드리면:
 근무당일 지각이나 외출 또는 반일연가·공가를 사용한 공무원이 시간외근무명령을 받고 초과근무를 한 경우에는 시간외근무를 인정하며, 그 계산방법은 평일 정규 근무시간 외의 시간외근무 계산과 동일하다고 되어 있습니다.
 즉, 근무 중에 개인적인 사유로 연가나 외출을 사용하고 나서 다시 근무지로 돌아와 시간외근무를 했다면, 그 시간외근무는 인정됩니다. 단, 이는 시간외근무명령에 따라 이루어진 것이어야 하며, 실제로 본연의 업무를 수행한 시간에 한정됩니다.
 또한, 육아시간을 사용한 경우에도 동일한 원칙이 적용되며, 시간외근무명령을 받아 초과근무를 했을 때 시간외근무로 인정된다고 명시되어 있습니다.
 따라서, 근무시간 중 개인사정으로 연가(외출)를 사용하고 난 후에 시간외근무명령을 받아 추가로 근무하셨다면, 그 시간은 시간외근무로 인정될 수 있습니다. 하지만 이는 개인의 용무로 인해 사용하지 않은 실제 근무시간에 대해서만 해당된다는 점을 유의하셔야 합니다.
 추가적인 문의사항이 있으시면 언제든지 물어보세요! 도움이 되었길 바랍니다.</t>
  </si>
  <si>
    <t>214_2501_예산담당관_업무매뉴얼_행정안전부_지방공무원보수업무_등_처리지침.pdf</t>
  </si>
  <si>
    <t>340</t>
  </si>
  <si>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</si>
  <si>
    <t>근무시간 개인사정으로 인한 연가사용 후 시간외근무시 인정 여부 확인</t>
  </si>
  <si>
    <t>각종 시스템 사용권한 신청을 할수 있는 프로그램은 없나요</t>
  </si>
  <si>
    <t>부산광역시 소속 공무원이 다양한 내부 시스템 사용 권한을 신청하거나 변경할 수 있는 공식 프로그램이나 포털은 무엇이며, 신청 절차는 어떻게 되나요?</t>
  </si>
  <si>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</si>
  <si>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</si>
  <si>
    <t>시스템 사용자 권한을 총괄적으로 신청할 수 있는 프로그램은 없습니다.
대부분 온나라 문서 공문을 통해서 신청 받거나 담당자 연락을 통해 권한 신청을 하고 있습니다.
고로 첨부파일도 오류입니다.</t>
  </si>
  <si>
    <t>인사랑 접속이 안될 때 해결방안은?</t>
  </si>
  <si>
    <t>부산광역시 인사시스템(인사랑)에 접속이 불가할 때, 문제를 확인하고 정상 접속을 복구하는 방법은 무엇인가요?</t>
  </si>
  <si>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</si>
  <si>
    <t>관련 매뉴얼이 없습니다. 고로 해당 매뉴얼은 오류입니다.
인사랑 접속 관련 매뉴얼이 없어 인사랑 담당자에게 문의바랍니다. 라는 식의 답변에 되어야 할 것으로 보입니다.</t>
  </si>
  <si>
    <t>긴급출퇴근 링크는?</t>
  </si>
  <si>
    <t>긴급출퇴근 접속 링크는 어디에서 확인할 수 있나요?</t>
  </si>
  <si>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</si>
  <si>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</si>
  <si>
    <t>기대답변
 긴급출퇴근 링크는 아래와 같습니다.
 http://99.1.2.126:48080/intro.html</t>
  </si>
  <si>
    <t>1286_부산시_긴급_출퇴근_서비스_접속_매뉴얼_20251204.pdf</t>
  </si>
  <si>
    <t>8. 긴급출퇴근 링크(행정포털 오류, 인사랑 출퇴근)
  http://99.1.2.126:48080/intro.html 
 ------
 긴급 출퇴근 관련 별도 문서를 만들었음. 
 이를 참조하지 않고 간단 질문 대응으로 처리할지 논의 필요</t>
  </si>
  <si>
    <t>긴급출퇴근제를 사용하기 위해 사전에 필요한 절차 안내, 긴급출퇴근 링크(URL, 주소) 확인, 인사랑 출퇴근 주소(링크, URL) 안내</t>
  </si>
  <si>
    <t>SQG026</t>
  </si>
  <si>
    <t>컴퓨터 및 프린트 수리관련 연락처는?</t>
  </si>
  <si>
    <t>부산광역시청 내 컴퓨터 및 프린터 고장이나 수리 요청 시 연락할 수 있는 곳의 연락처, 요청 절차는 무엇인가요?</t>
  </si>
  <si>
    <t>부산시청에서 컴퓨터 및 프린트 수리 관련 연락처는 부산광역시 정보화정책과(051-888-2355)입니다.</t>
  </si>
  <si>
    <t xml:space="preserve">ㆍ36122_2025-803_2025년_장애인_집합정보화_교육기관_선정_결과_공고.pdf (p.2)
https://busanai.busan.go.kr/download/36122_2025-803_2025년_장애인_집합정보화_교육기관_선정_결과_공고.pdf </t>
  </si>
  <si>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</si>
  <si>
    <t>임기제 급여 지출 방법 상세하게 알려주세요</t>
  </si>
  <si>
    <t>부산광역시 소속 임기제 공무원의 급여를 지급할 때, 내부 규정과 회계 절차에 따라 신청, 승인, 지급까지 진행되는 단계별 방법과 관련 서류는 무엇인가요?</t>
  </si>
  <si>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</si>
  <si>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</si>
  <si>
    <t>ㅇㅇ 업무 담당 직원 내선번호 어떻게 되나요?</t>
  </si>
  <si>
    <t>부산광역시 예(행정포털) 업무 담당 직원의 내선번호를 확인할 수 있는 조회 방법은 무엇인가요?</t>
  </si>
  <si>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</si>
  <si>
    <t xml:space="preserve">업무분장 관련 자료가 없으므로 이상없습니다. </t>
  </si>
  <si>
    <t>행정포털 사용자 명단에서 시청직원(사업소 포함)만 좁혀서 검색하면 될 것같습니다.
 기대답변 :
 행정포털 업무 담당 직원의 부서와 전화번호는 다음과 같습니다.
 부서 : 행정자치국 정보화정책과
 전화번호 : 051-888-2396
 담당업무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</si>
  <si>
    <t>별도서비스처리</t>
  </si>
  <si>
    <t>행정포털 사용자 명단</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</si>
  <si>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</si>
  <si>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(질의문 구체적인 내용으로 변경 필요 / 해당 csv -&gt; pdf 변환 파일 오인식 확률 매우 높음)</t>
  </si>
  <si>
    <t>2025년 정례회 해도위 일정 상세하게 알려주세요</t>
  </si>
  <si>
    <t>부산광역시의 2025년 정례회 중 해양도시위원회 회의 일정과 회기별 세부 의사일정을 확인할 수 있는 방법은 무엇인가요?</t>
  </si>
  <si>
    <t>2025년 부산시의회 정례회 관련 일정은 2025년 6월 4일 10:00에 부산광역시의회 본회의장에서 진행됩니다.</t>
  </si>
  <si>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</si>
  <si>
    <t>일정에 관한 정보는 현재 실시간 업데이트가 불가능하기도 하고
관련 정보가 정리된 내용이 없기 때문에(미리 정해져있지 않음)
해당 내용은 없다고 표출하는게 맞을거 같습니다.</t>
  </si>
  <si>
    <t>용역 계약 절차가 어떻게 되나요</t>
  </si>
  <si>
    <t>용역 계약을 추진할 때, 사전절차, 계약요청, 계약체결 등 계약 추진 절차는 어떻게 되나요?</t>
  </si>
  <si>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</si>
  <si>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</si>
  <si>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
 용역 관련 계약업무에 대한 흐름도 등 자세한 사항은 첨부파일 용역계약 길라잡이 14P 등을 참고하시면 됩니다.</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</si>
  <si>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</si>
  <si>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</si>
  <si>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9~10P 참조
 용역에 대한 질문만 있기 때문에
 2번째 파일 14P 흐름도에 대한 링크도 제공되면 좋을거 같은데 확인 바랍니다.</t>
  </si>
  <si>
    <r>
      <rPr>
        <rFont val="맑은 고딕"/>
        <b/>
        <color theme="1"/>
        <sz val="11.0"/>
      </rPr>
      <t xml:space="preserve">478_2505_회계재산담당관_업무매뉴얼_회계재산담당관_계약업무_참고자료회계재산담당관외부용.pdf[9] 
</t>
    </r>
    <r>
      <rPr>
        <rFont val="맑은 고딕"/>
        <color theme="1"/>
        <sz val="11.0"/>
      </rPr>
      <t xml:space="preserve">-----
</t>
    </r>
    <r>
      <rPr>
        <rFont val="맑은 고딕"/>
        <color rgb="FFFF0000"/>
        <sz val="11.0"/>
      </rPr>
      <t>[P.9 ~ P.12까지가 전체 절차인데 이 내용을 모두 참고해야 하는지 확인 필요]</t>
    </r>
    <r>
      <rPr>
        <rFont val="맑은 고딕"/>
        <color theme="1"/>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theme="1"/>
        <sz val="11.0"/>
      </rPr>
      <t>․</t>
    </r>
    <r>
      <rPr>
        <rFont val="맑은 고딕"/>
        <color theme="1"/>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</si>
  <si>
    <t>일반지출 e호조 절차가 어떻게 되나요</t>
  </si>
  <si>
    <t>일반지출을 집행할 때 e호조(지방재정시스템)에서 어떤 단계로 처리해야 하는지 전체 절차를 알려주세요.</t>
  </si>
  <si>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</si>
  <si>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</si>
  <si>
    <r>
      <rPr>
        <rFont val="Malgun Gothic"/>
        <color theme="1"/>
        <sz val="11.0"/>
      </rP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rFont val="Segoe UI Symbol"/>
        <color theme="1"/>
        <sz val="11.0"/>
      </rPr>
      <t xml:space="preserve">
</t>
    </r>
    <r>
      <rPr>
        <rFont val="맑은 고딕"/>
        <color theme="1"/>
        <sz val="11.0"/>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</si>
  <si>
    <t>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</si>
  <si>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t>477_2505_회계재산담당관_업무매뉴얼_메타넷디지털_일반지출_절차_및_삭제_회계재산담당관_경리팀.pdf</t>
  </si>
  <si>
    <t>8, 9</t>
  </si>
  <si>
    <r>
      <rPr>
        <rFont val="&quot;맑은 고딕&quot;"/>
        <color rgb="FF000000"/>
        <sz val="11.0"/>
      </rPr>
      <t xml:space="preserve">표 내용 제외 오른쪽 내용만 참고해서 
내용 작성해주시면 됩니다.
-----
</t>
    </r>
    <r>
      <rPr>
        <rFont val="&quot;맑은 고딕&quot;"/>
        <color rgb="FF0000FF"/>
        <sz val="11.0"/>
      </rPr>
      <t xml:space="preserve">[왼쪽 그림의 절차가 있어야 우측 텍스트 내용이 의미가 있는 것으로 보임. 표 내용만 봤을 때에는 각 내용들이 절차를 나타내는 것인지 확인이 어려움] </t>
    </r>
    <r>
      <rPr>
        <rFont val="&quot;맑은 고딕&quot;"/>
        <color rgb="FF000000"/>
        <sz val="11.0"/>
      </rPr>
      <t xml:space="preserve">
</t>
    </r>
    <r>
      <rPr>
        <rFont val="&quot;맑은 고딕&quot;"/>
        <color rgb="FF38761D"/>
        <sz val="11.0"/>
      </rPr>
      <t xml:space="preserve">&gt;&gt; 생성형 AI로 해당 내용으로 답변 생성해달라고 했을때의 기대답변입니다. 왼쪽 그림의 절차가 없어도 잘 나오는거 같은데 RAG 검색 유사도가 잘 안나와서 그런지 확인 바랍니다.
</t>
    </r>
    <r>
      <rPr>
        <rFont val="&quot;맑은 고딕&quot;"/>
        <color rgb="FF000000"/>
        <sz val="11.0"/>
      </rPr>
      <t xml:space="preserve">
</t>
    </r>
    <r>
      <rPr>
        <rFont val="&quot;맑은 고딕&quot;"/>
        <color rgb="FFFF0000"/>
        <sz val="11.0"/>
      </rPr>
      <t>-&gt; 데이터 넣어보고 답이 안 나올 경우 부산시 공유 요청 (12.16)</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</si>
  <si>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</si>
  <si>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청사 내 설비 관련 담당 문의는 어디에 하나요</t>
  </si>
  <si>
    <t>청사 내 시설·설비(전기, 냉난방, 배관 등) 이상이나 점검 필요 시, 담당자 문의는 어떻게 하나요?</t>
  </si>
  <si>
    <t xml:space="preserve">부산시청 청사 내 설비와 관련된 문의는 부산시청 시설관리과로 문의하시면 됩니다.
관련번호는 051-888-2515입니다. </t>
  </si>
  <si>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</si>
  <si>
    <t>행정포털 사용자 명단에서 시청직원(사업소 포함)만 좁혀서 검색하면 될 것같습니다.
 이름은 제외했습니다
 기대답변 :
 행정포털 업무 담당 직원의 부서와 전화번호는 다음과 같습니다.
 부서 : 행정자치국 총무과
 전화번호 : 051-888-1874
 담당업무
 업무계획 및 시의회(예산, 감사) 관련 업무보고
 청사 기계설비(냉·난방, 공조, 열원) 유지관리
 청사 소방계획 수립 및 소방훈련에 관한 사항
 청사 자동제어설비(기계분야) 유지관리에 관한 사항</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</si>
  <si>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</si>
  <si>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(해당 csv -&gt; pdf 변환 파일 오인식 확률 매우 높음)</t>
  </si>
  <si>
    <t>시 청사 내 편의시설 정보 상세히 안내해주세요</t>
  </si>
  <si>
    <t>시 청사 내에 설치된 각종 편의시설(휴게공간, 모유수유실, 무인민원발급기, 카페·식당 등)의 위치, 이용 가능 시간, 이용 절차 등의 상세 정보를 알려주세요</t>
  </si>
  <si>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</si>
  <si>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</si>
  <si>
    <t>기대답변 : 
 ● 휴게공간(쉼터)
 26F: 직원취미클럽 공간
 6F: 쉼터(옆에 AED 비치)
 2F: 아주라휴게실(통합민원과 내)
 ● 모유수유실(모성쉼터)
 25F: 권익보호담당관 모성쉼터
 8F: 총무과 인근 모성쉼터
 ● 식당·카페
 3F 직원식당
 1F 시청매점, 카페 ‘가온비’
 ● 헬스장(체력단련실)
 26F 체력단련실
 ● 기타 주요 편의시설
 열린도서관: 3F
 어린이도서관(들락날락): 1F
 무료법률상담실: 1F
 기록관·열린상담실: B1
 AED: 1F, 2F, 3F, 6F, 26F 등 다수 설치</t>
  </si>
  <si>
    <t>408_2505_총무과_주요질문사항_시청사_층별_안내.pdf</t>
  </si>
  <si>
    <t>1, 2</t>
  </si>
  <si>
    <t>문서 전체 참조</t>
  </si>
  <si>
    <t>부산광역시청 시청사 내 층별 안내 및 편의시설 정보</t>
  </si>
  <si>
    <t>근무성적평정의 평정 순서는 어떻게 되나요?</t>
  </si>
  <si>
    <t>근무성적평정은 어떤 순서와 절차에 따라 진행되는지 알려주세요.</t>
  </si>
  <si>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</si>
  <si>
    <t>ㆍ84014_2022년_동래구_정기종합감사_결과보고서공개용.pdf (p.59)
https://busanai.busan.go.kr/download/84014_2022년_동래구_정기종합감사_결과보고서공개용.pdf</t>
  </si>
  <si>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</si>
  <si>
    <t>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t>
  </si>
  <si>
    <t xml:space="preserve">품질 3.0등급 자료로 정리해서 주신신 폴더 안에 
25년도 인사운영 기본계획 파일이 있습니다.
-----
</t>
  </si>
  <si>
    <r>
      <rPr>
        <rFont val="맑은 고딕"/>
        <b/>
        <color theme="1"/>
        <sz val="11.0"/>
      </rPr>
      <t xml:space="preserve">263_2401_인사과_기본계획_인사과_2024년도_부산광역시_인사운영_기본계획.pdf[22] </t>
    </r>
    <r>
      <rPr>
        <rFont val="맑은 고딕"/>
        <color theme="1"/>
        <sz val="11.0"/>
      </rPr>
      <t xml:space="preserve">
-----
</t>
    </r>
    <r>
      <rPr>
        <rFont val="맑은 고딕"/>
        <b/>
        <color rgb="FFFF0000"/>
        <sz val="11.0"/>
      </rPr>
      <t xml:space="preserve">[2025년도 자료가 없음. 확인 필요] 
</t>
    </r>
    <r>
      <rPr>
        <rFont val="맑은 고딕"/>
        <color theme="1"/>
        <sz val="11.0"/>
      </rPr>
      <t xml:space="preserve">
□ 합리적인 가산점 부여
</t>
    </r>
    <r>
      <rPr>
        <rFont val="Segoe UI Symbol"/>
        <color theme="1"/>
        <sz val="11.0"/>
      </rPr>
      <t>❍</t>
    </r>
    <r>
      <rPr>
        <rFont val="맑은 고딕"/>
        <color theme="1"/>
        <sz val="11.0"/>
      </rPr>
      <t xml:space="preserve"> 운영개요
- (관련근거) 「지방공무원 평정규칙」제23조 ~ 제25조
- (부여가점) 최대 5점
- (부여방법) 가점항목별 부여기준에 따라 각 가산점 부여
</t>
    </r>
    <r>
      <rPr>
        <rFont val="Segoe UI Symbol"/>
        <color theme="1"/>
        <sz val="11.0"/>
      </rPr>
      <t>❍</t>
    </r>
    <r>
      <rPr>
        <rFont val="맑은 고딕"/>
        <color theme="1"/>
        <sz val="11.0"/>
      </rPr>
      <t xml:space="preserve"> 가산점 부여 기준
가점항목 부여기준 비고직무관련 자격증 가산점
(평정규칙제23조)
</t>
    </r>
    <r>
      <rPr>
        <rFont val="Cambria Math"/>
        <color theme="1"/>
        <sz val="11.0"/>
      </rPr>
      <t>∘</t>
    </r>
    <r>
      <rPr>
        <rFont val="맑은 고딕"/>
        <color theme="1"/>
        <sz val="11.0"/>
      </rPr>
      <t xml:space="preserve"> 직렬별 직무관련 자격증 소지자
▷ 해당계급 또는 상위계급 인정 자격증 : 0.50점
최대
0.50점인사교류 가산점
(평정규칙제24조제2항)
</t>
    </r>
    <r>
      <rPr>
        <rFont val="Cambria Math"/>
        <color theme="1"/>
        <sz val="11.0"/>
      </rPr>
      <t>∘</t>
    </r>
    <r>
      <rPr>
        <rFont val="맑은 고딕"/>
        <color theme="1"/>
        <sz val="11.0"/>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rFont val="Cambria Math"/>
        <color theme="1"/>
        <sz val="11.0"/>
      </rPr>
      <t>∘</t>
    </r>
    <r>
      <rPr>
        <rFont val="맑은 고딕"/>
        <color theme="1"/>
        <sz val="11.0"/>
      </rPr>
      <t xml:space="preserve"> 재난업무 담당자(시민안전실에서 대상자 추천) ▷ 2년 초과 후 1개월마다 0.05점 가산
 ☞ 근무성적평정위원회 심사결정
최대
0.75점전문직위 가산점
(평정규칙제24조제4항)
</t>
    </r>
    <r>
      <rPr>
        <rFont val="Cambria Math"/>
        <color theme="1"/>
        <sz val="11.0"/>
      </rPr>
      <t>∘</t>
    </r>
    <r>
      <rPr>
        <rFont val="맑은 고딕"/>
        <color theme="1"/>
        <sz val="11.0"/>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rFont val="Cambria Math"/>
        <color theme="1"/>
        <sz val="11.0"/>
      </rPr>
      <t>∘</t>
    </r>
    <r>
      <rPr>
        <rFont val="맑은 고딕"/>
        <color theme="1"/>
        <sz val="11.0"/>
      </rPr>
      <t xml:space="preserve"> 평정대상 기간 중 탁월한 근무실적이 있는 경우
▷ 7개 항목 부여기준에 따라 점수 부여
 ☞ 근무성적평정위원회 심사결정
최대 3점</t>
    </r>
    <r>
      <rPr>
        <rFont val="Segoe UI Symbol"/>
        <color theme="1"/>
        <sz val="11.0"/>
      </rPr>
      <t>◾</t>
    </r>
    <r>
      <rPr>
        <rFont val="맑은 고딕"/>
        <color theme="1"/>
        <sz val="11.0"/>
      </rPr>
      <t xml:space="preserve"> 2023년 대비 달라지는 점(인사규칙 2024. 11. 1. 시행) </t>
    </r>
    <r>
      <rPr>
        <rFont val="Segoe UI Symbol"/>
        <color theme="1"/>
        <sz val="11.0"/>
      </rPr>
      <t>◦</t>
    </r>
    <r>
      <rPr>
        <rFont val="맑은 고딕"/>
        <color theme="1"/>
        <sz val="11.0"/>
      </rPr>
      <t xml:space="preserve"> 전문분야 근무자 실적가산점 폐지(전문분야 근무자로 지정되어 연속하여 1년 이상 근무한 직원
</t>
    </r>
  </si>
  <si>
    <t>BSC 성과평가 내 주요요소들은 무엇이 있나요?</t>
  </si>
  <si>
    <t>BSC 성과평가를 구성하는 핵심 요소와 평가 관점은 무엇인지 구체적으로 알려주세요.</t>
  </si>
  <si>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</si>
  <si>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</si>
  <si>
    <t>시 본청 당직시 주의사항에 대해서 알려줘</t>
  </si>
  <si>
    <t>시 본청 당직 근무 시 준수해야 할 주요 의무사항과 근무 중 유의해야 할 점은 무엇인가요?</t>
  </si>
  <si>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</si>
  <si>
    <r>
      <rPr>
        <rFont val="Malgun Gothic"/>
        <color theme="1"/>
        <sz val="11.0"/>
      </rP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rFont val="MS Gothic"/>
        <color theme="1"/>
        <sz val="11.0"/>
      </rPr>
      <t>․</t>
    </r>
    <r>
      <rPr>
        <rFont val="맑은 고딕"/>
        <color theme="1"/>
        <sz val="11.0"/>
      </rPr>
      <t>인계, 당직민원처리 등
★ (시)근조기</t>
    </r>
    <r>
      <rPr>
        <rFont val="MS Gothic"/>
        <color theme="1"/>
        <sz val="11.0"/>
      </rPr>
      <t>‧</t>
    </r>
    <r>
      <rPr>
        <rFont val="맑은 고딕"/>
        <color theme="1"/>
        <sz val="11.0"/>
      </rPr>
      <t>근조화 및 (노조)근조기</t>
    </r>
    <r>
      <rPr>
        <rFont val="MS Gothic"/>
        <color theme="1"/>
        <sz val="11.0"/>
      </rPr>
      <t>‧</t>
    </r>
    <r>
      <rPr>
        <rFont val="맑은 고딕"/>
        <color theme="1"/>
        <sz val="11.0"/>
      </rPr>
      <t>근조화</t>
    </r>
    <r>
      <rPr>
        <rFont val="MS Gothic"/>
        <color theme="1"/>
        <sz val="11.0"/>
      </rPr>
      <t>‧</t>
    </r>
    <r>
      <rPr>
        <rFont val="맑은 고딕"/>
        <color theme="1"/>
        <sz val="11.0"/>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</si>
  <si>
    <t>1.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</si>
  <si>
    <t>306_2504_인사과_업무매뉴얼_인사과_당직원근무자료.pdf</t>
  </si>
  <si>
    <t>당직근무 교육자료
 � 근무현황
  m 당직근무 : 일·숙직 각 4명(5급 1, 6급 이하 3) ※ 3일 이상 연휴인 경우 : 일·숙직 각 5명(4급 1, 5급 1, 6급 이하 3)
 ★ 당직근무시간 준수 : 숙직 18:00~익일 09:00 / 일직 09:00~18:00
 【합동근무】▹당직 시작 후 1시간, 당직 종료 전 2시간은 전원 합동근무
  - 숙직 : 18:00~19:00, 익일 07:00~09:00
  - 일직 : 09:00~10:00, 16:00~18:00
 【교대근무】▹당직책임관의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</si>
  <si>
    <t>시 본청 당직시 주의사항 안내</t>
  </si>
  <si>
    <r>
      <rPr>
        <rFont val="맑은 고딕"/>
        <b/>
        <color theme="1"/>
        <sz val="11.0"/>
      </rPr>
      <t>299_2502_인사과_업무매뉴얼_인사과_당직원근무자료.pdf[1]</t>
    </r>
    <r>
      <rPr>
        <rFont val="맑은 고딕"/>
        <color theme="1"/>
        <sz val="11.0"/>
      </rPr>
      <t xml:space="preserve">
-----
</t>
    </r>
    <r>
      <rPr>
        <rFont val="맑은 고딕"/>
        <color rgb="FFFF0000"/>
        <sz val="11.0"/>
      </rPr>
      <t>[306 문서와 동일 내용의 문서가 있음. 전화번호가 제외된 이전 버전의 문서로 보임]</t>
    </r>
  </si>
  <si>
    <t>시 본청 주차장 승용차 요일제에 대해서 알려줘</t>
  </si>
  <si>
    <t>시 본청 주차장에서 운영되는 승용차 요일제의 적용 대상, 운영 방식, 예외 기준, 단속·관리 절차를 포함한 전체 운영 규정을 상세히 설명해주세요.</t>
  </si>
  <si>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</si>
  <si>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</si>
  <si>
    <t>기대답변 :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t>
  </si>
  <si>
    <t>409_2505_총무과_주요질문사항_직원주차장_이용_안내.pdf</t>
  </si>
  <si>
    <t>ㅇ대상: 전직원
 1. 직원 정기권 등록방법?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</si>
  <si>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직원 차량 등록 방법 및 절차, 시청사 내 직원 주차 등록 방법, 시청 청사 내 차량 등록 및 주차에 관한 설명, 본청 주차장 승용차 요일제에 대한 안내</t>
  </si>
  <si>
    <t>개인 사물함 및 케비닛 열쇠를 잃어버리면 어떻게 다시 받을 수 있나요?</t>
  </si>
  <si>
    <t>개인 사물함·캐비닛 열쇠를 분실했을 때 재발급이나 교체를 받기 위한 절차와 담당 부서는 어디인가요?</t>
  </si>
  <si>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</si>
  <si>
    <t>해당 질의에 대한 근거문서가 없습니다.
직원 관련 규정에 대한 근거문서가 존재하지 않습니다.
자세한 사항은 관련 부서 또는 업무 담당자에게 문의하시기 바랍니다.
라고 답변해주시면 될거 같습니다.</t>
  </si>
  <si>
    <t>사무관리비로 선풍기를 구입할 수 있나요?</t>
  </si>
  <si>
    <t>사무관리비 예산으로 선풍기 같은 사무용 비품을 구입할 수 있는지, 가능 여부와 제한 기준을 알려주세요.</t>
  </si>
  <si>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</si>
  <si>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</si>
  <si>
    <t>101, 102</t>
  </si>
  <si>
    <t>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｢최저임금법｣이 정하는 사항을
 준수하여 편성
 ※ 다음 연도의 최저임금은 고용노동부장관이 매년 8.5일까지 결정‧고시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</si>
  <si>
    <t>사무관리비로 구매 가능한 물품 목록, 사무관리비로 구입 가능한 물품 목록, 사무관리비 사용방법, 선풍기(사무용품)</t>
  </si>
  <si>
    <t>보도자료가 배포되는 과정에 대해서 알고싶어요</t>
  </si>
  <si>
    <t>보도자료를 작성한 후 시청 내부 검토부터 언론사 배포까지 어떤 절차를 거치는지 단계별로 알려주세요.</t>
  </si>
  <si>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</si>
  <si>
    <t>보도자료도 관련 문서가 없습니다.
보도자료 배포에 대한 근거문서가 존재하지 않습니다.
자세한 사항은 관련 부서 또는 업무 담당자에게 문의하시기 바랍니다.
라고 답변해주시면 될거 같습니다.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</si>
  <si>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</si>
  <si>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</si>
  <si>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현재 비어있는 시청 내 회의실은 어디가 있나요?</t>
  </si>
  <si>
    <t>현재 시 청사 내에서 실시간으로 예약 가능하거나 비어 있는 회의실을 확인할 수 있는 시스템(또는 절차), 조회 방법, 이용 조건을 상세히 설명해주세요.</t>
  </si>
  <si>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</si>
  <si>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</si>
  <si>
    <t>기대답변 :
 다음 위치에서 확인 가능합니다.
 행정포털 - 개인서비스 - 회의장 클릭 후 원하는 날짜 예약</t>
  </si>
  <si>
    <t>옷걸이는 정수 물품인가요?</t>
  </si>
  <si>
    <t>사무실 비품 중 옷걸이는 정수에 해당하는지, 구입 가능 여부와 관련 기준은 무엇인가요?</t>
  </si>
  <si>
    <t>부산시청 물품 관리 규정에서는 옷걸이를 정수 물품으로 명시하지 않았습니다. 따라서 옷걸이는 정수 물품에 해당하지 않습니다.</t>
  </si>
  <si>
    <t xml:space="preserve">ㆍ1125_압축2025년_부산문화재단_규정집2025227.pdf (p.99)
https://busanai.busan.go.kr/download/1125_압축2025년_부산문화재단_규정집2025227.pdf </t>
  </si>
  <si>
    <t>근거자료 오류입니다.
정수 관련 근거자료가 없기 때문에 확인이 불가능하고 자세한 사항은 문의 하라는 식의 답변으로
표출되면 됩니다</t>
  </si>
  <si>
    <t>2024년과 2025년에 변경되는 주요 복지정책은 무엇이 있나요</t>
  </si>
  <si>
    <t>2024년과 2025년에 시행되거나 변경되는 복지정책 중 주요 항목과 적용 방식, 차이점 등을 알려주세요</t>
  </si>
  <si>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</si>
  <si>
    <t>ㆍ45798_2024년도_복지시책안내.pdf (p.5, 15)
https://busanai.busan.go.kr/download/45798_2024년도_복지시책안내.pdf</t>
  </si>
  <si>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</si>
  <si>
    <t>기대 답변 :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</si>
  <si>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290_2501_인사과_기타_인사과_2025년도_부산광역시_맞춤형복지제도_운영계획.pdf</t>
  </si>
  <si>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</si>
  <si>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2025년에 변경되는 주요 복지정책</t>
  </si>
  <si>
    <t>장기재직휴가 기준 및 사용방법</t>
  </si>
  <si>
    <t>장기재직휴가를 부여받기 위한 기준과 산정 방법, 신청 절차 및 사용 방법을 단계별로 알려주세요.</t>
  </si>
  <si>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</si>
  <si>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2, 3, 4</t>
  </si>
  <si>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장(팀‧소장)
 농업기술센터 팀 장
 사업소 팀 장(5급 이상)
 - 휴가 시작일 기준 1주일 전 승인(차세대인사랑 복무 승인) 후 실시 * 과장급 이상은 직상, 국장급 및 3급 사업소장은 본청 지도‧감독부서 실‧국장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토‧일요일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산정‧확인 ‣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</si>
  <si>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SQG006</t>
  </si>
  <si>
    <t>DRM 암호 초기화 방법</t>
  </si>
  <si>
    <t>DRM(자료유출방지시스템, 문서암호화시스템) 암호가 잠기거나 분실된 경우, 초기화 방법을 알려주세요.</t>
  </si>
  <si>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</si>
  <si>
    <t>인사고충 신청 방법</t>
  </si>
  <si>
    <t>인사 관련 고충을 겪을 때, 인사고충을 공식적으로 신청하는 절차와 필요 서류, 처리 과정을 단계별로 알려주세요</t>
  </si>
  <si>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</si>
  <si>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</si>
  <si>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</si>
  <si>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 xml:space="preserve">24년도 자료랑 동일한 것으로 보임
저한테 6월에 보내주셨던 등급 분류 자료 중 등급 3.0에 관련 문서 있는것으로 나옵니다 
 </t>
  </si>
  <si>
    <r>
      <rPr>
        <rFont val="맑은 고딕"/>
        <b/>
        <color theme="1"/>
        <sz val="11.0"/>
      </rPr>
      <t>263_2401_인사과_기본계획_인사과_2024년도_부산광역시_인사운영_기본계획.pdf[11]</t>
    </r>
    <r>
      <rPr>
        <rFont val="맑은 고딕"/>
        <color theme="1"/>
        <sz val="11.0"/>
      </rPr>
      <t xml:space="preserve">
-----
</t>
    </r>
    <r>
      <rPr>
        <rFont val="맑은 고딕"/>
        <color rgb="FFFF0000"/>
        <sz val="11.0"/>
      </rPr>
      <t xml:space="preserve">[2025년도 자료가 없음. 확인 필요]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t>
    </r>
    <r>
      <rPr>
        <rFont val="맑은 고딕"/>
        <color rgb="FFFF0000"/>
        <sz val="11.0"/>
      </rPr>
      <t xml:space="preserve"> □ 인사상담 활성화
</t>
    </r>
    <r>
      <rPr>
        <rFont val="Segoe UI Symbol"/>
        <color rgb="FFFF0000"/>
        <sz val="11.0"/>
      </rPr>
      <t>❍</t>
    </r>
    <r>
      <rPr>
        <rFont val="맑은 고딕"/>
        <color rgb="FFFF0000"/>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rgb="FFFF0000"/>
        <sz val="11.0"/>
      </rPr>
      <t>❍</t>
    </r>
    <r>
      <rPr>
        <rFont val="맑은 고딕"/>
        <color rgb="FFFF0000"/>
        <sz val="11.0"/>
      </rPr>
      <t xml:space="preserve"> (찾아가는 인사상담) 직접 찾아가서 상담하는 적극적 인사 운영- (운영시기) 상</t>
    </r>
    <r>
      <rPr>
        <rFont val="MS UI Gothic"/>
        <color rgb="FFFF0000"/>
        <sz val="11.0"/>
      </rPr>
      <t>․</t>
    </r>
    <r>
      <rPr>
        <rFont val="맑은 고딕"/>
        <color rgb="FFFF0000"/>
        <sz val="11.0"/>
      </rPr>
      <t xml:space="preserve">하반기 연 2회 </t>
    </r>
    <r>
      <rPr>
        <rFont val="Tahoma"/>
        <color rgb="FFFF0000"/>
        <sz val="11.0"/>
      </rPr>
      <t>‣</t>
    </r>
    <r>
      <rPr>
        <rFont val="맑은 고딕"/>
        <color rgb="FFFF0000"/>
        <sz val="11.0"/>
      </rPr>
      <t xml:space="preserve"> 정기인사 전</t>
    </r>
    <r>
      <rPr>
        <rFont val="Noto Sans KR"/>
        <color rgb="FFFF0000"/>
        <sz val="11.0"/>
      </rPr>
      <t>‧</t>
    </r>
    <r>
      <rPr>
        <rFont val="Noto Sans KR"/>
        <color rgb="FFFF0000"/>
        <sz val="11.0"/>
      </rPr>
      <t>후</t>
    </r>
    <r>
      <rPr>
        <rFont val="맑은 고딕"/>
        <color rgb="FFFF0000"/>
        <sz val="11.0"/>
      </rPr>
      <t xml:space="preserve">
- (운영내용) 실</t>
    </r>
    <r>
      <rPr>
        <rFont val="Noto Sans KR"/>
        <color rgb="FFFF0000"/>
        <sz val="11.0"/>
      </rPr>
      <t>‧</t>
    </r>
    <r>
      <rPr>
        <rFont val="Noto Sans KR"/>
        <color rgb="FFFF0000"/>
        <sz val="11.0"/>
      </rPr>
      <t>국‧본부별</t>
    </r>
    <r>
      <rPr>
        <rFont val="맑은 고딕"/>
        <color rgb="FFFF0000"/>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</si>
  <si>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전자서명신청 방법</t>
  </si>
  <si>
    <t>행정전자서명(GPKI)을 발급받으려면 어떤 절차를 거쳐야 하며, 신청 방법과 필요 서류는 무엇인가요?</t>
  </si>
  <si>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</si>
  <si>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</si>
  <si>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</si>
  <si>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1228_2511_부산광역시_업무매뉴얼_부산광역시_행정전자서명GPKI_발급_갱신_이동_안내.pdf</t>
  </si>
  <si>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</si>
  <si>
    <t>(질문과 참조 답변 재검토 필요)
행정전자서명과 전자서명이 다른 것으로 판단되며 전자서명 신청 방법이라는 일반적인 질문에 대해 행정전자서명 문서의 내용을 올바른 참조자료로 하는게 맞는 것인지 확인 필요</t>
  </si>
  <si>
    <t>SQG008</t>
  </si>
  <si>
    <t>관내,외 출장 여비 정산 방법</t>
  </si>
  <si>
    <t>관내·관외 출장 시 여비 정산을 위한 처리 절차를 단계별로 명확히 설명해주세요.</t>
  </si>
  <si>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</si>
  <si>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</si>
  <si>
    <t>근거자료 오류입니다.
출장 관련 근거자료가 없으므로
일반적인 답변 및 관련 부서나 업무 담당자에게 문의 라는 멘트가 있으면 됩니다.</t>
  </si>
  <si>
    <t>기대답변:
 1. 정산 대상
  - 국내출장자의 운임과 숙박비가 정산 대상
 2. 정산 절차
  가. 정산 신청
  - 출장자는 출장 종료 다음 날부터 정산 기간 내에 세부 사용내역을 확인할 수 있는 증거서류를 갖추어 회계관계공무원에게 정산 신청
  - 대리 신청 가능: 서무담당자 또는 2인 이상 출장 시 대표 1인이 신청 가능
  - 정부구매카드 사용 시: 카드대금 결제일을 고려하여 정산 신청
  나. 신청내역 확인
  - 서무담당자가 출장자의 신청내역을 검토 가능
  다. 여비 지급
  - 회계관계공무원이 여비정산시스템에 지급액 및 조정사유를 등록 후, 예산이 충분하면 디지털 예산회계시스템으로 지체 없이 지급
  라. 약식 정산
  - e-사람에서 카드 사용내역 확인 시 부서장 결재 생략 가능
 3. 정산 방법
  가. 증거서류 제출 생략 가능
  - 정부구매카드로 결제하고 e-사람에서 사용내역 확인 가능하면 증거서류 제출·보관 생략 가능
  - 확인이 불가한 경우에는 증거서류 제출 필요
  나. 증거서류 제출 필요
  - 카드 미사용 시, 운임·숙박비 세부내역 확인 가능한 증거서류 제출
  - 증거서류 예시: 세금계산서, 신용카드 매출전표, 현금영수증, 철도·버스·비행기·선박 승차권, 고속도로 통행영수증
  다. 숙박비 지급 기준
  - 숙박 목적 경비만 지급
  - 호텔 부대 서비스(룸서비스, 객실전화 등) 제외
  - 숙박비 지급 확인 가능 증거서류 필요
  - 카드 매출전표 업종 불명확 시, 회계담당자가 확인 후 지급 가능
  - 편도 영수증만 제출 시, 왕복 운임 명백하면 왕복 지급 가능
  라. 정부구매카드 예시
  - 카드 사용 시 결제일에 맞춰 국고에서 카드사로 지급
  - 업종 미확인 시 전화 확인 후 지급
  - 카드 미사용·증거서류 미제출 시, 일비·식비만 지급
 4. 결제수단 사용 예외
  가. 신용카드 가맹점 없는 지역(산간·도서벽지)
  - 현금 사용 후 간이영수증 + 확인서 제출 → 회계담당 확인 후 지급
  - 간이영수증 불가 시 확인서 제출 가능
  - 운임 영수증 없는 경우, 숙박비·식비 증거서류로 운임 지급 가능
  나. 외부 민간인 출장
  - 소속기관장이 예외적으로 정액여비 지급 가능
  - 등급별 정액여비 기준
  제1호 : (운임)77,000원, (숙박비)25,000원, (일비)25,000원, (식비)25,000원
  제2호 : (운임)55,000원, (숙박비)25,000원, (일비)25,000원, (식비)25,000원
  다. 친지 집 또는 공동 숙박
  - 친지 집 숙박 시 1인 20,000원 지급
  - 공동 숙박 시 총 숙박비 지출 고려하여 미지출 인원에 1인 20,000원 추가 지급
  - 정액여비 지급 시 별도 숙박비 추가 불가
 5. 워크숍·세미나 참석
  가. 주관기관 공문에 숙박비 명시 시 선지급 가능
  나. 금액 미명시 시 사전 확인 후 지급, 후에 정산 가능
 6. 기타 예외
  가. 비밀유지 등 특별사유로 카드 결제 곤란 시, 소속기관장이 정액여비 지급 가능
  나. 정액여비 지급 기준은 외부 민간인과 동일</t>
  </si>
  <si>
    <t>268_2405_인사과_업무매뉴얼_행정안전부_출장관리_매뉴얼.pdf</t>
  </si>
  <si>
    <t>12, 13, 14, 15, 16</t>
  </si>
  <si>
    <t>&gt;&gt; 질의문 172번과 동일하게 처리바랍니다.(해당 문서에 관내, 관외 출장 처리방법 명시되어 있음)</t>
  </si>
  <si>
    <t>홈페이지 관리자 메뉴 변경 방법</t>
  </si>
  <si>
    <t>시청 홈페이지에서 관리자 메뉴를 추가, 수정, 삭제하려면 어떤 절차와 시스템을 이용해야 하는지 단계별로 알려주세요.</t>
  </si>
  <si>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</si>
  <si>
    <t>근거문서가 없기 때문에 일반적인 답변 및 자세한 사항은 관련 부서나 업무 담당자에게 문의바랍니다. 
라는 답변이 필요합니다.</t>
  </si>
  <si>
    <t>대한공제회비 변경 방법</t>
  </si>
  <si>
    <t>직원 개인별 대한공제회비를 변경하려면 어떤 절차와 신청 방법을 따라야 하는지 알려주세요</t>
  </si>
  <si>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</si>
  <si>
    <t>행정정보공동이용 권한 신청 방법</t>
  </si>
  <si>
    <t>행정정보 공동이용 시스템을 사용하기 위해 필요한 권한은 어떻게 신청하며, 신청 절차와 담당 부서는 어디인가요?</t>
  </si>
  <si>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</si>
  <si>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</si>
  <si>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</si>
  <si>
    <t>기대답변 :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</si>
  <si>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1261_행정정보공동이용_권한관리_매뉴얼_250101.pdf</t>
  </si>
  <si>
    <t>3.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</si>
  <si>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행정정보공동이용 권한신청 방법 안내, 행정정보 공동이용 권한 신청 방법, 행정 정보 공동 이용 권한 신청 방법</t>
  </si>
  <si>
    <t>SQG021</t>
  </si>
  <si>
    <t>e호조+ 품의 등록 방법</t>
  </si>
  <si>
    <t>e호조 시스템(지방재정시스템) 사용 방법과 품의서를 등록하려면 어떤 절차를 거쳐야 하는지 알려주세요</t>
  </si>
  <si>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</si>
  <si>
    <t>ㆍ328_2503_재정협력담당관_업뮤매뉴얼_행정안전부_2025년_지방보조금_관리가이드.pdf (p.26)
https://busanai.busan.go.kr/download/328_2503_재정협력담당관_업뮤매뉴얼_행정안전부_2025년_지방보조금_관리가이드.pdf</t>
  </si>
  <si>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</si>
  <si>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r>
      <rPr>
        <rFont val="Malgun Gothic"/>
        <color theme="1"/>
        <sz val="11.0"/>
      </rPr>
      <t xml:space="preserve">표 내용 제외 오른쪽 내용만 참고해서 
내용 작성해주시면 됩니다.
-----
</t>
    </r>
    <r>
      <rPr>
        <rFont val="Arial"/>
        <color rgb="FF0432FF"/>
        <sz val="11.0"/>
      </rPr>
      <t>[답변 참조 문서명이 기입되어 있지 않았음. 이 문서가 맞는지 확인 필요 + 표 내용 우측 텍스트 인식으로 답변 요청을 하신 것인지도 확인 필요]</t>
    </r>
    <r>
      <rPr>
        <rFont val="Arial"/>
        <color theme="1"/>
        <sz val="11.0"/>
      </rPr>
      <t xml:space="preserve"> 
</t>
    </r>
    <r>
      <rPr>
        <rFont val="Arial"/>
        <color rgb="FF0432FF"/>
        <sz val="11.0"/>
      </rPr>
      <t>[왼쪽 그림의 절차가 있어야 우측 텍스트 내용이 의미가 있는 것으로 보임. 표 내용만 봤을 때에는 각 내용들이 절차를 나타내는 것인지 확인이 어려움 - 115번 동일]</t>
    </r>
    <r>
      <rPr>
        <rFont val="Arial"/>
        <color theme="1"/>
        <sz val="11.0"/>
      </rPr>
      <t xml:space="preserve">
</t>
    </r>
    <r>
      <rPr>
        <rFont val="Arial"/>
        <color rgb="FF00B050"/>
        <sz val="11.0"/>
      </rPr>
      <t>&gt;&gt; 115번과 동일, 제목에 일반지출 상세흐름도라고 명시되어 있는데도 불구하고 절차에 대한 확인이 어려운지 확인이 필요합니다. RAG 유사도 문제도 같이 확인 필요</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</si>
  <si>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</si>
  <si>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연가, 특별휴가 등 연가 수정, 취소 방법</t>
  </si>
  <si>
    <t>연가·특별휴가 등 각종 휴가의 신청 이후 변경·취소가 필요한 경우, 내부 인사시스템(인사랑)에서 수행해야 하는 절차에 대해 단계별로 설명해주세요.</t>
  </si>
  <si>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</si>
  <si>
    <t>급여 작업시 장기교육자 등에 대한 복리후생비, 수당 등 지급 계산식이 어떻게 되나요?</t>
  </si>
  <si>
    <t>급여 작업 시 장기교육자 등에게 지급되는 복리후생비와 수당의 산정 기준과 계산 방법, 적용 절차는 어떻게 되나요?</t>
  </si>
  <si>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</si>
  <si>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</si>
  <si>
    <t>기대답변 :
 정액급식비, 직급보조비는 매월 전액 지급합니다.
 대민활동비(특정업무경비)는 근무일수에 맞게 일할계산하여 지급(원단위 절사) 합니다.</t>
  </si>
  <si>
    <t>215_2501_예산담당관_업무매뉴얼_예산담당관_2025급여_및_수당_관련_FAQ.pdf</t>
  </si>
  <si>
    <t>급여 작업 시 장기 교육자에 대한 복리후생비와 수당 등의 지급 계산식에 대한 설명</t>
  </si>
  <si>
    <t>복무관련 인사랑에서 가족수당 신청은 어떻게 하나요?</t>
  </si>
  <si>
    <t>복무 관련 인사시스템(인사랑)을 통해 가족수당을 신규 신청, 변경, 또는 정산 신청할 때, 필요한 서류, 입력 항목, 승인 절차, 처리 단계, 그리고 신청 시 유의사항을 단계별로 상세히 설명해주세요.</t>
  </si>
  <si>
    <r>
      <rPr>
        <rFont val="Malgun Gothic"/>
        <color theme="1"/>
        <sz val="11.0"/>
      </rP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rFont val="Yu Gothic"/>
        <color theme="1"/>
        <sz val="11.0"/>
      </rPr>
      <t>・</t>
    </r>
    <r>
      <rPr>
        <rFont val="맑은 고딕"/>
        <color theme="1"/>
        <sz val="11.0"/>
      </rPr>
      <t>자매가 공무원인 경우에도 동일하게 적용됩니다. 다만, 형제</t>
    </r>
    <r>
      <rPr>
        <rFont val="Yu Gothic"/>
        <color theme="1"/>
        <sz val="11.0"/>
      </rPr>
      <t>・</t>
    </r>
    <r>
      <rPr>
        <rFont val="맑은 고딕"/>
        <color theme="1"/>
        <sz val="11.0"/>
      </rPr>
      <t>자매 등 당사자들이 합의한 경우에는 직계존속에 대한 가족수당 지급 대상을 변경할 수 있으며, 이 경우에도 부양가족신고서에 상대방의 동의서를 첨부하여 제출해야 합니다.</t>
    </r>
  </si>
  <si>
    <t>ㆍ214_2501_예산담당관_업무매뉴얼_행정안전부_지방공무원보수업무_등_처리지침.pdf (p.299, 300)
https://busanai.busan.go.kr/download/214_2501_예산담당관_업무매뉴얼_행정안전부_지방공무원보수업무_등_처리지침.pdf</t>
  </si>
  <si>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</si>
  <si>
    <t>일상경비 지출하고 은행에 돈이 입금됐는지 이호조로 확인할 수 있는 방법은?</t>
  </si>
  <si>
    <t>일상경비를 지출한 후 해당 금액이 은행 계좌에 실제로 입금되었는지를 지방재정시스템(이호조)에서 확인하려 할 때, 조회 가능한 화면·메뉴, 확인 절차, 필요한 권한, 조회 시 주의 사항을 단계별로 상세히 설명해주세요.</t>
  </si>
  <si>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</si>
  <si>
    <t>e호조(이호조, 지방재정시스템) 사용 매뉴얼에 대한 자료는 없습니다.
이 자료 또한 담당부서 또는 담당자에게 문의하라는 내용 위주로 나와야 할 것 같습니다</t>
  </si>
  <si>
    <t>일상경비 자금전도하는 법 알려주세요</t>
  </si>
  <si>
    <t>일상경비를 다른 계정이나 부서로 자금 전도(이체)할 경우, 지방재정시스템(e호조, 이호조)의 처리 단계를 단계별로 상세히 설명해주세요.</t>
  </si>
  <si>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</si>
  <si>
    <t>잘못된 근거자료입니다.
해당 관련 자료는 없으므로 바로 위의 답변과 동일하게 표출되어야 할 것입니다.</t>
  </si>
  <si>
    <t>행정포털 비밀번호 초기화하고 싶어요</t>
  </si>
  <si>
    <t>행정포털 비밀번호를 초기화하려면 어떤 절차를 거쳐야 하는지 알려주세요</t>
  </si>
  <si>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</si>
  <si>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</si>
  <si>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</si>
  <si>
    <r>
      <rPr>
        <rFont val="맑은 고딕"/>
        <b/>
        <color theme="1"/>
        <sz val="11.0"/>
      </rPr>
      <t>1255_행정포털_오류조치_안내_정보화정책과_20251112.pdf[1~2]</t>
    </r>
    <r>
      <rPr>
        <rFont val="맑은 고딕"/>
        <color theme="1"/>
        <sz val="11.0"/>
      </rPr>
      <t xml:space="preserve">
-----
</t>
    </r>
    <r>
      <rPr>
        <rFont val="맑은 고딕"/>
        <color rgb="FFFF0000"/>
        <sz val="11.0"/>
      </rPr>
      <t>[행정포털 오류조치 안내 페이지에서도 비밀번호 초기화 관련 사항이 없음. 매칭될 수 있도록 조치 필요]</t>
    </r>
    <r>
      <rPr>
        <rFont val="맑은 고딕"/>
        <color theme="1"/>
        <sz val="11.0"/>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</si>
  <si>
    <t>온톡 메신저에 부서원 순서를 바꾸고 싶어요</t>
  </si>
  <si>
    <t>온톡 메신저에서 부서원 목록의 순서를 변경하려면 어떤 절차와 권한이 필요하며, 구체적인 조작 방법은 무엇인가요?</t>
  </si>
  <si>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</si>
  <si>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</si>
  <si>
    <r>
      <rPr>
        <rFont val="Malgun Gothic"/>
        <color theme="1"/>
        <sz val="11.0"/>
      </rP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rFont val="Tahoma"/>
        <color theme="1"/>
        <sz val="11.0"/>
      </rPr>
      <t>‣</t>
    </r>
    <r>
      <rPr>
        <rFont val="맑은 고딕"/>
        <color theme="1"/>
        <sz val="11.0"/>
      </rPr>
      <t xml:space="preserve"> 개인별 “순서” 숫자대로 적용
   ● 순서에 “동일한 숫자” 가 2명 이상이면 랜덤 배치되니 주의 하세요 ●</t>
    </r>
  </si>
  <si>
    <t>① 부서관리자 권한신청: 행정포털 &gt; 포털안내 &gt; 메신저부서권한 신청 &gt; 등록
 ② 권한 받은 후 온톡 &gt; 포탈 &gt; 더보기▼ &gt; 통합관리
 ③ 사용자 &gt; 상세 &gt; 수정 &gt; “순서” 숫자 지정 ‣ 개인별 “순서” 숫자대로 적용
  ● 순서에 “동일한 숫자” 가 2명 이상이면 랜덤 배치되니 주의 하세요 ●</t>
  </si>
  <si>
    <t>2, 3</t>
  </si>
  <si>
    <t>내용 작성해주시면 됩니다.</t>
  </si>
  <si>
    <t>온톡 메신저에 부서원 순서 변경 방법</t>
  </si>
  <si>
    <t>1인당 1년치 급식비(매식비) 계산은 어떻게 하나요</t>
  </si>
  <si>
    <t>직원 1인당 1년치 급식비(매식비)를 산정하려면 계산 기준과 적용 방식, 필요한 자료와 절차는 무엇인가요?</t>
  </si>
  <si>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</si>
  <si>
    <t xml:space="preserve">ㆍ83899_반복지적사례급량비지급_부적정.pdf (p.1)
https://busanai.busan.go.kr/download/83899_반복지적사례급량비지급_부적정.pdf </t>
  </si>
  <si>
    <r>
      <rPr>
        <rFont val="Malgun Gothic"/>
        <color theme="1"/>
        <sz val="11.0"/>
      </rP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rFont val="Yu Gothic"/>
        <color theme="1"/>
        <sz val="11.0"/>
      </rPr>
      <t>･</t>
    </r>
    <r>
      <rPr>
        <rFont val="맑은 고딕"/>
        <color theme="1"/>
        <sz val="11.0"/>
      </rPr>
      <t>직위해제 또는
휴직(공무상 질병으로 인한 휴직을 제외한다)중에 있는 공무원, 직제와 정원의 개편</t>
    </r>
    <r>
      <rPr>
        <rFont val="Yu Gothic"/>
        <color theme="1"/>
        <sz val="11.0"/>
      </rPr>
      <t>･</t>
    </r>
    <r>
      <rPr>
        <rFont val="맑은 고딕"/>
        <color theme="1"/>
        <sz val="11.0"/>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</si>
  <si>
    <t>기대답변:
 1. 정액급식비(영 제18조)
 가. 지급대상
 모든 공무원[다만, 영 제3조의 규정을 적용받는 국외파견공무원, 정직･직위해제 또는 휴직(공무상 질병으로 인한 휴직을 제외한다)중에 있는 공무원, 직제와 정원의 개편･폐지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</si>
  <si>
    <t>355</t>
  </si>
  <si>
    <t>공무원 1인당 연간 급식비 계산 방법 및 지급에 대한 설명</t>
  </si>
  <si>
    <t>온톡 메신저에 담당업무 입력은 어떻게 하나요</t>
  </si>
  <si>
    <t>온톡 메신저에서 직원별 담당업무를 입력하거나 수정하려면 어떤 절차와 권한이 필요하며, 구체적인 방법은 무엇인가요?</t>
  </si>
  <si>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</si>
  <si>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</si>
  <si>
    <t>기대답변:
 온톡 개인정보 변경 방법 (부서이동, 직위, 직급 등)
  - 시 행정포털 &gt; (몇 시간 소요)온나라 &gt; (1일 소요)온톡
  ‣ 부서이동: 행정포털에서 이동하면 온나라 자동 반영
  ‣ 부서관리자가 정보변경 하는 방법: 온나라 &gt; 개인정보설정 &gt; 부서관리자 &gt; 사용자 수정
  √ 온나라시스템은 즉시 반영, 온톡은 익일 반영
  ‣ 개인이 직접 정보변경 하는 방법: 온나라 &gt; 개인정보설정 &gt; 개인정보수정 &gt; 기본정보, 개인정보 수정 후 저장
  √ 온나라시스템은 즉시 반영, 온톡은 익일 반영</t>
  </si>
  <si>
    <t>-----</t>
  </si>
  <si>
    <t>온톡 담당업무 입력 방법 안내, 온톡 담당 업무 입력방법 안내</t>
  </si>
  <si>
    <r>
      <rPr>
        <rFont val="맑은 고딕"/>
        <b/>
        <color theme="1"/>
        <sz val="11.0"/>
      </rPr>
      <t>371_2503_정보화정책과_업무매뉴얼_정보화정책과_온톡_온메일_온나라_지식_사용자_매뉴얼_v21.pdf[4, 5]</t>
    </r>
    <r>
      <rPr>
        <rFont val="맑은 고딕"/>
        <color theme="1"/>
        <sz val="11.0"/>
      </rPr>
      <t xml:space="preserve">
-----
</t>
    </r>
    <r>
      <rPr>
        <rFont val="맑은 고딕"/>
        <color rgb="FFFF0000"/>
        <sz val="11.0"/>
      </rPr>
      <t xml:space="preserve">[인사발령 시 조치방법에 대한 문서인데 온톡 메신저 담당업무 입력과는 유사도 차이가 있어 검색 확률이 낮음.]
</t>
    </r>
    <r>
      <rPr>
        <rFont val="맑은 고딕"/>
        <color theme="1"/>
        <sz val="11.0"/>
      </rPr>
      <t xml:space="preserve">
ü 인사발령 시 조치방법 ▲위로 ● 문의 하기 전 먼저 읽어 주세요
① 온톡 개인정보 변경 방법
 (부서이동, 직위, 직급 등)
● 시 행정포털 Ü (몇 시간 소요)온나라 Ü (1일 소요)온톡</t>
    </r>
    <r>
      <rPr>
        <rFont val="Tahoma"/>
        <color theme="1"/>
        <sz val="11.0"/>
      </rPr>
      <t>‣</t>
    </r>
    <r>
      <rPr>
        <rFont val="맑은 고딕"/>
        <color theme="1"/>
        <sz val="11.0"/>
      </rPr>
      <t xml:space="preserve"> 부서이동: 행정포털에서 이동하면 온나라 자동 반영
</t>
    </r>
    <r>
      <rPr>
        <rFont val="Tahoma"/>
        <color theme="1"/>
        <sz val="11.0"/>
      </rPr>
      <t>‣</t>
    </r>
    <r>
      <rPr>
        <rFont val="맑은 고딕"/>
        <color theme="1"/>
        <sz val="11.0"/>
      </rPr>
      <t xml:space="preserve"> 부서관리자가 정보변경 하는 방법: 온나라 Ü 개인정보설정 Ü 부서관리자 Ü 사용자 수정 √ 온나라시스템은 즉시 반영, 온톡은 익일 반영
</t>
    </r>
    <r>
      <rPr>
        <rFont val="Tahoma"/>
        <color theme="1"/>
        <sz val="11.0"/>
      </rPr>
      <t>‣</t>
    </r>
    <r>
      <rPr>
        <rFont val="맑은 고딕"/>
        <color theme="1"/>
        <sz val="11.0"/>
      </rPr>
      <t xml:space="preserve"> 개인이 직접 정보변경 하는 방법: 온나라 Ü 개인정보설정
 Ü 개인정보수정 Ü 기본정보, 개인정보 수정 후 저장
 √ 온나라시스템은 즉시 반영, 온톡은 익일 반영</t>
    </r>
  </si>
  <si>
    <t>BSC 성과관리지표 시스템에 입력하는 방법은?</t>
  </si>
  <si>
    <t>BSC 성과관리지표를 내부 시스템에 입력할 때, 시스템 접속 경로, 입력 화면 구성, 지표 유형별 입력 방법, 승인·검증 절차, 입력 완료 후 확인 방법을 포함하여 단계별로 상세히 설명해주세요.</t>
  </si>
  <si>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</si>
  <si>
    <t>관련근거 오류입니다.
해당 질의에 대한 관련 근거 파일이 없으므로
해당 파일이 없다고 말하고 관련 부서나 담당자에게 문의하라고 해야할듯 싶습니다</t>
  </si>
  <si>
    <t>보조금 교부를 위한 보탬이, 이나라도움 사용법은?</t>
  </si>
  <si>
    <t>보조금 교부를 위해 ‘보탬이’ 또는 ‘이나라도움’ 시스템을 사용할 때, 보조금 신청·접수·승인·정산 등 전체 처리 절차, 시스템 접속 및 입력 방법, 제출 서류, 검증 단계, 유의사항을 단계별로 상세히 설명해주세요.</t>
  </si>
  <si>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</si>
  <si>
    <t>해당 내용 중 이나라도움 사용법에 대한 내용은
관련 문서에 없으므로 해당 내용은 제외하는것이 좋을것 같습니다.
그 외는 이상없습니다.</t>
  </si>
  <si>
    <t>기대답변 :
 보탬e 지방보조금 교부(연계지출) 방법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</si>
  <si>
    <t>328_2503_재정협력담당관_업뮤매뉴얼_행정안전부_2025년_지방보조금_관리가이드.pdf</t>
  </si>
  <si>
    <t>26</t>
  </si>
  <si>
    <t>보조금 교부 절차 안내, 보탬이(보탬e) 사용 방법 안내, 이나라도움 사용 방법 안내</t>
  </si>
  <si>
    <t>온나라 시스템을 통해 공문을 생산하였는데, 기안 당시에는 비공개 사유가 있었으나, 현재에는 해당 비공개 사유가 소멸했습니다. 이에 따라, 공개문서로 전환하고 싶은데, 방법이 어떻게 되나요?</t>
  </si>
  <si>
    <t>온나라 시스템에서 기안 당시 비공개로 처리된 공문이 현재 비공개 사유가 소멸된 경우, 해당 문서를 공개문서로 전환하려면 어떻게 해야 하는지 알려주세요.</t>
  </si>
  <si>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</si>
  <si>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</si>
  <si>
    <t>기대답변
 온나라 문서대장에서 해당 공문의 문서관리카드를 열람하여, 하단 '관리정보 수정' 버튼을 클릭한 후 공개문서로 전환할 수 있습니다.</t>
  </si>
  <si>
    <t>[답변 참조 문서명이 기입되어 있지 않았음. 이 문서가 맞는지 확인 필요 + 표 내용 우측 텍스트 인식으로 답변 요청을 하신 것인지도 확인 필요]</t>
  </si>
  <si>
    <t>온나라 시스템을 통하여 비공개 공문을 공개로 전환하는 방법</t>
  </si>
  <si>
    <t xml:space="preserve">인사랑, 이호조, 세외수입시스템 등 시스템 종류가 많은데, 각각 매뉴얼은 어디서 찾을 수 있나요? </t>
  </si>
  <si>
    <t>인사랑시스템, 이호조시스템(e호조, 지방재정시스템), 세외수입시스템 등 주요 업무 시스템의 사용자 매뉴얼은 어디에서 조회할 수 있나요?</t>
  </si>
  <si>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</si>
  <si>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</si>
  <si>
    <t>매뉴얼 위치에 대한 내용이 없을것으로 보여 일단 지금 단계에서는 미답변 처리 하는게 좋을거 같습니다.
 질문으로 검색된 매뉴얼 안에 내용 중에 관련 매뉴얼이 어디 있는지에 대한 내용이 나와 있으면 표출되면 될 거 같은데 해당 매뉴얼에서는 관련 내용이 없는것으로 보입니다.</t>
  </si>
  <si>
    <t>다음달에 시청 1층 대강당을 예약하고 싶은데, 방법을 알고싶어요.</t>
  </si>
  <si>
    <t>다음 달에 시청 1층 대강당을 예약하려면 예약 과정을 어떻게 진행해야 하는지 알려주세요.</t>
  </si>
  <si>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</si>
  <si>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</si>
  <si>
    <t>기대답변:
 행정포털의 개인서비스에서 회의장 클릭 후 원하는 날짜를 예약하시면 됩니다.</t>
  </si>
  <si>
    <t>담당업무 관련으로 시청 직원의 설문조사가 필요한데, 어디에 게시해야 많은 사람들이 참여할 수 있을까요</t>
  </si>
  <si>
    <t>담당업무 관련 설문조사를 시청 직원 대상으로 진행하려면, 어떤 곳에 게시하는 것이 직원 참여율을 최대화하는 데 가장 효과적인지 알려주세요.</t>
  </si>
  <si>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</si>
  <si>
    <t>해당 질문도 근거 자료가 없습니다.
내부 시스템 중 설문조사 관련 매뉴가 있습니다만 근거자료가 없기 때문에
관련 부서나 업무 담당자에게 문의~ 라는 내용이 추가되어야 할 것 같습니다.</t>
  </si>
  <si>
    <t>기대답변:
 설문조사 방법 안내
 행정포털 내 참여할 설문 클릭 후 설문 등록을 하시면 됩니다.</t>
  </si>
  <si>
    <t>3</t>
  </si>
  <si>
    <t>[왼쪽 그림의 절차가 있어야 우측 텍스트 내용이 의미가 있는 것으로 보임. 표 내용만 봤을 때에는 각 내용들이 절차를 나타내는 것인지 확인이 어려움 - 115번 동일]</t>
  </si>
  <si>
    <t>시청 직원 대상 설문조사 활성화를 위한 효과적인 게시 위치</t>
  </si>
  <si>
    <t>시 공식 SNS에 담당업무를 홍보하고자 게시했으면 하는데, 의뢰 절차가 어떻게 되나요?</t>
  </si>
  <si>
    <t>시 공식 SNS에 부서 또는 직원 담당업무를 홍보하기 위해 게시를 의뢰하려면 어떤 절차를 거쳐야 하는지 알려주세요</t>
  </si>
  <si>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</si>
  <si>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</si>
  <si>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</si>
  <si>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</si>
  <si>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88_2504_미디어담당관_업무매뉴얼_미디어담당관_콘텐츠기획팀_업무관련FAQ.pdf</t>
  </si>
  <si>
    <t>시 공식 SNS 담당업무 홍보 게시를 위한 의뢰 절차, 시청 홈페이지 엘리베이터 화면 기타 홍보게시판 등에 홍보자료를 게시하기 위한 방법, 시 주관 행사 추친 시 홍보 광고물 설치 절차 안내</t>
  </si>
  <si>
    <t>(박물관, 미술관) 부산의 박물관이나 미술관에서 하는 전시 정보를 한번에 얻고싶은데, 어디에서 찾을 수 있나요?</t>
  </si>
  <si>
    <t>부산 소재 박물관과 미술관에서 진행 중인 전시 정보를 한눈에 확인하려면 어떤 공식 사이트나 통합 플랫폼을 이용해야 하는지 알려주세요</t>
  </si>
  <si>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</si>
  <si>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</si>
  <si>
    <t>일반지출의 절차를 알고싶은데, 매뉴얼이나 교육자료를 어디에서 찾을 수 있나요?</t>
  </si>
  <si>
    <t>일반지출 절차를 정확히 이해하기 위한 관련 매뉴얼, 지침, 교육자료가 정리되어 있는 게시판이 어디에 위치해 있는지 알려주세요.</t>
  </si>
  <si>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</si>
  <si>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</si>
  <si>
    <t>기대답변 : 
 일반 지출에 관한 자료는 회계재산담당관에서 제출한 일반지출 절차 및 삭제 파일에서 확인하시면 됩니다.
 &gt;파일 링크 제공</t>
  </si>
  <si>
    <t>&gt;&gt; 115번과 동일, 제목에 일반지출 상세흐름도라고 명시되어 있는데도 불구하고 절차에 대한 확인이 어려운지 확인이 필요합니다. RAG 유사도 문제도 같이 확인 필요</t>
  </si>
  <si>
    <t>일반지출 처리 업무 흐름도, 일반지출 절차 매뉴얼(메뉴얼, 교육자료)</t>
  </si>
  <si>
    <t>한달동안만 유연근무제를 실시하고 싶은데, 일정기간만 유연근무제 신청할 수 있나요? 할 수 있다면 신청방법이 어떻게 되나요?</t>
  </si>
  <si>
    <t>한 달 등 일정 기간 동안만 유연근무제를 적용할 수 있는지, 가능하다면 해당 기간만 신청하는 방법과 절차는 무엇인가요?</t>
  </si>
  <si>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</si>
  <si>
    <t xml:space="preserve">ㆍ20684_2023-2982_부산광역시_사회공헌정보센터_수탁기관_모집_재공고.pdf (p.2)
https://busanai.busan.go.kr/download/20684_2023-2982_부산광역시_사회공헌정보센터_수탁기관_모집_재공고.pdf </t>
  </si>
  <si>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</si>
  <si>
    <t>기대답변:
 1. 유연근무제 신청방법
  - 대국민 행정업무에 차질이 없는 범위 내에서 실시기간과 근무형태를 정해 부서장에게 신청하여 승인을 받음
  ※ 육아, 간병, 원거리 출퇴근, 외국어 수강, 취미활동 등 개인사정이 있을 경우 업무에 지장이 없는 범위 내에서 적극 활용 가능
 2. 유연근무제 유형별 실시기간
  - 탄력근무제(시차출퇴근형) : 1일 이상
  - 탄력근무제(근무시간 선택형) : 1주 이상으로 하되 당일 신청 시 2일 이상
  - 탄력근무제(집약근무형) : 1주일 이상
  - 재량근무제 : 기관가 개인이 합의
  - 원격근무제(재택근무형) : 1일 이상
  - 원격근무제(스마트워크근무형) : 1일 이상</t>
  </si>
  <si>
    <t>탄력근무제와 관련한 매뉴얼, 메뉴얼, 안내서, 유연근무제 신청 방법 안내, 유연근무제 매뉴얼(메뉴얼), 일정 기간 유연근무제 신청하는 방법</t>
  </si>
  <si>
    <r>
      <rPr>
        <rFont val="맑은 고딕"/>
        <b/>
        <color theme="1"/>
        <sz val="11.0"/>
      </rPr>
      <t>267_2405_인사과_업무매뉴얼_행정안전부_복무관리_매뉴얼.pdf[21]</t>
    </r>
    <r>
      <rPr>
        <rFont val="맑은 고딕"/>
        <color theme="1"/>
        <sz val="11.0"/>
      </rPr>
      <t xml:space="preserve">
-----
</t>
    </r>
    <r>
      <rPr>
        <rFont val="맑은 고딕"/>
        <color rgb="FFFF0000"/>
        <sz val="11.0"/>
      </rPr>
      <t>[문서가 이미지로 대부분 되어 있어 참조 불가함. 아래 내용이 확인해주신 내용같은데 질문 대비 유사도 떨어짐]</t>
    </r>
    <r>
      <rPr>
        <rFont val="맑은 고딕"/>
        <color theme="1"/>
        <sz val="11.0"/>
      </rPr>
      <t xml:space="preserve">
III-1 복무관리&gt; 유연근무제관리&gt; 유연근무신청 • 유연근무신청내역을조회하고 신규신청할 수있습니다. 1 ᄀ ᄂ 2 3 21</t>
    </r>
  </si>
  <si>
    <t xml:space="preserve">장기재직휴가는 재직기간 몇 년차부터 생기나요? 그리고 근속년수별로 정확한 휴가 부여 일수를 알고싶어요. </t>
  </si>
  <si>
    <t>장기재직휴가는 어떤 재직연차부터 부여되며, 근속기간 구간별로 부여되는 정확한 휴가 일수 기준은 무엇인가요?</t>
  </si>
  <si>
    <t>장기재직휴가는 재직 기간 10년 이상 20년 미만인 경우, 해당 재직 기간 중 10일이 부여됩니다.</t>
  </si>
  <si>
    <t xml:space="preserve">ㆍ1117_압축규정25228.pdf (p.65)
https://busanai.busan.go.kr/download/1117_압축규정25228.pdf </t>
  </si>
  <si>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</si>
  <si>
    <t>1. 장기재직휴가 대상 : 재직기간 5년 이상인 공무원부터
 2. 재직기간별 휴가 일수
  - 5년~9년 : 5일
  - 10년~19년 : 10일
  - 20년~29년 : 25일
  - 30년 이상 : 25일</t>
  </si>
  <si>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생산성‧창의성 또한 제고3. 시행대상: 재직기간 5년 이상인 공무원
 4. 실시방법: 재직기간에 따라 해당 기간 중 장기재직휴가 실시재직기간 5년 ~ 9년 10년 ~ 19년 20년 ~ 29년 30년 이상휴가일수 5일 10일 25일 25일</t>
  </si>
  <si>
    <t>장기재직휴가 등록 기준 및 사용 방법과 신청 절차, 장기재직휴가 기준 및 사용방법과 신청절차, 장기재직휴가 사용 요건 인사랑 자동 반영여부, 근속년수 별 장기재직휴가 사용 가능 여부 및 근속년수별 휴가 부여 일수</t>
  </si>
  <si>
    <t>공무원의 연차별로 연가일수가 다른 거 같던데, 재직기간별로 연가가 며칠씩 부여되나요?</t>
  </si>
  <si>
    <t>공무원의 재직기간 구간별 연가 부여 기준은 어떻게 구성되어 있으며, 연차에 따라 적용되는 정확한 연가일수는 얼마인가요?</t>
  </si>
  <si>
    <t>공무원의 재직기간별 연가일수는 1개월 이상 1년 미만: 11일, 1년 이상 3년 미만: 14일, 3년 이상 4년 미만: 15일, 4년 이상 5년 미만: 16일, 5년 이상 6년 미만: 17일, 6년 이상: 21일입니다.</t>
  </si>
  <si>
    <t xml:space="preserve">ㆍ214_2501_예산담당관_업무매뉴얼_행정안전부_지방공무원보수업무_등_처리지침.pdf (p.363)
https://busanai.busan.go.kr/download/214_2501_예산담당관_업무매뉴얼_행정안전부_지방공무원보수업무_등_처리지침.pdf </t>
  </si>
  <si>
    <t>관련 근거가 지방공무원 복무규정이면 제일 좋은데
해당 파일은 없는걸로 보입니다.
약간 근거규정이 애매한거 빼면 내용은 이상없습니다.</t>
  </si>
  <si>
    <t>기대답변 : 
 네, 맞아요! 공무원의 재직기간에 따라 연가일수가 다르게 부여됩니다. 이는 공무원의 장기적인 근무를 독려하고 충분한 휴식을 제공하기 위한 제도예요.
 '지방공무원 복무규정’에 따르면, 재직기간별 연가일수는 다음과 같습니다:
 1개월 이상 1년 미만: 연가 11일
 1년 이상 2년 미만: 연가 12일
 2년 이상 3년 미만: 연가 14일
 3년 이상 4년 미만: 연가 15일
 4년 이상 5년 미만: 연가 17일
 5년 이상 6년 미만: 연가 20일
 6년 이상: 연가 21일
 또한, 특별한 경우에는 추가로 연가일수가 부여될 수 있어요. 예를 들어, 병가를 사용하지 않았거나 연가보상비를 지급받지 못한 연가일수가 남은 경우에는 다음 해에 한해 연가일수에 1일을 더 받을 수 있습니다.
 이 정보는 최신 규정을 기반으로 한 것이며, 정확한 내용은 해당 지방자치단체의 조례나 내부 규정을 확인하시는 것이 좋아요. 혹시 더 궁금한 점이 있으면 언제든지 물어보세요!</t>
  </si>
  <si>
    <t>264_2401_인사과_법령_행정안전부_지방공무원_인사관계_법령집.pdf</t>
  </si>
  <si>
    <t>403, 404</t>
  </si>
  <si>
    <t>제조연가일수 및 연가보상비의 지급7 ( ) 공무원의 재직기간별 연가일수는 다음과 같다다만법 . , ①
 제조제항제호제호 및 제호에 따라 임용된 경력직공무원 및 특수경력직공무원의 재직27 2 2 · 3 9
 기간이 년 미만인 경우로서 지방자치단체의 조례로 정하는 공무원 경력 외의 유사경력이 있5
 는 경우에는 년 미만의 재직기간별 연가일수에 각각 일을 더한다개정 5 3 . &lt; 2013. 12. 11., 
 2018. 12. 18., 2023. 7. 18., 2024. 7. 2.&gt;
 0400년 지방공무원 인사관계 법령집2024
 재직기간연가 일수
 개월 이상 년 미만1 1
 년 이상 년 미만1 2
 년 이상 년 미만2 3
 년 이상 년 미만3 4
 년 이상 년 미만4 5
 년 이상 년 미만5 6
 년 이상6
  11
  12
  14
  15
  17
  20
  21
 제항에서 재직기간이란 공무원연금법제조제항부터 제항까지의 규정에 따르되1 “ ” 25 1 3 , ② 「」 
 연월일수로 계산한 재직기간을 말하며휴직기간정직기간직위해제기간 및 강등 처( ) , · ·年月日數
 분에 따라 직무에 종사하지 못하는 기간은 산입하지 않는다다만다음 각 호의 어느 하나에 . , 
 해당하는 경우에는 그 휴직기간을 재직기간에 산입한다개정 . &lt; 2011. 3. 7., 2017. 3. 8., 
 2018. 9. 18., 2018. 12. 18., 2019. 4. 16.&gt;
 법 제조제항제호의 사유에 따른 휴직으로서 지방공무원 임용령제조의제항제1. 63 2 4 31 6 2 1「」 
 호다목에 따른 휴직기간
 법령에 따른 의무수행으로 인한 휴직2. 
 공무원 재해보상법에 따른 공무상 부상 또는 질병이하 공무상 부상등이라 한다으로 인3. ( “ ” )「」
 한 휴직
 해당 연도에 결근정직강등직위해제 사실 및 제조의제항제호부터 제호까지의 규정· · · 7 2 3 1 5 ③ 
 에 따른 기간이 없는 공무원으로서 다음 각 호의 어느 하나에 해당하는 사람에 대해서는 다음 
 해에 한정하여 제항의 재직기간별 연가일수에 각각 일을 더한다개정 1 1 . &lt; 2019. 12. 31.&gt;
 병가제조의제항에 따른 병가는 제외한다를 받지 않은 공무원1. ( 7 5 2 )
 제항에 따른 연가보상비를 지급받지 못한 연가일수가 남아 있는 공무원2. 4
 제항에 따른 연가를 공무상 허가할 수 없거나 해당 공무원이 연가를 사용하지 않은 경우1 ④ 
 에는 예산의 범위에서 연가일수에 해당하는 연가보상비를 지급하는 것으로 연가를 갈음할 수 
 있다이 경우 연가보상비를 지급할 수 있는 연가대상일수는 일을 초과할 수 없으며연가보. 20 , 
 상비 지급대상인 연가 일수 중 시간 미만의 연가 잔여분에 대해서는 연가보상비를 지급하지 8
 않고 이월저축한다개정 · . &lt; 2020. 10. 20.&gt;
 전문개정 [ 2010. 7. 15.]</t>
  </si>
  <si>
    <t>공무원 재직기간 구간별 연가 부여 기준 안내, 공무원 연차별 연가 부여 일수 안내</t>
  </si>
  <si>
    <t>사전정보공표 정비 방법 알려주세요</t>
  </si>
  <si>
    <t>사전정보공표 정비 절차와 기준을 공식적으로 확인할 수 있는 내부 지침이나 시스템은 어디에 있나요?</t>
  </si>
  <si>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</si>
  <si>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</si>
  <si>
    <t>DRM, PC Client 아이디 및 비밀번호를 잊어버렸을 때 절차 알려주세요</t>
  </si>
  <si>
    <t>DRM(자료유출방지시스템)과 PC Client(네티워크 접근제어, NAC)의 아이디 또는 비밀번호를 분실했을 때, 초기화나 재발급을 위해 어떤 절차를 거쳐야 하나요?</t>
  </si>
  <si>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</si>
  <si>
    <t>SQG002</t>
  </si>
  <si>
    <t>온나라 문서 과제카드를 잘못 지정하였습니다. 변경 가능할까요?</t>
  </si>
  <si>
    <t>온나라 시스템에서 문서의 과제카드를 잘못 지정한 후 수정하거나 변경할 수 있는지, 가능하다면 어떤 절차로 처리해야 하나요?</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</si>
  <si>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</si>
  <si>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ㆍ438_2502_통합민원과_업무메뉴얼_통합민원과_기록관리_업무편람기정너.pdf (p.44)
https://busanai.busan.go.kr/download/438_2502_통합민원과_업무메뉴얼_통합민원과_기록관리_업무편람기정너.pdf</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</si>
  <si>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</si>
  <si>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44</t>
  </si>
  <si>
    <t>5. 온나라시스템의 기록물 정리
 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</si>
  <si>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SQG015</t>
  </si>
  <si>
    <t>차세대지방재정 업무그룹에 각각 어떤 권한이 부여되어 있는지 알려주세요</t>
  </si>
  <si>
    <t>차세대지방재정관리시스템(e호조, 이호조)에서 각 업무그룹별로 부여되는 권한은 어떻게 구성되어 있으며, 그룹별로 사용할 수 있는 기능 차이는 무엇인가요?</t>
  </si>
  <si>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</si>
  <si>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</si>
  <si>
    <t>장기재직휴가 기준과 사용 방법을 알려주세요. 장기재직휴가 사용 요건이 되면 인사랑에 자동 반영될까요?</t>
  </si>
  <si>
    <t>장기재직휴가의 부여 기준과 사용 방법은 어떻게 되나요? 또한 장기재직휴가 사용 요건 충족 시 인사랑 시스템에 자동으로 반영되는지 여부도 알려주세요</t>
  </si>
  <si>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</si>
  <si>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</si>
  <si>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</si>
  <si>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SQG007</t>
  </si>
  <si>
    <t>공무원 및 공무직 직원복지지원시스템 사용 방법을 알려주세요.</t>
  </si>
  <si>
    <t>공무원 및 공무직 직원복지지원시스템 접속 방법과 이용 절차에 대해 알려주세요.</t>
  </si>
  <si>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</si>
  <si>
    <t>ㆍ288_2501_인사과_기타_인사과_2025년_휴양시설_이용_지원_계획.pdf (p.2)
https://busanai.busan.go.kr/download/288_2501_인사과_기타_인사과_2025년_휴양시설_이용_지원_계획.pdf</t>
  </si>
  <si>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</si>
  <si>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t>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</si>
  <si>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432FF"/>
        <sz val="11.0"/>
      </rPr>
      <t xml:space="preserve">&gt;&gt;&gt; 각 페이지별로 몇 글자가 많지 않으며, 최대 5개의 청크만 전달하는 점 등을 고려해 꼭 필요한 경우 별도로 정리한 문서의 형태를 새롭게 만들어야 할것 같습니다. 아래는 파일 하나의 내용을 가져왔습니다.
</t>
    </r>
    <r>
      <rPr>
        <rFont val="&quot;맑은 고딕&quot;"/>
        <color rgb="FF00FF00"/>
        <sz val="11.0"/>
      </rPr>
      <t xml:space="preserve"> 
 &gt;&gt; 간단한 질문 FAQ에 해당 내용 정리 요청
 </t>
    </r>
    <r>
      <rPr>
        <rFont val="&quot;맑은 고딕&quot;"/>
        <color rgb="FF000000"/>
        <sz val="11.0"/>
      </rPr>
      <t xml:space="preserve">
 본문 전체 내용 참조(글자만)
 (파일명)
 '300_2502_인사과_업무매뉴얼_인사과_직원복지지원시스템_사용방법_안내장례비.pdf'
 (1page)
 후생복지 프로그램 신청방법 안내
 □ 유의사항
 - 파견, 휴직자, 시의원 등 행정포털 미사용자(공무원)는 각 부서관리자(서무)가 신청
 □ 진행 절차
 ① 행정포털 하단 개인서비스→ ’직원복지지원’ 클릭
 (2page)
 ② 복지지원 프로그램 배너 → 프로그램 조회 → ‘신청’ 클릭
 (3page)
 ③ 상세지원 내역(유의사항) 및 첨부파일 확인 후 ‘신청’ 클릭
 (4page)
 ④ 해당서식 작성 및 첨부파일 업로드 후 등록 클릭
 (5page)
 ⑤ 신청처리 현황 목록에서 진행상태 확인
 ⑥ 인사과(담당자) 확인 후 지원금 지급(매월 초)</t>
    </r>
  </si>
  <si>
    <t>SQG025</t>
  </si>
  <si>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</si>
  <si>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</si>
  <si>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 기준을 알려주세요</t>
  </si>
  <si>
    <t>업무추진비를 집행할 때 적용해야 하는 기준과 필수 증빙 요건은 무엇인가요?</t>
  </si>
  <si>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</si>
  <si>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</si>
  <si>
    <r>
      <rPr>
        <rFont val="Malgun Gothic"/>
        <color theme="1"/>
        <sz val="11.0"/>
      </rP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rFont val="Tahoma"/>
        <color theme="1"/>
        <sz val="11.0"/>
      </rPr>
      <t>‧</t>
    </r>
    <r>
      <rPr>
        <rFont val="맑은 고딕"/>
        <color theme="1"/>
        <sz val="11.0"/>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rFont val="Tahoma"/>
        <color theme="1"/>
        <sz val="11.0"/>
      </rPr>
      <t>‧</t>
    </r>
    <r>
      <rPr>
        <rFont val="맑은 고딕"/>
        <color theme="1"/>
        <sz val="11.0"/>
      </rPr>
      <t>식사 제공
- 의례적 행위: 기관장 취임·퇴임, 국경일 행사 시 화환·화분 등 의례적 제공
- 내방객 다과·음료, 축의</t>
    </r>
    <r>
      <rPr>
        <rFont val="Tahoma"/>
        <color theme="1"/>
        <sz val="11.0"/>
      </rPr>
      <t>‧</t>
    </r>
    <r>
      <rPr>
        <rFont val="맑은 고딕"/>
        <color theme="1"/>
        <sz val="11.0"/>
      </rPr>
      <t>부의금품(지자체장 한정) 등 직무수행 관련 통상적 경비</t>
    </r>
  </si>
  <si>
    <t>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기념품‧식사 제공
 - 의례적 행위: 기관장 취임·퇴임, 국경일 행사 시 화환·화분 등 의례적 제공
 - 내방객 다과·음료, 축의‧부의금품(지자체장 한정) 등 직무수행 관련 통상적 경비</t>
  </si>
  <si>
    <t>127, 128</t>
  </si>
  <si>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</si>
  <si>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(정답이 아닌 문서 청크 5개가 0.99점 이상으로 높아서 정답이 아닌 문서를 끌어내리거나 검색이 안되게끔 하는 방법 필요)</t>
  </si>
  <si>
    <t>SQG013</t>
  </si>
  <si>
    <t>[청크 데이터 확인 필요]</t>
  </si>
  <si>
    <t>국민신문고 민원 처리 과정 알려주세요</t>
  </si>
  <si>
    <t>국민신문고로 접수된 민원이 어떤 절차와 기준에 따라 처리되는지 매뉴얼을 어디에서 확인할 수 있나요?</t>
  </si>
  <si>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</si>
  <si>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</si>
  <si>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</si>
  <si>
    <t>기대답변 :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</si>
  <si>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1234_국민신문고_사용자지침서_민원_v17.pdf</t>
  </si>
  <si>
    <t>16, 17</t>
  </si>
  <si>
    <t>01 민원업무 개요
 1.1. 민원업무 개요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</si>
  <si>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국민신문고 민원 처리 과정 안내</t>
  </si>
  <si>
    <t>공무원이 이수해야 될 교육 과목 알려주세요</t>
  </si>
  <si>
    <t>공무원이 반드시 이수해야 하는 법정·필수 교육 과목은 무엇인가요?</t>
  </si>
  <si>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</si>
  <si>
    <t>ㆍ10879_부산시_소속_공무원_환경교육_추진계획.pdf (p.3)
https://busanai.busan.go.kr/download/10879_부산시_소속_공무원_환경교육_추진계획.pdf</t>
  </si>
  <si>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</si>
  <si>
    <t>전보 이후후 숙지해야할 직원 공통사항을 알려주세요.</t>
  </si>
  <si>
    <t>전보 후 새 부서에서 공통적으로 숙지해야 할 기본 업무·시스템·복무 사항은 무엇인가요?</t>
  </si>
  <si>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</si>
  <si>
    <t>해당 자료에 대한 근거자료가 없으므로
일반적인 답변 이후 관련 부서나 업무 담당자에게 문의~ 
써주시면 됩니다</t>
  </si>
  <si>
    <t>공무원증 신청 방법 알려줘</t>
  </si>
  <si>
    <t>공무원증을 신규 발급 또는 재발급 받으려면 어떤 절차를 거쳐야 하나요?</t>
  </si>
  <si>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</si>
  <si>
    <t>ㆍ12158_1_부산광역시의회_공무원증_규정-hwp.pdf (p.7)
https://busanai.busan.go.kr/download/12158_1_부산광역시의회_공무원증_규정-hwp.pdf</t>
  </si>
  <si>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</si>
  <si>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사전초과 신청 등록은 해놨으나 미결재 상태에서, 사후초과 등록 처리가 안되는데 해결방법이 어떻게 되나요?</t>
  </si>
  <si>
    <t>사전초과 신청을 등록했으나 결재가 완료되지 않은 상태에서 사후초과 등록이 불가능할 때, 이를 처리하거나 해결하는 방법은 무엇인가요?</t>
  </si>
  <si>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</si>
  <si>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</si>
  <si>
    <t>온나라에서 부재자 설정 및 기간은 어떻게 하나요?</t>
  </si>
  <si>
    <t>온나라 시스템에서 부재자 결재자를 설정하고, 설정 기간을 지정하는 방법은 무엇인가요?</t>
  </si>
  <si>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</si>
  <si>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</si>
  <si>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부재자 설정 방법
  - 본인이 부재자 설정하는 경우- [개인설정 &gt; 개인정보관리 &gt; 부재설정]에서 설정 가능
  - 서무담당자가 부재자 설정하는 경우- [개인설정 &gt; 부서관리자]에서 설정 가능</t>
  </si>
  <si>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t>
  </si>
  <si>
    <t>온나라 2.0 전환 이후 자주 발생하는 오류에 대한 사례집 및 질문과 답변, 온나라 2.0 FAQ, 온나라 시스템 부재 설정 방법</t>
  </si>
  <si>
    <t>SQG004</t>
  </si>
  <si>
    <t>홈페이지 배너 어떻게 바꾸나요?</t>
  </si>
  <si>
    <t>시청 홈페이지의 배너를 변경하려면 어떤 절차와 권한을 통해 진행해야 하나요?</t>
  </si>
  <si>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</si>
  <si>
    <t>홈페이지 배너 관련 설명자료가 없습니다.
그래서 내용도 오류입니다. 
근거자료 없을때 멘트 생성해주시면 됩니다.</t>
  </si>
  <si>
    <t>관외출장 등록 및 여비 신청 방법이 어떻게 하나요?</t>
  </si>
  <si>
    <t>관외출장을 등록하고 여비를 신청하려면 어떤 시스템과 절차를 통해 진행해야 하나요?</t>
  </si>
  <si>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</si>
  <si>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</si>
  <si>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</si>
  <si>
    <t>기대답변 :
 출장신청에 관한 매뉴얼은 아래 첨부파일을 참고하시기 바립니다.
 링크 : 출장관리 매뉴얼</t>
  </si>
  <si>
    <t>질의문에 출장 신청이란 글자가 같이 들어가 있으면
 해당 매뉴얼을 제공해주면 될 것 같습니다.</t>
  </si>
  <si>
    <t>관외출장 시 출장 신청 방법 및 여부 지급 방법에 대한 안내, 관외출장 등록 및 여비 신청 방법 안내</t>
  </si>
  <si>
    <t>SQG023</t>
  </si>
  <si>
    <r>
      <rPr>
        <rFont val="맑은 고딕"/>
        <b/>
        <color rgb="FFFF0000"/>
        <sz val="11.0"/>
      </rPr>
      <t xml:space="preserve">268_2405_인사과_업무매뉴얼_행정안전부_출장관리_매뉴얼.pdf[12]
-----
</t>
    </r>
    <r>
      <rPr>
        <rFont val="맑은 고딕"/>
        <color rgb="FFFF0000"/>
        <sz val="11.0"/>
      </rPr>
      <t xml:space="preserve">[문서가 대부분 그림이라 아래 내용 밖에 찾지 못하고 있으며 유사도 아주 낮음]
</t>
    </r>
    <r>
      <rPr>
        <rFont val="맑은 고딕"/>
        <color rgb="FFFF0000"/>
        <sz val="11.0"/>
      </rPr>
      <t xml:space="preserve">
Ⅲ-1-1) 출장관리 &gt; 관외출장 &gt; 출장신청(관외)
</t>
    </r>
  </si>
  <si>
    <t>행정절차에서 초일불산입의 원칙은 어떻게 적용하는 것인가요? 
산입일에는 주말, 공휴일도 포함되는 것인가요? 예시도 알려주세요.</t>
  </si>
  <si>
    <t>행정절차에서 ‘초일불산입 원칙’이 어떤 기준에 따라 적용되며, 기간 계산 시 주말·공휴일을 산입하거나 제외하는 구체적 기준과 대표적인 적용 사례는 무엇인가요?</t>
  </si>
  <si>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</si>
  <si>
    <t xml:space="preserve">관련 근거 문서가 없습니다
답변 내용 또한 모호하므로
근거자료가 없는 내용은 
관련 부서나 업무 담당자에게 문의바랍니다.
식의 멘트가 필요 할 것 같습니다.
</t>
  </si>
  <si>
    <t>DRM, PC Client 아이디 및 비밀번호를 잊어버렸을 때 해결 방법은?</t>
  </si>
  <si>
    <t>DRM 또는 PC Client 아이디와 비밀번호를 분실했을 때, 재설정이나 복구를 위해 어떤 절차를 따라야 하나요?</t>
  </si>
  <si>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</si>
  <si>
    <t>331_2112_정보화정책과_업무매뉴얼_정보화정책과_부서관리자_매뉴얼자료유출방지시스템_DRM_v50_비번초기화.pdf
1284_2512_부산시_업무관련_FAQ문서_20251209.pdf</t>
  </si>
  <si>
    <t>SQG003</t>
  </si>
  <si>
    <t>업무추진비 집행을 위해서 확인해야할 규정은 무엇인가요? 그리고 업추비별 특성 및 사용가능내역 알려주세요.</t>
  </si>
  <si>
    <t>업무추진비를 집행할 때 반드시 확인해야 하는 관련 규정은 무엇이며, 항목별 특성과 사용 가능 내역은 어떻게 되나요?</t>
  </si>
  <si>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</si>
  <si>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</si>
  <si>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</si>
  <si>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</si>
  <si>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관련 규정 안내, 업무추진비 항목별 특성과 사용 가능 내역 안내</t>
  </si>
  <si>
    <t>SQG014</t>
  </si>
  <si>
    <t>사업소 민원서류 접수 시 행정포털에서 등록하는 방법이 어떻게 되나요?</t>
  </si>
  <si>
    <t>사업소에서 민원서류를 접수할 때, 행정포털에서 접수등록·대장관리·배부까지 처리하는 절차와 화면별 입력 단계는 어떻게 구성되어 있나요?</t>
  </si>
  <si>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</si>
  <si>
    <t>관련 근거 문서가 없습니다.
기대답변 : 
사업소 민원서류를 행정포털에 등록하는 방법에 대한 관련 문서가 없습니다.
자세한 사항은 관련 부서나 업무 담당자에게 문의하시기 바랍니다.</t>
  </si>
  <si>
    <t>사전초과 신청 등록은 해놨으나 미결재 상태에서, 사후초과 등록 처리가 안되는데 조치방법이 어떻게 되나요?</t>
  </si>
  <si>
    <t>사전초과근무 신청이 미결재 상태로 남아 있을 때, 동일 일자에 대한 사후초과 등록이 안되는 문제에 대한 조치 절차는 무엇인가요?</t>
  </si>
  <si>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</si>
  <si>
    <t>온나라에서 부재자 설정은 어떻게 하나요?</t>
  </si>
  <si>
    <t>온나라 시스템에서 부재자 설정을 하는 방법과 설정 가능한 기간은 어떻게 되나요?</t>
  </si>
  <si>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</si>
  <si>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</si>
  <si>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시 홈페이지 고시공고 등록하는 방법이 어떻게 되나요?</t>
  </si>
  <si>
    <t>시 홈페이지에 고시·공고를 게시해야 할 때, 담당자가 어떤 시스템에서 어떤 절차로 등록을 완료할 수 있는지에 대한 관련 매뉴얼이 있나요?</t>
  </si>
  <si>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</si>
  <si>
    <t>관련 근거 문서가 없습니다.
기대답변 : 
OO 방법에 대한 관련 문서가 없습니다.
자세한 사항은 관련 부서나 업무 담당자에게 문의하시기 바랍니다.</t>
  </si>
  <si>
    <t>네, 있습니다. 제공하신 문서인 '87_2504_미디어담당관_업무매뉴얼_미디어담당관_매거진운영팀_홍보_요청_절차.pdf’의 페이지 3에는 시 홈페이지에 고시·공고를 등록하는 절차에 대한 상세한 안내가 나와 있어요.
 홈페이지 게재 고시/공고 등록 방법
 경로: 행정포털 &gt; 행정업무 &gt; 공보관리 &gt; 고시/공고 등록(입법예고 등록)
 이 경로를 통해 고시/공고 등록 화면에 접근하실 수 있어요.
 등록 절차:
 내용 입력: 공고날짜, 내용, 공고문, 참고자료 등을 정확하게 입력해주세요.
 결재 완료: 모든 정보가 정확하다면 내부 결재를 진행하여 승인을 받으세요.
 자동 등록: 결재가 완료되면 시스템이 자동으로 홈페이지에 해당 내용이 등록됩니다.
 주의사항:
 시보(공보지) 게재 없이 홈페이지에만 게재할 경우에는 별도의 공문 제출이 필요하지 않습니다.
 만약 연계 기안에 오류가 발생하거나 내용 수정, 첨부 파일 추가 또는 변경, 고시·공고·입법예고의 삭제 등이 필요할 경우에는 담당자인 이승재 님께 연락하시면 됩니다. 연락처는 888-1295입니다.
 추가 정보
 시보(공보지) 게재를 원하시는 경우에는 시보 발행 일정에 맞춰 별도로 절차를 밟으셔야 합니다. 이에 대한 자세한 내용은 같은 매뉴얼의 다른 부분에 설명되어 있을 거예요.
 만약 더 구체적인 도움이나 추가적인 질문이 있으시면 언제든지 말씀해 주세요! 도와드릴 수 있어 기쁩니다.</t>
  </si>
  <si>
    <t>87_2504_미디어담당관_업무매뉴얼_미디어담당관_매거진운영팀_홍보_요청_절차.pdf</t>
  </si>
  <si>
    <t>� 고시공고 등 게재 필요시
 1) 홈페이지 게재
  &gt; 화면 절차 
  &gt; 고시/공고 등록(입법예고 등록) : 채번획득(고시번호) (각 부서)
  &gt; 고시/공고 등록(입법예고 등록) : 공고날짜, 내용, 공고문, 참고자료 등록 (각 부서) 
  &gt; 온나라 : 연계기안 및 결재 (각 부서) 
  &gt; 시 홈페이지 : 결재완료 후 홈페이지 자동등록(각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(담당자이승재888-1295)</t>
  </si>
  <si>
    <t>복무상 특가,병가의 종류와 그에 따른 휴가일수, 챙겨야할 서류 목록 알려주세요</t>
  </si>
  <si>
    <t>지방공무원의 복무상 특가·병가 종류별 부여 일수와 신청 시 제출해야 하는 서류 목록은 무엇인가요?</t>
  </si>
  <si>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</si>
  <si>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</si>
  <si>
    <r>
      <rPr>
        <rFont val="Malgun Gothic"/>
        <color theme="1"/>
        <sz val="11.0"/>
      </rP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rFont val="맑은 고딕"/>
        <color rgb="FFFF0000"/>
        <sz val="11.0"/>
      </rPr>
      <t>지방공무원 복무규정 제7조의5(병가) 제7조의7(특별휴가), 지방공무원 복무에 관한 예규</t>
    </r>
    <r>
      <rPr>
        <rFont val="맑은 고딕"/>
        <color theme="1"/>
        <sz val="11.0"/>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</si>
  <si>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</si>
  <si>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r>
      <rPr>
        <rFont val="Malgun Gothic"/>
        <color theme="1"/>
        <sz val="11.0"/>
      </rPr>
      <t xml:space="preserve">1259_지방공무원_복무에_관한_예규_개정안전문_행정안전부_예규_제340호.pdf
자치법규 부산광역시 공무원 복무 조례 [별표3] 경조사별 휴가일수표
</t>
    </r>
    <r>
      <rPr>
        <rFont val="Arial"/>
        <color rgb="FF0432FF"/>
        <sz val="11.0"/>
      </rPr>
      <t xml:space="preserve">
&gt;&gt;&gt; 두번째 문서를 찾을 수 없습니다</t>
    </r>
    <r>
      <rPr>
        <rFont val="Arial"/>
        <color theme="1"/>
        <sz val="11.0"/>
      </rPr>
      <t xml:space="preserve">
</t>
    </r>
    <r>
      <rPr>
        <rFont val="Arial"/>
        <color rgb="FF00B050"/>
        <sz val="11.0"/>
      </rPr>
      <t xml:space="preserve">&gt;&gt; 두번째 문서는 자치법규안에 있는 별표 첨부파일입니다.
</t>
    </r>
    <r>
      <rPr>
        <rFont val="Malgun Gothic"/>
        <color rgb="FFFF0000"/>
        <sz val="11.0"/>
      </rPr>
      <t>&gt;&gt;&gt; 두번째 문서는 여전히 찾을 수 없습니다.</t>
    </r>
  </si>
  <si>
    <t>46
 48, 49, 50, 51, 52, 53, 54</t>
  </si>
  <si>
    <r>
      <rPr>
        <rFont val="&quot;맑은 고딕&quot;"/>
        <color rgb="FF000000"/>
        <sz val="11.0"/>
      </rPr>
      <t xml:space="preserve">본문내용 전체 참조
 표 내용 전체 참조 
 -------
 [Top5내 전달 가능한 내용으로 변경 수정 논의 필요]
</t>
    </r>
    <r>
      <rPr>
        <rFont val="&quot;맑은 고딕&quot;"/>
        <color rgb="FF0000FF"/>
        <sz val="11.0"/>
      </rPr>
      <t>-&gt; [논의사항 : 12.17] 
참조 조례를 다시 수집하고 하위에 있는 문서들도 추가 수집 진행할지 여부 논의 필요</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</si>
  <si>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</si>
  <si>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</si>
  <si>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단체보장보험 세부 보장내용 및 청구방법은 무엇인가요?</t>
  </si>
  <si>
    <t>단체보장보험에서 제공되는 핵심 보장항목과 보험금 청구 절차는 무엇인가요?</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</si>
  <si>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</si>
  <si>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</si>
  <si>
    <t>내용 이상없음.
청구방법 안내에 붙임파일을 참고하라고 되어 있는데
붙임파일 2,3,4가 추가가 안되어서 확인이 안됩니다.
해당 파일의 내용이 워낙 많아 붙임파일로만 제공할지 고민이 필요해보입니다.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</si>
  <si>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</si>
  <si>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 xml:space="preserve">BSC 공통지표 점수를 올리기 위해 무엇을 해야할까요?(챙겨야 할게 무엇인지), BSC 청렴도 항목의 점수를 올리려면 어떤 활동을 해야하나요? </t>
  </si>
  <si>
    <t>BSC 공통지표 및 청렴도 항목의 실적을 개선하기 위해 점검 및 관리해야 할 필수 요소들은 무엇이며, 점수 향상을 위해 반드시 수행해야 하는 구체적 행동 기준은 무엇인가요?</t>
  </si>
  <si>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</si>
  <si>
    <t>오늘 구내식당 메뉴를 알 수 있나요?</t>
  </si>
  <si>
    <t>오늘 구내식당의 식단 정보는 어디에서 확인할 수 있으며, 조회 가능한 경로는 무엇인가요?</t>
  </si>
  <si>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</si>
  <si>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</si>
  <si>
    <t>구내식당 메뉴 링크 안내드립니다.
 http://99.1.1.29/brd/mywork/?brd_menu_div=1&amp;contsType=list&amp;brd_seq=1268#tabGroup=A#contsType=list#contsUrl=#tabIndex=0#isActive=true#page=1#brd_seq=1268#cate_seq=#brd_nm=%EC%A3%BC%EA%B0%84%EC%8B%9D%EB%8B%A8#brd_typ_cd=1#isRead=#</t>
  </si>
  <si>
    <t>고정답변처리</t>
  </si>
  <si>
    <t>1285_구내식당_운영가이드.pdf</t>
  </si>
  <si>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</si>
  <si>
    <t>(고정 답변 처리 완료)</t>
  </si>
  <si>
    <t>행정정보 공동이용 권한 신청은 어떻게 하는것인가요?</t>
  </si>
  <si>
    <t>행정정보공동이용 시스템 권한을 신규로 부여받거나 변경·갱신해야 할 때, 담당자가 따라야 하는 신청 절차는 어떻게 구성되어 있나요?</t>
  </si>
  <si>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</si>
  <si>
    <t>ㆍ430_2408_통합민원과_업무매뉴얼_행정안전부_행정정보공동이용.pdf (p.40)
https://busanai.busan.go.kr/download/430_2408_통합민원과_업무매뉴얼_행정안전부_행정정보공동이용.pdf</t>
  </si>
  <si>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</si>
  <si>
    <t>GPKI 재발급 및 인사이동시 이동은 어떻게 하는 것인가요?</t>
  </si>
  <si>
    <t>GPKI 인증서(행정전자서명)를 재발급해야 하거나 인사이동으로 인해 인증서를 다른 PC(컴퓨터)로 옮기는 방법은 무엇인가요?</t>
  </si>
  <si>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</si>
  <si>
    <r>
      <rPr>
        <rFont val="Malgun Gothic"/>
        <color theme="1"/>
        <sz val="11.0"/>
      </rPr>
      <t xml:space="preserve">관련 문서는 정보화정책과에서 제출한
행정전자서명 사용자 매뉴얼Ver1.4 입니다.
재발급과 인사이동 시 인증서 이동에 대한 내용은 없습니다.
해당 내용이 있는 파일은 </t>
    </r>
    <r>
      <rPr>
        <rFont val="맑은 고딕"/>
        <color rgb="FFFF0000"/>
        <sz val="11.0"/>
      </rPr>
      <t>행정전자서명(GPKI) 발급 갱신 이동 안내 파일</t>
    </r>
    <r>
      <rPr>
        <rFont val="맑은 고딕"/>
        <color theme="1"/>
        <sz val="11.0"/>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</si>
  <si>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</si>
  <si>
    <t>행정전자서명 가입 신청 및 재발급 방법, 행정 전자서명신청방법, GPKI 인사이동시 사용방법, GPKI 비밀번호 분실시 조치 방법, 행정 전자서명 비번 분실시 조치방법, pc 교체시 행정 전자서명 이동 방법, 신규 임용시 행정포털, 행정전사서명 발급 등에 관한 사용 가이드 및 매뉴얼</t>
  </si>
  <si>
    <t>SQG009</t>
  </si>
  <si>
    <t>장기재직 휴가 등록 및 사용 방법이 어떻게 되나요?</t>
  </si>
  <si>
    <t>장기재직 휴가를 인사랑시스템 등록하고 사용하는 절차는 어떻게 되나요?</t>
  </si>
  <si>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</si>
  <si>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</si>
  <si>
    <t>관외출장 시 신청 방법과 여비는 어떻게 받나요?</t>
  </si>
  <si>
    <t>관외출장을 진행할 때 인사랑시스템에서의 출장 신청 절차, 여비 신청 방법은 어떻게 되나요?</t>
  </si>
  <si>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</si>
  <si>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</si>
  <si>
    <r>
      <rPr>
        <rFont val="맑은 고딕"/>
        <b/>
        <color rgb="FFFF0000"/>
        <sz val="11.0"/>
      </rPr>
      <t xml:space="preserve">268_2405_인사과_업무매뉴얼_행정안전부_출장관리_매뉴얼.pdf[16]
-----
</t>
    </r>
    <r>
      <rPr>
        <rFont val="맑은 고딕"/>
        <color rgb="FFFF0000"/>
        <sz val="11.0"/>
      </rPr>
      <t xml:space="preserve">[문서가 대부분 그림이라 아래 내용 밖에 찾지 못하고 있으며 유사도 아주 낮음]
</t>
    </r>
    <r>
      <rPr>
        <rFont val="맑은 고딕"/>
        <color rgb="FFFF0000"/>
        <sz val="11.0"/>
      </rPr>
      <t xml:space="preserve">
Ⅲ-2-1) 출장관리 &gt; 관외출장 &gt; 처리(관외)
</t>
    </r>
  </si>
  <si>
    <t>온나라 문서배부가 잘못되엇습니다 어떻게 수정하나요?</t>
  </si>
  <si>
    <t>온나라에서 문서가 잘못 배부된 경우, 담당자 변경·회수·재배부 등 정정 절차를 어떻게 처리해야 하나요?</t>
  </si>
  <si>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</si>
  <si>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</si>
  <si>
    <t>사용자 :
 재배부요청 : 배부 받은 문서를 문서과로 재배부 요청
 관리자 : 
 업무담당자가 재지정 요청한 문서를 확인하고 [담당지정] 버튼을 통해 담당자를 변경하여 재지정 가능</t>
  </si>
  <si>
    <t>343_2405_정보화정책과_업무매뉴얼_행정안전부_온나라20_사용자교육자료배포용.pdf
355_2412_정보화정책과_업무매뉴얼_KLID_온나라_20_부서관리자_교육자료PDF.pdf</t>
  </si>
  <si>
    <t>44
 31</t>
  </si>
  <si>
    <t>4.3 접수할 문서 &gt; 접수대기함 (처리과 문서담당자)
 • [재배부요청]
 배부 받은 문서를 문서과로 재배부 요청
 4.1 접수할 문서 &gt; 재지정함 
  업무담당자가 재지정 요청한 문서를 확인하고 [담당지정] 버튼을 통해 담당자를 변경하여 재지정 가능
 이미지 제외 본문 글과 제목으로만 해당 질의에 대한 답변이 나와야 할 것 같습니다.</t>
  </si>
  <si>
    <t>온나라 문서 배부 오류 수정 방법 안내</t>
  </si>
  <si>
    <r>
      <rPr>
        <rFont val="맑은 고딕"/>
        <b/>
        <color theme="1"/>
        <sz val="11.0"/>
      </rPr>
      <t>343_2405_정보화정책과_업무매뉴얼_행정안전부_온나라20_사용자교육자료배포용.pdf[44]</t>
    </r>
    <r>
      <rPr>
        <rFont val="맑은 고딕"/>
        <color theme="1"/>
        <sz val="11.0"/>
      </rPr>
      <t xml:space="preserve">
-----
</t>
    </r>
    <r>
      <rPr>
        <rFont val="맑은 고딕"/>
        <color rgb="FFFF0000"/>
        <sz val="11.0"/>
      </rPr>
      <t xml:space="preserve">[문서 내용이 대부분 이미지로 만들어져 있으며 문서 배부 오류에 대한 사항을 포함하고 있지 않아 유사도 낮게 확인됨] </t>
    </r>
    <r>
      <rPr>
        <rFont val="맑은 고딕"/>
        <color theme="1"/>
        <sz val="11.0"/>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</si>
  <si>
    <r>
      <rPr>
        <rFont val="맑은 고딕"/>
        <b/>
        <color theme="1"/>
        <sz val="11.0"/>
      </rPr>
      <t>355_2412_정보화정책과_업무매뉴얼_KLID_온나라_20_부서관리자_교육자료PDF.pdf[31]</t>
    </r>
    <r>
      <rPr>
        <rFont val="맑은 고딕"/>
        <color theme="1"/>
        <sz val="11.0"/>
      </rPr>
      <t xml:space="preserve">
-----
</t>
    </r>
    <r>
      <rPr>
        <rFont val="맑은 고딕"/>
        <color rgb="FFFF0000"/>
        <sz val="11.0"/>
      </rPr>
      <t>[문서 내용이 대부분 이미지로 만들어져 있어 내용 인식이 불가능함]</t>
    </r>
    <r>
      <rPr>
        <rFont val="맑은 고딕"/>
        <color theme="1"/>
        <sz val="11.0"/>
      </rPr>
      <t xml:space="preserve">
4.1 접수할 문서 &gt; 재지정함 
 업무담당자가 재지정 요청한 문서를
확인하고 [담당지정] 버튼을 통해
담당자를 변경하여 재지정 가능</t>
    </r>
  </si>
  <si>
    <t>온나라 팀장님 지정 및 부재시 부재설정은 어떻게 하나요?</t>
  </si>
  <si>
    <t>온나라에서 팀장 지정(변경) 절차와, 팀장 부재 시 부재자 설정·기간 지정은 어떻게 처리해야 하나요?</t>
  </si>
  <si>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</si>
  <si>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</si>
  <si>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</si>
  <si>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355_2412_정보화정책과_업무매뉴얼_KLID_온나라_20_부서관리자_교육자료PDF.pdf
353_2412_정보화정책과_업무매뉴얼_KLID_온나라_20_달라지는_점PDF.pdf</t>
  </si>
  <si>
    <t>11
 26</t>
  </si>
  <si>
    <t>이미지 제외하고 해당 글로만 관련 내용 검색되게끔 프롬프트 수정이 필요 할 것 같습니다.
 검토자료 2번의 경우는 이상없는것으로 보입니다.</t>
  </si>
  <si>
    <t>온나라 시스템 팀장 또는 특정 인원 지정 후 부재 설정하는 방법
----
온나라 시스템 팀장 또는 특정 인원 지정 후 부재 설정하는 방법</t>
  </si>
  <si>
    <r>
      <rPr>
        <rFont val="맑은 고딕"/>
        <b/>
        <color theme="1"/>
        <sz val="11.0"/>
      </rPr>
      <t>355_2412_정보화정책과_업무매뉴얼_KLID_온나라_20_부서관리자_교육자료PDF.pdf[11]</t>
    </r>
    <r>
      <rPr>
        <rFont val="맑은 고딕"/>
        <color theme="1"/>
        <sz val="11.0"/>
      </rPr>
      <t xml:space="preserve">
-----
</t>
    </r>
    <r>
      <rPr>
        <rFont val="맑은 고딕"/>
        <color rgb="FFFF0000"/>
        <sz val="11.0"/>
      </rPr>
      <t>[문서 내용이 대부분 이미지로 만들어져 있어 내용 인식이 잘 되지 않으며 유사도 떨어짐]</t>
    </r>
    <r>
      <rPr>
        <rFont val="맑은 고딕"/>
        <color theme="1"/>
        <sz val="11.0"/>
      </rPr>
      <t xml:space="preserve">
1.8 부서관리자 &gt; 사용자 수정 &gt; 권한정보 
부서 내 부서원들의 권한정보 확인 및 권한부여 
</t>
    </r>
    <r>
      <rPr>
        <rFont val="Segoe UI Symbol"/>
        <color theme="1"/>
        <sz val="11.0"/>
      </rPr>
      <t>➢</t>
    </r>
    <r>
      <rPr>
        <rFont val="맑은 고딕"/>
        <color theme="1"/>
        <sz val="11.0"/>
      </rPr>
      <t xml:space="preserve"> 부서관리자 목록에 나타난 부서원들의
권한 부여
① [지정할 부서원 선택]
지정 대상자를 선택 합니다.
② [권한정보]
부서의 일반사용자에게 권한 부여 가능
</t>
    </r>
  </si>
  <si>
    <r>
      <rPr>
        <rFont val="맑은 고딕"/>
        <b/>
        <color theme="1"/>
        <sz val="11.0"/>
      </rPr>
      <t>353_2412_정보화정책과_업무매뉴얼_KLID_온나라_20_달라지는_점PDF.pdf[26]</t>
    </r>
    <r>
      <rPr>
        <rFont val="맑은 고딕"/>
        <color theme="1"/>
        <sz val="11.0"/>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rFont val="맑은 고딕"/>
        <color rgb="FFFF0000"/>
        <sz val="11.0"/>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rFont val="맑은 고딕"/>
        <color theme="1"/>
        <sz val="11.0"/>
      </rPr>
      <t>(6) 질문: 결재대기함에서 문서처리 시 결재 비밀번호를 물어보는데 어디서 설정할 수 있습니까?
답변: [개인 환경설정 &gt; 결재 비밀번호] 메뉴에서 결재 비밀번호를 설정 할 수 있습니다</t>
    </r>
  </si>
  <si>
    <t>업무추진비 사용할 수 있는 항목이 구체적으로 어떻게 되나요?</t>
  </si>
  <si>
    <t>업무추진비 집행 시 사용할 수 있는 세부 항목은 무엇이며, 항목별 허용·제한 기준은 어떻게 구분되나요?</t>
  </si>
  <si>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</si>
  <si>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</si>
  <si>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</si>
  <si>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시 사용가능한 세부 항목 안내, 업무추진비 항목별 허용 및 제한 기준</t>
  </si>
  <si>
    <t>DRM 비밀번호 초기화는 어떻게 하나요?</t>
  </si>
  <si>
    <t>DRM(자료유출방지시스템) 비밀번호를 분실했을 때, 초기화 또는 재설정은 어떤 절차로 진행하나요?</t>
  </si>
  <si>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</si>
  <si>
    <t>행정포털 비밀번호 3회 이상 오류로 초기화 해야 하는데 어떻게 하나요?</t>
  </si>
  <si>
    <t>행정포털 로그인 비밀번호가 3회 이상 오류로 잠긴 경우, 초기화하거나 부서 담당자를 통해 재설정하기 위해 어떤 절차를 따라야 하나요?</t>
  </si>
  <si>
    <t>행정포털 비밀번호를 3회 이상 오류로 입력하여 초기화해야 하는 경우, 초기화 절차는 온나라 지식 접속 오류 조치 방법을 따릅니다.</t>
  </si>
  <si>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</si>
  <si>
    <t>건강검진비 및 휴양시설 지원 신청은 어디서 하나요?</t>
  </si>
  <si>
    <t>건강검진비 지원이나 휴양시설 이용 지원을 받기 위한 신청 방법은 무엇인가요?</t>
  </si>
  <si>
    <t>부산광역시에서 건강검진비 및 휴양시설 지원 신청은 지방보조금관리시스템 보탬e를 통해 신청할 수 있습니다.</t>
  </si>
  <si>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</si>
  <si>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</si>
  <si>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</si>
  <si>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 xml:space="preserve">289_2501_인사과_기타_인사과_2025년도_건강검진_대상자_및_검진실시_안내.pdf
1284_2512_부산시_업무관련_FAQ문서.pdf
</t>
  </si>
  <si>
    <t>1
10</t>
  </si>
  <si>
    <r>
      <rPr>
        <rFont val="&quot;맑은 고딕&quot;"/>
        <color rgb="FF000000"/>
        <sz val="11.0"/>
      </rPr>
      <t xml:space="preserve">검진비 지원신청: 본인부담 일반검진 및 종합검진비 &gt; 행정포털 / 개인서비스 / “직원복지지원”시스템
1~5P 이미지 제외 글자로만 생성
</t>
    </r>
    <r>
      <rPr>
        <rFont val="&quot;맑은 고딕&quot;"/>
        <color rgb="FFFF0000"/>
        <sz val="11.0"/>
      </rPr>
      <t xml:space="preserve">&gt;&gt;&gt; 두 번째 문서는 별도로 정리해서 새로운 문서를 만드는게 좋을것 같습니다. 
</t>
    </r>
    <r>
      <rPr>
        <rFont val="&quot;맑은 고딕&quot;"/>
        <color rgb="FF000000"/>
        <sz val="11.0"/>
      </rPr>
      <t xml:space="preserve">
</t>
    </r>
    <r>
      <rPr>
        <rFont val="&quot;맑은 고딕&quot;"/>
        <color rgb="FF00FF00"/>
        <sz val="11.0"/>
      </rPr>
      <t>&gt;&gt; 간단한 질문 FAQ 등에 정리 요청</t>
    </r>
  </si>
  <si>
    <t>단체보장보험의 세부 보장 내용과 보험금 청구 방법 안내</t>
  </si>
  <si>
    <r>
      <rPr>
        <rFont val="맑은 고딕"/>
        <b/>
        <color theme="1"/>
        <sz val="11.0"/>
      </rPr>
      <t xml:space="preserve">289_2501_인사과_기타_인사과_2025년도_건강검진_대상자_및_검진실시_안내.pdf[1] </t>
    </r>
    <r>
      <rPr>
        <rFont val="맑은 고딕"/>
        <color theme="1"/>
        <sz val="11.0"/>
      </rPr>
      <t xml:space="preserve">
-----</t>
    </r>
    <r>
      <rPr>
        <rFont val="맑은 고딕"/>
        <color theme="1"/>
        <sz val="11.0"/>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rFont val="맑은 고딕"/>
        <color rgb="FFFF0000"/>
        <sz val="11.0"/>
      </rPr>
      <t xml:space="preserve">【검진비용】 ○ 일반검진: 건강보험공단 전액부담 ○ 암 검 진: 공단 90%, 본인 10% (단, 자궁경부암, 대장암 검진은 공단 전액부담) ○ 종합검진: 본인부담(일반검진 외 개별종합검진) </t>
    </r>
    <r>
      <rPr>
        <rFont val="Segoe UI Symbol"/>
        <color rgb="FFFF0000"/>
        <sz val="11.0"/>
      </rPr>
      <t>✶</t>
    </r>
    <r>
      <rPr>
        <rFont val="맑은 고딕"/>
        <color rgb="FFFF0000"/>
        <sz val="11.0"/>
      </rPr>
      <t xml:space="preserve"> 검진비 지원신청: 본인부담 일반검진 및 종합검진비 </t>
    </r>
    <r>
      <rPr>
        <rFont val="Cambria Math"/>
        <color rgb="FFFF0000"/>
        <sz val="11.0"/>
      </rPr>
      <t>↳</t>
    </r>
    <r>
      <rPr>
        <rFont val="맑은 고딕"/>
        <color rgb="FFFF0000"/>
        <sz val="11.0"/>
      </rPr>
      <t xml:space="preserve"> 행정포털 / 개인서비스 / “직원복지지원”시스템 ※ 공가사용: 2025년 건강검진대상자(암검진 포함) 2차 검진(재검진) 및 25년 검진대상이 아닌 경우 연가 사용</t>
    </r>
    <r>
      <rPr>
        <rFont val="맑은 고딕"/>
        <color theme="1"/>
        <sz val="11.0"/>
      </rPr>
      <t xml:space="preserve"> ☞ [붙임 2] 공가 허가시 주의사항 참고 붙임: 1. 2025년도 건강검진 대상자 명단 1부. 2. 건강검진을 위한 공가 허가시 주의사항 1부. 3. 2025년 직원 종합건강검진 협약병원 현황 1부. 끝.</t>
    </r>
  </si>
  <si>
    <r>
      <rPr>
        <rFont val="맑은 고딕"/>
        <b/>
        <color theme="1"/>
        <sz val="11.0"/>
      </rPr>
      <t>301_2502_인사과_업무매뉴얼_인사과_직원복지지원시스템_신청방법휴양시설_이용_지원.pdf[1~5]</t>
    </r>
    <r>
      <rPr>
        <rFont val="맑은 고딕"/>
        <color theme="1"/>
        <sz val="11.0"/>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</si>
  <si>
    <t>차세대 지방재정 권한은 어떻게 받을수 있나요?</t>
  </si>
  <si>
    <t>차세대지방재정시스템(e호조, 이호조)에서 업무를 수행하기 위해 필요한 권한을 부여받기 위한 신청 절차는 무엇인가요?</t>
  </si>
  <si>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</si>
  <si>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</si>
  <si>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행정포털 신규 등록 방법 및 절차는 어떻게 되나요?</t>
  </si>
  <si>
    <t>행정포털 신규 사용자를 등록할 때, 필요한 신청 절차와 담당 부서, 구체적인 단계는 어떻게 되나요?</t>
  </si>
  <si>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</si>
  <si>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</si>
  <si>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</si>
  <si>
    <t>온나라시스템 부재 설정 방법은 어떻게 되나요?</t>
  </si>
  <si>
    <t>온나라시스템에서 부재자 설정을 하고자 할 때, 설정 방법, 기간 지정, 권한 위임 등 구체적인 절차는 어떻게 되나요?</t>
  </si>
  <si>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</si>
  <si>
    <t>지방재정관리시스템 권한 요청 방법은 어떻게 되나요?</t>
  </si>
  <si>
    <t>지방재정관리시스템(이호조, e호조) 사용 권한을 요청하고 승인받기 위해 따라야 하는 절차는 무엇인가요?</t>
  </si>
  <si>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</si>
  <si>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</si>
  <si>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일상경비 지출 절차는 어떻게 되나요?</t>
  </si>
  <si>
    <t>일상경비를 집행할 때, 지출 신청부터 승인, 집행, 정산까지의 구체적인 절차는 무엇인가요?</t>
  </si>
  <si>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</si>
  <si>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</si>
  <si>
    <r>
      <rPr>
        <rFont val="Malgun Gothic"/>
        <color theme="1"/>
        <sz val="11.0"/>
      </rP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rFont val="Segoe UI Symbol"/>
        <color theme="1"/>
        <sz val="11.0"/>
      </rPr>
      <t>❗❗</t>
    </r>
    <r>
      <rPr>
        <rFont val="맑은 고딕"/>
        <color theme="1"/>
        <sz val="11.0"/>
      </rPr>
      <t>주의</t>
    </r>
    <r>
      <rPr>
        <rFont val="Segoe UI Symbol"/>
        <color theme="1"/>
        <sz val="11.0"/>
      </rPr>
      <t>❗❗</t>
    </r>
    <r>
      <rPr>
        <rFont val="맑은 고딕"/>
        <color theme="1"/>
        <sz val="11.0"/>
      </rPr>
      <t xml:space="preserve">
▶ 품의승인내역 등록에서 카드연계 시
- 거래처명: 본인직급+성명 (예시)전산7급 홍길동
- 예금주명: 부산광역시 정보화정책과(부산광역시청</t>
    </r>
    <r>
      <rPr>
        <rFont val="Segoe UI Symbol"/>
        <color theme="1"/>
        <sz val="11.0"/>
      </rPr>
      <t>❌</t>
    </r>
    <r>
      <rPr>
        <rFont val="맑은 고딕"/>
        <color theme="1"/>
        <sz val="11.0"/>
      </rPr>
      <t>)
step4. 반드시 [계좌검증] 돌리시고 원인행위 결재요청
품의승인내역시 계좌검증 안하고 결재올라가면
과장님 결재로 반려해야하니 주의</t>
    </r>
  </si>
  <si>
    <t>[일상경비(법인카드사용시) 처리 방법]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반려해야하니 주의</t>
  </si>
  <si>
    <t>1245_일상경비_사용방법-txt.pdf</t>
  </si>
  <si>
    <t>[★[ 필독]일상경비(법인카드사용시) 담당자처리 방법 알림★]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</si>
  <si>
    <t>일상경비 지출 절차 안내</t>
  </si>
  <si>
    <t>일상경비 반납 절차는 어떻게 되나요?</t>
  </si>
  <si>
    <t>일상경비 집행 후 발생한 잔액을 반납해야 할 때, e호조시스템(지방재정시스템) 입력부터 은행 송금 처리까지 어떤 절차와 증빙을 갖추어야 하나요?</t>
  </si>
  <si>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</si>
  <si>
    <t>ㆍ1122_압축최종부산시사회서비스원_규정집250226.pdf (p.133)
https://busanai.busan.go.kr/download/1122_압축최종부산시사회서비스원_규정집250226.pdf</t>
  </si>
  <si>
    <t>행정전자서명 가입 절차는 어떻게 되나요?</t>
  </si>
  <si>
    <t>행정전자서명을 신규로 가입하거나 갱신할 때, 신청 방법, 필요 서류, 승인 절차 등 전체 과정은 어떻게 되나요?</t>
  </si>
  <si>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</si>
  <si>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</si>
  <si>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</si>
  <si>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온나라시스템 과제카드 설정은 어떻게 되나요?</t>
  </si>
  <si>
    <t>온나라 시스템에서 문서 작성 시 과제카드를 설정하거나 변경하려면 어떻게 해야 하나요?</t>
  </si>
  <si>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</si>
  <si>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</si>
  <si>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</si>
  <si>
    <t>참조내용과 질문을 활용해 지피티로 생성한 답변을 기대답변으로 첨부합니다.
 기대답변 :
 1. 부서과제 과제카드 생성
  - 카드 등록 권한: 부서 단위과제 카드 관리자 또는 부서 관리과제 카드 관리자 권한이 있는 사용자만 가능
  - 카드 구성:
  &gt; 필수 항목: 표제부, 실적관리, 접수관리, 이력관리
  &gt; 선택 항목: 계획관리, 홍보관리, 고객관리(과제 특성에 따라 선택)
  - 과제 담당자 지정: 실제 과제를 수행할 담당자를 지정하며, 과제 담당자만 해당 과제의 전자문서, 과제일정, 메모보고 작성 가능
  - 내부 관계자 지정: 과제 관련 타 부서 관계자를 지정
 2. 과제카드 관리
  - 수정 권한: 부서 단위과제 카드 관리자 또는 부서 관리과제 카드 관리자
  - 과제카드 수정 및 담당자 변경:
  &gt; 수정할 과제카드 선택
  &gt; ‘변경’ 버튼 선택 후 과제 담당자 목록 수정 가능
 3. 과제카드 담당자 관리
  - 일괄 지정 기능:
  &gt; ‘담당자 관리’ 버튼 선택
  &gt; 원하는 과제카드 목록과 부서원 목록 선택
  &gt; 저장하여 일괄 지정 완료</t>
  </si>
  <si>
    <t>355_2412_정보화정책과_업무매뉴얼_KLID_온나라_20_부서관리자_교육자료PDF.pdf</t>
  </si>
  <si>
    <t>15, 16, 17</t>
  </si>
  <si>
    <t>이미지 제외하고 아래 내용으로만 답변 생성 바랍니다.
 2.2 부서과제 과제카드 생성
 - 과제카드 관리자는 부서 과제카드 등록
  Ø카드등록 : 부서 단위과제 카드 관리자 , 부서 관리과제 카드 관리자 권한이 있는 사용자에게 노출 됨
  • 카드구성
  표제부, 실적관리 접수관리 이력관리는 기본적으로 사용하고 특성에 따라 계획관리, 홍보관리, 고객관리를 선택
  • 과제 담당자
  실제 과제를 수행할 담당자를 지정
  * ‘과제담당자 만이 해당과제의 전자문서,과제일정, 메모보고 등의 작성이 가능함
  • 내부 관계자
  과제와 관련이 있는 타 부서 관계자를 지정
 2.3 과제카드 관리
 - 과제카드 수정 및 과제담당자 변경
  Ø 부서 단위과제 카드 관리자 , 부서관리과제 카드 관리자 권한이 있는 사용자는 부서과제카드를 선택하여 과제카드 수정 가능
  ① 변경 버튼을 선택하여 과제 담당자 목록 수정 가능
 2.4 과제카드 담당자 관리
 - 과제카드 담당자 일괄 지정
  Ø 과제카드 담당자 일괄 지정 기능
  ① 담당자 관리 버튼을 선택하여 원하는 카드 목록과 부서원목록을 선택 후 저장</t>
  </si>
  <si>
    <t>온나라시스템 과제카드 설정 방법 안내</t>
  </si>
  <si>
    <r>
      <rPr>
        <rFont val="Malgun Gothic"/>
        <color rgb="FF000000"/>
        <sz val="11.0"/>
      </rPr>
      <t xml:space="preserve">355_2412_정보화정책과_업무매뉴얼_KLID_온나라_20_부서관리자_교육자료PDF.pdf 
------
</t>
    </r>
    <r>
      <rPr>
        <rFont val="맑은 고딕"/>
        <color rgb="FFFF0000"/>
        <sz val="11.0"/>
      </rPr>
      <t xml:space="preserve">[문서 내용이 대부분 이미지로 만들어져 있어 내용 인식이 잘 되지 않으며 유사도 떨어짐]
</t>
    </r>
    <r>
      <rPr>
        <rFont val="맑은 고딕"/>
        <color rgb="FF000000"/>
        <sz val="11.0"/>
      </rPr>
      <t xml:space="preserve">
[p.14]
</t>
    </r>
    <r>
      <rPr>
        <rFont val="Segoe UI Symbol"/>
        <color rgb="FF000000"/>
        <sz val="11.0"/>
      </rPr>
      <t>➢</t>
    </r>
    <r>
      <rPr>
        <rFont val="맑은 고딕"/>
        <color rgb="FF000000"/>
        <sz val="11.0"/>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</si>
  <si>
    <t>지방재정관리시스템 대직 권한 설정 방법은?</t>
  </si>
  <si>
    <t>지방재정관리시스템에서 결재권자 부재 시 대직자 권한을 설정하려면, 필요한 절차와 권한, 설정 방법은 어떻게 되나요?</t>
  </si>
  <si>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</si>
  <si>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</si>
  <si>
    <t>지방재정관리시스템 결재선 입력 방법은?</t>
  </si>
  <si>
    <t>지방재정관리시스템에서 결재를 진행할 때, 결재선을 입력하거나 수정하려면 절차와 권한, 구체적인 입력 방법은 무엇인가요?</t>
  </si>
  <si>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</si>
  <si>
    <t>DRM 또는 PC Client 사용을 위해 필요한 아이디와 비밀번호를 분실했을 때, 복구 또는 재발급을 받는 절차와 담당 부서는 어떻게 되나요?</t>
  </si>
  <si>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</si>
  <si>
    <t>온나라 문서 과제카드를 잘못 지정하였습니다. 어떻게 수정하나요?</t>
  </si>
  <si>
    <t>온나라 시스템에서 문서 작성 시 과제카드를 잘못 지정한 경우, 이를 수정하거나 재지정하는 절차는 어떻게 되나요?</t>
  </si>
  <si>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</si>
  <si>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</si>
  <si>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</si>
  <si>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</si>
  <si>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차세대지방재정 업무그룹에 각각 어떤 권한이 부여되어 있나요?</t>
  </si>
  <si>
    <t>차세대지방재정시스템에서 각 업무그룹별로 부여된 권한 확인 및 변경 절차는 어떻게 되나요?</t>
  </si>
  <si>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</si>
  <si>
    <t>장기재직휴가 기준과 사용 방법을 알려주세요. 장기재직휴가 사용 요건이 되면 인사랑에 자동 반영되나요?</t>
  </si>
  <si>
    <t>장기재직휴가 부여 기준과 근속년수별 휴가 일수, 신청 및 사용 방법은 무엇이며, 사용 요건 충족 시 인사관리시스템(인사랑)에 자동으로 반영되나요?</t>
  </si>
  <si>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</si>
  <si>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</si>
  <si>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</si>
  <si>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직원복지지원시스템 사용 방법을 알려주세요. 행정포털 아이디가 없을 경우엔 어떻게 하나요?</t>
  </si>
  <si>
    <t>행정포털 계정이 없을 경우 직원복지지원시스템 사용 방법은 어떻게 되나요?</t>
  </si>
  <si>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</si>
  <si>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</si>
  <si>
    <r>
      <rPr>
        <rFont val="&quot;맑은 고딕&quot;"/>
        <color rgb="FF000000"/>
        <sz val="11.0"/>
      </rPr>
      <t xml:space="preserve">이미지 제외 본문 텍스트 활용으로
왼쪽 기대답변대로 생성되면 됩니다. 
-------
</t>
    </r>
    <r>
      <rPr>
        <rFont val="&quot;맑은 고딕&quot;"/>
        <color rgb="FF0000FF"/>
        <sz val="11.0"/>
      </rPr>
      <t>[Top5내로 검색될 수 있도록 페이지 정리 논의 필요]</t>
    </r>
    <r>
      <rPr>
        <rFont val="&quot;맑은 고딕&quot;"/>
        <color rgb="FF000000"/>
        <sz val="11.0"/>
      </rPr>
      <t xml:space="preserve">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</si>
  <si>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</si>
  <si>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</si>
  <si>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집행을 위해서 확인해야할 규정을 정리해주세요. 직원당 쓸 수 있는 단가도 상세히 알려주세요
(예시: 정원가산업무추진비 격려금 지급 상한금액 등)</t>
  </si>
  <si>
    <t>업무추진비 집행을 위해 확인해야 할 관련 규정과 지침은 무엇이며, 직원별로 사용할 수 있는 단가, 격려금 상한액 등 세부 기준은 어떻게 되나요?</t>
  </si>
  <si>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</si>
  <si>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</si>
  <si>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</si>
  <si>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1223_별표_1_지방자치단체의_장_등_업무추진비_집행대상_직무활동_범위제3조제1항_관련지방자치단체_업무추진비_집행에_관한_규칙.pdf</t>
  </si>
  <si>
    <t>1, 2, 3, 4</t>
  </si>
  <si>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</si>
  <si>
    <t>업무추진비 집행 규정, 직원별 업무 추진비 사용 한도, 업무추진비 지급 상한 금액, 직원 별 사용 가능 단가</t>
  </si>
  <si>
    <t>(ex.시청, 사업소 등)하루평균 민원인 방문자는 몇명인가요?</t>
  </si>
  <si>
    <t>시청 및 산하 사업소별로 일평균 민원 방문자 수를 정확히 파악하기 위해, 어떤 자료나 시스템을 조회해야 하나요?</t>
  </si>
  <si>
    <t xml:space="preserve">제공된 문서에는 부산광역시 시청, 사업소 등 각 기관의 하루 평균 민원인 방문자 수에 대한 정보가 없습니다. 따라서, 해당 정보를 제공할 수 없습니다. </t>
  </si>
  <si>
    <t>공무원 교육이수 가능한 방법에는 무엇이 있나요?(교육 가능한 사이트 목록, 
공무원 의무교육 과목이 몇 가지인지, 특정 자격증 취득 시 교육 이수 시간이 몇 시간이 되는지 등)</t>
  </si>
  <si>
    <t>공무원이 교육을 이수할 수 있는 방법과 경로는 무엇이며, 이를 위해 이용할 수 있는 교육 사이트 목록, 의무교육 과목 수, 특정 자격증 취득 시 인정되는 교육 시간 등 구체적인 기준은 어떻게 되나요?</t>
  </si>
  <si>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</si>
  <si>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</si>
  <si>
    <t>시청으로 인사발령 받고 나서 숙지해야할 직원 공통사항을 알려주세요.</t>
  </si>
  <si>
    <t>시청으로 인사발령을 받은 직원이 반드시 숙지해야 하는 공통 업무, 복무, 권한, 시스템 접근, 교육, 보안 사항 등 필수 확인 항목은 무엇인가요?</t>
  </si>
  <si>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</si>
  <si>
    <t>관련 근거 문서가 없습니다.
기대답변 : 
OO에 대한 관련 문서가 없습니다.
자세한 사항은 관련 부서나 업무 담당자에게 문의하시기 바랍니다.</t>
  </si>
  <si>
    <t>온나라 시스템에서 직원 부재 시 부재자 설정을 등록·변경하는 방법에 대해 알려주세요</t>
  </si>
  <si>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</si>
  <si>
    <t>비상출퇴근 사용하여 시간외 근무시 인사랑 반영 방법을 알려주세요</t>
  </si>
  <si>
    <t>비상출퇴근으로 근무한 시간 외 근무 실적을 인사랑에 반영하려면, 어떤 메뉴에서 어떤 방식으로 입력해야 하나요?</t>
  </si>
  <si>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</si>
  <si>
    <t>조례제정시 의회제출 전 법무담당관 협의 등 거쳐야 하는 내부 절차 및 기한에 대해 알려주세요</t>
  </si>
  <si>
    <t>조례를 제정하거나 개정할 때, 의회 제출 전에 법무담당관 협의, 관련 부서 검토 등 내부 승인 절차와 각 단계별 기한은 어떻게 되나요?</t>
  </si>
  <si>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</si>
  <si>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</si>
  <si>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</si>
  <si>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조례 입법 절차, 조례 제정 절차, 조례 개정 절차, 조례 제정 개정 행정 절차 가이드라인, 조례 제정 기한, 조례 제정 관련 의회 제출 전 법무담당관 협의 내용</t>
  </si>
  <si>
    <t>휴일 출장시 대체휴무 사용이 가능한가요?</t>
  </si>
  <si>
    <t>휴일에 출장을 나갈 경우, 대체휴무를 사용할 수 있는지 여부와 신청·사용 절차는 어떻게 되나요?</t>
  </si>
  <si>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</si>
  <si>
    <t>ㆍ84163_2025년_반여농산물도매시장관리사업소_종합감사_결과보고공개용.pdf (p.73)
https://busanai.busan.go.kr/download/84163_2025년_반여농산물도매시장관리사업소_종합감사_결과보고공개용.pdf</t>
  </si>
  <si>
    <r>
      <rPr>
        <rFont val="Malgun Gothic"/>
        <color theme="1"/>
        <sz val="11.0"/>
      </rP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</si>
  <si>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 「지방공무원 복무규정」제4조</t>
  </si>
  <si>
    <t>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</si>
  <si>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t>휴일 출장 시 초과근무수당 지급, 휴일 출장 시 대체휴무 사용 가능 여부 확인, 주말 관외 출장 시 초과근무수당 지급, 주말 관외 출장 시 대체휴무 사용 가능 여부 확인</t>
  </si>
  <si>
    <t>SQG017</t>
  </si>
  <si>
    <t>사후초과 익일결재를 못받은 경우 구제방법이 있나요?</t>
  </si>
  <si>
    <t>사전초과 결재를 등록했으나 익일에 결재를 받지 못한 경우, 사후초과 결재를 처리하거나 구제할 수 있는 방법과 절차는 무엇인가요?</t>
  </si>
  <si>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</si>
  <si>
    <t>ㆍ214_2501_예산담당관_업무매뉴얼_행정안전부_지방공무원보수업무_등_처리지침.pdf (p.349)
https://busanai.busan.go.kr/download/214_2501_예산담당관_업무매뉴얼_행정안전부_지방공무원보수업무_등_처리지침.pdf</t>
  </si>
  <si>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</si>
  <si>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</si>
  <si>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349</t>
  </si>
  <si>
    <t>[P.349]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
 [p.351]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</si>
  <si>
    <t>사후 초과근무에 대한 익일 미결재시 구제 방법</t>
  </si>
  <si>
    <t xml:space="preserve">공무직 명절 근무시 급식비 지급 기준은? </t>
  </si>
  <si>
    <t>공무직이 명절에 근무할 경우, 급식비 지급 여부와 지급 기준, 적용되는 근거 규정, 근무 형태(정상근무·휴일근무)에 따른 차이, 그리고 실제 지급 절차를 알려주세요.</t>
  </si>
  <si>
    <t>부산광역시 공무직원의 명절휴가비 지급 기준은 해당 명절 당일 재직 시, 1호봉 기준 기본급의 43%입니다.</t>
  </si>
  <si>
    <t xml:space="preserve">ㆍ76600_붙임1공고문-hwp.pdf (p.2)
https://busanai.busan.go.kr/download/76600_붙임1공고문-hwp.pdf </t>
  </si>
  <si>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</si>
  <si>
    <t>무료주차 당일 신청 가능한가요?</t>
  </si>
  <si>
    <t>시청 무료주차를 이용할 때, 당일 신청이 가능한지 여부, 신청 가능한 시간대, 신청 절차, 관련 시스템 또는 담당 부서 등에 대해 알려주세요</t>
  </si>
  <si>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</si>
  <si>
    <t xml:space="preserve">ㆍ56387_2025_설맞이_B-뷰티_데이_참가기업_모집_공고문-hwp.pdf (p.1)
https://busanai.busan.go.kr/download/56387_2025_설맞이_B-뷰티_데이_참가기업_모집_공고문-hwp.pdf </t>
  </si>
  <si>
    <t>근거자료, 내용 오류입니다.
관련 근거 문서가 없습니다.
기대답변 : 
OO에 대한 관련 문서가 없습니다.
자세한 사항은 관련 부서나 업무 담당자에게 문의하시기 바랍니다.</t>
  </si>
  <si>
    <t>회의실 신청 어떻게 하나요?</t>
  </si>
  <si>
    <t>시청 내 회의실을 사용하기 위한 방법을 단계별로 상세히 설명해주세요.</t>
  </si>
  <si>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</si>
  <si>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</si>
  <si>
    <t>기대답변:
 회의장 예약 방법은 행정포털 개인서비스 내 회의장 클릭 후 원하는 날짜를 예약하시면 됩니다.</t>
  </si>
  <si>
    <r>
      <rPr>
        <rFont val="Malgun Gothic"/>
        <color rgb="FF000000"/>
        <sz val="11.0"/>
      </rPr>
      <t xml:space="preserve">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
</t>
    </r>
    <r>
      <rPr>
        <rFont val="Malgun Gothic"/>
        <color rgb="FFFF0000"/>
        <sz val="11.0"/>
      </rPr>
      <t>&gt;&gt; 0.7로 2순위(추가 조치 필요)</t>
    </r>
  </si>
  <si>
    <t>국외출장시 며칠 전까지 허가신청 공문 보내야 하나요?</t>
  </si>
  <si>
    <t>국외출장을 가기 위해서는 며칠 전까지 허가신청 공문을 제출해야 하며, 제출 방법과 관련 절차는 어떻게 되나요?</t>
  </si>
  <si>
    <t>국외 출장 시 허가 신청 공문은 출국 예정일 20일 전까지 제출해야 합니다.</t>
  </si>
  <si>
    <t>ㆍ1125_압축2025년_부산문화재단_규정집2025227.pdf (p.428)
https://busanai.busan.go.kr/download/1125_압축2025년_부산문화재단_규정집2025227.pdf</t>
  </si>
  <si>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</si>
  <si>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</si>
  <si>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483_페이지49_문서3_162906_부산광역시_공무국외출장_조례.pdf</t>
  </si>
  <si>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</si>
  <si>
    <t>공무 국외 출장 시 필요한 절차에 대한 설명</t>
  </si>
  <si>
    <t>보존기간 만료 기록물 자체 폐기 가능한가요?</t>
  </si>
  <si>
    <t>보존기간이 만료된 기록물을 부서에서 자체적으로 폐기할 수 있는지, 가능하다면 절차와 관련 규정은 무엇인가요?</t>
  </si>
  <si>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</si>
  <si>
    <t>ㆍ432_2412_통합민원과_업무메뉴얼_국가기록원_25년_기록물관리_지침.pdf (p.264, 267)
https://busanai.busan.go.kr/download/432_2412_통합민원과_업무메뉴얼_국가기록원_25년_기록물관리_지침.pdf</t>
  </si>
  <si>
    <t>432_2412_통합민원과_업무메뉴얼_국가기록원_25년_기록물관리_지침.pdf</t>
  </si>
  <si>
    <t>264</t>
  </si>
  <si>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</si>
  <si>
    <t>보존기간 만료에 따른 기록물 자체 폐기에 대한 안내</t>
  </si>
  <si>
    <t>보직자 전원 부재시 사전초과 결재 어떻게 올려야 하나요?</t>
  </si>
  <si>
    <t>보직자 전원이 부재 중일 때 인사랑 시스템에 사전초과근무 신청을 하기위해 대체 결재자 지정 방법, 시스템 입력 절차, 처리 시 유의사항을 설명해주세요.</t>
  </si>
  <si>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</si>
  <si>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</si>
  <si>
    <t>윈도우 로그인 패스워드 오류시 어떻게 처리하나요?</t>
  </si>
  <si>
    <t>윈도우 로그인 시 패스워드 오류가 발생하면, 초기화나 재설정 등 문제를 해결하는 방법은 무엇인가요?</t>
  </si>
  <si>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</si>
  <si>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</si>
  <si>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</si>
  <si>
    <t>프린터기 ip주소는 어디서 확인하나요?</t>
  </si>
  <si>
    <t>사무실 프린터의 IP 주소를 확인하려면 어떤 방법으로 확인할 수 있나요?</t>
  </si>
  <si>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</si>
  <si>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</si>
  <si>
    <t>긴급출퇴근제를 사용하기 위한 사전절차는 무엇인가요?</t>
  </si>
  <si>
    <t>긴급출퇴근제를 사용하기 위한 사전절차(링크 즐겨찾기 추가 등)와 방법에 대해 알려주세요</t>
  </si>
  <si>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</si>
  <si>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</si>
  <si>
    <t>웍스 메신저 '출' 버튼 또는 아래 링크로 방문해 긴급출퇴근 처리가 가능합니다.
 긴급출퇴근 URL 주소 : http://99.1.2.126:48080/intro.html</t>
  </si>
  <si>
    <r>
      <rPr>
        <rFont val="&quot;맑은 고딕&quot;"/>
        <color rgb="FF000000"/>
        <sz val="11.0"/>
      </rPr>
      <t xml:space="preserve">8. 긴급출퇴근 링크(행정포털 오류, 인사랑 출퇴근)
 http://99.1.2.126:48080/intro.html 
------
</t>
    </r>
    <r>
      <rPr>
        <rFont val="&quot;맑은 고딕&quot;"/>
        <color rgb="FF0000FF"/>
        <sz val="11.0"/>
      </rPr>
      <t xml:space="preserve">긴급 출퇴근 관련 별도 문서를 만들었음. 
이를 참조하지 않고 간단 질문 대응으로 처리할지 논의 필요 
</t>
    </r>
    <r>
      <rPr>
        <rFont val="&quot;맑은 고딕&quot;"/>
        <color rgb="FF00FF00"/>
        <sz val="11.0"/>
      </rPr>
      <t>&gt;&gt; 별도 문서 참조로 처리 바랍니다.</t>
    </r>
  </si>
  <si>
    <t>행정포털 비밀번호 오류시 어떻게 하면 되나요?</t>
  </si>
  <si>
    <t>행정포털 로그인 비밀번호가 여러 번 틀려서 오류가 난 경우, 초기화 또는 재설정을 어떻게 진행해야 하나요?</t>
  </si>
  <si>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</si>
  <si>
    <t>일반지출 지출집행현황은 어디서 확인하나요?</t>
  </si>
  <si>
    <t>e호조(지방재정시스템)에서 일반지출의 지출 집행 현황을 확인하기위한 방법을 단계별로 상세히 설명해주세요.</t>
  </si>
  <si>
    <t>일반지출 지출집행현황을 확인할 수 있는 위치는 부산광역시 안전관리계획 상반기 추진실적 세부 점검표(상반기)입니다.</t>
  </si>
  <si>
    <t xml:space="preserve">ㆍ2504_2024년_안전관리계획_상반기_추진실적_세부_점검표부산시-xlsx.pdf (p.1)
https://busanai.busan.go.kr/download/2504_2024년_안전관리계획_상반기_추진실적_세부_점검표부산시-xlsx.pdf </t>
  </si>
  <si>
    <t>보안usb 매체점검은 어디서 하나요?</t>
  </si>
  <si>
    <t>보안 USB(매체제어시스템)를 사용하기 전에 매체점검을 진행해야 하는데, 해당 점검은 어디에서, 어떤 절차로 수행할 수 있나요?</t>
  </si>
  <si>
    <t xml:space="preserve">부산시청에서 보안 USB 매체 점검은 전산정보담당관실에서 진행하고 있습니다.
관련 문의는 부산시청 전산정보담당관실(051-888-2385)로 연락하시면 자세한 안내를 받으실 수 있습니다. </t>
  </si>
  <si>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</si>
  <si>
    <t>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t>
  </si>
  <si>
    <t>368_2412_정보화정책과_업무매뉴얼_채울_휴대용저장매체관리시스템_부서관리자_매뉴얼.pdf</t>
  </si>
  <si>
    <t>29, 30</t>
  </si>
  <si>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</si>
  <si>
    <t>보안 USB 매체 점검 방법</t>
  </si>
  <si>
    <t>신규 임용시 원활한 업무진행을 위해 행정포털, 행정전자서명 발급등 처리해야 할 사항 및 절차는 어떻게 되나요?</t>
  </si>
  <si>
    <t>신규 임용된 공무원이 원활하게 업무를 시작하기 위해, 행정포털 계정 등록, 행정전자서명 발급 등 필수 시스템 접근 권한 확보와 관련하여 처리해야 할 사항과 구체적인 절차는 무엇인가요?</t>
  </si>
  <si>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</si>
  <si>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t>
  </si>
  <si>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</si>
  <si>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직원차량 등록 절차는 어떻게 되나요?</t>
  </si>
  <si>
    <t>시청 주차장에 직원차량을 등록하려면, 등록 절차와 필요 서류는 어떻게 되나요?</t>
  </si>
  <si>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</si>
  <si>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</si>
  <si>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</si>
  <si>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</si>
  <si>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SQG011</t>
  </si>
  <si>
    <t>계좌이체로 지출시(소액) 필요한 서류는 어떻게 되나요?</t>
  </si>
  <si>
    <t>계좌이체 방식으로 소액 지출을 처리할 때, 지출 신청부터 승인·집행까지 필요한 서류를 알려주세요</t>
  </si>
  <si>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</si>
  <si>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</si>
  <si>
    <t>내용, 첨부파일 오류입니다.
계좌이체 관련 근거 문서가 없습니다.
기대답변 : 
OO에 대한 관련 문서가 없습니다.
자세한 사항은 관련 부서나 업무 담당자에게 문의하시기 바랍니다.</t>
  </si>
  <si>
    <t>조례 개정 절차는 어떻게 되나요?</t>
  </si>
  <si>
    <t>지방자치단체에서 조례를 개정할 때 전체 절차와 각 단계별 담당 부서, 소요 기한 및 제출서류는 어떻게 되나요?</t>
  </si>
  <si>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</si>
  <si>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</si>
  <si>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</si>
  <si>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r>
      <rPr>
        <rFont val="Malgun Gothic"/>
        <color theme="1"/>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개정 입법 절차는 어떻게 되나요?</t>
    </r>
  </si>
  <si>
    <t>상품권 구매 및 관리를 위한 구체적인 기준을 알려줘</t>
  </si>
  <si>
    <t>상품권을 구매하고 관리할 때, 구매 한도, 사용 대상, 보관·관리 방법, 회계 처리 절차 등 구체적인 기준과 관련 규정은 무엇인가요?</t>
  </si>
  <si>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</si>
  <si>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</si>
  <si>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</si>
  <si>
    <t xml:space="preserve">357_페이지36_문서7_162648_부산광역시_지역화폐_이용_활성화에_관한_조례.pdf[]
-----
[상품권 구매 및 관리를 위한 기준 정보는 조례 내용에 없음. 어떤 자료를 참고하여 답변을 해야 하는지 확인 필요] </t>
  </si>
  <si>
    <t>일시적인 강연, 자문, 고문료에 따른 원천세 신고 코드 종류와 지급명세서 종류를 알려줘</t>
  </si>
  <si>
    <t>일시적인 강연, 자문, 고문료 지급 시, 적용해야 하는 원천세 신고 코드와 종류, 해당 지급에 따른 지급명세서 유형, 작성 및 제출 절차, 유의사항을 알려주세요</t>
  </si>
  <si>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</si>
  <si>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</si>
  <si>
    <t>보통예금계좌 점검 주기 및 방법을 알려줘</t>
  </si>
  <si>
    <t>보통예금계좌를 점검할 때, 점검 주기와 점검 방법, 점검 시 확인해야 하는 항목은 무엇인가요?</t>
  </si>
  <si>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</si>
  <si>
    <t>ㆍ68506_20220930_회계재산담당관_보도자료부산시_공금_보통예금계좌_특별_관리한다-hwp.pdf (p.2)
https://busanai.busan.go.kr/download/68506_20220930_회계재산담당관_보도자료부산시_공금_보통예금계좌_특별_관리한다-hwp.pdf</t>
  </si>
  <si>
    <r>
      <rPr>
        <rFont val="Malgun Gothic"/>
        <color theme="1"/>
        <sz val="11.0"/>
      </rP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rFont val="Tahoma"/>
        <color theme="1"/>
        <sz val="11.0"/>
      </rPr>
      <t>‧</t>
    </r>
    <r>
      <rPr>
        <rFont val="맑은 고딕"/>
        <color theme="1"/>
        <sz val="11.0"/>
      </rPr>
      <t>폐합이 필요한 경우 즉시 계좌를 해지하거나 통</t>
    </r>
    <r>
      <rPr>
        <rFont val="Tahoma"/>
        <color theme="1"/>
        <sz val="11.0"/>
      </rPr>
      <t>‧</t>
    </r>
    <r>
      <rPr>
        <rFont val="맑은 고딕"/>
        <color theme="1"/>
        <sz val="11.0"/>
      </rPr>
      <t>폐합 한 후 회계부서장에게 통보해야 한다.
○ 회계부서장은 반기별 1회 이상 자치단체 보통예금계좌를 점검해야 한다. 이때, 자치단체 보통예금계좌 용도에 따라 예산</t>
    </r>
    <r>
      <rPr>
        <rFont val="Tahoma"/>
        <color theme="1"/>
        <sz val="11.0"/>
      </rPr>
      <t>‧</t>
    </r>
    <r>
      <rPr>
        <rFont val="맑은 고딕"/>
        <color theme="1"/>
        <sz val="11.0"/>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</si>
  <si>
    <t>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통‧폐합이 필요한 경우 즉시 계좌를 해지하거나 통‧폐합 한 후 회계부서장에게 통보해야 한다.
 ○ 회계부서장은 반기별 1회 이상 자치단체 보통예금계좌를 점검해야 한다. 이때, 자치단체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</si>
  <si>
    <t>469_2406_회계재산담당관_법령_행정안전부_지방자치단체_회계관리에_관한_훈령_00.pdf</t>
  </si>
  <si>
    <t>131, 132</t>
  </si>
  <si>
    <t>[131p]
 2. 계좌 운영･관리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[132p]
 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t>
  </si>
  <si>
    <t>보통예금계좌 점검 주기 및 방법 안내</t>
  </si>
  <si>
    <t>국민신문고 민원 처리 절차를 알려줘</t>
  </si>
  <si>
    <t>국민신문고를 통해 접수된 민원을 처리할 때, 접수부터 처리 완료까지의 단계별 절차, 담당 부서, 처리 기준 및 기한은 어떻게 되나요?</t>
  </si>
  <si>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</si>
  <si>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</si>
  <si>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</si>
  <si>
    <t>다시 확인해보니 국민신문고 사용자지침서 민원 파일에 기대답변을 작성할 만한 내용이 없는거 같습니다.
 다른 매뉴얼이 있긴 하나 전체가 다 이미지라 활용 불가능하므로 미답변 처리 바랍니다.</t>
  </si>
  <si>
    <r>
      <rPr>
        <rFont val="맑은 고딕"/>
        <b/>
        <color theme="1"/>
        <sz val="11.0"/>
      </rPr>
      <t>1234_국민신문고_사용자지침서_민원_v17.pdf[15, 16]</t>
    </r>
    <r>
      <rPr>
        <rFont val="맑은 고딕"/>
        <color theme="1"/>
        <sz val="11.0"/>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</si>
  <si>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장기재직휴가 기준 및 사용 방법을 알려줘</t>
  </si>
  <si>
    <t>장기재직휴가는 몇 년차부터 부여되며, 근속년수별 휴가 일수는 어떻게 되나요? 장기재직휴가 신청과 승인, 사용 절차는 무엇인가요?</t>
  </si>
  <si>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</si>
  <si>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</si>
  <si>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공무원증 신청 및 승인처리 방법을 알려줘</t>
  </si>
  <si>
    <t>공무원증 신청은 어떤 절차로 진행되며, 신청 후 승인 처리 과정과 소요 기간, 필요한 서류는 어떻게 되나요?</t>
  </si>
  <si>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</si>
  <si>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</si>
  <si>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</si>
  <si>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직원후생복지지원시스템 사용 방법을 알려줘</t>
  </si>
  <si>
    <t>직원후생복지지원시스템은 어떤 절차와 방법으로 사용하는지 알려주세요</t>
  </si>
  <si>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</si>
  <si>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</si>
  <si>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이미지 제외 본문 텍스트 활용으로
왼쪽 기대답변대로 생성되면 됩니다. 
-------
</t>
    </r>
    <r>
      <rPr>
        <rFont val="&quot;맑은 고딕&quot;"/>
        <color rgb="FF0000FF"/>
        <sz val="11.0"/>
      </rPr>
      <t xml:space="preserve">[Top5내로 검색될 수 있도록 페이지 정리 논의 필요]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</si>
  <si>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</si>
  <si>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</si>
  <si>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비밀문서 접수 시 처리 절차를 알려줘</t>
  </si>
  <si>
    <t>비밀문서를 접수할 때 적용되는 처리 절차와 관련 규정에 대해 알려주세요</t>
  </si>
  <si>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</si>
  <si>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</si>
  <si>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</si>
  <si>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776_페이지78_문서6_163407_부산광역시_보안업무규정.pdf</t>
  </si>
  <si>
    <t>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
 제28조(비밀의 발송) ① 비밀은 다음 각 호의 절차에 따라 발송한다</t>
  </si>
  <si>
    <t>비밀문서 접수 시 처리 절차 안내</t>
  </si>
  <si>
    <t>공인 보관 방법을 알려줘</t>
  </si>
  <si>
    <t>공공기관에서 사용하는 공인 도장(직인)의 보관·관리 기준과 안전하게 사용하는 방법은 무엇인가요?</t>
  </si>
  <si>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</si>
  <si>
    <t>부산광역시 공인 조례가 있긴 하나 보관방법에 대해 따로 나와있는것은 없습니다.
기대답변 : 
OO에 대한 관련 문서가 없습니다.
자세한 사항은 관련 부서나 업무 담당자에게 문의하시기 바랍니다.</t>
  </si>
  <si>
    <t>사용할 수 없는 불용물품을 처리하는 절차는 어떻게 되나요?</t>
  </si>
  <si>
    <t>사용이 종료되어 더 이상 사용할 수 없는 불용물품을 처리하는 절차와 관련 규정은 무엇인가요?</t>
  </si>
  <si>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</si>
  <si>
    <t>ㆍ84042_2023년_상반기_출연기관_종합감사_결과보고서공개용.pdf (p.217)
https://busanai.busan.go.kr/download/84042_2023년_상반기_출연기관_종합감사_결과보고서공개용.pdf</t>
  </si>
  <si>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</si>
  <si>
    <t>정보공개 접수시 처리하는 절차는 어떻게 되나요?</t>
  </si>
  <si>
    <t>정보공개 청구가 접수되었을 때, 접수부터 처리, 통지까지의 구체적인 절차와 담당 부서 역할은 어떻게 되나요?</t>
  </si>
  <si>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</si>
  <si>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</si>
  <si>
    <r>
      <rPr>
        <rFont val="Malgun Gothic"/>
        <color theme="1"/>
        <sz val="11.0"/>
      </rP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</si>
  <si>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</si>
  <si>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
</t>
    </r>
    <r>
      <rPr>
        <rFont val="맑은 고딕"/>
        <color rgb="FF0432FF"/>
        <sz val="11.0"/>
      </rPr>
      <t xml:space="preserve">[Top5에 문서가 들어올 수 있도록 수량 조정 필요] </t>
    </r>
    <r>
      <rPr>
        <rFont val="맑은 고딕"/>
        <color rgb="FF000000"/>
        <sz val="11.0"/>
      </rPr>
      <t xml:space="preserve">
</t>
    </r>
    <r>
      <rPr>
        <rFont val="맑은 고딕"/>
        <color rgb="FF00B050"/>
        <sz val="11.0"/>
      </rPr>
      <t>&gt;&gt; 57P 정보공개업무 처리 절차도(이미지 파일)
해당 페이지만 제공하는게 가능하다면 다음 내용으로만 생성해주세요.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t>
    </r>
  </si>
  <si>
    <t>2page - 정보공개 접수 처리 절차 안내
3page - 정보공개 접수 처리 절차 안내, 국민신문고 정보공개 처리 기준 및 답변 예시</t>
  </si>
  <si>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</si>
  <si>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Malgun Gothic"/>
        <color rgb="FF000000"/>
        <sz val="11.0"/>
      </rPr>
      <t xml:space="preserve">424_2108_통합민원과_업무매뉴얼_행정안전부_정보공개운영안내서.pdf (p.227)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</si>
  <si>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미등록기록물 등록 방법은 어떻게 되나요?</t>
  </si>
  <si>
    <t>미등록 기록물을 기록관리시스템에 등록하려면 어떤 절차를 거쳐야 하며, 담당 부서와 필요한 서류는 무엇인가요?</t>
  </si>
  <si>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</si>
  <si>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</si>
  <si>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</si>
  <si>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</si>
  <si>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19, 20, 21, 22, 23, 24</t>
  </si>
  <si>
    <t>[19p]
 7. 미등록(온나라시스템)기록물 추가 등록 → 기록관리시스템
 ➊ 기록관리시스템 로그인 : 행정포털을 통한 자동로그인
 행정포털 홈 &gt; 행정서비스 &gt; 기록관
 기록관리시스템 홈화면
 ➋ 미등록기록물 추가 등록절차
 대상 : 당해 연도 내 등록하지 못한 비전자기록물
 절차 : ① 기록물철 등록 → ② 기록물건 등록 → ③ 등록완료 → ④ 검수 및 인수 → ⑤ 철표지ㆍ색인목록 출력
 [20p]
 ➌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➍ 기록물건 등록
 ① 기록물철 등록결과 조회 &gt; 건등록 버튼 클릭
 [23p]
 ② 등록화면 : 등록정보 입력 &gt; 저장 버튼 클릭
 ➎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➏ 검수 및 인수 → 처리과 기록물관리책임자만 권한 있음
 ① 등록인수 &gt; 기록물 등록 &gt; 검수 &gt; 조회 버튼 클릭 &gt; 해당 기록물철 선택 &gt; 정상검수 버튼 클릭
 ② 해당 기록물철 선택 &gt; 인수 버튼 클릭
 ➐ 기록물철 표지ㆍ색인목록 출력 → 처리과 기록물관리책임자만 권한 있음
  기록물보존 &gt; 기록정리 &gt; 비전자편철 &gt; 철제목 등 정보입력 &gt; 조회 버튼 클릭 &gt; 해당 기록물철 선택 &gt; 표지/목록
 인쇄 버튼 클릭</t>
  </si>
  <si>
    <t>미등록 기록물 등록 방법, 미등록 기록물 추가 등록</t>
  </si>
  <si>
    <t>[문서가 Top5 수량을 넘음. 제공 방법 검토 필요]</t>
  </si>
  <si>
    <t>공무원, 공무직, 기간제가 각각 이수해야 하는 법정의무교육 리스트와 이수방법은 어떻게 되나요?</t>
  </si>
  <si>
    <t>공무원, 공무직, 기간제 직원이 반드시 이수해야 하는 법정 의무교육 목록과 각각의 교육 이수 방법(온라인, 집합, 외부교육 등)은 무엇인가요?</t>
  </si>
  <si>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</si>
  <si>
    <t>ㆍ54557_안전보건관리_추진체계_및_경영방침게시용-hwp.pdf (p.6)
https://busanai.busan.go.kr/download/54557_안전보건관리_추진체계_및_경영방침게시용-hwp.pdf</t>
  </si>
  <si>
    <t>기대답변 : 
OO에 대한 관련 문서가 없습니다.
자세한 사항은 관련 부서나 업무 담당자에게 문의하시기 바랍니다.</t>
  </si>
  <si>
    <t>예산 편성 절차와 관련하여 사업비별 사전 이행절차는 무엇인가요?</t>
  </si>
  <si>
    <t>예산 편성 시 사업비별로 거쳐야 하는 사전 이행 절차에는 어떤 것들이 있으며, 해당 절차 이행 여부는 어떻게 확인할 수 있나요?</t>
  </si>
  <si>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</si>
  <si>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</si>
  <si>
    <r>
      <rPr>
        <rFont val="Malgun Gothic"/>
        <color theme="1"/>
        <sz val="11.0"/>
      </rP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</si>
  <si>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기대답변 : 
 세출예산 절차별 이행사항 &gt; 미 이행시 편성 불가
  - 신규사업 사전심사 총사업비 관리제
  ∙ 신규사업 : 시비 3억원 이상 신규사업(월 1회, 수시)
  ※ 신규 센터 설치시 금액불문 사전심사 이행 필요
  ∙ 총사업비관리 : 총사업비 50억원이상, 사업기간 2년이상 건설․정보화사업
  - 지방재정영향평가(지방재정법 제27조의6)
  ∙ 심사대상 : 총사업비 30억원이상 경기대회, 공연・축제 등 행사성 사업, 총사업비 100억원 이상, 지방비 50억원 이상인 신규공모사업
  ∙ 심사시기 : 정기(2, 5, 8, 10월), 수시(필요시)
  - 중기지방재정계획(지방재정법제33조)
  ∙ 대 상 : 일반회계, 특별회계, 기금
  ∙ 심사시기 : 10월중(확정 10월말)
  ∙ 제출기한 : 예산요구서 제출시
  - 중기공유재산관리계획(공유재산 및 물품관리법 제10조)
  ∙ 대 상 : 공유재산관리계획 총괄계획(취득, 처분, 사용료 감면, 수입금 지출)
  ∙ 심사시기 : 10월(공유재산심의회)
  ∙ 제출기한 : 예산요구서 제출시
  - 예비타당성 조사(국가재정법 제38조), 타당성 조사(지방재정법 제37조)
  ∙ 대 상 : 총사업비 500억원 이상(예타 : 국비 300억원 이상) 건설사업, 정보화사업, 국가연구개발사업
  ∙ 심사시기 : 분기 1회
  ∙ 제출시기 : 매년 4회
  - 투자심사(지방재정법 제37조)
  ∙ 심사대상 : 40억이상 신규사업, 60억이상 구․군사업, 3억이상 행사성, 5억이상 홍보관 사업
  ∙ 심사시기 : 정기(3, 6, 9월), 수시(필요시)
  - 공유재산관리계획(공유재산 및 물품관리법 제10조2)
  ∙ 대상사업 : 예정가격 기준 1건당 취득(20억원), 처분(10억원) 이상 면적기준 1건당 취득(6,000㎡), 처분(5,000㎡) 이상
  ∙ 요청시기 : 예산편성 전 단계
  ∙ 제출기한 : 8월중
  - 정책연구용역심사(부산시 정책연구용역 관리 조례)
  ∙ 심사대상 : 건당 10백만원 초과
  ∙ 심사시기 : 9월 중순(예산편성 전) 
  ∙ 제출기한 : 8월중(기획담당관)
  - 기술용역 사전심의(부산시 기술용역 관리 조례)
  ∙ 심사대상 : 건당 100백만원 이상
  ∙ 심사시기 : 9월 중순(예산편성 전)
  ∙ 제출기한 : 8월중(기술심사과)
  - 정보화사업 예산타당성 검토(부산시 정보시스템 도입·운영 규정)
  ∙ 검토대상 : 정보화사업(단순 유지보수‧운영사업, 국비지원사업등은 제외)
  ∙ 검토시기 : 9월 중순(예산편성 전)
  ∙ 제출기한 : 8월중(정보화정책과)
  - 지방보조금사업 신규 행사‧축제사업
  ∙ 지방보조금 : 민간경상사업보조 등 15개 과목 ※ 26페이지 과목 참고
  ∙ 신규 행사‧축제사업 : 행사운영비 등 3개 과목 ※ 26페이지 과목 참고
  ▷ 사전심의 : 지방보조금심의위원회
  ▷ 제출기한 : 8월중(재정협력담당관)
  ※ 3억 이상 신규심사/3억 이상 행사축제, 40억 이상 투자심사 별도필요
  - 정수물품 취득승인(공유재산및물품관리법시행령 제58조)
  ∙ 대상물품 : 행정안전부 장관이 정하는 정수물품
  ∙ 책정시기 : 8월말
  ∙ 제출기한 : 8월중
  - 출자․출연금 승인(지방재정법 제18조, 지방출자출연법)
  ∙ 출자·출연금 신규사업은 예산편성 전 지원 근거 마련
  ∙ 시 재정지원 모든 출자·출연금 시의회 사전승인
  -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t>
  </si>
  <si>
    <t>예산안 편성 항목 전까지 활용 &gt; 예산 편성 절차와 관련하여 사전 이행절차에 대한 문의이므로 예산안 편성 전까지만 활용
 구분이 어려우면 예산안 편성 ~ 예산 의결내용 고시까지 나와도 무방
 3 세출예산 절차별 이행사항 미 이행시 편성 불가
 신규사업 사전심사
 총사업비 관리제 ∙신규사업 : 시비 1억원 초과 신규사업(월 1회, 수시)
  ※ 신규 센터 설치시 금액불문 사전심사 이행 필요
 ∙총사업비관리 : 총사업비 50억원이상, 사업기간 2년이상 건설․정보화사업지방재정영향평가
 (지방재정법 제27조의6) ∙심사대상 : 총사업비 30억원이상 경기대회, 공연・축제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유지보수‧운영사업, 국비지원사업등은 제외) ∙검토시기 : 9월 중순(예산편성 전)∙제출기한 : 8월말(정보화정책과)
 지방보조금사업
 신규 행사‧축제사업 ∙지방보조금 : 민간경상사업보조 등 15개 과목 ※ 28페이지 과목 참고∙신규 행사‧축제사업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t>
  </si>
  <si>
    <t>SQG010</t>
  </si>
  <si>
    <t>성인지예산서와 성별영향평가서 차이점은 무엇인가요?</t>
  </si>
  <si>
    <t>지방자치단체에서 작성하는 성인지예산서와 성별영향평가서의 작성내용, 제출시기, 관련 법령 등 차이점을 알려주세요</t>
  </si>
  <si>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</si>
  <si>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</si>
  <si>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</si>
  <si>
    <t>범정부 클로바 GOV로 참조내용과 질문으로 답변 생성한 기대답변입니다.
 기대답변 :
 성인지예산서 vs 성별영향평가서의 차이
 1. 성인지예산서
  - 목적: 예산 편성에 성평등 영향을 미리 분석
  - 내용: 성평등 기대효과, 성과목표, 성별 수혜분석 등 포함
  - 법적 근거: 지방재정법 제36조의2
  - 대상 사업: 양성평등정책 기본계획 추진사업, 성별영향평가사업, 자치단체 특화사업 등
  - 특징: 예산 분야에서 성별 영향이 발생하지 않도록 사전 작성한 보고서
 2. 성별영향평가서
  - 목적: 정책 전반에 대한 성별 영향 평가
  - 내용: 정책의 성별 영향 분석 결과 및 정책 반영 내용
  - 법적 근거: 성별영향평가법 제9조
  - 주요 제출처: 여성가족부 (평가 결과 + 영향 반영 정책 내용 포함)
  - 특징: 재정 집행이 수반되는 정책에 한하여 성인지예산서와 연동
 3. 핵심 차이
  - 성인지예산서 = 예산 편성에 초점을 맞춘 보고서
  - 성별영향평가서 = 정책 전체의 성별 영향 평가 보고서
  - 연계 관계: 성별영향평가서 결과는 다음 해 성인지예산서 반영</t>
  </si>
  <si>
    <r>
      <rPr>
        <rFont val="&quot;Malgun Gothic&quot;"/>
        <color rgb="FF000000"/>
        <sz val="11.0"/>
      </rPr>
      <t xml:space="preserve">전직원 골든셋 추가자료 중 2026년도 예산편성계획
</t>
    </r>
    <r>
      <rPr>
        <rFont val="&quot;Malgun Gothic&quot;"/>
        <color rgb="FFFF0000"/>
        <sz val="11.0"/>
      </rPr>
      <t>&gt;&gt;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r>
  </si>
  <si>
    <t>85, 86</t>
  </si>
  <si>
    <t>� 성인지예산제도의 개념
 1. 성인지예산제도(gender-responsive budgeting)
 ❍ 예산이 여성과 남성에게 미칠 영향을 미리 분석하여 이를 예산편성에
 반영함으로써 여성과 남성이 동등하게 예산의 수혜를 받도록 하는 제도
 2. 성인지예산서
 ❍ 예산이 여성과 남성에게 미칠 영향을 미리 분석한 보고서로 성평등
 기대효과, 성과목표, 성별 수혜분석 등을 포함하고 있음
 � 법적 근거
 ❍ 지방재정법 제36조의 2 및 동법 시행령 제40조의 2
 □ 지방재정법
 제36조의2(성인지 예산서의 작성·제출) ① 지방자치단체의 장은 예산이 여성과 남성에게 미칠
 영향을 미리 분석한 보고서[이하 "성인지 예산서"(性認知 豫算書)라 한다]를 작성하여야 한다.
 ② ｢지방자치법｣ 제142조에 따른 예산안에는 성인지 예산서가 첨부되어야 한다.
 ③ 그 밖에 성인지 예산서의 작성에 관한 구체적인 사항은 대통령령으로 정한다.
 □ 지방재정법 시행령
 제40조의2(성인지 예산서의 내용 및 작성기준) ① 법 제36조의2에 따른 성인지 예산서[이하 "
 성인지 예산서"(性認知 豫算書)라 한다]에는 다음 각 호의 내용이 포함되어야 한다.
 1. 성인지 예산의 개요 및 규모
 2. 성인지 예산의 성평등 기대효과, 성과목표 및 성별 수혜분석
 3. 그 밖에 행정안전부장관이 정하는 사항
 ② 성인지 예산서는 행정안전부장관이 여성가족부장관과 협의하여 정하는 작성기준 및 방식
 등에 따라 작성한다.
 �「2026년도 성인지예산서」작성개요
 1. 대상사업 선정기준
 □ 대상회계 : 일반회계, 기타특별회계, 기금회계
 □ 성인지예산서 작성 대상사업 : 세부사업을 기준으로 작성
 대상사업
  - 양성평등정책 기본계획 추진사업
  ✧ 제3차 양성평등정책 기본계획 (’23∼’27)에 따른 연도별 지방자치단체 시행계획 추진사업
  ※ 양성평등정책 기본계획은 양성평등기본법(§7)에따라 여성가족부장관이 5년마다 수립
  ✧ 자치단체에서 자체적으로 수립한 양성평등정책관련 기본계획 에 포함된 사업, 그 밖에 여성을 주대상으로 하며 여성의 사회 참여확대 및 권익증진 등을 도모하거나 여성의 돌봄부담 등 가족내 성불평등을 개선할 수 있는 사업
  - 성별영향평가사업
  ✧ 「성별영향평가법」에 따른 2025년 성별영향평가 대상 예산사업
  - 자치단체가 별도로 추진하는 사업
  ✧자치단체 특화사업: 자치단체장 공약 사업 및 주력사업
  ✧기타 사업: 이전 성별영향평가사업, 양성평등, 성별, 특화사업에 해당하지 않지만 재원배분을 통해 양성평등 실현에 기여하거나 기여할 것으로 기대되는 사업
 성별영향평가법 시행령 제6조(성별영향평가결과의 제출) 중앙행정기관의 장 및 지방자치단체의 장은 법 제9조제
 1항에 따라 전년도 성별영향평가의 결과 및 그 성별영향평가를 정책에 반영한 결과를 매년 2월 말일까지 여성가족
 부장관에게 제출하여야 한다. 이 경우 재정 집행이 수반되는 대상 정책에 관하여는 해당 회계연도의 성인지(性認知)
 예산서를 첨부하여야 한다.</t>
  </si>
  <si>
    <r>
      <rPr>
        <rFont val="맑은 고딕"/>
        <b/>
        <color theme="1"/>
        <sz val="11.0"/>
      </rPr>
      <t>212_2407_예산담당관_업무매뉴얼_행정안전부_2025년도_지방자치단체_예산편성_운영기준_및_기금운용계획_수립기준.pdf[185]</t>
    </r>
    <r>
      <rPr>
        <rFont val="맑은 고딕"/>
        <color theme="1"/>
        <sz val="11.0"/>
      </rPr>
      <t xml:space="preserve">
-----
</t>
    </r>
    <r>
      <rPr>
        <rFont val="맑은 고딕"/>
        <color rgb="FFFF0000"/>
        <sz val="11.0"/>
      </rPr>
      <t>[성인지예산제도에 대한 내용은 있으나 성별영향평가서와의 차이점 등 관련 자료가 없어 답변이 되지 않을 수 있음]</t>
    </r>
  </si>
  <si>
    <t>병가와 휴직에 대한 각종 수당 지급 여부는 무엇인가요?</t>
  </si>
  <si>
    <t>공무원이 병가 또는 휴직을 사용할 경우, 급여와 수당, 연가 등 각종 지급 여부는 어떻게 되나요?</t>
  </si>
  <si>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</si>
  <si>
    <t>ㆍ1133_압축2_재단법인_부산문화회관_규정집25417.pdf (p.112)
https://busanai.busan.go.kr/download/1133_압축2_재단법인_부산문화회관_규정집25417.pdf</t>
  </si>
  <si>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</si>
  <si>
    <t>미답변 처리
 해당 사항에 대해 정리된 내용을 찾기전까진
 미답변 처리 바랍니다.</t>
  </si>
  <si>
    <r>
      <rPr>
        <rFont val="맑은 고딕"/>
        <b/>
        <color theme="1"/>
        <sz val="11.0"/>
      </rPr>
      <t>215_2501_예산담당관_업무매뉴얼_예산담당관_2025급여_및_수당_관련_FAQ.pdf[1]</t>
    </r>
    <r>
      <rPr>
        <rFont val="맑은 고딕"/>
        <color theme="1"/>
        <sz val="11.0"/>
      </rPr>
      <t xml:space="preserve">
-----
</t>
    </r>
    <r>
      <rPr>
        <rFont val="맑은 고딕"/>
        <color rgb="FFFF0000"/>
        <sz val="11.0"/>
      </rPr>
      <t xml:space="preserve">[육아휴직과 관련된 내용이 다수이고 병가 관련 사항 및 질병휴직에 대한 내용이 없음]
</t>
    </r>
    <r>
      <rPr>
        <rFont val="맑은 고딕"/>
        <color theme="1"/>
        <sz val="11.0"/>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</si>
  <si>
    <r>
      <rPr>
        <rFont val="맑은 고딕"/>
        <b/>
        <color theme="1"/>
        <sz val="11.0"/>
      </rPr>
      <t>1248_지방공무원_보수규정대통령령제35183호20250103.pdf</t>
    </r>
    <r>
      <rPr>
        <rFont val="맑은 고딕"/>
        <color theme="1"/>
        <sz val="11.0"/>
      </rPr>
      <t xml:space="preserve">
-----
</t>
    </r>
    <r>
      <rPr>
        <rFont val="맑은 고딕"/>
        <color rgb="FFFF0000"/>
        <sz val="11.0"/>
      </rPr>
      <t>[휴직 수당에 대한 내용의 상세한 부분은 포함되어 있지 않음]</t>
    </r>
  </si>
  <si>
    <t>입찰시 지역제한이 불가할 때 이행해야할 절차와 검토항목에는 무엇이 있나요?</t>
  </si>
  <si>
    <t>입찰에서 지역제한을 설정할 수 없는 경우, 어떤 절차를 거쳐야 하며 지역제한 불가 여부를 판단하기 위해 검토해야 할 사항은 무엇인가요?</t>
  </si>
  <si>
    <r>
      <rPr>
        <rFont val="Malgun Gothic"/>
        <color theme="1"/>
        <sz val="11.0"/>
      </rP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rFont val="Yu Gothic"/>
        <color theme="1"/>
        <sz val="11.0"/>
      </rPr>
      <t>・</t>
    </r>
    <r>
      <rPr>
        <rFont val="맑은 고딕"/>
        <color theme="1"/>
        <sz val="11.0"/>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</si>
  <si>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</si>
  <si>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</si>
  <si>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</si>
  <si>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475_2501_회계재산담당관_업무매뉴얼_회계재산담당관_2025년_계약업무_통합운영_매뉴얼2511_회계재산담당관_계약지원팀.pdf</t>
  </si>
  <si>
    <t>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</si>
  <si>
    <t>지역 제한 불가 시 입찰 절차 및 검토 항목 안내</t>
  </si>
  <si>
    <t>반복특이(악성) 민원 응대 매뉴얼 및 민원처리 담당자의 보호지원에는 어떤 것이 있나요?</t>
  </si>
  <si>
    <t>반복적·악성 민원(반복특이 민원) 발생 시, 공무원이 따라야 하는 대응 매뉴얼은 무엇이며, 민원처리 담당자를 보호하기 위한 지원 제도에는 어떤 것들이 있나요?</t>
  </si>
  <si>
    <r>
      <rPr>
        <rFont val="Malgun Gothic"/>
        <color theme="1"/>
        <sz val="11.0"/>
      </rP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rFont val="Tahoma"/>
        <color theme="1"/>
        <sz val="11.0"/>
      </rPr>
      <t>‧</t>
    </r>
    <r>
      <rPr>
        <rFont val="맑은 고딕"/>
        <color theme="1"/>
        <sz val="11.0"/>
      </rPr>
      <t>운영, 녹음전화 설치, 민원창구 투명 가림막 설치, 휴대용 영상</t>
    </r>
    <r>
      <rPr>
        <rFont val="Tahoma"/>
        <color theme="1"/>
        <sz val="11.0"/>
      </rPr>
      <t>‧</t>
    </r>
    <r>
      <rPr>
        <rFont val="맑은 고딕"/>
        <color theme="1"/>
        <sz val="11.0"/>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</si>
  <si>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</si>
  <si>
    <r>
      <rPr>
        <rFont val="Malgun Gothic"/>
        <color theme="1"/>
        <sz val="11.0"/>
      </rPr>
      <t>근거 문서는 2번째 파일로 하면 됩니다.
아래 답변은 대제목, 소제목 위주로 그냥 복사해놓긴 했는데
AI 요약이 잘되면 더 간단하게라도 가능할거 같습니다.
기대답변 : 
1. 특이민원 예방</t>
    </r>
    <r>
      <rPr>
        <rFont val="Tahoma"/>
        <color theme="1"/>
        <sz val="11.0"/>
      </rPr>
      <t>‧</t>
    </r>
    <r>
      <rPr>
        <rFont val="맑은 고딕"/>
        <color theme="1"/>
        <sz val="11.0"/>
      </rPr>
      <t>차단 조치
 - 민원 통화, 면담 등 전체 녹음
  ▷ 민원 통화 전체 녹음
  ▷ 통화 연결음 보급  
  ▷ 방문 민원상담 내용 전체 녹음</t>
    </r>
    <r>
      <rPr>
        <rFont val="Tahoma"/>
        <color theme="1"/>
        <sz val="11.0"/>
      </rPr>
      <t>․</t>
    </r>
    <r>
      <rPr>
        <rFont val="맑은 고딕"/>
        <color theme="1"/>
        <sz val="11.0"/>
      </rPr>
      <t>녹화
  ▷ 전화</t>
    </r>
    <r>
      <rPr>
        <rFont val="Tahoma"/>
        <color theme="1"/>
        <sz val="11.0"/>
      </rPr>
      <t>‧</t>
    </r>
    <r>
      <rPr>
        <rFont val="맑은 고딕"/>
        <color theme="1"/>
        <sz val="11.0"/>
      </rPr>
      <t>구술은 기타 민원에 한해 가능
 - 민원 상담 종료 및 제한 조치
  ▷ 장시간</t>
    </r>
    <r>
      <rPr>
        <rFont val="Tahoma"/>
        <color theme="1"/>
        <sz val="11.0"/>
      </rPr>
      <t>‧</t>
    </r>
    <r>
      <rPr>
        <rFont val="맑은 고딕"/>
        <color theme="1"/>
        <sz val="11.0"/>
      </rPr>
      <t>반복</t>
    </r>
    <r>
      <rPr>
        <rFont val="Noto Sans KR"/>
        <color theme="1"/>
        <sz val="11.0"/>
      </rPr>
      <t>‧</t>
    </r>
    <r>
      <rPr>
        <rFont val="맑은 고딕"/>
        <color theme="1"/>
        <sz val="11.0"/>
      </rPr>
      <t>폭언 민원 상담 시 종료
  ▷ 출입 제한</t>
    </r>
    <r>
      <rPr>
        <rFont val="Tahoma"/>
        <color theme="1"/>
        <sz val="11.0"/>
      </rPr>
      <t>‧</t>
    </r>
    <r>
      <rPr>
        <rFont val="맑은 고딕"/>
        <color theme="1"/>
        <sz val="11.0"/>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rFont val="Tahoma"/>
        <color theme="1"/>
        <sz val="11.0"/>
      </rPr>
      <t>‧</t>
    </r>
    <r>
      <rPr>
        <rFont val="맑은 고딕"/>
        <color theme="1"/>
        <sz val="11.0"/>
      </rPr>
      <t>주민센터 등은 폭언</t>
    </r>
    <r>
      <rPr>
        <rFont val="Tahoma"/>
        <color theme="1"/>
        <sz val="11.0"/>
      </rPr>
      <t>․</t>
    </r>
    <r>
      <rPr>
        <rFont val="맑은 고딕"/>
        <color theme="1"/>
        <sz val="11.0"/>
      </rPr>
      <t>폭행 등 상황 대비 직원별 역할을 부여한 비상대응팀(반) 구성</t>
    </r>
    <r>
      <rPr>
        <rFont val="Tahoma"/>
        <color theme="1"/>
        <sz val="11.0"/>
      </rPr>
      <t>․</t>
    </r>
    <r>
      <rPr>
        <rFont val="맑은 고딕"/>
        <color theme="1"/>
        <sz val="11.0"/>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rFont val="Tahoma"/>
        <color theme="1"/>
        <sz val="11.0"/>
      </rPr>
      <t>‧</t>
    </r>
    <r>
      <rPr>
        <rFont val="맑은 고딕"/>
        <color theme="1"/>
        <sz val="11.0"/>
      </rPr>
      <t>보직 배려) 인사고충 상담을 정례화하고, 민원업무 순환 보직, 민원담당자 인사가점 부여, 희망보직 배려 등 인사 배려
  ▷ (휴식공간</t>
    </r>
    <r>
      <rPr>
        <rFont val="Tahoma"/>
        <color theme="1"/>
        <sz val="11.0"/>
      </rPr>
      <t>‧</t>
    </r>
    <r>
      <rPr>
        <rFont val="맑은 고딕"/>
        <color theme="1"/>
        <sz val="11.0"/>
      </rPr>
      <t>시간) 민원실(부서)과 분리된 장소에 휴식공간을 마련하고, 폭언</t>
    </r>
    <r>
      <rPr>
        <rFont val="Tahoma"/>
        <color theme="1"/>
        <sz val="11.0"/>
      </rPr>
      <t>‧</t>
    </r>
    <r>
      <rPr>
        <rFont val="맑은 고딕"/>
        <color theme="1"/>
        <sz val="11.0"/>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</si>
  <si>
    <t>1. 특이민원 예방‧차단 조치
  - 민원 통화, 면담 등 전체 녹음
  ▷ 민원 통화 전체 녹음
  ▷ 통화 연결음 보급 
  ▷ 방문 민원상담 내용 전체 녹음․녹화
  ▷ 전화‧구술은 기타 민원에 한해 가능
  - 민원 상담 종료 및 제한 조치
  ▷ 장시간‧반복‧폭언 민원 상담 시 종료
  ▷ 출입 제한‧퇴거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민원실‧주민센터 등은 폭언․폭행 등 상황 대비 직원별 역할을 부여한 비상대응팀(반) 구성․운영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(인사‧보직 배려) 인사고충 상담을 정례화하고, 민원업무 순환 보직, 민원담당자 인사가점 부여, 희망보직 배려 등 인사 배려
  ▷ (휴식공간‧시간) 민원실(부서)과 분리된 장소에 휴식공간을 마련하고, 폭언‧폭행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</si>
  <si>
    <t>19, 44</t>
  </si>
  <si>
    <t>[p.19]
 민원담당자 권익보호를 위해 필요한 사항에 대한 조례 제정ㆍ운영 &lt; 주요 내용 &gt;
 ▪(기관장의 책무) 민원담당자 보호를 위한 지원시책을 마련하여 적극 시행 ▪(지원사항) 민원인의 위법행위로 인한 신체적‧정신적 피해의 예방이나 치유에 대한 지원
 ※ 심리상담, 의료비, 휴식시간‧공간, 법적대응 지원, 교육‧연수, 업무조정, 전보 등 인사조치 ▪(안전한 근무환경 마련 등) 안전시설‧장비 등의 확충1), 근무여건 개선2) 방안 마련
 1) CCTV‧비상벨‧자동녹음 전화, 전담대응팀‧비상대응팀 구성‧운영, 투명가림막 (안전유리), 보호조치 음성안내, 안전요원, 휴대용 영상‧음성기록장비 등
 2) 민원실내 행정경험이 풍부한 직원의 적정 배치, 신규공무원 배치 시 사전교육 실시, 인사고충상담창구정례화,인사가점부여등인사우대,휴식공간마련,포상,교육연수
 ▪(위법행위에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▪(올바른 민원문화 조성) 민원인의 상호존중 문화 조성 등을 위한 홍보방안 마련 ※ 포스터 등 홍보물 게시, 노조‧시민단체와의 협업을 통한 캠페인 실시 등
 ※ 【붙임2】의 「민원 처리 담당자 보호 및 지원에 관한 참고 자치법규(안)」을 참조하여 제정
 [p.44]
 제7조(안전한 근무환경 마련 및 근무여건 개선 등) ① 시도지사(시장‧군수‧구청장)는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구성‧운영
 4. 녹음전화 설치
 5. 민원창구 투명 가림막(안전유리) 설치
 6. 민원 처리 담당자 보호 조치 ARS 음성안내(착신 전 폭언·폭행방지, 상호존중 문화 조성을 위한 안내멘트, 욕설‧협박‧성희롱 시 경고‧상담종료 멘트 송출)
 7. 민원인의 폭언․폭행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시설‧장비 설치
 ② 시도지사(시장‧군수‧구청장)는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</si>
  <si>
    <t>반복특이(악성) 민원 대응 매뉴얼 내용, 민원처리 담당자 보호지원 제도 및 서비스</t>
  </si>
  <si>
    <t>업무 관련 소송에 발생하게 되면 부산시에서 법률 지원을 받을 수 있는 방법 및 절차가 어떻게 되나요?</t>
  </si>
  <si>
    <t>업무 수행 중 소송이 제기되었을 때, 부산시 공무원이 받을 수 있는 법률 지원의 종류는 무엇이며, 해당 지원을 신청하기 위한 절차는 어떻게 되나요?</t>
  </si>
  <si>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</si>
  <si>
    <t>ㆍ82200_2023_부산광역시_규제혁신_적극행정_우수사례집.pdf (p.36)
https://busanai.busan.go.kr/download/82200_2023_부산광역시_규제혁신_적극행정_우수사례집.pdf</t>
  </si>
  <si>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</si>
  <si>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</si>
  <si>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950_페이지95_문서10_163810_부산광역시_소송사무_처리_규칙.pdf</t>
  </si>
  <si>
    <t>4, 5</t>
  </si>
  <si>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</si>
  <si>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부산시 공무원 업무 관련 소송 시 법률 지원 제도 안내</t>
  </si>
  <si>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</si>
  <si>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DRM 암호 초기화는 어떻게 하나요?</t>
  </si>
  <si>
    <t>DRM 시스템에서 암호를 분실하거나 로그인 오류가 반복될 때, 비밀번호 초기화를 요청하고 재설정하는 절차는 어떻게 되나요?</t>
  </si>
  <si>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</si>
  <si>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</si>
  <si>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</si>
  <si>
    <t>시청사 직원차량 주차등록은 어떻게 하나요?</t>
  </si>
  <si>
    <t>시청사 직원 차량을 주차 등록하려면 어떤 절차와 승인 과정을 거쳐야 하나요?</t>
  </si>
  <si>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</si>
  <si>
    <t>자차로 관외출장 나갔을 시 여비 지급은 어떻게 하나요?</t>
  </si>
  <si>
    <t>자차를 이용해 관외출장을 수행한 경우, 여비 산정 기준과 지급 절차는 어떻게 되나요?</t>
  </si>
  <si>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</si>
  <si>
    <t xml:space="preserve">ㆍ241_2025_인구정책담당관_업무매뉴얼_여성가족부_2025년_가족사업안내_1권.pdf (p.45)
https://busanai.busan.go.kr/download/241_2025_인구정책담당관_업무매뉴얼_여성가족부_2025년_가족사업안내_1권.pdf </t>
  </si>
  <si>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</si>
  <si>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</si>
  <si>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1226_2025_공무원보수_등의_업무지침인사혁신처_예규_제192호.pdf</t>
  </si>
  <si>
    <t>604, 605</t>
  </si>
  <si>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｢갑｣과 ｢을｣이 ｢갑｣의 자가용 차량(휘발유
 차량)을 이용하여 정부서울청사 ↔ 정부대전청사간 출장(5.1～5.3)을 다녀온
 경우의 운임은?
 → ｢정부서울청사 ↔ 정부대전청사간 여행거리 × 5월1일 기준 보통휘발유 유가
 (opinet.co.kr) ÷ 연비(11.97)｣에 따라 산출된 연료비와 고속도로통행료
 영수증에 따른 통행료를 ｢갑｣에게만 지급
 마. 운임지급의 제한(영 제15조)
 공무용의 ‘차량･선박 또는 항공기’ 등을 이용하여 여행하는 경우에는 운임을
 지급하지 아니한다. 단, 주차비, 고속도로 통행료, 항만 이용료, 공항 이용료 등은
 지급한다.</t>
  </si>
  <si>
    <t>자차 관외 출장 시 여비지급 안내</t>
  </si>
  <si>
    <t>휴직 신청 절차 및 행정처리 방법은?</t>
  </si>
  <si>
    <t>지방공무원이 휴직을 신청할 때 휴직 종류별로 신청 절차와 필요 서류, 처리 기간, 유의사항 등 행정 처리 방법에 대해 알려주세요</t>
  </si>
  <si>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</si>
  <si>
    <t>관련 내용에 대한 근거문서가 없습니다.
기대답변 : 
OO에 대한 관련 문서가 없습니다.
자세한 사항은 관련 부서나 업무 담당자에게 문의하시기 바랍니다.</t>
  </si>
  <si>
    <t>지방공무원 인사제도 운영지침에 관련 내용이 있습니다.
 1. 질병휴직(제70조)
 - 증빙: 진단서 또는 사유 증빙자료
 - 기간: 최초 1년, 부득이한 경우 1년 연장 가능
 - 복직: 정상근무 가능 진단서 필수 제출
 - 유의점 : 기존 휴직 종료 후 일정 기간 정상근무 필요 → 이후 새 질병휴직 가능
 2. 공무상 질병휴직(제71조)
 - 승인 필수 요건 : 공무상 요양승인 또는 산업재해보험 요양급여 결정 등 법정 승인 필요
 - 기간 : 기본 3년 + 전문가 의견 기반 최대 2년 연장
 - 전문가 의견 청취 : 휴직 필요성, 복직 가능성, 법62조 제1항제2호(면직 사유 여부), 기간 적절성
 - 특례(경과조치) : 2021.12.9. 이전 휴직자 → 종전 규정 적용 가능
 공무상 연장 불가 시 : 정상근무 가능 여부 판단 후 일반 질병휴직으로 전환(최대 2년 범위)
 3. 고용휴직(제72조)
 - 대상기관: 국제기구, 외국기관, 대학, 연구기관, 타 국가기관
 - 요건 : 국가적 사업, 강의·연구, 조직발전 기여 가능성 등, 단순 행정업무 수행 목적은 불가
 - 행정처리 : 기관 요청서 확인 → 목적 적정성 검토 후 승인
 4. 민간근무휴직(제73조)
 - 요건 : 만 50세 이하, 재직 3년 이상(휴직·징계기간 제외), 원칙: 4~6급(특수 사유 시 7급 가능)
 - 행정처리 : 민간기관 요청 여부 및 대상자 적정성 검토 후 승인
 5. 유학휴직(제74조)
 - 요건 : 외국 정규 교육기관(대학/대학원)에서 학위 또는 어학연수
 - 관리 : 학기별 등록금·성적증명서 제출 의무
 - 기간 : 실제 학업 기간 + 앞뒤 1주(필요 시)
 6. 연수휴직(제75조)
 - 대상기관 : 전문대·교육대·대학 및 연구소, 과기원, KOICA, 기타 지정기관
 - 행정처리 : 기관 적격성 확인 후 승인
 7. 육아휴직(제76조)
 - 대상 자녀 판단 : 이혼(양육권 가진 자녀), 재혼(배우자가 양육권 가진 자녀 포함)
 - 부부 공무원 : 1자녀에 대해 각각 사용 가능
 - 행정처리 : 인사기록카드에 대상 자녀 명기
 8. 가족돌봄휴직(제77조)
 - 대상 : 양부모·양자녀 포함, 이혼·재혼 가정의 양육권 여부 반영
 - 기간 : 재직기간 중 총 3년 한도
 - 행정처리 : 가족관계·돌봄 필요성 증빙 검토
 9. 자기개발휴직(제78조)
 - 신청 : 자기개발계획서(연구 목적·방법·일정 포함) 제출
 - 심의위원회 운영 필수 : 3인 이상, 상위 계급으로 구성, 연구 주제·기간 적절성, 인력운영 상황 심의
 - 휴직 중 관리 : 분기별 복무보고서 제출
 - 복직 : 복직 후 30일 이내 결과보고서 제출
 - 즉시 복귀 명령 사유 : 목적 달성 또는 달성 불가 판정, 목적 외 활동 적발</t>
  </si>
  <si>
    <t>22, 23, 24, 25</t>
  </si>
  <si>
    <t>제9장 신분 및 권익보장
  제70조(질병휴직) ① 질병휴직은 신체ㆍ정신상의 장애, 불임 또는 난임 치료가 필요한 경우 가능하며, 진단서 또는 휴직 사유를 증빙할 수 있는 자료를 통해 휴직여부를 판단한다. 
 ② 휴직기간은 1년 이내로 하되, 부득이한 경우 1년의 범위 내에서 연장할 수 있다. 다만, 휴직기간이 만료되어 복직 후 상당기간 정상적으로 근무한 후에 새로운 질병휴직을 부여할 수 있다. 
 ③ 임용권자는 질병휴직 중에 있는 공무원이 휴직기간이 만료되어 복귀할 때에는 정상적인 근무가 가능하다는 진단서 또는 복직 사유를 증빙할 수 있는 자료를 제출하도록 하여, 정상적인 근무 가능 여부를 판단 후에 복직을 명할 수 있다. 
  제71조(공무상 질병휴직) ① 법 제64조제1호 각 목과 임용령 제38조의18에 따른 공무상 질병휴직 기간은 3년이며, 의학적 소견 등을 고려하여 2년 연장이 가능하다. 
 ② 공무상 질병휴직은 「공무원 재해보상법 시행령」 제28조에 따른 공무상 요양승인 또는 같은 영 제32조에 따른 재요양 승인과 「산업재해보상보험법」 제40조에 따른 요양급여 결정 또는 같은 법 제51조에 따른 재요양 결정을 받은 경우에만 승인할 수 있다. 
 ③ 휴직기간 연장 또한 공무상 요양승인(또는 재요양승인) 또는 요양급여결정(또는 재요양결정)을 받은 경우에만 가능하며, 요양승인 종료 등으로 공무상 질병휴직 연장이 불가한 경우 정상적인 근무 가능 여부를 판단하여 일반 질병휴직 부여(최대 2년의 범위 내에서 공무상 휴직기간을 제외한 기간으로 한정한다)가 가능하다. 다만, 이 경우 임용령(대통령령 제32172호, 2021. 11. 30.) 개정 규정 부칙 제6조(공무상 질병휴직에 관한 경과조치)에 따라 시행일(2021. 12. 9.) 현재 공무상 질병휴직 중에 있는 공무원이 같은 사유로 질병 또는 부상이 계속되는 경우에는 임용령 제38조의18제5항의 개정 규정에도 불구하고 종전의 임용령 제38조의18제2항 단서에 따라 승인 또는 결정받은 공무상 요양기간이나 요양 지급기간이 끝난 후에도 공무상 질병휴직을 명하거나 그 휴직기간을 새로 연장할 수 있다. 
 ④ 임용권자는 소속 공무원에 대한 공무상 질병휴직 여부를 결정하려는 때에는 임용령 제38조의18제2항 및 제3항에 따라 아래 각 호의 사항에 대하여 전문가의 의견을 들을 수 있다. 다만, 휴직기간 3년 초과 후 연장 여부를 결정하려는 때에는 반드시 전문가의 의견을 들어야 한다. 
 1. 휴직을 명해야 할 필요성 
 2. 휴직자의 복직 후 정상적인 근무 가능 여부 
 3. 휴직기간이 끝난 공무원이 법 제62조제1항제2호 적용 대상인지 여부 
 4. 휴직기간의 적절성 여부 
  제72조(고용휴직) ① 법 제63조제2항제1호에 따른 연구기관 등 고용휴직 대상기관은 다음 각 호와 같다. 
 1. 국제기구 : 복수의 국가가 집합하여 구성하는 국제법상 독자적 지위를 가지는 조직체 
 2. 외국기관 : 중앙과 지방을 포함한 외국 정부 및 공공단체. 단, 민간기관은 제외 
 3. 대학 : 「고등교육법」 제2조에 따른 대학, 산업대학, 교육대학, 전문대학, 기술대학, 원격대학(방송대학ㆍ통신대학ㆍ방송통신대학 및 사이버대학) 및 각종학교. 단, 국외 대학은 국내 대학에 준하는 학교로 함 
 4. 연구기관 : 법령에 설립근거를 두고, 연구를 목적으로 설립된 기관. 단, 국외 연구기관은 외국 정부에서 직접 관리보조하는 공공성 있는 연구기관으로 함 
 5. 다른 국가기관 : 국회, 대법원, 헌법재판소, 중앙선거관리위원회 등 행정부 및 지방자치단체 이외의 기관 
 ② 고용휴직 요건은 다음 각 호와 같다. 
 1. 국제기구ㆍ외국기관 및 다른 국가기관 : 국가적 사업추진이나 공동의 업무 수행 등을 위해 필요한 경우 
 2. 대학 및 연구기관 : 고용기관의 요청 등에 따라 강의 및 연구ㆍ학술활동 등을 위해 휴직하는 경우. 단, 예산ㆍ기획ㆍ감사ㆍ인사 등 일반 지원부서 근무는 허용하지 아니한다. 
 3. 기타 임용권자가 조직발전에의 기여가능성 등을 고려하여 필요하다고 인정하는 경우 
  제73조(민간근무휴직) 법 제63조제2항제1호, 임용령 제38조의6부터 38조의13에 따른 민간근무휴직은 다음 각 호의 요건을 갖춘 경우에 승인할 수 있다. 
 1. 기본계획 공고일 기준으로 50세 이하(연령 계산시에는 당해 연령을 1세 초과한 자로서, 1월 1일 출생자는 포함) 
 2. 재직기간이 3년 이상(휴직, 직위해제, 징계처분, 징계처분에 따른 승진임용제한기간, 시보임용 기간은 포함하지 않음) 
 3. 일반직 4급∼6급(이에 상당하는 연구지도직을 포함하되, 임기제공무원은 제외)인 자로 하되, 민간기업 등의 요청이 있거나 지방자치단체의 특수성 등 불가피한 사유가 있는 경우 7급 공무원(연구사지도사 포함)도 휴직 허용이 가능 
  제74조(유학휴직의 요건) ① 법 제63조제2항제2호에 따른 유학휴직은 외국의 정규 교육기관(대학 및 대학원)에서 학위취득 또는 어학연수를 하는 경우에 승인된다. 
 ② 임용권자는 유학휴직 공무원에 대해 국외훈련 파견에 준하여 학기별로 등록금 납입여부 확인 및 성적증명서 제출 요구 등 특별관리하여야 한다. 
 ③ 임용권자가 유학 휴직을 승인하는 기간은 실제 학업에 소요되는 기간으로 하되, 1년 이상의 유학 기간에 대해서는 준비 및 정리기간이 필요하다고 인정되는 경우 유학 시작일과 종료일의 앞뒤로 각각 1주 범위 내의 기간을 휴직기간에 포함시킬 수 있다. 
  제75조(연수휴직 대상기관) 법 제63조제2항3호의 따른 연수휴직의 대상 기관은 다음 각 호와 같다. 
 1. 「고등교육법」에 따라 설치된 전문대학ㆍ교육대학ㆍ대학(대학원을 포함하되, 방송통신대학 및 사이버대학은 제외) 및 동 부설연구소 
 2. 한국과학기술원 
 3. 광주과학기술원 
 4. 사법연수원 
 5. 한국국제협력단(한국국제협력단법에 따라 해외봉사단으로 선발된 경우) 
 6. 기타 위의 기관에 상당하는 민간기업체 및 단체로서 임용권자가 개별적으로 지정하는 기관 
  제76조(육아휴직 대상 자녀의 범위) ① 법 제63조제2항제4호에 따른 육아휴직 대상 ‘자녀’의 범위는 이혼한 공무원의 경우, ‘양육권을 가진 자녀’에 한하고, 재혼한 공무원의 경우, ‘배우자에게 양육권이 있는 자녀’를 포함한다. 
 ② 부부공무원의 경우, 자녀 1인에 대해 각각 휴직을 사용할 수 있다. 
 ③ 임용권자는 인사기록카드에 육아휴직 기재시 대상 자녀(태아 포함)를 명기한다. 
  제77조(가족돌봄휴직의 대상 및 기간) ① 돌봄대상자의 범위에는 양부모ㆍ양자녀, 본인 또는 배우자의 부모가 재혼한 경우, 부 또는 모의 배우자를 포함(가족관계등록부에 등재된 경우)하며, 이혼한 공무원의 경우, ‘양육권을 가진 자녀’에 한하고, 재혼한 공무원의 경우, ‘배우자에게 양육권이 있는 자녀’를 포함한다 
 ② 공무원으로서 총 재직기간 중 3년을 초과할 수 없다. 
  제78조(자기개발휴직) ① 휴직이 가능한 사유는 다음 각 호와 같다. 
 1. 소속 기관의 직무와 관련된 연구과제 또는 자기개발을 위한 연구과제를 수행하는 경우(임용권자가 기관 차원에서 필요한 연구주제를 미리 선정하여 대상자를 선정하는 경우 포함). 단 연구과제 수행과 관련하여 직접적인 금전적 대가가 수반되거나 특정 기관에 임용되는 경우는 제외(고용휴직 활용) 
 2. 국내외 교육기관 등에서 교육과정을 수강하는 경우. 단, 학위를 취득할 목적으로 수강하는 경우는 제외 
 3. 자격증 취득 등을 위한 개인주도학습(다양한 주제의 연구과제 수행, 학위과정 후 논문 작업 등 개인이 희망하는 분야에 대한 연구ㆍ학습)을 하거나 교육과정을 수강하는 경우 
 ② 자기개발휴직의 처리 절차는 다음 각 호에 따른다. 
 1. 자기개발휴직을 신청하려는 자는 [별지 제6호서식(자기개발휴직 신청서)]에 따라 자기개발계획을 작성하여 임용권자에게 제출(연구목적, 내용, 방법, 일정 등 포함)해야 한다. 분기별로 신청함을 원칙으로 하되, 필요한 경우 임용권자가 따로 시기를 정하여 운영할 수 있으며 기관 차원에서 필요한 연구주제를 미리 선정하여 공모할 수 있다. 
 2. 임용권자는 자기개발휴직심의위원회(이하 "위원회")를 통해 위 신청을 심의하며, 위원회는 휴직 신청자가 제출한 자기개발계획의 충실성(연구ㆍ학습 주제, 목적, 방법 및 기간의 적절성 등), 그간의 직무수행내역 및 기관의 인력운영상황 등을 심의하여 휴직여부와 기간을 결정하고 [별지 제7호서식(자기개발휴직 심의위원회 의결서)]에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연구ㆍ학습결과에 대한 휴직결과 보고서를 작성하여 제출하여야 한다. 
 ③ 임용권자는 자기개발계획서 상에 기재된 휴직 목적이 달성되거나 휴직기간 내 휴직 목적 달성이 현저히 어렵다고 판단하는 경우 및 휴직 목적 외 활동을 하는 경우 지체 없이 복귀를 명하여야 한다.</t>
  </si>
  <si>
    <t>휴직 신청 절차, 휴직 신청 행정처리 방법 안내</t>
  </si>
  <si>
    <t>올해 달라진 보수제도는 어떤게 있나요?</t>
  </si>
  <si>
    <t>작년과 비교해서 올해 달라진 지방공무원 보수제도(수당, 지급 기준, 근거 규정 등)에 대해 알려주세요</t>
  </si>
  <si>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</si>
  <si>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</si>
  <si>
    <t>위탁교육 관련 복무사항은 어떻게 처리하나요?</t>
  </si>
  <si>
    <t>지방공무원이 위탁교육에 참여할 경우, 출석, 근무시간 인정, 휴가 처리 등 복무사항은 처리해야 하나요?</t>
  </si>
  <si>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</si>
  <si>
    <t>ㆍ264_2401_인사과_법령_행정안전부_지방공무원_인사관계_법령집.pdf (p.397)
https://busanai.busan.go.kr/download/264_2401_인사과_법령_행정안전부_지방공무원_인사관계_법령집.pdf</t>
  </si>
  <si>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</si>
  <si>
    <t>미답변 처리
 문서상에서 확인 불가하므로 미답변 처리</t>
  </si>
  <si>
    <r>
      <rPr>
        <rFont val="맑은 고딕"/>
        <b/>
        <color theme="1"/>
        <sz val="11.0"/>
      </rPr>
      <t>1220_관내교육파견신청_매뉴얼.pdf</t>
    </r>
    <r>
      <rPr>
        <rFont val="맑은 고딕"/>
        <color theme="1"/>
        <sz val="11.0"/>
      </rPr>
      <t xml:space="preserve">
-----
</t>
    </r>
    <r>
      <rPr>
        <rFont val="맑은 고딕"/>
        <color rgb="FFFF0000"/>
        <sz val="11.0"/>
      </rPr>
      <t>[위탁교육관련 복무사항을 찾을 수 없으며 대부분 이미지로 되어 있어 문서 인식이 불가한 상황임]</t>
    </r>
  </si>
  <si>
    <t>비전자기록물 편철·정리 방법은?</t>
  </si>
  <si>
    <t>비전자기록물의 편철 기준, 정리 절차, 편철 시 유의해야 할 사항은 무엇인가요?</t>
  </si>
  <si>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</si>
  <si>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</si>
  <si>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</si>
  <si>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423_2012_통합민원과_업무메뉴얼_통합민원과_비전자기록물_편철정리_요령.pdf</t>
  </si>
  <si>
    <t>[1p]
 비전자기록물 편철․정리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 기록물 건별 면표시 : 중앙 하단, 전체 쪽수 - 해당 쪽수
  ▪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 접혀있는 문서는 펼친 상태에서 면 표시
  ▪ 분철된 경우, 전권 마지막 면수에 이어서 면 표시
  [예] 두 권으로 분철된 경우, 첫 번째 권의 쪽수가 110으로 끝나면 두 번째
 권은 111부터 시작
  ▪ 양면에 내용 있는 경우, 양면 모두 면 표시
  ▪ 백지에 간인 찍힌 경우, 모두 면 표시
  ▪ 회계서류의 영수증 등 계단식으로 붙어 있는 경우, 각각 면 표시
  ▪ 사본 또는 전자문서 출력본에 원본대조필 날인한 경우, 면 표시
  ▪ 첨부된 봉투 면 표시
 ○ 면 표시 제외
  ▪ 기록물철 표지 및 색인목록(면 표시는 문서 본문부터)
  ▪ 분리등록한 비전자와 함께 편철된 전자문서 출력본
  - 전자문서 출력본은 함께 편철하되 면 표시는 하지 않고 전자문서표시 ▪ 책자의 표지
  - 책자의 표지는 간지와 중복이므로 표지에는 면 표시 미기재
  - 책자 표지와 중복되는 간지 없는 경우 표지에 기재
  ▪ 대장류의 빈 서식(서식만 있고 내용 없는 경우 면 표시 제외)
 � 기록물철 표지 및 색인목록 작성
 ○ 기록물철 표지 출력방법
  ▪ 과제관리 → 나의과제(또는 부서과제 &gt; 단위과제) → 해당 카드명 클릭
 → 기록물철 표지 클릭 → 기록물철 인쇄(또는 저장 후 인쇄)
 ○ 기록물철 표지 기재사항
  ▪ 기록물철명(→ 과제카드명), 생산연도 및 종료연도, 부서명
  ▪ 기록물철 표지 출력 후 오른쪽 여백에 연필로 보존기간 기재
  ▪ 분철된 경우, 기록물철 표지 출력 후 기록물철명 옆에 괄호하고 연필로 권호수기재○ 색인목록 작성방법
  ▪ 온나라 → 과제관리 → 부서과제 → 단위과제 → 해당 카드명 클릭 → 실적관리 → 비전자기록물 엑셀다운로드 아이콘( )클릭 → 연도선택 → 다운로드 →
 쪽수 및 비고란 추가 작성
 ○ 분철된 경우, 색인목록은 첫 번째 권에만 편철</t>
  </si>
  <si>
    <t>비전자기록물 편철.정리 방법 안내</t>
  </si>
  <si>
    <t>차량배차 협조 요청 절차 및 처리 방법은?</t>
  </si>
  <si>
    <t>차량 배차를 요청할 때 필요한 절차와 신청 방법은 무엇인가요?</t>
  </si>
  <si>
    <t xml:space="preserve">질문하신 내용에 대해서는 참고할 만한 자료를 찾지 못했습니다. 관련 부서나 업무 담당자에게 문의해 주시기 바랍니다. </t>
  </si>
  <si>
    <t>해당 질문에 대한 근거문서가 없습니다.
기대답변 : 
OO에 대한 관련 문서가 없습니다.
자세한 사항은 관련 부서나 업무 담당자에게 문의하시기 바랍니다.</t>
  </si>
  <si>
    <t>시청사 현수막 설치 요청 절차 및 처리 방법은?</t>
  </si>
  <si>
    <t>부산시청 청사에 현수막 설치를 요청할 때 필요한 신청 절차 등 처리 방식은 무엇인가요?</t>
  </si>
  <si>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</si>
  <si>
    <t>제가 못찾은건지 해당 질문에 대한 근거문서가 없습니다.
기대답변 : 
OO에 대한 관련 문서가 없습니다.
자세한 사항은 관련 부서나 업무 담당자에게 문의하시기 바랍니다.</t>
  </si>
  <si>
    <t>PC교체로 인한 행정전자서명 이동 방법은?</t>
  </si>
  <si>
    <t>PC 교체 시 행정전자서명 인증서를 새로운 PC로 이동하는 방법은 무엇인가요?</t>
  </si>
  <si>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</si>
  <si>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</si>
  <si>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문서 암호화 해제는 어떻게 하나요?</t>
  </si>
  <si>
    <t>문서가 DRM 또는 비밀번호로 암호화되어 열리지 않을 때, 암호 해제 방법과 담당 부서에 요청해야 하는 절차는 어떻게 되나요?</t>
  </si>
  <si>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</si>
  <si>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</si>
  <si>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</si>
  <si>
    <t>문서 암호화 해제 방법
 1. 컴퓨터 우측하단(시계 있는 부분) 트레이 아이콘(숨겨진 아이콘)에서 F 또는 자물쇠 표시 우클릭
 2. 자료반출관리시스템 클릭
 3. 신규 신청
 4. 암호화 해제 체크 후 확인
 5. 자료 업로드 후 신청
 6. 완료 탭 이동 후 암호화 해제된 문서 다운로드</t>
  </si>
  <si>
    <r>
      <rPr>
        <rFont val="&quot;Malgun Gothic&quot;"/>
        <color rgb="FF000000"/>
        <sz val="11.0"/>
      </rPr>
      <t xml:space="preserve">9. 자료유출방지시스템(DRM) 문서 암호화 해제 방법
  컴퓨터 우측하단(시계 있는 부분) 트레이 아이콘(숨겨진 아이콘)에서 F 또는 자물쇠 표시 우클릭 - 자료반출관리시스템 클릭 - 신규 신청 - 암호화 해제 체크 후 확인 - 자료 업로드 후 신청 - 완료 탭 이동 후 암호화 해제된 문서 다운로드
</t>
    </r>
    <r>
      <rPr>
        <rFont val="&quot;Malgun Gothic&quot;"/>
        <color rgb="FF1155CC"/>
        <sz val="11.0"/>
        <u/>
      </rPr>
      <t>http://99.1.1.29/resources/xf/portal/table.html#question4-8</t>
    </r>
  </si>
  <si>
    <r>
      <rPr>
        <rFont val="맑은 고딕"/>
        <b/>
        <color theme="1"/>
        <sz val="11.0"/>
      </rPr>
      <t>370_2503_정보화정책과_업무매뉴얼_정보화정책과_사용자_매뉴얼자료유출방지시스템_고도화_버전_DRM_v50.pdf[10, 11, 12, 13]</t>
    </r>
    <r>
      <rPr>
        <rFont val="맑은 고딕"/>
        <color theme="1"/>
        <sz val="11.0"/>
      </rPr>
      <t xml:space="preserve">
-----
</t>
    </r>
    <r>
      <rPr>
        <rFont val="맑은 고딕"/>
        <color rgb="FFFF0000"/>
        <sz val="11.0"/>
      </rPr>
      <t>[파일 이미지화 - 제목 부분이 이미지화 되어 아래처럼 파악하기가 어려운 상태]</t>
    </r>
    <r>
      <rPr>
        <rFont val="맑은 고딕"/>
        <color theme="1"/>
        <sz val="11.0"/>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</si>
  <si>
    <t>관내출장 여비 지급기준은 어떻게 되나요?</t>
  </si>
  <si>
    <t>관내출장 시 여비는 어떤 기준에 따라 지급되며, 소요시간·이동거리·교통수단에 따른 지급 요건은 어떻게 되나요?</t>
  </si>
  <si>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</si>
  <si>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</si>
  <si>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</si>
  <si>
    <t>1. 4시간 미만 : 1만원
 2. 4시간 초과 : 2만원
  - 전용 차량 배정자 : 미지급
  - 공무용 차량 이용시 1만원 감액</t>
  </si>
  <si>
    <t>1229_공무원_여비_규정대통령령제35811호20251001.pdf</t>
  </si>
  <si>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</si>
  <si>
    <t>관내출장 여비 지급 기준 안내</t>
  </si>
  <si>
    <t>실물/모바일 공무원증은 어떻게 발급받나요?</t>
  </si>
  <si>
    <t>실물 공무원증과 모바일 공무원증은 각각 어떤 절차로 발급받을 수 있나요?</t>
  </si>
  <si>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</si>
  <si>
    <t>ㆍ1156_페이지116_문서6_164218_부산광역시_공무원증_규정.pdf (p.1)
https://busanai.busan.go.kr/download/1156_페이지116_문서6_164218_부산광역시_공무원증_규정.pdf</t>
  </si>
  <si>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</si>
  <si>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 xml:space="preserve">모바일 공무원증은 어떻게 활용할 수 있나요? </t>
  </si>
  <si>
    <t>모바일 공무원증으로 어떤 업무를 처리할 수 있으며, 활용 가능한 기능은 무엇인가요?</t>
  </si>
  <si>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</si>
  <si>
    <t>모바일 공무원증으로 청사출입은 현재 불가능합니다.
 자세한 사항은 관련부서나 업무 담당자에게 문의하시기 바랍니다.</t>
  </si>
  <si>
    <t>장기재직휴가는 어떻게 신청하나요?</t>
  </si>
  <si>
    <t>장기재직휴가의 휴가 등록 및 사용 신청 절차는 어떻게 진행되나요?</t>
  </si>
  <si>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</si>
  <si>
    <t>ㆍ284_2501_인사과_기타_인사과_2025년_직원_장기재직휴가_지원_계획.pdf (p.3)
https://busanai.busan.go.kr/download/284_2501_인사과_기타_인사과_2025년_직원_장기재직휴가_지원_계획.pdf</t>
  </si>
  <si>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</si>
  <si>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</si>
  <si>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경조사별 휴가일수를 알려주세요</t>
  </si>
  <si>
    <t>각 경조사 유형별로 부여되는 휴가 일수와 적용 기준은 어떻게 되나요?</t>
  </si>
  <si>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</si>
  <si>
    <t>ㆍ264_2401_인사과_법령_행정안전부_지방공무원_인사관계_법령집.pdf (p.418)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</si>
  <si>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</si>
  <si>
    <t>기대답변 수정했습니다.
 경조사별 휴가에 대한 문의였는데 특별휴가(경조사, 장기재작휴가, 임신휴가, 사산휴가 등)에 대한 답으로 나와서 내용이 너무 많은거 같아
 특별휴가 중에 경조사별 휴가에 대한 사항만 따로 답변 생성했습니다.
 경조사별 휴가의 경우 지방공무원_복무규정대통령령에도 나와있지만 부산시 조례에도 해당 내용이 있어서 답변 생성에 오류가 발생할 가능성이 높습니다.
 답변 근거는 예전에 말씀드렸다시피 부산시 규정 우선 &gt; 지방공무원 규정 &gt; 중앙부처(국가공무원) 순서입니다.
 기대답변 :
 경조사별 휴가일수표(제15조제1항 관련)
 1. 결 혼
  - 본인 : 5일
  - 자녀 : 1일
 2. 출 산
  - 배우자 : 10일(한 번에 둘 이상의 자녀를 출산한 경우에는 15일)
 3. 입 양
  - 본인 : 20일
  *비고 : 입양은 「입양촉진 및 절차에 관한 특례법」에 따른 입양에 한정하며, 입양 외의 경조사 휴가를 실시할 때 원격지일 경우에는 실제 필요한 왕복소요일수를 가산할 수 있다.
 4. 사 망
  - 배우자, 본인 및 배우자의 부모 : 5일
  - 본인 및 배우자의 조부모․외조부모 : 3일
  - 자녀와 그 자녀의 배우자 : 3일
  - 본인 및 배우자의 형제자매와 그 형제자매의 배우자 : 3일
  - 본인 및 배우자의 부모의 형제자매와 그 형제자매의 배우자 : 1일</t>
  </si>
  <si>
    <r>
      <rPr>
        <rFont val="&quot;Malgun Gothic&quot;"/>
        <color rgb="FF000000"/>
        <sz val="11.0"/>
      </rPr>
      <t xml:space="preserve">부산광역시 공무원 복무 조례
 [별표3] 경조사별 휴가일수표(제15조제1항 관련)
</t>
    </r>
    <r>
      <rPr>
        <rFont val="&quot;Malgun Gothic&quot;"/>
        <color rgb="FFFF0000"/>
        <sz val="11.0"/>
      </rPr>
      <t>&gt;&gt;&gt; 자료 없음</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</si>
  <si>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</si>
  <si>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</si>
  <si>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 xml:space="preserve">기록물은 어떻게 정리하나요? </t>
  </si>
  <si>
    <t>부서에서 생산·접수한 기록물을 보존기간별로 분류하고 편철·정리할 때 필요한 절차와 준수해야 할 기준은 무엇인가요?</t>
  </si>
  <si>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</si>
  <si>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</si>
  <si>
    <t>공통업무 질문이기는 하지만
총괄담당자의 질문도 포함된다고 하면
해당 내용으로 답변이 괜찮을 것 같습니다.</t>
  </si>
  <si>
    <t>13~47P 본문 내용을 텍스트 파일로 변환 후 범정부 클로바 활용에 질의문+텍스트파일 포함해서 생성된 답변으로 기대답변 생성하면 될 거 같습니다
 기대답변 :
 기록물 정리 단계별 절차 안내
 1. 생산·등록
  - 관련 법령: 「공공기록물 관리에 관한 법률」 제16조, 제18조 등
  - 관리 대상: 공문서, 회의록, 행정박물 등 모든 형태의 기록물
  - 등록 시기:
  &gt; 결재문서: 결재 완료 후 즉시 등록
  &gt; 사진·필름: 선정된 보존 대상물만 등록
  &gt; 전자문서: 첨부파일 암호화 금지, 공개 여부 설정 필수
  - 등록번호 표기: 생산문서는 좌측 상단, 접수문서는 우측 상단에 표기
  - 분리등록: 본문과 첨부물이 다른 기록매체일 경우 분리해 관리 (예: 일반문서 + 도면)
 2. 분류·편철
  - 분류 기준:
  &gt; 공개여부: 공개/부분공개/비공개/열람불가로 구분
  &gt; 보존기간: 1년~30년, 준영구, 영구 중 법령·업무 중요도에 따라 책정
  - 기록관리기준표: 단위과제별 보존기간·공개여부를 체계화해 관리
  - 편철 방식:
  &gt; 기록물철 → 색인목록 → 문서 순으로 편철
  &gt; 1개 과제카드는 1개의 편철 묶음으로 관리
  &gt; 100매 이내 원칙 (초과 시 분철)
 3. 정리·이관
  - 정리 시기: 매년 2월 말까지 전년도 기록물 정리
  - 절차:
  &gt; 등록정보와 실제 기록물 일치 확인
  &gt; 보존상자에 연도별/보존기간별 분류
  &gt; 기록물철 표지·색인목록 첨부 후 편철용 집게로 고정
  - 이관 대상:
  &gt; 일반문서: 보존기간 기산일로부터 2년 내 이관
  &gt; 특수 기록물: 별도 계획에 따라 이관
 4. 평가·폐기
  - 평가 의미: 보존기간 경과 후 행정적·역사적 가치를 재검토해 보존기간 재책정 또는 폐기 결정
  - 폐기 절차:
  &gt; 처리과 의견 조회 → 기록관 심사 → 기록물평가심의회 심의
  &gt; 파쇄 등 방식으로 처리 (민간업체 위탁 시 공무원 입회 감독)
  - 주의사항:
  &gt; 처리과에서 임의 폐기 시 7년 이하 징역 또는 3,000만 원 이하 벌금
  &gt; 영구기록물은 평가 대상에서 제외
 5. 유의사항
  - 전자문서 관리: 온나라시스템에서 등록 후 기록관리시스템에도 이관
  - 보존기간 재책정: 평가 시 하향 조정은 불가
  - 기록물 철별 관리: 분철 시 권호수 표기 필수 (예: "기록물철 1-2")</t>
  </si>
  <si>
    <t>2. 기록물 정리 및 이관 내용으로만 답변
전년도에 생산ㆍ접수가 완결된 기록물을 대상으로 생산현황보고에 앞서 등록사항과 실제 기록물 상태의
일치여부 확인 및 물리적인 정리 실시
• 각 처리과에서 전년도 기록물의 정리는 2월말까지 추진
• 등록정보와 실제 기록물 상태의 일치여부 확인 및 미비사항 보완
• 접근권한, 공개여부, 비밀여부 확인 후 변경이 필요한 경우 등록정보 수정
• 생산등록번호 또는 접수등록번호 표시여부 확인 및 누락된 경우 등록번호 표기
• 전자적 형태로 생산되지 않은 기록물의 경우 기록물철 단위 면표시 표기
• 기록물철을 생산연도별ㆍ보존기간별로 구분하여 보존상자 편성
이관계획에 따라 정리된 기록물 이관 처리
① 처리과 → 기록관 이관 [오프라인 이관]
• 비전자 일반문서 : 보존기간 기산일로부터 2년 이내 이관
• 일바문서 외 비전자기록물 : 별도 이관계획에 따라 이관
② 온나라시스템 → 기록관리시스템 이관 [온라인 이관]
• 온나라시스템으로 생산ㆍ접수한 전년도 기록물
- 전자기록물(등록정보+전자문서) 및 비전자기록물(등록정보)</t>
  </si>
  <si>
    <r>
      <rPr>
        <rFont val="맑은 고딕"/>
        <b/>
        <color rgb="FF000000"/>
        <sz val="11.0"/>
      </rPr>
      <t>ㆍ423_2012_통합민원과_업무메뉴얼_통합민원과_비전자기록물_편철정리_요령.pdf (p.1)</t>
    </r>
    <r>
      <rPr>
        <rFont val="맑은 고딕"/>
        <color rgb="FF000000"/>
        <sz val="11.0"/>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rFont val="Segoe UI Symbol"/>
        <color rgb="FF000000"/>
        <sz val="11.0"/>
      </rPr>
      <t>➡</t>
    </r>
    <r>
      <rPr>
        <rFont val="맑은 고딕"/>
        <color rgb="FF000000"/>
        <sz val="11.0"/>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rFont val="Segoe UI Symbol"/>
        <color rgb="FF000000"/>
        <sz val="11.0"/>
      </rPr>
      <t>▪</t>
    </r>
    <r>
      <rPr>
        <rFont val="맑은 고딕"/>
        <color rgb="FF000000"/>
        <sz val="11.0"/>
      </rPr>
      <t xml:space="preserve"> 기록물 건별 면표시 : 중앙 하단, 전체 쪽수 - 해당 쪽수
</t>
    </r>
    <r>
      <rPr>
        <rFont val="Segoe UI Symbol"/>
        <color rgb="FF000000"/>
        <sz val="11.0"/>
      </rPr>
      <t>▪</t>
    </r>
    <r>
      <rPr>
        <rFont val="맑은 고딕"/>
        <color rgb="FF000000"/>
        <sz val="11.0"/>
      </rPr>
      <t xml:space="preserve"> 기록물 철별 면표시 : 우측 하단(기록물을 보는 방향의 우측 하단)</t>
    </r>
  </si>
  <si>
    <r>
      <rPr>
        <rFont val="맑은 고딕"/>
        <b/>
        <color rgb="FF000000"/>
        <sz val="11.0"/>
      </rPr>
      <t>ㆍ432_2412_통합민원과_업무메뉴얼_국가기록원_25년_기록물관리_지침.pdf (p.37)</t>
    </r>
    <r>
      <rPr>
        <rFont val="맑은 고딕"/>
        <color rgb="FF000000"/>
        <sz val="11.0"/>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</si>
  <si>
    <t xml:space="preserve">기록물의 보존기간을 업무별로 알려주세요 </t>
  </si>
  <si>
    <t>기록물의 보존기간이 업무 유형별로 어떻게 구분되고, 각 업무별로 적용되는 보존기간은 얼마인가요?</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</si>
  <si>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</si>
  <si>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ㆍ432_2412_통합민원과_업무메뉴얼_국가기록원_25년_기록물관리_지침.pdf (p.18, 141, 238)
https://busanai.busan.go.kr/download/432_2412_통합민원과_업무메뉴얼_국가기록원_25년_기록물관리_지침.pdf</t>
  </si>
  <si>
    <t>이상없습니다</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</si>
  <si>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</si>
  <si>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236, 237, 238</t>
  </si>
  <si>
    <t>p.236 ~ p.238에 있는 표 데이터 사용</t>
  </si>
  <si>
    <t>업무별 기록물 보존기간에 대한 설명</t>
  </si>
  <si>
    <t>공무원이 의무로 이수하여야 하는 교육이 무엇인가요?</t>
  </si>
  <si>
    <t>공무원이 법령상 반드시 이수해야 하는 의무교육의 종류와 부서별로 적용되는 세부 교육 항목은 무엇인가요?</t>
  </si>
  <si>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</si>
  <si>
    <t>ㆍ463_2501_환경정책과_정책용역보고서_환경정책과_빛공해방지계획최종보고서.pdf (p.207, 209)
https://busanai.busan.go.kr/download/463_2501_환경정책과_정책용역보고서_환경정책과_빛공해방지계획최종보고서.pdf</t>
  </si>
  <si>
    <t>부산시청 내 회의장의 수용가능인원을 알려주세요</t>
  </si>
  <si>
    <t>부산시청에서 운영 중인 각 회의실별 정원(수용 가능 인원)을 확인할 수 있나요?</t>
  </si>
  <si>
    <t>기대답변 :
 - 1층 대강당 : 696명
 - 3층 식당 1~3 회의실 : 16명
 - 지하 3층 1-3 회의실 : 10~30명
 - 12층 국제회의장 : 290명 
 - 12층 소회의실-1 : 40명
 - 12층 소회의실-2 : 40명
 - 도모헌 계단식 강연장 : 100명
 - 도모헌 콘퍼런스룸 : 20명
 - 26층 회의실 : 20명
 - 8층 기획조정실 회의실 : 15명
 - 10층 행정자치국 회의실 : 15명
 - 16층 교통혁신국 회의실 : 15명
 - 17층 디지털경제실 회의실 : 15명
 - 18층 해양농수산국 회의실 : 15명
 - 20층(복도) (도시공간계획국) : 20명
 - 22층(복도) (환경물정책실) : 20명
 - 24층(복도) (도시혁신균형실) : 20명
 - 24층 노조 회의실 : 15명
 - 시의회 대회의실 : 60명
 - 시의회 의원회관 지하1층 회의실 : 60명
 - 10,11,14,15,17,18,23층 부스형 회의실 : 10명</t>
  </si>
  <si>
    <t>1281_게시판_시청사_회의장회의실_현황-hwp.pdf</t>
  </si>
  <si>
    <t>본문 표 내용 참조</t>
  </si>
  <si>
    <t>부산시청 회의장 수용가능인원 안내, 부산시청 회의장 예약방법 안내</t>
  </si>
  <si>
    <t>물품·용역 계약 시 일반적인 절차와 유의사항은 무엇인가요?</t>
  </si>
  <si>
    <t>물품·용역 계약을 추진할 때, 담당자가 반드시 따라야 하는 절차와 단계별로 확인해야 할 유의사항은 무엇인가요?</t>
  </si>
  <si>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</si>
  <si>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</si>
  <si>
    <r>
      <rPr>
        <rFont val="Malgun Gothic"/>
        <color theme="1"/>
        <sz val="11.0"/>
      </rP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rFont val="Tahoma"/>
        <color theme="1"/>
        <sz val="11.0"/>
      </rPr>
      <t>․</t>
    </r>
    <r>
      <rPr>
        <rFont val="맑은 고딕"/>
        <color theme="1"/>
        <sz val="11.0"/>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</si>
  <si>
    <t>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t>
  </si>
  <si>
    <t>계약절차 - 478_2505_회계재산담당관_업무매뉴얼_회계재산담당관_계약업무_참고자료회계재산담당관외부용.pdf
유의사항 - 473_2411_회계재산담당관_업무매뉴얼_한국지방재정공제회_2024년_개정판_용역계약_길라잡이한국지방재정공제회.pdf
유의사항 - 472_2411_회계재산담당관_업무매뉴얼_한국지방재정공제회_2024년_개정판_물품계약_길라잡이한국지방재정공제회.pdf</t>
  </si>
  <si>
    <t>9~12
18~25
20~26</t>
  </si>
  <si>
    <r>
      <rPr>
        <rFont val="Malgun Gothic"/>
        <color theme="1"/>
        <sz val="11.0"/>
      </rPr>
      <t xml:space="preserve">계약절차 - 계약집행 흐름도 본문 전체
유의사항 - 계약 시 유의사항 본문 전체
유의사항 - 계약 시 유의사항 본문 전체 
----------
</t>
    </r>
    <r>
      <rPr>
        <rFont val="Arial"/>
        <color rgb="FF0432FF"/>
        <sz val="11.0"/>
      </rPr>
      <t>[Top5 내에 포함될 수 있도록 문서 수량 조정 필요]</t>
    </r>
    <r>
      <rPr>
        <rFont val="Arial"/>
        <color theme="1"/>
        <sz val="11.0"/>
      </rPr>
      <t xml:space="preserve">
</t>
    </r>
    <r>
      <rPr>
        <rFont val="Arial"/>
        <color rgb="FF00B050"/>
        <sz val="11.0"/>
      </rPr>
      <t xml:space="preserve">&gt;&gt; 계약 절차에 대한 내용은 전체 검색, 유의사항은 각 문서의 목록만 확인(예: 제1장 계약일반 제5절 계약 유의사항)해서 관련 페이지 전달 등으로 대체 가능한지 확인 바랍니다.
</t>
    </r>
    <r>
      <rPr>
        <rFont val="Malgun Gothic"/>
        <color rgb="FFFF0000"/>
        <sz val="11.0"/>
      </rPr>
      <t>- 해당 지침을 따라도 여전히 내용이 많습니다</t>
    </r>
  </si>
  <si>
    <r>
      <rPr>
        <rFont val="Malgun Gothic"/>
        <color rgb="FF000000"/>
        <sz val="11.0"/>
      </rPr>
      <t xml:space="preserve">473_2411_회계재산담당관_업무매뉴얼_한국지방재정공제회_2024년_개정판_용역계약_길라잡이한국지방재정공제회.pdf (p.19)
------
[p.19]
나. 분할발주를 하지 않는 경우 예정가격 작성 시 유의사항
</t>
    </r>
    <r>
      <rPr>
        <rFont val="Segoe UI Symbol"/>
        <color rgb="FF000000"/>
        <sz val="11.0"/>
      </rPr>
      <t>❍</t>
    </r>
    <r>
      <rPr>
        <rFont val="맑은 고딕"/>
        <color rgb="FF000000"/>
        <sz val="11.0"/>
      </rPr>
      <t xml:space="preserve"> 예정가격 산정 시 설치비용 등 부수적인 목적물에 대한 비용의 누락 여부 확인 </t>
    </r>
    <r>
      <rPr>
        <rFont val="Segoe UI Symbol"/>
        <color rgb="FF000000"/>
        <sz val="11.0"/>
      </rPr>
      <t>❍</t>
    </r>
    <r>
      <rPr>
        <rFont val="맑은 고딕"/>
        <color rgb="FF000000"/>
        <sz val="11.0"/>
      </rPr>
      <t xml:space="preserve"> 공사가 혼재된 계약의 예정가격 산정 시 의무가입이 요구되는 보험료 및 환경보전비, 
폐기물처리비, 산업안전보건관리비 등을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제22조 제7항 등 관련 법령에서 정한 바에 따라 계상하였는지 여부
</t>
    </r>
    <r>
      <rPr>
        <rFont val="Segoe UI Symbol"/>
        <color rgb="FF000000"/>
        <sz val="11.0"/>
      </rPr>
      <t>❍</t>
    </r>
    <r>
      <rPr>
        <rFont val="맑은 고딕"/>
        <color rgb="FF000000"/>
        <sz val="11.0"/>
      </rPr>
      <t xml:space="preserve">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 등 공사 관련 법령에 따라 계약 목적물이 공사가 명백함에도 물품</t>
    </r>
    <r>
      <rPr>
        <rFont val="Noto Sans KR"/>
        <color rgb="FF000000"/>
        <sz val="11.0"/>
      </rPr>
      <t>･</t>
    </r>
    <r>
      <rPr>
        <rFont val="맑은 고딕"/>
        <color rgb="FF000000"/>
        <sz val="11.0"/>
      </rPr>
      <t>공사 또는 용역</t>
    </r>
    <r>
      <rPr>
        <rFont val="Noto Sans KR"/>
        <color rgb="FF000000"/>
        <sz val="11.0"/>
      </rPr>
      <t>･</t>
    </r>
    <r>
      <rPr>
        <rFont val="맑은 고딕"/>
        <color rgb="FF000000"/>
        <sz val="11.0"/>
      </rPr>
      <t xml:space="preserve">공사의 혼재된 계약으로 판단하여 물품 또는 용역으로 발주하지 않도록 주의
※ </t>
    </r>
    <r>
      <rPr>
        <rFont val="Noto Sans KR"/>
        <color rgb="FF000000"/>
        <sz val="11.0"/>
      </rPr>
      <t>｢</t>
    </r>
    <r>
      <rPr>
        <rFont val="맑은 고딕"/>
        <color rgb="FF000000"/>
        <sz val="11.0"/>
      </rPr>
      <t>지방계약법 시행령</t>
    </r>
    <r>
      <rPr>
        <rFont val="Noto Sans KR"/>
        <color rgb="FF000000"/>
        <sz val="11.0"/>
      </rPr>
      <t>｣</t>
    </r>
    <r>
      <rPr>
        <rFont val="맑은 고딕"/>
        <color rgb="FF000000"/>
        <sz val="11.0"/>
      </rPr>
      <t xml:space="preserve"> 제16조 제3항
계약의 특성상 물품과 용역을 통합 발주하는 것이 효율적이라고 판단되는 경우에는 물품과 용역을 한꺼번에 입찰에 부칠 수 있다.</t>
    </r>
  </si>
  <si>
    <r>
      <rPr>
        <rFont val="Malgun Gothic"/>
        <color rgb="FF000000"/>
        <sz val="11.0"/>
      </rP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에 따른 전기공사,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에 따른 통신공사, 
</t>
    </r>
    <r>
      <rPr>
        <rFont val="Noto Sans KR"/>
        <color rgb="FF000000"/>
        <sz val="11.0"/>
      </rPr>
      <t>｢</t>
    </r>
    <r>
      <rPr>
        <rFont val="맑은 고딕"/>
        <color rgb="FF000000"/>
        <sz val="11.0"/>
      </rPr>
      <t>소방시설공사업법</t>
    </r>
    <r>
      <rPr>
        <rFont val="Noto Sans KR"/>
        <color rgb="FF000000"/>
        <sz val="11.0"/>
      </rPr>
      <t>｣</t>
    </r>
    <r>
      <rPr>
        <rFont val="맑은 고딕"/>
        <color rgb="FF000000"/>
        <sz val="11.0"/>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</si>
  <si>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</si>
  <si>
    <t>공고문 게시 기간과 게시 방법에 대한 법적 기준은 어떻게 되나요?</t>
  </si>
  <si>
    <t>입찰공고를 게시할 때, 법령에서 정한 게시 기간과 게시해야 하는 방법은 무엇인가요?
 공고의 종류가 다양하고 고시공고, 입법예고, 채용공고 등은 관련 법령이 너무 광대하므로 질문을 입찰 공고로 제약하겠습니다.</t>
  </si>
  <si>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</si>
  <si>
    <t>기대답변 :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t>
  </si>
  <si>
    <t>입찰공고의 공고기간 내용 일체</t>
  </si>
  <si>
    <r>
      <rPr>
        <rFont val="Malgun Gothic"/>
        <color theme="1"/>
        <sz val="11.0"/>
      </rPr>
      <t xml:space="preserve">용역 계약 절차 상세 안내, 부서에서 회계과 계약요청 절차 안내, 입찰 공고문 게시 기간에 대한 법적 기준 안내, 입찰 공고문에 게시하는 방법 및 절차 안내
</t>
    </r>
    <r>
      <rPr>
        <rFont val="Malgun Gothic"/>
        <color rgb="FFFF0000"/>
        <sz val="11.0"/>
      </rPr>
      <t>질의문 변경 고려 (시작시 "입찰" 단어 추가)
&gt;&gt;&gt; 입찰 공고문 게시 기간과 게시 방법에 대한 법적 기준은 어떻게 되나요?</t>
    </r>
  </si>
  <si>
    <r>
      <rPr>
        <rFont val="맑은 고딕"/>
        <b/>
        <color theme="1"/>
        <sz val="11.0"/>
      </rPr>
      <t>467_2402_회계재산담당관_법령_법제처_지방자치단체를_당사자로_하는_계약에_관한_법률법률제19634호20240217.pdf[2]</t>
    </r>
    <r>
      <rPr>
        <rFont val="맑은 고딕"/>
        <color theme="1"/>
        <sz val="11.0"/>
      </rPr>
      <t xml:space="preserve">
-----
</t>
    </r>
    <r>
      <rPr>
        <rFont val="맑은 고딕"/>
        <color rgb="FFFF0000"/>
        <sz val="11.0"/>
      </rPr>
      <t xml:space="preserve">[답변불가]
"입찰공고 또는 통지의 방법·내용·시기, 그 밖에 필요한 사항은 대통령령으로 정한다"
게시 기간에 대해서는 찾을수 없음.
</t>
    </r>
    <r>
      <rPr>
        <rFont val="맑은 고딕"/>
        <color theme="1"/>
        <sz val="11.0"/>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</si>
  <si>
    <t>공무원 복무규정에 따른 연가, 병가, 특별휴가 등은 며칠인가요?</t>
  </si>
  <si>
    <t>공무원에게 부여되는 연가·병가·특별휴가의 종류별 법정 기준일수와 적용 요건은 어떻게 되나요?</t>
  </si>
  <si>
    <r>
      <rPr>
        <rFont val="Malgun Gothic"/>
        <color theme="1"/>
        <sz val="11.0"/>
      </rP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</si>
  <si>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기대답변 : 
 연가
 1개월 이상 1년 미만: 연가 11일
 1년 이상 2년 미만: 연가 12일
 2년 이상 3년 미만: 연가 14일
 3년 이상 4년 미만: 연가 15일
 4년 이상 5년 미만: 연가 17일
 5년 이상 6년 미만: 연가 20일
 6년 이상: 연가 21일
 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</si>
  <si>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t xml:space="preserve">264_2401_인사과_법령_행정안전부_지방공무원_인사관계_법령집.pdf 
1259_지방공무원_복무에_관한_예규_개정안전문_행정안전부_예규_제340호.pdf
자치법규 부산광역시 공무원 복무 조례 및 [별표3] 경조사별 휴가일수표 </t>
  </si>
  <si>
    <t>403, 404
45
48, 49, 50, 51, 52, 53, 54</t>
  </si>
  <si>
    <r>
      <rPr>
        <rFont val="Malgun Gothic"/>
        <color theme="1"/>
        <sz val="11.0"/>
      </rPr>
      <t xml:space="preserve">연가 - 페이지 내용 전체 
</t>
    </r>
    <r>
      <rPr>
        <rFont val="Arial"/>
        <color rgb="FF00B050"/>
        <sz val="11.0"/>
      </rPr>
      <t xml:space="preserve">병가 - (1) 병가의 종류별 내용 까지만 참조
</t>
    </r>
    <r>
      <rPr>
        <rFont val="Arial"/>
        <color theme="1"/>
        <sz val="11.0"/>
      </rPr>
      <t xml:space="preserve">
</t>
    </r>
    <r>
      <rPr>
        <rFont val="Arial"/>
        <color rgb="FF0432FF"/>
        <sz val="11.0"/>
      </rPr>
      <t xml:space="preserve">
특별휴가 - &gt;&gt; 문서를 찾을 수 없음
</t>
    </r>
    <r>
      <rPr>
        <rFont val="Arial"/>
        <color rgb="FF00B050"/>
        <sz val="11.0"/>
      </rPr>
      <t xml:space="preserve"> &gt;&gt; 자치법규 부산광역시 공무원 복무 조례 제15조
 &gt;&gt; 경조사 휴가의 경우 자치법규 내 별표3 첨부파일 참조해서 생성
 &gt;&gt; 그 외 특별휴가는 지방공무원 복무에 관한 예규 2P의 차례 참조해서 생성(라. 특별휴가 --- 91)
</t>
    </r>
    <r>
      <rPr>
        <rFont val="Arial"/>
        <color theme="1"/>
        <sz val="11.0"/>
      </rPr>
      <t xml:space="preserve">
----------
</t>
    </r>
    <r>
      <rPr>
        <rFont val="Arial"/>
        <color rgb="FF0432FF"/>
        <sz val="11.0"/>
      </rPr>
      <t xml:space="preserve">
[Top5 내에 포함될 수 있도록 문서 수량 조정 필요]
</t>
    </r>
    <r>
      <rPr>
        <rFont val="Malgun Gothic"/>
        <color rgb="FFFF0000"/>
        <sz val="11.0"/>
      </rPr>
      <t xml:space="preserve">&gt;&gt;&gt; 별도로 내용을 정리해 FAQ로 관리하는게 맞는것 같습니다. </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</si>
  <si>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</si>
  <si>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</si>
  <si>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업무추진비 집행 시 사용 가능한 항목과 제한 사항은 무엇이며, 지출 시 필요한 증빙 서류는 무엇인가요?</t>
  </si>
  <si>
    <t>업무추진비를 집행할 때 사용 가능한 세부 항목과 제한되는 지출 유형, 그리고 지출 승인을 위해 반드시 갖춰야 하는 증빙서류 종류는 무엇인가요?</t>
  </si>
  <si>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</si>
  <si>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</si>
  <si>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업무추진비 집행 시 사용 가능한 세부 항목, 업무추진비 제한 지출 유형 안내, 업무추진비 지출 승인 증빙서류 종류 안내</t>
  </si>
  <si>
    <t>출장 시 여비 정산 기준과 지급 절차는 어떻게 되나요?</t>
  </si>
  <si>
    <t>출장 시 여비를 지급·정산할 때 적용되는 기준과 증빙 요건은 무엇인가요?</t>
  </si>
  <si>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</si>
  <si>
    <t>이전 자료 수정했습니다. 정산방법이 너무 국가공무원 시스템 기준으로 되어 있는거 같고
 질문 의도가 아무래도 출장비 얼만지, 계산 어떻게 해야 하는지에 대한 질문으로 보여서
 아래 답변으로 수정합니다.
 기대답변은 질의문(관내외출장 여비 정산 방법), 업무지침 내용만을 기준으로 범정부AI를 활용해서 생성한 내용입니다.
 기대답변:
 1. 관내 출장 여비 정산 기준 및 처리 절차(근무지내 국내출장)
  - 적용 범위: 동일 시·군·섬(제주 제외) 내 출장 및 왕복 12km 미만 거리 출장. 단, 유료 도로 필수 이용 시 근무지내 출장으로 간주
  - 지급 기준:
  &gt; 시간 기준: 4시간 미만: 1만 원 (식비 1/3 추가 실비 가능), 4시간 이상: 2만 원 (운임·식비 추가 실비 가능)
  &gt; 증빙서류: 교통카드 영수증, 신용카드 매출전표 등으로 입증 필요
  - 운임·식비 실비 처리:
  &gt; 실비 상한액은 시간별로 1만 원/2만 원 (교통비+식비 1/3)
  &gt; 공무용 차량 이용 시 운임 지급 제외
 2. 관외 출장 여비 정산 기준 및 처리 절차(근무지외 국내출장)
  - 지급 항목: 운임, 숙박비, 식비, 일비 (세부 산정 방법 기준별)
  - 운임:
  &gt; 철도: 실비 (차량 발매표 기준, 할인 적용)
  &gt; 항공: 실비 (저비용 항공사 이용 권장, 공적·사적 마일리지 병용 가능)
  &gt; 자동차: 대중교통 기준 또는 연료비 (유가·연비 적용)
  - 숙박비:
  &gt; 실비 또는 지역별 상한액(서울 10만 원, 기타 지역 7만 원 등)
  &gt; 초과 기간 시 감액 적용 (장기 체재 시 10분의 1~3 감액)
  - 식비: 1일당 2만 5천 원 (출장 일자 기준)
  - 일비: 정액(일반 2만 5천 원) + 초과 체재 시 감액
 3. 공통 처리 절차:
  - 증빙서류(매출전표, 승차권 등) 제출
  - 중복 출장 시 최대 지급액(관외 숙박비·식비는 횟수별 누적 가능)
  - 공적 항공마일리지 활용 시 추가 일비 지급 가능 (절약액의 50% 한도)</t>
  </si>
  <si>
    <r>
      <rPr>
        <rFont val="Malgun Gothic"/>
        <color theme="1"/>
        <sz val="11.0"/>
      </rPr>
      <t xml:space="preserve">페이지 내용 전체
예시 부분 제외 
----------
</t>
    </r>
    <r>
      <rPr>
        <rFont val="Arial"/>
        <color rgb="FF0432FF"/>
        <sz val="11.0"/>
      </rPr>
      <t xml:space="preserve">
[Top5 내에 포함될 수 있도록 문서 수량 조정 필요]
</t>
    </r>
    <r>
      <rPr>
        <rFont val="Arial"/>
        <color rgb="FF00B050"/>
        <sz val="11.0"/>
      </rPr>
      <t xml:space="preserve">&gt;&gt; 여비 정산 기준은 560P의 공무로 여행하는 때에 지급되는 여비항목으로 생성, 세부적인 사항은 링크 문서 참조로 처리
&gt;&gt; 지급 절차는 다음 문서 링크만 안내 : 268_2405_인사과_업무매뉴얼_행정안전부_출장관리_매뉴얼.pdf 
</t>
    </r>
    <r>
      <rPr>
        <rFont val="Arial"/>
        <color rgb="FFFF0000"/>
        <sz val="11.0"/>
      </rPr>
      <t>- 고정답변처리가 아니므로 링크만 제공하는 등의 답변처리가 힘듭니다. FAQ 등으로 별도로 정리하는게 좋을것 같습니다.</t>
    </r>
    <r>
      <rPr>
        <rFont val="Arial"/>
        <color rgb="FF00B050"/>
        <sz val="11.0"/>
      </rPr>
      <t xml:space="preserve">
</t>
    </r>
    <r>
      <rPr>
        <rFont val="Arial"/>
        <color theme="1"/>
        <sz val="11.0"/>
      </rPr>
      <t xml:space="preserve">
</t>
    </r>
  </si>
  <si>
    <r>
      <rPr>
        <rFont val="맑은 고딕"/>
        <b/>
        <color theme="1"/>
        <sz val="11.0"/>
      </rPr>
      <t>1229_공무원_여비_규정대통령령제35811호20251001.pdf[4]</t>
    </r>
    <r>
      <rPr>
        <rFont val="맑은 고딕"/>
        <color theme="1"/>
        <sz val="11.0"/>
      </rPr>
      <t xml:space="preserve">
-----
</t>
    </r>
    <r>
      <rPr>
        <rFont val="맑은 고딕"/>
        <color rgb="FFFF0000"/>
        <sz val="11.0"/>
      </rPr>
      <t>[국내여비만 있음]</t>
    </r>
    <r>
      <rPr>
        <rFont val="맑은 고딕"/>
        <color theme="1"/>
        <sz val="11.0"/>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</si>
  <si>
    <r>
      <rPr>
        <rFont val="맑은 고딕"/>
        <b/>
        <color theme="1"/>
        <sz val="11.0"/>
      </rPr>
      <t>1230_공무원여비100문100답.pdf[11]</t>
    </r>
    <r>
      <rPr>
        <rFont val="맑은 고딕"/>
        <color theme="1"/>
        <sz val="11.0"/>
      </rPr>
      <t xml:space="preserve">
-----
</t>
    </r>
    <r>
      <rPr>
        <rFont val="맑은 고딕"/>
        <color rgb="FFFF0000"/>
        <sz val="11.0"/>
      </rPr>
      <t>[여비지급액은 있으나 지급절차가 없음]</t>
    </r>
    <r>
      <rPr>
        <rFont val="맑은 고딕"/>
        <color theme="1"/>
        <sz val="11.0"/>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</si>
  <si>
    <t>각종 정보공개 청구가 들어왔을 때 처리 절차와 비공개 사유에 해당하는 기준은 무엇인가요?</t>
  </si>
  <si>
    <t>정보공개 청구가 접수되었을 때 어떤 순서로 처리해야 하며, 비공개 여부를 판단할 때 적용해야 하는 법적 기준은 무엇인가요?</t>
  </si>
  <si>
    <r>
      <rPr>
        <rFont val="Malgun Gothic"/>
        <color theme="1"/>
        <sz val="11.0"/>
      </rP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Gothic"/>
        <color theme="1"/>
        <sz val="11.0"/>
      </rPr>
      <t>｢</t>
    </r>
    <r>
      <rPr>
        <rFont val="맑은 고딕"/>
        <color theme="1"/>
        <sz val="11.0"/>
      </rPr>
      <t>연계기안함(예시 : 온나라시스템)</t>
    </r>
    <r>
      <rPr>
        <rFont val="MS Gothic"/>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</si>
  <si>
    <t>239. 240. 241. 242. 243. 244. 245. 246. 247. 248. 249. 250. 251. 252, 253</t>
  </si>
  <si>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t>
    </r>
    <r>
      <rPr>
        <rFont val="Arial"/>
        <color rgb="FF0432FF"/>
        <sz val="11.0"/>
      </rPr>
      <t xml:space="preserve">----------
[Top5에 문서가 들어올 수 있도록 수량 조정 필요] 
</t>
    </r>
    <r>
      <rPr>
        <rFont val="Arial"/>
        <color rgb="FF00B050"/>
        <sz val="11.0"/>
      </rPr>
      <t xml:space="preserve">&gt;&gt; 57P 정보공개업무 처리 절차도(이미지 파일)
해당 페이지만 제공하는게 가능하다면 다음 내용으로만 생성해주세요.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&gt;&gt;비공개는 243P 참조해서 답변 생성
</t>
    </r>
    <r>
      <rPr>
        <rFont val="Malgun Gothic"/>
        <color rgb="FFFF0000"/>
        <sz val="11.0"/>
      </rPr>
      <t>&gt;&gt;&gt; FAQ에 질문과 답변을 별도로 정리하는게 좋을것 같은데, 우선은 버리는 질문으로 생각하고 마지막에 맞추겠습니다</t>
    </r>
  </si>
  <si>
    <r>
      <rPr>
        <rFont val="맑은 고딕"/>
        <b/>
        <color rgb="FF000000"/>
        <sz val="11.0"/>
      </rPr>
      <t xml:space="preserve">424_2108_통합민원과_업무매뉴얼_행정안전부_정보공개운영안내서.pdf (p.69)
</t>
    </r>
    <r>
      <rPr>
        <rFont val="맑은 고딕"/>
        <color rgb="FF000000"/>
        <sz val="11.0"/>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</si>
  <si>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</si>
  <si>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rgb="FF000000"/>
        <sz val="11.0"/>
      </rPr>
      <t xml:space="preserve">424_2108_통합민원과_업무매뉴얼_행정안전부_정보공개운영안내서.pdf (p.227)
----
</t>
    </r>
    <r>
      <rPr>
        <rFont val="맑은 고딕"/>
        <color rgb="FF000000"/>
        <sz val="11.0"/>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</si>
  <si>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정보공개법에 따른 정보공개 청구 처리 기한은 며칠인가요?</t>
  </si>
  <si>
    <t>정보공개법에 따라 정보공개 청구가 접수된 후, 기관이 결정·통지해야 하는 법정 처리 기한은 얼마인가요?</t>
  </si>
  <si>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</si>
  <si>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</si>
  <si>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100</t>
  </si>
  <si>
    <t>�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 청구관리 &gt; 부서청구관리 &gt; 청구제목 선택(상세조회) &gt; 정보부존재 선택</t>
  </si>
  <si>
    <t>「공직자윤리법」에 따라 재산등록 대상자에 해당하는 공무원의 신고 의무와 절차는 어떻게 되나요?</t>
  </si>
  <si>
    <t>「공직자윤리법」에 따른 재산등록 의무 대상 공무원은 어떤 기준으로 결정되며, 최초등록·정기등록·변동신고 등 각 신고 유형별 제출 대상 재산 범위와 처리 절차는 어떻게 구분되나요?</t>
  </si>
  <si>
    <t>청탁금지법상 공무원이 받을 수 없는 금품 등의 기준은 어떻게 되며, 예외 사항은 어떤 경우인가요?</t>
  </si>
  <si>
    <t>청탁금지법에 따라 공무원이 수수할 수 없는 금품의 금지 기준은 어떻게 정해지며, 법에서 허용하는 예외 유형은 어떤 경우에 해당하나요?</t>
  </si>
  <si>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</si>
  <si>
    <t>미답변 처리
  &gt; 감사담당관, 청렴담당관 제출자료 미해당으로 제외</t>
  </si>
  <si>
    <r>
      <rPr>
        <rFont val="맑은 고딕"/>
        <b/>
        <color theme="1"/>
        <sz val="11.0"/>
      </rPr>
      <t>1155_페이지116_문서5_164215_부산광역시_부정청탁_및_금품등_수수의_신고사무_처리_지침.pdf[]</t>
    </r>
    <r>
      <rPr>
        <rFont val="맑은 고딕"/>
        <color theme="1"/>
        <sz val="11.0"/>
      </rPr>
      <t xml:space="preserve">
-----
</t>
    </r>
    <r>
      <rPr>
        <rFont val="맑은 고딕"/>
        <color rgb="FFFF0000"/>
        <sz val="11.0"/>
      </rPr>
      <t>[답변불가]
신고사무 처리 절차에 관한 내용으로, 금품 수수 기준과 예외사항은 포함되어 있지 않습니다.</t>
    </r>
  </si>
  <si>
    <t>지방공무원법 및 내부 규정에 따라 겸직이나 외부강의 시 사전 신고가 필요한 경우는 어떤 때이며, 절차는 어떻게 되나요?</t>
  </si>
  <si>
    <t>「지방공무원법」 및 관련 내부 규정에 따라 공무원이 겸직 또는 외부강의를 수행할 때, 사전 신고가 필요한 구체적 요건과 신고 절차는 어떻게 되나요?</t>
  </si>
  <si>
    <r>
      <rPr>
        <rFont val="Malgun Gothic"/>
        <color theme="1"/>
        <sz val="11.0"/>
      </rP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rFont val="맑은 고딕"/>
        <b/>
        <color theme="1"/>
        <sz val="11.0"/>
      </rPr>
      <t xml:space="preserve">   &gt; </t>
    </r>
    <r>
      <rPr>
        <rFont val="맑은 고딕"/>
        <color theme="1"/>
        <sz val="11.0"/>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</si>
  <si>
    <t>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&gt; 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</si>
  <si>
    <t>1251_지방공무원의_영리업무_및_겸직_금지_의무_강조.pdf
1224_외부강의등_신고_중요사항_알림.pdf</t>
  </si>
  <si>
    <t>1
1</t>
  </si>
  <si>
    <t>지방공무원법 및 내부 규정에 따른 공무원 겸직, 외부강의 시 사전 신고에 대한 구체적인 요건과 신고 절차 안내
지방공무원법 및 내부 규정에 따른 공무원 겸직, 외부강의 시 사전 신고에 대한 구체적인 요건과 신고 절차 안내</t>
  </si>
  <si>
    <r>
      <rPr>
        <rFont val="맑은 고딕"/>
        <b/>
        <color theme="1"/>
        <sz val="11.0"/>
      </rPr>
      <t>1251_지방공무원의_영리업무_및_겸직_금지_의무_강조.pdf[1]</t>
    </r>
    <r>
      <rPr>
        <rFont val="맑은 고딕"/>
        <color theme="1"/>
        <sz val="11.0"/>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rFont val="Ebrima"/>
        <color theme="1"/>
        <sz val="11.0"/>
      </rPr>
      <t>ߵ</t>
    </r>
    <r>
      <rPr>
        <rFont val="맑은 고딕"/>
        <color theme="1"/>
        <sz val="11.0"/>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</si>
  <si>
    <r>
      <rPr>
        <rFont val="맑은 고딕"/>
        <b/>
        <color theme="1"/>
        <sz val="11.0"/>
      </rPr>
      <t>1224_외부강의등_신고_중요사항_알림.pdf[1]</t>
    </r>
    <r>
      <rPr>
        <rFont val="맑은 고딕"/>
        <color theme="1"/>
        <sz val="11.0"/>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rFont val="Yu Gothic"/>
        <color theme="1"/>
        <sz val="11.0"/>
      </rPr>
      <t>･</t>
    </r>
    <r>
      <rPr>
        <rFont val="맑은 고딕"/>
        <color theme="1"/>
        <sz val="11.0"/>
      </rPr>
      <t>직책 등에서 유래되는 사실상의 영향력을 통하여 요청받은
 교육</t>
    </r>
    <r>
      <rPr>
        <rFont val="Yu Gothic"/>
        <color theme="1"/>
        <sz val="11.0"/>
      </rPr>
      <t>･</t>
    </r>
    <r>
      <rPr>
        <rFont val="맑은 고딕"/>
        <color theme="1"/>
        <sz val="11.0"/>
      </rPr>
      <t>홍보</t>
    </r>
    <r>
      <rPr>
        <rFont val="Yu Gothic"/>
        <color theme="1"/>
        <sz val="11.0"/>
      </rPr>
      <t>･</t>
    </r>
    <r>
      <rPr>
        <rFont val="맑은 고딕"/>
        <color theme="1"/>
        <sz val="11.0"/>
      </rPr>
      <t>토론회</t>
    </r>
    <r>
      <rPr>
        <rFont val="Yu Gothic"/>
        <color theme="1"/>
        <sz val="11.0"/>
      </rPr>
      <t>･</t>
    </r>
    <r>
      <rPr>
        <rFont val="맑은 고딕"/>
        <color theme="1"/>
        <sz val="11.0"/>
      </rPr>
      <t>세미나</t>
    </r>
    <r>
      <rPr>
        <rFont val="Yu Gothic"/>
        <color theme="1"/>
        <sz val="11.0"/>
      </rPr>
      <t>･</t>
    </r>
    <r>
      <rPr>
        <rFont val="맑은 고딕"/>
        <color theme="1"/>
        <sz val="11.0"/>
      </rPr>
      <t>공청회 또는 그 밖의 회의 등에서 한 강의</t>
    </r>
    <r>
      <rPr>
        <rFont val="Yu Gothic"/>
        <color theme="1"/>
        <sz val="11.0"/>
      </rPr>
      <t>･</t>
    </r>
    <r>
      <rPr>
        <rFont val="맑은 고딕"/>
        <color theme="1"/>
        <sz val="11.0"/>
      </rPr>
      <t>강연</t>
    </r>
    <r>
      <rPr>
        <rFont val="Yu Gothic"/>
        <color theme="1"/>
        <sz val="11.0"/>
      </rPr>
      <t>･</t>
    </r>
    <r>
      <rPr>
        <rFont val="맑은 고딕"/>
        <color theme="1"/>
        <sz val="11.0"/>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</si>
  <si>
    <t>공식행사, 외교, 정부행사 추진시 의전방법은 어떻게 되나요?</t>
  </si>
  <si>
    <t>공식행사·외교행사·정부행사 추진 시 적용해야 하는 의전 기준과 절차는 무엇인가요?</t>
  </si>
  <si>
    <r>
      <rPr>
        <rFont val="Malgun Gothic"/>
        <color theme="1"/>
        <sz val="11.0"/>
      </rPr>
      <t xml:space="preserve">관련 근거 : 부산시 방문 주요 인사 의전 매뉴얼 수립 보고자료(공문)
 - 부산시 의전실무 매뉴얼은 참고만 했습니다
기대답변 :
행사 전(행사 주관부서)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전(의전부서 총무과)
</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영 접(행사 주관부서)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영 접(총무과)
</t>
    </r>
    <r>
      <rPr>
        <rFont val="Segoe UI Symbol"/>
        <color theme="1"/>
        <sz val="11.0"/>
      </rPr>
      <t>▸</t>
    </r>
    <r>
      <rPr>
        <rFont val="맑은 고딕"/>
        <color theme="1"/>
        <sz val="11.0"/>
      </rPr>
      <t xml:space="preserve"> 영접위치, 참석자 복장, 하차·주차 공간 등 확인
영 접(대변인실)
</t>
    </r>
    <r>
      <rPr>
        <rFont val="Segoe UI Symbol"/>
        <color theme="1"/>
        <sz val="11.0"/>
      </rPr>
      <t>▸</t>
    </r>
    <r>
      <rPr>
        <rFont val="맑은 고딕"/>
        <color theme="1"/>
        <sz val="11.0"/>
      </rPr>
      <t xml:space="preserve"> 방문 기념사진 촬영
이 동(의전부서 총무과)
 </t>
    </r>
    <r>
      <rPr>
        <rFont val="Segoe UI Symbol"/>
        <color theme="1"/>
        <sz val="11.0"/>
      </rPr>
      <t>▸</t>
    </r>
    <r>
      <rPr>
        <rFont val="맑은 고딕"/>
        <color theme="1"/>
        <sz val="11.0"/>
      </rPr>
      <t xml:space="preserve"> 지정 EV 담당 직원 소통, 동선 안내 등 지원
행사 진행(행사 주관부서)
</t>
    </r>
    <r>
      <rPr>
        <rFont val="Segoe UI Symbol"/>
        <color theme="1"/>
        <sz val="11.0"/>
      </rPr>
      <t>▸</t>
    </r>
    <r>
      <rPr>
        <rFont val="맑은 고딕"/>
        <color theme="1"/>
        <sz val="11.0"/>
      </rPr>
      <t xml:space="preserve"> 행사장 상황 공유를 통한 주요 인사 이동시간 공유
행사 진행(기획관실)
</t>
    </r>
    <r>
      <rPr>
        <rFont val="Segoe UI Symbol"/>
        <color theme="1"/>
        <sz val="11.0"/>
      </rPr>
      <t>▸</t>
    </r>
    <r>
      <rPr>
        <rFont val="맑은 고딕"/>
        <color theme="1"/>
        <sz val="11.0"/>
      </rPr>
      <t xml:space="preserve"> 시정 보고자료, 지역현안 건의사항 등 지원
행사 진행(총무과)
</t>
    </r>
    <r>
      <rPr>
        <rFont val="Segoe UI Symbol"/>
        <color theme="1"/>
        <sz val="11.0"/>
      </rPr>
      <t>▸</t>
    </r>
    <r>
      <rPr>
        <rFont val="맑은 고딕"/>
        <color theme="1"/>
        <sz val="11.0"/>
      </rPr>
      <t xml:space="preserve"> 퇴청 동선 지속 확인
환 송(행사 주관부서)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환 송(총무과)
</t>
    </r>
    <r>
      <rPr>
        <rFont val="Segoe UI Symbol"/>
        <color theme="1"/>
        <sz val="11.0"/>
      </rPr>
      <t>▸</t>
    </r>
    <r>
      <rPr>
        <rFont val="맑은 고딕"/>
        <color theme="1"/>
        <sz val="11.0"/>
      </rPr>
      <t xml:space="preserve"> 퇴청 및 차량 탑승 안내 등
환 송(대변인실)
</t>
    </r>
    <r>
      <rPr>
        <rFont val="Segoe UI Symbol"/>
        <color theme="1"/>
        <sz val="11.0"/>
      </rPr>
      <t>▸</t>
    </r>
    <r>
      <rPr>
        <rFont val="맑은 고딕"/>
        <color theme="1"/>
        <sz val="11.0"/>
      </rPr>
      <t xml:space="preserve"> 필요시 보도자료 배포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
</t>
    </r>
  </si>
  <si>
    <t>만약에 흐름도 인식이 제대로 안된다고 하면 
 아래와 같이 답변하고 링크 제공을 하는것으로 변경하면 될 것 같습니다.
 흐름도 인식이 된다고 해도 참조문서에 의전실무 매뉴얼도 같이 나왔으면 합니다.
 &gt; 공식행사, 외교, 정부행사 등 주요 의전에 관한 방법은 아래 링크 문서를 참고해서 진행하시면 됩니다.
 &gt; 참조문서 : 2505_총무과_공문_부산시 방문 주요 인사 의전 매뉴얼 수립 보고자료, 416_2505_총무과_매뉴얼_부산시 의전실무 매뉴얼
 기대답변:
 행사 전(행사 주관부서)
 ▸ 방문 인사 및 동행인 정보(차량, 연락처) 확인
 ▸ 총무과에 행사내용 공유, 영접 부분 협의
 ▸ 의전계획 수립 후 행사보고서에 첨부
 행사 전(의전부서 총무과)
 ▸ 영접 총괄 검토(참석간부, 퍼포먼스 여부 등)
 ▸ 방문 인사 이동차량 배차, 공항 주차장 등 지원
 ▸ 승·하차, 주차, EV, 대기실, 환경정비 상태 등 확인
 영 접(행사 주관부서)
 ▸ 방문 인사 도착시간 확인, 영접 참석간부 지정
 ▸ 필요시 환영 퍼포먼스(꽃다발 증정 등) 실시
 ▸ 외국 인사의 경우 통역인 배치 여부 확인
 영 접(총무과)
 ▸ 영접위치, 참석자 복장, 하차·주차 공간 등 확인
 영 접(대변인실)
 ▸ 방문 기념사진 촬영
 이 동(의전부서 총무과)
  ▸ 지정 EV 담당 직원 소통, 동선 안내 등 지원
 행사 진행(행사 주관부서)
 ▸ 행사장 상황 공유를 통한 주요 인사 이동시간 공유
 행사 진행(기획관실)
 ▸ 시정 보고자료, 지역현안 건의사항 등 지원
 행사 진행(총무과)
 ▸ 퇴청 동선 지속 확인
 환 송(행사 주관부서)
 ▸ 환송 참석간부 및 직원 확인
 ▸ 필요시 퍼포먼스(기념품·기념사진첩 증정) 실시
 환 송(총무과)
 ▸ 퇴청 및 차량 탑승 안내 등
 환 송(대변인실)
 ▸ 필요시 보도자료 배포
 &lt;기타 의전지원 방안&gt;
 ❖ [사전환담 또는 대기] 방문 인사 이동시간 공유 (행사부서) / 동선 안내 지원(총무과)
 ❖ [오찬, 현장실사 등] 메뉴선정, 현장준비, 주차확인 (행사부서) / 좌석배치 확인(총무과)
 * 우천 등 기상상황을 고려하여 우산(우비), 손난로, 현장 텐트 설치 등 준비 철저</t>
  </si>
  <si>
    <t>415_2505_총무과_공문_부산시_방문_주요_인사_의전_매뉴얼_수립_보고자료.pdf
416_2505_총무과_매뉴얼_부산시_의전실무_매뉴얼.pdf</t>
  </si>
  <si>
    <t>4
7</t>
  </si>
  <si>
    <r>
      <rPr>
        <rFont val="Malgun Gothic"/>
        <color theme="1"/>
        <sz val="11.0"/>
      </rPr>
      <t xml:space="preserve">전체 참고 
&gt; 문서 전체 (82페이지)
---------
</t>
    </r>
    <r>
      <rPr>
        <rFont val="Arial"/>
        <color rgb="FF0432FF"/>
        <sz val="11.0"/>
      </rPr>
      <t xml:space="preserve">
[문서 확인해서 Top5내 포함될 내용을 넘어서면 논의 필요]</t>
    </r>
    <r>
      <rPr>
        <rFont val="Arial"/>
        <color theme="1"/>
        <sz val="11.0"/>
      </rPr>
      <t xml:space="preserve">
</t>
    </r>
    <r>
      <rPr>
        <rFont val="Arial"/>
        <color rgb="FF00B050"/>
        <sz val="11.0"/>
      </rPr>
      <t xml:space="preserve">&gt;&gt; 수립 보고 자료는 4P 흐름도만 참조
- </t>
    </r>
    <r>
      <rPr>
        <rFont val="Arial"/>
        <color rgb="FFFF0000"/>
        <sz val="11.0"/>
      </rPr>
      <t>전처리된 내용도 그렇고 흐름도를 제대로 파악하지 못할 가능성이 매우 높습니다</t>
    </r>
    <r>
      <rPr>
        <rFont val="Arial"/>
        <color rgb="FF00B050"/>
        <sz val="11.0"/>
      </rPr>
      <t xml:space="preserve">
&gt;&gt; 의전 실무 매뉴얼은 7P의 PART 2: 행사 운영과 진행관리 1번(단계별 행사준비 및 일정관리)부터 10번(각종 인사말씀) 차례만 참조해서 생성
&gt;&gt; 세부적인 내용은 링크 참조</t>
    </r>
  </si>
  <si>
    <r>
      <rPr>
        <rFont val="맑은 고딕"/>
        <b/>
        <color theme="1"/>
        <sz val="11.0"/>
      </rPr>
      <t>415_2505_총무과_공문_부산시_방문_주요_인사_의전_매뉴얼_수립_보고자료.pdf[4]</t>
    </r>
    <r>
      <rPr>
        <rFont val="맑은 고딕"/>
        <color theme="1"/>
        <sz val="11.0"/>
      </rPr>
      <t xml:space="preserve">
-----
</t>
    </r>
    <r>
      <rPr>
        <rFont val="맑은 고딕"/>
        <color rgb="FFFF0000"/>
        <sz val="11.0"/>
      </rPr>
      <t xml:space="preserve">[연결된 표의 형태가 아니라 정상적인 흐름의 인식이 되지 않음]
</t>
    </r>
    <r>
      <rPr>
        <rFont val="맑은 고딕"/>
        <color theme="1"/>
        <sz val="11.0"/>
      </rPr>
      <t xml:space="preserve">
Ⅱ 의전 흐름도(매뉴얼)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주관부서</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의전부서(총무과)
</t>
    </r>
    <r>
      <rPr>
        <rFont val="Cambria Math"/>
        <color theme="1"/>
        <sz val="11.0"/>
      </rPr>
      <t>⇓</t>
    </r>
    <r>
      <rPr>
        <rFont val="맑은 고딕"/>
        <color theme="1"/>
        <sz val="11.0"/>
      </rPr>
      <t xml:space="preserve">
영 접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행사
주관부서</t>
    </r>
    <r>
      <rPr>
        <rFont val="Segoe UI Symbol"/>
        <color theme="1"/>
        <sz val="11.0"/>
      </rPr>
      <t>▸</t>
    </r>
    <r>
      <rPr>
        <rFont val="맑은 고딕"/>
        <color theme="1"/>
        <sz val="11.0"/>
      </rPr>
      <t xml:space="preserve"> 영접위치, 참석자 복장, 하차·주차 공간 등 확인 총무과</t>
    </r>
    <r>
      <rPr>
        <rFont val="Segoe UI Symbol"/>
        <color theme="1"/>
        <sz val="11.0"/>
      </rPr>
      <t>▸</t>
    </r>
    <r>
      <rPr>
        <rFont val="맑은 고딕"/>
        <color theme="1"/>
        <sz val="11.0"/>
      </rPr>
      <t xml:space="preserve"> 방문 기념사진 촬영 대변인실</t>
    </r>
    <r>
      <rPr>
        <rFont val="Cambria Math"/>
        <color theme="1"/>
        <sz val="11.0"/>
      </rPr>
      <t>⇓</t>
    </r>
    <r>
      <rPr>
        <rFont val="맑은 고딕"/>
        <color theme="1"/>
        <sz val="11.0"/>
      </rPr>
      <t xml:space="preserve">
이 동 </t>
    </r>
    <r>
      <rPr>
        <rFont val="Segoe UI Symbol"/>
        <color theme="1"/>
        <sz val="11.0"/>
      </rPr>
      <t>▸</t>
    </r>
    <r>
      <rPr>
        <rFont val="맑은 고딕"/>
        <color theme="1"/>
        <sz val="11.0"/>
      </rPr>
      <t xml:space="preserve"> 지정 EV 담당 직원 소통, 동선 안내 등 지원 의전부서(총무과)
</t>
    </r>
    <r>
      <rPr>
        <rFont val="Cambria Math"/>
        <color theme="1"/>
        <sz val="11.0"/>
      </rPr>
      <t>⇓</t>
    </r>
    <r>
      <rPr>
        <rFont val="맑은 고딕"/>
        <color theme="1"/>
        <sz val="11.0"/>
      </rPr>
      <t xml:space="preserve">
행사 진행
</t>
    </r>
    <r>
      <rPr>
        <rFont val="Segoe UI Symbol"/>
        <color theme="1"/>
        <sz val="11.0"/>
      </rPr>
      <t>▸</t>
    </r>
    <r>
      <rPr>
        <rFont val="맑은 고딕"/>
        <color theme="1"/>
        <sz val="11.0"/>
      </rPr>
      <t xml:space="preserve"> 행사장 상황 공유를 통한 주요 인사 이동시간 공유 행사
주관부서</t>
    </r>
    <r>
      <rPr>
        <rFont val="Segoe UI Symbol"/>
        <color theme="1"/>
        <sz val="11.0"/>
      </rPr>
      <t>▸</t>
    </r>
    <r>
      <rPr>
        <rFont val="맑은 고딕"/>
        <color theme="1"/>
        <sz val="11.0"/>
      </rPr>
      <t xml:space="preserve"> 시정 보고자료, 지역현안 건의사항 등 지원 기획관실</t>
    </r>
    <r>
      <rPr>
        <rFont val="Segoe UI Symbol"/>
        <color theme="1"/>
        <sz val="11.0"/>
      </rPr>
      <t>▸</t>
    </r>
    <r>
      <rPr>
        <rFont val="맑은 고딕"/>
        <color theme="1"/>
        <sz val="11.0"/>
      </rPr>
      <t xml:space="preserve"> 퇴청 동선 지속 확인 총무과</t>
    </r>
    <r>
      <rPr>
        <rFont val="Cambria Math"/>
        <color theme="1"/>
        <sz val="11.0"/>
      </rPr>
      <t>⇓</t>
    </r>
    <r>
      <rPr>
        <rFont val="맑은 고딕"/>
        <color theme="1"/>
        <sz val="11.0"/>
      </rPr>
      <t xml:space="preserve">
환 송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행사
주관부서</t>
    </r>
    <r>
      <rPr>
        <rFont val="Segoe UI Symbol"/>
        <color theme="1"/>
        <sz val="11.0"/>
      </rPr>
      <t>▸</t>
    </r>
    <r>
      <rPr>
        <rFont val="맑은 고딕"/>
        <color theme="1"/>
        <sz val="11.0"/>
      </rPr>
      <t xml:space="preserve"> 퇴청 및 차량 탑승 안내 등 총무과</t>
    </r>
    <r>
      <rPr>
        <rFont val="Segoe UI Symbol"/>
        <color theme="1"/>
        <sz val="11.0"/>
      </rPr>
      <t>▸</t>
    </r>
    <r>
      <rPr>
        <rFont val="맑은 고딕"/>
        <color theme="1"/>
        <sz val="11.0"/>
      </rPr>
      <t xml:space="preserve"> 필요시 보도자료 배포 대변인실</t>
    </r>
  </si>
  <si>
    <t>신규사업을 추진하고자 할때 사전에 심의받아야 하는 절차는 어떤것들이 있나요?</t>
  </si>
  <si>
    <t>신규 사업을 추진하려는 경우, 관련 법령 및 내부 규정에 따라 사전에 거쳐야 하는 각종 심의·협의·검토 절차는 어떻게 되나요?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</si>
  <si>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</si>
  <si>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r>
      <rPr>
        <rFont val="Malgun Gothic"/>
        <color rgb="FFFF0000"/>
        <sz val="11.0"/>
      </rPr>
      <t>(우선 아래와 같이 작업하였으나 질문을 똑같이 복사해서 붙여 넣어도 안걸림... 무슨짓을 해도 안걸림...)</t>
    </r>
    <r>
      <rPr>
        <rFont val="Malgun Gothic"/>
        <color theme="1"/>
        <sz val="11.0"/>
      </rPr>
      <t xml:space="preserve">
예산 편성 절차 관련 사업비별 사전 이행 절차와 과정, 통계목별 필수 예산 심의 사전절차와 과정, 신규 사업 추진을 위한 사전 심의 절차 안내, 예산 편성시 총사업비와 국비사업비 금액에 따른 사전절차 안내</t>
    </r>
  </si>
  <si>
    <t>시에서 주관하는 행사 등 추진 시 홍보 광고물 설치 절차는 어떻게 되나요?</t>
  </si>
  <si>
    <t>시에서 주관하는 행사를 진행할 때, 현수막·입간판 등 홍보‧광고물을 설치하기 위해 필요한 사전 승인 절차는 무엇인가요?</t>
  </si>
  <si>
    <r>
      <rPr>
        <rFont val="Malgun Gothic"/>
        <color theme="1"/>
        <sz val="11.0"/>
      </rPr>
      <t xml:space="preserve">관련 근거 : 미디어담당관 콘텐츠기획팀 업무관련FAQ, 미디어담당관 콘텐츠기획팀 홍보 요청 절차ver4
기대답변 :
</t>
    </r>
    <r>
      <rPr>
        <rFont val="맑은 고딕"/>
        <b/>
        <color theme="1"/>
        <sz val="11.0"/>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</si>
  <si>
    <t>표 흐름도 인식이 어려우면 아래 답변으로 변경 바랍니다.
 기대답변:
 SNS 외 다양한 매체 통합 홍보가 필요한 경우, SNS 매체에만 홍보가 필요한 경우 아래 첨부파일을 참고하시면 됩니다.
 링크 : 미디어담당관 콘텐츠기획팀 홍보 요청 절차ver4</t>
  </si>
  <si>
    <t>□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t>
  </si>
  <si>
    <r>
      <rPr>
        <rFont val="맑은 고딕"/>
        <b/>
        <color theme="1"/>
        <sz val="11.0"/>
      </rPr>
      <t>89_2504_미디어담당관_업무매뉴얼_미디어담당관_콘텐츠기획팀_홍보_요청_절차ver4.pdf[1]</t>
    </r>
    <r>
      <rPr>
        <rFont val="맑은 고딕"/>
        <color theme="1"/>
        <sz val="11.0"/>
      </rPr>
      <t xml:space="preserve">
-----</t>
    </r>
    <r>
      <rPr>
        <rFont val="맑은 고딕"/>
        <color rgb="FFFF0000"/>
        <sz val="11.0"/>
      </rPr>
      <t xml:space="preserve">
[그림 형태로 되어 있는 글을 인식하기는 어려움. 화살표 내용에 대한 인지가 되지 않음]</t>
    </r>
    <r>
      <rPr>
        <rFont val="맑은 고딕"/>
        <color theme="1"/>
        <sz val="11.0"/>
      </rPr>
      <t xml:space="preserve">
</t>
    </r>
    <r>
      <rPr>
        <rFont val="맑은 고딕"/>
        <color theme="1"/>
        <sz val="11.0"/>
      </rPr>
      <t xml:space="preserve">콘텐츠기획팀 홍보 요청 절차(매뉴얼)
□ SNS 홍보 업무 절차
SNS 외
다양한 매체
통합 홍보가
필요한 경우
정책 홍보 </t>
    </r>
    <r>
      <rPr>
        <rFont val="Cambria Math"/>
        <color theme="1"/>
        <sz val="11.0"/>
      </rPr>
      <t>⇘</t>
    </r>
    <r>
      <rPr>
        <rFont val="맑은 고딕"/>
        <color theme="1"/>
        <sz val="11.0"/>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rFont val="Cambria Math"/>
        <color theme="1"/>
        <sz val="11.0"/>
      </rPr>
      <t>⇑</t>
    </r>
    <r>
      <rPr>
        <rFont val="맑은 고딕"/>
        <color theme="1"/>
        <sz val="11.0"/>
      </rPr>
      <t xml:space="preserve">
콘텐츠(카드뉴스, 릴스 등) 제작
및 SNS 이벤트
⇒
콘텐츠 제작 계획
및 이벤트 내용·예산
선협의 </t>
    </r>
  </si>
  <si>
    <t>공사, 용역, 물품 등 구입시 조달청을 통한 계약 절차는 어떻게 되나요?</t>
  </si>
  <si>
    <t>공사·용역·물품을 조달청을 통해 구매할 때, 의뢰부터 계약 체결·검수·대금지급까지 단계별로 어떤 절차를 거치나요?</t>
  </si>
  <si>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</si>
  <si>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</si>
  <si>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</si>
  <si>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용역, 공사 조달청 계약 절차에 대한 내용은 없습니다. 자세한 사항은 관련 부서나 업무 담당자에게 문의하시기 바랍니다.</t>
  </si>
  <si>
    <t>19</t>
  </si>
  <si>
    <t>물품계약 길라잡이: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
 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t>
  </si>
  <si>
    <t>조달청에서 공사, 용역, 물품 구입 절차 안내, e호조</t>
  </si>
  <si>
    <t>예산편성을 위한 신규사업 사전이행절차 안내(사업종류, 사업금액별)</t>
  </si>
  <si>
    <t>예산 편성을 위해 신규사업을 추진할 때, 사업 유형과 사업비 규모별로 요구되는 사전 절차(내부 심의·검토·승인 등)는 무엇인가요?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</si>
  <si>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</si>
  <si>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공유재산 신규 등록 및 관리 방법 안내</t>
  </si>
  <si>
    <t>지방자치단체에서 취득한 공유재산을 신규 등록할 때 방법은 무엇이며, 이후 정기적인 관리(대장 정비, 재물조사, 변동보고 등)는 어떤 기준과 일정에 따라 수행해야 하나요?</t>
  </si>
  <si>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</si>
  <si>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</si>
  <si>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</si>
  <si>
    <t>공유재산 위탁운영관리 절차 안내</t>
  </si>
  <si>
    <t>공유재산을 민간 등에 위탁하여 운영하고자 할 때, 사전에 준비해야 하는 내부 검토와 승인 절차, 그리고 위탁계약 체결 후 관리·감독 단계별 의무는 무엇인가요?</t>
  </si>
  <si>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</si>
  <si>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</si>
  <si>
    <t>프린터 드라이버 설치 및 오류조치방법</t>
  </si>
  <si>
    <t>프린터 드라이버 설치 과정과 오류 발생 시 단계별 조치 방법은 무엇인가요?</t>
  </si>
  <si>
    <t>스캐너 설정 및 사용방법</t>
  </si>
  <si>
    <t>스캐너 장비를 신규로 설치하거나 설정값을 변경해야 할 때, 드라이버 설치부터 프로그램 설정·스캔 오류 조치까지의 전체 절차는 어떻게 되나요?</t>
  </si>
  <si>
    <t>빅데이터과 보유데이터 중 부서활용가능한 데이터 종류</t>
  </si>
  <si>
    <t>부산광역시 빅데이터과에서 보유하고 있는 데이터 중, 부서별로 활용할 수 있는 데이터 종류에 대해 알려주세요.</t>
  </si>
  <si>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</si>
  <si>
    <t>ㆍ135_2212_빅데이터과_정책연구용역보고서_부산광역시_동백전_요약보고서.pdf (p.14)
https://busanai.busan.go.kr/download/135_2212_빅데이터과_정책연구용역보고서_부산광역시_동백전_요약보고서.pdf</t>
  </si>
  <si>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</si>
  <si>
    <t>표 내용을 제대로 인식할 수 있는지 확인 바랍니다.
 기대답변 :
 부산광역시 빅데이터과에서 보유하고 있는 데이터 중 부서별로 활용할 수 있는 데이터 종류는 다음과 같습니다:
 1. 부산시 및 유관기관 데이터 (16,323건)
  - 부산시, 직속, 사업소 (공공행정 등 15개 분야)
  &gt; 버스정보, 대기질, 제조업등록, 명소, 축제, 맛집, 인구 등 (6,826건)
  &gt; 내부수집, 분석 융합, 구매 데이터 (1,496건)
  - 구·군
  &gt; 숙박, 병의원, 빈집, 아동복지, 노인복지 시설 등 (1,998건)
  - 공사·공단
  &gt; 관광공사, 교통공사, 도시공사, 시설공단, 환경공단 등
  &gt; 숙박, 관광시설, 관광지 유동인구, 지하철 운행정보, 승하차 인원, 임대주택, 청년매입임대, 공영주차장, 수질 측정 등 (166건)
  - 부산연구원 연구보고서 (2,701건)
  - 통계청 부산 통계 데이터
  &gt; 주민등록인구, 일자리종합실태 등 (3,136건)
 2. 전국 지자체 및 행정안전부 메타데이터 (129,141건)
  - 전국 지자체 및 행정안전부 메타데이터
  - 21대 빅데이터 플랫폼
  - 개방표준 데이터
 이러한 데이터는 부서별로 다양한 분야에 활용될 수 있으며, 예를 들어 교통부서는 버스정보 및 지하철 운행정보를 활용할 수 있고, 환경부서는 대기질 및 수질 측정 데이터를 활용할 수 있습니다. 또한, 관광부서는 숙박 및 관광시설 데이터를 활용하여 관광 정책을 수립할 수 있습니다.</t>
  </si>
  <si>
    <t>참고2 주요성과 중 데이터 수집 표 항목 참조
 m 데이터 수집(14만 5천여건) ‣ 부산시, 구․군, 유관기관 1만6천여건, 전국 메타데이터 등 13만여건
 구 분 주요 데이터 건 수
 합 계 145,464
 부산시 및 유관기관 소계 16,323
 부산시, 직속,사업소(공공행정 등 15개분야) 버스정보, 대기질, 제조업등록, 명소, 축제, 맛집, 인구 등 6,826
 내부수집, 분석 융합, 구매 데이터 1,496
 구˙군 숙박, 병의원, 빈집, 아동복지, 노인복지 시설 등 1,998
 공사
 ·
 공단
 관광공사, 교통공사,도시공사,
 시설공단, 환경공단 등
 숙박, 관광시설, 관광지 유동인구, 지하철 운행정보,
 승하차인원, 임대주택, 청년매입임대, 공영주차장, 수질 측정 등 166
 부산연구원 연구보고서 2,701
 통계청 부산 통계 데이터, 주민등록인구, 일자리종합실태 등 3,136
 전국 지자체, 행정안전부 메타데이터, 21대 빅데이터플랫폼, 개방표준 129,141</t>
  </si>
  <si>
    <t>빅데이터과 보유 데이터 중 부서 활용 가능한 데이터 종류</t>
  </si>
  <si>
    <r>
      <rPr>
        <rFont val="맑은 고딕"/>
        <b/>
        <color theme="1"/>
        <sz val="11.0"/>
      </rPr>
      <t>170_2503_빅데이터과_업무매뉴얼_빅데이터과_빅데이터과바인더</t>
    </r>
    <r>
      <rPr>
        <rFont val="맑은 고딕"/>
        <color theme="1"/>
        <sz val="11.0"/>
      </rPr>
      <t xml:space="preserve">
-----
</t>
    </r>
    <r>
      <rPr>
        <rFont val="맑은 고딕"/>
        <color rgb="FFFF0000"/>
        <sz val="11.0"/>
      </rPr>
      <t xml:space="preserve">[검토필요] 통계서비스 내용
별도로 문서 리스트를 제공해야 하는 것인지? 아니면 리스트 구성을 해서 전달하면 되는 것인지? 
</t>
    </r>
    <r>
      <rPr>
        <rFont val="맑은 고딕"/>
        <color theme="1"/>
        <sz val="11.0"/>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rFont val="MS Mincho"/>
        <color theme="1"/>
        <sz val="11.0"/>
      </rPr>
      <t>․</t>
    </r>
    <r>
      <rPr>
        <rFont val="맑은 고딕"/>
        <color theme="1"/>
        <sz val="11.0"/>
      </rPr>
      <t>복지(18), 교육</t>
    </r>
    <r>
      <rPr>
        <rFont val="MS Mincho"/>
        <color theme="1"/>
        <sz val="11.0"/>
      </rPr>
      <t>․</t>
    </r>
    <r>
      <rPr>
        <rFont val="맑은 고딕"/>
        <color theme="1"/>
        <sz val="11.0"/>
      </rPr>
      <t>노동(11), 여가(4), 주거</t>
    </r>
    <r>
      <rPr>
        <rFont val="MS Mincho"/>
        <color theme="1"/>
        <sz val="11.0"/>
      </rPr>
      <t>․</t>
    </r>
    <r>
      <rPr>
        <rFont val="맑은 고딕"/>
        <color theme="1"/>
        <sz val="11.0"/>
      </rPr>
      <t>교통(11),
범죄</t>
    </r>
    <r>
      <rPr>
        <rFont val="MS Mincho"/>
        <color theme="1"/>
        <sz val="11.0"/>
      </rPr>
      <t>․</t>
    </r>
    <r>
      <rPr>
        <rFont val="맑은 고딕"/>
        <color theme="1"/>
        <sz val="11.0"/>
      </rPr>
      <t>안전(6), 경제일반(14), 농림수산</t>
    </r>
    <r>
      <rPr>
        <rFont val="MS Mincho"/>
        <color theme="1"/>
        <sz val="11.0"/>
      </rPr>
      <t>․</t>
    </r>
    <r>
      <rPr>
        <rFont val="맑은 고딕"/>
        <color theme="1"/>
        <sz val="11.0"/>
      </rPr>
      <t>제조</t>
    </r>
    <r>
      <rPr>
        <rFont val="MS Mincho"/>
        <color theme="1"/>
        <sz val="11.0"/>
      </rPr>
      <t>․</t>
    </r>
    <r>
      <rPr>
        <rFont val="맑은 고딕"/>
        <color theme="1"/>
        <sz val="11.0"/>
      </rPr>
      <t>서비스(11),
환경</t>
    </r>
    <r>
      <rPr>
        <rFont val="MS Mincho"/>
        <color theme="1"/>
        <sz val="11.0"/>
      </rPr>
      <t>․</t>
    </r>
    <r>
      <rPr>
        <rFont val="맑은 고딕"/>
        <color theme="1"/>
        <sz val="11.0"/>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</si>
  <si>
    <t>휴직자 급여 보험료 납부여부를 알려주세요.(보수 전반에 관한 내용)</t>
  </si>
  <si>
    <t>휴직 기간 중 급여 지급과 관련하여 건강보험·연금 등 각종 보험료의 납부 기준은 어떻게 적용되나요?</t>
  </si>
  <si>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</si>
  <si>
    <t>휴직자 급여 보험료 납부 여부 확인 방법</t>
  </si>
  <si>
    <t>미답변처리로 변경됨 (12.5)</t>
  </si>
  <si>
    <t>e호조 반납 처리 절차를 알려주세요.(일반, 일상)</t>
  </si>
  <si>
    <t>e호조에서 예산 반납 처리 시, 항목별 반납 절차와 입력 방법은 어떻게 되나요?</t>
  </si>
  <si>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</si>
  <si>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</si>
  <si>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</si>
  <si>
    <t>e호조 과목경정 방법을 알려주세요</t>
  </si>
  <si>
    <t>e호조에서 세출예산의 과목경정을 해야 할 때, 단계별 처리 절차와 필요 승인사항은 무엇인가요?</t>
  </si>
  <si>
    <t>컴보이 설치방법을 알려주세요</t>
  </si>
  <si>
    <t>컴보이(내PC지키미, PC보안점검 프로그램) 프로그램 설치 절차에 대해 알려주세요</t>
  </si>
  <si>
    <t>일반 usb, 보안 usb 사용방법을 알려주세요</t>
  </si>
  <si>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</si>
  <si>
    <t>18~30P만 내용을 복사해서 질문에 대한 답을 생성했습니다.(범정부 AI 클로바 활용)
 기대답변 :
 1. 보안 USB 사용법
  - 로그인
  &gt; 작업표시줄의 uToken 아이콘 우클릭 → 로그인 선택
  &gt; 최초 사용 시 보안 USB 비밀번호 지정 후 등록
  &gt; 이후 로그인 시 지정된 비밀번호 입력
  - 안전한 로그아웃
  &gt; uToken 아이콘 우클릭 → 로그아웃(안전 제거) 선택
  &gt; 경고: 로그아웃 없이 제거 시 데이터 손상 위험
  - 사용 방법
  &gt; 로그인 후 활성화된 SecureDisk를 일반 USB처럼 사용 가능
  &gt; 작업표시줄에서 uToken 아이콘 우클릭 → 관리 탭 이용
  - 비밀번호 변경
  &gt; uToken 아이콘 &gt; 관리 → 비밀번호 변경 탭 선택
  &gt; 새 비밀번호 입력 후 저장
  - 반출·반입 절차
  &gt; 반출 신청: 관리 &gt; 반출 신청 탭 작성 후 부서 관리자/총괄자 승인 필요
  &gt; 반입 처리: 승인 완료 후 관리 &gt; 반입 신청으로 복귀 등록
  - 인증서 복사
  &gt; uToken 아이콘 &gt; 인증서 저장 → PC 내 인증서 검색 및 복사 선택
 2. 일반 USB 사용법 (인증서 복사 예시)
  - 작업표시줄 uToken 아이콘 우클릭 → 인증서 영역 열기 선택
  - 하드디스크 탐색으로 원하는 인증서 선택 후 복사하면 USB 저장 완료</t>
  </si>
  <si>
    <r>
      <rPr>
        <rFont val="&quot;Malgun Gothic&quot;"/>
        <color rgb="FF000000"/>
        <sz val="11.0"/>
      </rPr>
      <t xml:space="preserve">일반 USB는 인증서 복사만 참고(29~30P)
보안 USB관련은 18~28P
보안 USB는 사용방법에 대한 내용이 있는데 사용방법인지에 대한 여부 확인이 어렵다는게 어떤 의미인지 모르겠습니다.
그냥 18~30P 내용 메모장에 바로 붙여넣기 후 범정부로 생성한 내용 기대답변으로 첨부합니다. 
------
[Top 5로 정리 가능한지 문의 필요]
</t>
    </r>
    <r>
      <rPr>
        <rFont val="&quot;Malgun Gothic&quot;"/>
        <color rgb="FF00FF00"/>
        <sz val="11.0"/>
      </rPr>
      <t>&gt;&gt; 369_2412_정보화정책과_업무매뉴얼_채울_휴대용저장매체관리시스템 사용자 매뉴얼 2P의 Contents 내용만 활용, 자세한 답변은 링크 참조로 대체
&gt;&gt; 2P 텍스트 복사할 때 순서가 엉망이 되는데 확인 바랍니다.</t>
    </r>
  </si>
  <si>
    <t>(문서 찾아짐. 추가 작업 불필요)</t>
  </si>
  <si>
    <r>
      <rPr>
        <rFont val="맑은 고딕"/>
        <b/>
        <color theme="1"/>
        <sz val="11.0"/>
      </rPr>
      <t>368_2412_정보화정책과_업무매뉴얼_채울_휴대용저장매체관리시스템_부서관리자_매뉴얼.pdf[18~26]</t>
    </r>
    <r>
      <rPr>
        <rFont val="맑은 고딕"/>
        <color theme="1"/>
        <sz val="11.0"/>
      </rPr>
      <t xml:space="preserve">
----
</t>
    </r>
    <r>
      <rPr>
        <rFont val="맑은 고딕"/>
        <color rgb="FFFF0000"/>
        <sz val="11.0"/>
      </rPr>
      <t>[일반 USB 에 대한 정보는 없고 보안 USB의 경우도 사용 방법을 따로 작성하여 사용 방법인지 알기 어려운 문서임]</t>
    </r>
    <r>
      <rPr>
        <rFont val="맑은 고딕"/>
        <color theme="1"/>
        <sz val="11.0"/>
      </rPr>
      <t xml:space="preserve">
----</t>
    </r>
  </si>
  <si>
    <t>인사이동시 개인별/서무담당자 조치방법을 알려주세요</t>
  </si>
  <si>
    <t>인사이동 시 관련 자료로 정리된 내용이 없으므로 이상없습니다</t>
  </si>
  <si>
    <t>gpki 비밀번호 잃어버렸을 떄 조치방법을 알려주세요</t>
  </si>
  <si>
    <t>bsc 공통지표 목록과 점수 산정방식을 알려주세요</t>
  </si>
  <si>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</si>
  <si>
    <t>조직담당관에서 제출해야할 자료인데 미제출입니다.
해당 질문에 대한 근거문서가 없습니다.
기대답변 : 
OO에 대한 관련 문서가 없습니다.
자세한 사항은 관련 부서나 업무 담당자에게 문의하시기 바랍니다.</t>
  </si>
  <si>
    <t>필수교육 목록을 정리해주고 직원별 이수교육 목록을 알려주세요.</t>
  </si>
  <si>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</si>
  <si>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</si>
  <si>
    <t>의회 회기 일정을 알려주세요(상/하반기 업무보고, 결산, 본예산, 추경, 행정사무감사 시기 등)</t>
  </si>
  <si>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</si>
  <si>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</si>
  <si>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</si>
  <si>
    <t>수시인사교류의 절차는 어떻게 되나요</t>
  </si>
  <si>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</si>
  <si>
    <t>ㆍ211_페이지22_문서1_162433_부산광역시의회_지방공무원_인사교류_규칙.pdf (p.1)
https://busanai.busan.go.kr/download/211_페이지22_문서1_162433_부산광역시의회_지방공무원_인사교류_규칙.pdf</t>
  </si>
  <si>
    <r>
      <rPr>
        <rFont val="Malgun Gothic"/>
        <color theme="1"/>
        <sz val="11.0"/>
      </rP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rFont val="Tahoma"/>
        <color theme="1"/>
        <sz val="11.0"/>
      </rPr>
      <t>․</t>
    </r>
    <r>
      <rPr>
        <rFont val="맑은 고딕"/>
        <color theme="1"/>
        <sz val="11.0"/>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rFont val="Segoe UI Symbol"/>
        <color theme="1"/>
        <sz val="11.0"/>
      </rPr>
      <t>◦</t>
    </r>
    <r>
      <rPr>
        <rFont val="맑은 고딕"/>
        <color theme="1"/>
        <sz val="11.0"/>
      </rPr>
      <t xml:space="preserve"> 지방공무원 임용령 제27조
</t>
    </r>
  </si>
  <si>
    <t>-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</si>
  <si>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</si>
  <si>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 xml:space="preserve">전문직위 지정 및 전문관 임용은 어떻게 신청하면 되나요? </t>
  </si>
  <si>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</si>
  <si>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</si>
  <si>
    <r>
      <rPr>
        <rFont val="Malgun Gothic"/>
        <color theme="1"/>
        <sz val="11.0"/>
      </rP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rFont val="Tahoma"/>
        <color theme="1"/>
        <sz val="11.0"/>
      </rPr>
      <t>‧</t>
    </r>
    <r>
      <rPr>
        <rFont val="맑은 고딕"/>
        <color theme="1"/>
        <sz val="11.0"/>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rFont val="Tahoma"/>
        <color theme="1"/>
        <sz val="11.0"/>
      </rPr>
      <t>‧</t>
    </r>
    <r>
      <rPr>
        <rFont val="맑은 고딕"/>
        <color theme="1"/>
        <sz val="11.0"/>
      </rPr>
      <t>국</t>
    </r>
    <r>
      <rPr>
        <rFont val="Tahoma"/>
        <color theme="1"/>
        <sz val="11.0"/>
      </rPr>
      <t>‧</t>
    </r>
    <r>
      <rPr>
        <rFont val="맑은 고딕"/>
        <color theme="1"/>
        <sz val="11.0"/>
      </rPr>
      <t xml:space="preserve">본부별 선발심사위를 운영하여 적격자를 선발 후 전문관으로 임용하게 됩니다.
</t>
    </r>
    <r>
      <rPr>
        <rFont val="Segoe UI Symbol"/>
        <color theme="1"/>
        <sz val="11.0"/>
      </rPr>
      <t>◦</t>
    </r>
    <r>
      <rPr>
        <rFont val="맑은 고딕"/>
        <color theme="1"/>
        <sz val="11.0"/>
      </rPr>
      <t xml:space="preserve"> 지방공무원임용령 제7조의3, 지방공무원평정규칙 제24조제4항</t>
    </r>
  </si>
  <si>
    <t>-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</si>
  <si>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질 문
 ◦ 전문직위 지정 및 전문관 임용은 어떻게 신청하면 되나요?
 답 변
 �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</si>
  <si>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성과상여금 및 연봉결정에 대한 이의신청 방법은?</t>
  </si>
  <si>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</si>
  <si>
    <t>ㆍ214_2501_예산담당관_업무매뉴얼_행정안전부_지방공무원보수업무_등_처리지침.pdf (p.418, 437, 473)
https://busanai.busan.go.kr/download/214_2501_예산담당관_업무매뉴얼_행정안전부_지방공무원보수업무_등_처리지침.pdf</t>
  </si>
  <si>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</si>
  <si>
    <t>참조내용을 근거로 성과상여금과 연봉결정에 대해 질의문 확장된걸로 범정부 활용해서 생성함
 기대답변 : 
 성과상여금 및 연봉결정 이의신청 상세 안내
 1. 이의신청 가능한 사유
  - 공통 사유
  &gt; 평가 과정의 오류 (예: 근거 없는 등급 부여, 점수 계산 착오)
  &gt; 불공정한 기준 적용 또는 차별적 평가 (예: 보직 차별, 동료와의 형평성 문제)
  &gt; 절차적 하자 (예: 통보 일정 미준수, 신청 기회 미부여)
  &gt; 기타 합리적 이유로 증명 가능한 이익 침해 사항
 2. 이의신청 절차
  - 통보 확인
  &gt; 성과급심사위원회는 결과를 소속 부서장에 통보 → 부서장은 즉시 직원에게 알림
  &gt; 최하등급자는 구체적 사유 별도로 설명받음
  - 이의신청서 제출
  &gt; 성과의상여금: 소속 부서장/인사담당관에게 "별지 제2호 서식 이의신청서" 제출
  &gt; 연봉결정: "별지 3 이의신청서" 작성 후 동일한 경로로 제출
  - 타당성 판단 및 재심사 요청
  &gt; 소속 부서장/인사담당관은 이의 타당성을 검토 → 타당하다고 판단되면 성과급심사위원회에 재심사 요청
  - 재심사 및 결과 조정
  &gt; 성과급심사위원회는 요구 사항을 재검토하여 지급 순위/등급 재조정
  &gt; 재조정 원칙: 이의제기하지 않은 직원의 등급은 변동 없음
 3. 필요 서류
  - 공통
  &gt; 이의신청서 (별지 서식별 양식 준수)
  &gt; 증빙 자료: 점수 산출 근거, 비교 대상자 자료, 오류 증빙 서류 등
 4. 처리 기한
  - 성과상여금 이의신청: 3일 이상 7일 이내 (지급 전)
  - 연봉결정(성과연봉 평가) 이의신청: 7일 이내 (통보일 기준)
  - 재심사 결과 통보: 구체적 기한 미정이나, 성과상여금 지급 전 완료되어야 함
 5. 주의 사항
  - 이의신청은 서면 제출만 원칙 (전자문서 가능 여부 확인 필요)
  - 증빙 자료 미제출 시 검토 자체가 기각될 수 있음
  - 재심사 후에도 결과에 불복 시 행정심판 또는 소송으로 진행 가능</t>
  </si>
  <si>
    <t>230, 437</t>
  </si>
  <si>
    <t>성과연봉 평가 등급(230P)
 다. 이의신청
 1) 평가등급결과 통보와 이의제기
 ○ 성과급심사위원회는 성과연봉 평가등급 결정결과를 소속기관(부서)의 장에게
 통보하여야 하며, 소속기관(부서)의 장은 즉시 소속 공무원에게 해당 평가등급을
 알려주고, 최하위등급으로 평가된 자에게는 그 사유를 설명하여야 한다.
 ○ 본인의 평가등급에 대하여 이의가 있는 공무원은 소속기관(부서)의 장이나 인사
 담당관에게 별지 3 “이의신청서”를 작성하여 이의를 제기할 수 있다. 소속
 기관(부서)의 장이나 인사담당관은 이의가 타당하다고 판단하는 경우에는 해당
 성과급심사위원회에 재심사를 요구할 수 있다.
 ○ 그 밖에 구체적인 이의제기 방법과 절차, 이의제기 처리결과 통보 등에
 관한 사항은 지방자치단체의 장과 지방의회의 의장이 정하되, 성과연봉
 지급 전에 이의신청 기간을 7일 이상 두어야 한다.
 2) 성과급심사위원회의 재심사
 ○ 성과급심사위원회는 소속기관(부서)의 장이나 인사담당관으로부터 재심사
 요구가 있는 경우에는 재심사 요구사유 등을 심사하여 지급순위와 평가등급을
 재조정할 수 있다.
 ※ 성과급 재심사 의결서는 제6장 지방공무원성과상여금업무 처리기준 별표2의2 활용 가능
 ○ 이 경우, 과장급이 아닌 4급(상당) 이하 공무원 및 특정직공무원에 대해서는
 이의를 제기하지 않은 사람의 평가등급은 가급적 변경하지 않고 이의를
 제기한 사람의 지급순위와 평가등급을 조정한다(임기제공무원 포함). 다만,
 이의신청 수용에 따른 등급별 인원비율 조정은 자율운영기준 범위 내에서
 정하며, 조정된 인원비율에 따라 지급기준을 조정하여 적용하되, 평가등급을
 재조정하여 소요예산이 부족하게 되는 경우에는 예산범위에서 성과연봉이
 지급될 수 있도록 지급기준액을 재조정하여야 한다.
 성과상여금 이의제기(437P)
 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</si>
  <si>
    <t>성과상여금 및 연봉결정에 대한 이의신청 방법</t>
  </si>
  <si>
    <r>
      <rPr>
        <rFont val="맑은 고딕"/>
        <b/>
        <color theme="1"/>
        <sz val="11.0"/>
      </rPr>
      <t>214_2501_예산담당관_업무매뉴얼_행정안전부_지방공무원보수업무_등_처리지침.pdf[437]</t>
    </r>
    <r>
      <rPr>
        <rFont val="맑은 고딕"/>
        <color theme="1"/>
        <sz val="11.0"/>
      </rPr>
      <t xml:space="preserve">
-----
</t>
    </r>
    <r>
      <rPr>
        <rFont val="맑은 고딕"/>
        <color rgb="FFFF0000"/>
        <sz val="11.0"/>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rFont val="맑은 고딕"/>
        <color theme="1"/>
        <sz val="11.0"/>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</si>
  <si>
    <t>공무원증 신청방법? 발급되는데 얼마나 걸리나요?</t>
  </si>
  <si>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</si>
  <si>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</si>
  <si>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당직 등으로 인한 대체휴무 사용기간은 언제까지인가요?</t>
  </si>
  <si>
    <r>
      <rPr>
        <rFont val="Malgun Gothic"/>
        <color theme="1"/>
        <sz val="11.0"/>
      </rP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rFont val="Segoe UI Symbol"/>
        <color theme="1"/>
        <sz val="11.0"/>
      </rPr>
      <t>◦</t>
    </r>
    <r>
      <rPr>
        <rFont val="맑은 고딕"/>
        <color theme="1"/>
        <sz val="11.0"/>
      </rPr>
      <t xml:space="preserve"> 「지방공무원 복무규정」제4조</t>
    </r>
  </si>
  <si>
    <t>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</si>
  <si>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</si>
  <si>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휴가 마지막 날 18시 이후 초과근무가 가능한지 ?</t>
  </si>
  <si>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</si>
  <si>
    <t>ㆍ264_2401_인사과_법령_행정안전부_지방공무원_인사관계_법령집.pdf (p.253, 397, 503)
https://busanai.busan.go.kr/download/264_2401_인사과_법령_행정안전부_지방공무원_인사관계_법령집.pdf</t>
  </si>
  <si>
    <r>
      <rPr>
        <rFont val="Malgun Gothic"/>
        <color theme="1"/>
        <sz val="11.0"/>
      </rP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rFont val="Segoe UI Symbol"/>
        <color theme="1"/>
        <sz val="11.0"/>
      </rPr>
      <t>◦</t>
    </r>
    <r>
      <rPr>
        <rFont val="맑은 고딕"/>
        <color theme="1"/>
        <sz val="11.0"/>
      </rPr>
      <t xml:space="preserve"> 「지방공무원 복무 예규」</t>
    </r>
  </si>
  <si>
    <t>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 「지방공무원 복무 예규」</t>
  </si>
  <si>
    <t>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 「지방공무원 복무 예규」</t>
  </si>
  <si>
    <t>육아휴직수당의 지급 금액은 얼마인가요?</t>
  </si>
  <si>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</si>
  <si>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</si>
  <si>
    <r>
      <rPr>
        <rFont val="Malgun Gothic"/>
        <color theme="1"/>
        <sz val="11.0"/>
      </rP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rFont val="Segoe UI Symbol"/>
        <color theme="1"/>
        <sz val="11.0"/>
      </rPr>
      <t>◦</t>
    </r>
    <r>
      <rPr>
        <rFont val="맑은 고딕"/>
        <color theme="1"/>
        <sz val="11.0"/>
      </rPr>
      <t xml:space="preserve"> 지방공무원 수당 등에 관한 규정 제11조의2</t>
    </r>
  </si>
  <si>
    <t>- 30일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</si>
  <si>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t>
  </si>
  <si>
    <t>질 문
 ◦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</si>
  <si>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</si>
  <si>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가족수당의 지급 금액은 어떻게 되나요?</t>
  </si>
  <si>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</si>
  <si>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</si>
  <si>
    <r>
      <rPr>
        <rFont val="Malgun Gothic"/>
        <color theme="1"/>
        <sz val="11.0"/>
      </rPr>
      <t xml:space="preserve">해당 내용도 위와 마찬가지입니다
관련 근거 : 인사과 자주 찾는 질문
기대답변 : 
가족수당은 배우자는 월 4만원, 자녀는 5~12만원,
배우자와 자녀를 제외한 부양가족은 월 2만원입니다.
</t>
    </r>
    <r>
      <rPr>
        <rFont val="Segoe UI Symbol"/>
        <color theme="1"/>
        <sz val="11.0"/>
      </rPr>
      <t>◦</t>
    </r>
    <r>
      <rPr>
        <rFont val="맑은 고딕"/>
        <color theme="1"/>
        <sz val="11.0"/>
      </rPr>
      <t xml:space="preserve"> 지방공무원 수당 등에 관한 규정 제10조</t>
    </r>
  </si>
  <si>
    <t>가족수당은 배우자는 월 4만원, 자녀는 5~12만원,
 배우자와 자녀를 제외한 부양가족은 월 2만원입니다.
 ◦ 지방공무원 수당 등에 관한 규정 제10조</t>
  </si>
  <si>
    <t>질 문
 ◦ 가족수당의 지급 금액은 어떻게 되나요?
 답 변
 � 가족수당은 배우자는 월 4만원, 자녀는 5~12만원,
 배우자와 자녀를 제외한 부양가족은 월 2만원입니다.
 ◦ 지방공무원 수당 등에 관한 규정 제10조</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</si>
  <si>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</si>
  <si>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복지포인트 영수증 승인 건에 대한 처리(환급 포함) 시기는?</t>
  </si>
  <si>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</si>
  <si>
    <t>ㆍ290_2501_인사과_기타_인사과_2025년도_부산광역시_맞춤형복지제도_운영계획.pdf (p.1)
https://busanai.busan.go.kr/download/290_2501_인사과_기타_인사과_2025년도_부산광역시_맞춤형복지제도_운영계획.pdf</t>
  </si>
  <si>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</si>
  <si>
    <t>승인처리 후 익월 결제대금에서 차감되거나, 결제할 대금이 없으면
 환급되며, 카드결제대금일은 개인마다 다르기 때문에 추가 문의사항
 있으시면 베네피아 고객센터(☏1566-9955)로 문의해 주시기 바랍니다.</t>
  </si>
  <si>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</si>
  <si>
    <t>공무직 직원이 휴직하였는데, 기간제 승인을 받을 수 있나요?</t>
  </si>
  <si>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</si>
  <si>
    <t>ㆍ747_페이지75_문서7_163334_부산광역시_공무직_및_기간제노동자_인사관리_규정.pdf (p.1)
https://busanai.busan.go.kr/download/747_페이지75_문서7_163334_부산광역시_공무직_및_기간제노동자_인사관리_규정.pdf</t>
  </si>
  <si>
    <r>
      <rPr>
        <rFont val="Malgun Gothic"/>
        <color theme="1"/>
        <sz val="11.0"/>
      </rP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rFont val="Segoe UI Symbol"/>
        <color theme="1"/>
        <sz val="11.0"/>
      </rPr>
      <t>◦</t>
    </r>
    <r>
      <rPr>
        <rFont val="맑은 고딕"/>
        <color theme="1"/>
        <sz val="11.0"/>
      </rPr>
      <t xml:space="preserve"> 「부산광역시 공무직 및 기간제노동자 인사관리 규정」 제11조</t>
    </r>
  </si>
  <si>
    <t>공무직 휴직 공무직 대체 기간제(구: 처우개선기간제)에 대한 승인 요건은
 다음과 같습니다.
 - 출산휴가와 육아휴직, 질병휴직, 간병휴직으로 3개월 이상 결원이 발
 생한 경우
 ◦ 「부산광역시 공무직 및 기간제노동자 인사관리 규정」 제11조</t>
  </si>
  <si>
    <t>747_페이지75_문서7_163334_부산광역시_공무직_및_기간제노동자_인사관리_규정.pdf</t>
  </si>
  <si>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</si>
  <si>
    <t>공무직 직원 휴직시 기간제 승인 확인 여부에 대한 설명</t>
  </si>
  <si>
    <t>예산 통계목별 꼭 거쳐야 하는 예산 사전절차는 어떤것들이 있으며, 그 사전절차 과정은 어떻게 되나요?</t>
  </si>
  <si>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</si>
  <si>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</si>
  <si>
    <r>
      <rPr>
        <rFont val="Malgun Gothic"/>
        <color theme="1"/>
        <sz val="11.0"/>
      </rP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</si>
  <si>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일상경비 감사에서 가장 많이 지적되는 사항은 어떤것들이 있으며, 해당 케이스는 어떻게 처리해야 원칙적으로 처리되는 것인가요?</t>
  </si>
  <si>
    <r>
      <rPr>
        <rFont val="Malgun Gothic"/>
        <color theme="1"/>
        <sz val="11.0"/>
      </rPr>
      <t xml:space="preserve">관련근거 : 미제출한 일상경비 감사 전달사항 파일로 기대답변 생성했습니다.
기대답변 :
1. 물품검수조서 미작성
 </t>
    </r>
    <r>
      <rPr>
        <rFont val="Segoe UI Symbol"/>
        <color theme="1"/>
        <sz val="11.0"/>
      </rPr>
      <t>▢</t>
    </r>
    <r>
      <rPr>
        <rFont val="맑은 고딕"/>
        <color theme="1"/>
        <sz val="11.0"/>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rFont val="Segoe UI Symbol"/>
        <color theme="1"/>
        <sz val="11.0"/>
      </rPr>
      <t>▢</t>
    </r>
    <r>
      <rPr>
        <rFont val="맑은 고딕"/>
        <color theme="1"/>
        <sz val="11.0"/>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rFont val="Segoe UI Symbol"/>
        <color theme="1"/>
        <sz val="11.0"/>
      </rPr>
      <t>▢</t>
    </r>
    <r>
      <rPr>
        <rFont val="맑은 고딕"/>
        <color theme="1"/>
        <sz val="11.0"/>
      </rPr>
      <t xml:space="preserve"> 관련 규정
  ▷ 업무추진비 구분
   ① 기관운영업무추진비, 시책업무추진비
    - 불우소외계층에 대한 봉사활동에 종사하는 자(개인</t>
    </r>
    <r>
      <rPr>
        <rFont val="Tahoma"/>
        <color theme="1"/>
        <sz val="11.0"/>
      </rPr>
      <t>‧</t>
    </r>
    <r>
      <rPr>
        <rFont val="맑은 고딕"/>
        <color theme="1"/>
        <sz val="11.0"/>
      </rPr>
      <t>단체</t>
    </r>
    <r>
      <rPr>
        <rFont val="Tahoma"/>
        <color theme="1"/>
        <sz val="11.0"/>
      </rPr>
      <t>‧</t>
    </r>
    <r>
      <rPr>
        <rFont val="맑은 고딕"/>
        <color theme="1"/>
        <sz val="11.0"/>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rFont val="Segoe UI Symbol"/>
        <color theme="1"/>
        <sz val="11.0"/>
      </rPr>
      <t>❶</t>
    </r>
    <r>
      <rPr>
        <rFont val="맑은 고딕"/>
        <color theme="1"/>
        <sz val="11.0"/>
      </rPr>
      <t xml:space="preserve"> 지방자치단체 회계관리에 관한 훈령 【별표2】세출예산 성질별 분류에 대한 집행기준  4. 업무추진비 / </t>
    </r>
    <r>
      <rPr>
        <rFont val="Segoe UI Symbol"/>
        <color theme="1"/>
        <sz val="11.0"/>
      </rPr>
      <t>❷</t>
    </r>
    <r>
      <rPr>
        <rFont val="맑은 고딕"/>
        <color theme="1"/>
        <sz val="11.0"/>
      </rPr>
      <t xml:space="preserve">지방자치단체 업무추진비 집행에 관한 규칙(행정안전부령 제381호, 2023. 3. 3. 일부개정 ) / </t>
    </r>
    <r>
      <rPr>
        <rFont val="Segoe UI Symbol"/>
        <color theme="1"/>
        <sz val="11.0"/>
      </rPr>
      <t>❸</t>
    </r>
    <r>
      <rPr>
        <rFont val="맑은 고딕"/>
        <color theme="1"/>
        <sz val="11.0"/>
      </rPr>
      <t xml:space="preserve">24년도 지방자치단체 예산편성기준 및 기금운용계획 수립 기준,  【별표11】세출예산 성질별 분류 중 업무추진비
 </t>
    </r>
    <r>
      <rPr>
        <rFont val="Segoe UI Symbol"/>
        <color theme="1"/>
        <sz val="11.0"/>
      </rPr>
      <t>▢</t>
    </r>
    <r>
      <rPr>
        <rFont val="맑은 고딕"/>
        <color theme="1"/>
        <sz val="11.0"/>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rFont val="Segoe UI Symbol"/>
        <color theme="1"/>
        <sz val="11.0"/>
      </rPr>
      <t>▢</t>
    </r>
    <r>
      <rPr>
        <rFont val="맑은 고딕"/>
        <color theme="1"/>
        <sz val="11.0"/>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rFont val="Segoe UI Symbol"/>
        <color theme="1"/>
        <sz val="11.0"/>
      </rPr>
      <t>▢</t>
    </r>
    <r>
      <rPr>
        <rFont val="맑은 고딕"/>
        <color theme="1"/>
        <sz val="11.0"/>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</si>
  <si>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</si>
  <si>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1244_일상경비_감사_전달사항.pdf</t>
  </si>
  <si>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</si>
  <si>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일상경비 감사 주요 지적 사항 및 원칙적인 처리 방법</t>
  </si>
  <si>
    <t>조달청에서 물품을 구입하려면 어떤 절차를 거쳐야 하며, e호조는 어떤식으로 진행되어야 하나요?</t>
  </si>
  <si>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</si>
  <si>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</si>
  <si>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</si>
  <si>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e호조(지방재정시스템) 관련 문서가 없습니다. 자세한 사항은 관련 부서나 업무 담당자에게 문의하시기 바랍니다.</t>
  </si>
  <si>
    <r>
      <rPr>
        <rFont val="Malgun Gothic"/>
        <color theme="1"/>
        <sz val="11.0"/>
      </rPr>
      <t xml:space="preserve">조달청에서 공사, 용역, 물품 구입 절차 안내, e호조 
</t>
    </r>
    <r>
      <rPr>
        <rFont val="Malgun Gothic"/>
        <color rgb="FFFF0000"/>
        <sz val="11.0"/>
      </rPr>
      <t>(답을 선택하기 위해 e호조에 대한 내용을 넣었으나, 사실상 e호조에 대한 내용이 없음)</t>
    </r>
  </si>
  <si>
    <t>일상경비로 계약을 하는 경우, 필요한 서류는 어떤것들이 있으며, e호조는 어떻게 진행해야 하나요?</t>
  </si>
  <si>
    <t>기대답변 :
 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e호조(지방재정시스템)에 대한 관련 문서가 없습니다. 자세한 사항은 관련 부서나 업무 담당자에게 문의하시기 바랍니다.</t>
  </si>
  <si>
    <t>7, 8</t>
  </si>
  <si>
    <t>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t>
  </si>
  <si>
    <t>일상경비 계약 시 필요 서류 목록 안내, e호조를 이용한 일상경비 지출 절차 안내</t>
  </si>
  <si>
    <t>물품 RFID 재발급은 어떻게 해야 하나요?</t>
  </si>
  <si>
    <r>
      <rPr>
        <rFont val="Segoe UI Symbol"/>
        <color theme="1"/>
        <sz val="11.0"/>
      </rPr>
      <t>🚨</t>
    </r>
    <r>
      <rPr>
        <rFont val="Calibri"/>
        <color theme="1"/>
        <sz val="11.0"/>
      </rPr>
      <t xml:space="preserve"> </t>
    </r>
    <r>
      <rPr>
        <rFont val="맑은 고딕"/>
        <color theme="1"/>
        <sz val="11.0"/>
      </rPr>
      <t>답변</t>
    </r>
    <r>
      <rPr>
        <rFont val="Calibri"/>
        <color theme="1"/>
        <sz val="11.0"/>
      </rPr>
      <t xml:space="preserve"> </t>
    </r>
    <r>
      <rPr>
        <rFont val="맑은 고딕"/>
        <color theme="1"/>
        <sz val="11.0"/>
      </rPr>
      <t>생성중</t>
    </r>
    <r>
      <rPr>
        <rFont val="Calibri"/>
        <color theme="1"/>
        <sz val="11.0"/>
      </rPr>
      <t xml:space="preserve"> </t>
    </r>
    <r>
      <rPr>
        <rFont val="맑은 고딕"/>
        <color theme="1"/>
        <sz val="11.0"/>
      </rPr>
      <t>오류가</t>
    </r>
    <r>
      <rPr>
        <rFont val="Calibri"/>
        <color theme="1"/>
        <sz val="11.0"/>
      </rPr>
      <t xml:space="preserve"> </t>
    </r>
    <r>
      <rPr>
        <rFont val="맑은 고딕"/>
        <color theme="1"/>
        <sz val="11.0"/>
      </rPr>
      <t>발생했습니다</t>
    </r>
    <r>
      <rPr>
        <rFont val="Calibri"/>
        <color theme="1"/>
        <sz val="11.0"/>
      </rPr>
      <t xml:space="preserve">. </t>
    </r>
    <r>
      <rPr>
        <rFont val="맑은 고딕"/>
        <color theme="1"/>
        <sz val="11.0"/>
      </rPr>
      <t>관리자에게</t>
    </r>
    <r>
      <rPr>
        <rFont val="Calibri"/>
        <color theme="1"/>
        <sz val="11.0"/>
      </rPr>
      <t xml:space="preserve"> </t>
    </r>
    <r>
      <rPr>
        <rFont val="맑은 고딕"/>
        <color theme="1"/>
        <sz val="11.0"/>
      </rPr>
      <t>문의해주세요</t>
    </r>
    <r>
      <rPr>
        <rFont val="Calibri"/>
        <color theme="1"/>
        <sz val="11.0"/>
      </rPr>
      <t xml:space="preserve">. </t>
    </r>
  </si>
  <si>
    <t>부산시 캐릭터 부기를 사용한 홍보를 하고 싶은데 부기 캐릭터 사용 절차는 어떻게 되나요?</t>
  </si>
  <si>
    <t>이상없음</t>
  </si>
  <si>
    <t>기대답변
 협조사항 
  - 부기 이미지 활용 예정시 협조 요청 공문 발송
  - 홍보안 제작전 별도 디자인안 공유
  - 홍보물품 제작시 완성품(샘플) 공유 ※단,온라인 홍보안 제외 
 유의사항
  - 캐릭터의 이미지를 훼손하지 않는 범위 내에서 수정 가능
  - 캐릭터의 특성(스마트안경, 입모양, 동백커스텀슈즈 등) 반영 철저 
  - 홍보물 제작 시안 사전 확인 필수 등</t>
  </si>
  <si>
    <t>1265_2311_미디어담당관_공문_미디어담당관_부산광역시_소통_캐릭터_부기_디자인_활용시_사전_공문_협조_알림-odt.pdf</t>
  </si>
  <si>
    <t>가. 협조사항 
  - 부기 이미지 활용 예정시 협조 요청 공문 발송
  - 홍보안 제작전 별도 디자인안 공유
  - 홍보물품 제작시 완성품(샘플) 공유 ※단,온라인 홍보안 제외 
  나. 유의사항
  - 캐릭터의 이미지를 훼손하지 않는 범위 내에서 수정 가능
  - 캐릭터의 특성(스마트안경, 입모양, 동백커스텀슈즈 등) 반영 철저 
  - 홍보물 제작 시안 사전 확인 필수 등</t>
  </si>
  <si>
    <t>부산시 공식 캐릭터 사용 승인 절차 안내, 캐릭터 사용 신청서 양식 및 제출 방법 안내, 부기 캐릭터 사용 안내</t>
  </si>
  <si>
    <t>인사랑 휴가결재승인이 되었는데 휴가 사용 후 추후 휴가 사유 변경을 하려면 어떻게 해야 하나요?</t>
  </si>
  <si>
    <t>해당 자료가 있긴 한데 이미지 파일로 되어 있습니다.
&gt; 인사과 복무관리 매뉴얼 40P keypoint 연가신청내역 수정 또는 삭제</t>
  </si>
  <si>
    <t>검사조서가 꼭 필요한 항목은 어떤것들이 있나요?</t>
  </si>
  <si>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</si>
  <si>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</si>
  <si>
    <t>오른쪽 검토자료 참조내용 3개를 바탕으로 범정부 AI로 생성한 자료입니다.
 기대답변:
 검사조서가 반드시 필요한 항목 및 조건은 아래에 정리되었습니다.
 공사·물품·용역계약 길라잡이의 공통 및 계약별 예외 사항에 기반해 작성되었습니다.
 1. 모든 계약에서 검사조서 필요 조건
  - 계약금액이 3,000만 원 이상인 경우
  - 전기·가스·수도 공급 등의 계약이 아닌 경우
  &gt; 단, 계약금액 3,000만 원 미만이거나 "성질상 불필요한 경우"(전기·가스·수도 등)에만 생략 가능
 2. 계약 유형별 추가 조건
  - 공사계약 &amp; 용역계약
  &gt; 공통: 위 "1"에 해당하면 검사조서 필요
  &gt; 추가: 계약이행 내용이 당초 계약조건(시방서 등)과 불일치할 경우
  → 불합격 사항 및 조치 의견을 반드시 검사조서에 명시 후 계약담당자에게 제출
  - 물품계약
  &gt; 납품검사 시 다음 경우 불합격으로 처리
  계약조건에 적합하지 않은 신제품·신기술·특허 미적용
  계약된 원산지·우수제품 지정여부 위반,
  시험성적서·품질인증서·수입신고필증 위·변조
  → 불합격 제품 정보와 사유를 지정정보처리장치에 등록 후 검사조서에 반영
  &gt; 검사 결과 계약내용(규격·수량 등) 불일치 시
  → 불일치 사실과 조치 의견을 검사조서에 기재
 3. 예외적 생략 가능 조건
  - 계약금액 3,000만 원 미만
  - 전기·가스·수도의 공급 등 검사 자체가 불필요한 성격의 계약
  &gt; 단, 검사자 지정 후 검사는 필수 (검수란에 검사자 날인)
 ※ 주의사항
 검사조서 작성 시 **"보험료 등 사후정산 합의서"**를 계약상대방과 작성한 후 첨부
 계약 유형에 따라 불합격 처리 조건이 물품계약&gt;공사·용역계약 순으로 구체적임을 유의
 이 기준은 계약 유형별 길라잡이 예외 조항을 종합한 것으로, 실제 적용 시 소속 기관의 내부 규정과 세부 계약 조건을 반드시 확인하시기 바랍니다.</t>
  </si>
  <si>
    <t>473_2411_회계재산담당관_업무매뉴얼_한국지방재정공제회_2024년_개정판_용역계약_길라잡이한국지방재정공제회.pdf</t>
  </si>
  <si>
    <t>다. 검사조서의 작성 및 제출
 ❍ 검사를 한 자는 검사조서를 작성･제출
 ※ 검사조서 작성 시 계약상대자로부터 보험료 등 사후정산에 따른 정산합의서 징구 후 계약담당자에게
 제출
 ❍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② 전기･가스･수도의 공급 등 검사조서의 작성이 성질상 불필요한 경우
 ※ 검사조서 작성을 생략하더라도 검사자를 임명하여 검사는 해야 하며, 지출결의서 검수란에 검사자가
 날인함</t>
  </si>
  <si>
    <t>검사조서 필수 항목</t>
  </si>
  <si>
    <r>
      <rPr>
        <rFont val="맑은 고딕"/>
        <b/>
        <color rgb="FF000000"/>
        <sz val="11.0"/>
      </rPr>
      <t>471_2411_회계재산담당관_업무매뉴얼_한국지방재정공제회_2024년_개정판_공사계약_길라잡이한국지방재정공제회.pdf (p.322)</t>
    </r>
    <r>
      <rPr>
        <rFont val="맑은 고딕"/>
        <color rgb="FF000000"/>
        <sz val="11.0"/>
      </rPr>
      <t xml:space="preserve">
-----
[p.322]
3)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수도의 공급 등 검사조서의 작성이 성질상 불필요한 경우
 ※ 검사조서 작성을 생략하더라도 검사자를 임명하여 검사는 해야 하며, 지출결의서 검수란에 검사자가 날인함</t>
    </r>
  </si>
  <si>
    <r>
      <rPr>
        <rFont val="맑은 고딕"/>
        <b/>
        <color rgb="FF000000"/>
        <sz val="11.0"/>
      </rPr>
      <t>472_2411_회계재산담당관_업무매뉴얼_한국지방재정공제회_2024년_개정판_물품계약_길라잡이한국지방재정공제회.pdf (p.296)</t>
    </r>
    <r>
      <rPr>
        <rFont val="맑은 고딕"/>
        <color rgb="FF000000"/>
        <sz val="11.0"/>
      </rPr>
      <t xml:space="preserve">
-----
[p.296]
다.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 xml:space="preserve">수도의 공급 등 검사조서의 작성이 성질상 불필요한 경우
 ※ 검사조서 작성을 생략하더라도 검사자를 임명하여 검사는 해야 하며, 지출결의서 검수란에 검사자가 날인함
</t>
    </r>
    <r>
      <rPr>
        <rFont val="Segoe UI Symbol"/>
        <color rgb="FF000000"/>
        <sz val="11.0"/>
      </rPr>
      <t>❍</t>
    </r>
    <r>
      <rPr>
        <rFont val="맑은 고딕"/>
        <color rgb="FF000000"/>
        <sz val="11.0"/>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rFont val="Noto Sans KR"/>
        <color rgb="FF000000"/>
        <sz val="11.0"/>
      </rPr>
      <t>‧</t>
    </r>
    <r>
      <rPr>
        <rFont val="맑은 고딕"/>
        <color rgb="FF000000"/>
        <sz val="11.0"/>
      </rPr>
      <t>품질인증서</t>
    </r>
    <r>
      <rPr>
        <rFont val="Noto Sans KR"/>
        <color rgb="FF000000"/>
        <sz val="11.0"/>
      </rPr>
      <t>‧</t>
    </r>
    <r>
      <rPr>
        <rFont val="맑은 고딕"/>
        <color rgb="FF000000"/>
        <sz val="11.0"/>
      </rPr>
      <t>수입신고필증을 위</t>
    </r>
    <r>
      <rPr>
        <rFont val="Noto Sans KR"/>
        <color rgb="FF000000"/>
        <sz val="11.0"/>
      </rPr>
      <t>‧</t>
    </r>
    <r>
      <rPr>
        <rFont val="맑은 고딕"/>
        <color rgb="FF000000"/>
        <sz val="11.0"/>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rFont val="Noto Sans KR"/>
        <color rgb="FF000000"/>
        <sz val="11.0"/>
      </rPr>
      <t>･</t>
    </r>
    <r>
      <rPr>
        <rFont val="맑은 고딕"/>
        <color rgb="FF000000"/>
        <sz val="11.0"/>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</si>
  <si>
    <t>관내출장을 갔다가 관외출장을 가는경우, 출장비는 어떻게 지급되어야 하나요?</t>
  </si>
  <si>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</si>
  <si>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</si>
  <si>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</si>
  <si>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</si>
  <si>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1230_공무원여비100문100답.pdf</t>
  </si>
  <si>
    <t>14</t>
  </si>
  <si>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</si>
  <si>
    <t>관내출장 이후 관외출장 시 출장비 지급 여부에 대한 설명, 근무지 내 출장 후 동일한 날 근무지 외 출장을 다녀온 경우 출장비 및 여비지급 처리 사항</t>
  </si>
  <si>
    <t>주말에 관외출장을 가는경우 초과근무나 대체휴무 지급이 가능한가요?</t>
  </si>
  <si>
    <r>
      <rPr>
        <rFont val="Malgun Gothic"/>
        <color theme="1"/>
        <sz val="11.0"/>
      </rP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</si>
  <si>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</si>
  <si>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r>
      <rPr>
        <rFont val="Calibri"/>
        <color rgb="FFFF0000"/>
        <sz val="11.0"/>
      </rPr>
      <t>[</t>
    </r>
    <r>
      <rPr>
        <rFont val="맑은 고딕"/>
        <color rgb="FFFF0000"/>
        <sz val="11.0"/>
      </rPr>
      <t>미답변</t>
    </r>
    <r>
      <rPr>
        <rFont val="Calibri"/>
        <color rgb="FFFF0000"/>
        <sz val="11.0"/>
      </rPr>
      <t xml:space="preserve"> </t>
    </r>
    <r>
      <rPr>
        <rFont val="맑은 고딕"/>
        <color rgb="FFFF0000"/>
        <sz val="11.0"/>
      </rPr>
      <t>가능성</t>
    </r>
    <r>
      <rPr>
        <rFont val="Calibri"/>
        <color rgb="FFFF0000"/>
        <sz val="11.0"/>
      </rPr>
      <t xml:space="preserve"> </t>
    </r>
    <r>
      <rPr>
        <rFont val="맑은 고딕"/>
        <color rgb="FFFF0000"/>
        <sz val="11.0"/>
      </rPr>
      <t>있음</t>
    </r>
    <r>
      <rPr>
        <rFont val="Calibri"/>
        <color rgb="FFFF0000"/>
        <sz val="11.0"/>
      </rPr>
      <t xml:space="preserve">] </t>
    </r>
    <r>
      <rPr>
        <rFont val="맑은 고딕"/>
        <color rgb="FFFF0000"/>
        <sz val="11.0"/>
      </rPr>
      <t>관외출장이라는</t>
    </r>
    <r>
      <rPr>
        <rFont val="Calibri"/>
        <color rgb="FFFF0000"/>
        <sz val="11.0"/>
      </rPr>
      <t xml:space="preserve"> </t>
    </r>
    <r>
      <rPr>
        <rFont val="맑은 고딕"/>
        <color rgb="FFFF0000"/>
        <sz val="11.0"/>
      </rPr>
      <t xml:space="preserve">단어
</t>
    </r>
  </si>
  <si>
    <t>불용물품 처리는 어떤 프로세스를 거쳐서 해야하나요?</t>
  </si>
  <si>
    <t>위원회를 만들때 어떤 프로세스를 거쳐서 해야하나요?</t>
  </si>
  <si>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</si>
  <si>
    <t>ㆍ374_2203_조직담당관_업무매뉴얼_조직담당관_부산광역시_위원회_설치운영_지침.pdf (p.1, 15, 52)
https://busanai.busan.go.kr/download/374_2203_조직담당관_업무매뉴얼_조직담당관_부산광역시_위원회_설치운영_지침.pdf</t>
  </si>
  <si>
    <r>
      <rPr>
        <rFont val="Malgun Gothic"/>
        <color theme="1"/>
        <sz val="11.0"/>
      </rP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rFont val="Tahoma"/>
        <color theme="1"/>
        <sz val="11.0"/>
      </rPr>
      <t>․</t>
    </r>
    <r>
      <rPr>
        <rFont val="맑은 고딕"/>
        <color theme="1"/>
        <sz val="11.0"/>
      </rPr>
      <t>본부</t>
    </r>
    <r>
      <rPr>
        <rFont val="Tahoma"/>
        <color theme="1"/>
        <sz val="11.0"/>
      </rPr>
      <t>․</t>
    </r>
    <r>
      <rPr>
        <rFont val="맑은 고딕"/>
        <color theme="1"/>
        <sz val="11.0"/>
      </rPr>
      <t xml:space="preserve">국방침 수립 전
 </t>
    </r>
    <r>
      <rPr>
        <rFont val="Segoe UI Symbol"/>
        <color theme="1"/>
        <sz val="11.0"/>
      </rPr>
      <t>▸</t>
    </r>
    <r>
      <rPr>
        <rFont val="맑은 고딕"/>
        <color theme="1"/>
        <sz val="11.0"/>
      </rPr>
      <t xml:space="preserve">신설 검토의뢰(담당부서 →총괄부서)
 </t>
    </r>
    <r>
      <rPr>
        <rFont val="Segoe UI Symbol"/>
        <color theme="1"/>
        <sz val="11.0"/>
      </rPr>
      <t>▸</t>
    </r>
    <r>
      <rPr>
        <rFont val="맑은 고딕"/>
        <color theme="1"/>
        <sz val="11.0"/>
      </rPr>
      <t xml:space="preserve">검토결과 통보(총괄부서 →담당부서)
2. 기본입법 방침
</t>
    </r>
    <r>
      <rPr>
        <rFont val="Segoe UI Symbol"/>
        <color theme="1"/>
        <sz val="11.0"/>
      </rPr>
      <t>▸</t>
    </r>
    <r>
      <rPr>
        <rFont val="맑은 고딕"/>
        <color theme="1"/>
        <sz val="11.0"/>
      </rPr>
      <t xml:space="preserve">담당부서
</t>
    </r>
    <r>
      <rPr>
        <rFont val="Segoe UI Symbol"/>
        <color theme="1"/>
        <sz val="11.0"/>
      </rPr>
      <t>▸</t>
    </r>
    <r>
      <rPr>
        <rFont val="맑은 고딕"/>
        <color theme="1"/>
        <sz val="11.0"/>
      </rPr>
      <t xml:space="preserve">총괄부서 협조 결재
3. 법제심사
</t>
    </r>
    <r>
      <rPr>
        <rFont val="Segoe UI Symbol"/>
        <color theme="1"/>
        <sz val="11.0"/>
      </rPr>
      <t>▸</t>
    </r>
    <r>
      <rPr>
        <rFont val="맑은 고딕"/>
        <color theme="1"/>
        <sz val="11.0"/>
      </rPr>
      <t>총괄부서 검토결과 첨부 의뢰(담당부서 →법무담당관)
 ※ 신설검토 결과 반영여부 확인(법무담당관)
4. 조례 등 제</t>
    </r>
    <r>
      <rPr>
        <rFont val="Tahoma"/>
        <color theme="1"/>
        <sz val="11.0"/>
      </rPr>
      <t>․</t>
    </r>
    <r>
      <rPr>
        <rFont val="맑은 고딕"/>
        <color theme="1"/>
        <sz val="11.0"/>
      </rPr>
      <t xml:space="preserve">개정 후 위원회 설치(구성)
 </t>
    </r>
    <r>
      <rPr>
        <rFont val="Segoe UI Symbol"/>
        <color theme="1"/>
        <sz val="11.0"/>
      </rPr>
      <t>▸</t>
    </r>
    <r>
      <rPr>
        <rFont val="맑은 고딕"/>
        <color theme="1"/>
        <sz val="11.0"/>
      </rPr>
      <t xml:space="preserve"> 담당부서
※ 위원회 구성·운영계획 제출(담당부서 →총괄부서)</t>
    </r>
  </si>
  <si>
    <t>범정부 활용 답변 생성 내용
 기대답변:
 위원회 설치 프로세스 및 주요 고려사항
 1. 설치 시 고려사항
  - 설치 필요성
  &gt; 지방자치법 시행령 제77조·78조에 따라 설치 목적을 명확히 합니다 (예: "고도의 전문지식 요청", "공정한 집행 필요성", "주민 의사 반영")
  &gt; 기존 위원회로 대체 가능한지 사전 검토합니다
  - 설치 근거
  &gt; 지방자치법 제129조·130조에 따라 법률 또는 조례로 설치해야 합니다.
  &gt; 합격제 행정관청(의결 구속력 있는 위원회)은 조례로 운영 근거를 규정해야 하며, 자문위원회는 세부 사항은 규칙으로 정할 수 있습니다.
  - 소관사무 여부
  &gt; 자치사무 또는 단체위임사무에 한해 설치 가능합니다.
  &gt; 기관위임사무는 법적 근거가 명시된 경우에만 조례 제정 가능 (예: 상위 법령이 조례 규정을 허용한 경우).
  - 중복·유사 위원회 방지
  &gt; 신설회의체가 다른 기관 회의로 대체 가능한지 검토합니다.
  &gt; 기존 위원회와 기능 중복 시 폐지 건의 또는 일원화 방안 마련.
  - 필수 규정 명시사항
  &gt; 위원회 구성·임기, 위원장·부위원장 선출 방식, 회의 절차(소집·의사정족수·의결정족수), 위원의 결격사유 등을 명시해야 합니다.
  &gt; 공정성이 요구되는 업무의 경우 제척·기피·회피 규정 추가.
  - 존속기한 설정
  &gt; 조례에 5년 이내로 존속기한을 명시해야 합니다.
  &gt; 연장 필요 시 조례 개정 필수 (단, 평가 후 연장이 가능하도록 규정된 경우 방침으로 연장 가능).
  - 자문기관 운영 제한
  &gt; 자문기관에 상설 사무처 설치가 금지됩니다.
 2. 설치 절차
  - 사전 활동(권장)
  &gt; 1년 정도 T/F(특별팀)형 자문단 운영 후, 성과 평가 후 위원회 설치를 검토합니다.
  - 사전 협의
  &gt; 총괄부서(예: 기획부서)와 협의하여 입법 계획을 수립합니다.(유사 위원회 존재 여부, 소관사무 적합성 등 검토)
  - 조례 제정 단계
  &gt; 신규 합의체 행정기관은 시장(또는 도지사) 권한으로 설치합니다.
  &gt; 자문기관은 조례로 설치하되, 위촉 권한은 시장에게 있어 외부 개입이 불가능합니다.
  - 운영 규약 수립
  &gt; 위원회 운영 규칙(예: 서식,보고 의무 등)을 내부 규정으로 제정합니다.
 ⚠️ 주의사항
  - 합의체 행정기관 설치 시 지방의회의 독자적 조례 발의 불가 (법원 판결 기준).
  - 위원회 위촉 시 위원 과반수를 외부 전문가로 구성하는 조례는 위법입니다.
  - 기관위임사무와 자치사무를 구분하여 법적 권한 확인이 필수입니다.</t>
  </si>
  <si>
    <t>374_2203_조직담당관_업무매뉴얼_조직담당관_부산광역시_위원회_설치운영_지침.pdf</t>
  </si>
  <si>
    <t>6, 7, 8, 9</t>
  </si>
  <si>
    <t>참조 페이지 내용 전체</t>
  </si>
  <si>
    <r>
      <rPr>
        <rFont val="Malgun Gothic"/>
        <color rgb="FF000000"/>
        <sz val="11.0"/>
      </rPr>
      <t xml:space="preserve">위원회 설치 및 운영 절차와 방법 안내, 위원회 구성 방법 안내, 위원회 만들 때 필요한 절차 안내
</t>
    </r>
    <r>
      <rPr>
        <rFont val="Malgun Gothic"/>
        <color rgb="FFFF0000"/>
        <sz val="11.0"/>
      </rPr>
      <t>&gt;&gt; 6, 7, 8, 9 페이지 모두 부스트 키워드를 추가했지만 Top5에는 6페이지만 걸림(2순위)</t>
    </r>
  </si>
  <si>
    <r>
      <rPr>
        <rFont val="맑은 고딕"/>
        <b/>
        <color rgb="FFFF0000"/>
        <sz val="11.0"/>
      </rPr>
      <t>374_2203_조직담당관_업무매뉴얼_조직담당관_부산광역시_위원회_설치운영_지침.pdf[11]</t>
    </r>
    <r>
      <rPr>
        <rFont val="맑은 고딕"/>
        <color rgb="FFFF0000"/>
        <sz val="11.0"/>
      </rPr>
      <t xml:space="preserve">
-----
</t>
    </r>
    <r>
      <rPr>
        <rFont val="맑은 고딕"/>
        <color rgb="FFFF0000"/>
        <sz val="11.0"/>
      </rPr>
      <t xml:space="preserve">[글이 표 형태가 아니고 이미지 형태로 되어 있어 각 항목에 대한 하위 내용을 인지하지 못함]
</t>
    </r>
    <r>
      <rPr>
        <rFont val="맑은 고딕"/>
        <color rgb="FFFF0000"/>
        <sz val="11.0"/>
      </rPr>
      <t>-----
[p.11]
위원회 신설 검토 기본입법 방침 법제심사
※ 해당 실</t>
    </r>
    <r>
      <rPr>
        <rFont val="MS UI Gothic"/>
        <color rgb="FFFF0000"/>
        <sz val="11.0"/>
      </rPr>
      <t>․</t>
    </r>
    <r>
      <rPr>
        <rFont val="맑은 고딕"/>
        <color rgb="FFFF0000"/>
        <sz val="11.0"/>
      </rPr>
      <t>본부</t>
    </r>
    <r>
      <rPr>
        <rFont val="MS UI Gothic"/>
        <color rgb="FFFF0000"/>
        <sz val="11.0"/>
      </rPr>
      <t>․</t>
    </r>
    <r>
      <rPr>
        <rFont val="맑은 고딕"/>
        <color rgb="FFFF0000"/>
        <sz val="11.0"/>
      </rPr>
      <t xml:space="preserve">국 방침 수립 전
</t>
    </r>
    <r>
      <rPr>
        <rFont val="Segoe UI Symbol"/>
        <color rgb="FFFF0000"/>
        <sz val="11.0"/>
      </rPr>
      <t>▸</t>
    </r>
    <r>
      <rPr>
        <rFont val="맑은 고딕"/>
        <color rgb="FFFF0000"/>
        <sz val="11.0"/>
      </rPr>
      <t xml:space="preserve">신설 검토의뢰
(담당부서 →
총괄부서)
</t>
    </r>
    <r>
      <rPr>
        <rFont val="Segoe UI Symbol"/>
        <color rgb="FFFF0000"/>
        <sz val="11.0"/>
      </rPr>
      <t>▸</t>
    </r>
    <r>
      <rPr>
        <rFont val="맑은 고딕"/>
        <color rgb="FFFF0000"/>
        <sz val="11.0"/>
      </rPr>
      <t xml:space="preserve">검토결과 통보
(총괄부서 →
담당부서)
</t>
    </r>
    <r>
      <rPr>
        <rFont val="Segoe UI Symbol"/>
        <color rgb="FFFF0000"/>
        <sz val="11.0"/>
      </rPr>
      <t>▸</t>
    </r>
    <r>
      <rPr>
        <rFont val="맑은 고딕"/>
        <color rgb="FFFF0000"/>
        <sz val="11.0"/>
      </rPr>
      <t xml:space="preserve">담당부서
</t>
    </r>
    <r>
      <rPr>
        <rFont val="Segoe UI Symbol"/>
        <color rgb="FFFF0000"/>
        <sz val="11.0"/>
      </rPr>
      <t>▸</t>
    </r>
    <r>
      <rPr>
        <rFont val="맑은 고딕"/>
        <color rgb="FFFF0000"/>
        <sz val="11.0"/>
      </rPr>
      <t xml:space="preserve">총괄부서
협조 결재
</t>
    </r>
    <r>
      <rPr>
        <rFont val="Segoe UI Symbol"/>
        <color rgb="FFFF0000"/>
        <sz val="11.0"/>
      </rPr>
      <t>▸</t>
    </r>
    <r>
      <rPr>
        <rFont val="맑은 고딕"/>
        <color rgb="FFFF0000"/>
        <sz val="11.0"/>
      </rPr>
      <t>총괄부서 검토결과 첨부 의뢰
(담당부서 → 법무담당관)
※ 신설검토 결과 반영여부 확인 (법무담당관)
조례 등 제</t>
    </r>
    <r>
      <rPr>
        <rFont val="MS UI Gothic"/>
        <color rgb="FFFF0000"/>
        <sz val="11.0"/>
      </rPr>
      <t>․</t>
    </r>
    <r>
      <rPr>
        <rFont val="맑은 고딕"/>
        <color rgb="FFFF0000"/>
        <sz val="11.0"/>
      </rPr>
      <t xml:space="preserve">개정 후 위원회 설치(구성)
</t>
    </r>
    <r>
      <rPr>
        <rFont val="Segoe UI Symbol"/>
        <color rgb="FFFF0000"/>
        <sz val="11.0"/>
      </rPr>
      <t>▸</t>
    </r>
    <r>
      <rPr>
        <rFont val="맑은 고딕"/>
        <color rgb="FFFF0000"/>
        <sz val="11.0"/>
      </rPr>
      <t xml:space="preserve"> 담당부서 ※ 위원회 구성·
운영계획 제출 (담당부서 → 총괄부서)</t>
    </r>
  </si>
  <si>
    <t>민간위탁을 하려고 할때 어떤 조건을 만족시키고 어떤과정을 거쳐야 민간위탁이 가능하나요?</t>
  </si>
  <si>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</si>
  <si>
    <t>ㆍ326_2501_재정협력담당관_업무매뉴얼_재정협력담당관_민간위탁업무지침.pdf (p.3, 14, 30)
https://busanai.busan.go.kr/download/326_2501_재정협력담당관_업무매뉴얼_재정협력담당관_민간위탁업무지침.pdf</t>
  </si>
  <si>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</si>
  <si>
    <t>외부 공개 가능 자료라서 지피티 이용해서 생성한 답변입니다.
 기대답변 : 
 PDF 그대로 텍스트로 변환 후 질의를 던지면 범정부, 지피티 둘다 해당 내용을 제대로 요약해주지 못하는거 같습니다.
 신규(1~9번), 재위탁(1~7번) 순서에 대해 명시를 해주고 질의를 다시 할 경우 범정부는 계속 틀림, 지피티(무료버전)가 맞는 답을 줘서
 일단 해당 답변을 기대답변으로 보내드립니다.
 기대답변:
 ■ 신규 민간위탁 절차
 1. 민간위탁 사전조사 및 적정성 검토(주관부서)
  - 위탁 필요성, 공공성, 효율성, 민간 전문성 등 기초조사.
  - 중복 여부·타 지자체 사례·법적 근거 검토.
  - 적정성 판단(공공성·효율성·시장여건 등 기준 적용).
 2. 계획수립 및 방침결재(주관부서)
  - 위탁범위·내용·기간·비용·선정방식 결정.
  - 원가분석 실시(인건비·운영비 산정).
  - 필요 시 개별 조례 제·개정.
  - 시장 방침결재, 재정협력담당관 사전협의.
 3. 민간위탁 관리위원회 심의(재정협력담당관)
  - 위탁 근거·필요성·원가·선정방식·중복성 등 심의.
  - 결과: 적정 / 조건부적정 / 보류 / 부적정.
 4. 시의회 동의·보고(주관부서)
  - 신규 민간위탁은 원칙적으로 동의 대상.
  - 동의안: 위탁내용·근거·예산·기간·수탁방식 등 포함.
  - 동의 후 필요 시 시행규칙(별표) 반영.
  - 보고사항: 재위탁 등 특정 상황 발생 시 상임위 보고.
 5. 예산 편성(주관부서)
  - 관리위원회 심의 → 시의회 동의 후 예산 반영.
  - 민간위탁금(307-05), 민간위탁사업비(402-03) 편성.
  - 보조금 사무를 위탁금으로 편성하는 오류 금지.
 6. 수탁기관 선정(주관부서)
  - 원칙: 공개모집.
  - 절차: 공고 → 제안서 접수 → 선정위원회 평가 → 선정.
  - 수의계약은 법령 근거 있을 때만 가능(지방계약법·공유재산법 요건).
 7. 위·수탁계약 체결(주관부서)
  - 계약서 작성(노동조건 확약 포함), 법무·계약 심사 반영.
  - 시설형 1억 이상은 계약심사 필수.
  - 체결 후 7일 이내 재정협력담당관에 부본 제출.
 8. 인계·인수(주관부서, 수탁기관)
  - 시설·비품·자산 목록 인계·인수서 작성.
  - 사진·영상 기록 보관.
  - 기존 인력 고용승계 원칙적 권고.
  - 필요 시 시범운영(약 1개월).
 9. 기존 위탁사무를 신규 위탁으로 변경·처리하는 기준
  - 아래 발생 시 ‘기존 사무 종료 → 신규 절차로 다시 추진’:
  &gt; 위탁사무 중요내용 변경(범위 전면 변경, 추가, 분리 등).
  &gt; 예산지원 유무 변경.
  &gt; 사무 1년 이상 중단 후 재위탁.
  &gt; 국가·타 지자체에서 새로 이관된 사무.
 ■ 재위탁·재계약 절차
 1. 적정성 검토, 계획수립 및 방침결재(주관부서)
  - 기존 위탁사무가 민간위탁 방식에 적합한지 재검토(Zero-base).
  - 위탁내용·범위·기간·비용·선정방식 재정비.
  - 재위탁·재계약은 부시장 결재, 재정협력담당관 사전협의.
  - 재계약 제한사유(성과평가 70점 미만, 시정 불이행 등) 검토.
 2. 수탁기관의 관리능력 평가(재계약 시에만 적용, 주관부서)
  - 계약만료 90일 전 평가 실시.
  - 관리능력·성과·감사결과·시정이행·민원·만족도 등 종합평가.
  - 70점 미만이면 재계약 불가 → 재위탁(공모)로 전환.
 3. 민간위탁관리위원회 심의(재정협력담당관)
  - 재위탁·재계약의 적정성·필요성·비용·선정 방식 등 심의.
  - 심의 절차는 신규와 동일.
 4. 시의회 동의·보고(주관부서)
  - 재위탁·재계약은 원칙적으로 동의 대상.
  - 예외(동의 불요)
  &gt; 국가 전액 보조 사업
  &gt; 연간 위탁금 3억 이하
  - 보고 절차는 신규와 동일.
 5. 수탁기관 선정(공모 시에만 적용, 주관부서)
  - 재위탁 중 공모할 경우 신규와 동일 절차 적용.
  - 기존 수탁자 참여 시 기존 민원·감사·시정이행 여부를 평가에 반영.
 6. 위·수탁계약 체결(주관부서)
  - 신규와 동일한 방식으로 계약 체결.
  - 필요 시 위탁기간 90일 범위 내 1회 일시 연장 가능.
 7. 인계·인수(주관부서, 수탁기관)
  - 기존·신규 종사자 고용승계 검토.
  - 인계·인수서, 시설물 자산·비품 목록 정리.
  - 시험운영 등은 신규 절차와 동일.</t>
  </si>
  <si>
    <t>326_2501_재정협력담당관_업무매뉴얼_재정협력담당관_민간위탁업무지침.pdf</t>
  </si>
  <si>
    <t>&gt;&gt; 민간위탁 조건은 9P의 민간위탁의 대상 전체 활용
&gt;&gt; 3P 목차의 4번 신규 민간위탁 추진 절차부터 5번 재위탁 재계약 민간위탁 추진절차 안내</t>
  </si>
  <si>
    <t>3page - 민간위탁 추진 절차 안내
9page - 민간위탁 추진 조건 안내</t>
  </si>
  <si>
    <r>
      <rPr>
        <rFont val="맑은 고딕"/>
        <b/>
        <color rgb="FF000000"/>
        <sz val="11.0"/>
      </rPr>
      <t>ㆍ326_2501_재정협력담당관_업무매뉴얼_재정협력담당관_민간위탁업무지침.pdf (p.13, 14)</t>
    </r>
    <r>
      <rPr>
        <rFont val="맑은 고딕"/>
        <color rgb="FF000000"/>
        <sz val="11.0"/>
      </rPr>
      <t xml:space="preserve">
----
</t>
    </r>
    <r>
      <rPr>
        <rFont val="맑은 고딕"/>
        <color rgb="FFFF0000"/>
        <sz val="11.0"/>
      </rPr>
      <t>[형태가 표가 아닌 이미지의 형태를 가지고 있어 인식에 어려움이 있음]</t>
    </r>
    <r>
      <rPr>
        <rFont val="맑은 고딕"/>
        <color rgb="FF000000"/>
        <sz val="11.0"/>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</si>
  <si>
    <t>시청 내 과별로 각종 물품구입, 각종 용역, 각종 공사 등 각종 케이스별 업체리스트 및 연락처를 알 수 있나요?</t>
  </si>
  <si>
    <t>예산 이체, 변경, 전용, 이용은 어떤 경우에 해야하며, 어떤 프로세스를 거쳐야 하나요?</t>
  </si>
  <si>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</si>
  <si>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</si>
  <si>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</si>
  <si>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</si>
  <si>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401, 402, 403, 404, 405, 406</t>
  </si>
  <si>
    <r>
      <rPr>
        <rFont val="&quot;맑은 고딕&quot;"/>
        <color rgb="FF000000"/>
        <sz val="11.0"/>
      </rPr>
      <t xml:space="preserve">나. 예산의 이・전용,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
---
</t>
    </r>
    <r>
      <rPr>
        <rFont val="&quot;맑은 고딕&quot;"/>
        <color rgb="FF0000FF"/>
        <sz val="11.0"/>
      </rPr>
      <t>[Top5 선정 필요]</t>
    </r>
  </si>
  <si>
    <r>
      <rPr>
        <rFont val="맑은 고딕"/>
        <b/>
        <color rgb="FF000000"/>
        <sz val="11.0"/>
      </rPr>
      <t>212_2407_예산담당관_업무매뉴얼_행정안전부_2025년도_지방자치단체_예산편성_운영기준_및_기금운용계획_수립기준.pdf (p.401~406)</t>
    </r>
    <r>
      <rPr>
        <rFont val="맑은 고딕"/>
        <color rgb="FF000000"/>
        <sz val="11.0"/>
      </rPr>
      <t xml:space="preserve">
----
나. 예산의 이</t>
    </r>
    <r>
      <rPr>
        <rFont val="Yu Gothic"/>
        <color rgb="FF000000"/>
        <sz val="11.0"/>
      </rPr>
      <t>・</t>
    </r>
    <r>
      <rPr>
        <rFont val="맑은 고딕"/>
        <color rgb="FF000000"/>
        <sz val="11.0"/>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rFont val="Cambria Math"/>
        <color rgb="FF000000"/>
        <sz val="11.0"/>
      </rPr>
      <t>⋅</t>
    </r>
    <r>
      <rPr>
        <rFont val="맑은 고딕"/>
        <color rgb="FF000000"/>
        <sz val="11.0"/>
      </rPr>
      <t>금액</t>
    </r>
    <r>
      <rPr>
        <rFont val="Cambria Math"/>
        <color rgb="FF000000"/>
        <sz val="11.0"/>
      </rPr>
      <t>⋅</t>
    </r>
    <r>
      <rPr>
        <rFont val="맑은 고딕"/>
        <color rgb="FF000000"/>
        <sz val="11.0"/>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</si>
  <si>
    <t>ㆍ210_2307_예산담당관_업무매뉴얼_행정안전부_2024년도_지방자치단체_예산편성_운영기준_및_기금운용계획_수립기준.pdf (p.357, 415)
-----
[p.415] ~ [p.420]
데이터 길이 문제로 내용 생략</t>
  </si>
  <si>
    <t>각종 홍보자료를 시청 홈페이지, 엘리베이터 화면, 기타 홍보게시판 등 게시하려면 어떻게 해야하나요?</t>
  </si>
  <si>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</si>
  <si>
    <t>SNS에만 홍보하는 것이라면 홍보협업매뉴얼을 참고하시어 공문 보내주시면 되고, 부산시 홍보 매체를 전반적으로 활용하고 싶으시다면 홍보담당관으로 연락주시기 바랍니다.</t>
  </si>
  <si>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</si>
  <si>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</si>
  <si>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</si>
  <si>
    <t>근거문서와 답변 내용 순서가 바뀐거 제외하고는 이상없습니다.
다만 이런 문서들(시기 적용이 중요한 문서)에 대한
추후 업데이트 관련 프로세스가 필요할 것으로 보입니다.</t>
  </si>
  <si>
    <r>
      <rPr>
        <rFont val="맑은 고딕"/>
        <b/>
        <color rgb="FF000000"/>
        <sz val="11.0"/>
      </rPr>
      <t>279_2501_인사과_기타_인사과_2025년_맞춤형복지_단체보장보험_가입내용_및_청구방법_안내.pdf (p.1)</t>
    </r>
    <r>
      <rPr>
        <rFont val="맑은 고딕"/>
        <color rgb="FF000000"/>
        <sz val="11.0"/>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</si>
  <si>
    <r>
      <rPr>
        <rFont val="맑은 고딕"/>
        <b/>
        <color rgb="FF000000"/>
        <sz val="11.0"/>
      </rPr>
      <t xml:space="preserve">283_2501_인사과_기타_인사과_2025년_부산광역시_청구안내문단체보장보험.pdf (p.1)
</t>
    </r>
    <r>
      <rPr>
        <rFont val="맑은 고딕"/>
        <color rgb="FF000000"/>
        <sz val="11.0"/>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</si>
  <si>
    <t>계약시 종류별 절차 및 구비서류는 무엇인가요?</t>
  </si>
  <si>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</si>
  <si>
    <r>
      <rPr>
        <rFont val="Malgun Gothic"/>
        <color theme="1"/>
        <sz val="11.0"/>
      </rP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</si>
  <si>
    <t>계약서류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</si>
  <si>
    <t>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</si>
  <si>
    <t>계약으로 진행해야 하는 기준, 계약시 필요 서류 안내, 일반지출이 아닌 계약, 수의 계약이 아닌 입찰 진행할 때 선행 절차와 필요한 서류 안내, 계약 종류별 절차 와 구비서류 안내</t>
  </si>
  <si>
    <t>공무국외출장 절차는 무엇인가요?</t>
  </si>
  <si>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</si>
  <si>
    <t>ㆍ268_2405_인사과_업무매뉴얼_행정안전부_출장관리_매뉴얼.pdf (p.26, 27, 28)
https://busanai.busan.go.kr/download/268_2405_인사과_업무매뉴얼_행정안전부_출장관리_매뉴얼.pdf</t>
  </si>
  <si>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</si>
  <si>
    <t>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t>
  </si>
  <si>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</si>
  <si>
    <t>nac 로그인이 안돼요(아이디, 초기비밀번호 등)</t>
  </si>
  <si>
    <t>기대답변 :
 네트워크 인증 시스템(NAC)
  - 네트워크가 차단 또는 네트워크 인증 시스템 비밀번호 분실 시 행정전화(5999)로 연락바랍니다</t>
  </si>
  <si>
    <t>공무원증 분실시 청사 출입 방법과 재발급 방법은 무엇인가요?</t>
  </si>
  <si>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</si>
  <si>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</si>
  <si>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[미답변 가능]  재발급과, 분실햇을때 들어오는 방법에 대해서는 존재하지 않음</t>
  </si>
  <si>
    <t>시청 청사 내 주차 등록 방법은 무엇인가요?</t>
  </si>
  <si>
    <t>재배정 등 이호조 사용 방법을 알려줘</t>
  </si>
  <si>
    <t>공유재산 관리계획 수립 시 절차는 어떻게 되나요?</t>
  </si>
  <si>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</si>
  <si>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</si>
  <si>
    <r>
      <rPr>
        <rFont val="Malgun Gothic"/>
        <color theme="1"/>
        <sz val="11.0"/>
      </rP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rFont val="Tahoma"/>
        <color theme="1"/>
        <sz val="11.0"/>
      </rPr>
      <t>․</t>
    </r>
    <r>
      <rPr>
        <rFont val="맑은 고딕"/>
        <color theme="1"/>
        <sz val="11.0"/>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rFont val="Tahoma"/>
        <color theme="1"/>
        <sz val="11.0"/>
      </rPr>
      <t>․</t>
    </r>
    <r>
      <rPr>
        <rFont val="맑은 고딕"/>
        <color theme="1"/>
        <sz val="11.0"/>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rFont val="Yu Gothic"/>
        <color theme="1"/>
        <sz val="11.0"/>
      </rPr>
      <t>･</t>
    </r>
    <r>
      <rPr>
        <rFont val="맑은 고딕"/>
        <color theme="1"/>
        <sz val="11.0"/>
      </rPr>
      <t>예산부서)
11. 공유재산관리계획에 따른 사업 추진 - 중요재산 취득</t>
    </r>
    <r>
      <rPr>
        <rFont val="Tahoma"/>
        <color theme="1"/>
        <sz val="11.0"/>
      </rPr>
      <t>․</t>
    </r>
    <r>
      <rPr>
        <rFont val="맑은 고딕"/>
        <color theme="1"/>
        <sz val="11.0"/>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</si>
  <si>
    <t>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시도/시군구(총괄재산관리부서)→(재산관리부서･예산부서)
 11. 공유재산관리계획에 따른 사업 추진 - 중요재산 취득․처분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</si>
  <si>
    <t>1256_공유재산관리계획_작성기준.pdf</t>
  </si>
  <si>
    <t>17</t>
  </si>
  <si>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→(재산관리부서･예산부서)
 ○ 공유재산관리계획 확정
 ○ 확정 예산안 통보
 예산
 확정시
 11 시도/시군구
 (총괄재산관리ㆍ재산
 관리부서)
 ○ 공유재산관리계획에 따른 사업 추진
 - 중요재산 취득․처분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</si>
  <si>
    <t>공유재산 관리계획 수립 절차</t>
  </si>
  <si>
    <t>경조사 종류별 휴가 일수를 알려줘</t>
  </si>
  <si>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</si>
  <si>
    <t>ㆍ264_2401_인사과_법령_행정안전부_지방공무원_인사관계_법령집.pdf (p.413, 419)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</si>
  <si>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t>
    </r>
  </si>
  <si>
    <r>
      <rPr>
        <rFont val="Malgun Gothic"/>
        <color rgb="FF000000"/>
        <sz val="11.0"/>
      </rPr>
      <t xml:space="preserve">부산광역시 공무원 복무 조례
 [별표3] 경조사별 휴가일수표(제15조제1항 관련)
</t>
    </r>
    <r>
      <rPr>
        <rFont val="Arial"/>
        <color rgb="FF0432FF"/>
        <sz val="11.0"/>
      </rPr>
      <t>&gt;&gt;&gt; 내부, 온나라, 외부 모두에서 유사한 파일도 없습니다</t>
    </r>
    <r>
      <rPr>
        <rFont val="Arial"/>
        <color rgb="FF000000"/>
        <sz val="11.0"/>
      </rPr>
      <t xml:space="preserve">
</t>
    </r>
    <r>
      <rPr>
        <rFont val="Arial"/>
        <color rgb="FF00B050"/>
        <sz val="11.0"/>
      </rPr>
      <t xml:space="preserve">&gt;&gt; 자치법규에 있습니다. 
</t>
    </r>
    <r>
      <rPr>
        <rFont val="Arial"/>
        <color rgb="FFFF0000"/>
        <sz val="11.0"/>
      </rPr>
      <t>- 찾을수 없습니다</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</si>
  <si>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</si>
  <si>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</si>
  <si>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행정전자서명(GPKI) 재발급 방법을 알려주세요</t>
  </si>
  <si>
    <t>소속 직원이 전보,파견,전출,휴직,정직,직위해제,면직 등의 명령을 받았을 때 거쳐야 하는 절차를 알려주세요</t>
  </si>
  <si>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</si>
  <si>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</si>
  <si>
    <t>시 의회 자료는 의회에 대해 알려달라는 질문이 있기 전에는 근거자료로 활용이 되면 안됩니다.
그 외는 이상없습니다</t>
  </si>
  <si>
    <t>미답변 처리
 질의문 의도가 부서나 서무담당자가 행정 처리를 어떻게 하는지에 대한 문의로 보입니다. 관련 질문에 대한 근거자료가 없으므로 미답변 처리 합니다.</t>
  </si>
  <si>
    <t>정산검사 결과 보고서에서 포함돼야 할 내용에 어떤 것들이 있나요?</t>
  </si>
  <si>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</si>
  <si>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</si>
  <si>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</si>
  <si>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169</t>
  </si>
  <si>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</si>
  <si>
    <t>정산검사 결과 보고서 포함 내용</t>
  </si>
  <si>
    <t>의도분석 결과 &gt;&gt; 생성쪽 의도로 분류됨</t>
  </si>
  <si>
    <t>추가경정예산안에 포함돼야 할 내용에 어떤 것들이 있나요?</t>
  </si>
  <si>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</si>
  <si>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</si>
  <si>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</si>
  <si>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</si>
  <si>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341, 342, 378, 379</t>
  </si>
  <si>
    <t>제2조(예산요구서) ① 제1조의 예산편성 방침을 통보받은 각 기관 주무자는 그
 소관에 속하는 다음 연도의 예산요구서를 2통 작성하여 소속실ㆍ국장 또는 관서의
 장의 결재를 받아 지정된 기일까지 예산업무담당과장에게 제출하되, 세입예산은
 반드시 세정업무담당과장과 세정업무담당국장의 합의를 받아야 한다.
 ② 제1항의 예산요구서 및 첨부서류의 서식은 「지방자치단체 예산편성 운영기준
 및 기금운용계획 수립기준」에 따른다.
 ③ 관재업무담당과장(담당관)은 제1항 및 제2항의 서류외에 공유재산조서를
 작성하여 제출하여야 한다.
 제7조(추가경정예산안) ① 예산성립 후에 생긴 사유로 인하여 이미 성립된 예산을
 변경할 필요가 있을 때에는 예산요구서를 제2조의 규정에 준하여 예산업무
 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
 및 제1관서의 장으로부터 추가경정예산 성립전 사업비 사용요구가 있을 때에는
 예산업무담당과장은 시ㆍ도지사의 결재(세출과목을 설정하여야 한다)를 얻어
 이를 주관 실ㆍ국장, 시ㆍ도의회사무처장 및 제1관서의 장과 재무관 및 지출원
 에게 통지함과 동시에 예산배정을 하여야 한다.
 ④ 재무관 및 지출원은 제3항의 통지를 받았을 때에는 집행절차를 취하여야 한다.
 ⑤ 제3항의 세출과목과 추가경정예산의 세출과목이 상이한 경우에는 추가
 경정예산과목에 정정 정리하여야 한다.
 &lt;378~379는 제목만 참조&gt;
 참고 예산편성(요구) 관련 주요서식 예시
 0000년도 세입예산요구서
 0000년도 세출예산요구서</t>
  </si>
  <si>
    <r>
      <rPr>
        <rFont val="맑은 고딕"/>
        <b/>
        <color rgb="FF000000"/>
        <sz val="11.0"/>
      </rPr>
      <t>212_2407_예산담당관_업무매뉴얼_행정안전부_2025년도_지방자치단체_예산편성_운영기준_및_기금운용계획_수립기준.pdf[p.342]</t>
    </r>
    <r>
      <rPr>
        <rFont val="맑은 고딕"/>
        <color rgb="FF000000"/>
        <sz val="11.0"/>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</si>
  <si>
    <t>고충민원이 들어왔을 때 처리절차를 알려주세요</t>
  </si>
  <si>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</si>
  <si>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</si>
  <si>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</si>
  <si>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</si>
  <si>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426_2307_통합민원과_업무매뉴얼_행정안전부_민원_처리에_관한_법령_해설집개정판.pdf</t>
  </si>
  <si>
    <t>139</t>
  </si>
  <si>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</si>
  <si>
    <t>취업연수생 연수수당 지급할 때 제출해야 하는 자료가 뭐에요?</t>
  </si>
  <si>
    <t>실무수습 직원이 입사했는데 부여할 수 있는 업무 권한이 어떤 게 있나요?</t>
  </si>
  <si>
    <t>계약입찰공고 시 공고기간은 초일을 산입하여 계산하여야 하나요?</t>
  </si>
  <si>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</si>
  <si>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</si>
  <si>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</si>
  <si>
    <t>미답변 처리
 앞 쪽에 초일 산입 관련 질문이 있는데 제출된 자료중에는
 초일 관련 내용이 따로 명시되어 있지 않은거 같아 미답변으로 처리합니다.</t>
  </si>
  <si>
    <t>예산변경의 절차에 대해서 알려주세요</t>
  </si>
  <si>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</si>
  <si>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</si>
  <si>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</si>
  <si>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</si>
  <si>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404</t>
  </si>
  <si>
    <t>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 및 회계부서에 통지
 ○ 변경사용제한：재변경사용 등은 불가하고, 전용제한 편성목은 변경도
 제한됨 ※ 단위사업 내에 세부사업이 없는 경우 변경사용 불가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t>
  </si>
  <si>
    <t>예산변경 절차, 예산변경 적용 범위, 예산변경 제한</t>
  </si>
  <si>
    <t>시 홈페이지 메뉴 신설 절차에 대해 알려주세요</t>
  </si>
  <si>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</si>
  <si>
    <t>ㆍ334_페이지34_문서4_162639_부산광역시_인터넷_홈페이지_설치_및_운영_규정.pdf (p.1)
https://busanai.busan.go.kr/download/334_페이지34_문서4_162639_부산광역시_인터넷_홈페이지_설치_및_운영_규정.pdf</t>
  </si>
  <si>
    <t>법률자문은 어떻게 진행되나요?</t>
  </si>
  <si>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</si>
  <si>
    <t>ㆍ92_2501_법무담당관_업무매뉴얼_법무담당관_자치법규_입법절차_등.pdf (p.3)
https://busanai.busan.go.kr/download/92_2501_법무담당관_업무매뉴얼_법무담당관_자치법규_입법절차_등.pdf</t>
  </si>
  <si>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</si>
  <si>
    <t>기대답변 :
 법률자문 업무 절차
 - 근거 :「부산광역시 법률고문 운영 조례」제3조·제7조 
 - 업무처리 절차
  1. 사전협의(주관부서) ○ 사전구두협의-필요성,주요내용,질의형식등포함
  2. 검토및 자문위원 추천(법무담당관) ○법률자문위원질의필요성판단 ○질의형식검토 ○자문위원추천(1～3명)
  3. 자문의뢰(법무담당관합의)(주관부서▷자문위원) ○방법:자문위원을수신자로공문발송(최종결재권자전에법무담당관합의) ※주관부서는질의내용을명확하게작성하고 참고자료등요구에적극협조
  「부산광역시법률 고문운영조례」 제7조, 「부산광역시법제 업무운영규칙」제34조
  4. 회시문 송부(주관부서▷법무담당관) ○방법:자문위원에게받은회시문사본을법무담당관에게공문통보
  「부산광역시법률 고문운영조례」 제7조, 「부산광역시법제 업무운영규칙」 제34조
  5. 자문수당 지급(법무담당관) ○방법:주관부서에서통보한회시문을근거로 자문위원수당지급
 - 자문 요청 서식(예시)
  1.질의요지
  *질의요지는명확하고간결하게작성하며, 2이상인경우가,나등으로나누어작성
  2.질의대상의대립되는의견및이유
  *해석상문제되는쟁점이명확하게드러나도록작성
  가.갑설
  나.을설
  *갑설,을설등으로정리가곤란한대상인경우에는쟁점을명확하게정리
  *질의범위를한정하지않고협약서전체등으로질의하는것을지양
  3.자문의뢰한주관부서의의견
  4.참고자료
  *관련법령․자치법규,관련조례,헌법재판소결정례,법령해석례등 관련자료가있는경우첨부</t>
  </si>
  <si>
    <t>본문 3P 전체 참조</t>
  </si>
  <si>
    <t>법률 자문 법률자문 진행 및 절차 안내</t>
  </si>
  <si>
    <t>정보공개시스템 공개, 비공개, 부존재 처리시 각각의 처리절차를 알려주세요.</t>
  </si>
  <si>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</si>
  <si>
    <t>ㆍ424_2108_통합민원과_업무매뉴얼_행정안전부_정보공개운영안내서.pdf (p.3, 100, 213)
https://busanai.busan.go.kr/download/424_2108_통합민원과_업무매뉴얼_행정안전부_정보공개운영안내서.pdf</t>
  </si>
  <si>
    <r>
      <rPr>
        <rFont val="Malgun Gothic"/>
        <color theme="1"/>
        <sz val="11.0"/>
      </rP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</si>
  <si>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오른쪽 내용을 참고로 범정부 AI로 생성한 내용입니다.
 정보 파편화가 되어 있지만 해당 질의에 대한 응답을 하기 위해서는 검토자료 #1,2,3 다 필요합니다.
 기대답변 :
 정보공개 처리 절차 설명
 1. 정보부존재/진정·질의 처리
  - 담당: 정보공개처리자
  - 메뉴: 청구관리 &gt; 부서청구관리 &gt; 청구제목선택 &gt; 정보부존재/진정·질의
  - 절차:
  &gt; 세부 페이지에서 "정보부존재" 또는 "진정·질의" 버튼 선택.
  &gt; 사유 선택(예: "보존기간 경과", "작성하지 않은 정보") 및 설명 입력.
  &gt; 결재 후 통지 (처리 기간: 7일 이내).
 2. 정보공개(부분공개) 결정
  - 담당: 정보공개처리자
  - 메뉴: 청구관리 &gt; 부서청구관리 &gt; 청구제목선택 &gt; 정보공개처리 업무화면
  - 절차:
  &gt; 수수료 있는 경우: 공개 내용 입력 → 결재 → 공개자료 첨부 → 청구인 확인 후 완료.
  &gt; 수수료 없는 경우: 공개 형태·일시 입력, 개인정보 포함 시 청구인 본인확인 요건.
  - 근거: 정보공개법 제11조, 제14조
 3. 정보 비공개 결정
  - 담당: 정보공개처리자
  - 메뉴: 청구관리 &gt; 부서청구관리 &gt; 청구제목선택 &gt; 비공개처리 업무화면
  - 절차:
  &gt; 정보공개법 제9조 제1항 각 호에 해당하는 사유 구체적 기재.
  &gt; 비공개 사유 예시: 국가안전·사생활 침해, 비공개 5호(의사결정 과정).
  - 유의사항: 단순 법조문 적시보다 구체적 설명 필요.
 4. 특이사항
  - 정보부존재 처리: 비공개로 간주되지 않아 이의신청 불가(행정심판·소송 가능).
  - 처리 통계: "기타처리현황(정보부존재 등)"에 포함.</t>
  </si>
  <si>
    <t>238, 240, 241, 243</t>
  </si>
  <si>
    <r>
      <rPr>
        <rFont val="Malgun Gothic"/>
        <color rgb="FF000000"/>
        <sz val="11.0"/>
      </rPr>
      <t xml:space="preserve">질문이 파편화 되어 있지만 해당 질의에 대한 응답을 하기 위해서는 검토자료 1, 2, 3, 모두 필요
</t>
    </r>
    <r>
      <rPr>
        <rFont val="맑은 고딕"/>
        <color rgb="FF0432FF"/>
        <sz val="11.0"/>
      </rPr>
      <t xml:space="preserve">-----
[Top5 문서 내에 들어갈 수 있도록 수량 조정 필요]
</t>
    </r>
    <r>
      <rPr>
        <rFont val="맑은 고딕"/>
        <color rgb="FF00B050"/>
        <sz val="11.0"/>
      </rPr>
      <t>&gt;&gt; 부존재 처리 절차는 238P 처리절차 참조</t>
    </r>
    <r>
      <rPr>
        <rFont val="맑은 고딕"/>
        <color rgb="FF00B050"/>
        <sz val="11.0"/>
      </rPr>
      <t xml:space="preserve">
&gt;&gt; 정보공개는 240p~241p 처리절차 참조
&gt;&gt; 비공개는 243P 처리절차 참조</t>
    </r>
  </si>
  <si>
    <r>
      <rPr>
        <rFont val="맑은 고딕"/>
        <b/>
        <color rgb="FF000000"/>
        <sz val="11.0"/>
      </rPr>
      <t>424_2108_통합민원과_업무매뉴얼_행정안전부_정보공개운영안내서.pdf[236~238]</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</si>
  <si>
    <r>
      <rPr>
        <rFont val="맑은 고딕"/>
        <b/>
        <color rgb="FF000000"/>
        <sz val="11.0"/>
      </rPr>
      <t>424_2108_통합민원과_업무매뉴얼_행정안전부_정보공개운영안내서.pdf[239~241]</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</si>
  <si>
    <r>
      <rPr>
        <rFont val="맑은 고딕"/>
        <b/>
        <color theme="1"/>
        <sz val="11.0"/>
      </rPr>
      <t>424_2108_통합민원과_업무매뉴얼_행정안전부_정보공개운영안내서.pdf[243~244]</t>
    </r>
    <r>
      <rPr>
        <rFont val="맑은 고딕"/>
        <color theme="1"/>
        <sz val="11.0"/>
      </rPr>
      <t xml:space="preserve">
-----
</t>
    </r>
    <r>
      <rPr>
        <rFont val="맑은 고딕"/>
        <color rgb="FFFF0000"/>
        <sz val="11.0"/>
      </rPr>
      <t xml:space="preserve">[질문에 포함된 정보가 파편화 되어 있어 수집이 어려움]
-----
</t>
    </r>
    <r>
      <rPr>
        <rFont val="맑은 고딕"/>
        <color theme="1"/>
        <sz val="11.0"/>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</si>
  <si>
    <t>해당 지출이 세출예산집행기준에 부합하는지?</t>
  </si>
  <si>
    <r>
      <rPr>
        <rFont val="Malgun Gothic"/>
        <color theme="1"/>
        <sz val="11.0"/>
      </rP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rFont val="Yu Gothic"/>
        <color theme="1"/>
        <sz val="11.0"/>
      </rPr>
      <t>・</t>
    </r>
    <r>
      <rPr>
        <rFont val="맑은 고딕"/>
        <color theme="1"/>
        <sz val="11.0"/>
      </rPr>
      <t>이장</t>
    </r>
    <r>
      <rPr>
        <rFont val="Yu Gothic"/>
        <color theme="1"/>
        <sz val="11.0"/>
      </rPr>
      <t>・</t>
    </r>
    <r>
      <rPr>
        <rFont val="맑은 고딕"/>
        <color theme="1"/>
        <sz val="11.0"/>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</si>
  <si>
    <t>ㆍ469_2406_회계재산담당관_법령_행정안전부_지방자치단체_회계관리에_관한_훈령_00.pdf (p.58, 93)
https://busanai.busan.go.kr/download/469_2406_회계재산담당관_법령_행정안전부_지방자치단체_회계관리에_관한_훈령_00.pdf</t>
  </si>
  <si>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</si>
  <si>
    <t>일반지출이 아닌 계약으로 진행해야 하는 기준과 필요 서류들이 무엇이 있는지?</t>
  </si>
  <si>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</si>
  <si>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</si>
  <si>
    <r>
      <rPr>
        <rFont val="Malgun Gothic"/>
        <color theme="1"/>
        <sz val="11.0"/>
      </rP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rFont val="MS UI Gothic"/>
        <color theme="1"/>
        <sz val="11.0"/>
      </rPr>
      <t>․</t>
    </r>
    <r>
      <rPr>
        <rFont val="맑은 고딕"/>
        <color theme="1"/>
        <sz val="11.0"/>
      </rPr>
      <t>일시</t>
    </r>
    <r>
      <rPr>
        <rFont val="MS UI Gothic"/>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</si>
  <si>
    <t>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</si>
  <si>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</si>
  <si>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</si>
  <si>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2개 문서 참조 필요</t>
  </si>
  <si>
    <t>계약으로 진행해야 하는 기준, 계약시 필요 서류 안내, 일반지출이 아닌 계약
---
계약으로 진행해야 하는 기준, 계약시 필요 서류 안내, 일반지출이 아닌 계약, 수의 계약이 아닌 입찰 진행할 때 선행 절차와 필요한 서류 안내</t>
  </si>
  <si>
    <r>
      <rPr>
        <rFont val="맑은 고딕"/>
        <b/>
        <color theme="1"/>
        <sz val="11.0"/>
      </rPr>
      <t>467_2402_회계재산담당관_법령_법제처_지방자치단체를_당사자로_하는_계약에_관한_법률법률제19634호20240217.pdf[1]</t>
    </r>
    <r>
      <rPr>
        <rFont val="맑은 고딕"/>
        <color theme="1"/>
        <sz val="11.0"/>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rFont val="맑은 고딕"/>
        <color rgb="FFFF0000"/>
        <sz val="11.0"/>
      </rPr>
      <t>제2조(적용 범위) 이 법은 지방자치단체(「지방자치법」 제2조에 따른 지방자치단체를 말한다. 이하 같다)가 계약상대자
와 체결하는 수입 및 지출의 원인이 되는 계약 등에 대하여 적용한다.
[전문개정 2009. 2. 6.]</t>
    </r>
    <r>
      <rPr>
        <rFont val="맑은 고딕"/>
        <color theme="1"/>
        <sz val="11.0"/>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</si>
  <si>
    <r>
      <rPr>
        <rFont val="맑은 고딕"/>
        <b/>
        <color theme="1"/>
        <sz val="11.0"/>
      </rPr>
      <t>475_2501_회계재산담당관_업무매뉴얼_회계재산담당관_2025년_계약업무_통합운영_매뉴얼2511_회계재산담당관_계약지원팀.pdf[2]</t>
    </r>
    <r>
      <rPr>
        <rFont val="맑은 고딕"/>
        <color theme="1"/>
        <sz val="11.0"/>
      </rPr>
      <t xml:space="preserve">
-----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UI Gothic"/>
        <color theme="1"/>
        <sz val="11.0"/>
      </rPr>
      <t>․</t>
    </r>
    <r>
      <rPr>
        <rFont val="맑은 고딕"/>
        <color theme="1"/>
        <sz val="11.0"/>
      </rPr>
      <t>감독</t>
    </r>
    <r>
      <rPr>
        <rFont val="MS UI Gothic"/>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UI Gothic"/>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t>
    </r>
    <r>
      <rPr>
        <rFont val="맑은 고딕"/>
        <color rgb="FFFF0000"/>
        <sz val="11.0"/>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UI Gothic"/>
        <color rgb="FFFF0000"/>
        <sz val="11.0"/>
      </rPr>
      <t>․</t>
    </r>
    <r>
      <rPr>
        <rFont val="맑은 고딕"/>
        <color rgb="FFFF0000"/>
        <sz val="11.0"/>
      </rPr>
      <t>일시</t>
    </r>
    <r>
      <rPr>
        <rFont val="MS UI Gothic"/>
        <color rgb="FFFF0000"/>
        <sz val="11.0"/>
      </rPr>
      <t>․</t>
    </r>
    <r>
      <rPr>
        <rFont val="맑은 고딕"/>
        <color rgb="FFFF0000"/>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</si>
  <si>
    <t>조례를 제정,개정하기 위한 행정절차 가이드라인을 알려줄 수 있는지?</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</si>
  <si>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</si>
  <si>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[그림의 형태를 띄고 있어 식이 어려울 것으로 예상]</t>
  </si>
  <si>
    <t>PC를 새로 교체했을 때 해야하는 보안절차가 있는지?</t>
  </si>
  <si>
    <t>불용물품을 처리해야하는 절차를 알려줄 수 있는지?</t>
  </si>
  <si>
    <t>부서장, 팀장급 인사발령 시 처리해야하는 절차(회계절차 등)를 알기 쉽게 정리해줄 수 있는지?</t>
  </si>
  <si>
    <r>
      <rPr>
        <rFont val="Malgun Gothic"/>
        <color theme="1"/>
        <sz val="11.0"/>
      </rPr>
      <t xml:space="preserve">【 부서장·팀장급 인사발령 회계처리 요약 】
</t>
    </r>
    <r>
      <rPr>
        <rFont val="Segoe UI Symbol"/>
        <color theme="1"/>
        <sz val="11.0"/>
      </rPr>
      <t>▢</t>
    </r>
    <r>
      <rPr>
        <rFont val="맑은 고딕"/>
        <color theme="1"/>
        <sz val="11.0"/>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rFont val="Segoe UI Symbol"/>
        <color theme="1"/>
        <sz val="11.0"/>
      </rPr>
      <t>▢</t>
    </r>
    <r>
      <rPr>
        <rFont val="맑은 고딕"/>
        <color theme="1"/>
        <sz val="11.0"/>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rFont val="Segoe UI Symbol"/>
        <color theme="1"/>
        <sz val="11.0"/>
      </rPr>
      <t>▢</t>
    </r>
    <r>
      <rPr>
        <rFont val="맑은 고딕"/>
        <color theme="1"/>
        <sz val="11.0"/>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rFont val="Segoe UI Symbol"/>
        <color theme="1"/>
        <sz val="11.0"/>
      </rPr>
      <t>▢</t>
    </r>
    <r>
      <rPr>
        <rFont val="맑은 고딕"/>
        <color theme="1"/>
        <sz val="11.0"/>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</si>
  <si>
    <t>연간 들어야하는 필수교육 목록과 수강가능한 사이트를 정리해 줄 수 있는지?</t>
  </si>
  <si>
    <t>보안감사 대비하여 매월, 반기별 등 처리해야할 절차들이 있는지?</t>
  </si>
  <si>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</si>
  <si>
    <t>미답변처리
 정보보안 감사 대비 기간별 조치 방법에 대해 정리해놓은 파일이 없으므로 미답변 처리합니다.
 - 미제출된 정보보안 감사계획서 상에서도 해당 내용이 없음</t>
  </si>
  <si>
    <r>
      <rPr>
        <rFont val="맑은 고딕"/>
        <b/>
        <color theme="1"/>
        <sz val="11.0"/>
      </rPr>
      <t>337_2307_부산광역시_업무매뉴얼_부산광역시_부산광역시_정보보안업무지침.pdf[15p]</t>
    </r>
    <r>
      <rPr>
        <rFont val="맑은 고딕"/>
        <color theme="1"/>
        <sz val="11.0"/>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</si>
  <si>
    <r>
      <rPr>
        <rFont val="맑은 고딕"/>
        <b/>
        <color theme="1"/>
        <sz val="11.0"/>
      </rPr>
      <t>337_2307_부산광역시_업무매뉴얼_부산광역시_부산광역시_정보보안업무지침.pdf[67~72p]</t>
    </r>
    <r>
      <rPr>
        <rFont val="맑은 고딕"/>
        <color theme="1"/>
        <sz val="11.0"/>
      </rPr>
      <t xml:space="preserve">
-------
지침 체크리스트</t>
    </r>
  </si>
  <si>
    <r>
      <rPr>
        <rFont val="맑은 고딕"/>
        <b/>
        <color theme="1"/>
        <sz val="11.0"/>
      </rPr>
      <t>411_2505_총무과_지침_국가_정보보안_기본지침.pdf[]</t>
    </r>
    <r>
      <rPr>
        <rFont val="맑은 고딕"/>
        <color theme="1"/>
        <sz val="11.0"/>
      </rPr>
      <t xml:space="preserve">
-------
</t>
    </r>
    <r>
      <rPr>
        <rFont val="맑은 고딕"/>
        <color rgb="FFFF0000"/>
        <sz val="11.0"/>
      </rPr>
      <t xml:space="preserve">[정보가 너무 파편화되어 있음]
</t>
    </r>
    <r>
      <rPr>
        <rFont val="맑은 고딕"/>
        <color theme="1"/>
        <sz val="11.0"/>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</si>
  <si>
    <t>국민신문고, 정보공개 처리 기준 및 답변 예시들을 볼 수 있는지?</t>
  </si>
  <si>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</si>
  <si>
    <t>ㆍ826_페이지83_문서6_163527_부산광역시_정보공개_조례.pdf (p.1, 2)
https://busanai.busan.go.kr/download/826_페이지83_문서6_163527_부산광역시_정보공개_조례.pdf</t>
  </si>
  <si>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</si>
  <si>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처리 기준은 정보공개운영안내서 74~111참조
 처리 절차는 정보공개운영안내서 239번~253
 기대답변:
 국민신문고 민원 처리 기준 &gt; 관련 매뉴얼 없음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</si>
  <si>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3, 17, 18</t>
  </si>
  <si>
    <r>
      <rPr>
        <rFont val="Malgun Gothic"/>
        <color theme="1"/>
        <sz val="11.0"/>
      </rPr>
      <t xml:space="preserve">본문내용 일체
 - Q 숫자로 되어 있는 질문 답변은 제외 
----------
</t>
    </r>
    <r>
      <rPr>
        <rFont val="맑은 고딕"/>
        <color rgb="FF0432FF"/>
        <sz val="11.0"/>
      </rPr>
      <t xml:space="preserve">
[Top5 내로 답변이 나오도록 분량 조정 필요]</t>
    </r>
    <r>
      <rPr>
        <rFont val="맑은 고딕"/>
        <color theme="1"/>
        <sz val="11.0"/>
      </rPr>
      <t xml:space="preserve">
</t>
    </r>
    <r>
      <rPr>
        <rFont val="맑은 고딕"/>
        <color rgb="FF00B050"/>
        <sz val="11.0"/>
      </rPr>
      <t xml:space="preserve">&gt;&gt; 정보공개 처리 기준 17P~18P 내용으로만 요약 생성
&gt;&gt; 답변 예시는 목차 3P의 정보공개 관련 통지 예시 페이지만 안내
&gt;&gt; 국민신문고는 관련 매뉴얼 없음
</t>
    </r>
    <r>
      <rPr>
        <rFont val="맑은 고딕"/>
        <color theme="1"/>
        <sz val="11.0"/>
      </rPr>
      <t xml:space="preserve">
</t>
    </r>
  </si>
  <si>
    <t>3page - 정보공개 접수 처리 절차 안내, 국민신문고 정보공개 처리 기준 및 답변 예시
17, 18page - 국민신문고 정보공개 처리 기준 및 답변 예시</t>
  </si>
  <si>
    <r>
      <rPr>
        <rFont val="맑은 고딕"/>
        <b/>
        <color theme="1"/>
        <sz val="11.0"/>
      </rPr>
      <t>426_2307_통합민원과_업무매뉴얼_행정안전부_민원_처리에_관한_법령_해설집개정판.pdf[260]</t>
    </r>
    <r>
      <rPr>
        <rFont val="맑은 고딕"/>
        <color theme="1"/>
        <sz val="11.0"/>
      </rPr>
      <t xml:space="preserve">
----
</t>
    </r>
    <r>
      <rPr>
        <rFont val="맑은 고딕"/>
        <color rgb="FFFF0000"/>
        <sz val="11.0"/>
      </rPr>
      <t>[국민신문고, 정보공개처리의 문구와 유사도가 높지 않을 것으로 예상]</t>
    </r>
    <r>
      <rPr>
        <rFont val="맑은 고딕"/>
        <color theme="1"/>
        <sz val="11.0"/>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</si>
  <si>
    <r>
      <rPr>
        <rFont val="맑은 고딕"/>
        <b/>
        <color theme="1"/>
        <sz val="11.0"/>
      </rPr>
      <t>424_2108_통합민원과_업무매뉴얼_행정안전부_정보공개운영안내서.pdf[74]</t>
    </r>
    <r>
      <rPr>
        <rFont val="맑은 고딕"/>
        <color theme="1"/>
        <sz val="11.0"/>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</si>
  <si>
    <t>수의계약이 아닌 입찰로 진행할 때 선행해야할 절차들과 서류들을 정리해 줄 수 있는지?</t>
  </si>
  <si>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</si>
  <si>
    <r>
      <rPr>
        <rFont val="Malgun Gothic"/>
        <color theme="1"/>
        <sz val="11.0"/>
      </rP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</si>
  <si>
    <t>-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</si>
  <si>
    <t>2, 4</t>
  </si>
  <si>
    <t xml:space="preserve"> 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
 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</si>
  <si>
    <t>계약으로 진행해야 하는 기준, 계약시 필요 서류 안내, 일반지출이 아닌 계약, 수의 계약이 아닌 입찰 진행할 때 선행 절차와 필요한 서류 안내, 계약 종류별 절차 와 구비서류 안내
---
수의 계약이 아닌 입찰 진행할 때 선행 절차와 필요한 서류 안내</t>
  </si>
  <si>
    <r>
      <rPr>
        <rFont val="맑은 고딕"/>
        <b/>
        <color theme="1"/>
        <sz val="11.0"/>
      </rPr>
      <t xml:space="preserve">475_2501_회계재산담당관_업무매뉴얼_회계재산담당관_2025년_계약업무_통합운영_매뉴얼2511_회계재산담당관_계약지원팀.pdf[2]
</t>
    </r>
    <r>
      <rPr>
        <rFont val="맑은 고딕"/>
        <color theme="1"/>
        <sz val="11.0"/>
      </rPr>
      <t xml:space="preserve">-----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Mincho"/>
        <color theme="1"/>
        <sz val="11.0"/>
      </rPr>
      <t>․</t>
    </r>
    <r>
      <rPr>
        <rFont val="맑은 고딕"/>
        <color theme="1"/>
        <sz val="11.0"/>
      </rPr>
      <t>감독</t>
    </r>
    <r>
      <rPr>
        <rFont val="MS Mincho"/>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Mincho"/>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Mincho"/>
        <color theme="1"/>
        <sz val="11.0"/>
      </rPr>
      <t>․</t>
    </r>
    <r>
      <rPr>
        <rFont val="맑은 고딕"/>
        <color theme="1"/>
        <sz val="11.0"/>
      </rPr>
      <t>일시</t>
    </r>
    <r>
      <rPr>
        <rFont val="MS Mincho"/>
        <color theme="1"/>
        <sz val="11.0"/>
      </rPr>
      <t>․</t>
    </r>
    <r>
      <rPr>
        <rFont val="맑은 고딕"/>
        <color theme="1"/>
        <sz val="11.0"/>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</si>
  <si>
    <r>
      <rPr>
        <rFont val="맑은 고딕"/>
        <b/>
        <color theme="1"/>
        <sz val="11.0"/>
      </rPr>
      <t xml:space="preserve">475_2501_회계재산담당관_업무매뉴얼_회계재산담당관_2025년_계약업무_통합운영_매뉴얼2511_회계재산담당관_계약지원팀.pdf[4]
-----
</t>
    </r>
    <r>
      <rPr>
        <rFont val="맑은 고딕"/>
        <color theme="1"/>
        <sz val="11.0"/>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</si>
  <si>
    <t>부산광역시 해운대구 부동산중개 수수료를 알고 싶습니다.</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</si>
  <si>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네트워크 인증 시스템 비밀번호 분실 시 행정전화(5999)로 연락바랍니다</t>
  </si>
  <si>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</si>
  <si>
    <t>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t>
  </si>
  <si>
    <t>재직증명서 발급 방법을 알려주세요</t>
  </si>
  <si>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</si>
  <si>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</si>
  <si>
    <t>장기재직휴가 부여방법을 알려주세요</t>
  </si>
  <si>
    <t>질문하신 내용에 대해서는 참고할 만한 자료를 찾지 못했습니다. 관련 부서나 업무 담당자에게 문의해 주시기 바랍니다</t>
  </si>
  <si>
    <t>부서 직원이 재직기간 충족으로 인해 장기재직휴가 대상이 되었을때 서무가 인사랑에 장기재직휴가를 부여할 수 있는지에 대한 질문으로 보입니다.
해당 질문의 경우 관련 답변이 없으므로 이상없습니다.</t>
  </si>
  <si>
    <t>페이지 나뉘어져 있는거 다 합쳐서 답변해야할것으로 보입니다.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</si>
  <si>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[문서 페이지 수가 많아서 Top 5 이내 전달할 수 있도록 수량 조정 필요]
</t>
    </r>
    <r>
      <rPr>
        <rFont val="&quot;맑은 고딕&quot;"/>
        <color rgb="FF00FF00"/>
        <sz val="11.0"/>
      </rPr>
      <t>&gt;&gt; 질의문 163번 동일 처리</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</si>
  <si>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</si>
  <si>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</si>
  <si>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지역홍보 언론관계자 지역특산품
 2. 시책 또는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간담회를 개최할 경우 식사 제공
 체육활동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</si>
  <si>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국민신문고와 정보공개청구 처리 과정 알려주세요</t>
  </si>
  <si>
    <r>
      <rPr>
        <rFont val="Malgun Gothic"/>
        <color theme="1"/>
        <sz val="11.0"/>
      </rP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</si>
  <si>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기대답변
 국민신문고 민원 처리 절차 요약 &gt; 이것만 미답변 처리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</si>
  <si>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t>239, 240, 241, 242, 243, 244, 245, 246, 247, 248, 249, 250, 251, 252, 253</t>
  </si>
  <si>
    <r>
      <rPr>
        <rFont val="Malgun Gothic"/>
        <color theme="1"/>
        <sz val="11.0"/>
      </rPr>
      <t xml:space="preserve">본문내용 일체
 - Q 숫자로 되어 있는 질문 답변은 제외 
----------
</t>
    </r>
    <r>
      <rPr>
        <rFont val="Arial"/>
        <color rgb="FF0432FF"/>
        <sz val="11.0"/>
      </rPr>
      <t xml:space="preserve">
[Top5 내로 답변이 나오도록 분량 조정 필요]
</t>
    </r>
    <r>
      <rPr>
        <rFont val="Arial"/>
        <color rgb="FF00B050"/>
        <sz val="11.0"/>
      </rPr>
      <t xml:space="preserve">&gt;&gt; 57P 정보공개업무 처리 절차도(이미지 파일)
해당 페이지만 제공하는게 가능하다면 다음 내용으로만 생성해주세요. </t>
    </r>
    <r>
      <rPr>
        <rFont val="Arial"/>
        <color rgb="FFFF0000"/>
        <sz val="11.0"/>
      </rPr>
      <t>- 이미지 제공불가능</t>
    </r>
    <r>
      <rPr>
        <rFont val="Arial"/>
        <color rgb="FF00B050"/>
        <sz val="11.0"/>
      </rPr>
      <t xml:space="preserve">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t>
    </r>
    <r>
      <rPr>
        <rFont val="Arial"/>
        <color rgb="FFFF0000"/>
        <sz val="11.0"/>
      </rPr>
      <t>-  이런 형태의 안내문은 전부다 FAQ를 별도로 만들어서 관리하는게 맞는것 같습니다</t>
    </r>
    <r>
      <rPr>
        <rFont val="Arial"/>
        <color rgb="FF00B050"/>
        <sz val="11.0"/>
      </rPr>
      <t xml:space="preserve">
&gt;&gt; 국민신문고 메뉴얼 없음</t>
    </r>
  </si>
  <si>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</si>
  <si>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(p.227)</t>
    </r>
    <r>
      <rPr>
        <rFont val="맑은 고딕"/>
        <color rgb="FF000000"/>
        <sz val="11.0"/>
      </rPr>
      <t xml:space="preserve">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</si>
  <si>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</si>
  <si>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theme="1"/>
        <sz val="11.0"/>
      </rPr>
      <t xml:space="preserve">1234_국민신문고_사용자지침서_민원_v17.pdf[16~17p]
-----
</t>
    </r>
    <r>
      <rPr>
        <rFont val="맑은 고딕"/>
        <color theme="1"/>
        <sz val="11.0"/>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</si>
  <si>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필수 이수 교육종류를 알려주세요</t>
  </si>
  <si>
    <t>엑셀, 한글 등 SW프로그램을 새로 다운받는 방법을 알려주세요</t>
  </si>
  <si>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</si>
  <si>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</si>
  <si>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</si>
  <si>
    <t>http://99.1.1.29/resources/xf/portal/table.html? 해당 링크에서 다운로드 가능합니다. 등의 메시지가 표출되면 될 것 같습니다</t>
  </si>
  <si>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</si>
  <si>
    <t>한글 다운로드 받는 방법, 엑셀 다운로드 받는 방법, 소프트웨어 프로그램 다운로드 받는 방법</t>
  </si>
  <si>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</si>
  <si>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행정포털 비밀번호 초기화 방법 알려주세요</t>
  </si>
  <si>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</si>
  <si>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</si>
  <si>
    <t>직원 전출, 휴직, 복직 시 처리해야 하는 행정 절차가 궁금합니다.</t>
  </si>
  <si>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</si>
  <si>
    <r>
      <rPr>
        <rFont val="맑은 고딕"/>
        <b/>
        <color rgb="FF000000"/>
        <sz val="11.0"/>
      </rPr>
      <t>1271_페이지128_문서1_164438_부산광역시_지방공무원_근무_규칙.pdf[1]</t>
    </r>
    <r>
      <rPr>
        <rFont val="맑은 고딕"/>
        <color rgb="FF000000"/>
        <sz val="11.0"/>
      </rPr>
      <t xml:space="preserve">
-----
</t>
    </r>
    <r>
      <rPr>
        <rFont val="맑은 고딕"/>
        <color rgb="FFFF0000"/>
        <sz val="11.0"/>
      </rPr>
      <t>[기대 답변에 대한 내용은 없는 것 같음. 확인 필요]</t>
    </r>
    <r>
      <rPr>
        <rFont val="맑은 고딕"/>
        <color rgb="FF000000"/>
        <sz val="11.0"/>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</si>
  <si>
    <t>윈도우10 기술지원 중단으로 컴퓨터 사양 확인을 위해 TPM 확인을 하려는데 조회가 안됩니다.</t>
  </si>
  <si>
    <t>장기 병가 사용 시 급여 및 수당, 연가 등에 대한 조정 사항이 궁금합니다.</t>
  </si>
  <si>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</si>
  <si>
    <t>관내출장 시 18:00 이후 복귀하여도 출장 시간 인정이 되는지 궁금합니다.</t>
  </si>
  <si>
    <t>관내출장 시 근무 시간(초과근무) 외 복귀할 때 출장시간 인정 여부에 대한 안내, 18시 출장 복귀 시 근무시간 포함(인정) 여부 안내</t>
  </si>
  <si>
    <t>교육 이수 관련하여 연간 충족해야하는 시간과 인정되는 시간이 궁금합니다.</t>
  </si>
  <si>
    <t>예산 수시 배정 절차가 궁금합니다.</t>
  </si>
  <si>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</si>
  <si>
    <r>
      <rPr>
        <rFont val="Malgun Gothic"/>
        <color theme="1"/>
        <sz val="11.0"/>
      </rPr>
      <t xml:space="preserve">근거문서 : 2025년도 지방자치단체 예산편성 운영기준 및 기금운용계획 수립기준 163P
기대답변 :
□ 예산수시배정
</t>
    </r>
    <r>
      <rPr>
        <rFont val="Segoe UI Symbol"/>
        <color theme="1"/>
        <sz val="11.0"/>
      </rPr>
      <t>❍</t>
    </r>
    <r>
      <rPr>
        <rFont val="맑은 고딕"/>
        <color theme="1"/>
        <sz val="11.0"/>
      </rPr>
      <t xml:space="preserve"> 운영절차 : 세출예산집행계획 수정 및 수시배정 요구(사업부서) ⇒ 세출 예산배정계획 조정(예산부서) ⇒ 수시배정 확정(예산부서) ⇒ 관계부서에 통지
</t>
    </r>
    <r>
      <rPr>
        <rFont val="Segoe UI Symbol"/>
        <color theme="1"/>
        <sz val="11.0"/>
      </rPr>
      <t>❍</t>
    </r>
    <r>
      <rPr>
        <rFont val="맑은 고딕"/>
        <color theme="1"/>
        <sz val="11.0"/>
      </rPr>
      <t xml:space="preserve"> 배정방법 : 예산부서는 편성목까지 확정하나, 회계처리 등을 고려하여 통계목까지를 내부적 관리
</t>
    </r>
    <r>
      <rPr>
        <rFont val="Segoe UI Symbol"/>
        <color theme="1"/>
        <sz val="11.0"/>
      </rPr>
      <t xml:space="preserve">
❖</t>
    </r>
    <r>
      <rPr>
        <rFont val="맑은 고딕"/>
        <color theme="1"/>
        <sz val="11.0"/>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rFont val="Segoe UI Symbol"/>
        <color theme="1"/>
        <sz val="11.0"/>
      </rPr>
      <t>❖</t>
    </r>
    <r>
      <rPr>
        <rFont val="맑은 고딕"/>
        <color theme="1"/>
        <sz val="11.0"/>
      </rPr>
      <t>배정 통보
사업부서로부터 세출예산수시배정요구서가 제출된 경우, 예산부서는 배정에 따른 결격사유가 없을 때에는 지체 없이 세출예산배정계획을 수정하고 수시 배정 확정 후 관련부서에 통보</t>
    </r>
  </si>
  <si>
    <t>□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❖배정 통보
 사업부서로부터 세출예산수시배정요구서가 제출된 경우, 예산부서는 배정에 따른 결격사유가 없을 때에는 지체 없이 세출예산배정계획을 수정하고 수시 배정 확정 후 관련부서에 통보</t>
  </si>
  <si>
    <t>163</t>
  </si>
  <si>
    <t>□ 예산수시배정
 ❍ 운영절차 : 세출예산집행계획 수정 및 수시배정 요구(사업부서) ⇒세출예산배정계획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수시배정 확정 후 관련부서에 통보</t>
  </si>
  <si>
    <t>예산 수시 배정 절차 안내</t>
  </si>
  <si>
    <t>사무실 물품 고장 또는 파손 시 청사 내에서 자체적으로 수리를 해주실 수 있는지 궁금합니다.</t>
  </si>
  <si>
    <t>일상대화</t>
  </si>
  <si>
    <t>골든셋 질의답변(서식)</t>
  </si>
  <si>
    <t xml:space="preserve">반영수 : </t>
  </si>
  <si>
    <t>분류</t>
  </si>
  <si>
    <t>AI기대답변</t>
  </si>
  <si>
    <t>출처 문서명</t>
  </si>
  <si>
    <t>출처 페이지</t>
  </si>
  <si>
    <t>출처 문서 중 관련내용</t>
  </si>
  <si>
    <t>일자</t>
  </si>
  <si>
    <t>GoldenSet 반영여부</t>
  </si>
  <si>
    <t>예산회계</t>
  </si>
  <si>
    <t>일상경비 교부대상 및 교부제외대상을 알고 싶어요</t>
  </si>
  <si>
    <t>일상경비 교부 대상 및 범위 
① 201일반운영비 -&gt;한도없음
- 01. 사무관리비: 건당 천만원 미만의 경비*임차료(건당300만원미만)
- 02. 공공운영비:공공요금및제세, 차량선박비
- 03. 행사운영비: 건당 천만원미만경비*임차료(건당300만원미만)
② 202여비 : 국내여비,원액여비 -&gt;한도 1천만원
③ 203업무추진비: 전체통계목 -&gt;한도없음
④ 301일반보전금: 행사실비(건당1천만원미만) -&gt;한도없음
   ★ 교부제외: 국외업무여비, 국제화여비, 공무원교육여비, 피복비, 연구개발비, 자산취득비</t>
  </si>
  <si>
    <t>2512_회계재산담당관 '2025년도 일상경비 교부 운영계획'</t>
  </si>
  <si>
    <t>일상경비 교부대산 및 범위(표) 및 [참고]교부 제외 대상</t>
  </si>
  <si>
    <t>반영</t>
  </si>
  <si>
    <r>
      <rPr>
        <rFont val="Malgun Gothic"/>
        <color theme="1"/>
        <sz val="12.0"/>
      </rPr>
      <t xml:space="preserve">조달로 물품 구매하려고 해. 올해 며칠까지 회계과에 의뢰하면 될까?
</t>
    </r>
    <r>
      <rPr>
        <rFont val="맑은 고딕"/>
        <color rgb="FFFF0000"/>
        <sz val="12.0"/>
      </rPr>
      <t>&gt;&gt; 12월 31일 이후 쓸모없는 자료가 되므로 미반영</t>
    </r>
  </si>
  <si>
    <t xml:space="preserve">「지방회계법」제7조에 따른 출납폐쇄기한은 당해 연도 12.31.까지임
2025년 기준 회계과에서 정한 구분별 업무처리기한은 다음과 같음
  가. 2025년도 계약체결 요청 마감기한
    1) 경쟁입찰 대상 : 2025. 11. 14.한
    2) 수의계약 및 조달3자 단가물품 구매 요청 : 2025. 11. 21.한
      ※ 조달3자단가 물품 구매 요청 시, G2B 종합쇼핑몰에서 최소납품기한 반드시 확인 후 요청
  나. 2025년도 일반지출 요청 마감기한
    1) 우선적으로 지출 가능한 경비 지급요청 : 2025. 12. 2.한
    2) 부서 신용카드 사용기한 : 2025. 12. 18.한
    3) 일반지출 요청 최종 마감기한 : 2025. 12. 19.한
따라서 조달3자단가 물품 구매는 2025.11.21.까지 회계과로 요청해야 함. </t>
  </si>
  <si>
    <t>2511_회계재산담당관_기타_2025년도 출납폐쇄기한 내 계약 및 일반지출 업무처리기준 안내.pdf
2511_회계재산담당관_업무매뉴얼_[계약업무] 출납폐쇄기한 내 계약업무 처리기준 안내(2025 기준).hwp</t>
  </si>
  <si>
    <t>1
1, 2</t>
  </si>
  <si>
    <r>
      <rPr>
        <rFont val="Calibri"/>
        <color theme="1"/>
        <sz val="12.0"/>
      </rPr>
      <t xml:space="preserve"> </t>
    </r>
    <r>
      <rPr>
        <rFont val="맑은 고딕"/>
        <color theme="1"/>
        <sz val="12.0"/>
      </rPr>
      <t>조달</t>
    </r>
    <r>
      <rPr>
        <rFont val="Calibri"/>
        <color theme="1"/>
        <sz val="12.0"/>
      </rPr>
      <t>3</t>
    </r>
    <r>
      <rPr>
        <rFont val="맑은 고딕"/>
        <color theme="1"/>
        <sz val="12.0"/>
      </rPr>
      <t>자</t>
    </r>
    <r>
      <rPr>
        <rFont val="Calibri"/>
        <color theme="1"/>
        <sz val="12.0"/>
      </rPr>
      <t xml:space="preserve"> </t>
    </r>
    <r>
      <rPr>
        <rFont val="맑은 고딕"/>
        <color theme="1"/>
        <sz val="12.0"/>
      </rPr>
      <t>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구매요청할</t>
    </r>
    <r>
      <rPr>
        <rFont val="Calibri"/>
        <color theme="1"/>
        <sz val="12.0"/>
      </rPr>
      <t xml:space="preserve"> </t>
    </r>
    <r>
      <rPr>
        <rFont val="맑은 고딕"/>
        <color theme="1"/>
        <sz val="12.0"/>
      </rPr>
      <t>경우</t>
    </r>
    <r>
      <rPr>
        <rFont val="Calibri"/>
        <color theme="1"/>
        <sz val="12.0"/>
      </rPr>
      <t>(</t>
    </r>
    <r>
      <rPr>
        <rFont val="맑은 고딕"/>
        <color theme="1"/>
        <sz val="12.0"/>
      </rPr>
      <t>나라장터</t>
    </r>
    <r>
      <rPr>
        <rFont val="Calibri"/>
        <color theme="1"/>
        <sz val="12.0"/>
      </rPr>
      <t xml:space="preserve"> </t>
    </r>
    <r>
      <rPr>
        <rFont val="맑은 고딕"/>
        <color theme="1"/>
        <sz val="12.0"/>
      </rPr>
      <t>종합쇼핑몰</t>
    </r>
    <r>
      <rPr>
        <rFont val="Calibri"/>
        <color theme="1"/>
        <sz val="12.0"/>
      </rPr>
      <t xml:space="preserve"> </t>
    </r>
    <r>
      <rPr>
        <rFont val="맑은 고딕"/>
        <color theme="1"/>
        <sz val="12.0"/>
      </rPr>
      <t>등록물품</t>
    </r>
    <r>
      <rPr>
        <rFont val="Calibri"/>
        <color theme="1"/>
        <sz val="12.0"/>
      </rPr>
      <t xml:space="preserve">)
   </t>
    </r>
    <r>
      <rPr>
        <rFont val="맑은 고딕"/>
        <color theme="1"/>
        <sz val="12.0"/>
      </rPr>
      <t>먼저</t>
    </r>
    <r>
      <rPr>
        <rFont val="Calibri"/>
        <color theme="1"/>
        <sz val="12.0"/>
      </rPr>
      <t xml:space="preserve">, </t>
    </r>
    <r>
      <rPr>
        <rFont val="맑은 고딕"/>
        <color theme="1"/>
        <sz val="12.0"/>
      </rPr>
      <t>나라장터종합쇼핑몰에서</t>
    </r>
    <r>
      <rPr>
        <rFont val="Calibri"/>
        <color theme="1"/>
        <sz val="12.0"/>
      </rPr>
      <t xml:space="preserve"> </t>
    </r>
    <r>
      <rPr>
        <rFont val="맑은 고딕"/>
        <color theme="1"/>
        <sz val="12.0"/>
      </rPr>
      <t>해당물품</t>
    </r>
    <r>
      <rPr>
        <rFont val="Calibri"/>
        <color theme="1"/>
        <sz val="12.0"/>
      </rPr>
      <t xml:space="preserve"> </t>
    </r>
    <r>
      <rPr>
        <rFont val="맑은 고딕"/>
        <color theme="1"/>
        <sz val="12.0"/>
      </rPr>
      <t>최소</t>
    </r>
    <r>
      <rPr>
        <rFont val="Calibri"/>
        <color theme="1"/>
        <sz val="12.0"/>
      </rPr>
      <t xml:space="preserve"> </t>
    </r>
    <r>
      <rPr>
        <rFont val="맑은 고딕"/>
        <color theme="1"/>
        <sz val="12.0"/>
      </rPr>
      <t>납품기한</t>
    </r>
    <r>
      <rPr>
        <rFont val="Calibri"/>
        <color theme="1"/>
        <sz val="12.0"/>
      </rPr>
      <t xml:space="preserve"> </t>
    </r>
    <r>
      <rPr>
        <rFont val="맑은 고딕"/>
        <color theme="1"/>
        <sz val="12.0"/>
      </rPr>
      <t>확인</t>
    </r>
    <r>
      <rPr>
        <rFont val="Calibri"/>
        <color theme="1"/>
        <sz val="12.0"/>
      </rPr>
      <t xml:space="preserve"> </t>
    </r>
    <r>
      <rPr>
        <rFont val="맑은 고딕"/>
        <color theme="1"/>
        <sz val="12.0"/>
      </rPr>
      <t>후</t>
    </r>
    <r>
      <rPr>
        <rFont val="Calibri"/>
        <color theme="1"/>
        <sz val="12.0"/>
      </rPr>
      <t xml:space="preserve"> 
   </t>
    </r>
    <r>
      <rPr>
        <rFont val="맑은 고딕"/>
        <color theme="1"/>
        <sz val="12.0"/>
      </rPr>
      <t>해당업체</t>
    </r>
    <r>
      <rPr>
        <rFont val="Calibri"/>
        <color theme="1"/>
        <sz val="12.0"/>
      </rPr>
      <t xml:space="preserve"> </t>
    </r>
    <r>
      <rPr>
        <rFont val="맑은 고딕"/>
        <color theme="1"/>
        <sz val="12.0"/>
      </rPr>
      <t>및</t>
    </r>
    <r>
      <rPr>
        <rFont val="Calibri"/>
        <color theme="1"/>
        <sz val="12.0"/>
      </rPr>
      <t xml:space="preserve"> </t>
    </r>
    <r>
      <rPr>
        <rFont val="맑은 고딕"/>
        <color theme="1"/>
        <sz val="12.0"/>
      </rPr>
      <t>계약담당자와</t>
    </r>
    <r>
      <rPr>
        <rFont val="Calibri"/>
        <color theme="1"/>
        <sz val="12.0"/>
      </rPr>
      <t xml:space="preserve"> </t>
    </r>
    <r>
      <rPr>
        <rFont val="맑은 고딕"/>
        <color theme="1"/>
        <sz val="12.0"/>
      </rPr>
      <t>사전협의</t>
    </r>
    <r>
      <rPr>
        <rFont val="Calibri"/>
        <color theme="1"/>
        <sz val="12.0"/>
      </rPr>
      <t xml:space="preserve"> </t>
    </r>
    <r>
      <rPr>
        <rFont val="맑은 고딕"/>
        <color theme="1"/>
        <sz val="12.0"/>
      </rPr>
      <t>후</t>
    </r>
    <r>
      <rPr>
        <rFont val="Calibri"/>
        <color theme="1"/>
        <sz val="12.0"/>
      </rPr>
      <t xml:space="preserve"> </t>
    </r>
    <r>
      <rPr>
        <rFont val="맑은 고딕"/>
        <color theme="1"/>
        <sz val="12.0"/>
      </rPr>
      <t>계약요청</t>
    </r>
    <r>
      <rPr>
        <rFont val="Calibri"/>
        <color theme="1"/>
        <sz val="12.0"/>
      </rPr>
      <t xml:space="preserve">
    </t>
    </r>
    <r>
      <rPr>
        <rFont val="Wingdings"/>
        <color theme="1"/>
        <sz val="12.0"/>
      </rPr>
      <t></t>
    </r>
    <r>
      <rPr>
        <rFont val="Calibri"/>
        <color theme="1"/>
        <sz val="12.0"/>
      </rPr>
      <t xml:space="preserve"> </t>
    </r>
    <r>
      <rPr>
        <rFont val="맑은 고딕"/>
        <color theme="1"/>
        <sz val="12.0"/>
      </rPr>
      <t>조달</t>
    </r>
    <r>
      <rPr>
        <rFont val="Calibri"/>
        <color theme="1"/>
        <sz val="12.0"/>
      </rPr>
      <t>3</t>
    </r>
    <r>
      <rPr>
        <rFont val="맑은 고딕"/>
        <color theme="1"/>
        <sz val="12.0"/>
      </rPr>
      <t>자단가물품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t>
    </r>
    <r>
      <rPr>
        <rFont val="Calibri"/>
        <color theme="1"/>
        <sz val="12.0"/>
      </rPr>
      <t xml:space="preserve"> : ‘25. 11. 21.</t>
    </r>
    <r>
      <rPr>
        <rFont val="맑은 고딕"/>
        <color theme="1"/>
        <sz val="12.0"/>
      </rPr>
      <t>한</t>
    </r>
    <r>
      <rPr>
        <rFont val="Calibri"/>
        <color theme="1"/>
        <sz val="12.0"/>
      </rPr>
      <t xml:space="preserve"> </t>
    </r>
  </si>
  <si>
    <t>미반영</t>
  </si>
  <si>
    <t>정보보안</t>
  </si>
  <si>
    <t>유지관리 정보화사업을 추진하려고 해. 내 사업이 보안성검토 대상인지 알려줘</t>
  </si>
  <si>
    <t>정보화사업에 대한 정보보안 관련사항은 "부산광역시 정보보안업무 지침"에 근거함.
부산광역시 정보보안업무 지침 제14조(검토 생략)에 따라  "다년도에 걸쳐 계속되는 사업으로써 사업 착수 당시 보안성 검토를 완료한 후 사업 내용의 변동 없이 계속 추진하는 운영·유지사업" 으로 되어 있음.
사업 착수 당시 보안성 검토를 완료했는지 확인이 필요하며, 
사업 내용 역시 변동 없이 계속 추진 사업인지 확인이 필요함.</t>
  </si>
  <si>
    <t>2307_정보화정책과_업무매뉴얼_부산광역시 정보보안업무 지침.pdf</t>
  </si>
  <si>
    <t>15, 16, 17, 18</t>
  </si>
  <si>
    <t>제14조 (검토 생략) 정보화사업담당관은 다음 각 호에 해당하는 정보화사업에 대하여는
보안성 검토 절차의 이행을 생략할 수 있다. 이 경우 정보화사업담당관은 관련 매뉴
얼·가이드라인 등을 준수하는 등 자체 보안대책을 수립·시행하여야 한다.
1. 제12조 각 호의 정보화사업에 해당하지 아니하는 단순 장비·물품 도입
2. 제13조에 따른 보안성 검토를 거쳐 완료한 정보화사업에 대하여 정보통신망
구성을 변경하지 아니하는 범위 내에서 다음 각 목의 사항을 포함한
후속운영·유지보수·컨설팅(단일 회선의 이중화는 본 호를 적용함에 있어
정보통신망 구성의 변경이 아닌 것으로 본다)
가. 서버·스토리지·네트워크장비 등 장비 노후화로 인한 단순 장비 교체
나. 전화기·무전기·CCTV 등 통신·영상기기의 노후화로 인한 단순 장비 교체
다. 기존 운용하던 정보보호시스템을 같은 보안 기능을 보유한 다른 정보보호시스
템으로 교체
3. 다년도에 걸쳐 계속되는 사업으로써 사업 착수 당시 보안성 검토를 완료한 후
사업 내용의 변동 없이 계속 추진하는 운영·유지사업
4. PC·프린터 및 상용 소프트웨어 등 단순제품 교체</t>
  </si>
  <si>
    <t>정보시스템을 도입했는데, 로그 기록해야 한다고 하는데, 저장 기간과 관련 근거 조항 알려줘</t>
  </si>
  <si>
    <t>부산광역시 정보보안업무 지침 제47조(로그기록 유지)에 따라, 정보시스템 정보시스템 관리자는 로그기록을 1년 이상 보관하여야 하며 로그기록의 위·변조 및
외부유출 방지대책을 수립·시행하여야 함.
따라서 1년 이상 보관하여야 하고, 관련 조항은 부산광역시 정보보안업무 지침 제47조임</t>
  </si>
  <si>
    <t>제47조 (로그기록 유지) ① 분임정보보안담당관은 정보시스템의 효율적인 통제·관리 및
사고 발생 시 추적 등을 위하여 로그기록을 유지·관리하여야 한다.
② 제1항에 따른 로그기록에는 다음 각 호의 사항이 포함되어야 한다.
1. 접속자, 정보시스템·응용프로그램 등 접속대상
2. 로그온·오프, 자료의 열람·출력 등 작업 종류 및 시간
3. 접속 성공·실패 등 작업 결과
4. 전자우편 사용 등 외부발송 정보 등
③ 정보시스템 관리자는 로그기록을 생성하는 정보시스템의 경우 시간 동기화 프로토
콜(NTP) 적용 등을 통해 정확한 기록을 유지하여야 한다.
④ 정보시스템 관리자는 로그기록을 정기적으로 점검하고 점검 결과 비(非)인가자의
접속 시도, 자료의 위·변조 및 삭제 등 의심스러운 정황이나 위반한 사실을 발견한 경
우 즉시 정보보안담당관에게 통보하여야 한다.
⑤ 정보시스템 관리자는 로그기록을 1년 이상 보관하여야 하며 로그기록의 위·변조 및
외부유출 방지대책을 수립·시행하여야 한다.</t>
  </si>
  <si>
    <t>정보화사업을 추진하는데, 보안관련하여 착수단계 챙겨야 할 사항을 알려줘</t>
  </si>
  <si>
    <t>정보화사업 단계별 준수사항에 대해 "부산광역시 정보화용역사업 보안관리 매뉴얼"에서 안내하고 있음
"부산광역시 정보화용역사업 보안관리 매뉴얼" 제4장 사업수행 단계, 제1절 참여인원에 대한 보안관리 에 따라 다음 사항을 준수해야 함. 
1. 참여인원 신원확인
2. 보안서약서 징구
3. 보안교육 실시
4. 용역사업 참여인원 보안점검 실시</t>
  </si>
  <si>
    <t>2207_정보화정책과_업무매뉴얼_부산광역시 정보화용역사업 보안관리 매뉴얼.pdf</t>
  </si>
  <si>
    <t>15, 16</t>
  </si>
  <si>
    <t>제4장 사업수행 단계
4장에서는 정보화 용역사업 수행 단계에서 적용해야 하는 보안사항을 설명
한다. 참여인원, 사무실·장비, 내·외부망, 자료에 대한 보안관리 사항을 포
함한다.
제1절 참여인원에 대한 보안관리</t>
  </si>
  <si>
    <t xml:space="preserve">행사에 따른 행사실비지원금을 지출해야 하는데, 회계과 의뢰인지, 부서내 일상경비로 처리해야하는지 알려줘. </t>
  </si>
  <si>
    <t xml:space="preserve">회계재산담당관 "2025년도 일상경비 교부·운영계획"에서 2025년 일상경비 교부 대상을 정하고 있음.
행사실비지원금의 경우 "건당 천만원 미만의 경비"의 경우 교부 대상이므로 
건당 금액 상한을 확인해야 함.
건당 천만원 미만의 경우 일상경비로 처리하고,
건당 천만원이상의 경우 회계과로 의뢰해야 함. </t>
  </si>
  <si>
    <t>2412_회계재산담당관_기타_2025년도 일상경비 교부·운영계획.pdf</t>
  </si>
  <si>
    <t>1, 5</t>
  </si>
  <si>
    <t>301일반보전금 &gt; 11.행사실비지원금 &gt; 건당 천만원 미만의 경비</t>
  </si>
  <si>
    <t>부서에서 사용하는 보안USB를 분실했어. 이후 절차 안내해줘</t>
  </si>
  <si>
    <t>관련 근거과 처리 절차는 다음과 같음
부산광역시 정보보안업무 지침, 부록2 USB메모리 등 휴대용 저장매체 보안관리지침 제10조(휴대용 저장매체의 분실, 소각시 대처방안)
1) 취급자는 휴대용 저장매체의 분실 또는 소각 등의 사유가 발생한 즉시 관리자에게 그 사실을 보고
2) 관리자는 휴대용 저장매체의 분실 또는 소각사실을 보고받은 즉시 분임
정보보안담당관을 경유하여 정보보안담당관에게 통지
3) 정보보안담당관은 일반용의 분실 또는 소각 사실을 통지받거나 인지한
경우에는 자체 조사를 실시하고 재발방지 대책을 강구하여야 함. 다만「국가
정보보안 기본지침」제141조제2항에 따른 사안일 경우에는 지체 없이 국가
정보원장에게 그 사실을 통보하여야 한다.
여기에서 
1)“정보보안담당관”이란 시본청, 직속기관, 사업소(이하 “시”라 한다)등의
정보보안업무를 총괄하는 사람으로 정보보안 전담조직을 담당하는 부서의 장을
말한다.
2)“분임정보보안담당관”이란 정보보안담당관이 직무를 효율적으로 수행할 수 있도록
부서의 정보보안업무를 수행하는 사람으로 부서의 장을 말한다.</t>
  </si>
  <si>
    <t>8, 76, 77</t>
  </si>
  <si>
    <t>제2조 (정의) 이 지침에서 사용하는 용어의 정의는 다음과 같다.
2. “정보보안담당관”이란 시본청, 직속기관, 사업소(이하 “시”라 한다)등의
정보보안업무를 총괄하는 사람으로 정보보안 전담조직을 담당하는 부서의 장을
말한다.
3. “분임정보보안담당관”이란 정보보안담당관이 직무를 효율적으로 수행할 수 있도록
부서의 정보보안업무를 수행하는 사람으로 부서의 장을 말한다.
제10조(휴대용 저장매체의 분실, 소각시 대처방안) ① 취급자는 휴대용 저장매
체의 분실 또는 소각 등의 사유가 발생한 즉시 관리자에게 그 사실을 보고하여야 한다.
② 관리자는 휴대용 저장매체의 분실 또는 소각사실을 보고받은 즉시 분임
정보보안담당관을 경유하여 정보보안담당관에게 통지하여야 한다.
③ 정보보안담당관은 일반용의 분실 또는 소각 사실을 통지받거나 인지한
경우에는 자체 조사를 실시하고 재발방지 대책을 강구하여야 한다. 다만「국가
정보보안 기본지침」제141조제2항에 따른 사안일 경우에는 지체 없이 국가
정보원장에게 그 사실을 통보하여야 한다.</t>
  </si>
  <si>
    <t>홍보</t>
  </si>
  <si>
    <t>육교현판 게시하려고 하는데 신청방법을 알려줘</t>
  </si>
  <si>
    <t xml:space="preserve">1. 육교현판 신청 절차
 - 미래디자인본부 도시공공디자인담당관 광고물팀 육교현판허가 담당자에게 육교게시할 위치, 기간을 사전에 협의 후 공문으로 신청합니다.
 - 허가기간은 14일(예시 1일~13일) , 허가 당 3개소, 현판세로규격 1.1m 이내가능하고 1회 기간연장 가능합니다.
 - 사전협의 완료되어 공문으로 신청하실때는 최소 3일전에는 신청하여주시고, 육교현판 제작·설치 업체의 재해배상 책임보험 가입증명서, 현수막 시안(규격 포함)을 첨부하셔야 합니다.
- 육교 게시가능한 육교 현판 위치가 궁금하시면 육교현판허가 담당자에게 연락하시면 쪽지로 송부하여 드립니다. </t>
  </si>
  <si>
    <t>도시공공디자인담당관-10513(2025.11.13.)호
육교 광고물(현판) 사용 승인조건</t>
  </si>
  <si>
    <t>본문그대로 인용</t>
  </si>
  <si>
    <t>행사 홍보를 위한 현수막 게시방법을 알려줘</t>
  </si>
  <si>
    <t>1. 현수막 게시 신청 절차
- 게시대에 게시하지 않는 (행정용)현수막은 정당현수막 일부를 제외하고 모두 불법현수막입니다.
- 현수막 게시를 위해서 https://bsbanner.co.kr/ 사이트에서 지정게시대 신청을 통합적으로 편리하게 할 수 있습니다. 
- 또한, 현수막게시대 신고 등의 경우 구(군)의 허가권이 있음으로, 구(군) 광고물팀에 상세한 내용을 질의하여 주시기 바랍니다.</t>
  </si>
  <si>
    <t>https://bsbanner.co.kr/'
옥외광고물 등의 관리와 옥외광고산업 진흥에 관한 법률 시행령 제5조</t>
  </si>
  <si>
    <t>유해사이트 차단해제 방법 알려줘</t>
  </si>
  <si>
    <t>아래와 같은 내용을 포함하여 관련공문 혹은 관련계획서등의 증빙자료를 첨부해서 정보화정책과로 공문을 보내면 됩니다 단 업무와 무관한 개인적인 용도는 해제 불가합니다
1. 담당자 : 소속/ 직급/ 성명(홍길동)
2. 접속 IP주소 : 99.00.00.00
3. 해제 기간 : 2025.1.1. ~ 1. 5 (최대1년까지만)
4. 해제 사이트 : https://abc.co.kr (해당 서비스를 제공하는 정확한 사이트 주소)
5. 해제 목적 : 홈페이지 홍보사진 및 동영상 자료 갱신 작업</t>
  </si>
  <si>
    <t>인터넷유해사이트차단해제요청 공문 예시</t>
  </si>
  <si>
    <r>
      <rPr>
        <rFont val="Calibri"/>
        <color theme="1"/>
        <sz val="12.0"/>
      </rPr>
      <t xml:space="preserve"> 000</t>
    </r>
    <r>
      <rPr>
        <rFont val="맑은 고딕"/>
        <color theme="1"/>
        <sz val="12.0"/>
      </rPr>
      <t>홈페이지</t>
    </r>
    <r>
      <rPr>
        <rFont val="Calibri"/>
        <color theme="1"/>
        <sz val="12.0"/>
      </rPr>
      <t xml:space="preserve"> </t>
    </r>
    <r>
      <rPr>
        <rFont val="맑은 고딕"/>
        <color theme="1"/>
        <sz val="12.0"/>
      </rPr>
      <t>홍보사진</t>
    </r>
    <r>
      <rPr>
        <rFont val="Calibri"/>
        <color theme="1"/>
        <sz val="12.0"/>
      </rPr>
      <t xml:space="preserve"> </t>
    </r>
    <r>
      <rPr>
        <rFont val="맑은 고딕"/>
        <color theme="1"/>
        <sz val="12.0"/>
      </rPr>
      <t>및</t>
    </r>
    <r>
      <rPr>
        <rFont val="Calibri"/>
        <color theme="1"/>
        <sz val="12.0"/>
      </rPr>
      <t xml:space="preserve"> </t>
    </r>
    <r>
      <rPr>
        <rFont val="맑은 고딕"/>
        <color theme="1"/>
        <sz val="12.0"/>
      </rPr>
      <t>동영상</t>
    </r>
    <r>
      <rPr>
        <rFont val="Calibri"/>
        <color theme="1"/>
        <sz val="12.0"/>
      </rPr>
      <t xml:space="preserve"> </t>
    </r>
    <r>
      <rPr>
        <rFont val="맑은 고딕"/>
        <color theme="1"/>
        <sz val="12.0"/>
      </rPr>
      <t>자료</t>
    </r>
    <r>
      <rPr>
        <rFont val="Calibri"/>
        <color theme="1"/>
        <sz val="12.0"/>
      </rPr>
      <t xml:space="preserve"> </t>
    </r>
    <r>
      <rPr>
        <rFont val="맑은 고딕"/>
        <color theme="1"/>
        <sz val="12.0"/>
      </rPr>
      <t>갱신을</t>
    </r>
    <r>
      <rPr>
        <rFont val="Calibri"/>
        <color theme="1"/>
        <sz val="12.0"/>
      </rPr>
      <t xml:space="preserve"> </t>
    </r>
    <r>
      <rPr>
        <rFont val="맑은 고딕"/>
        <color theme="1"/>
        <sz val="12.0"/>
      </rPr>
      <t>위해</t>
    </r>
    <r>
      <rPr>
        <rFont val="Calibri"/>
        <color theme="1"/>
        <sz val="12.0"/>
      </rPr>
      <t xml:space="preserve"> </t>
    </r>
    <r>
      <rPr>
        <rFont val="맑은 고딕"/>
        <color theme="1"/>
        <sz val="12.0"/>
      </rPr>
      <t>다음과</t>
    </r>
    <r>
      <rPr>
        <rFont val="Calibri"/>
        <color theme="1"/>
        <sz val="12.0"/>
      </rPr>
      <t xml:space="preserve"> </t>
    </r>
    <r>
      <rPr>
        <rFont val="맑은 고딕"/>
        <color theme="1"/>
        <sz val="12.0"/>
      </rPr>
      <t>같이</t>
    </r>
    <r>
      <rPr>
        <rFont val="Calibri"/>
        <color theme="1"/>
        <sz val="12.0"/>
      </rPr>
      <t xml:space="preserve"> </t>
    </r>
    <r>
      <rPr>
        <rFont val="맑은 고딕"/>
        <color theme="1"/>
        <sz val="12.0"/>
      </rPr>
      <t>인터넷</t>
    </r>
    <r>
      <rPr>
        <rFont val="Calibri"/>
        <color theme="1"/>
        <sz val="12.0"/>
      </rPr>
      <t xml:space="preserve"> </t>
    </r>
    <r>
      <rPr>
        <rFont val="맑은 고딕"/>
        <color theme="1"/>
        <sz val="12.0"/>
      </rPr>
      <t>유해사이트</t>
    </r>
    <r>
      <rPr>
        <rFont val="Calibri"/>
        <color theme="1"/>
        <sz val="12.0"/>
      </rPr>
      <t xml:space="preserve"> </t>
    </r>
    <r>
      <rPr>
        <rFont val="맑은 고딕"/>
        <color theme="1"/>
        <sz val="12.0"/>
      </rPr>
      <t>차단</t>
    </r>
    <r>
      <rPr>
        <rFont val="Calibri"/>
        <color theme="1"/>
        <sz val="12.0"/>
      </rPr>
      <t xml:space="preserve"> </t>
    </r>
    <r>
      <rPr>
        <rFont val="맑은 고딕"/>
        <color theme="1"/>
        <sz val="12.0"/>
      </rPr>
      <t>해제를</t>
    </r>
    <r>
      <rPr>
        <rFont val="Calibri"/>
        <color theme="1"/>
        <sz val="12.0"/>
      </rPr>
      <t xml:space="preserve"> </t>
    </r>
    <r>
      <rPr>
        <rFont val="맑은 고딕"/>
        <color theme="1"/>
        <sz val="12.0"/>
      </rPr>
      <t>요청하오니</t>
    </r>
    <r>
      <rPr>
        <rFont val="Calibri"/>
        <color theme="1"/>
        <sz val="12.0"/>
      </rPr>
      <t xml:space="preserve"> </t>
    </r>
    <r>
      <rPr>
        <rFont val="맑은 고딕"/>
        <color theme="1"/>
        <sz val="12.0"/>
      </rPr>
      <t>조치하여</t>
    </r>
    <r>
      <rPr>
        <rFont val="Calibri"/>
        <color theme="1"/>
        <sz val="12.0"/>
      </rPr>
      <t xml:space="preserve"> </t>
    </r>
    <r>
      <rPr>
        <rFont val="맑은 고딕"/>
        <color theme="1"/>
        <sz val="12.0"/>
      </rPr>
      <t>주시기</t>
    </r>
    <r>
      <rPr>
        <rFont val="Calibri"/>
        <color theme="1"/>
        <sz val="12.0"/>
      </rPr>
      <t xml:space="preserve"> </t>
    </r>
    <r>
      <rPr>
        <rFont val="맑은 고딕"/>
        <color theme="1"/>
        <sz val="12.0"/>
      </rPr>
      <t>바랍니다</t>
    </r>
    <r>
      <rPr>
        <rFont val="Calibri"/>
        <color theme="1"/>
        <sz val="12.0"/>
      </rPr>
      <t xml:space="preserve">. 
1. </t>
    </r>
    <r>
      <rPr>
        <rFont val="맑은 고딕"/>
        <color theme="1"/>
        <sz val="12.0"/>
      </rPr>
      <t>담당자</t>
    </r>
    <r>
      <rPr>
        <rFont val="Calibri"/>
        <color theme="1"/>
        <sz val="12.0"/>
      </rPr>
      <t xml:space="preserve"> : </t>
    </r>
    <r>
      <rPr>
        <rFont val="맑은 고딕"/>
        <color theme="1"/>
        <sz val="12.0"/>
      </rPr>
      <t>소속</t>
    </r>
    <r>
      <rPr>
        <rFont val="Calibri"/>
        <color theme="1"/>
        <sz val="12.0"/>
      </rPr>
      <t xml:space="preserve">/ </t>
    </r>
    <r>
      <rPr>
        <rFont val="맑은 고딕"/>
        <color theme="1"/>
        <sz val="12.0"/>
      </rPr>
      <t>직급</t>
    </r>
    <r>
      <rPr>
        <rFont val="Calibri"/>
        <color theme="1"/>
        <sz val="12.0"/>
      </rPr>
      <t xml:space="preserve">/ </t>
    </r>
    <r>
      <rPr>
        <rFont val="맑은 고딕"/>
        <color theme="1"/>
        <sz val="12.0"/>
      </rPr>
      <t>성명</t>
    </r>
    <r>
      <rPr>
        <rFont val="Calibri"/>
        <color theme="1"/>
        <sz val="12.0"/>
      </rPr>
      <t>(</t>
    </r>
    <r>
      <rPr>
        <rFont val="맑은 고딕"/>
        <color theme="1"/>
        <sz val="12.0"/>
      </rPr>
      <t>홍길동</t>
    </r>
    <r>
      <rPr>
        <rFont val="Calibri"/>
        <color theme="1"/>
        <sz val="12.0"/>
      </rPr>
      <t xml:space="preserve">)
2. </t>
    </r>
    <r>
      <rPr>
        <rFont val="맑은 고딕"/>
        <color theme="1"/>
        <sz val="12.0"/>
      </rPr>
      <t>접속</t>
    </r>
    <r>
      <rPr>
        <rFont val="Calibri"/>
        <color theme="1"/>
        <sz val="12.0"/>
      </rPr>
      <t xml:space="preserve"> IP</t>
    </r>
    <r>
      <rPr>
        <rFont val="맑은 고딕"/>
        <color theme="1"/>
        <sz val="12.0"/>
      </rPr>
      <t>주소</t>
    </r>
    <r>
      <rPr>
        <rFont val="Calibri"/>
        <color theme="1"/>
        <sz val="12.0"/>
      </rPr>
      <t xml:space="preserve"> : 99.00.00.00
3. </t>
    </r>
    <r>
      <rPr>
        <rFont val="맑은 고딕"/>
        <color theme="1"/>
        <sz val="12.0"/>
      </rPr>
      <t>해제</t>
    </r>
    <r>
      <rPr>
        <rFont val="Calibri"/>
        <color theme="1"/>
        <sz val="12.0"/>
      </rPr>
      <t xml:space="preserve"> </t>
    </r>
    <r>
      <rPr>
        <rFont val="맑은 고딕"/>
        <color theme="1"/>
        <sz val="12.0"/>
      </rPr>
      <t>기간</t>
    </r>
    <r>
      <rPr>
        <rFont val="Calibri"/>
        <color theme="1"/>
        <sz val="12.0"/>
      </rPr>
      <t xml:space="preserve"> : 2025.1.1. ~ 1. 5 (</t>
    </r>
    <r>
      <rPr>
        <rFont val="맑은 고딕"/>
        <color theme="1"/>
        <sz val="12.0"/>
      </rPr>
      <t>최대</t>
    </r>
    <r>
      <rPr>
        <rFont val="Calibri"/>
        <color theme="1"/>
        <sz val="12.0"/>
      </rPr>
      <t>1</t>
    </r>
    <r>
      <rPr>
        <rFont val="맑은 고딕"/>
        <color theme="1"/>
        <sz val="12.0"/>
      </rPr>
      <t>년까지만</t>
    </r>
    <r>
      <rPr>
        <rFont val="Calibri"/>
        <color theme="1"/>
        <sz val="12.0"/>
      </rPr>
      <t xml:space="preserve">)
4. </t>
    </r>
    <r>
      <rPr>
        <rFont val="맑은 고딕"/>
        <color theme="1"/>
        <sz val="12.0"/>
      </rPr>
      <t>해제</t>
    </r>
    <r>
      <rPr>
        <rFont val="Calibri"/>
        <color theme="1"/>
        <sz val="12.0"/>
      </rPr>
      <t xml:space="preserve"> </t>
    </r>
    <r>
      <rPr>
        <rFont val="맑은 고딕"/>
        <color theme="1"/>
        <sz val="12.0"/>
      </rPr>
      <t>사이트</t>
    </r>
    <r>
      <rPr>
        <rFont val="Calibri"/>
        <color theme="1"/>
        <sz val="12.0"/>
      </rPr>
      <t xml:space="preserve"> : https://abc.co.kr (</t>
    </r>
    <r>
      <rPr>
        <rFont val="맑은 고딕"/>
        <color theme="1"/>
        <sz val="12.0"/>
      </rPr>
      <t>해당</t>
    </r>
    <r>
      <rPr>
        <rFont val="Calibri"/>
        <color theme="1"/>
        <sz val="12.0"/>
      </rPr>
      <t xml:space="preserve"> </t>
    </r>
    <r>
      <rPr>
        <rFont val="맑은 고딕"/>
        <color theme="1"/>
        <sz val="12.0"/>
      </rPr>
      <t>서비스를</t>
    </r>
    <r>
      <rPr>
        <rFont val="Calibri"/>
        <color theme="1"/>
        <sz val="12.0"/>
      </rPr>
      <t xml:space="preserve"> </t>
    </r>
    <r>
      <rPr>
        <rFont val="맑은 고딕"/>
        <color theme="1"/>
        <sz val="12.0"/>
      </rPr>
      <t>제공하는</t>
    </r>
    <r>
      <rPr>
        <rFont val="Calibri"/>
        <color theme="1"/>
        <sz val="12.0"/>
      </rPr>
      <t xml:space="preserve"> </t>
    </r>
    <r>
      <rPr>
        <rFont val="맑은 고딕"/>
        <color theme="1"/>
        <sz val="12.0"/>
      </rPr>
      <t>정확한</t>
    </r>
    <r>
      <rPr>
        <rFont val="Calibri"/>
        <color theme="1"/>
        <sz val="12.0"/>
      </rPr>
      <t xml:space="preserve"> </t>
    </r>
    <r>
      <rPr>
        <rFont val="맑은 고딕"/>
        <color theme="1"/>
        <sz val="12.0"/>
      </rPr>
      <t>사이트</t>
    </r>
    <r>
      <rPr>
        <rFont val="Calibri"/>
        <color theme="1"/>
        <sz val="12.0"/>
      </rPr>
      <t xml:space="preserve"> </t>
    </r>
    <r>
      <rPr>
        <rFont val="맑은 고딕"/>
        <color theme="1"/>
        <sz val="12.0"/>
      </rPr>
      <t>주소</t>
    </r>
    <r>
      <rPr>
        <rFont val="Calibri"/>
        <color theme="1"/>
        <sz val="12.0"/>
      </rPr>
      <t xml:space="preserve">)
5. </t>
    </r>
    <r>
      <rPr>
        <rFont val="맑은 고딕"/>
        <color theme="1"/>
        <sz val="12.0"/>
      </rPr>
      <t>해제</t>
    </r>
    <r>
      <rPr>
        <rFont val="Calibri"/>
        <color theme="1"/>
        <sz val="12.0"/>
      </rPr>
      <t xml:space="preserve"> </t>
    </r>
    <r>
      <rPr>
        <rFont val="맑은 고딕"/>
        <color theme="1"/>
        <sz val="12.0"/>
      </rPr>
      <t>목적</t>
    </r>
    <r>
      <rPr>
        <rFont val="Calibri"/>
        <color theme="1"/>
        <sz val="12.0"/>
      </rPr>
      <t xml:space="preserve"> : </t>
    </r>
    <r>
      <rPr>
        <rFont val="맑은 고딕"/>
        <color theme="1"/>
        <sz val="12.0"/>
      </rPr>
      <t>홈페이지</t>
    </r>
    <r>
      <rPr>
        <rFont val="Calibri"/>
        <color theme="1"/>
        <sz val="12.0"/>
      </rPr>
      <t xml:space="preserve"> </t>
    </r>
    <r>
      <rPr>
        <rFont val="맑은 고딕"/>
        <color theme="1"/>
        <sz val="12.0"/>
      </rPr>
      <t>홍보사진</t>
    </r>
    <r>
      <rPr>
        <rFont val="Calibri"/>
        <color theme="1"/>
        <sz val="12.0"/>
      </rPr>
      <t xml:space="preserve"> </t>
    </r>
    <r>
      <rPr>
        <rFont val="맑은 고딕"/>
        <color theme="1"/>
        <sz val="12.0"/>
      </rPr>
      <t>및</t>
    </r>
    <r>
      <rPr>
        <rFont val="Calibri"/>
        <color theme="1"/>
        <sz val="12.0"/>
      </rPr>
      <t xml:space="preserve"> </t>
    </r>
    <r>
      <rPr>
        <rFont val="맑은 고딕"/>
        <color theme="1"/>
        <sz val="12.0"/>
      </rPr>
      <t>동영상</t>
    </r>
    <r>
      <rPr>
        <rFont val="Calibri"/>
        <color theme="1"/>
        <sz val="12.0"/>
      </rPr>
      <t xml:space="preserve"> </t>
    </r>
    <r>
      <rPr>
        <rFont val="맑은 고딕"/>
        <color theme="1"/>
        <sz val="12.0"/>
      </rPr>
      <t>자료</t>
    </r>
    <r>
      <rPr>
        <rFont val="Calibri"/>
        <color theme="1"/>
        <sz val="12.0"/>
      </rPr>
      <t xml:space="preserve"> </t>
    </r>
    <r>
      <rPr>
        <rFont val="맑은 고딕"/>
        <color theme="1"/>
        <sz val="12.0"/>
      </rPr>
      <t>갱신</t>
    </r>
    <r>
      <rPr>
        <rFont val="Calibri"/>
        <color theme="1"/>
        <sz val="12.0"/>
      </rPr>
      <t xml:space="preserve"> </t>
    </r>
    <r>
      <rPr>
        <rFont val="맑은 고딕"/>
        <color theme="1"/>
        <sz val="12.0"/>
      </rPr>
      <t>작업</t>
    </r>
    <r>
      <rPr>
        <rFont val="Calibri"/>
        <color theme="1"/>
        <sz val="12.0"/>
      </rPr>
      <t xml:space="preserve">.  </t>
    </r>
    <r>
      <rPr>
        <rFont val="맑은 고딕"/>
        <color theme="1"/>
        <sz val="12.0"/>
      </rPr>
      <t>끝</t>
    </r>
    <r>
      <rPr>
        <rFont val="Calibri"/>
        <color theme="1"/>
        <sz val="12.0"/>
      </rPr>
      <t xml:space="preserve">.
</t>
    </r>
    <r>
      <rPr>
        <rFont val="맑은 고딕"/>
        <color theme="1"/>
        <sz val="12.0"/>
      </rPr>
      <t>붙임</t>
    </r>
    <r>
      <rPr>
        <rFont val="Calibri"/>
        <color theme="1"/>
        <sz val="12.0"/>
      </rPr>
      <t xml:space="preserve"> : </t>
    </r>
    <r>
      <rPr>
        <rFont val="맑은 고딕"/>
        <color theme="1"/>
        <sz val="12.0"/>
      </rPr>
      <t>증빙자료</t>
    </r>
    <r>
      <rPr>
        <rFont val="Calibri"/>
        <color theme="1"/>
        <sz val="12.0"/>
      </rPr>
      <t xml:space="preserve"> </t>
    </r>
    <r>
      <rPr>
        <rFont val="맑은 고딕"/>
        <color theme="1"/>
        <sz val="12.0"/>
      </rPr>
      <t>첨부</t>
    </r>
    <r>
      <rPr>
        <rFont val="Calibri"/>
        <color theme="1"/>
        <sz val="12.0"/>
      </rPr>
      <t>(</t>
    </r>
    <r>
      <rPr>
        <rFont val="맑은 고딕"/>
        <color theme="1"/>
        <sz val="12.0"/>
      </rPr>
      <t>관련공문</t>
    </r>
    <r>
      <rPr>
        <rFont val="Calibri"/>
        <color theme="1"/>
        <sz val="12.0"/>
      </rPr>
      <t xml:space="preserve">, </t>
    </r>
    <r>
      <rPr>
        <rFont val="맑은 고딕"/>
        <color theme="1"/>
        <sz val="12.0"/>
      </rPr>
      <t>혹은</t>
    </r>
    <r>
      <rPr>
        <rFont val="Calibri"/>
        <color theme="1"/>
        <sz val="12.0"/>
      </rPr>
      <t xml:space="preserve"> </t>
    </r>
    <r>
      <rPr>
        <rFont val="맑은 고딕"/>
        <color theme="1"/>
        <sz val="12.0"/>
      </rPr>
      <t>관련계획서</t>
    </r>
    <r>
      <rPr>
        <rFont val="Calibri"/>
        <color theme="1"/>
        <sz val="12.0"/>
      </rPr>
      <t xml:space="preserve"> </t>
    </r>
    <r>
      <rPr>
        <rFont val="맑은 고딕"/>
        <color theme="1"/>
        <sz val="12.0"/>
      </rPr>
      <t>등</t>
    </r>
    <r>
      <rPr>
        <rFont val="Calibri"/>
        <color theme="1"/>
        <sz val="12.0"/>
      </rPr>
      <t>)</t>
    </r>
  </si>
  <si>
    <t>행정전자서명(GPKI) 이동 절차 알려줘</t>
  </si>
  <si>
    <t>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C&gt;GPKI&gt;certificate&gt;class2 폴더내 '본인이름으로 된 파일이 4개' 있는지 확인
※ [class2]만 복사하면 안됨, [GPKI]폴더 전체 복사.</t>
  </si>
  <si>
    <t>스마트행정게시판 공지사항</t>
  </si>
  <si>
    <t>스마트행정게시판 공지사항(연번500001)</t>
  </si>
  <si>
    <t>행정전자서명(GPKI) 갱신 절차 알려줘</t>
  </si>
  <si>
    <t>○ 별도 공문 신청 없이 가능한 기간: 인증서 유효기간 100일전부터 만료일시까지 갱신가능(유효기간 만료시 공문 신청)
○ 인증서 유효기간: 2년 3개월
○ 방법: gpki.go.kr 접속 → 인증서관리/갱신 (구분: 개인용, 행정기관)</t>
  </si>
  <si>
    <t>정기인사철에 휴대용 저장매체(usb) 사용방법에 대해 안내해줘</t>
  </si>
  <si>
    <t>국가정보원 국가 정보보안 기본지침 제66조(비공개 업무자료 처리)에 따라 업무용 PC 자료 반출은 부서 웹하드, 공직자통합메일, 온-나라메일, 보안USB등을 이용해야 합니다. 예외적으로 대용량 자료등 부득이하게 일반 USB 사용시 휴대용저장매체 해제는 공문에 의거하여 허용해야 하지만 인사철에 휴대용저장매체 사용은 신청자 증가로 인해 일시적으로 시스템으로 신청 받으며 반드시 정보화정책과에서 별도 공문 시행시(정기인사에 따른 휴대용 저장매체 사용 방법 안내 등)에만 가능합니다
정기인사 발령에 따른 휴대용 저장매체(USB 등) 사용 방법을 다음과 같이 안내하니 인계인수 등에 참고 하시기를 바랍니다.
※ 위반자는 「부산광역시 정보보안업무 지침」 정보보안 위반사항 처리기준(별표 3)에 따라 처벌할 수 있음
※ 비인가 휴대용 저장매체는 보안정책에 따라 사용 금지할 수 있으니 개인 자료는 업무용 PC에 저장 금지
나. 신청방법: 보안USB 사용자 매뉴얼(붙임1) 참고 ※신청 후 1시간 이후 확인
다. 주의사항: 비밀, 대외비, 비공개 업무자료*는 저장 금지
* 「공공기관의 정보공개에 관한 법률」 제9조 제1항에 따른 비공개 대상 정보 등</t>
  </si>
  <si>
    <t>정기인사에 따른 휴대용 저장매체(USB등)사용 방법 안내_정보화정책과</t>
  </si>
  <si>
    <r>
      <rPr>
        <rFont val="Malgun Gothic"/>
        <color theme="1"/>
        <sz val="12.0"/>
      </rPr>
      <t xml:space="preserve">국가정보원 국가 정보보안 기본지침 제66조(비공개 업무자료 처리)
제66조(비공개 업무자료 처리) ① 공무원등은 비공개 업무자료를 다음 각 호의 어느 하나에 해당하는 방법으로만 처리하여야 한다.
    1. 소속 또는 근무중인 기관의 내부망 PC 및 서버에 작성 및 저장ㆍ보관 
    2. 소속 또는 근무중인 기관의 장이 지급한 휴대용 저장매체에 작성 및 저장ㆍ보관
    3. 다음 각 목의 어느 하나에 해당하는 수단(이하 “업무자료 공식 소통수단” 이라 한다)을 이용한 수ㆍ발신 또는 등재ㆍ열람 &lt;개정 2020.7.1.&gt; 
     가. 소속 또는 근무중인 기관의 장이 자체적으로 구축ㆍ운용하는 전자우편시스템(이하 “기관 전자우편”이라 한다)
     나. 공무원등이 공동으로 사용할 목적으로 문화체육관광부장관이 구축ㆍ운용하는 전자우편시스템(이하 “공직자통합메일”이라 한다)
     다. 공무원등이 다른 공무원등과 자료를 공유하거나 소통하기 위하여 사용하는 전용(專用) 소프트웨어(이하 “공공 전용(專用) 메신저”라 한다)
     라. 국회사무처가 구축ㆍ운용하는 의정자료전자유통시스템 등 기관간 업무자료의 소통 또는 공동 활용을 위해 구축한 정보시스템
    4. 그 밖에 다른 법규에 따라 허용되는 처리방법
  ② 공무원등은 제1항에도 불구하고 다음 각 호의 어느 하나에 해당하는 경우 소속 또는 근무중인 기관의 장이 지급한 인터넷 PC 또는 출장용 노트북을 이용하여 비공개 업무자료를 처리할 수 있다.
    1. 업무자료 공식 소통수단의 발신 또는 등재 기능을 이용하여 제2조제17호다목의 문장 또는 문구 작성 &lt;개정 2020.7.1.&gt; 
    2. 업무자료 공식 소통수단의 수ㆍ발신 또는 등재ㆍ열람 과정에서의 일시적 저장 &lt;개정 2020.7.1.&gt; 
    3. 제40조제5항에 따른 기관 인터넷망 PC에 작성ㆍ저장
    4. 제45조제3항 및 제4항에 따라 영상회의 솔루션을 활용하여 비공개 업무자료의 화면 영상을 공유하기 위한 일시적 저장  &lt;신설 2021.11.1.&gt; 
  ③ 공무원등은 제1항에도 불구하고 다음 각 호의 어느 하나에 해당하는 경우 개인이 소유한 PCㆍ휴대용 저장매체ㆍ휴대폰 등을 이용하여 비공개 업무자료를 처리할 수 있다.
    1. 업무자료 공식 소통수단의 발신 기능 또는 등재 기능을 이용하여 제2조제17호다목의 문장 또는 문구 작성 &lt;개정 2020.7.1.&gt; 
    2. 업무자료 공식 소통수단의 수ㆍ발신 또는 등재ㆍ열람 과정에서의 일시적 저장 &lt;개정 2020.7.1.&gt; 
    3. 제59조제4항에 따른 원격근무시스템에 접속하여 작성 &lt;개정 2020.7.1.&gt; 
    4. </t>
    </r>
    <r>
      <rPr>
        <rFont val="MS Gothic"/>
        <color theme="1"/>
        <sz val="12.0"/>
      </rPr>
      <t>｢</t>
    </r>
    <r>
      <rPr>
        <rFont val="맑은 고딕"/>
        <color theme="1"/>
        <sz val="12.0"/>
      </rPr>
      <t>감염병의 예방 및 관리에 관한 법률</t>
    </r>
    <r>
      <rPr>
        <rFont val="MS Gothic"/>
        <color theme="1"/>
        <sz val="12.0"/>
      </rPr>
      <t>｣</t>
    </r>
    <r>
      <rPr>
        <rFont val="맑은 고딕"/>
        <color theme="1"/>
        <sz val="12.0"/>
      </rPr>
      <t xml:space="preserve"> 제34조제1항에 따른 감염병 위기관리 조치 등 대규모 질병ㆍ재난 발생 등 특별한 사정으로 재택근무를 명받았으나 소속 또는 근무중인 기관에 제59조제4항에 따른 원격근무시스템이 구축되지 아니한 경우 &lt;신설 2020.7.1.&gt; [시행일 : 2020.2.23. 소급]
    5. 제45조제3항 및 제4항에 따라 영상회의 솔루션을 활용하여 비공개 업무자료의 화면 영상을 공유하기 위한 일시적 저장   &lt;신설 2020.7.1., 2021.11.1.&gt; 
    6. 국민의 생명ㆍ신체, 국가안보 및 공공의 안전 등을 위하여 긴급히 작성, 저장, 수ㆍ발신이 필요하다고 소속 또는 근무중인 기관의 장이 인정하는 경우
  ④ 공무원등은 제3항제5호 및 제6호에 해당하는 경우를 제외하고는 </t>
    </r>
    <r>
      <rPr>
        <rFont val="MS Gothic"/>
        <color theme="1"/>
        <sz val="12.0"/>
      </rPr>
      <t>｢</t>
    </r>
    <r>
      <rPr>
        <rFont val="맑은 고딕"/>
        <color theme="1"/>
        <sz val="12.0"/>
      </rPr>
      <t>정보통신망 이용촉진 및 정보보호 등에 관한 법률</t>
    </r>
    <r>
      <rPr>
        <rFont val="MS Gothic"/>
        <color theme="1"/>
        <sz val="12.0"/>
      </rPr>
      <t>｣</t>
    </r>
    <r>
      <rPr>
        <rFont val="맑은 고딕"/>
        <color theme="1"/>
        <sz val="12.0"/>
      </rPr>
      <t xml:space="preserve"> 제2조제1항제2호에 따른 정보통신서비스(전자우편ㆍ메신저 등을 포함한다) 또는 국외에서 제공하는 이와 유사한 서비스(이하 “상용 정보통신서비스”라 한다)를 이용하여 비공개 업무자료를 작성, 저장, 수ㆍ발신하여서는 아니 된다. &lt;개정 2020.7.1.&gt; 
  ⑤ 공무원등은 제2항부터 제4항까지에 따라 작성ㆍ저장한 비공개 업무자료는  활용이 종료된 후에는 삭제하여야 한다. &lt;개정 2020.7.1.&gt; 
  ⑥ 교육현장에서 비공개 업무자료를 처리할 경우 제1항부터 제5항까지를 적용하지 아니한다. 다만, 교육부장관과 시ㆍ도 교육감은 상호 협의하여 학생ㆍ교직원 평가와 관련한 비공개 업무자료 보안관리 방안을 별도 수립ㆍ시행할 수 있다.  &lt;개정 2020.7.1.&gt; </t>
    </r>
  </si>
  <si>
    <t>행정전자서명(gpki) 신규 및 재발급절차를 알려줘</t>
  </si>
  <si>
    <t xml:space="preserve">1. 첨부한 한글파일 서식 작성해서 공문에 첨부하여 신청(정보화정책과)해주세요. ＃기간제 직원 신청시 근무기간 반드시 명시
* 구군은 구군 전산팀,상수도사업본부는경영지원부 정보관리팀, 소방재난본부는 119종합상황실로 신청
2. 공문 수신후 발급가능 처리를 하면발급 가능하다는 휴대전화 문자메세지가 갑니다
***14일내 발급하지 않으면발급이 되지 않고 재 신청해야 하므로시일을 넘기지 않도록 합니다.(공문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</si>
  <si>
    <t>부서에서 신규 보안USB를 배부 받고 싶어 어떻게 해야해?</t>
  </si>
  <si>
    <t>관련 근거와 처리 절차는 다음과 같음
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
정보화정책과로 휴대용저장매체 배부요청 공문을 보낸다.
포함되어야 할 내용은 휴대용저장매체 유형(일반 비밀I,II,III), 용량(일반, 대용량), 수량, 요청 사유 등이 포함되어야 한다.</t>
  </si>
  <si>
    <t>66, 67, 68, 69, 70</t>
  </si>
  <si>
    <t>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t>
  </si>
  <si>
    <t>법령</t>
  </si>
  <si>
    <t>산업단지의 유형(종류)에 대해 구체적으로 알려주세요</t>
  </si>
  <si>
    <t>□ 산업단지 유형
1. 국가산업단지
 · 국가기간산업, 첨단과학기술산업 등 육성
2. 일반산업단지
 · 산업의 적정한 지방 분산을 촉진, 지역경제 활성화
3. 도시첨단산업단지
 · 지식산업, 문화산업, 정보통신산업 등 첨단산업의 육성 및 집적
4. 농공단지
 · 농어촌지역에 농어민의 소득증대를 위한 산업을 유치, 육성</t>
  </si>
  <si>
    <t xml:space="preserve">2101_산업입지과_부산산업단지 지원시스템_산업단지 개발·관리 업무편람 </t>
  </si>
  <si>
    <t>28, 43</t>
  </si>
  <si>
    <t>산업입지 및 개발에 관한 법률 제2조 등 본문 내용 표 인용</t>
  </si>
  <si>
    <t>산업단지 개발에 대한 절차에 대해 구체적으로 알려주세요</t>
  </si>
  <si>
    <t>□ 산업단지 개발절차
○ 국가산업단지
1. 국가산업단지 개발계획(안)수립
2. 관할 시, 도지사 의견청취
3. 주민, 관계기관 등 의견청취
4. 중앙토지수용위원회 협의
5. 관계중앙행정기고나 협의
6. 국가산업단지 지정, 승인신청
7. 산업입지정책심의회 심의
8. 산업단지지정, 고시
9. 고시내용 송부
10. 일반인 열람
11. 실시계획 작성
12. 실시계획 승인 신청
13. 관할시, 도지사의견 중앙행정기관 협의
14. 실시계획 승인
15. 실시계획 고시
16. 시, 군, 구에 송부
17. 일반인열람
18. 지형도면고시
19. 사업시행
20. 준공인가 신청
21. 준공검사
22. 준공인가, 공고
23. 준공인가통지
24. 산업단지관리기관에 통보
25. 분양
○ 일반산업단지(도시첨단산업단지 포함)
1. 지정계획안 수립
2. 산업단지 지정승인 요청
3. 관할시장, 군수, 구청장 의견 청취
4. 중앙토지수용위원회 협의
5. 주민, 관계전문가 등 의견 청취
6. 관계 행정기관 협의
7. 산업단지계획심의위원회
8. 산업단지 지정, 고시
9. 고시내용 송부
10. 일반인 열람
11. 실시계획 작성
12. 실시계획 승인신청
13. 관계기관 협의
14. 실시계획 승인
15. 실시계획 고시
16. 시, 군, 구에 송부
17. 일반인 열람
18. 지형도면 고시
19. 사업시행
20. 준공인가 신청
21. 준공검사
22. 준공 인가, 공고
23. 준공인가 통지
24. 산업단지관리기관에 통보
25. 분양</t>
  </si>
  <si>
    <t>32, 33, 34, 35, 36, 37, 38, 39</t>
  </si>
  <si>
    <t>본문 내용 표 인용</t>
  </si>
  <si>
    <t>산업단지 개발에 필요한 공공녹지와 도로의 확보기준을 정리해서 알려주세요</t>
  </si>
  <si>
    <t>□ 산업단지 공공녹지·도로 확보기준
○ 산업단지 면적 300만㎡ 이상
1. 공공녹지(공원·녹지)율
 · 10~13% 미만
2. 도로율
 · 10% 이상
○ 산업단지 면적 100만㎡ 이상~300만㎡ 미만
1. 공공녹지(공원·녹지)율
 · 7.5~10% 미만
2. 도로율
 · 10% 이상
○ 산업단지 면적 100만㎡ 미만 
1. 공공녹지(공원·녹지)율
 · 5~7.5% 미만
2. 도로율
 · 8% 이상
 ※ 공공녹지의 최소규모는 500㎡ 이상</t>
  </si>
  <si>
    <t>54, 55, 56, 57, 58</t>
  </si>
  <si>
    <t>산업단지계획 통합기준 제14조 등 본문 내용 표 인용</t>
  </si>
  <si>
    <t>훼손지 복구사업의 대상지 부족과 사업의 실행에 있어 여러 어려움을 개선하기 위한 방안이 있는지 알려주세요</t>
  </si>
  <si>
    <t>□ 훼손지 복구제도 개선방안
○ 훼손지 복구사업의 성격 재규정
1. 훼손지 및 훼손지 복구사업 명칭 변경
 · (예시) '훼손지' 를 '녹지확충우선지역'으로, '훼손지 복구사업'은 '개발제한구역 내 녹지확충사업'으로 명칭 변경
2. 복구사업 대상지 확대 및 검토 우선순위 부여
 · 개발가능 지목, 녹지축 등 환경·생태 보전지역, 검토 우선순위 부여(1~4순위)
3. 복구사업 대상지 확대 및 검토 우선순위 부여
 · 개발제한구역 신규 지정
○ 복구사업 대상지의 특성에 따른 복구기준 차등화
1. 복구사업 대상지 입지에 따른 복구사업 유형 차등화
 · 보전가치가 높은지역=원형보전, 이용성 높은지역=공원조성
2. 복구사업비가 상대적으로 낮은 지역의 복구면적 합리화
3. 공원시설율 차등화 및 불부합 시설의 설치 불허
○ 복구사업의 실행력 제고
1. 복구면적 산정기준을 합리적으로 조정
2. 복구사업비보다 낮은 보전부담금 납부액 현실화
3. 공공주택사업의 복구사업 대상지 승인 시기 조정
4. 복구사업 내 이축권에도 해제사업 내 대토보상 자격 부여</t>
  </si>
  <si>
    <t>2109_국토연구원_국토정책Brief_개발제한구역 훼손지 복구제도 개선방안</t>
  </si>
  <si>
    <t>6, 7, 8</t>
  </si>
  <si>
    <t>개발제한구역 훼손지 복구 및 정비사업 업무처리규정</t>
  </si>
  <si>
    <t>당직민원</t>
  </si>
  <si>
    <t>택시에 물건을 두고 내렸어요. 
어떻게 해야 돼요?</t>
  </si>
  <si>
    <r>
      <rPr>
        <rFont val="Malgun Gothic"/>
        <color theme="1"/>
        <sz val="12.0"/>
      </rPr>
      <t xml:space="preserve">★ 당직민원 접수하지 말고 민원인에게 바로 안내하세요
★ 택시 차량번호는 모르지만 선불(또는 후불)카드로 결제했을 경우
  ○ 캐시비(마이비카드) 고객센터 : 1644-1472(ARS 3번)
  ○ 티머니카드 고객센터: 1644-1188(ARS 3번)
  ○ 동백택시 고객센터: 1668-3528 전화 후 본인인증
위 3곳에 전화 하면 이용했던 차량번호, 소속회사 연락처 확인 가능해요
</t>
    </r>
    <r>
      <rPr>
        <rFont val="Segoe UI Symbol"/>
        <color theme="1"/>
        <sz val="12.0"/>
      </rPr>
      <t>❍</t>
    </r>
    <r>
      <rPr>
        <rFont val="맑은 고딕"/>
        <color theme="1"/>
        <sz val="12.0"/>
      </rPr>
      <t xml:space="preserve"> 개인택시, 법인택시
    - 개인택시조합 051-500-8500   ※ 택시번호 알 경우
    - 가까운 경찰서 혹은 지구대, 경찰청민원실(☏182)</t>
    </r>
  </si>
  <si>
    <t>당직원 근무자료</t>
  </si>
  <si>
    <t>잦은 당직민원 처리 안내</t>
  </si>
  <si>
    <t>버스에 물건을 두고 내렸어요
지하철에 물건을 두고 내렸어요
KTX에 물건을 두고 내렸어요
SRT에 물건을 두고 내렸어요
비행기에 물건을 두고 내렸어요</t>
  </si>
  <si>
    <t>★ 당직민원 접수하지 말고 민원인에게 바로 안내하세요
  ○ 시내버스 : 051-791-4500 부산시내버스운송사업조합(버스조합)
  ○ 시외버스
    - 부산종합버스터미널(노포동) : 1577-9956, 051-508-9207
    - 사상서부버스터미널 : 1577-8301, 051-559-1000
    - 해운대시외버스터미널 : 1688-0081, 051-743-0082
    - 해운대수도권정류소 : 1688-7645, 051-746-3550
  ○ 마을버스 : 051-868-9485~6 부산마을버스운송사업조합(마을버스조합) 
  ○ 도시철도 : 051-640-7339 부산교통공사
    - 위    치 : 부산도시철도 1·2호선 서면역 환승통로(지하2층)
    - 운영시간 : 평일 9시~18시
    - 전화번호 : (운영시간) 051-640-7339   (운영시간 外) 051-803-3431
  ○ 철    도 : 051-440-2641 부산역 유실물센터 직통번호(민원인에게 안내×)
    - 철도고객센터(1544-7788) 또는 각 역 유실물센터로 문의
    - 레츠코레일 홈페이지 → 고객센터 → 유실물에서 검색 조회 가능
  ○ 여 객 기 : 051-974-2403(국내선,경찰101호) 051-974-2432(국제선, 경찰100호)
  ○ 개인택시, 법인택시
    - 개인택시조합 051-500-8500   ※ 택시번호 알 경우
    - 가까운 경찰서 혹은 지구대, 경찰청민원실(☏182)
  ○ 경찰청유실물센터 : ☏182, 051-868-0899
    - 습득물(주민등록증 포함)은 아래 사이트에 등록되므로 전화 또는 온라인으로 확인 가능
    - 사이버경찰청(http://www.lost112.go.kr) 유실물마당에서 확인(24시간운영)</t>
  </si>
  <si>
    <t>23, 24</t>
  </si>
  <si>
    <t>고양이 사체가 있어요
비둘기 사체가 있어요</t>
  </si>
  <si>
    <t>고양이, 비둘기 등 동물 사체가 위치한 구군청 당직실로 전화/당직 근무자 메신저 이첩 또는 구군청 당직실 전화번호를 알려주세요
중구 당직실(600-4222), 
서구 당직실(240-4222),
동구 당직실(440-4222),
영도구 당직실(419-4222),
부산진구 당직실(605-4222),
동래구 당직실(550-4222),
남구 당직실(607-4222),
북구 당직실(309-4222)
해운대구 당직실(749-4222),
사하구 당직실(220-4222),
금정구 당직실(519-4222),
강서구 당직실(970-4222),
연제구 당직실(665-4222),
수영구 당직실(610-4222),
사상구 당직실(310-4222),
기장군 당직실(709-4222)</t>
  </si>
  <si>
    <t>가로등이 꺼졌어요
가로등이 깨졌어요</t>
  </si>
  <si>
    <t>★ 신고지역(도로/인도변) 관할 구·군청 당직실로 전화/당직 근무자 메신저 이첩 또는 구·군청 당직실 전화번호를 알려주세요</t>
  </si>
  <si>
    <t>불법 주차 단속해 주세요</t>
  </si>
  <si>
    <t>★ 신고지역 관할 구·군청 당직실 전화번호를 알려주세요
구·군별로 단속반 운영시간과 점심시간 단속유예(조례) 등 차이가 있어요</t>
  </si>
  <si>
    <t>주거지 전용 주차장의 불법 주차 단속해 주세요</t>
  </si>
  <si>
    <t>★ 신고지역 관할 구·군청 당직실 전화번호를 알려주세요
주거지전용 주차장은 관할 구·군의 읍·면·동에서 관리해요</t>
  </si>
  <si>
    <r>
      <rPr>
        <rFont val="Malgun Gothic"/>
        <color theme="1"/>
        <sz val="12.0"/>
      </rPr>
      <t xml:space="preserve">20억 미만 조달청 협상에 의한 계약 추진시 사업부서 업무 흐름도를 알려주세요
</t>
    </r>
    <r>
      <rPr>
        <rFont val="맑은 고딕"/>
        <color rgb="FFFF0000"/>
        <sz val="12.0"/>
      </rPr>
      <t>&gt;&gt;몇P에서 참고해야 하는지에 대한 세부적인 내용 부족으로 미반영</t>
    </r>
  </si>
  <si>
    <t>1. (사업부서) 내부계획서 수립
(3억미만 계약팀장 협조, 3억이상 과장님 협조)
 ※ 조달 의뢰계약은 계약심사, 일상감사 제외
2. (사업부서) 계약 의뢰(수신:계약부서)
3. (사업부서) 조달청 e-발주시스템 등록
 - 발주정보, 제안요청서, 평가표, 평가위원 배정요청,첨부파일 등록
  ※ 긴급입찰사유서, 국제입찰제외사유서 필요시 등록
4. (조달청) 사전규격 공개(5일) 후 등록의견 답변 요청(수신:사업부서)
 ※ 5일: 초일 불산입/휴일 포함
5. (사업부서) 사전규격공개 의견 검토(내부결재) 후 의견답변서 회신(수신:조달청)
6. (조달청) 입찰 공고 및 개찰 후 정량평가 요청(수신:사업부서)
7. (사업부서) 정량평가(내부결재) 후 결과 회신(수신:조달청)
8. (조달청) 조달청 정성평가 후 [협상순위 통보 및 기술협상 안내](수신:사업부서)
9. (사업부서) 우선협상대상자와 기술협상(내부결재) 후 회신(수신:조달청)
10. (조달청) [낙찰자 선정 및 계약체결 안내](수신: 시 계약부서, 사업부서, 계약업체)
11. (계약부서) 조달 계약체결 알림 및 감독원 임명 요청(수신:사업부서)
12. (사업부서) 감독원 알림(수신:계약부서)
13. (사업부서) 착수계 수령 및 착수보고회 개최, 사업진행</t>
  </si>
  <si>
    <t>1.입찰(협상에의한 계약 포함)안내[부서]
2.국제입찰제외 사유서_양식
3.긴급입찰사유서 양식
4.제안요청서 등록 수요기관 매뉴얼(e-발주시스템)
5.협상에 의한 계약 불공정사례집</t>
  </si>
  <si>
    <t>공무원의 소속 단체장의 업적홍보 관련 위반사례는?</t>
  </si>
  <si>
    <t>공직선거법 제9조 제1항에 따르면, 공무원 및 정치적 중립을 지켜야 하는 자는 선거에 대한 부당한 영향력을 행사하거나 선거결과에 영향을 미치는 행위를 해서는 안 됩니다. 
또한 같은 법 제85조 제1항 및 제86조 제1항은 특정 정당 또는 후보자(후보자가 되고자 하는 자 포함)의 업적을 홍보하는 행위를 공무원이 하지 못하도록 규정하고 있습니다.
주요 위반 사례로는 다음과 같습니다:
- 공무원이 ‘지방자치대상 최우수상 수상’ 또는 ‘자랑스러운 인물대상 수상’ 등 수상실적을 단체장의 업적과 연계하여 보도자료로 제공한 경우
- 공무원이 여론조사기관에서 실시한 직무수행지지도 평가 결과를 단체장의 업적홍보 자료로 활용 · 제공한 경우
- 해당 단체장의 기여·공로를 직접 기술한 내용 및 수상실적 등이 담긴 보도자료를 작성하여 언론사에 제공한 경우</t>
  </si>
  <si>
    <t>2508_시의회사무처_홍보_부산광역시선거관리위원회_공무원의 소속 단체장 업적홍보 관련 공직선거법 안내</t>
  </si>
  <si>
    <t>본문 내용 그대로 인용</t>
  </si>
  <si>
    <t>홈페이지 초기화면에 단체장의 인사문·약력·동영상물 등을 게시하는 경우 가능한가요?</t>
  </si>
  <si>
    <t>선관위가 2023년 2월 20일 의결한 ‘지방자치단체 홈페이지 초기화면에 인사문 등 게시 관련 운용기준 변경 결정’에 따라 페이지 초기화면 등에 통상적인 범위 내에서 게시된 경우라면, 그 자체만으로 선거에 영향을 미치는 행위 또는 업적홍보로 보기는 어렵다고 판단하여 「공직선거법」 제85조 제1항 또는 제86조 제1항 제1호에 위반되지 않는 것으로 운용하도록 하였습니다. 다만 게시 시기·내용·목적·형태 등 전체 상황을 고려해야 하며, 이 중 하나라도 선거에 영향을 미칠 우려가 있다고 판단되면 공직선거법상 문제될 수 있습니다.</t>
  </si>
  <si>
    <t>2302_시의회사무처_홍보_중앙선거관리위원회_지방자치단체 홈페이지_초기화면에_인사문_등_게시_관련_운용기준_변경_결정</t>
  </si>
  <si>
    <t>민원인이 지방자치단체에서 보유하고 개인정보 수집에 대한 동의의 철회를 주장하며 그 파기를 요구하고 있는데 현재 보유하고 있는 개인정보를 파기하여야 하나요?</t>
  </si>
  <si>
    <r>
      <rPr>
        <rFont val="Malgun Gothic"/>
        <color theme="1"/>
        <sz val="12.0"/>
      </rPr>
      <t>민원인이 개인정보의 **파기**를 요구하는 경우,  
처리 근거가 **정보주체의 동의**에 기한 것인지 또는 **법령에 따른 수집</t>
    </r>
    <r>
      <rPr>
        <rFont val="MS Gothic"/>
        <color theme="1"/>
        <sz val="12.0"/>
      </rPr>
      <t>‧</t>
    </r>
    <r>
      <rPr>
        <rFont val="맑은 고딕"/>
        <color theme="1"/>
        <sz val="12.0"/>
      </rPr>
      <t xml:space="preserve">이용**인지 여부를 먼저 확인해야 합니다.  
- 처리 근거가 정보주체의 동의에 기반한 경우라면, 「개인정보 보호법」 제4조 제4호에 따라 정보주체는 개인정보의 파기를 요구할 권리를 가지며, 따라서 원칙적으로 해당 개인정보의 **파기 요구를 수용**해야 합니다.  
- 반면, 처리 근거가 「개인정보 보호법」 제15조 제1항 제2호 또는 제3호처럼 **법령에 따른 수집·이용**이라면, 파기 요구를 거절할 사유가 될 수 있습니다. </t>
    </r>
  </si>
  <si>
    <t>2310_시의회사무처_법령_개인정보보호위원회_개인정보 분쟁조정 사례_공공기관 교육과정</t>
  </si>
  <si>
    <t>개인정보란 무엇이며, 실무에서 혼동하기 쉬운 사례를 포함하여 개인정보의 예시를 설명해 줘</t>
  </si>
  <si>
    <t>1. 「개인정보 보호법」에 따르면 개인정보란, 살아 있는 개인에 관한 정보로서 해당 정보만으로 또는 다른 정보와 쉽게 결합하여 특정 개인을 알아볼 수 있는 정보를 말한다.
또한 정보의 형태가 전자문서인지, 종이문서인지와 관계없이 모두 개인정보에 해당할 수 있다.
즉, 실무에서는 다음 두 가지 기준으로 판단하면 된다.
이 정보로 “누구인지” 알 수 있는가?
다른 정보와 쉽게 결합하면 특정 개인이 되는가?
2. 혼동하기 쉬운 핵심 포인트
- 가명정보
개인정보를 가명처리하여 추가정보 없이는 특정 개인을 알아볼 수 없게 만든 정보이지만, 여전히 개인정보의 범주에 포함됨. 다만 추가정보 등이 결합될 가능성이 완전히 제거된 경우에는 익명정보가 될 수 있음.
- 법인 정보
법인 자체 정보는 개인정보가 아니나, 대표자 성명·담당자 연락처 등은 개인정보가 될 수 있음.
- 식별 가능성 기준
단독으로 식별 가능 → 개인정보
다른 정보와 쉽게 결합 → 개인정보
시간·비용·기술을 합리적으로 고려하여도 식별 불가 → 개인정보 아님
3. 개인정보 예시로는 
-일반정보(인적사항):성명, 주민등록번호, 주소, 연락처, 생년월일, 출생지, 성별
-신체정보:얼굴, 지문, 홍채, 음성, 키, 몸무게, 유전자정보
-의료·건강정보:진료기록, 병력, 장애등급, 혈액형, 건강검진 결과
-가족정보:가족관계, 가족구성원, 혼인 여부, 자녀 정보
-사회적 정보:도서·비디오 대여기록, 구매내역, 웹사이트 검색기록
-사상·신념정보:종교, 정치성향, 노조가입 여부, 가치관
-교육정보:학력, 성적, 출결상황, 생활기록부
-병역정보:군번, 계급, 복무부대, 제대유형
-근로정보:근무처, 직무평가, 인사기록, 징계내역
-법정정보:범죄경력, 재판기록, 과태료 이력
-소득정보:급여, 보너스, 사업소득, 이자수익
-신용정보:계좌번호, 카드번호, 신용등급, 대출내역
-부동산정보:소유주택, 토지, 자동차 등록정보</t>
  </si>
  <si>
    <t>2402_시의회사무처_법령_개인정보보호위원회_개인정보 보호법 주요내용</t>
  </si>
  <si>
    <t>7, 8, 9</t>
  </si>
  <si>
    <t>수의계약은 어떤 유형으로 구분되며, 유형별 적용 기준과 주요 내용을 설명해 주세요.</t>
  </si>
  <si>
    <t>수의계약은 「지방자치단체를 당사자로 하는 계약에 관한 법률 시행령」에 따라 계약 금액, 공사의 종류, 계약의 긴급성 및 특수성 등에 따라 다음과 같이 유형별로 구분된다.
- 1인 견적 제출 가능 수의계약
추정가격 2천만원 이하의 계약은 1인 견적 제출이 가능하며, 다음 기업·조합과 계약하는 경우에는 5천만원 이하까지 허용된다.
(단, 사회적기업 등 일부 유형은 취약계층 고용비율 30% 이상일 경우에 한함)
대상 기업 또는 조합: 여성기업, 장애인기업, 사회적기업, 사회적협동조합, 자활기업, 마을기업, 청년창업기업
이 경우 취약계층 고용비율은 관련 지방자치단체 입찰 및 계약집행기준 별표3 기준에 따라 확인한다.
- 2인 이상 견적제출 대상 수의계약
종합공사 : 4억원 이하
전문공사 : 2억원 이하
전기·정보통신·소방 등 공사 : 1억 6천만원 이하
그 밖의 공사 : 1억원 이하
용역·물품 : 1억원 이하</t>
  </si>
  <si>
    <t>2507_시의회사무처_예산회계_행정안전부_[개정전문]지방자치단체 입찰 및 계약집행기준</t>
  </si>
  <si>
    <t>164, 165</t>
  </si>
  <si>
    <t>본문 표 내용 그대로 인용</t>
  </si>
  <si>
    <t>제한입찰의 범위와 계약 목적물별 제한 기준을 유형별로 설명해 주세요.</t>
  </si>
  <si>
    <r>
      <rPr>
        <rFont val="Malgun Gothic"/>
        <color theme="1"/>
        <sz val="12.0"/>
      </rPr>
      <t>제한입찰이란 계약의 특성, 기술적 난이도, 지역성 등을 고려하여 입찰참가 자격을 일정 요건으로 제한하는 방식이며, 다음과 같이 유형별로 구분된다.
1. 동일 실적 제한 : 해당 계약과 동일한 종류의 실적 보유 여부로 제한
&lt;공사&gt;
-종합공사 : 추정가격 30억원 이상
-전문·그 밖의 공사 : 추정가격 3억원 이상
-실적 기준 :
· 계약규모 또는 물량의 1/3 이내
· 필요 시 1/3 이상 ~ 1배 범위에서 최소실적 설정 가능
· 계약금액의 1배 이내
· 특수 기술·공법 요구 공사
&lt;물품·용역&gt;
기획재정부장관 고시금액(「국가를 당사자로 하는 계약에 관한 법률 등 기획재정부장관이 정하는 고시금액」 참고) 이상이며 특수 설비 또는 기술이 요구되는 경우
2. 기술보유 상황 제한
&lt;공사&gt;
특수한 기술·공법이 요구되는 경우
&lt;물품·용역&gt;
특수한 기술이 요구되는 물품제조·용역
3. 시공능력평가액 제한
-종합공사 : 추정가격 30억원 이상
-전문·그 밖의 공사 : 추정가격 3억원 이상
4. 지역 제한: 입찰참가자를 일정 지역 사업자로 제한
&lt;공사&gt;
-종합공사 : 추정가격 100억원 미만
-전문·전기·그 밖의 공사 : 추정가격 10억원 미만
&lt;물품·용역&gt;
-행안부 고시금액 미만 일반용역·물품
-시·군·구 : 추정가격 5억원 미만
-건설기술·설계·감리 용역 : 3.3억원 미만
-안전점검·정밀안전진단 : 1.5억원 미만
※ 법인: 본점 소재지 / 개인: 사업자등록증상 사업장 소재지 기준
5. 설비 보유 제한: 특수한 설비가 요구되는 물품 제조
6. 유자격자명부 제한: 시·도지사가 공사 성질·규모별로 등록한 사업자로 제한
7. 물품 납품능력 제한: 특수 성능·품질이 요구되는 경우 해당 인증 보유 여부로 제한
8. 중소기업자 제한: 「중소기업제품 구매촉진 및 판로지원에 관한 법률」  제6조에 따른 지정 물품, 중소기업자로만 참여 가능
9. 소기업·소상공인 제한:「중소기업제품 구매촉진 및 판로지원에 관한 법률」 제7조의2제2항제1호에 따른 제한경쟁입찰 방법에 따라 물품 제조</t>
    </r>
    <r>
      <rPr>
        <rFont val="MS Gothic"/>
        <color theme="1"/>
        <sz val="12.0"/>
      </rPr>
      <t>‧</t>
    </r>
    <r>
      <rPr>
        <rFont val="맑은 고딕"/>
        <color theme="1"/>
        <sz val="12.0"/>
      </rPr>
      <t>구매 계약을 체결하는 경우에는 같은 항에 따른 공동사업에 참여한 소기업 또는 소상공인(해당 물품 등을 납품할 수 있는 소기업 또는 소상공인)
10. 정책 대상기업 제한
-추정가격 1억원 미만
→ 벤처기업, 소상공인, 소기업, 창업기업 등
-고시금액 미만 1억원 이상
→ 중소기업자로 제한</t>
    </r>
  </si>
  <si>
    <t>153, 154, 155</t>
  </si>
  <si>
    <t>직원복지</t>
  </si>
  <si>
    <t>직장 내 괴롭힘을 상담 및 신고하고 싶습니다</t>
  </si>
  <si>
    <t>1. 행정포털 우측 하단 [직장 내 괴롭힘 고충상담] 배너 클릭
2. 유선상담: 888-1775, 1777, 1778
3. 메일: bwithu@korea.kr
4. 대면상담: 별도 고충상담실(사전예약)</t>
  </si>
  <si>
    <t>2504_권익보호담당관_업무매뉴얼_권익보호담당관_2025년부산광역시직장내괴롭힘사건처리매뉴얼.pdf</t>
  </si>
  <si>
    <t>16, 17, 18, 19, 20, 21</t>
  </si>
  <si>
    <t>본문 내용 인용</t>
  </si>
  <si>
    <t>직장 내 성희롱, 스토킹, 성폭력 고충상담 및 신고하고 싶습니다.</t>
  </si>
  <si>
    <t>1. 행정포털 우측 하단 [직장 내 성희롱스토킹고충상담] 배너 클릭
2. 유선상담: 888-1775, 1777, 1778
3. 메일: bwithu@korea.kr
4. 대면상담: 별도 고충상담실(사전예약)</t>
  </si>
  <si>
    <t>2504_권익보호담당관_업무매뉴얼_권익보호담당관_2025년부산광역시직장내성희롱·성폭력·스토킹사건처리매뉴얼.pdf</t>
  </si>
  <si>
    <t>33, 34, 35, 36, 37, 38, 39, 40, 41, 42, 43, 44, 45, 46, 47, 48, 49, 50</t>
  </si>
  <si>
    <t>정보공개청구 처리기한을 알고 싶어요</t>
  </si>
  <si>
    <t>● 정보공개(공개/부분공개/비공개) ▷ 처리기한(10일)
● 정보부존재/진정·질의/종결통지 ▷ 처리기한(7일)</t>
  </si>
  <si>
    <t>③ 2501_정보화정책과_업무매뉴얼_통합민원과_정보공개 처리절차안내문 및 유의사항(v_2025.1)</t>
  </si>
  <si>
    <t>정보공개여부 결정기간</t>
  </si>
  <si>
    <t>국민신문고 민원 처리 방법을 알고 싶어</t>
  </si>
  <si>
    <t xml:space="preserve"> ● 민원처리방법
※ 민원답변: 7일 이내 답변
① 전자결재와 연계하여 결재 처리 (부서장 결재)
  ▶가급적 '대내외시행' 으로 결재(시행문으로 통보(직인))
②  답변 시 ‘서신 통보문’ 형식 준수
  ▶민원답변서 기본양식(공개용, 비공개용) 활용
  ▶답변 시 도입부, 전개부(민원요지 요약, 답변), 종결부
      ※ 비공개민원은 민원번호 기재
  ▶종결부: '민원행정의 개선을 위해 민원처리에 대한 만족도 평가에 참여 부탁드립니다.' (문구 추가)
※ 민원처리담당자의 소속, 성명, 전화번호 or 이메일 3가지 모두 공개!</t>
  </si>
  <si>
    <t>2508_정보화정책과_업무매뉴얼_통합민원과_부산민원120(온라인민원 통합창구) 운영 매뉴얼</t>
  </si>
  <si>
    <t>4, 5, 6, 7, 8, 9, 10, 11, 12, 13, 14, 15, 16, 17, 18, 19, 20, 21, 22</t>
  </si>
  <si>
    <t>민원처리 절차(처리절차 ~ 만족도 결과 확인까지)</t>
  </si>
  <si>
    <t>관외 출장 시 숙박비, 교통비 지급기준을 알고 싶어요</t>
  </si>
  <si>
    <t>● 제1호(3급(국장급)이상) 
① 실비처리: 철도(특실)/선박(1등급)/항공/자동차 운임비 및 숙박비일체
② 일비(25,000), 식비(25,000)
● 제2호(4급이하) 
① 실비처리: 철도(일반실)/선박(2등급)/항공/자동차 운임비 및 숙박비(서울100,000/광역시80,000,그외70,000)일체
② 일비(25,000), 식비(25,000)</t>
  </si>
  <si>
    <t>2303_정보화정책과_법령_인사혁신처_[별표 2] 국내 여비 지급표(제10조부터 제13조까지 및 제16조제1항 관련)(공무원 여비 규정)</t>
  </si>
  <si>
    <t>여비 지급표</t>
  </si>
  <si>
    <t>IT</t>
  </si>
  <si>
    <t>정보화사업 추진 시 발주단계에서 고려해야 할 협의나 심의는 어떤 것이 있는지 알고 싶어요</t>
  </si>
  <si>
    <t>●사업 발주 단계 심의내역
① 과업심의위원회: 인력풀요청(정보화정책과에서 인력풀제공)
② 사전협의 :검토의뢰(정보화정책과에서 검토, 결과통보)
③ 보안성 검토 :검토의뢰(정보화정책과에서 검토, 결과통보)
④ 일상감사 및 계약심사(청렴담당관실 의뢰 ※조달청 의뢰시 생략)</t>
  </si>
  <si>
    <t>2508_정보화정책과_업무매뉴얼_정보화정책과_정보화사업 추진절차 및 분야별 컨설턴트(20250801)</t>
  </si>
  <si>
    <t>정보화사업 추진절차(SW개발) 사업발주단계</t>
  </si>
  <si>
    <t>공무원 경조사 휴가 일수를 알고 싶어요</t>
  </si>
  <si>
    <t>●경조사별 휴가 일수
① 결혼:  본일(5일), 자녀(1일)
② 출산:  배우자(10일)*한번에 둘이상 자녀출산의 경우 15일)
③ 입양:  본인(20일)
④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t>
  </si>
  <si>
    <t>2412_정보화정책과_법령_인사과_부산광역시공무원복무조례[별표 3] 경조사별 휴가일수표(제15조제1항 관련)</t>
  </si>
  <si>
    <t>경조사별 휴가일수표</t>
  </si>
  <si>
    <t>해킹메일 구별하는 방법은 무엇인가요?</t>
  </si>
  <si>
    <t>해킹메일 구별법
  - 내용이 의심스럽다면 열람 전 보낸사람 메일주소 확인(예시: notice@navver.com, notice@googlee.com 등 변형된 메일주소사용)</t>
  </si>
  <si>
    <t>2508_정보화정책과_2025년 상반기 행정안전부 해킹메일 대응 훈련 결과 알림</t>
  </si>
  <si>
    <t>의심스러운 메일을 수신한 경우 열람하지 말고, 즉시 삭제하여 해킹메일 수신 시 대응 바랍니다.
* 의심스러운 메일 확인방법: 발신자 이메일 주소 확인 후 열람
예시)  notice@mois.g-o.kr, notice@navver.com 등 변형된 이메일주소사용</t>
  </si>
  <si>
    <t>해킹메일 수신 시 대응방법은 무엇인가요?</t>
  </si>
  <si>
    <t xml:space="preserve">해킹메일 대응방법
  - 수상한 발신자가 보낸 전자우편은 읽지 않고, 삭제 또는 신고
  - 메일을 열람했다면 절대 링크주소 클릭 및 첨부파일 다운로드 및 실행 금지 </t>
  </si>
  <si>
    <t>2511_정보화정책과_2025년 하반기 행정안전부 해킹메일 대응훈련 대상자 알림
2308_정보화정책과_부산광역시 랜섬웨어 대응 매뉴얼</t>
  </si>
  <si>
    <t>1
5</t>
  </si>
  <si>
    <t>해킹메일 대응훈련 협조사항
- 의심스러운 메일은 열람 전 보낸사람 메일주소 확인, 메일내용 중 링크클릭 금지
출처가 불명확한 이메일과 URL 링크는 실행하지 않기
- 수상한 발신자가 보낸 전자우편은 읽지않고, 첨부파일은 내려받기 금지
- 첨부된 오피스, 스크립트 등 파일의 매크로 기능을 허용 및 실행 금지</t>
  </si>
  <si>
    <t>사이버침해사고 발생 시 대응방법은 무엇인가요?</t>
  </si>
  <si>
    <t>사이버침해사고 대응 방법
1. 침해사고 신고
즉시 통보: 각급기관의 장은 정보시스템의 비인가된 접근, 정보자산의 유출 등 침해사고 발생 시 즉시 영역별 보안담당자 및 침해사고담당자에게 문서 또는 구두로 통보해야 합니다.
증거 보존: 침해사고 발생 또는 징후 발견 시, 발견자는 임의로 문제 해결을 시도하지 않고 증거를 보존해야 합니다.
2. 신고 및 접수
신속한 신고: 침해사고 발생 즉시 신고자는 가장 빠른 방법으로 신고해야 합니다.
기록 관리: 침해사고담당자는 [별지 제1호 서식] "침해사고 발견 및 조치 대장"에 기록하여 문서상으로 보관 관리해야 합니다.
3. 침해대응 공통 처리 절차
사고 유형 파악: 침해사고의 유형을 파악합니다.
초동 조치 수행: 초기 대응 조치를 수행합니다.
기본 정보 수집: 관련 기본 정보를 수집합니다.
사고 조사: 피해 시스템을 조사하여 사고 원인을 분석합니다.
재발방지 조치: 사고 재발 방지를 위한 조치를 시행합니다.
이러한 절차를 통해 사이버침해사고에 효과적으로 대응하고, 재발 방지를 위한 체계를 구축할 수 있습니다.</t>
  </si>
  <si>
    <t>2306_정보화정책과_부산광역시 사이버침해대응 지침
2306_정보화정책과_부산광역시 사이버침해대응 매뉴얼</t>
  </si>
  <si>
    <t>5
11, 12</t>
  </si>
  <si>
    <t>제9조(침해사고의 신고) ①각급기관의 장은 정보시스템의 비인가된 접근, 정보자산의 유출 등 침해사고 발생 즉시 영역별 보안담당자 및 침해사고담당자에게 문서 또는 구두로 통보하여야 한다.
  ②침해사고 발생 또는 징후 발견 시 증거인멸을 방지하기 위해서 발견자가 임의로 문제해결을 하려고 시도해서는 안 된다.
제10조(신고 및 접수) 침해사고 발생 즉시 신고자는 가장 빠른 방법을 통해 신고해야 하며 침해사고담당자는 [별지 제1호 서식] “침해사고 발견 및 조치 대장”에 기록하여 문서상으로 보관 관리해야 한다.
제7조(침해대응 공통 처리 절차)
사이버침해사고가 발생할 경우 기본적으로 탐지기관에서 해당 기관 조사 요청이 접수되면 해당 요청 문서를 기반으로 관련 피해 시스템을 조사 한다. 일반적인 사고 처리 절차는 다음과 같다.
1. 사고 유형 파악 : 세부설명자료 제외
2. 초동 조치 수행 : 세부설명자료 제외
3. 기본 정보 수집 : 세부설명자료 제외
4. 사고 조사 : 세부설명자료 제외
5. 재발방지 조치 : 세부설명자료 제외</t>
  </si>
  <si>
    <t>사무실 PC에서 원격접속하는 방법은 무엇인가요?</t>
  </si>
  <si>
    <t>사무실 PC에서 외부 PC로 또는 외부 PC에서 사무실 PC로 원격접속하는 행위는 금지되어 있습니다.
원격접속 시도만으로도 보안관제에서 탐지되어 보안위반사항으로 적발되오니 유의하시기 바랍니다.</t>
  </si>
  <si>
    <t>2510_정보화정책과_국가 사이버 위기경보 '주의' 단계 발령 알림</t>
  </si>
  <si>
    <t>&lt; 사이버 침해사고 예방을 위한 정보보호 준수사항 &gt;
 ○ 확인되지 않은 발신자 및 의심스러운 메일은 열람하지 않고 삭제, 열람 시 신고
 ○ 구글 원격접속 데스크톱 등 원격접속 금지(시도할 경우 보안관제에서 자동 탐지됨)
 ○ 백신 최신 업데이트, PC 보안 취약점 점검 프로그램 상시 100점 유지</t>
  </si>
  <si>
    <t>기록물</t>
  </si>
  <si>
    <t xml:space="preserve">회의록 작성시 반드시 포함되어야 할 내용을 알려줘. </t>
  </si>
  <si>
    <t>공공기관은 「공공기록물 관리에 관한 법률」에 따라 아래 사항이 포함된 회의록을 작성하여야 합니다.
- 회의명(회의의 명칭)
- 개최기관(어떤 기관에서 개최했는지)
- 일시 및 장소
- 참석자·배석자 명단(직위 포함)
- 진행 순서(안건 진행 방식)
- 상정 안건(회의에 올린 안건 목록)
- 발언 요지(주요 발언의 요약)
- 결정·의결 사항(결정된 내용)
- 표결 내용(표결이 있었던 경우 표결 결과)
- (전자관리) 전자기록생산시스템을 통한 등록·관리 의무</t>
  </si>
  <si>
    <t>「공공기록물 관리에 관한 법률」 제17조 및 동법 시행령 제18조</t>
  </si>
  <si>
    <t>https://www.law.go.kr/lsSc.do?section=&amp;menuId=1&amp;subMenuId=15&amp;tabMenuId=81&amp;eventGubun=060101&amp;query=%EA%B3%B5%EA%B3%B5%EA%B8%B0%EB%A1%9D%EB%AC%BC+%EA%B4%80%EB%A6%AC%EC%97%90+%EA%B4%80%ED%95%9C+%EB%B2%95%EB%A5%A0+%EC%8B%9C%ED%96%89%EB%A0%B9#J25:0</t>
  </si>
  <si>
    <t>공공기록물 관리에 관한 법률 시행령 제18조(회의록의 작성·관리)
②제1항에 따른 회의록에는 회의의 명칭, 개최기관, 일시 및 장소, 참석자 및 배석자 명단, 진행 순서, 상정 안건, 발언 요지, 결정 사항 및 표결 내용에 관한 사항이 포함되어야 하며, 전자기록생산시스템을 통하여 회의록을 생산 또는 등록하여 관리해야 한다. 이 경우 제1항제1호부터 제3호까지, 제5호 또는 제6호에 해당하는 회의 중 영구기록물관리기관의 장이 지정하는 회의(이하 “지정회의”라 한다)는 회의록과 함께 속기록 또는 녹음기록 중 어느 하나를 생산해야 하며, 녹음기록의 경우에는 녹취록을 함께 생산해야 한다.</t>
  </si>
  <si>
    <r>
      <rPr>
        <rFont val="Malgun Gothic"/>
        <color theme="1"/>
        <sz val="12.0"/>
      </rPr>
      <t xml:space="preserve">외부강사료 지급 시 원천징수 기준은 어떻게 되지?
</t>
    </r>
    <r>
      <rPr>
        <rFont val="맑은 고딕"/>
        <color rgb="FFFF0000"/>
        <sz val="12.0"/>
      </rPr>
      <t>&gt;&gt; 근거문서로 기대답변 생상 불가</t>
    </r>
  </si>
  <si>
    <t xml:space="preserve">기관이  외부강사에게 강사료를 지급할 경우 다음과 같은 사항을 확인하여야 합니다. 
- 해당 강사와 고용관계 없고, 출퇴근·지휘감독 없이 단발성 행사 또는 교육으로 고용한 경우 대부분 기타소득(8.8%) 원천징수 처리가 정답입니다.
- 다만, “강의가 그 사람의 본업이고 강의용 사업자등록이 있는 경우, 계속적·반복적 강의인 경우”에는 사업소득(3.3% 또는 세금계산서) 고려가 필요합니다.
- “기타소득(강연료·원고료 등)”으로 분류되는 인적용역 대가의 경우, 지급금액이 건별 125,000원을 초과하면 원천징수 대상이 됩니다.
</t>
  </si>
  <si>
    <t>국세청 국세신고안내 원천세 중 기타소득</t>
  </si>
  <si>
    <t>https://www.nts.go.kr/nts/cm/cntnts/cntntsView.do?mi=6457&amp;cntntsId=7893</t>
  </si>
  <si>
    <t>【사례】 강연료 등 일시적인 인적용역의 제공 대가로 125,000원을 지급하였다. 기타소득금액과 원천징수세액은 얼마인가?
기타소득금액：50,000원
50,000원 = 125,000(기타소득 지급액) - 75,000원(필요경비 60%)
원천징수세액：0원(∴ 건별 기타소득금액이 5만원 이하로 과세최저한에 해당함)
기타소득이 125,000원을 초과하는 경우 “기타소득 지급액 × 8.8%”를 원천징수(지방소득세 포함)</t>
  </si>
  <si>
    <t>3층 직원 의원 물리치료 예약방법은?</t>
  </si>
  <si>
    <t>3층 의원 물리치료 및 도수치료 예약은 온나라 메모보고를 통해 아래와 같이 진행합니다.
① 온나라 메모보고 → ② 메모작성 → ③ 서식선택 → ④ 서식(기관용) → ⑤ "물리치료 및 도수치료 예약 신청서" 체크 → ⑥ 선택 → ⑦ 과제카드명(본인 과제카드에서 아무거나 선택) → ⑧ 수신자(건강정책과 윤예슬) → ⑨ 신청서 작성 → ⑩ 보고
진료 후 물리·도수치료 처방받은 경우에만 예약신청이 가능하며(초진자 예약 불가), 치료 희망일 전일 09:00~10:00 예약 신청, 사전 연락없이 미방문시 1회 치료한 것으로 간주하니 주의해 주세요.</t>
  </si>
  <si>
    <t>물리치료 및 도수치료 예약 신청 매뉴얼</t>
  </si>
  <si>
    <t>문서 전체 내용 인용</t>
  </si>
  <si>
    <t>부산시정</t>
  </si>
  <si>
    <t>시장님 행사를 진행해야 하는데 참석자들의 좌석배치를 어떻게 하면 좋을까?</t>
  </si>
  <si>
    <t xml:space="preserve">공식 서열에 관한 명문상 규정은 없지만 의전업무상 필요에 따라 정부조직법, 조례, 기관 순위 등 지금까지 시행해 온 주요행사를 통해 확립된 선례와 관행을 기준으로 행사의 성격을 감안하여 배치하여예 합니다.
- 직위에 의한 서열기준은 직급(계급) 순서, 헌법 및 정부조직법상 기관순서, 상급기관, 국가기관 순으로 예우합니다.
- 좌석배치는 원탁형의 경우 무대를 볼 수 있는 곳을 상석으로 하며, 주빈의 시야(바깥 경치 등)를 고려하여 상석을 검토합니다.
- 현판 제막식 등을 할 경우에는 현판을 바라보아 오른쪽이 상석입니다. </t>
  </si>
  <si>
    <t>2025년 의전실무(부산광역시)</t>
  </si>
  <si>
    <t>30, 31, 32, 33</t>
  </si>
  <si>
    <t xml:space="preserve">지방재정영향평가 심사대상을 알려줘 </t>
  </si>
  <si>
    <t>지방재정영향평가지침 제2조(평가대상)
① 국내·국제경기대회 및 공연·축제 등의 행사성사업으로서, (시·도 기준) 총사업비 30억원 이상 사업
② 공모사업 등 유치를 신청하거나 응모하는 사업으로서 총사업비 100억 이상이면서, 지방재정 부담 50억원 이상 사업
단, 제3조(평가면제사업)에 해당할 경우 면제
①매년 또는 격년으로 개최하는 반복적 공연·축제 등 행사성 사업으로서, 전년도 또는 전전년도에 이미 평가를 실시한 사업(단, 전년대비 20% 이상 증액된 사업은 심사대상)
②공모사업 등 유치를 신청하거나 응모하는 사업으로서 법령에 따라 의무적으로 시행하는 사업 중 행정안부장관이 정하여 고시하는 사업</t>
  </si>
  <si>
    <t>2401_예산담당관실_지침_행정안전부_지방재정영향평가지침(행정안전부훈령)(제324호)</t>
  </si>
  <si>
    <t>본문 내용(지침) 편집하여 부분인용</t>
  </si>
  <si>
    <t>지방재정영향평가 신청시기는?</t>
  </si>
  <si>
    <t>지방재정영향평가지침 제7조(지방자치단체의 지방재정영향평가 절차)
①지방재정영향평가는 다음 회계연도부터 시행하는 사업을 대상으로 하되, 다음 각 호의 시기를 준수하여야 한다. 다만, 연도 중에 사업을 시행하여야할 특별한 사유가 있는 때에는 당해 회계연도 사업에 대하여 실시할 수 있다.
1. 중기지방재정계획 반영 전
2. 공모사업 등 유치를 신청하거나 응모하기 전
②정기적으로 실시하되 필요하다고 인정되는 경우 수시심사를 추가로 실시할 수 있다.</t>
  </si>
  <si>
    <t>본본문 내용(지침) 편집하여 부분인용</t>
  </si>
  <si>
    <r>
      <rPr>
        <rFont val="Malgun Gothic"/>
        <color theme="1"/>
        <sz val="12.0"/>
      </rPr>
      <t xml:space="preserve">신규사업 사전심사 대상 또는 면제 대상은?
</t>
    </r>
    <r>
      <rPr>
        <rFont val="맑은 고딕"/>
        <color rgb="FFFF0000"/>
        <sz val="12.0"/>
      </rPr>
      <t>&gt;&gt; 자료 미제출</t>
    </r>
  </si>
  <si>
    <t>1. 신규사업 사전심사 대상은 시비 3억원 이상 신규사업(단, 센터 신설계획 및 재정법 제37조의2에 따른 타당성조사 용역은 금액무관)
2. 면제 대상은 ①법령·지침 등에 따라 의무적으로 시행하는 사업 ②단순 소모품 교체사업 또는 단순 물품 구입 ③타 위원회 심의 대상 사업(주민참여예산, 정책연구용역 심의대상 사업, 기술용역 심의대상 사업, 연구개발조정회의 대상 R&amp;D사업, 정보화사업 예산타당성검토 이행 사업 등 ④공공운영비 및 유지보수비 등 유지관리비용 ⑤투자심사 재심사 대상 사업, 재난·안전 관련 시설물 등의 보수·보강 등 기타 사전심사의 실익이 없는 사업 등</t>
  </si>
  <si>
    <t>2412_예산담당관실_내부지침_예산담당관실_신규사업 사전심사제 개선방안 검토보고
2511_예산담당관실_내부지침_예산담당관실_2025년 제9차 신규사업 사전심사 대상사업 제출
2511_예산담당관실_내부지침_예산담당관실_붙임3. 사전심사 기준 및 면제대상</t>
  </si>
  <si>
    <t>1~2P
1p
3p</t>
  </si>
  <si>
    <t>본문 내용(지침) 편집하여 인용</t>
  </si>
  <si>
    <t>사업을 예산에 편성하기 전 시행해야할 선행(법정)절차는 무엇이 있는지 알려줘</t>
  </si>
  <si>
    <t>-(중기재정계획반영)
-(신규사업) 신청 전 철저한 사전 검증(재정영향평가, 사전심사제, 투자심사 등)
-(공유재산관리계획) 예산편성 전에 공유재산관리계획 수립, 시의회 의결
-(출자·출연금) 출자 또는 출연금 편성전 시의회 사전 동의
-(민간위탁금) 신규, 재위탁, 기간 갱신시 시의회 동의
-(지방보조금, 행사·축제사업) 지방보조금 및 신규 행사·축제 사전심사
-(용역심의) 정책연구용역 및 기술용역 사전 심사
-(공기관위탁 대행사업비) 신규, 재위탁, 기간 갱신시 시의회 동의 등</t>
  </si>
  <si>
    <t>2508_예산담당관실_매뉴얼_예산담당관실_(부산시) 2026년도 예산편성계획</t>
  </si>
  <si>
    <t>본문 내용 편집하여 인용</t>
  </si>
  <si>
    <t>정수를 받아야하는 물품은 무엇이 있는지?</t>
  </si>
  <si>
    <t>1. 정수물품 ex)차량, 비디오프로젝터, 디지털비디오레코더, 노트북 컴퓨터, 비디오카메라, 냉난방기
2. 비정수 물품 ex)전자복사기, 레이저프린터, 업무용컴퓨터, 문서세단기, 텔레비전, 공기청정기, 냉장고</t>
  </si>
  <si>
    <t>경상사업설명서와 주요 투자사업 설명서 작성 기준은(구분은 어떻게 할까)?</t>
  </si>
  <si>
    <t>1. 주요 경상사업 설명서
-작성대상 : 당해연도에 2천만원 이상 예산이 반영되는 사업
※ 인건비성 경비는 101-01~03에 해당하는 통계목이 3억원 이상인 경우에만 작성, 그 외 인건비성 경비는 작성 제외
※ 부서운영기본경비(기본수용비, 기본급식비, 공공요금, 기본업무수행여비, 월액여비, 시설장비유지비 등) 제외
2. 주요 투자사업 설명서
-작성대상 : 총사업비가 20억원 이상이거나 당해 연도 시비 예산요구액이 3억원 이상인 사업 중 자본형성적인 사업과, 경상적 사업이지만 투자사업으로 관리할 필요가 있는 사업(법정경비 제외), 정부지원사업 중 시비부담규모가 5억원 이상인 사업과 5억원 미만이라도 시비지원 여부를 판단할 필요가 있는 사업</t>
  </si>
  <si>
    <t>66, 67</t>
  </si>
  <si>
    <t>교육</t>
  </si>
  <si>
    <r>
      <rPr>
        <rFont val="Malgun Gothic"/>
        <color theme="1"/>
        <sz val="12.0"/>
      </rPr>
      <t xml:space="preserve">공원내 프로그램 예약방법 알려줘
</t>
    </r>
    <r>
      <rPr>
        <rFont val="맑은 고딕"/>
        <color rgb="FFFF0000"/>
        <sz val="12.0"/>
      </rPr>
      <t>&gt;&gt; 근거로 기대답변 생성 불가</t>
    </r>
  </si>
  <si>
    <t>1.https://reserve.busan.go.kr/index 접속(부산광역시 통합예약시스템)
예약하려면 회원가입 → 로그인 → 원하는 프로그램 선택 → 예약 정보 입력 → 결제(필요 시) → 마이페이지에서 확인</t>
  </si>
  <si>
    <t>.</t>
  </si>
  <si>
    <t>https://reserve.busan.go.kr/index</t>
  </si>
  <si>
    <t>국민신문고 권한 신청은 누가, 어떤 권한을 신청하나요?</t>
  </si>
  <si>
    <t xml:space="preserve"> 1.부서 서무담당자 → "민원부서담당자", "제안부서담당자" 권한 신청
 2.사업소 하위기관 → "민원중간분류담당자" 권한 신청
 3.게시판 운영 담당자 → "웹프레임 분류담당자" 권한 신청</t>
  </si>
  <si>
    <t>2503*「부산민원120(온라인민원 통합창구) 운영 매뉴얼</t>
  </si>
  <si>
    <t>본문인용</t>
  </si>
  <si>
    <t>국민신문고 사용자 정보확인 및 수정 하는법</t>
  </si>
  <si>
    <t>1. 국민신문고에 로그인
2. [나의권한] → [나의정보] 메뉴에서 부서 및 정보 확인
3. 필요 시 전화번호, 결재ID 등 수정 후 저장
4. 사업소 직원은 소속팀이 상이할 경우 통합민원과로 연락(☎1462, 1465)</t>
  </si>
  <si>
    <t>빅데이터</t>
  </si>
  <si>
    <t>국민신문고민원 처리 결과는 어떻게 통보하나요? 서신통보를 요청한경우에는?</t>
  </si>
  <si>
    <t>1.처리 완료 후 "처리결과통보" 클릭
2.전자결재 시 본문 수정사항은 반영되지만 첨부파일은 별도 첨부 필요
3. 민원인이 "서신통보" 요청한 경우, "대내외 시행" 체크 후 e-그린우편 발송 기능 활용</t>
  </si>
  <si>
    <t>국민신문고민원 처리 후 민원만족도 조사 확인하는법</t>
  </si>
  <si>
    <t>1 담당자가 한 달 이내에 "민원만족도 미확인" 건수를 확인
2. [민원] → [나의할일] 메뉴에서 만족도 확인 등록</t>
  </si>
  <si>
    <r>
      <rPr>
        <rFont val="Malgun Gothic"/>
        <color theme="1"/>
        <sz val="12.0"/>
      </rPr>
      <t xml:space="preserve">과오납금 반환결의서 날인 방법?
</t>
    </r>
    <r>
      <rPr>
        <rFont val="맑은 고딕"/>
        <color rgb="FFFF0000"/>
        <sz val="12.0"/>
      </rPr>
      <t>&gt;&gt; 근거문서 페이지 이미지파일이라 인식불가</t>
    </r>
  </si>
  <si>
    <t>1. 담당자, 팀장, 과장, 분임징수관 순으로 결재란 날인
2. 전자결재 등록 시 자동 인쇄, 미등록 시 수기 날인 필요
3. 결의서 출력 → 결재란 입력 → 날인
4. 은행 제출</t>
  </si>
  <si>
    <t>2312부과오류 주요 세입과목 및 처리 매뉴얼</t>
  </si>
  <si>
    <t>7, 8,</t>
  </si>
  <si>
    <t>공공기관</t>
  </si>
  <si>
    <t>공공기관에 사무를 위탁하려고 하는데 위탁수수료는 얼마나 책정해야해?</t>
  </si>
  <si>
    <t>위탁·대행 수수료는 협약 체결시 사업의 특성 등을 감안하여 아래의 구간별 최고 비율 이하에서 협의하여야 합니다.
- 1억원 미만: 10% 이하
- 1억~5억원 미만: 7% 이하
- 5억원~10억원 미만: 5% 이하
- 10억원 이상: 3% 이하</t>
  </si>
  <si>
    <t>공공기관 위탁·대행 업무처리 지침('24.7.)</t>
  </si>
  <si>
    <t>출연기관에 사무 위탁을 위한 예산을 편성하려고 하는데 비목 관련 기준을 알려줘
 &gt;&gt; 첨부파일 없음</t>
  </si>
  <si>
    <t>출연기관에 사무 위탁시 예산편성을 위한 구조 및 내역은 행정안전부의 2025년도 지방출자·출연기관 예산편성 지침에 따라 아래와 같이 주요 비목 설정하고 편성할 수 있습니다.
 - 101 인건비
 - 107 퇴직급여
 - 201 일반운영비(-01 사무관리비, -03 행사운영비, -14 회의비, -15 복리후생비 등)
 - 202 여비
 - 207 연구개발비
 - 771 기타영업외비용(위탁수수료)</t>
  </si>
  <si>
    <t>2025년도 지방출자·출연기관 예산편성 지침(행정안전부)</t>
  </si>
  <si>
    <t>p61~88</t>
  </si>
  <si>
    <t>101 인건비 : 기관의 성격 또는 기관 내부적 필요성 등에 따라 ‘보수’ 등의 세목에 대한 추가적인 분류가 필요한 경우 기관 자체적으로 ‘세세목’을 신설하여 사용 및 관리
 107 퇴직급여: 
  1. 퇴직급여 지급액
  2. 근로자 퇴직급여 충당금 전입액
  3. 근로자 퇴직보험료
  4. 근로자에 대하여 확정기여형(DC형) 퇴직연금 운영 시 연금운용사에 납부할 사용자 부담금
  5. 근로자에 대하여 확정급여형(DB형) 퇴직연금 운영 시 연금운용사에 납부할 사용자 부담금
 201 일반운영비:
  1. 일반운영비는 사업추진을 위해 기본적으로 필요한 경비이면서 경상적 소모적 경비로 기관의 운영과 관련한 경비만을 편성하여야 하며, 일체의 자본적 지출항목은 편성할 수 없음
  2. 자산을 형성하는 자본적 지출 항목은 자본적 지출 해당과목에 계상</t>
  </si>
  <si>
    <t>경조사 및 특별 휴가일수를 알려주세요
 &gt;&gt; 해당 질의문은 의회 대상, 본청 대상 질의문은 기존 골든셋에 있어서 제외시킴</t>
  </si>
  <si>
    <t>1. 행정포털하단 행정서비스→ ’자치법규’ 클릭
 2. 자치법규정보시스템 →자치단체별 자치법규 → 소관업무별 자치법규 클릭
 3. 제1편 의회 클릭
 4, 부산광역시의회 공무원 복무조례 클릭
  - 제15조(특별휴가) 및 별표4(경조사별 휴가일
  수)내용 확인</t>
  </si>
  <si>
    <t>부산광역시의회 공무원 복무 조례 [제·개정일 2025-10-01] [조례 제7762호, 공포일 2025-10-01] 의회사무처 의정담당관</t>
  </si>
  <si>
    <t>제15조 및 별표4
  2~4P</t>
  </si>
  <si>
    <t>본문내용 그대로 인용</t>
  </si>
  <si>
    <t>공직자 재산등록 대상 및 고지거부
 내용을 알려주세요</t>
  </si>
  <si>
    <t>1. 등록대상
 - 재산등록의무자
 국가･지방자치단체의 정무직 공무원, 4급 이상 공무원, 교육감, 법관･검사, 대령 이상 장교, 공기업의 장, 공직유관단체임원 등 ※ 경찰･소방･국세･관세 등 특정분야는 7급 이상
 ① 대통령, 국무총리, 국무위원, 국회의원 등 국가의 정무직공무원
 ② 지방자치단체의 장, 지방의회의원 등 지방자치단체의 정무직공무원
 ③ 4급 이상의 일반직 국가공무원(고위공무원단에 속하는 일반직공무원 포함) 및 지방공무원, 4급 이상에 상당하는 별정직공무원(고위공무원단에 속하는 별정직 공무원 포함), 연구관･지도관, 4급 이상의 일반직공무원에 상당하는 전문경력관
 및 지방전문경력관, ｢전문직공무원 인사규정｣ 제3조에 따른 수석전문관 
 ④ 대통령령으로 정하는 외무공무원과 4급 이상의 국가정보원 직원 및 대통령 경호처 경호공무원
 ⑤ 법관 및 검사
 ⑥ 헌법재판소 헌법연구관
 ⑦ 대령 이상의 장교 및 이에 상당하는 군무원
 ⑧ 교육공무원 중 총장･부총장･대학원장･학장(대학교의 학장을 포함) 및 전문대학의 장과 대학에 준하는 각종 학교의 장, 특별시･광역시･특별자치시･도･특별자치도의 교육감 및 교육장, 대통령령으로 정하는 교육공무원
 ⑨ 총경(자치총경포함) 이상의 경찰공무원과 소방정 이상의 소방공무원, 대통령령으로 정하는 경찰 및 소방공무원
 ⑩ ③부터 ⑦까지 및 ⑨의 공무원으로 임명할 수 있는 직위 또는 이에 상당하는 직위에 임용된 임기제 공무원
 ⑪ ｢공공기관의 운영에 관한 법률｣에 따른 공기업1)의 장･부기관장, 상임이사 및 상임감사, 한국은행의 총재･부총재･감사 및 금융통화위원회의 추천직 위원, 금융감독원의 원장･부원장･부원장보 및 감사, 농업협동조합중앙회･수산업협동
 조합중앙회의 회장 및 상임감사
 ⑫ 공직유관단체의 임원
 ⑬ ｢한국토지주택공사법｣에 따른 한국토지주택공사 등 부동산 관련 업무나 정보를 취급하는 대통령령으로 정하는 공직유관단체의 직원
 ⑭ 그 밖의 국회규칙, 대법원규칙, 헌법재판소규칙, 중앙선거관리위원회규칙 및 대통령령으로 정하는 특정분야의 공무원과 공직유관단체의 직원
 2. 고지거부
  - 등록의무자의 부양을 받지 아니하는 직계존비속이 공직자윤리위원회의 허가를 받아 자기 재산의 고지를 거부하고 재산등록을 하지 아니할 수 있는 제도임 (법 제12조제4항)</t>
  </si>
  <si>
    <t>(인사혁신처)2021 공직윤리 업무편람</t>
  </si>
  <si>
    <t>40, 41, 42, 43, 79</t>
  </si>
  <si>
    <t>40~43P 본문 일체
 7. 고지거부제도
 가. 고지거부란?
 ○ 등록의무자의 부양을 받지 아니하는 직계존비속이 공직자윤리위원회의 허가를
 받아 자기 재산의 고지를 거부하고 재산등록을 하지 아니할 수 있는 제도임
 (법 제12조제4항)</t>
  </si>
  <si>
    <t>청사안내</t>
  </si>
  <si>
    <t>청사 내 회의실 예약 방법을 알려주세요 
 &gt;&gt; 기존 골든셋 질문으로 대체가능</t>
  </si>
  <si>
    <t>1. 예약 시스템 접속: 부산시청 내부 행정포털 접속 → 개인서비스 → 회의장 → 행정지원 → 예약관리
 2. 회의실 선택: 페이지 내 구분에서 1층 대강당~22층 회의실 중 원하는 회의실 선택
 3. 예약 신청: 회의실 선택 후 신청(노란색) 클릭
 4. 예약 승인/반려 확인: 승인(초록색), 반려(빨간색) 상태로 확인 가능
 5. 변경 및 취소: 필요 시 예약 변경 가능, 취소는 시스템 규정에 따라 처리</t>
  </si>
  <si>
    <t>부산광역시 행정포털</t>
  </si>
  <si>
    <t>부산광역시 행정포털 회의장 예약 관리 페이지</t>
  </si>
  <si>
    <t>◆ 회의실 예약은 해당 메뉴 접속 후 원하는 회의실 선택, 신청(노란색), 승인(초록색), 반려(빨간색) 상태 확인 가능
 ◆ 예약 후 필요 시 변경·취소 가능</t>
  </si>
  <si>
    <t>지원사업</t>
  </si>
  <si>
    <t>소상공인 지원사업 신청 절차와 제출서류 안내 요청합니다.</t>
  </si>
  <si>
    <t>검토 결과 링크만 제공 하는게 맞을것 같습니다.
 다음해가 되면 지원내용, 절차 등이 변경될 수도 있으므로 해당 질문에 대한 답변이 가능하면 링크 제공까지만 해야 할 것 같습니다.</t>
  </si>
  <si>
    <t>부산광역시 홈페이지(https://www.busan.go.kr/depart/ecnmsmileproject2024?utm_source=chatgpt.com)</t>
  </si>
  <si>
    <t>홈페이지 본문 내용 일체</t>
  </si>
  <si>
    <t>문서작성</t>
  </si>
  <si>
    <t>주민 대상 안내문 작성 시 필수 포함 항목과 작성 순서를 알려주세요
 &gt;&gt; 기대답변 관련 내용 정리되어 있는게 없고 참조 페이지 양이 너무 많아서 제외</t>
  </si>
  <si>
    <t>1. 제목 작성
 안내 목적과 내용을 한눈에 알 수 있게 간결하게 작성 (“OOO 행사 안내”, “OOO 제도 시행 안내”)
 2. 본문 작성
 ① 안내 내용 요약: 핵심 사항 간단히 기술
 ② 세부 내용: 날짜, 장소, 대상, 방법, 신청 절차 등
 ③ 유의사항: 필수 지침, 참여 조건, 안전 안내 등
 3. 문의처
 담당 부서, 전화번호, 이메일 등 안내
 4. 첨부자료
 지도, 신청서, 참여 안내 자료 등 필요 시 첨부</t>
  </si>
  <si>
    <t>한눈에 알아보는 공공언어 바로 쓰기(개정판)_국립국어원
 행정업무의 운영 및 혁신에 관한 규정(대통령령)(제34518호)(20240521)</t>
  </si>
  <si>
    <t>페이지 96~117</t>
  </si>
  <si>
    <t>◆공문서 작성의 실제 - 안내문</t>
  </si>
  <si>
    <t>조례를 제정하거나 개정하려면 어떤 절차를 따라야 하나요
 &gt;&gt; 기존 골든셋에 관련 내용 있음</t>
  </si>
  <si>
    <t>1. 입법계획 수립
 - 제정·개정이 필요한 사항 정리
 - 추진 일정, 효과, 필요성 등 포함
 2. 입법예고
 - 시민 의견 수렴 (예고 20일 이상)
 - 공고 방식: 부산시 홈페이지, 시보 등
 3. 입법안 심사
 - 법적합치성, 표현 명확성, 중복 여부 등 검토
 4. 조례규칙심의회 심의·의결
 - 주관 부서 작성안 내부 심의
 - 수정·보완 후 심의·의결
 -
 5. 의회 제출 및 의결 (조례의 경우)
 - 상임위원회 심의 → 본회의 의결
 6. 공포 또는 재의 요구
 - 의결된 조례 공포, 필요시 재의 요구 가능
 - 시보(공보) 게재 후 효력 발생</t>
  </si>
  <si>
    <t>「부산광역시 자치법규의 입법예고에 관한 조례」 (https://www.law.go.kr/LSW/ordinInfoP.do?ordinSeq=833664&amp;utm_source=chatgpt.com)
 부산광역시 공식 홈페이지 – 자치법규 절차 안내 페이지 
 (https://www.busan.go.kr/depart/ahllprocess?utm_source=chatgpt.com)
 「부산광역시 법제업무 운영 규칙」(https://law.go.kr/LSW/ordinLinkProc.do?chrClsCd=&amp;mode=20&amp;ordinNm=%EB%B6%80%EC%82%B0%EA%B4%91%EC%97%AD%EC%8B%9C+%EB%B2%95%EC%A0%9C%EC%97%85%EB%AC%B4+%EC%9A%B4%EC%98%81+%EA%B7%9C%EC%B9%99&amp;utm_source=chatgpt.com)</t>
  </si>
  <si>
    <t>자치법규 절차 안내 (부산시 홈페이지)
 조례 관련 입법예고 규정 (법제처)
 법제업무 운영 규칙 본문</t>
  </si>
  <si>
    <t>◆ 자치법규 절차: 입법계획 → 입법예고 → 심사 → 심의 → 의결 → 공포
 ◆ 입법예고 규정: 시민 의견 수렴 기회 보장, 예고 기간 등 규정 
 ◆ 법제업무 운영 규칙: 자치입법 절차 운영 부서, 심사·보고 체계 명시</t>
  </si>
  <si>
    <t>부산시에서 개최하는 시민 대상 교육 또는 행사를 신청하려면 어떻게 해야 하나요?</t>
  </si>
  <si>
    <t>○ 부산광역시(산하기관 포함) 통합회원 가입 후 이용 가능합니다.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</si>
  <si>
    <r>
      <rPr>
        <rFont val="&quot;맑은 고딕&quot;"/>
        <color rgb="FF1155CC"/>
        <sz val="11.0"/>
        <u/>
      </rPr>
      <t>https://reserve.busan.go.kr/notice/1578585?curPage=&amp;%20%20srchBeginDt=&amp;%20%20srchEndDt=&amp;%20%20srchKey=&amp;%20%20searchText=</t>
    </r>
  </si>
  <si>
    <t>통합예약 시스템 안내 (온라인 신청 방법, 회원가입 조건 등)</t>
  </si>
  <si>
    <t>○ 부산광역시(산하기관 포함) 통합회원 가입 후 이용 가능합니다.
 통합회원 가입하기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</si>
  <si>
    <t>안전지키미</t>
  </si>
  <si>
    <t>행사를 계획할 때 안전관리 계획서 작성 시 반드시 포함해야 하는 항목과 절차는 무엇인가요?</t>
  </si>
  <si>
    <t>&gt;&gt; 직원 제공 기대답변
 1. 행사 기본 정보
  1) 행사명, 주최 / 주관 부서 또는 단체, 일시, 장소, 예상 참석자 수(최대 / 예상), 행사 형태(실내/실외, 공연/전시/집회/축제 등)
  2) 행사 개요 및 목적, 주요 프로그램
 2. 조직 및 역할 분담
 1) 안전관리 책임자 지정 (총괄 책임자), 각 분야별 안전 담당자 및 역할 명시 (무대, 전기/전기설비, 응급 및 의료, 동선관리, 출입통제 등)
 2) 유관기관 연락처 목록 (소방서, 경찰, 의료기관, 응급구조, 재난안전 부서 등)
 3. 위험요인 및 안전대책 분석
 1) 장소 구조, 시설물(무대, 가설시설, 조명/음향/전기설비), 전기·소방 점검 계획
 2) 군중 밀집 대비 — 수용인원, 입출구 및 비상구 확보, 통로 및 동선 계획, 안전선(Safety Line) 설정 여부
 장애인, 노약자, 어린이, 외국인 등 취약계층에 대한 안전배려 대책 포함 여부 
 4. 비상대응 및 응급의료 계획
 1) 응급환자 발생, 화재, 재해, 군중사고 등에 대한 대응 매뉴얼
 2) 현장 응급의료팀 구성 또는 인근 병원/의료기관 연결망 확보
 3) 비상연락망, 경보체계, 대피절차, 유도체계, 방송 또는 안내 수단 계획
 5. 시설 및 설비 안전 확보
 1) 무대/조명/음향/전시 부스 등 가설구조물 안전성 확인, 설치 및 해체 계획 포함
 2) 전기, 조명, 통신, 발전기 등 설비 점검 계획
 3) 위생, 화장실, 급수, 소방설비, 피난/대피시설 확보 여부
 6. 출입 통제 및 관람 질서 관리
 1) 입장권·출입증 관리, 출입구 및 통로 통제 계획
 2) 인파 밀집 시간대 대비 질서유지 요원 배치 계획
 3) 주차 및 교통통제, 교통혼잡 대비 계획
 7. 보험 및 법적 절차 준수
 1) 행사보험 가입 여부 (행사 규모 및 내용에 따라 필요)
 2) 필요한 신고 및 허가 여부 확인 (가설건축물 사용 신고, 소음, 위생, 전기, 무대·설비 인허가 등)
 8. 사전 점검 및 승인 절차
 1) 행사 일정 확정 후 안전관리 계획서 작성 → 내부 결재(주관부서 및 안전관리 부서) → 필요시 유관기관(소방, 경찰, 보건) 사전 협의 또는 신고
 2) 행사 전 현장 점검 및 안전관리 요원 배치, 안전보안장비 확보
 9. 행사 중 모니터링 및 관리
 1) 출입통제, 동선 유지, 군중 통제, 질서 유지
 2) 안전요원 및 응급요원 비상대응 체계 운영
 3) 실시간 위험요소 점검 및 대응 절차
 10. 사후 대응 및 평가
 1) 행사 종료 후 사고 유무 확인, 사고 발생 시 원인 분석 및 보고
 2) 유관기관(경찰, 소방, 보건 등) 결과 공유 및 사후 조치 계획
 3) 다음 행사 대비 개선사항 기록 및 반영
  - 표준안의 목차, 체크리스트 표 내용 활용 범정부 AI로 생성한 내용, 표준안 전체를 포함하기엔 내용이 많음 - 
 기대답변 :
 - 핵심 포함 항목 - 
 1. 행사 개요
  - 일정, 장소, 주최/주관, 예상 관람객 수(최대 순간인원)
  - 주요 프로그램 및 일정, 시설물 배치도
 2. 안전관리 조직 및 계획
  - 종합상황실 운영, 안전관리 총괄책임자 지정
  - 안전요원 인력 배치 및 역할 분장 (특히 혼잡구간·놀이시설 집중 배치)
  - 유관기관(경찰, 소방) 협의 및 비상연락망
 3. 시설물·장비 안전
  - 무대·가설물 구조검토서, 사용전검사(전기설비), 액화석유가스 완성검사
  - 유원시설·임시화장실 설치 허가 및 화재 대비책
 4. 인파·교통 관리
  - 행사장 수용능력 산정, 관람객 동선 계획
  - 주차공간 확보 및 인파 분산 퇴장 계획
 5. 비상대응
  - 응급의료 인력/구급차 배치, 대피 경로 및 재난 상황 매뉴얼
  - 화재/정전/폭염 등 기상상황별 대응 방안
 6. 법적·위생 준수
  - 재난보험 가입, 식음료 영업신고, 불꽃쇼 화약류 허가
  - 사전검토 체크리스트 -
 1. 기본 사항: 보험 가입 여부, 가설건축물 축조신고, 식음료 위생 관리
 2. 교통: 주차장·진출입로 계획, 교통안전요원 배치
 3. 비상시 대응: 비상연락망과 소방차·구급차 이동동선
  - 절차 가이드 - 
 1. 유관기관(소방, 경찰)과 협의 후 보험 가입 및 허가(화약류 등) 획득
 2. 안전요원 교육 및 시뮬레이션 훈련 실시
 3. 시설물 안전성 검토 및 설치
 4. 관람객 동선에 따른 경비/의료 인력 예측 배치
 5. 비상 방송 시나리오 및 대피로 사전 점검</t>
  </si>
  <si>
    <t>부산형 행사 안전관리계획서 표준안
 부산형 행사 안전관리계획서 사전검토 체크리스트</t>
  </si>
  <si>
    <t>2
 1, 2</t>
  </si>
  <si>
    <t>목차
 표 전체</t>
  </si>
  <si>
    <t>사업계획서 사전검토 의견에 따른 설계공모 미적용 가능한가요?</t>
  </si>
  <si>
    <t>●「건축서비스산업 진흥법」 시행령 제17조 제2항에 따라 설계비 추정가격 1억원 이상의 건축물이라 할지라도, 사전검토를 통해 다른 발주방식 가능에 대한 의견을 제공받은 경우, 설계공모방식을 우선하여 적용하지 않을 수 있습니다.
 ●다만, 이 경우에는(설계비 5억원 이상) 중앙건축위원회의 심의를 받아야 합니다.</t>
  </si>
  <si>
    <t>공공건축 자문에 대한 응답 사례집(2022~2023)</t>
  </si>
  <si>
    <t>설비교체가 주인 리모델링 사업도 설계공모 방식을 적용해야 하나요?</t>
  </si>
  <si>
    <t>●리모델링(「건축법」에 따른 리모델링을 의미)은 「건축사법」 제2조 제3호에 따른 건축물의 건축, 대수선, 용도변경, 리모델링, 건축설비의 설치 또는 공작물 축조와 같은 설계 행위를 포함하므로, 설계비 추정가격이 1억원 이상이라면 설계공모방식 우선 적용대상에 해당합니다.
 ● 「건축법」에 따른 실내건축의 경우에도, 「건축사법」에 따른 설계 행위를 포함할 경우, 상기와 같이 적용을 받습니다.</t>
  </si>
  <si>
    <t>인접하여 위치한 2개 필지에 각각 건축물 조성 시 설계공모 통합 발주가 가능한가요?</t>
  </si>
  <si>
    <t>●「공공부문 건축디자인 업무기준」 제10조에서는 지역의 개발 및 정비와 관 련한 사업에 건축물이 포함되는 경우, 개별 건축물의 설계를 별도로 발주 하여 우수한 건축 디자인이 조성될 수 있도록 명기하고 있습니다.
 ● 상기 기준을 비롯한 「건축서비스산업 진흥법」 및 「건축 설계공모 운영지 침」에 설계공모 통합발주에 대한 규정은 없습니다.
 ● 따라서, 건축물 간 연계 활용을 고려한 계획이 필요하다면 1건으로 통합하 여 추진할 수 있으나, 부지 특성 및 사업기간 등을 종합적으로 고려하여 신중히 결정하시기 바랍니다.</t>
  </si>
  <si>
    <t>설계단계에서 사업 부지가 변경되어 설계변경이 필요한 경우 설계공모 절차를 다시 진행해야 하나요?</t>
  </si>
  <si>
    <t>●「건축서비스산업 진흥법」 및 「건축 설계공모 운영지침」에 설계변경 가능 기준 등을 명시한 규정은 없습니다.
 ● 설계변경을 통해 계약을 유지할 수 있으며, 「공공발주사업에 대한 건축사의 업무범위와 대가기준」 제9조에 의거 설계변경으로 인한 계약금액 조정이 가능합니다.
 ● 또는, 계약타절 후 수의계약을 통해 재진행할 수 있습니다. 다만, 상기 기준에 따라 기존에 건축사가 작성한 설계도서 저작권은 저작권법이 정하는 바에 따라야 하며, 기존 설계안의 저작권 및 성명표시권 침해에 유의하시기 바랍니다.
 ● 만약, 변경된 부지 여건상 기존의 설계안을 그대로 활용하기 어려운 경우 새로운 사업으로 간주하여 설계공모를 다시 추진하는 것이 바람직합니다.</t>
  </si>
  <si>
    <t>기존 건축물이 있는 부지에 부속동을 증축할 경우, 신축사업과 공공건축 조성 절차가 동일한가요?</t>
  </si>
  <si>
    <t>●공공기관이 공공건축 사업을 하려는 경우, 신축이나 리모델링과 같은 방식 과 상관없이 「건축서비스산업 진흥법」에 적용을 받습니다.
 ● 공공기관이 하는 모든 공공건축 사업은 건축기획 업무 수행 대상이며, 사전검토 및 설계공모 우선 적용대상은 동법 제21조 및 동법 시행령 제17조에 따라 건축물 용도와 설계비를 근거로 결정됩니다. 공공건축심의 대상은 동법 제22조의2 및 동법 시행령 제19조의2에 의거 설계비에 따라 구분됩니다.
 ● 따라서, 설계비 추정가격을 바탕으로 상기 절차의 대상 여부를 검토하시기 바랍니다.</t>
  </si>
  <si>
    <t>「지방재정법」에 따른 타당성 조사를 수행한 사업의 「건설기술 진흥법」에 따른 타당성 조사 절차를 이행하여야 하나요?</t>
  </si>
  <si>
    <t>●「지방재정법」 제37조의2에 따른 타당성 조사는 투자심사 전 사업의 타당성을 객관적 기준에 따라 검증하는 조사이며, 「건설기술 진흥법」 제47조에 따른 타당성 조사는 경제, 기술, 사회 및 환경 등 종합적인 측면에서 적정성을 검토하는 것으로, 각각은 관계 법령이 다른 별개의 절차입니다.
 ● 「지방재정법」 제37조의2 제1항에서는 타당성 조사에 갈음하는 경우에 대해 명시하나, 「건설기술 진흥법」 제47조에 따른 타당성 조사에 대한 사항은 없습니다.
 ● 따라서, 총공사비 500억원 이상의 해당 사업 추진을 위해 「지방재정법」에 따른 타당성 조사와 「건설기술 진흥법」에 따른 타당성 조사를 모두 이행하여야 합니다.</t>
  </si>
  <si>
    <t>연간 위탁사업비 3억원 미만인 사업은 시의회 동의 안 받아도 되지?</t>
  </si>
  <si>
    <t>연간 위탁·대행 금액 1억원 초과인 사무는 시의회 동의를 받아야 합니다.
 다만 재계약일 경우 3억원 이하의 사업은 시의회 동의 없이 가능합니다.</t>
  </si>
  <si>
    <t>부산광역시 사무의 공공기관 위탁·대행에 관한 조례(2025. 10. 1. 일부개정)</t>
  </si>
  <si>
    <t>-</t>
  </si>
  <si>
    <t>제7조(시의회 동의) ① 시장의 사무를 공공기관에 위탁·대행(재계약을 포함한다)하려는 때에는 미리 부산광역시의회(이하 “시의회”라 한다)의 동의를 받아야 한다. 다만, 다음 각 호의 어느 하나에 해당하는 경우에는 그러하지 아니하다.
 5. 연간 위탁·대행금액(수탁·대행기관이 수탁·대행사무 처리에 드는 관리·운영비를 포함한다. 이하 같다)이 1억원 이하인 사무 
 6. 연간 위탁·대행금액이 3억원 이하인 재계약 사무</t>
  </si>
  <si>
    <t>대체휴무는 어디서 등록하니?
 &gt;&gt; 자료 미제공 및 해당 자료 확인 결과 표 인식 제대로 되어야 해당 답변 표출 가능할 것으로 보여 제외</t>
  </si>
  <si>
    <t>기존 '연가외휴가관리'에서 등록하던 게 2025. 6. 24. 20시 이후 시스템이 변경되었습니다.
 1. 서무 등 복무 권한 부여받은 자
 인사랑&gt;근무상황관리&gt;초과근무관리&gt;대체휴무관리
 2. 그외 일반 직원
 인사랑&gt;복무관리&gt;초과근무&gt;대체휴무관리</t>
  </si>
  <si>
    <t>인사랑 공지사항([복무] 대체휴무관리 메뉴 위치 변경 안내)</t>
  </si>
  <si>
    <t>① 대체휴무관리 메뉴 위치 변경
 「2025년 차세대 표준지방인사정보시스템 등 유지관리」 제안요청서 요구사항에 의해 대체휴무관리 메뉴의 위치가 변경되었습니다.</t>
  </si>
  <si>
    <t>공공기관 위탁으로 사업을 추진할때 시의회 동의 제외대상의 경우는 언제야?</t>
  </si>
  <si>
    <t>시장의 사무를 공공기관에 위탁·대행(재계약을 포함한다)하려는 때에는 미리 부산광역시의회(이하 “시의회”라 한다)의 동의를 받아야 한다. 다만, 다음 각 호의 어느 하나에 해당하는 경우에는 그러하지 아니하다.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</si>
  <si>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제7조(시의회 동의) 전체
 공공기관 위탁,대행 업무처리 지침의 경우 조례 개정 전 자료라서 연간 위탁 대행금액 3억원 이하는 시의회 동의 가능하다고 나와있음 &gt; 개정된 자료에는 1억이하(재계약시 3억 이하)</t>
  </si>
  <si>
    <t>총 연가일수를 다 사용하지 못했을때 연가보상비는 얼마나 받을 수 있어?</t>
  </si>
  <si>
    <t>공무원 연가보상비는 예산의 범위 안에서 미사용 연가 중 최대 20일을 지급하며, 8시간 미만의 잔여분은 이월저〮축합니다.
 -연가보상비 계산법:
 1. 6월 30일 기준 연가보상비: 6월 30일 현재의 월봉급액의 86퍼센트 × 1/30 × 5일
 *6월 30일 기준 연가보상비는 6월 30일 현재 연가잔여일수가 10일 이상인 사람에 대하여 지급
 2. 12월 31일 기준 연가보상비: [12월 31일 현재의 월봉급액의 86퍼센트 × 1/30 × 연가보상일수] - 제1호에 따라 이미 지급한 연가보상비</t>
  </si>
  <si>
    <t>「지방공무원 복무규정」 제7조, 「지방공무원 수당 등에 관한 규정」 제18조의5</t>
  </si>
  <si>
    <t>④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
 서는 연가보상비를 지급하지 않고 이월ㆍ저축한다.
 연가보상비는 해당 연도 6월 30일 및 12월 31일 현재의 월봉급액(해당 연도 중 퇴직한 경우에는 퇴직일 전일의 월봉급액을 말하며, 강등된 경우에는 강등된 후의 월봉급액을 말한다)을 기준으로 나누어 지급할 수 있으며, 징계처분ㆍ휴직, 그 밖의 사유로 봉급이 감액 지급되는 경우에는 감액되기 전의 월봉급액을 기준으로 지급한다. &lt;개정 2012. 1. 6., 2016. 1. 12.&gt;
 ③ 제1항 및 제2항에 따른 연가보상비는 다음 각 호의 구분에 따라 지급하되, 6월 30일 기준 연가보상비는 6월 30일 현재 연가잔여일수가 10일 이상인 사람에 대하여 지급한다. &lt;신설 2012. 1. 6., 2013. 1. 9.&gt;
 1. 6월 30일 기준 연가보상비: 6월 30일 현재의 월봉급액의 86퍼센트 × 1/30 × 5일
 2. 12월 31일 기준 연가보상비: [12월 31일 현재의 월봉급액의 86퍼센트 × 1/30 × 연가보상일수] - 제1호에 따라 이미 지급한 연가보상비
 ④ 제3항에도 불구하고 연도 중 퇴직하는 사람에 대한 제1항 및 제2항에 따른 연가보상비는 다음 각 호의 구분에 따라 지급한다. &lt;신설 2012. 1. 6., 2013. 1. 9.&gt;
 1. 6월 30일 이전에 퇴직하는 경우: 퇴직일 전일 현재의 월 봉급액의 86퍼센트 × 1/30 × 연가보상일수(10일 이내)
 2. 7월 1일 이후 12월 31일 전에 퇴직하는 경우 다음 각 목에 따라 지급
 가. 6월 30일 기준 연가보상비: 제3항제1호에 따라 지급
 나. 7월 1일부터 퇴직일까지의 연가보상비: [퇴직일 전일 현재의 월봉급액의 86퍼센트 × 1/30 × 연가보상일수] - 제2호가목에 따라 이미 지급한 연가보상비</t>
  </si>
  <si>
    <t>민간단체</t>
  </si>
  <si>
    <t>비영리민간단체 등록시 신청서류를 알려줘</t>
  </si>
  <si>
    <t>비영리민간단체 등록은 비영리민간단체지원법률에 의거, 등록 및 수리하여야 합니다.
 1.비영리민간단체 등록 신청 서류 - 등록신청서
 -단체의 회칙(또는 정관)
 -당해연도 및 전년도의 총회 회의록 각1부
 -당해연도 및 전년도의 사업계획,수지예산서, 전년도 결산서 각1부
 - 회원명부 1부(상시구성원수로 제출) 
 -최근 1년 이상의 공익활동실적을 증명할수 있는 서류</t>
  </si>
  <si>
    <t>비영리민간단체 등록업무 편람
 (발간등록번호 11-1312000-000075-14)
 발간부서 : 행정안전부</t>
  </si>
  <si>
    <t>○ 등록신청 서류(영 제3조제1항)
 - 등록신청서(영 별지 제1호서식)
 - 단체의 회칙(또는 정관)
 - 당해 연도 및 전년도의 총회회의록 각 1부
 - 당해 연도 및 전년도의 사업계획･수지예산서, 전년도 결산서 각 1부
 - 회원명부 1부(상시 구성원수로 제출)
 ※ 100인 이상인 경우에는 100인까지 기재 후 “ 외 ◦◦인”으로 표기
 - 최근 1년 이상의 공익활동실적을 증명할 수 있는 자료</t>
  </si>
  <si>
    <t>부산시 비영리민간단체 현황은 어디서 볼수 있지</t>
  </si>
  <si>
    <t>비영리민간단체 현황은 비영리민간단체공익활동 지원사업 관리정보시스템에서
 확인 가능합니다.</t>
  </si>
  <si>
    <r>
      <rPr>
        <rFont val="&quot;맑은 고딕&quot;"/>
        <color rgb="FF1155CC"/>
        <sz val="11.0"/>
        <u/>
      </rPr>
      <t>https://npas.mois.go.kr/nsbms/hmp/nfvnzBsisStat/nfvnzRegSituStat/asscInfoListM.do</t>
    </r>
  </si>
  <si>
    <t>해당 링크 간단한 질문 FAQ에 추가해서 정리</t>
  </si>
  <si>
    <t>여성회관 교육강좌 예약방법을 알려줘</t>
  </si>
  <si>
    <t>위에 답변보다는 링크 주소 내 내용으로 범정부AI활용한 기대답변 첨부합니다.
 기대답변 :
 여성회관 교육강좌 예약 방법 안내
 1. 모집 대상
  - 만 18세 이상 부산시민 (가족특강은 아동 포함 가능)
 2. 모집 방법
  - 온라인 접수만 가능
  - 1인 2강좌까지 신청 가능 (단기강좌·심화강좌 별도 제한 없음)
  - 동일 강좌 4회 연속 수강생은 일반모집 기간에 신청 불가 (추가 모집 시 가능)
 3. 신청 절차
  - 회원가입 &amp; 로그인
  &gt; 여성회관 홈페이지 or 부산시 통합예약 접속
  &gt; 반드시 실명으로 회원가입
  - 강좌 선택
  &gt; 여성회관 홈페이지 → 좌측 하단 "수강신청" 클릭
  &gt; 또는 [강좌안내 &gt; 강좌소개 및 수강신청] 메뉴 선택
  &gt; 기관명(여성회관) 확인 필수
  - 결제 &amp; 완료
  &gt; 한도 1인 2강좌까지 선택
  &gt; 신용카드 또는 실시간 계좌이체로 결제 (결제 미완료 시 신청 무효)
  &gt; 주의: 교재비·재료비는 별도 부담
  - 확인
  &gt; 마이페이지에서 수강 신청 내역 최종 확인 가능
 4. 유의사항
  - 타인 명의로 등록 불가
  - 심화강좌는 기수료자/자격증 소지자만 신청 가능</t>
  </si>
  <si>
    <t>부산광역시 여성회관 홈페이지
 -강좌안내&gt;수강신청안내 페이지</t>
  </si>
  <si>
    <r>
      <rPr>
        <rFont val="&quot;맑은 고딕&quot;"/>
        <color rgb="FF1155CC"/>
        <sz val="11.0"/>
        <u/>
      </rPr>
      <t>https://www.busan.go.kr/woman/whguideonline</t>
    </r>
  </si>
  <si>
    <t>출처 내용 바탕으로 작성</t>
  </si>
  <si>
    <t>부산여성새로일하기센터 직업교육훈련 참여방법을 알려줘</t>
  </si>
  <si>
    <t>링크만 제공해야할 것 같습니다. 위 답변 생성할만한 내용이 해당 링크에는 없습니다.</t>
  </si>
  <si>
    <t>부산광역시 여성회관 홈페이지
 -여성새로일하기센터&gt;직업교육훈련</t>
  </si>
  <si>
    <r>
      <rPr>
        <rFont val="&quot;맑은 고딕&quot;"/>
        <color rgb="FF1155CC"/>
        <sz val="11.0"/>
        <u/>
      </rPr>
      <t>https://www.busan.go.kr/woman/whjobtrain</t>
    </r>
  </si>
  <si>
    <t>수의계약이 가능한 금액 기준이 알고 싶어요.</t>
  </si>
  <si>
    <t>범정부로 생성한 AI 답변:
 수의계약이 가능한 계약 금액 기준
 1. 일반적 기준
  - 제25조 1호: 추정가격 2,000만원 이하인 물품 제조·구매/용역 계약은 수의계약 가능
  - 제30조 1항 2호
  &gt; 특정 기업·조합과 계약 시: 추정가격 5,000만원 이하인 경우에도 가능 조건(청년창업기업, 여성기업, 장애인기업, 사회적기업, 마을기업 등)
 2. 특정 분야별 금액 기준
  - 제25조 5호 가목:
  &gt; 건설공사: 일반공사 4억원 이하, 전문공사 2억원 이하, 다른 법령 공사 1억6천만원 이하
  - 제25조 5호 나목:
  &gt; 청년창업기업과의 계약: 5,000만원 이하 (제30조 1항 2호)
  - 제25조 5호 다~라목:
  &gt; 소기업/소상공인, 사회적협동조합, 자활기업 등: 1억원 이하(취약계층 고용 비율 충족 조건 있는 경우 포함)
  - 제25조 5호 마목:
  &gt; 특수 지식·기술 요구 계약 (학술연구, 원가계산 등): 1억원 이하
  - 임대차 계약 등:
  &gt; 연간 또는 총액 기준 추정가격 5,000만원 이하 (공사·제조·용역 외 계약)
 중요 참고 사항
 1. 수의계약 체결 절차: 2인 이상 견적서 필수 (단, 일부 예외 존재, 예: 2,000만원 이하 계약은 1인 견적 가능).
 2. 특정 계층 우대: 여성기업, 장애인기업 등 취약계층 경영 기업은 금액 한도가 상향 적용될 수 있음.</t>
  </si>
  <si>
    <t>지방계약법 시행령</t>
  </si>
  <si>
    <t>제25조, 제30조</t>
  </si>
  <si>
    <t>제25조(수의계약에 의할 수 있는 경우)
 5. 다음 각 목의 어느 하나에 해당하는 계약
 가. 「건설산업기본법」에 따른 건설공사(같은 법에 따른 전문공사는 제외한다)로서 추정가격이 4억원 이하인 공사, 같은 법에 따른 전문공사로서 추정가격이 2억원 이하인 공사 및 그 밖의 공사 관련 법령에 따른 공사로서 추정가격이 1억6천만원 이하인 공사에 대한 계약
 나. 추정가격이 2천만원 이하인 물품의 제조ㆍ구매계약 또는 용역계약
 다. 추정가격이 2천만원 초과 5천만원 이하인 계약으로서 「중소기업창업 지원법」 제2조제11호에 따른 청년창업기업과 체결하는 물품의 제조ㆍ구매계약 또는 용역계약
 라. 추정가격이 2천만원 초과 1억원 이하인 계약으로서 「중소기업기본법」 제2조제2항에 따른 소기업 또는 「소상공인기본법」 제2조에 따른 소상공인과 체결하는 물품의 제조ㆍ구매계약 또는 용역계약. 다만, 제30조제1항제3호 및 같은 조 제2항 단서에 해당하는 경우에는 소기업 또는 소상공인 외의 자와 체결하는 물품의 제조ㆍ구매계약 또는 용역계약을 포함한다.
 마. 추정가격이 2천만원 초과 1억원 이하인 계약 중 학술연구ㆍ원가계산ㆍ건설기술 등과 관련된 계약으로서 특수한 지식ㆍ기술 또는 자격을 요구하는 물품의 제조ㆍ구매계약 또는 용역계약
 바. 추정가격이 2천만원 초과 1억원 이하인 계약으로서 다음의 어느 하나에 해당하는 기업 또는 조합과 체결하는 물품의 제조ㆍ구매계약 또는 용역계약. 다만, 3)부터 6)까지에 해당하는 기업 또는 조합의 경우에는 행정안전부장관이 정하여 고시하는 취약계층 고용비율을 충족하여야 한다.
 1) 「여성기업지원에 관한 법률」 제2조제1호에 따른 여성기업
 2) 「장애인기업활동 촉진법」 제2조제2호에 따른 장애인기업
 3) 「사회적기업 육성법」 제2조제1호에 따른 사회적기업
 4) 「협동조합 기본법」 제2조제3호에 따른 사회적협동조합
 5) 「국민기초생활 보장법」 제18조에 따른 자활기업
 6) 「도시재생 활성화 및 지원에 관한 특별법」 제2조제1항제9호에 따른 마을기업으로서 행정안전부장관이 정하는 기준에 적합한 기업
 사. 추정가격이 5천만원 이하인 임대차 계약(연액 또는 총액을 기준으로 추정가격을 산정한다) 등으로서 공사계약 또는 물품의 제조ㆍ구매계약이나 용역계약이 아닌 계약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「중소기업창업 지원법」 제2조제11호에 따른 청년창업기업, 「여성기업지원에 관한 법률」 제2조제1호에 따른 여성기업 또는 「장애인기업활동 촉진법」 제2조제2호에 따른 장애인기업
 나. 「사회적기업 육성법」 제2조제1호에 따른 사회적기업, 「협동조합 기본법」 제2조제3호에 따른 사회적협동조합, 「국민기초생활 보장법」 제18조에 따른 자활기업 또는 「도시재생 활성화 및 지원에 관한 특별법」 제2조제1항제9호에 따른 마을기업으로서 행정안전부장관이 정하는 기준에 적합한 기업. 이 경우에는 행정안전부장관이 정하여 고시하는 취약계층 고용비율을 충족하여야 한다.
 3. 제2항에 따라 지정정보처리장치를 이용하여 견적서를 제출받았으나 견적서 제출자가 1인뿐인 경우로서 다시 견적서를 제출받더라도 견적서 제출자가 1인뿐일 것으로 명백히 예상되는 경우
 ② 제1항 본문에 따라 2인 이상으로부터 견적서를 제출받는 경우 및 제26조제2항에 따라 재공고 입찰을 실시하지 않고 수의계약을 체결할 수 있는 경우에는 지정정보처리장치를 이용해야 한다. 다만, 품질확인 및 예산절감의 필요성이 큰 경우 등 행정안전부장관이 정한 경우에는 지정정보처리장치를 이용하지 아니할 수 있다. 
 ③ 제1항과 제2항에 따라 제출받은 견적서에 적힌 견적가격이 예정가격(제8조제2항에 따라 예정가격 작성을 생략한 경우에는 추정가격에 부가가치세를 포함한 금액을 말한다)의 범위에 들지 아니하는 경우 등 계약상대자를 결정할 수 없을 때에는 다시 견적서를 제출받아 제5항에 따라 수의계약대상자를 결정한다.
 ④ 제1항부터 제3항까지의 규정에도 불구하고 행정안전부령으로 정하는 경우에는 견적서 제출을 생략하게 할 수 있다. 
 ⑤ 지방자치단체의 장 또는 계약담당자는 견적제출자의 견적가격과 계약이행능력 등 행정안전부장관이 정하는 기준에 따라 수의계약대상자를 결정한다.</t>
  </si>
  <si>
    <t>민원인이 반복적으로 같은 내용으로 민원을 제기할 때 어떻게 처리하나요</t>
  </si>
  <si>
    <t>기대답변 : 
 &lt; 반복민원 등 3단계 처리절차 &gt;
 1. 3회 이상 반복민원
  - (일반적 반복민원) 처리주무부서장 결재로 종결
  - (다수인관련 반복민원등 심의 필요 민원) 민원조정위원회 심의 후 종결 처리
 2. 1단계를 거쳐 종결 처리 후 다시 접수된 반복민원 중 처리주무부서장이 신중한 처리가 필요하다고 판단하는 반복민원
  - 기관별 「민원조정위원회」 심의 
  - 다수인 관련 반복민원은 기관별 민원조정위원회 심의생략하고 3단계 직행 가능
 3. 「민원조정위원회」 심의결과 통보 후 민원인의 재차 반복 민원 중 처리주무부서장이 신중한 처리가 필요하다고 판단하는 반복민원
  - (지도·감독기관 有) 지도·감독기관에 의견제시 요청
  - (지도·감독기관 無) 위원장 직급 상향 「민원 조정위원회」 재심의
 ※ 다수인관련민원 : 5세대 이상의 공동이해와 관련되고 5명 이상이 연명으로 제출하는 민원</t>
  </si>
  <si>
    <t>통합민원과_업무매뉴얼_행정안전부_민원인의 위법행위 및 반복민원 대응방안(지침)</t>
  </si>
  <si>
    <t>58, 59, 60, 61, 62, 63, 64, 65</t>
  </si>
  <si>
    <t>58P 표로 답변 생성 가능 여부 확인 필요
 안되면 58p~65P 요약해서 기대답변 생성</t>
  </si>
  <si>
    <t>부산시청역 도시철도 연결통로 전시 신청절차를 알려줘</t>
  </si>
  <si>
    <t>1. 행정포털→행정지원→예약관리→현수막 예약 메뉴
 (또는 행정포털 하단 개인서비스→현수막*홍보예약 클릭)
 2. 구분 항목에 "홍보 및 전시→도시철도 연결통"로 선택 후 검색 및 등록(예약기간 최대 2주)</t>
  </si>
  <si>
    <t>총무과-11892(2021.05.14.)호 지식관리시스템 자원공유(외벽 현수막·홍보) 예약서비스 운영 알림</t>
  </si>
  <si>
    <t>본문 일부 인용 및 편집</t>
  </si>
  <si>
    <t>국내외 뉴스 및 사진·인물 등 각종 정보를 실시간으로 검색할 수 있는 방법을 알려줘</t>
  </si>
  <si>
    <t>1) 행정포털 
  - 지식행정 → 외부지식 바로가기 → 연합뉴스, 뉴시스, 뉴스1 
  ※ ID / PW : 공보담당관-336(2025.1.9.) 붙임파일 참고
  2) 접속주소 
  - 연합뉴스 : https://new.premiumnews.co.kr
  - 뉴 시 스 : https://prime.newsis.com
  - 뉴 스 1 : https://connect.news1.kr
  - 뉴 스 핌 : https://plus.newspim.com
  - e내일신문: https://www.naeil.com</t>
  </si>
  <si>
    <t>공보담당관-336(2025.1.9.)호 2025년 뉴스통신사 등 ID구독 서비스 이용 안내</t>
  </si>
  <si>
    <t>본문 일부 인용</t>
  </si>
  <si>
    <t>｢건축법 시행령｣ 별표 1에 따라 용도별 건축물의 종류를 분류할 때 지하층을 건축물의 층수에 산입하나요?</t>
  </si>
  <si>
    <t>건축법 시행령 별표 1 제2호에 따라 공동주택의 종류를 분류할 때, 주택으로 쓰는 지하층은 같은 영 제119조제1항제9호에 따라 건축물의 층수에 산입하지 아니함.</t>
  </si>
  <si>
    <t>법제처 건축법령 해석사례(국토교통부, 2022년 1월 3일)</t>
  </si>
  <si>
    <t>본문 내용 인용함</t>
  </si>
  <si>
    <t>물품의 제조·가공·수리 등을 위한 시설이 제2종 근린생활시설에 해당 함에도 해당 용도를 공장으로 하여 건축허가 할 수 있나요?</t>
  </si>
  <si>
    <t>제조업소, 수리점 등 물품의 제조·가공·수리 등을 위한 시설이 「건 축법 시행령」 별표 1 제4호너목에 따른 제 2종 근 린생활시설에 해당 하는 경우에는 해당 건축물의 용도를 같은 표 제17호에 따른 “공장”으로 하여 건축허가를 할 수 없음.</t>
  </si>
  <si>
    <t>「건축법 시행령」 별표1 제15호다목에 따른 다중생활시설(숙박시설)에서 공부할 수 있는 시설을 갖추고 숙박 또는 숙식을 제공하는 고시원 영업이 「공중위생관리법」에 따른 숙박업에 해당 하나요?</t>
  </si>
  <si>
    <t>「건축법 시행령」 별표1 제15호다목에 따른 숙박시설에 해당하는 다중 생활시설에서 다중이용업소법 시행령 제2조제7호의2에 따라 학습자가 공부할 수 있는 시설을 갖추고 숙박 또는 숙식을 제공하는 형태로 이루어지는 고시원업 영업은 「 공중위생관리 법」제2조제 1항제2호에 따른 숙박업에 해당하지 않음.</t>
  </si>
  <si>
    <t>민간어린이집이 제1종 근린생활시설에 해당하나요?</t>
  </si>
  <si>
    <t>○영유아보육법 제10조제7호에 따른 민간어린이집은 건축법 시행령 별표 1 제3호사목에 따른 “지역아동센터 등 주민이 공동으로 이용하는 시설” 에 해당하지 아니함.
 ○가정어린이집이 아닌 민간어린이 집은 「건축법 시 행령」 별표1 제 11호에 따른 노유 자시설에만 해당한다고 보아야함</t>
  </si>
  <si>
    <t>「청소년복지 지원법」에 따른 청소년복지시설을 설치할 수 있는 건축물의 범위는 어떻게 되나요?</t>
  </si>
  <si>
    <t>○청소년쉼터는 공동생활가정에 해당하는 것으로 보아 「건축법 시행령」 별 표 1 제1호 또는 제2호에 따른 단독주택 또는 공동주택에 설치할 수 있음.
 ○청소년자립 지원관은 공동생활가정에 해당하는 것으로 보아 「건축법 시행령」 별표 1 제1호 또는 제2호에 따른 단독주택 또는 공동주택에 설치할 수 있음.</t>
  </si>
  <si>
    <t>부설주차장 설치기준에 위반되는 기존 건축물을 재축하는 경우 건축허가가 가능한가요?</t>
  </si>
  <si>
    <t>건축허가 신청 내용은 주차장법 제19조에 따른 부설주차장 설치기준에 적합해야 하므로 이 사안의 경우 건축허가를 할 수 없음.</t>
  </si>
  <si>
    <t>데이터 제공 시, 개인정보는 어떻게 처리하는거야?
 &gt;&gt;참고 데이터 범위, 문서 양이 너무 많아서 제외, 질문 또한 광범위함. 데이터 제공 시 제3자제공인지, 목적외 이용인지, 또는 가명정보 처리 후 제공인지에 대한 질문 내용 부족</t>
  </si>
  <si>
    <t>데이터 제공 시에는 「개인정보보호법」, 행정안전부 지침, 부산시 개인정보처리방침에 따라 비식별화·가명처리·접근통제·파기관리 등 안전조치를 반드시 준수해야 합니다. 핵심 기준은 다음과 같습니다.
 ✔ 1. 직접식별자 삭제
 이름, 주민번호, 전화번호 등은 반드시 삭제(부산시 개인정보처리방침)
 ✔ 2. 준식별자 최소화·범주화
  - 나이 → 연령대
  - 주소 → 시·군·구 단위
  - 날짜 → 월 단위 등(행정안전부 개인정보보호 지침)
 ✔ 3. 총계처리·마스킹(소규모 그룹 비공개)
  - 5명 미만 통계는 숨김 또는 비공개 처리(행정안전부 지침)
 ✔ 4. 가명처리(필요 시)
  - 분석 목적 일 때 난수·해시로 대체
  - 원본 키는 별도 보관(부산시 개인정보처리방침 제16조, 가명정보 처리 가이드라인)
 ✔ 5. 재식별 위험 평가
  - 다른 데이터와 결합해도 특정 개인을 알아볼 수 없는지 검증(가명정보 처리 가이드라인)
 ✔ 6. 제공 후 관리
  - 목적 외 사용 금지
  - 파기 기한 명시
  - 사고 발생 시 즉시 보고(행정안전부 지침 + 부산시 방침)
 ✔ 7. 비정형 데이터(영상·이미지·음성)
  - 모자이크 처리, 변형 등 비식별 조치 필요(가명정보 처리 가이드라인)</t>
  </si>
  <si>
    <t>2508_정보화정책과_업무지침_정보화정책과_부산광역시 개인정보처리방침
 * 행정안전부 개인정보보호 지침 (2025.7.4.)
 * 가명정보 처리 가이드라인 (2024.2.)</t>
  </si>
  <si>
    <t>① 부산광역시 개인정보처리방침https://www.busan.go.kr/vprivacy1
 ② 행정안전부 개인정보보호 지침(2025.7.4.), P1~20
 ③ 가명정보 처리 가이드라인(2024.2.) P7~84</t>
  </si>
  <si>
    <t>① 부산광역시 개인정보처리방침
  - 접근권한 부여·변경·말소 기록을 3년 이상 보관함”
  - 암호화·접근통제 등 기술적 보호조치 적용
  - 가명정보는 분리 보관하고 재식별 방지 조치 시행
  - 파기 시 관리대장을 작성하고 복구 불가능하게 삭제
 ② 행정안전부 개인정보보호 지침 (2025.7.4.)
  - 개인정보 최소 수집 원칙에 따라 목적 범위 내에서만 처리
  - 제3자 제공 시 법적 근거 검토 및 제한조치 적용
  - 파기 방법·책임자 확인 및 기록 보관
 ③ 가명정보 처리 가이드라인 (2024.2.)
  - 나이·주소·성별 등은 조합 시 식별 가능성이 있어 범주화 필요
  - 가명정보 제공 시 계약에 재제공 금지·삭제 의무 포함
  - 가명정보는 별도 저장 공간에서 분리 보관</t>
  </si>
  <si>
    <t>부산시 공무원 필수직무교육은 어떤 과정이 있나요?
 &gt;&gt; 오른쪽 내용이 명시적으로 정리된 내용을 찾을 수 없음</t>
  </si>
  <si>
    <t>부산시 공무원은 매년 나라배움터에서 제공되는 법정의무교육 + 필수직무교육을 반드시 이수해야 합니다.
 2025년 11월 기준 나라배움터 화면에 표시된 주요 필수교육 과정은 다음과 같습니다.
 2025년 부산시 공무원 주요 필수 직무교육 목록(나라배움터, 2025년 11월)
  - 감염병 교육 심화과정
  - 탄소중립 시민들과 함께
  - [4대폭력] 평등한 일상 폭력예방(고위직·일반)
  - 2050 탄소중립교육
  - 통일 미래비전과 과제
  - 아동학대 신고의무자 및 공공부문 예방교육
  - 고용·산업 정책과 데이터 기반 통계 활용 교육
  - 공직자 안보교육
  - 개인정보 안전성 확보조치
  - 개인정보 기본교육
  - 긴급복지 신고의무자 교육
  - 아동학대 예방 및 신고의무자 교육
  - 적극행정 법제 가이드라인
  - 공무원이 알아야 할 정보공개 제도
  - 회계학·법학 기초 과정
  - 감염병 대응 교육
  - 개인정보 처리자 실무과정 
  - 개인정보 처리자 고급 교육
  - 공무원이 알아야 할 정보공개 기초
  - 공직자 윤리 및 청렴교육
  - 데이터 리터러시 / 데이터 마인드 / 데이터 분석 기초
  - 이용자 보호 및 공직자 책임
  - 사회복지 종사자 법정의무교육
  - 생명지킴이 자살예방 교육
  - 직무역량 강화 교육(정책기획, 재정운영 등)
  - 직장 내 괴롭힘 예방·대응 교육
  - 성인지 교육(예산·통계 등)</t>
  </si>
  <si>
    <t>나라배움터 필수과정</t>
  </si>
  <si>
    <t>본문 내용 그래도 인용</t>
  </si>
  <si>
    <t>공익사업에 적용되는 손실보상 절차는?
 &gt;&gt; 자료 미제출</t>
  </si>
  <si>
    <t>부산시의 공익사업에서 적용되는 손실보상 절차는 총 8단계로 진행됩니다.아래 내용은 「공익사업을 위한 토지 등의 취득 및 보상에 관한 법률(토지보상법)」 및 부산광역시 건설본부 「2024 손실보상 실무안내서(240531 최종)」 기준입니다.
 1단계. 사업인정 및 보상계획 수립
 - 사업인정고시 또는 도시계획 결정 후 보상 절차 준비
 - 토지·물건 조사 계획 수립
 2단계. 현장조사(토지·지장물 조사)
 - 지목·면적·지장물 확인
 - 공부(토지·건축물)와 현황 대조
 - 권리관계 확인(소유자, 점유자, 지상권 등)
 3단계. 보상계획 공고 및 열람(14일 이상)
 - 토지보상법 제15조에 따라 열람 기간 부여
 -소유자 의견 제출 가능
 4단계. 감정평가(2~3개 업체)
 -감정평가업자 2인(또는 3인) 선정
 -평가 금액의 산술평균으로 보상금 산정
 5단계. 보상금 산정 및 협의요청
 -산정된 보상금 + 내역서 통지
 -협의 기간 부여(통상 30일)
 6단계. 협의취득(계약체결 후 지급)
 -협의 성립 시 계약 체결
 -보상금 지급 → 소유권 이전 등기 진행
 7단계. 협의 불성립 시 수용재결
 -토지수용위원회 재결 신청
 -보상금 공탁 → 재결서 송달 → 소유권 이전
 8단계. 재결 불복 시(이의재결·행정소송)
 -중앙토지수용위원회 이의재결
 -필요 시 행정소송 가능
 (요약) “조사 → 공고·열람 → 감정평가 → 협의 ⇒ (불성립 시) 수용재결 → 이의재결·소송” 순으로 진행됩니다.</t>
  </si>
  <si>
    <t>2405_부산광역시건설본부_안내매뉴얼_부산광역시건설본부_2024 손실보상 실무안내서</t>
  </si>
  <si>
    <t>2024 손실보상 실무안내서
 - 보상 절차도 P6~8
 - 의뢰/조사/조서 작성 P12~20
 - 보상계획 공고/열람 P21~23
 - 감정평가 절차 P24~55
 - 협의 요청 및 협의취득 P56~67
 - 수용재결, 이의재결 및 종료 P68~79</t>
  </si>
  <si>
    <t>2024 손실보상 실무안내서 
 - 부산시 공익사업에서 사용하는 표준 손실보상 절차 P6~8
 - 보상의뢰, 토지·지장물 조사 방법, 조사표 작성 기준 P12~20
 - 보상계획 공고 시기·방법·열람 기간(14일 이상) 규정 P21~23 
 - 감정평가업자 선정 및 평가 절차, 보상금 산정 방식(산술평균) P24~55 
 - 협의요청 문서 구성, 협의 기간, 계약 절차 P56~67 
 - 협의 불성립 시 수용재결 신청 요건, 공탁, 재결서 송달, 이의재결 절차 P68~79</t>
  </si>
  <si>
    <t>부산지역 고등교육기관 통계자료를 찾고 싶어, 데이터가 잘 정리된 사이트를 알려줘</t>
  </si>
  <si>
    <t>국가교육통계센터(https://kess.kedi.re.kr)**는 부산지역 고등교육기관 통계 자료를 포함해 국내 교육기관의 데이터를 체계적으로 제공하는 플랫폼입니다. 아래는 이 사이트에서 관련 정보를 찾는 방법입니다.
 부산지역 고등교육기관 통계 확인 절차
 1. 사이트 접속
  - 국가교육통계센터 메인 페이지로 이동합니다.
  - (한국교육개발원 산하의 공식 통계 조사·서비스 플랫폼입니다.)
 2. 조사사업 메뉴 탐색
  - 조사사업 페이지에서 고등교육통계를 선택합니다.
  - 주요 제공 데이터:
  &gt; 고등교육기관 기본 현황 (학교별, 지역별)
  &gt; 졸업자 취업 통계
  &gt; 학생 수, 교원 현황 등 세부 지표
 3. 지역별 필터 적용
  - 데이터 조회 시 "지역" 필터를 부산으로 설정해 해당 지역의 대학·전문대학 통계를 추출합니다.
  - 부산시 내 세부 구군별 통계는 메뉴별 세부 항목을 통해 확인 가능합니다.
 4. 서비스 특징
  - 신뢰성: 국가 승인 통계로, 공식 데이터를 기반으로 합니다.
  - 접근성: 온라인 데이터베이스(DB)로 제공되며, PDF 보고서 및 엑셀 다운로드 가능.
  - 분석 지원: DB분석 서비스나 콜센터(☎ 000-000-0000)를 통해 맞춤형 데이터 가공을 요청할 수 있습니다.
 5. 유의사항
  - 최신 데이터는 보통 연간 갱신되므로, 조회 시 조사 연도(표기된 연차)를 확인해야 합니다.
  - 부산 소재 일부 대학(분교 포함)은 통계상 타 시·도와 중복 표시될 수 있습니다.
 이 사이트를 통해 부산지역 고등교육기관의 입학생 수, 졸업률, 교원 확보율 등 구체적 통계를 확인하실 수 있습니다.</t>
  </si>
  <si>
    <t>교육통계서비스(KESS) https://kess.kedi.re.kr/index</t>
  </si>
  <si>
    <t>국가교육통계센터소개 - 소개</t>
  </si>
  <si>
    <t>국가교육통계센터는
 국무총리 산하 정부출연 연구기관인 한국교육개발원 소속 국가 교육통계사업 수행을 전담하는 조직으로,
 1962년부터 시행되어온 교육통계 사업은 1000여종의 국가 승인 통계 중 사회분야의 핵심적인 통계사업입니다.
 우리나라 교육 전반의 과학적·종합적 진단 및 정책 수립을 비롯한 제반 교육 기획·시행·평가·연구 등을 위한 핵심 인프라 정보로
 활용되는 교육통계는 국가경쟁력 제고의 필수적 요소로 그 중요성이 날로 부각되고 있습니다.
 국가교육통계센터는 이와 같은 대국민적 통계 수요에 부응하고 관련 정책의 올바른 설정과 시행에 필요한 방대한 인적자원 정보를
 수집·분석·서비스를 위해 지속적으로 노력하고 있습니다.
 2017년 국가교육통계센터 로 지정되었으며, 2018년 부터 교육통계센터와 교육지표연구실로 나누어 운영되고 있습니다.
 기초연구사업
 교육통계체제 혁신에 관한 연구 / 교육통계 조사의 신뢰성ㆍ정확성ㆍ시의성 제고에 관한 연구
 교육통계 조사 결과 분석에 관한 연구 / 교육통계정보 서비스에 관한 연구
 조사사업
 유·초·중등교육통계, 고등교육통계, 고등교육기관 졸업자 취업통계, 직업계고 졸업자 취업통계,
 평생교육통계, 국제교육통계 /OECD 교육재정조사 / 각 조사 별 조사체제 구축 및 운영 /
 조사 결과 데이터 DB구축 /각종 위원회 운영(교육통계위원회 등)
 분석/서비스사업
 교육통계자료집 발간 (교육통계연보 등) / 교육통계서비스 콜센터 운영 / DB분석 서비스 운영 /
 교육통계서비스 홈페이지, 블로그 및 모바일 서비스 시스템 운영 / 교육 데이터 오픈랩 운영
 시스템개발사업
 조사 시스템 업그레이드 및 신규 개발 / 교육통계서비스시스템 업그레이드 및 신규 개발
 유관기관 DB 연동 및 공유 시스템 개발 / 전산자원 유지보수 관리
 국제교류사업
 OECD 교육지표사업 참여 / OECD 교육지표 편역본 발간 / UIS 협력 업무수행 /
 SDG4-교육-2030 협력 업무수행 / 교육경쟁력 지표 및 각종 세계대학평가 모니터링</t>
  </si>
  <si>
    <t>공무원 병가를 사용가능한 경우와 사용일수 및 제출서류를 알고싶어요</t>
  </si>
  <si>
    <t>●병가사용가능한 경우: 질병 또는 부상으로 직무를 수행할 수 없는 경우 또는 감염병에 걸려 다른 공무원의 건강에 영향을 미칠 우려가 있을 때
 ●병가사용일수
 ①일반병가: 연60일 이내
 ②공무상병가: 연180일이내, 공무상 요양승인 결정 필요
 ●제출서류
  ▶연간 누계 6일까지 진단서의 제출 없이도 병가 사용 가능
  ▶7일 이상 연속되는 병가와 병가의 연간 누계가 6일을 초과하게 되는 경우에는 「의료법」제17조에 의하여 교부된 진단서를 제출</t>
  </si>
  <si>
    <t>● 지방공무원 복무규정</t>
  </si>
  <si>
    <t>●지방공무원 복무규정 제7조의5(병가) https://www.law.go.kr/법령/지방공무원복무규정</t>
  </si>
  <si>
    <t>● 제7조의5(병가) ① 지방자치단체의 장과 지방의회의 의장은 소속 공무원이 다음 각 호의 어느 하나에 해당할 경우에는 연 60일의 범위에서 병가를 허가할 수 있다. 이 경우 질병이나 부상으로 인한 지각ㆍ조퇴 및 외출은 누계 8시간을 병가 1일로 계산하고, 제7조의2제7항 본문에 따라 연가 일수에서 빼는 병가는 병가 일수에 산입하지 않는다. &lt;개정 2021. 11. 30.&gt;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&lt;개정 2021. 11. 30.&gt;
 ③ 병가 일수가 연 6일을 초과하는 경우에는 의사의 진단서를 첨부해야 한다.</t>
  </si>
  <si>
    <t>부산시 공무직 병가를 사용가능한 경우와 사용일수 및 제출서류를 알고싶어요
 &gt;&gt; 단체협약서 이미지 파일이라 인식 불가</t>
  </si>
  <si>
    <t>●병가사용가능한 경우: 질병 또는 부상으로 직무를 수행할 수 없는 경우 또는 감염병에 걸려 다른 공무원의 건강에 영향을 미칠 우려가 있을 때
 ●병가사용일수: 연60일 이내
 ●제출서류
  ▶연간 누계 6일까지 증빙자료 제출
  ▶연간 누계 7일 이상의 경우에는 「의료법」제17조에 의하여 교부된 진단서를 제출
  ▶동일한 사유의 병가는 최초 제출한 증빙자료로 상병명 및 요양기간을 확인할 수 있는 경우 추가 제출을 생략가능</t>
  </si>
  <si>
    <t>●2025년 부산광역시-부산시청공무직노동조합 단체협약서(★단체협약서(251022).pdf)</t>
  </si>
  <si>
    <t>●2025년 부산광역시-부산시청공무직노동조합 단체협약서 제27조(병가), 9~10p</t>
  </si>
  <si>
    <t>●제27조(병가) ① 시는 조합원이 업무 외 부상 또는 질병 치료를 위해 요청하는 경우, 또는 전염병 감염자로서 전파 우려가 있는 경우, 연 60일의 범위 내에서 병가를 줄 수 있다.
 ② 병가를 신청하고자 하는 조합원은 연간 누계 7일 미만의 경우 증빙자료를, 누계 7일 이상의 경우는 「의료법」 제17조에 의한 진단서를 제출하여야 한다.
 ③ 동일한 사유의 병가는 최초 제출한 증빙자료로 상병명 및 요양기간을 확인할 수 있는 경우 추가 제출을 생략할 수 있다.
 ④병가는 반일 또는 일 단위로 사용할 수 있고, 같은 연도 내 병가일수를 합한 기간이 30일 이상인 경우, 휴가 사용일수에 휴일 또는 휴무일을 산입한다
 ⑤ 병가는 사용일수 1일당 통상임금 일급(8시간)의 30%를 감액하여 지급하되, 제4항에 따라 산입된 휴일 또는 휴무일이 무급인 경우에는, 해당일을 감액하지 아니한다.
 ⑥ 제5항의 규정에도 불구하고, 코로나19의 확진으로 인한 병가는 감액하지 아니하고 유급으로 한다.</t>
  </si>
  <si>
    <t>업무추진비를 사용한 간담회 집행가액이 얼마인지 알고싶어요</t>
  </si>
  <si>
    <t>●간담회 등 접대비는 특별한 사유가 없는 한 1인 1회당 5만원 이하 범위에서 집행
 ●불가피한 경우에는 증빙서류 등에 사유를 병시하고 5만원을 초과하여 집행가능
 ● 「청탁금지법」 적용대상인 경우에는 「청탁금지법」을 따른다
  ▶음식물 가액 범위: 5만원</t>
  </si>
  <si>
    <t>●지방자치단체 회계관리에 관한 훈령(24. 9. 23. 시행)
 ●2025 부정청탁 및 금품등 수수의 금지에 관한 법률 행정기관 및 공직유관단체 메뉴얼</t>
  </si>
  <si>
    <t>46 
 86</t>
  </si>
  <si>
    <t>● 각종 회의, 간담회 등 참석자에게 제공하는 식사(다과, 음료 포함)는 특별한 사유가 없는 한 1인 1회당 5만원 이하 범위에서 집행하고, 행사성격 등 불가피한 경우에는 증빙서류 등에 사유를 명시하고 5만원을 초과하여 집행할 수 있다. 다만, 「청탁금지법」 적용대상인 경우에는 「청탁금지법」을 따른다.
 가액 범위
 l 원활한 직무수행, 사교·의례, 부조 목적으로 제공되는 5만원 이하 음식물·5만원 이하 선물
 (농수산물·농수산가공품은 설날·추석 전 24일부터 설날·추석 후 5일까지는 30만원 이하,
 그 외 기간에는 15만원 이하)·5만원 이하 축의금·조의금(화환·조화는 10만원 이하)은 예외
 사유에 해당(법 제8조제3항제2호, 시행령 제17조 및 별표 1)
 l 음식물 : 5만원 이하
 - 제공자와 공직자등이 함께 하는 식사, 다과, 주류, 음료, 그 밖에 이에 준하는 것
 ※ 제공자와 공직자등이 함께 하지 않고 제공자가 특정 식당에서 먼저 또는 나중에 결제하고 공직자등만
 식사를 하게 하는 경우는 가액한도 내라도 제2호의 음식물에 해당될 수 없음</t>
  </si>
  <si>
    <t>지방재정(e호조+) 사용자 권한신청 방법을 알고싶어요
 &gt;&gt; 매뉴얼 미제공</t>
  </si>
  <si>
    <t>●사용자권한신청메뉴얼
 1. 시 행정포털 접속 – 지방재정(e호조+) 접속
 2. 사용자권한신청(81211) 선택
 3. 오른쪽 밑 신규선택 – 아래로 스크롤 내리기 - 업무그룹 부여 – 행추가 – 돋보기 - 필요한 권한 신청
 4. 담당자는 팀장님까지 결재
 5. 사용자권한결재(81212)</t>
  </si>
  <si>
    <t>●이호조사용자권한신청 매뉴얼(이호조 사용자 권한 신청(본청,사업소).hwp)</t>
  </si>
  <si>
    <t>●이호조사용자권한신청 매뉴얼(이호조 사용자 권한 신청(본청,사업소).hwp)1~3p</t>
  </si>
  <si>
    <t>신용카드로 물품 구입시 얼마부터 2인 이상 견적서 제출 필요할까?</t>
  </si>
  <si>
    <t>지방자치단체를 당사자로 하는 계약에 관한 법률 시행령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「여성기업지원에 관한 법률」 제2조제1호에 따른 여성기업 또는 「장애인기업활동 촉진법」 제2조제2호에 따
 른 장애인기업
 나. 「사회적기업 육성법」 제2조제1호에 따른 사회적기업, 「협동조합 기본법」 제2조제3호에 따른 사회적협동조합
 , 「국민기초생활 보장법」 제18조에 따른 자활기업 또는 「도시재생 활성화 및 지원에 관한 특별법」 제2조제
 1항제9호에 따른 마을기업으로서 행정안전부장관이 정하는 기준에 적합한 기업. 이 경우에는 행정안전부장관
 이 정하여 고시하는 취약계층 고용비율을 충족하여야 한다.
 3. 제2항에 따라 지정정보처리장치를 이용하여 견적서를 제출받았으나 견적서 제출자가 1인뿐인 경우로서 다시 견
 적서를 제출받더라도 견적서 제출자가 1인뿐일 것으로 명백히 예상되는 경우
 지방자치단체를당사자로하는계약에관한법률시행규칙 제33조(수의계약 체결 시 견적서 제출 생략의 대상) 영 제30조제4항에 따라 수의계약 체결 시 견적서 제출을 생략할 수 있는 경우는 다음 각 호의 경우로 한다. &lt;개정 2019. 6. 25.&gt;
  1. 전기, 가스, 수도 등의 공급계약을 체결하는 경우
  2. 추정가격이 200만원 미만인 물품의 제조ㆍ구매ㆍ임차 및 용역 계약을 체결하는 경우
  3. 추정가격이 200만원 미만인 물품을 「여신전문금융업법」에 따른 신용카드로 구매하는 경우
  4. 국가 및 다른 지방자치단체와 수의계약을 체결하는 경우
 따라서 200만원을 초과하는경우는 비교견적서를 첨부해서 구매해야함.</t>
  </si>
  <si>
    <t>지방자치단체를당사자로하는계약에관한법률시행령 및 시행규칙</t>
  </si>
  <si>
    <t>시행령 제30조, 시행규칙 제33조</t>
  </si>
  <si>
    <t>시행령 제30조 일체
 시행규칙 제 33조 일체</t>
  </si>
  <si>
    <t>추정가격이랑 추정금액의 차이가 뭘까?</t>
  </si>
  <si>
    <t>기대답변 :
 1. 추정가격
  - 정의: 법령에 따라 예정가격이 결정되기 전, 국제입찰 대상 여부 판단이나 입찰 기준 설정을 위해 산정된 가격입니다.
  - 목적: 계약 체결 전 기본적인 금액 기준으로 활용됩니다.
  - 포함 항목: 부가가치세나 관급자재 비용 등은 제외됩니다.
 2. 추정금액
  - 정의: 추정가격에 부가가치세와 관급자재 비용을 포함해 산출된 총액입니다.
  - 목적: 실제 계약에서 지급될 최종 예상 금액을 계산하는 데 사용됩니다.
 3. 예시
  - 추정가격: 1억 원
  - 부가가치세 (10%): 1,000만 원
  - 관급자재 비용: 500만 원
  → 추정금액 = 1억 + 1,000만 + 500만 = 1억 1,500만 원
 4. 핵심 차이:
  - 추정가격은 세금과 관급자재를 포함하지 않은 기초 가격이며, 추정금액은 이에 추가 비용이 반영된 총액입니다.</t>
  </si>
  <si>
    <t>지방자치단체를 당사자로 하는 계약에 관한 법률 시행규칙
 지방자치단체를 당사자로 하는 계약에 관한 법률 시행규칙</t>
  </si>
  <si>
    <t>제2조(정의)
 제2조(정의)</t>
  </si>
  <si>
    <t>1. “추정가격”이란 물품ㆍ공사ㆍ용역 등의 조달계약을 체결할 때 「지방자치단체를 당사자로 하는 계약에 관한 법률
 」(이하 “법”이라 한다) 제5조에 따른 국제입찰의 대상인지를 판단하는 기준 등으로 삼기 위하여 예정가격이 결정
 되기 전에 제7조에 따라 산정된 가격을 말한다.
 2. “추정금액”이란 「지방자치단체를 당사자로 하는 계약에 관한 법률 시행령」(이하 “영”이라 한다) 제2조제1호에 따
 른 추정가격에 「부가가치세법」에 따른 부가가치세와 관급자재(계약상대자가 설치하는 관급자재로 한정한다)로
 공급될 부분의 가격을 합한 금액을 말한다.</t>
  </si>
  <si>
    <t>건설공사 안전관리비 지급 가능한 영역은?
 &gt;&gt; 근거자료 미제출</t>
  </si>
  <si>
    <t>건설공사 안전관리 업무수행 지침 별표7(안전관리비 계상 및 사용기준에 따라서 안전관리계획서의 작성 및 검토비, 안전점검비, 굴착 등의 공사로 인한 주변 건축물 피해방지대책비, 공사장 주변 통행안전 및 교통소통을 위한 안전시설의 설치 및 유지관리 비, 신호수 배치운용 등에 사용이 가능함</t>
  </si>
  <si>
    <t>건설공사 안전관리 업무수행 지침</t>
  </si>
  <si>
    <t>별표 7</t>
  </si>
  <si>
    <t>안전관리비 계상 및 사용기준</t>
  </si>
  <si>
    <t>보행을 위한 보도폭은 얼마정도로 해야 적당한가?
 &gt;&gt; 근거자료 미제출</t>
  </si>
  <si>
    <t>도로의 구조•시설 기준에 관한 규칙 제16조(보도) ① 보행자의 안전과 자동차 등의 원활한 통행을 위하여 필요하다고 인정되는 경우에는 도로에 보도를 설치해야 한다. 이 경우 보도는 연석(緣石)이나 방호울타리 등의 시설물을 이용하여 차도와 물리적으로 분리해야 하고, 필요하다고 인정되는 지역에는 이동편의시설을 설치해야 한다. &lt;개정 2020. 3. 6.&gt;
  ③ 보도의 유효폭은 보행자의 통행량과 주변 토지 이용 상황을 고려하여 결정하되, 최소 2미터 이상으로 하여야 한다. 다만, 지방지역의 도로와 도시지역의 국지도로는 지형상 불가능하거나 기존 도로의 증설ㆍ개설 시 불가피하다고 인정되는 경우에는 1.5미터 이상으로 할 수 있다.</t>
  </si>
  <si>
    <t>도로의 구조•시설 기준에 관한 규칙</t>
  </si>
  <si>
    <t>제16조</t>
  </si>
  <si>
    <t>최소 2미터이상, 불가피시 1.5미터이상</t>
  </si>
  <si>
    <t>가정에 갑자기 물이 안나오면 어디로 연락하나요</t>
  </si>
  <si>
    <t>단수 관련 문의 : 상수도사업본부
 상수도사업본부 669-4020~4022
 동래구, 연제구, 금정구 동래통합사업소 669-5207~5208
 중구, 동구 중동부사업소 669-5007~5008
 서구 서부사업소 669-5057~5058
 영도구 영도사업소 669-5107~5108
 부산진구 부산진사업소 669-5157~5158
 남구, 수영구 남부사업소 669-5257~5258
 북구, 사상구 북부사업소 669-5307~5308
 해운대구 해운대사업소 669-5357~5358
 사하구 사하사업소 669-5407~5408
 강서구 강서사업소 669-5507~5508
 기장군 기장사업소 669-5557~5558</t>
  </si>
  <si>
    <t>단수 관련 문의 : 상수도 사업본부</t>
  </si>
  <si>
    <t>공동주택이나 공동상가에서 각 세대별로 수도요금 고지서를 따로 받고싶어요</t>
  </si>
  <si>
    <t>부산광역시 수도 급수 조례 제10조(세대별계량기의 설치) ① 시장은 50세대 미만의 공동주택 또는 단독주택(「건축법 시행령」 별표 1 제1호가목 및 다목에 해당하는 것을 말한다)으로서 세대별 급수가 가능하도록 배관이 분리되어 있고, 건축주의 신청이 있으면 세대별계량기를 설치할 수 있다. 이 경우 세대별계량기 설치세대는 공동사용량이나 누수 및 공동배관 수선 등으로 인한 비용에 대해서 미설치세대와 공동부담의 책임을 진다. &lt;개정 2018. 2. 7., 2022.2.16.&gt;
  ③ 제1항에도 불구하고 세대별 급수를 위한 배관분리를 할 수 없으면 주계량기와 연결된 세대별계량기를 설치할 수 있다.</t>
  </si>
  <si>
    <t>부산광역시 수도 급수 조례</t>
  </si>
  <si>
    <t>제10조</t>
  </si>
  <si>
    <t>건축주의 신청이 있으면 조건에 따라서 세대별계량기를 설치할수 있다</t>
  </si>
  <si>
    <t>공항소음대책지역은 어떤 기준으로 지정되나요?</t>
  </si>
  <si>
    <t>공항소음대책지역은 국토교통부장관이 장래 항공수요를 감안한 예상 소음영향도(Lden, 가중등가소음도)를 기준으로 지정·고시합니다. 소음도에 따라 제1종(79 이상), 제2종(75 이상 79 미만), 제3종(61 이상 75 미만) 구역으로 구분됩니다.</t>
  </si>
  <si>
    <t>1. 공항소음 방지 및 소음대책지역 지원에 관한 법률 
 2. 공항소음 방지 및 소음대책지역 지원에 관한 법률 시행령</t>
  </si>
  <si>
    <t>1. 법 제5조 제1항 
 2. 시행령 제2조 제1항</t>
  </si>
  <si>
    <t>공항소음 방지 및 소음대책지역 지원에 관한 법률 제5조(소음대책지역의 지정ㆍ고시 등) ① 국토교통부장관은 장래의 항공수요를 고려한 예상 소음영향도를 기준으로 공항주변의 소음대책지역을 대통령령으로 정하는 바에 따라 제1종 구역, 제2종 구역 및 제3종 구역으로 지정ㆍ고시하여야 한다.
 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</si>
  <si>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t>공항소음 피해를 측정하는 기준인 Lden은 무엇을 의미하며, 구분 기준은 어떻게 되나요?
 &gt;&gt; Lden에 관한 내용이 없어서 답변 불가</t>
  </si>
  <si>
    <t>Lden(Lden)은 가중등가소음도로, 하루 24시간 동안의 평균 소음도를 주간, 저녁, 야간 시간대별로 가중치를 두어 산정한 값입니다. 공항소음대책지역은 Lden에 따라 제1종(79 이상), 제2종(75 이상 79 미만), 제3종(61 이상 75 미만) 구역으로 구분됩니다.</t>
  </si>
  <si>
    <t>공항소음 방지 및 소음대책지역 지원에 관한 법률 시행령</t>
  </si>
  <si>
    <t>시행령 제2조 제1항</t>
  </si>
  <si>
    <t>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</si>
  <si>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t>공항소음으로 피해를 입은 주민은 어떤 지원을 받을 수 있나요?</t>
  </si>
  <si>
    <t>공항소음대책지역(Lden 61 이상) 주민은 법률에 근거하여 크게 두 가지 유형의 지원을 받습니다. 
 1. 소음대책사업 : 방음시설 및 냉방시설 설치, 공영방송 수신료 지원, 주거용 시설 등의 냉방전기료 지원, 손실보상 및 토지 등의 매수
 2. 주민지원사업 : 지역주민의 복지향상 및 소득증대에 기여할 수 있는 사업으로 일정 기준에 따라 해당 지방자치단체의 조례로 정하는 사업
 근거자료로는 Lden 61 이상 주민이 두 가지 유형의 지원을 받는 다는 내용을 찾기 어렵습니다.
 법률 제19조제1항으로만 답변 생성해야할 것으로 보입니다.
 기대답변 :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</si>
  <si>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공항소음 방지 및 소음대책지역 지원에 관한 법률</t>
  </si>
  <si>
    <t>법 제8조 제1항, 법 제19조 제1항</t>
  </si>
  <si>
    <t>공항소음 방지 및 소음대책지역 지원에 관한 법률 제8조(공항소음대책사업의 계획수립 등) ① 시설관리자 또는 사업시행자는 중기계획에 따라 다음 각 호의 사항을 포함하는 연차별 공항소음대책사업계획(이하 “소음대책사업계획”이라 한다)을 수립ㆍ시행하여야 한다.
 1. 방음시설 및 냉방시설 설치사업
 2. 공영방송 수신료 지원사업(시설관리자로 한정한다)
 3. 다음 각 목의 어느 하나에 해당하는 시설에 설치된 냉방시설의 전기료 일부 지원사업(시설관리자로 한정한다)
 가. 「교육기본법」 제9조에 따른 학교
 나. 「건축법」 제2조제2항제1호부터 제4호까지 및 제14호에 따른 시설 중 국토교통부령으로 정하는 주민 주거용 시설 및 주민 공동이용시설
 다. 「건축법」 제2조제2항제11호에 따른 노유자(老幼者)시설
 4. 자동소음측정망 설치사업
 5. 삭제 &lt;2015. 12. 31.&gt;
 6. 손실보상 및 토지 등의 매수
 7. 그 밖에 공항소음을 줄이고 쾌적한 생활환경을 조성하기 위하여 국토교통부장관이 필요하다고 인정하는 사항
 공항소음 방지 및 소음대책지역 지원에 관한 법률 제19조(주민지원사업의 종류 등) ①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</si>
  <si>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우리 집이 소음대책지역인데, 한국공항공사(시설관리자)에 땅을 팔고 이사할 수 있나요?</t>
  </si>
  <si>
    <t>제1종 구역(Lden 79 이상), 제2종 구역(Lden 75 이상 79 미만), 그리고 국토교통부령으로 정하는 제3종 구역 일부(Lden 70 이상 75 미만)에 있는 토지 소유자는 시설관리자(한국공항공사 등)에게 해당 토지의 매수를 청구할 수 있습니다. 청구를 받은 시설관리자는 2개월 이내에 매수 여부와 예상가격을 통보해야 합니다. (매수대상토지로 통보하면 통보일부터 3년 이내에 해당 토지 매수)</t>
  </si>
  <si>
    <t>1. 공항소음 방지 및 소음대책지역 지원에 관한 법률 
 2. 공항소음 방지 및 소음대책지역 지원에 관한 법률 시행규칙</t>
  </si>
  <si>
    <t>법 제12조 제1항, 법 제13조, 시행령 제2조, 시행규칙 제7조의2</t>
  </si>
  <si>
    <t>공항소음 방지 및 소음대책지역 지원에 관한 법률 제12조(토지매수의 청구 등) ① 제5조제1항에 따른 제1종 구역, 제2종 구역 또는 국토교통부령으로 정하는 제3종 구역에 있는 토지(이하 “매수대상토지”라 한다)의 소유자는 시설관리자 또는 사업시행자에게 해당 토지의 매수를 청구할 수 있다.
 제13조(토지매수의 절차 등) ① 시설관리자 또는 사업시행자는 제12조제1항에 따라 토지의 매수청구를 받은 날부터 2개월 이내에 해당 토지가 매수대상토지인지 여부 및 대통령령으로 정하는 바에 따라 산정한 매수예상가격 등을 매수청구인에게 통보하여야 한다. ② 시설관리자 또는 사업시행자는 제1항에 따라 매수대상토지로 통보한 때에는 통보일부터 3년 이내에 해당 매수 대상토지를 매수하여야 한다.
 공항소음 방지 및 소음대책지역 지원에 관한 법률 시행규칙 제7조의2(손실보상 및 토지매수 청구지역) 법 제11조제1항ㆍ제2항 및 제12조제1항에서 “국토교통부령으로 정하는 제3종 구역”이란 각각 제3조제1호에 따른 가 지구를 말한다.
 공항소음 방지 및 소음대책지역 지원에 관한 법률 시행령
 제2조(소음대책지역의 지정ㆍ고시) ① 「공항소음 방지 및 소음대책지역 지원에 관한 법률」(이하 “법”이라 한다) 제5조
 제1항에 따른 소음대책지역의 구역별 예상 소음영향도 기준은 다음 각 호와 같다. 다만, 제3종 구역의 경우 국토교통
 부령으로 정하는 바에 따라 지구별로 세분할 수 있다. &lt;개정 2013. 3. 23., 2021. 11. 16.&gt;
 1. 제1종 구역: 가중등가소음도[Lden㏈(A)] 79 이상
 2. 제2종 구역: 가중등가소음도[Lden㏈(A)] 75 이상 79 미만
 3. 제3종 구역: 가중등가소음도[Lden㏈(A)] 61 이상 75 미만</t>
  </si>
  <si>
    <t>공항소음대책지역에서 주택 방음시설이나 냉방시설 지원을 받으려면 어떤 절차로 신청해야 하나요?</t>
  </si>
  <si>
    <t>1. 신청대상 : 금년도 소음대책사업에 해당하는가옥으로서 공항공사로부터 신청안내서를 통보 받은 가옥
 2. 신청방법 : 해당사업 신청서를 작성한 후 첨부서류(세대별 주민등록등본, 건축물관리대장)와 함께 제출
 3. 문의사항 : 한국공항공사(김해공항) T. 1661-2626</t>
  </si>
  <si>
    <t>공항소음포털 홈페이지</t>
  </si>
  <si>
    <r>
      <rPr>
        <rFont val="&quot;맑은 고딕&quot;"/>
        <color rgb="FF1155CC"/>
        <sz val="12.0"/>
        <u/>
      </rPr>
      <t>https://www.airportnoise.kr/anps/reqst/SdfclInfo</t>
    </r>
    <r>
      <rPr>
        <rFont val="&quot;맑은 고딕&quot;"/>
        <sz val="12.0"/>
      </rPr>
      <t xml:space="preserve">
 https://www.airportnoise.kr/anps/reqst/ArclngInfo</t>
    </r>
  </si>
  <si>
    <t>1. 방음시설 설치 신청
 신청대상 : 금년도 소음대책사업에 해당하는 가옥으로서 공항공사로부터 신청안내서를 통보 받은 가옥
 신청방법 : 주택방음시설 설치 신청 페이지에서 내용을 작성한 후 첨부서류와 함께 온라인 접수하시면 됩니다
 필수 첨부서류 : 건축물관리대장
 2. 주택냉방시설 설치 신청
 신청대상 : 금년도 소음대책사업에 해당하는 가옥으로서 공항공사로부터 신청안내서를 통보 받은 가옥
 신청방법 : 주택냉방시설 설치 신청 페이지에서 내용을 작성한 후 첨부서류와 함께 온라인 접수하시면 됩니다
 필수 첨부서류 : 세대별 주민등록등본, 건축물관리대장</t>
  </si>
  <si>
    <t>소음대책지역 지정은 얼마나 자주 바뀌나요? 소음이 줄어들어 지원 대상에서 제외될 수도 있나요?</t>
  </si>
  <si>
    <t>국토교통부장관은 소음대책지역 지정 후 5년마다 소음영향도 조사를 실시하고 지정의 타당성을 재검토해야 합니다. 재검토 결과 지역에서 제외되더라도, 해당 시설물(주택)의 소유자가 신청하면 제외된 날부터 5년 이내에 방음시설 설치 등 기존 지원 사업을 계속 시행하도록 법에 규정되어 있습니다.</t>
  </si>
  <si>
    <t>법 제5조 제2항, 법 제5조 제4항, 법 제8조 제3항, 시행령 제2조 제11항</t>
  </si>
  <si>
    <t>공항소음 방지 및 소음대책지역 지원에 관한 법률 제5조(소음대책지역의 지정ㆍ고시 등) ② 국토교통부장관은 제1항에 따라 소음대책지역을 지정ㆍ고시하기 위하여 공항소음으로 인한 공항주변의 소음영향도를 조사하여야 한다.
 ④ 제2항 및 제3항에 따른 소음영향도 조사의 주기ㆍ방법 및 기준 등에 관하여 필요한 사항은 대통령령으로 정한다.
 공항소음 방지 및 소음대책지역 지원에 관한 법률 제8조(공항소음대책사업의 계획수립 등) ③ 시설관리자 또는 사업시행자는 소음대책지역의 변경으로 인하여 제외되는 지역 안의 제2항에 따른 시설물에 대하여 소음대책지역에서 제외된 날부터 5년 이내에 해당 시설물의 소유자가 신청하면 다음 각 호의 사업을 시행하여야 한다. 
 1. 방음시설 설치사업
 2. 텔레비전 수신 장애 방지사업
 3. 학교 냉방시설 설치사업
 공항소음 방지 및 소음대책지역 지원에 관한 법률 시행령 제2조(소음대책지역의 지정ㆍ고시) ⑪ 국토교통부장관은 법 제5조제2항에 따라 제4항에 따른 소음대책지역 지정ㆍ고시 후 5년마다 소음영향도 조사를 실시해야 하며, 그 결과 등을 고려하여 그 지정ㆍ고시의 타당성을 검토해야 한다.</t>
  </si>
  <si>
    <t>소음대책지역으로 지정되면 주택을 신축하거나 기존 건물을 다른 용도로 바꾸는 것에 제한이 따르나요?</t>
  </si>
  <si>
    <t>네, 제한이 따를 수 있습니다. 소음피해 확산을 방지하기 위해 시·도지사 또는 시장·군수·구청장은 소음대책지역에 주거용, 교육용, 의료용 등 소음에 민감한 특정 시설물의 신축(설치)를 제한하거나 기존 시설의 용도 변경을 제한할 수 있습니다. 다만, 방음시설 설치 등 일정한 조건을 붙여 시설물의 설치를 허용할 수 있습니다.</t>
  </si>
  <si>
    <t>법 제6조, 시행규칙 제4조 제1항, 시행규칙 별표1 및 별표2</t>
  </si>
  <si>
    <t>공항소음 방지 및 소음대책지역 지원에 관한 법률 제6조(소음대책지역에서의 시설물의 설치 제한 등) ① 특별시장ㆍ광역시장ㆍ도지사(이하 “시ㆍ도지사”라 한다) 또는 특별자치도지사ㆍ시장ㆍ군수ㆍ구청장은 공항소음피해 확산을 방지하기 위하여 소음대책지역에서의 시설물의 설치 및 용도를 제한하여야 한다. 다만, 방음시설 설치 등 일정한 조건을 붙여 시설물의 설치를 허용할 수 있다.
 ② 시ㆍ도지사 또는 시장ㆍ군수ㆍ구청장은 제1항에 따른 조건을 이행하지 아니한 자에게 다음 각 호의 사항을 명할 수 있다.
 1. 시설물의 용도변경
 2. 소음피해 방지시설의 보완
 ③ 시ㆍ도지사 또는 시장ㆍ군수ㆍ구청장은 소음대책지역에 「건축법」에 따라 시설물 설치를 허가하였을 때에는 그 허가내용(조건을 붙인 경우에는 그 내용을 포함한다)을 시설관리자 또는 사업시행자에게 통보하여야 한다.
 ④ 제1항에 따른 설치 및 용도 제한 대상시설물의 종류와 제한조건 등에 관하여 필요한 사항은 국토교통부령으로 정한다.
 공항소음 방지 및 소음대책지역 지원에 관한 법률 시행규칙 제4조(소음영향도에 따른 시설물의 설치제한 등) ① 법 제6조제4항에 따른 소음대책지역 안의 설치 및 용도 제한 대상시설물의 종류와 제한조건은 각각 별표 1 및 별표 2와 같다.</t>
  </si>
  <si>
    <t>해외에서 입국 시 담배 면세 기준이 어떻게 되나요?
 &gt;&gt; 자료 미제출</t>
  </si>
  <si>
    <t>○입국자가 반입하는 담배의 면세범위
 1. 궐련 : 200개비
 2. 엽궐련 : 50개비
 3. 전자담배 : 
  ㉠니코틴용액 20ml
  ㉡궐련형 200개비
  ㉢기타유형 110그램
 4. 그 밖의 담배 : 250그램</t>
  </si>
  <si>
    <t>재정업무편람_세정운영담당관_담배소비세.pdf</t>
  </si>
  <si>
    <t>440p</t>
  </si>
  <si>
    <t>본문 표 내용 인용</t>
  </si>
  <si>
    <t>담배 반출신고는 어떻게 하나요?</t>
  </si>
  <si>
    <t>제조자 또는 수입판매업자가 담배를 제조장 또는 보세구역세 반출 시 지자체에 신고
 1. 신고기한 : 반출한 날이 속하는 달의 다음달 5일까지
 2. 신고방법 : 담배 반출신고서(지방세법 시행규칙 별지 제23호 서식)를 작성하여 제조장 또는 주사무소 소재지 관할 시장, 군수에게 신고
  ※ 전 월 각 지역별 판매량을 적은 자료 첨부</t>
  </si>
  <si>
    <t>「지방세법」 제55조, 같은 법 시행령 제65조, 같은 법 시행규칙 제24조</t>
  </si>
  <si>
    <r>
      <rPr>
        <rFont val="&quot;맑은 고딕&quot;"/>
        <color rgb="FF1155CC"/>
        <sz val="12.0"/>
        <u/>
      </rPr>
      <t>https://www.law.go.kr/lsSc.do?section=&amp;menuId=1&amp;subMenuId=15&amp;tabMenuId=81&amp;eventGubun=060101&amp;query=%EC%A7%80%EB%B0%A9%EC%84%B8%EB%B2%95#searchId1</t>
    </r>
  </si>
  <si>
    <t>○지방세법 제55조(담배의 반출신고) 제조자 또는 수입판매업자는 담배를 제조장 또는 보세구역에서 반출(제53조에 따른 미납세 반출 및 제54조에 따른 과세면제를 위한 반출을 포함한다)하였을 때에는 대통령령으로 정하는 바에 따라 지방자치단체의 장에게 신고하여야 한다. 
 ○지방세법 시행령 제65조(담배의 반출신고) ① 법 제55조에 따른 반출신고는 반출한 날이 속하는 달의 다음 달 5일까지 행정안전부령으로 정하는 신고서에 지난 달 특별시ㆍ광역시ㆍ특별자치시ㆍ특별자치도ㆍ시 및 군(이하 이 장에서 “시ㆍ군”이라 한다)별 판매량을 적은 자료를 첨부하여 제조장 또는 주사무소 소재지를 관할하는 시장ㆍ군수에게 해야 한다. 다만, 제68조제2항 각 호 외의 부분 단서에 따른 수입판매업자의 경우에는 지난 달 시ㆍ군별 판매량을 적은 자료를 첨부하지 않을 수 있다.
 ○지방세법 시행규칙 제24조(반출신고) ① 영 제65조제1항에 따라 담배의 반출신고를 하려는 자는 별지 제23호서식의 담배 반출신고서에 담배 수불(受拂)상황표 및 담배의 반출사실을 증명하는 전표 또는 수입신고필증을 첨부하여 제조장 또는 주사무소 소재지를 관할하는 특별시장ㆍ광역시장ㆍ특별자치시장ㆍ특별자치도지사ㆍ시장 또는 군수(이하 이 장에서 “시장ㆍ군수”라 한다)에게 제출해야 한다.</t>
  </si>
  <si>
    <t>특이(폭언 및 반복) 민원에 대한 대응방법을 알려주세요
 &gt;&gt; 근거자료 이미지 파일이라 인식 불가</t>
  </si>
  <si>
    <t>1. 지동녹음이 되지 않는 부서의 경우, 전화기를 들어 바로 수동녹음을 실시합니다.
 *수동녹음 순서 : # ▸ 11 ▸ 회의(액정화면)
 2. [폭언 지속시] 통화곤란 안내 후 전화를 종료합니다.
 - 선생님, 폭언을 계속하시면 더 이상의 상담이 어렵습니다. 혹은 관련법령에 따라 처벌 받을 수 있습니다. 다른 민원 처리를 위해 이만 통화를 마치겠습니다. 양해해주시기 바랍니다.
 3. [반복민원 응대시]
  - 선생님, 말씀하신 민원은 설명드린대로 정해진 규정과 절차에 따라 정상적으로 처리된 사항입니다. 동일한 답변 외에는 더 드릴 말씀이 없습니다. 반복적으로 전화를 하시면 공무방해 행위에 해당됩니다. 죄송합니다. 다른 민원 처리를 위해 많은 시간을 할애할 수 없는 점 양해부탁드리며, 이만 통화를 종료하겠습니다.</t>
  </si>
  <si>
    <t>부산형 민원응대 매뉴얼</t>
  </si>
  <si>
    <t>19P</t>
  </si>
  <si>
    <t>인재개발원 교육신청은 어떻게 하나요?
 &gt;&gt; 자료 미제출 및 검색안됨</t>
  </si>
  <si>
    <t>① 통합교육관리시스템(http://bs.lms.go.kr) 가입
 ② 행정포털 차세대 인사 → ’교육훈련’ → '교육훈련부서주관' → '교육부서주관교육신청' 클릭
 ③ 원하는 교육 클릭 후 은행계좌 기입 → ‘신청’ 클릭 → 부서장 승인
 ④ "부산광역시 인재개발원 교육생 선발 결과알림" 공문확인
 ⑤ 선발된 경우 → 차세대 인사 → 교육훈련파견관리 → 근무지 내 교육훈련 파견신청 → 신규 신청 및 결재
 *여비내역 미입력 후 결재진행
 *비대면 교육의 경우(출장지: 재택, 출장목적: 교육명 입력)</t>
  </si>
  <si>
    <t>(관내)교육훈련파견신청 매뉴얼</t>
  </si>
  <si>
    <t>1~4P</t>
  </si>
  <si>
    <t>10년 이상 재직했는데 장기재직휴가는 며칠이나 갈 수 있어?</t>
  </si>
  <si>
    <t>「부산광역시 공무원 복무 조례」 개정(2024.12.25.)에 따라 장기재직휴가 일수가 확대되었습니다.
 1. 5년~10년 미만: 5일
 2. 10년~20년 미만: 15일 (기존 10일에서 확대)
 3. 20년~30년 미만: 25일 (기존 20일에서 확대)
 4. 30년 이상: 25일 (기존 20일에서 확대)
 따라서 10년 이상 20년 미만 재직자의 경우 15일의 휴가를 사용할 수 있습니다.</t>
  </si>
  <si>
    <t>부산광역시 공무원 복무 조례</t>
  </si>
  <si>
    <t>제15조(특별휴가) ⑥항</t>
  </si>
  <si>
    <t>제15조(특별휴가) ⑥ 소속기관장은 재직기간이 5년 이상 10년 미만인 공무원에게 해당 재직기간 중 5일, 10년 이상 20년 미만인 공무원에게 해당 재직기간 중 15일, 20년 이상 30년 미만 및 30년 이상 재직한 공무원에게는 해당 재직기간 중 각각 25일의 휴가를 허가할 수 있으며, 운영에 필요한 사항은 시장이 따로 정한다.</t>
  </si>
  <si>
    <t>초등학교 3학년 자녀가 있는데 학습지도시간을 쓸 수 있어?</t>
  </si>
  <si>
    <t>네, 조례에 '학습지도시간'이 신설되었습니다.
 9세 이상 10세 이하(초등학교 3~4학년) 자녀를 둔 공무원은 자녀의 학습 적응 및 지도를 위해 1일 최대 2시간의 학습지도시간을 12개월 범위 내에서 사용할 수 있습니다.</t>
  </si>
  <si>
    <t>제15조(특별휴가) ⑨항</t>
  </si>
  <si>
    <t>제15조(특별휴가) ⑨9세 이상 10세 이하 또는 초등학교 3학년 이상 초등학교 4학년 이하의 자녀를 가진 공무원은 12개월의 범위에서 초등학교 학습 적응 및 지도 등을 위한 1일 최대 2시간의 학습지도시간을 사용할 수 있다.</t>
  </si>
  <si>
    <t>남성 공무원인데 배우자 임신 검진에 같이 가고 싶어.</t>
  </si>
  <si>
    <t>조례에 따라 '임신검진동행휴가'를 사용할 수 있습니다.
 남성 공무원은 배우자의 임신검진에 동행하기 위해 10일의 범위에서 특별휴가를 사용할 수 있습니다.</t>
  </si>
  <si>
    <t>제15조(특별휴가) ⑧항</t>
  </si>
  <si>
    <t>제15조(특별휴가) ⑧ 남성공무원은 배우자의 임신검진에 동행하기 위하여 10일의 범위에서 임신검진동행휴가를 사용할 수 있다.</t>
  </si>
  <si>
    <t>자녀가 3명인데 자녀돌봄휴가는 며칠 쓸 수 있어?</t>
  </si>
  <si>
    <t>「지방공무원 복무규정」 제7조의7 제10항에 따라 자녀돌봄휴가(가족돌봄휴가 중 자녀 관련)의 유급 일수는 "자녀 수 + 1일"입니다.
 따라서 자녀가 3명인 경우 4일을 유급으로 사용할 수 있습니다</t>
  </si>
  <si>
    <t>지방공무원 복무규정</t>
  </si>
  <si>
    <t>제7조의7(특별휴가) ⑩항</t>
  </si>
  <si>
    <t>제7조의7(특별휴가)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t>
  </si>
  <si>
    <t>공공기관 위탁시 시의회 동의 예외사항</t>
  </si>
  <si>
    <t>공공기관에 사무 위탁시 시의회 동의 예외사항은 「부산광역시 사무의 공공기관 위탁·대행에 관한 조례」 제7조제1항 각 호에 규정되어 있습니다. 특히 최근(2025. 10. 1.) 개정사항이 있으므로 변경사항에 대한 확인이 필요합니다.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</si>
  <si>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「부산광역시 사무의 공공기관 위탁·대행에 관한 조례」 제7조제1항 각 호</t>
  </si>
  <si>
    <t>「부산광역시 사무의 공공기관 위탁·대행에 관한 조례」</t>
  </si>
  <si>
    <t>조례 내용 인용</t>
  </si>
  <si>
    <t>공공기관 위탁사업비 정산보고 및 반납에 대한 절차 규정</t>
  </si>
  <si>
    <t>공공기관 위탁사업비 정산보고 및 반납에 관해서는 「부산광역시 공공기관의 출연금, 전출금 및 위탁사업비 정산에 관한 조례」 제8조에 규정되어 있습니다.
 - 공공기관의 장은 회계연도가 끝났거나, 위탁사업비 교부 목적사업을 완료한 경우 그 사유가 발생한 날부터 2개월 이내에 위탁사업비 정산보고서를 제출하여야 하며,
 - 정산 결과 집행잔액이 발생한 경우 집행잔액과 발생이자를 시에 반납하여야 합니다.</t>
  </si>
  <si>
    <t>「부산광역시 공공기관의 출연금, 전출금 및 위탁사업비 정산에 관한 조례」</t>
  </si>
  <si>
    <t>조례 내용 인용 8조(출연금 등의 정산보고 및 반납)</t>
  </si>
  <si>
    <t>공공기관 위탁·대행 갱신 절차</t>
  </si>
  <si>
    <t>공공기관에 사무 위탁시 시의회 동의 예외사항은 「부산광역시 사무의 공공기관 위탁·대행에 관한 조례」 제8조2 및 제18조의2의 규정에 따라야 합니다.
 - 위탁·대행기간 갱신 시 위탁·대행사업 성과평가위원회에서 사업성과 등을 평가한 후 갱신 가능하며,
 - 위탁·대행기간 갱신 시 공공기관 위탁·대행사업의 성과를 측정하기 위하여 위탁·대행기간 만료 180일 전까지 성과평가를 실시하여야 함
 - 단, 시의회 동의 예외 대상 사무는 성과평가에서 제외하며, 「부산광역시 공유재산 및 물품 관리 조례」제13조의2에 따라 부산광역시 공유재산심의회의 심의를 거친 경우에는 위탁·대행사업 성과평가위원회의 평가를 거친 것으로 봄</t>
  </si>
  <si>
    <t>지침 내용 인용</t>
  </si>
  <si>
    <t>공공기관 위탁·대행사업 성과평가위원회 구성 및 운영 방법</t>
  </si>
  <si>
    <t>공공기관 위탁·대행사업 성과평가위원회의 구성 등에 관한 사항은 「부산광역시 사무의 공공기관 위탁·대행에 관한 조례」 제18조의3에 규정되어 있으며, 상세 내용은 다음과 같습니다.
 - (목적) 위탁·대행사업에 대한 성과평가
 - (대상) 위탁·대행사업 중 기간 갱신 사업 
 - (구성) 위원장 1명을 포함하여 6명 이상 10명 이하, 위원장은 위촉위원 중에서 호선, 전체 위원 수의 과반을 공무원이 아닌 사람으로 구성
 - (자격) 조례 제18조의3(위탁·대행사업 성과평가위원회 구성 및 운영)에 따라 임명 또는 위촉(이하 성과평가위원회) 
 1. 시 소속 4급 이상 공무원 
 2. 시의회에서 추천하는 사람 
 3. 대학교수, 변호사, 공인회계사, 공인노무사, 기술사 등 전문가 
 4. 그 밖에 공공기관 위탁·대행업무에 관하여 학식과 경험이 풍부한 사람 
 단, 성과평가위원회 위원은 위탁·대행 심의위원회 위원과 중복 위촉 불가하니 이점에 유의하시기 바랍니다.
  - (의결) 재적의원 과반수 출석으로 개의, 출석의원 과반수의 찬성으로 의결</t>
  </si>
  <si>
    <t>개인정보 보호책임자와 관리책임자의 범위와 역할</t>
  </si>
  <si>
    <t>개인정보 보호책임자 및 관리책임자는 다음과 같습니다.
 - 개인정보 보호법 제31조와 같은 법 시행령 제32조에 따라 개인정보의 처리에 관한 업무를 총괄해서 책임질 개인정보 보호책임자는 행정자치국장입니다.
 - 개인정보처리자는 제1항에 따른 개인정보 보호책임자를 보좌하기 위하여 분야별 개인정보 관리책임자(이하 “분야별 관리책임자”이라 한다)를 지정․운영하여야 하며, 분야별 관리책임자는 다음 각 호와 같습니다.
  1. 시정 통합홈페이지 분야 : 홍보담당관
  2. 지방 재정관리 분야 : 예산담당관
  3. 지방 세정관리 분야 : 세정정책담당관
  4. 영상정보 분야 : 자연재난과장
  5. 가명정보 및 추가정보 분야 : 빅데이터과장
  6. 상수도 분야 : 상수도사업본부 경영지원부장
  7. 소방 분야 : 소방재난본부 119종합상황실장
  8. 그 외 : 소관업무 부서장
 _ 분야별 관리책임자는 개인정보 보호책임자의 업무를 보좌하여 소관 부서의 개인정보보호 업무를 총괄합니다.</t>
  </si>
  <si>
    <t>부산광역시 개인정보 내부 관리계획('25.8.)</t>
  </si>
  <si>
    <t>본문 내용 인용 제6조(개인정보 보호책임자의 지정)</t>
  </si>
  <si>
    <t>개인정보의 안전한 파기를 위해 개인정보처리자가 지켜야할 절차</t>
  </si>
  <si>
    <t>개인정보처리자는 개인정보의 안전한 파기를 위하여 개인정보 파기계획을 수립하여야 합니다. 다만, 내부관리 계획이 수립되어 있으므로 별도의 파기계획 수립없이 아래의 계획에 따라 개인정보 파기를 계획·시행할 수 있습니다.
 - 개인정보의 보유기간의 종료일과 처리 목적 달성, 해당 서비스의 폐지, 사업의 종료 등으로 그 개인정보의 처리가 불필요하게 된 경우에는 정당한 사유가 없는 한 5일 이내에 개인정보를 파기 (단, 『공공기록물 관리에 관한 법률』등 다른 법령에서 보존해야 하는 경우에는 예외로 하며, 예외로 보존해야하는 개인정보는 다른 개인정보와 분리하여 저장․관리)
 - 개인정보처리자는 파기 사유가 발생한 개인정보파일을 선정하고 개인정보보호 책임자의 승인을 득한 뒤 개인정보를 파기(단, 개인정보파일 파기가 아닌 개인정보파일 내 일부 개인정보는 개별 사유(인사 이동, 회원 탈퇴 등)에 의해 시스템을 통해 자동 삭제되므로 별도 파기계획을 수립하지 않음)
 - 개인정보파일 일제정비 시 보유하고 있는 업무용 단말 내 개인정보파일을 점검하고 파기
 - 개인정보 위탁 용역사업의 경우, 용역사업 종료와 동시에 용역업체가 별도관리하는 개인정보파일을 파기하고 그 현황을 관리</t>
  </si>
  <si>
    <t>17, 18, 19</t>
  </si>
  <si>
    <t>본문 내용 일부 인용</t>
  </si>
  <si>
    <t>실내정원을 조성하는 필수적인 환경요인은 뭐야?</t>
  </si>
  <si>
    <t>1. 광(빛) : 최소광도 150lux 이상, 생장광도 500lux 이상
 2. 관수: 여름철 1회/10일, 겨울철 2회/20일
 3. 온도: 여름철 30도 이하, 겨울철 10도 이하
 4. 수분: 관엽식물류 60~65%
  수분과다(70% 이상) 회색 곰팡이 잎 썩음
  발생 주의</t>
  </si>
  <si>
    <t>2025년 생활정원 조성사업 매뉴얼(산림청)</t>
  </si>
  <si>
    <t>본문 그대로 인용</t>
  </si>
  <si>
    <t>작년 예산서 보는 방법 알려줘
 &gt;&gt; 근거자료 미제출</t>
  </si>
  <si>
    <t>특정년도 예산서 확인하는 방법
 - 접속경로 : 행정포털-지방재정(e호조+)-예산관리-예산편성-예산서관리-합본예산서(15100)
 - 회계연도 선택 가능, 타부서 예산서도 확인 가능</t>
  </si>
  <si>
    <t>차세대 지방재정 관리시스템 
 예산편성(예산부서) 매뉴얼</t>
  </si>
  <si>
    <t>98, 99</t>
  </si>
  <si>
    <t>○ 작업절차
 ① 합본예산서를 출력할 조회 조건 선택- “회계유형선택” 항목에서 회계유형을 선택하면 일반회계, 기타특별회계, 등의 유
 형별 출력이 가능하고 회계구분을 선택하면 개별 회계를 선택해 출력할 수 있다.- 예산구분선택에 ☑체크하면 가장 최근 미확정된 차수가 기본으로 설정되며 예산구분, 금액구분 별로 출력할 수 있다.</t>
  </si>
  <si>
    <t>입법진행현황 확인하는 방법 알려줘</t>
  </si>
  <si>
    <t>국민참여입법센터(https://opinion.lawmaking.go.kr/) 접속
 - 입법진행현황에서 정부 입법현황과 국회입법현황 확인 가능</t>
  </si>
  <si>
    <r>
      <rPr>
        <rFont val="&quot;맑은 고딕&quot;"/>
        <color rgb="FF1155CC"/>
        <sz val="11.0"/>
        <u/>
      </rPr>
      <t>https://opinion.lawmaking.go.kr/</t>
    </r>
  </si>
  <si>
    <t>본문(홈페이지) 내용 인용
 &gt;&gt; 이 내용은 간단한 질문 FAQ 등에 정리되어 있어야 답변 가능할거 같은데 확인 바랍니다.</t>
  </si>
  <si>
    <t>시의회 회의록 찾는 법 알려줘</t>
  </si>
  <si>
    <t>부산광역시의회(https://council.busan.go.kr/) 접속
 - 회의록-전체회의록 접속 시, 제1대(1991.7.8.~1995.6.30.)부터 회기별 회의록 확인 가능</t>
  </si>
  <si>
    <r>
      <rPr>
        <rFont val="&quot;맑은 고딕&quot;"/>
        <color rgb="FF1155CC"/>
        <sz val="11.0"/>
        <u/>
      </rPr>
      <t>https://council.busan.go.kr/</t>
    </r>
  </si>
  <si>
    <t>한글 배포용 문서 편집해서 쓰는 법 알려줘</t>
  </si>
  <si>
    <t>한글 배포용 문서 변환기 사용
 (https://openhwp.azurewebsites.net/)
 - 파일 변환하여 편집 가능상태로 사용가능</t>
  </si>
  <si>
    <r>
      <rPr>
        <rFont val="&quot;맑은 고딕&quot;"/>
        <color rgb="FF1155CC"/>
        <sz val="11.0"/>
        <u/>
      </rPr>
      <t>https://openhwp.azurewebsites.net/</t>
    </r>
  </si>
  <si>
    <t>저번달 초과근무 몇시간 했는지 알려줘</t>
  </si>
  <si>
    <t>행정포털-차세대인사-복무관리-초과근무현황에서 기간 설정하여 월별 초과근무현황 확인가능</t>
  </si>
  <si>
    <t>없음</t>
  </si>
  <si>
    <t>저작권 걱정 없는 무료 폰트(글꼴) 쓸 수 있는 방법 알려줘</t>
  </si>
  <si>
    <t>공유마당(https://gongu.copyright.or.kr/) 접속
 - 안심 글꼴파일 서비스에서 민간 및 공공 안심글꼴 사용가능</t>
  </si>
  <si>
    <r>
      <rPr>
        <rFont val="&quot;맑은 고딕&quot;"/>
        <color rgb="FF1155CC"/>
        <sz val="11.0"/>
        <u/>
      </rPr>
      <t>https://gongu.copyright.or.kr/</t>
    </r>
  </si>
  <si>
    <t>2026년 의회 회기 일정 알려주세요</t>
  </si>
  <si>
    <t>제333회 임시회 : 1.26.(월)～2.6.(금)
 제334회 임시회 : 3.11.(수)～3.24.(화)
 제335회 임시회 : 4.23.(목)～4.29.(수)
 제336회 정례회 : 6. 9.(화)～6.23.(화)
 제337회 임시회 : 7. 6.(월) - 제10대 의회 전반기 원구성
 제338회 임시회 : 7.14.(화)～7.28.(화)
 제339회 임시회 : 8.28.(금)～9.11.(금)
 제338회 정례회 : 11. 3.(화) ～12.15.(화)</t>
  </si>
  <si>
    <t>2511_기획담당관_2026년 부산광역시의회 회기운영 계획 알림</t>
  </si>
  <si>
    <t>2026년 부산광역시의회 회기운영 계획</t>
  </si>
  <si>
    <t>오늘이 자동차세 납부기한인데 고지서가 없어요. 납부할 수 있는 방법이 있나요?</t>
  </si>
  <si>
    <t>위택스(www.wetax.go.kr) 및 스마트위택스(앱)
 은행 인터넷뱅킹(앱) : 세금/공과금 메뉴
 은행 ATM기 : (본인) 카드, 통장 등</t>
  </si>
  <si>
    <r>
      <rPr>
        <rFont val="&quot;맑은 고딕&quot;"/>
        <color rgb="FF1155CC"/>
        <sz val="11.0"/>
        <u/>
      </rPr>
      <t>https://www.wetax.go.kr/tcp/wtg/J040104M01.do</t>
    </r>
  </si>
  <si>
    <t>다양한 지방세 납부방법</t>
  </si>
  <si>
    <t>우리 시에서 시행하고 있는 끼인세대를 위한 지원 사업에 대해서 알려줘</t>
  </si>
  <si>
    <t>일자리
 ❶ 인생 2막을 위한 자격증 취득 지원
 ❷ 끼인세대 인생 제2막 컨설팅 지원사업
 ❸ 스마트 돌봄 인력양성
 ❹ 일하는 엄마·아빠 찾아가는 상담 지원
 ❺ 경력단절여성 구직활동 지원금
 ❻ 4050 채용 촉진 지원사업
 역량개발·교육
 ❶ 직장인 직업역량 강화 프로그램
 ❷ 끼인세대 경력단절여성 특화 취·창업 프로그램
 ❸ 끼인세대 자기개발 프로그램 운영
 ❹ 교육 설계 지원 서비스
 주거안정·금융
 ❶ 부산주거포털: 맞춤형 주거지원 서비스 플랫폼 운영
 ❷ 끼인세대를 위한 희망더함주택 입주 기회 확대
 ❸ 전세보증금 반환보증 보증료 지원사업
 ❹ 끼인세대 이사비용 지원
 ➎ 폐업소상공인 대상 희망두배통장 지원사업
 문화·여가
 ❶ 부산형 어린이 패스트트랙
 ❷ 공연예술관람 시 영유아 돌봄서비스 제공
 ❸ 소상공인 및 중소기업 종사자 공연예술 관람 지원
 ❹ 끼인세대 대상 문화예술교육 프로그램 운영
 ❺ 끼인세대 문화·여가 동아리 활동 지원
 ❻ 가족이 함께하는 공연 관람 운영
 ➐ 끼인세대(50+) 맞춤형 자원봉사 교육 및 프로그램 운영
 출산·양육
 ❶ 가족친화인증기업 확대
 ❷ 부산형 산후조리비 지원
 ❸ 어린이 대중교통요금 무료 지원
 ❹ 출산·양육 정보 한눈에, 양육 포털 통합 및 개선
 ❺ 부모 방과후 돌봄 공동체 지원
 ❻ 바람솔솔 놀이터 조성
 노후준비·건강
 ❶ 건강생활 실천 통합건강증진 프로그램
 ❷ 마음돌봄 디지털 플랫폼 홍보 및 활성화
 ❸ 노후준비를 위한 자산관리 교육프로그램 운영
 ❹ 생애재설계 및 노후 준비 교육: 인생 리모델링 프로젝트</t>
  </si>
  <si>
    <t>제1차 부산광역시 끼인세대 지원 종합계획(2025~2028)-배포용
 (부산광역시 홈페이지-분야별정보-일자리·교육-일자리정책-공지사항)</t>
  </si>
  <si>
    <r>
      <rPr>
        <rFont val="&quot;맑은 고딕&quot;"/>
        <color rgb="FF1155CC"/>
        <sz val="11.0"/>
        <u/>
      </rPr>
      <t>https://www.busan.go.kr/depart/abnotice/1701658?curPage=&amp;srchBeginDt=2024-10-21&amp;srchEndDt=2025-10-21&amp;srchKey=&amp;srchText=</t>
    </r>
  </si>
  <si>
    <t>본문 내용 그대로 인용
 13P 표 내용 참조</t>
  </si>
  <si>
    <t>난임부부 시술비 지원사업에 대해서 알려줘</t>
  </si>
  <si>
    <t>부산시에서는 체외수정 및 인공수정시설을 요하는 난임부부에게 시술비 일부를 지원하여 경제적 부담을 경감하려는 목적으로 난입부부시술비 지원사업을 시행하고 있다.
 지원대상은 난입시술을 요하는 의사의 난임진단서 제출자이며 난임부부 중 여성의 주소지 관할 구,군 보건소에 신청하면 된다.</t>
  </si>
  <si>
    <t>부산광역시 홈페이지-분야별 정보-건강-건강지원사업-난임부부 지원</t>
  </si>
  <si>
    <r>
      <rPr>
        <rFont val="&quot;맑은 고딕&quot;"/>
        <color rgb="FF1155CC"/>
        <sz val="11.0"/>
        <u/>
      </rPr>
      <t>https://www.busan.go.kr/depart/health02</t>
    </r>
  </si>
  <si>
    <t>페이지 내용 그대로 인용</t>
  </si>
  <si>
    <t>시청사 견학을 하려면 어떻게 신청을 해야하는지 알려줘</t>
  </si>
  <si>
    <t>신청 방법 : 사전 전화 예약 (총무과 ☎ 888-1869)
  - 견학일 2일전까지 예약 완료 
 ※ 시청사 견학이 아닌 열린도서관(들락날락) 별도 견학은 온라인 예약 필요(바로가기)(☎ 888-2046)
 ※ 시의회 견학 문의(별도 운영) : 시의회 홍보담당관(☎ 888-8384)
 견학인원 : 30명 ~ 50명 권장
 견학 시작 시간 : 오전 09:30분, 오후 13:30분
 집결장소 : 2층 로비 안내데스크 앞</t>
  </si>
  <si>
    <t>부산광역시 홈페이지-부산소개-부산시청 안내-시청사 견학</t>
  </si>
  <si>
    <r>
      <rPr>
        <rFont val="&quot;맑은 고딕&quot;"/>
        <color rgb="FF1155CC"/>
        <sz val="11.0"/>
        <u/>
      </rPr>
      <t>https://www.busan.go.kr/bhvisit</t>
    </r>
  </si>
  <si>
    <t>각 아파트 별로 화재시 대피요령과 대피장소가 자세히 나와있는 사이트 알려줘</t>
  </si>
  <si>
    <t>119부산광역시소방재난본부 홈페이지에서는 아파트 이름을 검색하면, 아파트 화재안전 정보를 한눈에 볼 수 있는 사이트를 운영하고 있다.</t>
  </si>
  <si>
    <t>119부산광역시소방재난본부-우리 아파트 화재안전 한누에 보기</t>
  </si>
  <si>
    <r>
      <rPr>
        <rFont val="&quot;맑은 고딕&quot;"/>
        <color rgb="FF1155CC"/>
        <sz val="11.0"/>
        <u/>
      </rPr>
      <t>https://119.busan.go.kr/safeapt/safeapt01</t>
    </r>
  </si>
  <si>
    <t>페이지 내용 요약</t>
  </si>
  <si>
    <t>우리집 가정 수돗물이 깨끗한지 알고 싶은데 무료 점검을 받을 수 있는 방법 알려줘</t>
  </si>
  <si>
    <t>부산광역시 상수도사업본부에서는 가정내 상수도관련 제반사항을 가정수돗물 무료점검서비스팀이 직접 방문 점검하는 가정 수돗물 무료점검 서비스를 운영하고 있다.
 국번없이 120으로 전화하면 가정수돗물 무료점검 서비스팀이 방문하여 무료점검을 받을 수 있다.</t>
  </si>
  <si>
    <t>부산광역시 상수도사업본부-요금/민원서비스-무료점검-무료점검소개</t>
  </si>
  <si>
    <r>
      <rPr>
        <rFont val="&quot;맑은 고딕&quot;"/>
        <color rgb="FF1155CC"/>
        <sz val="11.0"/>
        <u/>
      </rPr>
      <t>https://www.busan.go.kr/water/hdocoverview</t>
    </r>
  </si>
  <si>
    <t>개인정보 보호를 위한 매뉴얼이 있으면 알려줘</t>
  </si>
  <si>
    <t>개인정보 유출 등 사고대응 매뉴얼, 개인정보 처리방침, 개인정보 내부 관리계획, 개인정보 처리 위탁관리 업무 매뉴얼, 개인정보의 목적 외 이용 및 제3자 제공 지침 등이 있습니다.</t>
  </si>
  <si>
    <t>개인정보 유출 등 사고대응 매뉴얼
 개인정보 처리방침
 개인정보 내부 관리계획
 개인정보 처리 위탁관리 업무 매뉴얼
 개인정보의 목적 외 이용 및 제3자 제공 지침</t>
  </si>
  <si>
    <t>관련 매뉴얼 제목만 인용
 &gt;&gt; 관련 매뉴얼이 많은데 부기 주무관 답변으로는 매뉴얼이 없다고 나옴</t>
  </si>
  <si>
    <t>워크숍을 개최하면서 초청인사 식비, 기념품, 발대식 민간인 물품을 행사운영비로 집행가능해?
 &gt;&gt; 자료 미제출</t>
  </si>
  <si>
    <t>1. 행사운영비는 행사운영을 위한 초청장, 홍보유인물, 현수막 등 구입만 가능
 가. 초청인사 식비는 행사실비보상금 또는 업무추진비로 집행
 나. 기념품은 공직선거법 위배로 사전검토필요
 다. 민간인 물품은 대여하는 조건을 집행</t>
  </si>
  <si>
    <t>알기쉬운 2024년 회계실무</t>
  </si>
  <si>
    <t>p4</t>
  </si>
  <si>
    <t>지명입찰선정 선정기준이 뭐야?</t>
  </si>
  <si>
    <t>1. 시공능력평가액을 기준으로 지명하려는 경우 각 호에 따라 지명
 가. 시공능력평가액을 기준으로 지명하는 경우 시공능력평가액 순위에 따라 지명
 나. 특수기술공사는 전문적인 기술보유자 중에서 시공능력평가액 순위에 따라 지명
 다. 특수공사 시 동종공사 실적보유자 아니면 계약목적 달성이 어려운 경우 실적보유자 중에서 시공능력평가액 순위에 따라 지명
 라. 시설물 보수, 복구 단가계약의 경우 공사현장 접근이 용이한 자나 장비 보유 업체 지명</t>
  </si>
  <si>
    <t>지방자치단체 입찰 및 계약 집행기준</t>
  </si>
  <si>
    <t>본문 내용 요약</t>
  </si>
  <si>
    <t>정원용 자생식물 추천해 줄 수 있어?
 &gt;&gt; 행정업무랑 상관없는 질문, 답변에 대한 정리된 내용이 해당 파일에 없음</t>
  </si>
  <si>
    <t>정원용 자생식물은 식물의 특성 및 생육환경에 따라 다른데 수형, 향기, 개화시가, 광조건, 습도, 배수, 내한성이 중요함
 1. 한국수목정원관리원에서 추천하는 정원용 자생식물 200선을 지역에 맞추어 선정가능</t>
  </si>
  <si>
    <t>한수정이 추천하는 정원용 자생식물 200선</t>
  </si>
  <si>
    <t>p5</t>
  </si>
  <si>
    <t>민원인의 위법행위에 대한 법적대응 방안 중 입건 전 조사는 어떻게 진행하는 거야?</t>
  </si>
  <si>
    <t>경찰관이 현장에 출동하여 범죄를 의심할 만한 정황이 있는지 확인하고 필요한 경우 사건관계인 등의 진술을 받고, 증거물을 조사함
 ※ 경찰관은 가해자가 떨어뜨리거나, 소유자, 보관자 등이 제출하는 데 동의한 물건을 임의 압수 
 ※ cctv, 웨어러블캠, 녹음전화의 영상, 녹음자료 등 영장이 필요한 증거자료는 추후 공문으로 증거제출을 요구하게 됨</t>
  </si>
  <si>
    <t>민원인의 위법행위에 대한 법적 대응 방안</t>
  </si>
  <si>
    <t>본문 발췌</t>
  </si>
  <si>
    <t>안전보건관리체계 구축을 위한 7가지 핵심요소는 뭐야?</t>
  </si>
  <si>
    <t>1. 경영자 리더쉽
 2. 근로자의 참여
 3. 위험요인 파악
 4. 위험요인 제거, 대처 및 통제
 5. 비상조치계획 수립
 6. 도급, 용역 위탁 시 안전보건 확보
 7. 평가 및 개선</t>
  </si>
  <si>
    <t>안전보건관리체계 가이드북</t>
  </si>
  <si>
    <t>국외출장 시 식비지급은 어떻게 되나요?
 &gt;&gt; 근거자료 미흡, 기존 골든셋에 관련 내용 포함으로 제외</t>
  </si>
  <si>
    <t>공무원 여비규정에 따라 지역별/직급별로 $186~$37까지 지급가능.
 다만 부산광역시 공무국외 기본계획에 의거 출국일 탑승 전 식수와 귀국일 도착 후 식수는 제외</t>
  </si>
  <si>
    <t>748_국제협력과 '2025년공무국외출장 기본계획'</t>
  </si>
  <si>
    <t>10p</t>
  </si>
  <si>
    <t>○ 출장경비 절감을 위한 노력 고려
  - 식비 계산 시 식수(1일 3식) 계산, 출국일 탑승 전 식수, 
  귀국일 도착 후 식수 제외</t>
  </si>
  <si>
    <t>산에서 조난시 내 위치를 119에 어떻게 알려줘야 하나요?
 &gt;&gt; 근거자료 미흡</t>
  </si>
  <si>
    <t>1.정의 
  - 국토 및 이와 인접한 해양을 격자형으로 일정하게 구획한 지점마다 부여한 번호(도로명주소법 제2조 제9호)
  ※ 국가지점번호는 전 국토의 위치안내 및 표시방식을 통일하여 재난재해 등 긴급상황에서 신속한 대응 및 대국민 위치안내서비스 제공 등 국가안전망 구축
 2. 표기 
  - 100km 단위는 문자를 사용하고 이하부터는 가로와 세로를 각각 10,000으로 나눈 정수를 연결하여 사용(도로명주소법 시행령 제37조 제2항)
  ※ 설악산대청봉 : 라아 8485 1333(기준점에서 동쪽 384.85km, 북쪽 713.33km지점)</t>
  </si>
  <si>
    <t>도로명주소법 제8조의5 참조
  (국가지점번호판 규격 등 고시 참조)</t>
  </si>
  <si>
    <t>산악·해안 등 건물 및 도로 등이 없는 지역의 위치표시로써 재난·사고 등 응급상황 발생시 신속한 위치안내와 인명구조 등 관계기관 공동 활용</t>
  </si>
  <si>
    <t>산업단지계획 수립 시 환경영향평가 협의를 해야하는데 관련 절차가 어떻게 되는지 알려주세요
 &gt;&gt;근거자료 미제출</t>
  </si>
  <si>
    <t>□ 환경영향평가 협의절차
 ○ 전략환경영향평가
 1. 평가협의회 구성·운영
 2. 평가서 초안 작성
 3. 주민 등 의견수렴(초안협의)
 4. 전략평가서 작성·협의
 ○ 환경영향평가
 1. 평가협의회 구성·운영(전략환경평가시 평가관련 Scoping한 경우 생략가능)
 2. 평가서 초안 작성
 3. 주민 등 의견수렴(초안협의)
 4. 평가서 작성·협의
 5. 협의내용 관리</t>
  </si>
  <si>
    <t>2101_산업입지과_부산산업단지 지원시스템_산업단지 개발·관리 업무편람</t>
  </si>
  <si>
    <t>51p</t>
  </si>
  <si>
    <t>본문 내용 표 인용(환경영향평가법)</t>
  </si>
  <si>
    <t>산업단지계획 수립 완료 후 토지 등에 대한 보상을 해야 공사시행을 할 수 있는데 보상절차에 대해 알려주세요
 &gt;&gt; 근거자료 미제출</t>
  </si>
  <si>
    <t>□ 토지수용 절차
 1. 토지조서 및 물건조서 작성(사업시행자)
 2. 보상계획 공고, 통지열람, 이의제기
 3. 보상협의회 설치
 4. 협의(계약체결 시 종료, 협의불성립 시 아래 계속)
 5. 재결신청
 6. 재결신청서 공고, 열람, 의견제출
 7. 심리, 재결
 8. 보상금 지급 또는 공탁
 9. 이의신청
 10. 이의신청에 대한 재결
 11. 행정소송 제기</t>
  </si>
  <si>
    <t>74P</t>
  </si>
  <si>
    <t>본문 내용 표 인용(공익사업을 위한 토지 등의 취득 및 보상에 관한 법률)</t>
  </si>
  <si>
    <t>사법경찰</t>
  </si>
  <si>
    <t>불법어업 지도단속 절차를 알려줘
 &gt;&gt; 표 순서 인식 후 기대답변 생성되는지 확인 필요</t>
  </si>
  <si>
    <t>◎ 불법 어업지도 단속 사건 처리 개요
  1. 현장 검거
  - 어업지도선 단속정 이용, 현장 어업지도 및 불법 어업 적발
  - 사건조사를 위해 연안 부근으로 이동 등 어선 선장 호송 조치
  * 형사소송법 및 인권보호수사규칙에 따른 피의자 인권 보호 및 적법절차(미란다 원칙 고지 등)
  2. 조사 
  - 어업허가 및 어선등록 사항 등 확인
  * 모바일 단속 시스템 활용, 실시간 조회
  - 위반 사항에 따라 진술조서 및 피의자신문조서 작성, 참고인 조사 등
  - 불법 어구 및 어획물 압수 등
  * 증거물 관리의 연속성 유지
  3. 관계기관 등 통보
  - 본청 보고 및 어업허가 관할 행정청에 범칙 어선 검거 통보
  * 실시간 검거 통보로 행정 투명성 확보 및 체계적 업무절차 수행
  4. 사건 송치
  - 수사 완료 사건을 부산지방검찰청에 송치
  * 사건 이첩 時 어업지도안전팀장에게 사건 경위 설명(필요시 과장 보고)
  5. 보완 조사 및 수사 지휘 건의
  - 어업허가 및 범죄경력 조회, 수사보고 등을 작성하여 사건보완
  - 행정처분 또는 관할 행정청에 행정처분 의뢰
  - 검사와 사법경찰관의 상호협력과 일반적 수사준칙에 관한 규정에 의거, 중요 사건에 대한 수사지휘 건의 및 압수물 처리 지휘 건의 * 사건에 따라 필요시 검사에게 직접 보고
  6. 사건 보완 송치
  - 수사 결과보고, 통계원표 및 의견, 송치서 작성
  - 압수물과 사건을 구분하여 사건송치(검찰청 사건계, 압수계 구분)</t>
  </si>
  <si>
    <t>2512_수산정책과_업무매뉴얼_수산정책과_불법 어업 지도단속 표준</t>
  </si>
  <si>
    <t>어업감독공무원은 뭐하는 사람이야?</t>
  </si>
  <si>
    <t>◎ 어업감독공무원의 자격
  1. 지정 주체 및 담당 사무
  가. 『수산업법 시행령』제45조 제1항에 따라 어업감독업무를 담당하는 공무원은 다음과 같이 지정됨.
  (1) 수산에 관한 사무를 담당하는 국가공무원으로서 해양수산부 장관 또는 시·도지사가 지정하는 자
  (2) 수산에 관한 사무를 담당하는 지방공무원으로서 시·도지사 또는 시장·군수·구청장이 지정하는 자
  나. 지정 취지: 수산 분야에 대한 업무상 전문성이 요구되어 일반 사법경찰관의 효율적 수사가 어려운 점을 보완하고, 전문가가 어업감독 업무를 수행하도록 함.
 ◎ 어업감독공무원의 권한
  1. 어업감독공무원의 권한
  가. 검사·질문권 및 정선·회항 명령권 (행정조사 권한)
   (1) 『수산업법』제69조 제1항에 따라 어업감독공무원은 어업조정, 안전 조업, 불법 어업 방지 및 수산물의 유통 질서를 확립하기 위하여 필요하다고 인정되면 어장·어선·사업장·사무소·창고, 그 밖의 장소에 출입하여 장부·서류, 그 밖의 물건을 검사 또는 관계인에게 질문하거나 그 밖에 정선(停船)이나 회항 (回航)을 명할 수 있다.
  (2) 권한 규정의 취지: 검사·질문 및 정선·회항 명령권 행사에 관계자가 답변을 거부하거나 명령에 불응할 경우, 행정상 처벌 근거(『수산업법』제108조 벌칙 조항)를 마련하여 실효성을 확보하기 위함.
  (3) 따라서 정선·회항 명령과 관련하여 『수산업법』제69조에서 “....어선의 정선이나 회항을 명할 수 있다.”고 규정하고, 『수산업법 시행령』제44조에서 더욱 구체화하고 있다.
  2. 불법 어획물 방류 명령권
  가. 『수산자원관리법』제16조 제1항에 의거, 『수산업법』제69조에 따른 어업감독공무원 등은 법령을 위반하여 포획·채취한 수산자원을 방류함으로써 포획·채취 전의 상태로 회복 가능하고 수산자원의 번식·보호에 필요하다고 인정되면 그 포획 ·채취한 수산자원의 방류를 명할 수 있음.
  나. 명령 수령자의 의무: 방류 명령을 받은 자는 지체없이 이에 따라야 함.</t>
  </si>
  <si>
    <t>불법어업 신고는 어떻게 해?</t>
  </si>
  <si>
    <t>불법 어업 신고센터: 방문, 전화(1588-5119) 우편, 팩스, 인터넷(국민신문고)</t>
  </si>
  <si>
    <t>불법어업 단속할 때 무엇을 확인해야 해?</t>
  </si>
  <si>
    <t>▣ 관련 법령별 중점 위반 사항
  ◎ 다음은 어업감독공무원의 불법 어업지도·단속 업무에 있어 중점적으로 확인해야 할 위반행위 및 관련 법령 조문임.
  1. 『수산업법』 위반 사항
  가. 면허어업,허가어업 등록 여부: 제7조(면허어업),제40조(허가어업)
  나. 다른 사람에 의한 지배 금지,임대차 금지: 제32조(임대차의 금지)
  다. 그물코 규격 제한,어구의 규모 형태 등: 제60조(어구의 규모 등의 제한)
   2. 『수산자원관리법』 위반 사항
  가. 조업 금지구역 확인: 제15조(조업금지구역): 제23조(2중 이상 자망의 사용금지 등)
  나. 2중 이상 자망 사용금지 위반 여부
  다. 수산동식물의 포획 채취 금지 기간,체장 위반: 제14조(포획ㆍ채취 금지,기간ㆍ체장 등)
  라. 외포란 꽃게,어린 채취 및 치어 포획: 제14조(포획ㆍ채취 금지,기간ㆍ체장 등)
  3. 『수산업법』 및 하위법령, 『어선안전조업 및 어선원의 안전보건 증진 등에 관한 법률』 위반 사항
  가. 어선의 규모 장비 기준 위반: 수산업법 시행규칙 제41조(어업의 종류별 허가정수 등)[별표7]
  나. 어업허가 제한 및 조건 위반: 수산업법 제40조(허가어업), 수산업법 시행규칙 제43조(어업허가의 제한)
  다. 출입항 신고,출어 등록 여부: 어선안전조업법 제8조(출입항신고), 제12조(출어등록)
  라. 조업한계선 등의 금지 및 특정 해역에서의 조업제한: 어선안전조업법 제11조(조업한계선 이탈금지),제13조(특정해역에서의 조업 또는 항행제한)
  4. 『어선법』 위반 사항
  가. 무선설비를 갖추지 아니하고 어선을 항행 또는 조업에 사용한 자: 제5조제1항(무선설비)
  나. 어선 위치 발신장치를 작동하지 않는 경우: 제5조의2제1항(어선위치발신장치)
  다. 선박국적증서 등을 어선에 갖추어 두지 아니하고 어선을 항행하거나 조업에 사용한 자: 제15조(선박국적증서 등의 비치)
  라. 어선의 명칭 등을 표시하지 아니하거나 어선번호판을 붙이지 아니한 자: 제16조제1항(어선 명칭 등의 표시와 번호판의 부착)
  ◎ 외국 어선(EEZ) 및 육상·유통 위반 사항
  1. 『배타적경제수역에서의 외국인어업 등에 대한 주권적 권리의 행사에 관한 법률』: 외국 어선
  가. 우리EEZ內무허가 조업: 제5조 제1항(어업의 허가 등)
  나. 협정된 제한 조건 위반(조업 구역,어획량 등): 제10조(허가 등의 제한 또는 조건)
  2. 『수산자원관리법』: 육상 및 유통 관련
  가. 항·포구 불법 어구 단속: 제24조(특정어구의 소지와 선박의 개조 등의 금지)또는 지자체 조례
  나. 수산시장 대상 불법 어획물 유통·판매: 제17조(불법어획물의 판매 등의 금지)</t>
  </si>
  <si>
    <t>14, 15, 16</t>
  </si>
  <si>
    <t>코리아메일(korea.kr)로 수신된 대용량 파일이 다운로드 되지않아요. 어떻게 해야하나요?</t>
  </si>
  <si>
    <t>업무용 자료는 국외에서 제공하는 서비스를 이용한 수발신이 불가하여, 국내에서 제공하는 서비스를 이용하여야 합니다.
 따라서 발신자는 네이버, 다음, 네이트의 메일로 대용량 파일을 전송하면 코리아메일로 수신 시 파일다운로드가 가능합니다.</t>
  </si>
  <si>
    <t>2412_사이트 접속차단 관련 안내(시도행정포털(업무게시판) 게시물)</t>
  </si>
  <si>
    <t>상용메일, 클라우드, 웹오피스등의 사이트는 비공개 업무자료의 외부 유출의 위험성이 있어, 국가정보보안 기본지침 제66조 및 제74조에 따라 해당 사이트의 접속을 차단하게 되었으며, 또한 개인정보의 안전성 확보를 위한 기술적 관리적 조치 의무사항에 따라, 인터넷 파일 공유 기능을 통한 직원의 실수 또는 고의로 개인정보가 유출될 수 있는 위험성이 있는 사이트를 차단하게 되었으니, 업무에 참고하시기 바랍니다.</t>
  </si>
  <si>
    <t>이호조 지출품의 시 온나라 연계기안 안하고 지출품의 결재가 완료되었을때 이호조 연계방법이 있나요?
 &gt;&gt; 근거 조례로 기대답변 생성 불가능</t>
  </si>
  <si>
    <t>연계기안을 누락하고 온나라 결재가 완료되었을때 이호조에 수동으로 결재문서를 등록하여 지출품의하는 방법이 있습니다.
 1. 이호조에서 지출품의결재요청(21101)에서 결재요청을 하여 온나라 문서연계를 한다.
 2. 온나라에서 연계문서로 넘어온 문서를 반송처리한다.
 3. 지출품의결재목록(21102)에서 지출품의한 해당건을 더블클릭한다.
 4. 해당건이 열리면 하단 [수기등록]을 클릭하여 온나라에서 결재완료된 문서(공문, 붙임)파일을 첨부문서에 추가한다.
 5. 문서대호를 입력하고 결재요청한다.
 6. 지출품의승인내역등록(21103)에서 원인행위등록요청한다.
 7. 회계과의 승인 후 지출결의요청목록(21401)에서 해당건을 클릭하여 지출결의요청등록한다.</t>
  </si>
  <si>
    <t>2507_부산광역시 회계관리에 관한 규칙</t>
  </si>
  <si>
    <t>본문내</t>
  </si>
  <si>
    <t>제4조(예산집행품의) ① 시장은 다음 각 호의 사항을 부시장, 실·국장, 과장·담당관 및 팀장으로 하여금 각각 위임전결하게 할 수 있다.</t>
  </si>
  <si>
    <t>인사랑 접속 안되는데, 출퇴근 입력방법 알려주세요</t>
  </si>
  <si>
    <t>(출퇴근 입력자 본인) 중앙 시스템 접속 및 긴급 출·퇴근 기록 처리
  - 접속 URL : https://insarang.go.kr:7443
  - 비상출퇴근 → 소속, 부서, 성명 등 정보를 입력 → 출·퇴근 기록([출근확인] 또는 [퇴근확인] 버튼 클릭)</t>
  </si>
  <si>
    <t>2501_인사과_표준지방인사정보시스템(차세대인사랑) 일시 중단 안내</t>
  </si>
  <si>
    <t>복무 긴급 출퇴근 처리 이용방법</t>
  </si>
  <si>
    <t>2026년 조례규칙심의회 개최예정일 알려주세요</t>
  </si>
  <si>
    <t>2월 12일(목), 3월 30일(월), 5월 4일(월), 6월 29일(월), 8월 3일(월), 10월 19일(월), 12월 21일(월) * 부산광역시의회 회기운영 계획 변경, 그 밖의 사정에 따라 변경 가능</t>
  </si>
  <si>
    <t>2512_법무담당관실_2026년 조례규칙심의회 개최 연간계획 알림</t>
  </si>
  <si>
    <t>2026년 조례규칙심의회 연간계획</t>
  </si>
  <si>
    <t>낙동강 생태공원에서 행사를 하고 싶은데 공원 이용하려면 어떻게 해야 돼?
 &gt;&gt; 관련 근거로 답변(전화번호 등) 생성 불가</t>
  </si>
  <si>
    <t>우리 시 관할 낙동강변 공원에서 행사에 이용할 수 있는 생태공원은 총 4곳이야. 화명생태공원, 삼락생태공원, 대저생태공원, 맥도생태공원이 그곳이지. 이들 생태공원을 관리하는 부서가 부산광역시낙동강관리본부이고.
 이곳 생태공원의 축구장 등 체육시설이나 다목적광장 등 광장을 이용하고 싶으면 우선 각 시설의 담당자에게 사용하고자 하는 날짜에 사용하고자 하는 시설이 비어 있는지 확인부터 하는 게 좋아.
 먼저 각 담당자의 연락처를 알려줄게. 부서는 낙동강관리본부 공원관리부 공원관리팀 소관이야.
 4개 공원의 축구장 등 유료체육시설은 051-310-6022 
 그 밖에 광장 등 무료시설은 각 공원별 관리소장에게 전화하면 돼. 
 각 공원의 전화번호는 다음과 같아.
 화명생태공원 051-310-6029 
 삼락생태공원 051-310-6027
 대저생태공원과 맥도생태공원 051-310-6026
 해당 날짜에 해당 장소가 사용이 가능하면, 공문으로 신청하면 돼.
 공문에는 다음의 서류가 첨부되어야 해.
 1. 이용시설 이용허가 신청서
 2. 하천점용허가 신청서
 3. 행사 계획서
 4. 안전관리계획서(필요시)
 다음으로 각 서류에 대해서 설명해 줄게.
 1. 이용시설 이용허가 신청서는 「부산광역시 낙동강 생태공원 보전 및 운영에 관한 조례 시행규칙」 제2조의 별지 제1호서식
 2. 하천점용허가 신청서는 「하천법 시행규칙」 제17조의 별지 제29호서식
 하천점용허가 신청서는 왜 필요하냐구? 여기가 사실 하천구역이잖아. 그래서 행사를 위해 천막이나 무대 등을 설치하게 되면 하천구역을 점용하는 것이기 때문에 허가를 받아야 하는 거야. 하천점용허가의 일부 업무가 우리 시로 위임이 되어 있어서 낙동강유역환경청이 아닌 낙동강관리본부로 신청하면 돼.
 3. 행사 계획서는 기본이겠지. 행사계획 결재 받은 보고서를 첨부하면 돼.
 4. 안전관리계획서는 「재난 및 안전관리 기본법」 제66조의11 및 같은 법 시행령 제73조의9에 따라 순간 최대관람객이 1천명 이상이 될 것으로 예상될 때 등의 경우에 수립해야 해.
 위의 서류를 제출하면 낙동강관리본부에서는 공원 이용시설 이용허가와 하천점용허가를 해 주게 돼. 단, 허가를 해 줄 때는 조건이 있겠지? 
 허가조건을 잘 준수해서 행사를 진행하면 돼.
 참, 이용료는 무료야. 「부산광역시 낙동강 생태공원 보전 및 운영에 관한 조례」 제12조에 따라 지방자치단체가 주관하는 행사는 이용료가 면제되니까 이용료 걱정 없이 이용하면 돼.</t>
  </si>
  <si>
    <t>법령 및 자치법규
 「재난 및 안전관리 기본법」 
 「하천법 」
 「부산광역시 낙동강 생태공원 보전 및 운영에 관한 조례」</t>
  </si>
  <si>
    <t>「하천법」 제33조(하천의 점용허가 등) ①하천구역 안에서 다음 각 호의 어느 하나에 해당하는 행위를 하려는 자는 대통령령으로 정하는 바에 따라 하천관리청의 허가를 받아야 한다. 허가받은 사항 중 대통령령으로 정하는 중요한 사항을 변경하려는 경우에도 또한 같다.
 「하천법 시행령」 제34조(점용허가의 신청 등) ① 법 제33조제1항에 따른 허가(이하 “하천점용허가”라 한다)를 받으려는 자는 기후에너지환경부령으로 정하는 하천점용허가신청서를 하천관리청에 제출(전자문서를 통한 제출을 포함한다)하여야 한다.
 「하천법 시행규칙」 제17조(하천점용허가의 신청 등) ① 영 제34조제1항에 따른 하천점용허가신청서는 별지 제29호서식의 하천점용허가 신청서에 따르되, 별표 4의 서류를 첨부하여야 한다.
 「재난 및 안전관리 기본법」 제66조의11(지역축제 개최 시 안전관리조치) ① 중앙행정기관의 장 또는 지방자치단체의 장은 대통령령으로 정하는 지역축제를 개최하려면 해당 지역축제가 안전하게 진행될 수 있도록 지역축제 안전관리계획을 수립하고, 그 밖에 안전관리에 필요한 조치를 하여야 한다. 다만, 다중의 참여가 예상되는 지역축제로서 개최자가 없거나 불분명한 경우에는 참여 예상 인원의 규모와 장소 등을 고려하여 대통령령으로 정하는 바에 따라 관할 지방자치단체의 장이 지역축제 안전관리계획을 수립하고 그 밖에 안전관리에 필요한 조치를 하여야 한다.
 「재난 및 안전관리 기본법 시행령」 제73조의9(지역축제 개최 시 안전관리조치) ① 법 제66조의11제1항 본문 및 같은 조 제3항에서 “대통령령으로 정하는 지역축제”란 각각 다음 각 호의 어느 하나에 해당하는 지역축제를 말한다. &lt;개정 2018. 1. 18., 2020. 6. 2., 2024. 3. 26.&gt;
 1. 축제기간 중 순간 최대 관람객이 1천명 이상이 될 것으로 예상되는 지역축제
 2. 축제장소나 축제에 사용하는 재료 등에 사고 위험이 있는 지역축제로서 다음 각 목의 어느 하나에 해당하는 지역축제
 가. 산 또는 수면에서 개최하는 지역축제
 나. 불, 폭죽, 석유류 또는 가연성 가스 등의 폭발성 물질을 사용하는 지역축제
 ② 법 제66조의11제1항 및 제3항에 따른 지역축제 안전관리계획(이하 “지역축제 안전관리계획”이라 한다)에는 각각 다음 각 호의 사항이 포함되어야 한다. &lt;개정 2018. 1. 18., 2020. 6. 2., 2024. 3. 26.&gt;
 1. 지역축제의 개요
 2. 해당 지역축제의 안전관리업무를 담당하는 사람 및 관리조직과 임무에 관한 사항
 3. 화재예방 및 다중운집 등에 따른 인명피해 방지조치에 관한 사항
 4. 안전관리인력의 확보 및 배치계획
 5. 비상시 대응요령, 담당 기관과 담당자 연락처
 ③ 법 제66조의11제1항 및 제3항에 따라 지역축제를 개최하려는 자가 지역축제 안전관리계획을 수립하려면 개최지를 관할하는 지방자치단체, 소방관서 및 경찰관서 등 안전관리 유관기관의 의견을 미리 들어야 한다.
 「부산광역시 낙동강 생태공원 보전 및 운영에 관한 조례」 제8조(이용허가) ① 낙동강 생태공원의 이용시설을 각종 경기 또는 체육행사나 그 밖의 행사 등의 목적으로 이용하려는 자는 시장의 이용허가를 받아야 한다. 허가받은 내용을 변경하는 경우에도 또한 같다.
 ② 제1항에 따라 이용허가를 받은 자가 임시 시설물 등을 설치하려면 시장의 승인을 받아야 하며, 이용기간이 종료한 때에는 임시 시설물 등을 철거하고 원상복구를 하여야 한다. 
 제12조(이용료의 감면 등) ① 시장은 다음 각 호의 어느 하나에 해당하는 경우에는 이용료를 면제할 수 있다.
 1. 국가 또는 지방자치단체가 주관하는 경기 또는 체육행사나 이에 준하는 행사 
 제14조(원상복구 등) ① 이용자의 책임 있는 사유로 이용시설이 파손되었을 경우에는 이용자가 원상복구하거나 그 손해를 즉시 배상하여야 한다.
 ② 이용시설의 이용자가 주관하는 행사 및 경기로 인하여 시설 내에서 사고가 발생하는 경우 그 책임은 이용자가 진다. 
 ③ 이용시설 이용자는 환경오염사고 및 안전사고 예방에 노력하여야 하며 이용기간중 이용자의 부주의로 인한 사건·사고 발생에 대하여는 이용자가 책임을 진다. 
 「부산광역시 낙동강 생태공원 보전 및 운영에 관한 조례 시행규칙」
 제2조(이용허가 신청) 「부산광역시 낙동강 생태공원 보전 및 운영에 관한 조례」(이하 “조례”라 한다) 제8조제1항에 따라 이용시설을 이용하려는 자는 별지 제1호서식의 이용시설 이용허가 신청서를 부산광역시낙동강관리본부장(이하 “본부장”이라 한다)에게 제출하여야 한다.</t>
  </si>
  <si>
    <t>안전지킴이</t>
  </si>
  <si>
    <t>출근하는 길인데 이 앞 터널에서 교통사고가 나서 정체가 매우 심해. 막히지 않는 빠른 길을 알고 싶어. 그리고 이걸 시민들에게도 알리고 싶은데 어디로 전화하면 돼?
 &gt;&gt; 근거자료 미제출</t>
  </si>
  <si>
    <t>출근길인데 교통사고라니, 마음이 많이 조급하겠다. 지각하면 안 되는데 말야. 어디로 가면 덜 막힐지 그리고 무슨 사고인지도 알고 싶을 테고. 그리고 다른 사람들도 이 사실을 빨리 알고 다른 길로 돌아갔으면 좋겠다는 그 마음 잘 알겠어.
 내가 만능 전화번호를 알려줄게.
 바로 부산광역시교통정보서비스센터 교통상황실의 051-600-0200이야.
 편하게 6000에 200콜이라고 부르기도 해.
 교통상황실에서는 주요도로와 터널, 교량에 설치되어 있는 1500여 대의 CCTV를 모니터링하면서 교통사고나 고장 차량, 공사 등의 돌발상황을 발견하게 되면 홈페이지, 모바일 앱, 트위터, 버스정보안내기, 교통정보전광판 등을 통해 그 정보를 시민들에게 제공하고 있어.
 교통상황실은 부산시 재난상황실, 경찰청 교통상황실, 부산소방본부, TBN교통방송, 부산시설공단, 그리고 각 터널, 지하차도, 교량의 상황실과 협력체계를 구축하여 서로 사고 등의 상황을 실시간으로 소통하고 있으니까 부산의 도로상의 돌발상황에 대해서는 가장 빠르고 정확하게 파악하고 또 여러 매체를 통해 시민들에게 서비스를 하고 있지.
 600-0200으로 전화하면 CCTV를 모니터링해서 실시간으로 우회도로를 안내해 주니까 편리하게 이용하도록 해.
 그리고 ‘부산교통정보’ 모바일 앱을 설치하면 주요도로 지정체 현황, 버스노선안내, 사고 등 돌발상황에 대해서 편리하게 알 수 있으니까 휴대전화에 설치하고 사용해 봐.
 마지막으로 버스정보안내기 고장신고나 신호등과 같은 교통안전시설물 고장신고도 600-0200으로 하면 돼.
 정말 만능 전화번호지?</t>
  </si>
  <si>
    <t>교통혁신국 행정사무감사자료</t>
  </si>
  <si>
    <t>229쪽</t>
  </si>
  <si>
    <t>□ 교통상황실 운영
  ○ 운영기간 : 연중무휴(운영개시일 : ’10.9.28.) 
  ○ 근무인원 : 상황실 전담 직원 7명(일반1, 시간선택제임기제 6)
  ○ 근무여건
  ­ (평 일) 07시~22시, 2교대 근무 ▹ 조별 3~4명
  ­ (토·공휴일) 10시~19시, 종일 근무 ▹ 2명
  ○ 담당업무
  ­ 부산지역 내 교통소통 상황, 돌발 상황, 반복 지·정체 상황 전파
  ­ 종합 교통정보 안내(600-0200) 및 민원 처리
 □ 교통정보 제공 서비스
  ○ 제공매체 : 홈페이지, 모바일 앱, ARS, 트위터, 120 콜센터, 버스정보안내기, 교통정보전광판 등
  ○ 제공정보 : 도로 소통 정보, 돌발사고정보, 버스 도착 정보, CCTV 영상정보 등</t>
  </si>
  <si>
    <t>심화 데이터 분석을 요청하고 싶은데 어떤 방식으로 추진되나요?
 &gt;&gt; 질문 관련 내용이 근거자료에 나와 있지 않아 유사도 낮을것으로 판단됩니다.</t>
  </si>
  <si>
    <t>빅데이터과 데이터 분석팀에서는 「부산광역시 데이터기반행정 활성화에 관한 조례」 제10조·제11조에 따라 데이터 기반의 의사결정 지원을 위해 데이터 분석사업 용역을 운영하고 있습니다.
 데이터 분석사업 용역은 연례 반복 추진되며, 매년 초에 신규 과제를 발굴하고 데이터 수급 및 규모에 따라 약 6개월 내외로 수행됩니다. 부서별 정책결정에 필요한 데이터 분석, 시각화 대시보드 개발, 데이터 현행화 체계 구축을 통해 과학적 행정을 구현하는 데 목적이 있습니다.</t>
  </si>
  <si>
    <t>2025년 데이터 분석사업 추진 계획</t>
  </si>
  <si>
    <t>2p</t>
  </si>
  <si>
    <t>- 2025년 기준 분석사업 추진 내용</t>
  </si>
  <si>
    <t>보고서 작성 시, 근거자료를 요청하고 싶은데 어떤 방식으로 추진되나요?</t>
  </si>
  <si>
    <t>빅데이터과 데이터 분석팀에서는 「부산광역시 데이터기반행정 활성화에 관한 조례」 제10조·제11조에 따라 정책 수립 시 근거 지원을 위해 데이터 분석 컨설팅 제도를 운영하고 있습니다.
 데이터 분석 컨설팅 제도의 경우에는 내부 분석 인력을 통해서 연중 수시로 비교적 간단한 분석의 경우에는 자체적으로 비예산으로 추진하고 있습니다. 부서 보유 데이터 또는 민간데이터의 활용 가능성 및 분석 방향 검토, 정책기획·현안 대응을 위한 수요 맞춤형 분석 자문을 제공하고 있습니다.</t>
  </si>
  <si>
    <t>2025년 데이터 분석 컨설팅 제도 운영 알림</t>
  </si>
  <si>
    <t>- 2025년 기준 분석 컨설팅 제도 추진 내용</t>
  </si>
  <si>
    <t>위원회</t>
  </si>
  <si>
    <t>위원회 정비기준을 알려줘</t>
  </si>
  <si>
    <t>행정안전부 지침상 위원회 정비기준은 다음과 같습니다.
 1. 미개최위원회
  가. 3년간 미개최 : 폐지
  나. 1년간 미개최 : 정비계획 수립 또는 활성화(연 3회이상 개최)
 2. 비효율위원회(연 3회미만 개최)
  가. 기능 유사, 중복 : 통폐합
  나. 기능 독립 : 폐지, 존속기한 설정, 비상설화, 협의체 전환(위원이 전부 내부공무원일 경우)</t>
  </si>
  <si>
    <t>행정안전부 위원회 정비 지침</t>
  </si>
  <si>
    <t>1, 2, 3, 4, 5</t>
  </si>
  <si>
    <t>행정안전부 위원회 정비 지침 본문 내용 인용</t>
  </si>
  <si>
    <t>위원회 정비방법을 알려줘
 &gt;&gt; 2P의 기본 방향 표 활용, 또는 전체 내용으로 해당 내용 생성 가능한지 판단 필요</t>
  </si>
  <si>
    <t>행정안전부 지침상 위원회 정비방법은 다음과 같습니다.
 1. 비상설화(권장) : 위원회 근거 조례에 비상설화 관련 문구 명시(ex. 위원회는 안건이 발생하면 구성하고, 심의∙의결 후 자동 해산한다.)
 2. 폐지 : 위원회 근거조례의 위원회 관련 조항 삭제를 통해 자체적으로 폐지
 3. 통폐합 : 통합하는 위원회의 근거 조례에 통합 관련 규정 신설 또는 폐지하는 위원회를 규정한 조례에 통합하는 위원회가 폐지되는 위원회의 기능을 대행한다는 조항 신설(ex. A위원회가 심의 또는 자문에 응할 사항에 대해서는 OOO조례에 따른 B위원회가 대신한다.)
 4. 존속기한 설정 : 위원회의 존속기한(최대 5년)을 조례에 명시(ex. 위원회의 존속기한은 2026년 12월 31일까지로 한다)
 5. 내부협의체 전환 : 위원회 근거 조례에 내부 공무원만 위원이 가능하도록 방법을 명시(ex. 위원은 부산광역시 소속 공무원 중에서 시장이 임명한다.)</t>
  </si>
  <si>
    <t>위원회 수당 및 여비 지급 기준을 알려줘</t>
  </si>
  <si>
    <t>부산광역시 소속 위원회 수당 및 여비 지급에 관한 조례에 따라 지급할 수 있는 수당 및 여비의 기준은 다음과 같습니다.
 1. 참석수당(직접 출석)
  가. 기본료(1일 2시간) 10만원
  나. 초과(2시간 이상시) 5만원 - 1일 1회만 지급 가능
 2. 참석수당(사이버위원회)
  가. 기본료(1일 2시간) 5만원
  나. 초과(2시간 이상시) 2만원 - 1일 1회만 지급 가능
 3. 심사수당(서면회의) : 건당 1만원
 4. 여비(위원회의 의결 또는 위원장에 명에 따라 출장하는 경우)
  가. 행정심판위원회, 소청심사위원회, 지방세심의위원회, 공직자윤리위원회, 인사위원회의 위원 : 3급 공무원에 상당하는 여비
  나. 그 밖의 위원회 위원 : 4급 공무원에 상당하는 여비
 단, 부산광역시 소속공무원인 위원이나 부산광역시의회 의원인 위원이 의원의 자격으로 참여하는 경우 지급하지 않음. 의원의 경우 회기가 아닌 경우 교통비, 식비를 실비 범위에서 지급 가능. 실비의 범위에서 지급하는 경우에는 반드시 증명자료를 받아서 첨부하여야 함</t>
  </si>
  <si>
    <t>부산광역시 소속 위원회 위원 수당 및 여비 지급에 관한 조례
 2026년도 예산편성계획</t>
  </si>
  <si>
    <t>제5조~제8조 및 별표
 44P</t>
  </si>
  <si>
    <t>제5조(수당) ① 위원회의 위원에게 지급하는 수당의 종류는 다음 각 호와 같고, 수당의 지급기준은 별표와 같다.
 1. 참석수당 : 위원회에 위원이 출석하여 심의·의결·자문 등을 하는 경우에 지급하는 수당
 2. 심사수당 : 서면심사 및 위원회의 위원장으로부터 의뢰를 받아 미리 자료를 수집하거나 회의 안건을 검토하여 위원회에 보고하는 경우에 지급하는 수당
 3. 그 밖에 운영에 필요한 수당
 ② 원거리에 거주하는 등 특별한 사유가 있는 경우 제1항제1호에 따른 참석수당 지급 시 교통비, 식비(급량비 기준 단가 적용), 숙박비를 실비의 범위에서 별도 지급할 수 있다.
 제6조(지급제외 등) 제5조에도 불구하고 다음 각 호의 어느 하나에 해당하는 경우에는 수당을 지급하지 아니한다.
 1. 부산광역시 소속 공무원인 위원이 위원회에 출석하거나 안건을 심사하는 경우
 2. 부산광역시의회의원인 위원이 의원의 자격으로 위원회에 출석하거나 안건을 심사하는 경우. 단, 부산광역시의회 회기가 아닌 경우에는 교통비 및 식비를 실비 범위에서 지급할 수 있다.
 제7조(여비) 부산광역시의회의원 또는 부산광역시 소속 공무원이 아닌 위원이 위원회의 의결 또는 위원장의 명에 따라 출장할 때에는 다음 각 호의 어느 하나에 해당하는 여비를 지급할 수 있다.
 1. 행정심판위원회·소청심사위원회·지방세심의위원회·공직자윤리위원회 및 인사위원회 위원 : 3급 공무원에 상당하는 여비
 2. 그 밖의 위원회 위원 : 4급 공무원에 상당하는 여비
 제8조(실비 등의 증명) 수당의 실비 및 그 밖에 운영에 필요한 수당을 지급하는 경우에는 이를 확인할 수 있는 증명자료를 위원으로부터 받아 첨부하여야 한다.
 4 운영수당(표) 내용 일체</t>
  </si>
  <si>
    <t>우리 부서에서 운영하는 심의회, 협의체 등도 부산광역시 소속 위원회 설치 및 운영에 관한 조례의 적용을 받는지 알려줘.</t>
  </si>
  <si>
    <t>부산광역시 소속 위원회 설치 및 운영에 관한 조례 제2조(정의) 및 제4조(적용대상)에 따라 조례를 적용받는 위원회는 다음과 같습니다.
 1. "위원회"란 위원회, 심의회, 협의회 등 명칭에 관계없이 시 소관 사무의 심의∙의결∙자문 등을 위해 복수의 구성원으로 이루어진 합의제 기관
 2. 법령이나 조례에 근거하여 시와 직속기관, 사업소에 설치 및 운영
 이 두가지를 만족하는 경우에는 부산광역시 소속 위원회 설치 및 운영에 관한 조례 및 부산광역시 소속 위원회 위원 수당 및 여비 지급에 관한 조례의 적용을 받습니다.</t>
  </si>
  <si>
    <t>부산광역시 소속 위원회 설치 및 운여에 관한 조례</t>
  </si>
  <si>
    <t>제2조, 제4조</t>
  </si>
  <si>
    <t>제2조(정의) 이 조례에서 사용하는 용어의 뜻은 다음과 같다.
 1. “위원회”란 위원회, 심의회, 협의회 등 명칭에 관계없이 부산광역시(이하 “시”라 한다) 소관 사무의 심의·의결·자문 등을 위해 복수의 구성원으로 이루어진 합의제 기관을 말한다.
 제4조(적용대상) 이 조례는 법령이나 조례에 근거하여 시와 직속기관 및 사업소에 설치 및 운영되는 위원회를 대상으로 한다.</t>
  </si>
  <si>
    <t>위원회의 위원을 모집할 떄 주의할 점을 알려줘.</t>
  </si>
  <si>
    <t>위원회의 위원은 당연직 위원과 위촉직 위원으로 나누어집니다. 당연직 위원이란 법령, 조례에 따라 해당 직위가 위원으로 지정된 위원을 말하며, 위촉직 위원이란 당연직 위원 외에 부산광역시장이 위촉하는 위원을 말합니다.
 또한 위촉직 위원을 모집하는 경우 아래사항을 주의해야합니다.
 1. 위촉직 위원은 3개 위원회를 초과하여 중복 참여할 수 없으며, 동일 위원회에서 6년을 초과하여 연임할 수는 없습니다. 위원 후보자의 위원회 참여 현황은 총괄부서(조직담당관)에 확인을 할 수 있습니다.
 2. 위촉직 위원에 대해서는 인원, 자격요건, 선전기준 등을 부산광역시보 및 시 홈페이지에 7일 이상 공고하고 공개모집의 방법으로 위촉하여야 합니다. 다만, 공개모집에 응모하는 사람이 없는경우, 위원회 특성 상 참여할 수 있는 사람이 한정되어 공개모집이 곤란한 경우, 비상설위원회의 경우, 그 밖의 공개모집이 불가능한 사유가 인정되는 경우에는 다른 방법(추천 등)으로 위촉을 할 수가 있습니다.
 3. 위촉직 위원을 구성할 시 특정 성별이 위원의 수의 100분의 60을 초과하지 않도록 구성하여야 하며, 청년 위촉 대상위원회 지정 현황에 따라 일정 비율 이상의 청년을 위원으로 위촉하여야 합니다.</t>
  </si>
  <si>
    <t>제2조, 제8조, 제10조</t>
  </si>
  <si>
    <t>제2조(정의) 이 조례에서 사용하는 용어의 뜻은 다음과 같다.
 2. “당연직 위원”이란 법령, 조례에 따라 해당 직위가 위원으로 지정된 위원을 말하며, “위촉직 위원”이란 당연직 위원 외에 부산광역시장(이하 “시장”이라 한다)이 위촉하는 위원을 말한다.
 제8조(위원회의 구성 등) ① 위원회는 설치목적을 효율적으로 달성하는데 필요한 전문성, 공익성, 윤리성을 갖춘 당연직 및 위촉직 위원으로 구성하되, 비상임으로 한다.
 ② 시장은 관계 법령 또는 조례에 특별한 규정이 없는 한 다음 각 호에 해당하는 사람 중에서 위원회의 목적 및 기능과 관련 있는 위원을 임명 또는 위촉한다.
 1. 부산광역시 소속 공무원
 2. 부산광역시의회가 추천하는 사람
 3. 위원회의 목적 및 기능과 관련 있는 비영리민간단체(부산광역시에 등록된 단체로 한정한다)가 추천하는 사람
 4. 위원회의 목적 및 기능에 관한 학식과 경험이 풍부한 사람
 5. 위원회의 목적 및 기능과 관련 있는 법인, 단체 및 연구기관에 소속된 사람
 6. 위원회 참여를 희망하는 부산시민
 ③ 공무원이 아닌 위촉직 위원에 대하여는 인원, 자격요건, 선정기준 등을 부산광역시보 및 시 홈페이지에 7일 이상 공고하고 공개모집의 방법으로 시장이 위촉한다. 다만, 시장은 다음 각 호의 어느 하나에 해당하는 경우에는 다른 방법으로 위촉할 수 있다.
 1. 공개모집에 응모하는 사람이 없거나 응모자 중 자격기준에 합당한 사람이 없는 경우
 2. 위원회 특성상 참여할 수 있는 사람이 한정되어 공개모집이 곤란한 경우
 3. 특정한 안건을 처리하기 위해 설치되는 위원회가 해당 안건을 처리한 후 해산되는 경우
 4. 그 밖에 공개모집이 불가능한 사유가 인정되는 경우
 ④ 시장은 필요하다고 판단되면 제3항에 따른 자격요건, 선정기준에 적합한 사람이 모집정원을 초과하는 경우 추첨을 통하여 선정할 수 있다. 다만, 제3항 단서가 적용되는 경우에는 예외로 한다.
 ⑤ 시장은 위촉직 위원을 구성할 경우 시민참여를 확대하여야 한다.
 ⑥ 시장은 위촉직 위원 구성 시 특정 성별이 위원 수의 100분의 60을 초과하지 아니하도록 하여야 한다. 다만, 해당 분야 특정 성별의 전문인력 부족 등 부득이한 사유가 있다고 인정되는 경우에는 예외로 한다.
 제10조(위원의 중복참여 제한 등) ① 위촉직 위원은 3개 위원회를 초과하여 중복 참여(위촉 해제 후 비위촉 기간이 1년이 경과하지 아니한 경우를 포함한다)할 수 없고, 동일 위원회에서 6년을 초과하여 연임할 수 없다. 다만, 다음 각 호의 어느 하나에 해당하는 경우에는 예외로 한다.
 1. 부산광역시의회의 추천을 받은 시의원을 위원으로 위촉하는 경우
 2. 특수 전문 분야로서 위원회에 참여할 수 있는 사람이 한정되어 있는 경우
 3. 특정한 안건을 처리한 후 해산되는 위원회의 경우
 ② 담당부서는 위원회 위원을 위촉할 경우 위원회 총괄부서와 미리 협의하여야 한다.
 ③ 위원은 해당 위원회의 자문, 심의, 의결의 내용과 관련된 용역을 수행해서는 아니된다.</t>
  </si>
  <si>
    <t>비상설위원회에 대해서 알려줘</t>
  </si>
  <si>
    <t>비상설위원회는 평소에는 위원이 존재하지 않지만, 안건일 발생할 경우 회의 개최시 마다 위원을 위촉하고 회의 종료 후에는 자동적으로 해촉이 되며, 다음과 같은 장점이 있습니다.
 1. 위원회 모집 방법 완화 : 일반적인 위원회의 경우 부산광역시 소속 위원회 조례에 따라 시보 및 시홈페이지에 7일 이상 공고를 하여 의무적으로 공개모집을 하여야 하지만 비상설 위원회는 예외 조항에 따라 공개모집을 거치지 않을 수 있습니다.
 2. 위원 위촉요건 완화 : 위촉직 위원은 부산광역시 소속 위원회 조례에 따라 3개를 초과하여 위원회의 위촉직 위원으로 참여할수 없고 동일 위원회에서 6년을 초과하여 연임할 수 없지만, 비상설 위원회의 경우 조례의 예외 조항에 따라 위 제한사항을 적용받지 않고 위촉이 가능합니다.
 다만, 비상설위원회는 조례에 비상설위원회로 명시를 한 경우에만 인정이 되며 조례에 명시없이 부서 자체적으로 비상설위원회로 운영할 수는 없습니다.
 기대답변 : (비상설 위원회 관련 내용이 별로 없어서 있는 자료로 답변 생성)
 비효율위원회(연3회미만 개최, 구성 및 운영 개선 필요 위원회 등) 중 존속필요 및 안건이 적을때 위원회를 비상설 위원회로 전환</t>
  </si>
  <si>
    <t>부산광역시 소속 위원회 설치 및 운영에 관한 조례 및 행정안전부 위원회 정비 지침</t>
  </si>
  <si>
    <t>제8조, 제10조, 지침 
 1, 2, 3, 4, 5</t>
  </si>
  <si>
    <t>조례 및 정비 지침 본문 내용 인용
 지침 2p 기본 방향 표 안 내용
 지침 5p ④ (비상설화) 안건 발생 빈도가 적은 경우, 비상설 위원회로 전환</t>
  </si>
  <si>
    <t>서면회의도 회의록을 작성해야하는지 알려줘.</t>
  </si>
  <si>
    <t>공공기록물 관리에 관한 법률 및 부산광역시 소속 위원회 설치 및 운영에 관한 조례에 따라 서면회의 경우에도 회의록을 작성하여야 합니다.
 회의록의 서식은 부산광역시 위원회 설치∙운영 지침 44~45p을 사용하여 추후 서면회의 결과보고에 첨부를 하면 됩니다.
 또한 서면회의 역시 대면회의와 마찬가지로 행정포털 - 행정업무 - 기획관리 - 행정위원회관리 - 위원회 운영관리 - 회의결과등록관리에서 회의결과와 회의록을 등록하여야 합니다.</t>
  </si>
  <si>
    <t>부산광역시 위원회 설치∙운영 지침</t>
  </si>
  <si>
    <t>25, 44, 45</t>
  </si>
  <si>
    <t>행정포털에서 위원회관리를 하는 방법을 알려줘.
 &gt;&gt; 참조 페이지가 너무 많음.
 해당 근거자료 파일 확인이 안되는데 실제 파일 있는지 확인 필요</t>
  </si>
  <si>
    <t>행정포털 위원회 메뉴를 사용하기 위해서는 먼저 정보화정책과에서 위원회 권한을 받아야 하며, 위원회 메뉴는 행정포털 - 행정업무 - 기획관리 - 행정위원회관리에서 확인하실 수 있습니다.
 1. 위원회설치관리
  가. 위원회등록관리 : 부서의 위원회 기본현황을 볼 수 있으며, 추가 버튼을 통해 새로운 위원회를 추가할 수 있습니다. 다만, 위원회의 관리범위 설정을 부서가 아닌 담당자로 할 경우에는 담당자 외에는 보이지 않습니다. 
  나. 전문가등록관리 : 당연직 및 위촉직 위원의 정보를 확인할 수 있습니 다. 새로운 위원을 모집하였을 경우에 해당메뉴에서 최초로 등록을 하여야 하며, 이미 등록이 되어있을 경우에는 등록을 하지 않으셔도 됩니다.
  다. 위원위촉관리 : 기존 등록된 위원회와 전문가를 매칭함으로써 해당위원회의 위원으로 등록을 할 수 있습니다. 위원회나 전문가가 검색이 되지 않는 경우에는 위원회등록관리 메뉴와 전문가등록관리 메뉴에서 새롭게 추가를 하셔야합니다.
 라. 위원활동현황 : 부서에서 위촉한 위원의 현황을 확인할 수 있습니다.
 2. 위원회현황관리
  가. 예산편성관리 : 연도별 위원회의 예산편성액과 집행액, 예산잔액을 입력 및 확인하실 수 있습니다.
  나. 정비실적관리 : 위원회의 정비실적을 입력 및 확인할 수 있습니다.
  다. 회의결과등록관리 : 위원회 개최 후 회의결과 및 회의록을 등록하실 수 있으며, 등록한 회의록은 별도 절차없이 시 홈페이지와 연동되어 외부에 공개가 됩니다. 비공개를 해야할 회의록은 회의록 등록시 비공개란을 체크하시고 등록을 하면 됩니다.</t>
  </si>
  <si>
    <t>시도 행정포털 행정위원회 사용자메뉴얼</t>
  </si>
  <si>
    <t>1p~61p</t>
  </si>
  <si>
    <t>시청사 내 AED(자동 심장충격기) 위치를 알려줘.</t>
  </si>
  <si>
    <t>부산시청 종합안내에 따르면 아래 5곳에 AED(자동 심장충격기)가 있습니다.
 26층 체력단련실 앞
 6층 6층 쉼터 옆
 3층 국민은행 앞
 2층 민원실옆 계단입구
 1층 고층용E/V앞</t>
  </si>
  <si>
    <t>2505_총무과_주요질문사항_시청사 층별 안내</t>
  </si>
  <si>
    <t>페이지 내용에 안내된 내용</t>
  </si>
  <si>
    <t>수영구에 공공심야약국 정보를 안내해줘</t>
  </si>
  <si>
    <t>수영구 공공심야약국은 세종약국 한곳 있습니다. 
 약국 정보는 아래와 같습니다.
 세종약국 
 소재지: 수영구 광안해변로277번길3 ※민락회센터 도로 건너 
 연락처: 051)758-4915 
 운영시간: 22시~25시
 링크 제공만 해야할거 같습니다
 기대답변 :
 부산광역시 약국운영시간, 공공심야약국 현황에 관련된 내용은 아래의 링크에서 확인 가능합니다.
 링크 : https://www.busan.go.kr/depart/ahpharmacy</t>
  </si>
  <si>
    <t>부산광역시 홈페이지-보건·건강-보건보건소/병원/약국-약국안내</t>
  </si>
  <si>
    <r>
      <rPr>
        <rFont val="&quot;맑은 고딕&quot;"/>
        <color rgb="FF1155CC"/>
        <sz val="11.0"/>
        <u/>
      </rPr>
      <t>https://www.busan.go.kr/depart/ahpharmacy</t>
    </r>
  </si>
  <si>
    <t>부산시 대표 영문 뉴스레터 구독 주소를 알려줘</t>
  </si>
  <si>
    <t>부산시 대표 영문홈페이지 구독신청 주소는 아래와 같습니다.
 https://www.busan.go.kr/eng/e-newsletter 
 신청폼에서 이메일주소(필수)와 이름을 입력하면 됩니다.
 매월 15일 신청한 이메일로 시정뉴스, 행사정보를 e-Newsletter로 발송합니다. 
 일본어, 중국어간체, 중국어번체 뉴스레터도 아래 주소에서 신청이 가능합니다.
 일본어 https://www.busan.go.kr/jpn/e-newsletter
 중국어간체 https://www.busan.go.kr/zhs/e-newsletter
 중국어번체 https://www.busan.go.kr/zht/e-newsletter</t>
  </si>
  <si>
    <t>부산시 대표 영문, 일본어, 중국어간체, 중국어번체 홈페이지</t>
  </si>
  <si>
    <r>
      <rPr>
        <rFont val="&quot;맑은 고딕&quot;"/>
        <color rgb="FF1155CC"/>
        <sz val="11.0"/>
        <u/>
      </rPr>
      <t xml:space="preserve">영어 https://www.busan.go.kr/eng/e-newsletter </t>
    </r>
    <r>
      <rPr>
        <rFont val="&quot;맑은 고딕&quot;"/>
        <sz val="11.0"/>
      </rPr>
      <t xml:space="preserve">
 일본어 https://www.busan.go.kr/jpn/e-newsletter
 중국어간체 https://www.busan.go.kr/zhs/e-newsletter
 중국어번체 https://www.busan.go.kr/zht/e-newsletter</t>
    </r>
  </si>
  <si>
    <t>부산시정 홍보 사진을 이용하고 싶은데 부산시에서 제공하는 사진 갤러리가 있으면 찾아줘</t>
  </si>
  <si>
    <t>부산시홈페이지 시정홍보 사진 메뉴에서 시정홍보 사진을 제공하고 있습니다. 
 https://www.busan.go.kr/promophoto
 사진별로 게시된 공공누리 조건에 따라 사용하시면 됩니다.</t>
  </si>
  <si>
    <t>부산시홈페이지 -부산소식-시정사진-시정홍보 사진</t>
  </si>
  <si>
    <r>
      <rPr>
        <rFont val="&quot;맑은 고딕&quot;"/>
        <color rgb="FF1155CC"/>
        <sz val="11.0"/>
        <u/>
      </rPr>
      <t>https://www.busan.go.kr/promophoto</t>
    </r>
  </si>
  <si>
    <t>부산에 '들락날락'이 뭐하는 곳인가요?</t>
  </si>
  <si>
    <t>들락날락은 부산 어린이복합문화공간이며 15분 생활권 내 아동친화적 도서관, 실감형 체험, 미디어아트 전시등 아날로그와 디지털 콘텐츠를 융합한 새로운 개념의 놀이형 학습공간입니다.
 부산 어린이복합문화공간 들락날락 홈페이지(https://www.busan.go.kr/bschild/index.nm)에서 자세한 정보를 확인할 수 있습니다.</t>
  </si>
  <si>
    <t>부산 어린이복합문화공간 들락날락 홈페이지</t>
  </si>
  <si>
    <r>
      <rPr>
        <rFont val="&quot;맑은 고딕&quot;"/>
        <color rgb="FF1155CC"/>
        <sz val="11.0"/>
        <u/>
      </rPr>
      <t>https://www.busan.go.kr/bschild/index.nm?menuCd=1</t>
    </r>
  </si>
  <si>
    <t>11살 어린이는 부산에서 대중교통 이용요금이 무료인지 확인해주세요.</t>
  </si>
  <si>
    <t>네 부산에서 11살 어린이 대중교통 요금은 무료입니다. 
 부산에선 0-5세 어린이 대중교통요금 무료에서 전국 최초로 6세에서 12세 어린아까지 대중교통 요금 무료로 확대 시행하고 있습니다.
 사업내용은 아래와 같습니다.
 (시 행 일) ’23.10.6.(금) 4:00 ~
 (지원대상) 만6세~만12세 어린이(외국인 포함)
 (사업내용) 만6세~만12세 어린이의 부산 대중교통 무료이용 지원
 (지원방법) 교통카드 이용시 0원 처리 *현금 이용시 요금 지불
 (이용방법) 교통카드 구매 후 생년월일 등록 ▻ 편의점 or 앱 (이즐충전소)에서 등록
 (이용수단) 부산 등록 시내·마을버스, 도시철도(2000번 버스, 동해선 제외)
 *어린이 교통카드 이용시 적용, 현금 승차시 무료대상이 아님
 *동해선, 2000번 시외구간은 무료화 제외 입니다.</t>
  </si>
  <si>
    <t>부산시홈페이지&gt; 교통·물류- 부산교통-교통 지원사업-어린이 대중교통 요금 무료화</t>
  </si>
  <si>
    <r>
      <rPr>
        <rFont val="&quot;맑은 고딕&quot;"/>
        <color rgb="FF1155CC"/>
        <sz val="11.0"/>
        <u/>
      </rPr>
      <t>https://www.busan.go.kr/depart/childtransport</t>
    </r>
  </si>
  <si>
    <t>개명을 했는데요. 부산시홈페이지에서 회원 개명처리는 어떻게 하나요?</t>
  </si>
  <si>
    <t>개명신청
 개명하신 경우 회원가입을 새로 하실 필요는 없으며, 다음 단계별 처리가 필요합니다.
 본인인증 기관으로부터 개명된 이름을 확인받아 개명처리를 하고 있으므로
 먼저 본인인증 기관의 개명처리를 해야 합니다.
 (1단계) : 휴대폰 또는 아이핀 개명처리
  - 휴대폰(본인명의 휴대폰) 인증을 선택 시
  휴대폰 통신사(SKT, LG U+, KT)에 연락(☎114)하여 개명 관련 서류제출하여 휴대폰 개명처리
  - 아이핀 인증을 선택 시
  발급기관(나이스신용평가정보 ☎1600-1522, 서울신용평가정보 ☎1577-1006,
  코리아크레딧뷰로 ☎02-708-1000)에 연락하여 신분증(주민등록증,운전면허증, 외국인등록증) 확인 후 개명처리
 * 이미 바뀐 이름으로 되어 있는 경우 1단계 불필요
 (2단계) : 홈페이지 개명처리
 ① 홈페이지(www.busan.go.kr) - 로그인 - 마이페이지 – 개명처리 클릭 [바로가기]
  (PC) 왼쪽 하단 "개명처리" 클릭 
  (모바일) 마이페이지 오른쪽 "아래화살표" 클릭 &gt; 회원정보 클릭 &gt; 개명처리 클릭 
 ② 휴대폰 인증하기 또는 아이핀 인증하기를 클릭
 ③ 인증 완료 후 개명처리가 완료됨
  ※ 만약 1단계에서 개명신청이 되지 않았다면 오류가 발생하므로, 반드시 1단계 수행 후 2단계 인증을 해야 합니다 
  ※ 개명처리 시 이름만 변경하는 것이므로 기존에 적립하신 마일리지 등은 보존됩니다.</t>
  </si>
  <si>
    <t>부산시홈페이지&gt; 이용안내 &gt;자주묻는 질문·답변</t>
  </si>
  <si>
    <r>
      <rPr>
        <rFont val="&quot;맑은 고딕&quot;"/>
        <color rgb="FF1155CC"/>
        <sz val="11.0"/>
        <u/>
      </rPr>
      <t>https://www.busan.go.kr/opgfaq</t>
    </r>
  </si>
  <si>
    <t>감사결과 처분의 종류와 의미를 알려줘</t>
  </si>
  <si>
    <t>자체감사에서 적용되는 감사결과 처분요구는 총칭하여 '처분요구 등'이라 하며, 여기에는 변상명령, 징계(문책)요구, 시정요구, 주의요구(경고·훈계), 개선요구, 권고, 통보, 고발 등이 있습니다
 - 변상명령: 「회계관계직원 등의 책임에 관한 법률」에 따라, 회계관계직원 등이 고의나 중대한 과실로 의무를 위반하여 국가·지자체·공공기관에 손해를 끼친 경우 그 손해액을 변상하도록 명령하는 것입니다. 감사원만이 변상판정을 할 수 있으며, 자체감사기구는 변상명령을 할 수 있습니다.
 - 징계(문책) 요구: 「지방(국가)공무원법」 및 그 밖의 관계 법령에 규정된 의무를 위반하여 징계 또는 문책 사유에 해당하는 경우, 징계 처분을 하도록 요구하는 것입니다. 공무원에게는 '징계'를, 공공기관 임직원 등에게는 '문책'이라는 용어를 사용합니다.
 - 시정요구: 업무와 관련된 규정을 잘못 적용하거나 적시에 적용하지 않아 법률상·사실상 시정이 가능하고, 요구를 받는 자가 조치할 권한이 있는 경우에 합니다. 위법·부당한 사항에 대해 그 내용을 바로잡아 재발을 방지하도록 하는 데 목적이 있습니다.
 - 주의요구 (경고·훈계): 위법 또는 부당하다고 인정되는 사실이 있으나, 그 정도가 징계 또는 문책 사유에 이르지 않을 정도로 경미하거나, 감사대상기관 또는 부서에 대한 제재가 필요할 때 주의 각성을 촉구하기 위해 내립니다. 위법성 또는 부당성의 경중에 따라 훈계, 경고 등으로 세분화될 수 있습니다.
 - 개선요구: 감사 결과 법령상, 제도상 또는 행정상 모순이 있거나 그 밖에 개선할 사항이 있다고 인정되는 경우, 관계 규정의 신설·폐지·개정 등을 요구하는 것입니다. 이는 '위법 부당한 사항'이 아닌 '불합리한 사항'에 대한 처분요구입니다.
 - 권고:감사 결과 나타난 문제점에 대하여 징계·시정·개선을 요구하기에 부적절하거나, 감사대상기관으로 하여금 자율적으로 처리하도록 할 필요가 있는 경우에 개선 방안을 마련하도록 대안을 제시하는 것입니다.
 - 통보: 감사 결과 비위 사실이나 위법 또는 부당하다고 인정되는 사실이 있으나 다른 처분요구를 하기에 부적합하여 각 기관 또는 부서가 자율적으로 처리할 필요가 있다고 인정되는 경우에 활용됩니다. 일반적 통보, 시정완료 통보, 인사자료 통보, 비위 통보, 모범사례 통보 등이 있습니다.
 - 고발·수사요청: 감사 결과 인지한 사항이 「형법」 기타 개별 법률의 범죄 구성요건에 해당되는지 여부를 검토하여 범죄혐의사실이 확실하다고 인정되는 사항에 대해 수사기관에 조치를 요구하는 것입니다.</t>
  </si>
  <si>
    <t>2023년 부산광역시 감사업무편람</t>
  </si>
  <si>
    <t>99
 100, 101, 102, 103, 104, 105, 106, 107, 108, 109, 110, 111, 112</t>
  </si>
  <si>
    <t>본문 내용 그대로 인용
 본문 내용이 너무 많으면 99페이지
 8. 감사결과 처분의 종류 &lt;&lt; 이것만 활용 해서 기대답변 생성
 감사실시 결과 수감기관 또는 업무담당자들의 업무처리 등이 위법 또는 부당하다고 인정되거나 불합리한
 사실이 있을 때에 그에 대한 적정한 처분 또는 조치를 하게 되는데 「감사원법」 제31조 내지 제35조과 「공
 공감사에 관한 법률」 제23조에서는 이러한 감사결과 처분의 종류와 방법 등을 규정하고 있다.
 자체감사에서 적용되는 처분요구 종류는 「공공감사에 관한 법률」에 따라 ‘변상명령’, ‘징계(문책)요구’, ‘시
 정요구’, ‘주의요구(경고·훈계)’, ‘개선요구’, ‘권고’, ‘통보3)’, ‘고발’ 등이 있으며, 이를 통칭하여 ‘처분요구 등’
 이라 한다.
 ‘처분요구’에는 처분의 종류를 나타내는 명칭에 ‘요구’라는 말이 들어가는 것을 이르는데 이에는 징계요구,
 시정요구, 주의요구, 개선요구를 의미하며, ‘등’에 해당하는 처분 또는 조치는 변상명령과 권고, 통보, 고발
 이다.
 이하 감사결과 처분의 세부내용을 살펴보면 다음과 같다.</t>
  </si>
  <si>
    <t>김지훈(1669)</t>
  </si>
  <si>
    <t>공무원 징계의 종류 및 효력에 대해 알려줘
 &gt;&gt; 표 처리 가능한지 여부 확인 필요</t>
  </si>
  <si>
    <t>징계는 공무원 관계의 질서를 유지하고 기강을 바로잡아 공무원으로서의 의무를 다하게 하기 위하여 국가 또는 지방자치단체가 사용자의 지위에서 과하는 행정상 제재를 의미합니다
 1. 징계의 종류
 「지방공무원법」 또는 관계 법령의 적용을 받는 공무원에게는 **징계(懲戒)**라는 용어를 사용하며, 「국가공무원법」이나 「지방공무원법」의 적용을 받지 않는 공공기관 임직원 등에게는 **문책(問責)**이라는 용어를 사용합니다.
 징계는 비위의 정도 및 과실 여부에 따라 중징계와 경징계로 구분되며, 구체적인 징계의 종류와 효력은 다음과 같습니다.
 징계 종류별 세부 내용
 • 파면 및 해임: 공무원 신분 관계를 박탈하는 처분입니다.
 • 강등: 3개월간 직무에 종사하지 못하며, 계급이 1계급 아래로 내려갑니다.
 • 정직: 1개월 이상 3개월 이하의 기간 동안 직무에 종사하지 못하는 처분입니다.
 • 감봉: 1개월 이상 3개월 이하의 기간 동안 보수(봉급)의 3분의 1이 감액되는 처분입니다.
 • 견책: 잘못을 뉘우치게 하고 앞으로 재발하지 않도록 하는 처분으로, 처분일이 징계 기간이 됩니다.
 2. 징계의 효력 및 주요 불이익
 징계 처분은 공무원에게 신분상, 재정상, 인사상 광범위한 불이익을 초래합니다.
 가. 인사 및 신분상의 불이익
 (1). 승진 임용 제한
  ◦ 징계 처분을 받으면 「지방공무원 임용령」에 따라 일정 기간 승진 임용이 제한됩니다. 파면은 5년, 해임은 3년의 제한 기간이 적용됩니다.
  ◦ 징계처분을 받고 그 집행이 끝난 날부터 승진 제한 기간이 계산되며, 이 기간 중에 다시 징계처분을 받으면 직전 처분의 제한 기간이 끝난 날부터 새로운 제한 기간을 합산하여 계산합니다.
 (2). 호봉 승급 제한
  ◦ 징계 처분 기간은 호봉 승급 기간에 산입되지 않아 승급이 제한됩니다.
 (3). 퇴직 후 임용 제한
  ◦ 파면 처분을 받은 경우 5년간, 해임 처분을 받은 경우 3년간 공무원 임용이 제한됩니다.
 (4). 징계의결의 구속력
  ◦ 징계 처분권자(임용권자)는 인사위원회의 징계의결 결과에 기속되어 징계 의결된 양정을 임의로 변경할 수 없습니다.
 나. 재정상의 불이익 (징계부가금)
 • 징계부가금 부과: 공금 횡령·유용, 금품 및 향응 수수 등 특정 비위로 징계를 받는 경우, 징계 외에 공금 횡령액의 5배 내의 징계부가금을 추가로 부과할 수 있습니다.
  ◦ 징계부가금 납부고지서를 받은 날부터 60일 이내에 납부하지 않으면 지방세 체납처분의 예에 따라 징수될 수 있습니다.
 다. 기록 관리 및 말소
 (1). 징계 기록 말소 제도
  ◦ 징계 처분 기록은 공무원의 긍지 회복과 사기 진작을 위해 일정 기간 성실히 근무한 경우 말소될 수 있습니다.
  ◦ 각 징계 종류별로 정해진 기간 동안 더 이상의 징계 또는 직위해제 처분을 받지 않으면 기록이 말소됩니다. (예: 정직 7년, 감봉 5년, 견책 3년).
  ◦ 기록이 말소된 이후에는 근무성적평정, 승진 임용 심의, 전보 등에서 해당 기록을 이유로 불리한 대우를 할 수 없습니다.
 (2). 불문 경고의 효력
  ◦ 불문경고는 법률상의 징계 처분은 아니지만, 징계 감경 사유로 사용될 수 있는 표창 공적의 사용 가능성을 소멸시키는 효과가 있으며, 1년 동안 인사기록카드에 등재되어 장관 표창이나 도지사 표창 대상자에서 제외되는 효과가 있어 항고소송의 대상이 되는 행정처분에 해당합니다.
 라. 직위해제 및 형사벌과의 관계
 (1). 직위해제와의 구별
  ◦ 직위해제는 징벌적 제재인 징계와는 성질을 달리하는 처분이지만, 직무에 종사하지 못하게 하고 승급이나 보수 등에서 불이익한 처우를 받게 되므로 인사상 불이익한 처분에 해당합니다.
 (2). 형사처벌과의 병과
  ◦ 동일한 비위 행위에 대해 징계벌과 형사벌은 그 목적과 권력의 기초가 다르므로, 두 처벌을 병과하더라도 일사부재리(一事不再理) 원칙에 저촉되지 않습니다.
  ◦ 공무원이 형사사건에서 벌금 이하의 형을 받거나 무죄 판결을 받았다 하더라도, 그 비위 행위가 징계 사유에 해당하는 한 별도로 징계 절차를 진행할 수 있으며 징계 사유의 인정에는 영향이 없습니다
  ◦ 만약 감봉 처분 기간 중에 다시 감봉 처분을 받은 경우, 중복된 기간 동안은 이미 감액된 봉급을 기준으로 다시 3분의 1을 감액하여 지급합니다.</t>
  </si>
  <si>
    <t>101, 128, 129</t>
  </si>
  <si>
    <t>본문 내용 그대로 인용
 본문 표 내용 그대로 인용</t>
  </si>
  <si>
    <t>감사 보고서나 처리안 등 문서 작성을 위해 알아야하는 기본 원칙 및 요건에 대해 알려줘
 &gt;&gt; 보안 PDF라 벡터DB 변환 가능한지 여부 확인 필요</t>
  </si>
  <si>
    <t>&lt;감사문장 작성의 기본 원칙 및 요건&gt;
 1. 바른 글: 어휘의 선택과 문장의 서술이 글쓰기의 기본 바탕을 갖추어야 합니다.
 2. 쉬운 글: 이해관계인이나 일반 국민이 이해할 수 있도록 쉽게 써야 합니다.
 3. 명확성: 내용에 모호함이 없도록 구체적으로 분명하게 서술해야 합니다.
 또한, 감사문장을 작성할 때 유념해야 할 주요 지침은 다음과 같습니다:
 • 용어 사용: 일상생활에서 잘 쓰이지 않는 어려운 한자말은 쉬운 말로 순화해서 써야 하며, 외래어는 가능한 한 쓰지 않아야 합니다. 다만, 학술용어, 전문용어 등 적절한 우리말 용어가 없는 경우는 그대로 씁니다.
 • 표현 방식: 일본말 투를 비롯한 외국어 번역 투의 표현은 우리말답게 바꾸어 써야 합니다.
 • 문장 구조: 길고 복잡한 문장은 내용별로 문단을 나누고, 각 문단은 여러 개의 짧은 문장으로 써야 합니다.
 • 객관성: 감사문장은 주관적인 표현을 삼가고 객관적으로 표현해야 하며, 문장의 표현은 뜻이 분명한 용어를 사용하여 구체적으로 표현해야 합니다.
 &lt;처분요구별 감사문장 구성 원칙&gt;
 감사문장은 일반적으로 전제사실, 정당론, 비난사실, 결론으로 구분되어 작성됩니다.
 • 전제사실: 비난사실에 대한 전제와 기초사실로 구성됩니다. 기초사실은 처분요구 등의 대상이 되는 업무와 관련된 이해관계인의 행위로서 필요한 경우 전제와 함께 서술하거나 비난사실의 앞부분에 함께 서술할 수 있습니다.
 • 정당론: 관계 법령, 업무 처리의 기준, 정당한 업무 처리 절차와 근거 등을 명시합니다. 다만, 금품수수, 횡령·유용, 문서 허위작성 등과 같이 위법·부당 행위임이 명백한 경우에는 생략할 수 있습니다.
 • 비난사실: 위법·부당하게 처리한 행위와 그 원인, 이유와 결과를 서술합니다.
 • 결론: 지적내용이 위법·부당하다는 결론을 내리고, 대안, 즉 시정 등의 방향을 제시합니다.
 &lt;감사문서 작성 시 개인정보 기재 기준&gt;
 처리안을 작성할 때 생년월일, 주민등록번호 등 개인정보는 관련자 특정을 위해 필요한 경우에 한정하여 최소한으로 기재해야 합니다
 - 고발, 수사요청사항: 주민등록번호 기재
 - 판정, 징계 및 문책요구, 통보(인사자료), 통보(비위): 소속, 직급, 성명, 생년월일만 기재(주민등록번호 기재 X)
 - 시정요구, 주의요구: 소속, 직급, 성명만 기재(생년월일, 주민등록번호 기재 X)</t>
  </si>
  <si>
    <t>2022 감사원 감사문장 바로쓰기 편람</t>
  </si>
  <si>
    <t>본문 내용 그대로 인용
 본문 내용 그대로 인용</t>
  </si>
  <si>
    <t>감사 결과에 대한 후속 조치 기한에 대해 알려줘
 &gt;&gt; 보안 PDF라 벡터DB 변환 가능한지 여부 확인 필요</t>
  </si>
  <si>
    <t>• 징계(문책)요구사항: 1개월 안에 징계의결을 요구하고, 그 의결 결과를 의결이 있었던 날로부터 15일 안에 감사원에 회보해야 합니다. 다만, 파면 요구사항은 10일 안에 징계의결을 요구해야 합니다.
 • 시정요구사항: 2개월 안에 처리하고 그 결과를 바로 회보해야 합니다.
 • 개선요구, 권고·통보사항 (인사자료 포함): 2개월 안에 집행이 가능한 사항은 그 기간 내에 적정한 조치를 하고 그 결과를 바로 회보해야 합니다. 집행에 2개월 이상이 소요되는 사항은 2개월 안에 추진일정·계획 등이 포함된 집행계획을 우선 회보한 후 집행계획에 따라 조치한 결과를 바로 회보해야 합니다</t>
  </si>
  <si>
    <t>62, 63</t>
  </si>
  <si>
    <t>부산시에서 실시한 감사 결과에 대해 알려 줘</t>
  </si>
  <si>
    <t>홈페이지 감사실시 결과란 참조 (https://www.busan.go.kr/gbinspec02) 
 - 2008년 이후 감사결과보고서 수록</t>
  </si>
  <si>
    <r>
      <rPr>
        <rFont val="&quot;맑은 고딕&quot;"/>
        <color rgb="FF1155CC"/>
        <sz val="11.0"/>
        <u/>
      </rPr>
      <t>https://www.busan.go.kr/gbinspec02</t>
    </r>
  </si>
  <si>
    <t>링크 내 각 감사건별 결과보고서(PDF) DB 추출</t>
  </si>
  <si>
    <t>부산시 재산등록 대상자의 범위를 알려줘</t>
  </si>
  <si>
    <t>부산시 재산등록 대상자는 
 공직자윤리법 제3조에 따라
 1) 4급 이상의 지방공무원, 4급 이상에 상당하는 별정직공무원(고위공무원단에 속하는 별정직 공무원 포함)
 2) 연구관･지도관, 4급 이상의 일반직공무원에 상당하는 지방전문경력관 ｢전문직공무원 인사규정｣ 제3조에 따른 수석전문관
 3) ｢공공기관의 운영에 관한 법률｣에 따른 공기업의 장･부기관장, 상임이사 및 상임감사
 4) 공직유관단체의 임원
 5) ｢한국토지주택공사법｣에 따른 한국토지주택공사 등 부동산 관련 업무나 정보를 
 취급하는 대통령령으로 정하는 공직유관단체의 직원
 6) 그밖의 대통령령으로 정하는 특정분야의 공무원과 공직윤관단체의 직원
 이 대상이 됨</t>
  </si>
  <si>
    <t>공직윤리업무편람</t>
  </si>
  <si>
    <t>20, 21, 22, 23, 24</t>
  </si>
  <si>
    <t>우금향(1211)</t>
  </si>
  <si>
    <t>정보제공동의서를 제출하는 이유와 제출 시기를 알려줘</t>
  </si>
  <si>
    <t>1) 정보제공동의서를 제출하는 이유는 등록의무자와 그 이해관계자의 재산신고를 편리하게 하기 위해 금융거래 및 부동산 정보 등을 명의인의 동의를 받아 공직자윤리위원회에 제출하면 재산신고 개시 전 동의한 정보를 제공해 함으로써 개별적으로 재산을 확인해야하는 절차를 줄여줌
 2) 정보제공동의서 제출 시기는 
  ① 정기변동신고 대상자는 개시일 1개월 전까지(매년 11월 말)
  ② 수시신고 의무자는 등록의무 또는 신고의무가 발생한 날이 속하는 달의 다음달 15일까지(단, 등록의무 또는 신고의무가 매우러 1일에 발생한 경우는 그달의 15일까지)</t>
  </si>
  <si>
    <t>부모 및 자녀의 고지거부 신청 기간 을 알려줘</t>
  </si>
  <si>
    <t>1) 고지거부 신청 대상은 등록의무자의 부양을 받지 아니하는 직계존비속 중 자기 재산의 고지를 거부하려는 사람(기존 고지거부 허가 효력이 상실된 경우 포함)이 대상이 되며
 2)신청기간은
  ① 최초 재산등록신고자 : 등록의무자가 된 날부터 1개월 이내(재산등록 의무자 포함)
  ② 정기 재산변동신고자 : 신고기간 개시일부터 1개월 이내(매년 1월 31까지) 
  ③ 신고유예 사유 소멸자 : 그 유예사유가 소멸된 날부터 1개월 이내
  ④ 승진, 전보 등으로 공개대상자가 된 신고자 : 공개대상자가 된 날부터 1개월 이내
  ⑤ 퇴직자 : 퇴직일로부터 1개월 이내
  ⑥ 의무면제자 : 전보 등이 된 날부터 1개월 이내
 2) 고지거부 재삼사 신청은
  ① 신청대상 : 등록의무자의 부양을 받지 아니한 직계존비속 중 이전 고지거부 허가를 받은 지 3년째 되는 자로서 계속해서 자기재산 고지를 거부하려는 사람
  ② 신청기간 : 고지거부 허가 받은 지 3년째 되는 정기변동신고기간(1월~3월)</t>
  </si>
  <si>
    <t>주식백지신탁 제도 안내와 의무대상을 알려줘</t>
  </si>
  <si>
    <t>1) 주식백지신탁 제도는 재산공개대상자 등은 본인 및 그 이해관계자가(배우자 등)가 보유한 주식이 3천만원을 초과할 경우에는 2개월 이내 주식을 매각하거나 주식백지신탁 하고 그 행위를 한 사실을 등록기관에 신고해야하는 제도이며, 보유주식이 담당 직무와 관련성이 없다고 생각되어 매각 도는 백지신탁 의무를 면제받고자 하는 자는 기준일로부터 2개월 이내에 주식백지신탁 심사위원회에 직무관련성 심사를 청구하여야 함.
 2) 주식백지신탁 대상자는 재산공개대상자로 부산시의 경우 1급이상 공무원 및 (2025년 기준)10개의 공직유관단체 기관장이 해당됨</t>
  </si>
  <si>
    <t>건물 분양권 및 상가, 오피스텔을 보유하고 있을 경우 가액산정 방법을 알려줘</t>
  </si>
  <si>
    <t>⚫ (가액산정방법) 신규 취득한 부동산과 종전에 신고한 부동산을 구분하여 신고
 - 신규 취득한 부동산 : 반드시 실거래가격*(실제매입･매도한 금액)으로 신고하되, 상속 등으로
 실거래가격을 알 수 없는 경우에는 ’24년도 공시지가, 공시가격 등 평가액으로신고(부동산
 공시가격 알리미 활용)하고 ‘변동사유’란에 해당내용 기재
 * 각종 포털 및 시장에서 형성된 시세가 아닌, 실제로 취득한 가격 또는 보상액을 의미
 - 기존 신고한 부동산 : ① 종전신고 시 실거래가격으로 신고한 부동산은 실거래가격과
 평가액(공시지가, 공시가격 등) 중 높은 금액으로 신고, ② 종전신고 시 평가액으로 신고한
 부동산은 ’24년도 평가액으로 신고
 - 공동소유 부동산 : 소유 지분만큼만 신고</t>
  </si>
  <si>
    <t>정기 재산변동신고 안내서</t>
  </si>
  <si>
    <t>21, 22</t>
  </si>
  <si>
    <t>퇴직 후 재취업 예정인데 취업심사대상기관은 어떻게 확인해야 하는지 알려줘</t>
  </si>
  <si>
    <t>퇴직 후 재취업 시 취업심사대상기관 여부를 확인하려면 다음과 같은 기준을 참고해야 합니다.
 기대답변 : 
 영리사기업체: 자본금이 10억원 이상이고 연간 외형거래액이 100억원 이상인 영리 목적 사기업체.
 협회: 영리사기업체의 공동이익과 상호협력을 위해 설립된 법인·단체, 또는 기타 사유로 설립된 비영리 법인·단체.
 법무법인 등: 연간 외형거래액이 100억원 이상인 법무법인, 법무법인(유한), 법무조합, 법률사무소.
 회계법인: 연간 외형거래액이 100억원 이상인 회계법인.
 세무법인: 연간 외형거래액이 50억원 이상인 세무법인.
 외국법자문법률사무소 및 합작법무법인: 연간 외형거래액이 100억원 이상인 외국법자문법률사무소 및 합작법무법인.
 시장형 공기업: 공공기관의 운영에 관한 법률에 따른 시장형 공기업.
 안전 감독 업무, 인·허가 규제 업무 또는 조달 업무 등을 수행하는 공직유관단체: 국민의 생명 또는 신체와 관련된 위험을 예방·감소시키는 안전관리·지도·단속 업무, 법령에서 정한 인가·허가·면허·특허·승인 등의 업무, 법령에서 정한 조달 업무 등을 수행하는 단체.
 사립학교와 그 설립학교법인: 초·중등교육법 및 고등교육법에 따른 사립학교 및 학교법인.
 종합병원과 그 설립법인: 의료법에 따른 종합병원 및 이를 개설한 의료법인 또는 비영리법인.
 사회복지법인 등: 기본재산이 100억원 이상인 사회복지법인 또는 사회복지시설을 운영하는 비영리법인.
 방산·식품·의약품 등 특정분야: 방위사업법에 따른 방산업체, 식품안전기본법에 따른 식품 등 및 식품·의약품 등과 관련하여 인증·검사·시험·평가·지정 등의 업무를 수행하는 사기업체 또는 법인·단체.
 이러한 취업심사대상기관은 인사혁신처 고시 등을 통해 확인할 수 있습니다.</t>
  </si>
  <si>
    <t>170, 171, 172, 173</t>
  </si>
  <si>
    <t>사전 컨설팅감사는 누가 신청할 수 있는지, 그리고 사전 컨설팅감사는 무슨 효과를 갖고 있는 지 알려줘</t>
  </si>
  <si>
    <t>사전 컨설팅감사는 부산시 본청, 직속기관, 사업소, 16개 구.군, 공사.공단, 출자출연기관이 신청할 수 있으며, 부산시장 또는 구청장.군수에게 인허가 등을 신청한 민원인이 신청할 수 있음.
 감사위원장은 신청기관의 장이 사전 컨설팅감사 의견대로 업무를 처리한 경우에는 그 사안에 대하여 감사를 면제할 수 있음.</t>
  </si>
  <si>
    <t>부산광역시 사전 컨설팅감사 운영 조례 제3조 및 제6조, 제11조</t>
  </si>
  <si>
    <t>사전 컨설팅감사의 신청대상은 어떤 것이 있는지 알려줘</t>
  </si>
  <si>
    <t>1) 인·허가등 규제 관련 능동적 업무 처리 곤란시
 2) 관련 법령등이 불명확하여 적용이 어려울 시
 3) 업무추진시 절차 위반 등 논란 소지 예상시
 4) 환경 및 여건 변화로 예산낭비 등이 예상시
 5) 그 밖에 적극행정을 위해 필요할 시</t>
  </si>
  <si>
    <t>부산광역시 사전 컨설팅감사 운영 조례 제4조 제1항</t>
  </si>
  <si>
    <t>정성수(1212)</t>
  </si>
  <si>
    <t>사전 컨설팅감사 대상에서 제외되는 경우는 어떤 것이 있는지 알려줘</t>
  </si>
  <si>
    <t>1) 단순 민원해소, 책임회피 수단 등으로 이용시
 2) 신청기관이 충분한 검토를 거치지 않은 경우
 3) 신청기관 자체적으로 해결이 가능한 경우
 4) 이미 행해진 처분의 위법.부당여부 확인시
 5) 수사.소송.행정심판 또는 감사 진행(확정) 시
 6) 행정청 내부문제로 시민과 직접적 관계 없을시
 7) 단순 법령해석 또는 제도개선 건의와 관련시
 8) 정책적 결정이 요구되는 경우</t>
  </si>
  <si>
    <t>사전 컨설팅감사의 일반적인 처리절차와 패스트트랙 처리절차의 차이점에 대해 알려줘
 &gt;&gt; 근거자료에 패스트트랙(상담창구) 관련 내용이 없어서 답벼 ㄴ불가</t>
  </si>
  <si>
    <t>시본청, 직속기관, 사업소는 신청부서의 장이 신청서를 작성하여 부산시 감사위원회에 제출하여야 하며, 구.군, 공사공단, 출자출연기관, 인허가 등을 신청한 민원인은 신청기관 감사부서의 장을 통해 부산시 감사위원회에 신청서를 제출하여야 함.
 사전 컨설팅감사 신청건에 대하여 부산시 감사위원회는 30일 이내 감사 결과를 통보하여야 하며, 부득이한 사유가 있을시 1회 연장 가능함.
 또한 부산시 행정포털 내 사전 컨설팅감사 상담창구(패스트트랙)를 통해 신청시 5~7일 이내 감사결과를 통보 받을수 있음.(자유로운 서식으로 신청이 가능하며, 감사 면책은 해당없음.)</t>
  </si>
  <si>
    <t>부산광역시 사전 컨설팅감사 운영 조례 제5조 및 제6조</t>
  </si>
  <si>
    <t>부산시의 사전 컨설팅감사 사례를 열람할 수 있는 방법을 알려줘</t>
  </si>
  <si>
    <t>부산시 홈페이지의 정보공개 페이지의 감사정보란에 사전 컨설팅감사 결과(사례)와 사례집이 등록되어 있어 열람이 가능함.</t>
  </si>
  <si>
    <t>부산시 홈페이지-정보공개-감사정보-사전 컨설팅감사-사전 컨설팅감사 사례</t>
  </si>
  <si>
    <t>외부강의등 신고는 어디에서 하나요?</t>
  </si>
  <si>
    <t>행정포털-행정업무-감사관리-외부강의등-외부강의등 신고 목록 - 추가버튼 클릭 - 서식란 입력 - 외부강의등 요청기관 공문 붙임 - 온나라 연계기안 후 청렴담당관 송부</t>
  </si>
  <si>
    <t>부산광역시 외부강의등 신고 업무처리 지침</t>
  </si>
  <si>
    <t>외부강의등 서면신고 방법(행정포털 연계기안)</t>
  </si>
  <si>
    <t>예효선(1671)</t>
  </si>
  <si>
    <t>외부강의등 대상 및 형태는 어떤 것이 있나요?</t>
  </si>
  <si>
    <t>공직자 자신의 직무와 관련되거나 그 지위ㆍ직책 등에서 유래되는 사실상의 영향력을 통하여 요청받은 교육ㆍ홍보ㆍ토론회ㆍ세미나ㆍ공청회 또는 그 밖의 회의 등에서 한 강의ㆍ강연ㆍ기고 등입니다.</t>
  </si>
  <si>
    <t>제10조(외부강의등의 사례금 수수 제한) ① 공직자등은 자신의 직무와 관련되거나 그 지위ㆍ직책 등에서 유래되는 사실상의 영향력을 통하여 요청받은 교육ㆍ홍보ㆍ토론회ㆍ세미나ㆍ공청회 또는 그 밖의 회의 등에서 한 강의ㆍ강연ㆍ기고 등(이하 “외부강의등”이라 한다)의 대가로서 대통령령으로 정하는 금액을 초과하는 사례금을 받아서는 아니 된다.
  ② 공직자등은 사례금을 받는 외부강의등을 할 때에는 대통령령으로 정하는 바에 따라 외부강의등의 요청 명세 등을 소속기관장에게 그 외부강의등을 마친 날부터 10일 이내에 서면으로 신고하여야 한다. 다만, 외부강의등을 요청한 자가 국가나 지방자치단체인 경우에는 그러하지 아니하다. 
  ③ 삭제 
  ④ 소속기관장은 제2항에 따라 공직자등이 신고한 외부강의등이 공정한 직무수행을 저해할 수 있다고 판단하는 경우에는 그 공직자등의 외부강의등을 제한할 수 있다.
  ⑤ 공직자등은 제1항에 따른 금액을 초과하는 사례금을 받은 경우에는 대통령령으로 정하는 바에 따라 소속기관장에게 신고하고, 제공자에게 그 초과금액을 지체 없이 반환하여야 한다.</t>
  </si>
  <si>
    <t>외부강의등 신고 대상 및 신고 기한은 어떻게 되나요?</t>
  </si>
  <si>
    <t>공직자는 사례금을 받는 외부강의등을 할 때에는 외부강의등의 요청 명세 등을 외부강의등을 마친 날부터 10일 이내에 서면으로 신고하여야 합니다.</t>
  </si>
  <si>
    <t>8 1 외부강의등 서면신고
 신고기한 외부강의등을 마친 날로부터 10일 이내(→강의 당일·초일 불산입)
 외부강의를 한 다음날 익일 부터 계산함(→토·일요일 및 공휴일을 포함하여 계산함)
 (→다만, 신고기간 만료일이 토·일 또는 공휴일인 경우 그 익일을 신고 기간 만료일로 봄)
 - 5 -
 신고기한 기준일은 외부강의등을 마친 날임(→사례금을 받은 날 기준이 아님)
 신문 잡지 등에 기고한 경우는 해당 원고의 최종본을 송부한 날을 마친 날로 봄
 (→기고문 원고료·사례금을 실제 받은 날이 아닌 최종 원고를 송부한 날을 기준으로 하여 익일부터 계산함)
 동일 기관 특정 기간에 계속된 강의는 일괄신고 가능하나 신고기한은 최초 강의를 마친
 날로부터 일 이내에 신고함
 (→통합하여 1회 일괄 신고할 수 있음. 요청기관이 다르거나 강의일이 월간 상이·다른 경우는 구분하여 신고함)</t>
  </si>
  <si>
    <t>외부강의등 신고 기간(외부강의등을 마친 날부터 10일 이내)은 토요일 및 공휴일을 포함하나요?
 &gt;&gt; 10일 이내에서 숫자가 복사가 안되는데 확인바랍니다.</t>
  </si>
  <si>
    <t>포함입니다. 만료일이 토요일 또는 공휴일인 경우 그 익일을 신고 기간 만료일로 봅니다.</t>
  </si>
  <si>
    <t>외부강의등 사례금 상한액과 예외는 어떻게 되나요?
 &gt;&gt; 10일 이내에서 숫자가 복사가 안되는데 확인바랍니다.</t>
  </si>
  <si>
    <t>6 1 외부강의등 사례금(대가) 상한액
 사례금 한도 1회 총 60만원 1시간 40만원 한도 1시간 초과시 50% 가산
 사례금 한도를 초과하여 수령 시는 그 사실을 안 날로부터 일 이내에 신고해야 함
 그 초과금액은 지체없이 외부강의 요청기관에 반환해야 함
 (→ 강의시간이 1시간 이내, 사례금이 50만원인 경우 : 초과금액 10만원을 신고·반환해야 함)
 (→ 강의시간 2시간, 사례금 60만원, 요청기관에서 교통비를 받은 경우 : 초과금액&lt;교통비&gt;을 신고·반환해야 함)
 사례금 포함 내역 세전으로 계산(→세후 금액이 아님)
 요청기관에서 지급한 강의료 원고료 교통비 실비 등 명목 관계없이 수령액 일체
 부서장이 공무출장으로 인정한 경우 소속기관에서 지급한 출장여비는 미포함 별도
 사례금 한도 예외 외국기관이 요청한 경우(→사례금 기준·한도 없음)
 국제기구 국제학술단체 외국 대학 등은 당해 기관에서 정한 기준에 따름
 사례금 한도 예외일 뿐 외부강의등에 대한 부서장의 사전검토와 신고의무가 있음
 국제기구 행사를 유치하여 국내에서 개최하는 경우 주관을 국내기관이 담당하고 외부
 강의등 요청 공문을 국내기관이 보내온 경우라면 국내기관의 국내행사로 봄
 → (권익위 청탁금지제도과, 2022.10.14.) 외부강의등 신고의 명확성, 일관성 및 법적 안정성 도모를 위해, 외부강의등
 을 요청한 자에 대한 판단은 형식적으로 강의를 요청(공문)한 기관으로 봄이 상당하다고 할 것임.</t>
  </si>
  <si>
    <t>외부강의등 신고 사항은 어떻게 되나요?</t>
  </si>
  <si>
    <t>신고 내용 : 일시, 장소, 강의 제목, 주제, 사례금 총액(상세 명세), 요청기관, 요청공문 등
 (→외부강의등을 요청한 기관으로부터 발송·접수된 공문 반드시 첨부, 이메일 내용은 불가함)</t>
  </si>
  <si>
    <t>신고방법 온라인 서면신고 행정포털 연계기안 및 공문발송 청렴담당관
 절차 행정포털 외부강의등 신고등록(→세부 신고방법 예시는 [붙임 1] 참조)
 내용 일시 장소 강의 제목 주제 사례금총액 상세명세 요청기관 요청공문 등
 (→외부강의등을 요청한 기관으로부터 발송·접수된 공문 반드시 첨부, 이메일 내용은 불가함)</t>
  </si>
  <si>
    <t>외부강의등 사례금 상한액에 초과하여 수령하였을 때에는 어떻게 해야하나요?</t>
  </si>
  <si>
    <t>사례금 한도를 초과하여 수령하였을 때에는 그 사실을 안 날로부터 2일 이내에 신고하여야 하고, 초과금액은 지체없이 외부강의등 요청기관에 반환하여야 합니다.</t>
  </si>
  <si>
    <t>임은정(1672)</t>
  </si>
  <si>
    <t>외부강의등에 대상이 아닌 것은 어떤 것들이 있나요?</t>
  </si>
  <si>
    <t>외부강의 비대상 사례 (붙임 2 기반 정리):
 1. 채용 관련
  - 채용 면접관 참여 시 개인별 점수 평가만 하는 경우 (다수인 대상 의견·지식 전달이 아닌 경우)
 2. 창작 활동
  - 책 저술·출판 (단, 신문·잡지 기고 시 외부강의 해당)
 3. 발표 형태 제한
  - 업무개선 경연, 성과보고회 등 직무 관련 내부 발표
  - 방송 출연 시 1:1 인터뷰 형식
  - 행사 축사·기조연설 (환영 인사 수준)
 4. 문화 행사
  - 동호회 주관 연주회·전시회
 5. 평가 위원 활동
  - 제안서 평가·협상 계약 시 개인 평가만 참여하는 경우(단, 대형공사 계약 시 집단토의 평가라면 해당)
  - 조달청 평가위원 (겸직허가 대상, 외부강의 아님)
 6. 자문·심의 활동
  - 서면 자문 (회의 없는 개인 의견 제시)
  - 법령에 따른 위원회 활동
 7. 기타 비영리 법인 활동
  - 법령조례 근거 비영리법인 이사
  - 위원회 당연직 위원 활동 (별도 용역 수행 시 제외).
 📌 핵심 구분 기준: 다수인 대상 지식 전달·회의 형태 X, 개인 평가/의견만 해당 경우 O.
 ※ 세부 확인이 필요한 경우 인사팀 문의 권장</t>
  </si>
  <si>
    <t>붙임 2 외부강의등 비대상 사례
 채용 서면심사 면접관으로 참여하는 경우
 다수인을 대상으로 하는 의견 지식 전달 및 회의 형태가 아니며 채용심사를 (→ · , 위한 개인 의견·점수만 판정하는 경우)
 책을 저술 출판하는 경우(→다만, 신문·잡지에의 기고는 외부강의등에 해당됨)
 (→출판에 따른 수익이 발생하는 경우는 겸직허가대상 여부 판단, 인사과 문의)
 (→권익위 청탁금지제도과, 2021.12.15., 인문사회 책의 한 챕터를 담당, 집필하는 것은 외부강의등에 해당되지 아니함)
 업무개선 경연 경진대회 성과보고회 등에서 발표하는 경우
 공직자가 직무와 관련하여 방송에 출연하여 1:1 문답 등 의견을 전달하는 경우
 행사 축사 기조연설은 단순 축하 환영인사를 하는 경우
 (→권익위 청탁금지제도과, 2019.9.23., 강의·강연은 일정한 주제에 대해 설명하여 가르치는 것으로 교육·홍보·토론회·세미나·
 공청회와 같이 ‘다수인을 대상으로 의견·지식을 전달하는 형태’이거나, 여럿이 모여 의견·정보 등을 교환하는 ‘회의형태’
 인 경우이므로 환영 축사 및 기조연설 등은 외부강의등에 해당되지 아니함)
 동호회 등에서 개최하는 연주회 전시회 등에 참여하는 경우
 (→다수인을 대상으로 하더라도 문화예술행위는 외부강의등에 미포함)
 제안서평가 또는 협상에 의한 계약 등에서 평가위원으로 참여하는 경우
 (→다수인을 대상으로 하는 의견·지식 전달 및 회의 형태가 아니며, 평가위원 개인별 의견·점수만 판정하는 경우)
 (※ 다만, 대형공사계약 또는 공모사업 등의 계약자·공모자 선정 평가위원으로 참여하여 집단토의·논의를 하면서 평가위원
 간 의견·정보 등을 교환하는 회의 형태의 평가라면 외부강의에 포함됨)
 서면 자문하는 경우(→의견·지식을 전달하는 회의 형태가 아님, 개별 의견만 작성하는 것에 불과함)
 (→자문위원회에 직접 참석하여 자문위원 간 의견·지식을 전달하는 회의형태인 경우에는 외부강의에 해당됨)
 조달청 심사 심의 평가 위원으로 참여하는 경우(→겸직허가 대상)
 (→조달청 심사·심의·평가위원 풀(Pool) 명단으로 위촉되어 계약심의·평가에 참여하는 경우는 겸직허가 대상)
 법령조례에 따라 비영리법인의 당연직 이사로 활동하는 경우(→겸직허가 대상)
 (→비영리법인의 당연직 이사로서 법인 내 활동은 조례에 따른 법적 업무수행이므로 외부강의등에 미포함)
 법령조례에 따라 설치된 위원회 당연위촉직 위원으로 회의에 참석하는 경우(→겸직허가대상)
 (→회의에 참석하는 것은 법령·조례에 따른 법적 업무수행이므로 외부강의등에 미포함)
 (→위원회 위원으로서의 법적 업무수행이 아닌 다른 형태(용역사업 수행)인 경우는 외부강의등 여부 추가판단 필요)
 비영리법인 단체의 정관에 따라 위원으로 위촉되어 회의에 참석하는 경우(→겸직허가대상)
 (→겸직허가대상으로 겸직허가 후 관련 회의에 참석하는 경우는 외부강의등에 미포함)
 대학교 등에 출강하는 경우(→겸직허가대상)
 (→대학교, 학원 등에 출강하는 경우는 겸직허가대상으로 인사과 별도 문의)</t>
  </si>
  <si>
    <t>외부강의등 신고의무 제외 대상은 어떤 것들이 있나요?</t>
  </si>
  <si>
    <t>신고의무 제외 외부강의등에는 해당되나 신고의무가 면제되는 경우
 1.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2. 교통비 숙박비 등 일체의 사례금을 받지 아니한 경우(→‘20.5.27.시행)
  (→사례금을 받지 아니한 경우는 외부강의등에는 해당되나 신고의무를 면제하는 것임)</t>
  </si>
  <si>
    <t>신고의무 제외 외부강의등에는 해당되나 신고의무가 면제되는 경우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교통비 숙박비 등 일체의 사례금을 받지 아니한 경우(→‘20.5.27.시행)
 (→사례금을 받지 아니한 경우는 외부강의등에는 해당되나 신고의무를 면제하는 것임)</t>
  </si>
  <si>
    <t>외부강의등 복무는 어떻게 처리하여야 하나요?</t>
  </si>
  <si>
    <t>사전 복무 결재를 받아야 합니다. 원칙은 개인 연가를 사용하고, 예외적으로 출장 처리가 가능할 것입니다.</t>
  </si>
  <si>
    <t>7. 외부강의등 복무관리
  ① 원칙 : 개인 연가(조퇴·외출) 사용
  - 자신의 現직무와의 관련성을 막연하게 광의·확대하여 공무출장 가능하다는 것은 불인정됨 (→시립박물관·미술관 학예사·직원이 문화예술발전이라는 광의의 개념을 주장하는 경우 불인정, 개인연가 사용 원칙)
  ② 예외 : 공무출장 및 출장여비지급 가능
  - 공직자 자신의 현 직무(분장사무)와 직접 관련성이 명시적으로 있는 경우 (→현 직무와 관련성이 없거나, 직전 또는 과거에 담당했던 직무인 경우에는 개인연가를 사용해야 함)
  - 소속기관의 기능수행 및 정책수행 목적상 필요한 경우 (→별정직보좌관 또는 실국장 등 직원이 기관의 정책을 널리 홍보하기 위한 특강이라면 공무출장 가능함)
  - 소속 기관장(부서장)이 특별히 필요하다고 인정하는 경우
  ③ 참고사항[권익위, 공무원의 외부강의등에 관한 관리 지침, 시행 2022.4.14.]
  - 제3조, 외부강의등은 강의 요청 공문서와 결재권자의 허가를 받아야 함(→제2항, 결재권자는 직무관련성, 업무형편, 업무수행 지장 초래 등을 엄격히 확인한 후 외부강의등을 허가해야 함)
  - 제6조, 외부강의등이 직무수행 관련성, 소속기관(부서)의 기능·정책 수행 목적상 필요한 경우는 공무출장 처리하고, 이외의 외부강의등은 연가를 활용해야 함.
  - 제8조, 결재권자는 특정 직원의 과도한 외부강의, 업무수행에 지장 초래없도록 관리해야 함</t>
  </si>
  <si>
    <t>신고 없이 외부강의를 한 경우 과태료 부과 대상인가요?</t>
  </si>
  <si>
    <t>사례금을 받는 외부강의등을 신고하지 않은 경우 징계대상에 해당합니다.</t>
  </si>
  <si>
    <t>2111_정보화정책과_업무매뉴얼_청렴담당관_외부강의등 관련 주요 안내사항</t>
  </si>
  <si>
    <t>⑤ 위반에 대한 제재(청탁금지법 제21조, 제23조제4항) 
 구분
 외부강의등
 초과 사례금
 공직자등의 의무
 신고 의무
 신고 의무
 반환 의무
 위반 시 제재
 징계대상
 어느 하나라도 이행하지 않은 경우, 징계대상
 모두 이행하지 않은 경우 과태료 부과 대상(500만원 이하)</t>
  </si>
  <si>
    <t>휴직자가 외부강의등을 할 때에도 신고를 해야하나요?</t>
  </si>
  <si>
    <t>휴직자의 경우도 사례금을 받는 외부강의등을 할 경우 외부강의등을 마친 날부터 10일 이내에 신고해야 하며, 초과사례금 수수 시에도 신고 및 반환해야 함</t>
  </si>
  <si>
    <t>2025 부정청탁 및 금품등 수수의 금지에 관한 법률 행정기관 및 공직유관단체 매뉴얼</t>
  </si>
  <si>
    <t>FAQ 외부강의등 사례금 수수 제한 관련
 Q. 휴직자가 외부강의등을 할 경우에도 신고를 해야 하는지?
 A. 휴직자의 경우도 사례금을 받는 외부강의등을 할 경우 외부강의등을 마친 날부터 10일 이내에 신고해야 하며, 초과사례금 수수 시에도 신고 및 반환해야 함</t>
  </si>
  <si>
    <t>사례금을 받지 않는 외부강의등을 하는 경우에도 신고를 해야하나요?</t>
  </si>
  <si>
    <t>사례금을 받지 않고 외부강의등을 하는 경우에 별도로 신고의무는 없습니다. 다만 향후 사례금이 지급된 경우에는 반드시 신고하여야 합니다.</t>
  </si>
  <si>
    <t>FAQ 외부강의등 사례금 수수 제한 관련
 Q. 사례금을 받지 않고 외부강의등을 하는 경우에도 신고해야 하는지?
 A. 사례금을 받지 않는 외부강의등은 신고의무 없음</t>
  </si>
  <si>
    <t>이은숙(1676)</t>
  </si>
  <si>
    <t>외부강의등 사례금에 어떤 것이 포함되나요?</t>
  </si>
  <si>
    <t>강의료, 원고료, 출연료 등 명목에 관계 없이 외부강의등과 관련하여 제공받은 일체의 사례금을 포함합니다.</t>
  </si>
  <si>
    <t>FAQ 외부강의등 사례금 수수 제한 관련
 Q. 외부강의등 사례금에 원고료도 포함되는지?
 A. 외부강의등 사례금에는 강의료, 원고료, 출연료 등 명목에 관계 없이 외부강의등과 관련하여 공직자등에게 제공되는 일체의 사례금을 포함</t>
  </si>
  <si>
    <t>회의에서 사회자 등의 역할을 맡아 회의를 진행하는 경우에도 외부강의등에 해당한다고 볼 수 있나요?</t>
  </si>
  <si>
    <t>다수인을 대상으로 의견·지식을 전달하는 형태이거나 회의형태이므로 외부강의등에 해당할 수 있습니다.</t>
  </si>
  <si>
    <t>FAQ 외부강의등 사례금 수수 제한 관련
 Q. 공청회, 간담회 등의 회의에서 사회자 등의 역할을 맡아 회의를 진행하는 경우에는 외부강의등에 해당하나요?
 A. 공청회, 간담회 등의 회의에서 사회자 등의 역할을 맡아 회의를 진행하는 경우는 다수인을 대상으로 의견·지식을 전달하는 형태이거나 회의형태이므로 외부강의등에 해당함</t>
  </si>
  <si>
    <t>시험출제업무를 하는 경우에도 외부강의등에 해당한다고 볼 수 있나요?</t>
  </si>
  <si>
    <t>시험출제는 응시자의 능력을 평가하기 위한 문제를 내는 행위로서, 다수인을 대상으로 의견·지식을 전달하는 형태라거나 회의형태라고 보기 어려우므로 외부강의등에 해당하지 않습니다.</t>
  </si>
  <si>
    <t>FAQ 외부강의등 사례금 수수 제한 관련
 Q. 공직자등이 시험출제위원으로 위촉되어 시험출제업무를 하는 경우 출제위원으로 참석하는 행위가 외부강의등에 해당하나요? 
 A. 시험출제는 응시자의 능력을 평가하기 위한 문제를 내는 행위로서, 다수인을 대상으로 의견·지식을 전달하는 형태라거나 회의형태라고 보기 어려우므로 외부강의등에 해당하지 아니함</t>
  </si>
  <si>
    <t>온라인으로 강의를 하는 경우에도 외부강의등에 해당하나요?</t>
  </si>
  <si>
    <t>온라인 강의의 경우 전달매체가 온라인 형식일 뿐 다수인을 대상으로 의견·지식을 전달하는 형태이므로 외부강의등에 해당합니다.</t>
  </si>
  <si>
    <t>FAQ 외부강의등 사례금 수수 제한 관련
 Q. 온라인으로 동영상 강의를 하는 경우도 외부강의등에 해당하나요?
 A. 온라인 강의의 경우 전달매체가 온라인 형식일 뿐 다수인을 대상으로 의견·지식을 전달하는 형태이므로 외부강의등에 해당함</t>
  </si>
  <si>
    <t>외부강의등을 사전신고하는 것도 괜찮나요?</t>
  </si>
  <si>
    <t>가능합니다. 신고항목(요청자, 요청사유, 날짜, 시간, 장소, 사례금 등)이 모두 기재된 공문을 첨부하여 신고하면 됩니다.</t>
  </si>
  <si>
    <t>FAQ 외부강의등 사례금 수수 제한 관련
 Q. 사례금을 받는 외부강의등의 경우 사전에 신고해도 되나요?
 A. 2020.5.27. 이후 실시하는 외부강의등은 마친 날부터 10일 이내에 신고하면 되고, 신고자가 요청자, 요청 사유, 일시, 장소, 사례금 액수, 강의 주제 등을 미리 알고 있는 경우에는 사전에 신고하는 것도 가능함</t>
  </si>
  <si>
    <t>상위법이 개정되면 조례는 언제까지 정비해야 하나요?
 &gt;&gt; 제출 자료에서 기대답변에 대한 내용이 명시적으로 나와 있지 않음</t>
  </si>
  <si>
    <t>상위법이 개정되면 조례는 상위법 시행일까지 정비하는 것이 실무 원칙입니다. 
 조례는 상위법에 위반될 수 없으며, 상위법 시행과 동시에 정합성이 확보되어야 합니다. 
 부칙에 조례 정비기한이 명시된 경우에는 부칙 기한을 우선 적용합니다.</t>
  </si>
  <si>
    <t>자치법규업무매뉴얼(2022, 행안부)</t>
  </si>
  <si>
    <t>행정안전부 자치법규업무매뉴얼(2022)
 P16~17, P34~37</t>
  </si>
  <si>
    <t>자치법규업무매뉴얼(2022, 행안부)
 P16~17 상위법 정합성 반영 의무
 P34–35 상위법과 저촉되는 조례는 유지할 수 없으며 즉시 개정해야 함 
 P36–37 상위법령의 시행과 관련하여 조례의 시행이 시급히 요청되는 경우</t>
  </si>
  <si>
    <t>문서 보존기간은 어떻게 산정하나요?</t>
  </si>
  <si>
    <t>2502_통합민원과_업무매뉴얼_통합민원과_기록관리_업무편람기정너</t>
  </si>
  <si>
    <t>페이지 내용 전체 참조</t>
  </si>
  <si>
    <t>고시, 공고(입법예고) 시보, 홈페이지 게재 방법
 &gt;&gt; 매월 업데이트 되는 내용으로 추후 데이터 자동화 수집 이후 적용</t>
  </si>
  <si>
    <t>**&lt;시보 게재&gt;**
 1. 발행주기 : 매주 수요일
  ▶ 2024년 12월 발행일자 : 4일, 11일, 18일, 25일
  ▶ 2025년 1월 발행일자 : 1일, 8일, 15일, 22일, 29일
 2. 발행방법 : 책자 발행(구·군 배부), 부산시보 홈페이지 게시(PDF파일)
 3. 게재의뢰 : 발행일 3일전(**매주 금요일**)까지 공문 의뢰 ※ 화요일 편집·인쇄 완료
 * 고시공고 번호 채번 후 붙임파일 첨부하여 반드시 “뉴미디어담당관”으로 공문 요청
 * 공문 본문에 게재대상, **게재일시 반드시 명시**
 * 붙임 파일명 : 구분+번호+제목 (예시) 공고 제2024-1호 ○○○ 공고
 * 붙임 첨부자료 파일명 : 구분+번호+제목 (예시) 공고 제2024-1호 01.시행도면
  ※ 본청 및 산하기관 : 행정포털 시스템 이용 / 구·군 : 자체 시스템 이용
 4. 게재경로 : 부산시보 &gt; 시정·경제 &gt; 고시공고(시보 게재 후 개별 확인 요망)
 5. 업무문의 : 미디어운영팀 박성준 (☎888-1292)
 **&lt;홈페이지 게재&gt;**
 1. 등록요청 : 행정포털 &gt; 행정업무 &gt; 공보관리 &gt; 고시/공고(입법예고) 등록
 2. 등록일자 : 홈페이지 채번 시 자동 등록(지정일시)
  ※ 시보 게재 없이 홈페이지에만 게재 시에는 공문 불필요
 3. 업무문의 : 미디어운영팀 조현경 (☎888-1297) ▶ 파일 수정/삭제 요청</t>
  </si>
  <si>
    <t>고시공고 등록 매뉴얼, 고시공고등 부산시보 게재 의뢰 유의사항</t>
  </si>
  <si>
    <t>첨렴퀴즈, 청렴교육 이수 후 청렴마일리지 실적 입력방법
 &gt;&gt; 26년 자료 나오면 업데이트 필요</t>
  </si>
  <si>
    <t>청렴퀴즈, 직원설문에 참여하셨나요
 공직자자기관리시스템에 청렴마일리지 실적을 입력해주세요.
 ● 참여자 확인 : 지식행정 → 커뮤니티 → 청렴사랑방 &gt; 청렴퀴즈 종료 후 참여자 게시
 ● 입력 방법 : 행정포털 – 행정업무 – 감사관리 – 공직자자기관리
 ☑ 본인 이수 실적 입력 : 실적관리 ⇒ 개인별 실적관리 ⇒ 추가
 마감년도 : 2025년
 실적일자 : 청렴퀴즈 종료일
 성명 : 검색으로 선택
 실적동향항목 : 0월 청렴퀴즈
 입력실적 : 1
 청렴교육을 이수하셨나요
 공직자자기관리시스템에 청렴마일리지 실적을 입력해주세요.
 ● 입력 방법 : 행정포털 – 행정업무 – 감사관리 – 공직자자기관리
 ☑ 본인 이수 실적 입력 : 실적관리 ⇒ 개인별 실적관리 ⇒ 추가
 마감년도 : 2025년
 실적일자 : 교육 수료일
 성명 : 검색으로 선택
 실적항목등록 : 수료한 교육명 기재
 예) 사이버교육(나라배움터), 집합교육, 사이버 교육
 입력실적 : 이수한 시간 입력
 첨부내역 : 수료증 등 이수 확인할 수 있는 자료(사이버교육)</t>
  </si>
  <si>
    <t>공직자자기관리시스템 입력방법(2025)</t>
  </si>
  <si>
    <t>정당한 사유없는 장시간 통화 어떻게 대응</t>
  </si>
  <si>
    <t>○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</si>
  <si>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431_2410_통합민원과_업무매뉴얼_행정안전부_민원인의 위법행위 및 반복민원 대응방안(지침)</t>
  </si>
  <si>
    <t>□ 장시간‧반복‧폭언 민원 상담 시 종료
 ○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</si>
  <si>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반복전화 어떻게 대응</t>
  </si>
  <si>
    <t>○ (반복전화‧면담 종료) 충분한 설명이 이루어졌음에도 정당한 사유 없이
 반복적으로 전화나 면담 요청을 하는 경우 민원처리 지연 등으로 추가
 상담이 어려움을 안내 후 종결 처리 권고
 - 동일․유사내용에 대한 상습적 반복 전화, 면담(요구)은 민원처리법 제5조
 제2항에 따른 다른 민원인에 대한 민원처리 지연 사유에 해당될 수 있음
 ※ 새로운 민원신청이 아닌 경우에는 충분한 설명이 이루어졌음을 안내하고 전화 종결
 (법정 지침 또는 민원처리법령에 법적 근거 마련 예정)
 ․답변 예시) 말씀하시는 내용에 대해서는 충분히 설명 드렸습니다. 다른 분들의 민원
 처리가 지연되고 있으므로 통화를 종료하겠습니다. 반복적으로 전화하시거나 면담을
 요구하시는 행위는 민원처리법 제5조에 따른 공무방해행위에 해당될 수 있습니다.
 * 충분한 설명이 이루어진 경우 외에도 다음의 경우에 해당하는 경우 설명 후 반복전화 등 종결 처리 권고
 ▹ 해당 행정기관의 권한이 아니거나 이행이 불가능한 처분, 조치 등 요구
 ▹ 민원처리담당자에 대한 욕설, 모욕, 협박, 성희롱 등 폭언
 ▹ 요구 사항과 관련하여 민원인이 폭행, 흉기난동 등의 심각한 위법행위를 한 경우
 ▹ 사인 관계 등 민원처리와 관련 없는 사항
 ▹ 요지 불명의 내용
 ▹ 기타 다른 민원인의 민원처리를 방해하는 내용</t>
  </si>
  <si>
    <t>폭언(욕설, 협박 등) 전화응대 어떻게 해야돼</t>
  </si>
  <si>
    <t>○ (폭언 종료) 상담 시간과 관계 없이, 욕설·협박·성희롱 등 폭언 시
 전화‧면담 종료 가능 (※「민원처리법 시행령」개정)
 - 폭언이 있을 경우 전화․면담 종료를 안내하고 즉시 종료 가능
 민원처리법 시행령 제4조(민원 처리 담당자의 보호) ①
 8. 다음 각 목의 경우 전화나 면담의 종료 조치. 이 경우 그 조치 전에 해당 사유를 민
 원인에게 고지해야 한다.
 가. 전화 또는 면담 중 민원인이 반복적ㆍ지속적으로 욕설, 협박 등 폭언을 하거나 모욕, 성희롱
 (성적인 언동 등을 통하여 성적 굴욕감 또는 혐오감을 느끼게 하는 행위를 말한다)을 한 경우
 나. 제7호에 따른 권장 시간을 상당히 초과하여 공무를 방해한 경우</t>
  </si>
  <si>
    <t>관인 날인 어떻게 해야해</t>
  </si>
  <si>
    <t>[관인 날인 관련 협조사항 안내]
 모든 문서는 관련 결재문서가 있어야 날인 가능합니다관련된 내부결재 문서 지참관련 결재문서가 없는 경우에는 '관인 날인 의뢰' 공문 발송 후, 지참'표창장, 상장, 감사장'은내부결재 공문 (명단 포함)(또는) '행정포털-자치행정-포상관리-포상대상자명단' 출력 지참(번호, 대상자명, 유공명 필요) 명단 순서대로 / 케이스 끼워오지 X / 포스트잇 지참(번짐 방지) 
 '위촉장, 비영리법인(허가증, 정관)'은내부결재 공문(명단 포함)다량 인쇄(20매 이상) 및 감사패 제작은날인 의뢰가 아닌, '공인 인영 인쇄' 방법으로 진행하여 주십시오
 ※ 인영 사용 협조 요청 공문 발송 통합민원과 승인 인영 수령 인쇄각종 실적증명서(공사·용역·물품)는날인대상이 아니며, 통합민원과 8번 창구 방문(수수료 1천원)</t>
  </si>
  <si>
    <t>2410_정보화정책과_업무매뉴얼_통합민원과_관인 날인 프로세스</t>
  </si>
  <si>
    <t>시장님 말씀자료 검토 의뢰 방법</t>
  </si>
  <si>
    <t>**가. 대상 : 시장님 일정 관련 비서실 협의의 완료된 행사 말씀자료**
 **나. 의뢰기한 : 행사 개최일(영상축사의 경우 촬영일) 7일 이전**
 * **부서 작성 초안(반드시 부서장 확인)** 및 업무보고 첨부하여 메시지 기획팀 제출
 * **제출 방법 : 온톡 메신저 쪽지 송부 (메시지기획팀 주무관, ☎ 1282)**
 **다. 말씀자료 검토 절차**
 * **① 일정 확정**
  * 시장님 참석 일정 조율 및 확정 (담당부서 $\rightarrow$ 비서실)
 * **② 말씀자료 의뢰 [D-7]**
  * 메시지팀 검토 의뢰 (초안 첨부) (담당부서 $\rightarrow$ 메시지기획팀)
 * **③ 말씀자료 회신 [D-3]**
  * 수정 후 부서에 회신 (메시지기획팀 $\rightarrow$ 담당부서)
 * **④ 최종자료 제출 [D-3]**
  * 부서 최종 확인 후 비서실 송부 (담당부서 $\rightarrow$ 비서실)
 **라. 협조사항 : 말씀자료 의뢰는 반드시 행사일 7일 이전 시행, 기일 엄수**
 * **의뢰 늦어질 시, 다른 행사 말씀자료 작성 일정에 차질 발생**</t>
  </si>
  <si>
    <t>2505_정보화정책과_업무매뉴얼_공보담당관_시장님 말씀 자료 검토 의뢰 관련 협조 사항 알림</t>
  </si>
  <si>
    <t>시장님 인터뷰 요청 시 처리 방법</t>
  </si>
  <si>
    <t>2. 각 언론사 등 시장님 인터뷰 요청 관련 진행사항을 아래와 같이 알려드리니, 부서에서는 인터뷰 진행 시 **공보담당관(메시지기획팀)**과 협의하여 주시기 바랍니다.
 **가. 대상 :** 각 언론사 등 **시장님 인터뷰(서면 답변 포함)** 요청
 **나. 필수사항 :** 인터뷰 진행 시 **반드시 공보담당관(메시지기획팀)과 협의**
 **다. 인터뷰 진행 절차**
 * **① 인터뷰 진행 협의**
  * 부서 통화 인터뷰 요청 시 **공보담당관과 인터뷰 진행 협의** (담당부서 $\rightarrow$ 공보담당관)
 * **② 일정 조율 등**
  * 시장님 인터뷰 방법 및 일정 조율 (비서실 $\rightarrow$ 공보담당관)
  * 질문지 검토 (언론사 $\rightarrow$ 공보담당관)
 * **③ 답변 작성**
  * 질문에 따른 **답변자료 작성 제출** (담당부서 $\rightarrow$ 공보담당관)
 * **④ 인터뷰 진행**
  * 답변자료 검토 및 작성 **최종 답변자료 공유** (공보담당관 $\rightarrow$ 비서실/부서)
  * 인터뷰 진행 (공보담당관)
 **※ 협의 및 답변자료 제출 방법 :** **온톡 메신저 쪽지 송부 또는 유선( 주무관, 행1282)**</t>
  </si>
  <si>
    <t>2508_정보화정책과_공문_언론다당관_시장님 인터뷰 진행 관련 협조사항 알림</t>
  </si>
  <si>
    <t>간행물 발간등록번호 신청 어떻게 하지</t>
  </si>
  <si>
    <t>1. 간행물 발간등록번호 신청은 어떻게 합니까?국가기록원 홈페이지(http://www.archives.go.kr) 참여·민원 간행물 발간등록 발간등록신청을 클릭하여 신청양식에 따라 작성 후 등록 신청하시면 됩니다.</t>
  </si>
  <si>
    <t>2024년도 간행물 발간등록 및 송부지침</t>
  </si>
  <si>
    <t>신용카드 사용으로 계약서 작성을 생략하는 지출 금액기준?</t>
  </si>
  <si>
    <t>□ 대상 : 물품구매 및 제조, 소규모 용역(100만원이상 500만원 이하)
 □ 근거 : 부산광역시 회계 및 계약사무 처리지침 개정(회계재산담당관-14369(2022.03.23.)호)</t>
  </si>
  <si>
    <t>2211_정보화정책과_업무매뉴얼_회계재산담당관_소규모 물품, 용역 신용카드 사용 지출 안내</t>
  </si>
  <si>
    <t>신용카드 사용으로 계약서 작성을 생략하는 지출 처리안내
 □ 근거 : 부산광역시 회계 및 계약사무 처리지침 개정(회계재산담당관-14369(2022.03.23.)호)
 □ 대상 : 물품구매 및 제조, 소규모 용역(100만원이상 500만원 이하)</t>
  </si>
  <si>
    <t>외부강의 신고대상, 방법 등 절차는?
 &gt;&gt; 앞 쪽에 동일 질문이 있으므로 제외</t>
  </si>
  <si>
    <t>① 외부강의등의 신고대상
  □ 직무와 관련되거나 그 지위·직책등에서 유래되는 사실상 영향력을 통하여 요청받은 교육·홍보·토론회·세미나·공청회 또는 그 밖의 회의 등에서 한 강의·강연·기고·발표·토론·심사·평가·자문·의결 등의 대가로서 사례금을 받는 경우
  □ 단, 사례금을 받더라도 요청자가 국가나 지방자치단체인 경우는 신고대상 아님
  ▸ 국가 : 국회, 법원, 헌법재판소, 선거관리위원회, 감사원, 국가인권위원회, 중앙행정기관 및 소속기관
  ▸ 지방자치단체 : 지방자치단체(지방의회 포함), 시도 교육청 및 해당 지방자치단체의 행정기구의 조례에 
  포함된 직속기관, 사업소 등
  ※ 요청자가 공직유관단체, 공기업, 공사·공단, 사립학교, 언론사 등인 경우는 외부강의등 신고대상임 
  ② 외부강의등의 신고방법ˑ신고부서
  □ 신고방법 : 사례금 받는 외부강의등을 할 때 마친 날부터 10일 이내 서면으로 신고
  ○ 행정포털-감사관리-외부강의등 신고등록-온나라 연계기안-신고부서로 공문발송
  ▷ 증빙서류(외부강의등 요청 외부기관 공문서) 첨부
  ▷ 문서전결권자 준수 
  - 주무관ˑ팀장 신고(부서장 전결), 부서장 신고(국장 전결) 
  - 국장 신고(부시장 또는 실장 전결)
  □ 신고부서 
  ○ 본청 및 소속기관(소방재난본부, 상수도사업본부 제외) : 청렴감사담당관
  ※ 시의회사무처 : 총무담당관, 소방재난본부 : 소방감사담당관, 상수도사업본부 : 경영지원부(요금감사팀)
  ③ 외부강의등 사례금 상한액 ▷ 세전금액으로 신고
  □ 직급 구분 없이 시간당 40만원, 총액은 시간 상한액의 100분의 150 초과 불가
  ○ 1시간 : 최대 40만원, 1시간 초과 : 최대 60만원까지 수령 가능 
  ※ 사례금 상한액에는 강의료, 원고료, 출연료 등 명목에 관계없이 제공하는 일체의 사례금 포함
  ※ 단, 교통비, 숙박비, 식비는 사례금에 포함되지 아니하되, 소속기관과 중복하여 수령 불가
  □ 초과사례금을 받은 경우, 2일 이내에 서면신고 후 제공자에게 지체없이 반환
  ④ 외부강의등 횟수기준
  □ 대가를 받고 수행하는 외부강의등은 월3회를 초과할 수 없음
  □ 월3회를 초과하여 대가를 받고 외부강의등을 할 경우, 미리 행동강령책임관의 승인을 받아야 함</t>
  </si>
  <si>
    <t>민간 클라우드를 활용하여 정보화사업을 추진시 보안대책은 무엇인가요?</t>
  </si>
  <si>
    <t>ㅇ 클라우드 보안인증(CSAP) 획득한 민간 클라우드 서비스 이용
 ㅇ 공공 전용 영역과 민간영역이 물리적으로 분리된 공공 전용 클라우드 이용
 ㅇ 이용기관 內 인가받은 관리자(IP)만 클라우드 관리자 서비스에 접근
 ㅇ 클라우드 서비스 접속시 인증서, OTP, MAC 등 다중요소 인증방식 적용
 ㅇ 클라우드 시스템 보안점검 리스트를 참고하여 정기적으로 보안점검 수행
 ㅇ 해킹·장애 대응에 필요한 조치를 위한 사업자의 협조 의무사항 계약서에 명시
 ㅇ 민간 클라우드 컴퓨팅 서비스에 대한 이용기관의 보안관제 수행
 ㅇ 정보화사업 보안성검토 확행(시스템 중요도 분류 체크리스트</t>
  </si>
  <si>
    <t>2507_정보화정책과_2025년 국가정보원 「사이버보안 실태 평가」 대비 민간 클라우드 컴퓨팅 서비스 관련 자료 제출</t>
  </si>
  <si>
    <t>본문</t>
  </si>
  <si>
    <t>본문내용 인용</t>
  </si>
  <si>
    <t>정보화용역사업 추진시 사업 단계별 담당자가 준수해야할 절차는 무엇인가요?</t>
  </si>
  <si>
    <t>정보화용역사업 추진 단계별 준수 절차
 제1절 참여인원 보안관리
 1. 신원확인
  - 부적격자 배제, 국가공무원법/국가를 당사자로 하는 계약에 관한 법률 위반 시 교체 요구
  - 비밀사업 시 비밀취급 인가 등 보안조치 필수
 2. 보안서약서 &amp; 교육
  - 전원에 보안서약서 서약 (정보 유출 금지 조항 포함)
  - 법적·내부 규정에 따른 비밀유지 의무 교육 실시
 3. 정기·수시 보안점검
  - 누출금지 대상정보 관리 실태 확인
  - 위반 시 내부 처리기준에 따른 조치 + 재발방지 대책 마련
 제2절 사무실·장비 보안관리
 1. 수행 장소
  - 비인가자 출입통제(CCTV, 잠금장치 필수) + 정기적 보안점검
 2. 장비 관리
  - 발주기관 제공 장비 사용 원칙 (PC, 노트북 등 장비등록 대장 관리)
  - 개인장비 반입 금지 (적발 시 계약 조건에 따른 불이익)
 3. 장비 점검
  - 백신 설치, 비밀번호 설정, 매체제어 시스템 적용
  - 개인 모바일기기는 카메라·충전포트 스티커 부착 후 반입 허용
 제3절 내·외부망 접근 보안
 1. 망 분리 구성
  - 용역업체 망을 발주기관 내부·외부망과 분리 (별도 전용 통신망 구성)
 2. 내부망 접근 최소화
  - 지정 단말기로 제한적 접근, 사용자 계정 별도 그룹화 및 권한 차등 부여
  - 시스템 관리자(root) 권한 부여 금지
 3. 외부망 보안 강화
  - 인터넷 연결 전용 기기 지정, P2P/웹하드/클라우드 차단
  - 무선 통신(무선랜, 휴대폰 모뎀) 사용 통제
 제4절 자료에 대한 보안관리
 1. 인계·인수 대장 관리
  - 계약서 명시 자료는 자필 서명하여 대장 관리
 2. 자료 접근 및 회수
  - 잠금장치 보관함/비인터넷 PC에 저장
  - 비밀문서 열람 후 즉시 회수
 3. 점검 확인
  - 체크리스트 활용, 미회수 자료 유무 일일 점검</t>
  </si>
  <si>
    <t>2503_정보화정책과_정보화용역사업 보안관리 철저_붙임_국가·공공기관 용역업체 보안관리 가이드라인</t>
  </si>
  <si>
    <t>9, 10, 11, 12, 13, 14, 15</t>
  </si>
  <si>
    <t>가이드라인 편집 요약</t>
  </si>
  <si>
    <t>사무실 PC에 지켜야할 보안 점검 항목은 무엇인가요?</t>
  </si>
  <si>
    <t>ㅇ CMOS 및 윈도우 비밀번호 설정, 정기적 변경(유추하기 어려운 비밀번호 설정)
 ㅇ 작업 일정 시간 중단 시 비밀번호를 적용한 화면보호기 설정(10분 권고)
 ㅇ 최신 백신SW 설치, 운영체제 및 응용프로그램 최신 보안패치
 ㅇ 출처, 유통경로 및 제작자가 불분명한 응용프로그램 사용 금지
 ㅇ 업무와 무관한 소프트웨어 설치 금지(카카오톡, 게임, 증권, 재테크 등)
 ㅇ 업무용 PC 내 불필요한 개인정보 파기 등 보호 조치
 ㅇ 매월 사이버보안 진단의 날 PC보안 취약점 점검 및 조치(100점)</t>
  </si>
  <si>
    <t>2301_부산광역시_업무매뉴얼_국가정보원_국가 정보보안 기본지침</t>
  </si>
  <si>
    <t>제74조(단말기 보안) 내용 전문</t>
  </si>
  <si>
    <t>서버 운용시 취약한 서비스 포트는 무엇인가요?</t>
  </si>
  <si>
    <t>ㅇ 기본포트 변경 대상
  - ssh(22), rdp(3389), vnc(5800, 5900) 등
 ㅇ 보안 취약 서비스로 사용 금지 대상
  - ftp(20,21), telnet(23), SMTP(23), rpc(135), NetBios(139), SMB(445), rlogin(513), rsh(514), MS SQL(1433/1434)</t>
  </si>
  <si>
    <t>2510_정보화정책과_2025년 사이버보안 관리실태 평가 현장실사에 따른 협조 요청</t>
  </si>
  <si>
    <t>붙임3_정보시스템 보안 체크리스트</t>
  </si>
  <si>
    <t>체크리스트 일부 내용 발췌</t>
  </si>
  <si>
    <t>방화벽 등 IT보안제품 도입시 안정성 검증된 제품은 어디에서 확인할 수 있나요?
 &gt;&gt; 근거자료에 관련 내용 없음</t>
  </si>
  <si>
    <t>ㅇ 안정성 검증필 제품이란 
  - 국가정보원법 제4조 등에 따라 국가정보원장이 정한 보안기준을 만족한 제품으로
  '보안기능 확인서', '국내용 CC인증서' 등이 발급된 제품
 ㅇ 제품 확인 방법은
  - 사이트명 : 국가정보원 '국가사이버안보센터'
  - 메뉴명 : 보안적합성검증 - 안정성 검증필 제품목록
  - URL : www.ncsc.go.kr</t>
  </si>
  <si>
    <t>국가정보원법 제4조
 전자정부법 제56조
 사이버안보업무규정 제9조</t>
  </si>
  <si>
    <t>기술지원 중단 된 소프트웨어 대상은 무엇이 있나요? (25.12월 기준)</t>
  </si>
  <si>
    <t>◦(기술지원 종료 SW) 정보화정책과-17848(‘25.9.23) 공문 참고
  - MS오피스 2019 이하 삭제(2019, 2016, 2013 등) ⇒ 2021 이상 버전 설치
  - 한컴오피스 NEO 이하 삭제(NEO, 2014, 2010 등) ⇒ 2022 이상 버전 설치
  - 기타 Adobe Flash Player, 알캡쳐·알PDF·알집 구버전 등</t>
  </si>
  <si>
    <t>2510_2025년 사이버보안 관리실태 평가 현장실사에 따른 협조 요청</t>
  </si>
  <si>
    <t>외부인사가 부산시 회의 참석시 수당은 얼마인가요?</t>
  </si>
  <si>
    <t>지급 수준과 실비 보전
  - 위원회: 1일(2시간) 기준 기본료는 100,000원이며, 초과 시간당 50,000원을 추가로 지급(단, 초과는 2시간 이상 시 1일 1회만 지급)
  ※ 사이버위원회: 1회(2시간) 기준 기본료는 50,000원이고, 초과 시간당 20,000원을 추가로 지급</t>
  </si>
  <si>
    <t>부산광역시 소속 위원회 위원 수당 및 여비 지급에 관한 조례</t>
  </si>
  <si>
    <t>[별표]수당의 지급기준</t>
  </si>
  <si>
    <t>2006년 2월 입사했는데 20년차 장기재직 휴가를 언제까지 사용해야 하나요?
 또는
 재직기간별 장기재직휴가 사용 마감기한은 언제까지 인가요?</t>
  </si>
  <si>
    <t>1. 재직기간 별 해당 기간 내 반드시 사용
 2.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</si>
  <si>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부산광역시 공무원 장기재직휴가 시행지침 개정전문</t>
  </si>
  <si>
    <t>나. 재직기간 별 해당 기간 내 반드시 사용
 - ’23.10.11. 「부산광역시 공무원 복무 조례」개정으로 확대된 장기재직
 휴가 일수가 6개월 내 소멸 예정인 자는 신설·확대된 장기재직
 휴가 5일에 한하여 소멸유예기간을 적용하여 ’24. 4. 1.한 사용 가능
 * 대상자 : ’23.10.2. 기준 재직기간이 9년 6월 ~ 11월 또는, 재직기간이 29년 6월 ~ 11월인 자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</si>
  <si>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1996년 10월 입사했는데 장기재직휴가 일수는 며칠이야?</t>
  </si>
  <si>
    <t>재직기간 별 휴가기간
 1. 5년 ~ 9년 : 5일
 2. 10년 ~ 19년 : 15일
 3. 20년 ~ 29년 : 25일
 4. 30년 이상 :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</si>
  <si>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4. 실시방법 : 재직기간에 따라 해당 기간 중 장기재직휴가 실시
 재직기간 5년 ~ 9년 10년 ~ 19년 20년 ~ 29년 30년 이상
 휴가일수 5일 10일 25일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</si>
  <si>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공유재산 사용허가/대부의 경우 수의계약 대상 관련 근거는 무엇인가요?</t>
  </si>
  <si>
    <t>○ (행정재산) ｢공유재산 및 물품 관리법｣ 제20조제2항, 같은 법 시행령 제13조제3항
 ○  (일반재산) ｢공유재산 및 물품 관리법｣ 제29조제1항, 같은 법 시행령 제29조제1항
 ○  다른 법률에서 공유재산에 대한 수의계약 등을 규정하고 있는 경우</t>
  </si>
  <si>
    <t>2024 공유재산 업무편람</t>
  </si>
  <si>
    <t>김헌호(2263)</t>
  </si>
  <si>
    <t>연간 사용(대부)료 산출방법은?</t>
  </si>
  <si>
    <t>○ 연간 사용료(대부료) = 재산가격(시행령 제31조에 따라 산출한 재산가격) × 사용료율(대부료율)
  ○ 사용(대부)료 부과, 징수 기준은 다음과 같습니다
  1) 건물 전체인 경우: 건물평가액과 부지평가액을 합산하여 재산의 평가액을 산정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합계)÷해당 부지 내 건물의 연면적)</t>
  </si>
  <si>
    <t>97, 98, 99, 100, 101, 102, 103, 104, 105, 106, 107</t>
  </si>
  <si>
    <t>98P 
 ○ 연간 사용료(대부료) = 재산가격(시행령 제31조에 따라 산출한 재산가격) × 사용료율(대부료율)
 102P
 ○ 사용, 대부료 부과, 징수 기준
  1) 건물 전체인 경우: 건물평가액+부지평가액 = 재산의 평가액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 해당 부지 내 건물의 연면적</t>
  </si>
  <si>
    <t>행정재산에 대해 사용허가를 연장하는 경우, 「공유재산 및 물품관리법」과 「상가임대차법」 중 어느 법을 적용해야하는 가요?</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</si>
  <si>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</si>
  <si>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2023 공유재산 질의회신 및 감사 사례집</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</si>
  <si>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</si>
  <si>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박창범(2262)</t>
  </si>
  <si>
    <t>「공유재산 및 물품 관리법 시행령」제29조제1항제2호에서의 '해당 지방자치단체에 거주하는' 에서의 거주의 의미는 무엇인가요?
 &gt;&gt; 근거자료 미제출</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</si>
  <si>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규정하고 있습니다. 
 ○ 이와 같이 대통령령 제29324호에서 '농업인'을 '해당 지방자치단체에 거주하는 농업인'으로 개정한 취지는 
 • 당해 자치단체에 주소를 두고 생활하면서 
 • 세금을 납부하고 있는 주민 중 
 • 농업을 경영하거나 이에 종사하는 자에게 
  자치단체 경작용재산을 수의계약으로 대부할 수 있도록 혜택을 부여하여 그 주민의 경제적 혜택과 복리를 증진하기 위한 입법 목적일 것이므로 
 ○ 시행령에서 말하는 '거주'는 해당 자치단체에 주민등록을 두고 있는 자로 보는 것이 타당합니다.</t>
  </si>
  <si>
    <t>2024 공유재산 실무과정 1기 책자</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</si>
  <si>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
 ○ 이와 같이 대통령령 제29324호에서 '농업인'을 '해당 지방자치단체에 거주하는 농업인'으로 개정한 취지는 당해 자치단체에 주소를 두고 생활하면서 세금을 납부하고 있는 주민 중 농업을 경영하거나 이에 종사하는 자에게 자치단체 경작용재산을 수의계약으로 대부할 수 있도록 혜택을 부여하여 그 주민의 경제적 혜택과 복리를 증진하기 위한 입법 목적일 것이므로 해당 자치단체에 주민등록을 두고 있는 자로 보는 것이 타당</t>
  </si>
  <si>
    <t>공유재산 변상금이란 무엇인가요?</t>
  </si>
  <si>
    <t>○ 공유재산 변상금은 「공유재산 및 물품 관리법」 제81조 및 같은 법 시행령 제81조에 근거하여 부과되는 금액으로
 ○ 공유재산을 대부 또는 사용허가 등을 받지 아니하고 점유･사용하였을 경우, 또는 대부･사용허가 기간이 끝난 후 다시 대부 또는 사용허가 등을 받지 아니하고 공유재산을 계속 점유하거나 사용･수익한 자를 포함한 경우 부과하는 일종의 징벌적 행정처분으로 
 ○ 부과기준은 해당 재산의 사용료나 대부료의 100분의 120에 상당하는 금액입니다.</t>
  </si>
  <si>
    <t>가. 근 거
 ❍ ｢공유재산 및 물품 관리법｣ 제81조, 같은 법 시행령 제81조
 나. 의 의
 ❍ 공유재산을 대부 또는 사용허가 등을 받지 아니하고 점유･사용하였을 경우 해당 재산의
 사용료나 대부료의 100분의 120에 상당하는 금액을 부과하는 일종의 징벌적 행정처분임
 ❍ 대부 또는 사용허가 기간이 끝난 후 다시 대부 또는 사용허가 등을 받지 아니하고
 공유재산을 계속 점유하거나 사용･수익한 자를 포함함</t>
  </si>
  <si>
    <t>김태영(2268)</t>
  </si>
  <si>
    <t>변상금 분할납부가 가능한가요?</t>
  </si>
  <si>
    <t>○ 「공유재산 및 물품 관리법 시행령」 제81조에 따라, 변상금이 50만 원을 초과하는 경우, 시중은행 1년 만기 정기예금의 평균 수신금리를 고려하여 행정안전부장관이 고시한 이자율을 적용한 이자를 붙여 최대 3년 범위 내에서 분할납부를 허용할 수 있습니다.
 ○ 이 경우 최초로 변상금을 부과·고지할 때에는 분할납부 대상 금액, 납부기한 및 산출근거를 명시한 문서로 통지하여야 합니다.
 ○ 변상금은 납부기한 경과 시 연체료가 발생하므로, 기한 경과 후에는 분할납부 신청이 불가합니다.
 ○ 분할납부를 허용한 경우에도, 분납기한 도래 전 잔여 변상금을 일시 납부하면 잔여 기간에 대한 분납이자는 면제됩니다.</t>
  </si>
  <si>
    <t>259, 260</t>
  </si>
  <si>
    <t>6. 분할 납부
 가. 변상금은 대통령령으로 정하는 바에 따라 나누어 내게 할 수 있음(법 제81조제2항)
 나. 분할납부 대상(시행령 제81조)
 ❍ 변상금이 50만원을 초과하는 경우에는 시중은행의 1년만기 정기예금의 평균 수신금리를
 고려하여 행정안전부 장관이 정하여 고시하는 이자율을 적용한 이자를 붙여 3년 이내의
 기간에 걸쳐 분할납부하게 할 수 있음
 _x0002_ 변상금을 징수할 때에는 그 금액, 납부기한, 납부 장소 및 변상금의 산출 근거를 분명하게
 적은 문서로 알려야 하며, 납부기한은 변상금 납부 통지일로 부터 60일 이내로 함
 다. 분할납부 방법
 ❍ 변상금 잔액에 대하여 시중은행의 1년만기 정기예금의 평균 수신금리를 고려하여 행정안
 전부 장관이 정하여 고시하는 이자율을 적용한 이자를 붙여 3년 이내의 기간으로 해당
 시중은행의 1년 만기 정기예금의 평균 수신금리를 고려하여 분할납부
 ❍ 이 경우에 최초로 변상금을 부과 고지하는 때에는 분할납부할 변상금, 납부기한 및
 산출근거를 기재한 문서로 통지하여야 함
 ❍ 변상금이 납부기한이 경과된 이후에는 연체료가 발생하므로 납부기한 경과 이후에는
 분할납부 신청 불가
 ❍ 변상금 분할납부 허용 후 분납기일 도래 전 잔여 분납 변상금을 모두 납부한 경우
 잔여기간에 대한 분납이자 납부를 면제함
 라. 분할납부시 각 분납금에 대한 소멸시효
 ❍ 변상금 분납의 경우 각 기한이 도래하는 때부터 소멸시효가 진행</t>
  </si>
  <si>
    <t>공유재산 매수신청 절차가 어떻게 되나요?</t>
  </si>
  <si>
    <t>매각 계약 절차에 관련된 링크만 제공</t>
  </si>
  <si>
    <t>200P 3. 계약절차의 가. 매각 흐름도(예시)
 매각 계약 절차에 관련된 링크만 제공</t>
  </si>
  <si>
    <t>김수연(2264)</t>
  </si>
  <si>
    <t>공유재산 일반재산의 처분시 수의계약 요건은 어떻게 되나요?</t>
  </si>
  <si>
    <t>○ 「공유재산 및 물품 관리법」 제29조제1항 및 같은 법 시행령 제38조제1항에 따라, 아래에 어느 하나에 해당하는 경우 수의계약으로 매각할 수 있습니다. 세부 적용대상은 다음과 같습니다.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t>
  </si>
  <si>
    <t>「공유재산 및 물품 관리법 시행령」 제38조제1항</t>
  </si>
  <si>
    <t>제29조(계약의 방법) ① 일반재산을 대부하거나 매각하는 계약을 체결할 때에는 일반입찰에 부쳐야 한다. 다만, 대통령령으로 정하는 경우에는 제한경쟁 또는 지명경쟁에 부치거나 수의계약으로 할 수 있으며, 증권의 경우에는 「자본시장과 금융투자업에 관한 법률」 제9조제9항에 따른 증권매출의 방법으로 하며, 이 법 제4조제1항제2호 및 제3호의 일반재산을 매각하는 경우에는 제76조제3항을 준용한다.&lt;개정 2010. 2. 4., 2015. 1. 20., 2021. 4. 20.&gt;
 제38조(수의계약으로 매각할 수 있는 경우 등) ① 지방자치단체의 장은 일반재산이 다음 각 호의 어느 하나에 해당하는 경우에는 법 제29조제1항 단서에 따라 수의계약으로 매각할 수 있다.&lt;개정 2009. 12. 15., 2010. 6. 28., 2010. 8. 4., 2012. 4. 10., 2013. 3. 23., 2014. 7. 7., 2014. 11. 19., 2015. 2. 16., 2015. 7. 20., 2016. 7. 12., 2017. 7. 26., 2018. 1. 9., 2018. 9. 18., 2023. 4. 11., 2025. 1. 7.&gt;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삭제&lt;2018. 1. 9.&gt;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한다.&lt;개정 2010. 8. 4., 2015. 7. 20.&gt;
 [전문개정 2009. 4. 24.]</t>
  </si>
  <si>
    <t>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&gt;&gt; 자료 미제출</t>
  </si>
  <si>
    <t>「공유재산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</si>
  <si>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Q. 기부채납 재산의 반환 가능여부
 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A. 「공유재산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</si>
  <si>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김세영(2269)</t>
  </si>
  <si>
    <t>행정재산의 사용허가 시, 해당 건물의 일부가 출입통제구역인 경우 공용면적에서 제외할 수 있는지와 설비공간 등이 공용면적에 해당하는지 여부</t>
  </si>
  <si>
    <t>○참조조항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</si>
  <si>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Q. 행정재산의 사용허가 시, 해당 건물의 일부가 출입통제구역인 경우 공용면적에서 제외할 수 있는지와 설비공간 등이 공용면적에 해당하는지 여부
 A. ○참조조항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</si>
  <si>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공유재산 관리계획 수립대상은?
 &gt;&gt; 자료 미제출</t>
  </si>
  <si>
    <t>○ 수립개요: 공유재산 관리계획은 지방자치단체가 공유재산의 취득과 처분을 결정하기 전에 지방의회의 의결을 받는 것을 의미
  ○ 다음 기준에 해당하는 토지와 건물 및 그 부대시설은 관리계획 수립대상입니다
  - (가격기준) 1건당 취득의 경우 20억 이상, 처분의 경우 10억 이상
  - (면적기준) 1건당 취득의 경우 6천㎡ 이상, 처분의 경우 5천㎡이상
  ○ 관리계획 수립 후 내용이 취소되거나 일부를 변경하는 경우에도 대상이 됩니다.
  - 사업목적 또는 용도가 변경된 경우, 공유재산 위치변경, 토지의 면적이나토지·건물가격이 30% 초과하여 증감 등</t>
  </si>
  <si>
    <t>공유재산심의 및 공유재산 관리계획 설명자료</t>
  </si>
  <si>
    <t>p2</t>
  </si>
  <si>
    <t>○ 수립개요: 공유재산 관리계획은 지방자치단체가 공유재산의 취득과 처분을 결정하기 전에 지방의회의 의결을 받는 것을 의미
  ○ 범 위: 토지와 건물 및 그 부대시설의 기준가격과 토지면적
  - (가격기준) 1건당 취득의 경우 20억 이상, 처분의 경우 10억 이상
  - (면적기준) 1건당 취득의 경우 6천㎡ 이상, 처분의 경우 5천㎡이상
  ○ 관리계획 수립 후 내용이 취소되거나 일부를 변경할 때
  - 사업목적 또는 용도가 변경된 경우, 공유재산 위치변경, 토지의 면적이나토지·건물가격이 30% 초과하여 증감 등</t>
  </si>
  <si>
    <t>이주영(2267)</t>
  </si>
  <si>
    <t>공유재산 관리계획 반영 시기
 &gt;&gt; 자료 미제출</t>
  </si>
  <si>
    <t>○ 반영시기: 기본계획 확정 후 예산의결前 시의회 의결(「공유재산 및 물품 관리법」\ 제10조)
  - 예산사업: 기본·실시설계 용역 예산의결 전
  - 비예산사업(기부채납 등) : 방침결정 후 사업추진 전</t>
  </si>
  <si>
    <t>p3</t>
  </si>
  <si>
    <t>○ 반영시기: 기본계획 확정 후 예산의결前 시의회 의결(공유재산법 제10조)
  - 예산사업: 기본·실시설계 용역 예산의결 전
  - 비예산사업(기부채납 등) : 방침결정 후 사업추진 전</t>
  </si>
  <si>
    <t>공유재산심의회 심의 대상은?
 &gt;&gt; 자료 미제출</t>
  </si>
  <si>
    <t>○ 기준가격 1억원 초과 공유재산의 취득․처분
  - 취 득: 매입, 기부채납, 무상귀속, 환지,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 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</si>
  <si>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p1-p2</t>
  </si>
  <si>
    <t>기준가격 1억원 초과 공유재산의 취득․처분
  - 취 득: 매입, 기부채납, 무상귀속, 환지, 무상귀속,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</si>
  <si>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전경환(2265)</t>
  </si>
  <si>
    <t>공유재산심의회 절차 이행사항
 &gt;&gt; 자료 미제출</t>
  </si>
  <si>
    <t>○ 예산수반사업 ▷ 시의회 예산의결前 절차이행
  - 계획수립단계 : 예산담당관, 회계재산담당관 협의
  ▷ 예산담당관(사업비 예산편성), 회계재산담당관(공유재산심의, 관리계획)
  - 예산편성단계 : 공유재산심의 절차이행 여부 확인
  ▷ 공유재산심의 미 이행시 예산편성 배제, 사업추진 원천차단
 ○비예산사업/기부채납 * 기부채납은 기부신청서 접수 → 내부방침 확정후
  - 소관부서 : 재산가치, 조건수반등 검토 → 수락여부 결정
  ▷ 내부방침 확정 전 회계재산담당관 협조 이행
  ▷ 1억원 초과 시 공유재산심의 대상(소관부서→회계재산담당관)</t>
  </si>
  <si>
    <t>용도변경과 그 대상은 어떤것인가요?</t>
  </si>
  <si>
    <t>○ 공유재산의 용도변경은 일반재산을 행정재산으로 전환하거나 행정재산을 다른 행정목적으로 바꾸는 경우를 말합니다
 ○ 대상예시: 일반재산→행정재산(공용재산), 공용재산→공공용 재산, 공공용 재산→보존용재산 전환 등</t>
  </si>
  <si>
    <t>○ 일반재산을 행정재산으로 전환하거나 행정재산을 다른 행정목적으로 바꾸
 는 경우를 말함.
  ○ 일반재산을 행정재산(공용재산)으로, 공용재산을 공공용 재산으로, 공공용 재산을 보존용재산으로의 전환 등</t>
  </si>
  <si>
    <t>김여정(2266)</t>
  </si>
  <si>
    <t>「공유재산 및 물품 관리법」 제11조의 행정재산의 용도변경은 행정재산 대분류간 변경에만 해당되나요? 공용재산 또는 공공용 재산 내에서라도 관리부서변경 또는 사업 목적 등이 변경되었다면 행정목적의 용도변경으로 볼 수 있나요?
 &gt;&gt; 근거자료 미제출</t>
  </si>
  <si>
    <t>○ 「공유재산 및 물품 관리법」 제5조는 공유재산을 행정재산과 일반재산으로 구분하고, 행정재산은 다시 공용재산·공공용재산·기업용재산·보존용재산으로 세분하고 있습니다.
 ○ 법 제11조는 행정재산의 용도변경 또는 폐지가 가능한 경우를 다음과 같이 규정하고 있습니다.
  - 행정재산이 사실상 행정목적으로 사용되지 아니하게 된 경우
  - 체육시설·회의시설·전시장 등 공공시설의 일부를 원래 용도로 사용하지 아니하기로 한 경우
  - 법 제43조의3에 따른 위탁개발이 필요한 경우
  - 일반재산을 행정재산으로 용도 변경하려는 경우
 ○ 또한, 법 제16조제2항은 공유재산심의회의 심의대상으로 행정재산의 용도변경, 일반재산을 행정재산으로 변경하는 경우를 명시하고 있습니다.
 ○ 위 규정과 입법취지를 종합적으로 고려하면, 법 제11조의 ‘용도변경’은 행정재산의 대분류(공용·공공용·기업용·보존용) 간 변경을 의미하는 것으로 해석하는 것이 타당합니다.
 ○ 따라서 같은 행정재산 대분류 내에서 관리부서가 변경되거나 사업 목적이 일부 조정되는 것만으로는 법 제11조상의 ‘용도변경’에 해당한다고 보기 어렵습니다.
 이는 내부적 관리관계의 변경에 불과하며, 행정재산의 법적 성격(공용·공공용 등) 자체가 변경되는 경우에만 법 제11조의 용도변경 절차가 적용됩니다.</t>
  </si>
  <si>
    <t>○ 「공유재산 및 물품 관리법」 제5조에서 공유재산은 그 용도에 따라 행정재산과 일반재산으로 구분 행정재산은 공용재산, 공공용재산, 기업용재산, 보존용재산으로 구분 ○ 법 제11조에서 용도를 변경하거나 폐지하는 경우로서 1. 행정재산이 사실상 행정목적으로 사용하지 아니하게 된 경우 2. 행정재산인 국제경기장 등 체육시설, 국제회의장 등 회의시설, 국제전시장 등 전시장, 그 밖의 공공시설로서 그 일부를 원래 용도로 사용하지 아니하기로 한 경우 3. 법 제43조의3에 따른 위탁개발을 하기 위하여 필요한 경우 4. 일반재산을 행정재산으로 용도 변경하려는 경우를 규정 법 제16조제2항에서 공유재산심의회 심의대상으로 행정재산을 용도변경하는 경우와 일반재산을 행정재산으로 변경하는 경우를 규정 ○ 위와 같은 입법 취지를 고려할 때 행정재산의 용도변경이라 함은 법 제5조제2항 각 호의 용도 간 변경으로 보는 것이 타당함</t>
  </si>
  <si>
    <t>용도폐지와 그 대상은 어떤 것인가요?</t>
  </si>
  <si>
    <t>○ 공유재산의 용도폐지는 행정목적 본래의 기능을 상실한 공용재산, 공공용재산 등 행정재산에 대하여 기존 용도를 폐지하여 일반재산으로 전환하는 것을 말합니다.
 ○ 대상예시
  ① 청사･도로･공원 등 공용･공공용 재산 등의 행정재산이 사실상 사용되지 않게 된 경우
  ② 행정 목적으로 사용할 필요가 없게 된 경우</t>
  </si>
  <si>
    <t>○ 행정목적 본래의 기능을 상실한 공용재산, 공공용재산 등 행정재산에 대하
 여 기존 용도를 폐지하여 일반재산으로 전환하는 것을 말함
 ○ 청사･도로･공원 등 공용･공공용 재산 등의 행정재산이 사실상 사용되지 아니하거나 
 행정 목적으로 사용할 필요가 없게 된 경우</t>
  </si>
  <si>
    <t>김주홍(2261)</t>
  </si>
  <si>
    <t>현금이나 물품을 기부채납 할 수있나요?</t>
  </si>
  <si>
    <t>○ ｢공유재산 및 물품 관리법｣ 제2조제3호에 따른 기부채납이란 해당 지방자치단체 외의 자가 공유재산으로 편입되는 재산의 소유권을 무상으로 지방자치단체에 이전하여 지방자치단체가 이를 취득하는 것을 말합니다.
 ○ 지방자치단체는 법 제7조 및 시행령 제5조에 따라 행정재산 또는 일반재산으로 편입(증가) 가능한 재산을 기부채납 형태로 받을 수 있습니다.
 ○ 즉, 기부채납은 공유재산으로 편입(증가)되는 재산이어야 합니다. 따라서, 현금은 ｢공유재산 및 물품 관리법｣제4조에 의한 공유재산에 해당하지 않으므로, 금전의 투자를 기부채납 대상으로 보는 것은 인정하기는 어렵습니다.</t>
  </si>
  <si>
    <t>○ 기부채납이란 해당 지방자치단체 외의 자가 공유재산으로 편입되는 재산의 소유권을 무상으로 지방자치단체에 이전하여 지방자치단체가 이를 취득하는 것을 말함(법 제2조제3호) 
 ○ 지방자치단체는 행정재산 또는 일반재산으로 기부받을 수 있음 
 ○ 공유재산으로 편입(증가)되는 재산이어야 함 
 - 현금은 ｢공유재산 및 물품 관리법｣제4조에 의한 공유재산에 해당하지 않으므로 금전의 투자를 기부채납 대상으로 보는 것은 곤란함</t>
  </si>
  <si>
    <t>공유재산심의 및 관리계획을 생략할 수 있나요?
 &gt;&gt; 근거자료 미제출</t>
  </si>
  <si>
    <t>다음 내용에 해당하는 경우에는 공유재산심의 및 관리계획 수립 절차를 생략할 수 있습니다
 ○ 「공유재산 및 물품 관리법 시행령」제7조제3항각호에 해당하는 취득․처분
  1. 「공유재산 및 물품 관리법」이 아닌 다른 법률에 따른 무상귀속
  2. 「도시개발법」 등 다른 법률에 따른 환지
  3. 법원의 판결에 의한 소유권 등의 취득 또는 상실
  4. 「공익사업을 위한 토지 등의 취득 및 보상에 관한 법률」에 따른 취득(「국토의 계획 및 이용에 관한 법률」제2조제6호가목 나목 또는 마목의 기반시설을 설치·정비 또는 개량하는 경우만 해당한다)·처분
  5. 「도시 및 주거환경정비법」제68조에 따른 무상양여
  6. 「기업활동 규제완화에 관한 특별조치법」제14조에 따른 중소기업자에 대한 공장용지 매각 
  7. 지방의회의 의결 또는 동의를 받은 재산의 취득․처분 
  8. 「지방세법」제117조에 따른 물납
  9. 다른 법률에 따라 관리계획의 적용이 배제된 재산의 취득․처분
  10. 다른 법률에 따라 해당 지방자치단체의 취득․처분이 의무화된 재산 취득·처분
  11. 다른 법률에 따라 인가․허가 또는 사업승인 시 조건에 의하여 주된사업대상물에 딸린 공공시설의 취득
  12. 공유재산을 종전과 동일한 목적과 규모로 대체하는 재산의 취득(재산 위치가 변경되지 않는 경우를 전제로 함)
 ○ 「건축법」제57조 제1항에 따른 최소 분할면적에 미달하는 토지의 취득․처분
 ○ 기준가격 1억원 이하인 재산의 취득․처분</t>
  </si>
  <si>
    <t>하은지(2482)</t>
  </si>
  <si>
    <t>건물의 리모델링은 관리계획 수립대상인가요?</t>
  </si>
  <si>
    <t>○ 건물의 리모델링이 단순 구조변경, 보수 등으로 물건의 증감 또는 소유권의 변동이 없는 경우는 관리계획 수립대상에 해당하지 않음</t>
  </si>
  <si>
    <t>참조조항 : 「공유재산 및 물품 관리법」 제4조제1항, 제10조제1항
 ‌ ‌ 「공유재산법」 제10조제1항에 따라 자치단체의 장은 예산을 지방의회에 의결
 하기 전에 매년 공유재산의 취득과 처분에 관한 계획(관리계획)을 수립하여
 그 지방의회의 의결을 받도록 규정하고 있습니다.
 ‌ ‌ 부동산과 그 종물 등 같은 법 제4조제1항 각 호의 어느 하나에 해당하는 공
 유재산의 취득 또는 처분인 경우에는 관리계획을 수립하여야 할 것이나, 물건
 의 증감 또는 소유권의 변동이 없는 단순 리모델링은 관리계획 수립 대상에
 해당하지 않을 것으로 사료됩니다.</t>
  </si>
  <si>
    <t>다른 법률에서 규정하고 있는 공유재산 '사용료 등의 감면' 특례 조항은 어디에 있나요?</t>
  </si>
  <si>
    <t>공유재산 사용료 등의 감면 특례는 타 개별 법률에 규정되어 있으며, 현행 기준으로 총 158개의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「2023 순천만국제정원박람회 지원 및 사후활용에 관한 특별법」 제20조
 ○ 「5･18민주유공자예우 및 단체설립에 관한 법률」 제78조
 ○ 「경제자유구역 및 제주국제자유도시의 외국교육기관 설립･운영에 관한 특별법」 제13조
 ○ 「경제자유구역의 지정 및 운영에 관한 특별법」 제16조, 제17조
 ○ 「고도 보존 및 육성에 관한 특별법」 제20조
 ○ 「고엽제후유의증 등 환자지원 및 단체설립에 관한 법률」 제20조의2
 ○ 「공공기록물 관리에 관한 법률」 제46조의3
 ○ 「공공보건의료에 관한 법률」 제10조
 ○ 「공공주택 특별법」 제18조, 제40조의3
 ○ 「공연법」 제8조
 ○ 「공익법인의 설립･운영에 관한 법률」 제13조
 ○ 「과학관의 설립･운영 및 육성에 관한 법률」 제6조의6
 ○ 「과학기술분야 정부출연연구기관등의 설립･운영 및 육성에 관한 법률」 제7조
 ○ 「관광진흥법」 제76조
 ○ 「교육국제화특구의 지정･운영 및 육성에 관한 특별법」 제19조
 ○ 「지방자치분권 및 지역균형발전에 관한 특별법」 제29조
 ○ 「국가유공자 등 단체 설립에 관한 법률」 제13조의2
 ○ 「국립공원공단법」 제16조
 ○ 「국립농업박물관법」 제12조
 ○ 「국립대학법인 서울대학교 설립･운영에 관한 법률」 제22조
 ○ 「국립대학법인 인천대학교 설립･운영에 관한 법률」 제21조
 ○ 「국립묘지의 설치 및 운영에 관한 법률」 제11조의4, 제11조의9
 ○ 「국민체육진흥법」 제22조
 ○ 「국민 평생 직업능력 개발법」 제48조
 ○ 「국방과학연구소법」 제21조
 ○ 「국제경기대회 지원법」 제13조, 제22조
 ○ 「국제과학비즈니스벨트 조성 및 지원에 관한 특별법」 제23조, 제29조, 제31조
 ○ 「국토의 계획 및 이용에 관한 법률」 제65조
 ○ 「국회사무처법」 제10조
 ○ 「규제자유특구 및 지역특화발전특구에 관한 규제특례법」 제54조, 제127조, 제131조
 ○ 「금융중심지의 조성과 발전에 관한 법률」 제12조의2
 ○ 「금융혁신지원 특별법」 제26조
 ○ 「기업도시개발 특별법」 제26조
 ○ 「노인복지법」 제54조
 ○ 「녹색융합클러스터 조성 및 육성에 관한 법률」 제16조
 ○ 「녹색제품 구매촉진에 관한 법률」 제17조의3
 ○ 「농어촌마을 주거환경 개선 및 리모델링 촉진을 위한 특별법」 제17조, 제37조
 ○ 「농업인등의 농외소득 활동 지원에 관한 법률」 제14조
 ○ 「농촌진흥법」 제34조
 ○ 「대한노인회 지원에 관한 법률」 제4조
 ○ 「대한민국헌정회 육성법」 제3조
 ○ 「대한적십자사 조직법」 제23조
 ○ 「도서관법」 제35조
 ○ 「도시개발법」 제66조, 제69조
 ○ 「도시 및 주거환경정비법」 제57조, 제61조, 제97조, 제99조, 제100조, 101조(양여)
 ○ 「도시재생 활성화 및 지원에 관한 특별법」 제30조, 제30조의2, 제49조, 제54조
 ○ 「도시재정비 촉진을 위한 특별법」 제25조
 ○ 「도청이전을 위한 도시건설 및 지원에 관한 특별법」 제34조
 ○ 「독도의용수비대 지원법」 제15조
 ○ 「독립기념관법」 제14조
 ○ 「동북아역사재단 설립･운영에 관한 법률」 제15조
 ○ 「무역거래기반 조성에 관한 법률」 제12조
 ○ 「무형유산의 보전 및 진흥에 관한 법률」 제25조, 제47조
 ○ 「국가유산기본법」 제32조
 ○ 「물류시설의 개발 및 운영에 관한 법률」 제30조
 ○ 「민주화운동기념사업회법」 제15조
 ○ 「바르게살기운동조직 육성법」 제4조
 ○ 「법률구조법」 제28조
 ○ 「벤처기업육성에 관한 특별조치법」 제17조의4, 제19조
 ○ 「북한이탈주민의 보호 및 정착지원에 관한 법률」 제15조의2, 제24조의3
 ○ 「빈집 및 소규모주택 정비에 관한 특례법」 제45조, 제55조
 ○ 「사립학교법」 제35조
 ○ 「사회기반시설에 대한 민간투자법」 제19조
 ○ 「사회복지사업법」 제27조
 ○ 「산림복지 진흥에 관한 법률」 제37조
 ○ 「산림자원의 조성 및 관리에 관한 법률」 제63조
 ○ 「산업기술단지 지원에 관한 특례법」 제10조
 "○ 「산업입지 및 개발에 관한 법률」 제21조, 제23조, 제38조,
 제38조의6, 제46조의6, 제46조의7, 제46조의8"
 ○ 「산업집적활성화 및 공장설립에 관한 법률」 제22조의8, 제28조의3, 제34조
 ○ 「새마을운동조직 육성법」 제4조
 ○ 「새만금사업 추진 및 지원에 관한 특별법」 제17조, 제46조, 제58조
 ○ 「생물자원관의 설립 및 운영에 관한 법률」 제17조의2
 ○ 「서민의 금융생활 지원에 관한 법률」 제36조
 ○ 「세계유산의 보존･관리 및 활용에 관한 특별법」 제18조의2
 ○ 「소방산업의 진흥에 관한 법률」 제15조
 ○ 「소재･부품･장비산업 경쟁력 강화 및 공급망 안정화를 위한 특별조치법」 제31조
 ○ 「수산자원관리법」 제55조의2
 ○ 「스포츠산업 진흥법」 제17조
 ○ 「스포츠클럽법」 제15조
 ○ 「신에너지 및 재생에너지 개발･이용･보급 촉진법」 제26조
 ○ 「신행정수도 후속대책을 위한 연기･공주지역 행정중심복합도시 건설을 위한 특별법」 제22조, 제46조의3
 ○ 「아동복지법」 제62조
 ○ 「아시아문화중심도시 조성에 관한 특별법」 제19조, 제33조
 ○ 「여성기업지원에 관한 법률」 제16조
 ○ 「여수세계박람회 기념 및 사후활용에 관한 특별법」 제6조
 ○ 「영유아보육법」 제39조의2
 ○ 「외국인투자 촉진법」 제13조, 제13조의2
 ○ 「용산공원 조성 특별법」 제38조
 ○ 「울산과학기술원법」 제15조
 ○ 「일제하 일본군위안부 피해자에 대한 보호･지원 및 기념사업
 ○ 「임업 및 산촌 진흥촉진에 관한 법률」 제29조의3
 ○ 「자원봉사활동 기본법」 제16조
 ○ 「자유무역지역의 지정 및 운영에 관한 법률」 제18조, 제20조,
 ○ 「작은도서관 진흥법」 제9조
 ○ 「장애인기업활동 촉진법」 제15조
 ○ 「장애인복지법」 제48조
 ○ 「재해위험 개선사업 및 이주대책에 관한 특별법」 제17조
 ○ 「전통시장 및 상점가 육성을 위한 특별법」 제11조의2, 제17조의2, 제18조, 제19조, 제21조, 제40조
 ○ 「정보통신산업 진흥법」 제28조
 ○ 「제주특별자치도 설치 및 국제자유도시 조성을 위한 특별법」 제152조, 제165조, 제183조, 제222조, 제261조
 ○ 「중소기업창업 지원법」 제53조
 ○ 「중소기업협동조합법」 제9조
 ○ 「중･저준위 방사성폐기물 처분시설의 유치지역지원에 관한 특별법」 제11조
 ○ 「중증장애인생산품 우선구매 특별법」 제17조
 ○ 「지방공무원 교육훈련법」 제23조
 ○ 「지방문화원진흥법」 제15조
 ○ 「지방자치단체출연 연구원의 설립 및 운영에 관한 법률」 제15조
 ○ 「지역 개발 및 지원에 관한 법률」 제52조
 ○ 「지역 산업위기 대응 및 지역경제 회복을 위한 특별법」 제21조
 ○ 「지역중소기업 육성 및 혁신촉진 등에 관한 법률」 제18조, 제28조
 ○ 「참전유공자 예우 및 단체설립에 관한 법률」 제28조
 ○ 「첨단의료복합단지 육성에 관한 특별법」 제18조
 ○ 「청소년 기본법」 제55조, 제57조
 ○ 「체육시설의 설치･이용에 관한 법률」 제5조, 제6조
 ○ 「초지법」 제17조, 제18조
 ○ 「크루즈산업의 육성 및 지원에 관한 법률」 제8조
 ○ 「태권도 진흥 및 태권도공원 조성 등에 관한 법률」 제17조
 ○ 「특수임무유공자 예우 및 단체설립에 관한 법률」 제65조의2
 ○ 「폐광지역 개발 지원에 관한 특별법」 제11조의2, 제11조의3
 ○ 「폐교재산의 활용촉진을 위한 특별법」 제5조, 제6조
 ○ 「한국4에이치활동 지원법」 제5조의2
 ○ 「한국대학교육협의회법」 제10조
 ○ 「한국사학진흥재단법」 제16조
 ○ 「한국연구재단법」 제12조
 ○ 「한국자유총연맹 육성에 관한 법률」 제2조
 ○ 「한국장학재단 설립 등에 관한 법률」 제19조
 ○ 「한국전문대학교육협의회법」 제10조
 ○ 「한국청소년연맹 육성에 관한 법률」 제4조
 ○ 「한국학중앙연구원 육성법」 제3조
 ○ 「한국해양과학기술원법」 제11조
 ○ 「한국해양소년단연맹 육성에 관한 법률」 제3조
 ○ 「한국환경공단법」 제22조
 ○ 「항만공사법」 제27조
 ○ 「해양산업클러스터의 지정 및 육성 등에 관한 특별법」 제20조
 ○ 「해양치유자원의 관리 및 활용에 관한 법률」 제18조
 ○ 「해양환경관리법」 제105조
 ○ 「해외진출기업의 국내복귀 지원에 관한 법률」 제13조의2, 제13조의3
 ○ 「혁신도시 조성 및 발전에 관한 특별법」 제14조, 제46조
 ○ 「환경기술 및 환경산업 지원법」 제10조
 ○ 「환경친화적 자동차의 개발 및 보급 촉진에 관한 법률」 제11조의3
 ○ 「한국과학기술원법」 제11조
 ○ 「대구경북과학기술원법」 제9조
 ○ 「광주과학기술원법」 제9조
 ○ 「소비자생활협동조합법」 제9조
 ○ 「국가첨단전략산업 경쟁력 강화 및 보호에 관한 특별조치법」 제21조
 ○ 「박물관 및 미술관 진흥법」 제19조
 ○ 「지역문화진흥법」 제8조
 ○ 「광주 군 공항 이전 및 종전부지 개발 등에 관한 특별법」 제11조
 ○ 「국민기초생활 보장법」 제16조
 ○ 「농촌공간 재구조화 및 재생지원에 관한 법률」 제41조
 ○ 「대구경북통합신공항 건설을 위한 특별법」 제17조
 ○ 「도심융합특구 조성 및 육성에 관한 특별법」 제22조, 제35조, 제36조
 ○ 「도심항공교통 활용 촉진 및 지원에 관한 법률」 제16조
 ○ 「스마트농업 육성 및 지원에 관한 법률」 제22조
 ○ 「자연유산의 보존 및 활용에 관한 법률」 제47조
 ○ 「한국도로교통공단법」 제14조
 ○ 「해양재난구조대의 설치 및 운영에 관한 법률」 제16조</t>
  </si>
  <si>
    <t>2024 공유재산 업무편람
 '다른 법률 상의 공유재산 특례 목록'</t>
  </si>
  <si>
    <t>361, 362, 363, 364, 365, 366</t>
  </si>
  <si>
    <t>편람 내 참고자료 
 &gt;&gt; 해당 자료도 참조페이지가 많으면 361P만 참고하고 추가 자료는 링크 제공으로 변경</t>
  </si>
  <si>
    <t>류연희(2481)</t>
  </si>
  <si>
    <t>다른 법률에서 규정하고 있는 공유재산 '영구시설물 축조' 특례 조항은 어디에 있나요?</t>
  </si>
  <si>
    <t>공유재산 '영구시설물 축조' 특례는 타 개별 법률에 규정되어 있으며, 현행 기준으로 총 47개의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「공공보건의료에 관한 법률」 제10조
 ○ 「공공주택 특별법」 제18조, 제40조의3
 ○ 「과학기술분야 정부출연연구기관등의 설립･운영 및 육성에 관한 법률」 제7조
 ○ 「국립묘지의 설치 및 운영에 관한 법률」 제11조의4, 제11조의9
 ○ 「국민 평생 직업능력 개발법」 제48조
 ○ 「국방과학연구소법」 제21조
 ○ 「국제과학비즈니스벨트 조성 및 지원에 관한 특별법」 제23조, 제29조, 제31조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「사회기반시설에 대한 민간투자법」 제19조
 ○ 「산업교육진흥 및 산학연협력촉진에 관한 법률」 제37조
 ○ 「산업기술단지 지원에 관한 특례법」 제10조
 ○ 「산업입지 및 개발에 관한 법률」 제21조, 제23조, 제38조, 제38조의6, 제46조의6, 제46조의7, 제46조의8
 ○ 「산업집적활성화 및 공장설립에 관한 법률」 제22조의8, 제28조의3, 제34조
 ○ 「새만금사업 추진 및 지원에 관한 특별법」 제17조, 제46조, 제58조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「중･저준위 방사성폐기물 처분시설의 유치지역지원에 관한 특별법」 제11조
 ○ 「지역 개발 및 지원에 관한 법률」 제52조
 ○ 「첨단의료복합단지 육성에 관한 특별법」 제18조
 ○ 「초지법」 제17조, 제18조
 ○ 「태권도 진흥 및 태권도공원 조성 등에 관한 법률」 제17조
 ○ 「폐교재산의 활용촉진을 위한 특별법」 제5조, 제6조
 ○ 「한국해양과학기술원법」 제11조
 ○ 「항만공사법」 제27조
 ○ 「해양산업클러스터의 지정 및 육성 등에 관한 특별법」 제20조
 ○ 「해외진출기업의 국내복귀 지원에 관한 법률」 제13조의2, 제13조의3
 ○ 「혁신도시 조성 및 발전에 관한 특별법」 제14조, 제46조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</si>
  <si>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다른 법률에서 규정하고 있는 공유재산 '양여' 특례 조항은 어디에 있나요?</t>
  </si>
  <si>
    <t>공유재산 '양여' 특례는 타 개별 법률에 규정되어 있으며, 현행 기준으로 총 37개의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「공익법인의 설립･운영에 관한 법률」 제13조
 ○ 「국립대학법인 서울대학교 설립･운영에 관한 법률」 제22조
 ○ 「국립대학법인 인천대학교 설립･운영에 관한 법률」 제21조
 ○ 「국방과학연구소법」 제21조
 ○ 「국방･군사시설 사업에 관한 법률」 제12조
 ○ 「국제경기대회 지원법」 제13조, 제22조
 ○ 「국토의 계획 및 이용에 관한 법률」 제65조
 ○ 「농어촌마을 주거환경 개선 및 리모델링 촉진을 위한 특별법」 제17조, 제37조
 ○ 「농촌진흥법」 제34조
 ○ 「도시 및 주거환경정비법」 제57조, 제61조, 제97조, 제99조, 제100조, 101조
 ○ 「도시철도법」 제11조
 ○ 「독립기념관법」 제14조
 ○ 「동학농민혁명 참여자 등의 명예회복에 관한 특별법」 제9조
 ○ 「사립학교법」 제35조
 ○ 「새마을운동조직 육성법」 제4조
 ○ 「소재･부품･장비산업 경쟁력 강화 및 공급망 안정화를 위한 특별조치법」 제31조
 ○ 「수산자원관리법」 제55조의2
 ○ 「신행정수도 후속대책을 위한 연기･공주지역 행정중심복합도시 건설을 위한 특별법」 제22조, 제46조의3
 ○ 「여수세계박람회 기념 및 사후활용에 관한 특별법」 제6조
 ○ 「연근해어업의 구조개선 및 지원에 관한 법률」 제19조
 ○ 「울산과학기술원법」 제15조
 ○ 「임업 및 산촌 진흥촉진에 관한 법률」 제29조의3
 ○ 「제주특별자치도 설치 및 국제자유도시 조성을 위한 특별법」 제152조, 제165조, 제183조, 제222조, 제261조
 ○ 「주한미군기지 이전에 따른 평택시 등의 지원 등에 관한 특별법」 제33조의2
 ○ 「중소기업진흥에 관한 법률」 제68조
 ○ 「폐광지역 개발 지원에 관한 특별법」 제11조의2, 제11조의3
 ○ 「학교용지 확보 등에 관한 특례법」 제7조
 ○ 「한국지방행정연구원 육성법」 제4조
 ○ 「한국청소년연맹 육성에 관한 법률」 제4조
 ○ 「한국학중앙연구원 육성법」 제3조
 ○ 「한국해양소년단연맹 육성에 관한 법률」 제3조
 ○ 「한국과학기술원법」 제11조
 ○ 「대구경북과학기술원법」 제9조
 ○ 「광주과학기술원법」 제9조
 ○ 「군사기지 및 군사시설 보호법」 제13조
 ○ 「농어촌정비법」 제112조
 ○ 「농촌공간 재구조화 및 재생지원에 관한 법률」 제41조</t>
  </si>
  <si>
    <t>다른 법률에서 규정하고 있는 공유재산 '장기 사용허가등'의 특례 조항은 어디에 있나요?</t>
  </si>
  <si>
    <t>공유재산 '장기 사용허가등' 특례는 타 개별 법률에 규정되어 있으며, 현행 기준으로 총 45개의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「공공주택 특별법」 제18조, 제40조의3
 ○ 「과학기술분야 정부출연연구기관등의 설립･운영 및 육성에 관한 법률」 제7조
 ○ 「교육국제화특구의 지정･운영 및 육성에 관한 특별법」 제19조
 ○ 「국립농업박물관법」 제12조
 ○ 「국방과학연구소법」 제21조
 ○ 「국제과학비즈니스벨트 조성 및 지원에 관한 특별법」 제23조, 제29조, 제31조
 ○ 「규제자유특구 및 지역특화발전특구에 관한 규제특례법」 제54조, 제127조, 제131조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「북한이탈주민의 보호 및 정착지원에 관한 법률」 제15조의2, 제24조의3
 ○ 「산업입지 및 개발에 관한 법률」 제21조, 제23조, 제38조, 제38조의6, 제46조의6, 제46조의7, 제46조의8
 ○ 「새만금사업 추진 및 지원에 관한 특별법」 제17조, 제46조, 제58조
 ○ 「스포츠산업 진흥법」 제17조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「지역 개발 및 지원에 관한 법률」 제52조
 ○ 「지역중소기업 육성 및 혁신촉진 등에 관한 법률」 제18조, 제28조
 ○ 「첨단의료복합단지 육성에 관한 특별법」 제18조
 ○ 「태권도 진흥 및 태권도공원 조성 등에 관한 법률」 제17조
 ○ 「폐광지역 개발 지원에 관한 특별법」 제11조의2, 제11조의3
 ○ 「폐교재산의 활용촉진을 위한 특별법」 제5조, 제6조
 ○ 「한국4에이치활동 지원법」 제5조의2
 ○ 「한국사학진흥재단법」 제16조
 ○ 「한국해양과학기술원법」 제11조
 ○ 「해양산업클러스터의 지정 및 육성 등에 관한 특별법」 제20조
 ○ 「해외진출기업의 국내복귀 지원에 관한 법률」 제13조의2, 제13조의3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</si>
  <si>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감정평가 시 감정평가법인은 어떻게 선정하나요?
 &gt;&gt;관련근거 미확인</t>
  </si>
  <si>
    <t>○ 감정평가의 공정성·중립성 확보를 위해 한국감정평가사협회에 감정평가법인 등을 추천 의뢰하고, 협회가 추천한 감정평가법인을 선정하여 감정평가를 수행합니다.</t>
  </si>
  <si>
    <t>감정평가 시 예산은 어떤 것을 사용하여야 하나요?
 &gt;&gt;관련근거 미확인</t>
  </si>
  <si>
    <t>○ 감정평가 비용은 회계재산담당관의 '효율적인 재산관리' 세부사업 내 편성된 '공유재산 감정평가 수수료' 예산을 사용합니다 ※ 예산사용 전 재산관리팀 사전협의 필수</t>
  </si>
  <si>
    <t>대부(사용)료 요율 기준은 어떤 법령을 참고해야하나요?</t>
  </si>
  <si>
    <t>○ 대부(사용)료율은 다음의 규정에 따릅니다.
  - 「공유재산 및 물품 관리법 시행령」 제31조(대부료율과 대부재산의 평가)
  - 「부산광역시 공유재산 및 물품 관리 조례」 제19조(대부료율)</t>
  </si>
  <si>
    <t>「공유재산 및 물품 관리법 시행령」 , 「부산광역시 공유재산 및 물품 관리 조례</t>
  </si>
  <si>
    <t>최지혜(2483)</t>
  </si>
  <si>
    <t>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&gt;&gt;자료 미제출</t>
  </si>
  <si>
    <t>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</si>
  <si>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Q. 사용수익허가 갱신기간 관련
 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A. 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</si>
  <si>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우리 시의 공유재산 무상 사용허가(대부) 기간은 어떻게 되나요?</t>
  </si>
  <si>
    <t>○ 행정재산의 무상 사용허가기간은 최대 3년이며 
 ○ 일반재산의 무상 대부기간은 1년을 원칙으로 합니다.</t>
  </si>
  <si>
    <t>2025년도 공유재산 무상 사용허가(대부) 기준 수립, 회계재산담당관-55414(2024.12.10)</t>
  </si>
  <si>
    <t>○ 행정재산: 3년 
 ○ 일반재산: 1년</t>
  </si>
  <si>
    <t>개인정보가 유출이 된 경우 어떻게 해야 하나요?</t>
  </si>
  <si>
    <t>1. 유출 등 사고 인지, 신고·접수
  m 개인정보취급자 등이 유출, 노출 등 유출사고를 인지할 경우 개인정보 보호담당자에게 신고 등 처리
 2. 개인정보 유출사고 대응센터 구성
  m 개인정보 보호책임자는 유출사고의 정도에 따라 유출사고 발생부서(기관)의 적의장소에 「유출사고 대응센터」 설치 등 처리
 3. 개인정보 유출 통지·조회 절차
  m 유출사고 대응센터는 개인정보가 유출등이 어되었음을 알게 된 때에는 72시간 이내에 유출 인원 등을 확인하여 [붙임2] 서식의 [유출통지 방법]에 따라 정보주체에게 유출 통지 등 처리
  - 통지 항목 : ①유출등이 된 개인정보의 항목, ②유출등이 된 시점과 및 그 경위, ③피해 최소화를 위한 정보주체의 조치방법, ④기관의 대응조치 및 피해구제 절차, ⑤피해 신고 접수 담당부서 및 연락처
 4. 침해유형별 확산방지 조치
  m 해킹의 경우
  - (긴급조치) 해킹 등 침해사고 발생으로 인해 개인정보가 유출된 경우 개인정보 추가 유출 방지를 위한 대책을 마련하고 피해를 최소화할 수 있는 조치를 강구 등 처리
  m 내부자 유출의 경우
  - 개인정보 유출자가 개인정보처리시스템에 접속한 이력 및 개인정보 열람·다운로드 등 내역을 확인 등 처리
  m 이메일 오발송의 경우
  - 이메일 회수가 가능한 경우에는 즉시 회수 조치하고, 불가능한 경우에는 이메일 수신자에게 오발송 메일의 삭제를 요청 등 처리
  m 개인정보가 외부에 노출된 경우
  - (외부 검색엔진을 통한 노출의 경우) 노출된 웹페이지 삭제를 검토하고, 검색엔진에 노출된 개인정보 삭제를 요청하여야 하며, 필요시 로봇배제 규칙을 적용하여 외부 검색엔진의 접근을 차단하여야 함
  - (관리자 페이지에 접속하여 노출된 경우) 관리자의 접속 IP를 제한하고, 소스코드를 수정하여 사용자 인증 절차를 추가하여야 함
  - (개인정보취급자 부주의로 인한 노출의 경우) 게시글 및 첨부파일 내 개인정보 노출 부분을 마스킹(* 처리)하여 다시 게시하여야 함
 5. 유출 등 사고 경위조사
  m 유출사고 대응센터는 유출사실 여부를 확인하고 사실로 확인될 경우 유출의 규모, 경위, 방법, 원인 및 관련자를 조사 등 처리
 6. 유출통지 신고 절차
  m (1천명 이상 유출, 민감정보 또는 고유식별정보 유출, 불법적인 접근에 의한 유출) 인지 시점으로부터 72시간 이내 개인정보보호위원회 또는 한국인터넷진흥원에 유출 신고 등 처리
  ※ 신고방법 : 개인정보 포털(www.privacy.go.kr) &gt; 기업·공공서비스 &gt; 유출신고
  ※ 단, 유출 경로 확인 등 해당 개인정보를 회수·삭제하는 등의 조치를 통해 정보주체의 권익 침해 가능성이 현저히 낮아진 경우에는 미신고
 7. 현장 혼잡 최소화 조치
  m 총괄대응본부는 사고기관(부서) 상황실에 오프라인 창구를 개설
  - 전화, 메일, 홈페이지, SNS 등 한 가지 이상의 채널을 선택하여 단일화된 민원대응 창구를 구축 등 처리
 8. 고객민원 대응조치
  m 민원대응반은 유관부서(총괄대응본부, 법무담당관)과 협의하여 피해자 구제방안, 수사 진행상황 등에 대한 외부 질의 답변 방향 결정 등 처리
 9. 고객 불안 해소조치
  m 부산광역시 홈페이지(www.busan.go.kr)에 유출 피해 최소화를 위해 실시하고 있는 노력에 대한 사항 공지(1일 1회 업데이트) 등 처리
 10. 피해자 구제 조치
  m (개인정보 유출사고 전파) 한국인터넷진흥원과 협의하여 “사업자 핫라인”을 통해 사고 사실을 전파 등 처리
 11. 유출 등 사고 종료 
  m 유출사고 대응센터는 개인정보 유출사고 처리보고서를 작성하여 개인정보 보호책임자(CPO)에게 보고 등 처리</t>
  </si>
  <si>
    <t>개인정보 보호법 제34조(개인정보 유출 등의 통지.신고)
 개인정보 보호법 시행령 제39조(개인정보 유출 등의 통지), 제40조(개인정보 유출 등의 신고)
 개인정보 유출 등 사고 대응 매뉴얼(개인정보보호위원회, 24.3.)
 부산광역시 개인정보 유출 등 사고대응 매뉴얼(24.10.)</t>
  </si>
  <si>
    <t>4, 5, 6, 7, 8, 9,</t>
  </si>
  <si>
    <t>4P ~ 9P 내용으로 요약 답변 생성
 안되면 2P 단계별 프로세스 요약 가능한지 여부 확인 필요</t>
  </si>
  <si>
    <t>부산시 개인정보 손해배상 책임보험의 보장 범위는 어떻게 되나요?</t>
  </si>
  <si>
    <t>• 보험기간: 2025.3.20. ~ 2026.3.19.(1년간)
  • 피보험자: 시 소속 전직원(공무원, 공무직, 기간제 등) ※ 본청 및 직속기간, 사업소, 의회
  • 보 험 사: DB손해보험
  • 보장내용
  - 업무수행 중 보유,수집,관리하는 개인정보 유출 등 사고 시 제3자에 대한 손해배상
  - 법률에 따른 손해배상 및 관련 소송비용 지원(변호비, 과징금, 과태료 등)
  • 보장범위: 총 한도 20억(공제금액 100만원)
 개인정보 배상책임 : 20억원
 정보통신보안 배상책임 : 20억원
 미디어 배상책임 : 20억원
 사이버 갈취 : 7,500만원
 데이터 자산 손실 : 2억원
 * 특별약관
  - 사고대응비용(2억원)
  - 방어비용 선지급(5억원)
  - 지방자치단체 특별약관
  (5천만원 보상/50만원 공제)
  ※ 고의적인 행위나 범죄로 인한 사고는 보장 제외</t>
  </si>
  <si>
    <t>개인정보보호 손해배상 책임보험 가입내용 및 처리방법 안내</t>
  </si>
  <si>
    <t>개인정보 수집.이용.제공 동의서 작성시 고려해야 할 점은 무엇인가요?</t>
  </si>
  <si>
    <t>1. 동의서 작성 전 필수 검토사항
 ① 업무에 필요한 개인정보의 최소성
  - 해당 업무 수행에 반드시 필요한 최소한의 개인정보만 수집해야 함.
  - 업무와 직접 관련 없는 개인정보 추가 수집은 최소수집 원칙 위반.
  - 고유식별정보(주민등록번호 등) 및 민감정보 포함 여부를 사전에 점검.
  &gt; 원칙적으로 수집·처리 지양.
  &gt; 법령 근거 또는 별도 동의가 있는 경우에만 허용.
  &gt; 주민등록번호는 법률·대통령령 등 명시적 근거가 있을 때만 가능.
 ② 동의 필요 여부의 명확한 판단
  - 개인정보 수집·이용에 동의가 필요한지 먼저 판단해야 함.
  - 법령 근거가 있는 경우 등 동의 없이 가능한 경우에는:
  &gt; 동의서를 받지 말고,
  &gt; 해당 수집·이용의 법적 근거를 명확히 안내해야 함.
  - 동의가 필요한 경우에만 동의서 작성.
 ※ 만 14세 미만 아동의 경우 법정대리인 동의 필수.
 ③ 개인정보 보유기간의 적정성
  - 수집·이용하는 개인정보에 대해 보유기간을 반드시 설정해야 함.
  - 관련 법령 또는 개인정보 처리방침이 있으면 이를 따름.
  - 별도 규정이 없다면, 업무 특성을 고려한 최소한의 보유기간으로 설정.
 2. 동의서에 포함 여부를 판단해야 할 사항
 ④ 개인정보 제3자 제공 여부
  - 제3자 제공 필요성이 있는지 먼저 검토.
  - 제공이 필요한 경우, 동의서에 다음 사항을 모두 명시해야 함:
  &gt; 제공받는 자
  &gt; 제공 목적
  &gt; 제공 항목
  &gt; 제공받는 자의 보유·이용 기간
  &gt; 동의 거부권 및 거부 시 불이익(있는 경우)
  - 원칙적으로 제3자 제공은 동의 필요.
  - 국외 제3자 제공은 반드시 동의 필요.
  - 만 14세 미만 아동은 법정대리인 동의 필요.
 ⑤ 개인정보 처리업무 위탁 여부
  - 개인정보 처리 위탁의 경우 정보주체 동의는 불필요.
  - 다만,
  &gt; 위탁 사실,
  &gt; 위탁 내용,
  &gt; 수탁자 정보는 홈페이지 등으로 공개해야 함.
  - 위탁과 제3자 제공을 혼동하면 안 됨.
 ⑥ 목적 외 이용·제공 여부
  - 동의받은 항목·목적·보유기간을 변경하는 경우:
  &gt; 반드시 사전 고지 후 추가 동의 필요.
  - 수집 목적 외 이용 또는 제3자 제공은 원칙적으로 금지.
  - 법령상 예외에 해당하거나 별도 동의를 받은 경우에만 가능.
 ⑦ 동의 거부 시 불이익의 적정성
  - 동의 시 제공되는 편익과 내용을 명확히 구분하여 안내해야 함.
  - 동의 거부를 이유로:
  &gt; 개인정보 처리와 직접 관련 없는 재화·서비스 제공을 거부하는 등
  &gt; 부당한 불이익을 주는 행위는 허용되지 않음.</t>
  </si>
  <si>
    <t>2203_정보화정책과_업무매뉴얼_개인정보보호위원회_알기쉬운 개인정보 처리 동의 안내서</t>
  </si>
  <si>
    <t>27, 28, 29, 30</t>
  </si>
  <si>
    <t>본문내용 일체</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</si>
</sst>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 d"/>
    <numFmt numFmtId="165" formatCode="mm&quot;월&quot;\ dd&quot;일&quot;"/>
    <numFmt numFmtId="166" formatCode="yyyy, m, d"/>
  </numFmts>
  <fonts count="56">
    <font>
      <sz val="11.0"/>
      <color theme="1"/>
      <name val="Calibri"/>
      <scheme val="minor"/>
    </font>
    <font>
      <sz val="20.0"/>
      <color theme="1"/>
      <name val="Malgun Gothic"/>
    </font>
    <font>
      <sz val="11.0"/>
      <color theme="1"/>
      <name val="Malgun Gothic"/>
    </font>
    <font>
      <b/>
      <sz val="13.0"/>
      <color theme="1"/>
      <name val="Malgun Gothic"/>
    </font>
    <font>
      <b/>
      <sz val="12.0"/>
      <color rgb="FF000000"/>
      <name val="&quot;맑은 고딕&quot;"/>
    </font>
    <font>
      <b/>
      <sz val="10.0"/>
      <color rgb="FF000000"/>
      <name val="&quot;맑은 고딕&quot;"/>
    </font>
    <font>
      <b/>
      <sz val="11.0"/>
      <color theme="1"/>
      <name val="Malgun Gothic"/>
    </font>
    <font/>
    <font>
      <b/>
      <sz val="10.0"/>
      <color theme="1"/>
      <name val="Malgun Gothic"/>
    </font>
    <font>
      <sz val="11.0"/>
      <color rgb="FF000000"/>
      <name val="&quot;맑은 고딕&quot;"/>
    </font>
    <font>
      <sz val="11.0"/>
      <color rgb="FF6AA84F"/>
      <name val="Malgun Gothic"/>
    </font>
    <font>
      <sz val="11.0"/>
      <color rgb="FFFF0000"/>
      <name val="Malgun Gothic"/>
    </font>
    <font>
      <sz val="11.0"/>
      <color theme="1"/>
      <name val="&quot;맑은 고딕&quot;"/>
    </font>
    <font>
      <sz val="11.0"/>
      <color rgb="FFFF0000"/>
      <name val="&quot;맑은 고딕&quot;"/>
    </font>
    <font>
      <sz val="11.0"/>
      <color rgb="FF0000FF"/>
      <name val="Malgun Gothic"/>
    </font>
    <font>
      <sz val="11.0"/>
      <color rgb="FF000000"/>
      <name val="Malgun Gothic"/>
    </font>
    <font>
      <sz val="11.0"/>
      <color rgb="FF000000"/>
      <name val="MS Mincho"/>
    </font>
    <font>
      <sz val="11.0"/>
      <color theme="1"/>
      <name val="MS Mincho"/>
    </font>
    <font>
      <sz val="11.0"/>
      <color theme="1"/>
      <name val="&quot;Malgun Gothic&quot;"/>
    </font>
    <font>
      <sz val="11.0"/>
      <color rgb="FF000000"/>
      <name val="&quot;Malgun Gothic&quot;"/>
    </font>
    <font>
      <sz val="11.0"/>
      <color rgb="FF1155CC"/>
      <name val="Malgun Gothic"/>
    </font>
    <font>
      <sz val="11.0"/>
      <color rgb="FF0432FF"/>
      <name val="&quot;맑은 고딕&quot;"/>
    </font>
    <font>
      <sz val="11.0"/>
      <color rgb="FF00B050"/>
      <name val="Arial"/>
    </font>
    <font>
      <sz val="11.0"/>
      <color rgb="FF000000"/>
      <name val="&quot;Segoe UI Symbol&quot;"/>
    </font>
    <font>
      <sz val="11.0"/>
      <color rgb="FFFF0000"/>
      <name val="&quot;Malgun Gothic&quot;"/>
    </font>
    <font>
      <u/>
      <sz val="11.0"/>
      <color rgb="FF000000"/>
      <name val="&quot;Malgun Gothic&quot;"/>
    </font>
    <font>
      <sz val="11.0"/>
      <color theme="1"/>
      <name val="Arial"/>
    </font>
    <font>
      <sz val="11.0"/>
      <color rgb="FF000000"/>
      <name val="Arial"/>
    </font>
    <font>
      <strike/>
      <sz val="11.0"/>
      <color rgb="FFFF0000"/>
      <name val="Malgun Gothic"/>
    </font>
    <font>
      <sz val="11.0"/>
      <color rgb="FF4A86E8"/>
      <name val="Malgun Gothic"/>
    </font>
    <font>
      <b/>
      <sz val="11.0"/>
      <color rgb="FF000000"/>
      <name val="Malgun Gothic"/>
    </font>
    <font>
      <color theme="1"/>
      <name val="Calibri"/>
      <scheme val="minor"/>
    </font>
    <font>
      <sz val="14.0"/>
      <color theme="1"/>
      <name val="Malgun Gothic"/>
    </font>
    <font>
      <b/>
      <sz val="15.0"/>
      <color theme="1"/>
      <name val="Malgun Gothic"/>
    </font>
    <font>
      <b/>
      <sz val="14.0"/>
      <color theme="1"/>
      <name val="Malgun Gothic"/>
    </font>
    <font>
      <b/>
      <sz val="12.0"/>
      <color theme="1"/>
      <name val="Malgun Gothic"/>
    </font>
    <font>
      <b/>
      <sz val="8.0"/>
      <color theme="1"/>
      <name val="Malgun Gothic"/>
    </font>
    <font>
      <b/>
      <sz val="9.0"/>
      <color theme="1"/>
      <name val="Malgun Gothic"/>
    </font>
    <font>
      <sz val="12.0"/>
      <color theme="1"/>
      <name val="Malgun Gothic"/>
    </font>
    <font>
      <sz val="12.0"/>
      <color theme="1"/>
      <name val="Calibri"/>
    </font>
    <font>
      <sz val="12.0"/>
      <color rgb="FF000000"/>
      <name val="Malgun Gothic"/>
    </font>
    <font>
      <u/>
      <sz val="12.0"/>
      <color theme="10"/>
      <name val="Malgun Gothic"/>
    </font>
    <font>
      <u/>
      <sz val="12.0"/>
      <color theme="1"/>
      <name val="Malgun Gothic"/>
    </font>
    <font>
      <sz val="12.0"/>
      <color rgb="FF000000"/>
      <name val="&quot;맑은 고딕&quot;"/>
    </font>
    <font>
      <sz val="12.0"/>
      <color rgb="FFFF0000"/>
      <name val="&quot;맑은 고딕&quot;"/>
    </font>
    <font>
      <u/>
      <sz val="11.0"/>
      <color rgb="FF0000FF"/>
      <name val="&quot;맑은 고딕&quot;"/>
    </font>
    <font>
      <sz val="12.0"/>
      <color theme="1"/>
      <name val="&quot;맑은 고딕&quot;"/>
    </font>
    <font>
      <sz val="12.0"/>
      <color rgb="FF000000"/>
      <name val="&quot;MS Gothic&quot;"/>
    </font>
    <font>
      <strike/>
      <sz val="12.0"/>
      <color rgb="FF000000"/>
      <name val="&quot;맑은 고딕&quot;"/>
    </font>
    <font>
      <u/>
      <sz val="12.0"/>
      <color rgb="FF0000FF"/>
      <name val="&quot;맑은 고딕&quot;"/>
    </font>
    <font>
      <u/>
      <sz val="11.0"/>
      <color rgb="FF0000FF"/>
      <name val="&quot;맑은 고딕&quot;"/>
    </font>
    <font>
      <b/>
      <sz val="11.0"/>
      <color rgb="FF000000"/>
      <name val="&quot;맑은 고딕&quot;"/>
    </font>
    <font>
      <sz val="12.0"/>
      <color rgb="FF0070C0"/>
      <name val="&quot;맑은 고딕&quot;"/>
    </font>
    <font>
      <sz val="13.0"/>
      <color rgb="FF000000"/>
      <name val="함초롬바탕"/>
    </font>
    <font>
      <u/>
      <sz val="11.0"/>
      <color rgb="FF0000FF"/>
      <name val="&quot;맑은 고딕&quot;"/>
    </font>
    <font>
      <sz val="12.0"/>
      <color rgb="FF000000"/>
      <name val="&quot;Segoe UI Symbol&quot;"/>
    </font>
  </fonts>
  <fills count="27">
    <fill>
      <patternFill patternType="none"/>
    </fill>
    <fill>
      <patternFill patternType="lightGray"/>
    </fill>
    <fill>
      <patternFill patternType="solid">
        <fgColor rgb="FFC6D9F0"/>
        <bgColor rgb="FFC6D9F0"/>
      </patternFill>
    </fill>
    <fill>
      <patternFill patternType="solid">
        <fgColor rgb="FFEAF1DD"/>
        <bgColor rgb="FFEAF1DD"/>
      </patternFill>
    </fill>
    <fill>
      <patternFill patternType="solid">
        <fgColor rgb="FFDDD9C3"/>
        <bgColor rgb="FFDDD9C3"/>
      </patternFill>
    </fill>
    <fill>
      <patternFill patternType="solid">
        <fgColor rgb="FFFDE9D9"/>
        <bgColor rgb="FFFDE9D9"/>
      </patternFill>
    </fill>
    <fill>
      <patternFill patternType="solid">
        <fgColor rgb="FFF4CCCC"/>
        <bgColor rgb="FFF4CCCC"/>
      </patternFill>
    </fill>
    <fill>
      <patternFill patternType="solid">
        <fgColor rgb="FFE5DFEC"/>
        <bgColor rgb="FFE5DFEC"/>
      </patternFill>
    </fill>
    <fill>
      <patternFill patternType="solid">
        <fgColor rgb="FF8DB3E2"/>
        <bgColor rgb="FF8DB3E2"/>
      </patternFill>
    </fill>
    <fill>
      <patternFill patternType="solid">
        <fgColor rgb="FFD6E3BC"/>
        <bgColor rgb="FFD6E3BC"/>
      </patternFill>
    </fill>
    <fill>
      <patternFill patternType="solid">
        <fgColor rgb="FF92D050"/>
        <bgColor rgb="FF92D050"/>
      </patternFill>
    </fill>
    <fill>
      <patternFill patternType="solid">
        <fgColor rgb="FFFBD4B4"/>
        <bgColor rgb="FFFBD4B4"/>
      </patternFill>
    </fill>
    <fill>
      <patternFill patternType="solid">
        <fgColor rgb="FFEA9999"/>
        <bgColor rgb="FFEA9999"/>
      </patternFill>
    </fill>
    <fill>
      <patternFill patternType="solid">
        <fgColor rgb="FFCCC0D9"/>
        <bgColor rgb="FFCCC0D9"/>
      </patternFill>
    </fill>
    <fill>
      <patternFill patternType="solid">
        <fgColor rgb="FFD8E4BC"/>
        <bgColor rgb="FFD8E4BC"/>
      </patternFill>
    </fill>
    <fill>
      <patternFill patternType="solid">
        <fgColor rgb="FFD8D8D8"/>
        <bgColor rgb="FFD8D8D8"/>
      </patternFill>
    </fill>
    <fill>
      <patternFill patternType="solid">
        <fgColor theme="0"/>
        <bgColor theme="0"/>
      </patternFill>
    </fill>
    <fill>
      <patternFill patternType="solid">
        <fgColor rgb="FFFFFFFF"/>
        <bgColor rgb="FFFFFFFF"/>
      </patternFill>
    </fill>
    <fill>
      <patternFill patternType="solid">
        <fgColor rgb="FFFFFFCC"/>
        <bgColor rgb="FFFFFFCC"/>
      </patternFill>
    </fill>
    <fill>
      <patternFill patternType="solid">
        <fgColor rgb="FF00FF00"/>
        <bgColor rgb="FF00FF00"/>
      </patternFill>
    </fill>
    <fill>
      <patternFill patternType="solid">
        <fgColor rgb="FFFFC000"/>
        <bgColor rgb="FFFFC000"/>
      </patternFill>
    </fill>
    <fill>
      <patternFill patternType="solid">
        <fgColor rgb="FFFCE5CD"/>
        <bgColor rgb="FFFCE5CD"/>
      </patternFill>
    </fill>
    <fill>
      <patternFill patternType="solid">
        <fgColor rgb="FFFFFF00"/>
        <bgColor rgb="FFFFFF00"/>
      </patternFill>
    </fill>
    <fill>
      <patternFill patternType="solid">
        <fgColor rgb="FFF9CB9C"/>
        <bgColor rgb="FFF9CB9C"/>
      </patternFill>
    </fill>
    <fill>
      <patternFill patternType="solid">
        <fgColor rgb="FFEBF1DE"/>
        <bgColor rgb="FFEBF1DE"/>
      </patternFill>
    </fill>
    <fill>
      <patternFill patternType="solid">
        <fgColor rgb="FFFABF8F"/>
        <bgColor rgb="FFFABF8F"/>
      </patternFill>
    </fill>
    <fill>
      <patternFill patternType="solid">
        <fgColor rgb="FFD7E4BC"/>
        <bgColor rgb="FFD7E4BC"/>
      </patternFill>
    </fill>
  </fills>
  <borders count="13">
    <border/>
    <border>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thin">
        <color rgb="FF000000"/>
      </left>
      <right style="thin">
        <color rgb="FF000000"/>
      </right>
    </border>
  </borders>
  <cellStyleXfs count="1">
    <xf borderId="0" fillId="0" fontId="0" numFmtId="0" applyAlignment="1" applyFont="1"/>
  </cellStyleXfs>
  <cellXfs count="25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bottom" wrapText="1"/>
    </xf>
    <xf borderId="0" fillId="0" fontId="3" numFmtId="0" xfId="0" applyAlignment="1" applyFont="1">
      <alignment horizontal="left" shrinkToFit="0" vertical="bottom" wrapText="1"/>
    </xf>
    <xf borderId="0" fillId="0" fontId="4" numFmtId="0" xfId="0" applyAlignment="1" applyFont="1">
      <alignment horizontal="center" readingOrder="0"/>
    </xf>
    <xf borderId="0" fillId="0" fontId="5" numFmtId="49" xfId="0" applyAlignment="1" applyFont="1" applyNumberFormat="1">
      <alignment horizontal="center" readingOrder="0"/>
    </xf>
    <xf borderId="1" fillId="0" fontId="4" numFmtId="0" xfId="0" applyAlignment="1" applyBorder="1" applyFont="1">
      <alignment horizontal="center" readingOrder="0"/>
    </xf>
    <xf borderId="0" fillId="0" fontId="2" numFmtId="0" xfId="0" applyAlignment="1" applyFont="1">
      <alignment horizontal="center" readingOrder="0" shrinkToFit="0" vertical="center" wrapText="1"/>
    </xf>
    <xf borderId="0" fillId="0" fontId="2" numFmtId="0" xfId="0" applyAlignment="1" applyFont="1">
      <alignment horizontal="left" shrinkToFit="0" vertical="center" wrapText="1"/>
    </xf>
    <xf borderId="0" fillId="0" fontId="2" numFmtId="49" xfId="0" applyAlignment="1" applyFont="1" applyNumberFormat="1">
      <alignment horizontal="center" shrinkToFit="0" vertical="center" wrapText="1"/>
    </xf>
    <xf borderId="0" fillId="0" fontId="2" numFmtId="0" xfId="0" applyAlignment="1" applyFont="1">
      <alignment horizontal="center" shrinkToFit="0" vertical="center" wrapText="1"/>
    </xf>
    <xf borderId="2"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0" fillId="0" fontId="2" numFmtId="0" xfId="0" applyAlignment="1" applyFont="1">
      <alignment horizontal="left" shrinkToFit="0" vertical="top" wrapText="1"/>
    </xf>
    <xf borderId="4" fillId="0" fontId="2" numFmtId="0" xfId="0" applyAlignment="1" applyBorder="1" applyFont="1">
      <alignment shrinkToFit="0" vertical="center" wrapText="1"/>
    </xf>
    <xf borderId="4" fillId="0" fontId="2" numFmtId="0" xfId="0" applyAlignment="1" applyBorder="1" applyFont="1">
      <alignment shrinkToFit="0" vertical="top" wrapText="1"/>
    </xf>
    <xf borderId="2" fillId="2" fontId="6" numFmtId="0" xfId="0" applyAlignment="1" applyBorder="1" applyFill="1" applyFont="1">
      <alignment horizontal="center" shrinkToFit="0" vertical="center" wrapText="1"/>
    </xf>
    <xf borderId="5" fillId="0" fontId="7" numFmtId="0" xfId="0" applyBorder="1" applyFont="1"/>
    <xf borderId="2" fillId="3" fontId="6" numFmtId="0" xfId="0" applyAlignment="1" applyBorder="1" applyFill="1" applyFont="1">
      <alignment horizontal="center" shrinkToFit="0" vertical="center" wrapText="1"/>
    </xf>
    <xf borderId="2" fillId="4" fontId="6" numFmtId="0" xfId="0" applyAlignment="1" applyBorder="1" applyFill="1" applyFont="1">
      <alignment horizontal="center" shrinkToFit="0" vertical="center" wrapText="1"/>
    </xf>
    <xf borderId="2" fillId="5" fontId="6" numFmtId="0" xfId="0" applyAlignment="1" applyBorder="1" applyFill="1" applyFont="1">
      <alignment horizontal="center" shrinkToFit="0" vertical="center" wrapText="1"/>
    </xf>
    <xf borderId="6" fillId="0" fontId="7" numFmtId="0" xfId="0" applyBorder="1" applyFont="1"/>
    <xf borderId="6" fillId="6" fontId="6" numFmtId="0" xfId="0" applyAlignment="1" applyBorder="1" applyFill="1" applyFont="1">
      <alignment horizontal="center" readingOrder="0" shrinkToFit="0" vertical="top" wrapText="1"/>
    </xf>
    <xf borderId="7" fillId="7" fontId="6" numFmtId="0" xfId="0" applyAlignment="1" applyBorder="1" applyFill="1" applyFont="1">
      <alignment horizontal="center" shrinkToFit="0" vertical="center" wrapText="1"/>
    </xf>
    <xf borderId="3" fillId="8" fontId="6" numFmtId="0" xfId="0" applyAlignment="1" applyBorder="1" applyFill="1" applyFont="1">
      <alignment horizontal="center" shrinkToFit="0" vertical="center" wrapText="1"/>
    </xf>
    <xf borderId="3" fillId="9" fontId="6" numFmtId="0" xfId="0" applyAlignment="1" applyBorder="1" applyFill="1" applyFont="1">
      <alignment horizontal="center" shrinkToFit="0" vertical="center" wrapText="1"/>
    </xf>
    <xf borderId="3" fillId="10" fontId="6" numFmtId="0" xfId="0" applyAlignment="1" applyBorder="1" applyFill="1" applyFont="1">
      <alignment horizontal="center" shrinkToFit="0" vertical="center" wrapText="1"/>
    </xf>
    <xf borderId="3" fillId="4" fontId="6" numFmtId="0" xfId="0" applyAlignment="1" applyBorder="1" applyFont="1">
      <alignment horizontal="center" shrinkToFit="0" vertical="center" wrapText="1"/>
    </xf>
    <xf borderId="3" fillId="11" fontId="6" numFmtId="0" xfId="0" applyAlignment="1" applyBorder="1" applyFill="1" applyFont="1">
      <alignment horizontal="center" shrinkToFit="0" vertical="center" wrapText="1"/>
    </xf>
    <xf borderId="3" fillId="11" fontId="8" numFmtId="49" xfId="0" applyAlignment="1" applyBorder="1" applyFont="1" applyNumberFormat="1">
      <alignment horizontal="center" shrinkToFit="0" vertical="center" wrapText="1"/>
    </xf>
    <xf borderId="3" fillId="12" fontId="6" numFmtId="0" xfId="0" applyAlignment="1" applyBorder="1" applyFill="1" applyFont="1">
      <alignment horizontal="center" readingOrder="0" shrinkToFit="0" vertical="top" wrapText="1"/>
    </xf>
    <xf borderId="3" fillId="12" fontId="6" numFmtId="0" xfId="0" applyAlignment="1" applyBorder="1" applyFont="1">
      <alignment horizontal="center" readingOrder="0" shrinkToFit="0" vertical="center" wrapText="1"/>
    </xf>
    <xf borderId="3" fillId="12" fontId="6" numFmtId="49" xfId="0" applyAlignment="1" applyBorder="1" applyFont="1" applyNumberFormat="1">
      <alignment horizontal="center" readingOrder="0" shrinkToFit="0" vertical="center" wrapText="1"/>
    </xf>
    <xf borderId="3" fillId="13" fontId="6" numFmtId="0" xfId="0" applyAlignment="1" applyBorder="1" applyFill="1" applyFont="1">
      <alignment horizontal="center" shrinkToFit="0" vertical="center" wrapText="1"/>
    </xf>
    <xf borderId="8" fillId="13" fontId="6" numFmtId="0" xfId="0" applyAlignment="1" applyBorder="1" applyFont="1">
      <alignment horizontal="center" shrinkToFit="0" vertical="center" wrapText="1"/>
    </xf>
    <xf borderId="3" fillId="0" fontId="2" numFmtId="0" xfId="0" applyAlignment="1" applyBorder="1" applyFont="1">
      <alignment horizontal="left" shrinkToFit="0" vertical="top" wrapText="1"/>
    </xf>
    <xf borderId="3" fillId="9" fontId="2" numFmtId="0" xfId="0" applyAlignment="1" applyBorder="1" applyFont="1">
      <alignment horizontal="left" shrinkToFit="0" vertical="top" wrapText="1"/>
    </xf>
    <xf borderId="3" fillId="14" fontId="9" numFmtId="0" xfId="0" applyAlignment="1" applyBorder="1" applyFill="1" applyFont="1">
      <alignment horizontal="left" readingOrder="0" shrinkToFit="0" vertical="top" wrapText="1"/>
    </xf>
    <xf borderId="3" fillId="15" fontId="2" numFmtId="0" xfId="0" applyAlignment="1" applyBorder="1" applyFill="1" applyFont="1">
      <alignment horizontal="left" shrinkToFit="0" vertical="top" wrapText="1"/>
    </xf>
    <xf borderId="3" fillId="0" fontId="9" numFmtId="0" xfId="0" applyAlignment="1" applyBorder="1" applyFont="1">
      <alignment horizontal="left" readingOrder="0" shrinkToFit="0" vertical="top" wrapText="1"/>
    </xf>
    <xf borderId="5" fillId="0" fontId="9" numFmtId="0" xfId="0" applyAlignment="1" applyBorder="1" applyFont="1">
      <alignment horizontal="left" readingOrder="0" shrinkToFit="0" vertical="top" wrapText="1"/>
    </xf>
    <xf borderId="3" fillId="5" fontId="9" numFmtId="0" xfId="0" applyAlignment="1" applyBorder="1" applyFont="1">
      <alignment horizontal="left" readingOrder="0" shrinkToFit="0" vertical="top" wrapText="1"/>
    </xf>
    <xf borderId="3" fillId="0" fontId="9" numFmtId="49" xfId="0" applyAlignment="1" applyBorder="1" applyFont="1" applyNumberFormat="1">
      <alignment horizontal="left" readingOrder="0" shrinkToFit="0" vertical="top" wrapText="1"/>
    </xf>
    <xf borderId="3" fillId="0" fontId="10" numFmtId="0" xfId="0" applyAlignment="1" applyBorder="1" applyFont="1">
      <alignment horizontal="center" readingOrder="0" shrinkToFit="0" vertical="top" wrapText="1"/>
    </xf>
    <xf borderId="3" fillId="16" fontId="11" numFmtId="0" xfId="0" applyAlignment="1" applyBorder="1" applyFill="1" applyFont="1">
      <alignment horizontal="left" readingOrder="0" shrinkToFit="0" vertical="top" wrapText="1"/>
    </xf>
    <xf borderId="3" fillId="16" fontId="2" numFmtId="49" xfId="0" applyAlignment="1" applyBorder="1" applyFont="1" applyNumberFormat="1">
      <alignment horizontal="left" readingOrder="0" shrinkToFit="0" vertical="top" wrapText="1"/>
    </xf>
    <xf borderId="3" fillId="16" fontId="2" numFmtId="0" xfId="0" applyAlignment="1" applyBorder="1" applyFont="1">
      <alignment horizontal="left" shrinkToFit="0" vertical="top" wrapText="1"/>
    </xf>
    <xf borderId="8" fillId="16" fontId="2" numFmtId="0" xfId="0" applyAlignment="1" applyBorder="1" applyFont="1">
      <alignment horizontal="left" shrinkToFit="0" vertical="top" wrapText="1"/>
    </xf>
    <xf borderId="9" fillId="0" fontId="9" numFmtId="0" xfId="0" applyAlignment="1" applyBorder="1" applyFont="1">
      <alignment horizontal="left" readingOrder="0" shrinkToFit="0" vertical="top" wrapText="1"/>
    </xf>
    <xf borderId="10" fillId="0" fontId="9"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3" fillId="16" fontId="10" numFmtId="0" xfId="0" applyAlignment="1" applyBorder="1" applyFont="1">
      <alignment horizontal="center" readingOrder="0" shrinkToFit="0" vertical="top" wrapText="1"/>
    </xf>
    <xf borderId="0" fillId="16" fontId="2" numFmtId="0" xfId="0" applyAlignment="1" applyFont="1">
      <alignment horizontal="left" readingOrder="0" shrinkToFit="0" vertical="top" wrapText="1"/>
    </xf>
    <xf borderId="2" fillId="16" fontId="2" numFmtId="0" xfId="0" applyAlignment="1" applyBorder="1" applyFont="1">
      <alignment horizontal="left" shrinkToFit="0" vertical="top" wrapText="1"/>
    </xf>
    <xf borderId="0" fillId="16" fontId="2" numFmtId="0" xfId="0" applyAlignment="1" applyFont="1">
      <alignment horizontal="left" shrinkToFit="0" vertical="top" wrapText="1"/>
    </xf>
    <xf borderId="3" fillId="0" fontId="9" numFmtId="0" xfId="0" applyAlignment="1" applyBorder="1" applyFont="1">
      <alignment horizontal="left" shrinkToFit="0" vertical="top" wrapText="1"/>
    </xf>
    <xf borderId="3" fillId="16" fontId="2" numFmtId="0" xfId="0" applyAlignment="1" applyBorder="1" applyFont="1">
      <alignment horizontal="left" readingOrder="0" shrinkToFit="0" vertical="top" wrapText="1"/>
    </xf>
    <xf borderId="3" fillId="0" fontId="12" numFmtId="0" xfId="0" applyAlignment="1" applyBorder="1" applyFont="1">
      <alignment horizontal="left" readingOrder="0" shrinkToFit="0" vertical="top" wrapText="1"/>
    </xf>
    <xf borderId="3" fillId="17" fontId="9" numFmtId="0" xfId="0" applyAlignment="1" applyBorder="1" applyFill="1" applyFont="1">
      <alignment horizontal="left" readingOrder="0" shrinkToFit="0" vertical="top" wrapText="1"/>
    </xf>
    <xf borderId="3" fillId="0" fontId="13" numFmtId="0" xfId="0" applyAlignment="1" applyBorder="1" applyFont="1">
      <alignment horizontal="left" readingOrder="0" shrinkToFit="0" vertical="top" wrapText="1"/>
    </xf>
    <xf borderId="3" fillId="0" fontId="14" numFmtId="0" xfId="0" applyAlignment="1" applyBorder="1" applyFont="1">
      <alignment horizontal="left" readingOrder="0" shrinkToFit="0" vertical="top" wrapText="1"/>
    </xf>
    <xf borderId="3" fillId="0" fontId="15" numFmtId="0" xfId="0" applyAlignment="1" applyBorder="1" applyFont="1">
      <alignment horizontal="left" shrinkToFit="0" vertical="top" wrapText="1"/>
    </xf>
    <xf borderId="3" fillId="18" fontId="2" numFmtId="0" xfId="0" applyAlignment="1" applyBorder="1" applyFill="1" applyFont="1">
      <alignment horizontal="left" shrinkToFit="0" vertical="top" wrapText="1"/>
    </xf>
    <xf borderId="3" fillId="0" fontId="2" numFmtId="0" xfId="0" applyAlignment="1" applyBorder="1" applyFont="1">
      <alignment horizontal="left" readingOrder="0" shrinkToFit="0" vertical="top" wrapText="1"/>
    </xf>
    <xf borderId="3" fillId="0" fontId="9" numFmtId="0" xfId="0" applyAlignment="1" applyBorder="1" applyFont="1">
      <alignment horizontal="left" shrinkToFit="0" vertical="top" wrapText="1"/>
    </xf>
    <xf borderId="3" fillId="19" fontId="9" numFmtId="0" xfId="0" applyAlignment="1" applyBorder="1" applyFill="1" applyFont="1">
      <alignment horizontal="left" readingOrder="0" shrinkToFit="0" vertical="top" wrapText="1"/>
    </xf>
    <xf borderId="3" fillId="17" fontId="9" numFmtId="49" xfId="0" applyAlignment="1" applyBorder="1" applyFont="1" applyNumberFormat="1">
      <alignment horizontal="left" readingOrder="0" shrinkToFit="0" vertical="top" wrapText="1"/>
    </xf>
    <xf borderId="3" fillId="16" fontId="15" numFmtId="0" xfId="0" applyAlignment="1" applyBorder="1" applyFont="1">
      <alignment horizontal="left" readingOrder="0" shrinkToFit="0" vertical="top" wrapText="1"/>
    </xf>
    <xf borderId="3" fillId="16" fontId="2" numFmtId="49" xfId="0" applyAlignment="1" applyBorder="1" applyFont="1" applyNumberFormat="1">
      <alignment horizontal="left" shrinkToFit="0" vertical="top" wrapText="1"/>
    </xf>
    <xf borderId="3" fillId="0" fontId="11" numFmtId="0" xfId="0" applyAlignment="1" applyBorder="1" applyFont="1">
      <alignment horizontal="left" readingOrder="0" shrinkToFit="0" vertical="top" wrapText="1"/>
    </xf>
    <xf borderId="8" fillId="20" fontId="11" numFmtId="0" xfId="0" applyAlignment="1" applyBorder="1" applyFill="1" applyFont="1">
      <alignment horizontal="left" shrinkToFit="0" vertical="top" wrapText="1"/>
    </xf>
    <xf borderId="2" fillId="16" fontId="2" numFmtId="0" xfId="0" applyAlignment="1" applyBorder="1" applyFont="1">
      <alignment horizontal="left" readingOrder="0" shrinkToFit="0" vertical="top" wrapText="1"/>
    </xf>
    <xf borderId="2" fillId="16" fontId="2" numFmtId="49" xfId="0" applyAlignment="1" applyBorder="1" applyFont="1" applyNumberFormat="1">
      <alignment horizontal="left" readingOrder="0" shrinkToFit="0" vertical="top" wrapText="1"/>
    </xf>
    <xf borderId="3" fillId="9" fontId="2" numFmtId="0" xfId="0" applyAlignment="1" applyBorder="1" applyFont="1">
      <alignment horizontal="left" readingOrder="0" shrinkToFit="0" vertical="top" wrapText="1"/>
    </xf>
    <xf borderId="8" fillId="18" fontId="2" numFmtId="0" xfId="0" applyAlignment="1" applyBorder="1" applyFont="1">
      <alignment horizontal="left" shrinkToFit="0" vertical="top" wrapText="1"/>
    </xf>
    <xf borderId="0" fillId="0" fontId="9" numFmtId="0" xfId="0" applyAlignment="1" applyFont="1">
      <alignment horizontal="left" readingOrder="0" shrinkToFit="0" vertical="top" wrapText="1"/>
    </xf>
    <xf borderId="0" fillId="16" fontId="14" numFmtId="0" xfId="0" applyAlignment="1" applyFont="1">
      <alignment horizontal="left" readingOrder="0" shrinkToFit="0" vertical="top" wrapText="1"/>
    </xf>
    <xf borderId="0" fillId="16" fontId="11" numFmtId="49" xfId="0" applyAlignment="1" applyFont="1" applyNumberFormat="1">
      <alignment horizontal="left" readingOrder="0" shrinkToFit="0" vertical="top" wrapText="1"/>
    </xf>
    <xf borderId="0" fillId="0" fontId="14" numFmtId="0" xfId="0" applyAlignment="1" applyFont="1">
      <alignment readingOrder="0" shrinkToFit="0" vertical="top" wrapText="1"/>
    </xf>
    <xf borderId="0" fillId="0" fontId="11" numFmtId="49" xfId="0" applyAlignment="1" applyFont="1" applyNumberFormat="1">
      <alignment readingOrder="0" shrinkToFit="0" vertical="top" wrapText="1"/>
    </xf>
    <xf borderId="0" fillId="0" fontId="2" numFmtId="0" xfId="0" applyAlignment="1" applyFont="1">
      <alignment shrinkToFit="0" vertical="top" wrapText="1"/>
    </xf>
    <xf borderId="3" fillId="0" fontId="2" numFmtId="49" xfId="0" applyAlignment="1" applyBorder="1" applyFont="1" applyNumberFormat="1">
      <alignment horizontal="left" shrinkToFit="0" vertical="top" wrapText="1"/>
    </xf>
    <xf borderId="3" fillId="9" fontId="16" numFmtId="0" xfId="0" applyAlignment="1" applyBorder="1" applyFont="1">
      <alignment readingOrder="0" shrinkToFit="0" vertical="top" wrapText="1"/>
    </xf>
    <xf borderId="3" fillId="15" fontId="17" numFmtId="0" xfId="0" applyAlignment="1" applyBorder="1" applyFont="1">
      <alignment shrinkToFit="0" vertical="center" wrapText="1"/>
    </xf>
    <xf borderId="3" fillId="15" fontId="17" numFmtId="0" xfId="0" applyAlignment="1" applyBorder="1" applyFont="1">
      <alignment shrinkToFit="0" vertical="top" wrapText="1"/>
    </xf>
    <xf borderId="3" fillId="0" fontId="18" numFmtId="0" xfId="0" applyAlignment="1" applyBorder="1" applyFont="1">
      <alignment horizontal="left" readingOrder="0" shrinkToFit="0" vertical="top" wrapText="1"/>
    </xf>
    <xf borderId="3" fillId="16" fontId="14" numFmtId="0" xfId="0" applyAlignment="1" applyBorder="1" applyFont="1">
      <alignment horizontal="left" readingOrder="0" shrinkToFit="0" vertical="top" wrapText="1"/>
    </xf>
    <xf borderId="3" fillId="9" fontId="16" numFmtId="0" xfId="0" applyAlignment="1" applyBorder="1" applyFont="1">
      <alignment shrinkToFit="0" vertical="top" wrapText="1"/>
    </xf>
    <xf borderId="3" fillId="0" fontId="12" numFmtId="49" xfId="0" applyAlignment="1" applyBorder="1" applyFont="1" applyNumberFormat="1">
      <alignment horizontal="left" readingOrder="0" shrinkToFit="0" vertical="top" wrapText="1"/>
    </xf>
    <xf borderId="3" fillId="0" fontId="12" numFmtId="0" xfId="0" applyAlignment="1" applyBorder="1" applyFont="1">
      <alignment horizontal="left" readingOrder="0" shrinkToFit="0" wrapText="1"/>
    </xf>
    <xf borderId="3" fillId="19" fontId="19" numFmtId="0" xfId="0" applyAlignment="1" applyBorder="1" applyFont="1">
      <alignment horizontal="left" readingOrder="0" shrinkToFit="0" vertical="top" wrapText="1"/>
    </xf>
    <xf borderId="3" fillId="17" fontId="19" numFmtId="49" xfId="0" applyAlignment="1" applyBorder="1" applyFont="1" applyNumberFormat="1">
      <alignment horizontal="left" readingOrder="0" shrinkToFit="0" vertical="top" wrapText="1"/>
    </xf>
    <xf borderId="3" fillId="17" fontId="19" numFmtId="0" xfId="0" applyAlignment="1" applyBorder="1" applyFont="1">
      <alignment horizontal="left" readingOrder="0" shrinkToFit="0" vertical="top" wrapText="1"/>
    </xf>
    <xf borderId="3" fillId="0" fontId="19" numFmtId="0" xfId="0" applyAlignment="1" applyBorder="1" applyFont="1">
      <alignment horizontal="left" readingOrder="0" shrinkToFit="0" vertical="top" wrapText="1"/>
    </xf>
    <xf borderId="3" fillId="0" fontId="19" numFmtId="49" xfId="0" applyAlignment="1" applyBorder="1" applyFont="1" applyNumberFormat="1">
      <alignment horizontal="left" readingOrder="0" shrinkToFit="0" vertical="top" wrapText="1"/>
    </xf>
    <xf borderId="3" fillId="16" fontId="15" numFmtId="49" xfId="0" applyAlignment="1" applyBorder="1" applyFont="1" applyNumberFormat="1">
      <alignment horizontal="left" readingOrder="0" shrinkToFit="0" vertical="top" wrapText="1"/>
    </xf>
    <xf borderId="3" fillId="16" fontId="11" numFmtId="0" xfId="0" applyAlignment="1" applyBorder="1" applyFont="1">
      <alignment horizontal="left" shrinkToFit="0" vertical="top" wrapText="1"/>
    </xf>
    <xf borderId="0" fillId="0" fontId="2" numFmtId="0" xfId="0" applyAlignment="1" applyFont="1">
      <alignment horizontal="left" readingOrder="0" shrinkToFit="0" vertical="top" wrapText="1"/>
    </xf>
    <xf borderId="3" fillId="16" fontId="11" numFmtId="49" xfId="0" applyAlignment="1" applyBorder="1" applyFont="1" applyNumberFormat="1">
      <alignment horizontal="left" shrinkToFit="0" vertical="top" wrapText="1"/>
    </xf>
    <xf borderId="3" fillId="16" fontId="20" numFmtId="0" xfId="0" applyAlignment="1" applyBorder="1" applyFont="1">
      <alignment horizontal="left" readingOrder="0" shrinkToFit="0" vertical="top" wrapText="1"/>
    </xf>
    <xf borderId="3" fillId="9" fontId="2" numFmtId="0" xfId="0" applyAlignment="1" applyBorder="1" applyFont="1">
      <alignment horizontal="left" shrinkToFit="0" vertical="center" wrapText="1"/>
    </xf>
    <xf borderId="3" fillId="19" fontId="12" numFmtId="0" xfId="0" applyAlignment="1" applyBorder="1" applyFont="1">
      <alignment horizontal="left" readingOrder="0" shrinkToFit="0" vertical="top" wrapText="1"/>
    </xf>
    <xf borderId="3" fillId="19" fontId="12" numFmtId="0" xfId="0" applyAlignment="1" applyBorder="1" applyFont="1">
      <alignment horizontal="left" readingOrder="0" shrinkToFit="0" vertical="top" wrapText="1"/>
    </xf>
    <xf borderId="3" fillId="0" fontId="9" numFmtId="49" xfId="0" applyAlignment="1" applyBorder="1" applyFont="1" applyNumberFormat="1">
      <alignment horizontal="left" shrinkToFit="0" vertical="top" wrapText="1"/>
    </xf>
    <xf borderId="3" fillId="0" fontId="21" numFmtId="0" xfId="0" applyAlignment="1" applyBorder="1" applyFont="1">
      <alignment horizontal="left" readingOrder="0" shrinkToFit="0" vertical="top" wrapText="1"/>
    </xf>
    <xf borderId="3" fillId="21" fontId="12" numFmtId="0" xfId="0" applyAlignment="1" applyBorder="1" applyFill="1" applyFont="1">
      <alignment horizontal="left" readingOrder="0" shrinkToFit="0" vertical="top" wrapText="1"/>
    </xf>
    <xf borderId="3" fillId="5" fontId="9" numFmtId="0" xfId="0" applyAlignment="1" applyBorder="1" applyFont="1">
      <alignment horizontal="left" readingOrder="0" vertical="top"/>
    </xf>
    <xf borderId="3" fillId="0" fontId="22" numFmtId="0" xfId="0" applyAlignment="1" applyBorder="1" applyFont="1">
      <alignment horizontal="left" readingOrder="0" shrinkToFit="0" vertical="top" wrapText="1"/>
    </xf>
    <xf borderId="3" fillId="0" fontId="9" numFmtId="164" xfId="0" applyAlignment="1" applyBorder="1" applyFont="1" applyNumberFormat="1">
      <alignment horizontal="left" readingOrder="0" shrinkToFit="0" vertical="top" wrapText="1"/>
    </xf>
    <xf borderId="3" fillId="5" fontId="2" numFmtId="0" xfId="0" applyAlignment="1" applyBorder="1" applyFont="1">
      <alignment horizontal="left" readingOrder="0" shrinkToFit="0" vertical="top" wrapText="1"/>
    </xf>
    <xf borderId="3" fillId="0" fontId="13" numFmtId="0" xfId="0" applyAlignment="1" applyBorder="1" applyFont="1">
      <alignment horizontal="left" shrinkToFit="0" vertical="top" wrapText="1"/>
    </xf>
    <xf borderId="3" fillId="14" fontId="12" numFmtId="0" xfId="0" applyAlignment="1" applyBorder="1" applyFont="1">
      <alignment horizontal="left" readingOrder="0" shrinkToFit="0" vertical="top" wrapText="1"/>
    </xf>
    <xf borderId="8" fillId="16" fontId="11" numFmtId="0" xfId="0" applyAlignment="1" applyBorder="1" applyFont="1">
      <alignment horizontal="left" shrinkToFit="0" vertical="top" wrapText="1"/>
    </xf>
    <xf borderId="3" fillId="5" fontId="21" numFmtId="0" xfId="0" applyAlignment="1" applyBorder="1" applyFont="1">
      <alignment horizontal="left" readingOrder="0" vertical="top"/>
    </xf>
    <xf borderId="0" fillId="0" fontId="11" numFmtId="0" xfId="0" applyAlignment="1" applyFont="1">
      <alignment horizontal="left" readingOrder="0" shrinkToFit="0" vertical="top" wrapText="1"/>
    </xf>
    <xf borderId="3" fillId="22" fontId="2" numFmtId="0" xfId="0" applyAlignment="1" applyBorder="1" applyFill="1" applyFont="1">
      <alignment horizontal="left" readingOrder="0" shrinkToFit="0" vertical="top" wrapText="1"/>
    </xf>
    <xf borderId="3" fillId="17" fontId="2" numFmtId="0" xfId="0" applyAlignment="1" applyBorder="1" applyFont="1">
      <alignment shrinkToFit="0" vertical="top" wrapText="1"/>
    </xf>
    <xf borderId="3" fillId="21" fontId="9" numFmtId="0" xfId="0" applyAlignment="1" applyBorder="1" applyFont="1">
      <alignment horizontal="left" readingOrder="0" shrinkToFit="0" vertical="top" wrapText="1"/>
    </xf>
    <xf borderId="0" fillId="17" fontId="15" numFmtId="0" xfId="0" applyAlignment="1" applyFont="1">
      <alignment horizontal="left" readingOrder="0" shrinkToFit="0" vertical="top" wrapText="1"/>
    </xf>
    <xf borderId="0" fillId="17" fontId="15" numFmtId="0" xfId="0" applyAlignment="1" applyFont="1">
      <alignment horizontal="left" shrinkToFit="0" vertical="top" wrapText="1"/>
    </xf>
    <xf borderId="11" fillId="17" fontId="15" numFmtId="0" xfId="0" applyAlignment="1" applyBorder="1" applyFont="1">
      <alignment horizontal="left" shrinkToFit="0" vertical="top" wrapText="1"/>
    </xf>
    <xf borderId="3" fillId="0" fontId="19" numFmtId="0" xfId="0" applyAlignment="1" applyBorder="1" applyFont="1">
      <alignment horizontal="left" shrinkToFit="0" vertical="top" wrapText="1"/>
    </xf>
    <xf borderId="3" fillId="17" fontId="15" numFmtId="49" xfId="0" applyAlignment="1" applyBorder="1" applyFont="1" applyNumberFormat="1">
      <alignment horizontal="left" readingOrder="0" shrinkToFit="0" vertical="top" wrapText="1"/>
    </xf>
    <xf borderId="3" fillId="17" fontId="15" numFmtId="0" xfId="0" applyAlignment="1" applyBorder="1" applyFont="1">
      <alignment horizontal="left" shrinkToFit="0" vertical="top" wrapText="1"/>
    </xf>
    <xf borderId="3" fillId="17" fontId="23" numFmtId="0" xfId="0" applyAlignment="1" applyBorder="1" applyFont="1">
      <alignment horizontal="left" readingOrder="0" shrinkToFit="0" vertical="top" wrapText="1"/>
    </xf>
    <xf borderId="3" fillId="17" fontId="14" numFmtId="0" xfId="0" applyAlignment="1" applyBorder="1" applyFont="1">
      <alignment horizontal="left" readingOrder="0" shrinkToFit="0" vertical="top" wrapText="1"/>
    </xf>
    <xf borderId="3" fillId="17" fontId="2" numFmtId="0" xfId="0" applyAlignment="1" applyBorder="1" applyFont="1">
      <alignment readingOrder="0" shrinkToFit="0" vertical="top" wrapText="1"/>
    </xf>
    <xf borderId="3" fillId="17" fontId="2" numFmtId="49" xfId="0" applyAlignment="1" applyBorder="1" applyFont="1" applyNumberFormat="1">
      <alignment readingOrder="0" shrinkToFit="0" vertical="top" wrapText="1"/>
    </xf>
    <xf borderId="3" fillId="17" fontId="2" numFmtId="49" xfId="0" applyAlignment="1" applyBorder="1" applyFont="1" applyNumberFormat="1">
      <alignment shrinkToFit="0" vertical="top" wrapText="1"/>
    </xf>
    <xf borderId="3" fillId="17" fontId="15" numFmtId="0" xfId="0" applyAlignment="1" applyBorder="1" applyFont="1">
      <alignment readingOrder="0" shrinkToFit="0" vertical="top" wrapText="1"/>
    </xf>
    <xf borderId="3" fillId="17" fontId="15" numFmtId="0" xfId="0" applyAlignment="1" applyBorder="1" applyFont="1">
      <alignment horizontal="left" readingOrder="0" shrinkToFit="0" vertical="top" wrapText="1"/>
    </xf>
    <xf borderId="3" fillId="17" fontId="15" numFmtId="49" xfId="0" applyAlignment="1" applyBorder="1" applyFont="1" applyNumberFormat="1">
      <alignment horizontal="left" shrinkToFit="0" vertical="top" wrapText="1"/>
    </xf>
    <xf borderId="3" fillId="19" fontId="19" numFmtId="49" xfId="0" applyAlignment="1" applyBorder="1" applyFont="1" applyNumberFormat="1">
      <alignment horizontal="left" readingOrder="0" shrinkToFit="0" vertical="top" wrapText="1"/>
    </xf>
    <xf borderId="3" fillId="0" fontId="24" numFmtId="0" xfId="0" applyAlignment="1" applyBorder="1" applyFont="1">
      <alignment horizontal="left" readingOrder="0" shrinkToFit="0" vertical="top" wrapText="1"/>
    </xf>
    <xf borderId="10" fillId="0" fontId="19" numFmtId="0" xfId="0" applyAlignment="1" applyBorder="1" applyFont="1">
      <alignment horizontal="left" readingOrder="0" shrinkToFit="0" vertical="top" wrapText="1"/>
    </xf>
    <xf borderId="3" fillId="17" fontId="19" numFmtId="164" xfId="0" applyAlignment="1" applyBorder="1" applyFont="1" applyNumberFormat="1">
      <alignment horizontal="left" readingOrder="0" shrinkToFit="0" vertical="top" wrapText="1"/>
    </xf>
    <xf borderId="3" fillId="17" fontId="11" numFmtId="49" xfId="0" applyAlignment="1" applyBorder="1" applyFont="1" applyNumberFormat="1">
      <alignment horizontal="left" shrinkToFit="0" vertical="top" wrapText="1"/>
    </xf>
    <xf borderId="3" fillId="17" fontId="11" numFmtId="0" xfId="0" applyAlignment="1" applyBorder="1" applyFont="1">
      <alignment horizontal="left" shrinkToFit="0" vertical="top" wrapText="1"/>
    </xf>
    <xf borderId="3" fillId="22" fontId="19" numFmtId="0" xfId="0" applyAlignment="1" applyBorder="1" applyFont="1">
      <alignment horizontal="left" readingOrder="0" shrinkToFit="0" vertical="top" wrapText="1"/>
    </xf>
    <xf borderId="10" fillId="0" fontId="19" numFmtId="49" xfId="0" applyAlignment="1" applyBorder="1" applyFont="1" applyNumberFormat="1">
      <alignment horizontal="left" readingOrder="0" shrinkToFit="0" vertical="top" wrapText="1"/>
    </xf>
    <xf borderId="3" fillId="19" fontId="9" numFmtId="49" xfId="0" applyAlignment="1" applyBorder="1" applyFont="1" applyNumberFormat="1">
      <alignment horizontal="left" readingOrder="0" shrinkToFit="0" vertical="top" wrapText="1"/>
    </xf>
    <xf borderId="3" fillId="0" fontId="25" numFmtId="0" xfId="0" applyAlignment="1" applyBorder="1" applyFont="1">
      <alignment horizontal="left" readingOrder="0" shrinkToFit="0" vertical="top" wrapText="1"/>
    </xf>
    <xf borderId="3" fillId="17" fontId="14" numFmtId="0" xfId="0" applyAlignment="1" applyBorder="1" applyFont="1">
      <alignment readingOrder="0" shrinkToFit="0" vertical="top" wrapText="1"/>
    </xf>
    <xf borderId="3" fillId="0" fontId="26" numFmtId="0" xfId="0" applyAlignment="1" applyBorder="1" applyFont="1">
      <alignment horizontal="left" readingOrder="0" shrinkToFit="0" vertical="top" wrapText="1"/>
    </xf>
    <xf borderId="3" fillId="23" fontId="2" numFmtId="0" xfId="0" applyAlignment="1" applyBorder="1" applyFill="1" applyFont="1">
      <alignment readingOrder="0" shrinkToFit="0" vertical="top" wrapText="1"/>
    </xf>
    <xf borderId="3" fillId="22" fontId="2" numFmtId="0" xfId="0" applyAlignment="1" applyBorder="1" applyFont="1">
      <alignment shrinkToFit="0" vertical="top" wrapText="1"/>
    </xf>
    <xf borderId="3" fillId="0" fontId="2" numFmtId="0" xfId="0" applyAlignment="1" applyBorder="1" applyFont="1">
      <alignment shrinkToFit="0" vertical="top" wrapText="1"/>
    </xf>
    <xf borderId="3" fillId="5" fontId="2" numFmtId="0" xfId="0" applyAlignment="1" applyBorder="1" applyFont="1">
      <alignment readingOrder="0" shrinkToFit="0" vertical="top" wrapText="1"/>
    </xf>
    <xf borderId="3" fillId="0" fontId="2" numFmtId="0" xfId="0" applyAlignment="1" applyBorder="1" applyFont="1">
      <alignment readingOrder="0" shrinkToFit="0" vertical="top" wrapText="1"/>
    </xf>
    <xf borderId="3" fillId="5" fontId="15" numFmtId="0" xfId="0" applyAlignment="1" applyBorder="1" applyFont="1">
      <alignment horizontal="left" readingOrder="0" shrinkToFit="0" vertical="top" wrapText="1"/>
    </xf>
    <xf borderId="3" fillId="0" fontId="27" numFmtId="0" xfId="0" applyAlignment="1" applyBorder="1" applyFont="1">
      <alignment readingOrder="0" shrinkToFit="0" vertical="top" wrapText="1"/>
    </xf>
    <xf borderId="3" fillId="0" fontId="19" numFmtId="49" xfId="0" applyAlignment="1" applyBorder="1" applyFont="1" applyNumberFormat="1">
      <alignment horizontal="left" shrinkToFit="0" vertical="top" wrapText="1"/>
    </xf>
    <xf borderId="3" fillId="0" fontId="19" numFmtId="0" xfId="0" applyAlignment="1" applyBorder="1" applyFont="1">
      <alignment horizontal="left" shrinkToFit="0" vertical="top" wrapText="1"/>
    </xf>
    <xf borderId="3" fillId="17" fontId="10" numFmtId="0" xfId="0" applyAlignment="1" applyBorder="1" applyFont="1">
      <alignment horizontal="center" readingOrder="0" shrinkToFit="0" vertical="top" wrapText="1"/>
    </xf>
    <xf borderId="3" fillId="17" fontId="28" numFmtId="0" xfId="0" applyAlignment="1" applyBorder="1" applyFont="1">
      <alignment readingOrder="0" shrinkToFit="0" vertical="top" wrapText="1"/>
    </xf>
    <xf borderId="3" fillId="17" fontId="11" numFmtId="49" xfId="0" applyAlignment="1" applyBorder="1" applyFont="1" applyNumberFormat="1">
      <alignment readingOrder="0" shrinkToFit="0" vertical="top" wrapText="1"/>
    </xf>
    <xf borderId="3" fillId="0" fontId="11" numFmtId="0" xfId="0" applyAlignment="1" applyBorder="1" applyFont="1">
      <alignment horizontal="left" shrinkToFit="0" vertical="top" wrapText="1"/>
    </xf>
    <xf borderId="3" fillId="9" fontId="11" numFmtId="0" xfId="0" applyAlignment="1" applyBorder="1" applyFont="1">
      <alignment horizontal="left" shrinkToFit="0" vertical="top" wrapText="1"/>
    </xf>
    <xf borderId="3" fillId="14" fontId="13" numFmtId="0" xfId="0" applyAlignment="1" applyBorder="1" applyFont="1">
      <alignment horizontal="left" readingOrder="0" shrinkToFit="0" vertical="top" wrapText="1"/>
    </xf>
    <xf borderId="3" fillId="15" fontId="11" numFmtId="0" xfId="0" applyAlignment="1" applyBorder="1" applyFont="1">
      <alignment horizontal="left" shrinkToFit="0" vertical="top" wrapText="1"/>
    </xf>
    <xf borderId="3" fillId="17" fontId="29" numFmtId="0" xfId="0" applyAlignment="1" applyBorder="1" applyFont="1">
      <alignment readingOrder="0" shrinkToFit="0" vertical="top" wrapText="1"/>
    </xf>
    <xf borderId="3" fillId="17" fontId="15" numFmtId="49" xfId="0" applyAlignment="1" applyBorder="1" applyFont="1" applyNumberFormat="1">
      <alignment readingOrder="0" shrinkToFit="0" vertical="top" wrapText="1"/>
    </xf>
    <xf borderId="3" fillId="17" fontId="11" numFmtId="0" xfId="0" applyAlignment="1" applyBorder="1" applyFont="1">
      <alignment shrinkToFit="0" vertical="top" wrapText="1"/>
    </xf>
    <xf borderId="3" fillId="23" fontId="15" numFmtId="0" xfId="0" applyAlignment="1" applyBorder="1" applyFont="1">
      <alignment horizontal="left" readingOrder="0" shrinkToFit="0" vertical="top" wrapText="1"/>
    </xf>
    <xf borderId="3" fillId="21" fontId="19" numFmtId="0" xfId="0" applyAlignment="1" applyBorder="1" applyFont="1">
      <alignment horizontal="left" readingOrder="0" shrinkToFit="0" vertical="top" wrapText="1"/>
    </xf>
    <xf borderId="3" fillId="22" fontId="15" numFmtId="0" xfId="0" applyAlignment="1" applyBorder="1" applyFont="1">
      <alignment horizontal="left" readingOrder="0" shrinkToFit="0" vertical="top" wrapText="1"/>
    </xf>
    <xf borderId="3" fillId="24" fontId="19" numFmtId="49" xfId="0" applyAlignment="1" applyBorder="1" applyFill="1" applyFont="1" applyNumberFormat="1">
      <alignment horizontal="left" shrinkToFit="0" vertical="top" wrapText="1"/>
    </xf>
    <xf borderId="3" fillId="17" fontId="30" numFmtId="0" xfId="0" applyAlignment="1" applyBorder="1" applyFont="1">
      <alignment horizontal="left" shrinkToFit="0" vertical="top" wrapText="1"/>
    </xf>
    <xf borderId="3" fillId="0" fontId="23" numFmtId="0" xfId="0" applyAlignment="1" applyBorder="1" applyFont="1">
      <alignment horizontal="left" readingOrder="0" shrinkToFit="0" vertical="top" wrapText="1"/>
    </xf>
    <xf borderId="3" fillId="17" fontId="11" numFmtId="0" xfId="0" applyAlignment="1" applyBorder="1" applyFont="1">
      <alignment readingOrder="0" shrinkToFit="0" vertical="top" wrapText="1"/>
    </xf>
    <xf borderId="3" fillId="17" fontId="9" numFmtId="0" xfId="0" applyAlignment="1" applyBorder="1" applyFont="1">
      <alignment horizontal="left" shrinkToFit="0" vertical="top" wrapText="1"/>
    </xf>
    <xf borderId="0" fillId="0" fontId="2" numFmtId="49" xfId="0" applyAlignment="1" applyFont="1" applyNumberFormat="1">
      <alignment horizontal="left" shrinkToFit="0" vertical="top" wrapText="1"/>
    </xf>
    <xf borderId="1" fillId="0" fontId="2" numFmtId="0" xfId="0" applyAlignment="1" applyBorder="1" applyFont="1">
      <alignment horizontal="left" shrinkToFit="0" vertical="top" wrapText="1"/>
    </xf>
    <xf borderId="2" fillId="0" fontId="2" numFmtId="0" xfId="0" applyAlignment="1" applyBorder="1" applyFont="1">
      <alignment horizontal="left" shrinkToFit="0" vertical="top" wrapText="1"/>
    </xf>
    <xf borderId="0" fillId="0" fontId="31" numFmtId="0" xfId="0" applyAlignment="1" applyFont="1">
      <alignment readingOrder="0"/>
    </xf>
    <xf borderId="0" fillId="0" fontId="31" numFmtId="0" xfId="0" applyFont="1"/>
    <xf borderId="0" fillId="0" fontId="32" numFmtId="0" xfId="0" applyAlignment="1" applyFont="1">
      <alignment horizontal="center" readingOrder="0" shrinkToFit="0" vertical="bottom" wrapText="1"/>
    </xf>
    <xf borderId="0" fillId="0" fontId="33" numFmtId="0" xfId="0" applyAlignment="1" applyFont="1">
      <alignment horizontal="left" shrinkToFit="0" vertical="bottom" wrapText="1"/>
    </xf>
    <xf borderId="2" fillId="11" fontId="34" numFmtId="0" xfId="0" applyAlignment="1" applyBorder="1" applyFont="1">
      <alignment horizontal="center" shrinkToFit="0" vertical="center" wrapText="1"/>
    </xf>
    <xf borderId="3" fillId="8" fontId="35" numFmtId="0" xfId="0" applyAlignment="1" applyBorder="1" applyFont="1">
      <alignment horizontal="center" shrinkToFit="0" vertical="center" wrapText="1"/>
    </xf>
    <xf borderId="3" fillId="20" fontId="35" numFmtId="0" xfId="0" applyAlignment="1" applyBorder="1" applyFont="1">
      <alignment horizontal="center" shrinkToFit="0" vertical="center" wrapText="1"/>
    </xf>
    <xf borderId="3" fillId="10" fontId="36" numFmtId="0" xfId="0" applyAlignment="1" applyBorder="1" applyFont="1">
      <alignment horizontal="center" shrinkToFit="0" vertical="center" wrapText="1"/>
    </xf>
    <xf borderId="3" fillId="25" fontId="37" numFmtId="0" xfId="0" applyAlignment="1" applyBorder="1" applyFill="1" applyFont="1">
      <alignment horizontal="center" shrinkToFit="0" vertical="center" wrapText="1"/>
    </xf>
    <xf borderId="3" fillId="25" fontId="6" numFmtId="0" xfId="0" applyAlignment="1" applyBorder="1" applyFont="1">
      <alignment horizontal="center" shrinkToFit="0" vertical="center" wrapText="1"/>
    </xf>
    <xf borderId="3" fillId="25" fontId="38" numFmtId="0" xfId="0" applyAlignment="1" applyBorder="1" applyFont="1">
      <alignment horizontal="center" shrinkToFit="0" vertical="center" wrapText="1"/>
    </xf>
    <xf borderId="3" fillId="10" fontId="38" numFmtId="0" xfId="0" applyAlignment="1" applyBorder="1" applyFont="1">
      <alignment horizontal="center" shrinkToFit="0" vertical="center" wrapText="1"/>
    </xf>
    <xf borderId="3" fillId="9" fontId="38" numFmtId="0" xfId="0" applyAlignment="1" applyBorder="1" applyFont="1">
      <alignment horizontal="left" shrinkToFit="0" vertical="top" wrapText="1"/>
    </xf>
    <xf borderId="3" fillId="0" fontId="38" numFmtId="0" xfId="0" applyAlignment="1" applyBorder="1" applyFont="1">
      <alignment horizontal="left" shrinkToFit="0" vertical="top" wrapText="1"/>
    </xf>
    <xf borderId="3" fillId="22" fontId="2" numFmtId="0" xfId="0" applyAlignment="1" applyBorder="1" applyFont="1">
      <alignment horizontal="left" shrinkToFit="0" vertical="top" wrapText="1"/>
    </xf>
    <xf borderId="3" fillId="0" fontId="38" numFmtId="165" xfId="0" applyAlignment="1" applyBorder="1" applyFont="1" applyNumberFormat="1">
      <alignment horizontal="center" shrinkToFit="0" vertical="top" wrapText="1"/>
    </xf>
    <xf borderId="3" fillId="0" fontId="2" numFmtId="0" xfId="0" applyAlignment="1" applyBorder="1" applyFont="1">
      <alignment vertical="top"/>
    </xf>
    <xf borderId="3" fillId="0" fontId="38" numFmtId="0" xfId="0" applyAlignment="1" applyBorder="1" applyFont="1">
      <alignment horizontal="center" shrinkToFit="0" vertical="center" wrapText="1"/>
    </xf>
    <xf borderId="3" fillId="22" fontId="38" numFmtId="0" xfId="0" applyAlignment="1" applyBorder="1" applyFont="1">
      <alignment horizontal="left" shrinkToFit="0" vertical="top" wrapText="1"/>
    </xf>
    <xf quotePrefix="1" borderId="3" fillId="22" fontId="2" numFmtId="0" xfId="0" applyAlignment="1" applyBorder="1" applyFont="1">
      <alignment horizontal="center" shrinkToFit="0" vertical="top" wrapText="1"/>
    </xf>
    <xf borderId="3" fillId="0" fontId="39" numFmtId="0" xfId="0" applyAlignment="1" applyBorder="1" applyFont="1">
      <alignment horizontal="left" shrinkToFit="0" vertical="top" wrapText="1"/>
    </xf>
    <xf borderId="3" fillId="0" fontId="40" numFmtId="0" xfId="0" applyAlignment="1" applyBorder="1" applyFont="1">
      <alignment horizontal="left" shrinkToFit="0" vertical="top" wrapText="1"/>
    </xf>
    <xf borderId="3" fillId="0" fontId="41" numFmtId="0" xfId="0" applyAlignment="1" applyBorder="1" applyFont="1">
      <alignment horizontal="left" shrinkToFit="0" vertical="top" wrapText="1"/>
    </xf>
    <xf quotePrefix="1" borderId="3" fillId="0" fontId="38" numFmtId="0" xfId="0" applyAlignment="1" applyBorder="1" applyFont="1">
      <alignment horizontal="left" shrinkToFit="0" vertical="top" wrapText="1"/>
    </xf>
    <xf borderId="3" fillId="0" fontId="42" numFmtId="0" xfId="0" applyAlignment="1" applyBorder="1" applyFont="1">
      <alignment horizontal="left" shrinkToFit="0" vertical="top" wrapText="1"/>
    </xf>
    <xf borderId="3" fillId="0" fontId="40" numFmtId="0" xfId="0" applyAlignment="1" applyBorder="1" applyFont="1">
      <alignment horizontal="center" shrinkToFit="0" vertical="center" wrapText="1"/>
    </xf>
    <xf borderId="3" fillId="0" fontId="43" numFmtId="0" xfId="0" applyAlignment="1" applyBorder="1" applyFont="1">
      <alignment horizontal="center" readingOrder="0" vertical="center"/>
    </xf>
    <xf borderId="3" fillId="14" fontId="43" numFmtId="0" xfId="0" applyAlignment="1" applyBorder="1" applyFont="1">
      <alignment horizontal="left" readingOrder="0" shrinkToFit="0" vertical="top" wrapText="1"/>
    </xf>
    <xf borderId="3" fillId="0" fontId="43" numFmtId="0" xfId="0" applyAlignment="1" applyBorder="1" applyFont="1">
      <alignment horizontal="left" readingOrder="0" shrinkToFit="0" vertical="top" wrapText="1"/>
    </xf>
    <xf borderId="3" fillId="0" fontId="43" numFmtId="165" xfId="0" applyAlignment="1" applyBorder="1" applyFont="1" applyNumberFormat="1">
      <alignment horizontal="center" readingOrder="0" shrinkToFit="0" vertical="top" wrapText="1"/>
    </xf>
    <xf borderId="3" fillId="0" fontId="43" numFmtId="0" xfId="0" applyAlignment="1" applyBorder="1" applyFont="1">
      <alignment horizontal="center" readingOrder="0" shrinkToFit="0" vertical="top" wrapText="1"/>
    </xf>
    <xf borderId="3" fillId="25" fontId="43" numFmtId="0" xfId="0" applyAlignment="1" applyBorder="1" applyFont="1">
      <alignment horizontal="center" readingOrder="0" vertical="center"/>
    </xf>
    <xf borderId="3" fillId="22" fontId="43" numFmtId="0" xfId="0" applyAlignment="1" applyBorder="1" applyFont="1">
      <alignment horizontal="left" readingOrder="0" shrinkToFit="0" vertical="top" wrapText="1"/>
    </xf>
    <xf borderId="3" fillId="17" fontId="43" numFmtId="0" xfId="0" applyAlignment="1" applyBorder="1" applyFont="1">
      <alignment horizontal="left" readingOrder="0" shrinkToFit="0" vertical="top" wrapText="1"/>
    </xf>
    <xf borderId="3" fillId="0" fontId="44" numFmtId="0" xfId="0" applyAlignment="1" applyBorder="1" applyFont="1">
      <alignment horizontal="left" readingOrder="0" shrinkToFit="0" vertical="top" wrapText="1"/>
    </xf>
    <xf borderId="3" fillId="0" fontId="43" numFmtId="0" xfId="0" applyAlignment="1" applyBorder="1" applyFont="1">
      <alignment horizontal="left" shrinkToFit="0" vertical="top" wrapText="1"/>
    </xf>
    <xf borderId="3" fillId="0" fontId="45" numFmtId="0" xfId="0" applyAlignment="1" applyBorder="1" applyFont="1">
      <alignment horizontal="left" readingOrder="0" shrinkToFit="0" vertical="top" wrapText="1"/>
    </xf>
    <xf borderId="3" fillId="22" fontId="46" numFmtId="0" xfId="0" applyAlignment="1" applyBorder="1" applyFont="1">
      <alignment horizontal="left" readingOrder="0" shrinkToFit="0" vertical="top" wrapText="1"/>
    </xf>
    <xf borderId="3" fillId="0" fontId="46" numFmtId="0" xfId="0" applyAlignment="1" applyBorder="1" applyFont="1">
      <alignment horizontal="left" readingOrder="0" shrinkToFit="0" vertical="top" wrapText="1"/>
    </xf>
    <xf borderId="3" fillId="14" fontId="47" numFmtId="0" xfId="0" applyAlignment="1" applyBorder="1" applyFont="1">
      <alignment horizontal="left" readingOrder="0" shrinkToFit="0" vertical="top" wrapText="1"/>
    </xf>
    <xf borderId="3" fillId="22" fontId="43" numFmtId="0" xfId="0" applyAlignment="1" applyBorder="1" applyFont="1">
      <alignment horizontal="left" shrinkToFit="0" vertical="top" wrapText="1"/>
    </xf>
    <xf borderId="3" fillId="25" fontId="43" numFmtId="0" xfId="0" applyAlignment="1" applyBorder="1" applyFont="1">
      <alignment horizontal="center" readingOrder="0" shrinkToFit="0" vertical="center" wrapText="1"/>
    </xf>
    <xf borderId="3" fillId="0" fontId="43" numFmtId="0" xfId="0" applyAlignment="1" applyBorder="1" applyFont="1">
      <alignment horizontal="center" readingOrder="0" shrinkToFit="0" vertical="center" wrapText="1"/>
    </xf>
    <xf borderId="3" fillId="0" fontId="48" numFmtId="0" xfId="0" applyAlignment="1" applyBorder="1" applyFont="1">
      <alignment horizontal="left" readingOrder="0" shrinkToFit="0" vertical="top" wrapText="1"/>
    </xf>
    <xf borderId="3" fillId="0" fontId="49" numFmtId="0" xfId="0" applyAlignment="1" applyBorder="1" applyFont="1">
      <alignment horizontal="left" readingOrder="0" shrinkToFit="0" vertical="top" wrapText="1"/>
    </xf>
    <xf borderId="3" fillId="22" fontId="9" numFmtId="0" xfId="0" applyAlignment="1" applyBorder="1" applyFont="1">
      <alignment horizontal="left" readingOrder="0" shrinkToFit="0" vertical="top" wrapText="1"/>
    </xf>
    <xf borderId="3" fillId="0" fontId="43" numFmtId="164" xfId="0" applyAlignment="1" applyBorder="1" applyFont="1" applyNumberFormat="1">
      <alignment horizontal="left" readingOrder="0" shrinkToFit="0" vertical="top" wrapText="1"/>
    </xf>
    <xf borderId="12" fillId="0" fontId="43" numFmtId="0" xfId="0" applyAlignment="1" applyBorder="1" applyFont="1">
      <alignment horizontal="center" readingOrder="0" shrinkToFit="0" vertical="top" wrapText="1"/>
    </xf>
    <xf borderId="12" fillId="0" fontId="7" numFmtId="0" xfId="0" applyBorder="1" applyFont="1"/>
    <xf borderId="9" fillId="0" fontId="7" numFmtId="0" xfId="0" applyBorder="1" applyFont="1"/>
    <xf borderId="3" fillId="26" fontId="43" numFmtId="0" xfId="0" applyAlignment="1" applyBorder="1" applyFill="1" applyFont="1">
      <alignment horizontal="left" readingOrder="0" shrinkToFit="0" vertical="top" wrapText="1"/>
    </xf>
    <xf borderId="3" fillId="0" fontId="50" numFmtId="0" xfId="0" applyAlignment="1" applyBorder="1" applyFont="1">
      <alignment horizontal="left" shrinkToFit="0" vertical="top" wrapText="1"/>
    </xf>
    <xf borderId="3" fillId="17" fontId="48" numFmtId="0" xfId="0" applyAlignment="1" applyBorder="1" applyFont="1">
      <alignment horizontal="left" readingOrder="0" shrinkToFit="0" vertical="top" wrapText="1"/>
    </xf>
    <xf borderId="3" fillId="0" fontId="9" numFmtId="0" xfId="0" applyAlignment="1" applyBorder="1" applyFont="1">
      <alignment readingOrder="0" shrinkToFit="0" vertical="top" wrapText="1"/>
    </xf>
    <xf borderId="3" fillId="0" fontId="9" numFmtId="165" xfId="0" applyAlignment="1" applyBorder="1" applyFont="1" applyNumberFormat="1">
      <alignment horizontal="center" readingOrder="0" shrinkToFit="0" vertical="top" wrapText="1"/>
    </xf>
    <xf borderId="0" fillId="17" fontId="12" numFmtId="0" xfId="0" applyAlignment="1" applyFont="1">
      <alignment horizontal="left" readingOrder="0" shrinkToFit="0" vertical="top" wrapText="1"/>
    </xf>
    <xf borderId="0" fillId="0" fontId="9" numFmtId="0" xfId="0" applyAlignment="1" applyFont="1">
      <alignment readingOrder="0" shrinkToFit="0" vertical="top" wrapText="1"/>
    </xf>
    <xf borderId="6" fillId="0" fontId="43" numFmtId="0" xfId="0" applyAlignment="1" applyBorder="1" applyFont="1">
      <alignment horizontal="left" readingOrder="0" shrinkToFit="0" vertical="top" wrapText="1"/>
    </xf>
    <xf borderId="4" fillId="0" fontId="43" numFmtId="0" xfId="0" applyAlignment="1" applyBorder="1" applyFont="1">
      <alignment horizontal="left" readingOrder="0" shrinkToFit="0" vertical="top" wrapText="1"/>
    </xf>
    <xf borderId="3" fillId="0" fontId="9" numFmtId="0" xfId="0" applyAlignment="1" applyBorder="1" applyFont="1">
      <alignment horizontal="center" readingOrder="0" shrinkToFit="0" vertical="center" wrapText="1"/>
    </xf>
    <xf borderId="3" fillId="0" fontId="51" numFmtId="0" xfId="0" applyAlignment="1" applyBorder="1" applyFont="1">
      <alignment horizontal="left" readingOrder="0" shrinkToFit="0" vertical="top" wrapText="1"/>
    </xf>
    <xf borderId="3" fillId="0" fontId="9" numFmtId="0" xfId="0" applyAlignment="1" applyBorder="1" applyFont="1">
      <alignment shrinkToFit="0" vertical="top" wrapText="1"/>
    </xf>
    <xf borderId="3" fillId="0" fontId="52" numFmtId="0" xfId="0" applyAlignment="1" applyBorder="1" applyFont="1">
      <alignment horizontal="left" readingOrder="0" shrinkToFit="0" vertical="top" wrapText="1"/>
    </xf>
    <xf borderId="3" fillId="17" fontId="53" numFmtId="0" xfId="0" applyAlignment="1" applyBorder="1" applyFont="1">
      <alignment readingOrder="0" shrinkToFit="0" vertical="top" wrapText="1"/>
    </xf>
    <xf borderId="3" fillId="0" fontId="43" numFmtId="166" xfId="0" applyAlignment="1" applyBorder="1" applyFont="1" applyNumberFormat="1">
      <alignment horizontal="left" readingOrder="0" shrinkToFit="0" vertical="top" wrapText="1"/>
    </xf>
    <xf borderId="0" fillId="0" fontId="54" numFmtId="0" xfId="0" applyAlignment="1" applyFont="1">
      <alignment horizontal="left" readingOrder="0" shrinkToFit="0" vertical="top" wrapText="1"/>
    </xf>
    <xf borderId="3" fillId="0" fontId="55" numFmtId="0" xfId="0" applyAlignment="1" applyBorder="1" applyFont="1">
      <alignment horizontal="left" readingOrder="0" shrinkToFit="0" vertical="top" wrapText="1"/>
    </xf>
    <xf borderId="3" fillId="0" fontId="9" numFmtId="0" xfId="0" applyAlignment="1" applyBorder="1" applyFont="1">
      <alignment horizontal="center" readingOrder="0" shrinkToFit="0" vertical="top" wrapText="1"/>
    </xf>
    <xf borderId="0" fillId="0" fontId="9" numFmtId="0" xfId="0" applyAlignment="1" applyFont="1">
      <alignment horizontal="left" shrinkToFit="0" vertical="top" wrapText="1"/>
    </xf>
    <xf borderId="3" fillId="0" fontId="46" numFmtId="0" xfId="0" applyAlignment="1" applyBorder="1" applyFont="1">
      <alignment horizontal="center" readingOrder="0" vertical="center"/>
    </xf>
    <xf borderId="3" fillId="14" fontId="46" numFmtId="0" xfId="0" applyAlignment="1" applyBorder="1" applyFont="1">
      <alignment horizontal="left" readingOrder="0" shrinkToFit="0" vertical="top" wrapText="1"/>
    </xf>
    <xf borderId="3" fillId="0" fontId="46" numFmtId="165" xfId="0" applyAlignment="1" applyBorder="1" applyFont="1" applyNumberFormat="1">
      <alignment horizontal="center" readingOrder="0" shrinkToFit="0" vertical="top" wrapText="1"/>
    </xf>
    <xf borderId="3" fillId="0" fontId="46" numFmtId="164" xfId="0" applyAlignment="1" applyBorder="1" applyFont="1" applyNumberFormat="1">
      <alignment horizontal="left" readingOrder="0" shrinkToFit="0" vertical="top" wrapText="1"/>
    </xf>
    <xf borderId="3" fillId="0" fontId="9" numFmtId="0" xfId="0" applyAlignment="1" applyBorder="1" applyFont="1">
      <alignment horizontal="center" readingOrder="0" vertical="center"/>
    </xf>
    <xf borderId="3" fillId="0" fontId="46" numFmtId="0" xfId="0" applyAlignment="1" applyBorder="1" applyFont="1">
      <alignment horizontal="left" shrinkToFit="0" vertical="top" wrapText="1"/>
    </xf>
    <xf borderId="3" fillId="0" fontId="39"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99.1.1.29/resources/xf/portal/table.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busan.go.kr/depart/ahpharmacy" TargetMode="External"/><Relationship Id="rId22" Type="http://schemas.openxmlformats.org/officeDocument/2006/relationships/hyperlink" Target="https://www.busan.go.kr/promophoto" TargetMode="External"/><Relationship Id="rId21" Type="http://schemas.openxmlformats.org/officeDocument/2006/relationships/hyperlink" Target="https://www.busan.go.kr/eng/e-newsletter" TargetMode="External"/><Relationship Id="rId24" Type="http://schemas.openxmlformats.org/officeDocument/2006/relationships/hyperlink" Target="https://www.busan.go.kr/depart/childtransport" TargetMode="External"/><Relationship Id="rId23" Type="http://schemas.openxmlformats.org/officeDocument/2006/relationships/hyperlink" Target="https://www.busan.go.kr/bschild/index.nm?menuCd=1" TargetMode="External"/><Relationship Id="rId1" Type="http://schemas.openxmlformats.org/officeDocument/2006/relationships/hyperlink" Target="https://www.law.go.kr/lsSc.do?section=&amp;menuId=1&amp;subMenuId=15&amp;tabMenuId=81&amp;eventGubun=060101&amp;query=%EA%B3%B5%EA%B3%B5%EA%B8%B0%EB%A1%9D%EB%AC%BC+%EA%B4%80%EB%A6%AC%EC%97%90+%EA%B4%80%ED%95%9C+%EB%B2%95%EB%A5%A0+%EC%8B%9C%ED%96%89%EB%A0%B9" TargetMode="External"/><Relationship Id="rId2" Type="http://schemas.openxmlformats.org/officeDocument/2006/relationships/hyperlink" Target="https://www.nts.go.kr/nts/cm/cntnts/cntntsView.do?mi=6457&amp;cntntsId=7893" TargetMode="External"/><Relationship Id="rId3" Type="http://schemas.openxmlformats.org/officeDocument/2006/relationships/hyperlink" Target="https://reserve.busan.go.kr/index" TargetMode="External"/><Relationship Id="rId4" Type="http://schemas.openxmlformats.org/officeDocument/2006/relationships/hyperlink" Target="https://reserve.busan.go.kr/notice/1578585?curPage=&amp;%20%20srchBeginDt=&amp;%20%20srchEndDt=&amp;%20%20srchKey=&amp;%20%20searchText=" TargetMode="External"/><Relationship Id="rId9" Type="http://schemas.openxmlformats.org/officeDocument/2006/relationships/hyperlink" Target="https://www.law.go.kr/lsSc.do?section=&amp;menuId=1&amp;subMenuId=15&amp;tabMenuId=81&amp;eventGubun=060101&amp;query=%EC%A7%80%EB%B0%A9%EC%84%B8%EB%B2%95" TargetMode="External"/><Relationship Id="rId26" Type="http://schemas.openxmlformats.org/officeDocument/2006/relationships/hyperlink" Target="https://www.busan.go.kr/gbinspec02" TargetMode="External"/><Relationship Id="rId25" Type="http://schemas.openxmlformats.org/officeDocument/2006/relationships/hyperlink" Target="https://www.busan.go.kr/opgfaq" TargetMode="External"/><Relationship Id="rId27" Type="http://schemas.openxmlformats.org/officeDocument/2006/relationships/drawing" Target="../drawings/drawing3.xml"/><Relationship Id="rId5" Type="http://schemas.openxmlformats.org/officeDocument/2006/relationships/hyperlink" Target="https://npas.mois.go.kr/nsbms/hmp/nfvnzBsisStat/nfvnzRegSituStat/asscInfoListM.do" TargetMode="External"/><Relationship Id="rId6" Type="http://schemas.openxmlformats.org/officeDocument/2006/relationships/hyperlink" Target="https://www.busan.go.kr/woman/whguideonline" TargetMode="External"/><Relationship Id="rId7" Type="http://schemas.openxmlformats.org/officeDocument/2006/relationships/hyperlink" Target="https://www.busan.go.kr/woman/whjobtrain" TargetMode="External"/><Relationship Id="rId8" Type="http://schemas.openxmlformats.org/officeDocument/2006/relationships/hyperlink" Target="https://www.airportnoise.kr/anps/reqst/SdfclInfo" TargetMode="External"/><Relationship Id="rId11" Type="http://schemas.openxmlformats.org/officeDocument/2006/relationships/hyperlink" Target="https://council.busan.go.kr/" TargetMode="External"/><Relationship Id="rId10" Type="http://schemas.openxmlformats.org/officeDocument/2006/relationships/hyperlink" Target="https://opinion.lawmaking.go.kr/" TargetMode="External"/><Relationship Id="rId13" Type="http://schemas.openxmlformats.org/officeDocument/2006/relationships/hyperlink" Target="https://gongu.copyright.or.kr/" TargetMode="External"/><Relationship Id="rId12" Type="http://schemas.openxmlformats.org/officeDocument/2006/relationships/hyperlink" Target="https://openhwp.azurewebsites.net/" TargetMode="External"/><Relationship Id="rId15" Type="http://schemas.openxmlformats.org/officeDocument/2006/relationships/hyperlink" Target="https://www.busan.go.kr/depart/abnotice/1701658?curPage=&amp;srchBeginDt=2024-10-21&amp;srchEndDt=2025-10-21&amp;srchKey=&amp;srchText=" TargetMode="External"/><Relationship Id="rId14" Type="http://schemas.openxmlformats.org/officeDocument/2006/relationships/hyperlink" Target="https://www.wetax.go.kr/tcp/wtg/J040104M01.do" TargetMode="External"/><Relationship Id="rId17" Type="http://schemas.openxmlformats.org/officeDocument/2006/relationships/hyperlink" Target="https://www.busan.go.kr/bhvisit" TargetMode="External"/><Relationship Id="rId16" Type="http://schemas.openxmlformats.org/officeDocument/2006/relationships/hyperlink" Target="https://www.busan.go.kr/depart/health02" TargetMode="External"/><Relationship Id="rId19" Type="http://schemas.openxmlformats.org/officeDocument/2006/relationships/hyperlink" Target="https://www.busan.go.kr/water/hdocoverview" TargetMode="External"/><Relationship Id="rId18" Type="http://schemas.openxmlformats.org/officeDocument/2006/relationships/hyperlink" Target="https://119.busan.go.kr/safeapt/safeapt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30.71"/>
    <col customWidth="1" hidden="1" min="3" max="4" width="30.71"/>
    <col customWidth="1" hidden="1" min="5" max="5" width="20.71"/>
    <col customWidth="1" hidden="1" min="6" max="6" width="50.71"/>
    <col customWidth="1" min="7" max="7" width="50.71"/>
    <col customWidth="1" min="8" max="8" width="15.86"/>
    <col customWidth="1" min="9" max="9" width="12.71"/>
    <col customWidth="1" min="10" max="10" width="30.71"/>
    <col customWidth="1" min="11" max="11" width="10.71"/>
    <col customWidth="1" min="12" max="12" width="50.71"/>
    <col customWidth="1" min="13" max="13" width="14.86"/>
    <col customWidth="1" min="14" max="14" width="48.71"/>
    <col customWidth="1" min="15" max="15" width="29.14"/>
    <col customWidth="1" hidden="1" min="16" max="20" width="40.71"/>
    <col customWidth="1" min="21" max="21" width="15.71"/>
    <col customWidth="1" min="22" max="29" width="8.71"/>
  </cols>
  <sheetData>
    <row r="1" ht="30.0" customHeight="1">
      <c r="A1" s="1" t="s">
        <v>0</v>
      </c>
      <c r="G1" s="1"/>
      <c r="H1" s="2" t="s">
        <v>1</v>
      </c>
      <c r="I1" s="3">
        <f>COUNTIF(I4:I381,"참조문서확정")</f>
        <v>229</v>
      </c>
      <c r="J1" s="4" t="s">
        <v>2</v>
      </c>
      <c r="K1" s="5" t="s">
        <v>3</v>
      </c>
      <c r="L1" s="6" t="s">
        <v>4</v>
      </c>
      <c r="M1" s="7" t="s">
        <v>5</v>
      </c>
      <c r="N1" s="8">
        <f>COUNTIF(M4:M380, TRUE)</f>
        <v>209</v>
      </c>
      <c r="O1" s="9"/>
      <c r="P1" s="10"/>
      <c r="Q1" s="10"/>
      <c r="R1" s="11"/>
      <c r="S1" s="12"/>
      <c r="T1" s="12"/>
      <c r="U1" s="13"/>
      <c r="V1" s="13"/>
      <c r="W1" s="13"/>
      <c r="X1" s="13"/>
      <c r="Y1" s="13"/>
      <c r="Z1" s="13"/>
      <c r="AA1" s="13"/>
      <c r="AB1" s="13"/>
      <c r="AC1" s="13"/>
    </row>
    <row r="2" ht="19.5" customHeight="1">
      <c r="A2" s="14"/>
      <c r="B2" s="15"/>
      <c r="C2" s="14"/>
      <c r="D2" s="16" t="s">
        <v>6</v>
      </c>
      <c r="E2" s="17"/>
      <c r="F2" s="18" t="s">
        <v>7</v>
      </c>
      <c r="G2" s="17"/>
      <c r="H2" s="19" t="s">
        <v>8</v>
      </c>
      <c r="I2" s="17"/>
      <c r="J2" s="20" t="s">
        <v>9</v>
      </c>
      <c r="K2" s="21"/>
      <c r="L2" s="17"/>
      <c r="M2" s="22" t="s">
        <v>10</v>
      </c>
      <c r="N2" s="21"/>
      <c r="O2" s="17"/>
      <c r="P2" s="23" t="s">
        <v>11</v>
      </c>
      <c r="Q2" s="21"/>
      <c r="R2" s="21"/>
      <c r="S2" s="21"/>
      <c r="T2" s="17"/>
      <c r="U2" s="13"/>
      <c r="V2" s="13"/>
      <c r="W2" s="13"/>
      <c r="X2" s="13"/>
      <c r="Y2" s="13"/>
      <c r="Z2" s="13"/>
      <c r="AA2" s="13"/>
      <c r="AB2" s="13"/>
      <c r="AC2" s="13"/>
    </row>
    <row r="3" ht="19.5" customHeight="1">
      <c r="A3" s="24" t="s">
        <v>12</v>
      </c>
      <c r="B3" s="24" t="s">
        <v>13</v>
      </c>
      <c r="C3" s="24" t="s">
        <v>14</v>
      </c>
      <c r="D3" s="24" t="s">
        <v>15</v>
      </c>
      <c r="E3" s="24" t="s">
        <v>16</v>
      </c>
      <c r="F3" s="25" t="s">
        <v>17</v>
      </c>
      <c r="G3" s="26" t="s">
        <v>18</v>
      </c>
      <c r="H3" s="27" t="s">
        <v>19</v>
      </c>
      <c r="I3" s="27" t="s">
        <v>20</v>
      </c>
      <c r="J3" s="28" t="s">
        <v>21</v>
      </c>
      <c r="K3" s="29" t="s">
        <v>22</v>
      </c>
      <c r="L3" s="28" t="s">
        <v>23</v>
      </c>
      <c r="M3" s="30" t="s">
        <v>24</v>
      </c>
      <c r="N3" s="31" t="s">
        <v>25</v>
      </c>
      <c r="O3" s="32" t="s">
        <v>26</v>
      </c>
      <c r="P3" s="33" t="s">
        <v>27</v>
      </c>
      <c r="Q3" s="34" t="s">
        <v>28</v>
      </c>
      <c r="R3" s="34" t="s">
        <v>29</v>
      </c>
      <c r="S3" s="34" t="s">
        <v>30</v>
      </c>
      <c r="T3" s="34" t="s">
        <v>31</v>
      </c>
      <c r="U3" s="10"/>
      <c r="V3" s="10"/>
      <c r="W3" s="10"/>
      <c r="X3" s="10"/>
      <c r="Y3" s="10"/>
      <c r="Z3" s="10"/>
      <c r="AA3" s="10"/>
      <c r="AB3" s="10"/>
      <c r="AC3" s="10"/>
    </row>
    <row r="4" ht="16.5" hidden="1" customHeight="1">
      <c r="A4" s="35">
        <v>1.0</v>
      </c>
      <c r="B4" s="36" t="s">
        <v>32</v>
      </c>
      <c r="C4" s="37" t="s">
        <v>33</v>
      </c>
      <c r="D4" s="38" t="s">
        <v>34</v>
      </c>
      <c r="E4" s="38" t="s">
        <v>35</v>
      </c>
      <c r="F4" s="38" t="s">
        <v>36</v>
      </c>
      <c r="G4" s="39" t="s">
        <v>37</v>
      </c>
      <c r="H4" s="40" t="s">
        <v>38</v>
      </c>
      <c r="I4" s="39" t="s">
        <v>39</v>
      </c>
      <c r="J4" s="41" t="s">
        <v>40</v>
      </c>
      <c r="K4" s="42" t="s">
        <v>41</v>
      </c>
      <c r="L4" s="39" t="s">
        <v>42</v>
      </c>
      <c r="M4" s="43" t="b">
        <v>0</v>
      </c>
      <c r="N4" s="44" t="s">
        <v>43</v>
      </c>
      <c r="O4" s="45"/>
      <c r="P4" s="46"/>
      <c r="Q4" s="47"/>
      <c r="R4" s="47"/>
      <c r="S4" s="46"/>
      <c r="T4" s="46"/>
      <c r="U4" s="13"/>
      <c r="V4" s="13"/>
      <c r="W4" s="13"/>
      <c r="X4" s="13"/>
      <c r="Y4" s="13"/>
      <c r="Z4" s="13"/>
      <c r="AA4" s="13"/>
      <c r="AB4" s="13"/>
      <c r="AC4" s="13"/>
    </row>
    <row r="5" ht="16.5" hidden="1" customHeight="1">
      <c r="A5" s="35">
        <v>2.0</v>
      </c>
      <c r="B5" s="36" t="s">
        <v>44</v>
      </c>
      <c r="C5" s="37" t="s">
        <v>45</v>
      </c>
      <c r="D5" s="38" t="s">
        <v>46</v>
      </c>
      <c r="E5" s="38" t="s">
        <v>47</v>
      </c>
      <c r="F5" s="38" t="s">
        <v>48</v>
      </c>
      <c r="G5" s="48" t="s">
        <v>49</v>
      </c>
      <c r="H5" s="49" t="s">
        <v>50</v>
      </c>
      <c r="I5" s="39" t="s">
        <v>51</v>
      </c>
      <c r="J5" s="39" t="s">
        <v>52</v>
      </c>
      <c r="K5" s="42" t="s">
        <v>53</v>
      </c>
      <c r="L5" s="50" t="s">
        <v>54</v>
      </c>
      <c r="M5" s="51" t="b">
        <v>1</v>
      </c>
      <c r="N5" s="52" t="s">
        <v>55</v>
      </c>
      <c r="O5" s="46"/>
      <c r="P5" s="47" t="s">
        <v>56</v>
      </c>
      <c r="Q5" s="46" t="s">
        <v>57</v>
      </c>
      <c r="R5" s="47" t="s">
        <v>58</v>
      </c>
      <c r="S5" s="46"/>
      <c r="T5" s="53"/>
      <c r="U5" s="54"/>
      <c r="V5" s="13"/>
      <c r="W5" s="13"/>
      <c r="X5" s="13"/>
      <c r="Y5" s="13"/>
      <c r="Z5" s="13"/>
      <c r="AA5" s="13"/>
      <c r="AB5" s="13"/>
      <c r="AC5" s="13"/>
    </row>
    <row r="6" ht="16.5" hidden="1" customHeight="1">
      <c r="A6" s="35">
        <v>3.0</v>
      </c>
      <c r="B6" s="36" t="s">
        <v>59</v>
      </c>
      <c r="C6" s="37" t="s">
        <v>60</v>
      </c>
      <c r="D6" s="38" t="s">
        <v>61</v>
      </c>
      <c r="E6" s="38"/>
      <c r="F6" s="38" t="s">
        <v>62</v>
      </c>
      <c r="G6" s="39" t="s">
        <v>63</v>
      </c>
      <c r="H6" s="49" t="s">
        <v>64</v>
      </c>
      <c r="I6" s="39" t="s">
        <v>65</v>
      </c>
      <c r="J6" s="55"/>
      <c r="K6" s="55"/>
      <c r="L6" s="55"/>
      <c r="M6" s="51" t="b">
        <v>0</v>
      </c>
      <c r="N6" s="46"/>
      <c r="O6" s="46"/>
      <c r="P6" s="46" t="s">
        <v>66</v>
      </c>
      <c r="Q6" s="46" t="s">
        <v>67</v>
      </c>
      <c r="R6" s="47"/>
      <c r="S6" s="46"/>
      <c r="T6" s="46"/>
      <c r="U6" s="13"/>
      <c r="V6" s="13"/>
      <c r="W6" s="13"/>
      <c r="X6" s="13"/>
      <c r="Y6" s="13"/>
      <c r="Z6" s="13"/>
      <c r="AA6" s="13"/>
      <c r="AB6" s="13"/>
      <c r="AC6" s="13"/>
    </row>
    <row r="7" ht="16.5" hidden="1" customHeight="1">
      <c r="A7" s="35">
        <v>4.0</v>
      </c>
      <c r="B7" s="36" t="s">
        <v>68</v>
      </c>
      <c r="C7" s="37" t="s">
        <v>69</v>
      </c>
      <c r="D7" s="38" t="s">
        <v>70</v>
      </c>
      <c r="E7" s="38" t="s">
        <v>71</v>
      </c>
      <c r="F7" s="38" t="s">
        <v>72</v>
      </c>
      <c r="G7" s="39" t="s">
        <v>73</v>
      </c>
      <c r="H7" s="49" t="s">
        <v>64</v>
      </c>
      <c r="I7" s="39" t="s">
        <v>65</v>
      </c>
      <c r="J7" s="55"/>
      <c r="K7" s="55"/>
      <c r="L7" s="55"/>
      <c r="M7" s="51" t="b">
        <v>0</v>
      </c>
      <c r="N7" s="46"/>
      <c r="O7" s="46"/>
      <c r="P7" s="46" t="s">
        <v>74</v>
      </c>
      <c r="Q7" s="47" t="s">
        <v>75</v>
      </c>
      <c r="R7" s="47" t="s">
        <v>76</v>
      </c>
      <c r="S7" s="35" t="s">
        <v>77</v>
      </c>
      <c r="T7" s="46"/>
      <c r="U7" s="13"/>
      <c r="V7" s="13"/>
      <c r="W7" s="13"/>
      <c r="X7" s="13"/>
      <c r="Y7" s="13"/>
      <c r="Z7" s="13"/>
      <c r="AA7" s="13"/>
      <c r="AB7" s="13"/>
      <c r="AC7" s="13"/>
    </row>
    <row r="8" ht="16.5" hidden="1" customHeight="1">
      <c r="A8" s="35">
        <v>5.0</v>
      </c>
      <c r="B8" s="36" t="s">
        <v>78</v>
      </c>
      <c r="C8" s="37" t="s">
        <v>79</v>
      </c>
      <c r="D8" s="38" t="s">
        <v>80</v>
      </c>
      <c r="E8" s="38" t="s">
        <v>81</v>
      </c>
      <c r="F8" s="38" t="s">
        <v>82</v>
      </c>
      <c r="G8" s="39" t="s">
        <v>83</v>
      </c>
      <c r="H8" s="49" t="s">
        <v>50</v>
      </c>
      <c r="I8" s="39" t="s">
        <v>51</v>
      </c>
      <c r="J8" s="39" t="s">
        <v>84</v>
      </c>
      <c r="K8" s="42" t="s">
        <v>85</v>
      </c>
      <c r="L8" s="39" t="s">
        <v>86</v>
      </c>
      <c r="M8" s="51" t="b">
        <v>1</v>
      </c>
      <c r="N8" s="56" t="s">
        <v>87</v>
      </c>
      <c r="O8" s="46"/>
      <c r="P8" s="46" t="s">
        <v>88</v>
      </c>
      <c r="Q8" s="47"/>
      <c r="R8" s="46"/>
      <c r="S8" s="46"/>
      <c r="T8" s="46"/>
      <c r="U8" s="13"/>
      <c r="V8" s="13"/>
      <c r="W8" s="13"/>
      <c r="X8" s="13"/>
      <c r="Y8" s="13"/>
      <c r="Z8" s="13"/>
      <c r="AA8" s="13"/>
      <c r="AB8" s="13"/>
      <c r="AC8" s="13"/>
    </row>
    <row r="9" ht="16.5" hidden="1" customHeight="1">
      <c r="A9" s="35">
        <v>6.0</v>
      </c>
      <c r="B9" s="36" t="s">
        <v>89</v>
      </c>
      <c r="C9" s="37" t="s">
        <v>90</v>
      </c>
      <c r="D9" s="38" t="s">
        <v>91</v>
      </c>
      <c r="E9" s="38"/>
      <c r="F9" s="38" t="s">
        <v>92</v>
      </c>
      <c r="G9" s="39" t="s">
        <v>93</v>
      </c>
      <c r="H9" s="49" t="s">
        <v>50</v>
      </c>
      <c r="I9" s="39" t="s">
        <v>51</v>
      </c>
      <c r="J9" s="39" t="s">
        <v>94</v>
      </c>
      <c r="K9" s="42" t="s">
        <v>95</v>
      </c>
      <c r="L9" s="55"/>
      <c r="M9" s="51" t="b">
        <v>1</v>
      </c>
      <c r="N9" s="56" t="s">
        <v>96</v>
      </c>
      <c r="O9" s="45" t="s">
        <v>97</v>
      </c>
      <c r="P9" s="56" t="s">
        <v>98</v>
      </c>
      <c r="Q9" s="47"/>
      <c r="R9" s="47"/>
      <c r="S9" s="46"/>
      <c r="T9" s="46"/>
      <c r="U9" s="13"/>
      <c r="V9" s="13"/>
      <c r="W9" s="13"/>
      <c r="X9" s="13"/>
      <c r="Y9" s="13"/>
      <c r="Z9" s="13"/>
      <c r="AA9" s="13"/>
      <c r="AB9" s="13"/>
      <c r="AC9" s="13"/>
    </row>
    <row r="10" ht="16.5" hidden="1" customHeight="1">
      <c r="A10" s="35">
        <v>7.0</v>
      </c>
      <c r="B10" s="36" t="s">
        <v>99</v>
      </c>
      <c r="C10" s="37" t="s">
        <v>100</v>
      </c>
      <c r="D10" s="38" t="s">
        <v>101</v>
      </c>
      <c r="E10" s="38" t="s">
        <v>102</v>
      </c>
      <c r="F10" s="38" t="s">
        <v>103</v>
      </c>
      <c r="G10" s="39" t="s">
        <v>104</v>
      </c>
      <c r="H10" s="49" t="s">
        <v>38</v>
      </c>
      <c r="I10" s="57" t="s">
        <v>51</v>
      </c>
      <c r="J10" s="58" t="s">
        <v>105</v>
      </c>
      <c r="K10" s="42" t="s">
        <v>106</v>
      </c>
      <c r="L10" s="59" t="s">
        <v>107</v>
      </c>
      <c r="M10" s="43" t="b">
        <v>1</v>
      </c>
      <c r="N10" s="60" t="s">
        <v>108</v>
      </c>
      <c r="O10" s="61"/>
      <c r="P10" s="46"/>
      <c r="Q10" s="47"/>
      <c r="R10" s="47"/>
      <c r="S10" s="46"/>
      <c r="T10" s="46"/>
      <c r="U10" s="13"/>
      <c r="V10" s="13"/>
      <c r="W10" s="13"/>
      <c r="X10" s="13"/>
      <c r="Y10" s="13"/>
      <c r="Z10" s="13"/>
      <c r="AA10" s="13"/>
      <c r="AB10" s="13"/>
      <c r="AC10" s="13"/>
    </row>
    <row r="11" ht="16.5" hidden="1" customHeight="1">
      <c r="A11" s="35">
        <v>8.0</v>
      </c>
      <c r="B11" s="36" t="s">
        <v>109</v>
      </c>
      <c r="C11" s="37" t="s">
        <v>110</v>
      </c>
      <c r="D11" s="38" t="s">
        <v>111</v>
      </c>
      <c r="E11" s="38" t="s">
        <v>112</v>
      </c>
      <c r="F11" s="38" t="s">
        <v>113</v>
      </c>
      <c r="G11" s="39" t="s">
        <v>114</v>
      </c>
      <c r="H11" s="49" t="s">
        <v>38</v>
      </c>
      <c r="I11" s="57" t="s">
        <v>51</v>
      </c>
      <c r="J11" s="58" t="s">
        <v>105</v>
      </c>
      <c r="K11" s="42" t="s">
        <v>106</v>
      </c>
      <c r="L11" s="59" t="s">
        <v>107</v>
      </c>
      <c r="M11" s="43" t="b">
        <v>1</v>
      </c>
      <c r="N11" s="60" t="s">
        <v>108</v>
      </c>
      <c r="O11" s="61"/>
      <c r="P11" s="62" t="s">
        <v>115</v>
      </c>
      <c r="Q11" s="62" t="s">
        <v>116</v>
      </c>
      <c r="R11" s="47"/>
      <c r="S11" s="46"/>
      <c r="T11" s="46"/>
      <c r="U11" s="13"/>
      <c r="V11" s="13"/>
      <c r="W11" s="13"/>
      <c r="X11" s="13"/>
      <c r="Y11" s="13"/>
      <c r="Z11" s="13"/>
      <c r="AA11" s="13"/>
      <c r="AB11" s="13"/>
      <c r="AC11" s="13"/>
    </row>
    <row r="12" ht="16.5" hidden="1" customHeight="1">
      <c r="A12" s="35">
        <v>9.0</v>
      </c>
      <c r="B12" s="36" t="s">
        <v>117</v>
      </c>
      <c r="C12" s="37" t="s">
        <v>118</v>
      </c>
      <c r="D12" s="38" t="s">
        <v>119</v>
      </c>
      <c r="E12" s="38" t="s">
        <v>120</v>
      </c>
      <c r="F12" s="38" t="s">
        <v>121</v>
      </c>
      <c r="G12" s="39" t="s">
        <v>122</v>
      </c>
      <c r="H12" s="49" t="s">
        <v>50</v>
      </c>
      <c r="I12" s="39" t="s">
        <v>51</v>
      </c>
      <c r="J12" s="39" t="s">
        <v>123</v>
      </c>
      <c r="K12" s="42" t="s">
        <v>124</v>
      </c>
      <c r="L12" s="39" t="s">
        <v>125</v>
      </c>
      <c r="M12" s="51" t="b">
        <v>1</v>
      </c>
      <c r="N12" s="56" t="s">
        <v>126</v>
      </c>
      <c r="O12" s="46"/>
      <c r="P12" s="46" t="s">
        <v>127</v>
      </c>
      <c r="Q12" s="46" t="s">
        <v>128</v>
      </c>
      <c r="R12" s="46"/>
      <c r="S12" s="46"/>
      <c r="T12" s="46"/>
      <c r="U12" s="13"/>
      <c r="V12" s="13"/>
      <c r="W12" s="13"/>
      <c r="X12" s="13"/>
      <c r="Y12" s="13"/>
      <c r="Z12" s="13"/>
      <c r="AA12" s="13"/>
      <c r="AB12" s="13"/>
      <c r="AC12" s="13"/>
    </row>
    <row r="13" ht="16.5" hidden="1" customHeight="1">
      <c r="A13" s="35">
        <v>10.0</v>
      </c>
      <c r="B13" s="36" t="s">
        <v>129</v>
      </c>
      <c r="C13" s="37" t="s">
        <v>130</v>
      </c>
      <c r="D13" s="38" t="s">
        <v>131</v>
      </c>
      <c r="E13" s="38" t="s">
        <v>132</v>
      </c>
      <c r="F13" s="38" t="s">
        <v>133</v>
      </c>
      <c r="G13" s="39" t="s">
        <v>134</v>
      </c>
      <c r="H13" s="49" t="s">
        <v>50</v>
      </c>
      <c r="I13" s="39" t="s">
        <v>51</v>
      </c>
      <c r="J13" s="39" t="s">
        <v>123</v>
      </c>
      <c r="K13" s="42" t="s">
        <v>124</v>
      </c>
      <c r="L13" s="39" t="s">
        <v>125</v>
      </c>
      <c r="M13" s="51" t="b">
        <v>1</v>
      </c>
      <c r="N13" s="63" t="s">
        <v>126</v>
      </c>
      <c r="O13" s="35"/>
      <c r="P13" s="62" t="s">
        <v>135</v>
      </c>
      <c r="Q13" s="62" t="s">
        <v>136</v>
      </c>
      <c r="R13" s="47"/>
      <c r="S13" s="46"/>
      <c r="T13" s="46"/>
      <c r="U13" s="13"/>
      <c r="V13" s="13"/>
      <c r="W13" s="13"/>
      <c r="X13" s="13"/>
      <c r="Y13" s="13"/>
      <c r="Z13" s="13"/>
      <c r="AA13" s="13"/>
      <c r="AB13" s="13"/>
      <c r="AC13" s="13"/>
    </row>
    <row r="14" ht="16.5" hidden="1" customHeight="1">
      <c r="A14" s="35">
        <v>11.0</v>
      </c>
      <c r="B14" s="36" t="s">
        <v>137</v>
      </c>
      <c r="C14" s="37" t="s">
        <v>138</v>
      </c>
      <c r="D14" s="38" t="s">
        <v>139</v>
      </c>
      <c r="E14" s="38"/>
      <c r="F14" s="38" t="s">
        <v>92</v>
      </c>
      <c r="G14" s="39" t="s">
        <v>93</v>
      </c>
      <c r="H14" s="49" t="s">
        <v>50</v>
      </c>
      <c r="I14" s="39" t="s">
        <v>51</v>
      </c>
      <c r="J14" s="39" t="s">
        <v>94</v>
      </c>
      <c r="K14" s="42" t="s">
        <v>95</v>
      </c>
      <c r="L14" s="64"/>
      <c r="M14" s="51" t="b">
        <v>1</v>
      </c>
      <c r="N14" s="56" t="s">
        <v>96</v>
      </c>
      <c r="O14" s="45" t="s">
        <v>97</v>
      </c>
      <c r="P14" s="46" t="s">
        <v>140</v>
      </c>
      <c r="Q14" s="47"/>
      <c r="R14" s="47"/>
      <c r="S14" s="46"/>
      <c r="T14" s="46"/>
      <c r="U14" s="13"/>
      <c r="V14" s="13"/>
      <c r="W14" s="13"/>
      <c r="X14" s="13"/>
      <c r="Y14" s="13"/>
      <c r="Z14" s="13"/>
      <c r="AA14" s="13"/>
      <c r="AB14" s="13"/>
      <c r="AC14" s="13"/>
    </row>
    <row r="15" ht="16.5" hidden="1" customHeight="1">
      <c r="A15" s="35">
        <v>12.0</v>
      </c>
      <c r="B15" s="36" t="s">
        <v>141</v>
      </c>
      <c r="C15" s="37" t="s">
        <v>142</v>
      </c>
      <c r="D15" s="38" t="s">
        <v>143</v>
      </c>
      <c r="E15" s="38" t="s">
        <v>144</v>
      </c>
      <c r="F15" s="38" t="s">
        <v>145</v>
      </c>
      <c r="G15" s="39" t="s">
        <v>146</v>
      </c>
      <c r="H15" s="49" t="s">
        <v>64</v>
      </c>
      <c r="I15" s="39" t="s">
        <v>65</v>
      </c>
      <c r="J15" s="55"/>
      <c r="K15" s="55"/>
      <c r="L15" s="55"/>
      <c r="M15" s="51" t="b">
        <v>0</v>
      </c>
      <c r="N15" s="62"/>
      <c r="O15" s="62"/>
      <c r="P15" s="62" t="s">
        <v>147</v>
      </c>
      <c r="Q15" s="47"/>
      <c r="R15" s="47"/>
      <c r="S15" s="46"/>
      <c r="T15" s="46"/>
      <c r="U15" s="13"/>
      <c r="V15" s="13"/>
      <c r="W15" s="13"/>
      <c r="X15" s="13"/>
      <c r="Y15" s="13"/>
      <c r="Z15" s="13"/>
      <c r="AA15" s="13"/>
      <c r="AB15" s="13"/>
      <c r="AC15" s="13"/>
    </row>
    <row r="16" ht="16.5" hidden="1" customHeight="1">
      <c r="A16" s="35">
        <v>13.0</v>
      </c>
      <c r="B16" s="36" t="s">
        <v>148</v>
      </c>
      <c r="C16" s="37" t="s">
        <v>149</v>
      </c>
      <c r="D16" s="38" t="s">
        <v>150</v>
      </c>
      <c r="E16" s="38"/>
      <c r="F16" s="38" t="s">
        <v>151</v>
      </c>
      <c r="G16" s="39" t="s">
        <v>152</v>
      </c>
      <c r="H16" s="49" t="s">
        <v>38</v>
      </c>
      <c r="I16" s="39" t="s">
        <v>51</v>
      </c>
      <c r="J16" s="65" t="s">
        <v>153</v>
      </c>
      <c r="K16" s="66" t="s">
        <v>154</v>
      </c>
      <c r="L16" s="39" t="s">
        <v>155</v>
      </c>
      <c r="M16" s="51" t="b">
        <v>1</v>
      </c>
      <c r="N16" s="67" t="s">
        <v>156</v>
      </c>
      <c r="O16" s="68"/>
      <c r="P16" s="46"/>
      <c r="Q16" s="47"/>
      <c r="R16" s="47"/>
      <c r="S16" s="46"/>
      <c r="T16" s="46"/>
      <c r="U16" s="13"/>
      <c r="V16" s="13"/>
      <c r="W16" s="13"/>
      <c r="X16" s="13"/>
      <c r="Y16" s="13"/>
      <c r="Z16" s="13"/>
      <c r="AA16" s="13"/>
      <c r="AB16" s="13"/>
      <c r="AC16" s="13"/>
    </row>
    <row r="17" ht="16.5" customHeight="1">
      <c r="A17" s="35">
        <v>14.0</v>
      </c>
      <c r="B17" s="36" t="s">
        <v>157</v>
      </c>
      <c r="C17" s="37" t="s">
        <v>158</v>
      </c>
      <c r="D17" s="38" t="s">
        <v>159</v>
      </c>
      <c r="E17" s="38" t="s">
        <v>160</v>
      </c>
      <c r="F17" s="38" t="s">
        <v>161</v>
      </c>
      <c r="G17" s="48" t="s">
        <v>162</v>
      </c>
      <c r="H17" s="49" t="s">
        <v>38</v>
      </c>
      <c r="I17" s="57" t="s">
        <v>51</v>
      </c>
      <c r="J17" s="39" t="s">
        <v>163</v>
      </c>
      <c r="K17" s="42" t="s">
        <v>164</v>
      </c>
      <c r="L17" s="39" t="s">
        <v>165</v>
      </c>
      <c r="M17" s="51" t="b">
        <v>0</v>
      </c>
      <c r="N17" s="69"/>
      <c r="O17" s="35"/>
      <c r="P17" s="62" t="s">
        <v>166</v>
      </c>
      <c r="Q17" s="70" t="s">
        <v>167</v>
      </c>
      <c r="R17" s="47"/>
      <c r="S17" s="46"/>
      <c r="T17" s="46"/>
      <c r="U17" s="13"/>
      <c r="V17" s="13"/>
      <c r="W17" s="13"/>
      <c r="X17" s="13"/>
      <c r="Y17" s="13"/>
      <c r="Z17" s="13"/>
      <c r="AA17" s="13"/>
      <c r="AB17" s="13"/>
      <c r="AC17" s="13"/>
    </row>
    <row r="18" ht="16.5" hidden="1" customHeight="1">
      <c r="A18" s="35">
        <v>15.0</v>
      </c>
      <c r="B18" s="36" t="s">
        <v>168</v>
      </c>
      <c r="C18" s="37" t="s">
        <v>169</v>
      </c>
      <c r="D18" s="38" t="s">
        <v>170</v>
      </c>
      <c r="E18" s="38"/>
      <c r="F18" s="38" t="s">
        <v>171</v>
      </c>
      <c r="G18" s="39" t="s">
        <v>172</v>
      </c>
      <c r="H18" s="49" t="s">
        <v>50</v>
      </c>
      <c r="I18" s="39" t="s">
        <v>51</v>
      </c>
      <c r="J18" s="39" t="s">
        <v>173</v>
      </c>
      <c r="K18" s="42" t="s">
        <v>41</v>
      </c>
      <c r="L18" s="39" t="s">
        <v>174</v>
      </c>
      <c r="M18" s="51" t="b">
        <v>1</v>
      </c>
      <c r="N18" s="56" t="s">
        <v>175</v>
      </c>
      <c r="O18" s="45" t="s">
        <v>176</v>
      </c>
      <c r="P18" s="46" t="s">
        <v>177</v>
      </c>
      <c r="Q18" s="47"/>
      <c r="R18" s="47"/>
      <c r="S18" s="46"/>
      <c r="T18" s="46"/>
      <c r="U18" s="13"/>
      <c r="V18" s="13"/>
      <c r="W18" s="13"/>
      <c r="X18" s="13"/>
      <c r="Y18" s="13"/>
      <c r="Z18" s="13"/>
      <c r="AA18" s="13"/>
      <c r="AB18" s="13"/>
      <c r="AC18" s="13"/>
    </row>
    <row r="19" ht="16.5" hidden="1" customHeight="1">
      <c r="A19" s="35">
        <v>16.0</v>
      </c>
      <c r="B19" s="36" t="s">
        <v>178</v>
      </c>
      <c r="C19" s="37" t="s">
        <v>179</v>
      </c>
      <c r="D19" s="38" t="s">
        <v>180</v>
      </c>
      <c r="E19" s="38"/>
      <c r="F19" s="38" t="s">
        <v>181</v>
      </c>
      <c r="G19" s="48" t="s">
        <v>182</v>
      </c>
      <c r="H19" s="49" t="s">
        <v>50</v>
      </c>
      <c r="I19" s="39" t="s">
        <v>51</v>
      </c>
      <c r="J19" s="39" t="s">
        <v>173</v>
      </c>
      <c r="K19" s="42" t="s">
        <v>41</v>
      </c>
      <c r="L19" s="39" t="s">
        <v>183</v>
      </c>
      <c r="M19" s="51" t="b">
        <v>1</v>
      </c>
      <c r="N19" s="71" t="s">
        <v>175</v>
      </c>
      <c r="O19" s="72"/>
      <c r="P19" s="47"/>
      <c r="Q19" s="47"/>
      <c r="R19" s="47"/>
      <c r="S19" s="46"/>
      <c r="T19" s="46"/>
      <c r="U19" s="13"/>
      <c r="V19" s="13"/>
      <c r="W19" s="13"/>
      <c r="X19" s="13"/>
      <c r="Y19" s="13"/>
      <c r="Z19" s="13"/>
      <c r="AA19" s="13"/>
      <c r="AB19" s="13"/>
      <c r="AC19" s="13"/>
    </row>
    <row r="20" ht="16.5" hidden="1" customHeight="1">
      <c r="A20" s="35">
        <v>17.0</v>
      </c>
      <c r="B20" s="36" t="s">
        <v>184</v>
      </c>
      <c r="C20" s="37" t="s">
        <v>185</v>
      </c>
      <c r="D20" s="38" t="s">
        <v>186</v>
      </c>
      <c r="E20" s="38"/>
      <c r="F20" s="38" t="s">
        <v>187</v>
      </c>
      <c r="G20" s="39" t="s">
        <v>188</v>
      </c>
      <c r="H20" s="49" t="s">
        <v>38</v>
      </c>
      <c r="I20" s="39" t="s">
        <v>51</v>
      </c>
      <c r="J20" s="65" t="s">
        <v>153</v>
      </c>
      <c r="K20" s="42" t="s">
        <v>41</v>
      </c>
      <c r="L20" s="39" t="s">
        <v>189</v>
      </c>
      <c r="M20" s="51" t="b">
        <v>1</v>
      </c>
      <c r="N20" s="67" t="s">
        <v>190</v>
      </c>
      <c r="O20" s="45" t="s">
        <v>191</v>
      </c>
      <c r="P20" s="46"/>
      <c r="Q20" s="47"/>
      <c r="R20" s="47"/>
      <c r="S20" s="46"/>
      <c r="T20" s="46"/>
      <c r="U20" s="13"/>
      <c r="V20" s="13"/>
      <c r="W20" s="13"/>
      <c r="X20" s="13"/>
      <c r="Y20" s="13"/>
      <c r="Z20" s="13"/>
      <c r="AA20" s="13"/>
      <c r="AB20" s="13"/>
      <c r="AC20" s="13"/>
    </row>
    <row r="21" ht="16.5" hidden="1" customHeight="1">
      <c r="A21" s="35">
        <v>18.0</v>
      </c>
      <c r="B21" s="36" t="s">
        <v>192</v>
      </c>
      <c r="C21" s="37" t="s">
        <v>193</v>
      </c>
      <c r="D21" s="38" t="s">
        <v>194</v>
      </c>
      <c r="E21" s="38" t="s">
        <v>195</v>
      </c>
      <c r="F21" s="38" t="s">
        <v>196</v>
      </c>
      <c r="G21" s="48" t="s">
        <v>197</v>
      </c>
      <c r="H21" s="49" t="s">
        <v>50</v>
      </c>
      <c r="I21" s="39" t="s">
        <v>51</v>
      </c>
      <c r="J21" s="39" t="s">
        <v>198</v>
      </c>
      <c r="K21" s="42" t="s">
        <v>41</v>
      </c>
      <c r="L21" s="39" t="s">
        <v>199</v>
      </c>
      <c r="M21" s="51" t="b">
        <v>1</v>
      </c>
      <c r="N21" s="56" t="s">
        <v>200</v>
      </c>
      <c r="O21" s="45"/>
      <c r="P21" s="46" t="s">
        <v>201</v>
      </c>
      <c r="Q21" s="47"/>
      <c r="R21" s="47"/>
      <c r="S21" s="46"/>
      <c r="T21" s="46"/>
      <c r="U21" s="13"/>
      <c r="V21" s="13"/>
      <c r="W21" s="13"/>
      <c r="X21" s="13"/>
      <c r="Y21" s="13"/>
      <c r="Z21" s="13"/>
      <c r="AA21" s="13"/>
      <c r="AB21" s="13"/>
      <c r="AC21" s="13"/>
    </row>
    <row r="22" ht="16.5" hidden="1" customHeight="1">
      <c r="A22" s="35">
        <v>19.0</v>
      </c>
      <c r="B22" s="73" t="s">
        <v>184</v>
      </c>
      <c r="C22" s="37" t="s">
        <v>202</v>
      </c>
      <c r="D22" s="38" t="s">
        <v>203</v>
      </c>
      <c r="E22" s="38"/>
      <c r="F22" s="38" t="s">
        <v>204</v>
      </c>
      <c r="G22" s="39" t="s">
        <v>205</v>
      </c>
      <c r="H22" s="49" t="s">
        <v>38</v>
      </c>
      <c r="I22" s="39" t="s">
        <v>51</v>
      </c>
      <c r="J22" s="65" t="s">
        <v>153</v>
      </c>
      <c r="K22" s="42" t="s">
        <v>41</v>
      </c>
      <c r="L22" s="39" t="s">
        <v>206</v>
      </c>
      <c r="M22" s="51" t="b">
        <v>1</v>
      </c>
      <c r="N22" s="67" t="s">
        <v>190</v>
      </c>
      <c r="O22" s="45" t="s">
        <v>191</v>
      </c>
      <c r="P22" s="46" t="s">
        <v>207</v>
      </c>
      <c r="Q22" s="47"/>
      <c r="R22" s="47"/>
      <c r="S22" s="46"/>
      <c r="T22" s="46"/>
      <c r="U22" s="13"/>
      <c r="V22" s="13"/>
      <c r="W22" s="13"/>
      <c r="X22" s="13"/>
      <c r="Y22" s="13"/>
      <c r="Z22" s="13"/>
      <c r="AA22" s="13"/>
      <c r="AB22" s="13"/>
      <c r="AC22" s="13"/>
    </row>
    <row r="23" ht="16.5" hidden="1" customHeight="1">
      <c r="A23" s="35">
        <v>20.0</v>
      </c>
      <c r="B23" s="36" t="s">
        <v>208</v>
      </c>
      <c r="C23" s="37" t="s">
        <v>209</v>
      </c>
      <c r="D23" s="38" t="s">
        <v>210</v>
      </c>
      <c r="E23" s="38" t="s">
        <v>211</v>
      </c>
      <c r="F23" s="38" t="s">
        <v>196</v>
      </c>
      <c r="G23" s="48" t="s">
        <v>212</v>
      </c>
      <c r="H23" s="49" t="s">
        <v>50</v>
      </c>
      <c r="I23" s="39" t="s">
        <v>51</v>
      </c>
      <c r="J23" s="39" t="s">
        <v>213</v>
      </c>
      <c r="K23" s="42" t="s">
        <v>214</v>
      </c>
      <c r="L23" s="39" t="s">
        <v>215</v>
      </c>
      <c r="M23" s="51" t="b">
        <v>1</v>
      </c>
      <c r="N23" s="56" t="s">
        <v>216</v>
      </c>
      <c r="O23" s="45"/>
      <c r="P23" s="46" t="s">
        <v>217</v>
      </c>
      <c r="Q23" s="47"/>
      <c r="R23" s="47"/>
      <c r="S23" s="46"/>
      <c r="T23" s="46"/>
      <c r="U23" s="13"/>
      <c r="V23" s="13"/>
      <c r="W23" s="13"/>
      <c r="X23" s="13"/>
      <c r="Y23" s="13"/>
      <c r="Z23" s="13"/>
      <c r="AA23" s="13"/>
      <c r="AB23" s="13"/>
      <c r="AC23" s="13"/>
    </row>
    <row r="24" ht="16.5" hidden="1" customHeight="1">
      <c r="A24" s="35">
        <v>21.0</v>
      </c>
      <c r="B24" s="36" t="s">
        <v>218</v>
      </c>
      <c r="C24" s="37" t="s">
        <v>219</v>
      </c>
      <c r="D24" s="38" t="s">
        <v>220</v>
      </c>
      <c r="E24" s="38" t="s">
        <v>221</v>
      </c>
      <c r="F24" s="38" t="s">
        <v>222</v>
      </c>
      <c r="G24" s="39" t="s">
        <v>223</v>
      </c>
      <c r="H24" s="49" t="s">
        <v>64</v>
      </c>
      <c r="I24" s="57" t="s">
        <v>65</v>
      </c>
      <c r="J24" s="55"/>
      <c r="K24" s="55"/>
      <c r="L24" s="55"/>
      <c r="M24" s="51" t="b">
        <v>0</v>
      </c>
      <c r="N24" s="46"/>
      <c r="O24" s="46"/>
      <c r="P24" s="46"/>
      <c r="Q24" s="47"/>
      <c r="R24" s="47"/>
      <c r="S24" s="46"/>
      <c r="T24" s="46"/>
      <c r="U24" s="13"/>
      <c r="V24" s="13"/>
      <c r="W24" s="13"/>
      <c r="X24" s="13"/>
      <c r="Y24" s="13"/>
      <c r="Z24" s="13"/>
      <c r="AA24" s="13"/>
      <c r="AB24" s="13"/>
      <c r="AC24" s="13"/>
    </row>
    <row r="25" ht="16.5" hidden="1" customHeight="1">
      <c r="A25" s="35">
        <v>22.0</v>
      </c>
      <c r="B25" s="36" t="s">
        <v>224</v>
      </c>
      <c r="C25" s="37" t="s">
        <v>185</v>
      </c>
      <c r="D25" s="38" t="s">
        <v>225</v>
      </c>
      <c r="E25" s="38"/>
      <c r="F25" s="38" t="s">
        <v>226</v>
      </c>
      <c r="G25" s="39" t="s">
        <v>188</v>
      </c>
      <c r="H25" s="49" t="s">
        <v>38</v>
      </c>
      <c r="I25" s="39" t="s">
        <v>51</v>
      </c>
      <c r="J25" s="65" t="s">
        <v>153</v>
      </c>
      <c r="K25" s="42" t="s">
        <v>41</v>
      </c>
      <c r="L25" s="39" t="s">
        <v>189</v>
      </c>
      <c r="M25" s="51" t="b">
        <v>1</v>
      </c>
      <c r="N25" s="67" t="s">
        <v>190</v>
      </c>
      <c r="O25" s="45" t="s">
        <v>191</v>
      </c>
      <c r="P25" s="46"/>
      <c r="Q25" s="47"/>
      <c r="R25" s="47"/>
      <c r="S25" s="46"/>
      <c r="T25" s="46"/>
      <c r="U25" s="13"/>
      <c r="V25" s="13"/>
      <c r="W25" s="13"/>
      <c r="X25" s="13"/>
      <c r="Y25" s="13"/>
      <c r="Z25" s="13"/>
      <c r="AA25" s="13"/>
      <c r="AB25" s="13"/>
      <c r="AC25" s="13"/>
    </row>
    <row r="26" ht="16.5" hidden="1" customHeight="1">
      <c r="A26" s="35">
        <v>23.0</v>
      </c>
      <c r="B26" s="36" t="s">
        <v>227</v>
      </c>
      <c r="C26" s="37" t="s">
        <v>228</v>
      </c>
      <c r="D26" s="38" t="s">
        <v>229</v>
      </c>
      <c r="E26" s="38"/>
      <c r="F26" s="38" t="s">
        <v>230</v>
      </c>
      <c r="G26" s="39" t="s">
        <v>231</v>
      </c>
      <c r="H26" s="49" t="s">
        <v>64</v>
      </c>
      <c r="I26" s="39" t="s">
        <v>65</v>
      </c>
      <c r="J26" s="55"/>
      <c r="K26" s="55"/>
      <c r="L26" s="55"/>
      <c r="M26" s="51" t="b">
        <v>0</v>
      </c>
      <c r="N26" s="46"/>
      <c r="O26" s="46"/>
      <c r="P26" s="46"/>
      <c r="Q26" s="47"/>
      <c r="R26" s="47"/>
      <c r="S26" s="46"/>
      <c r="T26" s="46"/>
      <c r="U26" s="13"/>
      <c r="V26" s="13"/>
      <c r="W26" s="13"/>
      <c r="X26" s="13"/>
      <c r="Y26" s="13"/>
      <c r="Z26" s="13"/>
      <c r="AA26" s="13"/>
      <c r="AB26" s="13"/>
      <c r="AC26" s="13"/>
    </row>
    <row r="27" ht="16.5" hidden="1" customHeight="1">
      <c r="A27" s="35">
        <v>24.0</v>
      </c>
      <c r="B27" s="36" t="s">
        <v>232</v>
      </c>
      <c r="C27" s="37" t="s">
        <v>233</v>
      </c>
      <c r="D27" s="38" t="s">
        <v>234</v>
      </c>
      <c r="E27" s="38"/>
      <c r="F27" s="38" t="s">
        <v>235</v>
      </c>
      <c r="G27" s="48" t="s">
        <v>236</v>
      </c>
      <c r="H27" s="49" t="s">
        <v>50</v>
      </c>
      <c r="I27" s="39" t="s">
        <v>51</v>
      </c>
      <c r="J27" s="39" t="s">
        <v>237</v>
      </c>
      <c r="K27" s="42" t="s">
        <v>238</v>
      </c>
      <c r="L27" s="39" t="s">
        <v>239</v>
      </c>
      <c r="M27" s="51" t="b">
        <v>1</v>
      </c>
      <c r="N27" s="67" t="s">
        <v>240</v>
      </c>
      <c r="O27" s="45"/>
      <c r="P27" s="46" t="s">
        <v>241</v>
      </c>
      <c r="Q27" s="47" t="s">
        <v>242</v>
      </c>
      <c r="R27" s="47" t="s">
        <v>243</v>
      </c>
      <c r="S27" s="46"/>
      <c r="T27" s="46"/>
      <c r="U27" s="13"/>
      <c r="V27" s="13"/>
      <c r="W27" s="13"/>
      <c r="X27" s="13"/>
      <c r="Y27" s="13"/>
      <c r="Z27" s="13"/>
      <c r="AA27" s="13"/>
      <c r="AB27" s="13"/>
      <c r="AC27" s="13"/>
    </row>
    <row r="28" ht="16.5" hidden="1" customHeight="1">
      <c r="A28" s="35">
        <v>25.0</v>
      </c>
      <c r="B28" s="36" t="s">
        <v>244</v>
      </c>
      <c r="C28" s="37" t="s">
        <v>245</v>
      </c>
      <c r="D28" s="38" t="s">
        <v>246</v>
      </c>
      <c r="E28" s="38" t="s">
        <v>247</v>
      </c>
      <c r="F28" s="38" t="s">
        <v>248</v>
      </c>
      <c r="G28" s="39" t="s">
        <v>249</v>
      </c>
      <c r="H28" s="49" t="s">
        <v>64</v>
      </c>
      <c r="I28" s="57" t="s">
        <v>65</v>
      </c>
      <c r="J28" s="55"/>
      <c r="K28" s="55"/>
      <c r="L28" s="55"/>
      <c r="M28" s="51" t="b">
        <v>0</v>
      </c>
      <c r="N28" s="62"/>
      <c r="O28" s="62"/>
      <c r="P28" s="62" t="s">
        <v>250</v>
      </c>
      <c r="Q28" s="74" t="s">
        <v>251</v>
      </c>
      <c r="R28" s="47"/>
      <c r="S28" s="46"/>
      <c r="T28" s="46"/>
      <c r="U28" s="13"/>
      <c r="V28" s="13"/>
      <c r="W28" s="13"/>
      <c r="X28" s="13"/>
      <c r="Y28" s="13"/>
      <c r="Z28" s="13"/>
      <c r="AA28" s="13"/>
      <c r="AB28" s="13"/>
      <c r="AC28" s="13"/>
    </row>
    <row r="29" ht="16.5" hidden="1" customHeight="1">
      <c r="A29" s="35">
        <v>26.0</v>
      </c>
      <c r="B29" s="36" t="s">
        <v>252</v>
      </c>
      <c r="C29" s="37" t="s">
        <v>253</v>
      </c>
      <c r="D29" s="38" t="s">
        <v>254</v>
      </c>
      <c r="E29" s="38"/>
      <c r="F29" s="38" t="s">
        <v>255</v>
      </c>
      <c r="G29" s="39" t="s">
        <v>231</v>
      </c>
      <c r="H29" s="49" t="s">
        <v>64</v>
      </c>
      <c r="I29" s="39" t="s">
        <v>65</v>
      </c>
      <c r="J29" s="55"/>
      <c r="K29" s="55"/>
      <c r="L29" s="55"/>
      <c r="M29" s="51" t="b">
        <v>0</v>
      </c>
      <c r="N29" s="46"/>
      <c r="O29" s="46"/>
      <c r="P29" s="46"/>
      <c r="Q29" s="47"/>
      <c r="R29" s="46"/>
      <c r="S29" s="46"/>
      <c r="T29" s="46"/>
      <c r="U29" s="13"/>
      <c r="V29" s="13"/>
      <c r="W29" s="13"/>
      <c r="X29" s="13"/>
      <c r="Y29" s="13"/>
      <c r="Z29" s="13"/>
      <c r="AA29" s="13"/>
      <c r="AB29" s="13"/>
      <c r="AC29" s="13"/>
    </row>
    <row r="30" ht="16.5" hidden="1" customHeight="1">
      <c r="A30" s="35">
        <v>27.0</v>
      </c>
      <c r="B30" s="36" t="s">
        <v>256</v>
      </c>
      <c r="C30" s="37" t="s">
        <v>257</v>
      </c>
      <c r="D30" s="38" t="s">
        <v>258</v>
      </c>
      <c r="E30" s="38" t="s">
        <v>259</v>
      </c>
      <c r="F30" s="38" t="s">
        <v>260</v>
      </c>
      <c r="G30" s="39" t="s">
        <v>231</v>
      </c>
      <c r="H30" s="49" t="s">
        <v>64</v>
      </c>
      <c r="I30" s="39" t="s">
        <v>65</v>
      </c>
      <c r="J30" s="55"/>
      <c r="K30" s="55"/>
      <c r="L30" s="55"/>
      <c r="M30" s="51" t="b">
        <v>0</v>
      </c>
      <c r="N30" s="46"/>
      <c r="O30" s="46"/>
      <c r="P30" s="46"/>
      <c r="Q30" s="47"/>
      <c r="R30" s="47"/>
      <c r="S30" s="46"/>
      <c r="T30" s="46"/>
      <c r="U30" s="13"/>
      <c r="V30" s="13"/>
      <c r="W30" s="13"/>
      <c r="X30" s="13"/>
      <c r="Y30" s="13"/>
      <c r="Z30" s="13"/>
      <c r="AA30" s="13"/>
      <c r="AB30" s="13"/>
      <c r="AC30" s="13"/>
    </row>
    <row r="31" ht="16.5" hidden="1" customHeight="1">
      <c r="A31" s="35">
        <v>28.0</v>
      </c>
      <c r="B31" s="36" t="s">
        <v>261</v>
      </c>
      <c r="C31" s="37" t="s">
        <v>262</v>
      </c>
      <c r="D31" s="38" t="s">
        <v>263</v>
      </c>
      <c r="E31" s="38"/>
      <c r="F31" s="38" t="s">
        <v>264</v>
      </c>
      <c r="G31" s="39" t="s">
        <v>231</v>
      </c>
      <c r="H31" s="49" t="s">
        <v>64</v>
      </c>
      <c r="I31" s="39" t="s">
        <v>65</v>
      </c>
      <c r="J31" s="55"/>
      <c r="K31" s="55"/>
      <c r="L31" s="55"/>
      <c r="M31" s="51" t="b">
        <v>0</v>
      </c>
      <c r="N31" s="46"/>
      <c r="O31" s="46"/>
      <c r="P31" s="46"/>
      <c r="Q31" s="47"/>
      <c r="R31" s="47"/>
      <c r="S31" s="46"/>
      <c r="T31" s="46"/>
      <c r="U31" s="13"/>
      <c r="V31" s="13"/>
      <c r="W31" s="13"/>
      <c r="X31" s="13"/>
      <c r="Y31" s="13"/>
      <c r="Z31" s="13"/>
      <c r="AA31" s="13"/>
      <c r="AB31" s="13"/>
      <c r="AC31" s="13"/>
    </row>
    <row r="32" ht="16.5" hidden="1" customHeight="1">
      <c r="A32" s="35">
        <v>29.0</v>
      </c>
      <c r="B32" s="36" t="s">
        <v>265</v>
      </c>
      <c r="C32" s="37" t="s">
        <v>266</v>
      </c>
      <c r="D32" s="38" t="s">
        <v>267</v>
      </c>
      <c r="E32" s="38" t="s">
        <v>268</v>
      </c>
      <c r="F32" s="38" t="s">
        <v>269</v>
      </c>
      <c r="G32" s="39" t="s">
        <v>231</v>
      </c>
      <c r="H32" s="49" t="s">
        <v>64</v>
      </c>
      <c r="I32" s="57" t="s">
        <v>65</v>
      </c>
      <c r="J32" s="55"/>
      <c r="K32" s="55"/>
      <c r="L32" s="55"/>
      <c r="M32" s="51" t="b">
        <v>0</v>
      </c>
      <c r="N32" s="46"/>
      <c r="O32" s="46"/>
      <c r="P32" s="46"/>
      <c r="Q32" s="47"/>
      <c r="R32" s="47"/>
      <c r="S32" s="46"/>
      <c r="T32" s="46"/>
      <c r="U32" s="13"/>
      <c r="V32" s="13"/>
      <c r="W32" s="13"/>
      <c r="X32" s="13"/>
      <c r="Y32" s="13"/>
      <c r="Z32" s="13"/>
      <c r="AA32" s="13"/>
      <c r="AB32" s="13"/>
      <c r="AC32" s="13"/>
    </row>
    <row r="33" ht="264.0" hidden="1" customHeight="1">
      <c r="A33" s="35">
        <v>30.0</v>
      </c>
      <c r="B33" s="36" t="s">
        <v>270</v>
      </c>
      <c r="C33" s="37" t="s">
        <v>271</v>
      </c>
      <c r="D33" s="38" t="s">
        <v>272</v>
      </c>
      <c r="E33" s="38" t="s">
        <v>273</v>
      </c>
      <c r="F33" s="38" t="s">
        <v>222</v>
      </c>
      <c r="G33" s="39" t="s">
        <v>274</v>
      </c>
      <c r="H33" s="49" t="s">
        <v>64</v>
      </c>
      <c r="I33" s="57" t="s">
        <v>65</v>
      </c>
      <c r="J33" s="55"/>
      <c r="K33" s="55"/>
      <c r="L33" s="55"/>
      <c r="M33" s="51" t="b">
        <v>0</v>
      </c>
      <c r="N33" s="46"/>
      <c r="O33" s="46"/>
      <c r="P33" s="46" t="s">
        <v>275</v>
      </c>
      <c r="Q33" s="74" t="s">
        <v>276</v>
      </c>
      <c r="R33" s="74" t="s">
        <v>277</v>
      </c>
      <c r="S33" s="46"/>
      <c r="T33" s="46"/>
      <c r="U33" s="13"/>
      <c r="V33" s="13"/>
      <c r="W33" s="13"/>
      <c r="X33" s="13"/>
      <c r="Y33" s="13"/>
      <c r="Z33" s="13"/>
      <c r="AA33" s="13"/>
      <c r="AB33" s="13"/>
      <c r="AC33" s="13"/>
    </row>
    <row r="34" ht="16.5" hidden="1" customHeight="1">
      <c r="A34" s="35">
        <v>31.0</v>
      </c>
      <c r="B34" s="36" t="s">
        <v>278</v>
      </c>
      <c r="C34" s="37" t="s">
        <v>279</v>
      </c>
      <c r="D34" s="38" t="s">
        <v>280</v>
      </c>
      <c r="E34" s="38" t="s">
        <v>281</v>
      </c>
      <c r="F34" s="38" t="s">
        <v>222</v>
      </c>
      <c r="G34" s="39" t="s">
        <v>274</v>
      </c>
      <c r="H34" s="49" t="s">
        <v>64</v>
      </c>
      <c r="I34" s="57" t="s">
        <v>65</v>
      </c>
      <c r="J34" s="55"/>
      <c r="K34" s="55"/>
      <c r="L34" s="55"/>
      <c r="M34" s="51" t="b">
        <v>0</v>
      </c>
      <c r="N34" s="46"/>
      <c r="O34" s="46"/>
      <c r="P34" s="46" t="s">
        <v>282</v>
      </c>
      <c r="Q34" s="47" t="s">
        <v>283</v>
      </c>
      <c r="R34" s="47"/>
      <c r="S34" s="46"/>
      <c r="T34" s="46"/>
      <c r="U34" s="13"/>
      <c r="V34" s="13"/>
      <c r="W34" s="13"/>
      <c r="X34" s="13"/>
      <c r="Y34" s="13"/>
      <c r="Z34" s="13"/>
      <c r="AA34" s="13"/>
      <c r="AB34" s="13"/>
      <c r="AC34" s="13"/>
    </row>
    <row r="35" ht="16.5" hidden="1" customHeight="1">
      <c r="A35" s="35">
        <v>32.0</v>
      </c>
      <c r="B35" s="36" t="s">
        <v>284</v>
      </c>
      <c r="C35" s="37" t="s">
        <v>285</v>
      </c>
      <c r="D35" s="38" t="s">
        <v>286</v>
      </c>
      <c r="E35" s="38"/>
      <c r="F35" s="38" t="s">
        <v>287</v>
      </c>
      <c r="G35" s="39" t="s">
        <v>288</v>
      </c>
      <c r="H35" s="49" t="s">
        <v>50</v>
      </c>
      <c r="I35" s="39" t="s">
        <v>51</v>
      </c>
      <c r="J35" s="58" t="s">
        <v>289</v>
      </c>
      <c r="K35" s="42" t="s">
        <v>290</v>
      </c>
      <c r="L35" s="75" t="s">
        <v>291</v>
      </c>
      <c r="M35" s="51" t="b">
        <v>1</v>
      </c>
      <c r="N35" s="76" t="s">
        <v>292</v>
      </c>
      <c r="O35" s="77"/>
      <c r="P35" s="46" t="s">
        <v>293</v>
      </c>
      <c r="Q35" s="47"/>
      <c r="R35" s="47"/>
      <c r="S35" s="46"/>
      <c r="T35" s="46"/>
      <c r="U35" s="13"/>
      <c r="V35" s="13"/>
      <c r="W35" s="13"/>
      <c r="X35" s="13"/>
      <c r="Y35" s="13"/>
      <c r="Z35" s="13"/>
      <c r="AA35" s="13"/>
      <c r="AB35" s="13"/>
      <c r="AC35" s="13"/>
    </row>
    <row r="36" ht="16.5" hidden="1" customHeight="1">
      <c r="A36" s="35">
        <v>33.0</v>
      </c>
      <c r="B36" s="36" t="s">
        <v>294</v>
      </c>
      <c r="C36" s="37" t="s">
        <v>295</v>
      </c>
      <c r="D36" s="38" t="s">
        <v>296</v>
      </c>
      <c r="E36" s="38"/>
      <c r="F36" s="38" t="s">
        <v>297</v>
      </c>
      <c r="G36" s="39" t="s">
        <v>298</v>
      </c>
      <c r="H36" s="49" t="s">
        <v>50</v>
      </c>
      <c r="I36" s="39" t="s">
        <v>51</v>
      </c>
      <c r="J36" s="58" t="s">
        <v>289</v>
      </c>
      <c r="K36" s="42" t="s">
        <v>299</v>
      </c>
      <c r="L36" s="39" t="s">
        <v>300</v>
      </c>
      <c r="M36" s="51" t="b">
        <v>1</v>
      </c>
      <c r="N36" s="56" t="s">
        <v>301</v>
      </c>
      <c r="O36" s="46"/>
      <c r="P36" s="46" t="s">
        <v>302</v>
      </c>
      <c r="Q36" s="47" t="s">
        <v>303</v>
      </c>
      <c r="R36" s="47" t="s">
        <v>304</v>
      </c>
      <c r="S36" s="46" t="s">
        <v>305</v>
      </c>
      <c r="T36" s="46" t="s">
        <v>306</v>
      </c>
      <c r="U36" s="13"/>
      <c r="V36" s="13"/>
      <c r="W36" s="13"/>
      <c r="X36" s="13"/>
      <c r="Y36" s="13"/>
      <c r="Z36" s="13"/>
      <c r="AA36" s="13"/>
      <c r="AB36" s="13"/>
      <c r="AC36" s="13"/>
    </row>
    <row r="37" ht="16.5" hidden="1" customHeight="1">
      <c r="A37" s="35">
        <v>34.0</v>
      </c>
      <c r="B37" s="73" t="s">
        <v>307</v>
      </c>
      <c r="C37" s="37" t="s">
        <v>308</v>
      </c>
      <c r="D37" s="38" t="s">
        <v>309</v>
      </c>
      <c r="E37" s="38"/>
      <c r="F37" s="38" t="s">
        <v>310</v>
      </c>
      <c r="G37" s="39" t="s">
        <v>311</v>
      </c>
      <c r="H37" s="49" t="s">
        <v>50</v>
      </c>
      <c r="I37" s="39" t="s">
        <v>51</v>
      </c>
      <c r="J37" s="39" t="s">
        <v>312</v>
      </c>
      <c r="K37" s="42" t="s">
        <v>41</v>
      </c>
      <c r="L37" s="39" t="s">
        <v>313</v>
      </c>
      <c r="M37" s="51" t="b">
        <v>1</v>
      </c>
      <c r="N37" s="78" t="s">
        <v>314</v>
      </c>
      <c r="O37" s="79"/>
      <c r="P37" s="80" t="s">
        <v>315</v>
      </c>
      <c r="Q37" s="47" t="s">
        <v>316</v>
      </c>
      <c r="R37" s="47" t="s">
        <v>317</v>
      </c>
      <c r="S37" s="46" t="s">
        <v>318</v>
      </c>
      <c r="T37" s="46"/>
      <c r="U37" s="13"/>
      <c r="V37" s="13"/>
      <c r="W37" s="13"/>
      <c r="X37" s="13"/>
      <c r="Y37" s="13"/>
      <c r="Z37" s="13"/>
      <c r="AA37" s="13"/>
      <c r="AB37" s="13"/>
      <c r="AC37" s="13"/>
    </row>
    <row r="38" ht="16.5" hidden="1" customHeight="1">
      <c r="A38" s="35">
        <v>35.0</v>
      </c>
      <c r="B38" s="36" t="s">
        <v>319</v>
      </c>
      <c r="C38" s="37" t="s">
        <v>320</v>
      </c>
      <c r="D38" s="38" t="s">
        <v>321</v>
      </c>
      <c r="E38" s="38"/>
      <c r="F38" s="38" t="s">
        <v>322</v>
      </c>
      <c r="G38" s="39" t="s">
        <v>323</v>
      </c>
      <c r="H38" s="49" t="s">
        <v>50</v>
      </c>
      <c r="I38" s="39" t="s">
        <v>51</v>
      </c>
      <c r="J38" s="39" t="s">
        <v>324</v>
      </c>
      <c r="K38" s="42" t="s">
        <v>325</v>
      </c>
      <c r="L38" s="39" t="s">
        <v>326</v>
      </c>
      <c r="M38" s="51" t="b">
        <v>1</v>
      </c>
      <c r="N38" s="63" t="s">
        <v>327</v>
      </c>
      <c r="O38" s="81"/>
      <c r="P38" s="62" t="s">
        <v>328</v>
      </c>
      <c r="Q38" s="47" t="s">
        <v>329</v>
      </c>
      <c r="R38" s="47" t="s">
        <v>330</v>
      </c>
      <c r="S38" s="47" t="s">
        <v>331</v>
      </c>
      <c r="T38" s="46"/>
      <c r="U38" s="13"/>
      <c r="V38" s="13"/>
      <c r="W38" s="13"/>
      <c r="X38" s="13"/>
      <c r="Y38" s="13"/>
      <c r="Z38" s="13"/>
      <c r="AA38" s="13"/>
      <c r="AB38" s="13"/>
      <c r="AC38" s="13"/>
    </row>
    <row r="39" ht="16.5" hidden="1" customHeight="1">
      <c r="A39" s="35">
        <v>36.0</v>
      </c>
      <c r="B39" s="36" t="s">
        <v>332</v>
      </c>
      <c r="C39" s="37" t="s">
        <v>333</v>
      </c>
      <c r="D39" s="38" t="s">
        <v>334</v>
      </c>
      <c r="E39" s="38"/>
      <c r="F39" s="38" t="s">
        <v>335</v>
      </c>
      <c r="G39" s="39" t="s">
        <v>336</v>
      </c>
      <c r="H39" s="49" t="s">
        <v>50</v>
      </c>
      <c r="I39" s="39" t="s">
        <v>51</v>
      </c>
      <c r="J39" s="39" t="s">
        <v>324</v>
      </c>
      <c r="K39" s="42" t="s">
        <v>337</v>
      </c>
      <c r="L39" s="39" t="s">
        <v>338</v>
      </c>
      <c r="M39" s="51" t="b">
        <v>1</v>
      </c>
      <c r="N39" s="56" t="s">
        <v>339</v>
      </c>
      <c r="O39" s="46"/>
      <c r="P39" s="46" t="s">
        <v>340</v>
      </c>
      <c r="Q39" s="47" t="s">
        <v>341</v>
      </c>
      <c r="R39" s="47" t="s">
        <v>342</v>
      </c>
      <c r="S39" s="46"/>
      <c r="T39" s="46"/>
      <c r="U39" s="13"/>
      <c r="V39" s="13"/>
      <c r="W39" s="13"/>
      <c r="X39" s="13"/>
      <c r="Y39" s="13"/>
      <c r="Z39" s="13"/>
      <c r="AA39" s="13"/>
      <c r="AB39" s="13"/>
      <c r="AC39" s="13"/>
    </row>
    <row r="40" ht="16.5" hidden="1" customHeight="1">
      <c r="A40" s="35">
        <v>37.0</v>
      </c>
      <c r="B40" s="36" t="s">
        <v>343</v>
      </c>
      <c r="C40" s="37" t="s">
        <v>344</v>
      </c>
      <c r="D40" s="38" t="s">
        <v>345</v>
      </c>
      <c r="E40" s="38"/>
      <c r="F40" s="38" t="s">
        <v>346</v>
      </c>
      <c r="G40" s="39" t="s">
        <v>347</v>
      </c>
      <c r="H40" s="49" t="s">
        <v>50</v>
      </c>
      <c r="I40" s="39" t="s">
        <v>51</v>
      </c>
      <c r="J40" s="39" t="s">
        <v>324</v>
      </c>
      <c r="K40" s="42" t="s">
        <v>348</v>
      </c>
      <c r="L40" s="39" t="s">
        <v>349</v>
      </c>
      <c r="M40" s="51" t="b">
        <v>1</v>
      </c>
      <c r="N40" s="78" t="s">
        <v>108</v>
      </c>
      <c r="O40" s="79"/>
      <c r="P40" s="46" t="s">
        <v>350</v>
      </c>
      <c r="Q40" s="47" t="s">
        <v>351</v>
      </c>
      <c r="R40" s="47" t="s">
        <v>352</v>
      </c>
      <c r="S40" s="47" t="s">
        <v>353</v>
      </c>
      <c r="T40" s="47" t="s">
        <v>354</v>
      </c>
      <c r="U40" s="13"/>
      <c r="V40" s="13"/>
      <c r="W40" s="13"/>
      <c r="X40" s="13"/>
      <c r="Y40" s="13"/>
      <c r="Z40" s="13"/>
      <c r="AA40" s="13"/>
      <c r="AB40" s="13"/>
      <c r="AC40" s="13"/>
    </row>
    <row r="41" ht="16.5" hidden="1" customHeight="1">
      <c r="A41" s="35">
        <v>38.0</v>
      </c>
      <c r="B41" s="82" t="s">
        <v>355</v>
      </c>
      <c r="C41" s="37" t="s">
        <v>356</v>
      </c>
      <c r="D41" s="83" t="s">
        <v>357</v>
      </c>
      <c r="E41" s="83"/>
      <c r="F41" s="84" t="s">
        <v>358</v>
      </c>
      <c r="G41" s="85" t="s">
        <v>359</v>
      </c>
      <c r="H41" s="49" t="s">
        <v>50</v>
      </c>
      <c r="I41" s="39" t="s">
        <v>51</v>
      </c>
      <c r="J41" s="39" t="s">
        <v>360</v>
      </c>
      <c r="K41" s="42" t="s">
        <v>164</v>
      </c>
      <c r="L41" s="39" t="s">
        <v>361</v>
      </c>
      <c r="M41" s="51" t="b">
        <v>1</v>
      </c>
      <c r="N41" s="86" t="s">
        <v>314</v>
      </c>
      <c r="O41" s="46"/>
      <c r="P41" s="46" t="s">
        <v>362</v>
      </c>
      <c r="Q41" s="46" t="s">
        <v>363</v>
      </c>
      <c r="R41" s="46" t="s">
        <v>364</v>
      </c>
      <c r="S41" s="46"/>
      <c r="T41" s="46"/>
      <c r="U41" s="13"/>
      <c r="V41" s="13"/>
      <c r="W41" s="13"/>
      <c r="X41" s="13"/>
      <c r="Y41" s="13"/>
      <c r="Z41" s="13"/>
      <c r="AA41" s="13"/>
      <c r="AB41" s="13"/>
      <c r="AC41" s="13"/>
    </row>
    <row r="42" ht="16.5" hidden="1" customHeight="1">
      <c r="A42" s="35">
        <v>39.0</v>
      </c>
      <c r="B42" s="82" t="s">
        <v>365</v>
      </c>
      <c r="C42" s="37" t="s">
        <v>366</v>
      </c>
      <c r="D42" s="84" t="s">
        <v>367</v>
      </c>
      <c r="E42" s="84"/>
      <c r="F42" s="84" t="s">
        <v>368</v>
      </c>
      <c r="G42" s="85" t="s">
        <v>369</v>
      </c>
      <c r="H42" s="49" t="s">
        <v>50</v>
      </c>
      <c r="I42" s="39" t="s">
        <v>51</v>
      </c>
      <c r="J42" s="39" t="s">
        <v>360</v>
      </c>
      <c r="K42" s="42" t="s">
        <v>164</v>
      </c>
      <c r="L42" s="39" t="s">
        <v>361</v>
      </c>
      <c r="M42" s="51" t="b">
        <v>1</v>
      </c>
      <c r="N42" s="86" t="s">
        <v>292</v>
      </c>
      <c r="O42" s="46"/>
      <c r="P42" s="46" t="s">
        <v>370</v>
      </c>
      <c r="Q42" s="46" t="s">
        <v>371</v>
      </c>
      <c r="R42" s="46" t="s">
        <v>372</v>
      </c>
      <c r="S42" s="46"/>
      <c r="T42" s="46"/>
      <c r="U42" s="13"/>
      <c r="V42" s="13"/>
      <c r="W42" s="13"/>
      <c r="X42" s="13"/>
      <c r="Y42" s="13"/>
      <c r="Z42" s="13"/>
      <c r="AA42" s="13"/>
      <c r="AB42" s="13"/>
      <c r="AC42" s="13"/>
    </row>
    <row r="43" ht="16.5" hidden="1" customHeight="1">
      <c r="A43" s="35">
        <v>40.0</v>
      </c>
      <c r="B43" s="87" t="s">
        <v>373</v>
      </c>
      <c r="C43" s="37" t="s">
        <v>374</v>
      </c>
      <c r="D43" s="84" t="s">
        <v>375</v>
      </c>
      <c r="E43" s="84"/>
      <c r="F43" s="84" t="s">
        <v>376</v>
      </c>
      <c r="G43" s="85" t="s">
        <v>377</v>
      </c>
      <c r="H43" s="49" t="s">
        <v>50</v>
      </c>
      <c r="I43" s="39" t="s">
        <v>51</v>
      </c>
      <c r="J43" s="39" t="s">
        <v>360</v>
      </c>
      <c r="K43" s="88" t="s">
        <v>290</v>
      </c>
      <c r="L43" s="57" t="s">
        <v>378</v>
      </c>
      <c r="M43" s="51" t="b">
        <v>1</v>
      </c>
      <c r="N43" s="56" t="s">
        <v>379</v>
      </c>
      <c r="O43" s="46"/>
      <c r="P43" s="46" t="s">
        <v>380</v>
      </c>
      <c r="Q43" s="46" t="s">
        <v>381</v>
      </c>
      <c r="R43" s="46"/>
      <c r="S43" s="46"/>
      <c r="T43" s="46"/>
      <c r="U43" s="13"/>
      <c r="V43" s="13"/>
      <c r="W43" s="13"/>
      <c r="X43" s="13"/>
      <c r="Y43" s="13"/>
      <c r="Z43" s="13"/>
      <c r="AA43" s="13"/>
      <c r="AB43" s="13"/>
      <c r="AC43" s="13"/>
    </row>
    <row r="44" ht="16.5" hidden="1" customHeight="1">
      <c r="A44" s="35">
        <v>41.0</v>
      </c>
      <c r="B44" s="82" t="s">
        <v>382</v>
      </c>
      <c r="C44" s="37" t="s">
        <v>383</v>
      </c>
      <c r="D44" s="84" t="s">
        <v>384</v>
      </c>
      <c r="E44" s="84"/>
      <c r="F44" s="84" t="s">
        <v>385</v>
      </c>
      <c r="G44" s="85" t="s">
        <v>386</v>
      </c>
      <c r="H44" s="49" t="s">
        <v>50</v>
      </c>
      <c r="I44" s="39" t="s">
        <v>51</v>
      </c>
      <c r="J44" s="39" t="s">
        <v>360</v>
      </c>
      <c r="K44" s="88" t="s">
        <v>387</v>
      </c>
      <c r="L44" s="89" t="s">
        <v>388</v>
      </c>
      <c r="M44" s="51" t="b">
        <v>1</v>
      </c>
      <c r="N44" s="67" t="s">
        <v>389</v>
      </c>
      <c r="O44" s="46"/>
      <c r="P44" s="46" t="s">
        <v>390</v>
      </c>
      <c r="Q44" s="46" t="s">
        <v>391</v>
      </c>
      <c r="R44" s="46" t="s">
        <v>392</v>
      </c>
      <c r="S44" s="46"/>
      <c r="T44" s="46"/>
      <c r="U44" s="13"/>
      <c r="V44" s="13"/>
      <c r="W44" s="13"/>
      <c r="X44" s="13"/>
      <c r="Y44" s="13"/>
      <c r="Z44" s="13"/>
      <c r="AA44" s="13"/>
      <c r="AB44" s="13"/>
      <c r="AC44" s="13"/>
    </row>
    <row r="45" ht="16.5" hidden="1" customHeight="1">
      <c r="A45" s="35">
        <v>42.0</v>
      </c>
      <c r="B45" s="36" t="s">
        <v>393</v>
      </c>
      <c r="C45" s="37" t="s">
        <v>394</v>
      </c>
      <c r="D45" s="38" t="s">
        <v>395</v>
      </c>
      <c r="E45" s="38" t="s">
        <v>396</v>
      </c>
      <c r="F45" s="38" t="s">
        <v>397</v>
      </c>
      <c r="G45" s="39" t="s">
        <v>398</v>
      </c>
      <c r="H45" s="49" t="s">
        <v>50</v>
      </c>
      <c r="I45" s="39" t="s">
        <v>51</v>
      </c>
      <c r="J45" s="39" t="s">
        <v>399</v>
      </c>
      <c r="K45" s="42" t="s">
        <v>400</v>
      </c>
      <c r="L45" s="39" t="s">
        <v>401</v>
      </c>
      <c r="M45" s="51" t="b">
        <v>1</v>
      </c>
      <c r="N45" s="56" t="s">
        <v>402</v>
      </c>
      <c r="O45" s="46"/>
      <c r="P45" s="46"/>
      <c r="Q45" s="46"/>
      <c r="R45" s="46"/>
      <c r="S45" s="46"/>
      <c r="T45" s="46"/>
      <c r="U45" s="13"/>
      <c r="V45" s="13"/>
      <c r="W45" s="13"/>
      <c r="X45" s="13"/>
      <c r="Y45" s="13"/>
      <c r="Z45" s="13"/>
      <c r="AA45" s="13"/>
      <c r="AB45" s="13"/>
      <c r="AC45" s="13"/>
    </row>
    <row r="46" ht="16.5" hidden="1" customHeight="1">
      <c r="A46" s="35">
        <v>43.0</v>
      </c>
      <c r="B46" s="36" t="s">
        <v>403</v>
      </c>
      <c r="C46" s="37" t="s">
        <v>404</v>
      </c>
      <c r="D46" s="38" t="s">
        <v>405</v>
      </c>
      <c r="E46" s="38" t="s">
        <v>406</v>
      </c>
      <c r="F46" s="38" t="s">
        <v>407</v>
      </c>
      <c r="G46" s="39" t="s">
        <v>408</v>
      </c>
      <c r="H46" s="49" t="s">
        <v>38</v>
      </c>
      <c r="I46" s="57" t="s">
        <v>51</v>
      </c>
      <c r="J46" s="65" t="s">
        <v>153</v>
      </c>
      <c r="K46" s="66" t="s">
        <v>409</v>
      </c>
      <c r="L46" s="58" t="s">
        <v>410</v>
      </c>
      <c r="M46" s="51" t="b">
        <v>1</v>
      </c>
      <c r="N46" s="67" t="s">
        <v>411</v>
      </c>
      <c r="O46" s="46"/>
      <c r="P46" s="46"/>
      <c r="Q46" s="47"/>
      <c r="R46" s="47"/>
      <c r="S46" s="46"/>
      <c r="T46" s="46"/>
      <c r="U46" s="13"/>
      <c r="V46" s="13"/>
      <c r="W46" s="13"/>
      <c r="X46" s="13"/>
      <c r="Y46" s="13"/>
      <c r="Z46" s="13"/>
      <c r="AA46" s="13"/>
      <c r="AB46" s="13"/>
      <c r="AC46" s="13"/>
    </row>
    <row r="47" ht="16.5" hidden="1" customHeight="1">
      <c r="A47" s="35">
        <v>44.0</v>
      </c>
      <c r="B47" s="36" t="s">
        <v>412</v>
      </c>
      <c r="C47" s="37" t="s">
        <v>413</v>
      </c>
      <c r="D47" s="38" t="s">
        <v>414</v>
      </c>
      <c r="E47" s="38"/>
      <c r="F47" s="38" t="s">
        <v>415</v>
      </c>
      <c r="G47" s="39" t="s">
        <v>231</v>
      </c>
      <c r="H47" s="49" t="s">
        <v>64</v>
      </c>
      <c r="I47" s="39" t="s">
        <v>65</v>
      </c>
      <c r="J47" s="55"/>
      <c r="K47" s="55"/>
      <c r="L47" s="55"/>
      <c r="M47" s="51" t="b">
        <v>0</v>
      </c>
      <c r="N47" s="46"/>
      <c r="O47" s="46"/>
      <c r="P47" s="46"/>
      <c r="Q47" s="47"/>
      <c r="R47" s="47"/>
      <c r="S47" s="46"/>
      <c r="T47" s="46"/>
      <c r="U47" s="13"/>
      <c r="V47" s="13"/>
      <c r="W47" s="13"/>
      <c r="X47" s="13"/>
      <c r="Y47" s="13"/>
      <c r="Z47" s="13"/>
      <c r="AA47" s="13"/>
      <c r="AB47" s="13"/>
      <c r="AC47" s="13"/>
    </row>
    <row r="48" ht="16.5" hidden="1" customHeight="1">
      <c r="A48" s="35">
        <v>45.0</v>
      </c>
      <c r="B48" s="36" t="s">
        <v>416</v>
      </c>
      <c r="C48" s="37" t="s">
        <v>417</v>
      </c>
      <c r="D48" s="38" t="s">
        <v>418</v>
      </c>
      <c r="E48" s="38" t="s">
        <v>419</v>
      </c>
      <c r="F48" s="38" t="s">
        <v>420</v>
      </c>
      <c r="G48" s="48" t="s">
        <v>421</v>
      </c>
      <c r="H48" s="49" t="s">
        <v>50</v>
      </c>
      <c r="I48" s="39" t="s">
        <v>51</v>
      </c>
      <c r="J48" s="39" t="s">
        <v>422</v>
      </c>
      <c r="K48" s="42" t="s">
        <v>423</v>
      </c>
      <c r="L48" s="39" t="s">
        <v>424</v>
      </c>
      <c r="M48" s="51" t="b">
        <v>1</v>
      </c>
      <c r="N48" s="56" t="s">
        <v>416</v>
      </c>
      <c r="O48" s="46"/>
      <c r="P48" s="46" t="s">
        <v>425</v>
      </c>
      <c r="Q48" s="47" t="s">
        <v>426</v>
      </c>
      <c r="R48" s="47" t="s">
        <v>427</v>
      </c>
      <c r="S48" s="46"/>
      <c r="T48" s="46"/>
      <c r="U48" s="13"/>
      <c r="V48" s="13"/>
      <c r="W48" s="13"/>
      <c r="X48" s="13"/>
      <c r="Y48" s="13"/>
      <c r="Z48" s="13"/>
      <c r="AA48" s="13"/>
      <c r="AB48" s="13"/>
      <c r="AC48" s="13"/>
    </row>
    <row r="49" ht="16.5" hidden="1" customHeight="1">
      <c r="A49" s="35">
        <v>46.0</v>
      </c>
      <c r="B49" s="36" t="s">
        <v>428</v>
      </c>
      <c r="C49" s="37" t="s">
        <v>429</v>
      </c>
      <c r="D49" s="38" t="s">
        <v>430</v>
      </c>
      <c r="E49" s="38" t="s">
        <v>431</v>
      </c>
      <c r="F49" s="38" t="s">
        <v>432</v>
      </c>
      <c r="G49" s="39" t="s">
        <v>433</v>
      </c>
      <c r="H49" s="49" t="s">
        <v>38</v>
      </c>
      <c r="I49" s="57" t="s">
        <v>51</v>
      </c>
      <c r="J49" s="39" t="s">
        <v>434</v>
      </c>
      <c r="K49" s="58">
        <v>1.0</v>
      </c>
      <c r="L49" s="58" t="s">
        <v>435</v>
      </c>
      <c r="M49" s="51" t="b">
        <v>1</v>
      </c>
      <c r="N49" s="56" t="s">
        <v>436</v>
      </c>
      <c r="O49" s="46"/>
      <c r="P49" s="46" t="s">
        <v>437</v>
      </c>
      <c r="Q49" s="47" t="s">
        <v>438</v>
      </c>
      <c r="R49" s="47"/>
      <c r="S49" s="46"/>
      <c r="T49" s="46"/>
      <c r="U49" s="13"/>
      <c r="V49" s="13"/>
      <c r="W49" s="13"/>
      <c r="X49" s="13"/>
      <c r="Y49" s="13"/>
      <c r="Z49" s="13"/>
      <c r="AA49" s="13"/>
      <c r="AB49" s="13"/>
      <c r="AC49" s="13"/>
    </row>
    <row r="50" ht="16.5" hidden="1" customHeight="1">
      <c r="A50" s="35">
        <v>47.0</v>
      </c>
      <c r="B50" s="36" t="s">
        <v>439</v>
      </c>
      <c r="C50" s="37" t="s">
        <v>440</v>
      </c>
      <c r="D50" s="38" t="s">
        <v>441</v>
      </c>
      <c r="E50" s="38"/>
      <c r="F50" s="38" t="s">
        <v>442</v>
      </c>
      <c r="G50" s="39" t="s">
        <v>231</v>
      </c>
      <c r="H50" s="49" t="s">
        <v>64</v>
      </c>
      <c r="I50" s="39" t="s">
        <v>65</v>
      </c>
      <c r="J50" s="55"/>
      <c r="K50" s="55"/>
      <c r="L50" s="55"/>
      <c r="M50" s="51" t="b">
        <v>0</v>
      </c>
      <c r="N50" s="46"/>
      <c r="O50" s="46"/>
      <c r="P50" s="46"/>
      <c r="Q50" s="47"/>
      <c r="R50" s="47"/>
      <c r="S50" s="46"/>
      <c r="T50" s="46"/>
      <c r="U50" s="13"/>
      <c r="V50" s="13"/>
      <c r="W50" s="13"/>
      <c r="X50" s="13"/>
      <c r="Y50" s="13"/>
      <c r="Z50" s="13"/>
      <c r="AA50" s="13"/>
      <c r="AB50" s="13"/>
      <c r="AC50" s="13"/>
    </row>
    <row r="51" ht="16.5" hidden="1" customHeight="1">
      <c r="A51" s="35">
        <v>48.0</v>
      </c>
      <c r="B51" s="36" t="s">
        <v>443</v>
      </c>
      <c r="C51" s="37" t="s">
        <v>444</v>
      </c>
      <c r="D51" s="38" t="s">
        <v>445</v>
      </c>
      <c r="E51" s="38"/>
      <c r="F51" s="38" t="s">
        <v>446</v>
      </c>
      <c r="G51" s="39" t="s">
        <v>447</v>
      </c>
      <c r="H51" s="49" t="s">
        <v>64</v>
      </c>
      <c r="I51" s="39" t="s">
        <v>65</v>
      </c>
      <c r="J51" s="55"/>
      <c r="K51" s="55"/>
      <c r="L51" s="55"/>
      <c r="M51" s="51" t="b">
        <v>0</v>
      </c>
      <c r="N51" s="46"/>
      <c r="O51" s="46"/>
      <c r="P51" s="46"/>
      <c r="Q51" s="47"/>
      <c r="R51" s="47"/>
      <c r="S51" s="46"/>
      <c r="T51" s="46"/>
      <c r="U51" s="13"/>
      <c r="V51" s="13"/>
      <c r="W51" s="13"/>
      <c r="X51" s="13"/>
      <c r="Y51" s="13"/>
      <c r="Z51" s="13"/>
      <c r="AA51" s="13"/>
      <c r="AB51" s="13"/>
      <c r="AC51" s="13"/>
    </row>
    <row r="52" ht="16.5" hidden="1" customHeight="1">
      <c r="A52" s="35">
        <v>49.0</v>
      </c>
      <c r="B52" s="36" t="s">
        <v>448</v>
      </c>
      <c r="C52" s="37" t="s">
        <v>449</v>
      </c>
      <c r="D52" s="38" t="s">
        <v>450</v>
      </c>
      <c r="E52" s="38"/>
      <c r="F52" s="38" t="s">
        <v>451</v>
      </c>
      <c r="G52" s="48" t="s">
        <v>452</v>
      </c>
      <c r="H52" s="49" t="s">
        <v>38</v>
      </c>
      <c r="I52" s="39" t="s">
        <v>51</v>
      </c>
      <c r="J52" s="39" t="s">
        <v>84</v>
      </c>
      <c r="K52" s="39">
        <v>14.0</v>
      </c>
      <c r="L52" s="39" t="s">
        <v>453</v>
      </c>
      <c r="M52" s="51" t="b">
        <v>1</v>
      </c>
      <c r="N52" s="56" t="s">
        <v>454</v>
      </c>
      <c r="O52" s="46"/>
      <c r="P52" s="46" t="s">
        <v>455</v>
      </c>
      <c r="Q52" s="47" t="s">
        <v>456</v>
      </c>
      <c r="R52" s="47"/>
      <c r="S52" s="46"/>
      <c r="T52" s="46"/>
      <c r="U52" s="13"/>
      <c r="V52" s="13"/>
      <c r="W52" s="13"/>
      <c r="X52" s="13"/>
      <c r="Y52" s="13"/>
      <c r="Z52" s="13"/>
      <c r="AA52" s="13"/>
      <c r="AB52" s="13"/>
      <c r="AC52" s="13"/>
    </row>
    <row r="53" ht="16.5" hidden="1" customHeight="1">
      <c r="A53" s="35">
        <v>50.0</v>
      </c>
      <c r="B53" s="36" t="s">
        <v>457</v>
      </c>
      <c r="C53" s="37" t="s">
        <v>458</v>
      </c>
      <c r="D53" s="38" t="s">
        <v>459</v>
      </c>
      <c r="E53" s="38"/>
      <c r="F53" s="38" t="s">
        <v>460</v>
      </c>
      <c r="G53" s="39" t="s">
        <v>398</v>
      </c>
      <c r="H53" s="49" t="s">
        <v>50</v>
      </c>
      <c r="I53" s="39" t="s">
        <v>51</v>
      </c>
      <c r="J53" s="90" t="s">
        <v>461</v>
      </c>
      <c r="K53" s="91" t="s">
        <v>462</v>
      </c>
      <c r="L53" s="92" t="s">
        <v>463</v>
      </c>
      <c r="M53" s="51" t="b">
        <v>1</v>
      </c>
      <c r="N53" s="56" t="s">
        <v>464</v>
      </c>
      <c r="O53" s="68"/>
      <c r="P53" s="46"/>
      <c r="Q53" s="47"/>
      <c r="R53" s="47"/>
      <c r="S53" s="46"/>
      <c r="T53" s="46"/>
      <c r="U53" s="13"/>
      <c r="V53" s="13"/>
      <c r="W53" s="13"/>
      <c r="X53" s="13"/>
      <c r="Y53" s="13"/>
      <c r="Z53" s="13"/>
      <c r="AA53" s="13"/>
      <c r="AB53" s="13"/>
      <c r="AC53" s="13"/>
    </row>
    <row r="54" ht="16.5" hidden="1" customHeight="1">
      <c r="A54" s="35">
        <v>51.0</v>
      </c>
      <c r="B54" s="36" t="s">
        <v>465</v>
      </c>
      <c r="C54" s="37" t="s">
        <v>466</v>
      </c>
      <c r="D54" s="38" t="s">
        <v>467</v>
      </c>
      <c r="E54" s="38" t="s">
        <v>468</v>
      </c>
      <c r="F54" s="38" t="s">
        <v>196</v>
      </c>
      <c r="G54" s="39" t="s">
        <v>469</v>
      </c>
      <c r="H54" s="49" t="s">
        <v>50</v>
      </c>
      <c r="I54" s="39" t="s">
        <v>51</v>
      </c>
      <c r="J54" s="39" t="s">
        <v>470</v>
      </c>
      <c r="K54" s="42" t="s">
        <v>471</v>
      </c>
      <c r="L54" s="39" t="s">
        <v>472</v>
      </c>
      <c r="M54" s="51" t="b">
        <v>1</v>
      </c>
      <c r="N54" s="56" t="s">
        <v>473</v>
      </c>
      <c r="O54" s="68"/>
      <c r="P54" s="46" t="s">
        <v>474</v>
      </c>
      <c r="Q54" s="47"/>
      <c r="R54" s="47"/>
      <c r="S54" s="46"/>
      <c r="T54" s="46"/>
      <c r="U54" s="13"/>
      <c r="V54" s="13"/>
      <c r="W54" s="13"/>
      <c r="X54" s="13"/>
      <c r="Y54" s="13"/>
      <c r="Z54" s="13"/>
      <c r="AA54" s="13"/>
      <c r="AB54" s="13"/>
      <c r="AC54" s="13"/>
    </row>
    <row r="55" ht="16.5" hidden="1" customHeight="1">
      <c r="A55" s="35">
        <v>52.0</v>
      </c>
      <c r="B55" s="36" t="s">
        <v>475</v>
      </c>
      <c r="C55" s="37" t="s">
        <v>476</v>
      </c>
      <c r="D55" s="38" t="s">
        <v>477</v>
      </c>
      <c r="E55" s="38"/>
      <c r="F55" s="38" t="s">
        <v>478</v>
      </c>
      <c r="G55" s="39" t="s">
        <v>231</v>
      </c>
      <c r="H55" s="49" t="s">
        <v>64</v>
      </c>
      <c r="I55" s="39" t="s">
        <v>65</v>
      </c>
      <c r="J55" s="55"/>
      <c r="K55" s="55"/>
      <c r="L55" s="55"/>
      <c r="M55" s="51" t="b">
        <v>0</v>
      </c>
      <c r="N55" s="46"/>
      <c r="O55" s="46"/>
      <c r="P55" s="46"/>
      <c r="Q55" s="47"/>
      <c r="R55" s="47"/>
      <c r="S55" s="46"/>
      <c r="T55" s="46"/>
      <c r="U55" s="13"/>
      <c r="V55" s="13"/>
      <c r="W55" s="13"/>
      <c r="X55" s="13"/>
      <c r="Y55" s="13"/>
      <c r="Z55" s="13"/>
      <c r="AA55" s="13"/>
      <c r="AB55" s="13"/>
      <c r="AC55" s="13"/>
    </row>
    <row r="56" ht="16.5" hidden="1" customHeight="1">
      <c r="A56" s="35">
        <v>53.0</v>
      </c>
      <c r="B56" s="36" t="s">
        <v>479</v>
      </c>
      <c r="C56" s="37" t="s">
        <v>480</v>
      </c>
      <c r="D56" s="38" t="s">
        <v>481</v>
      </c>
      <c r="E56" s="38"/>
      <c r="F56" s="38" t="s">
        <v>482</v>
      </c>
      <c r="G56" s="39" t="s">
        <v>205</v>
      </c>
      <c r="H56" s="49" t="s">
        <v>38</v>
      </c>
      <c r="I56" s="39" t="s">
        <v>51</v>
      </c>
      <c r="J56" s="65" t="s">
        <v>153</v>
      </c>
      <c r="K56" s="66" t="s">
        <v>214</v>
      </c>
      <c r="L56" s="39" t="s">
        <v>206</v>
      </c>
      <c r="M56" s="51" t="b">
        <v>1</v>
      </c>
      <c r="N56" s="67" t="s">
        <v>483</v>
      </c>
      <c r="O56" s="45" t="s">
        <v>484</v>
      </c>
      <c r="P56" s="46"/>
      <c r="Q56" s="47"/>
      <c r="R56" s="47"/>
      <c r="S56" s="46"/>
      <c r="T56" s="46"/>
      <c r="U56" s="13"/>
      <c r="V56" s="13"/>
      <c r="W56" s="13"/>
      <c r="X56" s="13"/>
      <c r="Y56" s="13"/>
      <c r="Z56" s="13"/>
      <c r="AA56" s="13"/>
      <c r="AB56" s="13"/>
      <c r="AC56" s="13"/>
    </row>
    <row r="57" ht="16.5" hidden="1" customHeight="1">
      <c r="A57" s="35">
        <v>54.0</v>
      </c>
      <c r="B57" s="36" t="s">
        <v>485</v>
      </c>
      <c r="C57" s="37" t="s">
        <v>486</v>
      </c>
      <c r="D57" s="38" t="s">
        <v>487</v>
      </c>
      <c r="E57" s="38" t="s">
        <v>488</v>
      </c>
      <c r="F57" s="38" t="s">
        <v>489</v>
      </c>
      <c r="G57" s="48" t="s">
        <v>490</v>
      </c>
      <c r="H57" s="49" t="s">
        <v>50</v>
      </c>
      <c r="I57" s="93" t="s">
        <v>51</v>
      </c>
      <c r="J57" s="39" t="s">
        <v>491</v>
      </c>
      <c r="K57" s="42" t="s">
        <v>409</v>
      </c>
      <c r="L57" s="39" t="s">
        <v>492</v>
      </c>
      <c r="M57" s="51" t="b">
        <v>1</v>
      </c>
      <c r="N57" s="67" t="s">
        <v>493</v>
      </c>
      <c r="O57" s="45" t="s">
        <v>494</v>
      </c>
      <c r="P57" s="46"/>
      <c r="Q57" s="47"/>
      <c r="R57" s="47"/>
      <c r="S57" s="46"/>
      <c r="T57" s="46"/>
      <c r="U57" s="13"/>
      <c r="V57" s="13"/>
      <c r="W57" s="13"/>
      <c r="X57" s="13"/>
      <c r="Y57" s="13"/>
      <c r="Z57" s="13"/>
      <c r="AA57" s="13"/>
      <c r="AB57" s="13"/>
      <c r="AC57" s="13"/>
    </row>
    <row r="58" ht="16.5" hidden="1" customHeight="1">
      <c r="A58" s="35">
        <v>55.0</v>
      </c>
      <c r="B58" s="36" t="s">
        <v>495</v>
      </c>
      <c r="C58" s="37" t="s">
        <v>496</v>
      </c>
      <c r="D58" s="38" t="s">
        <v>497</v>
      </c>
      <c r="E58" s="38"/>
      <c r="F58" s="38" t="s">
        <v>498</v>
      </c>
      <c r="G58" s="39" t="s">
        <v>499</v>
      </c>
      <c r="H58" s="49" t="s">
        <v>38</v>
      </c>
      <c r="I58" s="39" t="s">
        <v>51</v>
      </c>
      <c r="J58" s="65" t="s">
        <v>153</v>
      </c>
      <c r="K58" s="66" t="s">
        <v>124</v>
      </c>
      <c r="L58" s="58" t="s">
        <v>500</v>
      </c>
      <c r="M58" s="51" t="b">
        <v>1</v>
      </c>
      <c r="N58" s="67" t="s">
        <v>501</v>
      </c>
      <c r="O58" s="68"/>
      <c r="P58" s="46"/>
      <c r="Q58" s="47"/>
      <c r="R58" s="47"/>
      <c r="S58" s="46"/>
      <c r="T58" s="46"/>
      <c r="U58" s="13"/>
      <c r="V58" s="13"/>
      <c r="W58" s="13"/>
      <c r="X58" s="13"/>
      <c r="Y58" s="13"/>
      <c r="Z58" s="13"/>
      <c r="AA58" s="13"/>
      <c r="AB58" s="13"/>
      <c r="AC58" s="13"/>
    </row>
    <row r="59" ht="16.5" hidden="1" customHeight="1">
      <c r="A59" s="35">
        <v>56.0</v>
      </c>
      <c r="B59" s="36" t="s">
        <v>502</v>
      </c>
      <c r="C59" s="37" t="s">
        <v>503</v>
      </c>
      <c r="D59" s="38" t="s">
        <v>504</v>
      </c>
      <c r="E59" s="38" t="s">
        <v>505</v>
      </c>
      <c r="F59" s="38" t="s">
        <v>196</v>
      </c>
      <c r="G59" s="48" t="s">
        <v>506</v>
      </c>
      <c r="H59" s="49" t="s">
        <v>50</v>
      </c>
      <c r="I59" s="39" t="s">
        <v>51</v>
      </c>
      <c r="J59" s="39" t="s">
        <v>507</v>
      </c>
      <c r="K59" s="42" t="s">
        <v>41</v>
      </c>
      <c r="L59" s="39" t="s">
        <v>508</v>
      </c>
      <c r="M59" s="51" t="b">
        <v>1</v>
      </c>
      <c r="N59" s="56" t="s">
        <v>509</v>
      </c>
      <c r="O59" s="68"/>
      <c r="P59" s="46"/>
      <c r="Q59" s="47"/>
      <c r="R59" s="47"/>
      <c r="S59" s="46"/>
      <c r="T59" s="46"/>
      <c r="U59" s="13"/>
      <c r="V59" s="13"/>
      <c r="W59" s="13"/>
      <c r="X59" s="13"/>
      <c r="Y59" s="13"/>
      <c r="Z59" s="13"/>
      <c r="AA59" s="13"/>
      <c r="AB59" s="13"/>
      <c r="AC59" s="13"/>
    </row>
    <row r="60" ht="16.5" hidden="1" customHeight="1">
      <c r="A60" s="35">
        <v>57.0</v>
      </c>
      <c r="B60" s="36" t="s">
        <v>510</v>
      </c>
      <c r="C60" s="37" t="s">
        <v>511</v>
      </c>
      <c r="D60" s="38" t="s">
        <v>512</v>
      </c>
      <c r="E60" s="38" t="s">
        <v>513</v>
      </c>
      <c r="F60" s="38" t="s">
        <v>514</v>
      </c>
      <c r="G60" s="39" t="s">
        <v>433</v>
      </c>
      <c r="H60" s="49" t="s">
        <v>38</v>
      </c>
      <c r="I60" s="57" t="s">
        <v>51</v>
      </c>
      <c r="J60" s="39" t="s">
        <v>434</v>
      </c>
      <c r="K60" s="58">
        <v>1.0</v>
      </c>
      <c r="L60" s="58" t="s">
        <v>515</v>
      </c>
      <c r="M60" s="51" t="b">
        <v>1</v>
      </c>
      <c r="N60" s="56" t="s">
        <v>436</v>
      </c>
      <c r="O60" s="46"/>
      <c r="P60" s="46" t="s">
        <v>516</v>
      </c>
      <c r="Q60" s="46" t="s">
        <v>517</v>
      </c>
      <c r="R60" s="47" t="s">
        <v>518</v>
      </c>
      <c r="S60" s="46" t="s">
        <v>519</v>
      </c>
      <c r="T60" s="46"/>
      <c r="U60" s="13"/>
      <c r="V60" s="13"/>
      <c r="W60" s="13"/>
      <c r="X60" s="13"/>
      <c r="Y60" s="13"/>
      <c r="Z60" s="13"/>
      <c r="AA60" s="13"/>
      <c r="AB60" s="13"/>
      <c r="AC60" s="13"/>
    </row>
    <row r="61" ht="16.5" hidden="1" customHeight="1">
      <c r="A61" s="35">
        <v>58.0</v>
      </c>
      <c r="B61" s="36" t="s">
        <v>520</v>
      </c>
      <c r="C61" s="37" t="s">
        <v>521</v>
      </c>
      <c r="D61" s="38" t="s">
        <v>522</v>
      </c>
      <c r="E61" s="38"/>
      <c r="F61" s="38" t="s">
        <v>523</v>
      </c>
      <c r="G61" s="39" t="s">
        <v>231</v>
      </c>
      <c r="H61" s="49" t="s">
        <v>64</v>
      </c>
      <c r="I61" s="39" t="s">
        <v>65</v>
      </c>
      <c r="J61" s="55"/>
      <c r="K61" s="55"/>
      <c r="L61" s="55"/>
      <c r="M61" s="51" t="b">
        <v>0</v>
      </c>
      <c r="N61" s="46"/>
      <c r="O61" s="46"/>
      <c r="P61" s="46"/>
      <c r="Q61" s="47"/>
      <c r="R61" s="47"/>
      <c r="S61" s="46"/>
      <c r="T61" s="46"/>
      <c r="U61" s="13"/>
      <c r="V61" s="13"/>
      <c r="W61" s="13"/>
      <c r="X61" s="13"/>
      <c r="Y61" s="13"/>
      <c r="Z61" s="13"/>
      <c r="AA61" s="13"/>
      <c r="AB61" s="13"/>
      <c r="AC61" s="13"/>
    </row>
    <row r="62" ht="16.5" hidden="1" customHeight="1">
      <c r="A62" s="35">
        <v>59.0</v>
      </c>
      <c r="B62" s="36" t="s">
        <v>524</v>
      </c>
      <c r="C62" s="37" t="s">
        <v>525</v>
      </c>
      <c r="D62" s="38" t="s">
        <v>526</v>
      </c>
      <c r="E62" s="38"/>
      <c r="F62" s="38" t="s">
        <v>527</v>
      </c>
      <c r="G62" s="39" t="s">
        <v>231</v>
      </c>
      <c r="H62" s="49" t="s">
        <v>64</v>
      </c>
      <c r="I62" s="39" t="s">
        <v>65</v>
      </c>
      <c r="J62" s="55"/>
      <c r="K62" s="55"/>
      <c r="L62" s="55"/>
      <c r="M62" s="51" t="b">
        <v>0</v>
      </c>
      <c r="N62" s="46"/>
      <c r="O62" s="46"/>
      <c r="P62" s="46"/>
      <c r="Q62" s="47"/>
      <c r="R62" s="47"/>
      <c r="S62" s="46"/>
      <c r="T62" s="46"/>
      <c r="U62" s="13"/>
      <c r="V62" s="13"/>
      <c r="W62" s="13"/>
      <c r="X62" s="13"/>
      <c r="Y62" s="13"/>
      <c r="Z62" s="13"/>
      <c r="AA62" s="13"/>
      <c r="AB62" s="13"/>
      <c r="AC62" s="13"/>
    </row>
    <row r="63" ht="16.5" hidden="1" customHeight="1">
      <c r="A63" s="35">
        <v>60.0</v>
      </c>
      <c r="B63" s="36" t="s">
        <v>528</v>
      </c>
      <c r="C63" s="37" t="s">
        <v>529</v>
      </c>
      <c r="D63" s="38" t="s">
        <v>530</v>
      </c>
      <c r="E63" s="38" t="s">
        <v>531</v>
      </c>
      <c r="F63" s="38" t="s">
        <v>196</v>
      </c>
      <c r="G63" s="48" t="s">
        <v>532</v>
      </c>
      <c r="H63" s="49" t="s">
        <v>50</v>
      </c>
      <c r="I63" s="39" t="s">
        <v>51</v>
      </c>
      <c r="J63" s="39" t="s">
        <v>533</v>
      </c>
      <c r="K63" s="42" t="s">
        <v>534</v>
      </c>
      <c r="L63" s="39" t="s">
        <v>535</v>
      </c>
      <c r="M63" s="51" t="b">
        <v>1</v>
      </c>
      <c r="N63" s="56" t="s">
        <v>536</v>
      </c>
      <c r="O63" s="46"/>
      <c r="P63" s="46" t="s">
        <v>537</v>
      </c>
      <c r="Q63" s="47" t="s">
        <v>538</v>
      </c>
      <c r="R63" s="47" t="s">
        <v>539</v>
      </c>
      <c r="S63" s="46"/>
      <c r="T63" s="46"/>
      <c r="U63" s="13"/>
      <c r="V63" s="13"/>
      <c r="W63" s="13"/>
      <c r="X63" s="13"/>
      <c r="Y63" s="13"/>
      <c r="Z63" s="13"/>
      <c r="AA63" s="13"/>
      <c r="AB63" s="13"/>
      <c r="AC63" s="13"/>
    </row>
    <row r="64" ht="16.5" hidden="1" customHeight="1">
      <c r="A64" s="35">
        <v>61.0</v>
      </c>
      <c r="B64" s="36" t="s">
        <v>540</v>
      </c>
      <c r="C64" s="37" t="s">
        <v>541</v>
      </c>
      <c r="D64" s="38" t="s">
        <v>542</v>
      </c>
      <c r="E64" s="38"/>
      <c r="F64" s="38" t="s">
        <v>543</v>
      </c>
      <c r="G64" s="39" t="s">
        <v>231</v>
      </c>
      <c r="H64" s="49" t="s">
        <v>64</v>
      </c>
      <c r="I64" s="39" t="s">
        <v>65</v>
      </c>
      <c r="J64" s="55"/>
      <c r="K64" s="55"/>
      <c r="L64" s="55"/>
      <c r="M64" s="51" t="b">
        <v>0</v>
      </c>
      <c r="N64" s="46"/>
      <c r="O64" s="46"/>
      <c r="P64" s="46"/>
      <c r="Q64" s="47"/>
      <c r="R64" s="47"/>
      <c r="S64" s="46"/>
      <c r="T64" s="46"/>
      <c r="U64" s="13"/>
      <c r="V64" s="13"/>
      <c r="W64" s="13"/>
      <c r="X64" s="13"/>
      <c r="Y64" s="13"/>
      <c r="Z64" s="13"/>
      <c r="AA64" s="13"/>
      <c r="AB64" s="13"/>
      <c r="AC64" s="13"/>
    </row>
    <row r="65" ht="16.5" hidden="1" customHeight="1">
      <c r="A65" s="35">
        <v>62.0</v>
      </c>
      <c r="B65" s="36" t="s">
        <v>544</v>
      </c>
      <c r="C65" s="37" t="s">
        <v>545</v>
      </c>
      <c r="D65" s="38" t="s">
        <v>546</v>
      </c>
      <c r="E65" s="38" t="s">
        <v>547</v>
      </c>
      <c r="F65" s="38" t="s">
        <v>548</v>
      </c>
      <c r="G65" s="48" t="s">
        <v>549</v>
      </c>
      <c r="H65" s="49" t="s">
        <v>50</v>
      </c>
      <c r="I65" s="57" t="s">
        <v>51</v>
      </c>
      <c r="J65" s="39" t="s">
        <v>550</v>
      </c>
      <c r="K65" s="42" t="s">
        <v>154</v>
      </c>
      <c r="L65" s="39" t="s">
        <v>551</v>
      </c>
      <c r="M65" s="51" t="b">
        <v>1</v>
      </c>
      <c r="N65" s="56" t="s">
        <v>552</v>
      </c>
      <c r="O65" s="46"/>
      <c r="P65" s="46"/>
      <c r="Q65" s="47"/>
      <c r="R65" s="47"/>
      <c r="S65" s="46"/>
      <c r="T65" s="46"/>
      <c r="U65" s="13"/>
      <c r="V65" s="13"/>
      <c r="W65" s="13"/>
      <c r="X65" s="13"/>
      <c r="Y65" s="13"/>
      <c r="Z65" s="13"/>
      <c r="AA65" s="13"/>
      <c r="AB65" s="13"/>
      <c r="AC65" s="13"/>
    </row>
    <row r="66" ht="16.5" hidden="1" customHeight="1">
      <c r="A66" s="35">
        <v>63.0</v>
      </c>
      <c r="B66" s="36" t="s">
        <v>553</v>
      </c>
      <c r="C66" s="37" t="s">
        <v>554</v>
      </c>
      <c r="D66" s="38" t="s">
        <v>555</v>
      </c>
      <c r="E66" s="38"/>
      <c r="F66" s="38" t="s">
        <v>556</v>
      </c>
      <c r="G66" s="39" t="s">
        <v>231</v>
      </c>
      <c r="H66" s="49" t="s">
        <v>64</v>
      </c>
      <c r="I66" s="39" t="s">
        <v>65</v>
      </c>
      <c r="J66" s="55"/>
      <c r="K66" s="55"/>
      <c r="L66" s="55"/>
      <c r="M66" s="51" t="b">
        <v>0</v>
      </c>
      <c r="N66" s="46"/>
      <c r="O66" s="46"/>
      <c r="P66" s="46" t="s">
        <v>557</v>
      </c>
      <c r="Q66" s="47"/>
      <c r="R66" s="47"/>
      <c r="S66" s="46"/>
      <c r="T66" s="46"/>
      <c r="U66" s="13"/>
      <c r="V66" s="13"/>
      <c r="W66" s="13"/>
      <c r="X66" s="13"/>
      <c r="Y66" s="13"/>
      <c r="Z66" s="13"/>
      <c r="AA66" s="13"/>
      <c r="AB66" s="13"/>
      <c r="AC66" s="13"/>
    </row>
    <row r="67" ht="16.5" hidden="1" customHeight="1">
      <c r="A67" s="35">
        <v>64.0</v>
      </c>
      <c r="B67" s="36" t="s">
        <v>558</v>
      </c>
      <c r="C67" s="37" t="s">
        <v>559</v>
      </c>
      <c r="D67" s="38" t="s">
        <v>560</v>
      </c>
      <c r="E67" s="38" t="s">
        <v>561</v>
      </c>
      <c r="F67" s="38" t="s">
        <v>562</v>
      </c>
      <c r="G67" s="39" t="s">
        <v>563</v>
      </c>
      <c r="H67" s="49" t="s">
        <v>50</v>
      </c>
      <c r="I67" s="57" t="s">
        <v>51</v>
      </c>
      <c r="J67" s="39" t="s">
        <v>564</v>
      </c>
      <c r="K67" s="42" t="s">
        <v>565</v>
      </c>
      <c r="L67" s="39" t="s">
        <v>566</v>
      </c>
      <c r="M67" s="51" t="b">
        <v>1</v>
      </c>
      <c r="N67" s="56" t="s">
        <v>567</v>
      </c>
      <c r="O67" s="46"/>
      <c r="P67" s="46"/>
      <c r="Q67" s="47"/>
      <c r="R67" s="47"/>
      <c r="S67" s="46"/>
      <c r="T67" s="46"/>
      <c r="U67" s="13"/>
      <c r="V67" s="13"/>
      <c r="W67" s="13"/>
      <c r="X67" s="13"/>
      <c r="Y67" s="13"/>
      <c r="Z67" s="13"/>
      <c r="AA67" s="13"/>
      <c r="AB67" s="13"/>
      <c r="AC67" s="13"/>
    </row>
    <row r="68" ht="16.5" hidden="1" customHeight="1">
      <c r="A68" s="35">
        <v>65.0</v>
      </c>
      <c r="B68" s="36" t="s">
        <v>568</v>
      </c>
      <c r="C68" s="37" t="s">
        <v>569</v>
      </c>
      <c r="D68" s="38" t="s">
        <v>570</v>
      </c>
      <c r="E68" s="38"/>
      <c r="F68" s="38" t="s">
        <v>571</v>
      </c>
      <c r="G68" s="39" t="s">
        <v>572</v>
      </c>
      <c r="H68" s="49" t="s">
        <v>50</v>
      </c>
      <c r="I68" s="93" t="s">
        <v>51</v>
      </c>
      <c r="J68" s="39" t="s">
        <v>573</v>
      </c>
      <c r="K68" s="94" t="s">
        <v>574</v>
      </c>
      <c r="L68" s="93" t="s">
        <v>575</v>
      </c>
      <c r="M68" s="51" t="b">
        <v>1</v>
      </c>
      <c r="N68" s="56" t="s">
        <v>568</v>
      </c>
      <c r="O68" s="56" t="s">
        <v>576</v>
      </c>
      <c r="P68" s="46"/>
      <c r="Q68" s="47"/>
      <c r="R68" s="47"/>
      <c r="S68" s="46"/>
      <c r="T68" s="46"/>
      <c r="U68" s="13"/>
      <c r="V68" s="13"/>
      <c r="W68" s="13"/>
      <c r="X68" s="13"/>
      <c r="Y68" s="13"/>
      <c r="Z68" s="13"/>
      <c r="AA68" s="13"/>
      <c r="AB68" s="13"/>
      <c r="AC68" s="13"/>
    </row>
    <row r="69" ht="16.5" hidden="1" customHeight="1">
      <c r="A69" s="35">
        <v>66.0</v>
      </c>
      <c r="B69" s="36" t="s">
        <v>577</v>
      </c>
      <c r="C69" s="37" t="s">
        <v>578</v>
      </c>
      <c r="D69" s="38" t="s">
        <v>579</v>
      </c>
      <c r="E69" s="38"/>
      <c r="F69" s="38" t="s">
        <v>580</v>
      </c>
      <c r="G69" s="39" t="s">
        <v>231</v>
      </c>
      <c r="H69" s="49" t="s">
        <v>64</v>
      </c>
      <c r="I69" s="39" t="s">
        <v>65</v>
      </c>
      <c r="J69" s="55"/>
      <c r="K69" s="55"/>
      <c r="L69" s="55"/>
      <c r="M69" s="51" t="b">
        <v>0</v>
      </c>
      <c r="N69" s="46"/>
      <c r="O69" s="46"/>
      <c r="P69" s="46"/>
      <c r="Q69" s="47"/>
      <c r="R69" s="47"/>
      <c r="S69" s="46"/>
      <c r="T69" s="46"/>
      <c r="U69" s="13"/>
      <c r="V69" s="13"/>
      <c r="W69" s="13"/>
      <c r="X69" s="13"/>
      <c r="Y69" s="13"/>
      <c r="Z69" s="13"/>
      <c r="AA69" s="13"/>
      <c r="AB69" s="13"/>
      <c r="AC69" s="13"/>
    </row>
    <row r="70" ht="16.5" hidden="1" customHeight="1">
      <c r="A70" s="35">
        <v>67.0</v>
      </c>
      <c r="B70" s="36" t="s">
        <v>581</v>
      </c>
      <c r="C70" s="37" t="s">
        <v>582</v>
      </c>
      <c r="D70" s="38" t="s">
        <v>583</v>
      </c>
      <c r="E70" s="38" t="s">
        <v>584</v>
      </c>
      <c r="F70" s="38" t="s">
        <v>585</v>
      </c>
      <c r="G70" s="48" t="s">
        <v>586</v>
      </c>
      <c r="H70" s="49" t="s">
        <v>50</v>
      </c>
      <c r="I70" s="39" t="s">
        <v>51</v>
      </c>
      <c r="J70" s="39" t="s">
        <v>587</v>
      </c>
      <c r="K70" s="42" t="s">
        <v>41</v>
      </c>
      <c r="L70" s="39" t="s">
        <v>588</v>
      </c>
      <c r="M70" s="51" t="b">
        <v>0</v>
      </c>
      <c r="N70" s="44" t="s">
        <v>589</v>
      </c>
      <c r="O70" s="95" t="s">
        <v>590</v>
      </c>
      <c r="P70" s="96" t="s">
        <v>591</v>
      </c>
      <c r="Q70" s="47"/>
      <c r="R70" s="47"/>
      <c r="S70" s="46"/>
      <c r="T70" s="46"/>
      <c r="U70" s="97"/>
      <c r="V70" s="13"/>
      <c r="W70" s="13"/>
      <c r="X70" s="13"/>
      <c r="Y70" s="13"/>
      <c r="Z70" s="13"/>
      <c r="AA70" s="13"/>
      <c r="AB70" s="13"/>
      <c r="AC70" s="13"/>
    </row>
    <row r="71" ht="16.5" hidden="1" customHeight="1">
      <c r="A71" s="35">
        <v>68.0</v>
      </c>
      <c r="B71" s="36" t="s">
        <v>592</v>
      </c>
      <c r="C71" s="37" t="s">
        <v>593</v>
      </c>
      <c r="D71" s="38" t="s">
        <v>594</v>
      </c>
      <c r="E71" s="38"/>
      <c r="F71" s="38" t="s">
        <v>595</v>
      </c>
      <c r="G71" s="39" t="s">
        <v>231</v>
      </c>
      <c r="H71" s="49" t="s">
        <v>64</v>
      </c>
      <c r="I71" s="39" t="s">
        <v>65</v>
      </c>
      <c r="J71" s="55"/>
      <c r="K71" s="55"/>
      <c r="L71" s="55"/>
      <c r="M71" s="51" t="b">
        <v>0</v>
      </c>
      <c r="N71" s="46"/>
      <c r="O71" s="46"/>
      <c r="P71" s="46"/>
      <c r="Q71" s="47"/>
      <c r="R71" s="47"/>
      <c r="S71" s="46"/>
      <c r="T71" s="46"/>
      <c r="U71" s="13"/>
      <c r="V71" s="13"/>
      <c r="W71" s="13"/>
      <c r="X71" s="13"/>
      <c r="Y71" s="13"/>
      <c r="Z71" s="13"/>
      <c r="AA71" s="13"/>
      <c r="AB71" s="13"/>
      <c r="AC71" s="13"/>
    </row>
    <row r="72" ht="16.5" hidden="1" customHeight="1">
      <c r="A72" s="35">
        <v>69.0</v>
      </c>
      <c r="B72" s="36" t="s">
        <v>596</v>
      </c>
      <c r="C72" s="37" t="s">
        <v>597</v>
      </c>
      <c r="D72" s="38" t="s">
        <v>598</v>
      </c>
      <c r="E72" s="38"/>
      <c r="F72" s="38" t="s">
        <v>599</v>
      </c>
      <c r="G72" s="39" t="s">
        <v>231</v>
      </c>
      <c r="H72" s="49" t="s">
        <v>64</v>
      </c>
      <c r="I72" s="39" t="s">
        <v>65</v>
      </c>
      <c r="J72" s="55"/>
      <c r="K72" s="55"/>
      <c r="L72" s="55"/>
      <c r="M72" s="51" t="b">
        <v>0</v>
      </c>
      <c r="N72" s="46"/>
      <c r="O72" s="46"/>
      <c r="P72" s="46"/>
      <c r="Q72" s="47"/>
      <c r="R72" s="47"/>
      <c r="S72" s="46"/>
      <c r="T72" s="46"/>
      <c r="U72" s="13"/>
      <c r="V72" s="13"/>
      <c r="W72" s="13"/>
      <c r="X72" s="13"/>
      <c r="Y72" s="13"/>
      <c r="Z72" s="13"/>
      <c r="AA72" s="13"/>
      <c r="AB72" s="13"/>
      <c r="AC72" s="13"/>
    </row>
    <row r="73" ht="16.5" hidden="1" customHeight="1">
      <c r="A73" s="35">
        <v>70.0</v>
      </c>
      <c r="B73" s="36" t="s">
        <v>600</v>
      </c>
      <c r="C73" s="37" t="s">
        <v>601</v>
      </c>
      <c r="D73" s="38" t="s">
        <v>602</v>
      </c>
      <c r="E73" s="38"/>
      <c r="F73" s="38" t="s">
        <v>603</v>
      </c>
      <c r="G73" s="39" t="s">
        <v>231</v>
      </c>
      <c r="H73" s="49" t="s">
        <v>64</v>
      </c>
      <c r="I73" s="39" t="s">
        <v>65</v>
      </c>
      <c r="J73" s="55"/>
      <c r="K73" s="55"/>
      <c r="L73" s="55"/>
      <c r="M73" s="51" t="b">
        <v>0</v>
      </c>
      <c r="N73" s="46"/>
      <c r="O73" s="46"/>
      <c r="P73" s="46"/>
      <c r="Q73" s="47"/>
      <c r="R73" s="47"/>
      <c r="S73" s="46"/>
      <c r="T73" s="46"/>
      <c r="U73" s="13"/>
      <c r="V73" s="13"/>
      <c r="W73" s="13"/>
      <c r="X73" s="13"/>
      <c r="Y73" s="13"/>
      <c r="Z73" s="13"/>
      <c r="AA73" s="13"/>
      <c r="AB73" s="13"/>
      <c r="AC73" s="13"/>
    </row>
    <row r="74" ht="16.5" hidden="1" customHeight="1">
      <c r="A74" s="35">
        <v>71.0</v>
      </c>
      <c r="B74" s="36" t="s">
        <v>604</v>
      </c>
      <c r="C74" s="37" t="s">
        <v>605</v>
      </c>
      <c r="D74" s="38" t="s">
        <v>606</v>
      </c>
      <c r="E74" s="38"/>
      <c r="F74" s="38" t="s">
        <v>607</v>
      </c>
      <c r="G74" s="48" t="s">
        <v>608</v>
      </c>
      <c r="H74" s="49" t="s">
        <v>50</v>
      </c>
      <c r="I74" s="39" t="s">
        <v>51</v>
      </c>
      <c r="J74" s="39" t="s">
        <v>609</v>
      </c>
      <c r="K74" s="42" t="s">
        <v>610</v>
      </c>
      <c r="L74" s="39" t="s">
        <v>611</v>
      </c>
      <c r="M74" s="51" t="b">
        <v>1</v>
      </c>
      <c r="N74" s="56" t="s">
        <v>612</v>
      </c>
      <c r="O74" s="68"/>
      <c r="P74" s="46"/>
      <c r="Q74" s="47"/>
      <c r="R74" s="47"/>
      <c r="S74" s="46"/>
      <c r="T74" s="46"/>
      <c r="U74" s="13"/>
      <c r="V74" s="13"/>
      <c r="W74" s="13"/>
      <c r="X74" s="13"/>
      <c r="Y74" s="13"/>
      <c r="Z74" s="13"/>
      <c r="AA74" s="13"/>
      <c r="AB74" s="13"/>
      <c r="AC74" s="13"/>
    </row>
    <row r="75" ht="16.5" hidden="1" customHeight="1">
      <c r="A75" s="35">
        <v>72.0</v>
      </c>
      <c r="B75" s="36" t="s">
        <v>613</v>
      </c>
      <c r="C75" s="37" t="s">
        <v>614</v>
      </c>
      <c r="D75" s="38" t="s">
        <v>615</v>
      </c>
      <c r="E75" s="38" t="s">
        <v>616</v>
      </c>
      <c r="F75" s="38" t="s">
        <v>617</v>
      </c>
      <c r="G75" s="39" t="s">
        <v>618</v>
      </c>
      <c r="H75" s="49" t="s">
        <v>50</v>
      </c>
      <c r="I75" s="39" t="s">
        <v>51</v>
      </c>
      <c r="J75" s="39" t="s">
        <v>619</v>
      </c>
      <c r="K75" s="42" t="s">
        <v>620</v>
      </c>
      <c r="L75" s="39" t="s">
        <v>621</v>
      </c>
      <c r="M75" s="51" t="b">
        <v>1</v>
      </c>
      <c r="N75" s="67" t="s">
        <v>622</v>
      </c>
      <c r="O75" s="98"/>
      <c r="P75" s="96" t="s">
        <v>623</v>
      </c>
      <c r="Q75" s="47"/>
      <c r="R75" s="47"/>
      <c r="S75" s="46"/>
      <c r="T75" s="46"/>
      <c r="U75" s="13"/>
      <c r="V75" s="13"/>
      <c r="W75" s="13"/>
      <c r="X75" s="13"/>
      <c r="Y75" s="13"/>
      <c r="Z75" s="13"/>
      <c r="AA75" s="13"/>
      <c r="AB75" s="13"/>
      <c r="AC75" s="13"/>
    </row>
    <row r="76" ht="16.5" hidden="1" customHeight="1">
      <c r="A76" s="35">
        <v>73.0</v>
      </c>
      <c r="B76" s="36" t="s">
        <v>624</v>
      </c>
      <c r="C76" s="37" t="s">
        <v>625</v>
      </c>
      <c r="D76" s="38" t="s">
        <v>626</v>
      </c>
      <c r="E76" s="38" t="s">
        <v>627</v>
      </c>
      <c r="F76" s="38" t="s">
        <v>628</v>
      </c>
      <c r="G76" s="39" t="s">
        <v>231</v>
      </c>
      <c r="H76" s="49" t="s">
        <v>50</v>
      </c>
      <c r="I76" s="57" t="s">
        <v>65</v>
      </c>
      <c r="J76" s="55"/>
      <c r="K76" s="55"/>
      <c r="L76" s="55"/>
      <c r="M76" s="51" t="b">
        <v>0</v>
      </c>
      <c r="N76" s="46"/>
      <c r="O76" s="46"/>
      <c r="P76" s="46"/>
      <c r="Q76" s="47"/>
      <c r="R76" s="47"/>
      <c r="S76" s="46"/>
      <c r="T76" s="46"/>
      <c r="U76" s="13"/>
      <c r="V76" s="13"/>
      <c r="W76" s="13"/>
      <c r="X76" s="13"/>
      <c r="Y76" s="13"/>
      <c r="Z76" s="13"/>
      <c r="AA76" s="13"/>
      <c r="AB76" s="13"/>
      <c r="AC76" s="13"/>
    </row>
    <row r="77" ht="16.5" hidden="1" customHeight="1">
      <c r="A77" s="35">
        <v>74.0</v>
      </c>
      <c r="B77" s="36" t="s">
        <v>629</v>
      </c>
      <c r="C77" s="37" t="s">
        <v>630</v>
      </c>
      <c r="D77" s="38" t="s">
        <v>631</v>
      </c>
      <c r="E77" s="38" t="s">
        <v>632</v>
      </c>
      <c r="F77" s="38" t="s">
        <v>633</v>
      </c>
      <c r="G77" s="39" t="s">
        <v>231</v>
      </c>
      <c r="H77" s="49" t="s">
        <v>50</v>
      </c>
      <c r="I77" s="57" t="s">
        <v>65</v>
      </c>
      <c r="J77" s="55"/>
      <c r="K77" s="55"/>
      <c r="L77" s="55"/>
      <c r="M77" s="51" t="b">
        <v>0</v>
      </c>
      <c r="N77" s="46"/>
      <c r="O77" s="46"/>
      <c r="P77" s="46"/>
      <c r="Q77" s="47"/>
      <c r="R77" s="47"/>
      <c r="S77" s="46"/>
      <c r="T77" s="46"/>
      <c r="U77" s="13"/>
      <c r="V77" s="13"/>
      <c r="W77" s="13"/>
      <c r="X77" s="13"/>
      <c r="Y77" s="13"/>
      <c r="Z77" s="13"/>
      <c r="AA77" s="13"/>
      <c r="AB77" s="13"/>
      <c r="AC77" s="13"/>
    </row>
    <row r="78" ht="16.5" hidden="1" customHeight="1">
      <c r="A78" s="35">
        <v>75.0</v>
      </c>
      <c r="B78" s="36" t="s">
        <v>634</v>
      </c>
      <c r="C78" s="37" t="s">
        <v>635</v>
      </c>
      <c r="D78" s="38" t="s">
        <v>636</v>
      </c>
      <c r="E78" s="38" t="s">
        <v>637</v>
      </c>
      <c r="F78" s="38" t="s">
        <v>638</v>
      </c>
      <c r="G78" s="39" t="s">
        <v>639</v>
      </c>
      <c r="H78" s="49" t="s">
        <v>50</v>
      </c>
      <c r="I78" s="39" t="s">
        <v>51</v>
      </c>
      <c r="J78" s="39" t="s">
        <v>84</v>
      </c>
      <c r="K78" s="42" t="s">
        <v>640</v>
      </c>
      <c r="L78" s="39" t="s">
        <v>641</v>
      </c>
      <c r="M78" s="51" t="b">
        <v>1</v>
      </c>
      <c r="N78" s="99" t="s">
        <v>108</v>
      </c>
      <c r="O78" s="68"/>
      <c r="P78" s="46"/>
      <c r="Q78" s="47"/>
      <c r="R78" s="47"/>
      <c r="S78" s="46"/>
      <c r="T78" s="46"/>
      <c r="U78" s="13"/>
      <c r="V78" s="13"/>
      <c r="W78" s="13"/>
      <c r="X78" s="13"/>
      <c r="Y78" s="13"/>
      <c r="Z78" s="13"/>
      <c r="AA78" s="13"/>
      <c r="AB78" s="13"/>
      <c r="AC78" s="13"/>
    </row>
    <row r="79" ht="16.5" hidden="1" customHeight="1">
      <c r="A79" s="35">
        <v>76.0</v>
      </c>
      <c r="B79" s="36" t="s">
        <v>642</v>
      </c>
      <c r="C79" s="37" t="s">
        <v>643</v>
      </c>
      <c r="D79" s="38" t="s">
        <v>644</v>
      </c>
      <c r="E79" s="38"/>
      <c r="F79" s="38" t="s">
        <v>645</v>
      </c>
      <c r="G79" s="39" t="s">
        <v>646</v>
      </c>
      <c r="H79" s="49" t="s">
        <v>50</v>
      </c>
      <c r="I79" s="39" t="s">
        <v>51</v>
      </c>
      <c r="J79" s="39" t="s">
        <v>647</v>
      </c>
      <c r="K79" s="42" t="s">
        <v>648</v>
      </c>
      <c r="L79" s="39" t="s">
        <v>649</v>
      </c>
      <c r="M79" s="51" t="b">
        <v>1</v>
      </c>
      <c r="N79" s="56" t="s">
        <v>650</v>
      </c>
      <c r="O79" s="68"/>
      <c r="P79" s="46"/>
      <c r="Q79" s="47"/>
      <c r="R79" s="47"/>
      <c r="S79" s="46"/>
      <c r="T79" s="46"/>
      <c r="U79" s="13"/>
      <c r="V79" s="13"/>
      <c r="W79" s="13"/>
      <c r="X79" s="13"/>
      <c r="Y79" s="13"/>
      <c r="Z79" s="13"/>
      <c r="AA79" s="13"/>
      <c r="AB79" s="13"/>
      <c r="AC79" s="13"/>
    </row>
    <row r="80" ht="16.5" hidden="1" customHeight="1">
      <c r="A80" s="35">
        <v>77.0</v>
      </c>
      <c r="B80" s="36" t="s">
        <v>651</v>
      </c>
      <c r="C80" s="37" t="s">
        <v>652</v>
      </c>
      <c r="D80" s="38" t="s">
        <v>653</v>
      </c>
      <c r="E80" s="38" t="s">
        <v>654</v>
      </c>
      <c r="F80" s="38" t="s">
        <v>196</v>
      </c>
      <c r="G80" s="48" t="s">
        <v>655</v>
      </c>
      <c r="H80" s="49" t="s">
        <v>50</v>
      </c>
      <c r="I80" s="39" t="s">
        <v>51</v>
      </c>
      <c r="J80" s="39" t="s">
        <v>656</v>
      </c>
      <c r="K80" s="42" t="s">
        <v>657</v>
      </c>
      <c r="L80" s="39" t="s">
        <v>658</v>
      </c>
      <c r="M80" s="51" t="b">
        <v>1</v>
      </c>
      <c r="N80" s="99" t="s">
        <v>659</v>
      </c>
      <c r="O80" s="68"/>
      <c r="P80" s="46"/>
      <c r="Q80" s="47"/>
      <c r="R80" s="47"/>
      <c r="S80" s="46"/>
      <c r="T80" s="46"/>
      <c r="U80" s="13"/>
      <c r="V80" s="13"/>
      <c r="W80" s="13"/>
      <c r="X80" s="13"/>
      <c r="Y80" s="13"/>
      <c r="Z80" s="13"/>
      <c r="AA80" s="13"/>
      <c r="AB80" s="13"/>
      <c r="AC80" s="13"/>
    </row>
    <row r="81" ht="16.5" hidden="1" customHeight="1">
      <c r="A81" s="35">
        <v>78.0</v>
      </c>
      <c r="B81" s="36" t="s">
        <v>660</v>
      </c>
      <c r="C81" s="37" t="s">
        <v>661</v>
      </c>
      <c r="D81" s="38" t="s">
        <v>662</v>
      </c>
      <c r="E81" s="38" t="s">
        <v>663</v>
      </c>
      <c r="F81" s="38" t="s">
        <v>664</v>
      </c>
      <c r="G81" s="39" t="s">
        <v>665</v>
      </c>
      <c r="H81" s="49" t="s">
        <v>50</v>
      </c>
      <c r="I81" s="39" t="s">
        <v>51</v>
      </c>
      <c r="J81" s="39" t="s">
        <v>84</v>
      </c>
      <c r="K81" s="42" t="s">
        <v>666</v>
      </c>
      <c r="L81" s="39" t="s">
        <v>667</v>
      </c>
      <c r="M81" s="51" t="b">
        <v>1</v>
      </c>
      <c r="N81" s="86" t="s">
        <v>668</v>
      </c>
      <c r="O81" s="98"/>
      <c r="P81" s="96" t="s">
        <v>669</v>
      </c>
      <c r="Q81" s="47"/>
      <c r="R81" s="47"/>
      <c r="S81" s="46"/>
      <c r="T81" s="46"/>
      <c r="U81" s="13"/>
      <c r="V81" s="13"/>
      <c r="W81" s="13"/>
      <c r="X81" s="13"/>
      <c r="Y81" s="13"/>
      <c r="Z81" s="13"/>
      <c r="AA81" s="13"/>
      <c r="AB81" s="13"/>
      <c r="AC81" s="13"/>
    </row>
    <row r="82" ht="16.5" hidden="1" customHeight="1">
      <c r="A82" s="35">
        <v>79.0</v>
      </c>
      <c r="B82" s="36" t="s">
        <v>670</v>
      </c>
      <c r="C82" s="37" t="s">
        <v>671</v>
      </c>
      <c r="D82" s="38" t="s">
        <v>672</v>
      </c>
      <c r="E82" s="38"/>
      <c r="F82" s="38" t="s">
        <v>673</v>
      </c>
      <c r="G82" s="39" t="s">
        <v>674</v>
      </c>
      <c r="H82" s="49" t="s">
        <v>50</v>
      </c>
      <c r="I82" s="39" t="s">
        <v>51</v>
      </c>
      <c r="J82" s="39" t="s">
        <v>675</v>
      </c>
      <c r="K82" s="42" t="s">
        <v>640</v>
      </c>
      <c r="L82" s="39" t="s">
        <v>676</v>
      </c>
      <c r="M82" s="51" t="b">
        <v>1</v>
      </c>
      <c r="N82" s="56" t="s">
        <v>677</v>
      </c>
      <c r="O82" s="68"/>
      <c r="P82" s="46" t="s">
        <v>678</v>
      </c>
      <c r="Q82" s="47"/>
      <c r="R82" s="47"/>
      <c r="S82" s="46"/>
      <c r="T82" s="46"/>
      <c r="U82" s="13"/>
      <c r="V82" s="13"/>
      <c r="W82" s="13"/>
      <c r="X82" s="13"/>
      <c r="Y82" s="13"/>
      <c r="Z82" s="13"/>
      <c r="AA82" s="13"/>
      <c r="AB82" s="13"/>
      <c r="AC82" s="13"/>
    </row>
    <row r="83" ht="16.5" hidden="1" customHeight="1">
      <c r="A83" s="35">
        <v>80.0</v>
      </c>
      <c r="B83" s="36" t="s">
        <v>679</v>
      </c>
      <c r="C83" s="37" t="s">
        <v>680</v>
      </c>
      <c r="D83" s="38" t="s">
        <v>681</v>
      </c>
      <c r="E83" s="38" t="s">
        <v>682</v>
      </c>
      <c r="F83" s="38" t="s">
        <v>683</v>
      </c>
      <c r="G83" s="39" t="s">
        <v>684</v>
      </c>
      <c r="H83" s="49" t="s">
        <v>50</v>
      </c>
      <c r="I83" s="85" t="s">
        <v>51</v>
      </c>
      <c r="J83" s="39" t="s">
        <v>550</v>
      </c>
      <c r="K83" s="94" t="s">
        <v>574</v>
      </c>
      <c r="L83" s="93" t="s">
        <v>685</v>
      </c>
      <c r="M83" s="51" t="b">
        <v>1</v>
      </c>
      <c r="N83" s="56" t="s">
        <v>686</v>
      </c>
      <c r="O83" s="45" t="s">
        <v>687</v>
      </c>
      <c r="P83" s="46"/>
      <c r="Q83" s="47"/>
      <c r="R83" s="47"/>
      <c r="S83" s="46"/>
      <c r="T83" s="46"/>
      <c r="U83" s="13"/>
      <c r="V83" s="13"/>
      <c r="W83" s="13"/>
      <c r="X83" s="13"/>
      <c r="Y83" s="13"/>
      <c r="Z83" s="13"/>
      <c r="AA83" s="13"/>
      <c r="AB83" s="13"/>
      <c r="AC83" s="13"/>
    </row>
    <row r="84" ht="16.5" hidden="1" customHeight="1">
      <c r="A84" s="35">
        <v>81.0</v>
      </c>
      <c r="B84" s="36" t="s">
        <v>688</v>
      </c>
      <c r="C84" s="37" t="s">
        <v>689</v>
      </c>
      <c r="D84" s="38" t="s">
        <v>690</v>
      </c>
      <c r="E84" s="38"/>
      <c r="F84" s="38" t="s">
        <v>691</v>
      </c>
      <c r="G84" s="39" t="s">
        <v>692</v>
      </c>
      <c r="H84" s="49" t="s">
        <v>38</v>
      </c>
      <c r="I84" s="57" t="s">
        <v>51</v>
      </c>
      <c r="J84" s="58" t="s">
        <v>693</v>
      </c>
      <c r="K84" s="66" t="s">
        <v>694</v>
      </c>
      <c r="L84" s="58" t="s">
        <v>695</v>
      </c>
      <c r="M84" s="51" t="b">
        <v>1</v>
      </c>
      <c r="N84" s="67" t="s">
        <v>696</v>
      </c>
      <c r="O84" s="56" t="s">
        <v>697</v>
      </c>
      <c r="P84" s="46"/>
      <c r="Q84" s="47"/>
      <c r="R84" s="47"/>
      <c r="S84" s="46"/>
      <c r="T84" s="46"/>
      <c r="U84" s="13"/>
      <c r="V84" s="13"/>
      <c r="W84" s="13"/>
      <c r="X84" s="13"/>
      <c r="Y84" s="13"/>
      <c r="Z84" s="13"/>
      <c r="AA84" s="13"/>
      <c r="AB84" s="13"/>
      <c r="AC84" s="13"/>
    </row>
    <row r="85" ht="16.5" hidden="1" customHeight="1">
      <c r="A85" s="35">
        <v>82.0</v>
      </c>
      <c r="B85" s="36" t="s">
        <v>698</v>
      </c>
      <c r="C85" s="37" t="s">
        <v>699</v>
      </c>
      <c r="D85" s="38" t="s">
        <v>700</v>
      </c>
      <c r="E85" s="38" t="s">
        <v>701</v>
      </c>
      <c r="F85" s="38" t="s">
        <v>702</v>
      </c>
      <c r="G85" s="39" t="s">
        <v>703</v>
      </c>
      <c r="H85" s="49" t="s">
        <v>38</v>
      </c>
      <c r="I85" s="39" t="s">
        <v>51</v>
      </c>
      <c r="J85" s="65" t="s">
        <v>153</v>
      </c>
      <c r="K85" s="66" t="s">
        <v>124</v>
      </c>
      <c r="L85" s="58" t="s">
        <v>704</v>
      </c>
      <c r="M85" s="51" t="b">
        <v>1</v>
      </c>
      <c r="N85" s="67" t="s">
        <v>501</v>
      </c>
      <c r="O85" s="68"/>
      <c r="P85" s="46"/>
      <c r="Q85" s="47"/>
      <c r="R85" s="47"/>
      <c r="S85" s="46"/>
      <c r="T85" s="46"/>
      <c r="U85" s="13"/>
      <c r="V85" s="13"/>
      <c r="W85" s="13"/>
      <c r="X85" s="13"/>
      <c r="Y85" s="13"/>
      <c r="Z85" s="13"/>
      <c r="AA85" s="13"/>
      <c r="AB85" s="13"/>
      <c r="AC85" s="13"/>
    </row>
    <row r="86" ht="16.5" hidden="1" customHeight="1">
      <c r="A86" s="35">
        <v>83.0</v>
      </c>
      <c r="B86" s="36" t="s">
        <v>705</v>
      </c>
      <c r="C86" s="37" t="s">
        <v>706</v>
      </c>
      <c r="D86" s="38" t="s">
        <v>707</v>
      </c>
      <c r="E86" s="38"/>
      <c r="F86" s="38" t="s">
        <v>708</v>
      </c>
      <c r="G86" s="39" t="s">
        <v>231</v>
      </c>
      <c r="H86" s="49" t="s">
        <v>64</v>
      </c>
      <c r="I86" s="39" t="s">
        <v>65</v>
      </c>
      <c r="J86" s="55"/>
      <c r="K86" s="55"/>
      <c r="L86" s="55"/>
      <c r="M86" s="51" t="b">
        <v>0</v>
      </c>
      <c r="N86" s="46"/>
      <c r="O86" s="46"/>
      <c r="P86" s="46"/>
      <c r="Q86" s="47"/>
      <c r="R86" s="47"/>
      <c r="S86" s="46"/>
      <c r="T86" s="46"/>
      <c r="U86" s="13"/>
      <c r="V86" s="13"/>
      <c r="W86" s="13"/>
      <c r="X86" s="13"/>
      <c r="Y86" s="13"/>
      <c r="Z86" s="13"/>
      <c r="AA86" s="13"/>
      <c r="AB86" s="13"/>
      <c r="AC86" s="13"/>
    </row>
    <row r="87" ht="16.5" hidden="1" customHeight="1">
      <c r="A87" s="35">
        <v>84.0</v>
      </c>
      <c r="B87" s="36" t="s">
        <v>709</v>
      </c>
      <c r="C87" s="37" t="s">
        <v>710</v>
      </c>
      <c r="D87" s="38" t="s">
        <v>711</v>
      </c>
      <c r="E87" s="38"/>
      <c r="F87" s="38" t="s">
        <v>712</v>
      </c>
      <c r="G87" s="39" t="s">
        <v>231</v>
      </c>
      <c r="H87" s="49" t="s">
        <v>64</v>
      </c>
      <c r="I87" s="39" t="s">
        <v>65</v>
      </c>
      <c r="J87" s="55"/>
      <c r="K87" s="55"/>
      <c r="L87" s="55"/>
      <c r="M87" s="51" t="b">
        <v>0</v>
      </c>
      <c r="N87" s="46"/>
      <c r="O87" s="46"/>
      <c r="P87" s="46"/>
      <c r="Q87" s="47"/>
      <c r="R87" s="47"/>
      <c r="S87" s="46"/>
      <c r="T87" s="46"/>
      <c r="U87" s="13"/>
      <c r="V87" s="13"/>
      <c r="W87" s="13"/>
      <c r="X87" s="13"/>
      <c r="Y87" s="13"/>
      <c r="Z87" s="13"/>
      <c r="AA87" s="13"/>
      <c r="AB87" s="13"/>
      <c r="AC87" s="13"/>
    </row>
    <row r="88" ht="16.5" hidden="1" customHeight="1">
      <c r="A88" s="35">
        <v>85.0</v>
      </c>
      <c r="B88" s="36" t="s">
        <v>713</v>
      </c>
      <c r="C88" s="37" t="s">
        <v>714</v>
      </c>
      <c r="D88" s="38" t="s">
        <v>715</v>
      </c>
      <c r="E88" s="38" t="s">
        <v>716</v>
      </c>
      <c r="F88" s="38" t="s">
        <v>717</v>
      </c>
      <c r="G88" s="48" t="s">
        <v>718</v>
      </c>
      <c r="H88" s="49" t="s">
        <v>50</v>
      </c>
      <c r="I88" s="39" t="s">
        <v>51</v>
      </c>
      <c r="J88" s="39" t="s">
        <v>719</v>
      </c>
      <c r="K88" s="42" t="s">
        <v>720</v>
      </c>
      <c r="L88" s="39" t="s">
        <v>721</v>
      </c>
      <c r="M88" s="51" t="b">
        <v>1</v>
      </c>
      <c r="N88" s="67" t="s">
        <v>722</v>
      </c>
      <c r="O88" s="98"/>
      <c r="P88" s="96" t="s">
        <v>723</v>
      </c>
      <c r="Q88" s="47"/>
      <c r="R88" s="47"/>
      <c r="S88" s="46"/>
      <c r="T88" s="46"/>
      <c r="U88" s="13"/>
      <c r="V88" s="13"/>
      <c r="W88" s="13"/>
      <c r="X88" s="13"/>
      <c r="Y88" s="13"/>
      <c r="Z88" s="13"/>
      <c r="AA88" s="13"/>
      <c r="AB88" s="13"/>
      <c r="AC88" s="13"/>
    </row>
    <row r="89" ht="16.5" hidden="1" customHeight="1">
      <c r="A89" s="35">
        <v>86.0</v>
      </c>
      <c r="B89" s="36" t="s">
        <v>724</v>
      </c>
      <c r="C89" s="37" t="s">
        <v>725</v>
      </c>
      <c r="D89" s="38" t="s">
        <v>726</v>
      </c>
      <c r="E89" s="38"/>
      <c r="F89" s="38" t="s">
        <v>727</v>
      </c>
      <c r="G89" s="39" t="s">
        <v>231</v>
      </c>
      <c r="H89" s="49" t="s">
        <v>64</v>
      </c>
      <c r="I89" s="39" t="s">
        <v>65</v>
      </c>
      <c r="J89" s="55"/>
      <c r="K89" s="55"/>
      <c r="L89" s="55"/>
      <c r="M89" s="51" t="b">
        <v>0</v>
      </c>
      <c r="N89" s="46"/>
      <c r="O89" s="46"/>
      <c r="P89" s="46"/>
      <c r="Q89" s="47"/>
      <c r="R89" s="47"/>
      <c r="S89" s="46"/>
      <c r="T89" s="46"/>
      <c r="U89" s="13"/>
      <c r="V89" s="13"/>
      <c r="W89" s="13"/>
      <c r="X89" s="13"/>
      <c r="Y89" s="13"/>
      <c r="Z89" s="13"/>
      <c r="AA89" s="13"/>
      <c r="AB89" s="13"/>
      <c r="AC89" s="13"/>
    </row>
    <row r="90" ht="16.5" hidden="1" customHeight="1">
      <c r="A90" s="35">
        <v>87.0</v>
      </c>
      <c r="B90" s="36" t="s">
        <v>728</v>
      </c>
      <c r="C90" s="37" t="s">
        <v>729</v>
      </c>
      <c r="D90" s="38" t="s">
        <v>730</v>
      </c>
      <c r="E90" s="38"/>
      <c r="F90" s="38" t="s">
        <v>731</v>
      </c>
      <c r="G90" s="39" t="s">
        <v>231</v>
      </c>
      <c r="H90" s="49" t="s">
        <v>64</v>
      </c>
      <c r="I90" s="39" t="s">
        <v>65</v>
      </c>
      <c r="J90" s="55"/>
      <c r="K90" s="55"/>
      <c r="L90" s="55"/>
      <c r="M90" s="51" t="b">
        <v>0</v>
      </c>
      <c r="N90" s="46"/>
      <c r="O90" s="46"/>
      <c r="P90" s="46"/>
      <c r="Q90" s="47"/>
      <c r="R90" s="47"/>
      <c r="S90" s="46"/>
      <c r="T90" s="46"/>
      <c r="U90" s="13"/>
      <c r="V90" s="13"/>
      <c r="W90" s="13"/>
      <c r="X90" s="13"/>
      <c r="Y90" s="13"/>
      <c r="Z90" s="13"/>
      <c r="AA90" s="13"/>
      <c r="AB90" s="13"/>
      <c r="AC90" s="13"/>
    </row>
    <row r="91" ht="16.5" hidden="1" customHeight="1">
      <c r="A91" s="35">
        <v>88.0</v>
      </c>
      <c r="B91" s="36" t="s">
        <v>732</v>
      </c>
      <c r="C91" s="37" t="s">
        <v>733</v>
      </c>
      <c r="D91" s="38" t="s">
        <v>734</v>
      </c>
      <c r="E91" s="38"/>
      <c r="F91" s="38" t="s">
        <v>735</v>
      </c>
      <c r="G91" s="39" t="s">
        <v>231</v>
      </c>
      <c r="H91" s="49" t="s">
        <v>64</v>
      </c>
      <c r="I91" s="39" t="s">
        <v>65</v>
      </c>
      <c r="J91" s="55"/>
      <c r="K91" s="55"/>
      <c r="L91" s="55"/>
      <c r="M91" s="51" t="b">
        <v>0</v>
      </c>
      <c r="N91" s="46"/>
      <c r="O91" s="46"/>
      <c r="P91" s="46"/>
      <c r="Q91" s="47"/>
      <c r="R91" s="47"/>
      <c r="S91" s="46"/>
      <c r="T91" s="46"/>
      <c r="U91" s="13"/>
      <c r="V91" s="13"/>
      <c r="W91" s="13"/>
      <c r="X91" s="13"/>
      <c r="Y91" s="13"/>
      <c r="Z91" s="13"/>
      <c r="AA91" s="13"/>
      <c r="AB91" s="13"/>
      <c r="AC91" s="13"/>
    </row>
    <row r="92" ht="16.5" hidden="1" customHeight="1">
      <c r="A92" s="35">
        <v>89.0</v>
      </c>
      <c r="B92" s="36" t="s">
        <v>736</v>
      </c>
      <c r="C92" s="37" t="s">
        <v>737</v>
      </c>
      <c r="D92" s="38" t="s">
        <v>738</v>
      </c>
      <c r="E92" s="38"/>
      <c r="F92" s="38" t="s">
        <v>735</v>
      </c>
      <c r="G92" s="39" t="s">
        <v>231</v>
      </c>
      <c r="H92" s="49" t="s">
        <v>64</v>
      </c>
      <c r="I92" s="39" t="s">
        <v>65</v>
      </c>
      <c r="J92" s="55"/>
      <c r="K92" s="55"/>
      <c r="L92" s="55"/>
      <c r="M92" s="51" t="b">
        <v>0</v>
      </c>
      <c r="N92" s="46"/>
      <c r="O92" s="46"/>
      <c r="P92" s="46"/>
      <c r="Q92" s="47"/>
      <c r="R92" s="47"/>
      <c r="S92" s="46"/>
      <c r="T92" s="46"/>
      <c r="U92" s="13"/>
      <c r="V92" s="13"/>
      <c r="W92" s="13"/>
      <c r="X92" s="13"/>
      <c r="Y92" s="13"/>
      <c r="Z92" s="13"/>
      <c r="AA92" s="13"/>
      <c r="AB92" s="13"/>
      <c r="AC92" s="13"/>
    </row>
    <row r="93" ht="16.5" hidden="1" customHeight="1">
      <c r="A93" s="35">
        <v>90.0</v>
      </c>
      <c r="B93" s="36" t="s">
        <v>739</v>
      </c>
      <c r="C93" s="37" t="s">
        <v>740</v>
      </c>
      <c r="D93" s="38" t="s">
        <v>741</v>
      </c>
      <c r="E93" s="38"/>
      <c r="F93" s="38" t="s">
        <v>742</v>
      </c>
      <c r="G93" s="39" t="s">
        <v>743</v>
      </c>
      <c r="H93" s="49" t="s">
        <v>50</v>
      </c>
      <c r="I93" s="39" t="s">
        <v>51</v>
      </c>
      <c r="J93" s="39" t="s">
        <v>719</v>
      </c>
      <c r="K93" s="42" t="s">
        <v>744</v>
      </c>
      <c r="L93" s="39" t="s">
        <v>745</v>
      </c>
      <c r="M93" s="51" t="b">
        <v>1</v>
      </c>
      <c r="N93" s="56" t="s">
        <v>746</v>
      </c>
      <c r="O93" s="45" t="s">
        <v>739</v>
      </c>
      <c r="P93" s="46"/>
      <c r="Q93" s="47"/>
      <c r="R93" s="47"/>
      <c r="S93" s="46"/>
      <c r="T93" s="46"/>
      <c r="U93" s="13"/>
      <c r="V93" s="13"/>
      <c r="W93" s="13"/>
      <c r="X93" s="13"/>
      <c r="Y93" s="13"/>
      <c r="Z93" s="13"/>
      <c r="AA93" s="13"/>
      <c r="AB93" s="13"/>
      <c r="AC93" s="13"/>
    </row>
    <row r="94" ht="16.5" hidden="1" customHeight="1">
      <c r="A94" s="35">
        <v>91.0</v>
      </c>
      <c r="B94" s="100" t="s">
        <v>747</v>
      </c>
      <c r="C94" s="37" t="s">
        <v>748</v>
      </c>
      <c r="D94" s="38" t="s">
        <v>749</v>
      </c>
      <c r="E94" s="38"/>
      <c r="F94" s="38" t="s">
        <v>750</v>
      </c>
      <c r="G94" s="48" t="s">
        <v>751</v>
      </c>
      <c r="H94" s="49" t="s">
        <v>752</v>
      </c>
      <c r="I94" s="57" t="s">
        <v>752</v>
      </c>
      <c r="J94" s="55"/>
      <c r="K94" s="55"/>
      <c r="L94" s="55"/>
      <c r="M94" s="51" t="b">
        <v>0</v>
      </c>
      <c r="N94" s="46"/>
      <c r="O94" s="46"/>
      <c r="P94" s="46"/>
      <c r="Q94" s="47"/>
      <c r="R94" s="47"/>
      <c r="S94" s="46"/>
      <c r="T94" s="46"/>
      <c r="U94" s="13"/>
      <c r="V94" s="13"/>
      <c r="W94" s="13"/>
      <c r="X94" s="13"/>
      <c r="Y94" s="13"/>
      <c r="Z94" s="13"/>
      <c r="AA94" s="13"/>
      <c r="AB94" s="13"/>
      <c r="AC94" s="13"/>
    </row>
    <row r="95" ht="16.5" hidden="1" customHeight="1">
      <c r="A95" s="35">
        <v>92.0</v>
      </c>
      <c r="B95" s="100" t="s">
        <v>753</v>
      </c>
      <c r="C95" s="37" t="s">
        <v>754</v>
      </c>
      <c r="D95" s="38" t="s">
        <v>755</v>
      </c>
      <c r="E95" s="38"/>
      <c r="F95" s="38" t="s">
        <v>756</v>
      </c>
      <c r="G95" s="39" t="s">
        <v>231</v>
      </c>
      <c r="H95" s="49" t="s">
        <v>64</v>
      </c>
      <c r="I95" s="39" t="s">
        <v>65</v>
      </c>
      <c r="J95" s="55"/>
      <c r="K95" s="55"/>
      <c r="L95" s="55"/>
      <c r="M95" s="51" t="b">
        <v>0</v>
      </c>
      <c r="N95" s="46"/>
      <c r="O95" s="46"/>
      <c r="P95" s="46"/>
      <c r="Q95" s="47"/>
      <c r="R95" s="47"/>
      <c r="S95" s="46"/>
      <c r="T95" s="46"/>
      <c r="U95" s="13"/>
      <c r="V95" s="13"/>
      <c r="W95" s="13"/>
      <c r="X95" s="13"/>
      <c r="Y95" s="13"/>
      <c r="Z95" s="13"/>
      <c r="AA95" s="13"/>
      <c r="AB95" s="13"/>
      <c r="AC95" s="13"/>
    </row>
    <row r="96" ht="16.5" hidden="1" customHeight="1">
      <c r="A96" s="35">
        <v>93.0</v>
      </c>
      <c r="B96" s="100" t="s">
        <v>757</v>
      </c>
      <c r="C96" s="37" t="s">
        <v>758</v>
      </c>
      <c r="D96" s="38" t="s">
        <v>759</v>
      </c>
      <c r="E96" s="38" t="s">
        <v>760</v>
      </c>
      <c r="F96" s="38" t="s">
        <v>761</v>
      </c>
      <c r="G96" s="39" t="s">
        <v>231</v>
      </c>
      <c r="H96" s="49" t="s">
        <v>64</v>
      </c>
      <c r="I96" s="39" t="s">
        <v>65</v>
      </c>
      <c r="J96" s="55"/>
      <c r="K96" s="55"/>
      <c r="L96" s="55"/>
      <c r="M96" s="51" t="b">
        <v>0</v>
      </c>
      <c r="N96" s="46"/>
      <c r="O96" s="46"/>
      <c r="P96" s="46"/>
      <c r="Q96" s="47"/>
      <c r="R96" s="47"/>
      <c r="S96" s="46"/>
      <c r="T96" s="46"/>
      <c r="U96" s="13"/>
      <c r="V96" s="13"/>
      <c r="W96" s="13"/>
      <c r="X96" s="13"/>
      <c r="Y96" s="13"/>
      <c r="Z96" s="13"/>
      <c r="AA96" s="13"/>
      <c r="AB96" s="13"/>
      <c r="AC96" s="13"/>
    </row>
    <row r="97" ht="16.5" hidden="1" customHeight="1">
      <c r="A97" s="35">
        <v>94.0</v>
      </c>
      <c r="B97" s="100" t="s">
        <v>762</v>
      </c>
      <c r="C97" s="37" t="s">
        <v>763</v>
      </c>
      <c r="D97" s="38" t="s">
        <v>764</v>
      </c>
      <c r="E97" s="38"/>
      <c r="F97" s="38" t="s">
        <v>765</v>
      </c>
      <c r="G97" s="39" t="s">
        <v>231</v>
      </c>
      <c r="H97" s="49" t="s">
        <v>64</v>
      </c>
      <c r="I97" s="39" t="s">
        <v>65</v>
      </c>
      <c r="J97" s="55"/>
      <c r="K97" s="55"/>
      <c r="L97" s="55"/>
      <c r="M97" s="51" t="b">
        <v>0</v>
      </c>
      <c r="N97" s="46"/>
      <c r="O97" s="46"/>
      <c r="P97" s="46"/>
      <c r="Q97" s="47"/>
      <c r="R97" s="47"/>
      <c r="S97" s="46"/>
      <c r="T97" s="46"/>
      <c r="U97" s="13"/>
      <c r="V97" s="13"/>
      <c r="W97" s="13"/>
      <c r="X97" s="13"/>
      <c r="Y97" s="13"/>
      <c r="Z97" s="13"/>
      <c r="AA97" s="13"/>
      <c r="AB97" s="13"/>
      <c r="AC97" s="13"/>
    </row>
    <row r="98" ht="16.5" hidden="1" customHeight="1">
      <c r="A98" s="35">
        <v>95.0</v>
      </c>
      <c r="B98" s="36" t="s">
        <v>766</v>
      </c>
      <c r="C98" s="37" t="s">
        <v>767</v>
      </c>
      <c r="D98" s="38" t="s">
        <v>768</v>
      </c>
      <c r="E98" s="38" t="s">
        <v>769</v>
      </c>
      <c r="F98" s="38" t="s">
        <v>770</v>
      </c>
      <c r="G98" s="48" t="s">
        <v>771</v>
      </c>
      <c r="H98" s="49" t="s">
        <v>50</v>
      </c>
      <c r="I98" s="39" t="s">
        <v>51</v>
      </c>
      <c r="J98" s="39" t="s">
        <v>772</v>
      </c>
      <c r="K98" s="42" t="s">
        <v>773</v>
      </c>
      <c r="L98" s="39" t="s">
        <v>774</v>
      </c>
      <c r="M98" s="51" t="b">
        <v>1</v>
      </c>
      <c r="N98" s="67" t="s">
        <v>775</v>
      </c>
      <c r="O98" s="98"/>
      <c r="P98" s="96" t="s">
        <v>776</v>
      </c>
      <c r="Q98" s="47"/>
      <c r="R98" s="47"/>
      <c r="S98" s="46"/>
      <c r="T98" s="46"/>
      <c r="U98" s="13"/>
      <c r="V98" s="13"/>
      <c r="W98" s="13"/>
      <c r="X98" s="13"/>
      <c r="Y98" s="13"/>
      <c r="Z98" s="13"/>
      <c r="AA98" s="13"/>
      <c r="AB98" s="13"/>
      <c r="AC98" s="13"/>
    </row>
    <row r="99" ht="16.5" hidden="1" customHeight="1">
      <c r="A99" s="35">
        <v>96.0</v>
      </c>
      <c r="B99" s="100" t="s">
        <v>777</v>
      </c>
      <c r="C99" s="37" t="s">
        <v>778</v>
      </c>
      <c r="D99" s="38" t="s">
        <v>779</v>
      </c>
      <c r="E99" s="38"/>
      <c r="F99" s="38" t="s">
        <v>780</v>
      </c>
      <c r="G99" s="39" t="s">
        <v>231</v>
      </c>
      <c r="H99" s="49" t="s">
        <v>64</v>
      </c>
      <c r="I99" s="39" t="s">
        <v>65</v>
      </c>
      <c r="J99" s="55"/>
      <c r="K99" s="55"/>
      <c r="L99" s="55"/>
      <c r="M99" s="51" t="b">
        <v>0</v>
      </c>
      <c r="N99" s="46"/>
      <c r="O99" s="46"/>
      <c r="P99" s="46"/>
      <c r="Q99" s="47"/>
      <c r="R99" s="47"/>
      <c r="S99" s="46"/>
      <c r="T99" s="46"/>
      <c r="U99" s="13"/>
      <c r="V99" s="13"/>
      <c r="W99" s="13"/>
      <c r="X99" s="13"/>
      <c r="Y99" s="13"/>
      <c r="Z99" s="13"/>
      <c r="AA99" s="13"/>
      <c r="AB99" s="13"/>
      <c r="AC99" s="13"/>
    </row>
    <row r="100" ht="16.5" hidden="1" customHeight="1">
      <c r="A100" s="35">
        <v>97.0</v>
      </c>
      <c r="B100" s="36" t="s">
        <v>781</v>
      </c>
      <c r="C100" s="37" t="s">
        <v>782</v>
      </c>
      <c r="D100" s="38" t="s">
        <v>783</v>
      </c>
      <c r="E100" s="38"/>
      <c r="F100" s="38" t="s">
        <v>784</v>
      </c>
      <c r="G100" s="39" t="s">
        <v>785</v>
      </c>
      <c r="H100" s="49" t="s">
        <v>50</v>
      </c>
      <c r="I100" s="39" t="s">
        <v>51</v>
      </c>
      <c r="J100" s="39" t="s">
        <v>786</v>
      </c>
      <c r="K100" s="66" t="s">
        <v>238</v>
      </c>
      <c r="L100" s="39" t="s">
        <v>787</v>
      </c>
      <c r="M100" s="51" t="b">
        <v>1</v>
      </c>
      <c r="N100" s="86" t="s">
        <v>292</v>
      </c>
      <c r="O100" s="68"/>
      <c r="P100" s="46"/>
      <c r="Q100" s="47"/>
      <c r="R100" s="47"/>
      <c r="S100" s="46"/>
      <c r="T100" s="46"/>
      <c r="U100" s="13"/>
      <c r="V100" s="13"/>
      <c r="W100" s="13"/>
      <c r="X100" s="13"/>
      <c r="Y100" s="13"/>
      <c r="Z100" s="13"/>
      <c r="AA100" s="13"/>
      <c r="AB100" s="13"/>
      <c r="AC100" s="13"/>
    </row>
    <row r="101" ht="16.5" hidden="1" customHeight="1">
      <c r="A101" s="35">
        <v>98.0</v>
      </c>
      <c r="B101" s="36" t="s">
        <v>788</v>
      </c>
      <c r="C101" s="37" t="s">
        <v>789</v>
      </c>
      <c r="D101" s="38" t="s">
        <v>790</v>
      </c>
      <c r="E101" s="38" t="s">
        <v>791</v>
      </c>
      <c r="F101" s="38" t="s">
        <v>792</v>
      </c>
      <c r="G101" s="48" t="s">
        <v>793</v>
      </c>
      <c r="H101" s="49" t="s">
        <v>64</v>
      </c>
      <c r="I101" s="57" t="s">
        <v>65</v>
      </c>
      <c r="J101" s="55"/>
      <c r="K101" s="55"/>
      <c r="L101" s="55"/>
      <c r="M101" s="51" t="b">
        <v>0</v>
      </c>
      <c r="N101" s="46"/>
      <c r="O101" s="46"/>
      <c r="P101" s="46"/>
      <c r="Q101" s="47"/>
      <c r="R101" s="47"/>
      <c r="S101" s="46"/>
      <c r="T101" s="46"/>
      <c r="U101" s="13"/>
      <c r="V101" s="13"/>
      <c r="W101" s="13"/>
      <c r="X101" s="13"/>
      <c r="Y101" s="13"/>
      <c r="Z101" s="13"/>
      <c r="AA101" s="13"/>
      <c r="AB101" s="13"/>
      <c r="AC101" s="13"/>
    </row>
    <row r="102" ht="16.5" hidden="1" customHeight="1">
      <c r="A102" s="35">
        <v>99.0</v>
      </c>
      <c r="B102" s="36" t="s">
        <v>794</v>
      </c>
      <c r="C102" s="37" t="s">
        <v>795</v>
      </c>
      <c r="D102" s="38" t="s">
        <v>796</v>
      </c>
      <c r="E102" s="38"/>
      <c r="F102" s="38" t="s">
        <v>797</v>
      </c>
      <c r="G102" s="39" t="s">
        <v>798</v>
      </c>
      <c r="H102" s="49" t="s">
        <v>50</v>
      </c>
      <c r="I102" s="39" t="s">
        <v>51</v>
      </c>
      <c r="J102" s="39" t="s">
        <v>786</v>
      </c>
      <c r="K102" s="66" t="s">
        <v>799</v>
      </c>
      <c r="L102" s="58" t="s">
        <v>800</v>
      </c>
      <c r="M102" s="51" t="b">
        <v>1</v>
      </c>
      <c r="N102" s="56" t="s">
        <v>801</v>
      </c>
      <c r="O102" s="68"/>
      <c r="P102" s="46"/>
      <c r="Q102" s="47"/>
      <c r="R102" s="47"/>
      <c r="S102" s="46"/>
      <c r="T102" s="46"/>
      <c r="U102" s="13"/>
      <c r="V102" s="13"/>
      <c r="W102" s="13"/>
      <c r="X102" s="13"/>
      <c r="Y102" s="13"/>
      <c r="Z102" s="13"/>
      <c r="AA102" s="13"/>
      <c r="AB102" s="13"/>
      <c r="AC102" s="13"/>
    </row>
    <row r="103" ht="16.5" hidden="1" customHeight="1">
      <c r="A103" s="35">
        <v>100.0</v>
      </c>
      <c r="B103" s="36" t="s">
        <v>802</v>
      </c>
      <c r="C103" s="37" t="s">
        <v>803</v>
      </c>
      <c r="D103" s="38" t="s">
        <v>804</v>
      </c>
      <c r="E103" s="38" t="s">
        <v>805</v>
      </c>
      <c r="F103" s="38" t="s">
        <v>460</v>
      </c>
      <c r="G103" s="48" t="s">
        <v>806</v>
      </c>
      <c r="H103" s="49" t="s">
        <v>50</v>
      </c>
      <c r="I103" s="39" t="s">
        <v>51</v>
      </c>
      <c r="J103" s="90" t="s">
        <v>461</v>
      </c>
      <c r="K103" s="91" t="s">
        <v>462</v>
      </c>
      <c r="L103" s="92" t="s">
        <v>463</v>
      </c>
      <c r="M103" s="51" t="b">
        <v>1</v>
      </c>
      <c r="N103" s="56" t="s">
        <v>464</v>
      </c>
      <c r="O103" s="68"/>
      <c r="P103" s="46"/>
      <c r="Q103" s="47"/>
      <c r="R103" s="47"/>
      <c r="S103" s="46"/>
      <c r="T103" s="46"/>
      <c r="U103" s="13"/>
      <c r="V103" s="13"/>
      <c r="W103" s="13"/>
      <c r="X103" s="13"/>
      <c r="Y103" s="13"/>
      <c r="Z103" s="13"/>
      <c r="AA103" s="13"/>
      <c r="AB103" s="13"/>
      <c r="AC103" s="13"/>
    </row>
    <row r="104" ht="16.5" hidden="1" customHeight="1">
      <c r="A104" s="35">
        <v>101.0</v>
      </c>
      <c r="B104" s="36" t="s">
        <v>807</v>
      </c>
      <c r="C104" s="37" t="s">
        <v>808</v>
      </c>
      <c r="D104" s="38" t="s">
        <v>809</v>
      </c>
      <c r="E104" s="38"/>
      <c r="F104" s="38" t="s">
        <v>810</v>
      </c>
      <c r="G104" s="57" t="s">
        <v>811</v>
      </c>
      <c r="H104" s="49" t="s">
        <v>50</v>
      </c>
      <c r="I104" s="39" t="s">
        <v>51</v>
      </c>
      <c r="J104" s="39" t="s">
        <v>84</v>
      </c>
      <c r="K104" s="42" t="s">
        <v>812</v>
      </c>
      <c r="L104" s="39" t="s">
        <v>813</v>
      </c>
      <c r="M104" s="51" t="b">
        <v>1</v>
      </c>
      <c r="N104" s="67" t="s">
        <v>814</v>
      </c>
      <c r="O104" s="96"/>
      <c r="P104" s="96" t="s">
        <v>815</v>
      </c>
      <c r="Q104" s="47"/>
      <c r="R104" s="47"/>
      <c r="S104" s="46"/>
      <c r="T104" s="46"/>
      <c r="U104" s="13"/>
      <c r="V104" s="13"/>
      <c r="W104" s="13"/>
      <c r="X104" s="13"/>
      <c r="Y104" s="13"/>
      <c r="Z104" s="13"/>
      <c r="AA104" s="13"/>
      <c r="AB104" s="13"/>
      <c r="AC104" s="13"/>
    </row>
    <row r="105" ht="16.5" customHeight="1">
      <c r="A105" s="35">
        <v>102.0</v>
      </c>
      <c r="B105" s="36" t="s">
        <v>816</v>
      </c>
      <c r="C105" s="37" t="s">
        <v>817</v>
      </c>
      <c r="D105" s="38" t="s">
        <v>818</v>
      </c>
      <c r="E105" s="38" t="s">
        <v>819</v>
      </c>
      <c r="F105" s="38" t="s">
        <v>820</v>
      </c>
      <c r="G105" s="57" t="s">
        <v>821</v>
      </c>
      <c r="H105" s="49" t="s">
        <v>38</v>
      </c>
      <c r="I105" s="57" t="s">
        <v>51</v>
      </c>
      <c r="J105" s="39" t="s">
        <v>163</v>
      </c>
      <c r="K105" s="42" t="s">
        <v>164</v>
      </c>
      <c r="L105" s="39" t="s">
        <v>165</v>
      </c>
      <c r="M105" s="51" t="b">
        <v>0</v>
      </c>
      <c r="N105" s="44"/>
      <c r="O105" s="96"/>
      <c r="P105" s="96" t="s">
        <v>822</v>
      </c>
      <c r="Q105" s="47"/>
      <c r="R105" s="47"/>
      <c r="S105" s="46"/>
      <c r="T105" s="46"/>
      <c r="U105" s="13"/>
      <c r="V105" s="13"/>
      <c r="W105" s="13"/>
      <c r="X105" s="13"/>
      <c r="Y105" s="13"/>
      <c r="Z105" s="13"/>
      <c r="AA105" s="13"/>
      <c r="AB105" s="13"/>
      <c r="AC105" s="13"/>
    </row>
    <row r="106" ht="16.5" hidden="1" customHeight="1">
      <c r="A106" s="35">
        <v>103.0</v>
      </c>
      <c r="B106" s="36" t="s">
        <v>823</v>
      </c>
      <c r="C106" s="37" t="s">
        <v>824</v>
      </c>
      <c r="D106" s="38" t="s">
        <v>825</v>
      </c>
      <c r="E106" s="38"/>
      <c r="F106" s="38" t="s">
        <v>826</v>
      </c>
      <c r="G106" s="39" t="s">
        <v>827</v>
      </c>
      <c r="H106" s="49" t="s">
        <v>50</v>
      </c>
      <c r="I106" s="39" t="s">
        <v>51</v>
      </c>
      <c r="J106" s="39" t="s">
        <v>828</v>
      </c>
      <c r="K106" s="42" t="s">
        <v>41</v>
      </c>
      <c r="L106" s="39" t="s">
        <v>829</v>
      </c>
      <c r="M106" s="51" t="b">
        <v>1</v>
      </c>
      <c r="N106" s="86" t="s">
        <v>830</v>
      </c>
      <c r="O106" s="46"/>
      <c r="P106" s="46" t="s">
        <v>831</v>
      </c>
      <c r="Q106" s="47"/>
      <c r="R106" s="47"/>
      <c r="S106" s="46"/>
      <c r="T106" s="46"/>
      <c r="U106" s="13"/>
      <c r="V106" s="13"/>
      <c r="W106" s="13"/>
      <c r="X106" s="13"/>
      <c r="Y106" s="13"/>
      <c r="Z106" s="13"/>
      <c r="AA106" s="13"/>
      <c r="AB106" s="13"/>
      <c r="AC106" s="13"/>
    </row>
    <row r="107" ht="16.5" hidden="1" customHeight="1">
      <c r="A107" s="35">
        <v>104.0</v>
      </c>
      <c r="B107" s="36" t="s">
        <v>832</v>
      </c>
      <c r="C107" s="37" t="s">
        <v>833</v>
      </c>
      <c r="D107" s="38" t="s">
        <v>834</v>
      </c>
      <c r="E107" s="38" t="s">
        <v>835</v>
      </c>
      <c r="F107" s="38" t="s">
        <v>836</v>
      </c>
      <c r="G107" s="39" t="s">
        <v>231</v>
      </c>
      <c r="H107" s="49" t="s">
        <v>64</v>
      </c>
      <c r="I107" s="39" t="s">
        <v>65</v>
      </c>
      <c r="J107" s="55"/>
      <c r="K107" s="55"/>
      <c r="L107" s="55"/>
      <c r="M107" s="51" t="b">
        <v>0</v>
      </c>
      <c r="N107" s="46"/>
      <c r="O107" s="46"/>
      <c r="P107" s="46"/>
      <c r="Q107" s="47"/>
      <c r="R107" s="47"/>
      <c r="S107" s="46"/>
      <c r="T107" s="46"/>
      <c r="U107" s="13"/>
      <c r="V107" s="13"/>
      <c r="W107" s="13"/>
      <c r="X107" s="13"/>
      <c r="Y107" s="13"/>
      <c r="Z107" s="13"/>
      <c r="AA107" s="13"/>
      <c r="AB107" s="13"/>
      <c r="AC107" s="13"/>
    </row>
    <row r="108" ht="16.5" hidden="1" customHeight="1">
      <c r="A108" s="35">
        <v>105.0</v>
      </c>
      <c r="B108" s="36" t="s">
        <v>837</v>
      </c>
      <c r="C108" s="37" t="s">
        <v>838</v>
      </c>
      <c r="D108" s="38" t="s">
        <v>839</v>
      </c>
      <c r="E108" s="38" t="s">
        <v>840</v>
      </c>
      <c r="F108" s="38" t="s">
        <v>841</v>
      </c>
      <c r="G108" s="48" t="s">
        <v>842</v>
      </c>
      <c r="H108" s="49" t="s">
        <v>50</v>
      </c>
      <c r="I108" s="39" t="s">
        <v>51</v>
      </c>
      <c r="J108" s="39" t="s">
        <v>843</v>
      </c>
      <c r="K108" s="42" t="s">
        <v>214</v>
      </c>
      <c r="L108" s="39" t="s">
        <v>844</v>
      </c>
      <c r="M108" s="51" t="b">
        <v>1</v>
      </c>
      <c r="N108" s="56" t="s">
        <v>845</v>
      </c>
      <c r="O108" s="46"/>
      <c r="P108" s="46" t="s">
        <v>846</v>
      </c>
      <c r="Q108" s="47" t="s">
        <v>847</v>
      </c>
      <c r="R108" s="47" t="s">
        <v>848</v>
      </c>
      <c r="S108" s="46"/>
      <c r="T108" s="46"/>
      <c r="U108" s="13"/>
      <c r="V108" s="13"/>
      <c r="W108" s="13"/>
      <c r="X108" s="13"/>
      <c r="Y108" s="13"/>
      <c r="Z108" s="13"/>
      <c r="AA108" s="13"/>
      <c r="AB108" s="13"/>
      <c r="AC108" s="13"/>
    </row>
    <row r="109" ht="16.5" hidden="1" customHeight="1">
      <c r="A109" s="35">
        <v>106.0</v>
      </c>
      <c r="B109" s="36" t="s">
        <v>849</v>
      </c>
      <c r="C109" s="37" t="s">
        <v>850</v>
      </c>
      <c r="D109" s="38" t="s">
        <v>851</v>
      </c>
      <c r="E109" s="38" t="s">
        <v>852</v>
      </c>
      <c r="F109" s="38" t="s">
        <v>853</v>
      </c>
      <c r="G109" s="39" t="s">
        <v>854</v>
      </c>
      <c r="H109" s="49" t="s">
        <v>50</v>
      </c>
      <c r="I109" s="39" t="s">
        <v>51</v>
      </c>
      <c r="J109" s="39" t="s">
        <v>855</v>
      </c>
      <c r="K109" s="42" t="s">
        <v>856</v>
      </c>
      <c r="L109" s="39" t="s">
        <v>857</v>
      </c>
      <c r="M109" s="51" t="b">
        <v>1</v>
      </c>
      <c r="N109" s="56" t="s">
        <v>858</v>
      </c>
      <c r="O109" s="68"/>
      <c r="P109" s="46"/>
      <c r="Q109" s="47"/>
      <c r="R109" s="47"/>
      <c r="S109" s="46"/>
      <c r="T109" s="46"/>
      <c r="U109" s="13"/>
      <c r="V109" s="13"/>
      <c r="W109" s="13"/>
      <c r="X109" s="13"/>
      <c r="Y109" s="13"/>
      <c r="Z109" s="13"/>
      <c r="AA109" s="13"/>
      <c r="AB109" s="13"/>
      <c r="AC109" s="13"/>
    </row>
    <row r="110" ht="16.5" hidden="1" customHeight="1">
      <c r="A110" s="35">
        <v>107.0</v>
      </c>
      <c r="B110" s="36" t="s">
        <v>859</v>
      </c>
      <c r="C110" s="37" t="s">
        <v>860</v>
      </c>
      <c r="D110" s="38" t="s">
        <v>861</v>
      </c>
      <c r="E110" s="38" t="s">
        <v>862</v>
      </c>
      <c r="F110" s="38" t="s">
        <v>863</v>
      </c>
      <c r="G110" s="39" t="s">
        <v>231</v>
      </c>
      <c r="H110" s="49" t="s">
        <v>64</v>
      </c>
      <c r="I110" s="39" t="s">
        <v>65</v>
      </c>
      <c r="J110" s="55"/>
      <c r="K110" s="55"/>
      <c r="L110" s="55"/>
      <c r="M110" s="51" t="b">
        <v>0</v>
      </c>
      <c r="N110" s="46"/>
      <c r="O110" s="46"/>
      <c r="P110" s="46"/>
      <c r="Q110" s="47"/>
      <c r="R110" s="47"/>
      <c r="S110" s="46"/>
      <c r="T110" s="46"/>
      <c r="U110" s="13"/>
      <c r="V110" s="13"/>
      <c r="W110" s="13"/>
      <c r="X110" s="13"/>
      <c r="Y110" s="13"/>
      <c r="Z110" s="13"/>
      <c r="AA110" s="13"/>
      <c r="AB110" s="13"/>
      <c r="AC110" s="13"/>
    </row>
    <row r="111" ht="16.5" hidden="1" customHeight="1">
      <c r="A111" s="35">
        <v>108.0</v>
      </c>
      <c r="B111" s="36" t="s">
        <v>864</v>
      </c>
      <c r="C111" s="37" t="s">
        <v>865</v>
      </c>
      <c r="D111" s="38" t="s">
        <v>866</v>
      </c>
      <c r="E111" s="38" t="s">
        <v>862</v>
      </c>
      <c r="F111" s="38" t="s">
        <v>867</v>
      </c>
      <c r="G111" s="39" t="s">
        <v>172</v>
      </c>
      <c r="H111" s="49" t="s">
        <v>50</v>
      </c>
      <c r="I111" s="39" t="s">
        <v>51</v>
      </c>
      <c r="J111" s="39" t="s">
        <v>173</v>
      </c>
      <c r="K111" s="42" t="s">
        <v>41</v>
      </c>
      <c r="L111" s="39" t="s">
        <v>174</v>
      </c>
      <c r="M111" s="51" t="b">
        <v>1</v>
      </c>
      <c r="N111" s="56" t="s">
        <v>175</v>
      </c>
      <c r="O111" s="45" t="s">
        <v>176</v>
      </c>
      <c r="P111" s="46"/>
      <c r="Q111" s="47"/>
      <c r="R111" s="47"/>
      <c r="S111" s="46"/>
      <c r="T111" s="46"/>
      <c r="U111" s="13"/>
      <c r="V111" s="13"/>
      <c r="W111" s="13"/>
      <c r="X111" s="13"/>
      <c r="Y111" s="13"/>
      <c r="Z111" s="13"/>
      <c r="AA111" s="13"/>
      <c r="AB111" s="13"/>
      <c r="AC111" s="13"/>
    </row>
    <row r="112" ht="16.5" hidden="1" customHeight="1">
      <c r="A112" s="35">
        <v>109.0</v>
      </c>
      <c r="B112" s="36" t="s">
        <v>868</v>
      </c>
      <c r="C112" s="37" t="s">
        <v>869</v>
      </c>
      <c r="D112" s="38" t="s">
        <v>870</v>
      </c>
      <c r="E112" s="38"/>
      <c r="F112" s="38" t="s">
        <v>871</v>
      </c>
      <c r="G112" s="48" t="s">
        <v>872</v>
      </c>
      <c r="H112" s="49" t="s">
        <v>38</v>
      </c>
      <c r="I112" s="57" t="s">
        <v>51</v>
      </c>
      <c r="J112" s="101" t="s">
        <v>873</v>
      </c>
      <c r="K112" s="58">
        <v>1.0</v>
      </c>
      <c r="L112" s="58" t="s">
        <v>874</v>
      </c>
      <c r="M112" s="51" t="b">
        <v>1</v>
      </c>
      <c r="N112" s="56" t="s">
        <v>875</v>
      </c>
      <c r="O112" s="56" t="s">
        <v>876</v>
      </c>
      <c r="P112" s="46"/>
      <c r="Q112" s="47"/>
      <c r="R112" s="47"/>
      <c r="S112" s="46"/>
      <c r="T112" s="46"/>
      <c r="U112" s="13"/>
      <c r="V112" s="13"/>
      <c r="W112" s="13"/>
      <c r="X112" s="13"/>
      <c r="Y112" s="13"/>
      <c r="Z112" s="13"/>
      <c r="AA112" s="13"/>
      <c r="AB112" s="13"/>
      <c r="AC112" s="13"/>
    </row>
    <row r="113" ht="108.0" hidden="1" customHeight="1">
      <c r="A113" s="35">
        <v>110.0</v>
      </c>
      <c r="B113" s="36" t="s">
        <v>877</v>
      </c>
      <c r="C113" s="37" t="s">
        <v>878</v>
      </c>
      <c r="D113" s="38" t="s">
        <v>879</v>
      </c>
      <c r="E113" s="38" t="s">
        <v>880</v>
      </c>
      <c r="F113" s="38" t="s">
        <v>881</v>
      </c>
      <c r="G113" s="39" t="s">
        <v>231</v>
      </c>
      <c r="H113" s="49" t="s">
        <v>64</v>
      </c>
      <c r="I113" s="39" t="s">
        <v>65</v>
      </c>
      <c r="J113" s="55"/>
      <c r="K113" s="55"/>
      <c r="L113" s="55"/>
      <c r="M113" s="51" t="b">
        <v>0</v>
      </c>
      <c r="N113" s="46"/>
      <c r="O113" s="46"/>
      <c r="P113" s="46"/>
      <c r="Q113" s="47"/>
      <c r="R113" s="47"/>
      <c r="S113" s="46"/>
      <c r="T113" s="46"/>
      <c r="U113" s="13"/>
      <c r="V113" s="13"/>
      <c r="W113" s="13"/>
      <c r="X113" s="13"/>
      <c r="Y113" s="13"/>
      <c r="Z113" s="13"/>
      <c r="AA113" s="13"/>
      <c r="AB113" s="13"/>
      <c r="AC113" s="13"/>
    </row>
    <row r="114" ht="16.5" hidden="1" customHeight="1">
      <c r="A114" s="35">
        <v>111.0</v>
      </c>
      <c r="B114" s="36" t="s">
        <v>882</v>
      </c>
      <c r="C114" s="37" t="s">
        <v>883</v>
      </c>
      <c r="D114" s="38" t="s">
        <v>884</v>
      </c>
      <c r="E114" s="38"/>
      <c r="F114" s="38" t="s">
        <v>885</v>
      </c>
      <c r="G114" s="39" t="s">
        <v>231</v>
      </c>
      <c r="H114" s="49" t="s">
        <v>64</v>
      </c>
      <c r="I114" s="39" t="s">
        <v>65</v>
      </c>
      <c r="J114" s="55"/>
      <c r="K114" s="55"/>
      <c r="L114" s="55"/>
      <c r="M114" s="51" t="b">
        <v>0</v>
      </c>
      <c r="N114" s="46"/>
      <c r="O114" s="46"/>
      <c r="P114" s="46"/>
      <c r="Q114" s="47"/>
      <c r="R114" s="47"/>
      <c r="S114" s="46"/>
      <c r="T114" s="46"/>
      <c r="U114" s="13"/>
      <c r="V114" s="13"/>
      <c r="W114" s="13"/>
      <c r="X114" s="13"/>
      <c r="Y114" s="13"/>
      <c r="Z114" s="13"/>
      <c r="AA114" s="13"/>
      <c r="AB114" s="13"/>
      <c r="AC114" s="13"/>
    </row>
    <row r="115" hidden="1">
      <c r="A115" s="35">
        <v>112.0</v>
      </c>
      <c r="B115" s="36" t="s">
        <v>886</v>
      </c>
      <c r="C115" s="37" t="s">
        <v>887</v>
      </c>
      <c r="D115" s="38" t="s">
        <v>888</v>
      </c>
      <c r="E115" s="38"/>
      <c r="F115" s="38" t="s">
        <v>889</v>
      </c>
      <c r="G115" s="39" t="s">
        <v>890</v>
      </c>
      <c r="H115" s="49" t="s">
        <v>38</v>
      </c>
      <c r="I115" s="102" t="s">
        <v>891</v>
      </c>
      <c r="J115" s="39" t="s">
        <v>892</v>
      </c>
      <c r="K115" s="103"/>
      <c r="L115" s="104" t="s">
        <v>893</v>
      </c>
      <c r="M115" s="51" t="b">
        <v>0</v>
      </c>
      <c r="N115" s="44" t="s">
        <v>894</v>
      </c>
      <c r="O115" s="68"/>
      <c r="P115" s="46"/>
      <c r="Q115" s="47"/>
      <c r="R115" s="47"/>
      <c r="S115" s="46"/>
      <c r="T115" s="46"/>
      <c r="U115" s="13"/>
      <c r="V115" s="13"/>
      <c r="W115" s="13"/>
      <c r="X115" s="13"/>
      <c r="Y115" s="13"/>
      <c r="Z115" s="13"/>
      <c r="AA115" s="13"/>
      <c r="AB115" s="13"/>
      <c r="AC115" s="13"/>
    </row>
    <row r="116" ht="16.5" hidden="1" customHeight="1">
      <c r="A116" s="35">
        <v>113.0</v>
      </c>
      <c r="B116" s="36" t="s">
        <v>895</v>
      </c>
      <c r="C116" s="37" t="s">
        <v>896</v>
      </c>
      <c r="D116" s="38" t="s">
        <v>897</v>
      </c>
      <c r="E116" s="38" t="s">
        <v>898</v>
      </c>
      <c r="F116" s="38" t="s">
        <v>899</v>
      </c>
      <c r="G116" s="39" t="s">
        <v>231</v>
      </c>
      <c r="H116" s="49" t="s">
        <v>64</v>
      </c>
      <c r="I116" s="39" t="s">
        <v>65</v>
      </c>
      <c r="J116" s="55"/>
      <c r="K116" s="55"/>
      <c r="L116" s="55"/>
      <c r="M116" s="51" t="b">
        <v>0</v>
      </c>
      <c r="N116" s="46"/>
      <c r="O116" s="46"/>
      <c r="P116" s="46"/>
      <c r="Q116" s="47"/>
      <c r="R116" s="47"/>
      <c r="S116" s="46"/>
      <c r="T116" s="46"/>
      <c r="U116" s="13"/>
      <c r="V116" s="13"/>
      <c r="W116" s="13"/>
      <c r="X116" s="13"/>
      <c r="Y116" s="13"/>
      <c r="Z116" s="13"/>
      <c r="AA116" s="13"/>
      <c r="AB116" s="13"/>
      <c r="AC116" s="13"/>
    </row>
    <row r="117" ht="16.5" hidden="1" customHeight="1">
      <c r="A117" s="35">
        <v>114.0</v>
      </c>
      <c r="B117" s="36" t="s">
        <v>900</v>
      </c>
      <c r="C117" s="37" t="s">
        <v>901</v>
      </c>
      <c r="D117" s="38" t="s">
        <v>902</v>
      </c>
      <c r="E117" s="38"/>
      <c r="F117" s="38" t="s">
        <v>903</v>
      </c>
      <c r="G117" s="48" t="s">
        <v>904</v>
      </c>
      <c r="H117" s="49" t="s">
        <v>50</v>
      </c>
      <c r="I117" s="39" t="s">
        <v>51</v>
      </c>
      <c r="J117" s="39" t="s">
        <v>905</v>
      </c>
      <c r="K117" s="42" t="s">
        <v>906</v>
      </c>
      <c r="L117" s="39" t="s">
        <v>907</v>
      </c>
      <c r="M117" s="51" t="b">
        <v>1</v>
      </c>
      <c r="N117" s="56" t="s">
        <v>814</v>
      </c>
      <c r="O117" s="46"/>
      <c r="P117" s="46" t="s">
        <v>908</v>
      </c>
      <c r="Q117" s="47"/>
      <c r="R117" s="47"/>
      <c r="S117" s="46"/>
      <c r="T117" s="46"/>
      <c r="U117" s="13"/>
      <c r="V117" s="13"/>
      <c r="W117" s="13"/>
      <c r="X117" s="13"/>
      <c r="Y117" s="13"/>
      <c r="Z117" s="13"/>
      <c r="AA117" s="13"/>
      <c r="AB117" s="13"/>
      <c r="AC117" s="13"/>
    </row>
    <row r="118" ht="16.5" hidden="1" customHeight="1">
      <c r="A118" s="35">
        <v>115.0</v>
      </c>
      <c r="B118" s="36" t="s">
        <v>909</v>
      </c>
      <c r="C118" s="37" t="s">
        <v>910</v>
      </c>
      <c r="D118" s="38" t="s">
        <v>911</v>
      </c>
      <c r="E118" s="38" t="s">
        <v>912</v>
      </c>
      <c r="F118" s="38" t="s">
        <v>913</v>
      </c>
      <c r="G118" s="39" t="s">
        <v>914</v>
      </c>
      <c r="H118" s="49" t="s">
        <v>50</v>
      </c>
      <c r="I118" s="105" t="s">
        <v>51</v>
      </c>
      <c r="J118" s="39" t="s">
        <v>915</v>
      </c>
      <c r="K118" s="42" t="s">
        <v>916</v>
      </c>
      <c r="L118" s="41" t="s">
        <v>917</v>
      </c>
      <c r="M118" s="51" t="b">
        <v>0</v>
      </c>
      <c r="N118" s="96"/>
      <c r="O118" s="96"/>
      <c r="P118" s="96" t="s">
        <v>918</v>
      </c>
      <c r="Q118" s="47"/>
      <c r="R118" s="47"/>
      <c r="S118" s="46"/>
      <c r="T118" s="46"/>
      <c r="U118" s="13"/>
      <c r="V118" s="13"/>
      <c r="W118" s="13"/>
      <c r="X118" s="13"/>
      <c r="Y118" s="13"/>
      <c r="Z118" s="13"/>
      <c r="AA118" s="13"/>
      <c r="AB118" s="13"/>
      <c r="AC118" s="13"/>
    </row>
    <row r="119" hidden="1">
      <c r="A119" s="35">
        <v>116.0</v>
      </c>
      <c r="B119" s="36" t="s">
        <v>919</v>
      </c>
      <c r="C119" s="37" t="s">
        <v>920</v>
      </c>
      <c r="D119" s="38" t="s">
        <v>921</v>
      </c>
      <c r="E119" s="38"/>
      <c r="F119" s="38" t="s">
        <v>922</v>
      </c>
      <c r="G119" s="39" t="s">
        <v>923</v>
      </c>
      <c r="H119" s="49" t="s">
        <v>38</v>
      </c>
      <c r="I119" s="102" t="s">
        <v>891</v>
      </c>
      <c r="J119" s="39" t="s">
        <v>892</v>
      </c>
      <c r="K119" s="103"/>
      <c r="L119" s="104" t="s">
        <v>924</v>
      </c>
      <c r="M119" s="51" t="b">
        <v>0</v>
      </c>
      <c r="N119" s="44" t="s">
        <v>925</v>
      </c>
      <c r="O119" s="68"/>
      <c r="P119" s="46"/>
      <c r="Q119" s="47"/>
      <c r="R119" s="47"/>
      <c r="S119" s="46"/>
      <c r="T119" s="46"/>
      <c r="U119" s="13"/>
      <c r="V119" s="13"/>
      <c r="W119" s="13"/>
      <c r="X119" s="13"/>
      <c r="Y119" s="13"/>
      <c r="Z119" s="13"/>
      <c r="AA119" s="13"/>
      <c r="AB119" s="13"/>
      <c r="AC119" s="13"/>
    </row>
    <row r="120" ht="16.5" hidden="1" customHeight="1">
      <c r="A120" s="35">
        <v>117.0</v>
      </c>
      <c r="B120" s="36" t="s">
        <v>926</v>
      </c>
      <c r="C120" s="37" t="s">
        <v>927</v>
      </c>
      <c r="D120" s="38" t="s">
        <v>928</v>
      </c>
      <c r="E120" s="38"/>
      <c r="F120" s="38" t="s">
        <v>929</v>
      </c>
      <c r="G120" s="39" t="s">
        <v>930</v>
      </c>
      <c r="H120" s="49" t="s">
        <v>50</v>
      </c>
      <c r="I120" s="39" t="s">
        <v>51</v>
      </c>
      <c r="J120" s="39" t="s">
        <v>931</v>
      </c>
      <c r="K120" s="42" t="s">
        <v>932</v>
      </c>
      <c r="L120" s="39" t="s">
        <v>933</v>
      </c>
      <c r="M120" s="51" t="b">
        <v>1</v>
      </c>
      <c r="N120" s="56" t="s">
        <v>934</v>
      </c>
      <c r="O120" s="68"/>
      <c r="P120" s="46"/>
      <c r="Q120" s="47"/>
      <c r="R120" s="47"/>
      <c r="S120" s="46"/>
      <c r="T120" s="46"/>
      <c r="U120" s="13"/>
      <c r="V120" s="13"/>
      <c r="W120" s="13"/>
      <c r="X120" s="13"/>
      <c r="Y120" s="13"/>
      <c r="Z120" s="13"/>
      <c r="AA120" s="13"/>
      <c r="AB120" s="13"/>
      <c r="AC120" s="13"/>
    </row>
    <row r="121" ht="16.5" customHeight="1">
      <c r="A121" s="35">
        <v>118.0</v>
      </c>
      <c r="B121" s="36" t="s">
        <v>935</v>
      </c>
      <c r="C121" s="37" t="s">
        <v>936</v>
      </c>
      <c r="D121" s="38" t="s">
        <v>937</v>
      </c>
      <c r="E121" s="38" t="s">
        <v>938</v>
      </c>
      <c r="F121" s="38" t="s">
        <v>939</v>
      </c>
      <c r="G121" s="48" t="s">
        <v>940</v>
      </c>
      <c r="H121" s="49" t="s">
        <v>38</v>
      </c>
      <c r="I121" s="57" t="s">
        <v>51</v>
      </c>
      <c r="J121" s="39" t="s">
        <v>163</v>
      </c>
      <c r="K121" s="55"/>
      <c r="L121" s="106" t="s">
        <v>941</v>
      </c>
      <c r="M121" s="51" t="b">
        <v>0</v>
      </c>
      <c r="N121" s="46"/>
      <c r="O121" s="46"/>
      <c r="P121" s="46" t="s">
        <v>942</v>
      </c>
      <c r="Q121" s="47"/>
      <c r="R121" s="47"/>
      <c r="S121" s="46"/>
      <c r="T121" s="46"/>
      <c r="U121" s="13"/>
      <c r="V121" s="13"/>
      <c r="W121" s="13"/>
      <c r="X121" s="13"/>
      <c r="Y121" s="13"/>
      <c r="Z121" s="13"/>
      <c r="AA121" s="13"/>
      <c r="AB121" s="13"/>
      <c r="AC121" s="13"/>
    </row>
    <row r="122" ht="16.5" hidden="1" customHeight="1">
      <c r="A122" s="35">
        <v>119.0</v>
      </c>
      <c r="B122" s="36" t="s">
        <v>943</v>
      </c>
      <c r="C122" s="37" t="s">
        <v>944</v>
      </c>
      <c r="D122" s="38" t="s">
        <v>945</v>
      </c>
      <c r="E122" s="38"/>
      <c r="F122" s="38" t="s">
        <v>946</v>
      </c>
      <c r="G122" s="39" t="s">
        <v>231</v>
      </c>
      <c r="H122" s="49" t="s">
        <v>64</v>
      </c>
      <c r="I122" s="39" t="s">
        <v>65</v>
      </c>
      <c r="J122" s="55"/>
      <c r="K122" s="55"/>
      <c r="L122" s="55"/>
      <c r="M122" s="51" t="b">
        <v>0</v>
      </c>
      <c r="N122" s="46"/>
      <c r="O122" s="46"/>
      <c r="P122" s="46"/>
      <c r="Q122" s="47"/>
      <c r="R122" s="47"/>
      <c r="S122" s="46"/>
      <c r="T122" s="46"/>
      <c r="U122" s="13"/>
      <c r="V122" s="13"/>
      <c r="W122" s="13"/>
      <c r="X122" s="13"/>
      <c r="Y122" s="13"/>
      <c r="Z122" s="13"/>
      <c r="AA122" s="13"/>
      <c r="AB122" s="13"/>
      <c r="AC122" s="13"/>
    </row>
    <row r="123" ht="16.5" hidden="1" customHeight="1">
      <c r="A123" s="35">
        <v>120.0</v>
      </c>
      <c r="B123" s="36" t="s">
        <v>947</v>
      </c>
      <c r="C123" s="37" t="s">
        <v>948</v>
      </c>
      <c r="D123" s="38" t="s">
        <v>949</v>
      </c>
      <c r="E123" s="38"/>
      <c r="F123" s="38" t="s">
        <v>950</v>
      </c>
      <c r="G123" s="48" t="s">
        <v>951</v>
      </c>
      <c r="H123" s="49" t="s">
        <v>50</v>
      </c>
      <c r="I123" s="39" t="s">
        <v>51</v>
      </c>
      <c r="J123" s="39" t="s">
        <v>952</v>
      </c>
      <c r="K123" s="42" t="s">
        <v>41</v>
      </c>
      <c r="L123" s="39" t="s">
        <v>953</v>
      </c>
      <c r="M123" s="51" t="b">
        <v>1</v>
      </c>
      <c r="N123" s="56" t="s">
        <v>954</v>
      </c>
      <c r="O123" s="68"/>
      <c r="P123" s="46" t="s">
        <v>955</v>
      </c>
      <c r="Q123" s="47"/>
      <c r="R123" s="47"/>
      <c r="S123" s="46"/>
      <c r="T123" s="46"/>
      <c r="U123" s="13"/>
      <c r="V123" s="13"/>
      <c r="W123" s="13"/>
      <c r="X123" s="13"/>
      <c r="Y123" s="13"/>
      <c r="Z123" s="13"/>
      <c r="AA123" s="13"/>
      <c r="AB123" s="13"/>
      <c r="AC123" s="13"/>
    </row>
    <row r="124" ht="409.5" hidden="1" customHeight="1">
      <c r="A124" s="35">
        <v>121.0</v>
      </c>
      <c r="B124" s="36" t="s">
        <v>956</v>
      </c>
      <c r="C124" s="37" t="s">
        <v>957</v>
      </c>
      <c r="D124" s="38" t="s">
        <v>958</v>
      </c>
      <c r="E124" s="38"/>
      <c r="F124" s="38" t="s">
        <v>959</v>
      </c>
      <c r="G124" s="39" t="s">
        <v>960</v>
      </c>
      <c r="H124" s="49" t="s">
        <v>50</v>
      </c>
      <c r="I124" s="39" t="s">
        <v>51</v>
      </c>
      <c r="J124" s="39" t="s">
        <v>961</v>
      </c>
      <c r="K124" s="42" t="s">
        <v>41</v>
      </c>
      <c r="L124" s="39" t="s">
        <v>962</v>
      </c>
      <c r="M124" s="51" t="b">
        <v>1</v>
      </c>
      <c r="N124" s="56" t="s">
        <v>963</v>
      </c>
      <c r="O124" s="45"/>
      <c r="P124" s="46"/>
      <c r="Q124" s="47"/>
      <c r="R124" s="47"/>
      <c r="S124" s="46"/>
      <c r="T124" s="46"/>
      <c r="U124" s="13"/>
      <c r="V124" s="13"/>
      <c r="W124" s="13"/>
      <c r="X124" s="13"/>
      <c r="Y124" s="13"/>
      <c r="Z124" s="13"/>
      <c r="AA124" s="13"/>
      <c r="AB124" s="13"/>
      <c r="AC124" s="13"/>
    </row>
    <row r="125" ht="393.75" hidden="1" customHeight="1">
      <c r="A125" s="35">
        <v>122.0</v>
      </c>
      <c r="B125" s="36" t="s">
        <v>964</v>
      </c>
      <c r="C125" s="37" t="s">
        <v>965</v>
      </c>
      <c r="D125" s="38" t="s">
        <v>966</v>
      </c>
      <c r="E125" s="38"/>
      <c r="F125" s="38" t="s">
        <v>967</v>
      </c>
      <c r="G125" s="39" t="s">
        <v>231</v>
      </c>
      <c r="H125" s="49" t="s">
        <v>64</v>
      </c>
      <c r="I125" s="39" t="s">
        <v>65</v>
      </c>
      <c r="J125" s="55"/>
      <c r="K125" s="55"/>
      <c r="L125" s="55"/>
      <c r="M125" s="51" t="b">
        <v>0</v>
      </c>
      <c r="N125" s="46"/>
      <c r="O125" s="46"/>
      <c r="P125" s="46"/>
      <c r="Q125" s="47"/>
      <c r="R125" s="47"/>
      <c r="S125" s="46"/>
      <c r="T125" s="46"/>
      <c r="U125" s="13"/>
      <c r="V125" s="13"/>
      <c r="W125" s="13"/>
      <c r="X125" s="13"/>
      <c r="Y125" s="13"/>
      <c r="Z125" s="13"/>
      <c r="AA125" s="13"/>
      <c r="AB125" s="13"/>
      <c r="AC125" s="13"/>
    </row>
    <row r="126" ht="16.5" hidden="1" customHeight="1">
      <c r="A126" s="35">
        <v>123.0</v>
      </c>
      <c r="B126" s="36" t="s">
        <v>968</v>
      </c>
      <c r="C126" s="37" t="s">
        <v>969</v>
      </c>
      <c r="D126" s="38" t="s">
        <v>970</v>
      </c>
      <c r="E126" s="38"/>
      <c r="F126" s="38" t="s">
        <v>971</v>
      </c>
      <c r="G126" s="48" t="s">
        <v>970</v>
      </c>
      <c r="H126" s="49" t="s">
        <v>50</v>
      </c>
      <c r="I126" s="39" t="s">
        <v>51</v>
      </c>
      <c r="J126" s="39" t="s">
        <v>619</v>
      </c>
      <c r="K126" s="42" t="s">
        <v>972</v>
      </c>
      <c r="L126" s="39" t="s">
        <v>973</v>
      </c>
      <c r="M126" s="51" t="b">
        <v>1</v>
      </c>
      <c r="N126" s="56" t="s">
        <v>974</v>
      </c>
      <c r="O126" s="68"/>
      <c r="P126" s="46"/>
      <c r="Q126" s="47"/>
      <c r="R126" s="47"/>
      <c r="S126" s="46"/>
      <c r="T126" s="46"/>
      <c r="U126" s="13"/>
      <c r="V126" s="13"/>
      <c r="W126" s="13"/>
      <c r="X126" s="13"/>
      <c r="Y126" s="13"/>
      <c r="Z126" s="13"/>
      <c r="AA126" s="13"/>
      <c r="AB126" s="13"/>
      <c r="AC126" s="13"/>
    </row>
    <row r="127" ht="409.5" hidden="1" customHeight="1">
      <c r="A127" s="35">
        <v>124.0</v>
      </c>
      <c r="B127" s="36" t="s">
        <v>975</v>
      </c>
      <c r="C127" s="37" t="s">
        <v>976</v>
      </c>
      <c r="D127" s="38" t="s">
        <v>977</v>
      </c>
      <c r="E127" s="38"/>
      <c r="F127" s="38" t="s">
        <v>978</v>
      </c>
      <c r="G127" s="39" t="s">
        <v>979</v>
      </c>
      <c r="H127" s="49" t="s">
        <v>38</v>
      </c>
      <c r="I127" s="39" t="s">
        <v>51</v>
      </c>
      <c r="J127" s="65" t="s">
        <v>153</v>
      </c>
      <c r="K127" s="66" t="s">
        <v>154</v>
      </c>
      <c r="L127" s="39" t="s">
        <v>980</v>
      </c>
      <c r="M127" s="51" t="b">
        <v>1</v>
      </c>
      <c r="N127" s="67" t="s">
        <v>156</v>
      </c>
      <c r="O127" s="68"/>
      <c r="P127" s="46"/>
      <c r="Q127" s="47"/>
      <c r="R127" s="47"/>
      <c r="S127" s="46"/>
      <c r="T127" s="46"/>
      <c r="U127" s="13"/>
      <c r="V127" s="13"/>
      <c r="W127" s="13"/>
      <c r="X127" s="13"/>
      <c r="Y127" s="13"/>
      <c r="Z127" s="13"/>
      <c r="AA127" s="13"/>
      <c r="AB127" s="13"/>
      <c r="AC127" s="13"/>
    </row>
    <row r="128" ht="234.0" hidden="1" customHeight="1">
      <c r="A128" s="35">
        <v>125.0</v>
      </c>
      <c r="B128" s="36" t="s">
        <v>981</v>
      </c>
      <c r="C128" s="37" t="s">
        <v>982</v>
      </c>
      <c r="D128" s="38" t="s">
        <v>983</v>
      </c>
      <c r="E128" s="38"/>
      <c r="F128" s="38" t="s">
        <v>984</v>
      </c>
      <c r="G128" s="39" t="s">
        <v>985</v>
      </c>
      <c r="H128" s="49" t="s">
        <v>38</v>
      </c>
      <c r="I128" s="39" t="s">
        <v>51</v>
      </c>
      <c r="J128" s="65" t="s">
        <v>153</v>
      </c>
      <c r="K128" s="66" t="s">
        <v>41</v>
      </c>
      <c r="L128" s="39" t="s">
        <v>189</v>
      </c>
      <c r="M128" s="51" t="b">
        <v>1</v>
      </c>
      <c r="N128" s="67" t="s">
        <v>190</v>
      </c>
      <c r="O128" s="68"/>
      <c r="P128" s="46"/>
      <c r="Q128" s="47"/>
      <c r="R128" s="47"/>
      <c r="S128" s="46"/>
      <c r="T128" s="46"/>
      <c r="U128" s="13"/>
      <c r="V128" s="13"/>
      <c r="W128" s="13"/>
      <c r="X128" s="13"/>
      <c r="Y128" s="13"/>
      <c r="Z128" s="13"/>
      <c r="AA128" s="13"/>
      <c r="AB128" s="13"/>
      <c r="AC128" s="13"/>
    </row>
    <row r="129" ht="126.0" hidden="1" customHeight="1">
      <c r="A129" s="35">
        <v>126.0</v>
      </c>
      <c r="B129" s="36" t="s">
        <v>986</v>
      </c>
      <c r="C129" s="37" t="s">
        <v>987</v>
      </c>
      <c r="D129" s="38" t="s">
        <v>988</v>
      </c>
      <c r="E129" s="38" t="s">
        <v>989</v>
      </c>
      <c r="F129" s="38" t="s">
        <v>990</v>
      </c>
      <c r="G129" s="39" t="s">
        <v>231</v>
      </c>
      <c r="H129" s="49" t="s">
        <v>64</v>
      </c>
      <c r="I129" s="39" t="s">
        <v>65</v>
      </c>
      <c r="J129" s="55"/>
      <c r="K129" s="55"/>
      <c r="L129" s="55"/>
      <c r="M129" s="51" t="b">
        <v>0</v>
      </c>
      <c r="N129" s="46"/>
      <c r="O129" s="46"/>
      <c r="P129" s="46"/>
      <c r="Q129" s="47"/>
      <c r="R129" s="47"/>
      <c r="S129" s="46"/>
      <c r="T129" s="46"/>
      <c r="U129" s="13"/>
      <c r="V129" s="13"/>
      <c r="W129" s="13"/>
      <c r="X129" s="13"/>
      <c r="Y129" s="13"/>
      <c r="Z129" s="13"/>
      <c r="AA129" s="13"/>
      <c r="AB129" s="13"/>
      <c r="AC129" s="13"/>
    </row>
    <row r="130" ht="16.5" hidden="1" customHeight="1">
      <c r="A130" s="35">
        <v>127.0</v>
      </c>
      <c r="B130" s="36" t="s">
        <v>991</v>
      </c>
      <c r="C130" s="37" t="s">
        <v>992</v>
      </c>
      <c r="D130" s="38" t="s">
        <v>993</v>
      </c>
      <c r="E130" s="38" t="s">
        <v>994</v>
      </c>
      <c r="F130" s="38" t="s">
        <v>995</v>
      </c>
      <c r="G130" s="48" t="s">
        <v>996</v>
      </c>
      <c r="H130" s="49" t="s">
        <v>50</v>
      </c>
      <c r="I130" s="39" t="s">
        <v>51</v>
      </c>
      <c r="J130" s="39" t="s">
        <v>997</v>
      </c>
      <c r="K130" s="42" t="s">
        <v>41</v>
      </c>
      <c r="L130" s="39" t="s">
        <v>998</v>
      </c>
      <c r="M130" s="51" t="b">
        <v>1</v>
      </c>
      <c r="N130" s="56" t="s">
        <v>999</v>
      </c>
      <c r="O130" s="68"/>
      <c r="P130" s="46"/>
      <c r="Q130" s="47"/>
      <c r="R130" s="47"/>
      <c r="S130" s="46"/>
      <c r="T130" s="46"/>
      <c r="U130" s="13"/>
      <c r="V130" s="13"/>
      <c r="W130" s="13"/>
      <c r="X130" s="13"/>
      <c r="Y130" s="13"/>
      <c r="Z130" s="13"/>
      <c r="AA130" s="13"/>
      <c r="AB130" s="13"/>
      <c r="AC130" s="13"/>
    </row>
    <row r="131" ht="16.5" hidden="1" customHeight="1">
      <c r="A131" s="35">
        <v>128.0</v>
      </c>
      <c r="B131" s="36" t="s">
        <v>1000</v>
      </c>
      <c r="C131" s="37" t="s">
        <v>1001</v>
      </c>
      <c r="D131" s="38" t="s">
        <v>1002</v>
      </c>
      <c r="E131" s="38" t="s">
        <v>547</v>
      </c>
      <c r="F131" s="38" t="s">
        <v>683</v>
      </c>
      <c r="G131" s="39" t="s">
        <v>684</v>
      </c>
      <c r="H131" s="49" t="s">
        <v>50</v>
      </c>
      <c r="I131" s="85" t="s">
        <v>51</v>
      </c>
      <c r="J131" s="39" t="s">
        <v>550</v>
      </c>
      <c r="K131" s="94" t="s">
        <v>1003</v>
      </c>
      <c r="L131" s="93" t="s">
        <v>1004</v>
      </c>
      <c r="M131" s="51" t="b">
        <v>1</v>
      </c>
      <c r="N131" s="56" t="s">
        <v>686</v>
      </c>
      <c r="O131" s="45" t="s">
        <v>1005</v>
      </c>
      <c r="P131" s="46"/>
      <c r="Q131" s="47"/>
      <c r="R131" s="47"/>
      <c r="S131" s="46"/>
      <c r="T131" s="46"/>
      <c r="U131" s="13"/>
      <c r="V131" s="13"/>
      <c r="W131" s="13"/>
      <c r="X131" s="13"/>
      <c r="Y131" s="13"/>
      <c r="Z131" s="13"/>
      <c r="AA131" s="13"/>
      <c r="AB131" s="13"/>
      <c r="AC131" s="13"/>
    </row>
    <row r="132" ht="16.5" hidden="1" customHeight="1">
      <c r="A132" s="35">
        <v>129.0</v>
      </c>
      <c r="B132" s="36" t="s">
        <v>1006</v>
      </c>
      <c r="C132" s="37" t="s">
        <v>1007</v>
      </c>
      <c r="D132" s="38" t="s">
        <v>1008</v>
      </c>
      <c r="E132" s="38"/>
      <c r="F132" s="38" t="s">
        <v>92</v>
      </c>
      <c r="G132" s="39" t="s">
        <v>93</v>
      </c>
      <c r="H132" s="49" t="s">
        <v>50</v>
      </c>
      <c r="I132" s="39" t="s">
        <v>51</v>
      </c>
      <c r="J132" s="39" t="s">
        <v>94</v>
      </c>
      <c r="K132" s="42" t="s">
        <v>95</v>
      </c>
      <c r="L132" s="55"/>
      <c r="M132" s="51" t="b">
        <v>1</v>
      </c>
      <c r="N132" s="56" t="s">
        <v>96</v>
      </c>
      <c r="O132" s="45" t="s">
        <v>97</v>
      </c>
      <c r="P132" s="46"/>
      <c r="Q132" s="47"/>
      <c r="R132" s="47"/>
      <c r="S132" s="46"/>
      <c r="T132" s="46"/>
      <c r="U132" s="13"/>
      <c r="V132" s="13"/>
      <c r="W132" s="13"/>
      <c r="X132" s="13"/>
      <c r="Y132" s="13"/>
      <c r="Z132" s="13"/>
      <c r="AA132" s="13"/>
      <c r="AB132" s="13"/>
      <c r="AC132" s="13"/>
    </row>
    <row r="133" ht="16.5" customHeight="1">
      <c r="A133" s="35">
        <v>130.0</v>
      </c>
      <c r="B133" s="36" t="s">
        <v>1009</v>
      </c>
      <c r="C133" s="37" t="s">
        <v>1010</v>
      </c>
      <c r="D133" s="38" t="s">
        <v>1011</v>
      </c>
      <c r="E133" s="38"/>
      <c r="F133" s="38" t="s">
        <v>1012</v>
      </c>
      <c r="G133" s="39" t="s">
        <v>1013</v>
      </c>
      <c r="H133" s="49" t="s">
        <v>38</v>
      </c>
      <c r="I133" s="57" t="s">
        <v>51</v>
      </c>
      <c r="J133" s="39" t="s">
        <v>163</v>
      </c>
      <c r="K133" s="39">
        <v>11.0</v>
      </c>
      <c r="L133" s="58" t="s">
        <v>1014</v>
      </c>
      <c r="M133" s="51" t="b">
        <v>0</v>
      </c>
      <c r="N133" s="46"/>
      <c r="O133" s="46"/>
      <c r="P133" s="46" t="s">
        <v>1015</v>
      </c>
      <c r="Q133" s="47"/>
      <c r="R133" s="47"/>
      <c r="S133" s="46"/>
      <c r="T133" s="46"/>
      <c r="U133" s="13"/>
      <c r="V133" s="13"/>
      <c r="W133" s="13"/>
      <c r="X133" s="13"/>
      <c r="Y133" s="13"/>
      <c r="Z133" s="13"/>
      <c r="AA133" s="13"/>
      <c r="AB133" s="13"/>
      <c r="AC133" s="13"/>
    </row>
    <row r="134" ht="16.5" hidden="1" customHeight="1">
      <c r="A134" s="35">
        <v>131.0</v>
      </c>
      <c r="B134" s="36" t="s">
        <v>1016</v>
      </c>
      <c r="C134" s="37" t="s">
        <v>1017</v>
      </c>
      <c r="D134" s="38" t="s">
        <v>1018</v>
      </c>
      <c r="E134" s="38"/>
      <c r="F134" s="38" t="s">
        <v>1019</v>
      </c>
      <c r="G134" s="39" t="s">
        <v>1020</v>
      </c>
      <c r="H134" s="49" t="s">
        <v>50</v>
      </c>
      <c r="I134" s="85" t="s">
        <v>51</v>
      </c>
      <c r="J134" s="39" t="s">
        <v>1021</v>
      </c>
      <c r="K134" s="94" t="s">
        <v>41</v>
      </c>
      <c r="L134" s="93" t="s">
        <v>1022</v>
      </c>
      <c r="M134" s="51" t="b">
        <v>0</v>
      </c>
      <c r="N134" s="44" t="s">
        <v>1023</v>
      </c>
      <c r="O134" s="45" t="s">
        <v>1024</v>
      </c>
      <c r="P134" s="46"/>
      <c r="Q134" s="47"/>
      <c r="R134" s="47"/>
      <c r="S134" s="46"/>
      <c r="T134" s="46"/>
      <c r="U134" s="13"/>
      <c r="V134" s="13"/>
      <c r="W134" s="13"/>
      <c r="X134" s="13"/>
      <c r="Y134" s="13"/>
      <c r="Z134" s="13"/>
      <c r="AA134" s="13"/>
      <c r="AB134" s="13"/>
      <c r="AC134" s="13"/>
    </row>
    <row r="135" ht="409.5" hidden="1" customHeight="1">
      <c r="A135" s="35">
        <v>132.0</v>
      </c>
      <c r="B135" s="36" t="s">
        <v>1025</v>
      </c>
      <c r="C135" s="37" t="s">
        <v>1026</v>
      </c>
      <c r="D135" s="38" t="s">
        <v>1027</v>
      </c>
      <c r="E135" s="38" t="s">
        <v>1028</v>
      </c>
      <c r="F135" s="38" t="s">
        <v>1029</v>
      </c>
      <c r="G135" s="39" t="s">
        <v>1030</v>
      </c>
      <c r="H135" s="49" t="s">
        <v>38</v>
      </c>
      <c r="I135" s="39" t="s">
        <v>51</v>
      </c>
      <c r="J135" s="39" t="s">
        <v>1031</v>
      </c>
      <c r="K135" s="39" t="s">
        <v>1032</v>
      </c>
      <c r="L135" s="107" t="s">
        <v>1033</v>
      </c>
      <c r="M135" s="51" t="b">
        <v>0</v>
      </c>
      <c r="N135" s="46"/>
      <c r="O135" s="46"/>
      <c r="P135" s="46"/>
      <c r="Q135" s="47"/>
      <c r="R135" s="47"/>
      <c r="S135" s="46"/>
      <c r="T135" s="46"/>
      <c r="U135" s="13"/>
      <c r="V135" s="13"/>
      <c r="W135" s="13"/>
      <c r="X135" s="13"/>
      <c r="Y135" s="13"/>
      <c r="Z135" s="13"/>
      <c r="AA135" s="13"/>
      <c r="AB135" s="13"/>
      <c r="AC135" s="13"/>
    </row>
    <row r="136" ht="409.5" hidden="1" customHeight="1">
      <c r="A136" s="35">
        <v>133.0</v>
      </c>
      <c r="B136" s="36" t="s">
        <v>1034</v>
      </c>
      <c r="C136" s="37" t="s">
        <v>1035</v>
      </c>
      <c r="D136" s="38" t="s">
        <v>1036</v>
      </c>
      <c r="E136" s="38"/>
      <c r="F136" s="38" t="s">
        <v>1037</v>
      </c>
      <c r="G136" s="39" t="s">
        <v>231</v>
      </c>
      <c r="H136" s="49" t="s">
        <v>64</v>
      </c>
      <c r="I136" s="39" t="s">
        <v>65</v>
      </c>
      <c r="J136" s="55"/>
      <c r="K136" s="55"/>
      <c r="L136" s="55"/>
      <c r="M136" s="51" t="b">
        <v>0</v>
      </c>
      <c r="N136" s="46"/>
      <c r="O136" s="46"/>
      <c r="P136" s="46"/>
      <c r="Q136" s="47"/>
      <c r="R136" s="47"/>
      <c r="S136" s="46"/>
      <c r="T136" s="46"/>
      <c r="U136" s="13"/>
      <c r="V136" s="13"/>
      <c r="W136" s="13"/>
      <c r="X136" s="13"/>
      <c r="Y136" s="13"/>
      <c r="Z136" s="13"/>
      <c r="AA136" s="13"/>
      <c r="AB136" s="13"/>
      <c r="AC136" s="13"/>
    </row>
    <row r="137" ht="409.5" hidden="1" customHeight="1">
      <c r="A137" s="35">
        <v>134.0</v>
      </c>
      <c r="B137" s="36" t="s">
        <v>1038</v>
      </c>
      <c r="C137" s="37" t="s">
        <v>1039</v>
      </c>
      <c r="D137" s="38" t="s">
        <v>1040</v>
      </c>
      <c r="E137" s="38"/>
      <c r="F137" s="38" t="s">
        <v>1037</v>
      </c>
      <c r="G137" s="39" t="s">
        <v>231</v>
      </c>
      <c r="H137" s="49" t="s">
        <v>64</v>
      </c>
      <c r="I137" s="39" t="s">
        <v>65</v>
      </c>
      <c r="J137" s="55"/>
      <c r="K137" s="55"/>
      <c r="L137" s="55"/>
      <c r="M137" s="51" t="b">
        <v>0</v>
      </c>
      <c r="N137" s="46"/>
      <c r="O137" s="46"/>
      <c r="P137" s="46"/>
      <c r="Q137" s="47"/>
      <c r="R137" s="47"/>
      <c r="S137" s="46"/>
      <c r="T137" s="46"/>
      <c r="U137" s="13"/>
      <c r="V137" s="13"/>
      <c r="W137" s="13"/>
      <c r="X137" s="13"/>
      <c r="Y137" s="13"/>
      <c r="Z137" s="13"/>
      <c r="AA137" s="13"/>
      <c r="AB137" s="13"/>
      <c r="AC137" s="13"/>
    </row>
    <row r="138" ht="376.5" hidden="1" customHeight="1">
      <c r="A138" s="35">
        <v>135.0</v>
      </c>
      <c r="B138" s="36" t="s">
        <v>1041</v>
      </c>
      <c r="C138" s="37" t="s">
        <v>1042</v>
      </c>
      <c r="D138" s="38" t="s">
        <v>1043</v>
      </c>
      <c r="E138" s="38" t="s">
        <v>1044</v>
      </c>
      <c r="F138" s="38" t="s">
        <v>1045</v>
      </c>
      <c r="G138" s="39" t="s">
        <v>1046</v>
      </c>
      <c r="H138" s="49" t="s">
        <v>50</v>
      </c>
      <c r="I138" s="39" t="s">
        <v>51</v>
      </c>
      <c r="J138" s="39" t="s">
        <v>1047</v>
      </c>
      <c r="K138" s="42" t="s">
        <v>932</v>
      </c>
      <c r="L138" s="39" t="s">
        <v>1048</v>
      </c>
      <c r="M138" s="51" t="b">
        <v>1</v>
      </c>
      <c r="N138" s="56" t="s">
        <v>1049</v>
      </c>
      <c r="O138" s="45" t="s">
        <v>1050</v>
      </c>
      <c r="P138" s="46"/>
      <c r="Q138" s="47"/>
      <c r="R138" s="47"/>
      <c r="S138" s="46"/>
      <c r="T138" s="46"/>
      <c r="U138" s="13"/>
      <c r="V138" s="13"/>
      <c r="W138" s="13"/>
      <c r="X138" s="13"/>
      <c r="Y138" s="13"/>
      <c r="Z138" s="13"/>
      <c r="AA138" s="13"/>
      <c r="AB138" s="13"/>
      <c r="AC138" s="13"/>
    </row>
    <row r="139" ht="16.5" hidden="1" customHeight="1">
      <c r="A139" s="35">
        <v>136.0</v>
      </c>
      <c r="B139" s="36" t="s">
        <v>1051</v>
      </c>
      <c r="C139" s="37" t="s">
        <v>1052</v>
      </c>
      <c r="D139" s="38" t="s">
        <v>1053</v>
      </c>
      <c r="E139" s="38" t="s">
        <v>1054</v>
      </c>
      <c r="F139" s="38" t="s">
        <v>1055</v>
      </c>
      <c r="G139" s="39" t="s">
        <v>914</v>
      </c>
      <c r="H139" s="49" t="s">
        <v>50</v>
      </c>
      <c r="I139" s="39" t="s">
        <v>51</v>
      </c>
      <c r="J139" s="39" t="s">
        <v>915</v>
      </c>
      <c r="K139" s="108">
        <v>45878.0</v>
      </c>
      <c r="L139" s="109" t="s">
        <v>1056</v>
      </c>
      <c r="M139" s="51" t="b">
        <v>0</v>
      </c>
      <c r="N139" s="96"/>
      <c r="O139" s="96"/>
      <c r="P139" s="96" t="s">
        <v>1057</v>
      </c>
      <c r="Q139" s="47"/>
      <c r="R139" s="47"/>
      <c r="S139" s="46"/>
      <c r="T139" s="46"/>
      <c r="U139" s="13"/>
      <c r="V139" s="13"/>
      <c r="W139" s="13"/>
      <c r="X139" s="13"/>
      <c r="Y139" s="13"/>
      <c r="Z139" s="13"/>
      <c r="AA139" s="13"/>
      <c r="AB139" s="13"/>
      <c r="AC139" s="13"/>
    </row>
    <row r="140" ht="409.5" hidden="1" customHeight="1">
      <c r="A140" s="35">
        <v>137.0</v>
      </c>
      <c r="B140" s="36" t="s">
        <v>1058</v>
      </c>
      <c r="C140" s="37" t="s">
        <v>1059</v>
      </c>
      <c r="D140" s="38" t="s">
        <v>1060</v>
      </c>
      <c r="E140" s="38"/>
      <c r="F140" s="38" t="s">
        <v>1037</v>
      </c>
      <c r="G140" s="39" t="s">
        <v>231</v>
      </c>
      <c r="H140" s="49" t="s">
        <v>64</v>
      </c>
      <c r="I140" s="39" t="s">
        <v>65</v>
      </c>
      <c r="J140" s="55"/>
      <c r="K140" s="55"/>
      <c r="L140" s="55"/>
      <c r="M140" s="51" t="b">
        <v>0</v>
      </c>
      <c r="N140" s="46"/>
      <c r="O140" s="46"/>
      <c r="P140" s="46"/>
      <c r="Q140" s="47"/>
      <c r="R140" s="47"/>
      <c r="S140" s="46"/>
      <c r="T140" s="46"/>
      <c r="U140" s="13"/>
      <c r="V140" s="13"/>
      <c r="W140" s="13"/>
      <c r="X140" s="13"/>
      <c r="Y140" s="13"/>
      <c r="Z140" s="13"/>
      <c r="AA140" s="13"/>
      <c r="AB140" s="13"/>
      <c r="AC140" s="13"/>
    </row>
    <row r="141" ht="16.5" hidden="1" customHeight="1">
      <c r="A141" s="35">
        <v>138.0</v>
      </c>
      <c r="B141" s="36" t="s">
        <v>1061</v>
      </c>
      <c r="C141" s="37" t="s">
        <v>1062</v>
      </c>
      <c r="D141" s="38" t="s">
        <v>1063</v>
      </c>
      <c r="E141" s="38"/>
      <c r="F141" s="38" t="s">
        <v>1064</v>
      </c>
      <c r="G141" s="48" t="s">
        <v>1065</v>
      </c>
      <c r="H141" s="49" t="s">
        <v>50</v>
      </c>
      <c r="I141" s="39" t="s">
        <v>51</v>
      </c>
      <c r="J141" s="39" t="s">
        <v>1066</v>
      </c>
      <c r="K141" s="42" t="s">
        <v>164</v>
      </c>
      <c r="L141" s="39"/>
      <c r="M141" s="51" t="b">
        <v>1</v>
      </c>
      <c r="N141" s="56" t="s">
        <v>1067</v>
      </c>
      <c r="O141" s="68"/>
      <c r="P141" s="46"/>
      <c r="Q141" s="47"/>
      <c r="R141" s="47"/>
      <c r="S141" s="46"/>
      <c r="T141" s="46"/>
      <c r="U141" s="13"/>
      <c r="V141" s="13"/>
      <c r="W141" s="13"/>
      <c r="X141" s="13"/>
      <c r="Y141" s="13"/>
      <c r="Z141" s="13"/>
      <c r="AA141" s="13"/>
      <c r="AB141" s="13"/>
      <c r="AC141" s="13"/>
    </row>
    <row r="142" ht="409.5" hidden="1" customHeight="1">
      <c r="A142" s="35">
        <v>139.0</v>
      </c>
      <c r="B142" s="36" t="s">
        <v>1068</v>
      </c>
      <c r="C142" s="37" t="s">
        <v>1069</v>
      </c>
      <c r="D142" s="38" t="s">
        <v>1070</v>
      </c>
      <c r="E142" s="38" t="s">
        <v>1071</v>
      </c>
      <c r="F142" s="38" t="s">
        <v>1072</v>
      </c>
      <c r="G142" s="39" t="s">
        <v>231</v>
      </c>
      <c r="H142" s="49" t="s">
        <v>64</v>
      </c>
      <c r="I142" s="39" t="s">
        <v>65</v>
      </c>
      <c r="J142" s="55"/>
      <c r="K142" s="55"/>
      <c r="L142" s="55"/>
      <c r="M142" s="51" t="b">
        <v>0</v>
      </c>
      <c r="N142" s="46"/>
      <c r="O142" s="46"/>
      <c r="P142" s="46"/>
      <c r="Q142" s="47"/>
      <c r="R142" s="47"/>
      <c r="S142" s="46"/>
      <c r="T142" s="46"/>
      <c r="U142" s="13"/>
      <c r="V142" s="13"/>
      <c r="W142" s="13"/>
      <c r="X142" s="13"/>
      <c r="Y142" s="13"/>
      <c r="Z142" s="13"/>
      <c r="AA142" s="13"/>
      <c r="AB142" s="13"/>
      <c r="AC142" s="13"/>
    </row>
    <row r="143" ht="409.5" hidden="1" customHeight="1">
      <c r="A143" s="35">
        <v>140.0</v>
      </c>
      <c r="B143" s="36" t="s">
        <v>1073</v>
      </c>
      <c r="C143" s="37" t="s">
        <v>1074</v>
      </c>
      <c r="D143" s="38" t="s">
        <v>1075</v>
      </c>
      <c r="E143" s="38"/>
      <c r="F143" s="38" t="s">
        <v>1076</v>
      </c>
      <c r="G143" s="39" t="s">
        <v>231</v>
      </c>
      <c r="H143" s="49" t="s">
        <v>64</v>
      </c>
      <c r="I143" s="39" t="s">
        <v>65</v>
      </c>
      <c r="J143" s="55"/>
      <c r="K143" s="55"/>
      <c r="L143" s="55"/>
      <c r="M143" s="51" t="b">
        <v>0</v>
      </c>
      <c r="N143" s="46"/>
      <c r="O143" s="46"/>
      <c r="P143" s="46"/>
      <c r="Q143" s="47"/>
      <c r="R143" s="47"/>
      <c r="S143" s="46"/>
      <c r="T143" s="46"/>
      <c r="U143" s="13"/>
      <c r="V143" s="13"/>
      <c r="W143" s="13"/>
      <c r="X143" s="13"/>
      <c r="Y143" s="13"/>
      <c r="Z143" s="13"/>
      <c r="AA143" s="13"/>
      <c r="AB143" s="13"/>
      <c r="AC143" s="13"/>
    </row>
    <row r="144" ht="409.5" hidden="1" customHeight="1">
      <c r="A144" s="35">
        <v>141.0</v>
      </c>
      <c r="B144" s="36" t="s">
        <v>1077</v>
      </c>
      <c r="C144" s="37" t="s">
        <v>1078</v>
      </c>
      <c r="D144" s="38" t="s">
        <v>1079</v>
      </c>
      <c r="E144" s="38" t="s">
        <v>760</v>
      </c>
      <c r="F144" s="38" t="s">
        <v>1080</v>
      </c>
      <c r="G144" s="39" t="s">
        <v>231</v>
      </c>
      <c r="H144" s="49" t="s">
        <v>64</v>
      </c>
      <c r="I144" s="39" t="s">
        <v>65</v>
      </c>
      <c r="J144" s="55"/>
      <c r="K144" s="55"/>
      <c r="L144" s="55"/>
      <c r="M144" s="51" t="b">
        <v>0</v>
      </c>
      <c r="N144" s="46"/>
      <c r="O144" s="46"/>
      <c r="P144" s="46"/>
      <c r="Q144" s="47"/>
      <c r="R144" s="47"/>
      <c r="S144" s="46"/>
      <c r="T144" s="46"/>
      <c r="U144" s="13"/>
      <c r="V144" s="13"/>
      <c r="W144" s="13"/>
      <c r="X144" s="13"/>
      <c r="Y144" s="13"/>
      <c r="Z144" s="13"/>
      <c r="AA144" s="13"/>
      <c r="AB144" s="13"/>
      <c r="AC144" s="13"/>
    </row>
    <row r="145" ht="16.5" hidden="1" customHeight="1">
      <c r="A145" s="35">
        <v>142.0</v>
      </c>
      <c r="B145" s="36" t="s">
        <v>1081</v>
      </c>
      <c r="C145" s="37" t="s">
        <v>1082</v>
      </c>
      <c r="D145" s="38" t="s">
        <v>1083</v>
      </c>
      <c r="E145" s="38" t="s">
        <v>1084</v>
      </c>
      <c r="F145" s="38" t="s">
        <v>1085</v>
      </c>
      <c r="G145" s="48" t="s">
        <v>231</v>
      </c>
      <c r="H145" s="49" t="s">
        <v>64</v>
      </c>
      <c r="I145" s="57" t="s">
        <v>65</v>
      </c>
      <c r="J145" s="110"/>
      <c r="K145" s="55"/>
      <c r="L145" s="55"/>
      <c r="M145" s="51" t="b">
        <v>0</v>
      </c>
      <c r="N145" s="46"/>
      <c r="O145" s="46"/>
      <c r="P145" s="46" t="s">
        <v>1086</v>
      </c>
      <c r="Q145" s="47"/>
      <c r="R145" s="47"/>
      <c r="S145" s="46"/>
      <c r="T145" s="46"/>
      <c r="U145" s="13"/>
      <c r="V145" s="13"/>
      <c r="W145" s="13"/>
      <c r="X145" s="13"/>
      <c r="Y145" s="13"/>
      <c r="Z145" s="13"/>
      <c r="AA145" s="13"/>
      <c r="AB145" s="13"/>
      <c r="AC145" s="13"/>
    </row>
    <row r="146" ht="16.5" hidden="1" customHeight="1">
      <c r="A146" s="35">
        <v>143.0</v>
      </c>
      <c r="B146" s="36" t="s">
        <v>1087</v>
      </c>
      <c r="C146" s="37" t="s">
        <v>1088</v>
      </c>
      <c r="D146" s="38" t="s">
        <v>1089</v>
      </c>
      <c r="E146" s="38" t="s">
        <v>1090</v>
      </c>
      <c r="F146" s="38" t="s">
        <v>1091</v>
      </c>
      <c r="G146" s="39" t="s">
        <v>1092</v>
      </c>
      <c r="H146" s="49" t="s">
        <v>50</v>
      </c>
      <c r="I146" s="39" t="s">
        <v>51</v>
      </c>
      <c r="J146" s="39" t="s">
        <v>675</v>
      </c>
      <c r="K146" s="42" t="s">
        <v>1093</v>
      </c>
      <c r="L146" s="39" t="s">
        <v>1094</v>
      </c>
      <c r="M146" s="51" t="b">
        <v>1</v>
      </c>
      <c r="N146" s="56" t="s">
        <v>1095</v>
      </c>
      <c r="O146" s="68"/>
      <c r="P146" s="46"/>
      <c r="Q146" s="47"/>
      <c r="R146" s="47"/>
      <c r="S146" s="46"/>
      <c r="T146" s="46"/>
      <c r="U146" s="13"/>
      <c r="V146" s="13"/>
      <c r="W146" s="13"/>
      <c r="X146" s="13"/>
      <c r="Y146" s="13"/>
      <c r="Z146" s="13"/>
      <c r="AA146" s="13"/>
      <c r="AB146" s="13"/>
      <c r="AC146" s="13"/>
    </row>
    <row r="147" ht="16.5" hidden="1" customHeight="1">
      <c r="A147" s="35">
        <v>144.0</v>
      </c>
      <c r="B147" s="36" t="s">
        <v>1096</v>
      </c>
      <c r="C147" s="37" t="s">
        <v>1097</v>
      </c>
      <c r="D147" s="38" t="s">
        <v>1098</v>
      </c>
      <c r="E147" s="38" t="s">
        <v>1099</v>
      </c>
      <c r="F147" s="38" t="s">
        <v>1100</v>
      </c>
      <c r="G147" s="39" t="s">
        <v>1101</v>
      </c>
      <c r="H147" s="49" t="s">
        <v>50</v>
      </c>
      <c r="I147" s="39" t="s">
        <v>51</v>
      </c>
      <c r="J147" s="39" t="s">
        <v>855</v>
      </c>
      <c r="K147" s="42" t="s">
        <v>1102</v>
      </c>
      <c r="L147" s="39"/>
      <c r="M147" s="51" t="b">
        <v>1</v>
      </c>
      <c r="N147" s="56" t="s">
        <v>1103</v>
      </c>
      <c r="O147" s="68"/>
      <c r="P147" s="46"/>
      <c r="Q147" s="47"/>
      <c r="R147" s="47"/>
      <c r="S147" s="46"/>
      <c r="T147" s="46"/>
      <c r="U147" s="13"/>
      <c r="V147" s="13"/>
      <c r="W147" s="13"/>
      <c r="X147" s="13"/>
      <c r="Y147" s="13"/>
      <c r="Z147" s="13"/>
      <c r="AA147" s="13"/>
      <c r="AB147" s="13"/>
      <c r="AC147" s="13"/>
    </row>
    <row r="148" ht="16.5" hidden="1" customHeight="1">
      <c r="A148" s="35">
        <v>145.0</v>
      </c>
      <c r="B148" s="36" t="s">
        <v>1104</v>
      </c>
      <c r="C148" s="37" t="s">
        <v>1105</v>
      </c>
      <c r="D148" s="38" t="s">
        <v>1106</v>
      </c>
      <c r="E148" s="38"/>
      <c r="F148" s="38" t="s">
        <v>1107</v>
      </c>
      <c r="G148" s="39" t="s">
        <v>1108</v>
      </c>
      <c r="H148" s="49" t="s">
        <v>50</v>
      </c>
      <c r="I148" s="39" t="s">
        <v>51</v>
      </c>
      <c r="J148" s="39" t="s">
        <v>675</v>
      </c>
      <c r="K148" s="42" t="s">
        <v>154</v>
      </c>
      <c r="L148" s="39" t="s">
        <v>1109</v>
      </c>
      <c r="M148" s="51" t="b">
        <v>1</v>
      </c>
      <c r="N148" s="56" t="s">
        <v>1110</v>
      </c>
      <c r="O148" s="46"/>
      <c r="P148" s="46" t="s">
        <v>1111</v>
      </c>
      <c r="Q148" s="47"/>
      <c r="R148" s="47"/>
      <c r="S148" s="46"/>
      <c r="T148" s="46"/>
      <c r="U148" s="13"/>
      <c r="V148" s="13"/>
      <c r="W148" s="13"/>
      <c r="X148" s="13"/>
      <c r="Y148" s="13"/>
      <c r="Z148" s="13"/>
      <c r="AA148" s="13"/>
      <c r="AB148" s="13"/>
      <c r="AC148" s="13"/>
    </row>
    <row r="149" ht="409.5" hidden="1" customHeight="1">
      <c r="A149" s="35">
        <v>146.0</v>
      </c>
      <c r="B149" s="36" t="s">
        <v>1112</v>
      </c>
      <c r="C149" s="37" t="s">
        <v>1113</v>
      </c>
      <c r="D149" s="38" t="s">
        <v>1114</v>
      </c>
      <c r="E149" s="38"/>
      <c r="F149" s="38" t="s">
        <v>1115</v>
      </c>
      <c r="G149" s="39" t="s">
        <v>231</v>
      </c>
      <c r="H149" s="49" t="s">
        <v>64</v>
      </c>
      <c r="I149" s="39" t="s">
        <v>65</v>
      </c>
      <c r="J149" s="55"/>
      <c r="K149" s="55"/>
      <c r="L149" s="55"/>
      <c r="M149" s="51" t="b">
        <v>0</v>
      </c>
      <c r="N149" s="46"/>
      <c r="O149" s="46"/>
      <c r="P149" s="46"/>
      <c r="Q149" s="47"/>
      <c r="R149" s="47"/>
      <c r="S149" s="46"/>
      <c r="T149" s="46"/>
      <c r="U149" s="13"/>
      <c r="V149" s="13"/>
      <c r="W149" s="13"/>
      <c r="X149" s="13"/>
      <c r="Y149" s="13"/>
      <c r="Z149" s="13"/>
      <c r="AA149" s="13"/>
      <c r="AB149" s="13"/>
      <c r="AC149" s="13"/>
    </row>
    <row r="150" ht="16.5" hidden="1" customHeight="1">
      <c r="A150" s="35">
        <v>147.0</v>
      </c>
      <c r="B150" s="36" t="s">
        <v>1116</v>
      </c>
      <c r="C150" s="37" t="s">
        <v>1117</v>
      </c>
      <c r="D150" s="38" t="s">
        <v>1118</v>
      </c>
      <c r="E150" s="38" t="s">
        <v>1054</v>
      </c>
      <c r="F150" s="38" t="s">
        <v>1119</v>
      </c>
      <c r="G150" s="39" t="s">
        <v>1120</v>
      </c>
      <c r="H150" s="49" t="s">
        <v>50</v>
      </c>
      <c r="I150" s="39" t="s">
        <v>51</v>
      </c>
      <c r="J150" s="39" t="s">
        <v>1121</v>
      </c>
      <c r="K150" s="42" t="s">
        <v>1122</v>
      </c>
      <c r="L150" s="39"/>
      <c r="M150" s="51" t="b">
        <v>1</v>
      </c>
      <c r="N150" s="56" t="s">
        <v>1123</v>
      </c>
      <c r="O150" s="68"/>
      <c r="P150" s="46"/>
      <c r="Q150" s="47"/>
      <c r="R150" s="47"/>
      <c r="S150" s="46"/>
      <c r="T150" s="46"/>
      <c r="U150" s="13"/>
      <c r="V150" s="13"/>
      <c r="W150" s="13"/>
      <c r="X150" s="13"/>
      <c r="Y150" s="13"/>
      <c r="Z150" s="13"/>
      <c r="AA150" s="13"/>
      <c r="AB150" s="13"/>
      <c r="AC150" s="13"/>
    </row>
    <row r="151" ht="16.5" hidden="1" customHeight="1">
      <c r="A151" s="35">
        <v>148.0</v>
      </c>
      <c r="B151" s="36" t="s">
        <v>1124</v>
      </c>
      <c r="C151" s="37" t="s">
        <v>1125</v>
      </c>
      <c r="D151" s="38" t="s">
        <v>1126</v>
      </c>
      <c r="E151" s="38"/>
      <c r="F151" s="38" t="s">
        <v>1127</v>
      </c>
      <c r="G151" s="39" t="s">
        <v>1128</v>
      </c>
      <c r="H151" s="49" t="s">
        <v>38</v>
      </c>
      <c r="I151" s="39" t="s">
        <v>51</v>
      </c>
      <c r="J151" s="65" t="s">
        <v>153</v>
      </c>
      <c r="K151" s="66" t="s">
        <v>773</v>
      </c>
      <c r="L151" s="58" t="s">
        <v>1129</v>
      </c>
      <c r="M151" s="51" t="b">
        <v>1</v>
      </c>
      <c r="N151" s="67" t="s">
        <v>1130</v>
      </c>
      <c r="O151" s="68"/>
      <c r="P151" s="46"/>
      <c r="Q151" s="47"/>
      <c r="R151" s="47"/>
      <c r="S151" s="46"/>
      <c r="T151" s="46"/>
      <c r="U151" s="13"/>
      <c r="V151" s="13"/>
      <c r="W151" s="13"/>
      <c r="X151" s="13"/>
      <c r="Y151" s="13"/>
      <c r="Z151" s="13"/>
      <c r="AA151" s="13"/>
      <c r="AB151" s="13"/>
      <c r="AC151" s="13"/>
    </row>
    <row r="152" ht="16.5" hidden="1" customHeight="1">
      <c r="A152" s="35">
        <v>149.0</v>
      </c>
      <c r="B152" s="36" t="s">
        <v>1131</v>
      </c>
      <c r="C152" s="37" t="s">
        <v>1132</v>
      </c>
      <c r="D152" s="38" t="s">
        <v>1133</v>
      </c>
      <c r="E152" s="38"/>
      <c r="F152" s="38" t="s">
        <v>1134</v>
      </c>
      <c r="G152" s="48" t="s">
        <v>1135</v>
      </c>
      <c r="H152" s="49" t="s">
        <v>64</v>
      </c>
      <c r="I152" s="39" t="s">
        <v>65</v>
      </c>
      <c r="J152" s="55"/>
      <c r="K152" s="55"/>
      <c r="L152" s="55"/>
      <c r="M152" s="51" t="b">
        <v>0</v>
      </c>
      <c r="N152" s="46"/>
      <c r="O152" s="46"/>
      <c r="P152" s="46"/>
      <c r="Q152" s="47"/>
      <c r="R152" s="47"/>
      <c r="S152" s="46"/>
      <c r="T152" s="46"/>
      <c r="U152" s="13"/>
      <c r="V152" s="13"/>
      <c r="W152" s="13"/>
      <c r="X152" s="13"/>
      <c r="Y152" s="13"/>
      <c r="Z152" s="13"/>
      <c r="AA152" s="13"/>
      <c r="AB152" s="13"/>
      <c r="AC152" s="13"/>
    </row>
    <row r="153" ht="16.5" hidden="1" customHeight="1">
      <c r="A153" s="35">
        <v>150.0</v>
      </c>
      <c r="B153" s="36" t="s">
        <v>1136</v>
      </c>
      <c r="C153" s="37" t="s">
        <v>1137</v>
      </c>
      <c r="D153" s="38" t="s">
        <v>1138</v>
      </c>
      <c r="E153" s="38"/>
      <c r="F153" s="38" t="s">
        <v>1139</v>
      </c>
      <c r="G153" s="39" t="s">
        <v>1140</v>
      </c>
      <c r="H153" s="49" t="s">
        <v>38</v>
      </c>
      <c r="I153" s="39" t="s">
        <v>51</v>
      </c>
      <c r="J153" s="65" t="s">
        <v>153</v>
      </c>
      <c r="K153" s="66" t="s">
        <v>41</v>
      </c>
      <c r="L153" s="58"/>
      <c r="M153" s="51" t="b">
        <v>1</v>
      </c>
      <c r="N153" s="67" t="s">
        <v>190</v>
      </c>
      <c r="O153" s="68"/>
      <c r="P153" s="46"/>
      <c r="Q153" s="47"/>
      <c r="R153" s="47"/>
      <c r="S153" s="46"/>
      <c r="T153" s="46"/>
      <c r="U153" s="13"/>
      <c r="V153" s="13"/>
      <c r="W153" s="13"/>
      <c r="X153" s="13"/>
      <c r="Y153" s="13"/>
      <c r="Z153" s="13"/>
      <c r="AA153" s="13"/>
      <c r="AB153" s="13"/>
      <c r="AC153" s="13"/>
    </row>
    <row r="154" ht="16.5" hidden="1" customHeight="1">
      <c r="A154" s="35">
        <v>151.0</v>
      </c>
      <c r="B154" s="36" t="s">
        <v>1141</v>
      </c>
      <c r="C154" s="37" t="s">
        <v>1142</v>
      </c>
      <c r="D154" s="38" t="s">
        <v>1143</v>
      </c>
      <c r="E154" s="38"/>
      <c r="F154" s="38" t="s">
        <v>1144</v>
      </c>
      <c r="G154" s="39" t="s">
        <v>1145</v>
      </c>
      <c r="H154" s="49" t="s">
        <v>38</v>
      </c>
      <c r="I154" s="39" t="s">
        <v>51</v>
      </c>
      <c r="J154" s="65" t="s">
        <v>153</v>
      </c>
      <c r="K154" s="66" t="s">
        <v>1146</v>
      </c>
      <c r="L154" s="58" t="s">
        <v>1147</v>
      </c>
      <c r="M154" s="51" t="b">
        <v>1</v>
      </c>
      <c r="N154" s="67" t="s">
        <v>1148</v>
      </c>
      <c r="O154" s="68"/>
      <c r="P154" s="46"/>
      <c r="Q154" s="47"/>
      <c r="R154" s="47"/>
      <c r="S154" s="46"/>
      <c r="T154" s="46"/>
      <c r="U154" s="13"/>
      <c r="V154" s="13"/>
      <c r="W154" s="13"/>
      <c r="X154" s="13"/>
      <c r="Y154" s="13"/>
      <c r="Z154" s="13"/>
      <c r="AA154" s="13"/>
      <c r="AB154" s="13"/>
      <c r="AC154" s="13"/>
    </row>
    <row r="155" ht="376.5" hidden="1" customHeight="1">
      <c r="A155" s="35">
        <v>152.0</v>
      </c>
      <c r="B155" s="36" t="s">
        <v>1149</v>
      </c>
      <c r="C155" s="111" t="s">
        <v>1150</v>
      </c>
      <c r="D155" s="38" t="s">
        <v>1151</v>
      </c>
      <c r="E155" s="38" t="s">
        <v>1152</v>
      </c>
      <c r="F155" s="38" t="s">
        <v>1153</v>
      </c>
      <c r="G155" s="57" t="s">
        <v>1154</v>
      </c>
      <c r="H155" s="49" t="s">
        <v>50</v>
      </c>
      <c r="I155" s="57" t="s">
        <v>51</v>
      </c>
      <c r="J155" s="39" t="s">
        <v>1155</v>
      </c>
      <c r="K155" s="88" t="s">
        <v>41</v>
      </c>
      <c r="L155" s="59"/>
      <c r="M155" s="51" t="b">
        <v>1</v>
      </c>
      <c r="N155" s="67" t="s">
        <v>1156</v>
      </c>
      <c r="O155" s="98"/>
      <c r="P155" s="96"/>
      <c r="Q155" s="112"/>
      <c r="R155" s="112"/>
      <c r="S155" s="96"/>
      <c r="T155" s="96"/>
      <c r="U155" s="13"/>
      <c r="V155" s="13"/>
      <c r="W155" s="13"/>
      <c r="X155" s="13"/>
      <c r="Y155" s="13"/>
      <c r="Z155" s="13"/>
      <c r="AA155" s="13"/>
      <c r="AB155" s="13"/>
      <c r="AC155" s="13"/>
    </row>
    <row r="156" ht="288.0" hidden="1" customHeight="1">
      <c r="A156" s="35">
        <v>153.0</v>
      </c>
      <c r="B156" s="36" t="s">
        <v>1157</v>
      </c>
      <c r="C156" s="37" t="s">
        <v>1158</v>
      </c>
      <c r="D156" s="38" t="s">
        <v>1159</v>
      </c>
      <c r="E156" s="38"/>
      <c r="F156" s="38" t="s">
        <v>1160</v>
      </c>
      <c r="G156" s="39" t="s">
        <v>231</v>
      </c>
      <c r="H156" s="49" t="s">
        <v>64</v>
      </c>
      <c r="I156" s="39" t="s">
        <v>65</v>
      </c>
      <c r="J156" s="55"/>
      <c r="K156" s="55"/>
      <c r="L156" s="55"/>
      <c r="M156" s="51" t="b">
        <v>0</v>
      </c>
      <c r="N156" s="46"/>
      <c r="O156" s="46"/>
      <c r="P156" s="46"/>
      <c r="Q156" s="47"/>
      <c r="R156" s="47"/>
      <c r="S156" s="46"/>
      <c r="T156" s="46"/>
      <c r="U156" s="13"/>
      <c r="V156" s="13"/>
      <c r="W156" s="13"/>
      <c r="X156" s="13"/>
      <c r="Y156" s="13"/>
      <c r="Z156" s="13"/>
      <c r="AA156" s="13"/>
      <c r="AB156" s="13"/>
      <c r="AC156" s="13"/>
    </row>
    <row r="157" ht="16.5" hidden="1" customHeight="1">
      <c r="A157" s="35">
        <v>154.0</v>
      </c>
      <c r="B157" s="36" t="s">
        <v>1161</v>
      </c>
      <c r="C157" s="37" t="s">
        <v>1162</v>
      </c>
      <c r="D157" s="38" t="s">
        <v>1163</v>
      </c>
      <c r="E157" s="38"/>
      <c r="F157" s="38" t="s">
        <v>1164</v>
      </c>
      <c r="G157" s="39" t="s">
        <v>1165</v>
      </c>
      <c r="H157" s="49" t="s">
        <v>50</v>
      </c>
      <c r="I157" s="39" t="s">
        <v>51</v>
      </c>
      <c r="J157" s="39" t="s">
        <v>915</v>
      </c>
      <c r="K157" s="42" t="s">
        <v>1146</v>
      </c>
      <c r="L157" s="39" t="s">
        <v>1166</v>
      </c>
      <c r="M157" s="51" t="b">
        <v>1</v>
      </c>
      <c r="N157" s="56" t="s">
        <v>1167</v>
      </c>
      <c r="O157" s="68"/>
      <c r="P157" s="46"/>
      <c r="Q157" s="47"/>
      <c r="R157" s="47"/>
      <c r="S157" s="46"/>
      <c r="T157" s="46"/>
      <c r="U157" s="97"/>
      <c r="V157" s="13"/>
      <c r="W157" s="13"/>
      <c r="X157" s="13"/>
      <c r="Y157" s="13"/>
      <c r="Z157" s="13"/>
      <c r="AA157" s="13"/>
      <c r="AB157" s="13"/>
      <c r="AC157" s="13"/>
    </row>
    <row r="158" ht="16.5" hidden="1" customHeight="1">
      <c r="A158" s="35">
        <v>155.0</v>
      </c>
      <c r="B158" s="36" t="s">
        <v>1168</v>
      </c>
      <c r="C158" s="37" t="s">
        <v>1169</v>
      </c>
      <c r="D158" s="38" t="s">
        <v>1170</v>
      </c>
      <c r="E158" s="38" t="s">
        <v>1171</v>
      </c>
      <c r="F158" s="38" t="s">
        <v>1172</v>
      </c>
      <c r="G158" s="48" t="s">
        <v>1173</v>
      </c>
      <c r="H158" s="49" t="s">
        <v>38</v>
      </c>
      <c r="I158" s="39" t="s">
        <v>51</v>
      </c>
      <c r="J158" s="39" t="s">
        <v>786</v>
      </c>
      <c r="K158" s="39">
        <v>12.0</v>
      </c>
      <c r="L158" s="39"/>
      <c r="M158" s="51" t="b">
        <v>1</v>
      </c>
      <c r="N158" s="56" t="s">
        <v>1174</v>
      </c>
      <c r="O158" s="46"/>
      <c r="P158" s="46" t="s">
        <v>1175</v>
      </c>
      <c r="Q158" s="47"/>
      <c r="R158" s="47"/>
      <c r="S158" s="46"/>
      <c r="T158" s="46"/>
      <c r="U158" s="13"/>
      <c r="V158" s="13"/>
      <c r="W158" s="13"/>
      <c r="X158" s="13"/>
      <c r="Y158" s="13"/>
      <c r="Z158" s="13"/>
      <c r="AA158" s="13"/>
      <c r="AB158" s="13"/>
      <c r="AC158" s="13"/>
    </row>
    <row r="159" ht="16.5" hidden="1" customHeight="1">
      <c r="A159" s="35">
        <v>156.0</v>
      </c>
      <c r="B159" s="36" t="s">
        <v>1176</v>
      </c>
      <c r="C159" s="37" t="s">
        <v>1177</v>
      </c>
      <c r="D159" s="38" t="s">
        <v>1178</v>
      </c>
      <c r="E159" s="38" t="s">
        <v>1179</v>
      </c>
      <c r="F159" s="38" t="s">
        <v>1180</v>
      </c>
      <c r="G159" s="39" t="s">
        <v>1181</v>
      </c>
      <c r="H159" s="49" t="s">
        <v>50</v>
      </c>
      <c r="I159" s="85" t="s">
        <v>51</v>
      </c>
      <c r="J159" s="39" t="s">
        <v>550</v>
      </c>
      <c r="K159" s="94" t="s">
        <v>214</v>
      </c>
      <c r="L159" s="93" t="s">
        <v>1182</v>
      </c>
      <c r="M159" s="51" t="b">
        <v>1</v>
      </c>
      <c r="N159" s="56" t="s">
        <v>1183</v>
      </c>
      <c r="O159" s="45"/>
      <c r="P159" s="46"/>
      <c r="Q159" s="47"/>
      <c r="R159" s="47"/>
      <c r="S159" s="46"/>
      <c r="T159" s="46"/>
      <c r="U159" s="13"/>
      <c r="V159" s="13"/>
      <c r="W159" s="13"/>
      <c r="X159" s="13"/>
      <c r="Y159" s="13"/>
      <c r="Z159" s="13"/>
      <c r="AA159" s="13"/>
      <c r="AB159" s="13"/>
      <c r="AC159" s="13"/>
    </row>
    <row r="160" ht="16.5" hidden="1" customHeight="1">
      <c r="A160" s="35">
        <v>157.0</v>
      </c>
      <c r="B160" s="36" t="s">
        <v>1184</v>
      </c>
      <c r="C160" s="37" t="s">
        <v>1185</v>
      </c>
      <c r="D160" s="38" t="s">
        <v>1186</v>
      </c>
      <c r="E160" s="38" t="s">
        <v>1187</v>
      </c>
      <c r="F160" s="38" t="s">
        <v>1188</v>
      </c>
      <c r="G160" s="39" t="s">
        <v>1189</v>
      </c>
      <c r="H160" s="49" t="s">
        <v>50</v>
      </c>
      <c r="I160" s="39" t="s">
        <v>51</v>
      </c>
      <c r="J160" s="39" t="s">
        <v>1190</v>
      </c>
      <c r="K160" s="42" t="s">
        <v>1191</v>
      </c>
      <c r="L160" s="39" t="s">
        <v>1192</v>
      </c>
      <c r="M160" s="51" t="b">
        <v>1</v>
      </c>
      <c r="N160" s="56" t="s">
        <v>1193</v>
      </c>
      <c r="O160" s="68"/>
      <c r="P160" s="46"/>
      <c r="Q160" s="47"/>
      <c r="R160" s="47"/>
      <c r="S160" s="46"/>
      <c r="T160" s="46"/>
      <c r="U160" s="13"/>
      <c r="V160" s="13"/>
      <c r="W160" s="13"/>
      <c r="X160" s="13"/>
      <c r="Y160" s="13"/>
      <c r="Z160" s="13"/>
      <c r="AA160" s="13"/>
      <c r="AB160" s="13"/>
      <c r="AC160" s="13"/>
    </row>
    <row r="161" ht="16.5" hidden="1" customHeight="1">
      <c r="A161" s="35">
        <v>158.0</v>
      </c>
      <c r="B161" s="100" t="s">
        <v>1194</v>
      </c>
      <c r="C161" s="37" t="s">
        <v>1195</v>
      </c>
      <c r="D161" s="38" t="s">
        <v>1196</v>
      </c>
      <c r="E161" s="38"/>
      <c r="F161" s="38" t="s">
        <v>1197</v>
      </c>
      <c r="G161" s="39" t="s">
        <v>231</v>
      </c>
      <c r="H161" s="49" t="s">
        <v>64</v>
      </c>
      <c r="I161" s="39" t="s">
        <v>65</v>
      </c>
      <c r="J161" s="55"/>
      <c r="K161" s="55"/>
      <c r="L161" s="55"/>
      <c r="M161" s="51" t="b">
        <v>0</v>
      </c>
      <c r="N161" s="46"/>
      <c r="O161" s="46"/>
      <c r="P161" s="46"/>
      <c r="Q161" s="47"/>
      <c r="R161" s="47"/>
      <c r="S161" s="46"/>
      <c r="T161" s="46"/>
      <c r="U161" s="13"/>
      <c r="V161" s="13"/>
      <c r="W161" s="13"/>
      <c r="X161" s="13"/>
      <c r="Y161" s="13"/>
      <c r="Z161" s="13"/>
      <c r="AA161" s="13"/>
      <c r="AB161" s="13"/>
      <c r="AC161" s="13"/>
    </row>
    <row r="162" ht="16.5" hidden="1" customHeight="1">
      <c r="A162" s="35">
        <v>159.0</v>
      </c>
      <c r="B162" s="36" t="s">
        <v>1198</v>
      </c>
      <c r="C162" s="37" t="s">
        <v>1199</v>
      </c>
      <c r="D162" s="38" t="s">
        <v>1200</v>
      </c>
      <c r="E162" s="38"/>
      <c r="F162" s="38" t="s">
        <v>460</v>
      </c>
      <c r="G162" s="48" t="s">
        <v>806</v>
      </c>
      <c r="H162" s="49" t="s">
        <v>50</v>
      </c>
      <c r="I162" s="39" t="s">
        <v>51</v>
      </c>
      <c r="J162" s="90" t="s">
        <v>461</v>
      </c>
      <c r="K162" s="91" t="s">
        <v>462</v>
      </c>
      <c r="L162" s="92" t="s">
        <v>463</v>
      </c>
      <c r="M162" s="51" t="b">
        <v>1</v>
      </c>
      <c r="N162" s="56" t="s">
        <v>464</v>
      </c>
      <c r="O162" s="45" t="s">
        <v>1201</v>
      </c>
      <c r="P162" s="46"/>
      <c r="Q162" s="47"/>
      <c r="R162" s="47"/>
      <c r="S162" s="46"/>
      <c r="T162" s="46"/>
      <c r="U162" s="13"/>
      <c r="V162" s="13"/>
      <c r="W162" s="13"/>
      <c r="X162" s="13"/>
      <c r="Y162" s="13"/>
      <c r="Z162" s="13"/>
      <c r="AA162" s="13"/>
      <c r="AB162" s="13"/>
      <c r="AC162" s="13"/>
    </row>
    <row r="163" ht="16.5" hidden="1" customHeight="1">
      <c r="A163" s="35">
        <v>160.0</v>
      </c>
      <c r="B163" s="36" t="s">
        <v>1202</v>
      </c>
      <c r="C163" s="37" t="s">
        <v>1203</v>
      </c>
      <c r="D163" s="38" t="s">
        <v>1204</v>
      </c>
      <c r="E163" s="38" t="s">
        <v>1205</v>
      </c>
      <c r="F163" s="38" t="s">
        <v>196</v>
      </c>
      <c r="G163" s="39" t="s">
        <v>1206</v>
      </c>
      <c r="H163" s="49" t="s">
        <v>50</v>
      </c>
      <c r="I163" s="39" t="s">
        <v>51</v>
      </c>
      <c r="J163" s="39" t="s">
        <v>422</v>
      </c>
      <c r="K163" s="42" t="s">
        <v>1207</v>
      </c>
      <c r="L163" s="39" t="s">
        <v>1208</v>
      </c>
      <c r="M163" s="51" t="b">
        <v>1</v>
      </c>
      <c r="N163" s="86" t="s">
        <v>292</v>
      </c>
      <c r="O163" s="45" t="s">
        <v>1209</v>
      </c>
      <c r="P163" s="46"/>
      <c r="Q163" s="47"/>
      <c r="R163" s="47"/>
      <c r="S163" s="46"/>
      <c r="T163" s="46"/>
      <c r="U163" s="13"/>
      <c r="V163" s="13"/>
      <c r="W163" s="13"/>
      <c r="X163" s="13"/>
      <c r="Y163" s="13"/>
      <c r="Z163" s="13"/>
      <c r="AA163" s="13"/>
      <c r="AB163" s="13"/>
      <c r="AC163" s="13"/>
    </row>
    <row r="164" ht="409.5" hidden="1" customHeight="1">
      <c r="A164" s="35">
        <v>161.0</v>
      </c>
      <c r="B164" s="36" t="s">
        <v>1210</v>
      </c>
      <c r="C164" s="37" t="s">
        <v>1211</v>
      </c>
      <c r="D164" s="38" t="s">
        <v>1212</v>
      </c>
      <c r="E164" s="38"/>
      <c r="F164" s="38" t="s">
        <v>1213</v>
      </c>
      <c r="G164" s="39" t="s">
        <v>231</v>
      </c>
      <c r="H164" s="49" t="s">
        <v>64</v>
      </c>
      <c r="I164" s="39" t="s">
        <v>65</v>
      </c>
      <c r="J164" s="55"/>
      <c r="K164" s="55"/>
      <c r="L164" s="55"/>
      <c r="M164" s="51" t="b">
        <v>0</v>
      </c>
      <c r="N164" s="46"/>
      <c r="O164" s="46"/>
      <c r="P164" s="46"/>
      <c r="Q164" s="47"/>
      <c r="R164" s="47"/>
      <c r="S164" s="46"/>
      <c r="T164" s="46"/>
      <c r="U164" s="13"/>
      <c r="V164" s="13"/>
      <c r="W164" s="13"/>
      <c r="X164" s="13"/>
      <c r="Y164" s="13"/>
      <c r="Z164" s="13"/>
      <c r="AA164" s="13"/>
      <c r="AB164" s="13"/>
      <c r="AC164" s="13"/>
    </row>
    <row r="165" ht="16.5" hidden="1" customHeight="1">
      <c r="A165" s="35">
        <v>162.0</v>
      </c>
      <c r="B165" s="36" t="s">
        <v>1214</v>
      </c>
      <c r="C165" s="37" t="s">
        <v>1215</v>
      </c>
      <c r="D165" s="38" t="s">
        <v>1216</v>
      </c>
      <c r="E165" s="38" t="s">
        <v>682</v>
      </c>
      <c r="F165" s="38" t="s">
        <v>1217</v>
      </c>
      <c r="G165" s="39" t="s">
        <v>1218</v>
      </c>
      <c r="H165" s="49" t="s">
        <v>50</v>
      </c>
      <c r="I165" s="85" t="s">
        <v>51</v>
      </c>
      <c r="J165" s="39" t="s">
        <v>550</v>
      </c>
      <c r="K165" s="94" t="s">
        <v>1003</v>
      </c>
      <c r="L165" s="93" t="s">
        <v>1004</v>
      </c>
      <c r="M165" s="51" t="b">
        <v>1</v>
      </c>
      <c r="N165" s="56" t="s">
        <v>686</v>
      </c>
      <c r="O165" s="45" t="s">
        <v>1219</v>
      </c>
      <c r="P165" s="46"/>
      <c r="Q165" s="47"/>
      <c r="R165" s="47"/>
      <c r="S165" s="46"/>
      <c r="T165" s="46"/>
      <c r="U165" s="13"/>
      <c r="V165" s="13"/>
      <c r="W165" s="13"/>
      <c r="X165" s="13"/>
      <c r="Y165" s="13"/>
      <c r="Z165" s="13"/>
      <c r="AA165" s="13"/>
      <c r="AB165" s="13"/>
      <c r="AC165" s="13"/>
    </row>
    <row r="166" ht="16.5" hidden="1" customHeight="1">
      <c r="A166" s="35">
        <v>163.0</v>
      </c>
      <c r="B166" s="73" t="s">
        <v>1220</v>
      </c>
      <c r="C166" s="37" t="s">
        <v>1221</v>
      </c>
      <c r="D166" s="38" t="s">
        <v>1222</v>
      </c>
      <c r="E166" s="38" t="s">
        <v>1223</v>
      </c>
      <c r="F166" s="38" t="s">
        <v>1224</v>
      </c>
      <c r="G166" s="39" t="s">
        <v>1225</v>
      </c>
      <c r="H166" s="49" t="s">
        <v>50</v>
      </c>
      <c r="I166" s="39" t="s">
        <v>51</v>
      </c>
      <c r="J166" s="65" t="s">
        <v>153</v>
      </c>
      <c r="K166" s="65">
        <v>10.0</v>
      </c>
      <c r="L166" s="113" t="s">
        <v>1226</v>
      </c>
      <c r="M166" s="51" t="b">
        <v>1</v>
      </c>
      <c r="N166" s="60" t="s">
        <v>292</v>
      </c>
      <c r="O166" s="63" t="s">
        <v>1227</v>
      </c>
      <c r="P166" s="35" t="s">
        <v>1228</v>
      </c>
      <c r="Q166" s="35" t="s">
        <v>1229</v>
      </c>
      <c r="R166" s="47"/>
      <c r="S166" s="46"/>
      <c r="T166" s="46"/>
      <c r="U166" s="13"/>
      <c r="V166" s="13"/>
      <c r="W166" s="13"/>
      <c r="X166" s="13"/>
      <c r="Y166" s="13"/>
      <c r="Z166" s="13"/>
      <c r="AA166" s="13"/>
      <c r="AB166" s="13"/>
      <c r="AC166" s="13"/>
    </row>
    <row r="167" ht="16.5" hidden="1" customHeight="1">
      <c r="A167" s="35">
        <v>164.0</v>
      </c>
      <c r="B167" s="36" t="s">
        <v>1230</v>
      </c>
      <c r="C167" s="37" t="s">
        <v>1231</v>
      </c>
      <c r="D167" s="38" t="s">
        <v>1232</v>
      </c>
      <c r="E167" s="38" t="s">
        <v>1233</v>
      </c>
      <c r="F167" s="38" t="s">
        <v>1234</v>
      </c>
      <c r="G167" s="39" t="s">
        <v>1235</v>
      </c>
      <c r="H167" s="49" t="s">
        <v>50</v>
      </c>
      <c r="I167" s="39" t="s">
        <v>51</v>
      </c>
      <c r="J167" s="39" t="s">
        <v>915</v>
      </c>
      <c r="K167" s="42" t="s">
        <v>1236</v>
      </c>
      <c r="L167" s="39" t="s">
        <v>1237</v>
      </c>
      <c r="M167" s="51" t="b">
        <v>0</v>
      </c>
      <c r="N167" s="44" t="s">
        <v>1238</v>
      </c>
      <c r="O167" s="95" t="s">
        <v>1239</v>
      </c>
      <c r="P167" s="96" t="s">
        <v>1240</v>
      </c>
      <c r="Q167" s="47"/>
      <c r="R167" s="47"/>
      <c r="S167" s="46"/>
      <c r="T167" s="46"/>
      <c r="U167" s="13"/>
      <c r="V167" s="13"/>
      <c r="W167" s="13"/>
      <c r="X167" s="13"/>
      <c r="Y167" s="13"/>
      <c r="Z167" s="13"/>
      <c r="AA167" s="13"/>
      <c r="AB167" s="13"/>
      <c r="AC167" s="13"/>
    </row>
    <row r="168" ht="409.5" hidden="1" customHeight="1">
      <c r="A168" s="35">
        <v>165.0</v>
      </c>
      <c r="B168" s="36" t="s">
        <v>1241</v>
      </c>
      <c r="C168" s="37" t="s">
        <v>1242</v>
      </c>
      <c r="D168" s="38" t="s">
        <v>1243</v>
      </c>
      <c r="E168" s="38" t="s">
        <v>1244</v>
      </c>
      <c r="F168" s="38" t="s">
        <v>1245</v>
      </c>
      <c r="G168" s="39" t="s">
        <v>1246</v>
      </c>
      <c r="H168" s="49" t="s">
        <v>50</v>
      </c>
      <c r="I168" s="39" t="s">
        <v>51</v>
      </c>
      <c r="J168" s="39" t="s">
        <v>1247</v>
      </c>
      <c r="K168" s="42" t="s">
        <v>1248</v>
      </c>
      <c r="L168" s="39" t="s">
        <v>1249</v>
      </c>
      <c r="M168" s="51" t="b">
        <v>1</v>
      </c>
      <c r="N168" s="56" t="s">
        <v>1250</v>
      </c>
      <c r="O168" s="68"/>
      <c r="P168" s="46"/>
      <c r="Q168" s="47"/>
      <c r="R168" s="47"/>
      <c r="S168" s="46"/>
      <c r="T168" s="46"/>
      <c r="U168" s="13"/>
      <c r="V168" s="13"/>
      <c r="W168" s="13"/>
      <c r="X168" s="13"/>
      <c r="Y168" s="13"/>
      <c r="Z168" s="13"/>
      <c r="AA168" s="13"/>
      <c r="AB168" s="13"/>
      <c r="AC168" s="13"/>
    </row>
    <row r="169" ht="342.0" hidden="1" customHeight="1">
      <c r="A169" s="35">
        <v>166.0</v>
      </c>
      <c r="B169" s="36" t="s">
        <v>1251</v>
      </c>
      <c r="C169" s="37" t="s">
        <v>1252</v>
      </c>
      <c r="D169" s="38" t="s">
        <v>1253</v>
      </c>
      <c r="E169" s="38" t="s">
        <v>1254</v>
      </c>
      <c r="F169" s="38" t="s">
        <v>1255</v>
      </c>
      <c r="G169" s="39" t="s">
        <v>231</v>
      </c>
      <c r="H169" s="49" t="s">
        <v>64</v>
      </c>
      <c r="I169" s="39" t="s">
        <v>65</v>
      </c>
      <c r="J169" s="55"/>
      <c r="K169" s="55"/>
      <c r="L169" s="55"/>
      <c r="M169" s="51" t="b">
        <v>0</v>
      </c>
      <c r="N169" s="46"/>
      <c r="O169" s="46"/>
      <c r="P169" s="46"/>
      <c r="Q169" s="47"/>
      <c r="R169" s="47"/>
      <c r="S169" s="46"/>
      <c r="T169" s="46"/>
      <c r="U169" s="13"/>
      <c r="V169" s="13"/>
      <c r="W169" s="13"/>
      <c r="X169" s="13"/>
      <c r="Y169" s="13"/>
      <c r="Z169" s="13"/>
      <c r="AA169" s="13"/>
      <c r="AB169" s="13"/>
      <c r="AC169" s="13"/>
    </row>
    <row r="170" ht="409.5" hidden="1" customHeight="1">
      <c r="A170" s="35">
        <v>167.0</v>
      </c>
      <c r="B170" s="100" t="s">
        <v>1256</v>
      </c>
      <c r="C170" s="37" t="s">
        <v>1257</v>
      </c>
      <c r="D170" s="38" t="s">
        <v>1258</v>
      </c>
      <c r="E170" s="38"/>
      <c r="F170" s="38" t="s">
        <v>1259</v>
      </c>
      <c r="G170" s="39" t="s">
        <v>231</v>
      </c>
      <c r="H170" s="49" t="s">
        <v>64</v>
      </c>
      <c r="I170" s="39" t="s">
        <v>65</v>
      </c>
      <c r="J170" s="55"/>
      <c r="K170" s="55"/>
      <c r="L170" s="55"/>
      <c r="M170" s="51" t="b">
        <v>0</v>
      </c>
      <c r="N170" s="46"/>
      <c r="O170" s="46"/>
      <c r="P170" s="46"/>
      <c r="Q170" s="47"/>
      <c r="R170" s="47"/>
      <c r="S170" s="46"/>
      <c r="T170" s="46"/>
      <c r="U170" s="13"/>
      <c r="V170" s="13"/>
      <c r="W170" s="13"/>
      <c r="X170" s="13"/>
      <c r="Y170" s="13"/>
      <c r="Z170" s="13"/>
      <c r="AA170" s="13"/>
      <c r="AB170" s="13"/>
      <c r="AC170" s="13"/>
    </row>
    <row r="171" ht="16.5" hidden="1" customHeight="1">
      <c r="A171" s="35">
        <v>168.0</v>
      </c>
      <c r="B171" s="36" t="s">
        <v>1260</v>
      </c>
      <c r="C171" s="37" t="s">
        <v>1261</v>
      </c>
      <c r="D171" s="38" t="s">
        <v>1262</v>
      </c>
      <c r="E171" s="38" t="s">
        <v>1263</v>
      </c>
      <c r="F171" s="38" t="s">
        <v>1264</v>
      </c>
      <c r="G171" s="39" t="s">
        <v>490</v>
      </c>
      <c r="H171" s="49" t="s">
        <v>50</v>
      </c>
      <c r="I171" s="93" t="s">
        <v>51</v>
      </c>
      <c r="J171" s="39" t="s">
        <v>491</v>
      </c>
      <c r="K171" s="42" t="s">
        <v>409</v>
      </c>
      <c r="L171" s="39" t="s">
        <v>492</v>
      </c>
      <c r="M171" s="51" t="b">
        <v>1</v>
      </c>
      <c r="N171" s="67" t="s">
        <v>493</v>
      </c>
      <c r="O171" s="45" t="s">
        <v>494</v>
      </c>
      <c r="P171" s="46"/>
      <c r="Q171" s="47"/>
      <c r="R171" s="47"/>
      <c r="S171" s="46"/>
      <c r="T171" s="46"/>
      <c r="U171" s="13"/>
      <c r="V171" s="13"/>
      <c r="W171" s="13"/>
      <c r="X171" s="13"/>
      <c r="Y171" s="13"/>
      <c r="Z171" s="13"/>
      <c r="AA171" s="13"/>
      <c r="AB171" s="13"/>
      <c r="AC171" s="13"/>
    </row>
    <row r="172" ht="16.5" hidden="1" customHeight="1">
      <c r="A172" s="35">
        <v>169.0</v>
      </c>
      <c r="B172" s="100" t="s">
        <v>1265</v>
      </c>
      <c r="C172" s="37" t="s">
        <v>1266</v>
      </c>
      <c r="D172" s="38" t="s">
        <v>1267</v>
      </c>
      <c r="E172" s="38"/>
      <c r="F172" s="38" t="s">
        <v>1268</v>
      </c>
      <c r="G172" s="39" t="s">
        <v>231</v>
      </c>
      <c r="H172" s="49" t="s">
        <v>64</v>
      </c>
      <c r="I172" s="39" t="s">
        <v>65</v>
      </c>
      <c r="J172" s="55"/>
      <c r="K172" s="55"/>
      <c r="L172" s="55"/>
      <c r="M172" s="51" t="b">
        <v>0</v>
      </c>
      <c r="N172" s="46"/>
      <c r="O172" s="46"/>
      <c r="P172" s="46"/>
      <c r="Q172" s="47"/>
      <c r="R172" s="47"/>
      <c r="S172" s="46"/>
      <c r="T172" s="46"/>
      <c r="U172" s="13"/>
      <c r="V172" s="13"/>
      <c r="W172" s="13"/>
      <c r="X172" s="13"/>
      <c r="Y172" s="13"/>
      <c r="Z172" s="13"/>
      <c r="AA172" s="13"/>
      <c r="AB172" s="13"/>
      <c r="AC172" s="13"/>
    </row>
    <row r="173" ht="16.5" hidden="1" customHeight="1">
      <c r="A173" s="35">
        <v>170.0</v>
      </c>
      <c r="B173" s="36" t="s">
        <v>1269</v>
      </c>
      <c r="C173" s="37" t="s">
        <v>1270</v>
      </c>
      <c r="D173" s="38" t="s">
        <v>1271</v>
      </c>
      <c r="E173" s="38"/>
      <c r="F173" s="38" t="s">
        <v>1272</v>
      </c>
      <c r="G173" s="39" t="s">
        <v>1273</v>
      </c>
      <c r="H173" s="49" t="s">
        <v>50</v>
      </c>
      <c r="I173" s="39" t="s">
        <v>51</v>
      </c>
      <c r="J173" s="39" t="s">
        <v>470</v>
      </c>
      <c r="K173" s="42" t="s">
        <v>1122</v>
      </c>
      <c r="L173" s="39" t="s">
        <v>1274</v>
      </c>
      <c r="M173" s="51" t="b">
        <v>1</v>
      </c>
      <c r="N173" s="56" t="s">
        <v>1275</v>
      </c>
      <c r="O173" s="45" t="s">
        <v>1276</v>
      </c>
      <c r="P173" s="46"/>
      <c r="Q173" s="47"/>
      <c r="R173" s="47"/>
      <c r="S173" s="46"/>
      <c r="T173" s="46"/>
      <c r="U173" s="114"/>
      <c r="V173" s="13"/>
      <c r="W173" s="13"/>
      <c r="X173" s="13"/>
      <c r="Y173" s="13"/>
      <c r="Z173" s="13"/>
      <c r="AA173" s="13"/>
      <c r="AB173" s="13"/>
      <c r="AC173" s="13"/>
    </row>
    <row r="174" ht="16.5" hidden="1" customHeight="1">
      <c r="A174" s="35">
        <v>171.0</v>
      </c>
      <c r="B174" s="36" t="s">
        <v>1277</v>
      </c>
      <c r="C174" s="37" t="s">
        <v>1278</v>
      </c>
      <c r="D174" s="38" t="s">
        <v>1279</v>
      </c>
      <c r="E174" s="38"/>
      <c r="F174" s="38" t="s">
        <v>1280</v>
      </c>
      <c r="G174" s="39" t="s">
        <v>231</v>
      </c>
      <c r="H174" s="49" t="s">
        <v>64</v>
      </c>
      <c r="I174" s="39" t="s">
        <v>65</v>
      </c>
      <c r="J174" s="55"/>
      <c r="K174" s="55"/>
      <c r="L174" s="55"/>
      <c r="M174" s="51" t="b">
        <v>0</v>
      </c>
      <c r="N174" s="46"/>
      <c r="O174" s="46"/>
      <c r="P174" s="46"/>
      <c r="Q174" s="47"/>
      <c r="R174" s="47"/>
      <c r="S174" s="46"/>
      <c r="T174" s="46"/>
      <c r="U174" s="13"/>
      <c r="V174" s="13"/>
      <c r="W174" s="13"/>
      <c r="X174" s="13"/>
      <c r="Y174" s="13"/>
      <c r="Z174" s="13"/>
      <c r="AA174" s="13"/>
      <c r="AB174" s="13"/>
      <c r="AC174" s="13"/>
    </row>
    <row r="175" ht="16.5" hidden="1" customHeight="1">
      <c r="A175" s="35">
        <v>172.0</v>
      </c>
      <c r="B175" s="36" t="s">
        <v>1281</v>
      </c>
      <c r="C175" s="37" t="s">
        <v>1282</v>
      </c>
      <c r="D175" s="38" t="s">
        <v>1283</v>
      </c>
      <c r="E175" s="38" t="s">
        <v>1284</v>
      </c>
      <c r="F175" s="38" t="s">
        <v>1285</v>
      </c>
      <c r="G175" s="48" t="s">
        <v>1286</v>
      </c>
      <c r="H175" s="49" t="s">
        <v>50</v>
      </c>
      <c r="I175" s="39" t="s">
        <v>51</v>
      </c>
      <c r="J175" s="39" t="s">
        <v>1031</v>
      </c>
      <c r="K175" s="39" t="s">
        <v>1032</v>
      </c>
      <c r="L175" s="39" t="s">
        <v>1287</v>
      </c>
      <c r="M175" s="51" t="b">
        <v>1</v>
      </c>
      <c r="N175" s="67" t="s">
        <v>1288</v>
      </c>
      <c r="O175" s="45" t="s">
        <v>1289</v>
      </c>
      <c r="P175" s="96" t="s">
        <v>1290</v>
      </c>
      <c r="Q175" s="47"/>
      <c r="R175" s="47"/>
      <c r="S175" s="46"/>
      <c r="T175" s="46"/>
      <c r="U175" s="13"/>
      <c r="V175" s="13"/>
      <c r="W175" s="13"/>
      <c r="X175" s="13"/>
      <c r="Y175" s="13"/>
      <c r="Z175" s="13"/>
      <c r="AA175" s="13"/>
      <c r="AB175" s="13"/>
      <c r="AC175" s="13"/>
    </row>
    <row r="176" ht="16.5" hidden="1" customHeight="1">
      <c r="A176" s="35">
        <v>173.0</v>
      </c>
      <c r="B176" s="100" t="s">
        <v>1291</v>
      </c>
      <c r="C176" s="37" t="s">
        <v>1292</v>
      </c>
      <c r="D176" s="38" t="s">
        <v>1293</v>
      </c>
      <c r="E176" s="38"/>
      <c r="F176" s="38" t="s">
        <v>1294</v>
      </c>
      <c r="G176" s="39" t="s">
        <v>231</v>
      </c>
      <c r="H176" s="49" t="s">
        <v>64</v>
      </c>
      <c r="I176" s="39" t="s">
        <v>65</v>
      </c>
      <c r="J176" s="55"/>
      <c r="K176" s="55"/>
      <c r="L176" s="55"/>
      <c r="M176" s="51" t="b">
        <v>0</v>
      </c>
      <c r="N176" s="46"/>
      <c r="O176" s="46"/>
      <c r="P176" s="46"/>
      <c r="Q176" s="47"/>
      <c r="R176" s="47"/>
      <c r="S176" s="46"/>
      <c r="T176" s="46"/>
      <c r="U176" s="13"/>
      <c r="V176" s="13"/>
      <c r="W176" s="13"/>
      <c r="X176" s="13"/>
      <c r="Y176" s="13"/>
      <c r="Z176" s="13"/>
      <c r="AA176" s="13"/>
      <c r="AB176" s="13"/>
      <c r="AC176" s="13"/>
    </row>
    <row r="177" ht="342.0" hidden="1" customHeight="1">
      <c r="A177" s="35">
        <v>174.0</v>
      </c>
      <c r="B177" s="36" t="s">
        <v>1295</v>
      </c>
      <c r="C177" s="37" t="s">
        <v>1296</v>
      </c>
      <c r="D177" s="38" t="s">
        <v>1297</v>
      </c>
      <c r="E177" s="38"/>
      <c r="F177" s="38" t="s">
        <v>460</v>
      </c>
      <c r="G177" s="39" t="s">
        <v>806</v>
      </c>
      <c r="H177" s="49" t="s">
        <v>50</v>
      </c>
      <c r="I177" s="39" t="s">
        <v>51</v>
      </c>
      <c r="J177" s="90" t="s">
        <v>1298</v>
      </c>
      <c r="K177" s="91" t="s">
        <v>462</v>
      </c>
      <c r="L177" s="92" t="s">
        <v>463</v>
      </c>
      <c r="M177" s="51" t="b">
        <v>1</v>
      </c>
      <c r="N177" s="56" t="s">
        <v>464</v>
      </c>
      <c r="O177" s="45" t="s">
        <v>1299</v>
      </c>
      <c r="P177" s="46"/>
      <c r="Q177" s="47"/>
      <c r="R177" s="47"/>
      <c r="S177" s="46"/>
      <c r="T177" s="46"/>
      <c r="U177" s="13"/>
      <c r="V177" s="13"/>
      <c r="W177" s="13"/>
      <c r="X177" s="13"/>
      <c r="Y177" s="13"/>
      <c r="Z177" s="13"/>
      <c r="AA177" s="13"/>
      <c r="AB177" s="13"/>
      <c r="AC177" s="13"/>
    </row>
    <row r="178" ht="16.5" hidden="1" customHeight="1">
      <c r="A178" s="35">
        <v>175.0</v>
      </c>
      <c r="B178" s="36" t="s">
        <v>1300</v>
      </c>
      <c r="C178" s="37" t="s">
        <v>1301</v>
      </c>
      <c r="D178" s="38" t="s">
        <v>1302</v>
      </c>
      <c r="E178" s="38" t="s">
        <v>1303</v>
      </c>
      <c r="F178" s="38" t="s">
        <v>1304</v>
      </c>
      <c r="G178" s="39" t="s">
        <v>1305</v>
      </c>
      <c r="H178" s="49" t="s">
        <v>50</v>
      </c>
      <c r="I178" s="39" t="s">
        <v>51</v>
      </c>
      <c r="J178" s="39" t="s">
        <v>915</v>
      </c>
      <c r="K178" s="42" t="s">
        <v>1236</v>
      </c>
      <c r="L178" s="39" t="s">
        <v>1237</v>
      </c>
      <c r="M178" s="51" t="b">
        <v>1</v>
      </c>
      <c r="N178" s="67" t="s">
        <v>1306</v>
      </c>
      <c r="O178" s="95" t="s">
        <v>1307</v>
      </c>
      <c r="P178" s="96" t="s">
        <v>1240</v>
      </c>
      <c r="Q178" s="47"/>
      <c r="R178" s="47"/>
      <c r="S178" s="46"/>
      <c r="T178" s="46"/>
      <c r="U178" s="13"/>
      <c r="V178" s="13"/>
      <c r="W178" s="13"/>
      <c r="X178" s="13"/>
      <c r="Y178" s="13"/>
      <c r="Z178" s="13"/>
      <c r="AA178" s="13"/>
      <c r="AB178" s="13"/>
      <c r="AC178" s="13"/>
    </row>
    <row r="179" ht="16.5" hidden="1" customHeight="1">
      <c r="A179" s="35">
        <v>176.0</v>
      </c>
      <c r="B179" s="36" t="s">
        <v>1308</v>
      </c>
      <c r="C179" s="37" t="s">
        <v>1309</v>
      </c>
      <c r="D179" s="38" t="s">
        <v>1310</v>
      </c>
      <c r="E179" s="38"/>
      <c r="F179" s="38" t="s">
        <v>1311</v>
      </c>
      <c r="G179" s="39" t="s">
        <v>231</v>
      </c>
      <c r="H179" s="49" t="s">
        <v>64</v>
      </c>
      <c r="I179" s="39" t="s">
        <v>65</v>
      </c>
      <c r="J179" s="55"/>
      <c r="K179" s="55"/>
      <c r="L179" s="55"/>
      <c r="M179" s="51" t="b">
        <v>0</v>
      </c>
      <c r="N179" s="46"/>
      <c r="O179" s="46"/>
      <c r="P179" s="46"/>
      <c r="Q179" s="47"/>
      <c r="R179" s="47"/>
      <c r="S179" s="46"/>
      <c r="T179" s="46"/>
      <c r="U179" s="13"/>
      <c r="V179" s="13"/>
      <c r="W179" s="13"/>
      <c r="X179" s="13"/>
      <c r="Y179" s="13"/>
      <c r="Z179" s="13"/>
      <c r="AA179" s="13"/>
      <c r="AB179" s="13"/>
      <c r="AC179" s="13"/>
    </row>
    <row r="180" ht="16.5" hidden="1" customHeight="1">
      <c r="A180" s="35">
        <v>177.0</v>
      </c>
      <c r="B180" s="100" t="s">
        <v>1312</v>
      </c>
      <c r="C180" s="37" t="s">
        <v>1313</v>
      </c>
      <c r="D180" s="38" t="s">
        <v>1314</v>
      </c>
      <c r="E180" s="38"/>
      <c r="F180" s="38" t="s">
        <v>1268</v>
      </c>
      <c r="G180" s="39" t="s">
        <v>231</v>
      </c>
      <c r="H180" s="49" t="s">
        <v>64</v>
      </c>
      <c r="I180" s="39" t="s">
        <v>65</v>
      </c>
      <c r="J180" s="55"/>
      <c r="K180" s="55"/>
      <c r="L180" s="55"/>
      <c r="M180" s="51" t="b">
        <v>0</v>
      </c>
      <c r="N180" s="46"/>
      <c r="O180" s="46"/>
      <c r="P180" s="46"/>
      <c r="Q180" s="47"/>
      <c r="R180" s="47"/>
      <c r="S180" s="46"/>
      <c r="T180" s="46"/>
      <c r="U180" s="13"/>
      <c r="V180" s="13"/>
      <c r="W180" s="13"/>
      <c r="X180" s="13"/>
      <c r="Y180" s="13"/>
      <c r="Z180" s="13"/>
      <c r="AA180" s="13"/>
      <c r="AB180" s="13"/>
      <c r="AC180" s="13"/>
    </row>
    <row r="181" ht="16.5" hidden="1" customHeight="1">
      <c r="A181" s="35">
        <v>178.0</v>
      </c>
      <c r="B181" s="36" t="s">
        <v>1315</v>
      </c>
      <c r="C181" s="37" t="s">
        <v>1316</v>
      </c>
      <c r="D181" s="38" t="s">
        <v>1317</v>
      </c>
      <c r="E181" s="38"/>
      <c r="F181" s="38" t="s">
        <v>1318</v>
      </c>
      <c r="G181" s="39" t="s">
        <v>1273</v>
      </c>
      <c r="H181" s="49" t="s">
        <v>50</v>
      </c>
      <c r="I181" s="39" t="s">
        <v>51</v>
      </c>
      <c r="J181" s="39" t="s">
        <v>470</v>
      </c>
      <c r="K181" s="42" t="s">
        <v>1122</v>
      </c>
      <c r="L181" s="39" t="s">
        <v>1274</v>
      </c>
      <c r="M181" s="51" t="b">
        <v>1</v>
      </c>
      <c r="N181" s="56" t="s">
        <v>1275</v>
      </c>
      <c r="O181" s="45" t="s">
        <v>1276</v>
      </c>
      <c r="P181" s="46"/>
      <c r="Q181" s="47"/>
      <c r="R181" s="47"/>
      <c r="S181" s="46"/>
      <c r="T181" s="46"/>
      <c r="U181" s="13"/>
      <c r="V181" s="13"/>
      <c r="W181" s="13"/>
      <c r="X181" s="13"/>
      <c r="Y181" s="13"/>
      <c r="Z181" s="13"/>
      <c r="AA181" s="13"/>
      <c r="AB181" s="13"/>
      <c r="AC181" s="13"/>
    </row>
    <row r="182" ht="16.5" hidden="1" customHeight="1">
      <c r="A182" s="35">
        <v>179.0</v>
      </c>
      <c r="B182" s="36" t="s">
        <v>1319</v>
      </c>
      <c r="C182" s="37" t="s">
        <v>1320</v>
      </c>
      <c r="D182" s="38" t="s">
        <v>1321</v>
      </c>
      <c r="E182" s="38"/>
      <c r="F182" s="38" t="s">
        <v>1322</v>
      </c>
      <c r="G182" s="39" t="s">
        <v>1323</v>
      </c>
      <c r="H182" s="49" t="s">
        <v>50</v>
      </c>
      <c r="I182" s="39" t="s">
        <v>51</v>
      </c>
      <c r="J182" s="39" t="s">
        <v>1324</v>
      </c>
      <c r="K182" s="42" t="s">
        <v>1146</v>
      </c>
      <c r="L182" s="39" t="s">
        <v>1325</v>
      </c>
      <c r="M182" s="51" t="b">
        <v>1</v>
      </c>
      <c r="N182" s="86" t="s">
        <v>292</v>
      </c>
      <c r="O182" s="68"/>
      <c r="P182" s="46"/>
      <c r="Q182" s="47"/>
      <c r="R182" s="47"/>
      <c r="S182" s="46"/>
      <c r="T182" s="46"/>
      <c r="U182" s="13"/>
      <c r="V182" s="13"/>
      <c r="W182" s="13"/>
      <c r="X182" s="13"/>
      <c r="Y182" s="13"/>
      <c r="Z182" s="13"/>
      <c r="AA182" s="13"/>
      <c r="AB182" s="13"/>
      <c r="AC182" s="13"/>
    </row>
    <row r="183" ht="16.5" hidden="1" customHeight="1">
      <c r="A183" s="35">
        <v>180.0</v>
      </c>
      <c r="B183" s="36" t="s">
        <v>1326</v>
      </c>
      <c r="C183" s="37" t="s">
        <v>1327</v>
      </c>
      <c r="D183" s="38" t="s">
        <v>1328</v>
      </c>
      <c r="E183" s="38" t="s">
        <v>1329</v>
      </c>
      <c r="F183" s="38" t="s">
        <v>1330</v>
      </c>
      <c r="G183" s="39" t="s">
        <v>1331</v>
      </c>
      <c r="H183" s="49" t="s">
        <v>50</v>
      </c>
      <c r="I183" s="39" t="s">
        <v>39</v>
      </c>
      <c r="J183" s="115" t="s">
        <v>1332</v>
      </c>
      <c r="K183" s="39" t="s">
        <v>1333</v>
      </c>
      <c r="L183" s="41" t="s">
        <v>1334</v>
      </c>
      <c r="M183" s="51" t="b">
        <v>0</v>
      </c>
      <c r="N183" s="116"/>
      <c r="O183" s="116"/>
      <c r="P183" s="116" t="s">
        <v>1335</v>
      </c>
      <c r="Q183" s="116" t="s">
        <v>1336</v>
      </c>
      <c r="R183" s="47"/>
      <c r="S183" s="46"/>
      <c r="T183" s="46"/>
      <c r="U183" s="13"/>
      <c r="V183" s="13"/>
      <c r="W183" s="13"/>
      <c r="X183" s="13"/>
      <c r="Y183" s="13"/>
      <c r="Z183" s="13"/>
      <c r="AA183" s="13"/>
      <c r="AB183" s="13"/>
      <c r="AC183" s="13"/>
    </row>
    <row r="184" ht="16.5" hidden="1" customHeight="1">
      <c r="A184" s="35">
        <v>181.0</v>
      </c>
      <c r="B184" s="36" t="s">
        <v>1337</v>
      </c>
      <c r="C184" s="37" t="s">
        <v>1338</v>
      </c>
      <c r="D184" s="38" t="s">
        <v>1339</v>
      </c>
      <c r="E184" s="38" t="s">
        <v>1340</v>
      </c>
      <c r="F184" s="38" t="s">
        <v>1341</v>
      </c>
      <c r="G184" s="39" t="s">
        <v>1342</v>
      </c>
      <c r="H184" s="49" t="s">
        <v>50</v>
      </c>
      <c r="I184" s="39" t="s">
        <v>51</v>
      </c>
      <c r="J184" s="58" t="s">
        <v>693</v>
      </c>
      <c r="K184" s="66" t="s">
        <v>694</v>
      </c>
      <c r="L184" s="58" t="s">
        <v>695</v>
      </c>
      <c r="M184" s="51" t="b">
        <v>1</v>
      </c>
      <c r="N184" s="56" t="s">
        <v>696</v>
      </c>
      <c r="O184" s="45" t="s">
        <v>697</v>
      </c>
      <c r="P184" s="46"/>
      <c r="Q184" s="47"/>
      <c r="R184" s="47"/>
      <c r="S184" s="46"/>
      <c r="T184" s="46"/>
      <c r="U184" s="13"/>
      <c r="V184" s="13"/>
      <c r="W184" s="13"/>
      <c r="X184" s="13"/>
      <c r="Y184" s="13"/>
      <c r="Z184" s="13"/>
      <c r="AA184" s="13"/>
      <c r="AB184" s="13"/>
      <c r="AC184" s="13"/>
    </row>
    <row r="185" ht="16.5" hidden="1" customHeight="1">
      <c r="A185" s="35">
        <v>182.0</v>
      </c>
      <c r="B185" s="36" t="s">
        <v>1343</v>
      </c>
      <c r="C185" s="37" t="s">
        <v>1344</v>
      </c>
      <c r="D185" s="38" t="s">
        <v>1345</v>
      </c>
      <c r="E185" s="38"/>
      <c r="F185" s="38" t="s">
        <v>1322</v>
      </c>
      <c r="G185" s="39" t="s">
        <v>231</v>
      </c>
      <c r="H185" s="49" t="s">
        <v>64</v>
      </c>
      <c r="I185" s="39" t="s">
        <v>65</v>
      </c>
      <c r="J185" s="55"/>
      <c r="K185" s="55"/>
      <c r="L185" s="55"/>
      <c r="M185" s="51" t="b">
        <v>0</v>
      </c>
      <c r="N185" s="46"/>
      <c r="O185" s="46"/>
      <c r="P185" s="46"/>
      <c r="Q185" s="47"/>
      <c r="R185" s="47"/>
      <c r="S185" s="46"/>
      <c r="T185" s="46"/>
      <c r="U185" s="13"/>
      <c r="V185" s="13"/>
      <c r="W185" s="13"/>
      <c r="X185" s="13"/>
      <c r="Y185" s="13"/>
      <c r="Z185" s="13"/>
      <c r="AA185" s="13"/>
      <c r="AB185" s="13"/>
      <c r="AC185" s="13"/>
    </row>
    <row r="186" ht="162.0" hidden="1" customHeight="1">
      <c r="A186" s="35">
        <v>183.0</v>
      </c>
      <c r="B186" s="36" t="s">
        <v>1346</v>
      </c>
      <c r="C186" s="37" t="s">
        <v>1347</v>
      </c>
      <c r="D186" s="38" t="s">
        <v>1348</v>
      </c>
      <c r="E186" s="38"/>
      <c r="F186" s="38" t="s">
        <v>1349</v>
      </c>
      <c r="G186" s="48" t="s">
        <v>1350</v>
      </c>
      <c r="H186" s="49" t="s">
        <v>50</v>
      </c>
      <c r="I186" s="85" t="s">
        <v>1351</v>
      </c>
      <c r="J186" s="65" t="s">
        <v>1352</v>
      </c>
      <c r="K186" s="88" t="s">
        <v>41</v>
      </c>
      <c r="L186" s="57" t="s">
        <v>1353</v>
      </c>
      <c r="M186" s="51" t="b">
        <v>0</v>
      </c>
      <c r="N186" s="86" t="s">
        <v>1354</v>
      </c>
      <c r="O186" s="68"/>
      <c r="P186" s="46"/>
      <c r="Q186" s="47"/>
      <c r="R186" s="47"/>
      <c r="S186" s="46"/>
      <c r="T186" s="46"/>
      <c r="U186" s="13"/>
      <c r="V186" s="13"/>
      <c r="W186" s="13"/>
      <c r="X186" s="13"/>
      <c r="Y186" s="13"/>
      <c r="Z186" s="13"/>
      <c r="AA186" s="13"/>
      <c r="AB186" s="13"/>
      <c r="AC186" s="13"/>
    </row>
    <row r="187" ht="16.5" hidden="1" customHeight="1">
      <c r="A187" s="35">
        <v>184.0</v>
      </c>
      <c r="B187" s="36" t="s">
        <v>1355</v>
      </c>
      <c r="C187" s="37" t="s">
        <v>1356</v>
      </c>
      <c r="D187" s="38" t="s">
        <v>1357</v>
      </c>
      <c r="E187" s="38" t="s">
        <v>1358</v>
      </c>
      <c r="F187" s="38" t="s">
        <v>1359</v>
      </c>
      <c r="G187" s="39" t="s">
        <v>1046</v>
      </c>
      <c r="H187" s="49" t="s">
        <v>50</v>
      </c>
      <c r="I187" s="39" t="s">
        <v>51</v>
      </c>
      <c r="J187" s="39" t="s">
        <v>1047</v>
      </c>
      <c r="K187" s="42" t="s">
        <v>932</v>
      </c>
      <c r="L187" s="39" t="s">
        <v>1048</v>
      </c>
      <c r="M187" s="51" t="b">
        <v>1</v>
      </c>
      <c r="N187" s="56" t="s">
        <v>1049</v>
      </c>
      <c r="O187" s="45" t="s">
        <v>1050</v>
      </c>
      <c r="P187" s="46"/>
      <c r="Q187" s="47"/>
      <c r="R187" s="47"/>
      <c r="S187" s="46"/>
      <c r="T187" s="46"/>
      <c r="U187" s="13"/>
      <c r="V187" s="13"/>
      <c r="W187" s="13"/>
      <c r="X187" s="13"/>
      <c r="Y187" s="13"/>
      <c r="Z187" s="13"/>
      <c r="AA187" s="13"/>
      <c r="AB187" s="13"/>
      <c r="AC187" s="13"/>
    </row>
    <row r="188" ht="16.5" hidden="1" customHeight="1">
      <c r="A188" s="35">
        <v>185.0</v>
      </c>
      <c r="B188" s="36" t="s">
        <v>1360</v>
      </c>
      <c r="C188" s="37" t="s">
        <v>1361</v>
      </c>
      <c r="D188" s="38" t="s">
        <v>1362</v>
      </c>
      <c r="E188" s="38"/>
      <c r="F188" s="38" t="s">
        <v>1363</v>
      </c>
      <c r="G188" s="39" t="s">
        <v>1364</v>
      </c>
      <c r="H188" s="49" t="s">
        <v>50</v>
      </c>
      <c r="I188" s="85" t="s">
        <v>51</v>
      </c>
      <c r="J188" s="39" t="s">
        <v>1021</v>
      </c>
      <c r="K188" s="94" t="s">
        <v>41</v>
      </c>
      <c r="L188" s="93" t="s">
        <v>1022</v>
      </c>
      <c r="M188" s="51" t="b">
        <v>1</v>
      </c>
      <c r="N188" s="56" t="s">
        <v>1365</v>
      </c>
      <c r="O188" s="45" t="s">
        <v>1366</v>
      </c>
      <c r="P188" s="46"/>
      <c r="Q188" s="47"/>
      <c r="R188" s="47"/>
      <c r="S188" s="46"/>
      <c r="T188" s="46"/>
      <c r="U188" s="13"/>
      <c r="V188" s="13"/>
      <c r="W188" s="13"/>
      <c r="X188" s="13"/>
      <c r="Y188" s="13"/>
      <c r="Z188" s="13"/>
      <c r="AA188" s="13"/>
      <c r="AB188" s="13"/>
      <c r="AC188" s="13"/>
    </row>
    <row r="189" ht="16.5" hidden="1" customHeight="1">
      <c r="A189" s="35">
        <v>186.0</v>
      </c>
      <c r="B189" s="36" t="s">
        <v>1367</v>
      </c>
      <c r="C189" s="37" t="s">
        <v>1368</v>
      </c>
      <c r="D189" s="38" t="s">
        <v>1369</v>
      </c>
      <c r="E189" s="38" t="s">
        <v>1370</v>
      </c>
      <c r="F189" s="38" t="s">
        <v>683</v>
      </c>
      <c r="G189" s="39" t="s">
        <v>684</v>
      </c>
      <c r="H189" s="49" t="s">
        <v>50</v>
      </c>
      <c r="I189" s="85" t="s">
        <v>51</v>
      </c>
      <c r="J189" s="39" t="s">
        <v>550</v>
      </c>
      <c r="K189" s="94" t="s">
        <v>1003</v>
      </c>
      <c r="L189" s="93" t="s">
        <v>1004</v>
      </c>
      <c r="M189" s="51" t="b">
        <v>1</v>
      </c>
      <c r="N189" s="56" t="s">
        <v>686</v>
      </c>
      <c r="O189" s="45" t="s">
        <v>1005</v>
      </c>
      <c r="P189" s="46"/>
      <c r="Q189" s="47"/>
      <c r="R189" s="47"/>
      <c r="S189" s="46"/>
      <c r="T189" s="46"/>
      <c r="U189" s="13"/>
      <c r="V189" s="13"/>
      <c r="W189" s="13"/>
      <c r="X189" s="13"/>
      <c r="Y189" s="13"/>
      <c r="Z189" s="13"/>
      <c r="AA189" s="13"/>
      <c r="AB189" s="13"/>
      <c r="AC189" s="13"/>
    </row>
    <row r="190" ht="16.5" hidden="1" customHeight="1">
      <c r="A190" s="35">
        <v>187.0</v>
      </c>
      <c r="B190" s="36" t="s">
        <v>1371</v>
      </c>
      <c r="C190" s="37" t="s">
        <v>1372</v>
      </c>
      <c r="D190" s="38" t="s">
        <v>1373</v>
      </c>
      <c r="E190" s="38"/>
      <c r="F190" s="38" t="s">
        <v>1374</v>
      </c>
      <c r="G190" s="48" t="s">
        <v>1286</v>
      </c>
      <c r="H190" s="49" t="s">
        <v>50</v>
      </c>
      <c r="I190" s="39" t="s">
        <v>51</v>
      </c>
      <c r="J190" s="39" t="s">
        <v>1031</v>
      </c>
      <c r="K190" s="39" t="s">
        <v>1032</v>
      </c>
      <c r="L190" s="39" t="s">
        <v>1287</v>
      </c>
      <c r="M190" s="51" t="b">
        <v>1</v>
      </c>
      <c r="N190" s="67" t="s">
        <v>1288</v>
      </c>
      <c r="O190" s="67" t="s">
        <v>1289</v>
      </c>
      <c r="P190" s="96" t="s">
        <v>1375</v>
      </c>
      <c r="Q190" s="47"/>
      <c r="R190" s="47"/>
      <c r="S190" s="46"/>
      <c r="T190" s="46"/>
      <c r="U190" s="13"/>
      <c r="V190" s="13"/>
      <c r="W190" s="13"/>
      <c r="X190" s="13"/>
      <c r="Y190" s="13"/>
      <c r="Z190" s="13"/>
      <c r="AA190" s="13"/>
      <c r="AB190" s="13"/>
      <c r="AC190" s="13"/>
    </row>
    <row r="191" ht="16.5" hidden="1" customHeight="1">
      <c r="A191" s="35">
        <v>188.0</v>
      </c>
      <c r="B191" s="36" t="s">
        <v>1376</v>
      </c>
      <c r="C191" s="37" t="s">
        <v>1377</v>
      </c>
      <c r="D191" s="38" t="s">
        <v>1378</v>
      </c>
      <c r="E191" s="38"/>
      <c r="F191" s="38" t="s">
        <v>1379</v>
      </c>
      <c r="G191" s="39" t="s">
        <v>1380</v>
      </c>
      <c r="H191" s="49" t="s">
        <v>50</v>
      </c>
      <c r="I191" s="39" t="s">
        <v>51</v>
      </c>
      <c r="J191" s="58" t="s">
        <v>1381</v>
      </c>
      <c r="K191" s="39" t="s">
        <v>1382</v>
      </c>
      <c r="L191" s="39" t="s">
        <v>1383</v>
      </c>
      <c r="M191" s="51" t="b">
        <v>1</v>
      </c>
      <c r="N191" s="71" t="s">
        <v>1384</v>
      </c>
      <c r="O191" s="67"/>
      <c r="P191" s="47" t="s">
        <v>1385</v>
      </c>
      <c r="Q191" s="46" t="s">
        <v>1386</v>
      </c>
      <c r="R191" s="46"/>
      <c r="S191" s="46"/>
      <c r="T191" s="46"/>
      <c r="U191" s="13"/>
      <c r="V191" s="13"/>
      <c r="W191" s="13"/>
      <c r="X191" s="13"/>
      <c r="Y191" s="13"/>
      <c r="Z191" s="13"/>
      <c r="AA191" s="13"/>
      <c r="AB191" s="13"/>
      <c r="AC191" s="13"/>
    </row>
    <row r="192" ht="270.0" hidden="1" customHeight="1">
      <c r="A192" s="35">
        <v>189.0</v>
      </c>
      <c r="B192" s="36" t="s">
        <v>1387</v>
      </c>
      <c r="C192" s="37" t="s">
        <v>1388</v>
      </c>
      <c r="D192" s="38" t="s">
        <v>1389</v>
      </c>
      <c r="E192" s="38"/>
      <c r="F192" s="38" t="s">
        <v>1390</v>
      </c>
      <c r="G192" s="39" t="s">
        <v>1391</v>
      </c>
      <c r="H192" s="49" t="s">
        <v>50</v>
      </c>
      <c r="I192" s="39" t="s">
        <v>51</v>
      </c>
      <c r="J192" s="58" t="s">
        <v>1392</v>
      </c>
      <c r="K192" s="39" t="s">
        <v>1393</v>
      </c>
      <c r="L192" s="39" t="s">
        <v>1394</v>
      </c>
      <c r="M192" s="51" t="b">
        <v>1</v>
      </c>
      <c r="N192" s="56" t="s">
        <v>1395</v>
      </c>
      <c r="O192" s="46"/>
      <c r="P192" s="46" t="s">
        <v>1396</v>
      </c>
      <c r="Q192" s="47" t="s">
        <v>1397</v>
      </c>
      <c r="R192" s="47"/>
      <c r="S192" s="46"/>
      <c r="T192" s="46"/>
      <c r="U192" s="13"/>
      <c r="V192" s="13"/>
      <c r="W192" s="13"/>
      <c r="X192" s="13"/>
      <c r="Y192" s="13"/>
      <c r="Z192" s="13"/>
      <c r="AA192" s="13"/>
      <c r="AB192" s="13"/>
      <c r="AC192" s="13"/>
    </row>
    <row r="193" ht="16.5" hidden="1" customHeight="1">
      <c r="A193" s="35">
        <v>190.0</v>
      </c>
      <c r="B193" s="36" t="s">
        <v>1398</v>
      </c>
      <c r="C193" s="37" t="s">
        <v>1399</v>
      </c>
      <c r="D193" s="38" t="s">
        <v>1400</v>
      </c>
      <c r="E193" s="38" t="s">
        <v>1401</v>
      </c>
      <c r="F193" s="38" t="s">
        <v>1402</v>
      </c>
      <c r="G193" s="39" t="s">
        <v>1305</v>
      </c>
      <c r="H193" s="49" t="s">
        <v>50</v>
      </c>
      <c r="I193" s="39" t="s">
        <v>51</v>
      </c>
      <c r="J193" s="39" t="s">
        <v>915</v>
      </c>
      <c r="K193" s="42" t="s">
        <v>1236</v>
      </c>
      <c r="L193" s="39" t="s">
        <v>1237</v>
      </c>
      <c r="M193" s="51" t="b">
        <v>1</v>
      </c>
      <c r="N193" s="67" t="s">
        <v>1403</v>
      </c>
      <c r="O193" s="95" t="s">
        <v>1307</v>
      </c>
      <c r="P193" s="96" t="s">
        <v>1240</v>
      </c>
      <c r="Q193" s="47"/>
      <c r="R193" s="47"/>
      <c r="S193" s="46"/>
      <c r="T193" s="46"/>
      <c r="U193" s="13"/>
      <c r="V193" s="13"/>
      <c r="W193" s="13"/>
      <c r="X193" s="13"/>
      <c r="Y193" s="13"/>
      <c r="Z193" s="13"/>
      <c r="AA193" s="13"/>
      <c r="AB193" s="13"/>
      <c r="AC193" s="13"/>
    </row>
    <row r="194" ht="270.0" hidden="1" customHeight="1">
      <c r="A194" s="35">
        <v>191.0</v>
      </c>
      <c r="B194" s="36" t="s">
        <v>1404</v>
      </c>
      <c r="C194" s="37" t="s">
        <v>1405</v>
      </c>
      <c r="D194" s="38" t="s">
        <v>1406</v>
      </c>
      <c r="E194" s="38"/>
      <c r="F194" s="38" t="s">
        <v>92</v>
      </c>
      <c r="G194" s="39" t="s">
        <v>93</v>
      </c>
      <c r="H194" s="49" t="s">
        <v>50</v>
      </c>
      <c r="I194" s="39" t="s">
        <v>51</v>
      </c>
      <c r="J194" s="39" t="s">
        <v>94</v>
      </c>
      <c r="K194" s="42" t="s">
        <v>95</v>
      </c>
      <c r="L194" s="55"/>
      <c r="M194" s="51" t="b">
        <v>1</v>
      </c>
      <c r="N194" s="56" t="s">
        <v>96</v>
      </c>
      <c r="O194" s="45" t="s">
        <v>97</v>
      </c>
      <c r="P194" s="46"/>
      <c r="Q194" s="47"/>
      <c r="R194" s="47"/>
      <c r="S194" s="46"/>
      <c r="T194" s="46"/>
      <c r="U194" s="13"/>
      <c r="V194" s="13"/>
      <c r="W194" s="13"/>
      <c r="X194" s="13"/>
      <c r="Y194" s="13"/>
      <c r="Z194" s="13"/>
      <c r="AA194" s="13"/>
      <c r="AB194" s="13"/>
      <c r="AC194" s="13"/>
    </row>
    <row r="195" ht="16.5" hidden="1" customHeight="1">
      <c r="A195" s="35">
        <v>192.0</v>
      </c>
      <c r="B195" s="36" t="s">
        <v>1407</v>
      </c>
      <c r="C195" s="37" t="s">
        <v>1408</v>
      </c>
      <c r="D195" s="38" t="s">
        <v>1409</v>
      </c>
      <c r="E195" s="38" t="s">
        <v>1410</v>
      </c>
      <c r="F195" s="38" t="s">
        <v>1322</v>
      </c>
      <c r="G195" s="39" t="s">
        <v>231</v>
      </c>
      <c r="H195" s="49" t="s">
        <v>64</v>
      </c>
      <c r="I195" s="39" t="s">
        <v>65</v>
      </c>
      <c r="J195" s="55"/>
      <c r="K195" s="55"/>
      <c r="L195" s="55"/>
      <c r="M195" s="51" t="b">
        <v>0</v>
      </c>
      <c r="N195" s="46"/>
      <c r="O195" s="46"/>
      <c r="P195" s="46"/>
      <c r="Q195" s="47"/>
      <c r="R195" s="47"/>
      <c r="S195" s="46"/>
      <c r="T195" s="46"/>
      <c r="U195" s="13"/>
      <c r="V195" s="13"/>
      <c r="W195" s="13"/>
      <c r="X195" s="13"/>
      <c r="Y195" s="13"/>
      <c r="Z195" s="13"/>
      <c r="AA195" s="13"/>
      <c r="AB195" s="13"/>
      <c r="AC195" s="13"/>
    </row>
    <row r="196" ht="16.5" hidden="1" customHeight="1">
      <c r="A196" s="35">
        <v>193.0</v>
      </c>
      <c r="B196" s="36" t="s">
        <v>1411</v>
      </c>
      <c r="C196" s="37" t="s">
        <v>1412</v>
      </c>
      <c r="D196" s="38" t="s">
        <v>1413</v>
      </c>
      <c r="E196" s="38" t="s">
        <v>1414</v>
      </c>
      <c r="F196" s="38" t="s">
        <v>1415</v>
      </c>
      <c r="G196" s="39" t="s">
        <v>1416</v>
      </c>
      <c r="H196" s="49" t="s">
        <v>50</v>
      </c>
      <c r="I196" s="39" t="s">
        <v>51</v>
      </c>
      <c r="J196" s="65" t="s">
        <v>1417</v>
      </c>
      <c r="K196" s="65" t="s">
        <v>1418</v>
      </c>
      <c r="L196" s="117" t="s">
        <v>1419</v>
      </c>
      <c r="M196" s="51" t="b">
        <v>0</v>
      </c>
      <c r="N196" s="63" t="s">
        <v>1420</v>
      </c>
      <c r="O196" s="35"/>
      <c r="P196" s="35" t="s">
        <v>1421</v>
      </c>
      <c r="Q196" s="47" t="s">
        <v>1422</v>
      </c>
      <c r="R196" s="47"/>
      <c r="S196" s="46"/>
      <c r="T196" s="46"/>
      <c r="U196" s="13"/>
      <c r="V196" s="13"/>
      <c r="W196" s="13"/>
      <c r="X196" s="13"/>
      <c r="Y196" s="13"/>
      <c r="Z196" s="13"/>
      <c r="AA196" s="13"/>
      <c r="AB196" s="13"/>
      <c r="AC196" s="13"/>
    </row>
    <row r="197" ht="16.5" hidden="1" customHeight="1">
      <c r="A197" s="35">
        <v>194.0</v>
      </c>
      <c r="B197" s="36" t="s">
        <v>1423</v>
      </c>
      <c r="C197" s="37" t="s">
        <v>1424</v>
      </c>
      <c r="D197" s="38" t="s">
        <v>1425</v>
      </c>
      <c r="E197" s="38"/>
      <c r="F197" s="38" t="s">
        <v>1426</v>
      </c>
      <c r="G197" s="39" t="s">
        <v>231</v>
      </c>
      <c r="H197" s="49" t="s">
        <v>64</v>
      </c>
      <c r="I197" s="39" t="s">
        <v>65</v>
      </c>
      <c r="J197" s="55"/>
      <c r="K197" s="55"/>
      <c r="L197" s="55"/>
      <c r="M197" s="51" t="b">
        <v>0</v>
      </c>
      <c r="N197" s="46"/>
      <c r="O197" s="46"/>
      <c r="P197" s="46"/>
      <c r="Q197" s="47"/>
      <c r="R197" s="47"/>
      <c r="S197" s="46"/>
      <c r="T197" s="46"/>
      <c r="U197" s="13"/>
      <c r="V197" s="13"/>
      <c r="W197" s="13"/>
      <c r="X197" s="13"/>
      <c r="Y197" s="13"/>
      <c r="Z197" s="13"/>
      <c r="AA197" s="13"/>
      <c r="AB197" s="13"/>
      <c r="AC197" s="13"/>
    </row>
    <row r="198" ht="16.5" hidden="1" customHeight="1">
      <c r="A198" s="35">
        <v>195.0</v>
      </c>
      <c r="B198" s="100" t="s">
        <v>1427</v>
      </c>
      <c r="C198" s="37" t="s">
        <v>1428</v>
      </c>
      <c r="D198" s="38" t="s">
        <v>1429</v>
      </c>
      <c r="E198" s="38" t="s">
        <v>1430</v>
      </c>
      <c r="F198" s="38" t="s">
        <v>1431</v>
      </c>
      <c r="G198" s="39" t="s">
        <v>231</v>
      </c>
      <c r="H198" s="49" t="s">
        <v>64</v>
      </c>
      <c r="I198" s="39" t="s">
        <v>65</v>
      </c>
      <c r="J198" s="55"/>
      <c r="K198" s="55"/>
      <c r="L198" s="55"/>
      <c r="M198" s="51" t="b">
        <v>0</v>
      </c>
      <c r="N198" s="46"/>
      <c r="O198" s="46"/>
      <c r="P198" s="46"/>
      <c r="Q198" s="47"/>
      <c r="R198" s="47"/>
      <c r="S198" s="46"/>
      <c r="T198" s="46"/>
      <c r="U198" s="13"/>
      <c r="V198" s="13"/>
      <c r="W198" s="13"/>
      <c r="X198" s="13"/>
      <c r="Y198" s="13"/>
      <c r="Z198" s="13"/>
      <c r="AA198" s="13"/>
      <c r="AB198" s="13"/>
      <c r="AC198" s="13"/>
    </row>
    <row r="199" ht="16.5" hidden="1" customHeight="1">
      <c r="A199" s="35">
        <v>196.0</v>
      </c>
      <c r="B199" s="36" t="s">
        <v>1432</v>
      </c>
      <c r="C199" s="37" t="s">
        <v>1433</v>
      </c>
      <c r="D199" s="38" t="s">
        <v>1434</v>
      </c>
      <c r="E199" s="38"/>
      <c r="F199" s="38" t="s">
        <v>1318</v>
      </c>
      <c r="G199" s="39" t="s">
        <v>1273</v>
      </c>
      <c r="H199" s="49" t="s">
        <v>50</v>
      </c>
      <c r="I199" s="39" t="s">
        <v>51</v>
      </c>
      <c r="J199" s="39" t="s">
        <v>470</v>
      </c>
      <c r="K199" s="42" t="s">
        <v>1122</v>
      </c>
      <c r="L199" s="39" t="s">
        <v>1274</v>
      </c>
      <c r="M199" s="51" t="b">
        <v>1</v>
      </c>
      <c r="N199" s="56" t="s">
        <v>1275</v>
      </c>
      <c r="O199" s="45" t="s">
        <v>1276</v>
      </c>
      <c r="P199" s="46"/>
      <c r="Q199" s="47"/>
      <c r="R199" s="47"/>
      <c r="S199" s="46"/>
      <c r="T199" s="46"/>
      <c r="U199" s="13"/>
      <c r="V199" s="13"/>
      <c r="W199" s="13"/>
      <c r="X199" s="13"/>
      <c r="Y199" s="13"/>
      <c r="Z199" s="13"/>
      <c r="AA199" s="13"/>
      <c r="AB199" s="13"/>
      <c r="AC199" s="13"/>
    </row>
    <row r="200" ht="216.0" hidden="1" customHeight="1">
      <c r="A200" s="35">
        <v>197.0</v>
      </c>
      <c r="B200" s="100" t="s">
        <v>1435</v>
      </c>
      <c r="C200" s="37" t="s">
        <v>1436</v>
      </c>
      <c r="D200" s="38" t="s">
        <v>1437</v>
      </c>
      <c r="E200" s="38"/>
      <c r="F200" s="38" t="s">
        <v>1438</v>
      </c>
      <c r="G200" s="39" t="s">
        <v>231</v>
      </c>
      <c r="H200" s="49" t="s">
        <v>64</v>
      </c>
      <c r="I200" s="39" t="s">
        <v>65</v>
      </c>
      <c r="J200" s="55"/>
      <c r="K200" s="55"/>
      <c r="L200" s="55"/>
      <c r="M200" s="51" t="b">
        <v>0</v>
      </c>
      <c r="N200" s="46"/>
      <c r="O200" s="46"/>
      <c r="P200" s="46"/>
      <c r="Q200" s="47"/>
      <c r="R200" s="47"/>
      <c r="S200" s="46"/>
      <c r="T200" s="46"/>
      <c r="U200" s="13"/>
      <c r="V200" s="13"/>
      <c r="W200" s="13"/>
      <c r="X200" s="13"/>
      <c r="Y200" s="13"/>
      <c r="Z200" s="13"/>
      <c r="AA200" s="13"/>
      <c r="AB200" s="13"/>
      <c r="AC200" s="13"/>
    </row>
    <row r="201" ht="16.5" hidden="1" customHeight="1">
      <c r="A201" s="35">
        <v>198.0</v>
      </c>
      <c r="B201" s="36" t="s">
        <v>1439</v>
      </c>
      <c r="C201" s="37" t="s">
        <v>1440</v>
      </c>
      <c r="D201" s="38" t="s">
        <v>1441</v>
      </c>
      <c r="E201" s="38" t="s">
        <v>1442</v>
      </c>
      <c r="F201" s="38" t="s">
        <v>1443</v>
      </c>
      <c r="G201" s="39" t="s">
        <v>1444</v>
      </c>
      <c r="H201" s="49" t="s">
        <v>50</v>
      </c>
      <c r="I201" s="57" t="s">
        <v>51</v>
      </c>
      <c r="J201" s="39" t="s">
        <v>1445</v>
      </c>
      <c r="K201" s="42" t="s">
        <v>41</v>
      </c>
      <c r="L201" s="39" t="s">
        <v>1446</v>
      </c>
      <c r="M201" s="51" t="b">
        <v>1</v>
      </c>
      <c r="N201" s="56" t="s">
        <v>1447</v>
      </c>
      <c r="O201" s="68"/>
      <c r="P201" s="46"/>
      <c r="Q201" s="47"/>
      <c r="R201" s="47"/>
      <c r="S201" s="46"/>
      <c r="T201" s="46"/>
      <c r="U201" s="13"/>
      <c r="V201" s="13"/>
      <c r="W201" s="13"/>
      <c r="X201" s="13"/>
      <c r="Y201" s="13"/>
      <c r="Z201" s="13"/>
      <c r="AA201" s="13"/>
      <c r="AB201" s="13"/>
      <c r="AC201" s="13"/>
    </row>
    <row r="202" ht="16.5" hidden="1" customHeight="1">
      <c r="A202" s="35">
        <v>199.0</v>
      </c>
      <c r="B202" s="100" t="s">
        <v>1448</v>
      </c>
      <c r="C202" s="37" t="s">
        <v>1449</v>
      </c>
      <c r="D202" s="38" t="s">
        <v>1450</v>
      </c>
      <c r="E202" s="38" t="s">
        <v>1451</v>
      </c>
      <c r="F202" s="38" t="s">
        <v>1322</v>
      </c>
      <c r="G202" s="39" t="s">
        <v>231</v>
      </c>
      <c r="H202" s="49" t="s">
        <v>64</v>
      </c>
      <c r="I202" s="39" t="s">
        <v>65</v>
      </c>
      <c r="J202" s="55"/>
      <c r="K202" s="55"/>
      <c r="L202" s="55"/>
      <c r="M202" s="51" t="b">
        <v>0</v>
      </c>
      <c r="N202" s="46"/>
      <c r="O202" s="46"/>
      <c r="P202" s="46"/>
      <c r="Q202" s="47"/>
      <c r="R202" s="47"/>
      <c r="S202" s="46"/>
      <c r="T202" s="46"/>
      <c r="U202" s="13"/>
      <c r="V202" s="13"/>
      <c r="W202" s="13"/>
      <c r="X202" s="13"/>
      <c r="Y202" s="13"/>
      <c r="Z202" s="13"/>
      <c r="AA202" s="13"/>
      <c r="AB202" s="13"/>
      <c r="AC202" s="13"/>
    </row>
    <row r="203" ht="393.75" hidden="1" customHeight="1">
      <c r="A203" s="35">
        <v>200.0</v>
      </c>
      <c r="B203" s="36" t="s">
        <v>1452</v>
      </c>
      <c r="C203" s="37" t="s">
        <v>1453</v>
      </c>
      <c r="D203" s="38" t="s">
        <v>1454</v>
      </c>
      <c r="E203" s="38" t="s">
        <v>1455</v>
      </c>
      <c r="F203" s="38" t="s">
        <v>1456</v>
      </c>
      <c r="G203" s="39" t="s">
        <v>1020</v>
      </c>
      <c r="H203" s="49" t="s">
        <v>50</v>
      </c>
      <c r="I203" s="85" t="s">
        <v>51</v>
      </c>
      <c r="J203" s="39" t="s">
        <v>1021</v>
      </c>
      <c r="K203" s="94" t="s">
        <v>41</v>
      </c>
      <c r="L203" s="93" t="s">
        <v>1022</v>
      </c>
      <c r="M203" s="51" t="b">
        <v>1</v>
      </c>
      <c r="N203" s="56" t="s">
        <v>1365</v>
      </c>
      <c r="O203" s="45" t="s">
        <v>1024</v>
      </c>
      <c r="P203" s="46"/>
      <c r="Q203" s="47"/>
      <c r="R203" s="47"/>
      <c r="S203" s="46"/>
      <c r="T203" s="46"/>
      <c r="U203" s="13"/>
      <c r="V203" s="13"/>
      <c r="W203" s="13"/>
      <c r="X203" s="13"/>
      <c r="Y203" s="13"/>
      <c r="Z203" s="13"/>
      <c r="AA203" s="13"/>
      <c r="AB203" s="13"/>
      <c r="AC203" s="13"/>
    </row>
    <row r="204" ht="16.5" hidden="1" customHeight="1">
      <c r="A204" s="35">
        <v>201.0</v>
      </c>
      <c r="B204" s="36" t="s">
        <v>1457</v>
      </c>
      <c r="C204" s="37" t="s">
        <v>1458</v>
      </c>
      <c r="D204" s="38" t="s">
        <v>1459</v>
      </c>
      <c r="E204" s="38" t="s">
        <v>1460</v>
      </c>
      <c r="F204" s="38" t="s">
        <v>1461</v>
      </c>
      <c r="G204" s="39" t="s">
        <v>1462</v>
      </c>
      <c r="H204" s="49" t="s">
        <v>50</v>
      </c>
      <c r="I204" s="93" t="s">
        <v>51</v>
      </c>
      <c r="J204" s="93" t="s">
        <v>1463</v>
      </c>
      <c r="K204" s="93" t="s">
        <v>1464</v>
      </c>
      <c r="L204" s="93" t="s">
        <v>1465</v>
      </c>
      <c r="M204" s="51" t="b">
        <v>1</v>
      </c>
      <c r="N204" s="118" t="s">
        <v>1466</v>
      </c>
      <c r="O204" s="119"/>
      <c r="P204" s="120" t="s">
        <v>1467</v>
      </c>
      <c r="Q204" s="47"/>
      <c r="R204" s="47"/>
      <c r="S204" s="46"/>
      <c r="T204" s="46"/>
      <c r="U204" s="13"/>
      <c r="V204" s="13"/>
      <c r="W204" s="13"/>
      <c r="X204" s="13"/>
      <c r="Y204" s="13"/>
      <c r="Z204" s="13"/>
      <c r="AA204" s="13"/>
      <c r="AB204" s="13"/>
      <c r="AC204" s="13"/>
    </row>
    <row r="205" ht="16.5" hidden="1" customHeight="1">
      <c r="A205" s="35">
        <v>202.0</v>
      </c>
      <c r="B205" s="100" t="s">
        <v>1468</v>
      </c>
      <c r="C205" s="37" t="s">
        <v>1469</v>
      </c>
      <c r="D205" s="38" t="s">
        <v>1470</v>
      </c>
      <c r="E205" s="38"/>
      <c r="F205" s="38" t="s">
        <v>1471</v>
      </c>
      <c r="G205" s="39" t="s">
        <v>231</v>
      </c>
      <c r="H205" s="49" t="s">
        <v>64</v>
      </c>
      <c r="I205" s="93" t="s">
        <v>65</v>
      </c>
      <c r="J205" s="55"/>
      <c r="K205" s="121"/>
      <c r="L205" s="121"/>
      <c r="M205" s="51" t="b">
        <v>0</v>
      </c>
      <c r="N205" s="46"/>
      <c r="O205" s="46"/>
      <c r="P205" s="46"/>
      <c r="Q205" s="47"/>
      <c r="R205" s="47"/>
      <c r="S205" s="46"/>
      <c r="T205" s="46"/>
      <c r="U205" s="13"/>
      <c r="V205" s="13"/>
      <c r="W205" s="13"/>
      <c r="X205" s="13"/>
      <c r="Y205" s="13"/>
      <c r="Z205" s="13"/>
      <c r="AA205" s="13"/>
      <c r="AB205" s="13"/>
      <c r="AC205" s="13"/>
    </row>
    <row r="206" ht="16.5" hidden="1" customHeight="1">
      <c r="A206" s="35">
        <v>203.0</v>
      </c>
      <c r="B206" s="100" t="s">
        <v>1472</v>
      </c>
      <c r="C206" s="37" t="s">
        <v>1473</v>
      </c>
      <c r="D206" s="38" t="s">
        <v>1474</v>
      </c>
      <c r="E206" s="38"/>
      <c r="F206" s="38" t="s">
        <v>1471</v>
      </c>
      <c r="G206" s="39" t="s">
        <v>231</v>
      </c>
      <c r="H206" s="49" t="s">
        <v>64</v>
      </c>
      <c r="I206" s="93" t="s">
        <v>65</v>
      </c>
      <c r="J206" s="55"/>
      <c r="K206" s="121"/>
      <c r="L206" s="121"/>
      <c r="M206" s="51" t="b">
        <v>0</v>
      </c>
      <c r="N206" s="46"/>
      <c r="O206" s="46"/>
      <c r="P206" s="46"/>
      <c r="Q206" s="47"/>
      <c r="R206" s="47"/>
      <c r="S206" s="46"/>
      <c r="T206" s="46"/>
      <c r="U206" s="13"/>
      <c r="V206" s="13"/>
      <c r="W206" s="13"/>
      <c r="X206" s="13"/>
      <c r="Y206" s="13"/>
      <c r="Z206" s="13"/>
      <c r="AA206" s="13"/>
      <c r="AB206" s="13"/>
      <c r="AC206" s="13"/>
    </row>
    <row r="207" ht="342.0" hidden="1" customHeight="1">
      <c r="A207" s="35">
        <v>204.0</v>
      </c>
      <c r="B207" s="36" t="s">
        <v>1295</v>
      </c>
      <c r="C207" s="37" t="s">
        <v>1475</v>
      </c>
      <c r="D207" s="38" t="s">
        <v>1476</v>
      </c>
      <c r="E207" s="38"/>
      <c r="F207" s="38" t="s">
        <v>460</v>
      </c>
      <c r="G207" s="39" t="s">
        <v>806</v>
      </c>
      <c r="H207" s="49" t="s">
        <v>50</v>
      </c>
      <c r="I207" s="93" t="s">
        <v>51</v>
      </c>
      <c r="J207" s="90" t="s">
        <v>461</v>
      </c>
      <c r="K207" s="91" t="s">
        <v>462</v>
      </c>
      <c r="L207" s="92" t="s">
        <v>463</v>
      </c>
      <c r="M207" s="51" t="b">
        <v>1</v>
      </c>
      <c r="N207" s="56" t="s">
        <v>464</v>
      </c>
      <c r="O207" s="122" t="s">
        <v>1299</v>
      </c>
      <c r="P207" s="123"/>
      <c r="Q207" s="116"/>
      <c r="R207" s="116"/>
      <c r="S207" s="116"/>
      <c r="T207" s="46"/>
      <c r="U207" s="13"/>
      <c r="V207" s="13"/>
      <c r="W207" s="13"/>
      <c r="X207" s="13"/>
      <c r="Y207" s="13"/>
      <c r="Z207" s="13"/>
      <c r="AA207" s="13"/>
      <c r="AB207" s="13"/>
      <c r="AC207" s="13"/>
    </row>
    <row r="208" ht="16.5" hidden="1" customHeight="1">
      <c r="A208" s="35">
        <v>205.0</v>
      </c>
      <c r="B208" s="36" t="s">
        <v>1477</v>
      </c>
      <c r="C208" s="37" t="s">
        <v>1478</v>
      </c>
      <c r="D208" s="38" t="s">
        <v>1479</v>
      </c>
      <c r="E208" s="38" t="s">
        <v>1205</v>
      </c>
      <c r="F208" s="38" t="s">
        <v>1480</v>
      </c>
      <c r="G208" s="39" t="s">
        <v>1481</v>
      </c>
      <c r="H208" s="49" t="s">
        <v>50</v>
      </c>
      <c r="I208" s="93" t="s">
        <v>51</v>
      </c>
      <c r="J208" s="39" t="s">
        <v>422</v>
      </c>
      <c r="K208" s="94" t="s">
        <v>1207</v>
      </c>
      <c r="L208" s="124" t="s">
        <v>1482</v>
      </c>
      <c r="M208" s="51" t="b">
        <v>1</v>
      </c>
      <c r="N208" s="125" t="s">
        <v>292</v>
      </c>
      <c r="O208" s="122" t="s">
        <v>1209</v>
      </c>
      <c r="P208" s="123"/>
      <c r="Q208" s="116"/>
      <c r="R208" s="116"/>
      <c r="S208" s="116"/>
      <c r="T208" s="46"/>
      <c r="U208" s="13"/>
      <c r="V208" s="13"/>
      <c r="W208" s="13"/>
      <c r="X208" s="13"/>
      <c r="Y208" s="13"/>
      <c r="Z208" s="13"/>
      <c r="AA208" s="13"/>
      <c r="AB208" s="13"/>
      <c r="AC208" s="13"/>
    </row>
    <row r="209" ht="16.5" hidden="1" customHeight="1">
      <c r="A209" s="35">
        <v>206.0</v>
      </c>
      <c r="B209" s="36" t="s">
        <v>1483</v>
      </c>
      <c r="C209" s="37" t="s">
        <v>1484</v>
      </c>
      <c r="D209" s="38" t="s">
        <v>1485</v>
      </c>
      <c r="E209" s="38"/>
      <c r="F209" s="38" t="s">
        <v>1471</v>
      </c>
      <c r="G209" s="39" t="s">
        <v>231</v>
      </c>
      <c r="H209" s="49" t="s">
        <v>64</v>
      </c>
      <c r="I209" s="93" t="s">
        <v>65</v>
      </c>
      <c r="J209" s="55"/>
      <c r="K209" s="121"/>
      <c r="L209" s="121"/>
      <c r="M209" s="51" t="b">
        <v>0</v>
      </c>
      <c r="N209" s="116"/>
      <c r="O209" s="116"/>
      <c r="P209" s="116"/>
      <c r="Q209" s="116"/>
      <c r="R209" s="116"/>
      <c r="S209" s="116"/>
      <c r="T209" s="46"/>
      <c r="U209" s="13"/>
      <c r="V209" s="13"/>
      <c r="W209" s="13"/>
      <c r="X209" s="13"/>
      <c r="Y209" s="13"/>
      <c r="Z209" s="13"/>
      <c r="AA209" s="13"/>
      <c r="AB209" s="13"/>
      <c r="AC209" s="13"/>
    </row>
    <row r="210" ht="16.5" hidden="1" customHeight="1">
      <c r="A210" s="35">
        <v>207.0</v>
      </c>
      <c r="B210" s="36" t="s">
        <v>1486</v>
      </c>
      <c r="C210" s="37" t="s">
        <v>1487</v>
      </c>
      <c r="D210" s="38" t="s">
        <v>1488</v>
      </c>
      <c r="E210" s="38"/>
      <c r="F210" s="38" t="s">
        <v>1489</v>
      </c>
      <c r="G210" s="39" t="s">
        <v>1490</v>
      </c>
      <c r="H210" s="49" t="s">
        <v>50</v>
      </c>
      <c r="I210" s="85" t="s">
        <v>51</v>
      </c>
      <c r="J210" s="39" t="s">
        <v>550</v>
      </c>
      <c r="K210" s="94" t="s">
        <v>1003</v>
      </c>
      <c r="L210" s="93" t="s">
        <v>1004</v>
      </c>
      <c r="M210" s="51" t="b">
        <v>1</v>
      </c>
      <c r="N210" s="126" t="s">
        <v>686</v>
      </c>
      <c r="O210" s="127" t="s">
        <v>1219</v>
      </c>
      <c r="P210" s="116"/>
      <c r="Q210" s="116"/>
      <c r="R210" s="116"/>
      <c r="S210" s="116"/>
      <c r="T210" s="46"/>
      <c r="U210" s="13"/>
      <c r="V210" s="13"/>
      <c r="W210" s="13"/>
      <c r="X210" s="13"/>
      <c r="Y210" s="13"/>
      <c r="Z210" s="13"/>
      <c r="AA210" s="13"/>
      <c r="AB210" s="13"/>
      <c r="AC210" s="13"/>
    </row>
    <row r="211" ht="16.5" hidden="1" customHeight="1">
      <c r="A211" s="35">
        <v>208.0</v>
      </c>
      <c r="B211" s="36" t="s">
        <v>1491</v>
      </c>
      <c r="C211" s="37" t="s">
        <v>1492</v>
      </c>
      <c r="D211" s="38" t="s">
        <v>1493</v>
      </c>
      <c r="E211" s="38" t="s">
        <v>1494</v>
      </c>
      <c r="F211" s="38" t="s">
        <v>1224</v>
      </c>
      <c r="G211" s="39" t="s">
        <v>1225</v>
      </c>
      <c r="H211" s="49" t="s">
        <v>50</v>
      </c>
      <c r="I211" s="39" t="s">
        <v>51</v>
      </c>
      <c r="J211" s="65" t="s">
        <v>153</v>
      </c>
      <c r="K211" s="65">
        <v>10.0</v>
      </c>
      <c r="L211" s="117" t="s">
        <v>1495</v>
      </c>
      <c r="M211" s="51" t="b">
        <v>1</v>
      </c>
      <c r="N211" s="60" t="s">
        <v>292</v>
      </c>
      <c r="O211" s="63" t="s">
        <v>1227</v>
      </c>
      <c r="P211" s="35" t="s">
        <v>1496</v>
      </c>
      <c r="Q211" s="35" t="s">
        <v>1497</v>
      </c>
      <c r="R211" s="116"/>
      <c r="S211" s="116"/>
      <c r="T211" s="46"/>
      <c r="U211" s="13"/>
      <c r="V211" s="13"/>
      <c r="W211" s="13"/>
      <c r="X211" s="13"/>
      <c r="Y211" s="13"/>
      <c r="Z211" s="13"/>
      <c r="AA211" s="13"/>
      <c r="AB211" s="13"/>
      <c r="AC211" s="13"/>
    </row>
    <row r="212" ht="16.5" hidden="1" customHeight="1">
      <c r="A212" s="35">
        <v>209.0</v>
      </c>
      <c r="B212" s="36" t="s">
        <v>1498</v>
      </c>
      <c r="C212" s="37" t="s">
        <v>1499</v>
      </c>
      <c r="D212" s="38" t="s">
        <v>1500</v>
      </c>
      <c r="E212" s="38"/>
      <c r="F212" s="38" t="s">
        <v>1501</v>
      </c>
      <c r="G212" s="39" t="s">
        <v>1502</v>
      </c>
      <c r="H212" s="49" t="s">
        <v>50</v>
      </c>
      <c r="I212" s="93" t="s">
        <v>51</v>
      </c>
      <c r="J212" s="39" t="s">
        <v>1503</v>
      </c>
      <c r="K212" s="94" t="s">
        <v>1504</v>
      </c>
      <c r="L212" s="93" t="s">
        <v>1505</v>
      </c>
      <c r="M212" s="51" t="b">
        <v>1</v>
      </c>
      <c r="N212" s="126" t="s">
        <v>1506</v>
      </c>
      <c r="O212" s="128"/>
      <c r="P212" s="116"/>
      <c r="Q212" s="116"/>
      <c r="R212" s="116"/>
      <c r="S212" s="116"/>
      <c r="T212" s="46"/>
      <c r="U212" s="13"/>
      <c r="V212" s="13"/>
      <c r="W212" s="13"/>
      <c r="X212" s="13"/>
      <c r="Y212" s="13"/>
      <c r="Z212" s="13"/>
      <c r="AA212" s="13"/>
      <c r="AB212" s="13"/>
      <c r="AC212" s="13"/>
    </row>
    <row r="213" ht="16.5" hidden="1" customHeight="1">
      <c r="A213" s="35">
        <v>210.0</v>
      </c>
      <c r="B213" s="36" t="s">
        <v>1507</v>
      </c>
      <c r="C213" s="37" t="s">
        <v>1508</v>
      </c>
      <c r="D213" s="38" t="s">
        <v>1509</v>
      </c>
      <c r="E213" s="38"/>
      <c r="F213" s="38" t="s">
        <v>196</v>
      </c>
      <c r="G213" s="39" t="s">
        <v>231</v>
      </c>
      <c r="H213" s="49" t="s">
        <v>64</v>
      </c>
      <c r="I213" s="93" t="s">
        <v>65</v>
      </c>
      <c r="J213" s="55"/>
      <c r="K213" s="121"/>
      <c r="L213" s="121"/>
      <c r="M213" s="51" t="b">
        <v>0</v>
      </c>
      <c r="N213" s="116"/>
      <c r="O213" s="116"/>
      <c r="P213" s="116"/>
      <c r="Q213" s="116"/>
      <c r="R213" s="116"/>
      <c r="S213" s="116"/>
      <c r="T213" s="46"/>
      <c r="U213" s="13"/>
      <c r="V213" s="13"/>
      <c r="W213" s="13"/>
      <c r="X213" s="13"/>
      <c r="Y213" s="13"/>
      <c r="Z213" s="13"/>
      <c r="AA213" s="13"/>
      <c r="AB213" s="13"/>
      <c r="AC213" s="13"/>
    </row>
    <row r="214" ht="16.5" hidden="1" customHeight="1">
      <c r="A214" s="35">
        <v>211.0</v>
      </c>
      <c r="B214" s="36" t="s">
        <v>1510</v>
      </c>
      <c r="C214" s="37" t="s">
        <v>1511</v>
      </c>
      <c r="D214" s="38" t="s">
        <v>1512</v>
      </c>
      <c r="E214" s="38" t="s">
        <v>1513</v>
      </c>
      <c r="F214" s="38" t="s">
        <v>1322</v>
      </c>
      <c r="G214" s="39" t="s">
        <v>231</v>
      </c>
      <c r="H214" s="49" t="s">
        <v>64</v>
      </c>
      <c r="I214" s="93" t="s">
        <v>65</v>
      </c>
      <c r="J214" s="55"/>
      <c r="K214" s="121"/>
      <c r="L214" s="121"/>
      <c r="M214" s="51" t="b">
        <v>0</v>
      </c>
      <c r="N214" s="116"/>
      <c r="O214" s="116"/>
      <c r="P214" s="116"/>
      <c r="Q214" s="116"/>
      <c r="R214" s="116"/>
      <c r="S214" s="116"/>
      <c r="T214" s="46"/>
      <c r="U214" s="13"/>
      <c r="V214" s="13"/>
      <c r="W214" s="13"/>
      <c r="X214" s="13"/>
      <c r="Y214" s="13"/>
      <c r="Z214" s="13"/>
      <c r="AA214" s="13"/>
      <c r="AB214" s="13"/>
      <c r="AC214" s="13"/>
    </row>
    <row r="215" ht="16.5" hidden="1" customHeight="1">
      <c r="A215" s="35">
        <v>212.0</v>
      </c>
      <c r="B215" s="100" t="s">
        <v>1514</v>
      </c>
      <c r="C215" s="37" t="s">
        <v>1515</v>
      </c>
      <c r="D215" s="38" t="s">
        <v>1516</v>
      </c>
      <c r="E215" s="38"/>
      <c r="F215" s="38" t="s">
        <v>1517</v>
      </c>
      <c r="G215" s="39" t="s">
        <v>231</v>
      </c>
      <c r="H215" s="49" t="s">
        <v>64</v>
      </c>
      <c r="I215" s="93" t="s">
        <v>65</v>
      </c>
      <c r="J215" s="55"/>
      <c r="K215" s="121"/>
      <c r="L215" s="121"/>
      <c r="M215" s="51" t="b">
        <v>0</v>
      </c>
      <c r="N215" s="116"/>
      <c r="O215" s="116"/>
      <c r="P215" s="116"/>
      <c r="Q215" s="116"/>
      <c r="R215" s="116"/>
      <c r="S215" s="116"/>
      <c r="T215" s="46"/>
      <c r="U215" s="13"/>
      <c r="V215" s="13"/>
      <c r="W215" s="13"/>
      <c r="X215" s="13"/>
      <c r="Y215" s="13"/>
      <c r="Z215" s="13"/>
      <c r="AA215" s="13"/>
      <c r="AB215" s="13"/>
      <c r="AC215" s="13"/>
    </row>
    <row r="216" ht="16.5" hidden="1" customHeight="1">
      <c r="A216" s="35">
        <v>213.0</v>
      </c>
      <c r="B216" s="36" t="s">
        <v>1315</v>
      </c>
      <c r="C216" s="37" t="s">
        <v>1518</v>
      </c>
      <c r="D216" s="38" t="s">
        <v>1519</v>
      </c>
      <c r="E216" s="38"/>
      <c r="F216" s="38" t="s">
        <v>1318</v>
      </c>
      <c r="G216" s="39" t="s">
        <v>1273</v>
      </c>
      <c r="H216" s="49" t="s">
        <v>50</v>
      </c>
      <c r="I216" s="39" t="s">
        <v>51</v>
      </c>
      <c r="J216" s="39" t="s">
        <v>470</v>
      </c>
      <c r="K216" s="42" t="s">
        <v>1122</v>
      </c>
      <c r="L216" s="39" t="s">
        <v>1274</v>
      </c>
      <c r="M216" s="51" t="b">
        <v>1</v>
      </c>
      <c r="N216" s="126" t="s">
        <v>1275</v>
      </c>
      <c r="O216" s="127" t="s">
        <v>1276</v>
      </c>
      <c r="P216" s="116"/>
      <c r="Q216" s="116"/>
      <c r="R216" s="116"/>
      <c r="S216" s="116"/>
      <c r="T216" s="46"/>
      <c r="U216" s="13"/>
      <c r="V216" s="13"/>
      <c r="W216" s="13"/>
      <c r="X216" s="13"/>
      <c r="Y216" s="13"/>
      <c r="Z216" s="13"/>
      <c r="AA216" s="13"/>
      <c r="AB216" s="13"/>
      <c r="AC216" s="13"/>
    </row>
    <row r="217" ht="16.5" hidden="1" customHeight="1">
      <c r="A217" s="35">
        <v>214.0</v>
      </c>
      <c r="B217" s="36" t="s">
        <v>1520</v>
      </c>
      <c r="C217" s="37" t="s">
        <v>1521</v>
      </c>
      <c r="D217" s="38" t="s">
        <v>1522</v>
      </c>
      <c r="E217" s="38"/>
      <c r="F217" s="38" t="s">
        <v>1517</v>
      </c>
      <c r="G217" s="39" t="s">
        <v>231</v>
      </c>
      <c r="H217" s="49" t="s">
        <v>64</v>
      </c>
      <c r="I217" s="93" t="s">
        <v>65</v>
      </c>
      <c r="J217" s="55"/>
      <c r="K217" s="121"/>
      <c r="L217" s="121"/>
      <c r="M217" s="51" t="b">
        <v>0</v>
      </c>
      <c r="N217" s="116"/>
      <c r="O217" s="116"/>
      <c r="P217" s="116"/>
      <c r="Q217" s="116"/>
      <c r="R217" s="116"/>
      <c r="S217" s="116"/>
      <c r="T217" s="46"/>
      <c r="U217" s="13"/>
      <c r="V217" s="13"/>
      <c r="W217" s="13"/>
      <c r="X217" s="13"/>
      <c r="Y217" s="13"/>
      <c r="Z217" s="13"/>
      <c r="AA217" s="13"/>
      <c r="AB217" s="13"/>
      <c r="AC217" s="13"/>
    </row>
    <row r="218" ht="16.5" hidden="1" customHeight="1">
      <c r="A218" s="35">
        <v>215.0</v>
      </c>
      <c r="B218" s="36" t="s">
        <v>1523</v>
      </c>
      <c r="C218" s="37" t="s">
        <v>1524</v>
      </c>
      <c r="D218" s="38" t="s">
        <v>1525</v>
      </c>
      <c r="E218" s="38" t="s">
        <v>1526</v>
      </c>
      <c r="F218" s="38" t="s">
        <v>1527</v>
      </c>
      <c r="G218" s="39" t="s">
        <v>586</v>
      </c>
      <c r="H218" s="49" t="s">
        <v>50</v>
      </c>
      <c r="I218" s="39" t="s">
        <v>51</v>
      </c>
      <c r="J218" s="39" t="s">
        <v>587</v>
      </c>
      <c r="K218" s="42" t="s">
        <v>41</v>
      </c>
      <c r="L218" s="39" t="s">
        <v>588</v>
      </c>
      <c r="M218" s="51" t="b">
        <v>1</v>
      </c>
      <c r="N218" s="126" t="s">
        <v>1528</v>
      </c>
      <c r="O218" s="127" t="s">
        <v>590</v>
      </c>
      <c r="P218" s="116"/>
      <c r="Q218" s="116"/>
      <c r="R218" s="116"/>
      <c r="S218" s="116"/>
      <c r="T218" s="46"/>
      <c r="U218" s="13"/>
      <c r="V218" s="13"/>
      <c r="W218" s="13"/>
      <c r="X218" s="13"/>
      <c r="Y218" s="13"/>
      <c r="Z218" s="13"/>
      <c r="AA218" s="13"/>
      <c r="AB218" s="13"/>
      <c r="AC218" s="13"/>
    </row>
    <row r="219" ht="342.0" hidden="1" customHeight="1">
      <c r="A219" s="35">
        <v>216.0</v>
      </c>
      <c r="B219" s="36" t="s">
        <v>1529</v>
      </c>
      <c r="C219" s="37" t="s">
        <v>1530</v>
      </c>
      <c r="D219" s="38" t="s">
        <v>1531</v>
      </c>
      <c r="E219" s="38" t="s">
        <v>1532</v>
      </c>
      <c r="F219" s="38" t="s">
        <v>1533</v>
      </c>
      <c r="G219" s="39" t="s">
        <v>1534</v>
      </c>
      <c r="H219" s="49" t="s">
        <v>50</v>
      </c>
      <c r="I219" s="93" t="s">
        <v>51</v>
      </c>
      <c r="J219" s="39" t="s">
        <v>491</v>
      </c>
      <c r="K219" s="66" t="s">
        <v>238</v>
      </c>
      <c r="L219" s="39" t="s">
        <v>1535</v>
      </c>
      <c r="M219" s="51" t="b">
        <v>1</v>
      </c>
      <c r="N219" s="129" t="s">
        <v>1536</v>
      </c>
      <c r="O219" s="127" t="s">
        <v>1537</v>
      </c>
      <c r="P219" s="116"/>
      <c r="Q219" s="116"/>
      <c r="R219" s="116"/>
      <c r="S219" s="116"/>
      <c r="T219" s="46"/>
      <c r="U219" s="97"/>
      <c r="V219" s="13"/>
      <c r="W219" s="13"/>
      <c r="X219" s="13"/>
      <c r="Y219" s="13"/>
      <c r="Z219" s="13"/>
      <c r="AA219" s="13"/>
      <c r="AB219" s="13"/>
      <c r="AC219" s="13"/>
    </row>
    <row r="220" ht="16.5" hidden="1" customHeight="1">
      <c r="A220" s="35">
        <v>217.0</v>
      </c>
      <c r="B220" s="36" t="s">
        <v>1538</v>
      </c>
      <c r="C220" s="37" t="s">
        <v>1539</v>
      </c>
      <c r="D220" s="38" t="s">
        <v>1540</v>
      </c>
      <c r="E220" s="38" t="s">
        <v>1541</v>
      </c>
      <c r="F220" s="38" t="s">
        <v>1542</v>
      </c>
      <c r="G220" s="39" t="s">
        <v>1543</v>
      </c>
      <c r="H220" s="49" t="s">
        <v>50</v>
      </c>
      <c r="I220" s="93" t="s">
        <v>51</v>
      </c>
      <c r="J220" s="39" t="s">
        <v>855</v>
      </c>
      <c r="K220" s="94" t="s">
        <v>1544</v>
      </c>
      <c r="L220" s="93" t="s">
        <v>1545</v>
      </c>
      <c r="M220" s="51" t="b">
        <v>1</v>
      </c>
      <c r="N220" s="130" t="s">
        <v>1546</v>
      </c>
      <c r="O220" s="131"/>
      <c r="P220" s="123"/>
      <c r="Q220" s="123"/>
      <c r="R220" s="116"/>
      <c r="S220" s="116"/>
      <c r="T220" s="46"/>
      <c r="U220" s="13"/>
      <c r="V220" s="13"/>
      <c r="W220" s="13"/>
      <c r="X220" s="13"/>
      <c r="Y220" s="13"/>
      <c r="Z220" s="13"/>
      <c r="AA220" s="13"/>
      <c r="AB220" s="13"/>
      <c r="AC220" s="13"/>
    </row>
    <row r="221" ht="216.0" hidden="1" customHeight="1">
      <c r="A221" s="35">
        <v>218.0</v>
      </c>
      <c r="B221" s="36" t="s">
        <v>1547</v>
      </c>
      <c r="C221" s="37" t="s">
        <v>1548</v>
      </c>
      <c r="D221" s="38" t="s">
        <v>1549</v>
      </c>
      <c r="E221" s="38" t="s">
        <v>1550</v>
      </c>
      <c r="F221" s="38" t="s">
        <v>1551</v>
      </c>
      <c r="G221" s="39" t="s">
        <v>231</v>
      </c>
      <c r="H221" s="49" t="s">
        <v>64</v>
      </c>
      <c r="I221" s="93" t="s">
        <v>65</v>
      </c>
      <c r="J221" s="55"/>
      <c r="K221" s="121"/>
      <c r="L221" s="121"/>
      <c r="M221" s="51" t="b">
        <v>0</v>
      </c>
      <c r="N221" s="116"/>
      <c r="O221" s="116"/>
      <c r="P221" s="116"/>
      <c r="Q221" s="116"/>
      <c r="R221" s="116"/>
      <c r="S221" s="116"/>
      <c r="T221" s="46"/>
      <c r="U221" s="13"/>
      <c r="V221" s="13"/>
      <c r="W221" s="13"/>
      <c r="X221" s="13"/>
      <c r="Y221" s="13"/>
      <c r="Z221" s="13"/>
      <c r="AA221" s="13"/>
      <c r="AB221" s="13"/>
      <c r="AC221" s="13"/>
    </row>
    <row r="222" ht="162.0" hidden="1" customHeight="1">
      <c r="A222" s="35">
        <v>219.0</v>
      </c>
      <c r="B222" s="36" t="s">
        <v>1552</v>
      </c>
      <c r="C222" s="37" t="s">
        <v>1553</v>
      </c>
      <c r="D222" s="38" t="s">
        <v>1554</v>
      </c>
      <c r="E222" s="38" t="s">
        <v>1555</v>
      </c>
      <c r="F222" s="38" t="s">
        <v>1556</v>
      </c>
      <c r="G222" s="39" t="s">
        <v>231</v>
      </c>
      <c r="H222" s="49" t="s">
        <v>64</v>
      </c>
      <c r="I222" s="93" t="s">
        <v>65</v>
      </c>
      <c r="J222" s="55"/>
      <c r="K222" s="121"/>
      <c r="L222" s="121"/>
      <c r="M222" s="51" t="b">
        <v>0</v>
      </c>
      <c r="N222" s="116"/>
      <c r="O222" s="116"/>
      <c r="P222" s="116"/>
      <c r="Q222" s="116"/>
      <c r="R222" s="116"/>
      <c r="S222" s="116"/>
      <c r="T222" s="46"/>
      <c r="U222" s="13"/>
      <c r="V222" s="13"/>
      <c r="W222" s="13"/>
      <c r="X222" s="13"/>
      <c r="Y222" s="13"/>
      <c r="Z222" s="13"/>
      <c r="AA222" s="13"/>
      <c r="AB222" s="13"/>
      <c r="AC222" s="13"/>
    </row>
    <row r="223" ht="16.5" hidden="1" customHeight="1">
      <c r="A223" s="35">
        <v>220.0</v>
      </c>
      <c r="B223" s="36" t="s">
        <v>1557</v>
      </c>
      <c r="C223" s="37" t="s">
        <v>1558</v>
      </c>
      <c r="D223" s="38" t="s">
        <v>1559</v>
      </c>
      <c r="E223" s="38" t="s">
        <v>1560</v>
      </c>
      <c r="F223" s="38" t="s">
        <v>1556</v>
      </c>
      <c r="G223" s="39" t="s">
        <v>1561</v>
      </c>
      <c r="H223" s="49" t="s">
        <v>38</v>
      </c>
      <c r="I223" s="93" t="s">
        <v>51</v>
      </c>
      <c r="J223" s="65" t="s">
        <v>153</v>
      </c>
      <c r="K223" s="132" t="s">
        <v>41</v>
      </c>
      <c r="L223" s="93" t="s">
        <v>189</v>
      </c>
      <c r="M223" s="51" t="b">
        <v>1</v>
      </c>
      <c r="N223" s="129" t="s">
        <v>1562</v>
      </c>
      <c r="O223" s="127" t="s">
        <v>191</v>
      </c>
      <c r="P223" s="116"/>
      <c r="Q223" s="116"/>
      <c r="R223" s="116"/>
      <c r="S223" s="116"/>
      <c r="T223" s="46"/>
      <c r="U223" s="13"/>
      <c r="V223" s="13"/>
      <c r="W223" s="13"/>
      <c r="X223" s="13"/>
      <c r="Y223" s="13"/>
      <c r="Z223" s="13"/>
      <c r="AA223" s="13"/>
      <c r="AB223" s="13"/>
      <c r="AC223" s="13"/>
    </row>
    <row r="224" ht="16.5" hidden="1" customHeight="1">
      <c r="A224" s="35">
        <v>221.0</v>
      </c>
      <c r="B224" s="36" t="s">
        <v>1563</v>
      </c>
      <c r="C224" s="37" t="s">
        <v>1564</v>
      </c>
      <c r="D224" s="38" t="s">
        <v>1565</v>
      </c>
      <c r="E224" s="38" t="s">
        <v>1566</v>
      </c>
      <c r="F224" s="38" t="s">
        <v>1567</v>
      </c>
      <c r="G224" s="39" t="s">
        <v>1568</v>
      </c>
      <c r="H224" s="49" t="s">
        <v>50</v>
      </c>
      <c r="I224" s="93" t="s">
        <v>51</v>
      </c>
      <c r="J224" s="39" t="s">
        <v>1569</v>
      </c>
      <c r="K224" s="94" t="s">
        <v>41</v>
      </c>
      <c r="L224" s="58" t="s">
        <v>1570</v>
      </c>
      <c r="M224" s="51" t="b">
        <v>1</v>
      </c>
      <c r="N224" s="130" t="s">
        <v>1571</v>
      </c>
      <c r="O224" s="128"/>
      <c r="P224" s="116"/>
      <c r="Q224" s="116"/>
      <c r="R224" s="116"/>
      <c r="S224" s="116"/>
      <c r="T224" s="46"/>
      <c r="U224" s="13"/>
      <c r="V224" s="13"/>
      <c r="W224" s="13"/>
      <c r="X224" s="13"/>
      <c r="Y224" s="13"/>
      <c r="Z224" s="13"/>
      <c r="AA224" s="13"/>
      <c r="AB224" s="13"/>
      <c r="AC224" s="13"/>
    </row>
    <row r="225" ht="16.5" hidden="1" customHeight="1">
      <c r="A225" s="35">
        <v>222.0</v>
      </c>
      <c r="B225" s="36" t="s">
        <v>1572</v>
      </c>
      <c r="C225" s="37" t="s">
        <v>1573</v>
      </c>
      <c r="D225" s="38" t="s">
        <v>1574</v>
      </c>
      <c r="E225" s="38" t="s">
        <v>1575</v>
      </c>
      <c r="F225" s="38" t="s">
        <v>196</v>
      </c>
      <c r="G225" s="39" t="s">
        <v>1574</v>
      </c>
      <c r="H225" s="49" t="s">
        <v>50</v>
      </c>
      <c r="I225" s="93" t="s">
        <v>51</v>
      </c>
      <c r="J225" s="39" t="s">
        <v>1576</v>
      </c>
      <c r="K225" s="94" t="s">
        <v>1577</v>
      </c>
      <c r="L225" s="93" t="s">
        <v>1578</v>
      </c>
      <c r="M225" s="51" t="b">
        <v>1</v>
      </c>
      <c r="N225" s="130" t="s">
        <v>1579</v>
      </c>
      <c r="O225" s="131"/>
      <c r="P225" s="123"/>
      <c r="Q225" s="123"/>
      <c r="R225" s="116"/>
      <c r="S225" s="116"/>
      <c r="T225" s="46"/>
      <c r="U225" s="13"/>
      <c r="V225" s="13"/>
      <c r="W225" s="13"/>
      <c r="X225" s="13"/>
      <c r="Y225" s="13"/>
      <c r="Z225" s="13"/>
      <c r="AA225" s="13"/>
      <c r="AB225" s="13"/>
      <c r="AC225" s="13"/>
    </row>
    <row r="226" ht="16.5" hidden="1" customHeight="1">
      <c r="A226" s="35">
        <v>223.0</v>
      </c>
      <c r="B226" s="36" t="s">
        <v>1580</v>
      </c>
      <c r="C226" s="37" t="s">
        <v>1581</v>
      </c>
      <c r="D226" s="38" t="s">
        <v>1582</v>
      </c>
      <c r="E226" s="38"/>
      <c r="F226" s="38" t="s">
        <v>1583</v>
      </c>
      <c r="G226" s="39" t="s">
        <v>231</v>
      </c>
      <c r="H226" s="49" t="s">
        <v>64</v>
      </c>
      <c r="I226" s="93" t="s">
        <v>65</v>
      </c>
      <c r="J226" s="55"/>
      <c r="K226" s="121"/>
      <c r="L226" s="121"/>
      <c r="M226" s="51" t="b">
        <v>0</v>
      </c>
      <c r="N226" s="116"/>
      <c r="O226" s="116"/>
      <c r="P226" s="116"/>
      <c r="Q226" s="116"/>
      <c r="R226" s="116"/>
      <c r="S226" s="116"/>
      <c r="T226" s="46"/>
      <c r="U226" s="13"/>
      <c r="V226" s="13"/>
      <c r="W226" s="13"/>
      <c r="X226" s="13"/>
      <c r="Y226" s="13"/>
      <c r="Z226" s="13"/>
      <c r="AA226" s="13"/>
      <c r="AB226" s="13"/>
      <c r="AC226" s="13"/>
    </row>
    <row r="227" ht="264.0" hidden="1" customHeight="1">
      <c r="A227" s="35">
        <v>224.0</v>
      </c>
      <c r="B227" s="100" t="s">
        <v>1584</v>
      </c>
      <c r="C227" s="37" t="s">
        <v>1585</v>
      </c>
      <c r="D227" s="38" t="s">
        <v>1586</v>
      </c>
      <c r="E227" s="38" t="s">
        <v>1587</v>
      </c>
      <c r="F227" s="38" t="s">
        <v>1588</v>
      </c>
      <c r="G227" s="39" t="s">
        <v>231</v>
      </c>
      <c r="H227" s="49" t="s">
        <v>64</v>
      </c>
      <c r="I227" s="93" t="s">
        <v>65</v>
      </c>
      <c r="J227" s="55"/>
      <c r="K227" s="121"/>
      <c r="L227" s="121"/>
      <c r="M227" s="51" t="b">
        <v>0</v>
      </c>
      <c r="N227" s="116"/>
      <c r="O227" s="116"/>
      <c r="P227" s="116"/>
      <c r="Q227" s="116"/>
      <c r="R227" s="116"/>
      <c r="S227" s="116"/>
      <c r="T227" s="46"/>
      <c r="U227" s="13"/>
      <c r="V227" s="13"/>
      <c r="W227" s="13"/>
      <c r="X227" s="13"/>
      <c r="Y227" s="13"/>
      <c r="Z227" s="13"/>
      <c r="AA227" s="13"/>
      <c r="AB227" s="13"/>
      <c r="AC227" s="13"/>
    </row>
    <row r="228" ht="330.0" hidden="1" customHeight="1">
      <c r="A228" s="35">
        <v>225.0</v>
      </c>
      <c r="B228" s="100" t="s">
        <v>1589</v>
      </c>
      <c r="C228" s="37" t="s">
        <v>1590</v>
      </c>
      <c r="D228" s="38" t="s">
        <v>1591</v>
      </c>
      <c r="E228" s="38"/>
      <c r="F228" s="38" t="s">
        <v>1592</v>
      </c>
      <c r="G228" s="39" t="s">
        <v>231</v>
      </c>
      <c r="H228" s="49" t="s">
        <v>64</v>
      </c>
      <c r="I228" s="93" t="s">
        <v>65</v>
      </c>
      <c r="J228" s="55"/>
      <c r="K228" s="121"/>
      <c r="L228" s="121"/>
      <c r="M228" s="51" t="b">
        <v>0</v>
      </c>
      <c r="N228" s="116"/>
      <c r="O228" s="116"/>
      <c r="P228" s="116"/>
      <c r="Q228" s="116"/>
      <c r="R228" s="116"/>
      <c r="S228" s="116"/>
      <c r="T228" s="46"/>
      <c r="U228" s="13"/>
      <c r="V228" s="13"/>
      <c r="W228" s="13"/>
      <c r="X228" s="13"/>
      <c r="Y228" s="13"/>
      <c r="Z228" s="13"/>
      <c r="AA228" s="13"/>
      <c r="AB228" s="13"/>
      <c r="AC228" s="13"/>
    </row>
    <row r="229" ht="16.5" hidden="1" customHeight="1">
      <c r="A229" s="35">
        <v>226.0</v>
      </c>
      <c r="B229" s="36" t="s">
        <v>1593</v>
      </c>
      <c r="C229" s="37" t="s">
        <v>1594</v>
      </c>
      <c r="D229" s="38" t="s">
        <v>1595</v>
      </c>
      <c r="E229" s="38"/>
      <c r="F229" s="38" t="s">
        <v>1596</v>
      </c>
      <c r="G229" s="39" t="s">
        <v>1597</v>
      </c>
      <c r="H229" s="49" t="s">
        <v>38</v>
      </c>
      <c r="I229" s="39" t="s">
        <v>51</v>
      </c>
      <c r="J229" s="39" t="s">
        <v>873</v>
      </c>
      <c r="K229" s="93">
        <v>1.0</v>
      </c>
      <c r="L229" s="39" t="s">
        <v>1598</v>
      </c>
      <c r="M229" s="51" t="b">
        <v>1</v>
      </c>
      <c r="N229" s="126" t="s">
        <v>875</v>
      </c>
      <c r="O229" s="126" t="s">
        <v>876</v>
      </c>
      <c r="P229" s="116"/>
      <c r="Q229" s="116"/>
      <c r="R229" s="116"/>
      <c r="S229" s="116"/>
      <c r="T229" s="46"/>
      <c r="U229" s="13"/>
      <c r="V229" s="13"/>
      <c r="W229" s="13"/>
      <c r="X229" s="13"/>
      <c r="Y229" s="13"/>
      <c r="Z229" s="13"/>
      <c r="AA229" s="13"/>
      <c r="AB229" s="13"/>
      <c r="AC229" s="13"/>
    </row>
    <row r="230" ht="409.5" hidden="1" customHeight="1">
      <c r="A230" s="35">
        <v>227.0</v>
      </c>
      <c r="B230" s="100" t="s">
        <v>1599</v>
      </c>
      <c r="C230" s="37" t="s">
        <v>1600</v>
      </c>
      <c r="D230" s="38" t="s">
        <v>1601</v>
      </c>
      <c r="E230" s="38" t="s">
        <v>1084</v>
      </c>
      <c r="F230" s="38" t="s">
        <v>1556</v>
      </c>
      <c r="G230" s="39" t="s">
        <v>231</v>
      </c>
      <c r="H230" s="49" t="s">
        <v>64</v>
      </c>
      <c r="I230" s="93" t="s">
        <v>65</v>
      </c>
      <c r="J230" s="55"/>
      <c r="K230" s="121"/>
      <c r="L230" s="121"/>
      <c r="M230" s="51" t="b">
        <v>0</v>
      </c>
      <c r="N230" s="116"/>
      <c r="O230" s="116"/>
      <c r="P230" s="116"/>
      <c r="Q230" s="116"/>
      <c r="R230" s="116"/>
      <c r="S230" s="116"/>
      <c r="T230" s="46"/>
      <c r="U230" s="13"/>
      <c r="V230" s="13"/>
      <c r="W230" s="13"/>
      <c r="X230" s="13"/>
      <c r="Y230" s="13"/>
      <c r="Z230" s="13"/>
      <c r="AA230" s="13"/>
      <c r="AB230" s="13"/>
      <c r="AC230" s="13"/>
    </row>
    <row r="231" ht="162.0" hidden="1" customHeight="1">
      <c r="A231" s="35">
        <v>228.0</v>
      </c>
      <c r="B231" s="100" t="s">
        <v>1602</v>
      </c>
      <c r="C231" s="37" t="s">
        <v>1603</v>
      </c>
      <c r="D231" s="38" t="s">
        <v>1604</v>
      </c>
      <c r="E231" s="38" t="s">
        <v>1605</v>
      </c>
      <c r="F231" s="38" t="s">
        <v>1556</v>
      </c>
      <c r="G231" s="39" t="s">
        <v>231</v>
      </c>
      <c r="H231" s="49" t="s">
        <v>64</v>
      </c>
      <c r="I231" s="93" t="s">
        <v>65</v>
      </c>
      <c r="J231" s="55"/>
      <c r="K231" s="121"/>
      <c r="L231" s="121"/>
      <c r="M231" s="51" t="b">
        <v>0</v>
      </c>
      <c r="N231" s="116"/>
      <c r="O231" s="116"/>
      <c r="P231" s="116"/>
      <c r="Q231" s="116"/>
      <c r="R231" s="116"/>
      <c r="S231" s="116"/>
      <c r="T231" s="46"/>
      <c r="U231" s="13"/>
      <c r="V231" s="13"/>
      <c r="W231" s="13"/>
      <c r="X231" s="13"/>
      <c r="Y231" s="13"/>
      <c r="Z231" s="13"/>
      <c r="AA231" s="13"/>
      <c r="AB231" s="13"/>
      <c r="AC231" s="13"/>
    </row>
    <row r="232" ht="16.5" hidden="1" customHeight="1">
      <c r="A232" s="35">
        <v>229.0</v>
      </c>
      <c r="B232" s="36" t="s">
        <v>1606</v>
      </c>
      <c r="C232" s="37" t="s">
        <v>1607</v>
      </c>
      <c r="D232" s="38" t="s">
        <v>1608</v>
      </c>
      <c r="E232" s="38"/>
      <c r="F232" s="38" t="s">
        <v>1609</v>
      </c>
      <c r="G232" s="39" t="s">
        <v>1610</v>
      </c>
      <c r="H232" s="49" t="s">
        <v>50</v>
      </c>
      <c r="I232" s="93" t="s">
        <v>51</v>
      </c>
      <c r="J232" s="39" t="s">
        <v>1611</v>
      </c>
      <c r="K232" s="94" t="s">
        <v>1612</v>
      </c>
      <c r="L232" s="93" t="s">
        <v>1613</v>
      </c>
      <c r="M232" s="51" t="b">
        <v>1</v>
      </c>
      <c r="N232" s="126" t="s">
        <v>1614</v>
      </c>
      <c r="O232" s="128"/>
      <c r="P232" s="116"/>
      <c r="Q232" s="116"/>
      <c r="R232" s="116"/>
      <c r="S232" s="116"/>
      <c r="T232" s="46"/>
      <c r="U232" s="13"/>
      <c r="V232" s="13"/>
      <c r="W232" s="13"/>
      <c r="X232" s="13"/>
      <c r="Y232" s="13"/>
      <c r="Z232" s="13"/>
      <c r="AA232" s="13"/>
      <c r="AB232" s="13"/>
      <c r="AC232" s="13"/>
    </row>
    <row r="233" ht="16.5" hidden="1" customHeight="1">
      <c r="A233" s="35">
        <v>230.0</v>
      </c>
      <c r="B233" s="36" t="s">
        <v>1615</v>
      </c>
      <c r="C233" s="37" t="s">
        <v>1616</v>
      </c>
      <c r="D233" s="38" t="s">
        <v>1617</v>
      </c>
      <c r="E233" s="38" t="s">
        <v>1618</v>
      </c>
      <c r="F233" s="38" t="s">
        <v>1619</v>
      </c>
      <c r="G233" s="39" t="s">
        <v>1020</v>
      </c>
      <c r="H233" s="49" t="s">
        <v>50</v>
      </c>
      <c r="I233" s="85" t="s">
        <v>51</v>
      </c>
      <c r="J233" s="39" t="s">
        <v>1021</v>
      </c>
      <c r="K233" s="94" t="s">
        <v>41</v>
      </c>
      <c r="L233" s="133" t="s">
        <v>1022</v>
      </c>
      <c r="M233" s="51" t="b">
        <v>1</v>
      </c>
      <c r="N233" s="126" t="s">
        <v>1365</v>
      </c>
      <c r="O233" s="128"/>
      <c r="P233" s="116"/>
      <c r="Q233" s="116"/>
      <c r="R233" s="116"/>
      <c r="S233" s="116"/>
      <c r="T233" s="46"/>
      <c r="U233" s="13"/>
      <c r="V233" s="13"/>
      <c r="W233" s="13"/>
      <c r="X233" s="13"/>
      <c r="Y233" s="13"/>
      <c r="Z233" s="13"/>
      <c r="AA233" s="13"/>
      <c r="AB233" s="13"/>
      <c r="AC233" s="13"/>
    </row>
    <row r="234" ht="16.5" hidden="1" customHeight="1">
      <c r="A234" s="35">
        <v>231.0</v>
      </c>
      <c r="B234" s="36" t="s">
        <v>1620</v>
      </c>
      <c r="C234" s="37" t="s">
        <v>1621</v>
      </c>
      <c r="D234" s="38" t="s">
        <v>1622</v>
      </c>
      <c r="E234" s="38"/>
      <c r="F234" s="38" t="s">
        <v>1623</v>
      </c>
      <c r="G234" s="39" t="s">
        <v>1624</v>
      </c>
      <c r="H234" s="49" t="s">
        <v>50</v>
      </c>
      <c r="I234" s="93" t="s">
        <v>51</v>
      </c>
      <c r="J234" s="39" t="s">
        <v>961</v>
      </c>
      <c r="K234" s="94" t="s">
        <v>41</v>
      </c>
      <c r="L234" s="58" t="s">
        <v>1625</v>
      </c>
      <c r="M234" s="51" t="b">
        <v>1</v>
      </c>
      <c r="N234" s="126" t="s">
        <v>963</v>
      </c>
      <c r="O234" s="127" t="s">
        <v>1626</v>
      </c>
      <c r="P234" s="116"/>
      <c r="Q234" s="116"/>
      <c r="R234" s="116"/>
      <c r="S234" s="116"/>
      <c r="T234" s="46"/>
      <c r="U234" s="13"/>
      <c r="V234" s="13"/>
      <c r="W234" s="13"/>
      <c r="X234" s="13"/>
      <c r="Y234" s="13"/>
      <c r="Z234" s="13"/>
      <c r="AA234" s="13"/>
      <c r="AB234" s="13"/>
      <c r="AC234" s="13"/>
    </row>
    <row r="235" ht="214.5" hidden="1" customHeight="1">
      <c r="A235" s="35">
        <v>232.0</v>
      </c>
      <c r="B235" s="100" t="s">
        <v>1627</v>
      </c>
      <c r="C235" s="37" t="s">
        <v>1628</v>
      </c>
      <c r="D235" s="38" t="s">
        <v>1629</v>
      </c>
      <c r="E235" s="38" t="s">
        <v>1630</v>
      </c>
      <c r="F235" s="38" t="s">
        <v>1631</v>
      </c>
      <c r="G235" s="39" t="s">
        <v>231</v>
      </c>
      <c r="H235" s="49" t="s">
        <v>64</v>
      </c>
      <c r="I235" s="93" t="s">
        <v>65</v>
      </c>
      <c r="J235" s="55"/>
      <c r="K235" s="121"/>
      <c r="L235" s="121"/>
      <c r="M235" s="51" t="b">
        <v>0</v>
      </c>
      <c r="N235" s="116"/>
      <c r="O235" s="116"/>
      <c r="P235" s="116"/>
      <c r="Q235" s="116"/>
      <c r="R235" s="116"/>
      <c r="S235" s="116"/>
      <c r="T235" s="46"/>
      <c r="U235" s="13"/>
      <c r="V235" s="13"/>
      <c r="W235" s="13"/>
      <c r="X235" s="13"/>
      <c r="Y235" s="13"/>
      <c r="Z235" s="13"/>
      <c r="AA235" s="13"/>
      <c r="AB235" s="13"/>
      <c r="AC235" s="13"/>
    </row>
    <row r="236" ht="16.5" hidden="1" customHeight="1">
      <c r="A236" s="35">
        <v>233.0</v>
      </c>
      <c r="B236" s="36" t="s">
        <v>1632</v>
      </c>
      <c r="C236" s="37" t="s">
        <v>1633</v>
      </c>
      <c r="D236" s="38" t="s">
        <v>1634</v>
      </c>
      <c r="E236" s="38" t="s">
        <v>1635</v>
      </c>
      <c r="F236" s="38" t="s">
        <v>1636</v>
      </c>
      <c r="G236" s="39" t="s">
        <v>586</v>
      </c>
      <c r="H236" s="49" t="s">
        <v>50</v>
      </c>
      <c r="I236" s="93" t="s">
        <v>51</v>
      </c>
      <c r="J236" s="39" t="s">
        <v>587</v>
      </c>
      <c r="K236" s="42" t="s">
        <v>41</v>
      </c>
      <c r="L236" s="39" t="s">
        <v>588</v>
      </c>
      <c r="M236" s="51" t="b">
        <v>0</v>
      </c>
      <c r="N236" s="126" t="s">
        <v>1637</v>
      </c>
      <c r="O236" s="127" t="s">
        <v>590</v>
      </c>
      <c r="P236" s="116"/>
      <c r="Q236" s="116"/>
      <c r="R236" s="116"/>
      <c r="S236" s="116"/>
      <c r="T236" s="46"/>
      <c r="U236" s="13"/>
      <c r="V236" s="13"/>
      <c r="W236" s="13"/>
      <c r="X236" s="13"/>
      <c r="Y236" s="13"/>
      <c r="Z236" s="13"/>
      <c r="AA236" s="13"/>
      <c r="AB236" s="13"/>
      <c r="AC236" s="13"/>
    </row>
    <row r="237" ht="16.5" hidden="1" customHeight="1">
      <c r="A237" s="35">
        <v>234.0</v>
      </c>
      <c r="B237" s="36" t="s">
        <v>1638</v>
      </c>
      <c r="C237" s="37" t="s">
        <v>1639</v>
      </c>
      <c r="D237" s="38" t="s">
        <v>1640</v>
      </c>
      <c r="E237" s="38" t="s">
        <v>1641</v>
      </c>
      <c r="F237" s="38" t="s">
        <v>1642</v>
      </c>
      <c r="G237" s="39" t="s">
        <v>231</v>
      </c>
      <c r="H237" s="134" t="s">
        <v>64</v>
      </c>
      <c r="I237" s="93" t="s">
        <v>65</v>
      </c>
      <c r="J237" s="55"/>
      <c r="K237" s="121"/>
      <c r="L237" s="121"/>
      <c r="M237" s="51" t="b">
        <v>0</v>
      </c>
      <c r="N237" s="116"/>
      <c r="O237" s="116"/>
      <c r="P237" s="116" t="s">
        <v>1643</v>
      </c>
      <c r="Q237" s="116"/>
      <c r="R237" s="116"/>
      <c r="S237" s="116"/>
      <c r="T237" s="46"/>
      <c r="U237" s="13"/>
      <c r="V237" s="13"/>
      <c r="W237" s="13"/>
      <c r="X237" s="13"/>
      <c r="Y237" s="13"/>
      <c r="Z237" s="13"/>
      <c r="AA237" s="13"/>
      <c r="AB237" s="13"/>
      <c r="AC237" s="13"/>
    </row>
    <row r="238" ht="231.0" hidden="1" customHeight="1">
      <c r="A238" s="35">
        <v>235.0</v>
      </c>
      <c r="B238" s="36" t="s">
        <v>1644</v>
      </c>
      <c r="C238" s="37" t="s">
        <v>1645</v>
      </c>
      <c r="D238" s="38" t="s">
        <v>1646</v>
      </c>
      <c r="E238" s="38"/>
      <c r="F238" s="38" t="s">
        <v>1647</v>
      </c>
      <c r="G238" s="39" t="s">
        <v>231</v>
      </c>
      <c r="H238" s="49" t="s">
        <v>64</v>
      </c>
      <c r="I238" s="93" t="s">
        <v>65</v>
      </c>
      <c r="J238" s="55"/>
      <c r="K238" s="121"/>
      <c r="L238" s="121"/>
      <c r="M238" s="51" t="b">
        <v>0</v>
      </c>
      <c r="N238" s="116"/>
      <c r="O238" s="116"/>
      <c r="P238" s="116"/>
      <c r="Q238" s="116"/>
      <c r="R238" s="116"/>
      <c r="S238" s="116"/>
      <c r="T238" s="46"/>
      <c r="U238" s="13"/>
      <c r="V238" s="13"/>
      <c r="W238" s="13"/>
      <c r="X238" s="13"/>
      <c r="Y238" s="13"/>
      <c r="Z238" s="13"/>
      <c r="AA238" s="13"/>
      <c r="AB238" s="13"/>
      <c r="AC238" s="13"/>
    </row>
    <row r="239" ht="16.5" hidden="1" customHeight="1">
      <c r="A239" s="35">
        <v>236.0</v>
      </c>
      <c r="B239" s="36" t="s">
        <v>1648</v>
      </c>
      <c r="C239" s="37" t="s">
        <v>1649</v>
      </c>
      <c r="D239" s="38" t="s">
        <v>1650</v>
      </c>
      <c r="E239" s="38" t="s">
        <v>1651</v>
      </c>
      <c r="F239" s="38" t="s">
        <v>1652</v>
      </c>
      <c r="G239" s="39" t="s">
        <v>1653</v>
      </c>
      <c r="H239" s="49" t="s">
        <v>50</v>
      </c>
      <c r="I239" s="93" t="s">
        <v>51</v>
      </c>
      <c r="J239" s="39" t="s">
        <v>1654</v>
      </c>
      <c r="K239" s="94" t="s">
        <v>1655</v>
      </c>
      <c r="L239" s="93" t="s">
        <v>1656</v>
      </c>
      <c r="M239" s="51" t="b">
        <v>1</v>
      </c>
      <c r="N239" s="126" t="s">
        <v>1657</v>
      </c>
      <c r="O239" s="128"/>
      <c r="P239" s="116"/>
      <c r="Q239" s="116"/>
      <c r="R239" s="116"/>
      <c r="S239" s="116"/>
      <c r="T239" s="46"/>
      <c r="U239" s="13"/>
      <c r="V239" s="13"/>
      <c r="W239" s="13"/>
      <c r="X239" s="13"/>
      <c r="Y239" s="13"/>
      <c r="Z239" s="13"/>
      <c r="AA239" s="13"/>
      <c r="AB239" s="13"/>
      <c r="AC239" s="13"/>
    </row>
    <row r="240" ht="16.5" hidden="1" customHeight="1">
      <c r="A240" s="35">
        <v>237.0</v>
      </c>
      <c r="B240" s="36" t="s">
        <v>1658</v>
      </c>
      <c r="C240" s="37" t="s">
        <v>1659</v>
      </c>
      <c r="D240" s="38" t="s">
        <v>1660</v>
      </c>
      <c r="E240" s="38" t="s">
        <v>1661</v>
      </c>
      <c r="F240" s="38" t="s">
        <v>1662</v>
      </c>
      <c r="G240" s="39" t="s">
        <v>1663</v>
      </c>
      <c r="H240" s="134" t="s">
        <v>64</v>
      </c>
      <c r="I240" s="85" t="s">
        <v>65</v>
      </c>
      <c r="J240" s="55"/>
      <c r="K240" s="121"/>
      <c r="L240" s="121"/>
      <c r="M240" s="51" t="b">
        <v>0</v>
      </c>
      <c r="N240" s="116"/>
      <c r="O240" s="116"/>
      <c r="P240" s="116" t="s">
        <v>1664</v>
      </c>
      <c r="Q240" s="116"/>
      <c r="R240" s="116"/>
      <c r="S240" s="116"/>
      <c r="T240" s="46"/>
      <c r="U240" s="13"/>
      <c r="V240" s="13"/>
      <c r="W240" s="13"/>
      <c r="X240" s="13"/>
      <c r="Y240" s="13"/>
      <c r="Z240" s="13"/>
      <c r="AA240" s="13"/>
      <c r="AB240" s="13"/>
      <c r="AC240" s="13"/>
    </row>
    <row r="241" ht="16.5" hidden="1" customHeight="1">
      <c r="A241" s="35">
        <v>238.0</v>
      </c>
      <c r="B241" s="36" t="s">
        <v>1665</v>
      </c>
      <c r="C241" s="37" t="s">
        <v>1666</v>
      </c>
      <c r="D241" s="38" t="s">
        <v>1667</v>
      </c>
      <c r="E241" s="38" t="s">
        <v>547</v>
      </c>
      <c r="F241" s="38" t="s">
        <v>1668</v>
      </c>
      <c r="G241" s="39" t="s">
        <v>1218</v>
      </c>
      <c r="H241" s="49" t="s">
        <v>50</v>
      </c>
      <c r="I241" s="85" t="s">
        <v>51</v>
      </c>
      <c r="J241" s="39" t="s">
        <v>550</v>
      </c>
      <c r="K241" s="94" t="s">
        <v>1003</v>
      </c>
      <c r="L241" s="93" t="s">
        <v>1004</v>
      </c>
      <c r="M241" s="51" t="b">
        <v>1</v>
      </c>
      <c r="N241" s="126" t="s">
        <v>686</v>
      </c>
      <c r="O241" s="127" t="s">
        <v>1005</v>
      </c>
      <c r="P241" s="116"/>
      <c r="Q241" s="116"/>
      <c r="R241" s="116"/>
      <c r="S241" s="116"/>
      <c r="T241" s="46"/>
      <c r="U241" s="13"/>
      <c r="V241" s="13"/>
      <c r="W241" s="13"/>
      <c r="X241" s="13"/>
      <c r="Y241" s="13"/>
      <c r="Z241" s="13"/>
      <c r="AA241" s="13"/>
      <c r="AB241" s="13"/>
      <c r="AC241" s="13"/>
    </row>
    <row r="242" ht="16.5" hidden="1" customHeight="1">
      <c r="A242" s="35">
        <v>239.0</v>
      </c>
      <c r="B242" s="36" t="s">
        <v>1669</v>
      </c>
      <c r="C242" s="37" t="s">
        <v>1670</v>
      </c>
      <c r="D242" s="38" t="s">
        <v>1671</v>
      </c>
      <c r="E242" s="38"/>
      <c r="F242" s="38" t="s">
        <v>1672</v>
      </c>
      <c r="G242" s="39" t="s">
        <v>1673</v>
      </c>
      <c r="H242" s="49" t="s">
        <v>50</v>
      </c>
      <c r="I242" s="93" t="s">
        <v>51</v>
      </c>
      <c r="J242" s="39" t="s">
        <v>491</v>
      </c>
      <c r="K242" s="42" t="s">
        <v>409</v>
      </c>
      <c r="L242" s="39" t="s">
        <v>492</v>
      </c>
      <c r="M242" s="51" t="b">
        <v>1</v>
      </c>
      <c r="N242" s="129" t="s">
        <v>493</v>
      </c>
      <c r="O242" s="127" t="s">
        <v>494</v>
      </c>
      <c r="P242" s="116"/>
      <c r="Q242" s="116"/>
      <c r="R242" s="116"/>
      <c r="S242" s="116"/>
      <c r="T242" s="46"/>
      <c r="U242" s="13"/>
      <c r="V242" s="13"/>
      <c r="W242" s="13"/>
      <c r="X242" s="13"/>
      <c r="Y242" s="13"/>
      <c r="Z242" s="13"/>
      <c r="AA242" s="13"/>
      <c r="AB242" s="13"/>
      <c r="AC242" s="13"/>
    </row>
    <row r="243" ht="16.5" hidden="1" customHeight="1">
      <c r="A243" s="35">
        <v>240.0</v>
      </c>
      <c r="B243" s="36" t="s">
        <v>1674</v>
      </c>
      <c r="C243" s="37" t="s">
        <v>1675</v>
      </c>
      <c r="D243" s="38" t="s">
        <v>1676</v>
      </c>
      <c r="E243" s="38"/>
      <c r="F243" s="38" t="s">
        <v>1224</v>
      </c>
      <c r="G243" s="39" t="s">
        <v>1677</v>
      </c>
      <c r="H243" s="49" t="s">
        <v>50</v>
      </c>
      <c r="I243" s="39" t="s">
        <v>51</v>
      </c>
      <c r="J243" s="65" t="s">
        <v>153</v>
      </c>
      <c r="K243" s="65">
        <v>10.0</v>
      </c>
      <c r="L243" s="39" t="s">
        <v>1678</v>
      </c>
      <c r="M243" s="51" t="b">
        <v>1</v>
      </c>
      <c r="N243" s="60" t="s">
        <v>292</v>
      </c>
      <c r="O243" s="35"/>
      <c r="P243" s="35" t="s">
        <v>1679</v>
      </c>
      <c r="Q243" s="35" t="s">
        <v>1680</v>
      </c>
      <c r="R243" s="116"/>
      <c r="S243" s="116"/>
      <c r="T243" s="46"/>
      <c r="U243" s="13"/>
      <c r="V243" s="13"/>
      <c r="W243" s="13"/>
      <c r="X243" s="13"/>
      <c r="Y243" s="13"/>
      <c r="Z243" s="13"/>
      <c r="AA243" s="13"/>
      <c r="AB243" s="13"/>
      <c r="AC243" s="13"/>
    </row>
    <row r="244" ht="16.5" hidden="1" customHeight="1">
      <c r="A244" s="35">
        <v>241.0</v>
      </c>
      <c r="B244" s="36" t="s">
        <v>1681</v>
      </c>
      <c r="C244" s="37" t="s">
        <v>1682</v>
      </c>
      <c r="D244" s="38" t="s">
        <v>1683</v>
      </c>
      <c r="E244" s="38"/>
      <c r="F244" s="38" t="s">
        <v>1684</v>
      </c>
      <c r="G244" s="39" t="s">
        <v>1685</v>
      </c>
      <c r="H244" s="49" t="s">
        <v>50</v>
      </c>
      <c r="I244" s="93" t="s">
        <v>51</v>
      </c>
      <c r="J244" s="39" t="s">
        <v>1686</v>
      </c>
      <c r="K244" s="94" t="s">
        <v>154</v>
      </c>
      <c r="L244" s="93" t="s">
        <v>1687</v>
      </c>
      <c r="M244" s="51" t="b">
        <v>1</v>
      </c>
      <c r="N244" s="126" t="s">
        <v>1688</v>
      </c>
      <c r="O244" s="128"/>
      <c r="P244" s="116"/>
      <c r="Q244" s="116"/>
      <c r="R244" s="116"/>
      <c r="S244" s="116"/>
      <c r="T244" s="46"/>
      <c r="U244" s="13"/>
      <c r="V244" s="13"/>
      <c r="W244" s="13"/>
      <c r="X244" s="13"/>
      <c r="Y244" s="13"/>
      <c r="Z244" s="13"/>
      <c r="AA244" s="13"/>
      <c r="AB244" s="13"/>
      <c r="AC244" s="13"/>
    </row>
    <row r="245" ht="16.5" hidden="1" customHeight="1">
      <c r="A245" s="35">
        <v>242.0</v>
      </c>
      <c r="B245" s="36" t="s">
        <v>1689</v>
      </c>
      <c r="C245" s="37" t="s">
        <v>1690</v>
      </c>
      <c r="D245" s="38" t="s">
        <v>1691</v>
      </c>
      <c r="E245" s="38"/>
      <c r="F245" s="38" t="s">
        <v>1692</v>
      </c>
      <c r="G245" s="39" t="s">
        <v>231</v>
      </c>
      <c r="H245" s="49" t="s">
        <v>64</v>
      </c>
      <c r="I245" s="93" t="s">
        <v>65</v>
      </c>
      <c r="J245" s="55"/>
      <c r="K245" s="121"/>
      <c r="L245" s="121"/>
      <c r="M245" s="51" t="b">
        <v>0</v>
      </c>
      <c r="N245" s="116"/>
      <c r="O245" s="116"/>
      <c r="P245" s="116"/>
      <c r="Q245" s="116"/>
      <c r="R245" s="116"/>
      <c r="S245" s="116"/>
      <c r="T245" s="46"/>
      <c r="U245" s="13"/>
      <c r="V245" s="13"/>
      <c r="W245" s="13"/>
      <c r="X245" s="13"/>
      <c r="Y245" s="13"/>
      <c r="Z245" s="13"/>
      <c r="AA245" s="13"/>
      <c r="AB245" s="13"/>
      <c r="AC245" s="13"/>
    </row>
    <row r="246" ht="16.5" hidden="1" customHeight="1">
      <c r="A246" s="35">
        <v>243.0</v>
      </c>
      <c r="B246" s="36" t="s">
        <v>1693</v>
      </c>
      <c r="C246" s="37" t="s">
        <v>1694</v>
      </c>
      <c r="D246" s="38" t="s">
        <v>1695</v>
      </c>
      <c r="E246" s="38" t="s">
        <v>1696</v>
      </c>
      <c r="F246" s="38" t="s">
        <v>1697</v>
      </c>
      <c r="G246" s="39" t="s">
        <v>231</v>
      </c>
      <c r="H246" s="49" t="s">
        <v>64</v>
      </c>
      <c r="I246" s="93" t="s">
        <v>65</v>
      </c>
      <c r="J246" s="55"/>
      <c r="K246" s="121"/>
      <c r="L246" s="121"/>
      <c r="M246" s="51" t="b">
        <v>0</v>
      </c>
      <c r="N246" s="116"/>
      <c r="O246" s="116"/>
      <c r="P246" s="116"/>
      <c r="Q246" s="116"/>
      <c r="R246" s="116"/>
      <c r="S246" s="116"/>
      <c r="T246" s="46"/>
      <c r="U246" s="13"/>
      <c r="V246" s="13"/>
      <c r="W246" s="13"/>
      <c r="X246" s="13"/>
      <c r="Y246" s="13"/>
      <c r="Z246" s="13"/>
      <c r="AA246" s="13"/>
      <c r="AB246" s="13"/>
      <c r="AC246" s="13"/>
    </row>
    <row r="247" ht="16.5" hidden="1" customHeight="1">
      <c r="A247" s="35">
        <v>244.0</v>
      </c>
      <c r="B247" s="36" t="s">
        <v>1698</v>
      </c>
      <c r="C247" s="37" t="s">
        <v>1699</v>
      </c>
      <c r="D247" s="38" t="s">
        <v>1700</v>
      </c>
      <c r="E247" s="38" t="s">
        <v>1701</v>
      </c>
      <c r="F247" s="38" t="s">
        <v>1702</v>
      </c>
      <c r="G247" s="39" t="s">
        <v>1703</v>
      </c>
      <c r="H247" s="49" t="s">
        <v>50</v>
      </c>
      <c r="I247" s="39" t="s">
        <v>51</v>
      </c>
      <c r="J247" s="93" t="s">
        <v>609</v>
      </c>
      <c r="K247" s="135">
        <v>45691.0</v>
      </c>
      <c r="L247" s="61" t="s">
        <v>1704</v>
      </c>
      <c r="M247" s="51" t="b">
        <v>1</v>
      </c>
      <c r="N247" s="130" t="s">
        <v>1705</v>
      </c>
      <c r="O247" s="123"/>
      <c r="P247" s="123" t="s">
        <v>1706</v>
      </c>
      <c r="Q247" s="123" t="s">
        <v>1707</v>
      </c>
      <c r="R247" s="116"/>
      <c r="S247" s="116"/>
      <c r="T247" s="46"/>
      <c r="U247" s="13"/>
      <c r="V247" s="13"/>
      <c r="W247" s="13"/>
      <c r="X247" s="13"/>
      <c r="Y247" s="13"/>
      <c r="Z247" s="13"/>
      <c r="AA247" s="13"/>
      <c r="AB247" s="13"/>
      <c r="AC247" s="13"/>
    </row>
    <row r="248" ht="16.5" hidden="1" customHeight="1">
      <c r="A248" s="35">
        <v>245.0</v>
      </c>
      <c r="B248" s="36" t="s">
        <v>1708</v>
      </c>
      <c r="C248" s="37" t="s">
        <v>1709</v>
      </c>
      <c r="D248" s="38" t="s">
        <v>1710</v>
      </c>
      <c r="E248" s="38" t="s">
        <v>1711</v>
      </c>
      <c r="F248" s="38" t="s">
        <v>1712</v>
      </c>
      <c r="G248" s="39" t="s">
        <v>1713</v>
      </c>
      <c r="H248" s="49" t="s">
        <v>50</v>
      </c>
      <c r="I248" s="93" t="s">
        <v>51</v>
      </c>
      <c r="J248" s="39" t="s">
        <v>422</v>
      </c>
      <c r="K248" s="94" t="s">
        <v>1714</v>
      </c>
      <c r="L248" s="93" t="s">
        <v>1715</v>
      </c>
      <c r="M248" s="51" t="b">
        <v>1</v>
      </c>
      <c r="N248" s="130" t="s">
        <v>1716</v>
      </c>
      <c r="O248" s="136"/>
      <c r="P248" s="137" t="s">
        <v>1717</v>
      </c>
      <c r="Q248" s="123"/>
      <c r="R248" s="123"/>
      <c r="S248" s="116"/>
      <c r="T248" s="46"/>
      <c r="U248" s="13"/>
      <c r="V248" s="13"/>
      <c r="W248" s="13"/>
      <c r="X248" s="13"/>
      <c r="Y248" s="13"/>
      <c r="Z248" s="13"/>
      <c r="AA248" s="13"/>
      <c r="AB248" s="13"/>
      <c r="AC248" s="13"/>
    </row>
    <row r="249" ht="16.5" hidden="1" customHeight="1">
      <c r="A249" s="35">
        <v>246.0</v>
      </c>
      <c r="B249" s="36" t="s">
        <v>1718</v>
      </c>
      <c r="C249" s="37" t="s">
        <v>1719</v>
      </c>
      <c r="D249" s="38" t="s">
        <v>1720</v>
      </c>
      <c r="E249" s="38" t="s">
        <v>1721</v>
      </c>
      <c r="F249" s="38" t="s">
        <v>1722</v>
      </c>
      <c r="G249" s="39" t="s">
        <v>231</v>
      </c>
      <c r="H249" s="49" t="s">
        <v>64</v>
      </c>
      <c r="I249" s="93" t="s">
        <v>65</v>
      </c>
      <c r="J249" s="55"/>
      <c r="K249" s="121"/>
      <c r="L249" s="121"/>
      <c r="M249" s="51" t="b">
        <v>0</v>
      </c>
      <c r="N249" s="116"/>
      <c r="O249" s="116"/>
      <c r="P249" s="116"/>
      <c r="Q249" s="116"/>
      <c r="R249" s="116"/>
      <c r="S249" s="116"/>
      <c r="T249" s="46"/>
      <c r="U249" s="13"/>
      <c r="V249" s="13"/>
      <c r="W249" s="13"/>
      <c r="X249" s="13"/>
      <c r="Y249" s="13"/>
      <c r="Z249" s="13"/>
      <c r="AA249" s="13"/>
      <c r="AB249" s="13"/>
      <c r="AC249" s="13"/>
    </row>
    <row r="250" ht="288.0" hidden="1" customHeight="1">
      <c r="A250" s="35">
        <v>247.0</v>
      </c>
      <c r="B250" s="36" t="s">
        <v>1723</v>
      </c>
      <c r="C250" s="37" t="s">
        <v>1724</v>
      </c>
      <c r="D250" s="38" t="s">
        <v>1725</v>
      </c>
      <c r="E250" s="38" t="s">
        <v>1726</v>
      </c>
      <c r="F250" s="38" t="s">
        <v>1727</v>
      </c>
      <c r="G250" s="48" t="s">
        <v>1728</v>
      </c>
      <c r="H250" s="49" t="s">
        <v>50</v>
      </c>
      <c r="I250" s="93" t="s">
        <v>51</v>
      </c>
      <c r="J250" s="93" t="s">
        <v>719</v>
      </c>
      <c r="K250" s="94" t="s">
        <v>744</v>
      </c>
      <c r="L250" s="133" t="s">
        <v>1729</v>
      </c>
      <c r="M250" s="51" t="b">
        <v>1</v>
      </c>
      <c r="N250" s="126" t="s">
        <v>746</v>
      </c>
      <c r="O250" s="127" t="s">
        <v>1730</v>
      </c>
      <c r="P250" s="116"/>
      <c r="Q250" s="116"/>
      <c r="R250" s="116"/>
      <c r="S250" s="116"/>
      <c r="T250" s="46"/>
      <c r="U250" s="13"/>
      <c r="V250" s="13"/>
      <c r="W250" s="13"/>
      <c r="X250" s="13"/>
      <c r="Y250" s="13"/>
      <c r="Z250" s="13"/>
      <c r="AA250" s="13"/>
      <c r="AB250" s="13"/>
      <c r="AC250" s="13"/>
    </row>
    <row r="251" ht="16.5" hidden="1" customHeight="1">
      <c r="A251" s="35">
        <v>248.0</v>
      </c>
      <c r="B251" s="36" t="s">
        <v>1731</v>
      </c>
      <c r="C251" s="37" t="s">
        <v>1732</v>
      </c>
      <c r="D251" s="38" t="s">
        <v>1733</v>
      </c>
      <c r="E251" s="38" t="s">
        <v>1734</v>
      </c>
      <c r="F251" s="38" t="s">
        <v>1735</v>
      </c>
      <c r="G251" s="39" t="s">
        <v>1736</v>
      </c>
      <c r="H251" s="49" t="s">
        <v>50</v>
      </c>
      <c r="I251" s="85" t="s">
        <v>51</v>
      </c>
      <c r="J251" s="138" t="s">
        <v>1737</v>
      </c>
      <c r="K251" s="93" t="s">
        <v>1738</v>
      </c>
      <c r="L251" s="93" t="s">
        <v>1739</v>
      </c>
      <c r="M251" s="51" t="b">
        <v>0</v>
      </c>
      <c r="N251" s="116"/>
      <c r="O251" s="116"/>
      <c r="P251" s="116" t="s">
        <v>1740</v>
      </c>
      <c r="Q251" s="116"/>
      <c r="R251" s="116"/>
      <c r="S251" s="116"/>
      <c r="T251" s="46"/>
      <c r="U251" s="13"/>
      <c r="V251" s="13"/>
      <c r="W251" s="13"/>
      <c r="X251" s="13"/>
      <c r="Y251" s="13"/>
      <c r="Z251" s="13"/>
      <c r="AA251" s="13"/>
      <c r="AB251" s="13"/>
      <c r="AC251" s="13"/>
    </row>
    <row r="252" ht="16.5" hidden="1" customHeight="1">
      <c r="A252" s="35">
        <v>249.0</v>
      </c>
      <c r="B252" s="36" t="s">
        <v>1741</v>
      </c>
      <c r="C252" s="37" t="s">
        <v>1742</v>
      </c>
      <c r="D252" s="38" t="s">
        <v>1743</v>
      </c>
      <c r="E252" s="38" t="s">
        <v>1744</v>
      </c>
      <c r="F252" s="38" t="s">
        <v>1745</v>
      </c>
      <c r="G252" s="39" t="s">
        <v>1746</v>
      </c>
      <c r="H252" s="134" t="s">
        <v>64</v>
      </c>
      <c r="I252" s="85" t="s">
        <v>65</v>
      </c>
      <c r="J252" s="64"/>
      <c r="K252" s="121"/>
      <c r="L252" s="121"/>
      <c r="M252" s="51" t="b">
        <v>0</v>
      </c>
      <c r="N252" s="116"/>
      <c r="O252" s="116"/>
      <c r="P252" s="116" t="s">
        <v>1747</v>
      </c>
      <c r="Q252" s="116" t="s">
        <v>1748</v>
      </c>
      <c r="R252" s="116"/>
      <c r="S252" s="116"/>
      <c r="T252" s="46"/>
      <c r="U252" s="13"/>
      <c r="V252" s="13"/>
      <c r="W252" s="13"/>
      <c r="X252" s="13"/>
      <c r="Y252" s="13"/>
      <c r="Z252" s="13"/>
      <c r="AA252" s="13"/>
      <c r="AB252" s="13"/>
      <c r="AC252" s="13"/>
    </row>
    <row r="253" ht="16.5" hidden="1" customHeight="1">
      <c r="A253" s="35">
        <v>250.0</v>
      </c>
      <c r="B253" s="36" t="s">
        <v>1749</v>
      </c>
      <c r="C253" s="37" t="s">
        <v>1750</v>
      </c>
      <c r="D253" s="38" t="s">
        <v>1751</v>
      </c>
      <c r="E253" s="38" t="s">
        <v>1752</v>
      </c>
      <c r="F253" s="38" t="s">
        <v>1753</v>
      </c>
      <c r="G253" s="39" t="s">
        <v>1754</v>
      </c>
      <c r="H253" s="49" t="s">
        <v>50</v>
      </c>
      <c r="I253" s="93" t="s">
        <v>51</v>
      </c>
      <c r="J253" s="39" t="s">
        <v>1755</v>
      </c>
      <c r="K253" s="94" t="s">
        <v>238</v>
      </c>
      <c r="L253" s="58" t="s">
        <v>1756</v>
      </c>
      <c r="M253" s="51" t="b">
        <v>1</v>
      </c>
      <c r="N253" s="129" t="s">
        <v>1757</v>
      </c>
      <c r="O253" s="128"/>
      <c r="P253" s="116"/>
      <c r="Q253" s="116"/>
      <c r="R253" s="116"/>
      <c r="S253" s="116"/>
      <c r="T253" s="46"/>
      <c r="U253" s="13"/>
      <c r="V253" s="13"/>
      <c r="W253" s="13"/>
      <c r="X253" s="13"/>
      <c r="Y253" s="13"/>
      <c r="Z253" s="13"/>
      <c r="AA253" s="13"/>
      <c r="AB253" s="13"/>
      <c r="AC253" s="13"/>
    </row>
    <row r="254" ht="16.5" hidden="1" customHeight="1">
      <c r="A254" s="35">
        <v>251.0</v>
      </c>
      <c r="B254" s="36" t="s">
        <v>1758</v>
      </c>
      <c r="C254" s="37" t="s">
        <v>1759</v>
      </c>
      <c r="D254" s="38" t="s">
        <v>1760</v>
      </c>
      <c r="E254" s="38" t="s">
        <v>1761</v>
      </c>
      <c r="F254" s="38" t="s">
        <v>1762</v>
      </c>
      <c r="G254" s="39" t="s">
        <v>1763</v>
      </c>
      <c r="H254" s="49" t="s">
        <v>50</v>
      </c>
      <c r="I254" s="93" t="s">
        <v>51</v>
      </c>
      <c r="J254" s="39" t="s">
        <v>843</v>
      </c>
      <c r="K254" s="94" t="s">
        <v>1764</v>
      </c>
      <c r="L254" s="93" t="s">
        <v>1765</v>
      </c>
      <c r="M254" s="51" t="b">
        <v>1</v>
      </c>
      <c r="N254" s="130" t="s">
        <v>1766</v>
      </c>
      <c r="O254" s="131"/>
      <c r="P254" s="123"/>
      <c r="Q254" s="123"/>
      <c r="R254" s="116"/>
      <c r="S254" s="116"/>
      <c r="T254" s="46"/>
      <c r="U254" s="13"/>
      <c r="V254" s="13"/>
      <c r="W254" s="13"/>
      <c r="X254" s="13"/>
      <c r="Y254" s="13"/>
      <c r="Z254" s="13"/>
      <c r="AA254" s="13"/>
      <c r="AB254" s="13"/>
      <c r="AC254" s="13"/>
    </row>
    <row r="255" ht="16.5" hidden="1" customHeight="1">
      <c r="A255" s="35">
        <v>252.0</v>
      </c>
      <c r="B255" s="36" t="s">
        <v>1767</v>
      </c>
      <c r="C255" s="37" t="s">
        <v>1768</v>
      </c>
      <c r="D255" s="38" t="s">
        <v>1769</v>
      </c>
      <c r="E255" s="38" t="s">
        <v>1770</v>
      </c>
      <c r="F255" s="38" t="s">
        <v>1771</v>
      </c>
      <c r="G255" s="39" t="s">
        <v>1772</v>
      </c>
      <c r="H255" s="49" t="s">
        <v>50</v>
      </c>
      <c r="I255" s="93" t="s">
        <v>51</v>
      </c>
      <c r="J255" s="39" t="s">
        <v>1773</v>
      </c>
      <c r="K255" s="94" t="s">
        <v>1774</v>
      </c>
      <c r="L255" s="93" t="s">
        <v>1775</v>
      </c>
      <c r="M255" s="51" t="b">
        <v>1</v>
      </c>
      <c r="N255" s="126" t="s">
        <v>1776</v>
      </c>
      <c r="O255" s="128"/>
      <c r="P255" s="116"/>
      <c r="Q255" s="116"/>
      <c r="R255" s="116" t="s">
        <v>1777</v>
      </c>
      <c r="S255" s="116"/>
      <c r="T255" s="46"/>
      <c r="U255" s="13"/>
      <c r="V255" s="13"/>
      <c r="W255" s="13"/>
      <c r="X255" s="13"/>
      <c r="Y255" s="13"/>
      <c r="Z255" s="13"/>
      <c r="AA255" s="13"/>
      <c r="AB255" s="13"/>
      <c r="AC255" s="13"/>
    </row>
    <row r="256" ht="252.0" hidden="1" customHeight="1">
      <c r="A256" s="35">
        <v>253.0</v>
      </c>
      <c r="B256" s="36" t="s">
        <v>1778</v>
      </c>
      <c r="C256" s="37" t="s">
        <v>1779</v>
      </c>
      <c r="D256" s="38" t="s">
        <v>1780</v>
      </c>
      <c r="E256" s="38"/>
      <c r="F256" s="38" t="s">
        <v>1781</v>
      </c>
      <c r="G256" s="39" t="s">
        <v>93</v>
      </c>
      <c r="H256" s="49" t="s">
        <v>50</v>
      </c>
      <c r="I256" s="93" t="s">
        <v>51</v>
      </c>
      <c r="J256" s="49" t="s">
        <v>94</v>
      </c>
      <c r="K256" s="139" t="s">
        <v>95</v>
      </c>
      <c r="L256" s="93" t="s">
        <v>1782</v>
      </c>
      <c r="M256" s="51" t="b">
        <v>1</v>
      </c>
      <c r="N256" s="130" t="s">
        <v>96</v>
      </c>
      <c r="O256" s="122" t="s">
        <v>97</v>
      </c>
      <c r="P256" s="123"/>
      <c r="Q256" s="116"/>
      <c r="R256" s="116"/>
      <c r="S256" s="116"/>
      <c r="T256" s="46"/>
      <c r="U256" s="13"/>
      <c r="V256" s="13"/>
      <c r="W256" s="13"/>
      <c r="X256" s="13"/>
      <c r="Y256" s="13"/>
      <c r="Z256" s="13"/>
      <c r="AA256" s="13"/>
      <c r="AB256" s="13"/>
      <c r="AC256" s="13"/>
    </row>
    <row r="257" ht="16.5" hidden="1" customHeight="1">
      <c r="A257" s="35">
        <v>254.0</v>
      </c>
      <c r="B257" s="36" t="s">
        <v>1783</v>
      </c>
      <c r="C257" s="37" t="s">
        <v>1784</v>
      </c>
      <c r="D257" s="38" t="s">
        <v>1785</v>
      </c>
      <c r="E257" s="38"/>
      <c r="F257" s="38" t="s">
        <v>1623</v>
      </c>
      <c r="G257" s="39" t="s">
        <v>1624</v>
      </c>
      <c r="H257" s="49" t="s">
        <v>50</v>
      </c>
      <c r="I257" s="93" t="s">
        <v>51</v>
      </c>
      <c r="J257" s="39" t="s">
        <v>961</v>
      </c>
      <c r="K257" s="94" t="s">
        <v>41</v>
      </c>
      <c r="L257" s="58" t="s">
        <v>1625</v>
      </c>
      <c r="M257" s="51" t="b">
        <v>1</v>
      </c>
      <c r="N257" s="126" t="s">
        <v>963</v>
      </c>
      <c r="O257" s="127" t="s">
        <v>1626</v>
      </c>
      <c r="P257" s="116"/>
      <c r="Q257" s="116"/>
      <c r="R257" s="116"/>
      <c r="S257" s="116"/>
      <c r="T257" s="46"/>
      <c r="U257" s="13"/>
      <c r="V257" s="13"/>
      <c r="W257" s="13"/>
      <c r="X257" s="13"/>
      <c r="Y257" s="13"/>
      <c r="Z257" s="13"/>
      <c r="AA257" s="13"/>
      <c r="AB257" s="13"/>
      <c r="AC257" s="13"/>
    </row>
    <row r="258" ht="16.5" hidden="1" customHeight="1">
      <c r="A258" s="35">
        <v>255.0</v>
      </c>
      <c r="B258" s="36" t="s">
        <v>1786</v>
      </c>
      <c r="C258" s="37" t="s">
        <v>1787</v>
      </c>
      <c r="D258" s="38" t="s">
        <v>1788</v>
      </c>
      <c r="E258" s="38" t="s">
        <v>1789</v>
      </c>
      <c r="F258" s="38" t="s">
        <v>1790</v>
      </c>
      <c r="G258" s="39" t="s">
        <v>1791</v>
      </c>
      <c r="H258" s="49" t="s">
        <v>50</v>
      </c>
      <c r="I258" s="93" t="s">
        <v>51</v>
      </c>
      <c r="J258" s="39" t="s">
        <v>1792</v>
      </c>
      <c r="K258" s="94" t="s">
        <v>1793</v>
      </c>
      <c r="L258" s="93" t="s">
        <v>1794</v>
      </c>
      <c r="M258" s="51" t="b">
        <v>1</v>
      </c>
      <c r="N258" s="126" t="s">
        <v>1795</v>
      </c>
      <c r="O258" s="128"/>
      <c r="P258" s="116"/>
      <c r="Q258" s="13"/>
      <c r="R258" s="116"/>
      <c r="S258" s="116"/>
      <c r="T258" s="46"/>
      <c r="U258" s="13"/>
      <c r="V258" s="13"/>
      <c r="W258" s="13"/>
      <c r="X258" s="13"/>
      <c r="Y258" s="13"/>
      <c r="Z258" s="13"/>
      <c r="AA258" s="13"/>
      <c r="AB258" s="13"/>
      <c r="AC258" s="13"/>
    </row>
    <row r="259" ht="16.5" hidden="1" customHeight="1">
      <c r="A259" s="35">
        <v>256.0</v>
      </c>
      <c r="B259" s="36" t="s">
        <v>1796</v>
      </c>
      <c r="C259" s="37" t="s">
        <v>1797</v>
      </c>
      <c r="D259" s="38" t="s">
        <v>1798</v>
      </c>
      <c r="E259" s="38"/>
      <c r="F259" s="38" t="s">
        <v>1799</v>
      </c>
      <c r="G259" s="39" t="s">
        <v>1800</v>
      </c>
      <c r="H259" s="49" t="s">
        <v>50</v>
      </c>
      <c r="I259" s="93" t="s">
        <v>51</v>
      </c>
      <c r="J259" s="39" t="s">
        <v>52</v>
      </c>
      <c r="K259" s="91" t="s">
        <v>1801</v>
      </c>
      <c r="L259" s="93" t="s">
        <v>1802</v>
      </c>
      <c r="M259" s="51" t="b">
        <v>1</v>
      </c>
      <c r="N259" s="126" t="s">
        <v>1803</v>
      </c>
      <c r="O259" s="128"/>
      <c r="P259" s="116"/>
      <c r="Q259" s="116"/>
      <c r="R259" s="116"/>
      <c r="S259" s="116"/>
      <c r="T259" s="46"/>
      <c r="U259" s="13"/>
      <c r="V259" s="13"/>
      <c r="W259" s="13"/>
      <c r="X259" s="13"/>
      <c r="Y259" s="13"/>
      <c r="Z259" s="13"/>
      <c r="AA259" s="13"/>
      <c r="AB259" s="13"/>
      <c r="AC259" s="13"/>
    </row>
    <row r="260" ht="270.0" hidden="1" customHeight="1">
      <c r="A260" s="35">
        <v>257.0</v>
      </c>
      <c r="B260" s="36" t="s">
        <v>1804</v>
      </c>
      <c r="C260" s="37" t="s">
        <v>1805</v>
      </c>
      <c r="D260" s="38" t="s">
        <v>1806</v>
      </c>
      <c r="E260" s="38"/>
      <c r="F260" s="38" t="s">
        <v>1807</v>
      </c>
      <c r="G260" s="39" t="s">
        <v>231</v>
      </c>
      <c r="H260" s="49" t="s">
        <v>64</v>
      </c>
      <c r="I260" s="93" t="s">
        <v>65</v>
      </c>
      <c r="J260" s="55"/>
      <c r="K260" s="121"/>
      <c r="L260" s="121"/>
      <c r="M260" s="51" t="b">
        <v>0</v>
      </c>
      <c r="N260" s="116"/>
      <c r="O260" s="116"/>
      <c r="P260" s="116"/>
      <c r="Q260" s="116"/>
      <c r="R260" s="116"/>
      <c r="S260" s="116"/>
      <c r="T260" s="46"/>
      <c r="U260" s="13"/>
      <c r="V260" s="13"/>
      <c r="W260" s="13"/>
      <c r="X260" s="13"/>
      <c r="Y260" s="13"/>
      <c r="Z260" s="13"/>
      <c r="AA260" s="13"/>
      <c r="AB260" s="13"/>
      <c r="AC260" s="13"/>
    </row>
    <row r="261" ht="270.0" hidden="1" customHeight="1">
      <c r="A261" s="35">
        <v>258.0</v>
      </c>
      <c r="B261" s="36" t="s">
        <v>1808</v>
      </c>
      <c r="C261" s="37" t="s">
        <v>1809</v>
      </c>
      <c r="D261" s="38" t="s">
        <v>1810</v>
      </c>
      <c r="E261" s="38" t="s">
        <v>1811</v>
      </c>
      <c r="F261" s="38" t="s">
        <v>1812</v>
      </c>
      <c r="G261" s="39" t="s">
        <v>1813</v>
      </c>
      <c r="H261" s="134" t="s">
        <v>64</v>
      </c>
      <c r="I261" s="85" t="s">
        <v>65</v>
      </c>
      <c r="J261" s="55"/>
      <c r="K261" s="121"/>
      <c r="L261" s="121"/>
      <c r="M261" s="51" t="b">
        <v>0</v>
      </c>
      <c r="N261" s="116"/>
      <c r="O261" s="116"/>
      <c r="P261" s="116" t="s">
        <v>1814</v>
      </c>
      <c r="Q261" s="116"/>
      <c r="R261" s="116"/>
      <c r="S261" s="116"/>
      <c r="T261" s="46"/>
      <c r="U261" s="13"/>
      <c r="V261" s="13"/>
      <c r="W261" s="13"/>
      <c r="X261" s="13"/>
      <c r="Y261" s="13"/>
      <c r="Z261" s="13"/>
      <c r="AA261" s="13"/>
      <c r="AB261" s="13"/>
      <c r="AC261" s="13"/>
    </row>
    <row r="262" ht="16.5" hidden="1" customHeight="1">
      <c r="A262" s="35">
        <v>259.0</v>
      </c>
      <c r="B262" s="36" t="s">
        <v>1815</v>
      </c>
      <c r="C262" s="37" t="s">
        <v>1816</v>
      </c>
      <c r="D262" s="38" t="s">
        <v>1817</v>
      </c>
      <c r="E262" s="38"/>
      <c r="F262" s="38" t="s">
        <v>1818</v>
      </c>
      <c r="G262" s="39" t="s">
        <v>1819</v>
      </c>
      <c r="H262" s="49" t="s">
        <v>50</v>
      </c>
      <c r="I262" s="93" t="s">
        <v>51</v>
      </c>
      <c r="J262" s="39" t="s">
        <v>1820</v>
      </c>
      <c r="K262" s="94" t="s">
        <v>932</v>
      </c>
      <c r="L262" s="93" t="s">
        <v>1821</v>
      </c>
      <c r="M262" s="51" t="b">
        <v>1</v>
      </c>
      <c r="N262" s="126" t="s">
        <v>1822</v>
      </c>
      <c r="O262" s="128"/>
      <c r="P262" s="116"/>
      <c r="Q262" s="116"/>
      <c r="R262" s="116"/>
      <c r="S262" s="116"/>
      <c r="T262" s="46"/>
      <c r="U262" s="13"/>
      <c r="V262" s="13"/>
      <c r="W262" s="13"/>
      <c r="X262" s="13"/>
      <c r="Y262" s="13"/>
      <c r="Z262" s="13"/>
      <c r="AA262" s="13"/>
      <c r="AB262" s="13"/>
      <c r="AC262" s="13"/>
    </row>
    <row r="263" ht="126.0" hidden="1" customHeight="1">
      <c r="A263" s="35">
        <v>260.0</v>
      </c>
      <c r="B263" s="36" t="s">
        <v>1823</v>
      </c>
      <c r="C263" s="37" t="s">
        <v>1824</v>
      </c>
      <c r="D263" s="38" t="s">
        <v>1825</v>
      </c>
      <c r="E263" s="38"/>
      <c r="F263" s="38" t="s">
        <v>1826</v>
      </c>
      <c r="G263" s="39" t="s">
        <v>205</v>
      </c>
      <c r="H263" s="49" t="s">
        <v>38</v>
      </c>
      <c r="I263" s="39" t="s">
        <v>51</v>
      </c>
      <c r="J263" s="65" t="s">
        <v>153</v>
      </c>
      <c r="K263" s="140" t="s">
        <v>214</v>
      </c>
      <c r="L263" s="39" t="s">
        <v>206</v>
      </c>
      <c r="M263" s="51" t="b">
        <v>1</v>
      </c>
      <c r="N263" s="129" t="s">
        <v>483</v>
      </c>
      <c r="O263" s="127" t="s">
        <v>484</v>
      </c>
      <c r="P263" s="116"/>
      <c r="Q263" s="116"/>
      <c r="R263" s="116"/>
      <c r="S263" s="116"/>
      <c r="T263" s="46"/>
      <c r="U263" s="13"/>
      <c r="V263" s="13"/>
      <c r="W263" s="13"/>
      <c r="X263" s="13"/>
      <c r="Y263" s="13"/>
      <c r="Z263" s="13"/>
      <c r="AA263" s="13"/>
      <c r="AB263" s="13"/>
      <c r="AC263" s="13"/>
    </row>
    <row r="264" ht="409.5" hidden="1" customHeight="1">
      <c r="A264" s="35">
        <v>261.0</v>
      </c>
      <c r="B264" s="36" t="s">
        <v>1827</v>
      </c>
      <c r="C264" s="37" t="s">
        <v>1828</v>
      </c>
      <c r="D264" s="38" t="s">
        <v>1829</v>
      </c>
      <c r="E264" s="38"/>
      <c r="F264" s="38" t="s">
        <v>1830</v>
      </c>
      <c r="G264" s="39" t="s">
        <v>231</v>
      </c>
      <c r="H264" s="49" t="s">
        <v>64</v>
      </c>
      <c r="I264" s="93" t="s">
        <v>65</v>
      </c>
      <c r="J264" s="55"/>
      <c r="K264" s="121"/>
      <c r="L264" s="121"/>
      <c r="M264" s="51" t="b">
        <v>0</v>
      </c>
      <c r="N264" s="116"/>
      <c r="O264" s="116"/>
      <c r="P264" s="116"/>
      <c r="Q264" s="116"/>
      <c r="R264" s="116"/>
      <c r="S264" s="116"/>
      <c r="T264" s="46"/>
      <c r="U264" s="13"/>
      <c r="V264" s="13"/>
      <c r="W264" s="13"/>
      <c r="X264" s="13"/>
      <c r="Y264" s="13"/>
      <c r="Z264" s="13"/>
      <c r="AA264" s="13"/>
      <c r="AB264" s="13"/>
      <c r="AC264" s="13"/>
    </row>
    <row r="265" ht="342.0" hidden="1" customHeight="1">
      <c r="A265" s="35">
        <v>262.0</v>
      </c>
      <c r="B265" s="36" t="s">
        <v>1831</v>
      </c>
      <c r="C265" s="37" t="s">
        <v>1832</v>
      </c>
      <c r="D265" s="38" t="s">
        <v>1825</v>
      </c>
      <c r="E265" s="38"/>
      <c r="F265" s="38" t="s">
        <v>1833</v>
      </c>
      <c r="G265" s="39" t="s">
        <v>1834</v>
      </c>
      <c r="H265" s="49" t="s">
        <v>50</v>
      </c>
      <c r="I265" s="85" t="s">
        <v>51</v>
      </c>
      <c r="J265" s="39" t="s">
        <v>1021</v>
      </c>
      <c r="K265" s="94" t="s">
        <v>41</v>
      </c>
      <c r="L265" s="93" t="s">
        <v>1022</v>
      </c>
      <c r="M265" s="51" t="b">
        <v>1</v>
      </c>
      <c r="N265" s="126" t="s">
        <v>1365</v>
      </c>
      <c r="O265" s="128"/>
      <c r="P265" s="116"/>
      <c r="Q265" s="116"/>
      <c r="R265" s="116"/>
      <c r="S265" s="116"/>
      <c r="T265" s="46"/>
      <c r="U265" s="13"/>
      <c r="V265" s="13"/>
      <c r="W265" s="13"/>
      <c r="X265" s="13"/>
      <c r="Y265" s="13"/>
      <c r="Z265" s="13"/>
      <c r="AA265" s="13"/>
      <c r="AB265" s="13"/>
      <c r="AC265" s="13"/>
    </row>
    <row r="266" ht="16.5" hidden="1" customHeight="1">
      <c r="A266" s="35">
        <v>263.0</v>
      </c>
      <c r="B266" s="36" t="s">
        <v>1835</v>
      </c>
      <c r="C266" s="37" t="s">
        <v>1836</v>
      </c>
      <c r="D266" s="38" t="s">
        <v>1837</v>
      </c>
      <c r="E266" s="38" t="s">
        <v>1838</v>
      </c>
      <c r="F266" s="38" t="s">
        <v>1839</v>
      </c>
      <c r="G266" s="39" t="s">
        <v>1840</v>
      </c>
      <c r="H266" s="49" t="s">
        <v>50</v>
      </c>
      <c r="I266" s="93" t="s">
        <v>51</v>
      </c>
      <c r="J266" s="90" t="s">
        <v>153</v>
      </c>
      <c r="K266" s="90">
        <v>9.0</v>
      </c>
      <c r="L266" s="141" t="s">
        <v>1841</v>
      </c>
      <c r="M266" s="51" t="b">
        <v>1</v>
      </c>
      <c r="N266" s="142" t="s">
        <v>292</v>
      </c>
      <c r="O266" s="116"/>
      <c r="P266" s="116" t="s">
        <v>1842</v>
      </c>
      <c r="Q266" s="116"/>
      <c r="R266" s="116"/>
      <c r="S266" s="116"/>
      <c r="T266" s="46"/>
      <c r="U266" s="13"/>
      <c r="V266" s="13"/>
      <c r="W266" s="13"/>
      <c r="X266" s="13"/>
      <c r="Y266" s="13"/>
      <c r="Z266" s="13"/>
      <c r="AA266" s="13"/>
      <c r="AB266" s="13"/>
      <c r="AC266" s="13"/>
    </row>
    <row r="267" ht="360.0" hidden="1" customHeight="1">
      <c r="A267" s="35">
        <v>264.0</v>
      </c>
      <c r="B267" s="36" t="s">
        <v>1843</v>
      </c>
      <c r="C267" s="111" t="s">
        <v>1844</v>
      </c>
      <c r="D267" s="38" t="s">
        <v>1845</v>
      </c>
      <c r="E267" s="38" t="s">
        <v>1846</v>
      </c>
      <c r="F267" s="38" t="s">
        <v>1847</v>
      </c>
      <c r="G267" s="57" t="s">
        <v>1848</v>
      </c>
      <c r="H267" s="49" t="s">
        <v>50</v>
      </c>
      <c r="I267" s="93" t="s">
        <v>51</v>
      </c>
      <c r="J267" s="39" t="s">
        <v>1849</v>
      </c>
      <c r="K267" s="94" t="s">
        <v>154</v>
      </c>
      <c r="L267" s="93" t="s">
        <v>1850</v>
      </c>
      <c r="M267" s="51" t="b">
        <v>1</v>
      </c>
      <c r="N267" s="126" t="s">
        <v>1851</v>
      </c>
      <c r="O267" s="128"/>
      <c r="P267" s="116"/>
      <c r="Q267" s="116"/>
      <c r="R267" s="116"/>
      <c r="S267" s="116"/>
      <c r="T267" s="46"/>
      <c r="U267" s="13"/>
      <c r="V267" s="13"/>
      <c r="W267" s="13"/>
      <c r="X267" s="13"/>
      <c r="Y267" s="13"/>
      <c r="Z267" s="13"/>
      <c r="AA267" s="13"/>
      <c r="AB267" s="13"/>
      <c r="AC267" s="13"/>
    </row>
    <row r="268" ht="16.5" hidden="1" customHeight="1">
      <c r="A268" s="35">
        <v>265.0</v>
      </c>
      <c r="B268" s="36" t="s">
        <v>1852</v>
      </c>
      <c r="C268" s="37" t="s">
        <v>1853</v>
      </c>
      <c r="D268" s="38" t="s">
        <v>1854</v>
      </c>
      <c r="E268" s="38" t="s">
        <v>1855</v>
      </c>
      <c r="F268" s="38" t="s">
        <v>1856</v>
      </c>
      <c r="G268" s="39" t="s">
        <v>490</v>
      </c>
      <c r="H268" s="49" t="s">
        <v>50</v>
      </c>
      <c r="I268" s="93" t="s">
        <v>51</v>
      </c>
      <c r="J268" s="39" t="s">
        <v>491</v>
      </c>
      <c r="K268" s="42" t="s">
        <v>409</v>
      </c>
      <c r="L268" s="39" t="s">
        <v>492</v>
      </c>
      <c r="M268" s="51" t="b">
        <v>1</v>
      </c>
      <c r="N268" s="129" t="s">
        <v>493</v>
      </c>
      <c r="O268" s="127" t="s">
        <v>494</v>
      </c>
      <c r="P268" s="116"/>
      <c r="Q268" s="116"/>
      <c r="R268" s="116"/>
      <c r="S268" s="116"/>
      <c r="T268" s="46"/>
      <c r="U268" s="13"/>
      <c r="V268" s="13"/>
      <c r="W268" s="13"/>
      <c r="X268" s="13"/>
      <c r="Y268" s="13"/>
      <c r="Z268" s="13"/>
      <c r="AA268" s="13"/>
      <c r="AB268" s="13"/>
      <c r="AC268" s="13"/>
    </row>
    <row r="269" ht="198.0" hidden="1" customHeight="1">
      <c r="A269" s="35">
        <v>266.0</v>
      </c>
      <c r="B269" s="36" t="s">
        <v>1857</v>
      </c>
      <c r="C269" s="37" t="s">
        <v>1858</v>
      </c>
      <c r="D269" s="38" t="s">
        <v>1825</v>
      </c>
      <c r="E269" s="38"/>
      <c r="F269" s="38" t="s">
        <v>1859</v>
      </c>
      <c r="G269" s="39" t="s">
        <v>1860</v>
      </c>
      <c r="H269" s="49" t="s">
        <v>50</v>
      </c>
      <c r="I269" s="93" t="s">
        <v>51</v>
      </c>
      <c r="J269" s="39" t="s">
        <v>491</v>
      </c>
      <c r="K269" s="42" t="s">
        <v>409</v>
      </c>
      <c r="L269" s="39" t="s">
        <v>492</v>
      </c>
      <c r="M269" s="51" t="b">
        <v>1</v>
      </c>
      <c r="N269" s="129" t="s">
        <v>493</v>
      </c>
      <c r="O269" s="128"/>
      <c r="P269" s="116"/>
      <c r="Q269" s="116"/>
      <c r="R269" s="116"/>
      <c r="S269" s="116"/>
      <c r="T269" s="46"/>
      <c r="U269" s="13"/>
      <c r="V269" s="13"/>
      <c r="W269" s="13"/>
      <c r="X269" s="13"/>
      <c r="Y269" s="13"/>
      <c r="Z269" s="13"/>
      <c r="AA269" s="13"/>
      <c r="AB269" s="13"/>
      <c r="AC269" s="13"/>
    </row>
    <row r="270" ht="16.5" hidden="1" customHeight="1">
      <c r="A270" s="35">
        <v>267.0</v>
      </c>
      <c r="B270" s="36" t="s">
        <v>1861</v>
      </c>
      <c r="C270" s="37" t="s">
        <v>1862</v>
      </c>
      <c r="D270" s="38" t="s">
        <v>1863</v>
      </c>
      <c r="E270" s="38" t="s">
        <v>1864</v>
      </c>
      <c r="F270" s="38" t="s">
        <v>1865</v>
      </c>
      <c r="G270" s="39" t="s">
        <v>1866</v>
      </c>
      <c r="H270" s="49" t="s">
        <v>50</v>
      </c>
      <c r="I270" s="85" t="s">
        <v>51</v>
      </c>
      <c r="J270" s="39" t="s">
        <v>550</v>
      </c>
      <c r="K270" s="94" t="s">
        <v>1003</v>
      </c>
      <c r="L270" s="93" t="s">
        <v>1004</v>
      </c>
      <c r="M270" s="51" t="b">
        <v>1</v>
      </c>
      <c r="N270" s="126" t="s">
        <v>686</v>
      </c>
      <c r="O270" s="127" t="s">
        <v>687</v>
      </c>
      <c r="P270" s="116"/>
      <c r="Q270" s="116"/>
      <c r="R270" s="116"/>
      <c r="S270" s="116"/>
      <c r="T270" s="46"/>
      <c r="U270" s="13"/>
      <c r="V270" s="13"/>
      <c r="W270" s="13"/>
      <c r="X270" s="13"/>
      <c r="Y270" s="13"/>
      <c r="Z270" s="13"/>
      <c r="AA270" s="13"/>
      <c r="AB270" s="13"/>
      <c r="AC270" s="13"/>
    </row>
    <row r="271" ht="16.5" hidden="1" customHeight="1">
      <c r="A271" s="35">
        <v>268.0</v>
      </c>
      <c r="B271" s="36" t="s">
        <v>1867</v>
      </c>
      <c r="C271" s="37" t="s">
        <v>1868</v>
      </c>
      <c r="D271" s="38" t="s">
        <v>1869</v>
      </c>
      <c r="E271" s="38" t="s">
        <v>1870</v>
      </c>
      <c r="F271" s="38" t="s">
        <v>1871</v>
      </c>
      <c r="G271" s="39" t="s">
        <v>1872</v>
      </c>
      <c r="H271" s="49" t="s">
        <v>50</v>
      </c>
      <c r="I271" s="93" t="s">
        <v>51</v>
      </c>
      <c r="J271" s="138" t="s">
        <v>1873</v>
      </c>
      <c r="K271" s="93">
        <v>1.0</v>
      </c>
      <c r="L271" s="93" t="s">
        <v>424</v>
      </c>
      <c r="M271" s="51" t="b">
        <v>0</v>
      </c>
      <c r="N271" s="116"/>
      <c r="O271" s="116"/>
      <c r="P271" s="116" t="s">
        <v>1874</v>
      </c>
      <c r="Q271" s="116" t="s">
        <v>1875</v>
      </c>
      <c r="R271" s="116"/>
      <c r="S271" s="116"/>
      <c r="T271" s="46"/>
      <c r="U271" s="13"/>
      <c r="V271" s="13"/>
      <c r="W271" s="13"/>
      <c r="X271" s="13"/>
      <c r="Y271" s="13"/>
      <c r="Z271" s="13"/>
      <c r="AA271" s="13"/>
      <c r="AB271" s="13"/>
      <c r="AC271" s="13"/>
    </row>
    <row r="272" ht="16.5" hidden="1" customHeight="1">
      <c r="A272" s="35">
        <v>269.0</v>
      </c>
      <c r="B272" s="36" t="s">
        <v>1876</v>
      </c>
      <c r="C272" s="37" t="s">
        <v>1877</v>
      </c>
      <c r="D272" s="38" t="s">
        <v>1878</v>
      </c>
      <c r="E272" s="38" t="s">
        <v>1879</v>
      </c>
      <c r="F272" s="38" t="s">
        <v>1880</v>
      </c>
      <c r="G272" s="39" t="s">
        <v>1881</v>
      </c>
      <c r="H272" s="49" t="s">
        <v>50</v>
      </c>
      <c r="I272" s="39" t="s">
        <v>51</v>
      </c>
      <c r="J272" s="93" t="s">
        <v>422</v>
      </c>
      <c r="K272" s="92">
        <v>34.0</v>
      </c>
      <c r="L272" s="143" t="s">
        <v>1882</v>
      </c>
      <c r="M272" s="51" t="b">
        <v>0</v>
      </c>
      <c r="N272" s="123"/>
      <c r="O272" s="123"/>
      <c r="P272" s="123" t="s">
        <v>1883</v>
      </c>
      <c r="Q272" s="123" t="s">
        <v>1884</v>
      </c>
      <c r="R272" s="123"/>
      <c r="S272" s="116"/>
      <c r="T272" s="46"/>
      <c r="U272" s="13"/>
      <c r="V272" s="13"/>
      <c r="W272" s="13"/>
      <c r="X272" s="13"/>
      <c r="Y272" s="13"/>
      <c r="Z272" s="13"/>
      <c r="AA272" s="13"/>
      <c r="AB272" s="13"/>
      <c r="AC272" s="13"/>
    </row>
    <row r="273" ht="16.5" hidden="1" customHeight="1">
      <c r="A273" s="35">
        <v>270.0</v>
      </c>
      <c r="B273" s="36" t="s">
        <v>1885</v>
      </c>
      <c r="C273" s="37" t="s">
        <v>1886</v>
      </c>
      <c r="D273" s="38" t="s">
        <v>1887</v>
      </c>
      <c r="E273" s="38" t="s">
        <v>1888</v>
      </c>
      <c r="F273" s="38" t="s">
        <v>1889</v>
      </c>
      <c r="G273" s="39" t="s">
        <v>1890</v>
      </c>
      <c r="H273" s="49" t="s">
        <v>50</v>
      </c>
      <c r="I273" s="93" t="s">
        <v>51</v>
      </c>
      <c r="J273" s="39" t="s">
        <v>1576</v>
      </c>
      <c r="K273" s="94" t="s">
        <v>1891</v>
      </c>
      <c r="L273" s="93" t="s">
        <v>1892</v>
      </c>
      <c r="M273" s="51" t="b">
        <v>1</v>
      </c>
      <c r="N273" s="130" t="s">
        <v>1893</v>
      </c>
      <c r="O273" s="131"/>
      <c r="P273" s="123"/>
      <c r="Q273" s="123"/>
      <c r="R273" s="123"/>
      <c r="S273" s="116"/>
      <c r="T273" s="46"/>
      <c r="U273" s="13"/>
      <c r="V273" s="13"/>
      <c r="W273" s="13"/>
      <c r="X273" s="13"/>
      <c r="Y273" s="13"/>
      <c r="Z273" s="13"/>
      <c r="AA273" s="13"/>
      <c r="AB273" s="13"/>
      <c r="AC273" s="13"/>
    </row>
    <row r="274" ht="16.5" hidden="1" customHeight="1">
      <c r="A274" s="35">
        <v>271.0</v>
      </c>
      <c r="B274" s="36" t="s">
        <v>1894</v>
      </c>
      <c r="C274" s="37" t="s">
        <v>1895</v>
      </c>
      <c r="D274" s="38" t="s">
        <v>1896</v>
      </c>
      <c r="E274" s="38" t="s">
        <v>1897</v>
      </c>
      <c r="F274" s="38" t="s">
        <v>1826</v>
      </c>
      <c r="G274" s="55"/>
      <c r="H274" s="49" t="s">
        <v>64</v>
      </c>
      <c r="I274" s="93" t="s">
        <v>65</v>
      </c>
      <c r="J274" s="55"/>
      <c r="K274" s="121"/>
      <c r="L274" s="121"/>
      <c r="M274" s="51" t="b">
        <v>0</v>
      </c>
      <c r="N274" s="116"/>
      <c r="O274" s="116"/>
      <c r="P274" s="116"/>
      <c r="Q274" s="116"/>
      <c r="R274" s="116"/>
      <c r="S274" s="116"/>
      <c r="T274" s="46"/>
      <c r="U274" s="13"/>
      <c r="V274" s="13"/>
      <c r="W274" s="13"/>
      <c r="X274" s="13"/>
      <c r="Y274" s="13"/>
      <c r="Z274" s="13"/>
      <c r="AA274" s="13"/>
      <c r="AB274" s="13"/>
      <c r="AC274" s="13"/>
    </row>
    <row r="275" ht="126.0" hidden="1" customHeight="1">
      <c r="A275" s="35">
        <v>272.0</v>
      </c>
      <c r="B275" s="36" t="s">
        <v>1898</v>
      </c>
      <c r="C275" s="37" t="s">
        <v>1899</v>
      </c>
      <c r="D275" s="38" t="s">
        <v>1825</v>
      </c>
      <c r="E275" s="38"/>
      <c r="F275" s="38" t="s">
        <v>1826</v>
      </c>
      <c r="G275" s="39" t="s">
        <v>1900</v>
      </c>
      <c r="H275" s="49" t="s">
        <v>50</v>
      </c>
      <c r="I275" s="39" t="s">
        <v>51</v>
      </c>
      <c r="J275" s="39" t="s">
        <v>1901</v>
      </c>
      <c r="K275" s="94" t="s">
        <v>1146</v>
      </c>
      <c r="L275" s="93" t="s">
        <v>1902</v>
      </c>
      <c r="M275" s="51" t="b">
        <v>1</v>
      </c>
      <c r="N275" s="126" t="s">
        <v>1903</v>
      </c>
      <c r="O275" s="128"/>
      <c r="P275" s="116"/>
      <c r="Q275" s="116"/>
      <c r="R275" s="116"/>
      <c r="S275" s="116"/>
      <c r="T275" s="46"/>
      <c r="U275" s="13"/>
      <c r="V275" s="13"/>
      <c r="W275" s="13"/>
      <c r="X275" s="13"/>
      <c r="Y275" s="13"/>
      <c r="Z275" s="13"/>
      <c r="AA275" s="13"/>
      <c r="AB275" s="13"/>
      <c r="AC275" s="13"/>
    </row>
    <row r="276" ht="16.5" hidden="1" customHeight="1">
      <c r="A276" s="35">
        <v>273.0</v>
      </c>
      <c r="B276" s="36" t="s">
        <v>1904</v>
      </c>
      <c r="C276" s="37" t="s">
        <v>1905</v>
      </c>
      <c r="D276" s="38" t="s">
        <v>1906</v>
      </c>
      <c r="E276" s="38" t="s">
        <v>1907</v>
      </c>
      <c r="F276" s="38" t="s">
        <v>1908</v>
      </c>
      <c r="G276" s="39" t="s">
        <v>1909</v>
      </c>
      <c r="H276" s="49" t="s">
        <v>50</v>
      </c>
      <c r="I276" s="39" t="s">
        <v>39</v>
      </c>
      <c r="J276" s="93" t="s">
        <v>1910</v>
      </c>
      <c r="K276" s="93" t="s">
        <v>1911</v>
      </c>
      <c r="L276" s="109" t="s">
        <v>1912</v>
      </c>
      <c r="M276" s="51" t="b">
        <v>0</v>
      </c>
      <c r="N276" s="123"/>
      <c r="O276" s="123"/>
      <c r="P276" s="123" t="s">
        <v>1913</v>
      </c>
      <c r="Q276" s="123" t="s">
        <v>1914</v>
      </c>
      <c r="R276" s="123" t="s">
        <v>1915</v>
      </c>
      <c r="S276" s="116"/>
      <c r="T276" s="46"/>
      <c r="U276" s="13"/>
      <c r="V276" s="13"/>
      <c r="W276" s="13"/>
      <c r="X276" s="13"/>
      <c r="Y276" s="13"/>
      <c r="Z276" s="13"/>
      <c r="AA276" s="13"/>
      <c r="AB276" s="13"/>
      <c r="AC276" s="13"/>
    </row>
    <row r="277" ht="216.0" hidden="1" customHeight="1">
      <c r="A277" s="35">
        <v>274.0</v>
      </c>
      <c r="B277" s="36" t="s">
        <v>1916</v>
      </c>
      <c r="C277" s="111" t="s">
        <v>1917</v>
      </c>
      <c r="D277" s="38"/>
      <c r="E277" s="38"/>
      <c r="F277" s="38" t="s">
        <v>1918</v>
      </c>
      <c r="G277" s="39" t="s">
        <v>1919</v>
      </c>
      <c r="H277" s="49" t="s">
        <v>50</v>
      </c>
      <c r="I277" s="93" t="s">
        <v>51</v>
      </c>
      <c r="J277" s="92" t="s">
        <v>84</v>
      </c>
      <c r="K277" s="93">
        <v>9.0</v>
      </c>
      <c r="L277" s="93" t="s">
        <v>1920</v>
      </c>
      <c r="M277" s="51" t="b">
        <v>0</v>
      </c>
      <c r="N277" s="144" t="s">
        <v>1921</v>
      </c>
      <c r="O277" s="116"/>
      <c r="P277" s="116" t="s">
        <v>1922</v>
      </c>
      <c r="Q277" s="116"/>
      <c r="R277" s="116"/>
      <c r="S277" s="116"/>
      <c r="T277" s="46"/>
      <c r="U277" s="13"/>
      <c r="V277" s="13"/>
      <c r="W277" s="13"/>
      <c r="X277" s="13"/>
      <c r="Y277" s="13"/>
      <c r="Z277" s="13"/>
      <c r="AA277" s="13"/>
      <c r="AB277" s="13"/>
      <c r="AC277" s="13"/>
    </row>
    <row r="278" ht="16.5" hidden="1" customHeight="1">
      <c r="A278" s="35">
        <v>275.0</v>
      </c>
      <c r="B278" s="36" t="s">
        <v>1923</v>
      </c>
      <c r="C278" s="37" t="s">
        <v>1924</v>
      </c>
      <c r="D278" s="38"/>
      <c r="E278" s="38"/>
      <c r="F278" s="38" t="s">
        <v>1925</v>
      </c>
      <c r="G278" s="39" t="s">
        <v>1926</v>
      </c>
      <c r="H278" s="49" t="s">
        <v>50</v>
      </c>
      <c r="I278" s="39" t="s">
        <v>39</v>
      </c>
      <c r="J278" s="145" t="s">
        <v>1927</v>
      </c>
      <c r="K278" s="146" t="s">
        <v>1928</v>
      </c>
      <c r="L278" s="147" t="s">
        <v>1929</v>
      </c>
      <c r="M278" s="51" t="b">
        <v>0</v>
      </c>
      <c r="N278" s="116"/>
      <c r="O278" s="116"/>
      <c r="P278" s="116" t="s">
        <v>1930</v>
      </c>
      <c r="Q278" s="116" t="s">
        <v>1931</v>
      </c>
      <c r="R278" s="116"/>
      <c r="S278" s="116"/>
      <c r="T278" s="46"/>
      <c r="U278" s="13"/>
      <c r="V278" s="13"/>
      <c r="W278" s="13"/>
      <c r="X278" s="13"/>
      <c r="Y278" s="13"/>
      <c r="Z278" s="13"/>
      <c r="AA278" s="13"/>
      <c r="AB278" s="13"/>
      <c r="AC278" s="13"/>
    </row>
    <row r="279" ht="16.5" hidden="1" customHeight="1">
      <c r="A279" s="35">
        <v>276.0</v>
      </c>
      <c r="B279" s="36" t="s">
        <v>1932</v>
      </c>
      <c r="C279" s="37" t="s">
        <v>1933</v>
      </c>
      <c r="D279" s="38"/>
      <c r="E279" s="38"/>
      <c r="F279" s="38" t="s">
        <v>1934</v>
      </c>
      <c r="G279" s="39" t="s">
        <v>1935</v>
      </c>
      <c r="H279" s="49" t="s">
        <v>50</v>
      </c>
      <c r="I279" s="39" t="s">
        <v>51</v>
      </c>
      <c r="J279" s="39" t="s">
        <v>915</v>
      </c>
      <c r="K279" s="42" t="s">
        <v>1236</v>
      </c>
      <c r="L279" s="39" t="s">
        <v>1237</v>
      </c>
      <c r="M279" s="51" t="b">
        <v>1</v>
      </c>
      <c r="N279" s="126" t="s">
        <v>1936</v>
      </c>
      <c r="O279" s="127" t="s">
        <v>1307</v>
      </c>
      <c r="P279" s="116"/>
      <c r="Q279" s="116"/>
      <c r="R279" s="116"/>
      <c r="S279" s="116"/>
      <c r="T279" s="46"/>
      <c r="U279" s="13"/>
      <c r="V279" s="13"/>
      <c r="W279" s="13"/>
      <c r="X279" s="13"/>
      <c r="Y279" s="13"/>
      <c r="Z279" s="13"/>
      <c r="AA279" s="13"/>
      <c r="AB279" s="13"/>
      <c r="AC279" s="13"/>
    </row>
    <row r="280" ht="16.5" hidden="1" customHeight="1">
      <c r="A280" s="35">
        <v>277.0</v>
      </c>
      <c r="B280" s="36" t="s">
        <v>1937</v>
      </c>
      <c r="C280" s="37" t="s">
        <v>1938</v>
      </c>
      <c r="D280" s="38"/>
      <c r="E280" s="38"/>
      <c r="F280" s="38" t="s">
        <v>1939</v>
      </c>
      <c r="G280" s="39" t="s">
        <v>1940</v>
      </c>
      <c r="H280" s="49" t="s">
        <v>50</v>
      </c>
      <c r="I280" s="39" t="s">
        <v>39</v>
      </c>
      <c r="J280" s="146" t="s">
        <v>1792</v>
      </c>
      <c r="K280" s="148">
        <v>560.0</v>
      </c>
      <c r="L280" s="147" t="s">
        <v>1941</v>
      </c>
      <c r="M280" s="51" t="b">
        <v>0</v>
      </c>
      <c r="N280" s="116"/>
      <c r="O280" s="116"/>
      <c r="P280" s="116" t="s">
        <v>1942</v>
      </c>
      <c r="Q280" s="116" t="s">
        <v>1943</v>
      </c>
      <c r="R280" s="116"/>
      <c r="S280" s="116"/>
      <c r="T280" s="46"/>
      <c r="U280" s="13"/>
      <c r="V280" s="13"/>
      <c r="W280" s="13"/>
      <c r="X280" s="13"/>
      <c r="Y280" s="13"/>
      <c r="Z280" s="13"/>
      <c r="AA280" s="13"/>
      <c r="AB280" s="13"/>
      <c r="AC280" s="13"/>
    </row>
    <row r="281" ht="16.5" hidden="1" customHeight="1">
      <c r="A281" s="35">
        <v>278.0</v>
      </c>
      <c r="B281" s="36" t="s">
        <v>1944</v>
      </c>
      <c r="C281" s="37" t="s">
        <v>1945</v>
      </c>
      <c r="D281" s="38"/>
      <c r="E281" s="38"/>
      <c r="F281" s="38" t="s">
        <v>1946</v>
      </c>
      <c r="G281" s="39" t="s">
        <v>1703</v>
      </c>
      <c r="H281" s="49" t="s">
        <v>50</v>
      </c>
      <c r="I281" s="39" t="s">
        <v>39</v>
      </c>
      <c r="J281" s="92" t="s">
        <v>609</v>
      </c>
      <c r="K281" s="93" t="s">
        <v>1947</v>
      </c>
      <c r="L281" s="149" t="s">
        <v>1948</v>
      </c>
      <c r="M281" s="51" t="b">
        <v>0</v>
      </c>
      <c r="N281" s="123"/>
      <c r="O281" s="123"/>
      <c r="P281" s="123" t="s">
        <v>1949</v>
      </c>
      <c r="Q281" s="123" t="s">
        <v>1950</v>
      </c>
      <c r="R281" s="123" t="s">
        <v>1951</v>
      </c>
      <c r="S281" s="116"/>
      <c r="T281" s="46"/>
      <c r="U281" s="13"/>
      <c r="V281" s="13"/>
      <c r="W281" s="13"/>
      <c r="X281" s="13"/>
      <c r="Y281" s="13"/>
      <c r="Z281" s="13"/>
      <c r="AA281" s="13"/>
      <c r="AB281" s="13"/>
      <c r="AC281" s="13"/>
    </row>
    <row r="282" ht="180.0" hidden="1" customHeight="1">
      <c r="A282" s="35">
        <v>279.0</v>
      </c>
      <c r="B282" s="36" t="s">
        <v>1952</v>
      </c>
      <c r="C282" s="37" t="s">
        <v>1953</v>
      </c>
      <c r="D282" s="38"/>
      <c r="E282" s="38"/>
      <c r="F282" s="38" t="s">
        <v>1954</v>
      </c>
      <c r="G282" s="39" t="s">
        <v>1955</v>
      </c>
      <c r="H282" s="49" t="s">
        <v>50</v>
      </c>
      <c r="I282" s="93" t="s">
        <v>51</v>
      </c>
      <c r="J282" s="39" t="s">
        <v>609</v>
      </c>
      <c r="K282" s="94" t="s">
        <v>1956</v>
      </c>
      <c r="L282" s="58" t="s">
        <v>1957</v>
      </c>
      <c r="M282" s="51" t="b">
        <v>1</v>
      </c>
      <c r="N282" s="142" t="s">
        <v>108</v>
      </c>
      <c r="O282" s="128"/>
      <c r="P282" s="116"/>
      <c r="Q282" s="116"/>
      <c r="R282" s="116"/>
      <c r="S282" s="116"/>
      <c r="T282" s="46"/>
      <c r="U282" s="13"/>
      <c r="V282" s="13"/>
      <c r="W282" s="13"/>
      <c r="X282" s="13"/>
      <c r="Y282" s="13"/>
      <c r="Z282" s="13"/>
      <c r="AA282" s="13"/>
      <c r="AB282" s="13"/>
      <c r="AC282" s="13"/>
    </row>
    <row r="283" ht="126.0" hidden="1" customHeight="1">
      <c r="A283" s="35">
        <v>280.0</v>
      </c>
      <c r="B283" s="36" t="s">
        <v>1958</v>
      </c>
      <c r="C283" s="37" t="s">
        <v>1959</v>
      </c>
      <c r="D283" s="38"/>
      <c r="E283" s="38"/>
      <c r="F283" s="38" t="s">
        <v>1826</v>
      </c>
      <c r="G283" s="39" t="s">
        <v>231</v>
      </c>
      <c r="H283" s="49" t="s">
        <v>64</v>
      </c>
      <c r="I283" s="93" t="s">
        <v>65</v>
      </c>
      <c r="J283" s="55"/>
      <c r="K283" s="121"/>
      <c r="L283" s="121"/>
      <c r="M283" s="51" t="b">
        <v>0</v>
      </c>
      <c r="N283" s="116"/>
      <c r="O283" s="116"/>
      <c r="P283" s="116"/>
      <c r="Q283" s="116"/>
      <c r="R283" s="116"/>
      <c r="S283" s="116"/>
      <c r="T283" s="46"/>
      <c r="U283" s="13"/>
      <c r="V283" s="13"/>
      <c r="W283" s="13"/>
      <c r="X283" s="13"/>
      <c r="Y283" s="13"/>
      <c r="Z283" s="13"/>
      <c r="AA283" s="13"/>
      <c r="AB283" s="13"/>
      <c r="AC283" s="13"/>
    </row>
    <row r="284" ht="16.5" hidden="1" customHeight="1">
      <c r="A284" s="35">
        <v>281.0</v>
      </c>
      <c r="B284" s="36" t="s">
        <v>1960</v>
      </c>
      <c r="C284" s="37" t="s">
        <v>1961</v>
      </c>
      <c r="D284" s="38"/>
      <c r="E284" s="38"/>
      <c r="F284" s="38" t="s">
        <v>1962</v>
      </c>
      <c r="G284" s="39" t="s">
        <v>1963</v>
      </c>
      <c r="H284" s="49" t="s">
        <v>64</v>
      </c>
      <c r="I284" s="93" t="s">
        <v>65</v>
      </c>
      <c r="J284" s="55"/>
      <c r="K284" s="121"/>
      <c r="L284" s="121"/>
      <c r="M284" s="51" t="b">
        <v>0</v>
      </c>
      <c r="N284" s="116"/>
      <c r="O284" s="116"/>
      <c r="P284" s="116" t="s">
        <v>1964</v>
      </c>
      <c r="Q284" s="116"/>
      <c r="R284" s="116"/>
      <c r="S284" s="116"/>
      <c r="T284" s="46"/>
      <c r="U284" s="13"/>
      <c r="V284" s="13"/>
      <c r="W284" s="13"/>
      <c r="X284" s="13"/>
      <c r="Y284" s="13"/>
      <c r="Z284" s="13"/>
      <c r="AA284" s="13"/>
      <c r="AB284" s="13"/>
      <c r="AC284" s="13"/>
    </row>
    <row r="285" ht="16.5" hidden="1" customHeight="1">
      <c r="A285" s="35">
        <v>282.0</v>
      </c>
      <c r="B285" s="73" t="s">
        <v>1965</v>
      </c>
      <c r="C285" s="37" t="s">
        <v>1966</v>
      </c>
      <c r="D285" s="38"/>
      <c r="E285" s="38"/>
      <c r="F285" s="38" t="s">
        <v>1967</v>
      </c>
      <c r="G285" s="39" t="s">
        <v>1968</v>
      </c>
      <c r="H285" s="49" t="s">
        <v>50</v>
      </c>
      <c r="I285" s="93" t="s">
        <v>51</v>
      </c>
      <c r="J285" s="92" t="s">
        <v>1969</v>
      </c>
      <c r="K285" s="92" t="s">
        <v>1970</v>
      </c>
      <c r="L285" s="93"/>
      <c r="M285" s="51" t="b">
        <v>1</v>
      </c>
      <c r="N285" s="93" t="s">
        <v>1971</v>
      </c>
      <c r="O285" s="116"/>
      <c r="P285" s="116" t="s">
        <v>1972</v>
      </c>
      <c r="Q285" s="116" t="s">
        <v>1973</v>
      </c>
      <c r="R285" s="116"/>
      <c r="S285" s="116"/>
      <c r="T285" s="46"/>
      <c r="U285" s="13"/>
      <c r="V285" s="13"/>
      <c r="W285" s="13"/>
      <c r="X285" s="13"/>
      <c r="Y285" s="13"/>
      <c r="Z285" s="13"/>
      <c r="AA285" s="13"/>
      <c r="AB285" s="13"/>
      <c r="AC285" s="13"/>
    </row>
    <row r="286" ht="16.5" hidden="1" customHeight="1">
      <c r="A286" s="35">
        <v>283.0</v>
      </c>
      <c r="B286" s="36" t="s">
        <v>1974</v>
      </c>
      <c r="C286" s="37" t="s">
        <v>1975</v>
      </c>
      <c r="D286" s="38"/>
      <c r="E286" s="38"/>
      <c r="F286" s="38" t="s">
        <v>1976</v>
      </c>
      <c r="G286" s="39" t="s">
        <v>1977</v>
      </c>
      <c r="H286" s="49" t="s">
        <v>50</v>
      </c>
      <c r="I286" s="39" t="s">
        <v>39</v>
      </c>
      <c r="J286" s="93" t="s">
        <v>1978</v>
      </c>
      <c r="K286" s="92" t="s">
        <v>1979</v>
      </c>
      <c r="L286" s="109" t="s">
        <v>1980</v>
      </c>
      <c r="M286" s="51" t="b">
        <v>0</v>
      </c>
      <c r="N286" s="116"/>
      <c r="O286" s="116"/>
      <c r="P286" s="116" t="s">
        <v>1981</v>
      </c>
      <c r="Q286" s="116"/>
      <c r="R286" s="116"/>
      <c r="S286" s="116"/>
      <c r="T286" s="46"/>
      <c r="U286" s="13"/>
      <c r="V286" s="13"/>
      <c r="W286" s="13"/>
      <c r="X286" s="13"/>
      <c r="Y286" s="13"/>
      <c r="Z286" s="13"/>
      <c r="AA286" s="13"/>
      <c r="AB286" s="13"/>
      <c r="AC286" s="13"/>
    </row>
    <row r="287" ht="198.0" hidden="1" customHeight="1">
      <c r="A287" s="35">
        <v>284.0</v>
      </c>
      <c r="B287" s="36" t="s">
        <v>1982</v>
      </c>
      <c r="C287" s="37" t="s">
        <v>1983</v>
      </c>
      <c r="D287" s="38"/>
      <c r="E287" s="38"/>
      <c r="F287" s="38" t="s">
        <v>1984</v>
      </c>
      <c r="G287" s="48" t="s">
        <v>1728</v>
      </c>
      <c r="H287" s="49" t="s">
        <v>50</v>
      </c>
      <c r="I287" s="93" t="s">
        <v>51</v>
      </c>
      <c r="J287" s="39" t="s">
        <v>719</v>
      </c>
      <c r="K287" s="94" t="s">
        <v>744</v>
      </c>
      <c r="L287" s="133" t="s">
        <v>1729</v>
      </c>
      <c r="M287" s="51" t="b">
        <v>0</v>
      </c>
      <c r="N287" s="126" t="s">
        <v>1985</v>
      </c>
      <c r="O287" s="127" t="s">
        <v>1730</v>
      </c>
      <c r="P287" s="116"/>
      <c r="Q287" s="116"/>
      <c r="R287" s="116"/>
      <c r="S287" s="116"/>
      <c r="T287" s="46"/>
      <c r="U287" s="13"/>
      <c r="V287" s="13"/>
      <c r="W287" s="13"/>
      <c r="X287" s="13"/>
      <c r="Y287" s="13"/>
      <c r="Z287" s="13"/>
      <c r="AA287" s="13"/>
      <c r="AB287" s="13"/>
      <c r="AC287" s="13"/>
    </row>
    <row r="288" ht="288.0" hidden="1" customHeight="1">
      <c r="A288" s="35">
        <v>285.0</v>
      </c>
      <c r="B288" s="36" t="s">
        <v>1986</v>
      </c>
      <c r="C288" s="37" t="s">
        <v>1987</v>
      </c>
      <c r="D288" s="38"/>
      <c r="E288" s="38"/>
      <c r="F288" s="38" t="s">
        <v>1988</v>
      </c>
      <c r="G288" s="39" t="s">
        <v>1989</v>
      </c>
      <c r="H288" s="49" t="s">
        <v>50</v>
      </c>
      <c r="I288" s="93" t="s">
        <v>51</v>
      </c>
      <c r="J288" s="92" t="s">
        <v>1155</v>
      </c>
      <c r="K288" s="93">
        <v>1.0</v>
      </c>
      <c r="L288" s="150" t="s">
        <v>1990</v>
      </c>
      <c r="M288" s="51" t="b">
        <v>1</v>
      </c>
      <c r="N288" s="126" t="s">
        <v>1156</v>
      </c>
      <c r="O288" s="116"/>
      <c r="P288" s="116" t="s">
        <v>1991</v>
      </c>
      <c r="Q288" s="116"/>
      <c r="R288" s="116"/>
      <c r="S288" s="116"/>
      <c r="T288" s="46"/>
      <c r="U288" s="13"/>
      <c r="V288" s="13"/>
      <c r="W288" s="13"/>
      <c r="X288" s="13"/>
      <c r="Y288" s="13"/>
      <c r="Z288" s="13"/>
      <c r="AA288" s="13"/>
      <c r="AB288" s="13"/>
      <c r="AC288" s="13"/>
    </row>
    <row r="289" ht="16.5" hidden="1" customHeight="1">
      <c r="A289" s="35">
        <v>286.0</v>
      </c>
      <c r="B289" s="36" t="s">
        <v>1992</v>
      </c>
      <c r="C289" s="37" t="s">
        <v>1993</v>
      </c>
      <c r="D289" s="38" t="s">
        <v>1994</v>
      </c>
      <c r="E289" s="38" t="s">
        <v>1995</v>
      </c>
      <c r="F289" s="38" t="s">
        <v>1996</v>
      </c>
      <c r="G289" s="39" t="s">
        <v>1997</v>
      </c>
      <c r="H289" s="49" t="s">
        <v>50</v>
      </c>
      <c r="I289" s="93" t="s">
        <v>51</v>
      </c>
      <c r="J289" s="39" t="s">
        <v>656</v>
      </c>
      <c r="K289" s="94" t="s">
        <v>1998</v>
      </c>
      <c r="L289" s="93" t="s">
        <v>1999</v>
      </c>
      <c r="M289" s="51" t="b">
        <v>1</v>
      </c>
      <c r="N289" s="126" t="s">
        <v>2000</v>
      </c>
      <c r="O289" s="128"/>
      <c r="P289" s="116"/>
      <c r="Q289" s="116"/>
      <c r="R289" s="116"/>
      <c r="S289" s="116"/>
      <c r="T289" s="46"/>
      <c r="U289" s="13"/>
      <c r="V289" s="13"/>
      <c r="W289" s="13"/>
      <c r="X289" s="13"/>
      <c r="Y289" s="13"/>
      <c r="Z289" s="13"/>
      <c r="AA289" s="13"/>
      <c r="AB289" s="13"/>
      <c r="AC289" s="13"/>
    </row>
    <row r="290" ht="198.0" hidden="1" customHeight="1">
      <c r="A290" s="35">
        <v>287.0</v>
      </c>
      <c r="B290" s="36" t="s">
        <v>2001</v>
      </c>
      <c r="C290" s="37" t="s">
        <v>2002</v>
      </c>
      <c r="D290" s="38"/>
      <c r="E290" s="38"/>
      <c r="F290" s="38" t="s">
        <v>2003</v>
      </c>
      <c r="G290" s="48" t="s">
        <v>1728</v>
      </c>
      <c r="H290" s="49" t="s">
        <v>50</v>
      </c>
      <c r="I290" s="93" t="s">
        <v>51</v>
      </c>
      <c r="J290" s="39" t="s">
        <v>719</v>
      </c>
      <c r="K290" s="94" t="s">
        <v>744</v>
      </c>
      <c r="L290" s="133" t="s">
        <v>1729</v>
      </c>
      <c r="M290" s="51" t="b">
        <v>1</v>
      </c>
      <c r="N290" s="126" t="s">
        <v>746</v>
      </c>
      <c r="O290" s="127" t="s">
        <v>1730</v>
      </c>
      <c r="P290" s="116"/>
      <c r="Q290" s="116"/>
      <c r="R290" s="116"/>
      <c r="S290" s="116"/>
      <c r="T290" s="46"/>
      <c r="U290" s="13"/>
      <c r="V290" s="13"/>
      <c r="W290" s="13"/>
      <c r="X290" s="13"/>
      <c r="Y290" s="13"/>
      <c r="Z290" s="13"/>
      <c r="AA290" s="13"/>
      <c r="AB290" s="13"/>
      <c r="AC290" s="13"/>
    </row>
    <row r="291" ht="16.5" hidden="1" customHeight="1">
      <c r="A291" s="35">
        <v>288.0</v>
      </c>
      <c r="B291" s="36" t="s">
        <v>2004</v>
      </c>
      <c r="C291" s="37" t="s">
        <v>2005</v>
      </c>
      <c r="D291" s="38" t="s">
        <v>2006</v>
      </c>
      <c r="E291" s="38" t="s">
        <v>2007</v>
      </c>
      <c r="F291" s="38" t="s">
        <v>2008</v>
      </c>
      <c r="G291" s="39" t="s">
        <v>231</v>
      </c>
      <c r="H291" s="49" t="s">
        <v>64</v>
      </c>
      <c r="I291" s="93" t="s">
        <v>65</v>
      </c>
      <c r="J291" s="55"/>
      <c r="K291" s="121"/>
      <c r="L291" s="121"/>
      <c r="M291" s="51" t="b">
        <v>0</v>
      </c>
      <c r="N291" s="116"/>
      <c r="O291" s="116"/>
      <c r="P291" s="116"/>
      <c r="Q291" s="116"/>
      <c r="R291" s="116"/>
      <c r="S291" s="116"/>
      <c r="T291" s="46"/>
      <c r="U291" s="13"/>
      <c r="V291" s="13"/>
      <c r="W291" s="13"/>
      <c r="X291" s="13"/>
      <c r="Y291" s="13"/>
      <c r="Z291" s="13"/>
      <c r="AA291" s="13"/>
      <c r="AB291" s="13"/>
      <c r="AC291" s="13"/>
    </row>
    <row r="292" ht="16.5" hidden="1" customHeight="1">
      <c r="A292" s="35">
        <v>289.0</v>
      </c>
      <c r="B292" s="36" t="s">
        <v>2009</v>
      </c>
      <c r="C292" s="37" t="s">
        <v>2010</v>
      </c>
      <c r="D292" s="38" t="s">
        <v>2011</v>
      </c>
      <c r="E292" s="38"/>
      <c r="F292" s="38" t="s">
        <v>2012</v>
      </c>
      <c r="G292" s="39" t="s">
        <v>231</v>
      </c>
      <c r="H292" s="49" t="s">
        <v>64</v>
      </c>
      <c r="I292" s="93" t="s">
        <v>65</v>
      </c>
      <c r="J292" s="55"/>
      <c r="K292" s="121"/>
      <c r="L292" s="121"/>
      <c r="M292" s="51" t="b">
        <v>0</v>
      </c>
      <c r="N292" s="116"/>
      <c r="O292" s="116"/>
      <c r="P292" s="116"/>
      <c r="Q292" s="116"/>
      <c r="R292" s="116"/>
      <c r="S292" s="116"/>
      <c r="T292" s="46"/>
      <c r="U292" s="13"/>
      <c r="V292" s="13"/>
      <c r="W292" s="13"/>
      <c r="X292" s="13"/>
      <c r="Y292" s="13"/>
      <c r="Z292" s="13"/>
      <c r="AA292" s="13"/>
      <c r="AB292" s="13"/>
      <c r="AC292" s="13"/>
    </row>
    <row r="293" ht="126.0" hidden="1" customHeight="1">
      <c r="A293" s="35">
        <v>290.0</v>
      </c>
      <c r="B293" s="36" t="s">
        <v>2013</v>
      </c>
      <c r="C293" s="37" t="s">
        <v>2014</v>
      </c>
      <c r="D293" s="38" t="s">
        <v>1825</v>
      </c>
      <c r="E293" s="38"/>
      <c r="F293" s="38" t="s">
        <v>1826</v>
      </c>
      <c r="G293" s="39" t="s">
        <v>231</v>
      </c>
      <c r="H293" s="49" t="s">
        <v>64</v>
      </c>
      <c r="I293" s="93" t="s">
        <v>65</v>
      </c>
      <c r="J293" s="55"/>
      <c r="K293" s="121"/>
      <c r="L293" s="121"/>
      <c r="M293" s="51" t="b">
        <v>0</v>
      </c>
      <c r="N293" s="116"/>
      <c r="O293" s="116"/>
      <c r="P293" s="116"/>
      <c r="Q293" s="116"/>
      <c r="R293" s="116"/>
      <c r="S293" s="116"/>
      <c r="T293" s="46"/>
      <c r="U293" s="13"/>
      <c r="V293" s="13"/>
      <c r="W293" s="13"/>
      <c r="X293" s="13"/>
      <c r="Y293" s="13"/>
      <c r="Z293" s="13"/>
      <c r="AA293" s="13"/>
      <c r="AB293" s="13"/>
      <c r="AC293" s="13"/>
    </row>
    <row r="294" ht="126.0" hidden="1" customHeight="1">
      <c r="A294" s="35">
        <v>291.0</v>
      </c>
      <c r="B294" s="36" t="s">
        <v>2015</v>
      </c>
      <c r="C294" s="37" t="s">
        <v>2016</v>
      </c>
      <c r="D294" s="38" t="s">
        <v>1825</v>
      </c>
      <c r="E294" s="38"/>
      <c r="F294" s="38" t="s">
        <v>1826</v>
      </c>
      <c r="G294" s="39" t="s">
        <v>231</v>
      </c>
      <c r="H294" s="49" t="s">
        <v>64</v>
      </c>
      <c r="I294" s="93" t="s">
        <v>65</v>
      </c>
      <c r="J294" s="55"/>
      <c r="K294" s="121"/>
      <c r="L294" s="121"/>
      <c r="M294" s="51" t="b">
        <v>0</v>
      </c>
      <c r="N294" s="116"/>
      <c r="O294" s="116"/>
      <c r="P294" s="116"/>
      <c r="Q294" s="116"/>
      <c r="R294" s="116"/>
      <c r="S294" s="116"/>
      <c r="T294" s="46"/>
      <c r="U294" s="13"/>
      <c r="V294" s="13"/>
      <c r="W294" s="13"/>
      <c r="X294" s="13"/>
      <c r="Y294" s="13"/>
      <c r="Z294" s="13"/>
      <c r="AA294" s="13"/>
      <c r="AB294" s="13"/>
      <c r="AC294" s="13"/>
    </row>
    <row r="295" ht="16.5" hidden="1" customHeight="1">
      <c r="A295" s="35">
        <v>292.0</v>
      </c>
      <c r="B295" s="36" t="s">
        <v>2017</v>
      </c>
      <c r="C295" s="37" t="s">
        <v>2018</v>
      </c>
      <c r="D295" s="38" t="s">
        <v>2019</v>
      </c>
      <c r="E295" s="38" t="s">
        <v>2020</v>
      </c>
      <c r="F295" s="38" t="s">
        <v>2021</v>
      </c>
      <c r="G295" s="39" t="s">
        <v>2022</v>
      </c>
      <c r="H295" s="49" t="s">
        <v>50</v>
      </c>
      <c r="I295" s="85" t="s">
        <v>51</v>
      </c>
      <c r="J295" s="92" t="s">
        <v>289</v>
      </c>
      <c r="K295" s="93">
        <v>135.0</v>
      </c>
      <c r="L295" s="93" t="s">
        <v>2023</v>
      </c>
      <c r="M295" s="51" t="b">
        <v>1</v>
      </c>
      <c r="N295" s="126" t="s">
        <v>2024</v>
      </c>
      <c r="O295" s="116"/>
      <c r="P295" s="116" t="s">
        <v>2025</v>
      </c>
      <c r="Q295" s="116"/>
      <c r="R295" s="116"/>
      <c r="S295" s="116"/>
      <c r="T295" s="46"/>
      <c r="U295" s="13"/>
      <c r="V295" s="13"/>
      <c r="W295" s="13"/>
      <c r="X295" s="13"/>
      <c r="Y295" s="13"/>
      <c r="Z295" s="13"/>
      <c r="AA295" s="13"/>
      <c r="AB295" s="13"/>
      <c r="AC295" s="13"/>
    </row>
    <row r="296" ht="360.0" hidden="1" customHeight="1">
      <c r="A296" s="35">
        <v>293.0</v>
      </c>
      <c r="B296" s="36" t="s">
        <v>2026</v>
      </c>
      <c r="C296" s="37" t="s">
        <v>2027</v>
      </c>
      <c r="D296" s="38" t="s">
        <v>1825</v>
      </c>
      <c r="E296" s="38"/>
      <c r="F296" s="38" t="s">
        <v>2028</v>
      </c>
      <c r="G296" s="39" t="s">
        <v>231</v>
      </c>
      <c r="H296" s="49" t="s">
        <v>64</v>
      </c>
      <c r="I296" s="93" t="s">
        <v>65</v>
      </c>
      <c r="J296" s="64"/>
      <c r="K296" s="151"/>
      <c r="L296" s="152"/>
      <c r="M296" s="153" t="b">
        <v>0</v>
      </c>
      <c r="N296" s="154" t="s">
        <v>2029</v>
      </c>
      <c r="O296" s="155" t="s">
        <v>2030</v>
      </c>
      <c r="P296" s="116"/>
      <c r="Q296" s="116"/>
      <c r="R296" s="116"/>
      <c r="S296" s="116"/>
      <c r="T296" s="46"/>
      <c r="U296" s="13"/>
      <c r="V296" s="13"/>
      <c r="W296" s="13"/>
      <c r="X296" s="13"/>
      <c r="Y296" s="13"/>
      <c r="Z296" s="13"/>
      <c r="AA296" s="13"/>
      <c r="AB296" s="13"/>
      <c r="AC296" s="13"/>
    </row>
    <row r="297" ht="16.5" hidden="1" customHeight="1">
      <c r="A297" s="35">
        <v>294.0</v>
      </c>
      <c r="B297" s="36" t="s">
        <v>2031</v>
      </c>
      <c r="C297" s="37" t="s">
        <v>2032</v>
      </c>
      <c r="D297" s="38" t="s">
        <v>2033</v>
      </c>
      <c r="E297" s="38" t="s">
        <v>2034</v>
      </c>
      <c r="F297" s="38" t="s">
        <v>2035</v>
      </c>
      <c r="G297" s="39" t="s">
        <v>231</v>
      </c>
      <c r="H297" s="49" t="s">
        <v>64</v>
      </c>
      <c r="I297" s="93" t="s">
        <v>65</v>
      </c>
      <c r="J297" s="55"/>
      <c r="K297" s="121"/>
      <c r="L297" s="121"/>
      <c r="M297" s="51" t="b">
        <v>0</v>
      </c>
      <c r="N297" s="116"/>
      <c r="O297" s="116"/>
      <c r="P297" s="116"/>
      <c r="Q297" s="116"/>
      <c r="R297" s="116"/>
      <c r="S297" s="116"/>
      <c r="T297" s="46"/>
      <c r="U297" s="13"/>
      <c r="V297" s="13"/>
      <c r="W297" s="13"/>
      <c r="X297" s="13"/>
      <c r="Y297" s="13"/>
      <c r="Z297" s="13"/>
      <c r="AA297" s="13"/>
      <c r="AB297" s="13"/>
      <c r="AC297" s="13"/>
    </row>
    <row r="298" ht="16.5" hidden="1" customHeight="1">
      <c r="A298" s="35">
        <v>295.0</v>
      </c>
      <c r="B298" s="36" t="s">
        <v>2036</v>
      </c>
      <c r="C298" s="37" t="s">
        <v>2037</v>
      </c>
      <c r="D298" s="38" t="s">
        <v>1825</v>
      </c>
      <c r="E298" s="38"/>
      <c r="F298" s="38" t="s">
        <v>1889</v>
      </c>
      <c r="G298" s="39" t="s">
        <v>231</v>
      </c>
      <c r="H298" s="49" t="s">
        <v>64</v>
      </c>
      <c r="I298" s="93" t="s">
        <v>65</v>
      </c>
      <c r="J298" s="55"/>
      <c r="K298" s="121"/>
      <c r="L298" s="121"/>
      <c r="M298" s="51" t="b">
        <v>0</v>
      </c>
      <c r="N298" s="116"/>
      <c r="O298" s="116"/>
      <c r="P298" s="116"/>
      <c r="Q298" s="116"/>
      <c r="R298" s="116"/>
      <c r="S298" s="116"/>
      <c r="T298" s="46"/>
      <c r="U298" s="13"/>
      <c r="V298" s="13"/>
      <c r="W298" s="13"/>
      <c r="X298" s="13"/>
      <c r="Y298" s="13"/>
      <c r="Z298" s="13"/>
      <c r="AA298" s="13"/>
      <c r="AB298" s="13"/>
      <c r="AC298" s="13"/>
    </row>
    <row r="299" ht="16.5" hidden="1" customHeight="1">
      <c r="A299" s="156">
        <v>296.0</v>
      </c>
      <c r="B299" s="157" t="s">
        <v>2038</v>
      </c>
      <c r="C299" s="158" t="s">
        <v>2039</v>
      </c>
      <c r="D299" s="159" t="s">
        <v>1825</v>
      </c>
      <c r="E299" s="159"/>
      <c r="F299" s="159" t="s">
        <v>1889</v>
      </c>
      <c r="G299" s="57" t="s">
        <v>231</v>
      </c>
      <c r="H299" s="49" t="s">
        <v>64</v>
      </c>
      <c r="I299" s="93" t="s">
        <v>65</v>
      </c>
      <c r="J299" s="55"/>
      <c r="K299" s="121"/>
      <c r="L299" s="121"/>
      <c r="M299" s="51" t="b">
        <v>0</v>
      </c>
      <c r="N299" s="116"/>
      <c r="O299" s="116"/>
      <c r="P299" s="116"/>
      <c r="Q299" s="116"/>
      <c r="R299" s="116"/>
      <c r="S299" s="116"/>
      <c r="T299" s="46"/>
      <c r="U299" s="13"/>
      <c r="V299" s="13"/>
      <c r="W299" s="13"/>
      <c r="X299" s="13"/>
      <c r="Y299" s="13"/>
      <c r="Z299" s="13"/>
      <c r="AA299" s="13"/>
      <c r="AB299" s="13"/>
      <c r="AC299" s="13"/>
    </row>
    <row r="300" ht="360.0" hidden="1" customHeight="1">
      <c r="A300" s="35">
        <v>297.0</v>
      </c>
      <c r="B300" s="36" t="s">
        <v>2040</v>
      </c>
      <c r="C300" s="36"/>
      <c r="D300" s="38"/>
      <c r="E300" s="38"/>
      <c r="F300" s="38" t="s">
        <v>2041</v>
      </c>
      <c r="G300" s="39" t="s">
        <v>2042</v>
      </c>
      <c r="H300" s="49" t="s">
        <v>50</v>
      </c>
      <c r="I300" s="39" t="s">
        <v>51</v>
      </c>
      <c r="J300" s="92" t="s">
        <v>533</v>
      </c>
      <c r="K300" s="92">
        <v>2.0</v>
      </c>
      <c r="L300" s="93" t="s">
        <v>2043</v>
      </c>
      <c r="M300" s="51" t="b">
        <v>1</v>
      </c>
      <c r="N300" s="160" t="s">
        <v>2044</v>
      </c>
      <c r="O300" s="116"/>
      <c r="P300" s="116" t="s">
        <v>2045</v>
      </c>
      <c r="Q300" s="116"/>
      <c r="R300" s="116"/>
      <c r="S300" s="116"/>
      <c r="T300" s="46"/>
      <c r="U300" s="13"/>
      <c r="V300" s="13"/>
      <c r="W300" s="13"/>
      <c r="X300" s="13"/>
      <c r="Y300" s="13"/>
      <c r="Z300" s="13"/>
      <c r="AA300" s="13"/>
      <c r="AB300" s="13"/>
      <c r="AC300" s="13"/>
    </row>
    <row r="301" ht="16.5" hidden="1" customHeight="1">
      <c r="A301" s="35">
        <v>298.0</v>
      </c>
      <c r="B301" s="36" t="s">
        <v>2046</v>
      </c>
      <c r="C301" s="36"/>
      <c r="D301" s="38" t="s">
        <v>1825</v>
      </c>
      <c r="E301" s="38"/>
      <c r="F301" s="38" t="s">
        <v>2047</v>
      </c>
      <c r="G301" s="39" t="s">
        <v>231</v>
      </c>
      <c r="H301" s="49" t="s">
        <v>64</v>
      </c>
      <c r="I301" s="93" t="s">
        <v>65</v>
      </c>
      <c r="J301" s="55"/>
      <c r="K301" s="121"/>
      <c r="L301" s="121"/>
      <c r="M301" s="51" t="b">
        <v>0</v>
      </c>
      <c r="N301" s="116"/>
      <c r="O301" s="116"/>
      <c r="P301" s="116"/>
      <c r="Q301" s="116"/>
      <c r="R301" s="116"/>
      <c r="S301" s="116"/>
      <c r="T301" s="46"/>
      <c r="U301" s="13"/>
      <c r="V301" s="13"/>
      <c r="W301" s="13"/>
      <c r="X301" s="13"/>
      <c r="Y301" s="13"/>
      <c r="Z301" s="13"/>
      <c r="AA301" s="13"/>
      <c r="AB301" s="13"/>
      <c r="AC301" s="13"/>
    </row>
    <row r="302" ht="360.0" hidden="1" customHeight="1">
      <c r="A302" s="35">
        <v>299.0</v>
      </c>
      <c r="B302" s="36" t="s">
        <v>2048</v>
      </c>
      <c r="C302" s="36"/>
      <c r="D302" s="38" t="s">
        <v>1825</v>
      </c>
      <c r="E302" s="38"/>
      <c r="F302" s="38" t="s">
        <v>1019</v>
      </c>
      <c r="G302" s="39" t="s">
        <v>1020</v>
      </c>
      <c r="H302" s="49" t="s">
        <v>50</v>
      </c>
      <c r="I302" s="85" t="s">
        <v>51</v>
      </c>
      <c r="J302" s="39" t="s">
        <v>1021</v>
      </c>
      <c r="K302" s="94" t="s">
        <v>41</v>
      </c>
      <c r="L302" s="93" t="s">
        <v>1022</v>
      </c>
      <c r="M302" s="51" t="b">
        <v>1</v>
      </c>
      <c r="N302" s="126" t="s">
        <v>1365</v>
      </c>
      <c r="O302" s="127" t="s">
        <v>1366</v>
      </c>
      <c r="P302" s="116"/>
      <c r="Q302" s="116"/>
      <c r="R302" s="116"/>
      <c r="S302" s="116"/>
      <c r="T302" s="46"/>
      <c r="U302" s="13"/>
      <c r="V302" s="13"/>
      <c r="W302" s="13"/>
      <c r="X302" s="13"/>
      <c r="Y302" s="13"/>
      <c r="Z302" s="13"/>
      <c r="AA302" s="13"/>
      <c r="AB302" s="13"/>
      <c r="AC302" s="13"/>
    </row>
    <row r="303" ht="16.5" hidden="1" customHeight="1">
      <c r="A303" s="35">
        <v>300.0</v>
      </c>
      <c r="B303" s="36" t="s">
        <v>2049</v>
      </c>
      <c r="C303" s="36"/>
      <c r="D303" s="38" t="s">
        <v>2050</v>
      </c>
      <c r="E303" s="38"/>
      <c r="F303" s="38" t="s">
        <v>2051</v>
      </c>
      <c r="G303" s="39" t="s">
        <v>231</v>
      </c>
      <c r="H303" s="49" t="s">
        <v>64</v>
      </c>
      <c r="I303" s="93" t="s">
        <v>65</v>
      </c>
      <c r="J303" s="55"/>
      <c r="K303" s="121"/>
      <c r="L303" s="121"/>
      <c r="M303" s="51" t="b">
        <v>0</v>
      </c>
      <c r="N303" s="116"/>
      <c r="O303" s="116"/>
      <c r="P303" s="116"/>
      <c r="Q303" s="116"/>
      <c r="R303" s="116"/>
      <c r="S303" s="116"/>
      <c r="T303" s="46"/>
      <c r="U303" s="13"/>
      <c r="V303" s="13"/>
      <c r="W303" s="13"/>
      <c r="X303" s="13"/>
      <c r="Y303" s="13"/>
      <c r="Z303" s="13"/>
      <c r="AA303" s="13"/>
      <c r="AB303" s="13"/>
      <c r="AC303" s="13"/>
    </row>
    <row r="304" ht="16.5" hidden="1" customHeight="1">
      <c r="A304" s="35">
        <v>301.0</v>
      </c>
      <c r="B304" s="36" t="s">
        <v>2052</v>
      </c>
      <c r="C304" s="36"/>
      <c r="D304" s="38" t="s">
        <v>2053</v>
      </c>
      <c r="E304" s="38" t="s">
        <v>2054</v>
      </c>
      <c r="F304" s="38" t="s">
        <v>1826</v>
      </c>
      <c r="G304" s="39" t="s">
        <v>231</v>
      </c>
      <c r="H304" s="49" t="s">
        <v>64</v>
      </c>
      <c r="I304" s="93" t="s">
        <v>65</v>
      </c>
      <c r="J304" s="55"/>
      <c r="K304" s="121"/>
      <c r="L304" s="121"/>
      <c r="M304" s="51" t="b">
        <v>0</v>
      </c>
      <c r="N304" s="116"/>
      <c r="O304" s="116"/>
      <c r="P304" s="116"/>
      <c r="Q304" s="116"/>
      <c r="R304" s="116"/>
      <c r="S304" s="116"/>
      <c r="T304" s="46"/>
      <c r="U304" s="13"/>
      <c r="V304" s="13"/>
      <c r="W304" s="13"/>
      <c r="X304" s="13"/>
      <c r="Y304" s="13"/>
      <c r="Z304" s="13"/>
      <c r="AA304" s="13"/>
      <c r="AB304" s="13"/>
      <c r="AC304" s="13"/>
    </row>
    <row r="305" ht="16.5" hidden="1" customHeight="1">
      <c r="A305" s="35">
        <v>302.0</v>
      </c>
      <c r="B305" s="36" t="s">
        <v>2055</v>
      </c>
      <c r="C305" s="36"/>
      <c r="D305" s="38" t="s">
        <v>2056</v>
      </c>
      <c r="E305" s="38" t="s">
        <v>2057</v>
      </c>
      <c r="F305" s="38" t="s">
        <v>2058</v>
      </c>
      <c r="G305" s="39" t="s">
        <v>231</v>
      </c>
      <c r="H305" s="49" t="s">
        <v>64</v>
      </c>
      <c r="I305" s="93" t="s">
        <v>65</v>
      </c>
      <c r="J305" s="55"/>
      <c r="K305" s="121"/>
      <c r="L305" s="121"/>
      <c r="M305" s="51" t="b">
        <v>0</v>
      </c>
      <c r="N305" s="116"/>
      <c r="O305" s="116"/>
      <c r="P305" s="116"/>
      <c r="Q305" s="116"/>
      <c r="R305" s="116"/>
      <c r="S305" s="116"/>
      <c r="T305" s="46"/>
      <c r="U305" s="13"/>
      <c r="V305" s="13"/>
      <c r="W305" s="13"/>
      <c r="X305" s="13"/>
      <c r="Y305" s="13"/>
      <c r="Z305" s="13"/>
      <c r="AA305" s="13"/>
      <c r="AB305" s="13"/>
      <c r="AC305" s="13"/>
    </row>
    <row r="306" ht="16.5" hidden="1" customHeight="1">
      <c r="A306" s="35">
        <v>303.0</v>
      </c>
      <c r="B306" s="36" t="s">
        <v>2059</v>
      </c>
      <c r="C306" s="36"/>
      <c r="D306" s="38" t="s">
        <v>2060</v>
      </c>
      <c r="E306" s="38" t="s">
        <v>2061</v>
      </c>
      <c r="F306" s="38" t="s">
        <v>2062</v>
      </c>
      <c r="G306" s="39" t="s">
        <v>2063</v>
      </c>
      <c r="H306" s="49" t="s">
        <v>50</v>
      </c>
      <c r="I306" s="93" t="s">
        <v>51</v>
      </c>
      <c r="J306" s="39" t="s">
        <v>491</v>
      </c>
      <c r="K306" s="42" t="s">
        <v>41</v>
      </c>
      <c r="L306" s="39" t="s">
        <v>2064</v>
      </c>
      <c r="M306" s="51" t="b">
        <v>1</v>
      </c>
      <c r="N306" s="142" t="s">
        <v>292</v>
      </c>
      <c r="O306" s="128"/>
      <c r="P306" s="116"/>
      <c r="Q306" s="116"/>
      <c r="R306" s="116"/>
      <c r="S306" s="116"/>
      <c r="T306" s="46"/>
      <c r="U306" s="13"/>
      <c r="V306" s="13"/>
      <c r="W306" s="13"/>
      <c r="X306" s="13"/>
      <c r="Y306" s="13"/>
      <c r="Z306" s="13"/>
      <c r="AA306" s="13"/>
      <c r="AB306" s="13"/>
      <c r="AC306" s="13"/>
    </row>
    <row r="307" ht="16.5" hidden="1" customHeight="1">
      <c r="A307" s="35">
        <v>304.0</v>
      </c>
      <c r="B307" s="36" t="s">
        <v>2065</v>
      </c>
      <c r="C307" s="36"/>
      <c r="D307" s="38" t="s">
        <v>2066</v>
      </c>
      <c r="E307" s="38" t="s">
        <v>2067</v>
      </c>
      <c r="F307" s="38" t="s">
        <v>2068</v>
      </c>
      <c r="G307" s="39" t="s">
        <v>2069</v>
      </c>
      <c r="H307" s="49" t="s">
        <v>50</v>
      </c>
      <c r="I307" s="93" t="s">
        <v>51</v>
      </c>
      <c r="J307" s="39" t="s">
        <v>491</v>
      </c>
      <c r="K307" s="42" t="s">
        <v>154</v>
      </c>
      <c r="L307" s="39" t="s">
        <v>2070</v>
      </c>
      <c r="M307" s="51" t="b">
        <v>1</v>
      </c>
      <c r="N307" s="142" t="s">
        <v>292</v>
      </c>
      <c r="O307" s="128"/>
      <c r="P307" s="116"/>
      <c r="Q307" s="116"/>
      <c r="R307" s="116"/>
      <c r="S307" s="116"/>
      <c r="T307" s="46"/>
      <c r="U307" s="13"/>
      <c r="V307" s="13"/>
      <c r="W307" s="13"/>
      <c r="X307" s="13"/>
      <c r="Y307" s="13"/>
      <c r="Z307" s="13"/>
      <c r="AA307" s="13"/>
      <c r="AB307" s="13"/>
      <c r="AC307" s="13"/>
    </row>
    <row r="308" ht="16.5" hidden="1" customHeight="1">
      <c r="A308" s="35">
        <v>305.0</v>
      </c>
      <c r="B308" s="36" t="s">
        <v>2071</v>
      </c>
      <c r="C308" s="36"/>
      <c r="D308" s="38" t="s">
        <v>2072</v>
      </c>
      <c r="E308" s="38" t="s">
        <v>2073</v>
      </c>
      <c r="F308" s="38" t="s">
        <v>2074</v>
      </c>
      <c r="G308" s="39" t="s">
        <v>2075</v>
      </c>
      <c r="H308" s="49" t="s">
        <v>50</v>
      </c>
      <c r="I308" s="93" t="s">
        <v>51</v>
      </c>
      <c r="J308" s="92" t="s">
        <v>855</v>
      </c>
      <c r="K308" s="93" t="s">
        <v>2076</v>
      </c>
      <c r="L308" s="93" t="s">
        <v>2077</v>
      </c>
      <c r="M308" s="51" t="b">
        <v>1</v>
      </c>
      <c r="N308" s="126" t="s">
        <v>2078</v>
      </c>
      <c r="O308" s="116"/>
      <c r="P308" s="116" t="s">
        <v>2079</v>
      </c>
      <c r="Q308" s="116"/>
      <c r="R308" s="116"/>
      <c r="S308" s="116"/>
      <c r="T308" s="46"/>
      <c r="U308" s="13"/>
      <c r="V308" s="13"/>
      <c r="W308" s="13"/>
      <c r="X308" s="13"/>
      <c r="Y308" s="13"/>
      <c r="Z308" s="13"/>
      <c r="AA308" s="13"/>
      <c r="AB308" s="13"/>
      <c r="AC308" s="13"/>
    </row>
    <row r="309" ht="16.5" hidden="1" customHeight="1">
      <c r="A309" s="35">
        <v>306.0</v>
      </c>
      <c r="B309" s="36" t="s">
        <v>2080</v>
      </c>
      <c r="C309" s="36"/>
      <c r="D309" s="38" t="s">
        <v>2081</v>
      </c>
      <c r="E309" s="38" t="s">
        <v>1855</v>
      </c>
      <c r="F309" s="38" t="s">
        <v>2082</v>
      </c>
      <c r="G309" s="39" t="s">
        <v>490</v>
      </c>
      <c r="H309" s="49" t="s">
        <v>50</v>
      </c>
      <c r="I309" s="93" t="s">
        <v>51</v>
      </c>
      <c r="J309" s="39" t="s">
        <v>491</v>
      </c>
      <c r="K309" s="42" t="s">
        <v>409</v>
      </c>
      <c r="L309" s="39" t="s">
        <v>492</v>
      </c>
      <c r="M309" s="51" t="b">
        <v>1</v>
      </c>
      <c r="N309" s="126" t="s">
        <v>493</v>
      </c>
      <c r="O309" s="127" t="s">
        <v>494</v>
      </c>
      <c r="P309" s="116"/>
      <c r="Q309" s="116"/>
      <c r="R309" s="116"/>
      <c r="S309" s="116"/>
      <c r="T309" s="46"/>
      <c r="U309" s="13"/>
      <c r="V309" s="13"/>
      <c r="W309" s="13"/>
      <c r="X309" s="13"/>
      <c r="Y309" s="13"/>
      <c r="Z309" s="13"/>
      <c r="AA309" s="13"/>
      <c r="AB309" s="13"/>
      <c r="AC309" s="13"/>
    </row>
    <row r="310" ht="180.0" hidden="1" customHeight="1">
      <c r="A310" s="35">
        <v>307.0</v>
      </c>
      <c r="B310" s="36" t="s">
        <v>2083</v>
      </c>
      <c r="C310" s="36"/>
      <c r="D310" s="38" t="s">
        <v>1825</v>
      </c>
      <c r="E310" s="38"/>
      <c r="F310" s="38" t="s">
        <v>2084</v>
      </c>
      <c r="G310" s="39" t="s">
        <v>2085</v>
      </c>
      <c r="H310" s="49" t="s">
        <v>50</v>
      </c>
      <c r="I310" s="93" t="s">
        <v>51</v>
      </c>
      <c r="J310" s="49" t="s">
        <v>491</v>
      </c>
      <c r="K310" s="42" t="s">
        <v>640</v>
      </c>
      <c r="L310" s="39" t="s">
        <v>2086</v>
      </c>
      <c r="M310" s="51" t="b">
        <v>1</v>
      </c>
      <c r="N310" s="142" t="s">
        <v>292</v>
      </c>
      <c r="O310" s="128"/>
      <c r="P310" s="116"/>
      <c r="Q310" s="116"/>
      <c r="R310" s="116"/>
      <c r="S310" s="116"/>
      <c r="T310" s="46"/>
      <c r="U310" s="13"/>
      <c r="V310" s="13"/>
      <c r="W310" s="13"/>
      <c r="X310" s="13"/>
      <c r="Y310" s="13"/>
      <c r="Z310" s="13"/>
      <c r="AA310" s="13"/>
      <c r="AB310" s="13"/>
      <c r="AC310" s="13"/>
    </row>
    <row r="311" ht="16.5" hidden="1" customHeight="1">
      <c r="A311" s="35">
        <v>308.0</v>
      </c>
      <c r="B311" s="36" t="s">
        <v>2087</v>
      </c>
      <c r="C311" s="36"/>
      <c r="D311" s="38" t="s">
        <v>2088</v>
      </c>
      <c r="E311" s="38" t="s">
        <v>2089</v>
      </c>
      <c r="F311" s="38" t="s">
        <v>2090</v>
      </c>
      <c r="G311" s="39" t="s">
        <v>2091</v>
      </c>
      <c r="H311" s="49" t="s">
        <v>50</v>
      </c>
      <c r="I311" s="93" t="s">
        <v>51</v>
      </c>
      <c r="J311" s="49" t="s">
        <v>491</v>
      </c>
      <c r="K311" s="42" t="s">
        <v>640</v>
      </c>
      <c r="L311" s="39" t="s">
        <v>2092</v>
      </c>
      <c r="M311" s="51" t="b">
        <v>1</v>
      </c>
      <c r="N311" s="142" t="s">
        <v>292</v>
      </c>
      <c r="O311" s="128"/>
      <c r="P311" s="116"/>
      <c r="Q311" s="116"/>
      <c r="R311" s="116"/>
      <c r="S311" s="116"/>
      <c r="T311" s="46"/>
      <c r="U311" s="13"/>
      <c r="V311" s="13"/>
      <c r="W311" s="13"/>
      <c r="X311" s="13"/>
      <c r="Y311" s="13"/>
      <c r="Z311" s="13"/>
      <c r="AA311" s="13"/>
      <c r="AB311" s="13"/>
      <c r="AC311" s="13"/>
    </row>
    <row r="312" ht="16.5" hidden="1" customHeight="1">
      <c r="A312" s="35">
        <v>309.0</v>
      </c>
      <c r="B312" s="36" t="s">
        <v>2093</v>
      </c>
      <c r="C312" s="36"/>
      <c r="D312" s="38" t="s">
        <v>2094</v>
      </c>
      <c r="E312" s="38" t="s">
        <v>2095</v>
      </c>
      <c r="F312" s="38" t="s">
        <v>2096</v>
      </c>
      <c r="G312" s="39" t="s">
        <v>2097</v>
      </c>
      <c r="H312" s="49" t="s">
        <v>50</v>
      </c>
      <c r="I312" s="93" t="s">
        <v>51</v>
      </c>
      <c r="J312" s="49" t="s">
        <v>491</v>
      </c>
      <c r="K312" s="42" t="s">
        <v>2098</v>
      </c>
      <c r="L312" s="39" t="s">
        <v>2099</v>
      </c>
      <c r="M312" s="51" t="b">
        <v>1</v>
      </c>
      <c r="N312" s="142" t="s">
        <v>292</v>
      </c>
      <c r="O312" s="128"/>
      <c r="P312" s="116" t="s">
        <v>2100</v>
      </c>
      <c r="Q312" s="116"/>
      <c r="R312" s="116"/>
      <c r="S312" s="116"/>
      <c r="T312" s="46"/>
      <c r="U312" s="13"/>
      <c r="V312" s="13"/>
      <c r="W312" s="13"/>
      <c r="X312" s="13"/>
      <c r="Y312" s="13"/>
      <c r="Z312" s="13"/>
      <c r="AA312" s="13"/>
      <c r="AB312" s="13"/>
      <c r="AC312" s="13"/>
    </row>
    <row r="313" ht="16.5" hidden="1" customHeight="1">
      <c r="A313" s="35">
        <v>310.0</v>
      </c>
      <c r="B313" s="36" t="s">
        <v>2101</v>
      </c>
      <c r="C313" s="36"/>
      <c r="D313" s="38" t="s">
        <v>2102</v>
      </c>
      <c r="E313" s="38" t="s">
        <v>2103</v>
      </c>
      <c r="F313" s="38" t="s">
        <v>2104</v>
      </c>
      <c r="G313" s="39" t="s">
        <v>2105</v>
      </c>
      <c r="H313" s="49" t="s">
        <v>50</v>
      </c>
      <c r="I313" s="93" t="s">
        <v>51</v>
      </c>
      <c r="J313" s="49" t="s">
        <v>491</v>
      </c>
      <c r="K313" s="42" t="s">
        <v>53</v>
      </c>
      <c r="L313" s="39" t="s">
        <v>2106</v>
      </c>
      <c r="M313" s="51" t="b">
        <v>1</v>
      </c>
      <c r="N313" s="142" t="s">
        <v>292</v>
      </c>
      <c r="O313" s="128"/>
      <c r="P313" s="116" t="s">
        <v>2107</v>
      </c>
      <c r="Q313" s="116"/>
      <c r="R313" s="116"/>
      <c r="S313" s="116"/>
      <c r="T313" s="46"/>
      <c r="U313" s="13"/>
      <c r="V313" s="13"/>
      <c r="W313" s="13"/>
      <c r="X313" s="13"/>
      <c r="Y313" s="13"/>
      <c r="Z313" s="13"/>
      <c r="AA313" s="13"/>
      <c r="AB313" s="13"/>
      <c r="AC313" s="13"/>
    </row>
    <row r="314" ht="16.5" hidden="1" customHeight="1">
      <c r="A314" s="35">
        <v>311.0</v>
      </c>
      <c r="B314" s="36" t="s">
        <v>2108</v>
      </c>
      <c r="C314" s="36"/>
      <c r="D314" s="38" t="s">
        <v>2109</v>
      </c>
      <c r="E314" s="38" t="s">
        <v>2110</v>
      </c>
      <c r="F314" s="38" t="s">
        <v>2111</v>
      </c>
      <c r="G314" s="39" t="s">
        <v>2112</v>
      </c>
      <c r="H314" s="49" t="s">
        <v>50</v>
      </c>
      <c r="I314" s="93" t="s">
        <v>51</v>
      </c>
      <c r="J314" s="49" t="s">
        <v>491</v>
      </c>
      <c r="K314" s="42" t="s">
        <v>720</v>
      </c>
      <c r="L314" s="39" t="s">
        <v>2113</v>
      </c>
      <c r="M314" s="51" t="b">
        <v>1</v>
      </c>
      <c r="N314" s="142" t="s">
        <v>292</v>
      </c>
      <c r="O314" s="128"/>
      <c r="P314" s="116"/>
      <c r="Q314" s="116"/>
      <c r="R314" s="116"/>
      <c r="S314" s="116"/>
      <c r="T314" s="46"/>
      <c r="U314" s="13"/>
      <c r="V314" s="13"/>
      <c r="W314" s="13"/>
      <c r="X314" s="13"/>
      <c r="Y314" s="13"/>
      <c r="Z314" s="13"/>
      <c r="AA314" s="13"/>
      <c r="AB314" s="13"/>
      <c r="AC314" s="13"/>
    </row>
    <row r="315" ht="16.5" hidden="1" customHeight="1">
      <c r="A315" s="35">
        <v>312.0</v>
      </c>
      <c r="B315" s="36" t="s">
        <v>2114</v>
      </c>
      <c r="C315" s="36"/>
      <c r="D315" s="38" t="s">
        <v>2115</v>
      </c>
      <c r="E315" s="38" t="s">
        <v>2116</v>
      </c>
      <c r="F315" s="38" t="s">
        <v>2117</v>
      </c>
      <c r="G315" s="39" t="s">
        <v>2118</v>
      </c>
      <c r="H315" s="49" t="s">
        <v>50</v>
      </c>
      <c r="I315" s="93" t="s">
        <v>51</v>
      </c>
      <c r="J315" s="39" t="s">
        <v>2119</v>
      </c>
      <c r="K315" s="94" t="s">
        <v>1093</v>
      </c>
      <c r="L315" s="93" t="s">
        <v>2120</v>
      </c>
      <c r="M315" s="51" t="b">
        <v>1</v>
      </c>
      <c r="N315" s="130" t="s">
        <v>2121</v>
      </c>
      <c r="O315" s="131"/>
      <c r="P315" s="123"/>
      <c r="Q315" s="116"/>
      <c r="R315" s="116"/>
      <c r="S315" s="116"/>
      <c r="T315" s="46"/>
      <c r="U315" s="13"/>
      <c r="V315" s="13"/>
      <c r="W315" s="13"/>
      <c r="X315" s="13"/>
      <c r="Y315" s="13"/>
      <c r="Z315" s="13"/>
      <c r="AA315" s="13"/>
      <c r="AB315" s="13"/>
      <c r="AC315" s="13"/>
    </row>
    <row r="316" ht="16.5" hidden="1" customHeight="1">
      <c r="A316" s="35">
        <v>313.0</v>
      </c>
      <c r="B316" s="36" t="s">
        <v>2122</v>
      </c>
      <c r="C316" s="36"/>
      <c r="D316" s="38" t="s">
        <v>2123</v>
      </c>
      <c r="E316" s="38" t="s">
        <v>2124</v>
      </c>
      <c r="F316" s="38" t="s">
        <v>2125</v>
      </c>
      <c r="G316" s="48" t="s">
        <v>1728</v>
      </c>
      <c r="H316" s="49" t="s">
        <v>50</v>
      </c>
      <c r="I316" s="93" t="s">
        <v>51</v>
      </c>
      <c r="J316" s="39" t="s">
        <v>719</v>
      </c>
      <c r="K316" s="94" t="s">
        <v>744</v>
      </c>
      <c r="L316" s="133" t="s">
        <v>1729</v>
      </c>
      <c r="M316" s="51" t="b">
        <v>1</v>
      </c>
      <c r="N316" s="126" t="s">
        <v>746</v>
      </c>
      <c r="O316" s="127" t="s">
        <v>1730</v>
      </c>
      <c r="P316" s="116"/>
      <c r="Q316" s="116"/>
      <c r="R316" s="116"/>
      <c r="S316" s="116"/>
      <c r="T316" s="46"/>
      <c r="U316" s="13"/>
      <c r="V316" s="13"/>
      <c r="W316" s="13"/>
      <c r="X316" s="13"/>
      <c r="Y316" s="13"/>
      <c r="Z316" s="13"/>
      <c r="AA316" s="13"/>
      <c r="AB316" s="13"/>
      <c r="AC316" s="13"/>
    </row>
    <row r="317" ht="16.5" hidden="1" customHeight="1">
      <c r="A317" s="35">
        <v>314.0</v>
      </c>
      <c r="B317" s="36" t="s">
        <v>2126</v>
      </c>
      <c r="C317" s="36"/>
      <c r="D317" s="38" t="s">
        <v>1825</v>
      </c>
      <c r="E317" s="38"/>
      <c r="F317" s="38" t="s">
        <v>2127</v>
      </c>
      <c r="G317" s="39" t="s">
        <v>2128</v>
      </c>
      <c r="H317" s="49" t="s">
        <v>50</v>
      </c>
      <c r="I317" s="85" t="s">
        <v>51</v>
      </c>
      <c r="J317" s="39" t="s">
        <v>2129</v>
      </c>
      <c r="K317" s="94" t="s">
        <v>932</v>
      </c>
      <c r="L317" s="93" t="s">
        <v>2130</v>
      </c>
      <c r="M317" s="51" t="b">
        <v>1</v>
      </c>
      <c r="N317" s="126" t="s">
        <v>2131</v>
      </c>
      <c r="O317" s="128"/>
      <c r="P317" s="116"/>
      <c r="Q317" s="116"/>
      <c r="R317" s="116"/>
      <c r="S317" s="116"/>
      <c r="T317" s="46"/>
      <c r="U317" s="13"/>
      <c r="V317" s="13"/>
      <c r="W317" s="13"/>
      <c r="X317" s="13"/>
      <c r="Y317" s="13"/>
      <c r="Z317" s="13"/>
      <c r="AA317" s="13"/>
      <c r="AB317" s="13"/>
      <c r="AC317" s="13"/>
    </row>
    <row r="318" ht="16.5" hidden="1" customHeight="1">
      <c r="A318" s="35">
        <v>315.0</v>
      </c>
      <c r="B318" s="36" t="s">
        <v>2132</v>
      </c>
      <c r="C318" s="36"/>
      <c r="D318" s="38" t="s">
        <v>2133</v>
      </c>
      <c r="E318" s="38" t="s">
        <v>2134</v>
      </c>
      <c r="F318" s="38" t="s">
        <v>2135</v>
      </c>
      <c r="G318" s="39" t="s">
        <v>2136</v>
      </c>
      <c r="H318" s="49" t="s">
        <v>50</v>
      </c>
      <c r="I318" s="93" t="s">
        <v>51</v>
      </c>
      <c r="J318" s="39" t="s">
        <v>656</v>
      </c>
      <c r="K318" s="94" t="s">
        <v>1998</v>
      </c>
      <c r="L318" s="93" t="s">
        <v>1999</v>
      </c>
      <c r="M318" s="51" t="b">
        <v>1</v>
      </c>
      <c r="N318" s="126" t="s">
        <v>2137</v>
      </c>
      <c r="O318" s="128"/>
      <c r="P318" s="116"/>
      <c r="Q318" s="116"/>
      <c r="R318" s="116"/>
      <c r="S318" s="116"/>
      <c r="T318" s="46"/>
      <c r="U318" s="13"/>
      <c r="V318" s="13"/>
      <c r="W318" s="13"/>
      <c r="X318" s="13"/>
      <c r="Y318" s="13"/>
      <c r="Z318" s="13"/>
      <c r="AA318" s="13"/>
      <c r="AB318" s="13"/>
      <c r="AC318" s="13"/>
    </row>
    <row r="319" hidden="1">
      <c r="A319" s="35">
        <v>316.0</v>
      </c>
      <c r="B319" s="36" t="s">
        <v>2138</v>
      </c>
      <c r="C319" s="36"/>
      <c r="D319" s="38" t="s">
        <v>1825</v>
      </c>
      <c r="E319" s="38"/>
      <c r="F319" s="38" t="s">
        <v>1826</v>
      </c>
      <c r="G319" s="39" t="s">
        <v>2139</v>
      </c>
      <c r="H319" s="49" t="s">
        <v>50</v>
      </c>
      <c r="I319" s="93" t="s">
        <v>51</v>
      </c>
      <c r="J319" s="39" t="s">
        <v>123</v>
      </c>
      <c r="K319" s="94" t="s">
        <v>2140</v>
      </c>
      <c r="L319" s="93" t="s">
        <v>2141</v>
      </c>
      <c r="M319" s="51" t="b">
        <v>1</v>
      </c>
      <c r="N319" s="126" t="s">
        <v>2142</v>
      </c>
      <c r="O319" s="128"/>
      <c r="P319" s="116"/>
      <c r="Q319" s="116"/>
      <c r="R319" s="116"/>
      <c r="S319" s="116"/>
      <c r="T319" s="46"/>
      <c r="U319" s="13"/>
      <c r="V319" s="13"/>
      <c r="W319" s="13"/>
      <c r="X319" s="13"/>
      <c r="Y319" s="13"/>
      <c r="Z319" s="13"/>
      <c r="AA319" s="13"/>
      <c r="AB319" s="13"/>
      <c r="AC319" s="13"/>
    </row>
    <row r="320" ht="126.0" hidden="1" customHeight="1">
      <c r="A320" s="35">
        <v>317.0</v>
      </c>
      <c r="B320" s="36" t="s">
        <v>2143</v>
      </c>
      <c r="C320" s="36"/>
      <c r="D320" s="38" t="s">
        <v>2144</v>
      </c>
      <c r="E320" s="38"/>
      <c r="F320" s="38" t="s">
        <v>1826</v>
      </c>
      <c r="G320" s="39" t="s">
        <v>231</v>
      </c>
      <c r="H320" s="49" t="s">
        <v>64</v>
      </c>
      <c r="I320" s="93" t="s">
        <v>65</v>
      </c>
      <c r="J320" s="55"/>
      <c r="K320" s="121"/>
      <c r="L320" s="121"/>
      <c r="M320" s="51" t="b">
        <v>0</v>
      </c>
      <c r="N320" s="116"/>
      <c r="O320" s="116"/>
      <c r="P320" s="116"/>
      <c r="Q320" s="116"/>
      <c r="R320" s="116"/>
      <c r="S320" s="116"/>
      <c r="T320" s="46"/>
      <c r="U320" s="13"/>
      <c r="V320" s="13"/>
      <c r="W320" s="13"/>
      <c r="X320" s="13"/>
      <c r="Y320" s="13"/>
      <c r="Z320" s="13"/>
      <c r="AA320" s="13"/>
      <c r="AB320" s="13"/>
      <c r="AC320" s="13"/>
    </row>
    <row r="321" ht="16.5" hidden="1" customHeight="1">
      <c r="A321" s="35">
        <v>318.0</v>
      </c>
      <c r="B321" s="36" t="s">
        <v>2145</v>
      </c>
      <c r="C321" s="36"/>
      <c r="D321" s="38" t="s">
        <v>1825</v>
      </c>
      <c r="E321" s="38"/>
      <c r="F321" s="38" t="s">
        <v>2146</v>
      </c>
      <c r="G321" s="39" t="s">
        <v>2147</v>
      </c>
      <c r="H321" s="49" t="s">
        <v>50</v>
      </c>
      <c r="I321" s="93" t="s">
        <v>51</v>
      </c>
      <c r="J321" s="39" t="s">
        <v>2148</v>
      </c>
      <c r="K321" s="94" t="s">
        <v>41</v>
      </c>
      <c r="L321" s="93" t="s">
        <v>2149</v>
      </c>
      <c r="M321" s="51" t="b">
        <v>1</v>
      </c>
      <c r="N321" s="126" t="s">
        <v>2150</v>
      </c>
      <c r="O321" s="128"/>
      <c r="P321" s="116"/>
      <c r="Q321" s="116"/>
      <c r="R321" s="116"/>
      <c r="S321" s="116"/>
      <c r="T321" s="46"/>
      <c r="U321" s="13"/>
      <c r="V321" s="13"/>
      <c r="W321" s="13"/>
      <c r="X321" s="13"/>
      <c r="Y321" s="13"/>
      <c r="Z321" s="13"/>
      <c r="AA321" s="13"/>
      <c r="AB321" s="13"/>
      <c r="AC321" s="13"/>
    </row>
    <row r="322" ht="36.0" hidden="1" customHeight="1">
      <c r="A322" s="35">
        <v>319.0</v>
      </c>
      <c r="B322" s="36" t="s">
        <v>2151</v>
      </c>
      <c r="C322" s="36"/>
      <c r="D322" s="38" t="s">
        <v>1825</v>
      </c>
      <c r="E322" s="38"/>
      <c r="F322" s="38" t="s">
        <v>2152</v>
      </c>
      <c r="G322" s="39" t="s">
        <v>231</v>
      </c>
      <c r="H322" s="49" t="s">
        <v>64</v>
      </c>
      <c r="I322" s="93" t="s">
        <v>65</v>
      </c>
      <c r="J322" s="55"/>
      <c r="K322" s="121"/>
      <c r="L322" s="121"/>
      <c r="M322" s="51" t="b">
        <v>0</v>
      </c>
      <c r="N322" s="116"/>
      <c r="O322" s="116"/>
      <c r="P322" s="116"/>
      <c r="Q322" s="116"/>
      <c r="R322" s="116"/>
      <c r="S322" s="116"/>
      <c r="T322" s="46"/>
      <c r="U322" s="13"/>
      <c r="V322" s="13"/>
      <c r="W322" s="13"/>
      <c r="X322" s="13"/>
      <c r="Y322" s="13"/>
      <c r="Z322" s="13"/>
      <c r="AA322" s="13"/>
      <c r="AB322" s="13"/>
      <c r="AC322" s="13"/>
    </row>
    <row r="323" ht="16.5" hidden="1" customHeight="1">
      <c r="A323" s="35">
        <v>320.0</v>
      </c>
      <c r="B323" s="36" t="s">
        <v>2153</v>
      </c>
      <c r="C323" s="36"/>
      <c r="D323" s="38" t="s">
        <v>2154</v>
      </c>
      <c r="E323" s="38" t="s">
        <v>2155</v>
      </c>
      <c r="F323" s="38" t="s">
        <v>2146</v>
      </c>
      <c r="G323" s="48" t="s">
        <v>2156</v>
      </c>
      <c r="H323" s="49" t="s">
        <v>50</v>
      </c>
      <c r="I323" s="93" t="s">
        <v>51</v>
      </c>
      <c r="J323" s="39" t="s">
        <v>2157</v>
      </c>
      <c r="K323" s="93">
        <v>330.0</v>
      </c>
      <c r="L323" s="58" t="s">
        <v>2158</v>
      </c>
      <c r="M323" s="51" t="b">
        <v>1</v>
      </c>
      <c r="N323" s="130" t="s">
        <v>2159</v>
      </c>
      <c r="O323" s="123"/>
      <c r="P323" s="123" t="s">
        <v>2160</v>
      </c>
      <c r="Q323" s="123" t="s">
        <v>2161</v>
      </c>
      <c r="R323" s="116"/>
      <c r="S323" s="116"/>
      <c r="T323" s="46"/>
      <c r="U323" s="13"/>
      <c r="V323" s="13"/>
      <c r="W323" s="13"/>
      <c r="X323" s="13"/>
      <c r="Y323" s="13"/>
      <c r="Z323" s="13"/>
      <c r="AA323" s="13"/>
      <c r="AB323" s="13"/>
      <c r="AC323" s="13"/>
    </row>
    <row r="324" ht="16.5" hidden="1" customHeight="1">
      <c r="A324" s="35">
        <v>321.0</v>
      </c>
      <c r="B324" s="36" t="s">
        <v>2162</v>
      </c>
      <c r="C324" s="36"/>
      <c r="D324" s="38" t="s">
        <v>2163</v>
      </c>
      <c r="E324" s="38" t="s">
        <v>2164</v>
      </c>
      <c r="F324" s="38" t="s">
        <v>2165</v>
      </c>
      <c r="G324" s="39" t="s">
        <v>2166</v>
      </c>
      <c r="H324" s="49" t="s">
        <v>50</v>
      </c>
      <c r="I324" s="93" t="s">
        <v>51</v>
      </c>
      <c r="J324" s="39" t="s">
        <v>2167</v>
      </c>
      <c r="K324" s="94" t="s">
        <v>2168</v>
      </c>
      <c r="L324" s="93" t="s">
        <v>2169</v>
      </c>
      <c r="M324" s="51" t="b">
        <v>1</v>
      </c>
      <c r="N324" s="126" t="s">
        <v>2170</v>
      </c>
      <c r="O324" s="128"/>
      <c r="P324" s="116"/>
      <c r="Q324" s="116"/>
      <c r="R324" s="116"/>
      <c r="S324" s="116"/>
      <c r="T324" s="46"/>
      <c r="U324" s="13"/>
      <c r="V324" s="13"/>
      <c r="W324" s="13"/>
      <c r="X324" s="13"/>
      <c r="Y324" s="13"/>
      <c r="Z324" s="13"/>
      <c r="AA324" s="13"/>
      <c r="AB324" s="13"/>
      <c r="AC324" s="13"/>
    </row>
    <row r="325" hidden="1">
      <c r="A325" s="35">
        <v>322.0</v>
      </c>
      <c r="B325" s="36" t="s">
        <v>2171</v>
      </c>
      <c r="C325" s="36"/>
      <c r="D325" s="38"/>
      <c r="E325" s="38"/>
      <c r="F325" s="38" t="s">
        <v>2172</v>
      </c>
      <c r="G325" s="39" t="s">
        <v>2173</v>
      </c>
      <c r="H325" s="49" t="s">
        <v>50</v>
      </c>
      <c r="I325" s="93" t="s">
        <v>51</v>
      </c>
      <c r="J325" s="39" t="s">
        <v>491</v>
      </c>
      <c r="K325" s="66" t="s">
        <v>238</v>
      </c>
      <c r="L325" s="39" t="s">
        <v>1535</v>
      </c>
      <c r="M325" s="51" t="b">
        <v>1</v>
      </c>
      <c r="N325" s="129" t="s">
        <v>1536</v>
      </c>
      <c r="O325" s="161" t="s">
        <v>1537</v>
      </c>
      <c r="P325" s="162" t="s">
        <v>2174</v>
      </c>
      <c r="Q325" s="116"/>
      <c r="R325" s="116"/>
      <c r="S325" s="116"/>
      <c r="T325" s="46"/>
      <c r="U325" s="13"/>
      <c r="V325" s="13"/>
      <c r="W325" s="13"/>
      <c r="X325" s="13"/>
      <c r="Y325" s="13"/>
      <c r="Z325" s="13"/>
      <c r="AA325" s="13"/>
      <c r="AB325" s="13"/>
      <c r="AC325" s="13"/>
    </row>
    <row r="326" ht="16.5" hidden="1" customHeight="1">
      <c r="A326" s="35">
        <v>323.0</v>
      </c>
      <c r="B326" s="36" t="s">
        <v>2175</v>
      </c>
      <c r="C326" s="36"/>
      <c r="D326" s="38" t="s">
        <v>1825</v>
      </c>
      <c r="E326" s="38"/>
      <c r="F326" s="38" t="s">
        <v>2146</v>
      </c>
      <c r="G326" s="39" t="s">
        <v>231</v>
      </c>
      <c r="H326" s="49" t="s">
        <v>64</v>
      </c>
      <c r="I326" s="93" t="s">
        <v>65</v>
      </c>
      <c r="J326" s="55"/>
      <c r="K326" s="121"/>
      <c r="L326" s="121"/>
      <c r="M326" s="51" t="b">
        <v>0</v>
      </c>
      <c r="N326" s="116"/>
      <c r="O326" s="116"/>
      <c r="P326" s="116"/>
      <c r="Q326" s="116"/>
      <c r="R326" s="116"/>
      <c r="S326" s="116"/>
      <c r="T326" s="46"/>
      <c r="U326" s="13"/>
      <c r="V326" s="13"/>
      <c r="W326" s="13"/>
      <c r="X326" s="13"/>
      <c r="Y326" s="13"/>
      <c r="Z326" s="13"/>
      <c r="AA326" s="13"/>
      <c r="AB326" s="13"/>
      <c r="AC326" s="13"/>
    </row>
    <row r="327" ht="16.5" hidden="1" customHeight="1">
      <c r="A327" s="35">
        <v>324.0</v>
      </c>
      <c r="B327" s="36" t="s">
        <v>2176</v>
      </c>
      <c r="C327" s="36"/>
      <c r="D327" s="38" t="s">
        <v>2177</v>
      </c>
      <c r="E327" s="38" t="s">
        <v>2178</v>
      </c>
      <c r="F327" s="38" t="s">
        <v>2179</v>
      </c>
      <c r="G327" s="39" t="s">
        <v>2180</v>
      </c>
      <c r="H327" s="49" t="s">
        <v>50</v>
      </c>
      <c r="I327" s="93" t="s">
        <v>51</v>
      </c>
      <c r="J327" s="92" t="s">
        <v>2181</v>
      </c>
      <c r="K327" s="93" t="s">
        <v>2182</v>
      </c>
      <c r="L327" s="58" t="s">
        <v>2183</v>
      </c>
      <c r="M327" s="51" t="b">
        <v>1</v>
      </c>
      <c r="N327" s="163" t="s">
        <v>2184</v>
      </c>
      <c r="O327" s="137"/>
      <c r="P327" s="137" t="s">
        <v>2185</v>
      </c>
      <c r="Q327" s="116"/>
      <c r="R327" s="116"/>
      <c r="S327" s="116"/>
      <c r="T327" s="46"/>
      <c r="U327" s="13"/>
      <c r="V327" s="13"/>
      <c r="W327" s="13"/>
      <c r="X327" s="13"/>
      <c r="Y327" s="13"/>
      <c r="Z327" s="13"/>
      <c r="AA327" s="13"/>
      <c r="AB327" s="13"/>
      <c r="AC327" s="13"/>
    </row>
    <row r="328" ht="16.5" hidden="1" customHeight="1">
      <c r="A328" s="35">
        <v>325.0</v>
      </c>
      <c r="B328" s="36" t="s">
        <v>2186</v>
      </c>
      <c r="C328" s="36"/>
      <c r="D328" s="38" t="s">
        <v>2187</v>
      </c>
      <c r="E328" s="38" t="s">
        <v>2188</v>
      </c>
      <c r="F328" s="38" t="s">
        <v>2189</v>
      </c>
      <c r="G328" s="39" t="s">
        <v>2190</v>
      </c>
      <c r="H328" s="49" t="s">
        <v>50</v>
      </c>
      <c r="I328" s="39" t="s">
        <v>51</v>
      </c>
      <c r="J328" s="93" t="s">
        <v>2191</v>
      </c>
      <c r="K328" s="135">
        <v>45725.0</v>
      </c>
      <c r="L328" s="143" t="s">
        <v>2192</v>
      </c>
      <c r="M328" s="51" t="b">
        <v>1</v>
      </c>
      <c r="N328" s="130" t="s">
        <v>2193</v>
      </c>
      <c r="O328" s="123"/>
      <c r="P328" s="123" t="s">
        <v>2194</v>
      </c>
      <c r="Q328" s="123"/>
      <c r="R328" s="123" t="e">
        <v>#VALUE!</v>
      </c>
      <c r="S328" s="116"/>
      <c r="T328" s="46"/>
      <c r="U328" s="13"/>
      <c r="V328" s="13"/>
      <c r="W328" s="13"/>
      <c r="X328" s="13"/>
      <c r="Y328" s="13"/>
      <c r="Z328" s="13"/>
      <c r="AA328" s="13"/>
      <c r="AB328" s="13"/>
      <c r="AC328" s="13"/>
    </row>
    <row r="329" ht="126.0" hidden="1" customHeight="1">
      <c r="A329" s="35">
        <v>326.0</v>
      </c>
      <c r="B329" s="36" t="s">
        <v>2195</v>
      </c>
      <c r="C329" s="36"/>
      <c r="D329" s="38"/>
      <c r="E329" s="38"/>
      <c r="F329" s="38" t="s">
        <v>1826</v>
      </c>
      <c r="G329" s="39" t="s">
        <v>231</v>
      </c>
      <c r="H329" s="49" t="s">
        <v>64</v>
      </c>
      <c r="I329" s="93" t="s">
        <v>65</v>
      </c>
      <c r="J329" s="64"/>
      <c r="K329" s="121"/>
      <c r="L329" s="121"/>
      <c r="M329" s="51" t="b">
        <v>0</v>
      </c>
      <c r="N329" s="116"/>
      <c r="O329" s="116"/>
      <c r="P329" s="116"/>
      <c r="Q329" s="116"/>
      <c r="R329" s="116"/>
      <c r="S329" s="116"/>
      <c r="T329" s="46"/>
      <c r="U329" s="13"/>
      <c r="V329" s="13"/>
      <c r="W329" s="13"/>
      <c r="X329" s="13"/>
      <c r="Y329" s="13"/>
      <c r="Z329" s="13"/>
      <c r="AA329" s="13"/>
      <c r="AB329" s="13"/>
      <c r="AC329" s="13"/>
    </row>
    <row r="330" ht="16.5" hidden="1" customHeight="1">
      <c r="A330" s="35">
        <v>327.0</v>
      </c>
      <c r="B330" s="36" t="s">
        <v>2196</v>
      </c>
      <c r="C330" s="36"/>
      <c r="D330" s="38" t="s">
        <v>2197</v>
      </c>
      <c r="E330" s="38" t="s">
        <v>2198</v>
      </c>
      <c r="F330" s="38" t="s">
        <v>2199</v>
      </c>
      <c r="G330" s="39" t="s">
        <v>2200</v>
      </c>
      <c r="H330" s="49" t="s">
        <v>50</v>
      </c>
      <c r="I330" s="164" t="s">
        <v>39</v>
      </c>
      <c r="J330" s="39" t="s">
        <v>619</v>
      </c>
      <c r="K330" s="93" t="s">
        <v>2201</v>
      </c>
      <c r="L330" s="117" t="s">
        <v>2202</v>
      </c>
      <c r="M330" s="51" t="b">
        <v>0</v>
      </c>
      <c r="N330" s="123"/>
      <c r="O330" s="123"/>
      <c r="P330" s="123" t="s">
        <v>2203</v>
      </c>
      <c r="Q330" s="123" t="s">
        <v>2204</v>
      </c>
      <c r="R330" s="123"/>
      <c r="S330" s="116"/>
      <c r="T330" s="46"/>
      <c r="U330" s="13"/>
      <c r="V330" s="13"/>
      <c r="W330" s="13"/>
      <c r="X330" s="13"/>
      <c r="Y330" s="13"/>
      <c r="Z330" s="13"/>
      <c r="AA330" s="13"/>
      <c r="AB330" s="13"/>
      <c r="AC330" s="13"/>
    </row>
    <row r="331" ht="16.5" hidden="1" customHeight="1">
      <c r="A331" s="35">
        <v>328.0</v>
      </c>
      <c r="B331" s="36" t="s">
        <v>2205</v>
      </c>
      <c r="C331" s="36"/>
      <c r="D331" s="38" t="s">
        <v>1825</v>
      </c>
      <c r="E331" s="38"/>
      <c r="F331" s="38" t="s">
        <v>2206</v>
      </c>
      <c r="G331" s="39" t="s">
        <v>2207</v>
      </c>
      <c r="H331" s="49" t="s">
        <v>50</v>
      </c>
      <c r="I331" s="93" t="s">
        <v>51</v>
      </c>
      <c r="J331" s="39" t="s">
        <v>1155</v>
      </c>
      <c r="K331" s="94" t="s">
        <v>41</v>
      </c>
      <c r="L331" s="58" t="s">
        <v>2208</v>
      </c>
      <c r="M331" s="51" t="b">
        <v>1</v>
      </c>
      <c r="N331" s="126" t="s">
        <v>1156</v>
      </c>
      <c r="O331" s="128"/>
      <c r="P331" s="116"/>
      <c r="Q331" s="116"/>
      <c r="R331" s="116"/>
      <c r="S331" s="116"/>
      <c r="T331" s="46"/>
      <c r="U331" s="13"/>
      <c r="V331" s="13"/>
      <c r="W331" s="13"/>
      <c r="X331" s="13"/>
      <c r="Y331" s="13"/>
      <c r="Z331" s="13"/>
      <c r="AA331" s="13"/>
      <c r="AB331" s="13"/>
      <c r="AC331" s="13"/>
    </row>
    <row r="332" ht="16.5" hidden="1" customHeight="1">
      <c r="A332" s="35">
        <v>329.0</v>
      </c>
      <c r="B332" s="36" t="s">
        <v>1337</v>
      </c>
      <c r="C332" s="36"/>
      <c r="D332" s="38" t="s">
        <v>2209</v>
      </c>
      <c r="E332" s="38" t="s">
        <v>2210</v>
      </c>
      <c r="F332" s="38" t="s">
        <v>2211</v>
      </c>
      <c r="G332" s="39" t="s">
        <v>692</v>
      </c>
      <c r="H332" s="49" t="s">
        <v>50</v>
      </c>
      <c r="I332" s="39" t="s">
        <v>51</v>
      </c>
      <c r="J332" s="58" t="s">
        <v>693</v>
      </c>
      <c r="K332" s="66" t="s">
        <v>694</v>
      </c>
      <c r="L332" s="58" t="s">
        <v>695</v>
      </c>
      <c r="M332" s="51" t="b">
        <v>1</v>
      </c>
      <c r="N332" s="130" t="s">
        <v>696</v>
      </c>
      <c r="O332" s="130" t="s">
        <v>697</v>
      </c>
      <c r="P332" s="123" t="s">
        <v>2212</v>
      </c>
      <c r="Q332" s="123" t="s">
        <v>2213</v>
      </c>
      <c r="R332" s="116"/>
      <c r="S332" s="116"/>
      <c r="T332" s="46"/>
      <c r="U332" s="13"/>
      <c r="V332" s="13"/>
      <c r="W332" s="13"/>
      <c r="X332" s="13"/>
      <c r="Y332" s="13"/>
      <c r="Z332" s="13"/>
      <c r="AA332" s="13"/>
      <c r="AB332" s="13"/>
      <c r="AC332" s="13"/>
    </row>
    <row r="333" ht="16.5" hidden="1" customHeight="1">
      <c r="A333" s="35">
        <v>330.0</v>
      </c>
      <c r="B333" s="36" t="s">
        <v>2214</v>
      </c>
      <c r="C333" s="36"/>
      <c r="D333" s="38" t="s">
        <v>2215</v>
      </c>
      <c r="E333" s="38"/>
      <c r="F333" s="38" t="s">
        <v>2216</v>
      </c>
      <c r="G333" s="39" t="s">
        <v>2217</v>
      </c>
      <c r="H333" s="49" t="s">
        <v>50</v>
      </c>
      <c r="I333" s="93" t="s">
        <v>51</v>
      </c>
      <c r="J333" s="39" t="s">
        <v>1755</v>
      </c>
      <c r="K333" s="94" t="s">
        <v>214</v>
      </c>
      <c r="L333" s="58" t="s">
        <v>2218</v>
      </c>
      <c r="M333" s="51" t="b">
        <v>1</v>
      </c>
      <c r="N333" s="126" t="s">
        <v>2219</v>
      </c>
      <c r="O333" s="128"/>
      <c r="P333" s="116"/>
      <c r="Q333" s="116"/>
      <c r="R333" s="116"/>
      <c r="S333" s="116"/>
      <c r="T333" s="46"/>
      <c r="U333" s="13"/>
      <c r="V333" s="13"/>
      <c r="W333" s="13"/>
      <c r="X333" s="13"/>
      <c r="Y333" s="13"/>
      <c r="Z333" s="13"/>
      <c r="AA333" s="13"/>
      <c r="AB333" s="13"/>
      <c r="AC333" s="13"/>
    </row>
    <row r="334" ht="16.5" hidden="1" customHeight="1">
      <c r="A334" s="35">
        <v>331.0</v>
      </c>
      <c r="B334" s="36" t="s">
        <v>2220</v>
      </c>
      <c r="C334" s="36"/>
      <c r="D334" s="38" t="s">
        <v>2221</v>
      </c>
      <c r="E334" s="38" t="s">
        <v>2222</v>
      </c>
      <c r="F334" s="38" t="s">
        <v>2223</v>
      </c>
      <c r="G334" s="39" t="s">
        <v>2224</v>
      </c>
      <c r="H334" s="49" t="s">
        <v>50</v>
      </c>
      <c r="I334" s="93" t="s">
        <v>51</v>
      </c>
      <c r="J334" s="39" t="s">
        <v>1569</v>
      </c>
      <c r="K334" s="94" t="s">
        <v>95</v>
      </c>
      <c r="L334" s="58" t="s">
        <v>2225</v>
      </c>
      <c r="M334" s="51" t="b">
        <v>1</v>
      </c>
      <c r="N334" s="126" t="s">
        <v>1571</v>
      </c>
      <c r="O334" s="128"/>
      <c r="P334" s="116"/>
      <c r="Q334" s="116"/>
      <c r="R334" s="116"/>
      <c r="S334" s="116"/>
      <c r="T334" s="46"/>
      <c r="U334" s="13"/>
      <c r="V334" s="13"/>
      <c r="W334" s="13"/>
      <c r="X334" s="13"/>
      <c r="Y334" s="13"/>
      <c r="Z334" s="13"/>
      <c r="AA334" s="13"/>
      <c r="AB334" s="13"/>
      <c r="AC334" s="13"/>
    </row>
    <row r="335" ht="126.0" hidden="1" customHeight="1">
      <c r="A335" s="35">
        <v>332.0</v>
      </c>
      <c r="B335" s="36" t="s">
        <v>2226</v>
      </c>
      <c r="C335" s="36"/>
      <c r="D335" s="38"/>
      <c r="E335" s="38"/>
      <c r="F335" s="38" t="s">
        <v>1826</v>
      </c>
      <c r="G335" s="39" t="s">
        <v>2227</v>
      </c>
      <c r="H335" s="49" t="s">
        <v>38</v>
      </c>
      <c r="I335" s="93" t="s">
        <v>51</v>
      </c>
      <c r="J335" s="90" t="s">
        <v>153</v>
      </c>
      <c r="K335" s="91" t="s">
        <v>124</v>
      </c>
      <c r="L335" s="92" t="s">
        <v>704</v>
      </c>
      <c r="M335" s="51" t="b">
        <v>1</v>
      </c>
      <c r="N335" s="129" t="s">
        <v>501</v>
      </c>
      <c r="O335" s="128"/>
      <c r="P335" s="116"/>
      <c r="Q335" s="116"/>
      <c r="R335" s="116"/>
      <c r="S335" s="116"/>
      <c r="T335" s="46"/>
      <c r="U335" s="13"/>
      <c r="V335" s="13"/>
      <c r="W335" s="13"/>
      <c r="X335" s="13"/>
      <c r="Y335" s="13"/>
      <c r="Z335" s="13"/>
      <c r="AA335" s="13"/>
      <c r="AB335" s="13"/>
      <c r="AC335" s="13"/>
    </row>
    <row r="336" ht="16.5" hidden="1" customHeight="1">
      <c r="A336" s="35">
        <v>333.0</v>
      </c>
      <c r="B336" s="36" t="s">
        <v>2228</v>
      </c>
      <c r="C336" s="36"/>
      <c r="D336" s="38"/>
      <c r="E336" s="38"/>
      <c r="F336" s="38" t="s">
        <v>2229</v>
      </c>
      <c r="G336" s="39" t="s">
        <v>2230</v>
      </c>
      <c r="H336" s="49" t="s">
        <v>50</v>
      </c>
      <c r="I336" s="93" t="s">
        <v>51</v>
      </c>
      <c r="J336" s="39" t="s">
        <v>491</v>
      </c>
      <c r="K336" s="42" t="s">
        <v>409</v>
      </c>
      <c r="L336" s="39" t="s">
        <v>492</v>
      </c>
      <c r="M336" s="51" t="b">
        <v>1</v>
      </c>
      <c r="N336" s="129" t="s">
        <v>493</v>
      </c>
      <c r="O336" s="161" t="s">
        <v>494</v>
      </c>
      <c r="P336" s="162" t="s">
        <v>2231</v>
      </c>
      <c r="Q336" s="116"/>
      <c r="R336" s="116"/>
      <c r="S336" s="116"/>
      <c r="T336" s="46"/>
      <c r="U336" s="13"/>
      <c r="V336" s="13"/>
      <c r="W336" s="13"/>
      <c r="X336" s="13"/>
      <c r="Y336" s="13"/>
      <c r="Z336" s="13"/>
      <c r="AA336" s="13"/>
      <c r="AB336" s="13"/>
      <c r="AC336" s="13"/>
    </row>
    <row r="337" ht="16.5" hidden="1" customHeight="1">
      <c r="A337" s="35">
        <v>334.0</v>
      </c>
      <c r="B337" s="36" t="s">
        <v>2232</v>
      </c>
      <c r="C337" s="36"/>
      <c r="D337" s="38"/>
      <c r="E337" s="38"/>
      <c r="F337" s="38" t="s">
        <v>1623</v>
      </c>
      <c r="G337" s="39" t="s">
        <v>1624</v>
      </c>
      <c r="H337" s="49" t="s">
        <v>50</v>
      </c>
      <c r="I337" s="93" t="s">
        <v>51</v>
      </c>
      <c r="J337" s="39" t="s">
        <v>961</v>
      </c>
      <c r="K337" s="94" t="s">
        <v>41</v>
      </c>
      <c r="L337" s="93" t="s">
        <v>1625</v>
      </c>
      <c r="M337" s="51" t="b">
        <v>1</v>
      </c>
      <c r="N337" s="126" t="s">
        <v>963</v>
      </c>
      <c r="O337" s="127" t="s">
        <v>1626</v>
      </c>
      <c r="P337" s="116"/>
      <c r="Q337" s="116"/>
      <c r="R337" s="116"/>
      <c r="S337" s="116"/>
      <c r="T337" s="46"/>
      <c r="U337" s="13"/>
      <c r="V337" s="13"/>
      <c r="W337" s="13"/>
      <c r="X337" s="13"/>
      <c r="Y337" s="13"/>
      <c r="Z337" s="13"/>
      <c r="AA337" s="13"/>
      <c r="AB337" s="13"/>
      <c r="AC337" s="13"/>
    </row>
    <row r="338" ht="126.0" hidden="1" customHeight="1">
      <c r="A338" s="35">
        <v>335.0</v>
      </c>
      <c r="B338" s="36" t="s">
        <v>2233</v>
      </c>
      <c r="C338" s="36"/>
      <c r="D338" s="38"/>
      <c r="E338" s="38"/>
      <c r="F338" s="38" t="s">
        <v>1826</v>
      </c>
      <c r="G338" s="39" t="s">
        <v>231</v>
      </c>
      <c r="H338" s="49" t="s">
        <v>64</v>
      </c>
      <c r="I338" s="93" t="s">
        <v>65</v>
      </c>
      <c r="J338" s="55"/>
      <c r="K338" s="121"/>
      <c r="L338" s="121"/>
      <c r="M338" s="51" t="b">
        <v>0</v>
      </c>
      <c r="N338" s="116"/>
      <c r="O338" s="116"/>
      <c r="P338" s="116"/>
      <c r="Q338" s="116"/>
      <c r="R338" s="116"/>
      <c r="S338" s="116"/>
      <c r="T338" s="46"/>
      <c r="U338" s="13"/>
      <c r="V338" s="13"/>
      <c r="W338" s="13"/>
      <c r="X338" s="13"/>
      <c r="Y338" s="13"/>
      <c r="Z338" s="13"/>
      <c r="AA338" s="13"/>
      <c r="AB338" s="13"/>
      <c r="AC338" s="13"/>
    </row>
    <row r="339" ht="16.5" hidden="1" customHeight="1">
      <c r="A339" s="35">
        <v>336.0</v>
      </c>
      <c r="B339" s="36" t="s">
        <v>2234</v>
      </c>
      <c r="C339" s="36"/>
      <c r="D339" s="38" t="s">
        <v>2235</v>
      </c>
      <c r="E339" s="38" t="s">
        <v>2236</v>
      </c>
      <c r="F339" s="38" t="s">
        <v>2237</v>
      </c>
      <c r="G339" s="39" t="s">
        <v>2238</v>
      </c>
      <c r="H339" s="49" t="s">
        <v>50</v>
      </c>
      <c r="I339" s="93" t="s">
        <v>51</v>
      </c>
      <c r="J339" s="39" t="s">
        <v>2239</v>
      </c>
      <c r="K339" s="94" t="s">
        <v>2240</v>
      </c>
      <c r="L339" s="93" t="s">
        <v>2241</v>
      </c>
      <c r="M339" s="51" t="b">
        <v>1</v>
      </c>
      <c r="N339" s="126" t="s">
        <v>2242</v>
      </c>
      <c r="O339" s="128"/>
      <c r="P339" s="116"/>
      <c r="Q339" s="116"/>
      <c r="R339" s="116"/>
      <c r="S339" s="116"/>
      <c r="T339" s="46"/>
      <c r="U339" s="13"/>
      <c r="V339" s="13"/>
      <c r="W339" s="13"/>
      <c r="X339" s="13"/>
      <c r="Y339" s="13"/>
      <c r="Z339" s="13"/>
      <c r="AA339" s="13"/>
      <c r="AB339" s="13"/>
      <c r="AC339" s="13"/>
    </row>
    <row r="340" ht="360.0" hidden="1" customHeight="1">
      <c r="A340" s="35">
        <v>337.0</v>
      </c>
      <c r="B340" s="36" t="s">
        <v>2243</v>
      </c>
      <c r="C340" s="36"/>
      <c r="D340" s="38" t="s">
        <v>2244</v>
      </c>
      <c r="E340" s="38" t="s">
        <v>2245</v>
      </c>
      <c r="F340" s="38" t="s">
        <v>2246</v>
      </c>
      <c r="G340" s="39" t="s">
        <v>1872</v>
      </c>
      <c r="H340" s="49" t="s">
        <v>50</v>
      </c>
      <c r="I340" s="93" t="s">
        <v>39</v>
      </c>
      <c r="J340" s="165" t="s">
        <v>2247</v>
      </c>
      <c r="K340" s="93">
        <v>1.0</v>
      </c>
      <c r="L340" s="93" t="s">
        <v>424</v>
      </c>
      <c r="M340" s="51" t="b">
        <v>0</v>
      </c>
      <c r="N340" s="116"/>
      <c r="O340" s="116"/>
      <c r="P340" s="116" t="s">
        <v>2248</v>
      </c>
      <c r="Q340" s="116" t="s">
        <v>2249</v>
      </c>
      <c r="R340" s="116"/>
      <c r="S340" s="116"/>
      <c r="T340" s="46"/>
      <c r="U340" s="13"/>
      <c r="V340" s="13"/>
      <c r="W340" s="13"/>
      <c r="X340" s="13"/>
      <c r="Y340" s="13"/>
      <c r="Z340" s="13"/>
      <c r="AA340" s="13"/>
      <c r="AB340" s="13"/>
      <c r="AC340" s="13"/>
    </row>
    <row r="341" ht="360.0" hidden="1" customHeight="1">
      <c r="A341" s="35">
        <v>338.0</v>
      </c>
      <c r="B341" s="36" t="s">
        <v>2250</v>
      </c>
      <c r="C341" s="36"/>
      <c r="D341" s="38"/>
      <c r="E341" s="38"/>
      <c r="F341" s="38" t="s">
        <v>1019</v>
      </c>
      <c r="G341" s="39" t="s">
        <v>1020</v>
      </c>
      <c r="H341" s="49" t="s">
        <v>50</v>
      </c>
      <c r="I341" s="85" t="s">
        <v>51</v>
      </c>
      <c r="J341" s="39" t="s">
        <v>1021</v>
      </c>
      <c r="K341" s="94" t="s">
        <v>41</v>
      </c>
      <c r="L341" s="93" t="s">
        <v>1022</v>
      </c>
      <c r="M341" s="51" t="b">
        <v>1</v>
      </c>
      <c r="N341" s="126" t="s">
        <v>1365</v>
      </c>
      <c r="O341" s="127" t="s">
        <v>1366</v>
      </c>
      <c r="P341" s="116"/>
      <c r="Q341" s="116"/>
      <c r="R341" s="116"/>
      <c r="S341" s="116"/>
      <c r="T341" s="46"/>
      <c r="U341" s="13"/>
      <c r="V341" s="13"/>
      <c r="W341" s="13"/>
      <c r="X341" s="13"/>
      <c r="Y341" s="13"/>
      <c r="Z341" s="13"/>
      <c r="AA341" s="13"/>
      <c r="AB341" s="13"/>
      <c r="AC341" s="13"/>
    </row>
    <row r="342" ht="16.5" hidden="1" customHeight="1">
      <c r="A342" s="35">
        <v>339.0</v>
      </c>
      <c r="B342" s="36" t="s">
        <v>2251</v>
      </c>
      <c r="C342" s="36"/>
      <c r="D342" s="38" t="s">
        <v>2252</v>
      </c>
      <c r="E342" s="38" t="s">
        <v>2253</v>
      </c>
      <c r="F342" s="38" t="s">
        <v>2254</v>
      </c>
      <c r="G342" s="39" t="s">
        <v>2255</v>
      </c>
      <c r="H342" s="49" t="s">
        <v>64</v>
      </c>
      <c r="I342" s="93" t="s">
        <v>65</v>
      </c>
      <c r="J342" s="55"/>
      <c r="K342" s="121"/>
      <c r="L342" s="121"/>
      <c r="M342" s="51" t="b">
        <v>0</v>
      </c>
      <c r="N342" s="116"/>
      <c r="O342" s="116"/>
      <c r="P342" s="116"/>
      <c r="Q342" s="116"/>
      <c r="R342" s="116"/>
      <c r="S342" s="116"/>
      <c r="T342" s="46"/>
      <c r="U342" s="13"/>
      <c r="V342" s="13"/>
      <c r="W342" s="13"/>
      <c r="X342" s="13"/>
      <c r="Y342" s="13"/>
      <c r="Z342" s="13"/>
      <c r="AA342" s="13"/>
      <c r="AB342" s="13"/>
      <c r="AC342" s="13"/>
    </row>
    <row r="343" ht="16.5" hidden="1" customHeight="1">
      <c r="A343" s="35">
        <v>340.0</v>
      </c>
      <c r="B343" s="36" t="s">
        <v>2256</v>
      </c>
      <c r="C343" s="36"/>
      <c r="D343" s="38" t="s">
        <v>2257</v>
      </c>
      <c r="E343" s="38"/>
      <c r="F343" s="38" t="s">
        <v>2258</v>
      </c>
      <c r="G343" s="39" t="s">
        <v>2259</v>
      </c>
      <c r="H343" s="49" t="s">
        <v>50</v>
      </c>
      <c r="I343" s="93" t="s">
        <v>51</v>
      </c>
      <c r="J343" s="39" t="s">
        <v>1121</v>
      </c>
      <c r="K343" s="94" t="s">
        <v>2260</v>
      </c>
      <c r="L343" s="58" t="s">
        <v>2261</v>
      </c>
      <c r="M343" s="51" t="b">
        <v>1</v>
      </c>
      <c r="N343" s="126" t="s">
        <v>2262</v>
      </c>
      <c r="O343" s="128"/>
      <c r="P343" s="116"/>
      <c r="Q343" s="116"/>
      <c r="R343" s="116"/>
      <c r="S343" s="116"/>
      <c r="T343" s="46"/>
      <c r="U343" s="114" t="s">
        <v>2263</v>
      </c>
      <c r="V343" s="13"/>
      <c r="W343" s="13"/>
      <c r="X343" s="13"/>
      <c r="Y343" s="13"/>
      <c r="Z343" s="13"/>
      <c r="AA343" s="13"/>
      <c r="AB343" s="13"/>
      <c r="AC343" s="13"/>
    </row>
    <row r="344" ht="16.5" hidden="1" customHeight="1">
      <c r="A344" s="35">
        <v>341.0</v>
      </c>
      <c r="B344" s="36" t="s">
        <v>2264</v>
      </c>
      <c r="C344" s="36"/>
      <c r="D344" s="38" t="s">
        <v>2265</v>
      </c>
      <c r="E344" s="38" t="s">
        <v>2266</v>
      </c>
      <c r="F344" s="38" t="s">
        <v>2267</v>
      </c>
      <c r="G344" s="39" t="s">
        <v>2268</v>
      </c>
      <c r="H344" s="49" t="s">
        <v>50</v>
      </c>
      <c r="I344" s="93" t="s">
        <v>51</v>
      </c>
      <c r="J344" s="93" t="s">
        <v>619</v>
      </c>
      <c r="K344" s="93" t="s">
        <v>2269</v>
      </c>
      <c r="L344" s="93" t="s">
        <v>2270</v>
      </c>
      <c r="M344" s="51" t="b">
        <v>0</v>
      </c>
      <c r="N344" s="123"/>
      <c r="O344" s="123"/>
      <c r="P344" s="123" t="s">
        <v>2271</v>
      </c>
      <c r="Q344" s="116"/>
      <c r="R344" s="116"/>
      <c r="S344" s="116"/>
      <c r="T344" s="46"/>
      <c r="U344" s="13"/>
      <c r="V344" s="13"/>
      <c r="W344" s="13"/>
      <c r="X344" s="13"/>
      <c r="Y344" s="13"/>
      <c r="Z344" s="13"/>
      <c r="AA344" s="13"/>
      <c r="AB344" s="13"/>
      <c r="AC344" s="13"/>
    </row>
    <row r="345" ht="16.5" hidden="1" customHeight="1">
      <c r="A345" s="35">
        <v>342.0</v>
      </c>
      <c r="B345" s="36" t="s">
        <v>2272</v>
      </c>
      <c r="C345" s="36"/>
      <c r="D345" s="38" t="s">
        <v>2273</v>
      </c>
      <c r="E345" s="38" t="s">
        <v>2274</v>
      </c>
      <c r="F345" s="38" t="s">
        <v>2275</v>
      </c>
      <c r="G345" s="39" t="s">
        <v>2276</v>
      </c>
      <c r="H345" s="49" t="s">
        <v>50</v>
      </c>
      <c r="I345" s="93" t="s">
        <v>51</v>
      </c>
      <c r="J345" s="39" t="s">
        <v>2277</v>
      </c>
      <c r="K345" s="94" t="s">
        <v>2278</v>
      </c>
      <c r="L345" s="93" t="s">
        <v>2279</v>
      </c>
      <c r="M345" s="51" t="b">
        <v>1</v>
      </c>
      <c r="N345" s="142" t="s">
        <v>314</v>
      </c>
      <c r="O345" s="128"/>
      <c r="P345" s="116"/>
      <c r="Q345" s="116"/>
      <c r="R345" s="116"/>
      <c r="S345" s="116"/>
      <c r="T345" s="46"/>
      <c r="U345" s="13"/>
      <c r="V345" s="13"/>
      <c r="W345" s="13"/>
      <c r="X345" s="13"/>
      <c r="Y345" s="13"/>
      <c r="Z345" s="13"/>
      <c r="AA345" s="13"/>
      <c r="AB345" s="13"/>
      <c r="AC345" s="13"/>
    </row>
    <row r="346" ht="36.0" hidden="1" customHeight="1">
      <c r="A346" s="35">
        <v>343.0</v>
      </c>
      <c r="B346" s="36" t="s">
        <v>2280</v>
      </c>
      <c r="C346" s="36"/>
      <c r="D346" s="38" t="s">
        <v>1825</v>
      </c>
      <c r="E346" s="38"/>
      <c r="F346" s="38" t="s">
        <v>1889</v>
      </c>
      <c r="G346" s="39" t="s">
        <v>231</v>
      </c>
      <c r="H346" s="49" t="s">
        <v>64</v>
      </c>
      <c r="I346" s="93" t="s">
        <v>65</v>
      </c>
      <c r="J346" s="55"/>
      <c r="K346" s="121"/>
      <c r="L346" s="121"/>
      <c r="M346" s="51" t="b">
        <v>0</v>
      </c>
      <c r="N346" s="116"/>
      <c r="O346" s="116"/>
      <c r="P346" s="116"/>
      <c r="Q346" s="116"/>
      <c r="R346" s="116"/>
      <c r="S346" s="116"/>
      <c r="T346" s="46"/>
      <c r="U346" s="13"/>
      <c r="V346" s="13"/>
      <c r="W346" s="13"/>
      <c r="X346" s="13"/>
      <c r="Y346" s="13"/>
      <c r="Z346" s="13"/>
      <c r="AA346" s="13"/>
      <c r="AB346" s="13"/>
      <c r="AC346" s="13"/>
    </row>
    <row r="347" ht="36.0" hidden="1" customHeight="1">
      <c r="A347" s="35">
        <v>344.0</v>
      </c>
      <c r="B347" s="36" t="s">
        <v>2281</v>
      </c>
      <c r="C347" s="36"/>
      <c r="D347" s="38" t="s">
        <v>1825</v>
      </c>
      <c r="E347" s="38"/>
      <c r="F347" s="38" t="s">
        <v>1889</v>
      </c>
      <c r="G347" s="39" t="s">
        <v>231</v>
      </c>
      <c r="H347" s="49" t="s">
        <v>64</v>
      </c>
      <c r="I347" s="93" t="s">
        <v>65</v>
      </c>
      <c r="J347" s="55"/>
      <c r="K347" s="121"/>
      <c r="L347" s="121"/>
      <c r="M347" s="51" t="b">
        <v>0</v>
      </c>
      <c r="N347" s="116"/>
      <c r="O347" s="116"/>
      <c r="P347" s="116"/>
      <c r="Q347" s="116"/>
      <c r="R347" s="116"/>
      <c r="S347" s="116"/>
      <c r="T347" s="46"/>
      <c r="U347" s="13"/>
      <c r="V347" s="13"/>
      <c r="W347" s="13"/>
      <c r="X347" s="13"/>
      <c r="Y347" s="13"/>
      <c r="Z347" s="13"/>
      <c r="AA347" s="13"/>
      <c r="AB347" s="13"/>
      <c r="AC347" s="13"/>
    </row>
    <row r="348" ht="16.5" hidden="1" customHeight="1">
      <c r="A348" s="35">
        <v>345.0</v>
      </c>
      <c r="B348" s="36" t="s">
        <v>2282</v>
      </c>
      <c r="C348" s="36"/>
      <c r="D348" s="38" t="s">
        <v>2283</v>
      </c>
      <c r="E348" s="38" t="s">
        <v>2284</v>
      </c>
      <c r="F348" s="38" t="s">
        <v>2285</v>
      </c>
      <c r="G348" s="48" t="s">
        <v>2286</v>
      </c>
      <c r="H348" s="49" t="s">
        <v>64</v>
      </c>
      <c r="I348" s="93" t="s">
        <v>65</v>
      </c>
      <c r="J348" s="64"/>
      <c r="K348" s="166"/>
      <c r="L348" s="152"/>
      <c r="M348" s="51" t="b">
        <v>0</v>
      </c>
      <c r="N348" s="130"/>
      <c r="O348" s="131"/>
      <c r="P348" s="123"/>
      <c r="Q348" s="116"/>
      <c r="R348" s="116"/>
      <c r="S348" s="116"/>
      <c r="T348" s="46"/>
      <c r="U348" s="13"/>
      <c r="V348" s="13"/>
      <c r="W348" s="13"/>
      <c r="X348" s="13"/>
      <c r="Y348" s="13"/>
      <c r="Z348" s="13"/>
      <c r="AA348" s="13"/>
      <c r="AB348" s="13"/>
      <c r="AC348" s="13"/>
    </row>
    <row r="349" ht="16.5" hidden="1" customHeight="1">
      <c r="A349" s="35">
        <v>346.0</v>
      </c>
      <c r="B349" s="36" t="s">
        <v>2287</v>
      </c>
      <c r="C349" s="36"/>
      <c r="D349" s="38" t="s">
        <v>2288</v>
      </c>
      <c r="E349" s="38" t="s">
        <v>2289</v>
      </c>
      <c r="F349" s="38" t="s">
        <v>2290</v>
      </c>
      <c r="G349" s="39" t="s">
        <v>2291</v>
      </c>
      <c r="H349" s="49" t="s">
        <v>50</v>
      </c>
      <c r="I349" s="93" t="s">
        <v>51</v>
      </c>
      <c r="J349" s="39" t="s">
        <v>619</v>
      </c>
      <c r="K349" s="94" t="s">
        <v>2292</v>
      </c>
      <c r="L349" s="58" t="s">
        <v>2293</v>
      </c>
      <c r="M349" s="51" t="b">
        <v>1</v>
      </c>
      <c r="N349" s="126" t="s">
        <v>2294</v>
      </c>
      <c r="O349" s="128"/>
      <c r="P349" s="116"/>
      <c r="Q349" s="116"/>
      <c r="R349" s="116"/>
      <c r="S349" s="116"/>
      <c r="T349" s="46"/>
      <c r="U349" s="13"/>
      <c r="V349" s="13"/>
      <c r="W349" s="13"/>
      <c r="X349" s="13"/>
      <c r="Y349" s="13"/>
      <c r="Z349" s="13"/>
      <c r="AA349" s="13"/>
      <c r="AB349" s="13"/>
      <c r="AC349" s="13"/>
    </row>
    <row r="350" ht="16.5" hidden="1" customHeight="1">
      <c r="A350" s="35">
        <v>347.0</v>
      </c>
      <c r="B350" s="36" t="s">
        <v>2295</v>
      </c>
      <c r="C350" s="36"/>
      <c r="D350" s="38" t="s">
        <v>2296</v>
      </c>
      <c r="E350" s="38" t="s">
        <v>2297</v>
      </c>
      <c r="F350" s="38" t="s">
        <v>1826</v>
      </c>
      <c r="G350" s="39" t="s">
        <v>231</v>
      </c>
      <c r="H350" s="49" t="s">
        <v>64</v>
      </c>
      <c r="I350" s="93" t="s">
        <v>65</v>
      </c>
      <c r="J350" s="55"/>
      <c r="K350" s="121"/>
      <c r="L350" s="121"/>
      <c r="M350" s="51" t="b">
        <v>0</v>
      </c>
      <c r="N350" s="116"/>
      <c r="O350" s="116"/>
      <c r="P350" s="116"/>
      <c r="Q350" s="116"/>
      <c r="R350" s="116"/>
      <c r="S350" s="116"/>
      <c r="T350" s="46"/>
      <c r="U350" s="13"/>
      <c r="V350" s="13"/>
      <c r="W350" s="13"/>
      <c r="X350" s="13"/>
      <c r="Y350" s="13"/>
      <c r="Z350" s="13"/>
      <c r="AA350" s="13"/>
      <c r="AB350" s="13"/>
      <c r="AC350" s="13"/>
    </row>
    <row r="351" ht="16.5" hidden="1" customHeight="1">
      <c r="A351" s="35">
        <v>348.0</v>
      </c>
      <c r="B351" s="36" t="s">
        <v>2298</v>
      </c>
      <c r="C351" s="36"/>
      <c r="D351" s="38" t="s">
        <v>2299</v>
      </c>
      <c r="E351" s="38" t="s">
        <v>2300</v>
      </c>
      <c r="F351" s="38" t="s">
        <v>2301</v>
      </c>
      <c r="G351" s="39" t="s">
        <v>2302</v>
      </c>
      <c r="H351" s="49" t="s">
        <v>50</v>
      </c>
      <c r="I351" s="93" t="s">
        <v>51</v>
      </c>
      <c r="J351" s="39" t="s">
        <v>587</v>
      </c>
      <c r="K351" s="94" t="s">
        <v>1146</v>
      </c>
      <c r="L351" s="93" t="s">
        <v>2303</v>
      </c>
      <c r="M351" s="51" t="b">
        <v>1</v>
      </c>
      <c r="N351" s="126" t="s">
        <v>2304</v>
      </c>
      <c r="O351" s="128"/>
      <c r="P351" s="116"/>
      <c r="Q351" s="116"/>
      <c r="R351" s="116"/>
      <c r="S351" s="116"/>
      <c r="T351" s="46"/>
      <c r="U351" s="13"/>
      <c r="V351" s="13"/>
      <c r="W351" s="13"/>
      <c r="X351" s="13"/>
      <c r="Y351" s="13"/>
      <c r="Z351" s="13"/>
      <c r="AA351" s="13"/>
      <c r="AB351" s="13"/>
      <c r="AC351" s="13"/>
    </row>
    <row r="352" ht="16.5" hidden="1" customHeight="1">
      <c r="A352" s="35">
        <v>349.0</v>
      </c>
      <c r="B352" s="36" t="s">
        <v>2305</v>
      </c>
      <c r="C352" s="36"/>
      <c r="D352" s="38" t="s">
        <v>2306</v>
      </c>
      <c r="E352" s="38" t="s">
        <v>2307</v>
      </c>
      <c r="F352" s="38" t="s">
        <v>2308</v>
      </c>
      <c r="G352" s="39" t="s">
        <v>2309</v>
      </c>
      <c r="H352" s="49" t="s">
        <v>50</v>
      </c>
      <c r="I352" s="93" t="s">
        <v>51</v>
      </c>
      <c r="J352" s="58" t="s">
        <v>609</v>
      </c>
      <c r="K352" s="92" t="s">
        <v>2310</v>
      </c>
      <c r="L352" s="61" t="s">
        <v>2311</v>
      </c>
      <c r="M352" s="51" t="b">
        <v>0</v>
      </c>
      <c r="N352" s="123"/>
      <c r="O352" s="123"/>
      <c r="P352" s="123" t="s">
        <v>2312</v>
      </c>
      <c r="Q352" s="123" t="s">
        <v>2313</v>
      </c>
      <c r="R352" s="116" t="s">
        <v>2314</v>
      </c>
      <c r="S352" s="116"/>
      <c r="T352" s="46"/>
      <c r="U352" s="13"/>
      <c r="V352" s="13"/>
      <c r="W352" s="13"/>
      <c r="X352" s="13"/>
      <c r="Y352" s="13"/>
      <c r="Z352" s="13"/>
      <c r="AA352" s="13"/>
      <c r="AB352" s="13"/>
      <c r="AC352" s="13"/>
    </row>
    <row r="353" ht="16.5" hidden="1" customHeight="1">
      <c r="A353" s="35">
        <v>350.0</v>
      </c>
      <c r="B353" s="36" t="s">
        <v>2315</v>
      </c>
      <c r="C353" s="36"/>
      <c r="D353" s="38" t="s">
        <v>2316</v>
      </c>
      <c r="E353" s="38" t="s">
        <v>2317</v>
      </c>
      <c r="F353" s="38" t="s">
        <v>2318</v>
      </c>
      <c r="G353" s="39" t="s">
        <v>231</v>
      </c>
      <c r="H353" s="49" t="s">
        <v>64</v>
      </c>
      <c r="I353" s="93" t="s">
        <v>65</v>
      </c>
      <c r="J353" s="55"/>
      <c r="K353" s="121"/>
      <c r="L353" s="121"/>
      <c r="M353" s="51" t="b">
        <v>0</v>
      </c>
      <c r="N353" s="116"/>
      <c r="O353" s="116"/>
      <c r="P353" s="116"/>
      <c r="Q353" s="116"/>
      <c r="R353" s="116"/>
      <c r="S353" s="116"/>
      <c r="T353" s="46"/>
      <c r="U353" s="13"/>
      <c r="V353" s="13"/>
      <c r="W353" s="13"/>
      <c r="X353" s="13"/>
      <c r="Y353" s="13"/>
      <c r="Z353" s="13"/>
      <c r="AA353" s="13"/>
      <c r="AB353" s="13"/>
      <c r="AC353" s="13"/>
    </row>
    <row r="354" ht="16.5" hidden="1" customHeight="1">
      <c r="A354" s="35">
        <v>351.0</v>
      </c>
      <c r="B354" s="36" t="s">
        <v>2319</v>
      </c>
      <c r="C354" s="36"/>
      <c r="D354" s="38" t="s">
        <v>2320</v>
      </c>
      <c r="E354" s="38" t="s">
        <v>2321</v>
      </c>
      <c r="F354" s="38" t="s">
        <v>2322</v>
      </c>
      <c r="G354" s="39" t="s">
        <v>2323</v>
      </c>
      <c r="H354" s="49" t="s">
        <v>50</v>
      </c>
      <c r="I354" s="93" t="s">
        <v>51</v>
      </c>
      <c r="J354" s="39" t="s">
        <v>2324</v>
      </c>
      <c r="K354" s="93" t="s">
        <v>2325</v>
      </c>
      <c r="L354" s="93" t="s">
        <v>2326</v>
      </c>
      <c r="M354" s="51" t="b">
        <v>1</v>
      </c>
      <c r="N354" s="126" t="s">
        <v>2327</v>
      </c>
      <c r="O354" s="116"/>
      <c r="P354" s="116" t="s">
        <v>2328</v>
      </c>
      <c r="Q354" s="116" t="s">
        <v>2329</v>
      </c>
      <c r="R354" s="116"/>
      <c r="S354" s="116"/>
      <c r="T354" s="46"/>
      <c r="U354" s="13"/>
      <c r="V354" s="13"/>
      <c r="W354" s="13"/>
      <c r="X354" s="13"/>
      <c r="Y354" s="13"/>
      <c r="Z354" s="13"/>
      <c r="AA354" s="13"/>
      <c r="AB354" s="13"/>
      <c r="AC354" s="13"/>
    </row>
    <row r="355" ht="16.5" hidden="1" customHeight="1">
      <c r="A355" s="35">
        <v>352.0</v>
      </c>
      <c r="B355" s="36" t="s">
        <v>2330</v>
      </c>
      <c r="C355" s="36"/>
      <c r="D355" s="38"/>
      <c r="E355" s="38"/>
      <c r="F355" s="38" t="s">
        <v>2331</v>
      </c>
      <c r="G355" s="39" t="s">
        <v>586</v>
      </c>
      <c r="H355" s="49" t="s">
        <v>50</v>
      </c>
      <c r="I355" s="39" t="s">
        <v>51</v>
      </c>
      <c r="J355" s="39" t="s">
        <v>587</v>
      </c>
      <c r="K355" s="42" t="s">
        <v>41</v>
      </c>
      <c r="L355" s="39" t="s">
        <v>588</v>
      </c>
      <c r="M355" s="51" t="b">
        <v>1</v>
      </c>
      <c r="N355" s="129" t="s">
        <v>1528</v>
      </c>
      <c r="O355" s="161" t="s">
        <v>590</v>
      </c>
      <c r="P355" s="162" t="s">
        <v>2332</v>
      </c>
      <c r="Q355" s="116"/>
      <c r="R355" s="116"/>
      <c r="S355" s="116"/>
      <c r="T355" s="46"/>
      <c r="U355" s="13"/>
      <c r="V355" s="13"/>
      <c r="W355" s="13"/>
      <c r="X355" s="13"/>
      <c r="Y355" s="13"/>
      <c r="Z355" s="13"/>
      <c r="AA355" s="13"/>
      <c r="AB355" s="13"/>
      <c r="AC355" s="13"/>
    </row>
    <row r="356" ht="16.5" hidden="1" customHeight="1">
      <c r="A356" s="35">
        <v>353.0</v>
      </c>
      <c r="B356" s="36" t="s">
        <v>2333</v>
      </c>
      <c r="C356" s="36"/>
      <c r="D356" s="38" t="s">
        <v>1825</v>
      </c>
      <c r="E356" s="38"/>
      <c r="F356" s="38" t="s">
        <v>2146</v>
      </c>
      <c r="G356" s="39" t="s">
        <v>182</v>
      </c>
      <c r="H356" s="49" t="s">
        <v>50</v>
      </c>
      <c r="I356" s="39" t="s">
        <v>51</v>
      </c>
      <c r="J356" s="39" t="s">
        <v>173</v>
      </c>
      <c r="K356" s="42" t="s">
        <v>41</v>
      </c>
      <c r="L356" s="39" t="s">
        <v>174</v>
      </c>
      <c r="M356" s="51" t="b">
        <v>1</v>
      </c>
      <c r="N356" s="126" t="s">
        <v>175</v>
      </c>
      <c r="O356" s="128"/>
      <c r="P356" s="116"/>
      <c r="Q356" s="116"/>
      <c r="R356" s="116"/>
      <c r="S356" s="116"/>
      <c r="T356" s="46"/>
      <c r="U356" s="13"/>
      <c r="V356" s="13"/>
      <c r="W356" s="13"/>
      <c r="X356" s="13"/>
      <c r="Y356" s="13"/>
      <c r="Z356" s="13"/>
      <c r="AA356" s="13"/>
      <c r="AB356" s="13"/>
      <c r="AC356" s="13"/>
    </row>
    <row r="357" ht="16.5" hidden="1" customHeight="1">
      <c r="A357" s="35">
        <v>354.0</v>
      </c>
      <c r="B357" s="36" t="s">
        <v>2334</v>
      </c>
      <c r="C357" s="36"/>
      <c r="D357" s="38" t="s">
        <v>1825</v>
      </c>
      <c r="E357" s="38"/>
      <c r="F357" s="38" t="s">
        <v>2146</v>
      </c>
      <c r="G357" s="39" t="s">
        <v>231</v>
      </c>
      <c r="H357" s="49" t="s">
        <v>64</v>
      </c>
      <c r="I357" s="93" t="s">
        <v>65</v>
      </c>
      <c r="J357" s="55"/>
      <c r="K357" s="121"/>
      <c r="L357" s="121"/>
      <c r="M357" s="51" t="b">
        <v>0</v>
      </c>
      <c r="N357" s="116"/>
      <c r="O357" s="116"/>
      <c r="P357" s="116"/>
      <c r="Q357" s="116"/>
      <c r="R357" s="116"/>
      <c r="S357" s="116"/>
      <c r="T357" s="46"/>
      <c r="U357" s="13"/>
      <c r="V357" s="13"/>
      <c r="W357" s="13"/>
      <c r="X357" s="13"/>
      <c r="Y357" s="13"/>
      <c r="Z357" s="13"/>
      <c r="AA357" s="13"/>
      <c r="AB357" s="13"/>
      <c r="AC357" s="13"/>
    </row>
    <row r="358" ht="16.5" hidden="1" customHeight="1">
      <c r="A358" s="35">
        <v>355.0</v>
      </c>
      <c r="B358" s="36" t="s">
        <v>2335</v>
      </c>
      <c r="C358" s="36"/>
      <c r="D358" s="38" t="s">
        <v>2336</v>
      </c>
      <c r="E358" s="38"/>
      <c r="F358" s="38" t="s">
        <v>1826</v>
      </c>
      <c r="G358" s="39" t="s">
        <v>231</v>
      </c>
      <c r="H358" s="49" t="s">
        <v>64</v>
      </c>
      <c r="I358" s="93" t="s">
        <v>65</v>
      </c>
      <c r="J358" s="55"/>
      <c r="K358" s="121"/>
      <c r="L358" s="121"/>
      <c r="M358" s="51" t="b">
        <v>0</v>
      </c>
      <c r="N358" s="116"/>
      <c r="O358" s="116"/>
      <c r="P358" s="116"/>
      <c r="Q358" s="116"/>
      <c r="R358" s="116"/>
      <c r="S358" s="116"/>
      <c r="T358" s="46"/>
      <c r="U358" s="13"/>
      <c r="V358" s="13"/>
      <c r="W358" s="13"/>
      <c r="X358" s="13"/>
      <c r="Y358" s="13"/>
      <c r="Z358" s="13"/>
      <c r="AA358" s="13"/>
      <c r="AB358" s="13"/>
      <c r="AC358" s="13"/>
    </row>
    <row r="359" ht="126.0" hidden="1" customHeight="1">
      <c r="A359" s="35">
        <v>356.0</v>
      </c>
      <c r="B359" s="36" t="s">
        <v>2337</v>
      </c>
      <c r="C359" s="36"/>
      <c r="D359" s="38"/>
      <c r="E359" s="38"/>
      <c r="F359" s="38" t="s">
        <v>1826</v>
      </c>
      <c r="G359" s="39" t="s">
        <v>231</v>
      </c>
      <c r="H359" s="49" t="s">
        <v>64</v>
      </c>
      <c r="I359" s="93" t="s">
        <v>65</v>
      </c>
      <c r="J359" s="55"/>
      <c r="K359" s="121"/>
      <c r="L359" s="121"/>
      <c r="M359" s="51" t="b">
        <v>0</v>
      </c>
      <c r="N359" s="116"/>
      <c r="O359" s="116"/>
      <c r="P359" s="116"/>
      <c r="Q359" s="116"/>
      <c r="R359" s="116"/>
      <c r="S359" s="116"/>
      <c r="T359" s="46"/>
      <c r="U359" s="13"/>
      <c r="V359" s="13"/>
      <c r="W359" s="13"/>
      <c r="X359" s="13"/>
      <c r="Y359" s="13"/>
      <c r="Z359" s="13"/>
      <c r="AA359" s="13"/>
      <c r="AB359" s="13"/>
      <c r="AC359" s="13"/>
    </row>
    <row r="360" ht="16.5" hidden="1" customHeight="1">
      <c r="A360" s="35">
        <v>357.0</v>
      </c>
      <c r="B360" s="36" t="s">
        <v>2338</v>
      </c>
      <c r="C360" s="36"/>
      <c r="D360" s="38" t="s">
        <v>1825</v>
      </c>
      <c r="E360" s="38"/>
      <c r="F360" s="38" t="s">
        <v>2339</v>
      </c>
      <c r="G360" s="39" t="s">
        <v>2340</v>
      </c>
      <c r="H360" s="134" t="s">
        <v>64</v>
      </c>
      <c r="I360" s="93" t="s">
        <v>65</v>
      </c>
      <c r="J360" s="55"/>
      <c r="K360" s="121"/>
      <c r="L360" s="121"/>
      <c r="M360" s="51" t="b">
        <v>0</v>
      </c>
      <c r="N360" s="116"/>
      <c r="O360" s="116"/>
      <c r="P360" s="116" t="s">
        <v>2341</v>
      </c>
      <c r="Q360" s="116" t="s">
        <v>2342</v>
      </c>
      <c r="R360" s="116" t="s">
        <v>2343</v>
      </c>
      <c r="S360" s="116"/>
      <c r="T360" s="46"/>
      <c r="U360" s="13"/>
      <c r="V360" s="13"/>
      <c r="W360" s="13"/>
      <c r="X360" s="13"/>
      <c r="Y360" s="13"/>
      <c r="Z360" s="13"/>
      <c r="AA360" s="13"/>
      <c r="AB360" s="13"/>
      <c r="AC360" s="13"/>
    </row>
    <row r="361" ht="16.5" hidden="1" customHeight="1">
      <c r="A361" s="35">
        <v>358.0</v>
      </c>
      <c r="B361" s="36" t="s">
        <v>2344</v>
      </c>
      <c r="C361" s="36"/>
      <c r="D361" s="38" t="s">
        <v>2345</v>
      </c>
      <c r="E361" s="38" t="s">
        <v>2346</v>
      </c>
      <c r="F361" s="38" t="s">
        <v>2347</v>
      </c>
      <c r="G361" s="39" t="s">
        <v>2348</v>
      </c>
      <c r="H361" s="49" t="s">
        <v>50</v>
      </c>
      <c r="I361" s="39" t="s">
        <v>51</v>
      </c>
      <c r="J361" s="93" t="s">
        <v>609</v>
      </c>
      <c r="K361" s="92" t="s">
        <v>2349</v>
      </c>
      <c r="L361" s="35" t="s">
        <v>2350</v>
      </c>
      <c r="M361" s="51" t="b">
        <v>1</v>
      </c>
      <c r="N361" s="126" t="s">
        <v>2351</v>
      </c>
      <c r="O361" s="116"/>
      <c r="P361" s="116" t="s">
        <v>2352</v>
      </c>
      <c r="Q361" s="116" t="s">
        <v>2353</v>
      </c>
      <c r="R361" s="116"/>
      <c r="S361" s="116"/>
      <c r="T361" s="46"/>
      <c r="U361" s="13"/>
      <c r="V361" s="13"/>
      <c r="W361" s="13"/>
      <c r="X361" s="13"/>
      <c r="Y361" s="13"/>
      <c r="Z361" s="13"/>
      <c r="AA361" s="13"/>
      <c r="AB361" s="13"/>
      <c r="AC361" s="13"/>
    </row>
    <row r="362" ht="16.5" hidden="1" customHeight="1">
      <c r="A362" s="35">
        <v>359.0</v>
      </c>
      <c r="B362" s="36" t="s">
        <v>2354</v>
      </c>
      <c r="C362" s="36"/>
      <c r="D362" s="38" t="s">
        <v>2355</v>
      </c>
      <c r="E362" s="38"/>
      <c r="F362" s="38" t="s">
        <v>2356</v>
      </c>
      <c r="G362" s="39" t="s">
        <v>2357</v>
      </c>
      <c r="H362" s="49" t="s">
        <v>50</v>
      </c>
      <c r="I362" s="93" t="s">
        <v>51</v>
      </c>
      <c r="J362" s="39" t="s">
        <v>1755</v>
      </c>
      <c r="K362" s="94" t="s">
        <v>2358</v>
      </c>
      <c r="L362" s="58" t="s">
        <v>2359</v>
      </c>
      <c r="M362" s="51" t="b">
        <v>1</v>
      </c>
      <c r="N362" s="126" t="s">
        <v>2360</v>
      </c>
      <c r="O362" s="116"/>
      <c r="P362" s="116" t="s">
        <v>2361</v>
      </c>
      <c r="Q362" s="116" t="s">
        <v>2362</v>
      </c>
      <c r="R362" s="116"/>
      <c r="S362" s="116"/>
      <c r="T362" s="46"/>
      <c r="U362" s="13"/>
      <c r="V362" s="13"/>
      <c r="W362" s="13"/>
      <c r="X362" s="13"/>
      <c r="Y362" s="13"/>
      <c r="Z362" s="13"/>
      <c r="AA362" s="13"/>
      <c r="AB362" s="13"/>
      <c r="AC362" s="13"/>
    </row>
    <row r="363" ht="126.0" hidden="1" customHeight="1">
      <c r="A363" s="35">
        <v>360.0</v>
      </c>
      <c r="B363" s="36" t="s">
        <v>2363</v>
      </c>
      <c r="C363" s="36"/>
      <c r="D363" s="38"/>
      <c r="E363" s="38"/>
      <c r="F363" s="38" t="s">
        <v>1826</v>
      </c>
      <c r="G363" s="39" t="s">
        <v>231</v>
      </c>
      <c r="H363" s="49" t="s">
        <v>64</v>
      </c>
      <c r="I363" s="93" t="s">
        <v>65</v>
      </c>
      <c r="J363" s="55"/>
      <c r="K363" s="121"/>
      <c r="L363" s="121"/>
      <c r="M363" s="51" t="b">
        <v>0</v>
      </c>
      <c r="N363" s="116"/>
      <c r="O363" s="116"/>
      <c r="P363" s="116"/>
      <c r="Q363" s="116"/>
      <c r="R363" s="116"/>
      <c r="S363" s="116"/>
      <c r="T363" s="46"/>
      <c r="U363" s="13"/>
      <c r="V363" s="13"/>
      <c r="W363" s="13"/>
      <c r="X363" s="13"/>
      <c r="Y363" s="13"/>
      <c r="Z363" s="13"/>
      <c r="AA363" s="13"/>
      <c r="AB363" s="13"/>
      <c r="AC363" s="13"/>
    </row>
    <row r="364" ht="342.0" hidden="1" customHeight="1">
      <c r="A364" s="35">
        <v>361.0</v>
      </c>
      <c r="B364" s="36" t="s">
        <v>1198</v>
      </c>
      <c r="C364" s="100"/>
      <c r="D364" s="38"/>
      <c r="E364" s="38"/>
      <c r="F364" s="38" t="s">
        <v>460</v>
      </c>
      <c r="G364" s="39" t="s">
        <v>2364</v>
      </c>
      <c r="H364" s="49" t="s">
        <v>50</v>
      </c>
      <c r="I364" s="93" t="s">
        <v>51</v>
      </c>
      <c r="J364" s="90" t="s">
        <v>461</v>
      </c>
      <c r="K364" s="91" t="s">
        <v>462</v>
      </c>
      <c r="L364" s="92" t="s">
        <v>463</v>
      </c>
      <c r="M364" s="51" t="b">
        <v>1</v>
      </c>
      <c r="N364" s="56" t="s">
        <v>464</v>
      </c>
      <c r="O364" s="122" t="s">
        <v>1201</v>
      </c>
      <c r="P364" s="167"/>
      <c r="Q364" s="116"/>
      <c r="R364" s="116"/>
      <c r="S364" s="116"/>
      <c r="T364" s="46"/>
      <c r="U364" s="13"/>
      <c r="V364" s="13"/>
      <c r="W364" s="13"/>
      <c r="X364" s="13"/>
      <c r="Y364" s="13"/>
      <c r="Z364" s="13"/>
      <c r="AA364" s="13"/>
      <c r="AB364" s="13"/>
      <c r="AC364" s="13"/>
    </row>
    <row r="365" ht="16.5" hidden="1" customHeight="1">
      <c r="A365" s="35">
        <v>362.0</v>
      </c>
      <c r="B365" s="36" t="s">
        <v>1202</v>
      </c>
      <c r="C365" s="100"/>
      <c r="D365" s="38" t="s">
        <v>2365</v>
      </c>
      <c r="E365" s="38" t="s">
        <v>1205</v>
      </c>
      <c r="F365" s="38" t="s">
        <v>2146</v>
      </c>
      <c r="G365" s="39" t="s">
        <v>2366</v>
      </c>
      <c r="H365" s="49" t="s">
        <v>50</v>
      </c>
      <c r="I365" s="93" t="s">
        <v>51</v>
      </c>
      <c r="J365" s="39" t="s">
        <v>422</v>
      </c>
      <c r="K365" s="94" t="s">
        <v>1207</v>
      </c>
      <c r="L365" s="168" t="s">
        <v>1482</v>
      </c>
      <c r="M365" s="51" t="b">
        <v>1</v>
      </c>
      <c r="N365" s="142" t="s">
        <v>292</v>
      </c>
      <c r="O365" s="122" t="s">
        <v>1209</v>
      </c>
      <c r="P365" s="123"/>
      <c r="Q365" s="116"/>
      <c r="R365" s="116"/>
      <c r="S365" s="116"/>
      <c r="T365" s="46"/>
      <c r="U365" s="13"/>
      <c r="V365" s="13"/>
      <c r="W365" s="13"/>
      <c r="X365" s="13"/>
      <c r="Y365" s="13"/>
      <c r="Z365" s="13"/>
      <c r="AA365" s="13"/>
      <c r="AB365" s="13"/>
      <c r="AC365" s="13"/>
    </row>
    <row r="366" ht="409.5" hidden="1" customHeight="1">
      <c r="A366" s="35">
        <v>363.0</v>
      </c>
      <c r="B366" s="36" t="s">
        <v>2367</v>
      </c>
      <c r="C366" s="36"/>
      <c r="D366" s="38" t="s">
        <v>2368</v>
      </c>
      <c r="E366" s="38"/>
      <c r="F366" s="38" t="s">
        <v>2369</v>
      </c>
      <c r="G366" s="39" t="s">
        <v>231</v>
      </c>
      <c r="H366" s="49" t="s">
        <v>64</v>
      </c>
      <c r="I366" s="93" t="s">
        <v>65</v>
      </c>
      <c r="J366" s="55"/>
      <c r="K366" s="121"/>
      <c r="L366" s="121"/>
      <c r="M366" s="51" t="b">
        <v>0</v>
      </c>
      <c r="N366" s="116"/>
      <c r="O366" s="116"/>
      <c r="P366" s="116"/>
      <c r="Q366" s="116"/>
      <c r="R366" s="116"/>
      <c r="S366" s="116"/>
      <c r="T366" s="46"/>
      <c r="U366" s="13"/>
      <c r="V366" s="13"/>
      <c r="W366" s="13"/>
      <c r="X366" s="13"/>
      <c r="Y366" s="13"/>
      <c r="Z366" s="13"/>
      <c r="AA366" s="13"/>
      <c r="AB366" s="13"/>
      <c r="AC366" s="13"/>
    </row>
    <row r="367" ht="90.0" hidden="1" customHeight="1">
      <c r="A367" s="35">
        <v>364.0</v>
      </c>
      <c r="B367" s="36" t="s">
        <v>2370</v>
      </c>
      <c r="C367" s="36"/>
      <c r="D367" s="38" t="s">
        <v>2371</v>
      </c>
      <c r="E367" s="38"/>
      <c r="F367" s="38" t="s">
        <v>2372</v>
      </c>
      <c r="G367" s="39" t="s">
        <v>231</v>
      </c>
      <c r="H367" s="49" t="s">
        <v>64</v>
      </c>
      <c r="I367" s="93" t="s">
        <v>65</v>
      </c>
      <c r="J367" s="55"/>
      <c r="K367" s="121"/>
      <c r="L367" s="121"/>
      <c r="M367" s="51" t="b">
        <v>0</v>
      </c>
      <c r="N367" s="116"/>
      <c r="O367" s="116"/>
      <c r="P367" s="116"/>
      <c r="Q367" s="116"/>
      <c r="R367" s="116"/>
      <c r="S367" s="116"/>
      <c r="T367" s="46"/>
      <c r="U367" s="13"/>
      <c r="V367" s="13"/>
      <c r="W367" s="13"/>
      <c r="X367" s="13"/>
      <c r="Y367" s="13"/>
      <c r="Z367" s="13"/>
      <c r="AA367" s="13"/>
      <c r="AB367" s="13"/>
      <c r="AC367" s="13"/>
    </row>
    <row r="368" hidden="1">
      <c r="A368" s="35">
        <v>365.0</v>
      </c>
      <c r="B368" s="73" t="s">
        <v>1220</v>
      </c>
      <c r="C368" s="100"/>
      <c r="D368" s="38"/>
      <c r="E368" s="38"/>
      <c r="F368" s="38" t="s">
        <v>1224</v>
      </c>
      <c r="G368" s="39" t="s">
        <v>2373</v>
      </c>
      <c r="H368" s="49" t="s">
        <v>50</v>
      </c>
      <c r="I368" s="39" t="s">
        <v>51</v>
      </c>
      <c r="J368" s="90" t="s">
        <v>153</v>
      </c>
      <c r="K368" s="65">
        <v>10.0</v>
      </c>
      <c r="L368" s="39" t="s">
        <v>2374</v>
      </c>
      <c r="M368" s="51" t="b">
        <v>1</v>
      </c>
      <c r="N368" s="60" t="s">
        <v>292</v>
      </c>
      <c r="O368" s="63" t="s">
        <v>1227</v>
      </c>
      <c r="P368" s="35" t="s">
        <v>2375</v>
      </c>
      <c r="Q368" s="35" t="s">
        <v>2376</v>
      </c>
      <c r="R368" s="116"/>
      <c r="S368" s="116"/>
      <c r="T368" s="46"/>
      <c r="U368" s="13"/>
      <c r="V368" s="13"/>
      <c r="W368" s="13"/>
      <c r="X368" s="13"/>
      <c r="Y368" s="13"/>
      <c r="Z368" s="13"/>
      <c r="AA368" s="13"/>
      <c r="AB368" s="13"/>
      <c r="AC368" s="13"/>
    </row>
    <row r="369" ht="16.5" hidden="1" customHeight="1">
      <c r="A369" s="35">
        <v>366.0</v>
      </c>
      <c r="B369" s="36" t="s">
        <v>1230</v>
      </c>
      <c r="C369" s="100"/>
      <c r="D369" s="38"/>
      <c r="E369" s="38"/>
      <c r="F369" s="38" t="s">
        <v>1402</v>
      </c>
      <c r="G369" s="39" t="s">
        <v>1305</v>
      </c>
      <c r="H369" s="49" t="s">
        <v>50</v>
      </c>
      <c r="I369" s="39" t="s">
        <v>51</v>
      </c>
      <c r="J369" s="39" t="s">
        <v>915</v>
      </c>
      <c r="K369" s="42" t="s">
        <v>1236</v>
      </c>
      <c r="L369" s="39" t="s">
        <v>2377</v>
      </c>
      <c r="M369" s="51" t="b">
        <v>0</v>
      </c>
      <c r="N369" s="169" t="s">
        <v>1238</v>
      </c>
      <c r="O369" s="127" t="s">
        <v>1239</v>
      </c>
      <c r="P369" s="116"/>
      <c r="Q369" s="116"/>
      <c r="R369" s="116"/>
      <c r="S369" s="116"/>
      <c r="T369" s="46"/>
      <c r="U369" s="13"/>
      <c r="V369" s="13"/>
      <c r="W369" s="13"/>
      <c r="X369" s="13"/>
      <c r="Y369" s="13"/>
      <c r="Z369" s="13"/>
      <c r="AA369" s="13"/>
      <c r="AB369" s="13"/>
      <c r="AC369" s="13"/>
    </row>
    <row r="370" ht="16.5" hidden="1" customHeight="1">
      <c r="A370" s="35">
        <v>367.0</v>
      </c>
      <c r="B370" s="36" t="s">
        <v>2378</v>
      </c>
      <c r="C370" s="36"/>
      <c r="D370" s="38"/>
      <c r="E370" s="38"/>
      <c r="F370" s="38" t="s">
        <v>2379</v>
      </c>
      <c r="G370" s="39" t="s">
        <v>2380</v>
      </c>
      <c r="H370" s="49" t="s">
        <v>50</v>
      </c>
      <c r="I370" s="39" t="s">
        <v>39</v>
      </c>
      <c r="J370" s="138" t="s">
        <v>609</v>
      </c>
      <c r="K370" s="93" t="s">
        <v>2381</v>
      </c>
      <c r="L370" s="109" t="s">
        <v>2382</v>
      </c>
      <c r="M370" s="51" t="b">
        <v>0</v>
      </c>
      <c r="N370" s="123"/>
      <c r="O370" s="123"/>
      <c r="P370" s="123" t="s">
        <v>2383</v>
      </c>
      <c r="Q370" s="123" t="s">
        <v>2384</v>
      </c>
      <c r="R370" s="123" t="s">
        <v>2385</v>
      </c>
      <c r="S370" s="116" t="s">
        <v>2386</v>
      </c>
      <c r="T370" s="46"/>
      <c r="U370" s="13"/>
      <c r="V370" s="13"/>
      <c r="W370" s="13"/>
      <c r="X370" s="13"/>
      <c r="Y370" s="13"/>
      <c r="Z370" s="13"/>
      <c r="AA370" s="13"/>
      <c r="AB370" s="13"/>
      <c r="AC370" s="13"/>
    </row>
    <row r="371" ht="126.0" hidden="1" customHeight="1">
      <c r="A371" s="35">
        <v>368.0</v>
      </c>
      <c r="B371" s="36" t="s">
        <v>2387</v>
      </c>
      <c r="C371" s="36"/>
      <c r="D371" s="38"/>
      <c r="E371" s="38"/>
      <c r="F371" s="38" t="s">
        <v>1826</v>
      </c>
      <c r="G371" s="39" t="s">
        <v>231</v>
      </c>
      <c r="H371" s="49" t="s">
        <v>64</v>
      </c>
      <c r="I371" s="93" t="s">
        <v>65</v>
      </c>
      <c r="J371" s="55"/>
      <c r="K371" s="121"/>
      <c r="L371" s="121"/>
      <c r="M371" s="51" t="b">
        <v>0</v>
      </c>
      <c r="N371" s="116"/>
      <c r="O371" s="116"/>
      <c r="P371" s="116"/>
      <c r="Q371" s="116"/>
      <c r="R371" s="116"/>
      <c r="S371" s="116"/>
      <c r="T371" s="46"/>
      <c r="U371" s="13"/>
      <c r="V371" s="13"/>
      <c r="W371" s="13"/>
      <c r="X371" s="13"/>
      <c r="Y371" s="13"/>
      <c r="Z371" s="13"/>
      <c r="AA371" s="13"/>
      <c r="AB371" s="13"/>
      <c r="AC371" s="13"/>
    </row>
    <row r="372" ht="16.5" hidden="1" customHeight="1">
      <c r="A372" s="35">
        <v>369.0</v>
      </c>
      <c r="B372" s="36" t="s">
        <v>2388</v>
      </c>
      <c r="C372" s="100"/>
      <c r="D372" s="38" t="s">
        <v>2389</v>
      </c>
      <c r="E372" s="38" t="s">
        <v>2390</v>
      </c>
      <c r="F372" s="38" t="s">
        <v>2391</v>
      </c>
      <c r="G372" s="39" t="s">
        <v>2392</v>
      </c>
      <c r="H372" s="49" t="s">
        <v>50</v>
      </c>
      <c r="I372" s="93" t="s">
        <v>51</v>
      </c>
      <c r="J372" s="39" t="s">
        <v>173</v>
      </c>
      <c r="K372" s="94" t="s">
        <v>2168</v>
      </c>
      <c r="L372" s="93" t="s">
        <v>2393</v>
      </c>
      <c r="M372" s="51" t="b">
        <v>1</v>
      </c>
      <c r="N372" s="126" t="s">
        <v>2394</v>
      </c>
      <c r="O372" s="128"/>
      <c r="P372" s="116"/>
      <c r="Q372" s="116"/>
      <c r="R372" s="116"/>
      <c r="S372" s="116"/>
      <c r="T372" s="46"/>
      <c r="U372" s="13"/>
      <c r="V372" s="13"/>
      <c r="W372" s="13"/>
      <c r="X372" s="13"/>
      <c r="Y372" s="13"/>
      <c r="Z372" s="13"/>
      <c r="AA372" s="13"/>
      <c r="AB372" s="13"/>
      <c r="AC372" s="13"/>
    </row>
    <row r="373" ht="16.5" hidden="1" customHeight="1">
      <c r="A373" s="35">
        <v>370.0</v>
      </c>
      <c r="B373" s="36" t="s">
        <v>1260</v>
      </c>
      <c r="C373" s="36"/>
      <c r="D373" s="38"/>
      <c r="E373" s="38"/>
      <c r="F373" s="38" t="s">
        <v>2395</v>
      </c>
      <c r="G373" s="39" t="s">
        <v>490</v>
      </c>
      <c r="H373" s="49" t="s">
        <v>50</v>
      </c>
      <c r="I373" s="93" t="s">
        <v>51</v>
      </c>
      <c r="J373" s="39" t="s">
        <v>491</v>
      </c>
      <c r="K373" s="42" t="s">
        <v>409</v>
      </c>
      <c r="L373" s="39" t="s">
        <v>492</v>
      </c>
      <c r="M373" s="51" t="b">
        <v>1</v>
      </c>
      <c r="N373" s="129" t="s">
        <v>493</v>
      </c>
      <c r="O373" s="127" t="s">
        <v>494</v>
      </c>
      <c r="P373" s="116"/>
      <c r="Q373" s="116"/>
      <c r="R373" s="116"/>
      <c r="S373" s="116"/>
      <c r="T373" s="46"/>
      <c r="U373" s="13"/>
      <c r="V373" s="13"/>
      <c r="W373" s="13"/>
      <c r="X373" s="13"/>
      <c r="Y373" s="13"/>
      <c r="Z373" s="13"/>
      <c r="AA373" s="13"/>
      <c r="AB373" s="13"/>
      <c r="AC373" s="13"/>
    </row>
    <row r="374" ht="409.5" hidden="1" customHeight="1">
      <c r="A374" s="35">
        <v>371.0</v>
      </c>
      <c r="B374" s="100" t="s">
        <v>2396</v>
      </c>
      <c r="C374" s="100"/>
      <c r="D374" s="38" t="s">
        <v>2397</v>
      </c>
      <c r="E374" s="38" t="s">
        <v>2398</v>
      </c>
      <c r="F374" s="38" t="s">
        <v>1826</v>
      </c>
      <c r="G374" s="39" t="s">
        <v>231</v>
      </c>
      <c r="H374" s="49" t="s">
        <v>64</v>
      </c>
      <c r="I374" s="93" t="s">
        <v>65</v>
      </c>
      <c r="J374" s="55"/>
      <c r="K374" s="121"/>
      <c r="L374" s="121"/>
      <c r="M374" s="51" t="b">
        <v>0</v>
      </c>
      <c r="N374" s="116"/>
      <c r="O374" s="116"/>
      <c r="P374" s="116"/>
      <c r="Q374" s="116"/>
      <c r="R374" s="116"/>
      <c r="S374" s="116"/>
      <c r="T374" s="46"/>
      <c r="U374" s="13"/>
      <c r="V374" s="13"/>
      <c r="W374" s="13"/>
      <c r="X374" s="13"/>
      <c r="Y374" s="13"/>
      <c r="Z374" s="13"/>
      <c r="AA374" s="13"/>
      <c r="AB374" s="13"/>
      <c r="AC374" s="13"/>
    </row>
    <row r="375" ht="16.5" hidden="1" customHeight="1">
      <c r="A375" s="35">
        <v>372.0</v>
      </c>
      <c r="B375" s="36" t="s">
        <v>2399</v>
      </c>
      <c r="C375" s="36"/>
      <c r="D375" s="38" t="s">
        <v>1825</v>
      </c>
      <c r="E375" s="38"/>
      <c r="F375" s="38" t="s">
        <v>2400</v>
      </c>
      <c r="G375" s="39" t="s">
        <v>2255</v>
      </c>
      <c r="H375" s="49" t="s">
        <v>64</v>
      </c>
      <c r="I375" s="93" t="s">
        <v>65</v>
      </c>
      <c r="J375" s="55"/>
      <c r="K375" s="121"/>
      <c r="L375" s="170"/>
      <c r="M375" s="51" t="b">
        <v>0</v>
      </c>
      <c r="N375" s="123"/>
      <c r="O375" s="123"/>
      <c r="P375" s="123" t="s">
        <v>2401</v>
      </c>
      <c r="Q375" s="116"/>
      <c r="R375" s="116"/>
      <c r="S375" s="116"/>
      <c r="T375" s="46"/>
      <c r="U375" s="13"/>
      <c r="V375" s="13"/>
      <c r="W375" s="13"/>
      <c r="X375" s="13"/>
      <c r="Y375" s="13"/>
      <c r="Z375" s="13"/>
      <c r="AA375" s="13"/>
      <c r="AB375" s="13"/>
      <c r="AC375" s="13"/>
    </row>
    <row r="376" ht="144.0" hidden="1" customHeight="1">
      <c r="A376" s="35">
        <v>373.0</v>
      </c>
      <c r="B376" s="36" t="s">
        <v>2402</v>
      </c>
      <c r="C376" s="36"/>
      <c r="D376" s="38" t="s">
        <v>1825</v>
      </c>
      <c r="E376" s="38"/>
      <c r="F376" s="38" t="s">
        <v>1826</v>
      </c>
      <c r="G376" s="39" t="s">
        <v>231</v>
      </c>
      <c r="H376" s="49" t="s">
        <v>64</v>
      </c>
      <c r="I376" s="93" t="s">
        <v>65</v>
      </c>
      <c r="J376" s="55"/>
      <c r="K376" s="121"/>
      <c r="L376" s="121"/>
      <c r="M376" s="51" t="b">
        <v>0</v>
      </c>
      <c r="N376" s="116"/>
      <c r="O376" s="116"/>
      <c r="P376" s="116"/>
      <c r="Q376" s="116"/>
      <c r="R376" s="116"/>
      <c r="S376" s="116"/>
      <c r="T376" s="46"/>
      <c r="U376" s="13"/>
      <c r="V376" s="13"/>
      <c r="W376" s="13"/>
      <c r="X376" s="13"/>
      <c r="Y376" s="13"/>
      <c r="Z376" s="13"/>
      <c r="AA376" s="13"/>
      <c r="AB376" s="13"/>
      <c r="AC376" s="13"/>
    </row>
    <row r="377" ht="198.0" hidden="1" customHeight="1">
      <c r="A377" s="35">
        <v>374.0</v>
      </c>
      <c r="B377" s="36" t="s">
        <v>2403</v>
      </c>
      <c r="C377" s="36"/>
      <c r="D377" s="38" t="s">
        <v>1825</v>
      </c>
      <c r="E377" s="38"/>
      <c r="F377" s="38" t="s">
        <v>2404</v>
      </c>
      <c r="G377" s="39" t="s">
        <v>231</v>
      </c>
      <c r="H377" s="49" t="s">
        <v>64</v>
      </c>
      <c r="I377" s="93" t="s">
        <v>65</v>
      </c>
      <c r="J377" s="55"/>
      <c r="K377" s="121"/>
      <c r="L377" s="121"/>
      <c r="M377" s="51" t="b">
        <v>0</v>
      </c>
      <c r="N377" s="116"/>
      <c r="O377" s="116"/>
      <c r="P377" s="116"/>
      <c r="Q377" s="116"/>
      <c r="R377" s="116"/>
      <c r="S377" s="116"/>
      <c r="T377" s="46"/>
      <c r="U377" s="13"/>
      <c r="V377" s="13"/>
      <c r="W377" s="13"/>
      <c r="X377" s="13"/>
      <c r="Y377" s="13"/>
      <c r="Z377" s="13"/>
      <c r="AA377" s="13"/>
      <c r="AB377" s="13"/>
      <c r="AC377" s="13"/>
    </row>
    <row r="378" hidden="1">
      <c r="A378" s="35">
        <v>375.0</v>
      </c>
      <c r="B378" s="36" t="s">
        <v>2405</v>
      </c>
      <c r="C378" s="36"/>
      <c r="D378" s="38" t="s">
        <v>1825</v>
      </c>
      <c r="E378" s="38"/>
      <c r="F378" s="38" t="s">
        <v>1826</v>
      </c>
      <c r="G378" s="39" t="s">
        <v>572</v>
      </c>
      <c r="H378" s="49" t="s">
        <v>50</v>
      </c>
      <c r="I378" s="93" t="s">
        <v>51</v>
      </c>
      <c r="J378" s="39" t="s">
        <v>573</v>
      </c>
      <c r="K378" s="91" t="s">
        <v>154</v>
      </c>
      <c r="L378" s="93" t="s">
        <v>575</v>
      </c>
      <c r="M378" s="51" t="b">
        <v>1</v>
      </c>
      <c r="N378" s="129" t="s">
        <v>2406</v>
      </c>
      <c r="O378" s="127" t="s">
        <v>576</v>
      </c>
      <c r="P378" s="116"/>
      <c r="Q378" s="116"/>
      <c r="R378" s="116"/>
      <c r="S378" s="116"/>
      <c r="T378" s="46"/>
      <c r="U378" s="13"/>
      <c r="V378" s="13"/>
      <c r="W378" s="13"/>
      <c r="X378" s="13"/>
      <c r="Y378" s="13"/>
      <c r="Z378" s="13"/>
      <c r="AA378" s="13"/>
      <c r="AB378" s="13"/>
      <c r="AC378" s="13"/>
    </row>
    <row r="379" ht="144.0" hidden="1" customHeight="1">
      <c r="A379" s="35">
        <v>376.0</v>
      </c>
      <c r="B379" s="36" t="s">
        <v>2407</v>
      </c>
      <c r="C379" s="36"/>
      <c r="D379" s="38"/>
      <c r="E379" s="38"/>
      <c r="F379" s="38" t="s">
        <v>1826</v>
      </c>
      <c r="G379" s="39" t="s">
        <v>231</v>
      </c>
      <c r="H379" s="49" t="s">
        <v>64</v>
      </c>
      <c r="I379" s="93" t="s">
        <v>65</v>
      </c>
      <c r="J379" s="55"/>
      <c r="K379" s="121"/>
      <c r="L379" s="121"/>
      <c r="M379" s="51" t="b">
        <v>0</v>
      </c>
      <c r="N379" s="116"/>
      <c r="O379" s="116"/>
      <c r="P379" s="116"/>
      <c r="Q379" s="116"/>
      <c r="R379" s="116"/>
      <c r="S379" s="116"/>
      <c r="T379" s="46"/>
      <c r="U379" s="13"/>
      <c r="V379" s="13"/>
      <c r="W379" s="13"/>
      <c r="X379" s="13"/>
      <c r="Y379" s="13"/>
      <c r="Z379" s="13"/>
      <c r="AA379" s="13"/>
      <c r="AB379" s="13"/>
      <c r="AC379" s="13"/>
    </row>
    <row r="380" ht="16.5" hidden="1" customHeight="1">
      <c r="A380" s="35">
        <v>377.0</v>
      </c>
      <c r="B380" s="36" t="s">
        <v>2408</v>
      </c>
      <c r="C380" s="36"/>
      <c r="D380" s="38" t="s">
        <v>2409</v>
      </c>
      <c r="E380" s="38"/>
      <c r="F380" s="38" t="s">
        <v>2410</v>
      </c>
      <c r="G380" s="39" t="s">
        <v>2411</v>
      </c>
      <c r="H380" s="49" t="s">
        <v>50</v>
      </c>
      <c r="I380" s="93" t="s">
        <v>51</v>
      </c>
      <c r="J380" s="39" t="s">
        <v>619</v>
      </c>
      <c r="K380" s="94" t="s">
        <v>2412</v>
      </c>
      <c r="L380" s="93" t="s">
        <v>2413</v>
      </c>
      <c r="M380" s="51" t="b">
        <v>1</v>
      </c>
      <c r="N380" s="129" t="s">
        <v>2414</v>
      </c>
      <c r="O380" s="128"/>
      <c r="P380" s="116"/>
      <c r="Q380" s="116"/>
      <c r="R380" s="116"/>
      <c r="S380" s="116"/>
      <c r="T380" s="46"/>
      <c r="U380" s="13"/>
      <c r="V380" s="13"/>
      <c r="W380" s="13"/>
      <c r="X380" s="13"/>
      <c r="Y380" s="13"/>
      <c r="Z380" s="13"/>
      <c r="AA380" s="13"/>
      <c r="AB380" s="13"/>
      <c r="AC380" s="13"/>
    </row>
    <row r="381" ht="144.0" hidden="1" customHeight="1">
      <c r="A381" s="35">
        <v>378.0</v>
      </c>
      <c r="B381" s="36" t="s">
        <v>2415</v>
      </c>
      <c r="C381" s="36" t="s">
        <v>2415</v>
      </c>
      <c r="D381" s="38" t="s">
        <v>1825</v>
      </c>
      <c r="E381" s="38"/>
      <c r="F381" s="38" t="s">
        <v>1826</v>
      </c>
      <c r="G381" s="39" t="s">
        <v>231</v>
      </c>
      <c r="H381" s="49" t="s">
        <v>64</v>
      </c>
      <c r="I381" s="93" t="s">
        <v>65</v>
      </c>
      <c r="J381" s="55"/>
      <c r="K381" s="121"/>
      <c r="L381" s="121"/>
      <c r="M381" s="51" t="b">
        <v>0</v>
      </c>
      <c r="N381" s="116"/>
      <c r="O381" s="116"/>
      <c r="P381" s="116"/>
      <c r="Q381" s="116"/>
      <c r="R381" s="116"/>
      <c r="S381" s="116"/>
      <c r="T381" s="46"/>
      <c r="U381" s="13"/>
      <c r="V381" s="13"/>
      <c r="W381" s="13"/>
      <c r="X381" s="13"/>
      <c r="Y381" s="13"/>
      <c r="Z381" s="13"/>
      <c r="AA381" s="13"/>
      <c r="AB381" s="13"/>
      <c r="AC381" s="13"/>
    </row>
    <row r="382" ht="16.5" customHeight="1">
      <c r="A382" s="13"/>
      <c r="B382" s="13"/>
      <c r="C382" s="13"/>
      <c r="D382" s="13"/>
      <c r="E382" s="13"/>
      <c r="F382" s="13"/>
      <c r="G382" s="13"/>
      <c r="H382" s="13"/>
      <c r="I382" s="13"/>
      <c r="J382" s="13"/>
      <c r="K382" s="171"/>
      <c r="L382" s="172"/>
      <c r="M382" s="13"/>
      <c r="N382" s="13"/>
      <c r="O382" s="171"/>
      <c r="P382" s="13"/>
      <c r="Q382" s="13"/>
      <c r="R382" s="173"/>
      <c r="S382" s="35"/>
      <c r="T382" s="35"/>
      <c r="U382" s="13"/>
      <c r="V382" s="13"/>
      <c r="W382" s="13"/>
      <c r="X382" s="13"/>
      <c r="Y382" s="13"/>
      <c r="Z382" s="13"/>
      <c r="AA382" s="13"/>
      <c r="AB382" s="13"/>
      <c r="AC382" s="13"/>
    </row>
    <row r="383" ht="16.5" customHeight="1">
      <c r="A383" s="13"/>
      <c r="B383" s="13"/>
      <c r="C383" s="13"/>
      <c r="D383" s="13"/>
      <c r="E383" s="13"/>
      <c r="F383" s="13"/>
      <c r="G383" s="13"/>
      <c r="H383" s="13"/>
      <c r="I383" s="13"/>
      <c r="J383" s="13"/>
      <c r="K383" s="171"/>
      <c r="L383" s="172"/>
      <c r="M383" s="13"/>
      <c r="N383" s="13"/>
      <c r="O383" s="171"/>
      <c r="P383" s="13"/>
      <c r="Q383" s="13"/>
      <c r="R383" s="173"/>
      <c r="S383" s="35"/>
      <c r="T383" s="35"/>
      <c r="U383" s="13"/>
      <c r="V383" s="13"/>
      <c r="W383" s="13"/>
      <c r="X383" s="13"/>
      <c r="Y383" s="13"/>
      <c r="Z383" s="13"/>
      <c r="AA383" s="13"/>
      <c r="AB383" s="13"/>
      <c r="AC383" s="13"/>
    </row>
    <row r="384" ht="16.5" customHeight="1">
      <c r="A384" s="13"/>
      <c r="B384" s="13"/>
      <c r="C384" s="13"/>
      <c r="D384" s="13"/>
      <c r="E384" s="13"/>
      <c r="F384" s="13"/>
      <c r="G384" s="13"/>
      <c r="H384" s="13"/>
      <c r="I384" s="13"/>
      <c r="J384" s="13"/>
      <c r="K384" s="171"/>
      <c r="L384" s="172"/>
      <c r="M384" s="13"/>
      <c r="N384" s="13"/>
      <c r="O384" s="171"/>
      <c r="P384" s="13"/>
      <c r="Q384" s="13"/>
      <c r="R384" s="173"/>
      <c r="S384" s="35"/>
      <c r="T384" s="35"/>
      <c r="U384" s="13"/>
      <c r="V384" s="13"/>
      <c r="W384" s="13"/>
      <c r="X384" s="13"/>
      <c r="Y384" s="13"/>
      <c r="Z384" s="13"/>
      <c r="AA384" s="13"/>
      <c r="AB384" s="13"/>
      <c r="AC384" s="13"/>
    </row>
    <row r="385" ht="16.5" customHeight="1">
      <c r="A385" s="13"/>
      <c r="B385" s="13"/>
      <c r="C385" s="13"/>
      <c r="D385" s="13"/>
      <c r="E385" s="13"/>
      <c r="F385" s="13"/>
      <c r="G385" s="13"/>
      <c r="H385" s="13"/>
      <c r="I385" s="13"/>
      <c r="J385" s="13"/>
      <c r="K385" s="171"/>
      <c r="L385" s="172"/>
      <c r="M385" s="13"/>
      <c r="N385" s="13"/>
      <c r="O385" s="171"/>
      <c r="P385" s="13"/>
      <c r="Q385" s="13"/>
      <c r="R385" s="173"/>
      <c r="S385" s="35"/>
      <c r="T385" s="35"/>
      <c r="U385" s="13"/>
      <c r="V385" s="13"/>
      <c r="W385" s="13"/>
      <c r="X385" s="13"/>
      <c r="Y385" s="13"/>
      <c r="Z385" s="13"/>
      <c r="AA385" s="13"/>
      <c r="AB385" s="13"/>
      <c r="AC385" s="13"/>
    </row>
    <row r="386" ht="16.5" customHeight="1">
      <c r="A386" s="13"/>
      <c r="B386" s="13"/>
      <c r="C386" s="13"/>
      <c r="D386" s="13"/>
      <c r="E386" s="13"/>
      <c r="F386" s="13"/>
      <c r="G386" s="13"/>
      <c r="H386" s="13"/>
      <c r="I386" s="13"/>
      <c r="J386" s="13"/>
      <c r="K386" s="171"/>
      <c r="L386" s="172"/>
      <c r="M386" s="13"/>
      <c r="N386" s="13"/>
      <c r="O386" s="171"/>
      <c r="P386" s="13"/>
      <c r="Q386" s="13"/>
      <c r="R386" s="173"/>
      <c r="S386" s="35"/>
      <c r="T386" s="35"/>
      <c r="U386" s="13"/>
      <c r="V386" s="13"/>
      <c r="W386" s="13"/>
      <c r="X386" s="13"/>
      <c r="Y386" s="13"/>
      <c r="Z386" s="13"/>
      <c r="AA386" s="13"/>
      <c r="AB386" s="13"/>
      <c r="AC386" s="13"/>
    </row>
    <row r="387" ht="16.5" customHeight="1">
      <c r="A387" s="13"/>
      <c r="B387" s="13"/>
      <c r="C387" s="13"/>
      <c r="D387" s="13"/>
      <c r="E387" s="13"/>
      <c r="F387" s="13"/>
      <c r="G387" s="13"/>
      <c r="H387" s="13"/>
      <c r="I387" s="13"/>
      <c r="J387" s="13"/>
      <c r="K387" s="171"/>
      <c r="L387" s="172"/>
      <c r="M387" s="13"/>
      <c r="N387" s="13"/>
      <c r="O387" s="171"/>
      <c r="P387" s="13"/>
      <c r="Q387" s="13"/>
      <c r="R387" s="173"/>
      <c r="S387" s="35"/>
      <c r="T387" s="35"/>
      <c r="U387" s="13"/>
      <c r="V387" s="13"/>
      <c r="W387" s="13"/>
      <c r="X387" s="13"/>
      <c r="Y387" s="13"/>
      <c r="Z387" s="13"/>
      <c r="AA387" s="13"/>
      <c r="AB387" s="13"/>
      <c r="AC387" s="13"/>
    </row>
    <row r="388" ht="16.5" customHeight="1">
      <c r="A388" s="13"/>
      <c r="B388" s="13"/>
      <c r="C388" s="13"/>
      <c r="D388" s="13"/>
      <c r="E388" s="13"/>
      <c r="F388" s="13"/>
      <c r="G388" s="13"/>
      <c r="H388" s="13"/>
      <c r="I388" s="13"/>
      <c r="J388" s="13"/>
      <c r="K388" s="171"/>
      <c r="L388" s="172"/>
      <c r="M388" s="13"/>
      <c r="N388" s="13"/>
      <c r="O388" s="171"/>
      <c r="P388" s="13"/>
      <c r="Q388" s="13"/>
      <c r="R388" s="173"/>
      <c r="S388" s="35"/>
      <c r="T388" s="35"/>
      <c r="U388" s="13"/>
      <c r="V388" s="13"/>
      <c r="W388" s="13"/>
      <c r="X388" s="13"/>
      <c r="Y388" s="13"/>
      <c r="Z388" s="13"/>
      <c r="AA388" s="13"/>
      <c r="AB388" s="13"/>
      <c r="AC388" s="13"/>
    </row>
    <row r="389" ht="16.5" customHeight="1">
      <c r="A389" s="13"/>
      <c r="B389" s="13"/>
      <c r="C389" s="13"/>
      <c r="D389" s="13"/>
      <c r="E389" s="13"/>
      <c r="F389" s="13"/>
      <c r="G389" s="13"/>
      <c r="H389" s="13"/>
      <c r="I389" s="13"/>
      <c r="J389" s="13"/>
      <c r="K389" s="171"/>
      <c r="L389" s="172"/>
      <c r="M389" s="13"/>
      <c r="N389" s="13"/>
      <c r="O389" s="171"/>
      <c r="P389" s="13"/>
      <c r="Q389" s="13"/>
      <c r="R389" s="173"/>
      <c r="S389" s="35"/>
      <c r="T389" s="35"/>
      <c r="U389" s="13"/>
      <c r="V389" s="13"/>
      <c r="W389" s="13"/>
      <c r="X389" s="13"/>
      <c r="Y389" s="13"/>
      <c r="Z389" s="13"/>
      <c r="AA389" s="13"/>
      <c r="AB389" s="13"/>
      <c r="AC389" s="13"/>
    </row>
    <row r="390" ht="16.5" customHeight="1">
      <c r="A390" s="13"/>
      <c r="B390" s="13"/>
      <c r="C390" s="13"/>
      <c r="D390" s="13"/>
      <c r="E390" s="13"/>
      <c r="F390" s="13"/>
      <c r="G390" s="13"/>
      <c r="H390" s="13"/>
      <c r="I390" s="13"/>
      <c r="J390" s="13"/>
      <c r="K390" s="171"/>
      <c r="L390" s="172"/>
      <c r="M390" s="13"/>
      <c r="N390" s="13"/>
      <c r="O390" s="171"/>
      <c r="P390" s="13"/>
      <c r="Q390" s="13"/>
      <c r="R390" s="173"/>
      <c r="S390" s="35"/>
      <c r="T390" s="35"/>
      <c r="U390" s="13"/>
      <c r="V390" s="13"/>
      <c r="W390" s="13"/>
      <c r="X390" s="13"/>
      <c r="Y390" s="13"/>
      <c r="Z390" s="13"/>
      <c r="AA390" s="13"/>
      <c r="AB390" s="13"/>
      <c r="AC390" s="13"/>
    </row>
    <row r="391" ht="16.5" customHeight="1">
      <c r="A391" s="13"/>
      <c r="B391" s="13"/>
      <c r="C391" s="13"/>
      <c r="D391" s="13"/>
      <c r="E391" s="13"/>
      <c r="F391" s="13"/>
      <c r="G391" s="13"/>
      <c r="H391" s="13"/>
      <c r="I391" s="13"/>
      <c r="J391" s="13"/>
      <c r="K391" s="171"/>
      <c r="L391" s="172"/>
      <c r="M391" s="13"/>
      <c r="N391" s="13"/>
      <c r="O391" s="171"/>
      <c r="P391" s="13"/>
      <c r="Q391" s="13"/>
      <c r="R391" s="173"/>
      <c r="S391" s="35"/>
      <c r="T391" s="35"/>
      <c r="U391" s="13"/>
      <c r="V391" s="13"/>
      <c r="W391" s="13"/>
      <c r="X391" s="13"/>
      <c r="Y391" s="13"/>
      <c r="Z391" s="13"/>
      <c r="AA391" s="13"/>
      <c r="AB391" s="13"/>
      <c r="AC391" s="13"/>
    </row>
    <row r="392" ht="16.5" customHeight="1">
      <c r="A392" s="13"/>
      <c r="B392" s="13"/>
      <c r="C392" s="13"/>
      <c r="D392" s="13"/>
      <c r="E392" s="13"/>
      <c r="F392" s="13"/>
      <c r="G392" s="13"/>
      <c r="H392" s="13"/>
      <c r="I392" s="13"/>
      <c r="J392" s="13"/>
      <c r="K392" s="171"/>
      <c r="L392" s="172"/>
      <c r="M392" s="13"/>
      <c r="N392" s="13"/>
      <c r="O392" s="171"/>
      <c r="P392" s="13"/>
      <c r="Q392" s="13"/>
      <c r="R392" s="173"/>
      <c r="S392" s="35"/>
      <c r="T392" s="35"/>
      <c r="U392" s="13"/>
      <c r="V392" s="13"/>
      <c r="W392" s="13"/>
      <c r="X392" s="13"/>
      <c r="Y392" s="13"/>
      <c r="Z392" s="13"/>
      <c r="AA392" s="13"/>
      <c r="AB392" s="13"/>
      <c r="AC392" s="13"/>
    </row>
    <row r="393" ht="16.5" customHeight="1">
      <c r="A393" s="13"/>
      <c r="B393" s="13"/>
      <c r="C393" s="13"/>
      <c r="D393" s="13"/>
      <c r="E393" s="13"/>
      <c r="F393" s="13"/>
      <c r="G393" s="13"/>
      <c r="H393" s="13"/>
      <c r="I393" s="13"/>
      <c r="J393" s="13"/>
      <c r="K393" s="171"/>
      <c r="L393" s="172"/>
      <c r="M393" s="13"/>
      <c r="N393" s="13"/>
      <c r="O393" s="171"/>
      <c r="P393" s="13"/>
      <c r="Q393" s="13"/>
      <c r="R393" s="173"/>
      <c r="S393" s="35"/>
      <c r="T393" s="35"/>
      <c r="U393" s="13"/>
      <c r="V393" s="13"/>
      <c r="W393" s="13"/>
      <c r="X393" s="13"/>
      <c r="Y393" s="13"/>
      <c r="Z393" s="13"/>
      <c r="AA393" s="13"/>
      <c r="AB393" s="13"/>
      <c r="AC393" s="13"/>
    </row>
    <row r="394" ht="16.5" customHeight="1">
      <c r="A394" s="13"/>
      <c r="B394" s="13"/>
      <c r="C394" s="13"/>
      <c r="D394" s="13"/>
      <c r="E394" s="13"/>
      <c r="F394" s="13"/>
      <c r="G394" s="13"/>
      <c r="H394" s="13"/>
      <c r="I394" s="13"/>
      <c r="J394" s="13"/>
      <c r="K394" s="171"/>
      <c r="L394" s="172"/>
      <c r="M394" s="13"/>
      <c r="N394" s="13"/>
      <c r="O394" s="171"/>
      <c r="P394" s="13"/>
      <c r="Q394" s="13"/>
      <c r="R394" s="173"/>
      <c r="S394" s="35"/>
      <c r="T394" s="35"/>
      <c r="U394" s="13"/>
      <c r="V394" s="13"/>
      <c r="W394" s="13"/>
      <c r="X394" s="13"/>
      <c r="Y394" s="13"/>
      <c r="Z394" s="13"/>
      <c r="AA394" s="13"/>
      <c r="AB394" s="13"/>
      <c r="AC394" s="13"/>
    </row>
    <row r="395" ht="16.5" customHeight="1">
      <c r="A395" s="13"/>
      <c r="B395" s="13"/>
      <c r="C395" s="13"/>
      <c r="D395" s="13"/>
      <c r="E395" s="13"/>
      <c r="F395" s="13"/>
      <c r="G395" s="13"/>
      <c r="H395" s="13"/>
      <c r="I395" s="13"/>
      <c r="J395" s="13"/>
      <c r="K395" s="171"/>
      <c r="L395" s="172"/>
      <c r="M395" s="13"/>
      <c r="N395" s="13"/>
      <c r="O395" s="171"/>
      <c r="P395" s="13"/>
      <c r="Q395" s="13"/>
      <c r="R395" s="173"/>
      <c r="S395" s="35"/>
      <c r="T395" s="35"/>
      <c r="U395" s="13"/>
      <c r="V395" s="13"/>
      <c r="W395" s="13"/>
      <c r="X395" s="13"/>
      <c r="Y395" s="13"/>
      <c r="Z395" s="13"/>
      <c r="AA395" s="13"/>
      <c r="AB395" s="13"/>
      <c r="AC395" s="13"/>
    </row>
    <row r="396" ht="16.5" customHeight="1">
      <c r="A396" s="13"/>
      <c r="B396" s="13"/>
      <c r="C396" s="13"/>
      <c r="D396" s="13"/>
      <c r="E396" s="13"/>
      <c r="F396" s="13"/>
      <c r="G396" s="13"/>
      <c r="H396" s="13"/>
      <c r="I396" s="13"/>
      <c r="J396" s="13"/>
      <c r="K396" s="171"/>
      <c r="L396" s="172"/>
      <c r="M396" s="13"/>
      <c r="N396" s="13"/>
      <c r="O396" s="171"/>
      <c r="P396" s="13"/>
      <c r="Q396" s="13"/>
      <c r="R396" s="173"/>
      <c r="S396" s="35"/>
      <c r="T396" s="35"/>
      <c r="U396" s="13"/>
      <c r="V396" s="13"/>
      <c r="W396" s="13"/>
      <c r="X396" s="13"/>
      <c r="Y396" s="13"/>
      <c r="Z396" s="13"/>
      <c r="AA396" s="13"/>
      <c r="AB396" s="13"/>
      <c r="AC396" s="13"/>
    </row>
    <row r="397" ht="16.5" customHeight="1">
      <c r="A397" s="13"/>
      <c r="B397" s="13"/>
      <c r="C397" s="13"/>
      <c r="D397" s="13"/>
      <c r="E397" s="13"/>
      <c r="F397" s="13"/>
      <c r="G397" s="13"/>
      <c r="H397" s="13"/>
      <c r="I397" s="13"/>
      <c r="J397" s="13"/>
      <c r="K397" s="171"/>
      <c r="L397" s="172"/>
      <c r="M397" s="13"/>
      <c r="N397" s="13"/>
      <c r="O397" s="171"/>
      <c r="P397" s="13"/>
      <c r="Q397" s="13"/>
      <c r="R397" s="173"/>
      <c r="S397" s="35"/>
      <c r="T397" s="35"/>
      <c r="U397" s="13"/>
      <c r="V397" s="13"/>
      <c r="W397" s="13"/>
      <c r="X397" s="13"/>
      <c r="Y397" s="13"/>
      <c r="Z397" s="13"/>
      <c r="AA397" s="13"/>
      <c r="AB397" s="13"/>
      <c r="AC397" s="13"/>
    </row>
    <row r="398" ht="16.5" customHeight="1">
      <c r="A398" s="13"/>
      <c r="B398" s="13"/>
      <c r="C398" s="13"/>
      <c r="D398" s="13"/>
      <c r="E398" s="13"/>
      <c r="F398" s="13"/>
      <c r="G398" s="13"/>
      <c r="H398" s="13"/>
      <c r="I398" s="13"/>
      <c r="J398" s="13"/>
      <c r="K398" s="171"/>
      <c r="L398" s="172"/>
      <c r="M398" s="13"/>
      <c r="N398" s="13"/>
      <c r="O398" s="171"/>
      <c r="P398" s="13"/>
      <c r="Q398" s="13"/>
      <c r="R398" s="173"/>
      <c r="S398" s="35"/>
      <c r="T398" s="35"/>
      <c r="U398" s="13"/>
      <c r="V398" s="13"/>
      <c r="W398" s="13"/>
      <c r="X398" s="13"/>
      <c r="Y398" s="13"/>
      <c r="Z398" s="13"/>
      <c r="AA398" s="13"/>
      <c r="AB398" s="13"/>
      <c r="AC398" s="13"/>
    </row>
    <row r="399" ht="16.5" customHeight="1">
      <c r="A399" s="13"/>
      <c r="B399" s="13"/>
      <c r="C399" s="13"/>
      <c r="D399" s="13"/>
      <c r="E399" s="13"/>
      <c r="F399" s="13"/>
      <c r="G399" s="13"/>
      <c r="H399" s="13"/>
      <c r="I399" s="13"/>
      <c r="J399" s="13"/>
      <c r="K399" s="171"/>
      <c r="L399" s="172"/>
      <c r="M399" s="13"/>
      <c r="N399" s="13"/>
      <c r="O399" s="171"/>
      <c r="P399" s="13"/>
      <c r="Q399" s="13"/>
      <c r="R399" s="173"/>
      <c r="S399" s="35"/>
      <c r="T399" s="35"/>
      <c r="U399" s="13"/>
      <c r="V399" s="13"/>
      <c r="W399" s="13"/>
      <c r="X399" s="13"/>
      <c r="Y399" s="13"/>
      <c r="Z399" s="13"/>
      <c r="AA399" s="13"/>
      <c r="AB399" s="13"/>
      <c r="AC399" s="13"/>
    </row>
    <row r="400" ht="16.5" customHeight="1">
      <c r="A400" s="13"/>
      <c r="B400" s="13"/>
      <c r="C400" s="13"/>
      <c r="D400" s="13"/>
      <c r="E400" s="13"/>
      <c r="F400" s="13"/>
      <c r="G400" s="13"/>
      <c r="H400" s="13"/>
      <c r="I400" s="13"/>
      <c r="J400" s="13"/>
      <c r="K400" s="171"/>
      <c r="L400" s="172"/>
      <c r="M400" s="13"/>
      <c r="N400" s="13"/>
      <c r="O400" s="171"/>
      <c r="P400" s="13"/>
      <c r="Q400" s="13"/>
      <c r="R400" s="173"/>
      <c r="S400" s="35"/>
      <c r="T400" s="35"/>
      <c r="U400" s="13"/>
      <c r="V400" s="13"/>
      <c r="W400" s="13"/>
      <c r="X400" s="13"/>
      <c r="Y400" s="13"/>
      <c r="Z400" s="13"/>
      <c r="AA400" s="13"/>
      <c r="AB400" s="13"/>
      <c r="AC400" s="13"/>
    </row>
    <row r="401" ht="16.5" customHeight="1">
      <c r="A401" s="13"/>
      <c r="B401" s="13"/>
      <c r="C401" s="13"/>
      <c r="D401" s="13"/>
      <c r="E401" s="13"/>
      <c r="F401" s="13"/>
      <c r="G401" s="13"/>
      <c r="H401" s="13"/>
      <c r="I401" s="13"/>
      <c r="J401" s="13"/>
      <c r="K401" s="171"/>
      <c r="L401" s="172"/>
      <c r="M401" s="13"/>
      <c r="N401" s="13"/>
      <c r="O401" s="171"/>
      <c r="P401" s="13"/>
      <c r="Q401" s="13"/>
      <c r="R401" s="173"/>
      <c r="S401" s="35"/>
      <c r="T401" s="35"/>
      <c r="U401" s="13"/>
      <c r="V401" s="13"/>
      <c r="W401" s="13"/>
      <c r="X401" s="13"/>
      <c r="Y401" s="13"/>
      <c r="Z401" s="13"/>
      <c r="AA401" s="13"/>
      <c r="AB401" s="13"/>
      <c r="AC401" s="13"/>
    </row>
    <row r="402" ht="16.5" customHeight="1">
      <c r="A402" s="13"/>
      <c r="B402" s="13"/>
      <c r="C402" s="13"/>
      <c r="D402" s="13"/>
      <c r="E402" s="13"/>
      <c r="F402" s="13"/>
      <c r="G402" s="13"/>
      <c r="H402" s="13"/>
      <c r="I402" s="13"/>
      <c r="J402" s="13"/>
      <c r="K402" s="171"/>
      <c r="L402" s="172"/>
      <c r="M402" s="13"/>
      <c r="N402" s="13"/>
      <c r="O402" s="171"/>
      <c r="P402" s="13"/>
      <c r="Q402" s="13"/>
      <c r="R402" s="173"/>
      <c r="S402" s="35"/>
      <c r="T402" s="35"/>
      <c r="U402" s="13"/>
      <c r="V402" s="13"/>
      <c r="W402" s="13"/>
      <c r="X402" s="13"/>
      <c r="Y402" s="13"/>
      <c r="Z402" s="13"/>
      <c r="AA402" s="13"/>
      <c r="AB402" s="13"/>
      <c r="AC402" s="13"/>
    </row>
    <row r="403" ht="16.5" customHeight="1">
      <c r="A403" s="13"/>
      <c r="B403" s="13"/>
      <c r="C403" s="13"/>
      <c r="D403" s="13"/>
      <c r="E403" s="13"/>
      <c r="F403" s="13"/>
      <c r="G403" s="13"/>
      <c r="H403" s="13"/>
      <c r="I403" s="13"/>
      <c r="J403" s="13"/>
      <c r="K403" s="171"/>
      <c r="L403" s="172"/>
      <c r="M403" s="13"/>
      <c r="N403" s="13"/>
      <c r="O403" s="171"/>
      <c r="P403" s="13"/>
      <c r="Q403" s="13"/>
      <c r="R403" s="173"/>
      <c r="S403" s="35"/>
      <c r="T403" s="35"/>
      <c r="U403" s="13"/>
      <c r="V403" s="13"/>
      <c r="W403" s="13"/>
      <c r="X403" s="13"/>
      <c r="Y403" s="13"/>
      <c r="Z403" s="13"/>
      <c r="AA403" s="13"/>
      <c r="AB403" s="13"/>
      <c r="AC403" s="13"/>
    </row>
    <row r="404" ht="16.5" customHeight="1">
      <c r="A404" s="13"/>
      <c r="B404" s="13"/>
      <c r="C404" s="13"/>
      <c r="D404" s="13"/>
      <c r="E404" s="13"/>
      <c r="F404" s="13"/>
      <c r="G404" s="13"/>
      <c r="H404" s="13"/>
      <c r="I404" s="13"/>
      <c r="J404" s="13"/>
      <c r="K404" s="171"/>
      <c r="L404" s="172"/>
      <c r="M404" s="13"/>
      <c r="N404" s="13"/>
      <c r="O404" s="171"/>
      <c r="P404" s="13"/>
      <c r="Q404" s="13"/>
      <c r="R404" s="173"/>
      <c r="S404" s="35"/>
      <c r="T404" s="35"/>
      <c r="U404" s="13"/>
      <c r="V404" s="13"/>
      <c r="W404" s="13"/>
      <c r="X404" s="13"/>
      <c r="Y404" s="13"/>
      <c r="Z404" s="13"/>
      <c r="AA404" s="13"/>
      <c r="AB404" s="13"/>
      <c r="AC404" s="13"/>
    </row>
    <row r="405" ht="16.5" customHeight="1">
      <c r="A405" s="13"/>
      <c r="B405" s="13"/>
      <c r="C405" s="13"/>
      <c r="D405" s="13"/>
      <c r="E405" s="13"/>
      <c r="F405" s="13"/>
      <c r="G405" s="13"/>
      <c r="H405" s="13"/>
      <c r="I405" s="13"/>
      <c r="J405" s="13"/>
      <c r="K405" s="171"/>
      <c r="L405" s="172"/>
      <c r="M405" s="13"/>
      <c r="N405" s="13"/>
      <c r="O405" s="171"/>
      <c r="P405" s="13"/>
      <c r="Q405" s="13"/>
      <c r="R405" s="173"/>
      <c r="S405" s="35"/>
      <c r="T405" s="35"/>
      <c r="U405" s="13"/>
      <c r="V405" s="13"/>
      <c r="W405" s="13"/>
      <c r="X405" s="13"/>
      <c r="Y405" s="13"/>
      <c r="Z405" s="13"/>
      <c r="AA405" s="13"/>
      <c r="AB405" s="13"/>
      <c r="AC405" s="13"/>
    </row>
    <row r="406" ht="16.5" customHeight="1">
      <c r="A406" s="13"/>
      <c r="B406" s="13"/>
      <c r="C406" s="13"/>
      <c r="D406" s="13"/>
      <c r="E406" s="13"/>
      <c r="F406" s="13"/>
      <c r="G406" s="13"/>
      <c r="H406" s="13"/>
      <c r="I406" s="13"/>
      <c r="J406" s="13"/>
      <c r="K406" s="171"/>
      <c r="L406" s="172"/>
      <c r="M406" s="13"/>
      <c r="N406" s="13"/>
      <c r="O406" s="171"/>
      <c r="P406" s="13"/>
      <c r="Q406" s="13"/>
      <c r="R406" s="173"/>
      <c r="S406" s="35"/>
      <c r="T406" s="35"/>
      <c r="U406" s="13"/>
      <c r="V406" s="13"/>
      <c r="W406" s="13"/>
      <c r="X406" s="13"/>
      <c r="Y406" s="13"/>
      <c r="Z406" s="13"/>
      <c r="AA406" s="13"/>
      <c r="AB406" s="13"/>
      <c r="AC406" s="13"/>
    </row>
    <row r="407" ht="16.5" customHeight="1">
      <c r="A407" s="13"/>
      <c r="B407" s="13"/>
      <c r="C407" s="13"/>
      <c r="D407" s="13"/>
      <c r="E407" s="13"/>
      <c r="F407" s="13"/>
      <c r="G407" s="13"/>
      <c r="H407" s="13"/>
      <c r="I407" s="13"/>
      <c r="J407" s="13"/>
      <c r="K407" s="171"/>
      <c r="L407" s="172"/>
      <c r="M407" s="13"/>
      <c r="N407" s="13"/>
      <c r="O407" s="171"/>
      <c r="P407" s="13"/>
      <c r="Q407" s="13"/>
      <c r="R407" s="173"/>
      <c r="S407" s="35"/>
      <c r="T407" s="35"/>
      <c r="U407" s="13"/>
      <c r="V407" s="13"/>
      <c r="W407" s="13"/>
      <c r="X407" s="13"/>
      <c r="Y407" s="13"/>
      <c r="Z407" s="13"/>
      <c r="AA407" s="13"/>
      <c r="AB407" s="13"/>
      <c r="AC407" s="13"/>
    </row>
    <row r="408" ht="16.5" customHeight="1">
      <c r="A408" s="13"/>
      <c r="B408" s="13"/>
      <c r="C408" s="13"/>
      <c r="D408" s="13"/>
      <c r="E408" s="13"/>
      <c r="F408" s="13"/>
      <c r="G408" s="13"/>
      <c r="H408" s="13"/>
      <c r="I408" s="13"/>
      <c r="J408" s="13"/>
      <c r="K408" s="171"/>
      <c r="L408" s="172"/>
      <c r="M408" s="13"/>
      <c r="N408" s="13"/>
      <c r="O408" s="171"/>
      <c r="P408" s="13"/>
      <c r="Q408" s="13"/>
      <c r="R408" s="173"/>
      <c r="S408" s="35"/>
      <c r="T408" s="35"/>
      <c r="U408" s="13"/>
      <c r="V408" s="13"/>
      <c r="W408" s="13"/>
      <c r="X408" s="13"/>
      <c r="Y408" s="13"/>
      <c r="Z408" s="13"/>
      <c r="AA408" s="13"/>
      <c r="AB408" s="13"/>
      <c r="AC408" s="13"/>
    </row>
    <row r="409" ht="16.5" customHeight="1">
      <c r="A409" s="13"/>
      <c r="B409" s="13"/>
      <c r="C409" s="13"/>
      <c r="D409" s="13"/>
      <c r="E409" s="13"/>
      <c r="F409" s="13"/>
      <c r="G409" s="13"/>
      <c r="H409" s="13"/>
      <c r="I409" s="13"/>
      <c r="J409" s="13"/>
      <c r="K409" s="171"/>
      <c r="L409" s="172"/>
      <c r="M409" s="13"/>
      <c r="N409" s="13"/>
      <c r="O409" s="171"/>
      <c r="P409" s="13"/>
      <c r="Q409" s="13"/>
      <c r="R409" s="173"/>
      <c r="S409" s="35"/>
      <c r="T409" s="35"/>
      <c r="U409" s="13"/>
      <c r="V409" s="13"/>
      <c r="W409" s="13"/>
      <c r="X409" s="13"/>
      <c r="Y409" s="13"/>
      <c r="Z409" s="13"/>
      <c r="AA409" s="13"/>
      <c r="AB409" s="13"/>
      <c r="AC409" s="13"/>
    </row>
    <row r="410" ht="16.5" customHeight="1">
      <c r="A410" s="13"/>
      <c r="B410" s="13"/>
      <c r="C410" s="13"/>
      <c r="D410" s="13"/>
      <c r="E410" s="13"/>
      <c r="F410" s="13"/>
      <c r="G410" s="13"/>
      <c r="H410" s="13"/>
      <c r="I410" s="13"/>
      <c r="J410" s="13"/>
      <c r="K410" s="171"/>
      <c r="L410" s="172"/>
      <c r="M410" s="13"/>
      <c r="N410" s="13"/>
      <c r="O410" s="171"/>
      <c r="P410" s="13"/>
      <c r="Q410" s="13"/>
      <c r="R410" s="173"/>
      <c r="S410" s="35"/>
      <c r="T410" s="35"/>
      <c r="U410" s="13"/>
      <c r="V410" s="13"/>
      <c r="W410" s="13"/>
      <c r="X410" s="13"/>
      <c r="Y410" s="13"/>
      <c r="Z410" s="13"/>
      <c r="AA410" s="13"/>
      <c r="AB410" s="13"/>
      <c r="AC410" s="13"/>
    </row>
    <row r="411" ht="16.5" customHeight="1">
      <c r="A411" s="13"/>
      <c r="B411" s="13"/>
      <c r="C411" s="13"/>
      <c r="D411" s="13"/>
      <c r="E411" s="13"/>
      <c r="F411" s="13"/>
      <c r="G411" s="13"/>
      <c r="H411" s="13"/>
      <c r="I411" s="13"/>
      <c r="J411" s="13"/>
      <c r="K411" s="171"/>
      <c r="L411" s="172"/>
      <c r="M411" s="13"/>
      <c r="N411" s="13"/>
      <c r="O411" s="171"/>
      <c r="P411" s="13"/>
      <c r="Q411" s="13"/>
      <c r="R411" s="173"/>
      <c r="S411" s="35"/>
      <c r="T411" s="35"/>
      <c r="U411" s="13"/>
      <c r="V411" s="13"/>
      <c r="W411" s="13"/>
      <c r="X411" s="13"/>
      <c r="Y411" s="13"/>
      <c r="Z411" s="13"/>
      <c r="AA411" s="13"/>
      <c r="AB411" s="13"/>
      <c r="AC411" s="13"/>
    </row>
    <row r="412" ht="16.5" customHeight="1">
      <c r="A412" s="13"/>
      <c r="B412" s="13"/>
      <c r="C412" s="13"/>
      <c r="D412" s="13"/>
      <c r="E412" s="13"/>
      <c r="F412" s="13"/>
      <c r="G412" s="13"/>
      <c r="H412" s="13"/>
      <c r="I412" s="13"/>
      <c r="J412" s="13"/>
      <c r="K412" s="171"/>
      <c r="L412" s="172"/>
      <c r="M412" s="13"/>
      <c r="N412" s="13"/>
      <c r="O412" s="171"/>
      <c r="P412" s="13"/>
      <c r="Q412" s="13"/>
      <c r="R412" s="173"/>
      <c r="S412" s="35"/>
      <c r="T412" s="35"/>
      <c r="U412" s="13"/>
      <c r="V412" s="13"/>
      <c r="W412" s="13"/>
      <c r="X412" s="13"/>
      <c r="Y412" s="13"/>
      <c r="Z412" s="13"/>
      <c r="AA412" s="13"/>
      <c r="AB412" s="13"/>
      <c r="AC412" s="13"/>
    </row>
    <row r="413" ht="16.5" customHeight="1">
      <c r="A413" s="13"/>
      <c r="B413" s="13"/>
      <c r="C413" s="13"/>
      <c r="D413" s="13"/>
      <c r="E413" s="13"/>
      <c r="F413" s="13"/>
      <c r="G413" s="13"/>
      <c r="H413" s="13"/>
      <c r="I413" s="13"/>
      <c r="J413" s="13"/>
      <c r="K413" s="171"/>
      <c r="L413" s="172"/>
      <c r="M413" s="13"/>
      <c r="N413" s="13"/>
      <c r="O413" s="171"/>
      <c r="P413" s="13"/>
      <c r="Q413" s="13"/>
      <c r="R413" s="173"/>
      <c r="S413" s="35"/>
      <c r="T413" s="35"/>
      <c r="U413" s="13"/>
      <c r="V413" s="13"/>
      <c r="W413" s="13"/>
      <c r="X413" s="13"/>
      <c r="Y413" s="13"/>
      <c r="Z413" s="13"/>
      <c r="AA413" s="13"/>
      <c r="AB413" s="13"/>
      <c r="AC413" s="13"/>
    </row>
    <row r="414" ht="16.5" customHeight="1">
      <c r="A414" s="13"/>
      <c r="B414" s="13"/>
      <c r="C414" s="13"/>
      <c r="D414" s="13"/>
      <c r="E414" s="13"/>
      <c r="F414" s="13"/>
      <c r="G414" s="13"/>
      <c r="H414" s="13"/>
      <c r="I414" s="13"/>
      <c r="J414" s="13"/>
      <c r="K414" s="171"/>
      <c r="L414" s="172"/>
      <c r="M414" s="13"/>
      <c r="N414" s="13"/>
      <c r="O414" s="171"/>
      <c r="P414" s="13"/>
      <c r="Q414" s="13"/>
      <c r="R414" s="173"/>
      <c r="S414" s="35"/>
      <c r="T414" s="35"/>
      <c r="U414" s="13"/>
      <c r="V414" s="13"/>
      <c r="W414" s="13"/>
      <c r="X414" s="13"/>
      <c r="Y414" s="13"/>
      <c r="Z414" s="13"/>
      <c r="AA414" s="13"/>
      <c r="AB414" s="13"/>
      <c r="AC414" s="13"/>
    </row>
    <row r="415" ht="16.5" customHeight="1">
      <c r="A415" s="13"/>
      <c r="B415" s="13"/>
      <c r="C415" s="13"/>
      <c r="D415" s="13"/>
      <c r="E415" s="13"/>
      <c r="F415" s="13"/>
      <c r="G415" s="13"/>
      <c r="H415" s="13"/>
      <c r="I415" s="13"/>
      <c r="J415" s="13"/>
      <c r="K415" s="171"/>
      <c r="L415" s="172"/>
      <c r="M415" s="13"/>
      <c r="N415" s="13"/>
      <c r="O415" s="171"/>
      <c r="P415" s="13"/>
      <c r="Q415" s="13"/>
      <c r="R415" s="173"/>
      <c r="S415" s="35"/>
      <c r="T415" s="35"/>
      <c r="U415" s="13"/>
      <c r="V415" s="13"/>
      <c r="W415" s="13"/>
      <c r="X415" s="13"/>
      <c r="Y415" s="13"/>
      <c r="Z415" s="13"/>
      <c r="AA415" s="13"/>
      <c r="AB415" s="13"/>
      <c r="AC415" s="13"/>
    </row>
    <row r="416" ht="16.5" customHeight="1">
      <c r="A416" s="13"/>
      <c r="B416" s="13"/>
      <c r="C416" s="13"/>
      <c r="D416" s="13"/>
      <c r="E416" s="13"/>
      <c r="F416" s="13"/>
      <c r="G416" s="13"/>
      <c r="H416" s="13"/>
      <c r="I416" s="13"/>
      <c r="J416" s="13"/>
      <c r="K416" s="171"/>
      <c r="L416" s="172"/>
      <c r="M416" s="13"/>
      <c r="N416" s="13"/>
      <c r="O416" s="171"/>
      <c r="P416" s="13"/>
      <c r="Q416" s="13"/>
      <c r="R416" s="173"/>
      <c r="S416" s="35"/>
      <c r="T416" s="35"/>
      <c r="U416" s="13"/>
      <c r="V416" s="13"/>
      <c r="W416" s="13"/>
      <c r="X416" s="13"/>
      <c r="Y416" s="13"/>
      <c r="Z416" s="13"/>
      <c r="AA416" s="13"/>
      <c r="AB416" s="13"/>
      <c r="AC416" s="13"/>
    </row>
    <row r="417" ht="16.5" customHeight="1">
      <c r="A417" s="13"/>
      <c r="B417" s="13"/>
      <c r="C417" s="13"/>
      <c r="D417" s="13"/>
      <c r="E417" s="13"/>
      <c r="F417" s="13"/>
      <c r="G417" s="13"/>
      <c r="H417" s="13"/>
      <c r="I417" s="13"/>
      <c r="J417" s="13"/>
      <c r="K417" s="171"/>
      <c r="L417" s="172"/>
      <c r="M417" s="13"/>
      <c r="N417" s="13"/>
      <c r="O417" s="171"/>
      <c r="P417" s="13"/>
      <c r="Q417" s="13"/>
      <c r="R417" s="173"/>
      <c r="S417" s="35"/>
      <c r="T417" s="35"/>
      <c r="U417" s="13"/>
      <c r="V417" s="13"/>
      <c r="W417" s="13"/>
      <c r="X417" s="13"/>
      <c r="Y417" s="13"/>
      <c r="Z417" s="13"/>
      <c r="AA417" s="13"/>
      <c r="AB417" s="13"/>
      <c r="AC417" s="13"/>
    </row>
    <row r="418" ht="16.5" customHeight="1">
      <c r="A418" s="13"/>
      <c r="B418" s="13"/>
      <c r="C418" s="13"/>
      <c r="D418" s="13"/>
      <c r="E418" s="13"/>
      <c r="F418" s="13"/>
      <c r="G418" s="13"/>
      <c r="H418" s="13"/>
      <c r="I418" s="13"/>
      <c r="J418" s="13"/>
      <c r="K418" s="171"/>
      <c r="L418" s="172"/>
      <c r="M418" s="13"/>
      <c r="N418" s="13"/>
      <c r="O418" s="171"/>
      <c r="P418" s="13"/>
      <c r="Q418" s="13"/>
      <c r="R418" s="173"/>
      <c r="S418" s="35"/>
      <c r="T418" s="35"/>
      <c r="U418" s="13"/>
      <c r="V418" s="13"/>
      <c r="W418" s="13"/>
      <c r="X418" s="13"/>
      <c r="Y418" s="13"/>
      <c r="Z418" s="13"/>
      <c r="AA418" s="13"/>
      <c r="AB418" s="13"/>
      <c r="AC418" s="13"/>
    </row>
    <row r="419" ht="16.5" customHeight="1">
      <c r="A419" s="13"/>
      <c r="B419" s="13"/>
      <c r="C419" s="13"/>
      <c r="D419" s="13"/>
      <c r="E419" s="13"/>
      <c r="F419" s="13"/>
      <c r="G419" s="13"/>
      <c r="H419" s="13"/>
      <c r="I419" s="13"/>
      <c r="J419" s="13"/>
      <c r="K419" s="171"/>
      <c r="L419" s="172"/>
      <c r="M419" s="13"/>
      <c r="N419" s="13"/>
      <c r="O419" s="171"/>
      <c r="P419" s="13"/>
      <c r="Q419" s="13"/>
      <c r="R419" s="173"/>
      <c r="S419" s="35"/>
      <c r="T419" s="35"/>
      <c r="U419" s="13"/>
      <c r="V419" s="13"/>
      <c r="W419" s="13"/>
      <c r="X419" s="13"/>
      <c r="Y419" s="13"/>
      <c r="Z419" s="13"/>
      <c r="AA419" s="13"/>
      <c r="AB419" s="13"/>
      <c r="AC419" s="13"/>
    </row>
    <row r="420" ht="16.5" customHeight="1">
      <c r="A420" s="13"/>
      <c r="B420" s="13"/>
      <c r="C420" s="13"/>
      <c r="D420" s="13"/>
      <c r="E420" s="13"/>
      <c r="F420" s="13"/>
      <c r="G420" s="13"/>
      <c r="H420" s="13"/>
      <c r="I420" s="13"/>
      <c r="J420" s="13"/>
      <c r="K420" s="171"/>
      <c r="L420" s="172"/>
      <c r="M420" s="13"/>
      <c r="N420" s="13"/>
      <c r="O420" s="171"/>
      <c r="P420" s="13"/>
      <c r="Q420" s="13"/>
      <c r="R420" s="173"/>
      <c r="S420" s="35"/>
      <c r="T420" s="35"/>
      <c r="U420" s="13"/>
      <c r="V420" s="13"/>
      <c r="W420" s="13"/>
      <c r="X420" s="13"/>
      <c r="Y420" s="13"/>
      <c r="Z420" s="13"/>
      <c r="AA420" s="13"/>
      <c r="AB420" s="13"/>
      <c r="AC420" s="13"/>
    </row>
    <row r="421" ht="16.5" customHeight="1">
      <c r="A421" s="13"/>
      <c r="B421" s="13"/>
      <c r="C421" s="13"/>
      <c r="D421" s="13"/>
      <c r="E421" s="13"/>
      <c r="F421" s="13"/>
      <c r="G421" s="13"/>
      <c r="H421" s="13"/>
      <c r="I421" s="13"/>
      <c r="J421" s="13"/>
      <c r="K421" s="171"/>
      <c r="L421" s="172"/>
      <c r="M421" s="13"/>
      <c r="N421" s="13"/>
      <c r="O421" s="171"/>
      <c r="P421" s="13"/>
      <c r="Q421" s="13"/>
      <c r="R421" s="173"/>
      <c r="S421" s="35"/>
      <c r="T421" s="35"/>
      <c r="U421" s="13"/>
      <c r="V421" s="13"/>
      <c r="W421" s="13"/>
      <c r="X421" s="13"/>
      <c r="Y421" s="13"/>
      <c r="Z421" s="13"/>
      <c r="AA421" s="13"/>
      <c r="AB421" s="13"/>
      <c r="AC421" s="13"/>
    </row>
    <row r="422" ht="16.5" customHeight="1">
      <c r="A422" s="13"/>
      <c r="B422" s="13"/>
      <c r="C422" s="13"/>
      <c r="D422" s="13"/>
      <c r="E422" s="13"/>
      <c r="F422" s="13"/>
      <c r="G422" s="13"/>
      <c r="H422" s="13"/>
      <c r="I422" s="13"/>
      <c r="J422" s="13"/>
      <c r="K422" s="171"/>
      <c r="L422" s="172"/>
      <c r="M422" s="13"/>
      <c r="N422" s="13"/>
      <c r="O422" s="171"/>
      <c r="P422" s="13"/>
      <c r="Q422" s="13"/>
      <c r="R422" s="173"/>
      <c r="S422" s="35"/>
      <c r="T422" s="35"/>
      <c r="U422" s="13"/>
      <c r="V422" s="13"/>
      <c r="W422" s="13"/>
      <c r="X422" s="13"/>
      <c r="Y422" s="13"/>
      <c r="Z422" s="13"/>
      <c r="AA422" s="13"/>
      <c r="AB422" s="13"/>
      <c r="AC422" s="13"/>
    </row>
    <row r="423" ht="16.5" customHeight="1">
      <c r="A423" s="13"/>
      <c r="B423" s="13"/>
      <c r="C423" s="13"/>
      <c r="D423" s="13"/>
      <c r="E423" s="13"/>
      <c r="F423" s="13"/>
      <c r="G423" s="13"/>
      <c r="H423" s="13"/>
      <c r="I423" s="13"/>
      <c r="J423" s="13"/>
      <c r="K423" s="171"/>
      <c r="L423" s="172"/>
      <c r="M423" s="13"/>
      <c r="N423" s="13"/>
      <c r="O423" s="171"/>
      <c r="P423" s="13"/>
      <c r="Q423" s="13"/>
      <c r="R423" s="173"/>
      <c r="S423" s="35"/>
      <c r="T423" s="35"/>
      <c r="U423" s="13"/>
      <c r="V423" s="13"/>
      <c r="W423" s="13"/>
      <c r="X423" s="13"/>
      <c r="Y423" s="13"/>
      <c r="Z423" s="13"/>
      <c r="AA423" s="13"/>
      <c r="AB423" s="13"/>
      <c r="AC423" s="13"/>
    </row>
    <row r="424" ht="16.5" customHeight="1">
      <c r="A424" s="13"/>
      <c r="B424" s="13"/>
      <c r="C424" s="13"/>
      <c r="D424" s="13"/>
      <c r="E424" s="13"/>
      <c r="F424" s="13"/>
      <c r="G424" s="13"/>
      <c r="H424" s="13"/>
      <c r="I424" s="13"/>
      <c r="J424" s="13"/>
      <c r="K424" s="171"/>
      <c r="L424" s="172"/>
      <c r="M424" s="13"/>
      <c r="N424" s="13"/>
      <c r="O424" s="171"/>
      <c r="P424" s="13"/>
      <c r="Q424" s="13"/>
      <c r="R424" s="173"/>
      <c r="S424" s="35"/>
      <c r="T424" s="35"/>
      <c r="U424" s="13"/>
      <c r="V424" s="13"/>
      <c r="W424" s="13"/>
      <c r="X424" s="13"/>
      <c r="Y424" s="13"/>
      <c r="Z424" s="13"/>
      <c r="AA424" s="13"/>
      <c r="AB424" s="13"/>
      <c r="AC424" s="13"/>
    </row>
    <row r="425" ht="16.5" customHeight="1">
      <c r="A425" s="13"/>
      <c r="B425" s="13"/>
      <c r="C425" s="13"/>
      <c r="D425" s="13"/>
      <c r="E425" s="13"/>
      <c r="F425" s="13"/>
      <c r="G425" s="13"/>
      <c r="H425" s="13"/>
      <c r="I425" s="13"/>
      <c r="J425" s="13"/>
      <c r="K425" s="171"/>
      <c r="L425" s="172"/>
      <c r="M425" s="13"/>
      <c r="N425" s="13"/>
      <c r="O425" s="171"/>
      <c r="P425" s="13"/>
      <c r="Q425" s="13"/>
      <c r="R425" s="173"/>
      <c r="S425" s="35"/>
      <c r="T425" s="35"/>
      <c r="U425" s="13"/>
      <c r="V425" s="13"/>
      <c r="W425" s="13"/>
      <c r="X425" s="13"/>
      <c r="Y425" s="13"/>
      <c r="Z425" s="13"/>
      <c r="AA425" s="13"/>
      <c r="AB425" s="13"/>
      <c r="AC425" s="13"/>
    </row>
    <row r="426" ht="16.5" customHeight="1">
      <c r="A426" s="13"/>
      <c r="B426" s="13"/>
      <c r="C426" s="13"/>
      <c r="D426" s="13"/>
      <c r="E426" s="13"/>
      <c r="F426" s="13"/>
      <c r="G426" s="13"/>
      <c r="H426" s="13"/>
      <c r="I426" s="13"/>
      <c r="J426" s="13"/>
      <c r="K426" s="171"/>
      <c r="L426" s="172"/>
      <c r="M426" s="13"/>
      <c r="N426" s="13"/>
      <c r="O426" s="171"/>
      <c r="P426" s="13"/>
      <c r="Q426" s="13"/>
      <c r="R426" s="173"/>
      <c r="S426" s="35"/>
      <c r="T426" s="35"/>
      <c r="U426" s="13"/>
      <c r="V426" s="13"/>
      <c r="W426" s="13"/>
      <c r="X426" s="13"/>
      <c r="Y426" s="13"/>
      <c r="Z426" s="13"/>
      <c r="AA426" s="13"/>
      <c r="AB426" s="13"/>
      <c r="AC426" s="13"/>
    </row>
    <row r="427" ht="16.5" customHeight="1">
      <c r="A427" s="13"/>
      <c r="B427" s="13"/>
      <c r="C427" s="13"/>
      <c r="D427" s="13"/>
      <c r="E427" s="13"/>
      <c r="F427" s="13"/>
      <c r="G427" s="13"/>
      <c r="H427" s="13"/>
      <c r="I427" s="13"/>
      <c r="J427" s="13"/>
      <c r="K427" s="171"/>
      <c r="L427" s="172"/>
      <c r="M427" s="13"/>
      <c r="N427" s="13"/>
      <c r="O427" s="171"/>
      <c r="P427" s="13"/>
      <c r="Q427" s="13"/>
      <c r="R427" s="173"/>
      <c r="S427" s="35"/>
      <c r="T427" s="35"/>
      <c r="U427" s="13"/>
      <c r="V427" s="13"/>
      <c r="W427" s="13"/>
      <c r="X427" s="13"/>
      <c r="Y427" s="13"/>
      <c r="Z427" s="13"/>
      <c r="AA427" s="13"/>
      <c r="AB427" s="13"/>
      <c r="AC427" s="13"/>
    </row>
    <row r="428" ht="16.5" customHeight="1">
      <c r="A428" s="13"/>
      <c r="B428" s="13"/>
      <c r="C428" s="13"/>
      <c r="D428" s="13"/>
      <c r="E428" s="13"/>
      <c r="F428" s="13"/>
      <c r="G428" s="13"/>
      <c r="H428" s="13"/>
      <c r="I428" s="13"/>
      <c r="J428" s="13"/>
      <c r="K428" s="171"/>
      <c r="L428" s="172"/>
      <c r="M428" s="13"/>
      <c r="N428" s="13"/>
      <c r="O428" s="171"/>
      <c r="P428" s="13"/>
      <c r="Q428" s="13"/>
      <c r="R428" s="173"/>
      <c r="S428" s="35"/>
      <c r="T428" s="35"/>
      <c r="U428" s="13"/>
      <c r="V428" s="13"/>
      <c r="W428" s="13"/>
      <c r="X428" s="13"/>
      <c r="Y428" s="13"/>
      <c r="Z428" s="13"/>
      <c r="AA428" s="13"/>
      <c r="AB428" s="13"/>
      <c r="AC428" s="13"/>
    </row>
    <row r="429" ht="16.5" customHeight="1">
      <c r="A429" s="13"/>
      <c r="B429" s="13"/>
      <c r="C429" s="13"/>
      <c r="D429" s="13"/>
      <c r="E429" s="13"/>
      <c r="F429" s="13"/>
      <c r="G429" s="13"/>
      <c r="H429" s="13"/>
      <c r="I429" s="13"/>
      <c r="J429" s="13"/>
      <c r="K429" s="171"/>
      <c r="L429" s="172"/>
      <c r="M429" s="13"/>
      <c r="N429" s="13"/>
      <c r="O429" s="171"/>
      <c r="P429" s="13"/>
      <c r="Q429" s="13"/>
      <c r="R429" s="173"/>
      <c r="S429" s="35"/>
      <c r="T429" s="35"/>
      <c r="U429" s="13"/>
      <c r="V429" s="13"/>
      <c r="W429" s="13"/>
      <c r="X429" s="13"/>
      <c r="Y429" s="13"/>
      <c r="Z429" s="13"/>
      <c r="AA429" s="13"/>
      <c r="AB429" s="13"/>
      <c r="AC429" s="13"/>
    </row>
    <row r="430" ht="16.5" customHeight="1">
      <c r="A430" s="13"/>
      <c r="B430" s="13"/>
      <c r="C430" s="13"/>
      <c r="D430" s="13"/>
      <c r="E430" s="13"/>
      <c r="F430" s="13"/>
      <c r="G430" s="13"/>
      <c r="H430" s="13"/>
      <c r="I430" s="13"/>
      <c r="J430" s="13"/>
      <c r="K430" s="171"/>
      <c r="L430" s="172"/>
      <c r="M430" s="13"/>
      <c r="N430" s="13"/>
      <c r="O430" s="171"/>
      <c r="P430" s="13"/>
      <c r="Q430" s="13"/>
      <c r="R430" s="173"/>
      <c r="S430" s="35"/>
      <c r="T430" s="35"/>
      <c r="U430" s="13"/>
      <c r="V430" s="13"/>
      <c r="W430" s="13"/>
      <c r="X430" s="13"/>
      <c r="Y430" s="13"/>
      <c r="Z430" s="13"/>
      <c r="AA430" s="13"/>
      <c r="AB430" s="13"/>
      <c r="AC430" s="13"/>
    </row>
    <row r="431" ht="16.5" customHeight="1">
      <c r="A431" s="13"/>
      <c r="B431" s="13"/>
      <c r="C431" s="13"/>
      <c r="D431" s="13"/>
      <c r="E431" s="13"/>
      <c r="F431" s="13"/>
      <c r="G431" s="13"/>
      <c r="H431" s="13"/>
      <c r="I431" s="13"/>
      <c r="J431" s="13"/>
      <c r="K431" s="171"/>
      <c r="L431" s="172"/>
      <c r="M431" s="13"/>
      <c r="N431" s="13"/>
      <c r="O431" s="171"/>
      <c r="P431" s="13"/>
      <c r="Q431" s="13"/>
      <c r="R431" s="173"/>
      <c r="S431" s="35"/>
      <c r="T431" s="35"/>
      <c r="U431" s="13"/>
      <c r="V431" s="13"/>
      <c r="W431" s="13"/>
      <c r="X431" s="13"/>
      <c r="Y431" s="13"/>
      <c r="Z431" s="13"/>
      <c r="AA431" s="13"/>
      <c r="AB431" s="13"/>
      <c r="AC431" s="13"/>
    </row>
    <row r="432" ht="16.5" customHeight="1">
      <c r="A432" s="13"/>
      <c r="B432" s="13"/>
      <c r="C432" s="13"/>
      <c r="D432" s="13"/>
      <c r="E432" s="13"/>
      <c r="F432" s="13"/>
      <c r="G432" s="13"/>
      <c r="H432" s="13"/>
      <c r="I432" s="13"/>
      <c r="J432" s="13"/>
      <c r="K432" s="171"/>
      <c r="L432" s="172"/>
      <c r="M432" s="13"/>
      <c r="N432" s="13"/>
      <c r="O432" s="171"/>
      <c r="P432" s="13"/>
      <c r="Q432" s="13"/>
      <c r="R432" s="173"/>
      <c r="S432" s="35"/>
      <c r="T432" s="35"/>
      <c r="U432" s="13"/>
      <c r="V432" s="13"/>
      <c r="W432" s="13"/>
      <c r="X432" s="13"/>
      <c r="Y432" s="13"/>
      <c r="Z432" s="13"/>
      <c r="AA432" s="13"/>
      <c r="AB432" s="13"/>
      <c r="AC432" s="13"/>
    </row>
    <row r="433" ht="16.5" customHeight="1">
      <c r="A433" s="13"/>
      <c r="B433" s="13"/>
      <c r="C433" s="13"/>
      <c r="D433" s="13"/>
      <c r="E433" s="13"/>
      <c r="F433" s="13"/>
      <c r="G433" s="13"/>
      <c r="H433" s="13"/>
      <c r="I433" s="13"/>
      <c r="J433" s="13"/>
      <c r="K433" s="171"/>
      <c r="L433" s="172"/>
      <c r="M433" s="13"/>
      <c r="N433" s="13"/>
      <c r="O433" s="171"/>
      <c r="P433" s="13"/>
      <c r="Q433" s="13"/>
      <c r="R433" s="173"/>
      <c r="S433" s="35"/>
      <c r="T433" s="35"/>
      <c r="U433" s="13"/>
      <c r="V433" s="13"/>
      <c r="W433" s="13"/>
      <c r="X433" s="13"/>
      <c r="Y433" s="13"/>
      <c r="Z433" s="13"/>
      <c r="AA433" s="13"/>
      <c r="AB433" s="13"/>
      <c r="AC433" s="13"/>
    </row>
    <row r="434" ht="16.5" customHeight="1">
      <c r="A434" s="13"/>
      <c r="B434" s="13"/>
      <c r="C434" s="13"/>
      <c r="D434" s="13"/>
      <c r="E434" s="13"/>
      <c r="F434" s="13"/>
      <c r="G434" s="13"/>
      <c r="H434" s="13"/>
      <c r="I434" s="13"/>
      <c r="J434" s="13"/>
      <c r="K434" s="171"/>
      <c r="L434" s="172"/>
      <c r="M434" s="13"/>
      <c r="N434" s="13"/>
      <c r="O434" s="171"/>
      <c r="P434" s="13"/>
      <c r="Q434" s="13"/>
      <c r="R434" s="173"/>
      <c r="S434" s="35"/>
      <c r="T434" s="35"/>
      <c r="U434" s="13"/>
      <c r="V434" s="13"/>
      <c r="W434" s="13"/>
      <c r="X434" s="13"/>
      <c r="Y434" s="13"/>
      <c r="Z434" s="13"/>
      <c r="AA434" s="13"/>
      <c r="AB434" s="13"/>
      <c r="AC434" s="13"/>
    </row>
    <row r="435" ht="16.5" customHeight="1">
      <c r="A435" s="13"/>
      <c r="B435" s="13"/>
      <c r="C435" s="13"/>
      <c r="D435" s="13"/>
      <c r="E435" s="13"/>
      <c r="F435" s="13"/>
      <c r="G435" s="13"/>
      <c r="H435" s="13"/>
      <c r="I435" s="13"/>
      <c r="J435" s="13"/>
      <c r="K435" s="171"/>
      <c r="L435" s="172"/>
      <c r="M435" s="13"/>
      <c r="N435" s="13"/>
      <c r="O435" s="171"/>
      <c r="P435" s="13"/>
      <c r="Q435" s="13"/>
      <c r="R435" s="173"/>
      <c r="S435" s="35"/>
      <c r="T435" s="35"/>
      <c r="U435" s="13"/>
      <c r="V435" s="13"/>
      <c r="W435" s="13"/>
      <c r="X435" s="13"/>
      <c r="Y435" s="13"/>
      <c r="Z435" s="13"/>
      <c r="AA435" s="13"/>
      <c r="AB435" s="13"/>
      <c r="AC435" s="13"/>
    </row>
    <row r="436" ht="16.5" customHeight="1">
      <c r="A436" s="13"/>
      <c r="B436" s="13"/>
      <c r="C436" s="13"/>
      <c r="D436" s="13"/>
      <c r="E436" s="13"/>
      <c r="F436" s="13"/>
      <c r="G436" s="13"/>
      <c r="H436" s="13"/>
      <c r="I436" s="13"/>
      <c r="J436" s="13"/>
      <c r="K436" s="171"/>
      <c r="L436" s="172"/>
      <c r="M436" s="13"/>
      <c r="N436" s="13"/>
      <c r="O436" s="171"/>
      <c r="P436" s="13"/>
      <c r="Q436" s="13"/>
      <c r="R436" s="173"/>
      <c r="S436" s="35"/>
      <c r="T436" s="35"/>
      <c r="U436" s="13"/>
      <c r="V436" s="13"/>
      <c r="W436" s="13"/>
      <c r="X436" s="13"/>
      <c r="Y436" s="13"/>
      <c r="Z436" s="13"/>
      <c r="AA436" s="13"/>
      <c r="AB436" s="13"/>
      <c r="AC436" s="13"/>
    </row>
    <row r="437" ht="16.5" customHeight="1">
      <c r="A437" s="13"/>
      <c r="B437" s="13"/>
      <c r="C437" s="13"/>
      <c r="D437" s="13"/>
      <c r="E437" s="13"/>
      <c r="F437" s="13"/>
      <c r="G437" s="13"/>
      <c r="H437" s="13"/>
      <c r="I437" s="13"/>
      <c r="J437" s="13"/>
      <c r="K437" s="171"/>
      <c r="L437" s="172"/>
      <c r="M437" s="13"/>
      <c r="N437" s="13"/>
      <c r="O437" s="171"/>
      <c r="P437" s="13"/>
      <c r="Q437" s="13"/>
      <c r="R437" s="173"/>
      <c r="S437" s="35"/>
      <c r="T437" s="35"/>
      <c r="U437" s="13"/>
      <c r="V437" s="13"/>
      <c r="W437" s="13"/>
      <c r="X437" s="13"/>
      <c r="Y437" s="13"/>
      <c r="Z437" s="13"/>
      <c r="AA437" s="13"/>
      <c r="AB437" s="13"/>
      <c r="AC437" s="13"/>
    </row>
    <row r="438" ht="16.5" customHeight="1">
      <c r="A438" s="13"/>
      <c r="B438" s="13"/>
      <c r="C438" s="13"/>
      <c r="D438" s="13"/>
      <c r="E438" s="13"/>
      <c r="F438" s="13"/>
      <c r="G438" s="13"/>
      <c r="H438" s="13"/>
      <c r="I438" s="13"/>
      <c r="J438" s="13"/>
      <c r="K438" s="171"/>
      <c r="L438" s="172"/>
      <c r="M438" s="13"/>
      <c r="N438" s="13"/>
      <c r="O438" s="171"/>
      <c r="P438" s="13"/>
      <c r="Q438" s="13"/>
      <c r="R438" s="173"/>
      <c r="S438" s="35"/>
      <c r="T438" s="35"/>
      <c r="U438" s="13"/>
      <c r="V438" s="13"/>
      <c r="W438" s="13"/>
      <c r="X438" s="13"/>
      <c r="Y438" s="13"/>
      <c r="Z438" s="13"/>
      <c r="AA438" s="13"/>
      <c r="AB438" s="13"/>
      <c r="AC438" s="13"/>
    </row>
    <row r="439" ht="16.5" customHeight="1">
      <c r="A439" s="13"/>
      <c r="B439" s="13"/>
      <c r="C439" s="13"/>
      <c r="D439" s="13"/>
      <c r="E439" s="13"/>
      <c r="F439" s="13"/>
      <c r="G439" s="13"/>
      <c r="H439" s="13"/>
      <c r="I439" s="13"/>
      <c r="J439" s="13"/>
      <c r="K439" s="171"/>
      <c r="L439" s="172"/>
      <c r="M439" s="13"/>
      <c r="N439" s="13"/>
      <c r="O439" s="171"/>
      <c r="P439" s="13"/>
      <c r="Q439" s="13"/>
      <c r="R439" s="173"/>
      <c r="S439" s="35"/>
      <c r="T439" s="35"/>
      <c r="U439" s="13"/>
      <c r="V439" s="13"/>
      <c r="W439" s="13"/>
      <c r="X439" s="13"/>
      <c r="Y439" s="13"/>
      <c r="Z439" s="13"/>
      <c r="AA439" s="13"/>
      <c r="AB439" s="13"/>
      <c r="AC439" s="13"/>
    </row>
    <row r="440" ht="16.5" customHeight="1">
      <c r="A440" s="13"/>
      <c r="B440" s="13"/>
      <c r="C440" s="13"/>
      <c r="D440" s="13"/>
      <c r="E440" s="13"/>
      <c r="F440" s="13"/>
      <c r="G440" s="13"/>
      <c r="H440" s="13"/>
      <c r="I440" s="13"/>
      <c r="J440" s="13"/>
      <c r="K440" s="171"/>
      <c r="L440" s="172"/>
      <c r="M440" s="13"/>
      <c r="N440" s="13"/>
      <c r="O440" s="171"/>
      <c r="P440" s="13"/>
      <c r="Q440" s="13"/>
      <c r="R440" s="173"/>
      <c r="S440" s="35"/>
      <c r="T440" s="35"/>
      <c r="U440" s="13"/>
      <c r="V440" s="13"/>
      <c r="W440" s="13"/>
      <c r="X440" s="13"/>
      <c r="Y440" s="13"/>
      <c r="Z440" s="13"/>
      <c r="AA440" s="13"/>
      <c r="AB440" s="13"/>
      <c r="AC440" s="13"/>
    </row>
    <row r="441" ht="16.5" customHeight="1">
      <c r="A441" s="13"/>
      <c r="B441" s="13"/>
      <c r="C441" s="13"/>
      <c r="D441" s="13"/>
      <c r="E441" s="13"/>
      <c r="F441" s="13"/>
      <c r="G441" s="13"/>
      <c r="H441" s="13"/>
      <c r="I441" s="13"/>
      <c r="J441" s="13"/>
      <c r="K441" s="171"/>
      <c r="L441" s="172"/>
      <c r="M441" s="13"/>
      <c r="N441" s="13"/>
      <c r="O441" s="171"/>
      <c r="P441" s="13"/>
      <c r="Q441" s="13"/>
      <c r="R441" s="173"/>
      <c r="S441" s="35"/>
      <c r="T441" s="35"/>
      <c r="U441" s="13"/>
      <c r="V441" s="13"/>
      <c r="W441" s="13"/>
      <c r="X441" s="13"/>
      <c r="Y441" s="13"/>
      <c r="Z441" s="13"/>
      <c r="AA441" s="13"/>
      <c r="AB441" s="13"/>
      <c r="AC441" s="13"/>
    </row>
    <row r="442" ht="16.5" customHeight="1">
      <c r="A442" s="13"/>
      <c r="B442" s="13"/>
      <c r="C442" s="13"/>
      <c r="D442" s="13"/>
      <c r="E442" s="13"/>
      <c r="F442" s="13"/>
      <c r="G442" s="13"/>
      <c r="H442" s="13"/>
      <c r="I442" s="13"/>
      <c r="J442" s="13"/>
      <c r="K442" s="171"/>
      <c r="L442" s="172"/>
      <c r="M442" s="13"/>
      <c r="N442" s="13"/>
      <c r="O442" s="171"/>
      <c r="P442" s="13"/>
      <c r="Q442" s="13"/>
      <c r="R442" s="173"/>
      <c r="S442" s="35"/>
      <c r="T442" s="35"/>
      <c r="U442" s="13"/>
      <c r="V442" s="13"/>
      <c r="W442" s="13"/>
      <c r="X442" s="13"/>
      <c r="Y442" s="13"/>
      <c r="Z442" s="13"/>
      <c r="AA442" s="13"/>
      <c r="AB442" s="13"/>
      <c r="AC442" s="13"/>
    </row>
    <row r="443" ht="16.5" customHeight="1">
      <c r="A443" s="13"/>
      <c r="B443" s="13"/>
      <c r="C443" s="13"/>
      <c r="D443" s="13"/>
      <c r="E443" s="13"/>
      <c r="F443" s="13"/>
      <c r="G443" s="13"/>
      <c r="H443" s="13"/>
      <c r="I443" s="13"/>
      <c r="J443" s="13"/>
      <c r="K443" s="171"/>
      <c r="L443" s="172"/>
      <c r="M443" s="13"/>
      <c r="N443" s="13"/>
      <c r="O443" s="171"/>
      <c r="P443" s="13"/>
      <c r="Q443" s="13"/>
      <c r="R443" s="173"/>
      <c r="S443" s="35"/>
      <c r="T443" s="35"/>
      <c r="U443" s="13"/>
      <c r="V443" s="13"/>
      <c r="W443" s="13"/>
      <c r="X443" s="13"/>
      <c r="Y443" s="13"/>
      <c r="Z443" s="13"/>
      <c r="AA443" s="13"/>
      <c r="AB443" s="13"/>
      <c r="AC443" s="13"/>
    </row>
    <row r="444" ht="16.5" customHeight="1">
      <c r="A444" s="13"/>
      <c r="B444" s="13"/>
      <c r="C444" s="13"/>
      <c r="D444" s="13"/>
      <c r="E444" s="13"/>
      <c r="F444" s="13"/>
      <c r="G444" s="13"/>
      <c r="H444" s="13"/>
      <c r="I444" s="13"/>
      <c r="J444" s="13"/>
      <c r="K444" s="171"/>
      <c r="L444" s="172"/>
      <c r="M444" s="13"/>
      <c r="N444" s="13"/>
      <c r="O444" s="171"/>
      <c r="P444" s="13"/>
      <c r="Q444" s="13"/>
      <c r="R444" s="173"/>
      <c r="S444" s="35"/>
      <c r="T444" s="35"/>
      <c r="U444" s="13"/>
      <c r="V444" s="13"/>
      <c r="W444" s="13"/>
      <c r="X444" s="13"/>
      <c r="Y444" s="13"/>
      <c r="Z444" s="13"/>
      <c r="AA444" s="13"/>
      <c r="AB444" s="13"/>
      <c r="AC444" s="13"/>
    </row>
    <row r="445" ht="16.5" customHeight="1">
      <c r="A445" s="13"/>
      <c r="B445" s="13"/>
      <c r="C445" s="13"/>
      <c r="D445" s="13"/>
      <c r="E445" s="13"/>
      <c r="F445" s="13"/>
      <c r="G445" s="13"/>
      <c r="H445" s="13"/>
      <c r="I445" s="13"/>
      <c r="J445" s="13"/>
      <c r="K445" s="171"/>
      <c r="L445" s="172"/>
      <c r="M445" s="13"/>
      <c r="N445" s="13"/>
      <c r="O445" s="171"/>
      <c r="P445" s="13"/>
      <c r="Q445" s="13"/>
      <c r="R445" s="173"/>
      <c r="S445" s="35"/>
      <c r="T445" s="35"/>
      <c r="U445" s="13"/>
      <c r="V445" s="13"/>
      <c r="W445" s="13"/>
      <c r="X445" s="13"/>
      <c r="Y445" s="13"/>
      <c r="Z445" s="13"/>
      <c r="AA445" s="13"/>
      <c r="AB445" s="13"/>
      <c r="AC445" s="13"/>
    </row>
    <row r="446" ht="16.5" customHeight="1">
      <c r="A446" s="13"/>
      <c r="B446" s="13"/>
      <c r="C446" s="13"/>
      <c r="D446" s="13"/>
      <c r="E446" s="13"/>
      <c r="F446" s="13"/>
      <c r="G446" s="13"/>
      <c r="H446" s="13"/>
      <c r="I446" s="13"/>
      <c r="J446" s="13"/>
      <c r="K446" s="171"/>
      <c r="L446" s="172"/>
      <c r="M446" s="13"/>
      <c r="N446" s="13"/>
      <c r="O446" s="171"/>
      <c r="P446" s="13"/>
      <c r="Q446" s="13"/>
      <c r="R446" s="173"/>
      <c r="S446" s="35"/>
      <c r="T446" s="35"/>
      <c r="U446" s="13"/>
      <c r="V446" s="13"/>
      <c r="W446" s="13"/>
      <c r="X446" s="13"/>
      <c r="Y446" s="13"/>
      <c r="Z446" s="13"/>
      <c r="AA446" s="13"/>
      <c r="AB446" s="13"/>
      <c r="AC446" s="13"/>
    </row>
    <row r="447" ht="16.5" customHeight="1">
      <c r="A447" s="13"/>
      <c r="B447" s="13"/>
      <c r="C447" s="13"/>
      <c r="D447" s="13"/>
      <c r="E447" s="13"/>
      <c r="F447" s="13"/>
      <c r="G447" s="13"/>
      <c r="H447" s="13"/>
      <c r="I447" s="13"/>
      <c r="J447" s="13"/>
      <c r="K447" s="171"/>
      <c r="L447" s="172"/>
      <c r="M447" s="13"/>
      <c r="N447" s="13"/>
      <c r="O447" s="171"/>
      <c r="P447" s="13"/>
      <c r="Q447" s="13"/>
      <c r="R447" s="173"/>
      <c r="S447" s="35"/>
      <c r="T447" s="35"/>
      <c r="U447" s="13"/>
      <c r="V447" s="13"/>
      <c r="W447" s="13"/>
      <c r="X447" s="13"/>
      <c r="Y447" s="13"/>
      <c r="Z447" s="13"/>
      <c r="AA447" s="13"/>
      <c r="AB447" s="13"/>
      <c r="AC447" s="13"/>
    </row>
    <row r="448" ht="16.5" customHeight="1">
      <c r="A448" s="13"/>
      <c r="B448" s="13"/>
      <c r="C448" s="13"/>
      <c r="D448" s="13"/>
      <c r="E448" s="13"/>
      <c r="F448" s="13"/>
      <c r="G448" s="13"/>
      <c r="H448" s="13"/>
      <c r="I448" s="13"/>
      <c r="J448" s="13"/>
      <c r="K448" s="171"/>
      <c r="L448" s="172"/>
      <c r="M448" s="13"/>
      <c r="N448" s="13"/>
      <c r="O448" s="171"/>
      <c r="P448" s="13"/>
      <c r="Q448" s="13"/>
      <c r="R448" s="173"/>
      <c r="S448" s="35"/>
      <c r="T448" s="35"/>
      <c r="U448" s="13"/>
      <c r="V448" s="13"/>
      <c r="W448" s="13"/>
      <c r="X448" s="13"/>
      <c r="Y448" s="13"/>
      <c r="Z448" s="13"/>
      <c r="AA448" s="13"/>
      <c r="AB448" s="13"/>
      <c r="AC448" s="13"/>
    </row>
    <row r="449" ht="16.5" customHeight="1">
      <c r="A449" s="13"/>
      <c r="B449" s="13"/>
      <c r="C449" s="13"/>
      <c r="D449" s="13"/>
      <c r="E449" s="13"/>
      <c r="F449" s="13"/>
      <c r="G449" s="13"/>
      <c r="H449" s="13"/>
      <c r="I449" s="13"/>
      <c r="J449" s="13"/>
      <c r="K449" s="171"/>
      <c r="L449" s="172"/>
      <c r="M449" s="13"/>
      <c r="N449" s="13"/>
      <c r="O449" s="171"/>
      <c r="P449" s="13"/>
      <c r="Q449" s="13"/>
      <c r="R449" s="173"/>
      <c r="S449" s="35"/>
      <c r="T449" s="35"/>
      <c r="U449" s="13"/>
      <c r="V449" s="13"/>
      <c r="W449" s="13"/>
      <c r="X449" s="13"/>
      <c r="Y449" s="13"/>
      <c r="Z449" s="13"/>
      <c r="AA449" s="13"/>
      <c r="AB449" s="13"/>
      <c r="AC449" s="13"/>
    </row>
    <row r="450" ht="16.5" customHeight="1">
      <c r="A450" s="13"/>
      <c r="B450" s="13"/>
      <c r="C450" s="13"/>
      <c r="D450" s="13"/>
      <c r="E450" s="13"/>
      <c r="F450" s="13"/>
      <c r="G450" s="13"/>
      <c r="H450" s="13"/>
      <c r="I450" s="13"/>
      <c r="J450" s="13"/>
      <c r="K450" s="171"/>
      <c r="L450" s="172"/>
      <c r="M450" s="13"/>
      <c r="N450" s="13"/>
      <c r="O450" s="171"/>
      <c r="P450" s="13"/>
      <c r="Q450" s="13"/>
      <c r="R450" s="173"/>
      <c r="S450" s="35"/>
      <c r="T450" s="35"/>
      <c r="U450" s="13"/>
      <c r="V450" s="13"/>
      <c r="W450" s="13"/>
      <c r="X450" s="13"/>
      <c r="Y450" s="13"/>
      <c r="Z450" s="13"/>
      <c r="AA450" s="13"/>
      <c r="AB450" s="13"/>
      <c r="AC450" s="13"/>
    </row>
    <row r="451" ht="16.5" customHeight="1">
      <c r="A451" s="13"/>
      <c r="B451" s="13"/>
      <c r="C451" s="13"/>
      <c r="D451" s="13"/>
      <c r="E451" s="13"/>
      <c r="F451" s="13"/>
      <c r="G451" s="13"/>
      <c r="H451" s="13"/>
      <c r="I451" s="13"/>
      <c r="J451" s="13"/>
      <c r="K451" s="171"/>
      <c r="L451" s="172"/>
      <c r="M451" s="13"/>
      <c r="N451" s="13"/>
      <c r="O451" s="171"/>
      <c r="P451" s="13"/>
      <c r="Q451" s="13"/>
      <c r="R451" s="173"/>
      <c r="S451" s="35"/>
      <c r="T451" s="35"/>
      <c r="U451" s="13"/>
      <c r="V451" s="13"/>
      <c r="W451" s="13"/>
      <c r="X451" s="13"/>
      <c r="Y451" s="13"/>
      <c r="Z451" s="13"/>
      <c r="AA451" s="13"/>
      <c r="AB451" s="13"/>
      <c r="AC451" s="13"/>
    </row>
    <row r="452" ht="16.5" customHeight="1">
      <c r="A452" s="13"/>
      <c r="B452" s="13"/>
      <c r="C452" s="13"/>
      <c r="D452" s="13"/>
      <c r="E452" s="13"/>
      <c r="F452" s="13"/>
      <c r="G452" s="13"/>
      <c r="H452" s="13"/>
      <c r="I452" s="13"/>
      <c r="J452" s="13"/>
      <c r="K452" s="171"/>
      <c r="L452" s="172"/>
      <c r="M452" s="13"/>
      <c r="N452" s="13"/>
      <c r="O452" s="171"/>
      <c r="P452" s="13"/>
      <c r="Q452" s="13"/>
      <c r="R452" s="173"/>
      <c r="S452" s="35"/>
      <c r="T452" s="35"/>
      <c r="U452" s="13"/>
      <c r="V452" s="13"/>
      <c r="W452" s="13"/>
      <c r="X452" s="13"/>
      <c r="Y452" s="13"/>
      <c r="Z452" s="13"/>
      <c r="AA452" s="13"/>
      <c r="AB452" s="13"/>
      <c r="AC452" s="13"/>
    </row>
    <row r="453" ht="16.5" customHeight="1">
      <c r="A453" s="13"/>
      <c r="B453" s="13"/>
      <c r="C453" s="13"/>
      <c r="D453" s="13"/>
      <c r="E453" s="13"/>
      <c r="F453" s="13"/>
      <c r="G453" s="13"/>
      <c r="H453" s="13"/>
      <c r="I453" s="13"/>
      <c r="J453" s="13"/>
      <c r="K453" s="171"/>
      <c r="L453" s="172"/>
      <c r="M453" s="13"/>
      <c r="N453" s="13"/>
      <c r="O453" s="171"/>
      <c r="P453" s="13"/>
      <c r="Q453" s="13"/>
      <c r="R453" s="173"/>
      <c r="S453" s="35"/>
      <c r="T453" s="35"/>
      <c r="U453" s="13"/>
      <c r="V453" s="13"/>
      <c r="W453" s="13"/>
      <c r="X453" s="13"/>
      <c r="Y453" s="13"/>
      <c r="Z453" s="13"/>
      <c r="AA453" s="13"/>
      <c r="AB453" s="13"/>
      <c r="AC453" s="13"/>
    </row>
    <row r="454" ht="16.5" customHeight="1">
      <c r="A454" s="13"/>
      <c r="B454" s="13"/>
      <c r="C454" s="13"/>
      <c r="D454" s="13"/>
      <c r="E454" s="13"/>
      <c r="F454" s="13"/>
      <c r="G454" s="13"/>
      <c r="H454" s="13"/>
      <c r="I454" s="13"/>
      <c r="J454" s="13"/>
      <c r="K454" s="171"/>
      <c r="L454" s="172"/>
      <c r="M454" s="13"/>
      <c r="N454" s="13"/>
      <c r="O454" s="171"/>
      <c r="P454" s="13"/>
      <c r="Q454" s="13"/>
      <c r="R454" s="173"/>
      <c r="S454" s="35"/>
      <c r="T454" s="35"/>
      <c r="U454" s="13"/>
      <c r="V454" s="13"/>
      <c r="W454" s="13"/>
      <c r="X454" s="13"/>
      <c r="Y454" s="13"/>
      <c r="Z454" s="13"/>
      <c r="AA454" s="13"/>
      <c r="AB454" s="13"/>
      <c r="AC454" s="13"/>
    </row>
    <row r="455" ht="16.5" customHeight="1">
      <c r="A455" s="13"/>
      <c r="B455" s="13"/>
      <c r="C455" s="13"/>
      <c r="D455" s="13"/>
      <c r="E455" s="13"/>
      <c r="F455" s="13"/>
      <c r="G455" s="13"/>
      <c r="H455" s="13"/>
      <c r="I455" s="13"/>
      <c r="J455" s="13"/>
      <c r="K455" s="171"/>
      <c r="L455" s="172"/>
      <c r="M455" s="13"/>
      <c r="N455" s="13"/>
      <c r="O455" s="171"/>
      <c r="P455" s="13"/>
      <c r="Q455" s="13"/>
      <c r="R455" s="173"/>
      <c r="S455" s="35"/>
      <c r="T455" s="35"/>
      <c r="U455" s="13"/>
      <c r="V455" s="13"/>
      <c r="W455" s="13"/>
      <c r="X455" s="13"/>
      <c r="Y455" s="13"/>
      <c r="Z455" s="13"/>
      <c r="AA455" s="13"/>
      <c r="AB455" s="13"/>
      <c r="AC455" s="13"/>
    </row>
    <row r="456" ht="16.5" customHeight="1">
      <c r="A456" s="13"/>
      <c r="B456" s="13"/>
      <c r="C456" s="13"/>
      <c r="D456" s="13"/>
      <c r="E456" s="13"/>
      <c r="F456" s="13"/>
      <c r="G456" s="13"/>
      <c r="H456" s="13"/>
      <c r="I456" s="13"/>
      <c r="J456" s="13"/>
      <c r="K456" s="171"/>
      <c r="L456" s="172"/>
      <c r="M456" s="13"/>
      <c r="N456" s="13"/>
      <c r="O456" s="171"/>
      <c r="P456" s="13"/>
      <c r="Q456" s="13"/>
      <c r="R456" s="173"/>
      <c r="S456" s="35"/>
      <c r="T456" s="35"/>
      <c r="U456" s="13"/>
      <c r="V456" s="13"/>
      <c r="W456" s="13"/>
      <c r="X456" s="13"/>
      <c r="Y456" s="13"/>
      <c r="Z456" s="13"/>
      <c r="AA456" s="13"/>
      <c r="AB456" s="13"/>
      <c r="AC456" s="13"/>
    </row>
    <row r="457" ht="16.5" customHeight="1">
      <c r="A457" s="13"/>
      <c r="B457" s="13"/>
      <c r="C457" s="13"/>
      <c r="D457" s="13"/>
      <c r="E457" s="13"/>
      <c r="F457" s="13"/>
      <c r="G457" s="13"/>
      <c r="H457" s="13"/>
      <c r="I457" s="13"/>
      <c r="J457" s="13"/>
      <c r="K457" s="171"/>
      <c r="L457" s="172"/>
      <c r="M457" s="13"/>
      <c r="N457" s="13"/>
      <c r="O457" s="171"/>
      <c r="P457" s="13"/>
      <c r="Q457" s="13"/>
      <c r="R457" s="173"/>
      <c r="S457" s="35"/>
      <c r="T457" s="35"/>
      <c r="U457" s="13"/>
      <c r="V457" s="13"/>
      <c r="W457" s="13"/>
      <c r="X457" s="13"/>
      <c r="Y457" s="13"/>
      <c r="Z457" s="13"/>
      <c r="AA457" s="13"/>
      <c r="AB457" s="13"/>
      <c r="AC457" s="13"/>
    </row>
    <row r="458" ht="16.5" customHeight="1">
      <c r="A458" s="13"/>
      <c r="B458" s="13"/>
      <c r="C458" s="13"/>
      <c r="D458" s="13"/>
      <c r="E458" s="13"/>
      <c r="F458" s="13"/>
      <c r="G458" s="13"/>
      <c r="H458" s="13"/>
      <c r="I458" s="13"/>
      <c r="J458" s="13"/>
      <c r="K458" s="171"/>
      <c r="L458" s="172"/>
      <c r="M458" s="13"/>
      <c r="N458" s="13"/>
      <c r="O458" s="171"/>
      <c r="P458" s="13"/>
      <c r="Q458" s="13"/>
      <c r="R458" s="173"/>
      <c r="S458" s="35"/>
      <c r="T458" s="35"/>
      <c r="U458" s="13"/>
      <c r="V458" s="13"/>
      <c r="W458" s="13"/>
      <c r="X458" s="13"/>
      <c r="Y458" s="13"/>
      <c r="Z458" s="13"/>
      <c r="AA458" s="13"/>
      <c r="AB458" s="13"/>
      <c r="AC458" s="13"/>
    </row>
    <row r="459" ht="16.5" customHeight="1">
      <c r="A459" s="13"/>
      <c r="B459" s="13"/>
      <c r="C459" s="13"/>
      <c r="D459" s="13"/>
      <c r="E459" s="13"/>
      <c r="F459" s="13"/>
      <c r="G459" s="13"/>
      <c r="H459" s="13"/>
      <c r="I459" s="13"/>
      <c r="J459" s="13"/>
      <c r="K459" s="171"/>
      <c r="L459" s="172"/>
      <c r="M459" s="13"/>
      <c r="N459" s="13"/>
      <c r="O459" s="171"/>
      <c r="P459" s="13"/>
      <c r="Q459" s="13"/>
      <c r="R459" s="173"/>
      <c r="S459" s="35"/>
      <c r="T459" s="35"/>
      <c r="U459" s="13"/>
      <c r="V459" s="13"/>
      <c r="W459" s="13"/>
      <c r="X459" s="13"/>
      <c r="Y459" s="13"/>
      <c r="Z459" s="13"/>
      <c r="AA459" s="13"/>
      <c r="AB459" s="13"/>
      <c r="AC459" s="13"/>
    </row>
    <row r="460" ht="16.5" customHeight="1">
      <c r="A460" s="13"/>
      <c r="B460" s="13"/>
      <c r="C460" s="13"/>
      <c r="D460" s="13"/>
      <c r="E460" s="13"/>
      <c r="F460" s="13"/>
      <c r="G460" s="13"/>
      <c r="H460" s="13"/>
      <c r="I460" s="13"/>
      <c r="J460" s="13"/>
      <c r="K460" s="171"/>
      <c r="L460" s="172"/>
      <c r="M460" s="13"/>
      <c r="N460" s="13"/>
      <c r="O460" s="171"/>
      <c r="P460" s="13"/>
      <c r="Q460" s="13"/>
      <c r="R460" s="173"/>
      <c r="S460" s="35"/>
      <c r="T460" s="35"/>
      <c r="U460" s="13"/>
      <c r="V460" s="13"/>
      <c r="W460" s="13"/>
      <c r="X460" s="13"/>
      <c r="Y460" s="13"/>
      <c r="Z460" s="13"/>
      <c r="AA460" s="13"/>
      <c r="AB460" s="13"/>
      <c r="AC460" s="13"/>
    </row>
    <row r="461" ht="16.5" customHeight="1">
      <c r="A461" s="13"/>
      <c r="B461" s="13"/>
      <c r="C461" s="13"/>
      <c r="D461" s="13"/>
      <c r="E461" s="13"/>
      <c r="F461" s="13"/>
      <c r="G461" s="13"/>
      <c r="H461" s="13"/>
      <c r="I461" s="13"/>
      <c r="J461" s="13"/>
      <c r="K461" s="171"/>
      <c r="L461" s="172"/>
      <c r="M461" s="13"/>
      <c r="N461" s="13"/>
      <c r="O461" s="171"/>
      <c r="P461" s="13"/>
      <c r="Q461" s="13"/>
      <c r="R461" s="173"/>
      <c r="S461" s="35"/>
      <c r="T461" s="35"/>
      <c r="U461" s="13"/>
      <c r="V461" s="13"/>
      <c r="W461" s="13"/>
      <c r="X461" s="13"/>
      <c r="Y461" s="13"/>
      <c r="Z461" s="13"/>
      <c r="AA461" s="13"/>
      <c r="AB461" s="13"/>
      <c r="AC461" s="13"/>
    </row>
    <row r="462" ht="16.5" customHeight="1">
      <c r="A462" s="13"/>
      <c r="B462" s="13"/>
      <c r="C462" s="13"/>
      <c r="D462" s="13"/>
      <c r="E462" s="13"/>
      <c r="F462" s="13"/>
      <c r="G462" s="13"/>
      <c r="H462" s="13"/>
      <c r="I462" s="13"/>
      <c r="J462" s="13"/>
      <c r="K462" s="171"/>
      <c r="L462" s="172"/>
      <c r="M462" s="13"/>
      <c r="N462" s="13"/>
      <c r="O462" s="171"/>
      <c r="P462" s="13"/>
      <c r="Q462" s="13"/>
      <c r="R462" s="173"/>
      <c r="S462" s="35"/>
      <c r="T462" s="35"/>
      <c r="U462" s="13"/>
      <c r="V462" s="13"/>
      <c r="W462" s="13"/>
      <c r="X462" s="13"/>
      <c r="Y462" s="13"/>
      <c r="Z462" s="13"/>
      <c r="AA462" s="13"/>
      <c r="AB462" s="13"/>
      <c r="AC462" s="13"/>
    </row>
    <row r="463" ht="16.5" customHeight="1">
      <c r="A463" s="13"/>
      <c r="B463" s="13"/>
      <c r="C463" s="13"/>
      <c r="D463" s="13"/>
      <c r="E463" s="13"/>
      <c r="F463" s="13"/>
      <c r="G463" s="13"/>
      <c r="H463" s="13"/>
      <c r="I463" s="13"/>
      <c r="J463" s="13"/>
      <c r="K463" s="171"/>
      <c r="L463" s="172"/>
      <c r="M463" s="13"/>
      <c r="N463" s="13"/>
      <c r="O463" s="171"/>
      <c r="P463" s="13"/>
      <c r="Q463" s="13"/>
      <c r="R463" s="173"/>
      <c r="S463" s="35"/>
      <c r="T463" s="35"/>
      <c r="U463" s="13"/>
      <c r="V463" s="13"/>
      <c r="W463" s="13"/>
      <c r="X463" s="13"/>
      <c r="Y463" s="13"/>
      <c r="Z463" s="13"/>
      <c r="AA463" s="13"/>
      <c r="AB463" s="13"/>
      <c r="AC463" s="13"/>
    </row>
    <row r="464" ht="16.5" customHeight="1">
      <c r="A464" s="13"/>
      <c r="B464" s="13"/>
      <c r="C464" s="13"/>
      <c r="D464" s="13"/>
      <c r="E464" s="13"/>
      <c r="F464" s="13"/>
      <c r="G464" s="13"/>
      <c r="H464" s="13"/>
      <c r="I464" s="13"/>
      <c r="J464" s="13"/>
      <c r="K464" s="171"/>
      <c r="L464" s="172"/>
      <c r="M464" s="13"/>
      <c r="N464" s="13"/>
      <c r="O464" s="171"/>
      <c r="P464" s="13"/>
      <c r="Q464" s="13"/>
      <c r="R464" s="173"/>
      <c r="S464" s="35"/>
      <c r="T464" s="35"/>
      <c r="U464" s="13"/>
      <c r="V464" s="13"/>
      <c r="W464" s="13"/>
      <c r="X464" s="13"/>
      <c r="Y464" s="13"/>
      <c r="Z464" s="13"/>
      <c r="AA464" s="13"/>
      <c r="AB464" s="13"/>
      <c r="AC464" s="13"/>
    </row>
    <row r="465" ht="16.5" customHeight="1">
      <c r="A465" s="13"/>
      <c r="B465" s="13"/>
      <c r="C465" s="13"/>
      <c r="D465" s="13"/>
      <c r="E465" s="13"/>
      <c r="F465" s="13"/>
      <c r="G465" s="13"/>
      <c r="H465" s="13"/>
      <c r="I465" s="13"/>
      <c r="J465" s="13"/>
      <c r="K465" s="171"/>
      <c r="L465" s="172"/>
      <c r="M465" s="13"/>
      <c r="N465" s="13"/>
      <c r="O465" s="171"/>
      <c r="P465" s="13"/>
      <c r="Q465" s="13"/>
      <c r="R465" s="173"/>
      <c r="S465" s="35"/>
      <c r="T465" s="35"/>
      <c r="U465" s="13"/>
      <c r="V465" s="13"/>
      <c r="W465" s="13"/>
      <c r="X465" s="13"/>
      <c r="Y465" s="13"/>
      <c r="Z465" s="13"/>
      <c r="AA465" s="13"/>
      <c r="AB465" s="13"/>
      <c r="AC465" s="13"/>
    </row>
    <row r="466" ht="16.5" customHeight="1">
      <c r="A466" s="13"/>
      <c r="B466" s="13"/>
      <c r="C466" s="13"/>
      <c r="D466" s="13"/>
      <c r="E466" s="13"/>
      <c r="F466" s="13"/>
      <c r="G466" s="13"/>
      <c r="H466" s="13"/>
      <c r="I466" s="13"/>
      <c r="J466" s="13"/>
      <c r="K466" s="171"/>
      <c r="L466" s="172"/>
      <c r="M466" s="13"/>
      <c r="N466" s="13"/>
      <c r="O466" s="171"/>
      <c r="P466" s="13"/>
      <c r="Q466" s="13"/>
      <c r="R466" s="173"/>
      <c r="S466" s="35"/>
      <c r="T466" s="35"/>
      <c r="U466" s="13"/>
      <c r="V466" s="13"/>
      <c r="W466" s="13"/>
      <c r="X466" s="13"/>
      <c r="Y466" s="13"/>
      <c r="Z466" s="13"/>
      <c r="AA466" s="13"/>
      <c r="AB466" s="13"/>
      <c r="AC466" s="13"/>
    </row>
    <row r="467" ht="16.5" customHeight="1">
      <c r="A467" s="13"/>
      <c r="B467" s="13"/>
      <c r="C467" s="13"/>
      <c r="D467" s="13"/>
      <c r="E467" s="13"/>
      <c r="F467" s="13"/>
      <c r="G467" s="13"/>
      <c r="H467" s="13"/>
      <c r="I467" s="13"/>
      <c r="J467" s="13"/>
      <c r="K467" s="171"/>
      <c r="L467" s="172"/>
      <c r="M467" s="13"/>
      <c r="N467" s="13"/>
      <c r="O467" s="171"/>
      <c r="P467" s="13"/>
      <c r="Q467" s="13"/>
      <c r="R467" s="173"/>
      <c r="S467" s="35"/>
      <c r="T467" s="35"/>
      <c r="U467" s="13"/>
      <c r="V467" s="13"/>
      <c r="W467" s="13"/>
      <c r="X467" s="13"/>
      <c r="Y467" s="13"/>
      <c r="Z467" s="13"/>
      <c r="AA467" s="13"/>
      <c r="AB467" s="13"/>
      <c r="AC467" s="13"/>
    </row>
    <row r="468" ht="16.5" customHeight="1">
      <c r="A468" s="13"/>
      <c r="B468" s="13"/>
      <c r="C468" s="13"/>
      <c r="D468" s="13"/>
      <c r="E468" s="13"/>
      <c r="F468" s="13"/>
      <c r="G468" s="13"/>
      <c r="H468" s="13"/>
      <c r="I468" s="13"/>
      <c r="J468" s="13"/>
      <c r="K468" s="171"/>
      <c r="L468" s="172"/>
      <c r="M468" s="13"/>
      <c r="N468" s="13"/>
      <c r="O468" s="171"/>
      <c r="P468" s="13"/>
      <c r="Q468" s="13"/>
      <c r="R468" s="173"/>
      <c r="S468" s="35"/>
      <c r="T468" s="35"/>
      <c r="U468" s="13"/>
      <c r="V468" s="13"/>
      <c r="W468" s="13"/>
      <c r="X468" s="13"/>
      <c r="Y468" s="13"/>
      <c r="Z468" s="13"/>
      <c r="AA468" s="13"/>
      <c r="AB468" s="13"/>
      <c r="AC468" s="13"/>
    </row>
    <row r="469" ht="16.5" customHeight="1">
      <c r="A469" s="13"/>
      <c r="B469" s="13"/>
      <c r="C469" s="13"/>
      <c r="D469" s="13"/>
      <c r="E469" s="13"/>
      <c r="F469" s="13"/>
      <c r="G469" s="13"/>
      <c r="H469" s="13"/>
      <c r="I469" s="13"/>
      <c r="J469" s="13"/>
      <c r="K469" s="171"/>
      <c r="L469" s="172"/>
      <c r="M469" s="13"/>
      <c r="N469" s="13"/>
      <c r="O469" s="171"/>
      <c r="P469" s="13"/>
      <c r="Q469" s="13"/>
      <c r="R469" s="173"/>
      <c r="S469" s="35"/>
      <c r="T469" s="35"/>
      <c r="U469" s="13"/>
      <c r="V469" s="13"/>
      <c r="W469" s="13"/>
      <c r="X469" s="13"/>
      <c r="Y469" s="13"/>
      <c r="Z469" s="13"/>
      <c r="AA469" s="13"/>
      <c r="AB469" s="13"/>
      <c r="AC469" s="13"/>
    </row>
    <row r="470" ht="16.5" customHeight="1">
      <c r="A470" s="13"/>
      <c r="B470" s="13"/>
      <c r="C470" s="13"/>
      <c r="D470" s="13"/>
      <c r="E470" s="13"/>
      <c r="F470" s="13"/>
      <c r="G470" s="13"/>
      <c r="H470" s="13"/>
      <c r="I470" s="13"/>
      <c r="J470" s="13"/>
      <c r="K470" s="171"/>
      <c r="L470" s="172"/>
      <c r="M470" s="13"/>
      <c r="N470" s="13"/>
      <c r="O470" s="171"/>
      <c r="P470" s="13"/>
      <c r="Q470" s="13"/>
      <c r="R470" s="173"/>
      <c r="S470" s="35"/>
      <c r="T470" s="35"/>
      <c r="U470" s="13"/>
      <c r="V470" s="13"/>
      <c r="W470" s="13"/>
      <c r="X470" s="13"/>
      <c r="Y470" s="13"/>
      <c r="Z470" s="13"/>
      <c r="AA470" s="13"/>
      <c r="AB470" s="13"/>
      <c r="AC470" s="13"/>
    </row>
    <row r="471" ht="16.5" customHeight="1">
      <c r="A471" s="13"/>
      <c r="B471" s="13"/>
      <c r="C471" s="13"/>
      <c r="D471" s="13"/>
      <c r="E471" s="13"/>
      <c r="F471" s="13"/>
      <c r="G471" s="13"/>
      <c r="H471" s="13"/>
      <c r="I471" s="13"/>
      <c r="J471" s="13"/>
      <c r="K471" s="171"/>
      <c r="L471" s="172"/>
      <c r="M471" s="13"/>
      <c r="N471" s="13"/>
      <c r="O471" s="171"/>
      <c r="P471" s="13"/>
      <c r="Q471" s="13"/>
      <c r="R471" s="173"/>
      <c r="S471" s="35"/>
      <c r="T471" s="35"/>
      <c r="U471" s="13"/>
      <c r="V471" s="13"/>
      <c r="W471" s="13"/>
      <c r="X471" s="13"/>
      <c r="Y471" s="13"/>
      <c r="Z471" s="13"/>
      <c r="AA471" s="13"/>
      <c r="AB471" s="13"/>
      <c r="AC471" s="13"/>
    </row>
    <row r="472" ht="16.5" customHeight="1">
      <c r="A472" s="13"/>
      <c r="B472" s="13"/>
      <c r="C472" s="13"/>
      <c r="D472" s="13"/>
      <c r="E472" s="13"/>
      <c r="F472" s="13"/>
      <c r="G472" s="13"/>
      <c r="H472" s="13"/>
      <c r="I472" s="13"/>
      <c r="J472" s="13"/>
      <c r="K472" s="171"/>
      <c r="L472" s="172"/>
      <c r="M472" s="13"/>
      <c r="N472" s="13"/>
      <c r="O472" s="171"/>
      <c r="P472" s="13"/>
      <c r="Q472" s="13"/>
      <c r="R472" s="173"/>
      <c r="S472" s="35"/>
      <c r="T472" s="35"/>
      <c r="U472" s="13"/>
      <c r="V472" s="13"/>
      <c r="W472" s="13"/>
      <c r="X472" s="13"/>
      <c r="Y472" s="13"/>
      <c r="Z472" s="13"/>
      <c r="AA472" s="13"/>
      <c r="AB472" s="13"/>
      <c r="AC472" s="13"/>
    </row>
    <row r="473" ht="16.5" customHeight="1">
      <c r="A473" s="13"/>
      <c r="B473" s="13"/>
      <c r="C473" s="13"/>
      <c r="D473" s="13"/>
      <c r="E473" s="13"/>
      <c r="F473" s="13"/>
      <c r="G473" s="13"/>
      <c r="H473" s="13"/>
      <c r="I473" s="13"/>
      <c r="J473" s="13"/>
      <c r="K473" s="171"/>
      <c r="L473" s="172"/>
      <c r="M473" s="13"/>
      <c r="N473" s="13"/>
      <c r="O473" s="171"/>
      <c r="P473" s="13"/>
      <c r="Q473" s="13"/>
      <c r="R473" s="173"/>
      <c r="S473" s="35"/>
      <c r="T473" s="35"/>
      <c r="U473" s="13"/>
      <c r="V473" s="13"/>
      <c r="W473" s="13"/>
      <c r="X473" s="13"/>
      <c r="Y473" s="13"/>
      <c r="Z473" s="13"/>
      <c r="AA473" s="13"/>
      <c r="AB473" s="13"/>
      <c r="AC473" s="13"/>
    </row>
    <row r="474" ht="16.5" customHeight="1">
      <c r="A474" s="13"/>
      <c r="B474" s="13"/>
      <c r="C474" s="13"/>
      <c r="D474" s="13"/>
      <c r="E474" s="13"/>
      <c r="F474" s="13"/>
      <c r="G474" s="13"/>
      <c r="H474" s="13"/>
      <c r="I474" s="13"/>
      <c r="J474" s="13"/>
      <c r="K474" s="171"/>
      <c r="L474" s="172"/>
      <c r="M474" s="13"/>
      <c r="N474" s="13"/>
      <c r="O474" s="171"/>
      <c r="P474" s="13"/>
      <c r="Q474" s="13"/>
      <c r="R474" s="173"/>
      <c r="S474" s="35"/>
      <c r="T474" s="35"/>
      <c r="U474" s="13"/>
      <c r="V474" s="13"/>
      <c r="W474" s="13"/>
      <c r="X474" s="13"/>
      <c r="Y474" s="13"/>
      <c r="Z474" s="13"/>
      <c r="AA474" s="13"/>
      <c r="AB474" s="13"/>
      <c r="AC474" s="13"/>
    </row>
    <row r="475" ht="16.5" customHeight="1">
      <c r="A475" s="13"/>
      <c r="B475" s="13"/>
      <c r="C475" s="13"/>
      <c r="D475" s="13"/>
      <c r="E475" s="13"/>
      <c r="F475" s="13"/>
      <c r="G475" s="13"/>
      <c r="H475" s="13"/>
      <c r="I475" s="13"/>
      <c r="J475" s="13"/>
      <c r="K475" s="171"/>
      <c r="L475" s="172"/>
      <c r="M475" s="13"/>
      <c r="N475" s="13"/>
      <c r="O475" s="171"/>
      <c r="P475" s="13"/>
      <c r="Q475" s="13"/>
      <c r="R475" s="173"/>
      <c r="S475" s="35"/>
      <c r="T475" s="35"/>
      <c r="U475" s="13"/>
      <c r="V475" s="13"/>
      <c r="W475" s="13"/>
      <c r="X475" s="13"/>
      <c r="Y475" s="13"/>
      <c r="Z475" s="13"/>
      <c r="AA475" s="13"/>
      <c r="AB475" s="13"/>
      <c r="AC475" s="13"/>
    </row>
    <row r="476" ht="16.5" customHeight="1">
      <c r="A476" s="13"/>
      <c r="B476" s="13"/>
      <c r="C476" s="13"/>
      <c r="D476" s="13"/>
      <c r="E476" s="13"/>
      <c r="F476" s="13"/>
      <c r="G476" s="13"/>
      <c r="H476" s="13"/>
      <c r="I476" s="13"/>
      <c r="J476" s="13"/>
      <c r="K476" s="171"/>
      <c r="L476" s="172"/>
      <c r="M476" s="13"/>
      <c r="N476" s="13"/>
      <c r="O476" s="171"/>
      <c r="P476" s="13"/>
      <c r="Q476" s="13"/>
      <c r="R476" s="173"/>
      <c r="S476" s="35"/>
      <c r="T476" s="35"/>
      <c r="U476" s="13"/>
      <c r="V476" s="13"/>
      <c r="W476" s="13"/>
      <c r="X476" s="13"/>
      <c r="Y476" s="13"/>
      <c r="Z476" s="13"/>
      <c r="AA476" s="13"/>
      <c r="AB476" s="13"/>
      <c r="AC476" s="13"/>
    </row>
    <row r="477" ht="16.5" customHeight="1">
      <c r="A477" s="13"/>
      <c r="B477" s="13"/>
      <c r="C477" s="13"/>
      <c r="D477" s="13"/>
      <c r="E477" s="13"/>
      <c r="F477" s="13"/>
      <c r="G477" s="13"/>
      <c r="H477" s="13"/>
      <c r="I477" s="13"/>
      <c r="J477" s="13"/>
      <c r="K477" s="171"/>
      <c r="L477" s="172"/>
      <c r="M477" s="13"/>
      <c r="N477" s="13"/>
      <c r="O477" s="171"/>
      <c r="P477" s="13"/>
      <c r="Q477" s="13"/>
      <c r="R477" s="173"/>
      <c r="S477" s="35"/>
      <c r="T477" s="35"/>
      <c r="U477" s="13"/>
      <c r="V477" s="13"/>
      <c r="W477" s="13"/>
      <c r="X477" s="13"/>
      <c r="Y477" s="13"/>
      <c r="Z477" s="13"/>
      <c r="AA477" s="13"/>
      <c r="AB477" s="13"/>
      <c r="AC477" s="13"/>
    </row>
    <row r="478" ht="16.5" customHeight="1">
      <c r="A478" s="13"/>
      <c r="B478" s="13"/>
      <c r="C478" s="13"/>
      <c r="D478" s="13"/>
      <c r="E478" s="13"/>
      <c r="F478" s="13"/>
      <c r="G478" s="13"/>
      <c r="H478" s="13"/>
      <c r="I478" s="13"/>
      <c r="J478" s="13"/>
      <c r="K478" s="171"/>
      <c r="L478" s="172"/>
      <c r="M478" s="13"/>
      <c r="N478" s="13"/>
      <c r="O478" s="171"/>
      <c r="P478" s="13"/>
      <c r="Q478" s="13"/>
      <c r="R478" s="173"/>
      <c r="S478" s="35"/>
      <c r="T478" s="35"/>
      <c r="U478" s="13"/>
      <c r="V478" s="13"/>
      <c r="W478" s="13"/>
      <c r="X478" s="13"/>
      <c r="Y478" s="13"/>
      <c r="Z478" s="13"/>
      <c r="AA478" s="13"/>
      <c r="AB478" s="13"/>
      <c r="AC478" s="13"/>
    </row>
    <row r="479" ht="16.5" customHeight="1">
      <c r="A479" s="13"/>
      <c r="B479" s="13"/>
      <c r="C479" s="13"/>
      <c r="D479" s="13"/>
      <c r="E479" s="13"/>
      <c r="F479" s="13"/>
      <c r="G479" s="13"/>
      <c r="H479" s="13"/>
      <c r="I479" s="13"/>
      <c r="J479" s="13"/>
      <c r="K479" s="171"/>
      <c r="L479" s="172"/>
      <c r="M479" s="13"/>
      <c r="N479" s="13"/>
      <c r="O479" s="171"/>
      <c r="P479" s="13"/>
      <c r="Q479" s="13"/>
      <c r="R479" s="173"/>
      <c r="S479" s="35"/>
      <c r="T479" s="35"/>
      <c r="U479" s="13"/>
      <c r="V479" s="13"/>
      <c r="W479" s="13"/>
      <c r="X479" s="13"/>
      <c r="Y479" s="13"/>
      <c r="Z479" s="13"/>
      <c r="AA479" s="13"/>
      <c r="AB479" s="13"/>
      <c r="AC479" s="13"/>
    </row>
    <row r="480" ht="16.5" customHeight="1">
      <c r="A480" s="13"/>
      <c r="B480" s="13"/>
      <c r="C480" s="13"/>
      <c r="D480" s="13"/>
      <c r="E480" s="13"/>
      <c r="F480" s="13"/>
      <c r="G480" s="13"/>
      <c r="H480" s="13"/>
      <c r="I480" s="13"/>
      <c r="J480" s="13"/>
      <c r="K480" s="171"/>
      <c r="L480" s="172"/>
      <c r="M480" s="13"/>
      <c r="N480" s="13"/>
      <c r="O480" s="171"/>
      <c r="P480" s="13"/>
      <c r="Q480" s="13"/>
      <c r="R480" s="173"/>
      <c r="S480" s="35"/>
      <c r="T480" s="35"/>
      <c r="U480" s="13"/>
      <c r="V480" s="13"/>
      <c r="W480" s="13"/>
      <c r="X480" s="13"/>
      <c r="Y480" s="13"/>
      <c r="Z480" s="13"/>
      <c r="AA480" s="13"/>
      <c r="AB480" s="13"/>
      <c r="AC480" s="13"/>
    </row>
    <row r="481" ht="16.5" customHeight="1">
      <c r="A481" s="13"/>
      <c r="B481" s="13"/>
      <c r="C481" s="13"/>
      <c r="D481" s="13"/>
      <c r="E481" s="13"/>
      <c r="F481" s="13"/>
      <c r="G481" s="13"/>
      <c r="H481" s="13"/>
      <c r="I481" s="13"/>
      <c r="J481" s="13"/>
      <c r="K481" s="171"/>
      <c r="L481" s="172"/>
      <c r="M481" s="13"/>
      <c r="N481" s="13"/>
      <c r="O481" s="171"/>
      <c r="P481" s="13"/>
      <c r="Q481" s="13"/>
      <c r="R481" s="173"/>
      <c r="S481" s="35"/>
      <c r="T481" s="35"/>
      <c r="U481" s="13"/>
      <c r="V481" s="13"/>
      <c r="W481" s="13"/>
      <c r="X481" s="13"/>
      <c r="Y481" s="13"/>
      <c r="Z481" s="13"/>
      <c r="AA481" s="13"/>
      <c r="AB481" s="13"/>
      <c r="AC481" s="13"/>
    </row>
    <row r="482" ht="16.5" customHeight="1">
      <c r="A482" s="13"/>
      <c r="B482" s="13"/>
      <c r="C482" s="13"/>
      <c r="D482" s="13"/>
      <c r="E482" s="13"/>
      <c r="F482" s="13"/>
      <c r="G482" s="13"/>
      <c r="H482" s="13"/>
      <c r="I482" s="13"/>
      <c r="J482" s="13"/>
      <c r="K482" s="171"/>
      <c r="L482" s="172"/>
      <c r="M482" s="13"/>
      <c r="N482" s="13"/>
      <c r="O482" s="171"/>
      <c r="P482" s="13"/>
      <c r="Q482" s="13"/>
      <c r="R482" s="173"/>
      <c r="S482" s="35"/>
      <c r="T482" s="35"/>
      <c r="U482" s="13"/>
      <c r="V482" s="13"/>
      <c r="W482" s="13"/>
      <c r="X482" s="13"/>
      <c r="Y482" s="13"/>
      <c r="Z482" s="13"/>
      <c r="AA482" s="13"/>
      <c r="AB482" s="13"/>
      <c r="AC482" s="13"/>
    </row>
    <row r="483" ht="16.5" customHeight="1">
      <c r="A483" s="13"/>
      <c r="B483" s="13"/>
      <c r="C483" s="13"/>
      <c r="D483" s="13"/>
      <c r="E483" s="13"/>
      <c r="F483" s="13"/>
      <c r="G483" s="13"/>
      <c r="H483" s="13"/>
      <c r="I483" s="13"/>
      <c r="J483" s="13"/>
      <c r="K483" s="171"/>
      <c r="L483" s="172"/>
      <c r="M483" s="13"/>
      <c r="N483" s="13"/>
      <c r="O483" s="171"/>
      <c r="P483" s="13"/>
      <c r="Q483" s="13"/>
      <c r="R483" s="173"/>
      <c r="S483" s="35"/>
      <c r="T483" s="35"/>
      <c r="U483" s="13"/>
      <c r="V483" s="13"/>
      <c r="W483" s="13"/>
      <c r="X483" s="13"/>
      <c r="Y483" s="13"/>
      <c r="Z483" s="13"/>
      <c r="AA483" s="13"/>
      <c r="AB483" s="13"/>
      <c r="AC483" s="13"/>
    </row>
    <row r="484" ht="16.5" customHeight="1">
      <c r="A484" s="13"/>
      <c r="B484" s="13"/>
      <c r="C484" s="13"/>
      <c r="D484" s="13"/>
      <c r="E484" s="13"/>
      <c r="F484" s="13"/>
      <c r="G484" s="13"/>
      <c r="H484" s="13"/>
      <c r="I484" s="13"/>
      <c r="J484" s="13"/>
      <c r="K484" s="171"/>
      <c r="L484" s="172"/>
      <c r="M484" s="13"/>
      <c r="N484" s="13"/>
      <c r="O484" s="171"/>
      <c r="P484" s="13"/>
      <c r="Q484" s="13"/>
      <c r="R484" s="173"/>
      <c r="S484" s="35"/>
      <c r="T484" s="35"/>
      <c r="U484" s="13"/>
      <c r="V484" s="13"/>
      <c r="W484" s="13"/>
      <c r="X484" s="13"/>
      <c r="Y484" s="13"/>
      <c r="Z484" s="13"/>
      <c r="AA484" s="13"/>
      <c r="AB484" s="13"/>
      <c r="AC484" s="13"/>
    </row>
    <row r="485" ht="16.5" customHeight="1">
      <c r="A485" s="13"/>
      <c r="B485" s="13"/>
      <c r="C485" s="13"/>
      <c r="D485" s="13"/>
      <c r="E485" s="13"/>
      <c r="F485" s="13"/>
      <c r="G485" s="13"/>
      <c r="H485" s="13"/>
      <c r="I485" s="13"/>
      <c r="J485" s="13"/>
      <c r="K485" s="171"/>
      <c r="L485" s="172"/>
      <c r="M485" s="13"/>
      <c r="N485" s="13"/>
      <c r="O485" s="171"/>
      <c r="P485" s="13"/>
      <c r="Q485" s="13"/>
      <c r="R485" s="173"/>
      <c r="S485" s="35"/>
      <c r="T485" s="35"/>
      <c r="U485" s="13"/>
      <c r="V485" s="13"/>
      <c r="W485" s="13"/>
      <c r="X485" s="13"/>
      <c r="Y485" s="13"/>
      <c r="Z485" s="13"/>
      <c r="AA485" s="13"/>
      <c r="AB485" s="13"/>
      <c r="AC485" s="13"/>
    </row>
    <row r="486" ht="16.5" customHeight="1">
      <c r="A486" s="13"/>
      <c r="B486" s="13"/>
      <c r="C486" s="13"/>
      <c r="D486" s="13"/>
      <c r="E486" s="13"/>
      <c r="F486" s="13"/>
      <c r="G486" s="13"/>
      <c r="H486" s="13"/>
      <c r="I486" s="13"/>
      <c r="J486" s="13"/>
      <c r="K486" s="171"/>
      <c r="L486" s="172"/>
      <c r="M486" s="13"/>
      <c r="N486" s="13"/>
      <c r="O486" s="171"/>
      <c r="P486" s="13"/>
      <c r="Q486" s="13"/>
      <c r="R486" s="173"/>
      <c r="S486" s="35"/>
      <c r="T486" s="35"/>
      <c r="U486" s="13"/>
      <c r="V486" s="13"/>
      <c r="W486" s="13"/>
      <c r="X486" s="13"/>
      <c r="Y486" s="13"/>
      <c r="Z486" s="13"/>
      <c r="AA486" s="13"/>
      <c r="AB486" s="13"/>
      <c r="AC486" s="13"/>
    </row>
    <row r="487" ht="16.5" customHeight="1">
      <c r="A487" s="13"/>
      <c r="B487" s="13"/>
      <c r="C487" s="13"/>
      <c r="D487" s="13"/>
      <c r="E487" s="13"/>
      <c r="F487" s="13"/>
      <c r="G487" s="13"/>
      <c r="H487" s="13"/>
      <c r="I487" s="13"/>
      <c r="J487" s="13"/>
      <c r="K487" s="171"/>
      <c r="L487" s="172"/>
      <c r="M487" s="13"/>
      <c r="N487" s="13"/>
      <c r="O487" s="171"/>
      <c r="P487" s="13"/>
      <c r="Q487" s="13"/>
      <c r="R487" s="173"/>
      <c r="S487" s="35"/>
      <c r="T487" s="35"/>
      <c r="U487" s="13"/>
      <c r="V487" s="13"/>
      <c r="W487" s="13"/>
      <c r="X487" s="13"/>
      <c r="Y487" s="13"/>
      <c r="Z487" s="13"/>
      <c r="AA487" s="13"/>
      <c r="AB487" s="13"/>
      <c r="AC487" s="13"/>
    </row>
    <row r="488" ht="16.5" customHeight="1">
      <c r="A488" s="13"/>
      <c r="B488" s="13"/>
      <c r="C488" s="13"/>
      <c r="D488" s="13"/>
      <c r="E488" s="13"/>
      <c r="F488" s="13"/>
      <c r="G488" s="13"/>
      <c r="H488" s="13"/>
      <c r="I488" s="13"/>
      <c r="J488" s="13"/>
      <c r="K488" s="171"/>
      <c r="L488" s="172"/>
      <c r="M488" s="13"/>
      <c r="N488" s="13"/>
      <c r="O488" s="171"/>
      <c r="P488" s="13"/>
      <c r="Q488" s="13"/>
      <c r="R488" s="173"/>
      <c r="S488" s="35"/>
      <c r="T488" s="35"/>
      <c r="U488" s="13"/>
      <c r="V488" s="13"/>
      <c r="W488" s="13"/>
      <c r="X488" s="13"/>
      <c r="Y488" s="13"/>
      <c r="Z488" s="13"/>
      <c r="AA488" s="13"/>
      <c r="AB488" s="13"/>
      <c r="AC488" s="13"/>
    </row>
    <row r="489" ht="16.5" customHeight="1">
      <c r="A489" s="13"/>
      <c r="B489" s="13"/>
      <c r="C489" s="13"/>
      <c r="D489" s="13"/>
      <c r="E489" s="13"/>
      <c r="F489" s="13"/>
      <c r="G489" s="13"/>
      <c r="H489" s="13"/>
      <c r="I489" s="13"/>
      <c r="J489" s="13"/>
      <c r="K489" s="171"/>
      <c r="L489" s="172"/>
      <c r="M489" s="13"/>
      <c r="N489" s="13"/>
      <c r="O489" s="171"/>
      <c r="P489" s="13"/>
      <c r="Q489" s="13"/>
      <c r="R489" s="173"/>
      <c r="S489" s="35"/>
      <c r="T489" s="35"/>
      <c r="U489" s="13"/>
      <c r="V489" s="13"/>
      <c r="W489" s="13"/>
      <c r="X489" s="13"/>
      <c r="Y489" s="13"/>
      <c r="Z489" s="13"/>
      <c r="AA489" s="13"/>
      <c r="AB489" s="13"/>
      <c r="AC489" s="13"/>
    </row>
    <row r="490" ht="16.5" customHeight="1">
      <c r="A490" s="13"/>
      <c r="B490" s="13"/>
      <c r="C490" s="13"/>
      <c r="D490" s="13"/>
      <c r="E490" s="13"/>
      <c r="F490" s="13"/>
      <c r="G490" s="13"/>
      <c r="H490" s="13"/>
      <c r="I490" s="13"/>
      <c r="J490" s="13"/>
      <c r="K490" s="171"/>
      <c r="L490" s="172"/>
      <c r="M490" s="13"/>
      <c r="N490" s="13"/>
      <c r="O490" s="171"/>
      <c r="P490" s="13"/>
      <c r="Q490" s="13"/>
      <c r="R490" s="173"/>
      <c r="S490" s="35"/>
      <c r="T490" s="35"/>
      <c r="U490" s="13"/>
      <c r="V490" s="13"/>
      <c r="W490" s="13"/>
      <c r="X490" s="13"/>
      <c r="Y490" s="13"/>
      <c r="Z490" s="13"/>
      <c r="AA490" s="13"/>
      <c r="AB490" s="13"/>
      <c r="AC490" s="13"/>
    </row>
    <row r="491" ht="16.5" customHeight="1">
      <c r="A491" s="13"/>
      <c r="B491" s="13"/>
      <c r="C491" s="13"/>
      <c r="D491" s="13"/>
      <c r="E491" s="13"/>
      <c r="F491" s="13"/>
      <c r="G491" s="13"/>
      <c r="H491" s="13"/>
      <c r="I491" s="13"/>
      <c r="J491" s="13"/>
      <c r="K491" s="171"/>
      <c r="L491" s="172"/>
      <c r="M491" s="13"/>
      <c r="N491" s="13"/>
      <c r="O491" s="171"/>
      <c r="P491" s="13"/>
      <c r="Q491" s="13"/>
      <c r="R491" s="173"/>
      <c r="S491" s="35"/>
      <c r="T491" s="35"/>
      <c r="U491" s="13"/>
      <c r="V491" s="13"/>
      <c r="W491" s="13"/>
      <c r="X491" s="13"/>
      <c r="Y491" s="13"/>
      <c r="Z491" s="13"/>
      <c r="AA491" s="13"/>
      <c r="AB491" s="13"/>
      <c r="AC491" s="13"/>
    </row>
    <row r="492" ht="16.5" customHeight="1">
      <c r="A492" s="13"/>
      <c r="B492" s="13"/>
      <c r="C492" s="13"/>
      <c r="D492" s="13"/>
      <c r="E492" s="13"/>
      <c r="F492" s="13"/>
      <c r="G492" s="13"/>
      <c r="H492" s="13"/>
      <c r="I492" s="13"/>
      <c r="J492" s="13"/>
      <c r="K492" s="171"/>
      <c r="L492" s="172"/>
      <c r="M492" s="13"/>
      <c r="N492" s="13"/>
      <c r="O492" s="171"/>
      <c r="P492" s="13"/>
      <c r="Q492" s="13"/>
      <c r="R492" s="173"/>
      <c r="S492" s="35"/>
      <c r="T492" s="35"/>
      <c r="U492" s="13"/>
      <c r="V492" s="13"/>
      <c r="W492" s="13"/>
      <c r="X492" s="13"/>
      <c r="Y492" s="13"/>
      <c r="Z492" s="13"/>
      <c r="AA492" s="13"/>
      <c r="AB492" s="13"/>
      <c r="AC492" s="13"/>
    </row>
    <row r="493" ht="16.5" customHeight="1">
      <c r="A493" s="13"/>
      <c r="B493" s="13"/>
      <c r="C493" s="13"/>
      <c r="D493" s="13"/>
      <c r="E493" s="13"/>
      <c r="F493" s="13"/>
      <c r="G493" s="13"/>
      <c r="H493" s="13"/>
      <c r="I493" s="13"/>
      <c r="J493" s="13"/>
      <c r="K493" s="171"/>
      <c r="L493" s="172"/>
      <c r="M493" s="13"/>
      <c r="N493" s="13"/>
      <c r="O493" s="171"/>
      <c r="P493" s="13"/>
      <c r="Q493" s="13"/>
      <c r="R493" s="173"/>
      <c r="S493" s="35"/>
      <c r="T493" s="35"/>
      <c r="U493" s="13"/>
      <c r="V493" s="13"/>
      <c r="W493" s="13"/>
      <c r="X493" s="13"/>
      <c r="Y493" s="13"/>
      <c r="Z493" s="13"/>
      <c r="AA493" s="13"/>
      <c r="AB493" s="13"/>
      <c r="AC493" s="13"/>
    </row>
    <row r="494" ht="16.5" customHeight="1">
      <c r="A494" s="13"/>
      <c r="B494" s="13"/>
      <c r="C494" s="13"/>
      <c r="D494" s="13"/>
      <c r="E494" s="13"/>
      <c r="F494" s="13"/>
      <c r="G494" s="13"/>
      <c r="H494" s="13"/>
      <c r="I494" s="13"/>
      <c r="J494" s="13"/>
      <c r="K494" s="171"/>
      <c r="L494" s="172"/>
      <c r="M494" s="13"/>
      <c r="N494" s="13"/>
      <c r="O494" s="171"/>
      <c r="P494" s="13"/>
      <c r="Q494" s="13"/>
      <c r="R494" s="173"/>
      <c r="S494" s="35"/>
      <c r="T494" s="35"/>
      <c r="U494" s="13"/>
      <c r="V494" s="13"/>
      <c r="W494" s="13"/>
      <c r="X494" s="13"/>
      <c r="Y494" s="13"/>
      <c r="Z494" s="13"/>
      <c r="AA494" s="13"/>
      <c r="AB494" s="13"/>
      <c r="AC494" s="13"/>
    </row>
    <row r="495" ht="16.5" customHeight="1">
      <c r="A495" s="13"/>
      <c r="B495" s="13"/>
      <c r="C495" s="13"/>
      <c r="D495" s="13"/>
      <c r="E495" s="13"/>
      <c r="F495" s="13"/>
      <c r="G495" s="13"/>
      <c r="H495" s="13"/>
      <c r="I495" s="13"/>
      <c r="J495" s="13"/>
      <c r="K495" s="171"/>
      <c r="L495" s="172"/>
      <c r="M495" s="13"/>
      <c r="N495" s="13"/>
      <c r="O495" s="171"/>
      <c r="P495" s="13"/>
      <c r="Q495" s="13"/>
      <c r="R495" s="173"/>
      <c r="S495" s="35"/>
      <c r="T495" s="35"/>
      <c r="U495" s="13"/>
      <c r="V495" s="13"/>
      <c r="W495" s="13"/>
      <c r="X495" s="13"/>
      <c r="Y495" s="13"/>
      <c r="Z495" s="13"/>
      <c r="AA495" s="13"/>
      <c r="AB495" s="13"/>
      <c r="AC495" s="13"/>
    </row>
    <row r="496" ht="16.5" customHeight="1">
      <c r="A496" s="13"/>
      <c r="B496" s="13"/>
      <c r="C496" s="13"/>
      <c r="D496" s="13"/>
      <c r="E496" s="13"/>
      <c r="F496" s="13"/>
      <c r="G496" s="13"/>
      <c r="H496" s="13"/>
      <c r="I496" s="13"/>
      <c r="J496" s="13"/>
      <c r="K496" s="171"/>
      <c r="L496" s="172"/>
      <c r="M496" s="13"/>
      <c r="N496" s="13"/>
      <c r="O496" s="171"/>
      <c r="P496" s="13"/>
      <c r="Q496" s="13"/>
      <c r="R496" s="173"/>
      <c r="S496" s="35"/>
      <c r="T496" s="35"/>
      <c r="U496" s="13"/>
      <c r="V496" s="13"/>
      <c r="W496" s="13"/>
      <c r="X496" s="13"/>
      <c r="Y496" s="13"/>
      <c r="Z496" s="13"/>
      <c r="AA496" s="13"/>
      <c r="AB496" s="13"/>
      <c r="AC496" s="13"/>
    </row>
    <row r="497" ht="16.5" customHeight="1">
      <c r="A497" s="13"/>
      <c r="B497" s="13"/>
      <c r="C497" s="13"/>
      <c r="D497" s="13"/>
      <c r="E497" s="13"/>
      <c r="F497" s="13"/>
      <c r="G497" s="13"/>
      <c r="H497" s="13"/>
      <c r="I497" s="13"/>
      <c r="J497" s="13"/>
      <c r="K497" s="171"/>
      <c r="L497" s="172"/>
      <c r="M497" s="13"/>
      <c r="N497" s="13"/>
      <c r="O497" s="171"/>
      <c r="P497" s="13"/>
      <c r="Q497" s="13"/>
      <c r="R497" s="173"/>
      <c r="S497" s="35"/>
      <c r="T497" s="35"/>
      <c r="U497" s="13"/>
      <c r="V497" s="13"/>
      <c r="W497" s="13"/>
      <c r="X497" s="13"/>
      <c r="Y497" s="13"/>
      <c r="Z497" s="13"/>
      <c r="AA497" s="13"/>
      <c r="AB497" s="13"/>
      <c r="AC497" s="13"/>
    </row>
    <row r="498" ht="16.5" customHeight="1">
      <c r="A498" s="13"/>
      <c r="B498" s="13"/>
      <c r="C498" s="13"/>
      <c r="D498" s="13"/>
      <c r="E498" s="13"/>
      <c r="F498" s="13"/>
      <c r="G498" s="13"/>
      <c r="H498" s="13"/>
      <c r="I498" s="13"/>
      <c r="J498" s="13"/>
      <c r="K498" s="171"/>
      <c r="L498" s="172"/>
      <c r="M498" s="13"/>
      <c r="N498" s="13"/>
      <c r="O498" s="171"/>
      <c r="P498" s="13"/>
      <c r="Q498" s="13"/>
      <c r="R498" s="173"/>
      <c r="S498" s="35"/>
      <c r="T498" s="35"/>
      <c r="U498" s="13"/>
      <c r="V498" s="13"/>
      <c r="W498" s="13"/>
      <c r="X498" s="13"/>
      <c r="Y498" s="13"/>
      <c r="Z498" s="13"/>
      <c r="AA498" s="13"/>
      <c r="AB498" s="13"/>
      <c r="AC498" s="13"/>
    </row>
    <row r="499" ht="16.5" customHeight="1">
      <c r="A499" s="13"/>
      <c r="B499" s="13"/>
      <c r="C499" s="13"/>
      <c r="D499" s="13"/>
      <c r="E499" s="13"/>
      <c r="F499" s="13"/>
      <c r="G499" s="13"/>
      <c r="H499" s="13"/>
      <c r="I499" s="13"/>
      <c r="J499" s="13"/>
      <c r="K499" s="171"/>
      <c r="L499" s="172"/>
      <c r="M499" s="13"/>
      <c r="N499" s="13"/>
      <c r="O499" s="171"/>
      <c r="P499" s="13"/>
      <c r="Q499" s="13"/>
      <c r="R499" s="173"/>
      <c r="S499" s="35"/>
      <c r="T499" s="35"/>
      <c r="U499" s="13"/>
      <c r="V499" s="13"/>
      <c r="W499" s="13"/>
      <c r="X499" s="13"/>
      <c r="Y499" s="13"/>
      <c r="Z499" s="13"/>
      <c r="AA499" s="13"/>
      <c r="AB499" s="13"/>
      <c r="AC499" s="13"/>
    </row>
    <row r="500" ht="16.5" customHeight="1">
      <c r="A500" s="13"/>
      <c r="B500" s="13"/>
      <c r="C500" s="13"/>
      <c r="D500" s="13"/>
      <c r="E500" s="13"/>
      <c r="F500" s="13"/>
      <c r="G500" s="13"/>
      <c r="H500" s="13"/>
      <c r="I500" s="13"/>
      <c r="J500" s="13"/>
      <c r="K500" s="171"/>
      <c r="L500" s="172"/>
      <c r="M500" s="13"/>
      <c r="N500" s="13"/>
      <c r="O500" s="171"/>
      <c r="P500" s="13"/>
      <c r="Q500" s="13"/>
      <c r="R500" s="173"/>
      <c r="S500" s="35"/>
      <c r="T500" s="35"/>
      <c r="U500" s="13"/>
      <c r="V500" s="13"/>
      <c r="W500" s="13"/>
      <c r="X500" s="13"/>
      <c r="Y500" s="13"/>
      <c r="Z500" s="13"/>
      <c r="AA500" s="13"/>
      <c r="AB500" s="13"/>
      <c r="AC500" s="13"/>
    </row>
    <row r="501" ht="16.5" customHeight="1">
      <c r="A501" s="13"/>
      <c r="B501" s="13"/>
      <c r="C501" s="13"/>
      <c r="D501" s="13"/>
      <c r="E501" s="13"/>
      <c r="F501" s="13"/>
      <c r="G501" s="13"/>
      <c r="H501" s="13"/>
      <c r="I501" s="13"/>
      <c r="J501" s="13"/>
      <c r="K501" s="171"/>
      <c r="L501" s="172"/>
      <c r="M501" s="13"/>
      <c r="N501" s="13"/>
      <c r="O501" s="171"/>
      <c r="P501" s="13"/>
      <c r="Q501" s="13"/>
      <c r="R501" s="173"/>
      <c r="S501" s="35"/>
      <c r="T501" s="35"/>
      <c r="U501" s="13"/>
      <c r="V501" s="13"/>
      <c r="W501" s="13"/>
      <c r="X501" s="13"/>
      <c r="Y501" s="13"/>
      <c r="Z501" s="13"/>
      <c r="AA501" s="13"/>
      <c r="AB501" s="13"/>
      <c r="AC501" s="13"/>
    </row>
    <row r="502" ht="16.5" customHeight="1">
      <c r="A502" s="13"/>
      <c r="B502" s="13"/>
      <c r="C502" s="13"/>
      <c r="D502" s="13"/>
      <c r="E502" s="13"/>
      <c r="F502" s="13"/>
      <c r="G502" s="13"/>
      <c r="H502" s="13"/>
      <c r="I502" s="13"/>
      <c r="J502" s="13"/>
      <c r="K502" s="171"/>
      <c r="L502" s="172"/>
      <c r="M502" s="13"/>
      <c r="N502" s="13"/>
      <c r="O502" s="171"/>
      <c r="P502" s="13"/>
      <c r="Q502" s="13"/>
      <c r="R502" s="173"/>
      <c r="S502" s="35"/>
      <c r="T502" s="35"/>
      <c r="U502" s="13"/>
      <c r="V502" s="13"/>
      <c r="W502" s="13"/>
      <c r="X502" s="13"/>
      <c r="Y502" s="13"/>
      <c r="Z502" s="13"/>
      <c r="AA502" s="13"/>
      <c r="AB502" s="13"/>
      <c r="AC502" s="13"/>
    </row>
    <row r="503" ht="16.5" customHeight="1">
      <c r="A503" s="13"/>
      <c r="B503" s="13"/>
      <c r="C503" s="13"/>
      <c r="D503" s="13"/>
      <c r="E503" s="13"/>
      <c r="F503" s="13"/>
      <c r="G503" s="13"/>
      <c r="H503" s="13"/>
      <c r="I503" s="13"/>
      <c r="J503" s="13"/>
      <c r="K503" s="171"/>
      <c r="L503" s="172"/>
      <c r="M503" s="13"/>
      <c r="N503" s="13"/>
      <c r="O503" s="171"/>
      <c r="P503" s="13"/>
      <c r="Q503" s="13"/>
      <c r="R503" s="173"/>
      <c r="S503" s="35"/>
      <c r="T503" s="35"/>
      <c r="U503" s="13"/>
      <c r="V503" s="13"/>
      <c r="W503" s="13"/>
      <c r="X503" s="13"/>
      <c r="Y503" s="13"/>
      <c r="Z503" s="13"/>
      <c r="AA503" s="13"/>
      <c r="AB503" s="13"/>
      <c r="AC503" s="13"/>
    </row>
    <row r="504" ht="16.5" customHeight="1">
      <c r="A504" s="13"/>
      <c r="B504" s="13"/>
      <c r="C504" s="13"/>
      <c r="D504" s="13"/>
      <c r="E504" s="13"/>
      <c r="F504" s="13"/>
      <c r="G504" s="13"/>
      <c r="H504" s="13"/>
      <c r="I504" s="13"/>
      <c r="J504" s="13"/>
      <c r="K504" s="171"/>
      <c r="L504" s="172"/>
      <c r="M504" s="13"/>
      <c r="N504" s="13"/>
      <c r="O504" s="171"/>
      <c r="P504" s="13"/>
      <c r="Q504" s="13"/>
      <c r="R504" s="173"/>
      <c r="S504" s="35"/>
      <c r="T504" s="35"/>
      <c r="U504" s="13"/>
      <c r="V504" s="13"/>
      <c r="W504" s="13"/>
      <c r="X504" s="13"/>
      <c r="Y504" s="13"/>
      <c r="Z504" s="13"/>
      <c r="AA504" s="13"/>
      <c r="AB504" s="13"/>
      <c r="AC504" s="13"/>
    </row>
    <row r="505" ht="16.5" customHeight="1">
      <c r="A505" s="13"/>
      <c r="B505" s="13"/>
      <c r="C505" s="13"/>
      <c r="D505" s="13"/>
      <c r="E505" s="13"/>
      <c r="F505" s="13"/>
      <c r="G505" s="13"/>
      <c r="H505" s="13"/>
      <c r="I505" s="13"/>
      <c r="J505" s="13"/>
      <c r="K505" s="171"/>
      <c r="L505" s="172"/>
      <c r="M505" s="13"/>
      <c r="N505" s="13"/>
      <c r="O505" s="171"/>
      <c r="P505" s="13"/>
      <c r="Q505" s="13"/>
      <c r="R505" s="173"/>
      <c r="S505" s="35"/>
      <c r="T505" s="35"/>
      <c r="U505" s="13"/>
      <c r="V505" s="13"/>
      <c r="W505" s="13"/>
      <c r="X505" s="13"/>
      <c r="Y505" s="13"/>
      <c r="Z505" s="13"/>
      <c r="AA505" s="13"/>
      <c r="AB505" s="13"/>
      <c r="AC505" s="13"/>
    </row>
    <row r="506" ht="16.5" customHeight="1">
      <c r="A506" s="13"/>
      <c r="B506" s="13"/>
      <c r="C506" s="13"/>
      <c r="D506" s="13"/>
      <c r="E506" s="13"/>
      <c r="F506" s="13"/>
      <c r="G506" s="13"/>
      <c r="H506" s="13"/>
      <c r="I506" s="13"/>
      <c r="J506" s="13"/>
      <c r="K506" s="171"/>
      <c r="L506" s="172"/>
      <c r="M506" s="13"/>
      <c r="N506" s="13"/>
      <c r="O506" s="171"/>
      <c r="P506" s="13"/>
      <c r="Q506" s="13"/>
      <c r="R506" s="173"/>
      <c r="S506" s="35"/>
      <c r="T506" s="35"/>
      <c r="U506" s="13"/>
      <c r="V506" s="13"/>
      <c r="W506" s="13"/>
      <c r="X506" s="13"/>
      <c r="Y506" s="13"/>
      <c r="Z506" s="13"/>
      <c r="AA506" s="13"/>
      <c r="AB506" s="13"/>
      <c r="AC506" s="13"/>
    </row>
    <row r="507" ht="16.5" customHeight="1">
      <c r="A507" s="13"/>
      <c r="B507" s="13"/>
      <c r="C507" s="13"/>
      <c r="D507" s="13"/>
      <c r="E507" s="13"/>
      <c r="F507" s="13"/>
      <c r="G507" s="13"/>
      <c r="H507" s="13"/>
      <c r="I507" s="13"/>
      <c r="J507" s="13"/>
      <c r="K507" s="171"/>
      <c r="L507" s="172"/>
      <c r="M507" s="13"/>
      <c r="N507" s="13"/>
      <c r="O507" s="171"/>
      <c r="P507" s="13"/>
      <c r="Q507" s="13"/>
      <c r="R507" s="173"/>
      <c r="S507" s="35"/>
      <c r="T507" s="35"/>
      <c r="U507" s="13"/>
      <c r="V507" s="13"/>
      <c r="W507" s="13"/>
      <c r="X507" s="13"/>
      <c r="Y507" s="13"/>
      <c r="Z507" s="13"/>
      <c r="AA507" s="13"/>
      <c r="AB507" s="13"/>
      <c r="AC507" s="13"/>
    </row>
    <row r="508" ht="16.5" customHeight="1">
      <c r="A508" s="13"/>
      <c r="B508" s="13"/>
      <c r="C508" s="13"/>
      <c r="D508" s="13"/>
      <c r="E508" s="13"/>
      <c r="F508" s="13"/>
      <c r="G508" s="13"/>
      <c r="H508" s="13"/>
      <c r="I508" s="13"/>
      <c r="J508" s="13"/>
      <c r="K508" s="171"/>
      <c r="L508" s="172"/>
      <c r="M508" s="13"/>
      <c r="N508" s="13"/>
      <c r="O508" s="171"/>
      <c r="P508" s="13"/>
      <c r="Q508" s="13"/>
      <c r="R508" s="173"/>
      <c r="S508" s="35"/>
      <c r="T508" s="35"/>
      <c r="U508" s="13"/>
      <c r="V508" s="13"/>
      <c r="W508" s="13"/>
      <c r="X508" s="13"/>
      <c r="Y508" s="13"/>
      <c r="Z508" s="13"/>
      <c r="AA508" s="13"/>
      <c r="AB508" s="13"/>
      <c r="AC508" s="13"/>
    </row>
    <row r="509" ht="16.5" customHeight="1">
      <c r="A509" s="13"/>
      <c r="B509" s="13"/>
      <c r="C509" s="13"/>
      <c r="D509" s="13"/>
      <c r="E509" s="13"/>
      <c r="F509" s="13"/>
      <c r="G509" s="13"/>
      <c r="H509" s="13"/>
      <c r="I509" s="13"/>
      <c r="J509" s="13"/>
      <c r="K509" s="171"/>
      <c r="L509" s="172"/>
      <c r="M509" s="13"/>
      <c r="N509" s="13"/>
      <c r="O509" s="171"/>
      <c r="P509" s="13"/>
      <c r="Q509" s="13"/>
      <c r="R509" s="173"/>
      <c r="S509" s="35"/>
      <c r="T509" s="35"/>
      <c r="U509" s="13"/>
      <c r="V509" s="13"/>
      <c r="W509" s="13"/>
      <c r="X509" s="13"/>
      <c r="Y509" s="13"/>
      <c r="Z509" s="13"/>
      <c r="AA509" s="13"/>
      <c r="AB509" s="13"/>
      <c r="AC509" s="13"/>
    </row>
    <row r="510" ht="16.5" customHeight="1">
      <c r="A510" s="13"/>
      <c r="B510" s="13"/>
      <c r="C510" s="13"/>
      <c r="D510" s="13"/>
      <c r="E510" s="13"/>
      <c r="F510" s="13"/>
      <c r="G510" s="13"/>
      <c r="H510" s="13"/>
      <c r="I510" s="13"/>
      <c r="J510" s="13"/>
      <c r="K510" s="171"/>
      <c r="L510" s="172"/>
      <c r="M510" s="13"/>
      <c r="N510" s="13"/>
      <c r="O510" s="171"/>
      <c r="P510" s="13"/>
      <c r="Q510" s="13"/>
      <c r="R510" s="173"/>
      <c r="S510" s="35"/>
      <c r="T510" s="35"/>
      <c r="U510" s="13"/>
      <c r="V510" s="13"/>
      <c r="W510" s="13"/>
      <c r="X510" s="13"/>
      <c r="Y510" s="13"/>
      <c r="Z510" s="13"/>
      <c r="AA510" s="13"/>
      <c r="AB510" s="13"/>
      <c r="AC510" s="13"/>
    </row>
    <row r="511" ht="16.5" customHeight="1">
      <c r="A511" s="13"/>
      <c r="B511" s="13"/>
      <c r="C511" s="13"/>
      <c r="D511" s="13"/>
      <c r="E511" s="13"/>
      <c r="F511" s="13"/>
      <c r="G511" s="13"/>
      <c r="H511" s="13"/>
      <c r="I511" s="13"/>
      <c r="J511" s="13"/>
      <c r="K511" s="171"/>
      <c r="L511" s="172"/>
      <c r="M511" s="13"/>
      <c r="N511" s="13"/>
      <c r="O511" s="171"/>
      <c r="P511" s="13"/>
      <c r="Q511" s="13"/>
      <c r="R511" s="173"/>
      <c r="S511" s="35"/>
      <c r="T511" s="35"/>
      <c r="U511" s="13"/>
      <c r="V511" s="13"/>
      <c r="W511" s="13"/>
      <c r="X511" s="13"/>
      <c r="Y511" s="13"/>
      <c r="Z511" s="13"/>
      <c r="AA511" s="13"/>
      <c r="AB511" s="13"/>
      <c r="AC511" s="13"/>
    </row>
    <row r="512" ht="16.5" customHeight="1">
      <c r="A512" s="13"/>
      <c r="B512" s="13"/>
      <c r="C512" s="13"/>
      <c r="D512" s="13"/>
      <c r="E512" s="13"/>
      <c r="F512" s="13"/>
      <c r="G512" s="13"/>
      <c r="H512" s="13"/>
      <c r="I512" s="13"/>
      <c r="J512" s="13"/>
      <c r="K512" s="171"/>
      <c r="L512" s="172"/>
      <c r="M512" s="13"/>
      <c r="N512" s="13"/>
      <c r="O512" s="171"/>
      <c r="P512" s="13"/>
      <c r="Q512" s="13"/>
      <c r="R512" s="173"/>
      <c r="S512" s="35"/>
      <c r="T512" s="35"/>
      <c r="U512" s="13"/>
      <c r="V512" s="13"/>
      <c r="W512" s="13"/>
      <c r="X512" s="13"/>
      <c r="Y512" s="13"/>
      <c r="Z512" s="13"/>
      <c r="AA512" s="13"/>
      <c r="AB512" s="13"/>
      <c r="AC512" s="13"/>
    </row>
    <row r="513" ht="16.5" customHeight="1">
      <c r="A513" s="13"/>
      <c r="B513" s="13"/>
      <c r="C513" s="13"/>
      <c r="D513" s="13"/>
      <c r="E513" s="13"/>
      <c r="F513" s="13"/>
      <c r="G513" s="13"/>
      <c r="H513" s="13"/>
      <c r="I513" s="13"/>
      <c r="J513" s="13"/>
      <c r="K513" s="171"/>
      <c r="L513" s="172"/>
      <c r="M513" s="13"/>
      <c r="N513" s="13"/>
      <c r="O513" s="171"/>
      <c r="P513" s="13"/>
      <c r="Q513" s="13"/>
      <c r="R513" s="173"/>
      <c r="S513" s="35"/>
      <c r="T513" s="35"/>
      <c r="U513" s="13"/>
      <c r="V513" s="13"/>
      <c r="W513" s="13"/>
      <c r="X513" s="13"/>
      <c r="Y513" s="13"/>
      <c r="Z513" s="13"/>
      <c r="AA513" s="13"/>
      <c r="AB513" s="13"/>
      <c r="AC513" s="13"/>
    </row>
    <row r="514" ht="16.5" customHeight="1">
      <c r="A514" s="13"/>
      <c r="B514" s="13"/>
      <c r="C514" s="13"/>
      <c r="D514" s="13"/>
      <c r="E514" s="13"/>
      <c r="F514" s="13"/>
      <c r="G514" s="13"/>
      <c r="H514" s="13"/>
      <c r="I514" s="13"/>
      <c r="J514" s="13"/>
      <c r="K514" s="171"/>
      <c r="L514" s="172"/>
      <c r="M514" s="13"/>
      <c r="N514" s="13"/>
      <c r="O514" s="171"/>
      <c r="P514" s="13"/>
      <c r="Q514" s="13"/>
      <c r="R514" s="173"/>
      <c r="S514" s="35"/>
      <c r="T514" s="35"/>
      <c r="U514" s="13"/>
      <c r="V514" s="13"/>
      <c r="W514" s="13"/>
      <c r="X514" s="13"/>
      <c r="Y514" s="13"/>
      <c r="Z514" s="13"/>
      <c r="AA514" s="13"/>
      <c r="AB514" s="13"/>
      <c r="AC514" s="13"/>
    </row>
    <row r="515" ht="16.5" customHeight="1">
      <c r="A515" s="13"/>
      <c r="B515" s="13"/>
      <c r="C515" s="13"/>
      <c r="D515" s="13"/>
      <c r="E515" s="13"/>
      <c r="F515" s="13"/>
      <c r="G515" s="13"/>
      <c r="H515" s="13"/>
      <c r="I515" s="13"/>
      <c r="J515" s="13"/>
      <c r="K515" s="171"/>
      <c r="L515" s="172"/>
      <c r="M515" s="13"/>
      <c r="N515" s="13"/>
      <c r="O515" s="171"/>
      <c r="P515" s="13"/>
      <c r="Q515" s="13"/>
      <c r="R515" s="173"/>
      <c r="S515" s="35"/>
      <c r="T515" s="35"/>
      <c r="U515" s="13"/>
      <c r="V515" s="13"/>
      <c r="W515" s="13"/>
      <c r="X515" s="13"/>
      <c r="Y515" s="13"/>
      <c r="Z515" s="13"/>
      <c r="AA515" s="13"/>
      <c r="AB515" s="13"/>
      <c r="AC515" s="13"/>
    </row>
    <row r="516" ht="16.5" customHeight="1">
      <c r="A516" s="13"/>
      <c r="B516" s="13"/>
      <c r="C516" s="13"/>
      <c r="D516" s="13"/>
      <c r="E516" s="13"/>
      <c r="F516" s="13"/>
      <c r="G516" s="13"/>
      <c r="H516" s="13"/>
      <c r="I516" s="13"/>
      <c r="J516" s="13"/>
      <c r="K516" s="171"/>
      <c r="L516" s="172"/>
      <c r="M516" s="13"/>
      <c r="N516" s="13"/>
      <c r="O516" s="171"/>
      <c r="P516" s="13"/>
      <c r="Q516" s="13"/>
      <c r="R516" s="173"/>
      <c r="S516" s="35"/>
      <c r="T516" s="35"/>
      <c r="U516" s="13"/>
      <c r="V516" s="13"/>
      <c r="W516" s="13"/>
      <c r="X516" s="13"/>
      <c r="Y516" s="13"/>
      <c r="Z516" s="13"/>
      <c r="AA516" s="13"/>
      <c r="AB516" s="13"/>
      <c r="AC516" s="13"/>
    </row>
    <row r="517" ht="16.5" customHeight="1">
      <c r="A517" s="13"/>
      <c r="B517" s="13"/>
      <c r="C517" s="13"/>
      <c r="D517" s="13"/>
      <c r="E517" s="13"/>
      <c r="F517" s="13"/>
      <c r="G517" s="13"/>
      <c r="H517" s="13"/>
      <c r="I517" s="13"/>
      <c r="J517" s="13"/>
      <c r="K517" s="171"/>
      <c r="L517" s="172"/>
      <c r="M517" s="13"/>
      <c r="N517" s="13"/>
      <c r="O517" s="171"/>
      <c r="P517" s="13"/>
      <c r="Q517" s="13"/>
      <c r="R517" s="173"/>
      <c r="S517" s="35"/>
      <c r="T517" s="35"/>
      <c r="U517" s="13"/>
      <c r="V517" s="13"/>
      <c r="W517" s="13"/>
      <c r="X517" s="13"/>
      <c r="Y517" s="13"/>
      <c r="Z517" s="13"/>
      <c r="AA517" s="13"/>
      <c r="AB517" s="13"/>
      <c r="AC517" s="13"/>
    </row>
    <row r="518" ht="16.5" customHeight="1">
      <c r="A518" s="13"/>
      <c r="B518" s="13"/>
      <c r="C518" s="13"/>
      <c r="D518" s="13"/>
      <c r="E518" s="13"/>
      <c r="F518" s="13"/>
      <c r="G518" s="13"/>
      <c r="H518" s="13"/>
      <c r="I518" s="13"/>
      <c r="J518" s="13"/>
      <c r="K518" s="171"/>
      <c r="L518" s="172"/>
      <c r="M518" s="13"/>
      <c r="N518" s="13"/>
      <c r="O518" s="171"/>
      <c r="P518" s="13"/>
      <c r="Q518" s="13"/>
      <c r="R518" s="173"/>
      <c r="S518" s="35"/>
      <c r="T518" s="35"/>
      <c r="U518" s="13"/>
      <c r="V518" s="13"/>
      <c r="W518" s="13"/>
      <c r="X518" s="13"/>
      <c r="Y518" s="13"/>
      <c r="Z518" s="13"/>
      <c r="AA518" s="13"/>
      <c r="AB518" s="13"/>
      <c r="AC518" s="13"/>
    </row>
    <row r="519" ht="16.5" customHeight="1">
      <c r="A519" s="13"/>
      <c r="B519" s="13"/>
      <c r="C519" s="13"/>
      <c r="D519" s="13"/>
      <c r="E519" s="13"/>
      <c r="F519" s="13"/>
      <c r="G519" s="13"/>
      <c r="H519" s="13"/>
      <c r="I519" s="13"/>
      <c r="J519" s="13"/>
      <c r="K519" s="171"/>
      <c r="L519" s="172"/>
      <c r="M519" s="13"/>
      <c r="N519" s="13"/>
      <c r="O519" s="171"/>
      <c r="P519" s="13"/>
      <c r="Q519" s="13"/>
      <c r="R519" s="173"/>
      <c r="S519" s="35"/>
      <c r="T519" s="35"/>
      <c r="U519" s="13"/>
      <c r="V519" s="13"/>
      <c r="W519" s="13"/>
      <c r="X519" s="13"/>
      <c r="Y519" s="13"/>
      <c r="Z519" s="13"/>
      <c r="AA519" s="13"/>
      <c r="AB519" s="13"/>
      <c r="AC519" s="13"/>
    </row>
    <row r="520" ht="16.5" customHeight="1">
      <c r="A520" s="13"/>
      <c r="B520" s="13"/>
      <c r="C520" s="13"/>
      <c r="D520" s="13"/>
      <c r="E520" s="13"/>
      <c r="F520" s="13"/>
      <c r="G520" s="13"/>
      <c r="H520" s="13"/>
      <c r="I520" s="13"/>
      <c r="J520" s="13"/>
      <c r="K520" s="171"/>
      <c r="L520" s="172"/>
      <c r="M520" s="13"/>
      <c r="N520" s="13"/>
      <c r="O520" s="171"/>
      <c r="P520" s="13"/>
      <c r="Q520" s="13"/>
      <c r="R520" s="173"/>
      <c r="S520" s="35"/>
      <c r="T520" s="35"/>
      <c r="U520" s="13"/>
      <c r="V520" s="13"/>
      <c r="W520" s="13"/>
      <c r="X520" s="13"/>
      <c r="Y520" s="13"/>
      <c r="Z520" s="13"/>
      <c r="AA520" s="13"/>
      <c r="AB520" s="13"/>
      <c r="AC520" s="13"/>
    </row>
    <row r="521" ht="16.5" customHeight="1">
      <c r="A521" s="13"/>
      <c r="B521" s="13"/>
      <c r="C521" s="13"/>
      <c r="D521" s="13"/>
      <c r="E521" s="13"/>
      <c r="F521" s="13"/>
      <c r="G521" s="13"/>
      <c r="H521" s="13"/>
      <c r="I521" s="13"/>
      <c r="J521" s="13"/>
      <c r="K521" s="171"/>
      <c r="L521" s="172"/>
      <c r="M521" s="13"/>
      <c r="N521" s="13"/>
      <c r="O521" s="171"/>
      <c r="P521" s="13"/>
      <c r="Q521" s="13"/>
      <c r="R521" s="173"/>
      <c r="S521" s="35"/>
      <c r="T521" s="35"/>
      <c r="U521" s="13"/>
      <c r="V521" s="13"/>
      <c r="W521" s="13"/>
      <c r="X521" s="13"/>
      <c r="Y521" s="13"/>
      <c r="Z521" s="13"/>
      <c r="AA521" s="13"/>
      <c r="AB521" s="13"/>
      <c r="AC521" s="13"/>
    </row>
    <row r="522" ht="16.5" customHeight="1">
      <c r="A522" s="13"/>
      <c r="B522" s="13"/>
      <c r="C522" s="13"/>
      <c r="D522" s="13"/>
      <c r="E522" s="13"/>
      <c r="F522" s="13"/>
      <c r="G522" s="13"/>
      <c r="H522" s="13"/>
      <c r="I522" s="13"/>
      <c r="J522" s="13"/>
      <c r="K522" s="171"/>
      <c r="L522" s="172"/>
      <c r="M522" s="13"/>
      <c r="N522" s="13"/>
      <c r="O522" s="171"/>
      <c r="P522" s="13"/>
      <c r="Q522" s="13"/>
      <c r="R522" s="173"/>
      <c r="S522" s="35"/>
      <c r="T522" s="35"/>
      <c r="U522" s="13"/>
      <c r="V522" s="13"/>
      <c r="W522" s="13"/>
      <c r="X522" s="13"/>
      <c r="Y522" s="13"/>
      <c r="Z522" s="13"/>
      <c r="AA522" s="13"/>
      <c r="AB522" s="13"/>
      <c r="AC522" s="13"/>
    </row>
    <row r="523" ht="16.5" customHeight="1">
      <c r="A523" s="13"/>
      <c r="B523" s="13"/>
      <c r="C523" s="13"/>
      <c r="D523" s="13"/>
      <c r="E523" s="13"/>
      <c r="F523" s="13"/>
      <c r="G523" s="13"/>
      <c r="H523" s="13"/>
      <c r="I523" s="13"/>
      <c r="J523" s="13"/>
      <c r="K523" s="171"/>
      <c r="L523" s="172"/>
      <c r="M523" s="13"/>
      <c r="N523" s="13"/>
      <c r="O523" s="171"/>
      <c r="P523" s="13"/>
      <c r="Q523" s="13"/>
      <c r="R523" s="173"/>
      <c r="S523" s="35"/>
      <c r="T523" s="35"/>
      <c r="U523" s="13"/>
      <c r="V523" s="13"/>
      <c r="W523" s="13"/>
      <c r="X523" s="13"/>
      <c r="Y523" s="13"/>
      <c r="Z523" s="13"/>
      <c r="AA523" s="13"/>
      <c r="AB523" s="13"/>
      <c r="AC523" s="13"/>
    </row>
    <row r="524" ht="16.5" customHeight="1">
      <c r="A524" s="13"/>
      <c r="B524" s="13"/>
      <c r="C524" s="13"/>
      <c r="D524" s="13"/>
      <c r="E524" s="13"/>
      <c r="F524" s="13"/>
      <c r="G524" s="13"/>
      <c r="H524" s="13"/>
      <c r="I524" s="13"/>
      <c r="J524" s="13"/>
      <c r="K524" s="171"/>
      <c r="L524" s="172"/>
      <c r="M524" s="13"/>
      <c r="N524" s="13"/>
      <c r="O524" s="171"/>
      <c r="P524" s="13"/>
      <c r="Q524" s="13"/>
      <c r="R524" s="173"/>
      <c r="S524" s="35"/>
      <c r="T524" s="35"/>
      <c r="U524" s="13"/>
      <c r="V524" s="13"/>
      <c r="W524" s="13"/>
      <c r="X524" s="13"/>
      <c r="Y524" s="13"/>
      <c r="Z524" s="13"/>
      <c r="AA524" s="13"/>
      <c r="AB524" s="13"/>
      <c r="AC524" s="13"/>
    </row>
    <row r="525" ht="16.5" customHeight="1">
      <c r="A525" s="13"/>
      <c r="B525" s="13"/>
      <c r="C525" s="13"/>
      <c r="D525" s="13"/>
      <c r="E525" s="13"/>
      <c r="F525" s="13"/>
      <c r="G525" s="13"/>
      <c r="H525" s="13"/>
      <c r="I525" s="13"/>
      <c r="J525" s="13"/>
      <c r="K525" s="171"/>
      <c r="L525" s="172"/>
      <c r="M525" s="13"/>
      <c r="N525" s="13"/>
      <c r="O525" s="171"/>
      <c r="P525" s="13"/>
      <c r="Q525" s="13"/>
      <c r="R525" s="173"/>
      <c r="S525" s="35"/>
      <c r="T525" s="35"/>
      <c r="U525" s="13"/>
      <c r="V525" s="13"/>
      <c r="W525" s="13"/>
      <c r="X525" s="13"/>
      <c r="Y525" s="13"/>
      <c r="Z525" s="13"/>
      <c r="AA525" s="13"/>
      <c r="AB525" s="13"/>
      <c r="AC525" s="13"/>
    </row>
    <row r="526" ht="16.5" customHeight="1">
      <c r="A526" s="13"/>
      <c r="B526" s="13"/>
      <c r="C526" s="13"/>
      <c r="D526" s="13"/>
      <c r="E526" s="13"/>
      <c r="F526" s="13"/>
      <c r="G526" s="13"/>
      <c r="H526" s="13"/>
      <c r="I526" s="13"/>
      <c r="J526" s="13"/>
      <c r="K526" s="171"/>
      <c r="L526" s="172"/>
      <c r="M526" s="13"/>
      <c r="N526" s="13"/>
      <c r="O526" s="171"/>
      <c r="P526" s="13"/>
      <c r="Q526" s="13"/>
      <c r="R526" s="173"/>
      <c r="S526" s="35"/>
      <c r="T526" s="35"/>
      <c r="U526" s="13"/>
      <c r="V526" s="13"/>
      <c r="W526" s="13"/>
      <c r="X526" s="13"/>
      <c r="Y526" s="13"/>
      <c r="Z526" s="13"/>
      <c r="AA526" s="13"/>
      <c r="AB526" s="13"/>
      <c r="AC526" s="13"/>
    </row>
    <row r="527" ht="16.5" customHeight="1">
      <c r="A527" s="13"/>
      <c r="B527" s="13"/>
      <c r="C527" s="13"/>
      <c r="D527" s="13"/>
      <c r="E527" s="13"/>
      <c r="F527" s="13"/>
      <c r="G527" s="13"/>
      <c r="H527" s="13"/>
      <c r="I527" s="13"/>
      <c r="J527" s="13"/>
      <c r="K527" s="171"/>
      <c r="L527" s="172"/>
      <c r="M527" s="13"/>
      <c r="N527" s="13"/>
      <c r="O527" s="171"/>
      <c r="P527" s="13"/>
      <c r="Q527" s="13"/>
      <c r="R527" s="173"/>
      <c r="S527" s="35"/>
      <c r="T527" s="35"/>
      <c r="U527" s="13"/>
      <c r="V527" s="13"/>
      <c r="W527" s="13"/>
      <c r="X527" s="13"/>
      <c r="Y527" s="13"/>
      <c r="Z527" s="13"/>
      <c r="AA527" s="13"/>
      <c r="AB527" s="13"/>
      <c r="AC527" s="13"/>
    </row>
    <row r="528" ht="16.5" customHeight="1">
      <c r="A528" s="13"/>
      <c r="B528" s="13"/>
      <c r="C528" s="13"/>
      <c r="D528" s="13"/>
      <c r="E528" s="13"/>
      <c r="F528" s="13"/>
      <c r="G528" s="13"/>
      <c r="H528" s="13"/>
      <c r="I528" s="13"/>
      <c r="J528" s="13"/>
      <c r="K528" s="171"/>
      <c r="L528" s="172"/>
      <c r="M528" s="13"/>
      <c r="N528" s="13"/>
      <c r="O528" s="171"/>
      <c r="P528" s="13"/>
      <c r="Q528" s="13"/>
      <c r="R528" s="173"/>
      <c r="S528" s="35"/>
      <c r="T528" s="35"/>
      <c r="U528" s="13"/>
      <c r="V528" s="13"/>
      <c r="W528" s="13"/>
      <c r="X528" s="13"/>
      <c r="Y528" s="13"/>
      <c r="Z528" s="13"/>
      <c r="AA528" s="13"/>
      <c r="AB528" s="13"/>
      <c r="AC528" s="13"/>
    </row>
    <row r="529" ht="16.5" customHeight="1">
      <c r="A529" s="13"/>
      <c r="B529" s="13"/>
      <c r="C529" s="13"/>
      <c r="D529" s="13"/>
      <c r="E529" s="13"/>
      <c r="F529" s="13"/>
      <c r="G529" s="13"/>
      <c r="H529" s="13"/>
      <c r="I529" s="13"/>
      <c r="J529" s="13"/>
      <c r="K529" s="171"/>
      <c r="L529" s="172"/>
      <c r="M529" s="13"/>
      <c r="N529" s="13"/>
      <c r="O529" s="171"/>
      <c r="P529" s="13"/>
      <c r="Q529" s="13"/>
      <c r="R529" s="173"/>
      <c r="S529" s="35"/>
      <c r="T529" s="35"/>
      <c r="U529" s="13"/>
      <c r="V529" s="13"/>
      <c r="W529" s="13"/>
      <c r="X529" s="13"/>
      <c r="Y529" s="13"/>
      <c r="Z529" s="13"/>
      <c r="AA529" s="13"/>
      <c r="AB529" s="13"/>
      <c r="AC529" s="13"/>
    </row>
    <row r="530" ht="16.5" customHeight="1">
      <c r="A530" s="13"/>
      <c r="B530" s="13"/>
      <c r="C530" s="13"/>
      <c r="D530" s="13"/>
      <c r="E530" s="13"/>
      <c r="F530" s="13"/>
      <c r="G530" s="13"/>
      <c r="H530" s="13"/>
      <c r="I530" s="13"/>
      <c r="J530" s="13"/>
      <c r="K530" s="171"/>
      <c r="L530" s="172"/>
      <c r="M530" s="13"/>
      <c r="N530" s="13"/>
      <c r="O530" s="171"/>
      <c r="P530" s="13"/>
      <c r="Q530" s="13"/>
      <c r="R530" s="173"/>
      <c r="S530" s="35"/>
      <c r="T530" s="35"/>
      <c r="U530" s="13"/>
      <c r="V530" s="13"/>
      <c r="W530" s="13"/>
      <c r="X530" s="13"/>
      <c r="Y530" s="13"/>
      <c r="Z530" s="13"/>
      <c r="AA530" s="13"/>
      <c r="AB530" s="13"/>
      <c r="AC530" s="13"/>
    </row>
    <row r="531" ht="16.5" customHeight="1">
      <c r="A531" s="13"/>
      <c r="B531" s="13"/>
      <c r="C531" s="13"/>
      <c r="D531" s="13"/>
      <c r="E531" s="13"/>
      <c r="F531" s="13"/>
      <c r="G531" s="13"/>
      <c r="H531" s="13"/>
      <c r="I531" s="13"/>
      <c r="J531" s="13"/>
      <c r="K531" s="171"/>
      <c r="L531" s="172"/>
      <c r="M531" s="13"/>
      <c r="N531" s="13"/>
      <c r="O531" s="171"/>
      <c r="P531" s="13"/>
      <c r="Q531" s="13"/>
      <c r="R531" s="173"/>
      <c r="S531" s="35"/>
      <c r="T531" s="35"/>
      <c r="U531" s="13"/>
      <c r="V531" s="13"/>
      <c r="W531" s="13"/>
      <c r="X531" s="13"/>
      <c r="Y531" s="13"/>
      <c r="Z531" s="13"/>
      <c r="AA531" s="13"/>
      <c r="AB531" s="13"/>
      <c r="AC531" s="13"/>
    </row>
    <row r="532" ht="16.5" customHeight="1">
      <c r="A532" s="13"/>
      <c r="B532" s="13"/>
      <c r="C532" s="13"/>
      <c r="D532" s="13"/>
      <c r="E532" s="13"/>
      <c r="F532" s="13"/>
      <c r="G532" s="13"/>
      <c r="H532" s="13"/>
      <c r="I532" s="13"/>
      <c r="J532" s="13"/>
      <c r="K532" s="171"/>
      <c r="L532" s="172"/>
      <c r="M532" s="13"/>
      <c r="N532" s="13"/>
      <c r="O532" s="171"/>
      <c r="P532" s="13"/>
      <c r="Q532" s="13"/>
      <c r="R532" s="173"/>
      <c r="S532" s="35"/>
      <c r="T532" s="35"/>
      <c r="U532" s="13"/>
      <c r="V532" s="13"/>
      <c r="W532" s="13"/>
      <c r="X532" s="13"/>
      <c r="Y532" s="13"/>
      <c r="Z532" s="13"/>
      <c r="AA532" s="13"/>
      <c r="AB532" s="13"/>
      <c r="AC532" s="13"/>
    </row>
    <row r="533" ht="16.5" customHeight="1">
      <c r="A533" s="13"/>
      <c r="B533" s="13"/>
      <c r="C533" s="13"/>
      <c r="D533" s="13"/>
      <c r="E533" s="13"/>
      <c r="F533" s="13"/>
      <c r="G533" s="13"/>
      <c r="H533" s="13"/>
      <c r="I533" s="13"/>
      <c r="J533" s="13"/>
      <c r="K533" s="171"/>
      <c r="L533" s="172"/>
      <c r="M533" s="13"/>
      <c r="N533" s="13"/>
      <c r="O533" s="171"/>
      <c r="P533" s="13"/>
      <c r="Q533" s="13"/>
      <c r="R533" s="173"/>
      <c r="S533" s="35"/>
      <c r="T533" s="35"/>
      <c r="U533" s="13"/>
      <c r="V533" s="13"/>
      <c r="W533" s="13"/>
      <c r="X533" s="13"/>
      <c r="Y533" s="13"/>
      <c r="Z533" s="13"/>
      <c r="AA533" s="13"/>
      <c r="AB533" s="13"/>
      <c r="AC533" s="13"/>
    </row>
    <row r="534" ht="16.5" customHeight="1">
      <c r="A534" s="13"/>
      <c r="B534" s="13"/>
      <c r="C534" s="13"/>
      <c r="D534" s="13"/>
      <c r="E534" s="13"/>
      <c r="F534" s="13"/>
      <c r="G534" s="13"/>
      <c r="H534" s="13"/>
      <c r="I534" s="13"/>
      <c r="J534" s="13"/>
      <c r="K534" s="171"/>
      <c r="L534" s="172"/>
      <c r="M534" s="13"/>
      <c r="N534" s="13"/>
      <c r="O534" s="171"/>
      <c r="P534" s="13"/>
      <c r="Q534" s="13"/>
      <c r="R534" s="173"/>
      <c r="S534" s="35"/>
      <c r="T534" s="35"/>
      <c r="U534" s="13"/>
      <c r="V534" s="13"/>
      <c r="W534" s="13"/>
      <c r="X534" s="13"/>
      <c r="Y534" s="13"/>
      <c r="Z534" s="13"/>
      <c r="AA534" s="13"/>
      <c r="AB534" s="13"/>
      <c r="AC534" s="13"/>
    </row>
    <row r="535" ht="16.5" customHeight="1">
      <c r="A535" s="13"/>
      <c r="B535" s="13"/>
      <c r="C535" s="13"/>
      <c r="D535" s="13"/>
      <c r="E535" s="13"/>
      <c r="F535" s="13"/>
      <c r="G535" s="13"/>
      <c r="H535" s="13"/>
      <c r="I535" s="13"/>
      <c r="J535" s="13"/>
      <c r="K535" s="171"/>
      <c r="L535" s="172"/>
      <c r="M535" s="13"/>
      <c r="N535" s="13"/>
      <c r="O535" s="171"/>
      <c r="P535" s="13"/>
      <c r="Q535" s="13"/>
      <c r="R535" s="173"/>
      <c r="S535" s="35"/>
      <c r="T535" s="35"/>
      <c r="U535" s="13"/>
      <c r="V535" s="13"/>
      <c r="W535" s="13"/>
      <c r="X535" s="13"/>
      <c r="Y535" s="13"/>
      <c r="Z535" s="13"/>
      <c r="AA535" s="13"/>
      <c r="AB535" s="13"/>
      <c r="AC535" s="13"/>
    </row>
    <row r="536" ht="16.5" customHeight="1">
      <c r="A536" s="13"/>
      <c r="B536" s="13"/>
      <c r="C536" s="13"/>
      <c r="D536" s="13"/>
      <c r="E536" s="13"/>
      <c r="F536" s="13"/>
      <c r="G536" s="13"/>
      <c r="H536" s="13"/>
      <c r="I536" s="13"/>
      <c r="J536" s="13"/>
      <c r="K536" s="171"/>
      <c r="L536" s="172"/>
      <c r="M536" s="13"/>
      <c r="N536" s="13"/>
      <c r="O536" s="171"/>
      <c r="P536" s="13"/>
      <c r="Q536" s="13"/>
      <c r="R536" s="173"/>
      <c r="S536" s="35"/>
      <c r="T536" s="35"/>
      <c r="U536" s="13"/>
      <c r="V536" s="13"/>
      <c r="W536" s="13"/>
      <c r="X536" s="13"/>
      <c r="Y536" s="13"/>
      <c r="Z536" s="13"/>
      <c r="AA536" s="13"/>
      <c r="AB536" s="13"/>
      <c r="AC536" s="13"/>
    </row>
    <row r="537" ht="16.5" customHeight="1">
      <c r="A537" s="13"/>
      <c r="B537" s="13"/>
      <c r="C537" s="13"/>
      <c r="D537" s="13"/>
      <c r="E537" s="13"/>
      <c r="F537" s="13"/>
      <c r="G537" s="13"/>
      <c r="H537" s="13"/>
      <c r="I537" s="13"/>
      <c r="J537" s="13"/>
      <c r="K537" s="171"/>
      <c r="L537" s="172"/>
      <c r="M537" s="13"/>
      <c r="N537" s="13"/>
      <c r="O537" s="171"/>
      <c r="P537" s="13"/>
      <c r="Q537" s="13"/>
      <c r="R537" s="173"/>
      <c r="S537" s="35"/>
      <c r="T537" s="35"/>
      <c r="U537" s="13"/>
      <c r="V537" s="13"/>
      <c r="W537" s="13"/>
      <c r="X537" s="13"/>
      <c r="Y537" s="13"/>
      <c r="Z537" s="13"/>
      <c r="AA537" s="13"/>
      <c r="AB537" s="13"/>
      <c r="AC537" s="13"/>
    </row>
    <row r="538" ht="16.5" customHeight="1">
      <c r="A538" s="13"/>
      <c r="B538" s="13"/>
      <c r="C538" s="13"/>
      <c r="D538" s="13"/>
      <c r="E538" s="13"/>
      <c r="F538" s="13"/>
      <c r="G538" s="13"/>
      <c r="H538" s="13"/>
      <c r="I538" s="13"/>
      <c r="J538" s="13"/>
      <c r="K538" s="171"/>
      <c r="L538" s="172"/>
      <c r="M538" s="13"/>
      <c r="N538" s="13"/>
      <c r="O538" s="171"/>
      <c r="P538" s="13"/>
      <c r="Q538" s="13"/>
      <c r="R538" s="173"/>
      <c r="S538" s="35"/>
      <c r="T538" s="35"/>
      <c r="U538" s="13"/>
      <c r="V538" s="13"/>
      <c r="W538" s="13"/>
      <c r="X538" s="13"/>
      <c r="Y538" s="13"/>
      <c r="Z538" s="13"/>
      <c r="AA538" s="13"/>
      <c r="AB538" s="13"/>
      <c r="AC538" s="13"/>
    </row>
    <row r="539" ht="16.5" customHeight="1">
      <c r="A539" s="13"/>
      <c r="B539" s="13"/>
      <c r="C539" s="13"/>
      <c r="D539" s="13"/>
      <c r="E539" s="13"/>
      <c r="F539" s="13"/>
      <c r="G539" s="13"/>
      <c r="H539" s="13"/>
      <c r="I539" s="13"/>
      <c r="J539" s="13"/>
      <c r="K539" s="171"/>
      <c r="L539" s="172"/>
      <c r="M539" s="13"/>
      <c r="N539" s="13"/>
      <c r="O539" s="171"/>
      <c r="P539" s="13"/>
      <c r="Q539" s="13"/>
      <c r="R539" s="173"/>
      <c r="S539" s="35"/>
      <c r="T539" s="35"/>
      <c r="U539" s="13"/>
      <c r="V539" s="13"/>
      <c r="W539" s="13"/>
      <c r="X539" s="13"/>
      <c r="Y539" s="13"/>
      <c r="Z539" s="13"/>
      <c r="AA539" s="13"/>
      <c r="AB539" s="13"/>
      <c r="AC539" s="13"/>
    </row>
    <row r="540" ht="16.5" customHeight="1">
      <c r="A540" s="13"/>
      <c r="B540" s="13"/>
      <c r="C540" s="13"/>
      <c r="D540" s="13"/>
      <c r="E540" s="13"/>
      <c r="F540" s="13"/>
      <c r="G540" s="13"/>
      <c r="H540" s="13"/>
      <c r="I540" s="13"/>
      <c r="J540" s="13"/>
      <c r="K540" s="171"/>
      <c r="L540" s="172"/>
      <c r="M540" s="13"/>
      <c r="N540" s="13"/>
      <c r="O540" s="171"/>
      <c r="P540" s="13"/>
      <c r="Q540" s="13"/>
      <c r="R540" s="173"/>
      <c r="S540" s="35"/>
      <c r="T540" s="35"/>
      <c r="U540" s="13"/>
      <c r="V540" s="13"/>
      <c r="W540" s="13"/>
      <c r="X540" s="13"/>
      <c r="Y540" s="13"/>
      <c r="Z540" s="13"/>
      <c r="AA540" s="13"/>
      <c r="AB540" s="13"/>
      <c r="AC540" s="13"/>
    </row>
    <row r="541" ht="16.5" customHeight="1">
      <c r="A541" s="13"/>
      <c r="B541" s="13"/>
      <c r="C541" s="13"/>
      <c r="D541" s="13"/>
      <c r="E541" s="13"/>
      <c r="F541" s="13"/>
      <c r="G541" s="13"/>
      <c r="H541" s="13"/>
      <c r="I541" s="13"/>
      <c r="J541" s="13"/>
      <c r="K541" s="171"/>
      <c r="L541" s="172"/>
      <c r="M541" s="13"/>
      <c r="N541" s="13"/>
      <c r="O541" s="171"/>
      <c r="P541" s="13"/>
      <c r="Q541" s="13"/>
      <c r="R541" s="173"/>
      <c r="S541" s="35"/>
      <c r="T541" s="35"/>
      <c r="U541" s="13"/>
      <c r="V541" s="13"/>
      <c r="W541" s="13"/>
      <c r="X541" s="13"/>
      <c r="Y541" s="13"/>
      <c r="Z541" s="13"/>
      <c r="AA541" s="13"/>
      <c r="AB541" s="13"/>
      <c r="AC541" s="13"/>
    </row>
    <row r="542" ht="16.5" customHeight="1">
      <c r="A542" s="13"/>
      <c r="B542" s="13"/>
      <c r="C542" s="13"/>
      <c r="D542" s="13"/>
      <c r="E542" s="13"/>
      <c r="F542" s="13"/>
      <c r="G542" s="13"/>
      <c r="H542" s="13"/>
      <c r="I542" s="13"/>
      <c r="J542" s="13"/>
      <c r="K542" s="171"/>
      <c r="L542" s="172"/>
      <c r="M542" s="13"/>
      <c r="N542" s="13"/>
      <c r="O542" s="171"/>
      <c r="P542" s="13"/>
      <c r="Q542" s="13"/>
      <c r="R542" s="173"/>
      <c r="S542" s="35"/>
      <c r="T542" s="35"/>
      <c r="U542" s="13"/>
      <c r="V542" s="13"/>
      <c r="W542" s="13"/>
      <c r="X542" s="13"/>
      <c r="Y542" s="13"/>
      <c r="Z542" s="13"/>
      <c r="AA542" s="13"/>
      <c r="AB542" s="13"/>
      <c r="AC542" s="13"/>
    </row>
    <row r="543" ht="16.5" customHeight="1">
      <c r="A543" s="13"/>
      <c r="B543" s="13"/>
      <c r="C543" s="13"/>
      <c r="D543" s="13"/>
      <c r="E543" s="13"/>
      <c r="F543" s="13"/>
      <c r="G543" s="13"/>
      <c r="H543" s="13"/>
      <c r="I543" s="13"/>
      <c r="J543" s="13"/>
      <c r="K543" s="171"/>
      <c r="L543" s="172"/>
      <c r="M543" s="13"/>
      <c r="N543" s="13"/>
      <c r="O543" s="171"/>
      <c r="P543" s="13"/>
      <c r="Q543" s="13"/>
      <c r="R543" s="173"/>
      <c r="S543" s="35"/>
      <c r="T543" s="35"/>
      <c r="U543" s="13"/>
      <c r="V543" s="13"/>
      <c r="W543" s="13"/>
      <c r="X543" s="13"/>
      <c r="Y543" s="13"/>
      <c r="Z543" s="13"/>
      <c r="AA543" s="13"/>
      <c r="AB543" s="13"/>
      <c r="AC543" s="13"/>
    </row>
    <row r="544" ht="16.5" customHeight="1">
      <c r="A544" s="13"/>
      <c r="B544" s="13"/>
      <c r="C544" s="13"/>
      <c r="D544" s="13"/>
      <c r="E544" s="13"/>
      <c r="F544" s="13"/>
      <c r="G544" s="13"/>
      <c r="H544" s="13"/>
      <c r="I544" s="13"/>
      <c r="J544" s="13"/>
      <c r="K544" s="171"/>
      <c r="L544" s="172"/>
      <c r="M544" s="13"/>
      <c r="N544" s="13"/>
      <c r="O544" s="171"/>
      <c r="P544" s="13"/>
      <c r="Q544" s="13"/>
      <c r="R544" s="173"/>
      <c r="S544" s="35"/>
      <c r="T544" s="35"/>
      <c r="U544" s="13"/>
      <c r="V544" s="13"/>
      <c r="W544" s="13"/>
      <c r="X544" s="13"/>
      <c r="Y544" s="13"/>
      <c r="Z544" s="13"/>
      <c r="AA544" s="13"/>
      <c r="AB544" s="13"/>
      <c r="AC544" s="13"/>
    </row>
    <row r="545" ht="16.5" customHeight="1">
      <c r="A545" s="13"/>
      <c r="B545" s="13"/>
      <c r="C545" s="13"/>
      <c r="D545" s="13"/>
      <c r="E545" s="13"/>
      <c r="F545" s="13"/>
      <c r="G545" s="13"/>
      <c r="H545" s="13"/>
      <c r="I545" s="13"/>
      <c r="J545" s="13"/>
      <c r="K545" s="171"/>
      <c r="L545" s="172"/>
      <c r="M545" s="13"/>
      <c r="N545" s="13"/>
      <c r="O545" s="171"/>
      <c r="P545" s="13"/>
      <c r="Q545" s="13"/>
      <c r="R545" s="173"/>
      <c r="S545" s="35"/>
      <c r="T545" s="35"/>
      <c r="U545" s="13"/>
      <c r="V545" s="13"/>
      <c r="W545" s="13"/>
      <c r="X545" s="13"/>
      <c r="Y545" s="13"/>
      <c r="Z545" s="13"/>
      <c r="AA545" s="13"/>
      <c r="AB545" s="13"/>
      <c r="AC545" s="13"/>
    </row>
    <row r="546" ht="16.5" customHeight="1">
      <c r="A546" s="13"/>
      <c r="B546" s="13"/>
      <c r="C546" s="13"/>
      <c r="D546" s="13"/>
      <c r="E546" s="13"/>
      <c r="F546" s="13"/>
      <c r="G546" s="13"/>
      <c r="H546" s="13"/>
      <c r="I546" s="13"/>
      <c r="J546" s="13"/>
      <c r="K546" s="171"/>
      <c r="L546" s="172"/>
      <c r="M546" s="13"/>
      <c r="N546" s="13"/>
      <c r="O546" s="171"/>
      <c r="P546" s="13"/>
      <c r="Q546" s="13"/>
      <c r="R546" s="173"/>
      <c r="S546" s="35"/>
      <c r="T546" s="35"/>
      <c r="U546" s="13"/>
      <c r="V546" s="13"/>
      <c r="W546" s="13"/>
      <c r="X546" s="13"/>
      <c r="Y546" s="13"/>
      <c r="Z546" s="13"/>
      <c r="AA546" s="13"/>
      <c r="AB546" s="13"/>
      <c r="AC546" s="13"/>
    </row>
    <row r="547" ht="16.5" customHeight="1">
      <c r="A547" s="13"/>
      <c r="B547" s="13"/>
      <c r="C547" s="13"/>
      <c r="D547" s="13"/>
      <c r="E547" s="13"/>
      <c r="F547" s="13"/>
      <c r="G547" s="13"/>
      <c r="H547" s="13"/>
      <c r="I547" s="13"/>
      <c r="J547" s="13"/>
      <c r="K547" s="171"/>
      <c r="L547" s="172"/>
      <c r="M547" s="13"/>
      <c r="N547" s="13"/>
      <c r="O547" s="171"/>
      <c r="P547" s="13"/>
      <c r="Q547" s="13"/>
      <c r="R547" s="173"/>
      <c r="S547" s="35"/>
      <c r="T547" s="35"/>
      <c r="U547" s="13"/>
      <c r="V547" s="13"/>
      <c r="W547" s="13"/>
      <c r="X547" s="13"/>
      <c r="Y547" s="13"/>
      <c r="Z547" s="13"/>
      <c r="AA547" s="13"/>
      <c r="AB547" s="13"/>
      <c r="AC547" s="13"/>
    </row>
    <row r="548" ht="16.5" customHeight="1">
      <c r="A548" s="13"/>
      <c r="B548" s="13"/>
      <c r="C548" s="13"/>
      <c r="D548" s="13"/>
      <c r="E548" s="13"/>
      <c r="F548" s="13"/>
      <c r="G548" s="13"/>
      <c r="H548" s="13"/>
      <c r="I548" s="13"/>
      <c r="J548" s="13"/>
      <c r="K548" s="171"/>
      <c r="L548" s="172"/>
      <c r="M548" s="13"/>
      <c r="N548" s="13"/>
      <c r="O548" s="171"/>
      <c r="P548" s="13"/>
      <c r="Q548" s="13"/>
      <c r="R548" s="173"/>
      <c r="S548" s="35"/>
      <c r="T548" s="35"/>
      <c r="U548" s="13"/>
      <c r="V548" s="13"/>
      <c r="W548" s="13"/>
      <c r="X548" s="13"/>
      <c r="Y548" s="13"/>
      <c r="Z548" s="13"/>
      <c r="AA548" s="13"/>
      <c r="AB548" s="13"/>
      <c r="AC548" s="13"/>
    </row>
    <row r="549" ht="16.5" customHeight="1">
      <c r="A549" s="13"/>
      <c r="B549" s="13"/>
      <c r="C549" s="13"/>
      <c r="D549" s="13"/>
      <c r="E549" s="13"/>
      <c r="F549" s="13"/>
      <c r="G549" s="13"/>
      <c r="H549" s="13"/>
      <c r="I549" s="13"/>
      <c r="J549" s="13"/>
      <c r="K549" s="171"/>
      <c r="L549" s="172"/>
      <c r="M549" s="13"/>
      <c r="N549" s="13"/>
      <c r="O549" s="171"/>
      <c r="P549" s="13"/>
      <c r="Q549" s="13"/>
      <c r="R549" s="173"/>
      <c r="S549" s="35"/>
      <c r="T549" s="35"/>
      <c r="U549" s="13"/>
      <c r="V549" s="13"/>
      <c r="W549" s="13"/>
      <c r="X549" s="13"/>
      <c r="Y549" s="13"/>
      <c r="Z549" s="13"/>
      <c r="AA549" s="13"/>
      <c r="AB549" s="13"/>
      <c r="AC549" s="13"/>
    </row>
    <row r="550" ht="16.5" customHeight="1">
      <c r="A550" s="13"/>
      <c r="B550" s="13"/>
      <c r="C550" s="13"/>
      <c r="D550" s="13"/>
      <c r="E550" s="13"/>
      <c r="F550" s="13"/>
      <c r="G550" s="13"/>
      <c r="H550" s="13"/>
      <c r="I550" s="13"/>
      <c r="J550" s="13"/>
      <c r="K550" s="171"/>
      <c r="L550" s="172"/>
      <c r="M550" s="13"/>
      <c r="N550" s="13"/>
      <c r="O550" s="171"/>
      <c r="P550" s="13"/>
      <c r="Q550" s="13"/>
      <c r="R550" s="173"/>
      <c r="S550" s="35"/>
      <c r="T550" s="35"/>
      <c r="U550" s="13"/>
      <c r="V550" s="13"/>
      <c r="W550" s="13"/>
      <c r="X550" s="13"/>
      <c r="Y550" s="13"/>
      <c r="Z550" s="13"/>
      <c r="AA550" s="13"/>
      <c r="AB550" s="13"/>
      <c r="AC550" s="13"/>
    </row>
    <row r="551" ht="16.5" customHeight="1">
      <c r="A551" s="13"/>
      <c r="B551" s="13"/>
      <c r="C551" s="13"/>
      <c r="D551" s="13"/>
      <c r="E551" s="13"/>
      <c r="F551" s="13"/>
      <c r="G551" s="13"/>
      <c r="H551" s="13"/>
      <c r="I551" s="13"/>
      <c r="J551" s="13"/>
      <c r="K551" s="171"/>
      <c r="L551" s="172"/>
      <c r="M551" s="13"/>
      <c r="N551" s="13"/>
      <c r="O551" s="171"/>
      <c r="P551" s="13"/>
      <c r="Q551" s="13"/>
      <c r="R551" s="173"/>
      <c r="S551" s="35"/>
      <c r="T551" s="35"/>
      <c r="U551" s="13"/>
      <c r="V551" s="13"/>
      <c r="W551" s="13"/>
      <c r="X551" s="13"/>
      <c r="Y551" s="13"/>
      <c r="Z551" s="13"/>
      <c r="AA551" s="13"/>
      <c r="AB551" s="13"/>
      <c r="AC551" s="13"/>
    </row>
    <row r="552" ht="16.5" customHeight="1">
      <c r="A552" s="13"/>
      <c r="B552" s="13"/>
      <c r="C552" s="13"/>
      <c r="D552" s="13"/>
      <c r="E552" s="13"/>
      <c r="F552" s="13"/>
      <c r="G552" s="13"/>
      <c r="H552" s="13"/>
      <c r="I552" s="13"/>
      <c r="J552" s="13"/>
      <c r="K552" s="171"/>
      <c r="L552" s="172"/>
      <c r="M552" s="13"/>
      <c r="N552" s="13"/>
      <c r="O552" s="171"/>
      <c r="P552" s="13"/>
      <c r="Q552" s="13"/>
      <c r="R552" s="173"/>
      <c r="S552" s="35"/>
      <c r="T552" s="35"/>
      <c r="U552" s="13"/>
      <c r="V552" s="13"/>
      <c r="W552" s="13"/>
      <c r="X552" s="13"/>
      <c r="Y552" s="13"/>
      <c r="Z552" s="13"/>
      <c r="AA552" s="13"/>
      <c r="AB552" s="13"/>
      <c r="AC552" s="13"/>
    </row>
    <row r="553" ht="16.5" customHeight="1">
      <c r="A553" s="13"/>
      <c r="B553" s="13"/>
      <c r="C553" s="13"/>
      <c r="D553" s="13"/>
      <c r="E553" s="13"/>
      <c r="F553" s="13"/>
      <c r="G553" s="13"/>
      <c r="H553" s="13"/>
      <c r="I553" s="13"/>
      <c r="J553" s="13"/>
      <c r="K553" s="171"/>
      <c r="L553" s="172"/>
      <c r="M553" s="13"/>
      <c r="N553" s="13"/>
      <c r="O553" s="171"/>
      <c r="P553" s="13"/>
      <c r="Q553" s="13"/>
      <c r="R553" s="173"/>
      <c r="S553" s="35"/>
      <c r="T553" s="35"/>
      <c r="U553" s="13"/>
      <c r="V553" s="13"/>
      <c r="W553" s="13"/>
      <c r="X553" s="13"/>
      <c r="Y553" s="13"/>
      <c r="Z553" s="13"/>
      <c r="AA553" s="13"/>
      <c r="AB553" s="13"/>
      <c r="AC553" s="13"/>
    </row>
    <row r="554" ht="16.5" customHeight="1">
      <c r="A554" s="13"/>
      <c r="B554" s="13"/>
      <c r="C554" s="13"/>
      <c r="D554" s="13"/>
      <c r="E554" s="13"/>
      <c r="F554" s="13"/>
      <c r="G554" s="13"/>
      <c r="H554" s="13"/>
      <c r="I554" s="13"/>
      <c r="J554" s="13"/>
      <c r="K554" s="171"/>
      <c r="L554" s="172"/>
      <c r="M554" s="13"/>
      <c r="N554" s="13"/>
      <c r="O554" s="171"/>
      <c r="P554" s="13"/>
      <c r="Q554" s="13"/>
      <c r="R554" s="173"/>
      <c r="S554" s="35"/>
      <c r="T554" s="35"/>
      <c r="U554" s="13"/>
      <c r="V554" s="13"/>
      <c r="W554" s="13"/>
      <c r="X554" s="13"/>
      <c r="Y554" s="13"/>
      <c r="Z554" s="13"/>
      <c r="AA554" s="13"/>
      <c r="AB554" s="13"/>
      <c r="AC554" s="13"/>
    </row>
    <row r="555" ht="16.5" customHeight="1">
      <c r="A555" s="13"/>
      <c r="B555" s="13"/>
      <c r="C555" s="13"/>
      <c r="D555" s="13"/>
      <c r="E555" s="13"/>
      <c r="F555" s="13"/>
      <c r="G555" s="13"/>
      <c r="H555" s="13"/>
      <c r="I555" s="13"/>
      <c r="J555" s="13"/>
      <c r="K555" s="171"/>
      <c r="L555" s="172"/>
      <c r="M555" s="13"/>
      <c r="N555" s="13"/>
      <c r="O555" s="171"/>
      <c r="P555" s="13"/>
      <c r="Q555" s="13"/>
      <c r="R555" s="173"/>
      <c r="S555" s="35"/>
      <c r="T555" s="35"/>
      <c r="U555" s="13"/>
      <c r="V555" s="13"/>
      <c r="W555" s="13"/>
      <c r="X555" s="13"/>
      <c r="Y555" s="13"/>
      <c r="Z555" s="13"/>
      <c r="AA555" s="13"/>
      <c r="AB555" s="13"/>
      <c r="AC555" s="13"/>
    </row>
    <row r="556" ht="16.5" customHeight="1">
      <c r="A556" s="13"/>
      <c r="B556" s="13"/>
      <c r="C556" s="13"/>
      <c r="D556" s="13"/>
      <c r="E556" s="13"/>
      <c r="F556" s="13"/>
      <c r="G556" s="13"/>
      <c r="H556" s="13"/>
      <c r="I556" s="13"/>
      <c r="J556" s="13"/>
      <c r="K556" s="171"/>
      <c r="L556" s="172"/>
      <c r="M556" s="13"/>
      <c r="N556" s="13"/>
      <c r="O556" s="171"/>
      <c r="P556" s="13"/>
      <c r="Q556" s="13"/>
      <c r="R556" s="173"/>
      <c r="S556" s="35"/>
      <c r="T556" s="35"/>
      <c r="U556" s="13"/>
      <c r="V556" s="13"/>
      <c r="W556" s="13"/>
      <c r="X556" s="13"/>
      <c r="Y556" s="13"/>
      <c r="Z556" s="13"/>
      <c r="AA556" s="13"/>
      <c r="AB556" s="13"/>
      <c r="AC556" s="13"/>
    </row>
    <row r="557" ht="16.5" customHeight="1">
      <c r="A557" s="13"/>
      <c r="B557" s="13"/>
      <c r="C557" s="13"/>
      <c r="D557" s="13"/>
      <c r="E557" s="13"/>
      <c r="F557" s="13"/>
      <c r="G557" s="13"/>
      <c r="H557" s="13"/>
      <c r="I557" s="13"/>
      <c r="J557" s="13"/>
      <c r="K557" s="171"/>
      <c r="L557" s="172"/>
      <c r="M557" s="13"/>
      <c r="N557" s="13"/>
      <c r="O557" s="171"/>
      <c r="P557" s="13"/>
      <c r="Q557" s="13"/>
      <c r="R557" s="173"/>
      <c r="S557" s="35"/>
      <c r="T557" s="35"/>
      <c r="U557" s="13"/>
      <c r="V557" s="13"/>
      <c r="W557" s="13"/>
      <c r="X557" s="13"/>
      <c r="Y557" s="13"/>
      <c r="Z557" s="13"/>
      <c r="AA557" s="13"/>
      <c r="AB557" s="13"/>
      <c r="AC557" s="13"/>
    </row>
    <row r="558" ht="16.5" customHeight="1">
      <c r="A558" s="13"/>
      <c r="B558" s="13"/>
      <c r="C558" s="13"/>
      <c r="D558" s="13"/>
      <c r="E558" s="13"/>
      <c r="F558" s="13"/>
      <c r="G558" s="13"/>
      <c r="H558" s="13"/>
      <c r="I558" s="13"/>
      <c r="J558" s="13"/>
      <c r="K558" s="171"/>
      <c r="L558" s="172"/>
      <c r="M558" s="13"/>
      <c r="N558" s="13"/>
      <c r="O558" s="171"/>
      <c r="P558" s="13"/>
      <c r="Q558" s="13"/>
      <c r="R558" s="173"/>
      <c r="S558" s="35"/>
      <c r="T558" s="35"/>
      <c r="U558" s="13"/>
      <c r="V558" s="13"/>
      <c r="W558" s="13"/>
      <c r="X558" s="13"/>
      <c r="Y558" s="13"/>
      <c r="Z558" s="13"/>
      <c r="AA558" s="13"/>
      <c r="AB558" s="13"/>
      <c r="AC558" s="13"/>
    </row>
    <row r="559" ht="16.5" customHeight="1">
      <c r="A559" s="13"/>
      <c r="B559" s="13"/>
      <c r="C559" s="13"/>
      <c r="D559" s="13"/>
      <c r="E559" s="13"/>
      <c r="F559" s="13"/>
      <c r="G559" s="13"/>
      <c r="H559" s="13"/>
      <c r="I559" s="13"/>
      <c r="J559" s="13"/>
      <c r="K559" s="171"/>
      <c r="L559" s="172"/>
      <c r="M559" s="13"/>
      <c r="N559" s="13"/>
      <c r="O559" s="171"/>
      <c r="P559" s="13"/>
      <c r="Q559" s="13"/>
      <c r="R559" s="173"/>
      <c r="S559" s="35"/>
      <c r="T559" s="35"/>
      <c r="U559" s="13"/>
      <c r="V559" s="13"/>
      <c r="W559" s="13"/>
      <c r="X559" s="13"/>
      <c r="Y559" s="13"/>
      <c r="Z559" s="13"/>
      <c r="AA559" s="13"/>
      <c r="AB559" s="13"/>
      <c r="AC559" s="13"/>
    </row>
    <row r="560" ht="16.5" customHeight="1">
      <c r="A560" s="13"/>
      <c r="B560" s="13"/>
      <c r="C560" s="13"/>
      <c r="D560" s="13"/>
      <c r="E560" s="13"/>
      <c r="F560" s="13"/>
      <c r="G560" s="13"/>
      <c r="H560" s="13"/>
      <c r="I560" s="13"/>
      <c r="J560" s="13"/>
      <c r="K560" s="171"/>
      <c r="L560" s="172"/>
      <c r="M560" s="13"/>
      <c r="N560" s="13"/>
      <c r="O560" s="171"/>
      <c r="P560" s="13"/>
      <c r="Q560" s="13"/>
      <c r="R560" s="173"/>
      <c r="S560" s="35"/>
      <c r="T560" s="35"/>
      <c r="U560" s="13"/>
      <c r="V560" s="13"/>
      <c r="W560" s="13"/>
      <c r="X560" s="13"/>
      <c r="Y560" s="13"/>
      <c r="Z560" s="13"/>
      <c r="AA560" s="13"/>
      <c r="AB560" s="13"/>
      <c r="AC560" s="13"/>
    </row>
    <row r="561" ht="16.5" customHeight="1">
      <c r="A561" s="13"/>
      <c r="B561" s="13"/>
      <c r="C561" s="13"/>
      <c r="D561" s="13"/>
      <c r="E561" s="13"/>
      <c r="F561" s="13"/>
      <c r="G561" s="13"/>
      <c r="H561" s="13"/>
      <c r="I561" s="13"/>
      <c r="J561" s="13"/>
      <c r="K561" s="171"/>
      <c r="L561" s="172"/>
      <c r="M561" s="13"/>
      <c r="N561" s="13"/>
      <c r="O561" s="171"/>
      <c r="P561" s="13"/>
      <c r="Q561" s="13"/>
      <c r="R561" s="173"/>
      <c r="S561" s="35"/>
      <c r="T561" s="35"/>
      <c r="U561" s="13"/>
      <c r="V561" s="13"/>
      <c r="W561" s="13"/>
      <c r="X561" s="13"/>
      <c r="Y561" s="13"/>
      <c r="Z561" s="13"/>
      <c r="AA561" s="13"/>
      <c r="AB561" s="13"/>
      <c r="AC561" s="13"/>
    </row>
    <row r="562" ht="16.5" customHeight="1">
      <c r="A562" s="13"/>
      <c r="B562" s="13"/>
      <c r="C562" s="13"/>
      <c r="D562" s="13"/>
      <c r="E562" s="13"/>
      <c r="F562" s="13"/>
      <c r="G562" s="13"/>
      <c r="H562" s="13"/>
      <c r="I562" s="13"/>
      <c r="J562" s="13"/>
      <c r="K562" s="171"/>
      <c r="L562" s="172"/>
      <c r="M562" s="13"/>
      <c r="N562" s="13"/>
      <c r="O562" s="171"/>
      <c r="P562" s="13"/>
      <c r="Q562" s="13"/>
      <c r="R562" s="173"/>
      <c r="S562" s="35"/>
      <c r="T562" s="35"/>
      <c r="U562" s="13"/>
      <c r="V562" s="13"/>
      <c r="W562" s="13"/>
      <c r="X562" s="13"/>
      <c r="Y562" s="13"/>
      <c r="Z562" s="13"/>
      <c r="AA562" s="13"/>
      <c r="AB562" s="13"/>
      <c r="AC562" s="13"/>
    </row>
    <row r="563" ht="16.5" customHeight="1">
      <c r="A563" s="13"/>
      <c r="B563" s="13"/>
      <c r="C563" s="13"/>
      <c r="D563" s="13"/>
      <c r="E563" s="13"/>
      <c r="F563" s="13"/>
      <c r="G563" s="13"/>
      <c r="H563" s="13"/>
      <c r="I563" s="13"/>
      <c r="J563" s="13"/>
      <c r="K563" s="171"/>
      <c r="L563" s="172"/>
      <c r="M563" s="13"/>
      <c r="N563" s="13"/>
      <c r="O563" s="171"/>
      <c r="P563" s="13"/>
      <c r="Q563" s="13"/>
      <c r="R563" s="173"/>
      <c r="S563" s="35"/>
      <c r="T563" s="35"/>
      <c r="U563" s="13"/>
      <c r="V563" s="13"/>
      <c r="W563" s="13"/>
      <c r="X563" s="13"/>
      <c r="Y563" s="13"/>
      <c r="Z563" s="13"/>
      <c r="AA563" s="13"/>
      <c r="AB563" s="13"/>
      <c r="AC563" s="13"/>
    </row>
    <row r="564" ht="16.5" customHeight="1">
      <c r="A564" s="13"/>
      <c r="B564" s="13"/>
      <c r="C564" s="13"/>
      <c r="D564" s="13"/>
      <c r="E564" s="13"/>
      <c r="F564" s="13"/>
      <c r="G564" s="13"/>
      <c r="H564" s="13"/>
      <c r="I564" s="13"/>
      <c r="J564" s="13"/>
      <c r="K564" s="171"/>
      <c r="L564" s="172"/>
      <c r="M564" s="13"/>
      <c r="N564" s="13"/>
      <c r="O564" s="171"/>
      <c r="P564" s="13"/>
      <c r="Q564" s="13"/>
      <c r="R564" s="173"/>
      <c r="S564" s="35"/>
      <c r="T564" s="35"/>
      <c r="U564" s="13"/>
      <c r="V564" s="13"/>
      <c r="W564" s="13"/>
      <c r="X564" s="13"/>
      <c r="Y564" s="13"/>
      <c r="Z564" s="13"/>
      <c r="AA564" s="13"/>
      <c r="AB564" s="13"/>
      <c r="AC564" s="13"/>
    </row>
    <row r="565" ht="16.5" customHeight="1">
      <c r="A565" s="13"/>
      <c r="B565" s="13"/>
      <c r="C565" s="13"/>
      <c r="D565" s="13"/>
      <c r="E565" s="13"/>
      <c r="F565" s="13"/>
      <c r="G565" s="13"/>
      <c r="H565" s="13"/>
      <c r="I565" s="13"/>
      <c r="J565" s="13"/>
      <c r="K565" s="171"/>
      <c r="L565" s="172"/>
      <c r="M565" s="13"/>
      <c r="N565" s="13"/>
      <c r="O565" s="171"/>
      <c r="P565" s="13"/>
      <c r="Q565" s="13"/>
      <c r="R565" s="173"/>
      <c r="S565" s="35"/>
      <c r="T565" s="35"/>
      <c r="U565" s="13"/>
      <c r="V565" s="13"/>
      <c r="W565" s="13"/>
      <c r="X565" s="13"/>
      <c r="Y565" s="13"/>
      <c r="Z565" s="13"/>
      <c r="AA565" s="13"/>
      <c r="AB565" s="13"/>
      <c r="AC565" s="13"/>
    </row>
    <row r="566" ht="16.5" customHeight="1">
      <c r="A566" s="13"/>
      <c r="B566" s="13"/>
      <c r="C566" s="13"/>
      <c r="D566" s="13"/>
      <c r="E566" s="13"/>
      <c r="F566" s="13"/>
      <c r="G566" s="13"/>
      <c r="H566" s="13"/>
      <c r="I566" s="13"/>
      <c r="J566" s="13"/>
      <c r="K566" s="171"/>
      <c r="L566" s="172"/>
      <c r="M566" s="13"/>
      <c r="N566" s="13"/>
      <c r="O566" s="171"/>
      <c r="P566" s="13"/>
      <c r="Q566" s="13"/>
      <c r="R566" s="173"/>
      <c r="S566" s="35"/>
      <c r="T566" s="35"/>
      <c r="U566" s="13"/>
      <c r="V566" s="13"/>
      <c r="W566" s="13"/>
      <c r="X566" s="13"/>
      <c r="Y566" s="13"/>
      <c r="Z566" s="13"/>
      <c r="AA566" s="13"/>
      <c r="AB566" s="13"/>
      <c r="AC566" s="13"/>
    </row>
    <row r="567" ht="16.5" customHeight="1">
      <c r="A567" s="13"/>
      <c r="B567" s="13"/>
      <c r="C567" s="13"/>
      <c r="D567" s="13"/>
      <c r="E567" s="13"/>
      <c r="F567" s="13"/>
      <c r="G567" s="13"/>
      <c r="H567" s="13"/>
      <c r="I567" s="13"/>
      <c r="J567" s="13"/>
      <c r="K567" s="171"/>
      <c r="L567" s="172"/>
      <c r="M567" s="13"/>
      <c r="N567" s="13"/>
      <c r="O567" s="171"/>
      <c r="P567" s="13"/>
      <c r="Q567" s="13"/>
      <c r="R567" s="173"/>
      <c r="S567" s="35"/>
      <c r="T567" s="35"/>
      <c r="U567" s="13"/>
      <c r="V567" s="13"/>
      <c r="W567" s="13"/>
      <c r="X567" s="13"/>
      <c r="Y567" s="13"/>
      <c r="Z567" s="13"/>
      <c r="AA567" s="13"/>
      <c r="AB567" s="13"/>
      <c r="AC567" s="13"/>
    </row>
    <row r="568" ht="16.5" customHeight="1">
      <c r="A568" s="13"/>
      <c r="B568" s="13"/>
      <c r="C568" s="13"/>
      <c r="D568" s="13"/>
      <c r="E568" s="13"/>
      <c r="F568" s="13"/>
      <c r="G568" s="13"/>
      <c r="H568" s="13"/>
      <c r="I568" s="13"/>
      <c r="J568" s="13"/>
      <c r="K568" s="171"/>
      <c r="L568" s="172"/>
      <c r="M568" s="13"/>
      <c r="N568" s="13"/>
      <c r="O568" s="171"/>
      <c r="P568" s="13"/>
      <c r="Q568" s="13"/>
      <c r="R568" s="173"/>
      <c r="S568" s="35"/>
      <c r="T568" s="35"/>
      <c r="U568" s="13"/>
      <c r="V568" s="13"/>
      <c r="W568" s="13"/>
      <c r="X568" s="13"/>
      <c r="Y568" s="13"/>
      <c r="Z568" s="13"/>
      <c r="AA568" s="13"/>
      <c r="AB568" s="13"/>
      <c r="AC568" s="13"/>
    </row>
    <row r="569" ht="16.5" customHeight="1">
      <c r="A569" s="13"/>
      <c r="B569" s="13"/>
      <c r="C569" s="13"/>
      <c r="D569" s="13"/>
      <c r="E569" s="13"/>
      <c r="F569" s="13"/>
      <c r="G569" s="13"/>
      <c r="H569" s="13"/>
      <c r="I569" s="13"/>
      <c r="J569" s="13"/>
      <c r="K569" s="171"/>
      <c r="L569" s="172"/>
      <c r="M569" s="13"/>
      <c r="N569" s="13"/>
      <c r="O569" s="171"/>
      <c r="P569" s="13"/>
      <c r="Q569" s="13"/>
      <c r="R569" s="173"/>
      <c r="S569" s="35"/>
      <c r="T569" s="35"/>
      <c r="U569" s="13"/>
      <c r="V569" s="13"/>
      <c r="W569" s="13"/>
      <c r="X569" s="13"/>
      <c r="Y569" s="13"/>
      <c r="Z569" s="13"/>
      <c r="AA569" s="13"/>
      <c r="AB569" s="13"/>
      <c r="AC569" s="13"/>
    </row>
    <row r="570" ht="16.5" customHeight="1">
      <c r="A570" s="13"/>
      <c r="B570" s="13"/>
      <c r="C570" s="13"/>
      <c r="D570" s="13"/>
      <c r="E570" s="13"/>
      <c r="F570" s="13"/>
      <c r="G570" s="13"/>
      <c r="H570" s="13"/>
      <c r="I570" s="13"/>
      <c r="J570" s="13"/>
      <c r="K570" s="171"/>
      <c r="L570" s="172"/>
      <c r="M570" s="13"/>
      <c r="N570" s="13"/>
      <c r="O570" s="171"/>
      <c r="P570" s="13"/>
      <c r="Q570" s="13"/>
      <c r="R570" s="173"/>
      <c r="S570" s="35"/>
      <c r="T570" s="35"/>
      <c r="U570" s="13"/>
      <c r="V570" s="13"/>
      <c r="W570" s="13"/>
      <c r="X570" s="13"/>
      <c r="Y570" s="13"/>
      <c r="Z570" s="13"/>
      <c r="AA570" s="13"/>
      <c r="AB570" s="13"/>
      <c r="AC570" s="13"/>
    </row>
    <row r="571" ht="16.5" customHeight="1">
      <c r="A571" s="13"/>
      <c r="B571" s="13"/>
      <c r="C571" s="13"/>
      <c r="D571" s="13"/>
      <c r="E571" s="13"/>
      <c r="F571" s="13"/>
      <c r="G571" s="13"/>
      <c r="H571" s="13"/>
      <c r="I571" s="13"/>
      <c r="J571" s="13"/>
      <c r="K571" s="171"/>
      <c r="L571" s="172"/>
      <c r="M571" s="13"/>
      <c r="N571" s="13"/>
      <c r="O571" s="171"/>
      <c r="P571" s="13"/>
      <c r="Q571" s="13"/>
      <c r="R571" s="173"/>
      <c r="S571" s="35"/>
      <c r="T571" s="35"/>
      <c r="U571" s="13"/>
      <c r="V571" s="13"/>
      <c r="W571" s="13"/>
      <c r="X571" s="13"/>
      <c r="Y571" s="13"/>
      <c r="Z571" s="13"/>
      <c r="AA571" s="13"/>
      <c r="AB571" s="13"/>
      <c r="AC571" s="13"/>
    </row>
    <row r="572" ht="16.5" customHeight="1">
      <c r="A572" s="13"/>
      <c r="B572" s="13"/>
      <c r="C572" s="13"/>
      <c r="D572" s="13"/>
      <c r="E572" s="13"/>
      <c r="F572" s="13"/>
      <c r="G572" s="13"/>
      <c r="H572" s="13"/>
      <c r="I572" s="13"/>
      <c r="J572" s="13"/>
      <c r="K572" s="171"/>
      <c r="L572" s="172"/>
      <c r="M572" s="13"/>
      <c r="N572" s="13"/>
      <c r="O572" s="171"/>
      <c r="P572" s="13"/>
      <c r="Q572" s="13"/>
      <c r="R572" s="173"/>
      <c r="S572" s="35"/>
      <c r="T572" s="35"/>
      <c r="U572" s="13"/>
      <c r="V572" s="13"/>
      <c r="W572" s="13"/>
      <c r="X572" s="13"/>
      <c r="Y572" s="13"/>
      <c r="Z572" s="13"/>
      <c r="AA572" s="13"/>
      <c r="AB572" s="13"/>
      <c r="AC572" s="13"/>
    </row>
    <row r="573" ht="16.5" customHeight="1">
      <c r="A573" s="13"/>
      <c r="B573" s="13"/>
      <c r="C573" s="13"/>
      <c r="D573" s="13"/>
      <c r="E573" s="13"/>
      <c r="F573" s="13"/>
      <c r="G573" s="13"/>
      <c r="H573" s="13"/>
      <c r="I573" s="13"/>
      <c r="J573" s="13"/>
      <c r="K573" s="171"/>
      <c r="L573" s="172"/>
      <c r="M573" s="13"/>
      <c r="N573" s="13"/>
      <c r="O573" s="171"/>
      <c r="P573" s="13"/>
      <c r="Q573" s="13"/>
      <c r="R573" s="173"/>
      <c r="S573" s="35"/>
      <c r="T573" s="35"/>
      <c r="U573" s="13"/>
      <c r="V573" s="13"/>
      <c r="W573" s="13"/>
      <c r="X573" s="13"/>
      <c r="Y573" s="13"/>
      <c r="Z573" s="13"/>
      <c r="AA573" s="13"/>
      <c r="AB573" s="13"/>
      <c r="AC573" s="13"/>
    </row>
    <row r="574" ht="16.5" customHeight="1">
      <c r="A574" s="13"/>
      <c r="B574" s="13"/>
      <c r="C574" s="13"/>
      <c r="D574" s="13"/>
      <c r="E574" s="13"/>
      <c r="F574" s="13"/>
      <c r="G574" s="13"/>
      <c r="H574" s="13"/>
      <c r="I574" s="13"/>
      <c r="J574" s="13"/>
      <c r="K574" s="171"/>
      <c r="L574" s="172"/>
      <c r="M574" s="13"/>
      <c r="N574" s="13"/>
      <c r="O574" s="171"/>
      <c r="P574" s="13"/>
      <c r="Q574" s="13"/>
      <c r="R574" s="173"/>
      <c r="S574" s="35"/>
      <c r="T574" s="35"/>
      <c r="U574" s="13"/>
      <c r="V574" s="13"/>
      <c r="W574" s="13"/>
      <c r="X574" s="13"/>
      <c r="Y574" s="13"/>
      <c r="Z574" s="13"/>
      <c r="AA574" s="13"/>
      <c r="AB574" s="13"/>
      <c r="AC574" s="13"/>
    </row>
    <row r="575" ht="16.5" customHeight="1">
      <c r="A575" s="13"/>
      <c r="B575" s="13"/>
      <c r="C575" s="13"/>
      <c r="D575" s="13"/>
      <c r="E575" s="13"/>
      <c r="F575" s="13"/>
      <c r="G575" s="13"/>
      <c r="H575" s="13"/>
      <c r="I575" s="13"/>
      <c r="J575" s="13"/>
      <c r="K575" s="171"/>
      <c r="L575" s="172"/>
      <c r="M575" s="13"/>
      <c r="N575" s="13"/>
      <c r="O575" s="171"/>
      <c r="P575" s="13"/>
      <c r="Q575" s="13"/>
      <c r="R575" s="173"/>
      <c r="S575" s="35"/>
      <c r="T575" s="35"/>
      <c r="U575" s="13"/>
      <c r="V575" s="13"/>
      <c r="W575" s="13"/>
      <c r="X575" s="13"/>
      <c r="Y575" s="13"/>
      <c r="Z575" s="13"/>
      <c r="AA575" s="13"/>
      <c r="AB575" s="13"/>
      <c r="AC575" s="13"/>
    </row>
    <row r="576" ht="16.5" customHeight="1">
      <c r="A576" s="13"/>
      <c r="B576" s="13"/>
      <c r="C576" s="13"/>
      <c r="D576" s="13"/>
      <c r="E576" s="13"/>
      <c r="F576" s="13"/>
      <c r="G576" s="13"/>
      <c r="H576" s="13"/>
      <c r="I576" s="13"/>
      <c r="J576" s="13"/>
      <c r="K576" s="171"/>
      <c r="L576" s="172"/>
      <c r="M576" s="13"/>
      <c r="N576" s="13"/>
      <c r="O576" s="171"/>
      <c r="P576" s="13"/>
      <c r="Q576" s="13"/>
      <c r="R576" s="173"/>
      <c r="S576" s="35"/>
      <c r="T576" s="35"/>
      <c r="U576" s="13"/>
      <c r="V576" s="13"/>
      <c r="W576" s="13"/>
      <c r="X576" s="13"/>
      <c r="Y576" s="13"/>
      <c r="Z576" s="13"/>
      <c r="AA576" s="13"/>
      <c r="AB576" s="13"/>
      <c r="AC576" s="13"/>
    </row>
    <row r="577" ht="16.5" customHeight="1">
      <c r="A577" s="13"/>
      <c r="B577" s="13"/>
      <c r="C577" s="13"/>
      <c r="D577" s="13"/>
      <c r="E577" s="13"/>
      <c r="F577" s="13"/>
      <c r="G577" s="13"/>
      <c r="H577" s="13"/>
      <c r="I577" s="13"/>
      <c r="J577" s="13"/>
      <c r="K577" s="171"/>
      <c r="L577" s="172"/>
      <c r="M577" s="13"/>
      <c r="N577" s="13"/>
      <c r="O577" s="171"/>
      <c r="P577" s="13"/>
      <c r="Q577" s="13"/>
      <c r="R577" s="173"/>
      <c r="S577" s="35"/>
      <c r="T577" s="35"/>
      <c r="U577" s="13"/>
      <c r="V577" s="13"/>
      <c r="W577" s="13"/>
      <c r="X577" s="13"/>
      <c r="Y577" s="13"/>
      <c r="Z577" s="13"/>
      <c r="AA577" s="13"/>
      <c r="AB577" s="13"/>
      <c r="AC577" s="13"/>
    </row>
    <row r="578" ht="16.5" customHeight="1">
      <c r="A578" s="13"/>
      <c r="B578" s="13"/>
      <c r="C578" s="13"/>
      <c r="D578" s="13"/>
      <c r="E578" s="13"/>
      <c r="F578" s="13"/>
      <c r="G578" s="13"/>
      <c r="H578" s="13"/>
      <c r="I578" s="13"/>
      <c r="J578" s="13"/>
      <c r="K578" s="171"/>
      <c r="L578" s="172"/>
      <c r="M578" s="13"/>
      <c r="N578" s="13"/>
      <c r="O578" s="171"/>
      <c r="P578" s="13"/>
      <c r="Q578" s="13"/>
      <c r="R578" s="173"/>
      <c r="S578" s="35"/>
      <c r="T578" s="35"/>
      <c r="U578" s="13"/>
      <c r="V578" s="13"/>
      <c r="W578" s="13"/>
      <c r="X578" s="13"/>
      <c r="Y578" s="13"/>
      <c r="Z578" s="13"/>
      <c r="AA578" s="13"/>
      <c r="AB578" s="13"/>
      <c r="AC578" s="13"/>
    </row>
    <row r="579" ht="16.5" customHeight="1">
      <c r="A579" s="13"/>
      <c r="B579" s="13"/>
      <c r="C579" s="13"/>
      <c r="D579" s="13"/>
      <c r="E579" s="13"/>
      <c r="F579" s="13"/>
      <c r="G579" s="13"/>
      <c r="H579" s="13"/>
      <c r="I579" s="13"/>
      <c r="J579" s="13"/>
      <c r="K579" s="171"/>
      <c r="L579" s="172"/>
      <c r="M579" s="13"/>
      <c r="N579" s="13"/>
      <c r="O579" s="171"/>
      <c r="P579" s="13"/>
      <c r="Q579" s="13"/>
      <c r="R579" s="173"/>
      <c r="S579" s="35"/>
      <c r="T579" s="35"/>
      <c r="U579" s="13"/>
      <c r="V579" s="13"/>
      <c r="W579" s="13"/>
      <c r="X579" s="13"/>
      <c r="Y579" s="13"/>
      <c r="Z579" s="13"/>
      <c r="AA579" s="13"/>
      <c r="AB579" s="13"/>
      <c r="AC579" s="13"/>
    </row>
    <row r="580" ht="16.5" customHeight="1">
      <c r="A580" s="13"/>
      <c r="B580" s="13"/>
      <c r="C580" s="13"/>
      <c r="D580" s="13"/>
      <c r="E580" s="13"/>
      <c r="F580" s="13"/>
      <c r="G580" s="13"/>
      <c r="H580" s="13"/>
      <c r="I580" s="13"/>
      <c r="J580" s="13"/>
      <c r="K580" s="171"/>
      <c r="L580" s="172"/>
      <c r="M580" s="13"/>
      <c r="N580" s="13"/>
      <c r="O580" s="171"/>
      <c r="P580" s="13"/>
      <c r="Q580" s="13"/>
      <c r="R580" s="173"/>
      <c r="S580" s="35"/>
      <c r="T580" s="35"/>
      <c r="U580" s="13"/>
      <c r="V580" s="13"/>
      <c r="W580" s="13"/>
      <c r="X580" s="13"/>
      <c r="Y580" s="13"/>
      <c r="Z580" s="13"/>
      <c r="AA580" s="13"/>
      <c r="AB580" s="13"/>
      <c r="AC580" s="13"/>
    </row>
    <row r="581" ht="16.5" customHeight="1">
      <c r="A581" s="13"/>
      <c r="B581" s="13"/>
      <c r="C581" s="13"/>
      <c r="D581" s="13"/>
      <c r="E581" s="13"/>
      <c r="F581" s="13"/>
      <c r="G581" s="13"/>
      <c r="H581" s="13"/>
      <c r="I581" s="13"/>
      <c r="J581" s="13"/>
      <c r="K581" s="171"/>
      <c r="L581" s="172"/>
      <c r="M581" s="13"/>
      <c r="N581" s="13"/>
      <c r="O581" s="171"/>
      <c r="P581" s="13"/>
      <c r="Q581" s="13"/>
      <c r="R581" s="173"/>
      <c r="S581" s="35"/>
      <c r="T581" s="35"/>
      <c r="U581" s="13"/>
      <c r="V581" s="13"/>
      <c r="W581" s="13"/>
      <c r="X581" s="13"/>
      <c r="Y581" s="13"/>
      <c r="Z581" s="13"/>
      <c r="AA581" s="13"/>
      <c r="AB581" s="13"/>
      <c r="AC581" s="13"/>
    </row>
    <row r="582" ht="16.5" customHeight="1">
      <c r="A582" s="13"/>
      <c r="B582" s="13"/>
      <c r="C582" s="13"/>
      <c r="D582" s="13"/>
      <c r="E582" s="13"/>
      <c r="F582" s="13"/>
      <c r="G582" s="13"/>
      <c r="H582" s="13"/>
      <c r="I582" s="13"/>
      <c r="J582" s="13"/>
      <c r="K582" s="171"/>
      <c r="L582" s="172"/>
      <c r="M582" s="13"/>
      <c r="N582" s="13"/>
      <c r="O582" s="171"/>
      <c r="P582" s="13"/>
      <c r="Q582" s="13"/>
      <c r="R582" s="173"/>
      <c r="S582" s="35"/>
      <c r="T582" s="35"/>
      <c r="U582" s="13"/>
      <c r="V582" s="13"/>
      <c r="W582" s="13"/>
      <c r="X582" s="13"/>
      <c r="Y582" s="13"/>
      <c r="Z582" s="13"/>
      <c r="AA582" s="13"/>
      <c r="AB582" s="13"/>
      <c r="AC582" s="13"/>
    </row>
    <row r="583" ht="16.5" customHeight="1">
      <c r="A583" s="13"/>
      <c r="B583" s="13"/>
      <c r="C583" s="13"/>
      <c r="D583" s="13"/>
      <c r="E583" s="13"/>
      <c r="F583" s="13"/>
      <c r="G583" s="13"/>
      <c r="H583" s="13"/>
      <c r="I583" s="13"/>
      <c r="J583" s="13"/>
      <c r="K583" s="171"/>
      <c r="L583" s="172"/>
      <c r="M583" s="13"/>
      <c r="N583" s="13"/>
      <c r="O583" s="171"/>
      <c r="P583" s="13"/>
      <c r="Q583" s="13"/>
      <c r="R583" s="173"/>
      <c r="S583" s="35"/>
      <c r="T583" s="35"/>
      <c r="U583" s="13"/>
      <c r="V583" s="13"/>
      <c r="W583" s="13"/>
      <c r="X583" s="13"/>
      <c r="Y583" s="13"/>
      <c r="Z583" s="13"/>
      <c r="AA583" s="13"/>
      <c r="AB583" s="13"/>
      <c r="AC583" s="13"/>
    </row>
    <row r="584" ht="16.5" customHeight="1">
      <c r="A584" s="13"/>
      <c r="B584" s="13"/>
      <c r="C584" s="13"/>
      <c r="D584" s="13"/>
      <c r="E584" s="13"/>
      <c r="F584" s="13"/>
      <c r="G584" s="13"/>
      <c r="H584" s="13"/>
      <c r="I584" s="13"/>
      <c r="J584" s="13"/>
      <c r="K584" s="171"/>
      <c r="L584" s="172"/>
      <c r="M584" s="13"/>
      <c r="N584" s="13"/>
      <c r="O584" s="171"/>
      <c r="P584" s="13"/>
      <c r="Q584" s="13"/>
      <c r="R584" s="173"/>
      <c r="S584" s="35"/>
      <c r="T584" s="35"/>
      <c r="U584" s="13"/>
      <c r="V584" s="13"/>
      <c r="W584" s="13"/>
      <c r="X584" s="13"/>
      <c r="Y584" s="13"/>
      <c r="Z584" s="13"/>
      <c r="AA584" s="13"/>
      <c r="AB584" s="13"/>
      <c r="AC584" s="13"/>
    </row>
    <row r="585" ht="16.5" customHeight="1">
      <c r="A585" s="13"/>
      <c r="B585" s="13"/>
      <c r="C585" s="13"/>
      <c r="D585" s="13"/>
      <c r="E585" s="13"/>
      <c r="F585" s="13"/>
      <c r="G585" s="13"/>
      <c r="H585" s="13"/>
      <c r="I585" s="13"/>
      <c r="J585" s="13"/>
      <c r="K585" s="171"/>
      <c r="L585" s="172"/>
      <c r="M585" s="13"/>
      <c r="N585" s="13"/>
      <c r="O585" s="171"/>
      <c r="P585" s="13"/>
      <c r="Q585" s="13"/>
      <c r="R585" s="173"/>
      <c r="S585" s="35"/>
      <c r="T585" s="35"/>
      <c r="U585" s="13"/>
      <c r="V585" s="13"/>
      <c r="W585" s="13"/>
      <c r="X585" s="13"/>
      <c r="Y585" s="13"/>
      <c r="Z585" s="13"/>
      <c r="AA585" s="13"/>
      <c r="AB585" s="13"/>
      <c r="AC585" s="13"/>
    </row>
    <row r="586" ht="16.5" customHeight="1">
      <c r="A586" s="13"/>
      <c r="B586" s="13"/>
      <c r="C586" s="13"/>
      <c r="D586" s="13"/>
      <c r="E586" s="13"/>
      <c r="F586" s="13"/>
      <c r="G586" s="13"/>
      <c r="H586" s="13"/>
      <c r="I586" s="13"/>
      <c r="J586" s="13"/>
      <c r="K586" s="171"/>
      <c r="L586" s="172"/>
      <c r="M586" s="13"/>
      <c r="N586" s="13"/>
      <c r="O586" s="171"/>
      <c r="P586" s="13"/>
      <c r="Q586" s="13"/>
      <c r="R586" s="173"/>
      <c r="S586" s="35"/>
      <c r="T586" s="35"/>
      <c r="U586" s="13"/>
      <c r="V586" s="13"/>
      <c r="W586" s="13"/>
      <c r="X586" s="13"/>
      <c r="Y586" s="13"/>
      <c r="Z586" s="13"/>
      <c r="AA586" s="13"/>
      <c r="AB586" s="13"/>
      <c r="AC586" s="13"/>
    </row>
    <row r="587" ht="16.5" customHeight="1">
      <c r="A587" s="13"/>
      <c r="B587" s="13"/>
      <c r="C587" s="13"/>
      <c r="D587" s="13"/>
      <c r="E587" s="13"/>
      <c r="F587" s="13"/>
      <c r="G587" s="13"/>
      <c r="H587" s="13"/>
      <c r="I587" s="13"/>
      <c r="J587" s="13"/>
      <c r="K587" s="171"/>
      <c r="L587" s="172"/>
      <c r="M587" s="13"/>
      <c r="N587" s="13"/>
      <c r="O587" s="171"/>
      <c r="P587" s="13"/>
      <c r="Q587" s="13"/>
      <c r="R587" s="173"/>
      <c r="S587" s="35"/>
      <c r="T587" s="35"/>
      <c r="U587" s="13"/>
      <c r="V587" s="13"/>
      <c r="W587" s="13"/>
      <c r="X587" s="13"/>
      <c r="Y587" s="13"/>
      <c r="Z587" s="13"/>
      <c r="AA587" s="13"/>
      <c r="AB587" s="13"/>
      <c r="AC587" s="13"/>
    </row>
    <row r="588" ht="16.5" customHeight="1">
      <c r="A588" s="13"/>
      <c r="B588" s="13"/>
      <c r="C588" s="13"/>
      <c r="D588" s="13"/>
      <c r="E588" s="13"/>
      <c r="F588" s="13"/>
      <c r="G588" s="13"/>
      <c r="H588" s="13"/>
      <c r="I588" s="13"/>
      <c r="J588" s="13"/>
      <c r="K588" s="171"/>
      <c r="L588" s="172"/>
      <c r="M588" s="13"/>
      <c r="N588" s="13"/>
      <c r="O588" s="171"/>
      <c r="P588" s="13"/>
      <c r="Q588" s="13"/>
      <c r="R588" s="173"/>
      <c r="S588" s="35"/>
      <c r="T588" s="35"/>
      <c r="U588" s="13"/>
      <c r="V588" s="13"/>
      <c r="W588" s="13"/>
      <c r="X588" s="13"/>
      <c r="Y588" s="13"/>
      <c r="Z588" s="13"/>
      <c r="AA588" s="13"/>
      <c r="AB588" s="13"/>
      <c r="AC588" s="13"/>
    </row>
    <row r="589" ht="16.5" customHeight="1">
      <c r="A589" s="13"/>
      <c r="B589" s="13"/>
      <c r="C589" s="13"/>
      <c r="D589" s="13"/>
      <c r="E589" s="13"/>
      <c r="F589" s="13"/>
      <c r="G589" s="13"/>
      <c r="H589" s="13"/>
      <c r="I589" s="13"/>
      <c r="J589" s="13"/>
      <c r="K589" s="171"/>
      <c r="L589" s="172"/>
      <c r="M589" s="13"/>
      <c r="N589" s="13"/>
      <c r="O589" s="171"/>
      <c r="P589" s="13"/>
      <c r="Q589" s="13"/>
      <c r="R589" s="173"/>
      <c r="S589" s="35"/>
      <c r="T589" s="35"/>
      <c r="U589" s="13"/>
      <c r="V589" s="13"/>
      <c r="W589" s="13"/>
      <c r="X589" s="13"/>
      <c r="Y589" s="13"/>
      <c r="Z589" s="13"/>
      <c r="AA589" s="13"/>
      <c r="AB589" s="13"/>
      <c r="AC589" s="13"/>
    </row>
    <row r="590" ht="16.5" customHeight="1">
      <c r="A590" s="13"/>
      <c r="B590" s="13"/>
      <c r="C590" s="13"/>
      <c r="D590" s="13"/>
      <c r="E590" s="13"/>
      <c r="F590" s="13"/>
      <c r="G590" s="13"/>
      <c r="H590" s="13"/>
      <c r="I590" s="13"/>
      <c r="J590" s="13"/>
      <c r="K590" s="171"/>
      <c r="L590" s="172"/>
      <c r="M590" s="13"/>
      <c r="N590" s="13"/>
      <c r="O590" s="171"/>
      <c r="P590" s="13"/>
      <c r="Q590" s="13"/>
      <c r="R590" s="173"/>
      <c r="S590" s="35"/>
      <c r="T590" s="35"/>
      <c r="U590" s="13"/>
      <c r="V590" s="13"/>
      <c r="W590" s="13"/>
      <c r="X590" s="13"/>
      <c r="Y590" s="13"/>
      <c r="Z590" s="13"/>
      <c r="AA590" s="13"/>
      <c r="AB590" s="13"/>
      <c r="AC590" s="13"/>
    </row>
    <row r="591" ht="16.5" customHeight="1">
      <c r="A591" s="13"/>
      <c r="B591" s="13"/>
      <c r="C591" s="13"/>
      <c r="D591" s="13"/>
      <c r="E591" s="13"/>
      <c r="F591" s="13"/>
      <c r="G591" s="13"/>
      <c r="H591" s="13"/>
      <c r="I591" s="13"/>
      <c r="J591" s="13"/>
      <c r="K591" s="171"/>
      <c r="L591" s="172"/>
      <c r="M591" s="13"/>
      <c r="N591" s="13"/>
      <c r="O591" s="171"/>
      <c r="P591" s="13"/>
      <c r="Q591" s="13"/>
      <c r="R591" s="173"/>
      <c r="S591" s="35"/>
      <c r="T591" s="35"/>
      <c r="U591" s="13"/>
      <c r="V591" s="13"/>
      <c r="W591" s="13"/>
      <c r="X591" s="13"/>
      <c r="Y591" s="13"/>
      <c r="Z591" s="13"/>
      <c r="AA591" s="13"/>
      <c r="AB591" s="13"/>
      <c r="AC591" s="13"/>
    </row>
    <row r="592" ht="16.5" customHeight="1">
      <c r="A592" s="13"/>
      <c r="B592" s="13"/>
      <c r="C592" s="13"/>
      <c r="D592" s="13"/>
      <c r="E592" s="13"/>
      <c r="F592" s="13"/>
      <c r="G592" s="13"/>
      <c r="H592" s="13"/>
      <c r="I592" s="13"/>
      <c r="J592" s="13"/>
      <c r="K592" s="171"/>
      <c r="L592" s="172"/>
      <c r="M592" s="13"/>
      <c r="N592" s="13"/>
      <c r="O592" s="171"/>
      <c r="P592" s="13"/>
      <c r="Q592" s="13"/>
      <c r="R592" s="173"/>
      <c r="S592" s="35"/>
      <c r="T592" s="35"/>
      <c r="U592" s="13"/>
      <c r="V592" s="13"/>
      <c r="W592" s="13"/>
      <c r="X592" s="13"/>
      <c r="Y592" s="13"/>
      <c r="Z592" s="13"/>
      <c r="AA592" s="13"/>
      <c r="AB592" s="13"/>
      <c r="AC592" s="13"/>
    </row>
    <row r="593" ht="16.5" customHeight="1">
      <c r="A593" s="13"/>
      <c r="B593" s="13"/>
      <c r="C593" s="13"/>
      <c r="D593" s="13"/>
      <c r="E593" s="13"/>
      <c r="F593" s="13"/>
      <c r="G593" s="13"/>
      <c r="H593" s="13"/>
      <c r="I593" s="13"/>
      <c r="J593" s="13"/>
      <c r="K593" s="171"/>
      <c r="L593" s="172"/>
      <c r="M593" s="13"/>
      <c r="N593" s="13"/>
      <c r="O593" s="171"/>
      <c r="P593" s="13"/>
      <c r="Q593" s="13"/>
      <c r="R593" s="173"/>
      <c r="S593" s="35"/>
      <c r="T593" s="35"/>
      <c r="U593" s="13"/>
      <c r="V593" s="13"/>
      <c r="W593" s="13"/>
      <c r="X593" s="13"/>
      <c r="Y593" s="13"/>
      <c r="Z593" s="13"/>
      <c r="AA593" s="13"/>
      <c r="AB593" s="13"/>
      <c r="AC593" s="13"/>
    </row>
    <row r="594" ht="16.5" customHeight="1">
      <c r="A594" s="13"/>
      <c r="B594" s="13"/>
      <c r="C594" s="13"/>
      <c r="D594" s="13"/>
      <c r="E594" s="13"/>
      <c r="F594" s="13"/>
      <c r="G594" s="13"/>
      <c r="H594" s="13"/>
      <c r="I594" s="13"/>
      <c r="J594" s="13"/>
      <c r="K594" s="171"/>
      <c r="L594" s="172"/>
      <c r="M594" s="13"/>
      <c r="N594" s="13"/>
      <c r="O594" s="171"/>
      <c r="P594" s="13"/>
      <c r="Q594" s="13"/>
      <c r="R594" s="173"/>
      <c r="S594" s="35"/>
      <c r="T594" s="35"/>
      <c r="U594" s="13"/>
      <c r="V594" s="13"/>
      <c r="W594" s="13"/>
      <c r="X594" s="13"/>
      <c r="Y594" s="13"/>
      <c r="Z594" s="13"/>
      <c r="AA594" s="13"/>
      <c r="AB594" s="13"/>
      <c r="AC594" s="13"/>
    </row>
    <row r="595" ht="16.5" customHeight="1">
      <c r="A595" s="13"/>
      <c r="B595" s="13"/>
      <c r="C595" s="13"/>
      <c r="D595" s="13"/>
      <c r="E595" s="13"/>
      <c r="F595" s="13"/>
      <c r="G595" s="13"/>
      <c r="H595" s="13"/>
      <c r="I595" s="13"/>
      <c r="J595" s="13"/>
      <c r="K595" s="171"/>
      <c r="L595" s="172"/>
      <c r="M595" s="13"/>
      <c r="N595" s="13"/>
      <c r="O595" s="171"/>
      <c r="P595" s="13"/>
      <c r="Q595" s="13"/>
      <c r="R595" s="173"/>
      <c r="S595" s="35"/>
      <c r="T595" s="35"/>
      <c r="U595" s="13"/>
      <c r="V595" s="13"/>
      <c r="W595" s="13"/>
      <c r="X595" s="13"/>
      <c r="Y595" s="13"/>
      <c r="Z595" s="13"/>
      <c r="AA595" s="13"/>
      <c r="AB595" s="13"/>
      <c r="AC595" s="13"/>
    </row>
    <row r="596" ht="16.5" customHeight="1">
      <c r="A596" s="13"/>
      <c r="B596" s="13"/>
      <c r="C596" s="13"/>
      <c r="D596" s="13"/>
      <c r="E596" s="13"/>
      <c r="F596" s="13"/>
      <c r="G596" s="13"/>
      <c r="H596" s="13"/>
      <c r="I596" s="13"/>
      <c r="J596" s="13"/>
      <c r="K596" s="171"/>
      <c r="L596" s="172"/>
      <c r="M596" s="13"/>
      <c r="N596" s="13"/>
      <c r="O596" s="171"/>
      <c r="P596" s="13"/>
      <c r="Q596" s="13"/>
      <c r="R596" s="173"/>
      <c r="S596" s="35"/>
      <c r="T596" s="35"/>
      <c r="U596" s="13"/>
      <c r="V596" s="13"/>
      <c r="W596" s="13"/>
      <c r="X596" s="13"/>
      <c r="Y596" s="13"/>
      <c r="Z596" s="13"/>
      <c r="AA596" s="13"/>
      <c r="AB596" s="13"/>
      <c r="AC596" s="13"/>
    </row>
    <row r="597" ht="16.5" customHeight="1">
      <c r="A597" s="13"/>
      <c r="B597" s="13"/>
      <c r="C597" s="13"/>
      <c r="D597" s="13"/>
      <c r="E597" s="13"/>
      <c r="F597" s="13"/>
      <c r="G597" s="13"/>
      <c r="H597" s="13"/>
      <c r="I597" s="13"/>
      <c r="J597" s="13"/>
      <c r="K597" s="171"/>
      <c r="L597" s="172"/>
      <c r="M597" s="13"/>
      <c r="N597" s="13"/>
      <c r="O597" s="171"/>
      <c r="P597" s="13"/>
      <c r="Q597" s="13"/>
      <c r="R597" s="173"/>
      <c r="S597" s="35"/>
      <c r="T597" s="35"/>
      <c r="U597" s="13"/>
      <c r="V597" s="13"/>
      <c r="W597" s="13"/>
      <c r="X597" s="13"/>
      <c r="Y597" s="13"/>
      <c r="Z597" s="13"/>
      <c r="AA597" s="13"/>
      <c r="AB597" s="13"/>
      <c r="AC597" s="13"/>
    </row>
    <row r="598" ht="16.5" customHeight="1">
      <c r="A598" s="13"/>
      <c r="B598" s="13"/>
      <c r="C598" s="13"/>
      <c r="D598" s="13"/>
      <c r="E598" s="13"/>
      <c r="F598" s="13"/>
      <c r="G598" s="13"/>
      <c r="H598" s="13"/>
      <c r="I598" s="13"/>
      <c r="J598" s="13"/>
      <c r="K598" s="171"/>
      <c r="L598" s="172"/>
      <c r="M598" s="13"/>
      <c r="N598" s="13"/>
      <c r="O598" s="171"/>
      <c r="P598" s="13"/>
      <c r="Q598" s="13"/>
      <c r="R598" s="173"/>
      <c r="S598" s="35"/>
      <c r="T598" s="35"/>
      <c r="U598" s="13"/>
      <c r="V598" s="13"/>
      <c r="W598" s="13"/>
      <c r="X598" s="13"/>
      <c r="Y598" s="13"/>
      <c r="Z598" s="13"/>
      <c r="AA598" s="13"/>
      <c r="AB598" s="13"/>
      <c r="AC598" s="13"/>
    </row>
    <row r="599" ht="16.5" customHeight="1">
      <c r="A599" s="13"/>
      <c r="B599" s="13"/>
      <c r="C599" s="13"/>
      <c r="D599" s="13"/>
      <c r="E599" s="13"/>
      <c r="F599" s="13"/>
      <c r="G599" s="13"/>
      <c r="H599" s="13"/>
      <c r="I599" s="13"/>
      <c r="J599" s="13"/>
      <c r="K599" s="171"/>
      <c r="L599" s="172"/>
      <c r="M599" s="13"/>
      <c r="N599" s="13"/>
      <c r="O599" s="171"/>
      <c r="P599" s="13"/>
      <c r="Q599" s="13"/>
      <c r="R599" s="173"/>
      <c r="S599" s="35"/>
      <c r="T599" s="35"/>
      <c r="U599" s="13"/>
      <c r="V599" s="13"/>
      <c r="W599" s="13"/>
      <c r="X599" s="13"/>
      <c r="Y599" s="13"/>
      <c r="Z599" s="13"/>
      <c r="AA599" s="13"/>
      <c r="AB599" s="13"/>
      <c r="AC599" s="13"/>
    </row>
    <row r="600" ht="16.5" customHeight="1">
      <c r="A600" s="13"/>
      <c r="B600" s="13"/>
      <c r="C600" s="13"/>
      <c r="D600" s="13"/>
      <c r="E600" s="13"/>
      <c r="F600" s="13"/>
      <c r="G600" s="13"/>
      <c r="H600" s="13"/>
      <c r="I600" s="13"/>
      <c r="J600" s="13"/>
      <c r="K600" s="171"/>
      <c r="L600" s="172"/>
      <c r="M600" s="13"/>
      <c r="N600" s="13"/>
      <c r="O600" s="171"/>
      <c r="P600" s="13"/>
      <c r="Q600" s="13"/>
      <c r="R600" s="173"/>
      <c r="S600" s="35"/>
      <c r="T600" s="35"/>
      <c r="U600" s="13"/>
      <c r="V600" s="13"/>
      <c r="W600" s="13"/>
      <c r="X600" s="13"/>
      <c r="Y600" s="13"/>
      <c r="Z600" s="13"/>
      <c r="AA600" s="13"/>
      <c r="AB600" s="13"/>
      <c r="AC600" s="13"/>
    </row>
    <row r="601" ht="16.5" customHeight="1">
      <c r="A601" s="13"/>
      <c r="B601" s="13"/>
      <c r="C601" s="13"/>
      <c r="D601" s="13"/>
      <c r="E601" s="13"/>
      <c r="F601" s="13"/>
      <c r="G601" s="13"/>
      <c r="H601" s="13"/>
      <c r="I601" s="13"/>
      <c r="J601" s="13"/>
      <c r="K601" s="171"/>
      <c r="L601" s="172"/>
      <c r="M601" s="13"/>
      <c r="N601" s="13"/>
      <c r="O601" s="171"/>
      <c r="P601" s="13"/>
      <c r="Q601" s="13"/>
      <c r="R601" s="173"/>
      <c r="S601" s="35"/>
      <c r="T601" s="35"/>
      <c r="U601" s="13"/>
      <c r="V601" s="13"/>
      <c r="W601" s="13"/>
      <c r="X601" s="13"/>
      <c r="Y601" s="13"/>
      <c r="Z601" s="13"/>
      <c r="AA601" s="13"/>
      <c r="AB601" s="13"/>
      <c r="AC601" s="13"/>
    </row>
    <row r="602" ht="16.5" customHeight="1">
      <c r="A602" s="13"/>
      <c r="B602" s="13"/>
      <c r="C602" s="13"/>
      <c r="D602" s="13"/>
      <c r="E602" s="13"/>
      <c r="F602" s="13"/>
      <c r="G602" s="13"/>
      <c r="H602" s="13"/>
      <c r="I602" s="13"/>
      <c r="J602" s="13"/>
      <c r="K602" s="171"/>
      <c r="L602" s="172"/>
      <c r="M602" s="13"/>
      <c r="N602" s="13"/>
      <c r="O602" s="171"/>
      <c r="P602" s="13"/>
      <c r="Q602" s="13"/>
      <c r="R602" s="173"/>
      <c r="S602" s="35"/>
      <c r="T602" s="35"/>
      <c r="U602" s="13"/>
      <c r="V602" s="13"/>
      <c r="W602" s="13"/>
      <c r="X602" s="13"/>
      <c r="Y602" s="13"/>
      <c r="Z602" s="13"/>
      <c r="AA602" s="13"/>
      <c r="AB602" s="13"/>
      <c r="AC602" s="13"/>
    </row>
    <row r="603" ht="16.5" customHeight="1">
      <c r="A603" s="13"/>
      <c r="B603" s="13"/>
      <c r="C603" s="13"/>
      <c r="D603" s="13"/>
      <c r="E603" s="13"/>
      <c r="F603" s="13"/>
      <c r="G603" s="13"/>
      <c r="H603" s="13"/>
      <c r="I603" s="13"/>
      <c r="J603" s="13"/>
      <c r="K603" s="171"/>
      <c r="L603" s="172"/>
      <c r="M603" s="13"/>
      <c r="N603" s="13"/>
      <c r="O603" s="171"/>
      <c r="P603" s="13"/>
      <c r="Q603" s="13"/>
      <c r="R603" s="173"/>
      <c r="S603" s="35"/>
      <c r="T603" s="35"/>
      <c r="U603" s="13"/>
      <c r="V603" s="13"/>
      <c r="W603" s="13"/>
      <c r="X603" s="13"/>
      <c r="Y603" s="13"/>
      <c r="Z603" s="13"/>
      <c r="AA603" s="13"/>
      <c r="AB603" s="13"/>
      <c r="AC603" s="13"/>
    </row>
    <row r="604" ht="16.5" customHeight="1">
      <c r="A604" s="13"/>
      <c r="B604" s="13"/>
      <c r="C604" s="13"/>
      <c r="D604" s="13"/>
      <c r="E604" s="13"/>
      <c r="F604" s="13"/>
      <c r="G604" s="13"/>
      <c r="H604" s="13"/>
      <c r="I604" s="13"/>
      <c r="J604" s="13"/>
      <c r="K604" s="171"/>
      <c r="L604" s="172"/>
      <c r="M604" s="13"/>
      <c r="N604" s="13"/>
      <c r="O604" s="171"/>
      <c r="P604" s="13"/>
      <c r="Q604" s="13"/>
      <c r="R604" s="173"/>
      <c r="S604" s="35"/>
      <c r="T604" s="35"/>
      <c r="U604" s="13"/>
      <c r="V604" s="13"/>
      <c r="W604" s="13"/>
      <c r="X604" s="13"/>
      <c r="Y604" s="13"/>
      <c r="Z604" s="13"/>
      <c r="AA604" s="13"/>
      <c r="AB604" s="13"/>
      <c r="AC604" s="13"/>
    </row>
    <row r="605" ht="16.5" customHeight="1">
      <c r="A605" s="13"/>
      <c r="B605" s="13"/>
      <c r="C605" s="13"/>
      <c r="D605" s="13"/>
      <c r="E605" s="13"/>
      <c r="F605" s="13"/>
      <c r="G605" s="13"/>
      <c r="H605" s="13"/>
      <c r="I605" s="13"/>
      <c r="J605" s="13"/>
      <c r="K605" s="171"/>
      <c r="L605" s="172"/>
      <c r="M605" s="13"/>
      <c r="N605" s="13"/>
      <c r="O605" s="171"/>
      <c r="P605" s="13"/>
      <c r="Q605" s="13"/>
      <c r="R605" s="173"/>
      <c r="S605" s="35"/>
      <c r="T605" s="35"/>
      <c r="U605" s="13"/>
      <c r="V605" s="13"/>
      <c r="W605" s="13"/>
      <c r="X605" s="13"/>
      <c r="Y605" s="13"/>
      <c r="Z605" s="13"/>
      <c r="AA605" s="13"/>
      <c r="AB605" s="13"/>
      <c r="AC605" s="13"/>
    </row>
    <row r="606" ht="16.5" customHeight="1">
      <c r="A606" s="13"/>
      <c r="B606" s="13"/>
      <c r="C606" s="13"/>
      <c r="D606" s="13"/>
      <c r="E606" s="13"/>
      <c r="F606" s="13"/>
      <c r="G606" s="13"/>
      <c r="H606" s="13"/>
      <c r="I606" s="13"/>
      <c r="J606" s="13"/>
      <c r="K606" s="171"/>
      <c r="L606" s="172"/>
      <c r="M606" s="13"/>
      <c r="N606" s="13"/>
      <c r="O606" s="171"/>
      <c r="P606" s="13"/>
      <c r="Q606" s="13"/>
      <c r="R606" s="173"/>
      <c r="S606" s="35"/>
      <c r="T606" s="35"/>
      <c r="U606" s="13"/>
      <c r="V606" s="13"/>
      <c r="W606" s="13"/>
      <c r="X606" s="13"/>
      <c r="Y606" s="13"/>
      <c r="Z606" s="13"/>
      <c r="AA606" s="13"/>
      <c r="AB606" s="13"/>
      <c r="AC606" s="13"/>
    </row>
    <row r="607" ht="16.5" customHeight="1">
      <c r="A607" s="13"/>
      <c r="B607" s="13"/>
      <c r="C607" s="13"/>
      <c r="D607" s="13"/>
      <c r="E607" s="13"/>
      <c r="F607" s="13"/>
      <c r="G607" s="13"/>
      <c r="H607" s="13"/>
      <c r="I607" s="13"/>
      <c r="J607" s="13"/>
      <c r="K607" s="171"/>
      <c r="L607" s="172"/>
      <c r="M607" s="13"/>
      <c r="N607" s="13"/>
      <c r="O607" s="171"/>
      <c r="P607" s="13"/>
      <c r="Q607" s="13"/>
      <c r="R607" s="173"/>
      <c r="S607" s="35"/>
      <c r="T607" s="35"/>
      <c r="U607" s="13"/>
      <c r="V607" s="13"/>
      <c r="W607" s="13"/>
      <c r="X607" s="13"/>
      <c r="Y607" s="13"/>
      <c r="Z607" s="13"/>
      <c r="AA607" s="13"/>
      <c r="AB607" s="13"/>
      <c r="AC607" s="13"/>
    </row>
    <row r="608" ht="16.5" customHeight="1">
      <c r="A608" s="13"/>
      <c r="B608" s="13"/>
      <c r="C608" s="13"/>
      <c r="D608" s="13"/>
      <c r="E608" s="13"/>
      <c r="F608" s="13"/>
      <c r="G608" s="13"/>
      <c r="H608" s="13"/>
      <c r="I608" s="13"/>
      <c r="J608" s="13"/>
      <c r="K608" s="171"/>
      <c r="L608" s="172"/>
      <c r="M608" s="13"/>
      <c r="N608" s="13"/>
      <c r="O608" s="171"/>
      <c r="P608" s="13"/>
      <c r="Q608" s="13"/>
      <c r="R608" s="173"/>
      <c r="S608" s="35"/>
      <c r="T608" s="35"/>
      <c r="U608" s="13"/>
      <c r="V608" s="13"/>
      <c r="W608" s="13"/>
      <c r="X608" s="13"/>
      <c r="Y608" s="13"/>
      <c r="Z608" s="13"/>
      <c r="AA608" s="13"/>
      <c r="AB608" s="13"/>
      <c r="AC608" s="13"/>
    </row>
    <row r="609" ht="16.5" customHeight="1">
      <c r="A609" s="13"/>
      <c r="B609" s="13"/>
      <c r="C609" s="13"/>
      <c r="D609" s="13"/>
      <c r="E609" s="13"/>
      <c r="F609" s="13"/>
      <c r="G609" s="13"/>
      <c r="H609" s="13"/>
      <c r="I609" s="13"/>
      <c r="J609" s="13"/>
      <c r="K609" s="171"/>
      <c r="L609" s="172"/>
      <c r="M609" s="13"/>
      <c r="N609" s="13"/>
      <c r="O609" s="171"/>
      <c r="P609" s="13"/>
      <c r="Q609" s="13"/>
      <c r="R609" s="173"/>
      <c r="S609" s="35"/>
      <c r="T609" s="35"/>
      <c r="U609" s="13"/>
      <c r="V609" s="13"/>
      <c r="W609" s="13"/>
      <c r="X609" s="13"/>
      <c r="Y609" s="13"/>
      <c r="Z609" s="13"/>
      <c r="AA609" s="13"/>
      <c r="AB609" s="13"/>
      <c r="AC609" s="13"/>
    </row>
    <row r="610" ht="16.5" customHeight="1">
      <c r="A610" s="13"/>
      <c r="B610" s="13"/>
      <c r="C610" s="13"/>
      <c r="D610" s="13"/>
      <c r="E610" s="13"/>
      <c r="F610" s="13"/>
      <c r="G610" s="13"/>
      <c r="H610" s="13"/>
      <c r="I610" s="13"/>
      <c r="J610" s="13"/>
      <c r="K610" s="171"/>
      <c r="L610" s="172"/>
      <c r="M610" s="13"/>
      <c r="N610" s="13"/>
      <c r="O610" s="171"/>
      <c r="P610" s="13"/>
      <c r="Q610" s="13"/>
      <c r="R610" s="173"/>
      <c r="S610" s="35"/>
      <c r="T610" s="35"/>
      <c r="U610" s="13"/>
      <c r="V610" s="13"/>
      <c r="W610" s="13"/>
      <c r="X610" s="13"/>
      <c r="Y610" s="13"/>
      <c r="Z610" s="13"/>
      <c r="AA610" s="13"/>
      <c r="AB610" s="13"/>
      <c r="AC610" s="13"/>
    </row>
    <row r="611" ht="16.5" customHeight="1">
      <c r="A611" s="13"/>
      <c r="B611" s="13"/>
      <c r="C611" s="13"/>
      <c r="D611" s="13"/>
      <c r="E611" s="13"/>
      <c r="F611" s="13"/>
      <c r="G611" s="13"/>
      <c r="H611" s="13"/>
      <c r="I611" s="13"/>
      <c r="J611" s="13"/>
      <c r="K611" s="171"/>
      <c r="L611" s="172"/>
      <c r="M611" s="13"/>
      <c r="N611" s="13"/>
      <c r="O611" s="171"/>
      <c r="P611" s="13"/>
      <c r="Q611" s="13"/>
      <c r="R611" s="173"/>
      <c r="S611" s="35"/>
      <c r="T611" s="35"/>
      <c r="U611" s="13"/>
      <c r="V611" s="13"/>
      <c r="W611" s="13"/>
      <c r="X611" s="13"/>
      <c r="Y611" s="13"/>
      <c r="Z611" s="13"/>
      <c r="AA611" s="13"/>
      <c r="AB611" s="13"/>
      <c r="AC611" s="13"/>
    </row>
    <row r="612" ht="16.5" customHeight="1">
      <c r="A612" s="13"/>
      <c r="B612" s="13"/>
      <c r="C612" s="13"/>
      <c r="D612" s="13"/>
      <c r="E612" s="13"/>
      <c r="F612" s="13"/>
      <c r="G612" s="13"/>
      <c r="H612" s="13"/>
      <c r="I612" s="13"/>
      <c r="J612" s="13"/>
      <c r="K612" s="171"/>
      <c r="L612" s="172"/>
      <c r="M612" s="13"/>
      <c r="N612" s="13"/>
      <c r="O612" s="171"/>
      <c r="P612" s="13"/>
      <c r="Q612" s="13"/>
      <c r="R612" s="173"/>
      <c r="S612" s="35"/>
      <c r="T612" s="35"/>
      <c r="U612" s="13"/>
      <c r="V612" s="13"/>
      <c r="W612" s="13"/>
      <c r="X612" s="13"/>
      <c r="Y612" s="13"/>
      <c r="Z612" s="13"/>
      <c r="AA612" s="13"/>
      <c r="AB612" s="13"/>
      <c r="AC612" s="13"/>
    </row>
    <row r="613" ht="16.5" customHeight="1">
      <c r="A613" s="13"/>
      <c r="B613" s="13"/>
      <c r="C613" s="13"/>
      <c r="D613" s="13"/>
      <c r="E613" s="13"/>
      <c r="F613" s="13"/>
      <c r="G613" s="13"/>
      <c r="H613" s="13"/>
      <c r="I613" s="13"/>
      <c r="J613" s="13"/>
      <c r="K613" s="171"/>
      <c r="L613" s="172"/>
      <c r="M613" s="13"/>
      <c r="N613" s="13"/>
      <c r="O613" s="171"/>
      <c r="P613" s="13"/>
      <c r="Q613" s="13"/>
      <c r="R613" s="173"/>
      <c r="S613" s="35"/>
      <c r="T613" s="35"/>
      <c r="U613" s="13"/>
      <c r="V613" s="13"/>
      <c r="W613" s="13"/>
      <c r="X613" s="13"/>
      <c r="Y613" s="13"/>
      <c r="Z613" s="13"/>
      <c r="AA613" s="13"/>
      <c r="AB613" s="13"/>
      <c r="AC613" s="13"/>
    </row>
    <row r="614" ht="16.5" customHeight="1">
      <c r="A614" s="13"/>
      <c r="B614" s="13"/>
      <c r="C614" s="13"/>
      <c r="D614" s="13"/>
      <c r="E614" s="13"/>
      <c r="F614" s="13"/>
      <c r="G614" s="13"/>
      <c r="H614" s="13"/>
      <c r="I614" s="13"/>
      <c r="J614" s="13"/>
      <c r="K614" s="171"/>
      <c r="L614" s="172"/>
      <c r="M614" s="13"/>
      <c r="N614" s="13"/>
      <c r="O614" s="171"/>
      <c r="P614" s="13"/>
      <c r="Q614" s="13"/>
      <c r="R614" s="173"/>
      <c r="S614" s="35"/>
      <c r="T614" s="35"/>
      <c r="U614" s="13"/>
      <c r="V614" s="13"/>
      <c r="W614" s="13"/>
      <c r="X614" s="13"/>
      <c r="Y614" s="13"/>
      <c r="Z614" s="13"/>
      <c r="AA614" s="13"/>
      <c r="AB614" s="13"/>
      <c r="AC614" s="13"/>
    </row>
    <row r="615" ht="16.5" customHeight="1">
      <c r="A615" s="13"/>
      <c r="B615" s="13"/>
      <c r="C615" s="13"/>
      <c r="D615" s="13"/>
      <c r="E615" s="13"/>
      <c r="F615" s="13"/>
      <c r="G615" s="13"/>
      <c r="H615" s="13"/>
      <c r="I615" s="13"/>
      <c r="J615" s="13"/>
      <c r="K615" s="171"/>
      <c r="L615" s="172"/>
      <c r="M615" s="13"/>
      <c r="N615" s="13"/>
      <c r="O615" s="171"/>
      <c r="P615" s="13"/>
      <c r="Q615" s="13"/>
      <c r="R615" s="173"/>
      <c r="S615" s="35"/>
      <c r="T615" s="35"/>
      <c r="U615" s="13"/>
      <c r="V615" s="13"/>
      <c r="W615" s="13"/>
      <c r="X615" s="13"/>
      <c r="Y615" s="13"/>
      <c r="Z615" s="13"/>
      <c r="AA615" s="13"/>
      <c r="AB615" s="13"/>
      <c r="AC615" s="13"/>
    </row>
    <row r="616" ht="16.5" customHeight="1">
      <c r="A616" s="13"/>
      <c r="B616" s="13"/>
      <c r="C616" s="13"/>
      <c r="D616" s="13"/>
      <c r="E616" s="13"/>
      <c r="F616" s="13"/>
      <c r="G616" s="13"/>
      <c r="H616" s="13"/>
      <c r="I616" s="13"/>
      <c r="J616" s="13"/>
      <c r="K616" s="171"/>
      <c r="L616" s="172"/>
      <c r="M616" s="13"/>
      <c r="N616" s="13"/>
      <c r="O616" s="171"/>
      <c r="P616" s="13"/>
      <c r="Q616" s="13"/>
      <c r="R616" s="173"/>
      <c r="S616" s="35"/>
      <c r="T616" s="35"/>
      <c r="U616" s="13"/>
      <c r="V616" s="13"/>
      <c r="W616" s="13"/>
      <c r="X616" s="13"/>
      <c r="Y616" s="13"/>
      <c r="Z616" s="13"/>
      <c r="AA616" s="13"/>
      <c r="AB616" s="13"/>
      <c r="AC616" s="13"/>
    </row>
    <row r="617" ht="16.5" customHeight="1">
      <c r="A617" s="13"/>
      <c r="B617" s="13"/>
      <c r="C617" s="13"/>
      <c r="D617" s="13"/>
      <c r="E617" s="13"/>
      <c r="F617" s="13"/>
      <c r="G617" s="13"/>
      <c r="H617" s="13"/>
      <c r="I617" s="13"/>
      <c r="J617" s="13"/>
      <c r="K617" s="171"/>
      <c r="L617" s="172"/>
      <c r="M617" s="13"/>
      <c r="N617" s="13"/>
      <c r="O617" s="171"/>
      <c r="P617" s="13"/>
      <c r="Q617" s="13"/>
      <c r="R617" s="173"/>
      <c r="S617" s="35"/>
      <c r="T617" s="35"/>
      <c r="U617" s="13"/>
      <c r="V617" s="13"/>
      <c r="W617" s="13"/>
      <c r="X617" s="13"/>
      <c r="Y617" s="13"/>
      <c r="Z617" s="13"/>
      <c r="AA617" s="13"/>
      <c r="AB617" s="13"/>
      <c r="AC617" s="13"/>
    </row>
    <row r="618" ht="16.5" customHeight="1">
      <c r="A618" s="13"/>
      <c r="B618" s="13"/>
      <c r="C618" s="13"/>
      <c r="D618" s="13"/>
      <c r="E618" s="13"/>
      <c r="F618" s="13"/>
      <c r="G618" s="13"/>
      <c r="H618" s="13"/>
      <c r="I618" s="13"/>
      <c r="J618" s="13"/>
      <c r="K618" s="171"/>
      <c r="L618" s="172"/>
      <c r="M618" s="13"/>
      <c r="N618" s="13"/>
      <c r="O618" s="171"/>
      <c r="P618" s="13"/>
      <c r="Q618" s="13"/>
      <c r="R618" s="173"/>
      <c r="S618" s="35"/>
      <c r="T618" s="35"/>
      <c r="U618" s="13"/>
      <c r="V618" s="13"/>
      <c r="W618" s="13"/>
      <c r="X618" s="13"/>
      <c r="Y618" s="13"/>
      <c r="Z618" s="13"/>
      <c r="AA618" s="13"/>
      <c r="AB618" s="13"/>
      <c r="AC618" s="13"/>
    </row>
    <row r="619" ht="16.5" customHeight="1">
      <c r="A619" s="13"/>
      <c r="B619" s="13"/>
      <c r="C619" s="13"/>
      <c r="D619" s="13"/>
      <c r="E619" s="13"/>
      <c r="F619" s="13"/>
      <c r="G619" s="13"/>
      <c r="H619" s="13"/>
      <c r="I619" s="13"/>
      <c r="J619" s="13"/>
      <c r="K619" s="171"/>
      <c r="L619" s="172"/>
      <c r="M619" s="13"/>
      <c r="N619" s="13"/>
      <c r="O619" s="171"/>
      <c r="P619" s="13"/>
      <c r="Q619" s="13"/>
      <c r="R619" s="173"/>
      <c r="S619" s="35"/>
      <c r="T619" s="35"/>
      <c r="U619" s="13"/>
      <c r="V619" s="13"/>
      <c r="W619" s="13"/>
      <c r="X619" s="13"/>
      <c r="Y619" s="13"/>
      <c r="Z619" s="13"/>
      <c r="AA619" s="13"/>
      <c r="AB619" s="13"/>
      <c r="AC619" s="13"/>
    </row>
    <row r="620" ht="16.5" customHeight="1">
      <c r="A620" s="13"/>
      <c r="B620" s="13"/>
      <c r="C620" s="13"/>
      <c r="D620" s="13"/>
      <c r="E620" s="13"/>
      <c r="F620" s="13"/>
      <c r="G620" s="13"/>
      <c r="H620" s="13"/>
      <c r="I620" s="13"/>
      <c r="J620" s="13"/>
      <c r="K620" s="171"/>
      <c r="L620" s="172"/>
      <c r="M620" s="13"/>
      <c r="N620" s="13"/>
      <c r="O620" s="171"/>
      <c r="P620" s="13"/>
      <c r="Q620" s="13"/>
      <c r="R620" s="173"/>
      <c r="S620" s="35"/>
      <c r="T620" s="35"/>
      <c r="U620" s="13"/>
      <c r="V620" s="13"/>
      <c r="W620" s="13"/>
      <c r="X620" s="13"/>
      <c r="Y620" s="13"/>
      <c r="Z620" s="13"/>
      <c r="AA620" s="13"/>
      <c r="AB620" s="13"/>
      <c r="AC620" s="13"/>
    </row>
    <row r="621" ht="16.5" customHeight="1">
      <c r="A621" s="13"/>
      <c r="B621" s="13"/>
      <c r="C621" s="13"/>
      <c r="D621" s="13"/>
      <c r="E621" s="13"/>
      <c r="F621" s="13"/>
      <c r="G621" s="13"/>
      <c r="H621" s="13"/>
      <c r="I621" s="13"/>
      <c r="J621" s="13"/>
      <c r="K621" s="171"/>
      <c r="L621" s="172"/>
      <c r="M621" s="13"/>
      <c r="N621" s="13"/>
      <c r="O621" s="171"/>
      <c r="P621" s="13"/>
      <c r="Q621" s="13"/>
      <c r="R621" s="173"/>
      <c r="S621" s="35"/>
      <c r="T621" s="35"/>
      <c r="U621" s="13"/>
      <c r="V621" s="13"/>
      <c r="W621" s="13"/>
      <c r="X621" s="13"/>
      <c r="Y621" s="13"/>
      <c r="Z621" s="13"/>
      <c r="AA621" s="13"/>
      <c r="AB621" s="13"/>
      <c r="AC621" s="13"/>
    </row>
    <row r="622" ht="16.5" customHeight="1">
      <c r="A622" s="13"/>
      <c r="B622" s="13"/>
      <c r="C622" s="13"/>
      <c r="D622" s="13"/>
      <c r="E622" s="13"/>
      <c r="F622" s="13"/>
      <c r="G622" s="13"/>
      <c r="H622" s="13"/>
      <c r="I622" s="13"/>
      <c r="J622" s="13"/>
      <c r="K622" s="171"/>
      <c r="L622" s="172"/>
      <c r="M622" s="13"/>
      <c r="N622" s="13"/>
      <c r="O622" s="171"/>
      <c r="P622" s="13"/>
      <c r="Q622" s="13"/>
      <c r="R622" s="173"/>
      <c r="S622" s="35"/>
      <c r="T622" s="35"/>
      <c r="U622" s="13"/>
      <c r="V622" s="13"/>
      <c r="W622" s="13"/>
      <c r="X622" s="13"/>
      <c r="Y622" s="13"/>
      <c r="Z622" s="13"/>
      <c r="AA622" s="13"/>
      <c r="AB622" s="13"/>
      <c r="AC622" s="13"/>
    </row>
    <row r="623" ht="16.5" customHeight="1">
      <c r="A623" s="13"/>
      <c r="B623" s="13"/>
      <c r="C623" s="13"/>
      <c r="D623" s="13"/>
      <c r="E623" s="13"/>
      <c r="F623" s="13"/>
      <c r="G623" s="13"/>
      <c r="H623" s="13"/>
      <c r="I623" s="13"/>
      <c r="J623" s="13"/>
      <c r="K623" s="171"/>
      <c r="L623" s="172"/>
      <c r="M623" s="13"/>
      <c r="N623" s="13"/>
      <c r="O623" s="171"/>
      <c r="P623" s="13"/>
      <c r="Q623" s="13"/>
      <c r="R623" s="173"/>
      <c r="S623" s="35"/>
      <c r="T623" s="35"/>
      <c r="U623" s="13"/>
      <c r="V623" s="13"/>
      <c r="W623" s="13"/>
      <c r="X623" s="13"/>
      <c r="Y623" s="13"/>
      <c r="Z623" s="13"/>
      <c r="AA623" s="13"/>
      <c r="AB623" s="13"/>
      <c r="AC623" s="13"/>
    </row>
    <row r="624" ht="16.5" customHeight="1">
      <c r="A624" s="13"/>
      <c r="B624" s="13"/>
      <c r="C624" s="13"/>
      <c r="D624" s="13"/>
      <c r="E624" s="13"/>
      <c r="F624" s="13"/>
      <c r="G624" s="13"/>
      <c r="H624" s="13"/>
      <c r="I624" s="13"/>
      <c r="J624" s="13"/>
      <c r="K624" s="171"/>
      <c r="L624" s="172"/>
      <c r="M624" s="13"/>
      <c r="N624" s="13"/>
      <c r="O624" s="171"/>
      <c r="P624" s="13"/>
      <c r="Q624" s="13"/>
      <c r="R624" s="173"/>
      <c r="S624" s="35"/>
      <c r="T624" s="35"/>
      <c r="U624" s="13"/>
      <c r="V624" s="13"/>
      <c r="W624" s="13"/>
      <c r="X624" s="13"/>
      <c r="Y624" s="13"/>
      <c r="Z624" s="13"/>
      <c r="AA624" s="13"/>
      <c r="AB624" s="13"/>
      <c r="AC624" s="13"/>
    </row>
    <row r="625" ht="16.5" customHeight="1">
      <c r="A625" s="13"/>
      <c r="B625" s="13"/>
      <c r="C625" s="13"/>
      <c r="D625" s="13"/>
      <c r="E625" s="13"/>
      <c r="F625" s="13"/>
      <c r="G625" s="13"/>
      <c r="H625" s="13"/>
      <c r="I625" s="13"/>
      <c r="J625" s="13"/>
      <c r="K625" s="171"/>
      <c r="L625" s="172"/>
      <c r="M625" s="13"/>
      <c r="N625" s="13"/>
      <c r="O625" s="171"/>
      <c r="P625" s="13"/>
      <c r="Q625" s="13"/>
      <c r="R625" s="173"/>
      <c r="S625" s="35"/>
      <c r="T625" s="35"/>
      <c r="U625" s="13"/>
      <c r="V625" s="13"/>
      <c r="W625" s="13"/>
      <c r="X625" s="13"/>
      <c r="Y625" s="13"/>
      <c r="Z625" s="13"/>
      <c r="AA625" s="13"/>
      <c r="AB625" s="13"/>
      <c r="AC625" s="13"/>
    </row>
    <row r="626" ht="16.5" customHeight="1">
      <c r="A626" s="13"/>
      <c r="B626" s="13"/>
      <c r="C626" s="13"/>
      <c r="D626" s="13"/>
      <c r="E626" s="13"/>
      <c r="F626" s="13"/>
      <c r="G626" s="13"/>
      <c r="H626" s="13"/>
      <c r="I626" s="13"/>
      <c r="J626" s="13"/>
      <c r="K626" s="171"/>
      <c r="L626" s="172"/>
      <c r="M626" s="13"/>
      <c r="N626" s="13"/>
      <c r="O626" s="171"/>
      <c r="P626" s="13"/>
      <c r="Q626" s="13"/>
      <c r="R626" s="173"/>
      <c r="S626" s="35"/>
      <c r="T626" s="35"/>
      <c r="U626" s="13"/>
      <c r="V626" s="13"/>
      <c r="W626" s="13"/>
      <c r="X626" s="13"/>
      <c r="Y626" s="13"/>
      <c r="Z626" s="13"/>
      <c r="AA626" s="13"/>
      <c r="AB626" s="13"/>
      <c r="AC626" s="13"/>
    </row>
    <row r="627" ht="16.5" customHeight="1">
      <c r="A627" s="13"/>
      <c r="B627" s="13"/>
      <c r="C627" s="13"/>
      <c r="D627" s="13"/>
      <c r="E627" s="13"/>
      <c r="F627" s="13"/>
      <c r="G627" s="13"/>
      <c r="H627" s="13"/>
      <c r="I627" s="13"/>
      <c r="J627" s="13"/>
      <c r="K627" s="171"/>
      <c r="L627" s="172"/>
      <c r="M627" s="13"/>
      <c r="N627" s="13"/>
      <c r="O627" s="171"/>
      <c r="P627" s="13"/>
      <c r="Q627" s="13"/>
      <c r="R627" s="173"/>
      <c r="S627" s="35"/>
      <c r="T627" s="35"/>
      <c r="U627" s="13"/>
      <c r="V627" s="13"/>
      <c r="W627" s="13"/>
      <c r="X627" s="13"/>
      <c r="Y627" s="13"/>
      <c r="Z627" s="13"/>
      <c r="AA627" s="13"/>
      <c r="AB627" s="13"/>
      <c r="AC627" s="13"/>
    </row>
    <row r="628" ht="16.5" customHeight="1">
      <c r="A628" s="13"/>
      <c r="B628" s="13"/>
      <c r="C628" s="13"/>
      <c r="D628" s="13"/>
      <c r="E628" s="13"/>
      <c r="F628" s="13"/>
      <c r="G628" s="13"/>
      <c r="H628" s="13"/>
      <c r="I628" s="13"/>
      <c r="J628" s="13"/>
      <c r="K628" s="171"/>
      <c r="L628" s="172"/>
      <c r="M628" s="13"/>
      <c r="N628" s="13"/>
      <c r="O628" s="171"/>
      <c r="P628" s="13"/>
      <c r="Q628" s="13"/>
      <c r="R628" s="173"/>
      <c r="S628" s="35"/>
      <c r="T628" s="35"/>
      <c r="U628" s="13"/>
      <c r="V628" s="13"/>
      <c r="W628" s="13"/>
      <c r="X628" s="13"/>
      <c r="Y628" s="13"/>
      <c r="Z628" s="13"/>
      <c r="AA628" s="13"/>
      <c r="AB628" s="13"/>
      <c r="AC628" s="13"/>
    </row>
    <row r="629" ht="16.5" customHeight="1">
      <c r="A629" s="13"/>
      <c r="B629" s="13"/>
      <c r="C629" s="13"/>
      <c r="D629" s="13"/>
      <c r="E629" s="13"/>
      <c r="F629" s="13"/>
      <c r="G629" s="13"/>
      <c r="H629" s="13"/>
      <c r="I629" s="13"/>
      <c r="J629" s="13"/>
      <c r="K629" s="171"/>
      <c r="L629" s="172"/>
      <c r="M629" s="13"/>
      <c r="N629" s="13"/>
      <c r="O629" s="171"/>
      <c r="P629" s="13"/>
      <c r="Q629" s="13"/>
      <c r="R629" s="173"/>
      <c r="S629" s="35"/>
      <c r="T629" s="35"/>
      <c r="U629" s="13"/>
      <c r="V629" s="13"/>
      <c r="W629" s="13"/>
      <c r="X629" s="13"/>
      <c r="Y629" s="13"/>
      <c r="Z629" s="13"/>
      <c r="AA629" s="13"/>
      <c r="AB629" s="13"/>
      <c r="AC629" s="13"/>
    </row>
    <row r="630" ht="16.5" customHeight="1">
      <c r="A630" s="13"/>
      <c r="B630" s="13"/>
      <c r="C630" s="13"/>
      <c r="D630" s="13"/>
      <c r="E630" s="13"/>
      <c r="F630" s="13"/>
      <c r="G630" s="13"/>
      <c r="H630" s="13"/>
      <c r="I630" s="13"/>
      <c r="J630" s="13"/>
      <c r="K630" s="171"/>
      <c r="L630" s="172"/>
      <c r="M630" s="13"/>
      <c r="N630" s="13"/>
      <c r="O630" s="171"/>
      <c r="P630" s="13"/>
      <c r="Q630" s="13"/>
      <c r="R630" s="173"/>
      <c r="S630" s="35"/>
      <c r="T630" s="35"/>
      <c r="U630" s="13"/>
      <c r="V630" s="13"/>
      <c r="W630" s="13"/>
      <c r="X630" s="13"/>
      <c r="Y630" s="13"/>
      <c r="Z630" s="13"/>
      <c r="AA630" s="13"/>
      <c r="AB630" s="13"/>
      <c r="AC630" s="13"/>
    </row>
    <row r="631" ht="16.5" customHeight="1">
      <c r="A631" s="13"/>
      <c r="B631" s="13"/>
      <c r="C631" s="13"/>
      <c r="D631" s="13"/>
      <c r="E631" s="13"/>
      <c r="F631" s="13"/>
      <c r="G631" s="13"/>
      <c r="H631" s="13"/>
      <c r="I631" s="13"/>
      <c r="J631" s="13"/>
      <c r="K631" s="171"/>
      <c r="L631" s="172"/>
      <c r="M631" s="13"/>
      <c r="N631" s="13"/>
      <c r="O631" s="171"/>
      <c r="P631" s="13"/>
      <c r="Q631" s="13"/>
      <c r="R631" s="173"/>
      <c r="S631" s="35"/>
      <c r="T631" s="35"/>
      <c r="U631" s="13"/>
      <c r="V631" s="13"/>
      <c r="W631" s="13"/>
      <c r="X631" s="13"/>
      <c r="Y631" s="13"/>
      <c r="Z631" s="13"/>
      <c r="AA631" s="13"/>
      <c r="AB631" s="13"/>
      <c r="AC631" s="13"/>
    </row>
    <row r="632" ht="16.5" customHeight="1">
      <c r="A632" s="13"/>
      <c r="B632" s="13"/>
      <c r="C632" s="13"/>
      <c r="D632" s="13"/>
      <c r="E632" s="13"/>
      <c r="F632" s="13"/>
      <c r="G632" s="13"/>
      <c r="H632" s="13"/>
      <c r="I632" s="13"/>
      <c r="J632" s="13"/>
      <c r="K632" s="171"/>
      <c r="L632" s="172"/>
      <c r="M632" s="13"/>
      <c r="N632" s="13"/>
      <c r="O632" s="171"/>
      <c r="P632" s="13"/>
      <c r="Q632" s="13"/>
      <c r="R632" s="173"/>
      <c r="S632" s="35"/>
      <c r="T632" s="35"/>
      <c r="U632" s="13"/>
      <c r="V632" s="13"/>
      <c r="W632" s="13"/>
      <c r="X632" s="13"/>
      <c r="Y632" s="13"/>
      <c r="Z632" s="13"/>
      <c r="AA632" s="13"/>
      <c r="AB632" s="13"/>
      <c r="AC632" s="13"/>
    </row>
    <row r="633" ht="16.5" customHeight="1">
      <c r="A633" s="13"/>
      <c r="B633" s="13"/>
      <c r="C633" s="13"/>
      <c r="D633" s="13"/>
      <c r="E633" s="13"/>
      <c r="F633" s="13"/>
      <c r="G633" s="13"/>
      <c r="H633" s="13"/>
      <c r="I633" s="13"/>
      <c r="J633" s="13"/>
      <c r="K633" s="171"/>
      <c r="L633" s="172"/>
      <c r="M633" s="13"/>
      <c r="N633" s="13"/>
      <c r="O633" s="171"/>
      <c r="P633" s="13"/>
      <c r="Q633" s="13"/>
      <c r="R633" s="173"/>
      <c r="S633" s="35"/>
      <c r="T633" s="35"/>
      <c r="U633" s="13"/>
      <c r="V633" s="13"/>
      <c r="W633" s="13"/>
      <c r="X633" s="13"/>
      <c r="Y633" s="13"/>
      <c r="Z633" s="13"/>
      <c r="AA633" s="13"/>
      <c r="AB633" s="13"/>
      <c r="AC633" s="13"/>
    </row>
    <row r="634" ht="16.5" customHeight="1">
      <c r="A634" s="13"/>
      <c r="B634" s="13"/>
      <c r="C634" s="13"/>
      <c r="D634" s="13"/>
      <c r="E634" s="13"/>
      <c r="F634" s="13"/>
      <c r="G634" s="13"/>
      <c r="H634" s="13"/>
      <c r="I634" s="13"/>
      <c r="J634" s="13"/>
      <c r="K634" s="171"/>
      <c r="L634" s="172"/>
      <c r="M634" s="13"/>
      <c r="N634" s="13"/>
      <c r="O634" s="171"/>
      <c r="P634" s="13"/>
      <c r="Q634" s="13"/>
      <c r="R634" s="173"/>
      <c r="S634" s="35"/>
      <c r="T634" s="35"/>
      <c r="U634" s="13"/>
      <c r="V634" s="13"/>
      <c r="W634" s="13"/>
      <c r="X634" s="13"/>
      <c r="Y634" s="13"/>
      <c r="Z634" s="13"/>
      <c r="AA634" s="13"/>
      <c r="AB634" s="13"/>
      <c r="AC634" s="13"/>
    </row>
    <row r="635" ht="16.5" customHeight="1">
      <c r="A635" s="13"/>
      <c r="B635" s="13"/>
      <c r="C635" s="13"/>
      <c r="D635" s="13"/>
      <c r="E635" s="13"/>
      <c r="F635" s="13"/>
      <c r="G635" s="13"/>
      <c r="H635" s="13"/>
      <c r="I635" s="13"/>
      <c r="J635" s="13"/>
      <c r="K635" s="171"/>
      <c r="L635" s="172"/>
      <c r="M635" s="13"/>
      <c r="N635" s="13"/>
      <c r="O635" s="171"/>
      <c r="P635" s="13"/>
      <c r="Q635" s="13"/>
      <c r="R635" s="173"/>
      <c r="S635" s="35"/>
      <c r="T635" s="35"/>
      <c r="U635" s="13"/>
      <c r="V635" s="13"/>
      <c r="W635" s="13"/>
      <c r="X635" s="13"/>
      <c r="Y635" s="13"/>
      <c r="Z635" s="13"/>
      <c r="AA635" s="13"/>
      <c r="AB635" s="13"/>
      <c r="AC635" s="13"/>
    </row>
    <row r="636" ht="16.5" customHeight="1">
      <c r="A636" s="13"/>
      <c r="B636" s="13"/>
      <c r="C636" s="13"/>
      <c r="D636" s="13"/>
      <c r="E636" s="13"/>
      <c r="F636" s="13"/>
      <c r="G636" s="13"/>
      <c r="H636" s="13"/>
      <c r="I636" s="13"/>
      <c r="J636" s="13"/>
      <c r="K636" s="171"/>
      <c r="L636" s="172"/>
      <c r="M636" s="13"/>
      <c r="N636" s="13"/>
      <c r="O636" s="171"/>
      <c r="P636" s="13"/>
      <c r="Q636" s="13"/>
      <c r="R636" s="173"/>
      <c r="S636" s="35"/>
      <c r="T636" s="35"/>
      <c r="U636" s="13"/>
      <c r="V636" s="13"/>
      <c r="W636" s="13"/>
      <c r="X636" s="13"/>
      <c r="Y636" s="13"/>
      <c r="Z636" s="13"/>
      <c r="AA636" s="13"/>
      <c r="AB636" s="13"/>
      <c r="AC636" s="13"/>
    </row>
    <row r="637" ht="16.5" customHeight="1">
      <c r="A637" s="13"/>
      <c r="B637" s="13"/>
      <c r="C637" s="13"/>
      <c r="D637" s="13"/>
      <c r="E637" s="13"/>
      <c r="F637" s="13"/>
      <c r="G637" s="13"/>
      <c r="H637" s="13"/>
      <c r="I637" s="13"/>
      <c r="J637" s="13"/>
      <c r="K637" s="171"/>
      <c r="L637" s="172"/>
      <c r="M637" s="13"/>
      <c r="N637" s="13"/>
      <c r="O637" s="171"/>
      <c r="P637" s="13"/>
      <c r="Q637" s="13"/>
      <c r="R637" s="173"/>
      <c r="S637" s="35"/>
      <c r="T637" s="35"/>
      <c r="U637" s="13"/>
      <c r="V637" s="13"/>
      <c r="W637" s="13"/>
      <c r="X637" s="13"/>
      <c r="Y637" s="13"/>
      <c r="Z637" s="13"/>
      <c r="AA637" s="13"/>
      <c r="AB637" s="13"/>
      <c r="AC637" s="13"/>
    </row>
    <row r="638" ht="16.5" customHeight="1">
      <c r="A638" s="13"/>
      <c r="B638" s="13"/>
      <c r="C638" s="13"/>
      <c r="D638" s="13"/>
      <c r="E638" s="13"/>
      <c r="F638" s="13"/>
      <c r="G638" s="13"/>
      <c r="H638" s="13"/>
      <c r="I638" s="13"/>
      <c r="J638" s="13"/>
      <c r="K638" s="171"/>
      <c r="L638" s="172"/>
      <c r="M638" s="13"/>
      <c r="N638" s="13"/>
      <c r="O638" s="171"/>
      <c r="P638" s="13"/>
      <c r="Q638" s="13"/>
      <c r="R638" s="173"/>
      <c r="S638" s="35"/>
      <c r="T638" s="35"/>
      <c r="U638" s="13"/>
      <c r="V638" s="13"/>
      <c r="W638" s="13"/>
      <c r="X638" s="13"/>
      <c r="Y638" s="13"/>
      <c r="Z638" s="13"/>
      <c r="AA638" s="13"/>
      <c r="AB638" s="13"/>
      <c r="AC638" s="13"/>
    </row>
    <row r="639" ht="16.5" customHeight="1">
      <c r="A639" s="13"/>
      <c r="B639" s="13"/>
      <c r="C639" s="13"/>
      <c r="D639" s="13"/>
      <c r="E639" s="13"/>
      <c r="F639" s="13"/>
      <c r="G639" s="13"/>
      <c r="H639" s="13"/>
      <c r="I639" s="13"/>
      <c r="J639" s="13"/>
      <c r="K639" s="171"/>
      <c r="L639" s="172"/>
      <c r="M639" s="13"/>
      <c r="N639" s="13"/>
      <c r="O639" s="171"/>
      <c r="P639" s="13"/>
      <c r="Q639" s="13"/>
      <c r="R639" s="173"/>
      <c r="S639" s="35"/>
      <c r="T639" s="35"/>
      <c r="U639" s="13"/>
      <c r="V639" s="13"/>
      <c r="W639" s="13"/>
      <c r="X639" s="13"/>
      <c r="Y639" s="13"/>
      <c r="Z639" s="13"/>
      <c r="AA639" s="13"/>
      <c r="AB639" s="13"/>
      <c r="AC639" s="13"/>
    </row>
    <row r="640" ht="16.5" customHeight="1">
      <c r="A640" s="13"/>
      <c r="B640" s="13"/>
      <c r="C640" s="13"/>
      <c r="D640" s="13"/>
      <c r="E640" s="13"/>
      <c r="F640" s="13"/>
      <c r="G640" s="13"/>
      <c r="H640" s="13"/>
      <c r="I640" s="13"/>
      <c r="J640" s="13"/>
      <c r="K640" s="171"/>
      <c r="L640" s="172"/>
      <c r="M640" s="13"/>
      <c r="N640" s="13"/>
      <c r="O640" s="171"/>
      <c r="P640" s="13"/>
      <c r="Q640" s="13"/>
      <c r="R640" s="173"/>
      <c r="S640" s="35"/>
      <c r="T640" s="35"/>
      <c r="U640" s="13"/>
      <c r="V640" s="13"/>
      <c r="W640" s="13"/>
      <c r="X640" s="13"/>
      <c r="Y640" s="13"/>
      <c r="Z640" s="13"/>
      <c r="AA640" s="13"/>
      <c r="AB640" s="13"/>
      <c r="AC640" s="13"/>
    </row>
    <row r="641" ht="16.5" customHeight="1">
      <c r="A641" s="13"/>
      <c r="B641" s="13"/>
      <c r="C641" s="13"/>
      <c r="D641" s="13"/>
      <c r="E641" s="13"/>
      <c r="F641" s="13"/>
      <c r="G641" s="13"/>
      <c r="H641" s="13"/>
      <c r="I641" s="13"/>
      <c r="J641" s="13"/>
      <c r="K641" s="171"/>
      <c r="L641" s="172"/>
      <c r="M641" s="13"/>
      <c r="N641" s="13"/>
      <c r="O641" s="171"/>
      <c r="P641" s="13"/>
      <c r="Q641" s="13"/>
      <c r="R641" s="173"/>
      <c r="S641" s="35"/>
      <c r="T641" s="35"/>
      <c r="U641" s="13"/>
      <c r="V641" s="13"/>
      <c r="W641" s="13"/>
      <c r="X641" s="13"/>
      <c r="Y641" s="13"/>
      <c r="Z641" s="13"/>
      <c r="AA641" s="13"/>
      <c r="AB641" s="13"/>
      <c r="AC641" s="13"/>
    </row>
    <row r="642" ht="16.5" customHeight="1">
      <c r="A642" s="13"/>
      <c r="B642" s="13"/>
      <c r="C642" s="13"/>
      <c r="D642" s="13"/>
      <c r="E642" s="13"/>
      <c r="F642" s="13"/>
      <c r="G642" s="13"/>
      <c r="H642" s="13"/>
      <c r="I642" s="13"/>
      <c r="J642" s="13"/>
      <c r="K642" s="171"/>
      <c r="L642" s="172"/>
      <c r="M642" s="13"/>
      <c r="N642" s="13"/>
      <c r="O642" s="171"/>
      <c r="P642" s="13"/>
      <c r="Q642" s="13"/>
      <c r="R642" s="173"/>
      <c r="S642" s="35"/>
      <c r="T642" s="35"/>
      <c r="U642" s="13"/>
      <c r="V642" s="13"/>
      <c r="W642" s="13"/>
      <c r="X642" s="13"/>
      <c r="Y642" s="13"/>
      <c r="Z642" s="13"/>
      <c r="AA642" s="13"/>
      <c r="AB642" s="13"/>
      <c r="AC642" s="13"/>
    </row>
    <row r="643" ht="16.5" customHeight="1">
      <c r="A643" s="13"/>
      <c r="B643" s="13"/>
      <c r="C643" s="13"/>
      <c r="D643" s="13"/>
      <c r="E643" s="13"/>
      <c r="F643" s="13"/>
      <c r="G643" s="13"/>
      <c r="H643" s="13"/>
      <c r="I643" s="13"/>
      <c r="J643" s="13"/>
      <c r="K643" s="171"/>
      <c r="L643" s="172"/>
      <c r="M643" s="13"/>
      <c r="N643" s="13"/>
      <c r="O643" s="171"/>
      <c r="P643" s="13"/>
      <c r="Q643" s="13"/>
      <c r="R643" s="173"/>
      <c r="S643" s="35"/>
      <c r="T643" s="35"/>
      <c r="U643" s="13"/>
      <c r="V643" s="13"/>
      <c r="W643" s="13"/>
      <c r="X643" s="13"/>
      <c r="Y643" s="13"/>
      <c r="Z643" s="13"/>
      <c r="AA643" s="13"/>
      <c r="AB643" s="13"/>
      <c r="AC643" s="13"/>
    </row>
    <row r="644" ht="16.5" customHeight="1">
      <c r="A644" s="13"/>
      <c r="B644" s="13"/>
      <c r="C644" s="13"/>
      <c r="D644" s="13"/>
      <c r="E644" s="13"/>
      <c r="F644" s="13"/>
      <c r="G644" s="13"/>
      <c r="H644" s="13"/>
      <c r="I644" s="13"/>
      <c r="J644" s="13"/>
      <c r="K644" s="171"/>
      <c r="L644" s="172"/>
      <c r="M644" s="13"/>
      <c r="N644" s="13"/>
      <c r="O644" s="171"/>
      <c r="P644" s="13"/>
      <c r="Q644" s="13"/>
      <c r="R644" s="173"/>
      <c r="S644" s="35"/>
      <c r="T644" s="35"/>
      <c r="U644" s="13"/>
      <c r="V644" s="13"/>
      <c r="W644" s="13"/>
      <c r="X644" s="13"/>
      <c r="Y644" s="13"/>
      <c r="Z644" s="13"/>
      <c r="AA644" s="13"/>
      <c r="AB644" s="13"/>
      <c r="AC644" s="13"/>
    </row>
    <row r="645" ht="16.5" customHeight="1">
      <c r="A645" s="13"/>
      <c r="B645" s="13"/>
      <c r="C645" s="13"/>
      <c r="D645" s="13"/>
      <c r="E645" s="13"/>
      <c r="F645" s="13"/>
      <c r="G645" s="13"/>
      <c r="H645" s="13"/>
      <c r="I645" s="13"/>
      <c r="J645" s="13"/>
      <c r="K645" s="171"/>
      <c r="L645" s="172"/>
      <c r="M645" s="13"/>
      <c r="N645" s="13"/>
      <c r="O645" s="171"/>
      <c r="P645" s="13"/>
      <c r="Q645" s="13"/>
      <c r="R645" s="173"/>
      <c r="S645" s="35"/>
      <c r="T645" s="35"/>
      <c r="U645" s="13"/>
      <c r="V645" s="13"/>
      <c r="W645" s="13"/>
      <c r="X645" s="13"/>
      <c r="Y645" s="13"/>
      <c r="Z645" s="13"/>
      <c r="AA645" s="13"/>
      <c r="AB645" s="13"/>
      <c r="AC645" s="13"/>
    </row>
    <row r="646" ht="16.5" customHeight="1">
      <c r="A646" s="13"/>
      <c r="B646" s="13"/>
      <c r="C646" s="13"/>
      <c r="D646" s="13"/>
      <c r="E646" s="13"/>
      <c r="F646" s="13"/>
      <c r="G646" s="13"/>
      <c r="H646" s="13"/>
      <c r="I646" s="13"/>
      <c r="J646" s="13"/>
      <c r="K646" s="171"/>
      <c r="L646" s="172"/>
      <c r="M646" s="13"/>
      <c r="N646" s="13"/>
      <c r="O646" s="171"/>
      <c r="P646" s="13"/>
      <c r="Q646" s="13"/>
      <c r="R646" s="173"/>
      <c r="S646" s="35"/>
      <c r="T646" s="35"/>
      <c r="U646" s="13"/>
      <c r="V646" s="13"/>
      <c r="W646" s="13"/>
      <c r="X646" s="13"/>
      <c r="Y646" s="13"/>
      <c r="Z646" s="13"/>
      <c r="AA646" s="13"/>
      <c r="AB646" s="13"/>
      <c r="AC646" s="13"/>
    </row>
    <row r="647" ht="16.5" customHeight="1">
      <c r="A647" s="13"/>
      <c r="B647" s="13"/>
      <c r="C647" s="13"/>
      <c r="D647" s="13"/>
      <c r="E647" s="13"/>
      <c r="F647" s="13"/>
      <c r="G647" s="13"/>
      <c r="H647" s="13"/>
      <c r="I647" s="13"/>
      <c r="J647" s="13"/>
      <c r="K647" s="171"/>
      <c r="L647" s="172"/>
      <c r="M647" s="13"/>
      <c r="N647" s="13"/>
      <c r="O647" s="171"/>
      <c r="P647" s="13"/>
      <c r="Q647" s="13"/>
      <c r="R647" s="173"/>
      <c r="S647" s="35"/>
      <c r="T647" s="35"/>
      <c r="U647" s="13"/>
      <c r="V647" s="13"/>
      <c r="W647" s="13"/>
      <c r="X647" s="13"/>
      <c r="Y647" s="13"/>
      <c r="Z647" s="13"/>
      <c r="AA647" s="13"/>
      <c r="AB647" s="13"/>
      <c r="AC647" s="13"/>
    </row>
    <row r="648" ht="16.5" customHeight="1">
      <c r="A648" s="13"/>
      <c r="B648" s="13"/>
      <c r="C648" s="13"/>
      <c r="D648" s="13"/>
      <c r="E648" s="13"/>
      <c r="F648" s="13"/>
      <c r="G648" s="13"/>
      <c r="H648" s="13"/>
      <c r="I648" s="13"/>
      <c r="J648" s="13"/>
      <c r="K648" s="171"/>
      <c r="L648" s="172"/>
      <c r="M648" s="13"/>
      <c r="N648" s="13"/>
      <c r="O648" s="171"/>
      <c r="P648" s="13"/>
      <c r="Q648" s="13"/>
      <c r="R648" s="173"/>
      <c r="S648" s="35"/>
      <c r="T648" s="35"/>
      <c r="U648" s="13"/>
      <c r="V648" s="13"/>
      <c r="W648" s="13"/>
      <c r="X648" s="13"/>
      <c r="Y648" s="13"/>
      <c r="Z648" s="13"/>
      <c r="AA648" s="13"/>
      <c r="AB648" s="13"/>
      <c r="AC648" s="13"/>
    </row>
    <row r="649" ht="16.5" customHeight="1">
      <c r="A649" s="13"/>
      <c r="B649" s="13"/>
      <c r="C649" s="13"/>
      <c r="D649" s="13"/>
      <c r="E649" s="13"/>
      <c r="F649" s="13"/>
      <c r="G649" s="13"/>
      <c r="H649" s="13"/>
      <c r="I649" s="13"/>
      <c r="J649" s="13"/>
      <c r="K649" s="171"/>
      <c r="L649" s="172"/>
      <c r="M649" s="13"/>
      <c r="N649" s="13"/>
      <c r="O649" s="171"/>
      <c r="P649" s="13"/>
      <c r="Q649" s="13"/>
      <c r="R649" s="173"/>
      <c r="S649" s="35"/>
      <c r="T649" s="35"/>
      <c r="U649" s="13"/>
      <c r="V649" s="13"/>
      <c r="W649" s="13"/>
      <c r="X649" s="13"/>
      <c r="Y649" s="13"/>
      <c r="Z649" s="13"/>
      <c r="AA649" s="13"/>
      <c r="AB649" s="13"/>
      <c r="AC649" s="13"/>
    </row>
    <row r="650" ht="16.5" customHeight="1">
      <c r="A650" s="13"/>
      <c r="B650" s="13"/>
      <c r="C650" s="13"/>
      <c r="D650" s="13"/>
      <c r="E650" s="13"/>
      <c r="F650" s="13"/>
      <c r="G650" s="13"/>
      <c r="H650" s="13"/>
      <c r="I650" s="13"/>
      <c r="J650" s="13"/>
      <c r="K650" s="171"/>
      <c r="L650" s="172"/>
      <c r="M650" s="13"/>
      <c r="N650" s="13"/>
      <c r="O650" s="171"/>
      <c r="P650" s="13"/>
      <c r="Q650" s="13"/>
      <c r="R650" s="173"/>
      <c r="S650" s="35"/>
      <c r="T650" s="35"/>
      <c r="U650" s="13"/>
      <c r="V650" s="13"/>
      <c r="W650" s="13"/>
      <c r="X650" s="13"/>
      <c r="Y650" s="13"/>
      <c r="Z650" s="13"/>
      <c r="AA650" s="13"/>
      <c r="AB650" s="13"/>
      <c r="AC650" s="13"/>
    </row>
    <row r="651" ht="16.5" customHeight="1">
      <c r="A651" s="13"/>
      <c r="B651" s="13"/>
      <c r="C651" s="13"/>
      <c r="D651" s="13"/>
      <c r="E651" s="13"/>
      <c r="F651" s="13"/>
      <c r="G651" s="13"/>
      <c r="H651" s="13"/>
      <c r="I651" s="13"/>
      <c r="J651" s="13"/>
      <c r="K651" s="171"/>
      <c r="L651" s="172"/>
      <c r="M651" s="13"/>
      <c r="N651" s="13"/>
      <c r="O651" s="171"/>
      <c r="P651" s="13"/>
      <c r="Q651" s="13"/>
      <c r="R651" s="173"/>
      <c r="S651" s="35"/>
      <c r="T651" s="35"/>
      <c r="U651" s="13"/>
      <c r="V651" s="13"/>
      <c r="W651" s="13"/>
      <c r="X651" s="13"/>
      <c r="Y651" s="13"/>
      <c r="Z651" s="13"/>
      <c r="AA651" s="13"/>
      <c r="AB651" s="13"/>
      <c r="AC651" s="13"/>
    </row>
    <row r="652" ht="16.5" customHeight="1">
      <c r="A652" s="13"/>
      <c r="B652" s="13"/>
      <c r="C652" s="13"/>
      <c r="D652" s="13"/>
      <c r="E652" s="13"/>
      <c r="F652" s="13"/>
      <c r="G652" s="13"/>
      <c r="H652" s="13"/>
      <c r="I652" s="13"/>
      <c r="J652" s="13"/>
      <c r="K652" s="171"/>
      <c r="L652" s="172"/>
      <c r="M652" s="13"/>
      <c r="N652" s="13"/>
      <c r="O652" s="171"/>
      <c r="P652" s="13"/>
      <c r="Q652" s="13"/>
      <c r="R652" s="173"/>
      <c r="S652" s="35"/>
      <c r="T652" s="35"/>
      <c r="U652" s="13"/>
      <c r="V652" s="13"/>
      <c r="W652" s="13"/>
      <c r="X652" s="13"/>
      <c r="Y652" s="13"/>
      <c r="Z652" s="13"/>
      <c r="AA652" s="13"/>
      <c r="AB652" s="13"/>
      <c r="AC652" s="13"/>
    </row>
    <row r="653" ht="16.5" customHeight="1">
      <c r="A653" s="13"/>
      <c r="B653" s="13"/>
      <c r="C653" s="13"/>
      <c r="D653" s="13"/>
      <c r="E653" s="13"/>
      <c r="F653" s="13"/>
      <c r="G653" s="13"/>
      <c r="H653" s="13"/>
      <c r="I653" s="13"/>
      <c r="J653" s="13"/>
      <c r="K653" s="171"/>
      <c r="L653" s="172"/>
      <c r="M653" s="13"/>
      <c r="N653" s="13"/>
      <c r="O653" s="171"/>
      <c r="P653" s="13"/>
      <c r="Q653" s="13"/>
      <c r="R653" s="173"/>
      <c r="S653" s="35"/>
      <c r="T653" s="35"/>
      <c r="U653" s="13"/>
      <c r="V653" s="13"/>
      <c r="W653" s="13"/>
      <c r="X653" s="13"/>
      <c r="Y653" s="13"/>
      <c r="Z653" s="13"/>
      <c r="AA653" s="13"/>
      <c r="AB653" s="13"/>
      <c r="AC653" s="13"/>
    </row>
    <row r="654" ht="16.5" customHeight="1">
      <c r="A654" s="13"/>
      <c r="B654" s="13"/>
      <c r="C654" s="13"/>
      <c r="D654" s="13"/>
      <c r="E654" s="13"/>
      <c r="F654" s="13"/>
      <c r="G654" s="13"/>
      <c r="H654" s="13"/>
      <c r="I654" s="13"/>
      <c r="J654" s="13"/>
      <c r="K654" s="171"/>
      <c r="L654" s="172"/>
      <c r="M654" s="13"/>
      <c r="N654" s="13"/>
      <c r="O654" s="171"/>
      <c r="P654" s="13"/>
      <c r="Q654" s="13"/>
      <c r="R654" s="173"/>
      <c r="S654" s="35"/>
      <c r="T654" s="35"/>
      <c r="U654" s="13"/>
      <c r="V654" s="13"/>
      <c r="W654" s="13"/>
      <c r="X654" s="13"/>
      <c r="Y654" s="13"/>
      <c r="Z654" s="13"/>
      <c r="AA654" s="13"/>
      <c r="AB654" s="13"/>
      <c r="AC654" s="13"/>
    </row>
    <row r="655" ht="16.5" customHeight="1">
      <c r="A655" s="13"/>
      <c r="B655" s="13"/>
      <c r="C655" s="13"/>
      <c r="D655" s="13"/>
      <c r="E655" s="13"/>
      <c r="F655" s="13"/>
      <c r="G655" s="13"/>
      <c r="H655" s="13"/>
      <c r="I655" s="13"/>
      <c r="J655" s="13"/>
      <c r="K655" s="171"/>
      <c r="L655" s="172"/>
      <c r="M655" s="13"/>
      <c r="N655" s="13"/>
      <c r="O655" s="171"/>
      <c r="P655" s="13"/>
      <c r="Q655" s="13"/>
      <c r="R655" s="173"/>
      <c r="S655" s="35"/>
      <c r="T655" s="35"/>
      <c r="U655" s="13"/>
      <c r="V655" s="13"/>
      <c r="W655" s="13"/>
      <c r="X655" s="13"/>
      <c r="Y655" s="13"/>
      <c r="Z655" s="13"/>
      <c r="AA655" s="13"/>
      <c r="AB655" s="13"/>
      <c r="AC655" s="13"/>
    </row>
    <row r="656" ht="16.5" customHeight="1">
      <c r="A656" s="13"/>
      <c r="B656" s="13"/>
      <c r="C656" s="13"/>
      <c r="D656" s="13"/>
      <c r="E656" s="13"/>
      <c r="F656" s="13"/>
      <c r="G656" s="13"/>
      <c r="H656" s="13"/>
      <c r="I656" s="13"/>
      <c r="J656" s="13"/>
      <c r="K656" s="171"/>
      <c r="L656" s="172"/>
      <c r="M656" s="13"/>
      <c r="N656" s="13"/>
      <c r="O656" s="171"/>
      <c r="P656" s="13"/>
      <c r="Q656" s="13"/>
      <c r="R656" s="173"/>
      <c r="S656" s="35"/>
      <c r="T656" s="35"/>
      <c r="U656" s="13"/>
      <c r="V656" s="13"/>
      <c r="W656" s="13"/>
      <c r="X656" s="13"/>
      <c r="Y656" s="13"/>
      <c r="Z656" s="13"/>
      <c r="AA656" s="13"/>
      <c r="AB656" s="13"/>
      <c r="AC656" s="13"/>
    </row>
    <row r="657" ht="16.5" customHeight="1">
      <c r="A657" s="13"/>
      <c r="B657" s="13"/>
      <c r="C657" s="13"/>
      <c r="D657" s="13"/>
      <c r="E657" s="13"/>
      <c r="F657" s="13"/>
      <c r="G657" s="13"/>
      <c r="H657" s="13"/>
      <c r="I657" s="13"/>
      <c r="J657" s="13"/>
      <c r="K657" s="171"/>
      <c r="L657" s="172"/>
      <c r="M657" s="13"/>
      <c r="N657" s="13"/>
      <c r="O657" s="171"/>
      <c r="P657" s="13"/>
      <c r="Q657" s="13"/>
      <c r="R657" s="173"/>
      <c r="S657" s="35"/>
      <c r="T657" s="35"/>
      <c r="U657" s="13"/>
      <c r="V657" s="13"/>
      <c r="W657" s="13"/>
      <c r="X657" s="13"/>
      <c r="Y657" s="13"/>
      <c r="Z657" s="13"/>
      <c r="AA657" s="13"/>
      <c r="AB657" s="13"/>
      <c r="AC657" s="13"/>
    </row>
    <row r="658" ht="16.5" customHeight="1">
      <c r="A658" s="13"/>
      <c r="B658" s="13"/>
      <c r="C658" s="13"/>
      <c r="D658" s="13"/>
      <c r="E658" s="13"/>
      <c r="F658" s="13"/>
      <c r="G658" s="13"/>
      <c r="H658" s="13"/>
      <c r="I658" s="13"/>
      <c r="J658" s="13"/>
      <c r="K658" s="171"/>
      <c r="L658" s="172"/>
      <c r="M658" s="13"/>
      <c r="N658" s="13"/>
      <c r="O658" s="171"/>
      <c r="P658" s="13"/>
      <c r="Q658" s="13"/>
      <c r="R658" s="173"/>
      <c r="S658" s="35"/>
      <c r="T658" s="35"/>
      <c r="U658" s="13"/>
      <c r="V658" s="13"/>
      <c r="W658" s="13"/>
      <c r="X658" s="13"/>
      <c r="Y658" s="13"/>
      <c r="Z658" s="13"/>
      <c r="AA658" s="13"/>
      <c r="AB658" s="13"/>
      <c r="AC658" s="13"/>
    </row>
    <row r="659" ht="16.5" customHeight="1">
      <c r="A659" s="13"/>
      <c r="B659" s="13"/>
      <c r="C659" s="13"/>
      <c r="D659" s="13"/>
      <c r="E659" s="13"/>
      <c r="F659" s="13"/>
      <c r="G659" s="13"/>
      <c r="H659" s="13"/>
      <c r="I659" s="13"/>
      <c r="J659" s="13"/>
      <c r="K659" s="171"/>
      <c r="L659" s="172"/>
      <c r="M659" s="13"/>
      <c r="N659" s="13"/>
      <c r="O659" s="171"/>
      <c r="P659" s="13"/>
      <c r="Q659" s="13"/>
      <c r="R659" s="173"/>
      <c r="S659" s="35"/>
      <c r="T659" s="35"/>
      <c r="U659" s="13"/>
      <c r="V659" s="13"/>
      <c r="W659" s="13"/>
      <c r="X659" s="13"/>
      <c r="Y659" s="13"/>
      <c r="Z659" s="13"/>
      <c r="AA659" s="13"/>
      <c r="AB659" s="13"/>
      <c r="AC659" s="13"/>
    </row>
    <row r="660" ht="16.5" customHeight="1">
      <c r="A660" s="13"/>
      <c r="B660" s="13"/>
      <c r="C660" s="13"/>
      <c r="D660" s="13"/>
      <c r="E660" s="13"/>
      <c r="F660" s="13"/>
      <c r="G660" s="13"/>
      <c r="H660" s="13"/>
      <c r="I660" s="13"/>
      <c r="J660" s="13"/>
      <c r="K660" s="171"/>
      <c r="L660" s="172"/>
      <c r="M660" s="13"/>
      <c r="N660" s="13"/>
      <c r="O660" s="171"/>
      <c r="P660" s="13"/>
      <c r="Q660" s="13"/>
      <c r="R660" s="173"/>
      <c r="S660" s="35"/>
      <c r="T660" s="35"/>
      <c r="U660" s="13"/>
      <c r="V660" s="13"/>
      <c r="W660" s="13"/>
      <c r="X660" s="13"/>
      <c r="Y660" s="13"/>
      <c r="Z660" s="13"/>
      <c r="AA660" s="13"/>
      <c r="AB660" s="13"/>
      <c r="AC660" s="13"/>
    </row>
    <row r="661" ht="16.5" customHeight="1">
      <c r="A661" s="13"/>
      <c r="B661" s="13"/>
      <c r="C661" s="13"/>
      <c r="D661" s="13"/>
      <c r="E661" s="13"/>
      <c r="F661" s="13"/>
      <c r="G661" s="13"/>
      <c r="H661" s="13"/>
      <c r="I661" s="13"/>
      <c r="J661" s="13"/>
      <c r="K661" s="171"/>
      <c r="L661" s="172"/>
      <c r="M661" s="13"/>
      <c r="N661" s="13"/>
      <c r="O661" s="171"/>
      <c r="P661" s="13"/>
      <c r="Q661" s="13"/>
      <c r="R661" s="173"/>
      <c r="S661" s="35"/>
      <c r="T661" s="35"/>
      <c r="U661" s="13"/>
      <c r="V661" s="13"/>
      <c r="W661" s="13"/>
      <c r="X661" s="13"/>
      <c r="Y661" s="13"/>
      <c r="Z661" s="13"/>
      <c r="AA661" s="13"/>
      <c r="AB661" s="13"/>
      <c r="AC661" s="13"/>
    </row>
    <row r="662" ht="16.5" customHeight="1">
      <c r="A662" s="13"/>
      <c r="B662" s="13"/>
      <c r="C662" s="13"/>
      <c r="D662" s="13"/>
      <c r="E662" s="13"/>
      <c r="F662" s="13"/>
      <c r="G662" s="13"/>
      <c r="H662" s="13"/>
      <c r="I662" s="13"/>
      <c r="J662" s="13"/>
      <c r="K662" s="171"/>
      <c r="L662" s="172"/>
      <c r="M662" s="13"/>
      <c r="N662" s="13"/>
      <c r="O662" s="171"/>
      <c r="P662" s="13"/>
      <c r="Q662" s="13"/>
      <c r="R662" s="173"/>
      <c r="S662" s="35"/>
      <c r="T662" s="35"/>
      <c r="U662" s="13"/>
      <c r="V662" s="13"/>
      <c r="W662" s="13"/>
      <c r="X662" s="13"/>
      <c r="Y662" s="13"/>
      <c r="Z662" s="13"/>
      <c r="AA662" s="13"/>
      <c r="AB662" s="13"/>
      <c r="AC662" s="13"/>
    </row>
    <row r="663" ht="16.5" customHeight="1">
      <c r="A663" s="13"/>
      <c r="B663" s="13"/>
      <c r="C663" s="13"/>
      <c r="D663" s="13"/>
      <c r="E663" s="13"/>
      <c r="F663" s="13"/>
      <c r="G663" s="13"/>
      <c r="H663" s="13"/>
      <c r="I663" s="13"/>
      <c r="J663" s="13"/>
      <c r="K663" s="171"/>
      <c r="L663" s="172"/>
      <c r="M663" s="13"/>
      <c r="N663" s="13"/>
      <c r="O663" s="171"/>
      <c r="P663" s="13"/>
      <c r="Q663" s="13"/>
      <c r="R663" s="173"/>
      <c r="S663" s="35"/>
      <c r="T663" s="35"/>
      <c r="U663" s="13"/>
      <c r="V663" s="13"/>
      <c r="W663" s="13"/>
      <c r="X663" s="13"/>
      <c r="Y663" s="13"/>
      <c r="Z663" s="13"/>
      <c r="AA663" s="13"/>
      <c r="AB663" s="13"/>
      <c r="AC663" s="13"/>
    </row>
    <row r="664" ht="16.5" customHeight="1">
      <c r="A664" s="13"/>
      <c r="B664" s="13"/>
      <c r="C664" s="13"/>
      <c r="D664" s="13"/>
      <c r="E664" s="13"/>
      <c r="F664" s="13"/>
      <c r="G664" s="13"/>
      <c r="H664" s="13"/>
      <c r="I664" s="13"/>
      <c r="J664" s="13"/>
      <c r="K664" s="171"/>
      <c r="L664" s="172"/>
      <c r="M664" s="13"/>
      <c r="N664" s="13"/>
      <c r="O664" s="171"/>
      <c r="P664" s="13"/>
      <c r="Q664" s="13"/>
      <c r="R664" s="173"/>
      <c r="S664" s="35"/>
      <c r="T664" s="35"/>
      <c r="U664" s="13"/>
      <c r="V664" s="13"/>
      <c r="W664" s="13"/>
      <c r="X664" s="13"/>
      <c r="Y664" s="13"/>
      <c r="Z664" s="13"/>
      <c r="AA664" s="13"/>
      <c r="AB664" s="13"/>
      <c r="AC664" s="13"/>
    </row>
    <row r="665" ht="16.5" customHeight="1">
      <c r="A665" s="13"/>
      <c r="B665" s="13"/>
      <c r="C665" s="13"/>
      <c r="D665" s="13"/>
      <c r="E665" s="13"/>
      <c r="F665" s="13"/>
      <c r="G665" s="13"/>
      <c r="H665" s="13"/>
      <c r="I665" s="13"/>
      <c r="J665" s="13"/>
      <c r="K665" s="171"/>
      <c r="L665" s="172"/>
      <c r="M665" s="13"/>
      <c r="N665" s="13"/>
      <c r="O665" s="171"/>
      <c r="P665" s="13"/>
      <c r="Q665" s="13"/>
      <c r="R665" s="173"/>
      <c r="S665" s="35"/>
      <c r="T665" s="35"/>
      <c r="U665" s="13"/>
      <c r="V665" s="13"/>
      <c r="W665" s="13"/>
      <c r="X665" s="13"/>
      <c r="Y665" s="13"/>
      <c r="Z665" s="13"/>
      <c r="AA665" s="13"/>
      <c r="AB665" s="13"/>
      <c r="AC665" s="13"/>
    </row>
    <row r="666" ht="16.5" customHeight="1">
      <c r="A666" s="13"/>
      <c r="B666" s="13"/>
      <c r="C666" s="13"/>
      <c r="D666" s="13"/>
      <c r="E666" s="13"/>
      <c r="F666" s="13"/>
      <c r="G666" s="13"/>
      <c r="H666" s="13"/>
      <c r="I666" s="13"/>
      <c r="J666" s="13"/>
      <c r="K666" s="171"/>
      <c r="L666" s="172"/>
      <c r="M666" s="13"/>
      <c r="N666" s="13"/>
      <c r="O666" s="171"/>
      <c r="P666" s="13"/>
      <c r="Q666" s="13"/>
      <c r="R666" s="173"/>
      <c r="S666" s="35"/>
      <c r="T666" s="35"/>
      <c r="U666" s="13"/>
      <c r="V666" s="13"/>
      <c r="W666" s="13"/>
      <c r="X666" s="13"/>
      <c r="Y666" s="13"/>
      <c r="Z666" s="13"/>
      <c r="AA666" s="13"/>
      <c r="AB666" s="13"/>
      <c r="AC666" s="13"/>
    </row>
    <row r="667" ht="16.5" customHeight="1">
      <c r="A667" s="13"/>
      <c r="B667" s="13"/>
      <c r="C667" s="13"/>
      <c r="D667" s="13"/>
      <c r="E667" s="13"/>
      <c r="F667" s="13"/>
      <c r="G667" s="13"/>
      <c r="H667" s="13"/>
      <c r="I667" s="13"/>
      <c r="J667" s="13"/>
      <c r="K667" s="171"/>
      <c r="L667" s="172"/>
      <c r="M667" s="13"/>
      <c r="N667" s="13"/>
      <c r="O667" s="171"/>
      <c r="P667" s="13"/>
      <c r="Q667" s="13"/>
      <c r="R667" s="173"/>
      <c r="S667" s="35"/>
      <c r="T667" s="35"/>
      <c r="U667" s="13"/>
      <c r="V667" s="13"/>
      <c r="W667" s="13"/>
      <c r="X667" s="13"/>
      <c r="Y667" s="13"/>
      <c r="Z667" s="13"/>
      <c r="AA667" s="13"/>
      <c r="AB667" s="13"/>
      <c r="AC667" s="13"/>
    </row>
    <row r="668" ht="16.5" customHeight="1">
      <c r="A668" s="13"/>
      <c r="B668" s="13"/>
      <c r="C668" s="13"/>
      <c r="D668" s="13"/>
      <c r="E668" s="13"/>
      <c r="F668" s="13"/>
      <c r="G668" s="13"/>
      <c r="H668" s="13"/>
      <c r="I668" s="13"/>
      <c r="J668" s="13"/>
      <c r="K668" s="171"/>
      <c r="L668" s="172"/>
      <c r="M668" s="13"/>
      <c r="N668" s="13"/>
      <c r="O668" s="171"/>
      <c r="P668" s="13"/>
      <c r="Q668" s="13"/>
      <c r="R668" s="173"/>
      <c r="S668" s="35"/>
      <c r="T668" s="35"/>
      <c r="U668" s="13"/>
      <c r="V668" s="13"/>
      <c r="W668" s="13"/>
      <c r="X668" s="13"/>
      <c r="Y668" s="13"/>
      <c r="Z668" s="13"/>
      <c r="AA668" s="13"/>
      <c r="AB668" s="13"/>
      <c r="AC668" s="13"/>
    </row>
    <row r="669" ht="16.5" customHeight="1">
      <c r="A669" s="13"/>
      <c r="B669" s="13"/>
      <c r="C669" s="13"/>
      <c r="D669" s="13"/>
      <c r="E669" s="13"/>
      <c r="F669" s="13"/>
      <c r="G669" s="13"/>
      <c r="H669" s="13"/>
      <c r="I669" s="13"/>
      <c r="J669" s="13"/>
      <c r="K669" s="171"/>
      <c r="L669" s="172"/>
      <c r="M669" s="13"/>
      <c r="N669" s="13"/>
      <c r="O669" s="171"/>
      <c r="P669" s="13"/>
      <c r="Q669" s="13"/>
      <c r="R669" s="173"/>
      <c r="S669" s="35"/>
      <c r="T669" s="35"/>
      <c r="U669" s="13"/>
      <c r="V669" s="13"/>
      <c r="W669" s="13"/>
      <c r="X669" s="13"/>
      <c r="Y669" s="13"/>
      <c r="Z669" s="13"/>
      <c r="AA669" s="13"/>
      <c r="AB669" s="13"/>
      <c r="AC669" s="13"/>
    </row>
    <row r="670" ht="16.5" customHeight="1">
      <c r="A670" s="13"/>
      <c r="B670" s="13"/>
      <c r="C670" s="13"/>
      <c r="D670" s="13"/>
      <c r="E670" s="13"/>
      <c r="F670" s="13"/>
      <c r="G670" s="13"/>
      <c r="H670" s="13"/>
      <c r="I670" s="13"/>
      <c r="J670" s="13"/>
      <c r="K670" s="171"/>
      <c r="L670" s="172"/>
      <c r="M670" s="13"/>
      <c r="N670" s="13"/>
      <c r="O670" s="171"/>
      <c r="P670" s="13"/>
      <c r="Q670" s="13"/>
      <c r="R670" s="173"/>
      <c r="S670" s="35"/>
      <c r="T670" s="35"/>
      <c r="U670" s="13"/>
      <c r="V670" s="13"/>
      <c r="W670" s="13"/>
      <c r="X670" s="13"/>
      <c r="Y670" s="13"/>
      <c r="Z670" s="13"/>
      <c r="AA670" s="13"/>
      <c r="AB670" s="13"/>
      <c r="AC670" s="13"/>
    </row>
    <row r="671" ht="16.5" customHeight="1">
      <c r="A671" s="13"/>
      <c r="B671" s="13"/>
      <c r="C671" s="13"/>
      <c r="D671" s="13"/>
      <c r="E671" s="13"/>
      <c r="F671" s="13"/>
      <c r="G671" s="13"/>
      <c r="H671" s="13"/>
      <c r="I671" s="13"/>
      <c r="J671" s="13"/>
      <c r="K671" s="171"/>
      <c r="L671" s="172"/>
      <c r="M671" s="13"/>
      <c r="N671" s="13"/>
      <c r="O671" s="171"/>
      <c r="P671" s="13"/>
      <c r="Q671" s="13"/>
      <c r="R671" s="173"/>
      <c r="S671" s="35"/>
      <c r="T671" s="35"/>
      <c r="U671" s="13"/>
      <c r="V671" s="13"/>
      <c r="W671" s="13"/>
      <c r="X671" s="13"/>
      <c r="Y671" s="13"/>
      <c r="Z671" s="13"/>
      <c r="AA671" s="13"/>
      <c r="AB671" s="13"/>
      <c r="AC671" s="13"/>
    </row>
    <row r="672" ht="16.5" customHeight="1">
      <c r="A672" s="13"/>
      <c r="B672" s="13"/>
      <c r="C672" s="13"/>
      <c r="D672" s="13"/>
      <c r="E672" s="13"/>
      <c r="F672" s="13"/>
      <c r="G672" s="13"/>
      <c r="H672" s="13"/>
      <c r="I672" s="13"/>
      <c r="J672" s="13"/>
      <c r="K672" s="171"/>
      <c r="L672" s="172"/>
      <c r="M672" s="13"/>
      <c r="N672" s="13"/>
      <c r="O672" s="171"/>
      <c r="P672" s="13"/>
      <c r="Q672" s="13"/>
      <c r="R672" s="173"/>
      <c r="S672" s="35"/>
      <c r="T672" s="35"/>
      <c r="U672" s="13"/>
      <c r="V672" s="13"/>
      <c r="W672" s="13"/>
      <c r="X672" s="13"/>
      <c r="Y672" s="13"/>
      <c r="Z672" s="13"/>
      <c r="AA672" s="13"/>
      <c r="AB672" s="13"/>
      <c r="AC672" s="13"/>
    </row>
    <row r="673" ht="16.5" customHeight="1">
      <c r="A673" s="13"/>
      <c r="B673" s="13"/>
      <c r="C673" s="13"/>
      <c r="D673" s="13"/>
      <c r="E673" s="13"/>
      <c r="F673" s="13"/>
      <c r="G673" s="13"/>
      <c r="H673" s="13"/>
      <c r="I673" s="13"/>
      <c r="J673" s="13"/>
      <c r="K673" s="171"/>
      <c r="L673" s="172"/>
      <c r="M673" s="13"/>
      <c r="N673" s="13"/>
      <c r="O673" s="171"/>
      <c r="P673" s="13"/>
      <c r="Q673" s="13"/>
      <c r="R673" s="173"/>
      <c r="S673" s="35"/>
      <c r="T673" s="35"/>
      <c r="U673" s="13"/>
      <c r="V673" s="13"/>
      <c r="W673" s="13"/>
      <c r="X673" s="13"/>
      <c r="Y673" s="13"/>
      <c r="Z673" s="13"/>
      <c r="AA673" s="13"/>
      <c r="AB673" s="13"/>
      <c r="AC673" s="13"/>
    </row>
    <row r="674" ht="16.5" customHeight="1">
      <c r="A674" s="13"/>
      <c r="B674" s="13"/>
      <c r="C674" s="13"/>
      <c r="D674" s="13"/>
      <c r="E674" s="13"/>
      <c r="F674" s="13"/>
      <c r="G674" s="13"/>
      <c r="H674" s="13"/>
      <c r="I674" s="13"/>
      <c r="J674" s="13"/>
      <c r="K674" s="171"/>
      <c r="L674" s="172"/>
      <c r="M674" s="13"/>
      <c r="N674" s="13"/>
      <c r="O674" s="171"/>
      <c r="P674" s="13"/>
      <c r="Q674" s="13"/>
      <c r="R674" s="173"/>
      <c r="S674" s="35"/>
      <c r="T674" s="35"/>
      <c r="U674" s="13"/>
      <c r="V674" s="13"/>
      <c r="W674" s="13"/>
      <c r="X674" s="13"/>
      <c r="Y674" s="13"/>
      <c r="Z674" s="13"/>
      <c r="AA674" s="13"/>
      <c r="AB674" s="13"/>
      <c r="AC674" s="13"/>
    </row>
    <row r="675" ht="16.5" customHeight="1">
      <c r="A675" s="13"/>
      <c r="B675" s="13"/>
      <c r="C675" s="13"/>
      <c r="D675" s="13"/>
      <c r="E675" s="13"/>
      <c r="F675" s="13"/>
      <c r="G675" s="13"/>
      <c r="H675" s="13"/>
      <c r="I675" s="13"/>
      <c r="J675" s="13"/>
      <c r="K675" s="171"/>
      <c r="L675" s="172"/>
      <c r="M675" s="13"/>
      <c r="N675" s="13"/>
      <c r="O675" s="171"/>
      <c r="P675" s="13"/>
      <c r="Q675" s="13"/>
      <c r="R675" s="173"/>
      <c r="S675" s="35"/>
      <c r="T675" s="35"/>
      <c r="U675" s="13"/>
      <c r="V675" s="13"/>
      <c r="W675" s="13"/>
      <c r="X675" s="13"/>
      <c r="Y675" s="13"/>
      <c r="Z675" s="13"/>
      <c r="AA675" s="13"/>
      <c r="AB675" s="13"/>
      <c r="AC675" s="13"/>
    </row>
    <row r="676" ht="16.5" customHeight="1">
      <c r="A676" s="13"/>
      <c r="B676" s="13"/>
      <c r="C676" s="13"/>
      <c r="D676" s="13"/>
      <c r="E676" s="13"/>
      <c r="F676" s="13"/>
      <c r="G676" s="13"/>
      <c r="H676" s="13"/>
      <c r="I676" s="13"/>
      <c r="J676" s="13"/>
      <c r="K676" s="171"/>
      <c r="L676" s="172"/>
      <c r="M676" s="13"/>
      <c r="N676" s="13"/>
      <c r="O676" s="171"/>
      <c r="P676" s="13"/>
      <c r="Q676" s="13"/>
      <c r="R676" s="173"/>
      <c r="S676" s="35"/>
      <c r="T676" s="35"/>
      <c r="U676" s="13"/>
      <c r="V676" s="13"/>
      <c r="W676" s="13"/>
      <c r="X676" s="13"/>
      <c r="Y676" s="13"/>
      <c r="Z676" s="13"/>
      <c r="AA676" s="13"/>
      <c r="AB676" s="13"/>
      <c r="AC676" s="13"/>
    </row>
    <row r="677" ht="16.5" customHeight="1">
      <c r="A677" s="13"/>
      <c r="B677" s="13"/>
      <c r="C677" s="13"/>
      <c r="D677" s="13"/>
      <c r="E677" s="13"/>
      <c r="F677" s="13"/>
      <c r="G677" s="13"/>
      <c r="H677" s="13"/>
      <c r="I677" s="13"/>
      <c r="J677" s="13"/>
      <c r="K677" s="171"/>
      <c r="L677" s="172"/>
      <c r="M677" s="13"/>
      <c r="N677" s="13"/>
      <c r="O677" s="171"/>
      <c r="P677" s="13"/>
      <c r="Q677" s="13"/>
      <c r="R677" s="173"/>
      <c r="S677" s="35"/>
      <c r="T677" s="35"/>
      <c r="U677" s="13"/>
      <c r="V677" s="13"/>
      <c r="W677" s="13"/>
      <c r="X677" s="13"/>
      <c r="Y677" s="13"/>
      <c r="Z677" s="13"/>
      <c r="AA677" s="13"/>
      <c r="AB677" s="13"/>
      <c r="AC677" s="13"/>
    </row>
    <row r="678" ht="16.5" customHeight="1">
      <c r="A678" s="13"/>
      <c r="B678" s="13"/>
      <c r="C678" s="13"/>
      <c r="D678" s="13"/>
      <c r="E678" s="13"/>
      <c r="F678" s="13"/>
      <c r="G678" s="13"/>
      <c r="H678" s="13"/>
      <c r="I678" s="13"/>
      <c r="J678" s="13"/>
      <c r="K678" s="171"/>
      <c r="L678" s="172"/>
      <c r="M678" s="13"/>
      <c r="N678" s="13"/>
      <c r="O678" s="171"/>
      <c r="P678" s="13"/>
      <c r="Q678" s="13"/>
      <c r="R678" s="173"/>
      <c r="S678" s="35"/>
      <c r="T678" s="35"/>
      <c r="U678" s="13"/>
      <c r="V678" s="13"/>
      <c r="W678" s="13"/>
      <c r="X678" s="13"/>
      <c r="Y678" s="13"/>
      <c r="Z678" s="13"/>
      <c r="AA678" s="13"/>
      <c r="AB678" s="13"/>
      <c r="AC678" s="13"/>
    </row>
    <row r="679" ht="16.5" customHeight="1">
      <c r="A679" s="13"/>
      <c r="B679" s="13"/>
      <c r="C679" s="13"/>
      <c r="D679" s="13"/>
      <c r="E679" s="13"/>
      <c r="F679" s="13"/>
      <c r="G679" s="13"/>
      <c r="H679" s="13"/>
      <c r="I679" s="13"/>
      <c r="J679" s="13"/>
      <c r="K679" s="171"/>
      <c r="L679" s="172"/>
      <c r="M679" s="13"/>
      <c r="N679" s="13"/>
      <c r="O679" s="171"/>
      <c r="P679" s="13"/>
      <c r="Q679" s="13"/>
      <c r="R679" s="173"/>
      <c r="S679" s="35"/>
      <c r="T679" s="35"/>
      <c r="U679" s="13"/>
      <c r="V679" s="13"/>
      <c r="W679" s="13"/>
      <c r="X679" s="13"/>
      <c r="Y679" s="13"/>
      <c r="Z679" s="13"/>
      <c r="AA679" s="13"/>
      <c r="AB679" s="13"/>
      <c r="AC679" s="13"/>
    </row>
    <row r="680" ht="16.5" customHeight="1">
      <c r="A680" s="13"/>
      <c r="B680" s="13"/>
      <c r="C680" s="13"/>
      <c r="D680" s="13"/>
      <c r="E680" s="13"/>
      <c r="F680" s="13"/>
      <c r="G680" s="13"/>
      <c r="H680" s="13"/>
      <c r="I680" s="13"/>
      <c r="J680" s="13"/>
      <c r="K680" s="171"/>
      <c r="L680" s="172"/>
      <c r="M680" s="13"/>
      <c r="N680" s="13"/>
      <c r="O680" s="171"/>
      <c r="P680" s="13"/>
      <c r="Q680" s="13"/>
      <c r="R680" s="173"/>
      <c r="S680" s="35"/>
      <c r="T680" s="35"/>
      <c r="U680" s="13"/>
      <c r="V680" s="13"/>
      <c r="W680" s="13"/>
      <c r="X680" s="13"/>
      <c r="Y680" s="13"/>
      <c r="Z680" s="13"/>
      <c r="AA680" s="13"/>
      <c r="AB680" s="13"/>
      <c r="AC680" s="13"/>
    </row>
    <row r="681" ht="16.5" customHeight="1">
      <c r="A681" s="13"/>
      <c r="B681" s="13"/>
      <c r="C681" s="13"/>
      <c r="D681" s="13"/>
      <c r="E681" s="13"/>
      <c r="F681" s="13"/>
      <c r="G681" s="13"/>
      <c r="H681" s="13"/>
      <c r="I681" s="13"/>
      <c r="J681" s="13"/>
      <c r="K681" s="171"/>
      <c r="L681" s="172"/>
      <c r="M681" s="13"/>
      <c r="N681" s="13"/>
      <c r="O681" s="171"/>
      <c r="P681" s="13"/>
      <c r="Q681" s="13"/>
      <c r="R681" s="173"/>
      <c r="S681" s="35"/>
      <c r="T681" s="35"/>
      <c r="U681" s="13"/>
      <c r="V681" s="13"/>
      <c r="W681" s="13"/>
      <c r="X681" s="13"/>
      <c r="Y681" s="13"/>
      <c r="Z681" s="13"/>
      <c r="AA681" s="13"/>
      <c r="AB681" s="13"/>
      <c r="AC681" s="13"/>
    </row>
    <row r="682" ht="16.5" customHeight="1">
      <c r="A682" s="13"/>
      <c r="B682" s="13"/>
      <c r="C682" s="13"/>
      <c r="D682" s="13"/>
      <c r="E682" s="13"/>
      <c r="F682" s="13"/>
      <c r="G682" s="13"/>
      <c r="H682" s="13"/>
      <c r="I682" s="13"/>
      <c r="J682" s="13"/>
      <c r="K682" s="171"/>
      <c r="L682" s="172"/>
      <c r="M682" s="13"/>
      <c r="N682" s="13"/>
      <c r="O682" s="171"/>
      <c r="P682" s="13"/>
      <c r="Q682" s="13"/>
      <c r="R682" s="173"/>
      <c r="S682" s="35"/>
      <c r="T682" s="35"/>
      <c r="U682" s="13"/>
      <c r="V682" s="13"/>
      <c r="W682" s="13"/>
      <c r="X682" s="13"/>
      <c r="Y682" s="13"/>
      <c r="Z682" s="13"/>
      <c r="AA682" s="13"/>
      <c r="AB682" s="13"/>
      <c r="AC682" s="13"/>
    </row>
    <row r="683" ht="16.5" customHeight="1">
      <c r="A683" s="13"/>
      <c r="B683" s="13"/>
      <c r="C683" s="13"/>
      <c r="D683" s="13"/>
      <c r="E683" s="13"/>
      <c r="F683" s="13"/>
      <c r="G683" s="13"/>
      <c r="H683" s="13"/>
      <c r="I683" s="13"/>
      <c r="J683" s="13"/>
      <c r="K683" s="171"/>
      <c r="L683" s="172"/>
      <c r="M683" s="13"/>
      <c r="N683" s="13"/>
      <c r="O683" s="171"/>
      <c r="P683" s="13"/>
      <c r="Q683" s="13"/>
      <c r="R683" s="173"/>
      <c r="S683" s="35"/>
      <c r="T683" s="35"/>
      <c r="U683" s="13"/>
      <c r="V683" s="13"/>
      <c r="W683" s="13"/>
      <c r="X683" s="13"/>
      <c r="Y683" s="13"/>
      <c r="Z683" s="13"/>
      <c r="AA683" s="13"/>
      <c r="AB683" s="13"/>
      <c r="AC683" s="13"/>
    </row>
    <row r="684" ht="16.5" customHeight="1">
      <c r="A684" s="13"/>
      <c r="B684" s="13"/>
      <c r="C684" s="13"/>
      <c r="D684" s="13"/>
      <c r="E684" s="13"/>
      <c r="F684" s="13"/>
      <c r="G684" s="13"/>
      <c r="H684" s="13"/>
      <c r="I684" s="13"/>
      <c r="J684" s="13"/>
      <c r="K684" s="171"/>
      <c r="L684" s="172"/>
      <c r="M684" s="13"/>
      <c r="N684" s="13"/>
      <c r="O684" s="171"/>
      <c r="P684" s="13"/>
      <c r="Q684" s="13"/>
      <c r="R684" s="173"/>
      <c r="S684" s="35"/>
      <c r="T684" s="35"/>
      <c r="U684" s="13"/>
      <c r="V684" s="13"/>
      <c r="W684" s="13"/>
      <c r="X684" s="13"/>
      <c r="Y684" s="13"/>
      <c r="Z684" s="13"/>
      <c r="AA684" s="13"/>
      <c r="AB684" s="13"/>
      <c r="AC684" s="13"/>
    </row>
    <row r="685" ht="16.5" customHeight="1">
      <c r="A685" s="13"/>
      <c r="B685" s="13"/>
      <c r="C685" s="13"/>
      <c r="D685" s="13"/>
      <c r="E685" s="13"/>
      <c r="F685" s="13"/>
      <c r="G685" s="13"/>
      <c r="H685" s="13"/>
      <c r="I685" s="13"/>
      <c r="J685" s="13"/>
      <c r="K685" s="171"/>
      <c r="L685" s="172"/>
      <c r="M685" s="13"/>
      <c r="N685" s="13"/>
      <c r="O685" s="171"/>
      <c r="P685" s="13"/>
      <c r="Q685" s="13"/>
      <c r="R685" s="173"/>
      <c r="S685" s="35"/>
      <c r="T685" s="35"/>
      <c r="U685" s="13"/>
      <c r="V685" s="13"/>
      <c r="W685" s="13"/>
      <c r="X685" s="13"/>
      <c r="Y685" s="13"/>
      <c r="Z685" s="13"/>
      <c r="AA685" s="13"/>
      <c r="AB685" s="13"/>
      <c r="AC685" s="13"/>
    </row>
    <row r="686" ht="16.5" customHeight="1">
      <c r="A686" s="13"/>
      <c r="B686" s="13"/>
      <c r="C686" s="13"/>
      <c r="D686" s="13"/>
      <c r="E686" s="13"/>
      <c r="F686" s="13"/>
      <c r="G686" s="13"/>
      <c r="H686" s="13"/>
      <c r="I686" s="13"/>
      <c r="J686" s="13"/>
      <c r="K686" s="171"/>
      <c r="L686" s="172"/>
      <c r="M686" s="13"/>
      <c r="N686" s="13"/>
      <c r="O686" s="171"/>
      <c r="P686" s="13"/>
      <c r="Q686" s="13"/>
      <c r="R686" s="173"/>
      <c r="S686" s="35"/>
      <c r="T686" s="35"/>
      <c r="U686" s="13"/>
      <c r="V686" s="13"/>
      <c r="W686" s="13"/>
      <c r="X686" s="13"/>
      <c r="Y686" s="13"/>
      <c r="Z686" s="13"/>
      <c r="AA686" s="13"/>
      <c r="AB686" s="13"/>
      <c r="AC686" s="13"/>
    </row>
    <row r="687" ht="16.5" customHeight="1">
      <c r="A687" s="13"/>
      <c r="B687" s="13"/>
      <c r="C687" s="13"/>
      <c r="D687" s="13"/>
      <c r="E687" s="13"/>
      <c r="F687" s="13"/>
      <c r="G687" s="13"/>
      <c r="H687" s="13"/>
      <c r="I687" s="13"/>
      <c r="J687" s="13"/>
      <c r="K687" s="171"/>
      <c r="L687" s="172"/>
      <c r="M687" s="13"/>
      <c r="N687" s="13"/>
      <c r="O687" s="171"/>
      <c r="P687" s="13"/>
      <c r="Q687" s="13"/>
      <c r="R687" s="173"/>
      <c r="S687" s="35"/>
      <c r="T687" s="35"/>
      <c r="U687" s="13"/>
      <c r="V687" s="13"/>
      <c r="W687" s="13"/>
      <c r="X687" s="13"/>
      <c r="Y687" s="13"/>
      <c r="Z687" s="13"/>
      <c r="AA687" s="13"/>
      <c r="AB687" s="13"/>
      <c r="AC687" s="13"/>
    </row>
    <row r="688" ht="16.5" customHeight="1">
      <c r="A688" s="13"/>
      <c r="B688" s="13"/>
      <c r="C688" s="13"/>
      <c r="D688" s="13"/>
      <c r="E688" s="13"/>
      <c r="F688" s="13"/>
      <c r="G688" s="13"/>
      <c r="H688" s="13"/>
      <c r="I688" s="13"/>
      <c r="J688" s="13"/>
      <c r="K688" s="171"/>
      <c r="L688" s="172"/>
      <c r="M688" s="13"/>
      <c r="N688" s="13"/>
      <c r="O688" s="171"/>
      <c r="P688" s="13"/>
      <c r="Q688" s="13"/>
      <c r="R688" s="173"/>
      <c r="S688" s="35"/>
      <c r="T688" s="35"/>
      <c r="U688" s="13"/>
      <c r="V688" s="13"/>
      <c r="W688" s="13"/>
      <c r="X688" s="13"/>
      <c r="Y688" s="13"/>
      <c r="Z688" s="13"/>
      <c r="AA688" s="13"/>
      <c r="AB688" s="13"/>
      <c r="AC688" s="13"/>
    </row>
    <row r="689" ht="16.5" customHeight="1">
      <c r="A689" s="13"/>
      <c r="B689" s="13"/>
      <c r="C689" s="13"/>
      <c r="D689" s="13"/>
      <c r="E689" s="13"/>
      <c r="F689" s="13"/>
      <c r="G689" s="13"/>
      <c r="H689" s="13"/>
      <c r="I689" s="13"/>
      <c r="J689" s="13"/>
      <c r="K689" s="171"/>
      <c r="L689" s="172"/>
      <c r="M689" s="13"/>
      <c r="N689" s="13"/>
      <c r="O689" s="171"/>
      <c r="P689" s="13"/>
      <c r="Q689" s="13"/>
      <c r="R689" s="173"/>
      <c r="S689" s="35"/>
      <c r="T689" s="35"/>
      <c r="U689" s="13"/>
      <c r="V689" s="13"/>
      <c r="W689" s="13"/>
      <c r="X689" s="13"/>
      <c r="Y689" s="13"/>
      <c r="Z689" s="13"/>
      <c r="AA689" s="13"/>
      <c r="AB689" s="13"/>
      <c r="AC689" s="13"/>
    </row>
    <row r="690" ht="16.5" customHeight="1">
      <c r="A690" s="13"/>
      <c r="B690" s="13"/>
      <c r="C690" s="13"/>
      <c r="D690" s="13"/>
      <c r="E690" s="13"/>
      <c r="F690" s="13"/>
      <c r="G690" s="13"/>
      <c r="H690" s="13"/>
      <c r="I690" s="13"/>
      <c r="J690" s="13"/>
      <c r="K690" s="171"/>
      <c r="L690" s="172"/>
      <c r="M690" s="13"/>
      <c r="N690" s="13"/>
      <c r="O690" s="171"/>
      <c r="P690" s="13"/>
      <c r="Q690" s="13"/>
      <c r="R690" s="173"/>
      <c r="S690" s="35"/>
      <c r="T690" s="35"/>
      <c r="U690" s="13"/>
      <c r="V690" s="13"/>
      <c r="W690" s="13"/>
      <c r="X690" s="13"/>
      <c r="Y690" s="13"/>
      <c r="Z690" s="13"/>
      <c r="AA690" s="13"/>
      <c r="AB690" s="13"/>
      <c r="AC690" s="13"/>
    </row>
    <row r="691" ht="16.5" customHeight="1">
      <c r="A691" s="13"/>
      <c r="B691" s="13"/>
      <c r="C691" s="13"/>
      <c r="D691" s="13"/>
      <c r="E691" s="13"/>
      <c r="F691" s="13"/>
      <c r="G691" s="13"/>
      <c r="H691" s="13"/>
      <c r="I691" s="13"/>
      <c r="J691" s="13"/>
      <c r="K691" s="171"/>
      <c r="L691" s="172"/>
      <c r="M691" s="13"/>
      <c r="N691" s="13"/>
      <c r="O691" s="171"/>
      <c r="P691" s="13"/>
      <c r="Q691" s="13"/>
      <c r="R691" s="173"/>
      <c r="S691" s="35"/>
      <c r="T691" s="35"/>
      <c r="U691" s="13"/>
      <c r="V691" s="13"/>
      <c r="W691" s="13"/>
      <c r="X691" s="13"/>
      <c r="Y691" s="13"/>
      <c r="Z691" s="13"/>
      <c r="AA691" s="13"/>
      <c r="AB691" s="13"/>
      <c r="AC691" s="13"/>
    </row>
    <row r="692" ht="16.5" customHeight="1">
      <c r="A692" s="13"/>
      <c r="B692" s="13"/>
      <c r="C692" s="13"/>
      <c r="D692" s="13"/>
      <c r="E692" s="13"/>
      <c r="F692" s="13"/>
      <c r="G692" s="13"/>
      <c r="H692" s="13"/>
      <c r="I692" s="13"/>
      <c r="J692" s="13"/>
      <c r="K692" s="171"/>
      <c r="L692" s="172"/>
      <c r="M692" s="13"/>
      <c r="N692" s="13"/>
      <c r="O692" s="171"/>
      <c r="P692" s="13"/>
      <c r="Q692" s="13"/>
      <c r="R692" s="173"/>
      <c r="S692" s="35"/>
      <c r="T692" s="35"/>
      <c r="U692" s="13"/>
      <c r="V692" s="13"/>
      <c r="W692" s="13"/>
      <c r="X692" s="13"/>
      <c r="Y692" s="13"/>
      <c r="Z692" s="13"/>
      <c r="AA692" s="13"/>
      <c r="AB692" s="13"/>
      <c r="AC692" s="13"/>
    </row>
    <row r="693" ht="16.5" customHeight="1">
      <c r="A693" s="13"/>
      <c r="B693" s="13"/>
      <c r="C693" s="13"/>
      <c r="D693" s="13"/>
      <c r="E693" s="13"/>
      <c r="F693" s="13"/>
      <c r="G693" s="13"/>
      <c r="H693" s="13"/>
      <c r="I693" s="13"/>
      <c r="J693" s="13"/>
      <c r="K693" s="171"/>
      <c r="L693" s="172"/>
      <c r="M693" s="13"/>
      <c r="N693" s="13"/>
      <c r="O693" s="171"/>
      <c r="P693" s="13"/>
      <c r="Q693" s="13"/>
      <c r="R693" s="173"/>
      <c r="S693" s="35"/>
      <c r="T693" s="35"/>
      <c r="U693" s="13"/>
      <c r="V693" s="13"/>
      <c r="W693" s="13"/>
      <c r="X693" s="13"/>
      <c r="Y693" s="13"/>
      <c r="Z693" s="13"/>
      <c r="AA693" s="13"/>
      <c r="AB693" s="13"/>
      <c r="AC693" s="13"/>
    </row>
    <row r="694" ht="16.5" customHeight="1">
      <c r="A694" s="13"/>
      <c r="B694" s="13"/>
      <c r="C694" s="13"/>
      <c r="D694" s="13"/>
      <c r="E694" s="13"/>
      <c r="F694" s="13"/>
      <c r="G694" s="13"/>
      <c r="H694" s="13"/>
      <c r="I694" s="13"/>
      <c r="J694" s="13"/>
      <c r="K694" s="171"/>
      <c r="L694" s="172"/>
      <c r="M694" s="13"/>
      <c r="N694" s="13"/>
      <c r="O694" s="171"/>
      <c r="P694" s="13"/>
      <c r="Q694" s="13"/>
      <c r="R694" s="173"/>
      <c r="S694" s="35"/>
      <c r="T694" s="35"/>
      <c r="U694" s="13"/>
      <c r="V694" s="13"/>
      <c r="W694" s="13"/>
      <c r="X694" s="13"/>
      <c r="Y694" s="13"/>
      <c r="Z694" s="13"/>
      <c r="AA694" s="13"/>
      <c r="AB694" s="13"/>
      <c r="AC694" s="13"/>
    </row>
    <row r="695" ht="16.5" customHeight="1">
      <c r="A695" s="13"/>
      <c r="B695" s="13"/>
      <c r="C695" s="13"/>
      <c r="D695" s="13"/>
      <c r="E695" s="13"/>
      <c r="F695" s="13"/>
      <c r="G695" s="13"/>
      <c r="H695" s="13"/>
      <c r="I695" s="13"/>
      <c r="J695" s="13"/>
      <c r="K695" s="171"/>
      <c r="L695" s="172"/>
      <c r="M695" s="13"/>
      <c r="N695" s="13"/>
      <c r="O695" s="171"/>
      <c r="P695" s="13"/>
      <c r="Q695" s="13"/>
      <c r="R695" s="173"/>
      <c r="S695" s="35"/>
      <c r="T695" s="35"/>
      <c r="U695" s="13"/>
      <c r="V695" s="13"/>
      <c r="W695" s="13"/>
      <c r="X695" s="13"/>
      <c r="Y695" s="13"/>
      <c r="Z695" s="13"/>
      <c r="AA695" s="13"/>
      <c r="AB695" s="13"/>
      <c r="AC695" s="13"/>
    </row>
    <row r="696" ht="16.5" customHeight="1">
      <c r="A696" s="13"/>
      <c r="B696" s="13"/>
      <c r="C696" s="13"/>
      <c r="D696" s="13"/>
      <c r="E696" s="13"/>
      <c r="F696" s="13"/>
      <c r="G696" s="13"/>
      <c r="H696" s="13"/>
      <c r="I696" s="13"/>
      <c r="J696" s="13"/>
      <c r="K696" s="171"/>
      <c r="L696" s="172"/>
      <c r="M696" s="13"/>
      <c r="N696" s="13"/>
      <c r="O696" s="171"/>
      <c r="P696" s="13"/>
      <c r="Q696" s="13"/>
      <c r="R696" s="173"/>
      <c r="S696" s="35"/>
      <c r="T696" s="35"/>
      <c r="U696" s="13"/>
      <c r="V696" s="13"/>
      <c r="W696" s="13"/>
      <c r="X696" s="13"/>
      <c r="Y696" s="13"/>
      <c r="Z696" s="13"/>
      <c r="AA696" s="13"/>
      <c r="AB696" s="13"/>
      <c r="AC696" s="13"/>
    </row>
    <row r="697" ht="16.5" customHeight="1">
      <c r="A697" s="13"/>
      <c r="B697" s="13"/>
      <c r="C697" s="13"/>
      <c r="D697" s="13"/>
      <c r="E697" s="13"/>
      <c r="F697" s="13"/>
      <c r="G697" s="13"/>
      <c r="H697" s="13"/>
      <c r="I697" s="13"/>
      <c r="J697" s="13"/>
      <c r="K697" s="171"/>
      <c r="L697" s="172"/>
      <c r="M697" s="13"/>
      <c r="N697" s="13"/>
      <c r="O697" s="171"/>
      <c r="P697" s="13"/>
      <c r="Q697" s="13"/>
      <c r="R697" s="173"/>
      <c r="S697" s="35"/>
      <c r="T697" s="35"/>
      <c r="U697" s="13"/>
      <c r="V697" s="13"/>
      <c r="W697" s="13"/>
      <c r="X697" s="13"/>
      <c r="Y697" s="13"/>
      <c r="Z697" s="13"/>
      <c r="AA697" s="13"/>
      <c r="AB697" s="13"/>
      <c r="AC697" s="13"/>
    </row>
    <row r="698" ht="16.5" customHeight="1">
      <c r="A698" s="13"/>
      <c r="B698" s="13"/>
      <c r="C698" s="13"/>
      <c r="D698" s="13"/>
      <c r="E698" s="13"/>
      <c r="F698" s="13"/>
      <c r="G698" s="13"/>
      <c r="H698" s="13"/>
      <c r="I698" s="13"/>
      <c r="J698" s="13"/>
      <c r="K698" s="171"/>
      <c r="L698" s="172"/>
      <c r="M698" s="13"/>
      <c r="N698" s="13"/>
      <c r="O698" s="171"/>
      <c r="P698" s="13"/>
      <c r="Q698" s="13"/>
      <c r="R698" s="173"/>
      <c r="S698" s="35"/>
      <c r="T698" s="35"/>
      <c r="U698" s="13"/>
      <c r="V698" s="13"/>
      <c r="W698" s="13"/>
      <c r="X698" s="13"/>
      <c r="Y698" s="13"/>
      <c r="Z698" s="13"/>
      <c r="AA698" s="13"/>
      <c r="AB698" s="13"/>
      <c r="AC698" s="13"/>
    </row>
    <row r="699" ht="16.5" customHeight="1">
      <c r="A699" s="13"/>
      <c r="B699" s="13"/>
      <c r="C699" s="13"/>
      <c r="D699" s="13"/>
      <c r="E699" s="13"/>
      <c r="F699" s="13"/>
      <c r="G699" s="13"/>
      <c r="H699" s="13"/>
      <c r="I699" s="13"/>
      <c r="J699" s="13"/>
      <c r="K699" s="171"/>
      <c r="L699" s="172"/>
      <c r="M699" s="13"/>
      <c r="N699" s="13"/>
      <c r="O699" s="171"/>
      <c r="P699" s="13"/>
      <c r="Q699" s="13"/>
      <c r="R699" s="173"/>
      <c r="S699" s="35"/>
      <c r="T699" s="35"/>
      <c r="U699" s="13"/>
      <c r="V699" s="13"/>
      <c r="W699" s="13"/>
      <c r="X699" s="13"/>
      <c r="Y699" s="13"/>
      <c r="Z699" s="13"/>
      <c r="AA699" s="13"/>
      <c r="AB699" s="13"/>
      <c r="AC699" s="13"/>
    </row>
    <row r="700" ht="16.5" customHeight="1">
      <c r="A700" s="13"/>
      <c r="B700" s="13"/>
      <c r="C700" s="13"/>
      <c r="D700" s="13"/>
      <c r="E700" s="13"/>
      <c r="F700" s="13"/>
      <c r="G700" s="13"/>
      <c r="H700" s="13"/>
      <c r="I700" s="13"/>
      <c r="J700" s="13"/>
      <c r="K700" s="171"/>
      <c r="L700" s="172"/>
      <c r="M700" s="13"/>
      <c r="N700" s="13"/>
      <c r="O700" s="171"/>
      <c r="P700" s="13"/>
      <c r="Q700" s="13"/>
      <c r="R700" s="173"/>
      <c r="S700" s="35"/>
      <c r="T700" s="35"/>
      <c r="U700" s="13"/>
      <c r="V700" s="13"/>
      <c r="W700" s="13"/>
      <c r="X700" s="13"/>
      <c r="Y700" s="13"/>
      <c r="Z700" s="13"/>
      <c r="AA700" s="13"/>
      <c r="AB700" s="13"/>
      <c r="AC700" s="13"/>
    </row>
    <row r="701" ht="16.5" customHeight="1">
      <c r="A701" s="13"/>
      <c r="B701" s="13"/>
      <c r="C701" s="13"/>
      <c r="D701" s="13"/>
      <c r="E701" s="13"/>
      <c r="F701" s="13"/>
      <c r="G701" s="13"/>
      <c r="H701" s="13"/>
      <c r="I701" s="13"/>
      <c r="J701" s="13"/>
      <c r="K701" s="171"/>
      <c r="L701" s="172"/>
      <c r="M701" s="13"/>
      <c r="N701" s="13"/>
      <c r="O701" s="171"/>
      <c r="P701" s="13"/>
      <c r="Q701" s="13"/>
      <c r="R701" s="173"/>
      <c r="S701" s="35"/>
      <c r="T701" s="35"/>
      <c r="U701" s="13"/>
      <c r="V701" s="13"/>
      <c r="W701" s="13"/>
      <c r="X701" s="13"/>
      <c r="Y701" s="13"/>
      <c r="Z701" s="13"/>
      <c r="AA701" s="13"/>
      <c r="AB701" s="13"/>
      <c r="AC701" s="13"/>
    </row>
    <row r="702" ht="16.5" customHeight="1">
      <c r="A702" s="13"/>
      <c r="B702" s="13"/>
      <c r="C702" s="13"/>
      <c r="D702" s="13"/>
      <c r="E702" s="13"/>
      <c r="F702" s="13"/>
      <c r="G702" s="13"/>
      <c r="H702" s="13"/>
      <c r="I702" s="13"/>
      <c r="J702" s="13"/>
      <c r="K702" s="171"/>
      <c r="L702" s="172"/>
      <c r="M702" s="13"/>
      <c r="N702" s="13"/>
      <c r="O702" s="171"/>
      <c r="P702" s="13"/>
      <c r="Q702" s="13"/>
      <c r="R702" s="173"/>
      <c r="S702" s="35"/>
      <c r="T702" s="35"/>
      <c r="U702" s="13"/>
      <c r="V702" s="13"/>
      <c r="W702" s="13"/>
      <c r="X702" s="13"/>
      <c r="Y702" s="13"/>
      <c r="Z702" s="13"/>
      <c r="AA702" s="13"/>
      <c r="AB702" s="13"/>
      <c r="AC702" s="13"/>
    </row>
    <row r="703" ht="16.5" customHeight="1">
      <c r="A703" s="13"/>
      <c r="B703" s="13"/>
      <c r="C703" s="13"/>
      <c r="D703" s="13"/>
      <c r="E703" s="13"/>
      <c r="F703" s="13"/>
      <c r="G703" s="13"/>
      <c r="H703" s="13"/>
      <c r="I703" s="13"/>
      <c r="J703" s="13"/>
      <c r="K703" s="171"/>
      <c r="L703" s="172"/>
      <c r="M703" s="13"/>
      <c r="N703" s="13"/>
      <c r="O703" s="171"/>
      <c r="P703" s="13"/>
      <c r="Q703" s="13"/>
      <c r="R703" s="173"/>
      <c r="S703" s="35"/>
      <c r="T703" s="35"/>
      <c r="U703" s="13"/>
      <c r="V703" s="13"/>
      <c r="W703" s="13"/>
      <c r="X703" s="13"/>
      <c r="Y703" s="13"/>
      <c r="Z703" s="13"/>
      <c r="AA703" s="13"/>
      <c r="AB703" s="13"/>
      <c r="AC703" s="13"/>
    </row>
    <row r="704" ht="16.5" customHeight="1">
      <c r="A704" s="13"/>
      <c r="B704" s="13"/>
      <c r="C704" s="13"/>
      <c r="D704" s="13"/>
      <c r="E704" s="13"/>
      <c r="F704" s="13"/>
      <c r="G704" s="13"/>
      <c r="H704" s="13"/>
      <c r="I704" s="13"/>
      <c r="J704" s="13"/>
      <c r="K704" s="171"/>
      <c r="L704" s="172"/>
      <c r="M704" s="13"/>
      <c r="N704" s="13"/>
      <c r="O704" s="171"/>
      <c r="P704" s="13"/>
      <c r="Q704" s="13"/>
      <c r="R704" s="173"/>
      <c r="S704" s="35"/>
      <c r="T704" s="35"/>
      <c r="U704" s="13"/>
      <c r="V704" s="13"/>
      <c r="W704" s="13"/>
      <c r="X704" s="13"/>
      <c r="Y704" s="13"/>
      <c r="Z704" s="13"/>
      <c r="AA704" s="13"/>
      <c r="AB704" s="13"/>
      <c r="AC704" s="13"/>
    </row>
    <row r="705" ht="16.5" customHeight="1">
      <c r="A705" s="13"/>
      <c r="B705" s="13"/>
      <c r="C705" s="13"/>
      <c r="D705" s="13"/>
      <c r="E705" s="13"/>
      <c r="F705" s="13"/>
      <c r="G705" s="13"/>
      <c r="H705" s="13"/>
      <c r="I705" s="13"/>
      <c r="J705" s="13"/>
      <c r="K705" s="171"/>
      <c r="L705" s="172"/>
      <c r="M705" s="13"/>
      <c r="N705" s="13"/>
      <c r="O705" s="171"/>
      <c r="P705" s="13"/>
      <c r="Q705" s="13"/>
      <c r="R705" s="173"/>
      <c r="S705" s="35"/>
      <c r="T705" s="35"/>
      <c r="U705" s="13"/>
      <c r="V705" s="13"/>
      <c r="W705" s="13"/>
      <c r="X705" s="13"/>
      <c r="Y705" s="13"/>
      <c r="Z705" s="13"/>
      <c r="AA705" s="13"/>
      <c r="AB705" s="13"/>
      <c r="AC705" s="13"/>
    </row>
    <row r="706" ht="16.5" customHeight="1">
      <c r="A706" s="13"/>
      <c r="B706" s="13"/>
      <c r="C706" s="13"/>
      <c r="D706" s="13"/>
      <c r="E706" s="13"/>
      <c r="F706" s="13"/>
      <c r="G706" s="13"/>
      <c r="H706" s="13"/>
      <c r="I706" s="13"/>
      <c r="J706" s="13"/>
      <c r="K706" s="171"/>
      <c r="L706" s="172"/>
      <c r="M706" s="13"/>
      <c r="N706" s="13"/>
      <c r="O706" s="171"/>
      <c r="P706" s="13"/>
      <c r="Q706" s="13"/>
      <c r="R706" s="173"/>
      <c r="S706" s="35"/>
      <c r="T706" s="35"/>
      <c r="U706" s="13"/>
      <c r="V706" s="13"/>
      <c r="W706" s="13"/>
      <c r="X706" s="13"/>
      <c r="Y706" s="13"/>
      <c r="Z706" s="13"/>
      <c r="AA706" s="13"/>
      <c r="AB706" s="13"/>
      <c r="AC706" s="13"/>
    </row>
    <row r="707" ht="16.5" customHeight="1">
      <c r="A707" s="13"/>
      <c r="B707" s="13"/>
      <c r="C707" s="13"/>
      <c r="D707" s="13"/>
      <c r="E707" s="13"/>
      <c r="F707" s="13"/>
      <c r="G707" s="13"/>
      <c r="H707" s="13"/>
      <c r="I707" s="13"/>
      <c r="J707" s="13"/>
      <c r="K707" s="171"/>
      <c r="L707" s="172"/>
      <c r="M707" s="13"/>
      <c r="N707" s="13"/>
      <c r="O707" s="171"/>
      <c r="P707" s="13"/>
      <c r="Q707" s="13"/>
      <c r="R707" s="173"/>
      <c r="S707" s="35"/>
      <c r="T707" s="35"/>
      <c r="U707" s="13"/>
      <c r="V707" s="13"/>
      <c r="W707" s="13"/>
      <c r="X707" s="13"/>
      <c r="Y707" s="13"/>
      <c r="Z707" s="13"/>
      <c r="AA707" s="13"/>
      <c r="AB707" s="13"/>
      <c r="AC707" s="13"/>
    </row>
    <row r="708" ht="16.5" customHeight="1">
      <c r="A708" s="13"/>
      <c r="B708" s="13"/>
      <c r="C708" s="13"/>
      <c r="D708" s="13"/>
      <c r="E708" s="13"/>
      <c r="F708" s="13"/>
      <c r="G708" s="13"/>
      <c r="H708" s="13"/>
      <c r="I708" s="13"/>
      <c r="J708" s="13"/>
      <c r="K708" s="171"/>
      <c r="L708" s="172"/>
      <c r="M708" s="13"/>
      <c r="N708" s="13"/>
      <c r="O708" s="171"/>
      <c r="P708" s="13"/>
      <c r="Q708" s="13"/>
      <c r="R708" s="173"/>
      <c r="S708" s="35"/>
      <c r="T708" s="35"/>
      <c r="U708" s="13"/>
      <c r="V708" s="13"/>
      <c r="W708" s="13"/>
      <c r="X708" s="13"/>
      <c r="Y708" s="13"/>
      <c r="Z708" s="13"/>
      <c r="AA708" s="13"/>
      <c r="AB708" s="13"/>
      <c r="AC708" s="13"/>
    </row>
    <row r="709" ht="16.5" customHeight="1">
      <c r="A709" s="13"/>
      <c r="B709" s="13"/>
      <c r="C709" s="13"/>
      <c r="D709" s="13"/>
      <c r="E709" s="13"/>
      <c r="F709" s="13"/>
      <c r="G709" s="13"/>
      <c r="H709" s="13"/>
      <c r="I709" s="13"/>
      <c r="J709" s="13"/>
      <c r="K709" s="171"/>
      <c r="L709" s="172"/>
      <c r="M709" s="13"/>
      <c r="N709" s="13"/>
      <c r="O709" s="171"/>
      <c r="P709" s="13"/>
      <c r="Q709" s="13"/>
      <c r="R709" s="173"/>
      <c r="S709" s="35"/>
      <c r="T709" s="35"/>
      <c r="U709" s="13"/>
      <c r="V709" s="13"/>
      <c r="W709" s="13"/>
      <c r="X709" s="13"/>
      <c r="Y709" s="13"/>
      <c r="Z709" s="13"/>
      <c r="AA709" s="13"/>
      <c r="AB709" s="13"/>
      <c r="AC709" s="13"/>
    </row>
    <row r="710" ht="16.5" customHeight="1">
      <c r="A710" s="13"/>
      <c r="B710" s="13"/>
      <c r="C710" s="13"/>
      <c r="D710" s="13"/>
      <c r="E710" s="13"/>
      <c r="F710" s="13"/>
      <c r="G710" s="13"/>
      <c r="H710" s="13"/>
      <c r="I710" s="13"/>
      <c r="J710" s="13"/>
      <c r="K710" s="171"/>
      <c r="L710" s="172"/>
      <c r="M710" s="13"/>
      <c r="N710" s="13"/>
      <c r="O710" s="171"/>
      <c r="P710" s="13"/>
      <c r="Q710" s="13"/>
      <c r="R710" s="173"/>
      <c r="S710" s="35"/>
      <c r="T710" s="35"/>
      <c r="U710" s="13"/>
      <c r="V710" s="13"/>
      <c r="W710" s="13"/>
      <c r="X710" s="13"/>
      <c r="Y710" s="13"/>
      <c r="Z710" s="13"/>
      <c r="AA710" s="13"/>
      <c r="AB710" s="13"/>
      <c r="AC710" s="13"/>
    </row>
    <row r="711" ht="16.5" customHeight="1">
      <c r="A711" s="13"/>
      <c r="B711" s="13"/>
      <c r="C711" s="13"/>
      <c r="D711" s="13"/>
      <c r="E711" s="13"/>
      <c r="F711" s="13"/>
      <c r="G711" s="13"/>
      <c r="H711" s="13"/>
      <c r="I711" s="13"/>
      <c r="J711" s="13"/>
      <c r="K711" s="171"/>
      <c r="L711" s="172"/>
      <c r="M711" s="13"/>
      <c r="N711" s="13"/>
      <c r="O711" s="171"/>
      <c r="P711" s="13"/>
      <c r="Q711" s="13"/>
      <c r="R711" s="173"/>
      <c r="S711" s="35"/>
      <c r="T711" s="35"/>
      <c r="U711" s="13"/>
      <c r="V711" s="13"/>
      <c r="W711" s="13"/>
      <c r="X711" s="13"/>
      <c r="Y711" s="13"/>
      <c r="Z711" s="13"/>
      <c r="AA711" s="13"/>
      <c r="AB711" s="13"/>
      <c r="AC711" s="13"/>
    </row>
    <row r="712" ht="16.5" customHeight="1">
      <c r="A712" s="13"/>
      <c r="B712" s="13"/>
      <c r="C712" s="13"/>
      <c r="D712" s="13"/>
      <c r="E712" s="13"/>
      <c r="F712" s="13"/>
      <c r="G712" s="13"/>
      <c r="H712" s="13"/>
      <c r="I712" s="13"/>
      <c r="J712" s="13"/>
      <c r="K712" s="171"/>
      <c r="L712" s="172"/>
      <c r="M712" s="13"/>
      <c r="N712" s="13"/>
      <c r="O712" s="171"/>
      <c r="P712" s="13"/>
      <c r="Q712" s="13"/>
      <c r="R712" s="173"/>
      <c r="S712" s="35"/>
      <c r="T712" s="35"/>
      <c r="U712" s="13"/>
      <c r="V712" s="13"/>
      <c r="W712" s="13"/>
      <c r="X712" s="13"/>
      <c r="Y712" s="13"/>
      <c r="Z712" s="13"/>
      <c r="AA712" s="13"/>
      <c r="AB712" s="13"/>
      <c r="AC712" s="13"/>
    </row>
    <row r="713" ht="16.5" customHeight="1">
      <c r="A713" s="13"/>
      <c r="B713" s="13"/>
      <c r="C713" s="13"/>
      <c r="D713" s="13"/>
      <c r="E713" s="13"/>
      <c r="F713" s="13"/>
      <c r="G713" s="13"/>
      <c r="H713" s="13"/>
      <c r="I713" s="13"/>
      <c r="J713" s="13"/>
      <c r="K713" s="171"/>
      <c r="L713" s="172"/>
      <c r="M713" s="13"/>
      <c r="N713" s="13"/>
      <c r="O713" s="171"/>
      <c r="P713" s="13"/>
      <c r="Q713" s="13"/>
      <c r="R713" s="173"/>
      <c r="S713" s="35"/>
      <c r="T713" s="35"/>
      <c r="U713" s="13"/>
      <c r="V713" s="13"/>
      <c r="W713" s="13"/>
      <c r="X713" s="13"/>
      <c r="Y713" s="13"/>
      <c r="Z713" s="13"/>
      <c r="AA713" s="13"/>
      <c r="AB713" s="13"/>
      <c r="AC713" s="13"/>
    </row>
    <row r="714" ht="16.5" customHeight="1">
      <c r="A714" s="13"/>
      <c r="B714" s="13"/>
      <c r="C714" s="13"/>
      <c r="D714" s="13"/>
      <c r="E714" s="13"/>
      <c r="F714" s="13"/>
      <c r="G714" s="13"/>
      <c r="H714" s="13"/>
      <c r="I714" s="13"/>
      <c r="J714" s="13"/>
      <c r="K714" s="171"/>
      <c r="L714" s="172"/>
      <c r="M714" s="13"/>
      <c r="N714" s="13"/>
      <c r="O714" s="171"/>
      <c r="P714" s="13"/>
      <c r="Q714" s="13"/>
      <c r="R714" s="173"/>
      <c r="S714" s="35"/>
      <c r="T714" s="35"/>
      <c r="U714" s="13"/>
      <c r="V714" s="13"/>
      <c r="W714" s="13"/>
      <c r="X714" s="13"/>
      <c r="Y714" s="13"/>
      <c r="Z714" s="13"/>
      <c r="AA714" s="13"/>
      <c r="AB714" s="13"/>
      <c r="AC714" s="13"/>
    </row>
    <row r="715" ht="16.5" customHeight="1">
      <c r="A715" s="13"/>
      <c r="B715" s="13"/>
      <c r="C715" s="13"/>
      <c r="D715" s="13"/>
      <c r="E715" s="13"/>
      <c r="F715" s="13"/>
      <c r="G715" s="13"/>
      <c r="H715" s="13"/>
      <c r="I715" s="13"/>
      <c r="J715" s="13"/>
      <c r="K715" s="171"/>
      <c r="L715" s="172"/>
      <c r="M715" s="13"/>
      <c r="N715" s="13"/>
      <c r="O715" s="171"/>
      <c r="P715" s="13"/>
      <c r="Q715" s="13"/>
      <c r="R715" s="173"/>
      <c r="S715" s="35"/>
      <c r="T715" s="35"/>
      <c r="U715" s="13"/>
      <c r="V715" s="13"/>
      <c r="W715" s="13"/>
      <c r="X715" s="13"/>
      <c r="Y715" s="13"/>
      <c r="Z715" s="13"/>
      <c r="AA715" s="13"/>
      <c r="AB715" s="13"/>
      <c r="AC715" s="13"/>
    </row>
    <row r="716" ht="16.5" customHeight="1">
      <c r="A716" s="13"/>
      <c r="B716" s="13"/>
      <c r="C716" s="13"/>
      <c r="D716" s="13"/>
      <c r="E716" s="13"/>
      <c r="F716" s="13"/>
      <c r="G716" s="13"/>
      <c r="H716" s="13"/>
      <c r="I716" s="13"/>
      <c r="J716" s="13"/>
      <c r="K716" s="171"/>
      <c r="L716" s="172"/>
      <c r="M716" s="13"/>
      <c r="N716" s="13"/>
      <c r="O716" s="171"/>
      <c r="P716" s="13"/>
      <c r="Q716" s="13"/>
      <c r="R716" s="173"/>
      <c r="S716" s="35"/>
      <c r="T716" s="35"/>
      <c r="U716" s="13"/>
      <c r="V716" s="13"/>
      <c r="W716" s="13"/>
      <c r="X716" s="13"/>
      <c r="Y716" s="13"/>
      <c r="Z716" s="13"/>
      <c r="AA716" s="13"/>
      <c r="AB716" s="13"/>
      <c r="AC716" s="13"/>
    </row>
    <row r="717" ht="16.5" customHeight="1">
      <c r="A717" s="13"/>
      <c r="B717" s="13"/>
      <c r="C717" s="13"/>
      <c r="D717" s="13"/>
      <c r="E717" s="13"/>
      <c r="F717" s="13"/>
      <c r="G717" s="13"/>
      <c r="H717" s="13"/>
      <c r="I717" s="13"/>
      <c r="J717" s="13"/>
      <c r="K717" s="171"/>
      <c r="L717" s="172"/>
      <c r="M717" s="13"/>
      <c r="N717" s="13"/>
      <c r="O717" s="171"/>
      <c r="P717" s="13"/>
      <c r="Q717" s="13"/>
      <c r="R717" s="173"/>
      <c r="S717" s="35"/>
      <c r="T717" s="35"/>
      <c r="U717" s="13"/>
      <c r="V717" s="13"/>
      <c r="W717" s="13"/>
      <c r="X717" s="13"/>
      <c r="Y717" s="13"/>
      <c r="Z717" s="13"/>
      <c r="AA717" s="13"/>
      <c r="AB717" s="13"/>
      <c r="AC717" s="13"/>
    </row>
    <row r="718" ht="16.5" customHeight="1">
      <c r="A718" s="13"/>
      <c r="B718" s="13"/>
      <c r="C718" s="13"/>
      <c r="D718" s="13"/>
      <c r="E718" s="13"/>
      <c r="F718" s="13"/>
      <c r="G718" s="13"/>
      <c r="H718" s="13"/>
      <c r="I718" s="13"/>
      <c r="J718" s="13"/>
      <c r="K718" s="171"/>
      <c r="L718" s="172"/>
      <c r="M718" s="13"/>
      <c r="N718" s="13"/>
      <c r="O718" s="171"/>
      <c r="P718" s="13"/>
      <c r="Q718" s="13"/>
      <c r="R718" s="173"/>
      <c r="S718" s="35"/>
      <c r="T718" s="35"/>
      <c r="U718" s="13"/>
      <c r="V718" s="13"/>
      <c r="W718" s="13"/>
      <c r="X718" s="13"/>
      <c r="Y718" s="13"/>
      <c r="Z718" s="13"/>
      <c r="AA718" s="13"/>
      <c r="AB718" s="13"/>
      <c r="AC718" s="13"/>
    </row>
    <row r="719" ht="16.5" customHeight="1">
      <c r="A719" s="13"/>
      <c r="B719" s="13"/>
      <c r="C719" s="13"/>
      <c r="D719" s="13"/>
      <c r="E719" s="13"/>
      <c r="F719" s="13"/>
      <c r="G719" s="13"/>
      <c r="H719" s="13"/>
      <c r="I719" s="13"/>
      <c r="J719" s="13"/>
      <c r="K719" s="171"/>
      <c r="L719" s="172"/>
      <c r="M719" s="13"/>
      <c r="N719" s="13"/>
      <c r="O719" s="171"/>
      <c r="P719" s="13"/>
      <c r="Q719" s="13"/>
      <c r="R719" s="173"/>
      <c r="S719" s="35"/>
      <c r="T719" s="35"/>
      <c r="U719" s="13"/>
      <c r="V719" s="13"/>
      <c r="W719" s="13"/>
      <c r="X719" s="13"/>
      <c r="Y719" s="13"/>
      <c r="Z719" s="13"/>
      <c r="AA719" s="13"/>
      <c r="AB719" s="13"/>
      <c r="AC719" s="13"/>
    </row>
    <row r="720" ht="16.5" customHeight="1">
      <c r="A720" s="13"/>
      <c r="B720" s="13"/>
      <c r="C720" s="13"/>
      <c r="D720" s="13"/>
      <c r="E720" s="13"/>
      <c r="F720" s="13"/>
      <c r="G720" s="13"/>
      <c r="H720" s="13"/>
      <c r="I720" s="13"/>
      <c r="J720" s="13"/>
      <c r="K720" s="171"/>
      <c r="L720" s="172"/>
      <c r="M720" s="13"/>
      <c r="N720" s="13"/>
      <c r="O720" s="171"/>
      <c r="P720" s="13"/>
      <c r="Q720" s="13"/>
      <c r="R720" s="173"/>
      <c r="S720" s="35"/>
      <c r="T720" s="35"/>
      <c r="U720" s="13"/>
      <c r="V720" s="13"/>
      <c r="W720" s="13"/>
      <c r="X720" s="13"/>
      <c r="Y720" s="13"/>
      <c r="Z720" s="13"/>
      <c r="AA720" s="13"/>
      <c r="AB720" s="13"/>
      <c r="AC720" s="13"/>
    </row>
    <row r="721" ht="16.5" customHeight="1">
      <c r="A721" s="13"/>
      <c r="B721" s="13"/>
      <c r="C721" s="13"/>
      <c r="D721" s="13"/>
      <c r="E721" s="13"/>
      <c r="F721" s="13"/>
      <c r="G721" s="13"/>
      <c r="H721" s="13"/>
      <c r="I721" s="13"/>
      <c r="J721" s="13"/>
      <c r="K721" s="171"/>
      <c r="L721" s="172"/>
      <c r="M721" s="13"/>
      <c r="N721" s="13"/>
      <c r="O721" s="171"/>
      <c r="P721" s="13"/>
      <c r="Q721" s="13"/>
      <c r="R721" s="173"/>
      <c r="S721" s="35"/>
      <c r="T721" s="35"/>
      <c r="U721" s="13"/>
      <c r="V721" s="13"/>
      <c r="W721" s="13"/>
      <c r="X721" s="13"/>
      <c r="Y721" s="13"/>
      <c r="Z721" s="13"/>
      <c r="AA721" s="13"/>
      <c r="AB721" s="13"/>
      <c r="AC721" s="13"/>
    </row>
    <row r="722" ht="16.5" customHeight="1">
      <c r="A722" s="13"/>
      <c r="B722" s="13"/>
      <c r="C722" s="13"/>
      <c r="D722" s="13"/>
      <c r="E722" s="13"/>
      <c r="F722" s="13"/>
      <c r="G722" s="13"/>
      <c r="H722" s="13"/>
      <c r="I722" s="13"/>
      <c r="J722" s="13"/>
      <c r="K722" s="171"/>
      <c r="L722" s="172"/>
      <c r="M722" s="13"/>
      <c r="N722" s="13"/>
      <c r="O722" s="171"/>
      <c r="P722" s="13"/>
      <c r="Q722" s="13"/>
      <c r="R722" s="173"/>
      <c r="S722" s="35"/>
      <c r="T722" s="35"/>
      <c r="U722" s="13"/>
      <c r="V722" s="13"/>
      <c r="W722" s="13"/>
      <c r="X722" s="13"/>
      <c r="Y722" s="13"/>
      <c r="Z722" s="13"/>
      <c r="AA722" s="13"/>
      <c r="AB722" s="13"/>
      <c r="AC722" s="13"/>
    </row>
    <row r="723" ht="16.5" customHeight="1">
      <c r="A723" s="13"/>
      <c r="B723" s="13"/>
      <c r="C723" s="13"/>
      <c r="D723" s="13"/>
      <c r="E723" s="13"/>
      <c r="F723" s="13"/>
      <c r="G723" s="13"/>
      <c r="H723" s="13"/>
      <c r="I723" s="13"/>
      <c r="J723" s="13"/>
      <c r="K723" s="171"/>
      <c r="L723" s="172"/>
      <c r="M723" s="13"/>
      <c r="N723" s="13"/>
      <c r="O723" s="171"/>
      <c r="P723" s="13"/>
      <c r="Q723" s="13"/>
      <c r="R723" s="173"/>
      <c r="S723" s="35"/>
      <c r="T723" s="35"/>
      <c r="U723" s="13"/>
      <c r="V723" s="13"/>
      <c r="W723" s="13"/>
      <c r="X723" s="13"/>
      <c r="Y723" s="13"/>
      <c r="Z723" s="13"/>
      <c r="AA723" s="13"/>
      <c r="AB723" s="13"/>
      <c r="AC723" s="13"/>
    </row>
    <row r="724" ht="16.5" customHeight="1">
      <c r="A724" s="13"/>
      <c r="B724" s="13"/>
      <c r="C724" s="13"/>
      <c r="D724" s="13"/>
      <c r="E724" s="13"/>
      <c r="F724" s="13"/>
      <c r="G724" s="13"/>
      <c r="H724" s="13"/>
      <c r="I724" s="13"/>
      <c r="J724" s="13"/>
      <c r="K724" s="171"/>
      <c r="L724" s="172"/>
      <c r="M724" s="13"/>
      <c r="N724" s="13"/>
      <c r="O724" s="171"/>
      <c r="P724" s="13"/>
      <c r="Q724" s="13"/>
      <c r="R724" s="173"/>
      <c r="S724" s="35"/>
      <c r="T724" s="35"/>
      <c r="U724" s="13"/>
      <c r="V724" s="13"/>
      <c r="W724" s="13"/>
      <c r="X724" s="13"/>
      <c r="Y724" s="13"/>
      <c r="Z724" s="13"/>
      <c r="AA724" s="13"/>
      <c r="AB724" s="13"/>
      <c r="AC724" s="13"/>
    </row>
    <row r="725" ht="16.5" customHeight="1">
      <c r="A725" s="13"/>
      <c r="B725" s="13"/>
      <c r="C725" s="13"/>
      <c r="D725" s="13"/>
      <c r="E725" s="13"/>
      <c r="F725" s="13"/>
      <c r="G725" s="13"/>
      <c r="H725" s="13"/>
      <c r="I725" s="13"/>
      <c r="J725" s="13"/>
      <c r="K725" s="171"/>
      <c r="L725" s="172"/>
      <c r="M725" s="13"/>
      <c r="N725" s="13"/>
      <c r="O725" s="171"/>
      <c r="P725" s="13"/>
      <c r="Q725" s="13"/>
      <c r="R725" s="173"/>
      <c r="S725" s="35"/>
      <c r="T725" s="35"/>
      <c r="U725" s="13"/>
      <c r="V725" s="13"/>
      <c r="W725" s="13"/>
      <c r="X725" s="13"/>
      <c r="Y725" s="13"/>
      <c r="Z725" s="13"/>
      <c r="AA725" s="13"/>
      <c r="AB725" s="13"/>
      <c r="AC725" s="13"/>
    </row>
    <row r="726" ht="16.5" customHeight="1">
      <c r="A726" s="13"/>
      <c r="B726" s="13"/>
      <c r="C726" s="13"/>
      <c r="D726" s="13"/>
      <c r="E726" s="13"/>
      <c r="F726" s="13"/>
      <c r="G726" s="13"/>
      <c r="H726" s="13"/>
      <c r="I726" s="13"/>
      <c r="J726" s="13"/>
      <c r="K726" s="171"/>
      <c r="L726" s="172"/>
      <c r="M726" s="13"/>
      <c r="N726" s="13"/>
      <c r="O726" s="171"/>
      <c r="P726" s="13"/>
      <c r="Q726" s="13"/>
      <c r="R726" s="173"/>
      <c r="S726" s="35"/>
      <c r="T726" s="35"/>
      <c r="U726" s="13"/>
      <c r="V726" s="13"/>
      <c r="W726" s="13"/>
      <c r="X726" s="13"/>
      <c r="Y726" s="13"/>
      <c r="Z726" s="13"/>
      <c r="AA726" s="13"/>
      <c r="AB726" s="13"/>
      <c r="AC726" s="13"/>
    </row>
    <row r="727" ht="16.5" customHeight="1">
      <c r="A727" s="13"/>
      <c r="B727" s="13"/>
      <c r="C727" s="13"/>
      <c r="D727" s="13"/>
      <c r="E727" s="13"/>
      <c r="F727" s="13"/>
      <c r="G727" s="13"/>
      <c r="H727" s="13"/>
      <c r="I727" s="13"/>
      <c r="J727" s="13"/>
      <c r="K727" s="171"/>
      <c r="L727" s="172"/>
      <c r="M727" s="13"/>
      <c r="N727" s="13"/>
      <c r="O727" s="171"/>
      <c r="P727" s="13"/>
      <c r="Q727" s="13"/>
      <c r="R727" s="173"/>
      <c r="S727" s="35"/>
      <c r="T727" s="35"/>
      <c r="U727" s="13"/>
      <c r="V727" s="13"/>
      <c r="W727" s="13"/>
      <c r="X727" s="13"/>
      <c r="Y727" s="13"/>
      <c r="Z727" s="13"/>
      <c r="AA727" s="13"/>
      <c r="AB727" s="13"/>
      <c r="AC727" s="13"/>
    </row>
    <row r="728" ht="16.5" customHeight="1">
      <c r="A728" s="13"/>
      <c r="B728" s="13"/>
      <c r="C728" s="13"/>
      <c r="D728" s="13"/>
      <c r="E728" s="13"/>
      <c r="F728" s="13"/>
      <c r="G728" s="13"/>
      <c r="H728" s="13"/>
      <c r="I728" s="13"/>
      <c r="J728" s="13"/>
      <c r="K728" s="171"/>
      <c r="L728" s="172"/>
      <c r="M728" s="13"/>
      <c r="N728" s="13"/>
      <c r="O728" s="171"/>
      <c r="P728" s="13"/>
      <c r="Q728" s="13"/>
      <c r="R728" s="173"/>
      <c r="S728" s="35"/>
      <c r="T728" s="35"/>
      <c r="U728" s="13"/>
      <c r="V728" s="13"/>
      <c r="W728" s="13"/>
      <c r="X728" s="13"/>
      <c r="Y728" s="13"/>
      <c r="Z728" s="13"/>
      <c r="AA728" s="13"/>
      <c r="AB728" s="13"/>
      <c r="AC728" s="13"/>
    </row>
    <row r="729" ht="16.5" customHeight="1">
      <c r="A729" s="13"/>
      <c r="B729" s="13"/>
      <c r="C729" s="13"/>
      <c r="D729" s="13"/>
      <c r="E729" s="13"/>
      <c r="F729" s="13"/>
      <c r="G729" s="13"/>
      <c r="H729" s="13"/>
      <c r="I729" s="13"/>
      <c r="J729" s="13"/>
      <c r="K729" s="171"/>
      <c r="L729" s="172"/>
      <c r="M729" s="13"/>
      <c r="N729" s="13"/>
      <c r="O729" s="171"/>
      <c r="P729" s="13"/>
      <c r="Q729" s="13"/>
      <c r="R729" s="173"/>
      <c r="S729" s="35"/>
      <c r="T729" s="35"/>
      <c r="U729" s="13"/>
      <c r="V729" s="13"/>
      <c r="W729" s="13"/>
      <c r="X729" s="13"/>
      <c r="Y729" s="13"/>
      <c r="Z729" s="13"/>
      <c r="AA729" s="13"/>
      <c r="AB729" s="13"/>
      <c r="AC729" s="13"/>
    </row>
    <row r="730" ht="16.5" customHeight="1">
      <c r="A730" s="13"/>
      <c r="B730" s="13"/>
      <c r="C730" s="13"/>
      <c r="D730" s="13"/>
      <c r="E730" s="13"/>
      <c r="F730" s="13"/>
      <c r="G730" s="13"/>
      <c r="H730" s="13"/>
      <c r="I730" s="13"/>
      <c r="J730" s="13"/>
      <c r="K730" s="171"/>
      <c r="L730" s="172"/>
      <c r="M730" s="13"/>
      <c r="N730" s="13"/>
      <c r="O730" s="171"/>
      <c r="P730" s="13"/>
      <c r="Q730" s="13"/>
      <c r="R730" s="173"/>
      <c r="S730" s="35"/>
      <c r="T730" s="35"/>
      <c r="U730" s="13"/>
      <c r="V730" s="13"/>
      <c r="W730" s="13"/>
      <c r="X730" s="13"/>
      <c r="Y730" s="13"/>
      <c r="Z730" s="13"/>
      <c r="AA730" s="13"/>
      <c r="AB730" s="13"/>
      <c r="AC730" s="13"/>
    </row>
    <row r="731" ht="16.5" customHeight="1">
      <c r="A731" s="13"/>
      <c r="B731" s="13"/>
      <c r="C731" s="13"/>
      <c r="D731" s="13"/>
      <c r="E731" s="13"/>
      <c r="F731" s="13"/>
      <c r="G731" s="13"/>
      <c r="H731" s="13"/>
      <c r="I731" s="13"/>
      <c r="J731" s="13"/>
      <c r="K731" s="171"/>
      <c r="L731" s="172"/>
      <c r="M731" s="13"/>
      <c r="N731" s="13"/>
      <c r="O731" s="171"/>
      <c r="P731" s="13"/>
      <c r="Q731" s="13"/>
      <c r="R731" s="173"/>
      <c r="S731" s="35"/>
      <c r="T731" s="35"/>
      <c r="U731" s="13"/>
      <c r="V731" s="13"/>
      <c r="W731" s="13"/>
      <c r="X731" s="13"/>
      <c r="Y731" s="13"/>
      <c r="Z731" s="13"/>
      <c r="AA731" s="13"/>
      <c r="AB731" s="13"/>
      <c r="AC731" s="13"/>
    </row>
    <row r="732" ht="16.5" customHeight="1">
      <c r="A732" s="13"/>
      <c r="B732" s="13"/>
      <c r="C732" s="13"/>
      <c r="D732" s="13"/>
      <c r="E732" s="13"/>
      <c r="F732" s="13"/>
      <c r="G732" s="13"/>
      <c r="H732" s="13"/>
      <c r="I732" s="13"/>
      <c r="J732" s="13"/>
      <c r="K732" s="171"/>
      <c r="L732" s="172"/>
      <c r="M732" s="13"/>
      <c r="N732" s="13"/>
      <c r="O732" s="171"/>
      <c r="P732" s="13"/>
      <c r="Q732" s="13"/>
      <c r="R732" s="173"/>
      <c r="S732" s="35"/>
      <c r="T732" s="35"/>
      <c r="U732" s="13"/>
      <c r="V732" s="13"/>
      <c r="W732" s="13"/>
      <c r="X732" s="13"/>
      <c r="Y732" s="13"/>
      <c r="Z732" s="13"/>
      <c r="AA732" s="13"/>
      <c r="AB732" s="13"/>
      <c r="AC732" s="13"/>
    </row>
    <row r="733" ht="16.5" customHeight="1">
      <c r="A733" s="13"/>
      <c r="B733" s="13"/>
      <c r="C733" s="13"/>
      <c r="D733" s="13"/>
      <c r="E733" s="13"/>
      <c r="F733" s="13"/>
      <c r="G733" s="13"/>
      <c r="H733" s="13"/>
      <c r="I733" s="13"/>
      <c r="J733" s="13"/>
      <c r="K733" s="171"/>
      <c r="L733" s="172"/>
      <c r="M733" s="13"/>
      <c r="N733" s="13"/>
      <c r="O733" s="171"/>
      <c r="P733" s="13"/>
      <c r="Q733" s="13"/>
      <c r="R733" s="173"/>
      <c r="S733" s="35"/>
      <c r="T733" s="35"/>
      <c r="U733" s="13"/>
      <c r="V733" s="13"/>
      <c r="W733" s="13"/>
      <c r="X733" s="13"/>
      <c r="Y733" s="13"/>
      <c r="Z733" s="13"/>
      <c r="AA733" s="13"/>
      <c r="AB733" s="13"/>
      <c r="AC733" s="13"/>
    </row>
    <row r="734" ht="16.5" customHeight="1">
      <c r="A734" s="13"/>
      <c r="B734" s="13"/>
      <c r="C734" s="13"/>
      <c r="D734" s="13"/>
      <c r="E734" s="13"/>
      <c r="F734" s="13"/>
      <c r="G734" s="13"/>
      <c r="H734" s="13"/>
      <c r="I734" s="13"/>
      <c r="J734" s="13"/>
      <c r="K734" s="171"/>
      <c r="L734" s="172"/>
      <c r="M734" s="13"/>
      <c r="N734" s="13"/>
      <c r="O734" s="171"/>
      <c r="P734" s="13"/>
      <c r="Q734" s="13"/>
      <c r="R734" s="173"/>
      <c r="S734" s="35"/>
      <c r="T734" s="35"/>
      <c r="U734" s="13"/>
      <c r="V734" s="13"/>
      <c r="W734" s="13"/>
      <c r="X734" s="13"/>
      <c r="Y734" s="13"/>
      <c r="Z734" s="13"/>
      <c r="AA734" s="13"/>
      <c r="AB734" s="13"/>
      <c r="AC734" s="13"/>
    </row>
    <row r="735" ht="16.5" customHeight="1">
      <c r="A735" s="13"/>
      <c r="B735" s="13"/>
      <c r="C735" s="13"/>
      <c r="D735" s="13"/>
      <c r="E735" s="13"/>
      <c r="F735" s="13"/>
      <c r="G735" s="13"/>
      <c r="H735" s="13"/>
      <c r="I735" s="13"/>
      <c r="J735" s="13"/>
      <c r="K735" s="171"/>
      <c r="L735" s="172"/>
      <c r="M735" s="13"/>
      <c r="N735" s="13"/>
      <c r="O735" s="171"/>
      <c r="P735" s="13"/>
      <c r="Q735" s="13"/>
      <c r="R735" s="173"/>
      <c r="S735" s="35"/>
      <c r="T735" s="35"/>
      <c r="U735" s="13"/>
      <c r="V735" s="13"/>
      <c r="W735" s="13"/>
      <c r="X735" s="13"/>
      <c r="Y735" s="13"/>
      <c r="Z735" s="13"/>
      <c r="AA735" s="13"/>
      <c r="AB735" s="13"/>
      <c r="AC735" s="13"/>
    </row>
    <row r="736" ht="16.5" customHeight="1">
      <c r="A736" s="13"/>
      <c r="B736" s="13"/>
      <c r="C736" s="13"/>
      <c r="D736" s="13"/>
      <c r="E736" s="13"/>
      <c r="F736" s="13"/>
      <c r="G736" s="13"/>
      <c r="H736" s="13"/>
      <c r="I736" s="13"/>
      <c r="J736" s="13"/>
      <c r="K736" s="171"/>
      <c r="L736" s="172"/>
      <c r="M736" s="13"/>
      <c r="N736" s="13"/>
      <c r="O736" s="171"/>
      <c r="P736" s="13"/>
      <c r="Q736" s="13"/>
      <c r="R736" s="173"/>
      <c r="S736" s="35"/>
      <c r="T736" s="35"/>
      <c r="U736" s="13"/>
      <c r="V736" s="13"/>
      <c r="W736" s="13"/>
      <c r="X736" s="13"/>
      <c r="Y736" s="13"/>
      <c r="Z736" s="13"/>
      <c r="AA736" s="13"/>
      <c r="AB736" s="13"/>
      <c r="AC736" s="13"/>
    </row>
    <row r="737" ht="16.5" customHeight="1">
      <c r="A737" s="13"/>
      <c r="B737" s="13"/>
      <c r="C737" s="13"/>
      <c r="D737" s="13"/>
      <c r="E737" s="13"/>
      <c r="F737" s="13"/>
      <c r="G737" s="13"/>
      <c r="H737" s="13"/>
      <c r="I737" s="13"/>
      <c r="J737" s="13"/>
      <c r="K737" s="171"/>
      <c r="L737" s="172"/>
      <c r="M737" s="13"/>
      <c r="N737" s="13"/>
      <c r="O737" s="171"/>
      <c r="P737" s="13"/>
      <c r="Q737" s="13"/>
      <c r="R737" s="173"/>
      <c r="S737" s="35"/>
      <c r="T737" s="35"/>
      <c r="U737" s="13"/>
      <c r="V737" s="13"/>
      <c r="W737" s="13"/>
      <c r="X737" s="13"/>
      <c r="Y737" s="13"/>
      <c r="Z737" s="13"/>
      <c r="AA737" s="13"/>
      <c r="AB737" s="13"/>
      <c r="AC737" s="13"/>
    </row>
    <row r="738" ht="16.5" customHeight="1">
      <c r="A738" s="13"/>
      <c r="B738" s="13"/>
      <c r="C738" s="13"/>
      <c r="D738" s="13"/>
      <c r="E738" s="13"/>
      <c r="F738" s="13"/>
      <c r="G738" s="13"/>
      <c r="H738" s="13"/>
      <c r="I738" s="13"/>
      <c r="J738" s="13"/>
      <c r="K738" s="171"/>
      <c r="L738" s="172"/>
      <c r="M738" s="13"/>
      <c r="N738" s="13"/>
      <c r="O738" s="171"/>
      <c r="P738" s="13"/>
      <c r="Q738" s="13"/>
      <c r="R738" s="173"/>
      <c r="S738" s="35"/>
      <c r="T738" s="35"/>
      <c r="U738" s="13"/>
      <c r="V738" s="13"/>
      <c r="W738" s="13"/>
      <c r="X738" s="13"/>
      <c r="Y738" s="13"/>
      <c r="Z738" s="13"/>
      <c r="AA738" s="13"/>
      <c r="AB738" s="13"/>
      <c r="AC738" s="13"/>
    </row>
    <row r="739" ht="16.5" customHeight="1">
      <c r="A739" s="13"/>
      <c r="B739" s="13"/>
      <c r="C739" s="13"/>
      <c r="D739" s="13"/>
      <c r="E739" s="13"/>
      <c r="F739" s="13"/>
      <c r="G739" s="13"/>
      <c r="H739" s="13"/>
      <c r="I739" s="13"/>
      <c r="J739" s="13"/>
      <c r="K739" s="171"/>
      <c r="L739" s="172"/>
      <c r="M739" s="13"/>
      <c r="N739" s="13"/>
      <c r="O739" s="171"/>
      <c r="P739" s="13"/>
      <c r="Q739" s="13"/>
      <c r="R739" s="173"/>
      <c r="S739" s="35"/>
      <c r="T739" s="35"/>
      <c r="U739" s="13"/>
      <c r="V739" s="13"/>
      <c r="W739" s="13"/>
      <c r="X739" s="13"/>
      <c r="Y739" s="13"/>
      <c r="Z739" s="13"/>
      <c r="AA739" s="13"/>
      <c r="AB739" s="13"/>
      <c r="AC739" s="13"/>
    </row>
    <row r="740" ht="16.5" customHeight="1">
      <c r="A740" s="13"/>
      <c r="B740" s="13"/>
      <c r="C740" s="13"/>
      <c r="D740" s="13"/>
      <c r="E740" s="13"/>
      <c r="F740" s="13"/>
      <c r="G740" s="13"/>
      <c r="H740" s="13"/>
      <c r="I740" s="13"/>
      <c r="J740" s="13"/>
      <c r="K740" s="171"/>
      <c r="L740" s="172"/>
      <c r="M740" s="13"/>
      <c r="N740" s="13"/>
      <c r="O740" s="171"/>
      <c r="P740" s="13"/>
      <c r="Q740" s="13"/>
      <c r="R740" s="173"/>
      <c r="S740" s="35"/>
      <c r="T740" s="35"/>
      <c r="U740" s="13"/>
      <c r="V740" s="13"/>
      <c r="W740" s="13"/>
      <c r="X740" s="13"/>
      <c r="Y740" s="13"/>
      <c r="Z740" s="13"/>
      <c r="AA740" s="13"/>
      <c r="AB740" s="13"/>
      <c r="AC740" s="13"/>
    </row>
    <row r="741" ht="16.5" customHeight="1">
      <c r="A741" s="13"/>
      <c r="B741" s="13"/>
      <c r="C741" s="13"/>
      <c r="D741" s="13"/>
      <c r="E741" s="13"/>
      <c r="F741" s="13"/>
      <c r="G741" s="13"/>
      <c r="H741" s="13"/>
      <c r="I741" s="13"/>
      <c r="J741" s="13"/>
      <c r="K741" s="171"/>
      <c r="L741" s="172"/>
      <c r="M741" s="13"/>
      <c r="N741" s="13"/>
      <c r="O741" s="171"/>
      <c r="P741" s="13"/>
      <c r="Q741" s="13"/>
      <c r="R741" s="173"/>
      <c r="S741" s="35"/>
      <c r="T741" s="35"/>
      <c r="U741" s="13"/>
      <c r="V741" s="13"/>
      <c r="W741" s="13"/>
      <c r="X741" s="13"/>
      <c r="Y741" s="13"/>
      <c r="Z741" s="13"/>
      <c r="AA741" s="13"/>
      <c r="AB741" s="13"/>
      <c r="AC741" s="13"/>
    </row>
    <row r="742" ht="16.5" customHeight="1">
      <c r="A742" s="13"/>
      <c r="B742" s="13"/>
      <c r="C742" s="13"/>
      <c r="D742" s="13"/>
      <c r="E742" s="13"/>
      <c r="F742" s="13"/>
      <c r="G742" s="13"/>
      <c r="H742" s="13"/>
      <c r="I742" s="13"/>
      <c r="J742" s="13"/>
      <c r="K742" s="171"/>
      <c r="L742" s="172"/>
      <c r="M742" s="13"/>
      <c r="N742" s="13"/>
      <c r="O742" s="171"/>
      <c r="P742" s="13"/>
      <c r="Q742" s="13"/>
      <c r="R742" s="173"/>
      <c r="S742" s="35"/>
      <c r="T742" s="35"/>
      <c r="U742" s="13"/>
      <c r="V742" s="13"/>
      <c r="W742" s="13"/>
      <c r="X742" s="13"/>
      <c r="Y742" s="13"/>
      <c r="Z742" s="13"/>
      <c r="AA742" s="13"/>
      <c r="AB742" s="13"/>
      <c r="AC742" s="13"/>
    </row>
    <row r="743" ht="16.5" customHeight="1">
      <c r="A743" s="13"/>
      <c r="B743" s="13"/>
      <c r="C743" s="13"/>
      <c r="D743" s="13"/>
      <c r="E743" s="13"/>
      <c r="F743" s="13"/>
      <c r="G743" s="13"/>
      <c r="H743" s="13"/>
      <c r="I743" s="13"/>
      <c r="J743" s="13"/>
      <c r="K743" s="171"/>
      <c r="L743" s="172"/>
      <c r="M743" s="13"/>
      <c r="N743" s="13"/>
      <c r="O743" s="171"/>
      <c r="P743" s="13"/>
      <c r="Q743" s="13"/>
      <c r="R743" s="173"/>
      <c r="S743" s="35"/>
      <c r="T743" s="35"/>
      <c r="U743" s="13"/>
      <c r="V743" s="13"/>
      <c r="W743" s="13"/>
      <c r="X743" s="13"/>
      <c r="Y743" s="13"/>
      <c r="Z743" s="13"/>
      <c r="AA743" s="13"/>
      <c r="AB743" s="13"/>
      <c r="AC743" s="13"/>
    </row>
    <row r="744" ht="16.5" customHeight="1">
      <c r="A744" s="13"/>
      <c r="B744" s="13"/>
      <c r="C744" s="13"/>
      <c r="D744" s="13"/>
      <c r="E744" s="13"/>
      <c r="F744" s="13"/>
      <c r="G744" s="13"/>
      <c r="H744" s="13"/>
      <c r="I744" s="13"/>
      <c r="J744" s="13"/>
      <c r="K744" s="171"/>
      <c r="L744" s="172"/>
      <c r="M744" s="13"/>
      <c r="N744" s="13"/>
      <c r="O744" s="171"/>
      <c r="P744" s="13"/>
      <c r="Q744" s="13"/>
      <c r="R744" s="173"/>
      <c r="S744" s="35"/>
      <c r="T744" s="35"/>
      <c r="U744" s="13"/>
      <c r="V744" s="13"/>
      <c r="W744" s="13"/>
      <c r="X744" s="13"/>
      <c r="Y744" s="13"/>
      <c r="Z744" s="13"/>
      <c r="AA744" s="13"/>
      <c r="AB744" s="13"/>
      <c r="AC744" s="13"/>
    </row>
    <row r="745" ht="16.5" customHeight="1">
      <c r="A745" s="13"/>
      <c r="B745" s="13"/>
      <c r="C745" s="13"/>
      <c r="D745" s="13"/>
      <c r="E745" s="13"/>
      <c r="F745" s="13"/>
      <c r="G745" s="13"/>
      <c r="H745" s="13"/>
      <c r="I745" s="13"/>
      <c r="J745" s="13"/>
      <c r="K745" s="171"/>
      <c r="L745" s="172"/>
      <c r="M745" s="13"/>
      <c r="N745" s="13"/>
      <c r="O745" s="171"/>
      <c r="P745" s="13"/>
      <c r="Q745" s="13"/>
      <c r="R745" s="173"/>
      <c r="S745" s="35"/>
      <c r="T745" s="35"/>
      <c r="U745" s="13"/>
      <c r="V745" s="13"/>
      <c r="W745" s="13"/>
      <c r="X745" s="13"/>
      <c r="Y745" s="13"/>
      <c r="Z745" s="13"/>
      <c r="AA745" s="13"/>
      <c r="AB745" s="13"/>
      <c r="AC745" s="13"/>
    </row>
    <row r="746" ht="16.5" customHeight="1">
      <c r="A746" s="13"/>
      <c r="B746" s="13"/>
      <c r="C746" s="13"/>
      <c r="D746" s="13"/>
      <c r="E746" s="13"/>
      <c r="F746" s="13"/>
      <c r="G746" s="13"/>
      <c r="H746" s="13"/>
      <c r="I746" s="13"/>
      <c r="J746" s="13"/>
      <c r="K746" s="171"/>
      <c r="L746" s="172"/>
      <c r="M746" s="13"/>
      <c r="N746" s="13"/>
      <c r="O746" s="171"/>
      <c r="P746" s="13"/>
      <c r="Q746" s="13"/>
      <c r="R746" s="173"/>
      <c r="S746" s="35"/>
      <c r="T746" s="35"/>
      <c r="U746" s="13"/>
      <c r="V746" s="13"/>
      <c r="W746" s="13"/>
      <c r="X746" s="13"/>
      <c r="Y746" s="13"/>
      <c r="Z746" s="13"/>
      <c r="AA746" s="13"/>
      <c r="AB746" s="13"/>
      <c r="AC746" s="13"/>
    </row>
    <row r="747" ht="16.5" customHeight="1">
      <c r="A747" s="13"/>
      <c r="B747" s="13"/>
      <c r="C747" s="13"/>
      <c r="D747" s="13"/>
      <c r="E747" s="13"/>
      <c r="F747" s="13"/>
      <c r="G747" s="13"/>
      <c r="H747" s="13"/>
      <c r="I747" s="13"/>
      <c r="J747" s="13"/>
      <c r="K747" s="171"/>
      <c r="L747" s="172"/>
      <c r="M747" s="13"/>
      <c r="N747" s="13"/>
      <c r="O747" s="171"/>
      <c r="P747" s="13"/>
      <c r="Q747" s="13"/>
      <c r="R747" s="173"/>
      <c r="S747" s="35"/>
      <c r="T747" s="35"/>
      <c r="U747" s="13"/>
      <c r="V747" s="13"/>
      <c r="W747" s="13"/>
      <c r="X747" s="13"/>
      <c r="Y747" s="13"/>
      <c r="Z747" s="13"/>
      <c r="AA747" s="13"/>
      <c r="AB747" s="13"/>
      <c r="AC747" s="13"/>
    </row>
    <row r="748" ht="16.5" customHeight="1">
      <c r="A748" s="13"/>
      <c r="B748" s="13"/>
      <c r="C748" s="13"/>
      <c r="D748" s="13"/>
      <c r="E748" s="13"/>
      <c r="F748" s="13"/>
      <c r="G748" s="13"/>
      <c r="H748" s="13"/>
      <c r="I748" s="13"/>
      <c r="J748" s="13"/>
      <c r="K748" s="171"/>
      <c r="L748" s="172"/>
      <c r="M748" s="13"/>
      <c r="N748" s="13"/>
      <c r="O748" s="171"/>
      <c r="P748" s="13"/>
      <c r="Q748" s="13"/>
      <c r="R748" s="173"/>
      <c r="S748" s="35"/>
      <c r="T748" s="35"/>
      <c r="U748" s="13"/>
      <c r="V748" s="13"/>
      <c r="W748" s="13"/>
      <c r="X748" s="13"/>
      <c r="Y748" s="13"/>
      <c r="Z748" s="13"/>
      <c r="AA748" s="13"/>
      <c r="AB748" s="13"/>
      <c r="AC748" s="13"/>
    </row>
    <row r="749" ht="16.5" customHeight="1">
      <c r="A749" s="13"/>
      <c r="B749" s="13"/>
      <c r="C749" s="13"/>
      <c r="D749" s="13"/>
      <c r="E749" s="13"/>
      <c r="F749" s="13"/>
      <c r="G749" s="13"/>
      <c r="H749" s="13"/>
      <c r="I749" s="13"/>
      <c r="J749" s="13"/>
      <c r="K749" s="171"/>
      <c r="L749" s="172"/>
      <c r="M749" s="13"/>
      <c r="N749" s="13"/>
      <c r="O749" s="171"/>
      <c r="P749" s="13"/>
      <c r="Q749" s="13"/>
      <c r="R749" s="173"/>
      <c r="S749" s="35"/>
      <c r="T749" s="35"/>
      <c r="U749" s="13"/>
      <c r="V749" s="13"/>
      <c r="W749" s="13"/>
      <c r="X749" s="13"/>
      <c r="Y749" s="13"/>
      <c r="Z749" s="13"/>
      <c r="AA749" s="13"/>
      <c r="AB749" s="13"/>
      <c r="AC749" s="13"/>
    </row>
    <row r="750" ht="16.5" customHeight="1">
      <c r="A750" s="13"/>
      <c r="B750" s="13"/>
      <c r="C750" s="13"/>
      <c r="D750" s="13"/>
      <c r="E750" s="13"/>
      <c r="F750" s="13"/>
      <c r="G750" s="13"/>
      <c r="H750" s="13"/>
      <c r="I750" s="13"/>
      <c r="J750" s="13"/>
      <c r="K750" s="171"/>
      <c r="L750" s="172"/>
      <c r="M750" s="13"/>
      <c r="N750" s="13"/>
      <c r="O750" s="171"/>
      <c r="P750" s="13"/>
      <c r="Q750" s="13"/>
      <c r="R750" s="173"/>
      <c r="S750" s="35"/>
      <c r="T750" s="35"/>
      <c r="U750" s="13"/>
      <c r="V750" s="13"/>
      <c r="W750" s="13"/>
      <c r="X750" s="13"/>
      <c r="Y750" s="13"/>
      <c r="Z750" s="13"/>
      <c r="AA750" s="13"/>
      <c r="AB750" s="13"/>
      <c r="AC750" s="13"/>
    </row>
    <row r="751" ht="16.5" customHeight="1">
      <c r="A751" s="13"/>
      <c r="B751" s="13"/>
      <c r="C751" s="13"/>
      <c r="D751" s="13"/>
      <c r="E751" s="13"/>
      <c r="F751" s="13"/>
      <c r="G751" s="13"/>
      <c r="H751" s="13"/>
      <c r="I751" s="13"/>
      <c r="J751" s="13"/>
      <c r="K751" s="171"/>
      <c r="L751" s="172"/>
      <c r="M751" s="13"/>
      <c r="N751" s="13"/>
      <c r="O751" s="171"/>
      <c r="P751" s="13"/>
      <c r="Q751" s="13"/>
      <c r="R751" s="173"/>
      <c r="S751" s="35"/>
      <c r="T751" s="35"/>
      <c r="U751" s="13"/>
      <c r="V751" s="13"/>
      <c r="W751" s="13"/>
      <c r="X751" s="13"/>
      <c r="Y751" s="13"/>
      <c r="Z751" s="13"/>
      <c r="AA751" s="13"/>
      <c r="AB751" s="13"/>
      <c r="AC751" s="13"/>
    </row>
    <row r="752" ht="16.5" customHeight="1">
      <c r="A752" s="13"/>
      <c r="B752" s="13"/>
      <c r="C752" s="13"/>
      <c r="D752" s="13"/>
      <c r="E752" s="13"/>
      <c r="F752" s="13"/>
      <c r="G752" s="13"/>
      <c r="H752" s="13"/>
      <c r="I752" s="13"/>
      <c r="J752" s="13"/>
      <c r="K752" s="171"/>
      <c r="L752" s="172"/>
      <c r="M752" s="13"/>
      <c r="N752" s="13"/>
      <c r="O752" s="171"/>
      <c r="P752" s="13"/>
      <c r="Q752" s="13"/>
      <c r="R752" s="173"/>
      <c r="S752" s="35"/>
      <c r="T752" s="35"/>
      <c r="U752" s="13"/>
      <c r="V752" s="13"/>
      <c r="W752" s="13"/>
      <c r="X752" s="13"/>
      <c r="Y752" s="13"/>
      <c r="Z752" s="13"/>
      <c r="AA752" s="13"/>
      <c r="AB752" s="13"/>
      <c r="AC752" s="13"/>
    </row>
    <row r="753" ht="16.5" customHeight="1">
      <c r="A753" s="13"/>
      <c r="B753" s="13"/>
      <c r="C753" s="13"/>
      <c r="D753" s="13"/>
      <c r="E753" s="13"/>
      <c r="F753" s="13"/>
      <c r="G753" s="13"/>
      <c r="H753" s="13"/>
      <c r="I753" s="13"/>
      <c r="J753" s="13"/>
      <c r="K753" s="171"/>
      <c r="L753" s="172"/>
      <c r="M753" s="13"/>
      <c r="N753" s="13"/>
      <c r="O753" s="171"/>
      <c r="P753" s="13"/>
      <c r="Q753" s="13"/>
      <c r="R753" s="173"/>
      <c r="S753" s="35"/>
      <c r="T753" s="35"/>
      <c r="U753" s="13"/>
      <c r="V753" s="13"/>
      <c r="W753" s="13"/>
      <c r="X753" s="13"/>
      <c r="Y753" s="13"/>
      <c r="Z753" s="13"/>
      <c r="AA753" s="13"/>
      <c r="AB753" s="13"/>
      <c r="AC753" s="13"/>
    </row>
    <row r="754" ht="16.5" customHeight="1">
      <c r="A754" s="13"/>
      <c r="B754" s="13"/>
      <c r="C754" s="13"/>
      <c r="D754" s="13"/>
      <c r="E754" s="13"/>
      <c r="F754" s="13"/>
      <c r="G754" s="13"/>
      <c r="H754" s="13"/>
      <c r="I754" s="13"/>
      <c r="J754" s="13"/>
      <c r="K754" s="171"/>
      <c r="L754" s="172"/>
      <c r="M754" s="13"/>
      <c r="N754" s="13"/>
      <c r="O754" s="171"/>
      <c r="P754" s="13"/>
      <c r="Q754" s="13"/>
      <c r="R754" s="173"/>
      <c r="S754" s="35"/>
      <c r="T754" s="35"/>
      <c r="U754" s="13"/>
      <c r="V754" s="13"/>
      <c r="W754" s="13"/>
      <c r="X754" s="13"/>
      <c r="Y754" s="13"/>
      <c r="Z754" s="13"/>
      <c r="AA754" s="13"/>
      <c r="AB754" s="13"/>
      <c r="AC754" s="13"/>
    </row>
    <row r="755" ht="16.5" customHeight="1">
      <c r="A755" s="13"/>
      <c r="B755" s="13"/>
      <c r="C755" s="13"/>
      <c r="D755" s="13"/>
      <c r="E755" s="13"/>
      <c r="F755" s="13"/>
      <c r="G755" s="13"/>
      <c r="H755" s="13"/>
      <c r="I755" s="13"/>
      <c r="J755" s="13"/>
      <c r="K755" s="171"/>
      <c r="L755" s="172"/>
      <c r="M755" s="13"/>
      <c r="N755" s="13"/>
      <c r="O755" s="171"/>
      <c r="P755" s="13"/>
      <c r="Q755" s="13"/>
      <c r="R755" s="173"/>
      <c r="S755" s="35"/>
      <c r="T755" s="35"/>
      <c r="U755" s="13"/>
      <c r="V755" s="13"/>
      <c r="W755" s="13"/>
      <c r="X755" s="13"/>
      <c r="Y755" s="13"/>
      <c r="Z755" s="13"/>
      <c r="AA755" s="13"/>
      <c r="AB755" s="13"/>
      <c r="AC755" s="13"/>
    </row>
    <row r="756" ht="16.5" customHeight="1">
      <c r="A756" s="13"/>
      <c r="B756" s="13"/>
      <c r="C756" s="13"/>
      <c r="D756" s="13"/>
      <c r="E756" s="13"/>
      <c r="F756" s="13"/>
      <c r="G756" s="13"/>
      <c r="H756" s="13"/>
      <c r="I756" s="13"/>
      <c r="J756" s="13"/>
      <c r="K756" s="171"/>
      <c r="L756" s="172"/>
      <c r="M756" s="13"/>
      <c r="N756" s="13"/>
      <c r="O756" s="171"/>
      <c r="P756" s="13"/>
      <c r="Q756" s="13"/>
      <c r="R756" s="173"/>
      <c r="S756" s="35"/>
      <c r="T756" s="35"/>
      <c r="U756" s="13"/>
      <c r="V756" s="13"/>
      <c r="W756" s="13"/>
      <c r="X756" s="13"/>
      <c r="Y756" s="13"/>
      <c r="Z756" s="13"/>
      <c r="AA756" s="13"/>
      <c r="AB756" s="13"/>
      <c r="AC756" s="13"/>
    </row>
    <row r="757" ht="16.5" customHeight="1">
      <c r="A757" s="13"/>
      <c r="B757" s="13"/>
      <c r="C757" s="13"/>
      <c r="D757" s="13"/>
      <c r="E757" s="13"/>
      <c r="F757" s="13"/>
      <c r="G757" s="13"/>
      <c r="H757" s="13"/>
      <c r="I757" s="13"/>
      <c r="J757" s="13"/>
      <c r="K757" s="171"/>
      <c r="L757" s="172"/>
      <c r="M757" s="13"/>
      <c r="N757" s="13"/>
      <c r="O757" s="171"/>
      <c r="P757" s="13"/>
      <c r="Q757" s="13"/>
      <c r="R757" s="173"/>
      <c r="S757" s="35"/>
      <c r="T757" s="35"/>
      <c r="U757" s="13"/>
      <c r="V757" s="13"/>
      <c r="W757" s="13"/>
      <c r="X757" s="13"/>
      <c r="Y757" s="13"/>
      <c r="Z757" s="13"/>
      <c r="AA757" s="13"/>
      <c r="AB757" s="13"/>
      <c r="AC757" s="13"/>
    </row>
    <row r="758" ht="16.5" customHeight="1">
      <c r="A758" s="13"/>
      <c r="B758" s="13"/>
      <c r="C758" s="13"/>
      <c r="D758" s="13"/>
      <c r="E758" s="13"/>
      <c r="F758" s="13"/>
      <c r="G758" s="13"/>
      <c r="H758" s="13"/>
      <c r="I758" s="13"/>
      <c r="J758" s="13"/>
      <c r="K758" s="171"/>
      <c r="L758" s="172"/>
      <c r="M758" s="13"/>
      <c r="N758" s="13"/>
      <c r="O758" s="171"/>
      <c r="P758" s="13"/>
      <c r="Q758" s="13"/>
      <c r="R758" s="173"/>
      <c r="S758" s="35"/>
      <c r="T758" s="35"/>
      <c r="U758" s="13"/>
      <c r="V758" s="13"/>
      <c r="W758" s="13"/>
      <c r="X758" s="13"/>
      <c r="Y758" s="13"/>
      <c r="Z758" s="13"/>
      <c r="AA758" s="13"/>
      <c r="AB758" s="13"/>
      <c r="AC758" s="13"/>
    </row>
    <row r="759" ht="16.5" customHeight="1">
      <c r="A759" s="13"/>
      <c r="B759" s="13"/>
      <c r="C759" s="13"/>
      <c r="D759" s="13"/>
      <c r="E759" s="13"/>
      <c r="F759" s="13"/>
      <c r="G759" s="13"/>
      <c r="H759" s="13"/>
      <c r="I759" s="13"/>
      <c r="J759" s="13"/>
      <c r="K759" s="171"/>
      <c r="L759" s="172"/>
      <c r="M759" s="13"/>
      <c r="N759" s="13"/>
      <c r="O759" s="171"/>
      <c r="P759" s="13"/>
      <c r="Q759" s="13"/>
      <c r="R759" s="173"/>
      <c r="S759" s="35"/>
      <c r="T759" s="35"/>
      <c r="U759" s="13"/>
      <c r="V759" s="13"/>
      <c r="W759" s="13"/>
      <c r="X759" s="13"/>
      <c r="Y759" s="13"/>
      <c r="Z759" s="13"/>
      <c r="AA759" s="13"/>
      <c r="AB759" s="13"/>
      <c r="AC759" s="13"/>
    </row>
    <row r="760" ht="16.5" customHeight="1">
      <c r="A760" s="13"/>
      <c r="B760" s="13"/>
      <c r="C760" s="13"/>
      <c r="D760" s="13"/>
      <c r="E760" s="13"/>
      <c r="F760" s="13"/>
      <c r="G760" s="13"/>
      <c r="H760" s="13"/>
      <c r="I760" s="13"/>
      <c r="J760" s="13"/>
      <c r="K760" s="171"/>
      <c r="L760" s="172"/>
      <c r="M760" s="13"/>
      <c r="N760" s="13"/>
      <c r="O760" s="171"/>
      <c r="P760" s="13"/>
      <c r="Q760" s="13"/>
      <c r="R760" s="173"/>
      <c r="S760" s="35"/>
      <c r="T760" s="35"/>
      <c r="U760" s="13"/>
      <c r="V760" s="13"/>
      <c r="W760" s="13"/>
      <c r="X760" s="13"/>
      <c r="Y760" s="13"/>
      <c r="Z760" s="13"/>
      <c r="AA760" s="13"/>
      <c r="AB760" s="13"/>
      <c r="AC760" s="13"/>
    </row>
    <row r="761" ht="16.5" customHeight="1">
      <c r="A761" s="13"/>
      <c r="B761" s="13"/>
      <c r="C761" s="13"/>
      <c r="D761" s="13"/>
      <c r="E761" s="13"/>
      <c r="F761" s="13"/>
      <c r="G761" s="13"/>
      <c r="H761" s="13"/>
      <c r="I761" s="13"/>
      <c r="J761" s="13"/>
      <c r="K761" s="171"/>
      <c r="L761" s="172"/>
      <c r="M761" s="13"/>
      <c r="N761" s="13"/>
      <c r="O761" s="171"/>
      <c r="P761" s="13"/>
      <c r="Q761" s="13"/>
      <c r="R761" s="173"/>
      <c r="S761" s="35"/>
      <c r="T761" s="35"/>
      <c r="U761" s="13"/>
      <c r="V761" s="13"/>
      <c r="W761" s="13"/>
      <c r="X761" s="13"/>
      <c r="Y761" s="13"/>
      <c r="Z761" s="13"/>
      <c r="AA761" s="13"/>
      <c r="AB761" s="13"/>
      <c r="AC761" s="13"/>
    </row>
    <row r="762" ht="16.5" customHeight="1">
      <c r="A762" s="13"/>
      <c r="B762" s="13"/>
      <c r="C762" s="13"/>
      <c r="D762" s="13"/>
      <c r="E762" s="13"/>
      <c r="F762" s="13"/>
      <c r="G762" s="13"/>
      <c r="H762" s="13"/>
      <c r="I762" s="13"/>
      <c r="J762" s="13"/>
      <c r="K762" s="171"/>
      <c r="L762" s="172"/>
      <c r="M762" s="13"/>
      <c r="N762" s="13"/>
      <c r="O762" s="171"/>
      <c r="P762" s="13"/>
      <c r="Q762" s="13"/>
      <c r="R762" s="173"/>
      <c r="S762" s="35"/>
      <c r="T762" s="35"/>
      <c r="U762" s="13"/>
      <c r="V762" s="13"/>
      <c r="W762" s="13"/>
      <c r="X762" s="13"/>
      <c r="Y762" s="13"/>
      <c r="Z762" s="13"/>
      <c r="AA762" s="13"/>
      <c r="AB762" s="13"/>
      <c r="AC762" s="13"/>
    </row>
    <row r="763" ht="16.5" customHeight="1">
      <c r="A763" s="13"/>
      <c r="B763" s="13"/>
      <c r="C763" s="13"/>
      <c r="D763" s="13"/>
      <c r="E763" s="13"/>
      <c r="F763" s="13"/>
      <c r="G763" s="13"/>
      <c r="H763" s="13"/>
      <c r="I763" s="13"/>
      <c r="J763" s="13"/>
      <c r="K763" s="171"/>
      <c r="L763" s="172"/>
      <c r="M763" s="13"/>
      <c r="N763" s="13"/>
      <c r="O763" s="171"/>
      <c r="P763" s="13"/>
      <c r="Q763" s="13"/>
      <c r="R763" s="173"/>
      <c r="S763" s="35"/>
      <c r="T763" s="35"/>
      <c r="U763" s="13"/>
      <c r="V763" s="13"/>
      <c r="W763" s="13"/>
      <c r="X763" s="13"/>
      <c r="Y763" s="13"/>
      <c r="Z763" s="13"/>
      <c r="AA763" s="13"/>
      <c r="AB763" s="13"/>
      <c r="AC763" s="13"/>
    </row>
    <row r="764" ht="16.5" customHeight="1">
      <c r="A764" s="13"/>
      <c r="B764" s="13"/>
      <c r="C764" s="13"/>
      <c r="D764" s="13"/>
      <c r="E764" s="13"/>
      <c r="F764" s="13"/>
      <c r="G764" s="13"/>
      <c r="H764" s="13"/>
      <c r="I764" s="13"/>
      <c r="J764" s="13"/>
      <c r="K764" s="171"/>
      <c r="L764" s="172"/>
      <c r="M764" s="13"/>
      <c r="N764" s="13"/>
      <c r="O764" s="171"/>
      <c r="P764" s="13"/>
      <c r="Q764" s="13"/>
      <c r="R764" s="173"/>
      <c r="S764" s="35"/>
      <c r="T764" s="35"/>
      <c r="U764" s="13"/>
      <c r="V764" s="13"/>
      <c r="W764" s="13"/>
      <c r="X764" s="13"/>
      <c r="Y764" s="13"/>
      <c r="Z764" s="13"/>
      <c r="AA764" s="13"/>
      <c r="AB764" s="13"/>
      <c r="AC764" s="13"/>
    </row>
    <row r="765" ht="16.5" customHeight="1">
      <c r="A765" s="13"/>
      <c r="B765" s="13"/>
      <c r="C765" s="13"/>
      <c r="D765" s="13"/>
      <c r="E765" s="13"/>
      <c r="F765" s="13"/>
      <c r="G765" s="13"/>
      <c r="H765" s="13"/>
      <c r="I765" s="13"/>
      <c r="J765" s="13"/>
      <c r="K765" s="171"/>
      <c r="L765" s="172"/>
      <c r="M765" s="13"/>
      <c r="N765" s="13"/>
      <c r="O765" s="171"/>
      <c r="P765" s="13"/>
      <c r="Q765" s="13"/>
      <c r="R765" s="173"/>
      <c r="S765" s="35"/>
      <c r="T765" s="35"/>
      <c r="U765" s="13"/>
      <c r="V765" s="13"/>
      <c r="W765" s="13"/>
      <c r="X765" s="13"/>
      <c r="Y765" s="13"/>
      <c r="Z765" s="13"/>
      <c r="AA765" s="13"/>
      <c r="AB765" s="13"/>
      <c r="AC765" s="13"/>
    </row>
    <row r="766" ht="16.5" customHeight="1">
      <c r="A766" s="13"/>
      <c r="B766" s="13"/>
      <c r="C766" s="13"/>
      <c r="D766" s="13"/>
      <c r="E766" s="13"/>
      <c r="F766" s="13"/>
      <c r="G766" s="13"/>
      <c r="H766" s="13"/>
      <c r="I766" s="13"/>
      <c r="J766" s="13"/>
      <c r="K766" s="171"/>
      <c r="L766" s="172"/>
      <c r="M766" s="13"/>
      <c r="N766" s="13"/>
      <c r="O766" s="171"/>
      <c r="P766" s="13"/>
      <c r="Q766" s="13"/>
      <c r="R766" s="173"/>
      <c r="S766" s="35"/>
      <c r="T766" s="35"/>
      <c r="U766" s="13"/>
      <c r="V766" s="13"/>
      <c r="W766" s="13"/>
      <c r="X766" s="13"/>
      <c r="Y766" s="13"/>
      <c r="Z766" s="13"/>
      <c r="AA766" s="13"/>
      <c r="AB766" s="13"/>
      <c r="AC766" s="13"/>
    </row>
    <row r="767" ht="16.5" customHeight="1">
      <c r="A767" s="13"/>
      <c r="B767" s="13"/>
      <c r="C767" s="13"/>
      <c r="D767" s="13"/>
      <c r="E767" s="13"/>
      <c r="F767" s="13"/>
      <c r="G767" s="13"/>
      <c r="H767" s="13"/>
      <c r="I767" s="13"/>
      <c r="J767" s="13"/>
      <c r="K767" s="171"/>
      <c r="L767" s="172"/>
      <c r="M767" s="13"/>
      <c r="N767" s="13"/>
      <c r="O767" s="171"/>
      <c r="P767" s="13"/>
      <c r="Q767" s="13"/>
      <c r="R767" s="173"/>
      <c r="S767" s="35"/>
      <c r="T767" s="35"/>
      <c r="U767" s="13"/>
      <c r="V767" s="13"/>
      <c r="W767" s="13"/>
      <c r="X767" s="13"/>
      <c r="Y767" s="13"/>
      <c r="Z767" s="13"/>
      <c r="AA767" s="13"/>
      <c r="AB767" s="13"/>
      <c r="AC767" s="13"/>
    </row>
    <row r="768" ht="16.5" customHeight="1">
      <c r="A768" s="13"/>
      <c r="B768" s="13"/>
      <c r="C768" s="13"/>
      <c r="D768" s="13"/>
      <c r="E768" s="13"/>
      <c r="F768" s="13"/>
      <c r="G768" s="13"/>
      <c r="H768" s="13"/>
      <c r="I768" s="13"/>
      <c r="J768" s="13"/>
      <c r="K768" s="171"/>
      <c r="L768" s="172"/>
      <c r="M768" s="13"/>
      <c r="N768" s="13"/>
      <c r="O768" s="171"/>
      <c r="P768" s="13"/>
      <c r="Q768" s="13"/>
      <c r="R768" s="173"/>
      <c r="S768" s="35"/>
      <c r="T768" s="35"/>
      <c r="U768" s="13"/>
      <c r="V768" s="13"/>
      <c r="W768" s="13"/>
      <c r="X768" s="13"/>
      <c r="Y768" s="13"/>
      <c r="Z768" s="13"/>
      <c r="AA768" s="13"/>
      <c r="AB768" s="13"/>
      <c r="AC768" s="13"/>
    </row>
    <row r="769" ht="16.5" customHeight="1">
      <c r="A769" s="13"/>
      <c r="B769" s="13"/>
      <c r="C769" s="13"/>
      <c r="D769" s="13"/>
      <c r="E769" s="13"/>
      <c r="F769" s="13"/>
      <c r="G769" s="13"/>
      <c r="H769" s="13"/>
      <c r="I769" s="13"/>
      <c r="J769" s="13"/>
      <c r="K769" s="171"/>
      <c r="L769" s="172"/>
      <c r="M769" s="13"/>
      <c r="N769" s="13"/>
      <c r="O769" s="171"/>
      <c r="P769" s="13"/>
      <c r="Q769" s="13"/>
      <c r="R769" s="173"/>
      <c r="S769" s="35"/>
      <c r="T769" s="35"/>
      <c r="U769" s="13"/>
      <c r="V769" s="13"/>
      <c r="W769" s="13"/>
      <c r="X769" s="13"/>
      <c r="Y769" s="13"/>
      <c r="Z769" s="13"/>
      <c r="AA769" s="13"/>
      <c r="AB769" s="13"/>
      <c r="AC769" s="13"/>
    </row>
    <row r="770" ht="16.5" customHeight="1">
      <c r="A770" s="13"/>
      <c r="B770" s="13"/>
      <c r="C770" s="13"/>
      <c r="D770" s="13"/>
      <c r="E770" s="13"/>
      <c r="F770" s="13"/>
      <c r="G770" s="13"/>
      <c r="H770" s="13"/>
      <c r="I770" s="13"/>
      <c r="J770" s="13"/>
      <c r="K770" s="171"/>
      <c r="L770" s="172"/>
      <c r="M770" s="13"/>
      <c r="N770" s="13"/>
      <c r="O770" s="171"/>
      <c r="P770" s="13"/>
      <c r="Q770" s="13"/>
      <c r="R770" s="173"/>
      <c r="S770" s="35"/>
      <c r="T770" s="35"/>
      <c r="U770" s="13"/>
      <c r="V770" s="13"/>
      <c r="W770" s="13"/>
      <c r="X770" s="13"/>
      <c r="Y770" s="13"/>
      <c r="Z770" s="13"/>
      <c r="AA770" s="13"/>
      <c r="AB770" s="13"/>
      <c r="AC770" s="13"/>
    </row>
    <row r="771" ht="16.5" customHeight="1">
      <c r="A771" s="13"/>
      <c r="B771" s="13"/>
      <c r="C771" s="13"/>
      <c r="D771" s="13"/>
      <c r="E771" s="13"/>
      <c r="F771" s="13"/>
      <c r="G771" s="13"/>
      <c r="H771" s="13"/>
      <c r="I771" s="13"/>
      <c r="J771" s="13"/>
      <c r="K771" s="171"/>
      <c r="L771" s="172"/>
      <c r="M771" s="13"/>
      <c r="N771" s="13"/>
      <c r="O771" s="171"/>
      <c r="P771" s="13"/>
      <c r="Q771" s="13"/>
      <c r="R771" s="173"/>
      <c r="S771" s="35"/>
      <c r="T771" s="35"/>
      <c r="U771" s="13"/>
      <c r="V771" s="13"/>
      <c r="W771" s="13"/>
      <c r="X771" s="13"/>
      <c r="Y771" s="13"/>
      <c r="Z771" s="13"/>
      <c r="AA771" s="13"/>
      <c r="AB771" s="13"/>
      <c r="AC771" s="13"/>
    </row>
    <row r="772" ht="16.5" customHeight="1">
      <c r="A772" s="13"/>
      <c r="B772" s="13"/>
      <c r="C772" s="13"/>
      <c r="D772" s="13"/>
      <c r="E772" s="13"/>
      <c r="F772" s="13"/>
      <c r="G772" s="13"/>
      <c r="H772" s="13"/>
      <c r="I772" s="13"/>
      <c r="J772" s="13"/>
      <c r="K772" s="171"/>
      <c r="L772" s="172"/>
      <c r="M772" s="13"/>
      <c r="N772" s="13"/>
      <c r="O772" s="171"/>
      <c r="P772" s="13"/>
      <c r="Q772" s="13"/>
      <c r="R772" s="173"/>
      <c r="S772" s="35"/>
      <c r="T772" s="35"/>
      <c r="U772" s="13"/>
      <c r="V772" s="13"/>
      <c r="W772" s="13"/>
      <c r="X772" s="13"/>
      <c r="Y772" s="13"/>
      <c r="Z772" s="13"/>
      <c r="AA772" s="13"/>
      <c r="AB772" s="13"/>
      <c r="AC772" s="13"/>
    </row>
    <row r="773" ht="16.5" customHeight="1">
      <c r="A773" s="13"/>
      <c r="B773" s="13"/>
      <c r="C773" s="13"/>
      <c r="D773" s="13"/>
      <c r="E773" s="13"/>
      <c r="F773" s="13"/>
      <c r="G773" s="13"/>
      <c r="H773" s="13"/>
      <c r="I773" s="13"/>
      <c r="J773" s="13"/>
      <c r="K773" s="171"/>
      <c r="L773" s="172"/>
      <c r="M773" s="13"/>
      <c r="N773" s="13"/>
      <c r="O773" s="171"/>
      <c r="P773" s="13"/>
      <c r="Q773" s="13"/>
      <c r="R773" s="173"/>
      <c r="S773" s="35"/>
      <c r="T773" s="35"/>
      <c r="U773" s="13"/>
      <c r="V773" s="13"/>
      <c r="W773" s="13"/>
      <c r="X773" s="13"/>
      <c r="Y773" s="13"/>
      <c r="Z773" s="13"/>
      <c r="AA773" s="13"/>
      <c r="AB773" s="13"/>
      <c r="AC773" s="13"/>
    </row>
    <row r="774" ht="16.5" customHeight="1">
      <c r="A774" s="13"/>
      <c r="B774" s="13"/>
      <c r="C774" s="13"/>
      <c r="D774" s="13"/>
      <c r="E774" s="13"/>
      <c r="F774" s="13"/>
      <c r="G774" s="13"/>
      <c r="H774" s="13"/>
      <c r="I774" s="13"/>
      <c r="J774" s="13"/>
      <c r="K774" s="171"/>
      <c r="L774" s="172"/>
      <c r="M774" s="13"/>
      <c r="N774" s="13"/>
      <c r="O774" s="171"/>
      <c r="P774" s="13"/>
      <c r="Q774" s="13"/>
      <c r="R774" s="173"/>
      <c r="S774" s="35"/>
      <c r="T774" s="35"/>
      <c r="U774" s="13"/>
      <c r="V774" s="13"/>
      <c r="W774" s="13"/>
      <c r="X774" s="13"/>
      <c r="Y774" s="13"/>
      <c r="Z774" s="13"/>
      <c r="AA774" s="13"/>
      <c r="AB774" s="13"/>
      <c r="AC774" s="13"/>
    </row>
    <row r="775" ht="16.5" customHeight="1">
      <c r="A775" s="13"/>
      <c r="B775" s="13"/>
      <c r="C775" s="13"/>
      <c r="D775" s="13"/>
      <c r="E775" s="13"/>
      <c r="F775" s="13"/>
      <c r="G775" s="13"/>
      <c r="H775" s="13"/>
      <c r="I775" s="13"/>
      <c r="J775" s="13"/>
      <c r="K775" s="171"/>
      <c r="L775" s="172"/>
      <c r="M775" s="13"/>
      <c r="N775" s="13"/>
      <c r="O775" s="171"/>
      <c r="P775" s="13"/>
      <c r="Q775" s="13"/>
      <c r="R775" s="173"/>
      <c r="S775" s="35"/>
      <c r="T775" s="35"/>
      <c r="U775" s="13"/>
      <c r="V775" s="13"/>
      <c r="W775" s="13"/>
      <c r="X775" s="13"/>
      <c r="Y775" s="13"/>
      <c r="Z775" s="13"/>
      <c r="AA775" s="13"/>
      <c r="AB775" s="13"/>
      <c r="AC775" s="13"/>
    </row>
    <row r="776" ht="16.5" customHeight="1">
      <c r="A776" s="13"/>
      <c r="B776" s="13"/>
      <c r="C776" s="13"/>
      <c r="D776" s="13"/>
      <c r="E776" s="13"/>
      <c r="F776" s="13"/>
      <c r="G776" s="13"/>
      <c r="H776" s="13"/>
      <c r="I776" s="13"/>
      <c r="J776" s="13"/>
      <c r="K776" s="171"/>
      <c r="L776" s="172"/>
      <c r="M776" s="13"/>
      <c r="N776" s="13"/>
      <c r="O776" s="171"/>
      <c r="P776" s="13"/>
      <c r="Q776" s="13"/>
      <c r="R776" s="173"/>
      <c r="S776" s="35"/>
      <c r="T776" s="35"/>
      <c r="U776" s="13"/>
      <c r="V776" s="13"/>
      <c r="W776" s="13"/>
      <c r="X776" s="13"/>
      <c r="Y776" s="13"/>
      <c r="Z776" s="13"/>
      <c r="AA776" s="13"/>
      <c r="AB776" s="13"/>
      <c r="AC776" s="13"/>
    </row>
    <row r="777" ht="16.5" customHeight="1">
      <c r="A777" s="13"/>
      <c r="B777" s="13"/>
      <c r="C777" s="13"/>
      <c r="D777" s="13"/>
      <c r="E777" s="13"/>
      <c r="F777" s="13"/>
      <c r="G777" s="13"/>
      <c r="H777" s="13"/>
      <c r="I777" s="13"/>
      <c r="J777" s="13"/>
      <c r="K777" s="171"/>
      <c r="L777" s="172"/>
      <c r="M777" s="13"/>
      <c r="N777" s="13"/>
      <c r="O777" s="171"/>
      <c r="P777" s="13"/>
      <c r="Q777" s="13"/>
      <c r="R777" s="173"/>
      <c r="S777" s="35"/>
      <c r="T777" s="35"/>
      <c r="U777" s="13"/>
      <c r="V777" s="13"/>
      <c r="W777" s="13"/>
      <c r="X777" s="13"/>
      <c r="Y777" s="13"/>
      <c r="Z777" s="13"/>
      <c r="AA777" s="13"/>
      <c r="AB777" s="13"/>
      <c r="AC777" s="13"/>
    </row>
    <row r="778" ht="16.5" customHeight="1">
      <c r="A778" s="13"/>
      <c r="B778" s="13"/>
      <c r="C778" s="13"/>
      <c r="D778" s="13"/>
      <c r="E778" s="13"/>
      <c r="F778" s="13"/>
      <c r="G778" s="13"/>
      <c r="H778" s="13"/>
      <c r="I778" s="13"/>
      <c r="J778" s="13"/>
      <c r="K778" s="171"/>
      <c r="L778" s="172"/>
      <c r="M778" s="13"/>
      <c r="N778" s="13"/>
      <c r="O778" s="171"/>
      <c r="P778" s="13"/>
      <c r="Q778" s="13"/>
      <c r="R778" s="173"/>
      <c r="S778" s="35"/>
      <c r="T778" s="35"/>
      <c r="U778" s="13"/>
      <c r="V778" s="13"/>
      <c r="W778" s="13"/>
      <c r="X778" s="13"/>
      <c r="Y778" s="13"/>
      <c r="Z778" s="13"/>
      <c r="AA778" s="13"/>
      <c r="AB778" s="13"/>
      <c r="AC778" s="13"/>
    </row>
    <row r="779" ht="16.5" customHeight="1">
      <c r="A779" s="13"/>
      <c r="B779" s="13"/>
      <c r="C779" s="13"/>
      <c r="D779" s="13"/>
      <c r="E779" s="13"/>
      <c r="F779" s="13"/>
      <c r="G779" s="13"/>
      <c r="H779" s="13"/>
      <c r="I779" s="13"/>
      <c r="J779" s="13"/>
      <c r="K779" s="171"/>
      <c r="L779" s="172"/>
      <c r="M779" s="13"/>
      <c r="N779" s="13"/>
      <c r="O779" s="171"/>
      <c r="P779" s="13"/>
      <c r="Q779" s="13"/>
      <c r="R779" s="173"/>
      <c r="S779" s="35"/>
      <c r="T779" s="35"/>
      <c r="U779" s="13"/>
      <c r="V779" s="13"/>
      <c r="W779" s="13"/>
      <c r="X779" s="13"/>
      <c r="Y779" s="13"/>
      <c r="Z779" s="13"/>
      <c r="AA779" s="13"/>
      <c r="AB779" s="13"/>
      <c r="AC779" s="13"/>
    </row>
    <row r="780" ht="16.5" customHeight="1">
      <c r="A780" s="13"/>
      <c r="B780" s="13"/>
      <c r="C780" s="13"/>
      <c r="D780" s="13"/>
      <c r="E780" s="13"/>
      <c r="F780" s="13"/>
      <c r="G780" s="13"/>
      <c r="H780" s="13"/>
      <c r="I780" s="13"/>
      <c r="J780" s="13"/>
      <c r="K780" s="171"/>
      <c r="L780" s="172"/>
      <c r="M780" s="13"/>
      <c r="N780" s="13"/>
      <c r="O780" s="171"/>
      <c r="P780" s="13"/>
      <c r="Q780" s="13"/>
      <c r="R780" s="173"/>
      <c r="S780" s="35"/>
      <c r="T780" s="35"/>
      <c r="U780" s="13"/>
      <c r="V780" s="13"/>
      <c r="W780" s="13"/>
      <c r="X780" s="13"/>
      <c r="Y780" s="13"/>
      <c r="Z780" s="13"/>
      <c r="AA780" s="13"/>
      <c r="AB780" s="13"/>
      <c r="AC780" s="13"/>
    </row>
    <row r="781" ht="16.5" customHeight="1">
      <c r="A781" s="13"/>
      <c r="B781" s="13"/>
      <c r="C781" s="13"/>
      <c r="D781" s="13"/>
      <c r="E781" s="13"/>
      <c r="F781" s="13"/>
      <c r="G781" s="13"/>
      <c r="H781" s="13"/>
      <c r="I781" s="13"/>
      <c r="J781" s="13"/>
      <c r="K781" s="171"/>
      <c r="L781" s="172"/>
      <c r="M781" s="13"/>
      <c r="N781" s="13"/>
      <c r="O781" s="171"/>
      <c r="P781" s="13"/>
      <c r="Q781" s="13"/>
      <c r="R781" s="173"/>
      <c r="S781" s="35"/>
      <c r="T781" s="35"/>
      <c r="U781" s="13"/>
      <c r="V781" s="13"/>
      <c r="W781" s="13"/>
      <c r="X781" s="13"/>
      <c r="Y781" s="13"/>
      <c r="Z781" s="13"/>
      <c r="AA781" s="13"/>
      <c r="AB781" s="13"/>
      <c r="AC781" s="13"/>
    </row>
    <row r="782" ht="16.5" customHeight="1">
      <c r="A782" s="13"/>
      <c r="B782" s="13"/>
      <c r="C782" s="13"/>
      <c r="D782" s="13"/>
      <c r="E782" s="13"/>
      <c r="F782" s="13"/>
      <c r="G782" s="13"/>
      <c r="H782" s="13"/>
      <c r="I782" s="13"/>
      <c r="J782" s="13"/>
      <c r="K782" s="171"/>
      <c r="L782" s="172"/>
      <c r="M782" s="13"/>
      <c r="N782" s="13"/>
      <c r="O782" s="171"/>
      <c r="P782" s="13"/>
      <c r="Q782" s="13"/>
      <c r="R782" s="173"/>
      <c r="S782" s="35"/>
      <c r="T782" s="35"/>
      <c r="U782" s="13"/>
      <c r="V782" s="13"/>
      <c r="W782" s="13"/>
      <c r="X782" s="13"/>
      <c r="Y782" s="13"/>
      <c r="Z782" s="13"/>
      <c r="AA782" s="13"/>
      <c r="AB782" s="13"/>
      <c r="AC782" s="13"/>
    </row>
    <row r="783" ht="16.5" customHeight="1">
      <c r="A783" s="13"/>
      <c r="B783" s="13"/>
      <c r="C783" s="13"/>
      <c r="D783" s="13"/>
      <c r="E783" s="13"/>
      <c r="F783" s="13"/>
      <c r="G783" s="13"/>
      <c r="H783" s="13"/>
      <c r="I783" s="13"/>
      <c r="J783" s="13"/>
      <c r="K783" s="171"/>
      <c r="L783" s="172"/>
      <c r="M783" s="13"/>
      <c r="N783" s="13"/>
      <c r="O783" s="171"/>
      <c r="P783" s="13"/>
      <c r="Q783" s="13"/>
      <c r="R783" s="173"/>
      <c r="S783" s="35"/>
      <c r="T783" s="35"/>
      <c r="U783" s="13"/>
      <c r="V783" s="13"/>
      <c r="W783" s="13"/>
      <c r="X783" s="13"/>
      <c r="Y783" s="13"/>
      <c r="Z783" s="13"/>
      <c r="AA783" s="13"/>
      <c r="AB783" s="13"/>
      <c r="AC783" s="13"/>
    </row>
    <row r="784" ht="16.5" customHeight="1">
      <c r="A784" s="13"/>
      <c r="B784" s="13"/>
      <c r="C784" s="13"/>
      <c r="D784" s="13"/>
      <c r="E784" s="13"/>
      <c r="F784" s="13"/>
      <c r="G784" s="13"/>
      <c r="H784" s="13"/>
      <c r="I784" s="13"/>
      <c r="J784" s="13"/>
      <c r="K784" s="171"/>
      <c r="L784" s="172"/>
      <c r="M784" s="13"/>
      <c r="N784" s="13"/>
      <c r="O784" s="171"/>
      <c r="P784" s="13"/>
      <c r="Q784" s="13"/>
      <c r="R784" s="173"/>
      <c r="S784" s="35"/>
      <c r="T784" s="35"/>
      <c r="U784" s="13"/>
      <c r="V784" s="13"/>
      <c r="W784" s="13"/>
      <c r="X784" s="13"/>
      <c r="Y784" s="13"/>
      <c r="Z784" s="13"/>
      <c r="AA784" s="13"/>
      <c r="AB784" s="13"/>
      <c r="AC784" s="13"/>
    </row>
    <row r="785" ht="16.5" customHeight="1">
      <c r="A785" s="13"/>
      <c r="B785" s="13"/>
      <c r="C785" s="13"/>
      <c r="D785" s="13"/>
      <c r="E785" s="13"/>
      <c r="F785" s="13"/>
      <c r="G785" s="13"/>
      <c r="H785" s="13"/>
      <c r="I785" s="13"/>
      <c r="J785" s="13"/>
      <c r="K785" s="171"/>
      <c r="L785" s="172"/>
      <c r="M785" s="13"/>
      <c r="N785" s="13"/>
      <c r="O785" s="171"/>
      <c r="P785" s="13"/>
      <c r="Q785" s="13"/>
      <c r="R785" s="173"/>
      <c r="S785" s="35"/>
      <c r="T785" s="35"/>
      <c r="U785" s="13"/>
      <c r="V785" s="13"/>
      <c r="W785" s="13"/>
      <c r="X785" s="13"/>
      <c r="Y785" s="13"/>
      <c r="Z785" s="13"/>
      <c r="AA785" s="13"/>
      <c r="AB785" s="13"/>
      <c r="AC785" s="13"/>
    </row>
    <row r="786" ht="16.5" customHeight="1">
      <c r="A786" s="13"/>
      <c r="B786" s="13"/>
      <c r="C786" s="13"/>
      <c r="D786" s="13"/>
      <c r="E786" s="13"/>
      <c r="F786" s="13"/>
      <c r="G786" s="13"/>
      <c r="H786" s="13"/>
      <c r="I786" s="13"/>
      <c r="J786" s="13"/>
      <c r="K786" s="171"/>
      <c r="L786" s="172"/>
      <c r="M786" s="13"/>
      <c r="N786" s="13"/>
      <c r="O786" s="171"/>
      <c r="P786" s="13"/>
      <c r="Q786" s="13"/>
      <c r="R786" s="173"/>
      <c r="S786" s="35"/>
      <c r="T786" s="35"/>
      <c r="U786" s="13"/>
      <c r="V786" s="13"/>
      <c r="W786" s="13"/>
      <c r="X786" s="13"/>
      <c r="Y786" s="13"/>
      <c r="Z786" s="13"/>
      <c r="AA786" s="13"/>
      <c r="AB786" s="13"/>
      <c r="AC786" s="13"/>
    </row>
    <row r="787" ht="16.5" customHeight="1">
      <c r="A787" s="13"/>
      <c r="B787" s="13"/>
      <c r="C787" s="13"/>
      <c r="D787" s="13"/>
      <c r="E787" s="13"/>
      <c r="F787" s="13"/>
      <c r="G787" s="13"/>
      <c r="H787" s="13"/>
      <c r="I787" s="13"/>
      <c r="J787" s="13"/>
      <c r="K787" s="171"/>
      <c r="L787" s="172"/>
      <c r="M787" s="13"/>
      <c r="N787" s="13"/>
      <c r="O787" s="171"/>
      <c r="P787" s="13"/>
      <c r="Q787" s="13"/>
      <c r="R787" s="173"/>
      <c r="S787" s="35"/>
      <c r="T787" s="35"/>
      <c r="U787" s="13"/>
      <c r="V787" s="13"/>
      <c r="W787" s="13"/>
      <c r="X787" s="13"/>
      <c r="Y787" s="13"/>
      <c r="Z787" s="13"/>
      <c r="AA787" s="13"/>
      <c r="AB787" s="13"/>
      <c r="AC787" s="13"/>
    </row>
    <row r="788" ht="16.5" customHeight="1">
      <c r="A788" s="13"/>
      <c r="B788" s="13"/>
      <c r="C788" s="13"/>
      <c r="D788" s="13"/>
      <c r="E788" s="13"/>
      <c r="F788" s="13"/>
      <c r="G788" s="13"/>
      <c r="H788" s="13"/>
      <c r="I788" s="13"/>
      <c r="J788" s="13"/>
      <c r="K788" s="171"/>
      <c r="L788" s="172"/>
      <c r="M788" s="13"/>
      <c r="N788" s="13"/>
      <c r="O788" s="171"/>
      <c r="P788" s="13"/>
      <c r="Q788" s="13"/>
      <c r="R788" s="173"/>
      <c r="S788" s="35"/>
      <c r="T788" s="35"/>
      <c r="U788" s="13"/>
      <c r="V788" s="13"/>
      <c r="W788" s="13"/>
      <c r="X788" s="13"/>
      <c r="Y788" s="13"/>
      <c r="Z788" s="13"/>
      <c r="AA788" s="13"/>
      <c r="AB788" s="13"/>
      <c r="AC788" s="13"/>
    </row>
    <row r="789" ht="16.5" customHeight="1">
      <c r="A789" s="13"/>
      <c r="B789" s="13"/>
      <c r="C789" s="13"/>
      <c r="D789" s="13"/>
      <c r="E789" s="13"/>
      <c r="F789" s="13"/>
      <c r="G789" s="13"/>
      <c r="H789" s="13"/>
      <c r="I789" s="13"/>
      <c r="J789" s="13"/>
      <c r="K789" s="171"/>
      <c r="L789" s="172"/>
      <c r="M789" s="13"/>
      <c r="N789" s="13"/>
      <c r="O789" s="171"/>
      <c r="P789" s="13"/>
      <c r="Q789" s="13"/>
      <c r="R789" s="173"/>
      <c r="S789" s="35"/>
      <c r="T789" s="35"/>
      <c r="U789" s="13"/>
      <c r="V789" s="13"/>
      <c r="W789" s="13"/>
      <c r="X789" s="13"/>
      <c r="Y789" s="13"/>
      <c r="Z789" s="13"/>
      <c r="AA789" s="13"/>
      <c r="AB789" s="13"/>
      <c r="AC789" s="13"/>
    </row>
    <row r="790" ht="16.5" customHeight="1">
      <c r="A790" s="13"/>
      <c r="B790" s="13"/>
      <c r="C790" s="13"/>
      <c r="D790" s="13"/>
      <c r="E790" s="13"/>
      <c r="F790" s="13"/>
      <c r="G790" s="13"/>
      <c r="H790" s="13"/>
      <c r="I790" s="13"/>
      <c r="J790" s="13"/>
      <c r="K790" s="171"/>
      <c r="L790" s="172"/>
      <c r="M790" s="13"/>
      <c r="N790" s="13"/>
      <c r="O790" s="171"/>
      <c r="P790" s="13"/>
      <c r="Q790" s="13"/>
      <c r="R790" s="173"/>
      <c r="S790" s="35"/>
      <c r="T790" s="35"/>
      <c r="U790" s="13"/>
      <c r="V790" s="13"/>
      <c r="W790" s="13"/>
      <c r="X790" s="13"/>
      <c r="Y790" s="13"/>
      <c r="Z790" s="13"/>
      <c r="AA790" s="13"/>
      <c r="AB790" s="13"/>
      <c r="AC790" s="13"/>
    </row>
    <row r="791" ht="16.5" customHeight="1">
      <c r="A791" s="13"/>
      <c r="B791" s="13"/>
      <c r="C791" s="13"/>
      <c r="D791" s="13"/>
      <c r="E791" s="13"/>
      <c r="F791" s="13"/>
      <c r="G791" s="13"/>
      <c r="H791" s="13"/>
      <c r="I791" s="13"/>
      <c r="J791" s="13"/>
      <c r="K791" s="171"/>
      <c r="L791" s="172"/>
      <c r="M791" s="13"/>
      <c r="N791" s="13"/>
      <c r="O791" s="171"/>
      <c r="P791" s="13"/>
      <c r="Q791" s="13"/>
      <c r="R791" s="173"/>
      <c r="S791" s="35"/>
      <c r="T791" s="35"/>
      <c r="U791" s="13"/>
      <c r="V791" s="13"/>
      <c r="W791" s="13"/>
      <c r="X791" s="13"/>
      <c r="Y791" s="13"/>
      <c r="Z791" s="13"/>
      <c r="AA791" s="13"/>
      <c r="AB791" s="13"/>
      <c r="AC791" s="13"/>
    </row>
    <row r="792" ht="16.5" customHeight="1">
      <c r="A792" s="13"/>
      <c r="B792" s="13"/>
      <c r="C792" s="13"/>
      <c r="D792" s="13"/>
      <c r="E792" s="13"/>
      <c r="F792" s="13"/>
      <c r="G792" s="13"/>
      <c r="H792" s="13"/>
      <c r="I792" s="13"/>
      <c r="J792" s="13"/>
      <c r="K792" s="171"/>
      <c r="L792" s="172"/>
      <c r="M792" s="13"/>
      <c r="N792" s="13"/>
      <c r="O792" s="171"/>
      <c r="P792" s="13"/>
      <c r="Q792" s="13"/>
      <c r="R792" s="173"/>
      <c r="S792" s="35"/>
      <c r="T792" s="35"/>
      <c r="U792" s="13"/>
      <c r="V792" s="13"/>
      <c r="W792" s="13"/>
      <c r="X792" s="13"/>
      <c r="Y792" s="13"/>
      <c r="Z792" s="13"/>
      <c r="AA792" s="13"/>
      <c r="AB792" s="13"/>
      <c r="AC792" s="13"/>
    </row>
    <row r="793" ht="16.5" customHeight="1">
      <c r="A793" s="13"/>
      <c r="B793" s="13"/>
      <c r="C793" s="13"/>
      <c r="D793" s="13"/>
      <c r="E793" s="13"/>
      <c r="F793" s="13"/>
      <c r="G793" s="13"/>
      <c r="H793" s="13"/>
      <c r="I793" s="13"/>
      <c r="J793" s="13"/>
      <c r="K793" s="171"/>
      <c r="L793" s="172"/>
      <c r="M793" s="13"/>
      <c r="N793" s="13"/>
      <c r="O793" s="171"/>
      <c r="P793" s="13"/>
      <c r="Q793" s="13"/>
      <c r="R793" s="173"/>
      <c r="S793" s="35"/>
      <c r="T793" s="35"/>
      <c r="U793" s="13"/>
      <c r="V793" s="13"/>
      <c r="W793" s="13"/>
      <c r="X793" s="13"/>
      <c r="Y793" s="13"/>
      <c r="Z793" s="13"/>
      <c r="AA793" s="13"/>
      <c r="AB793" s="13"/>
      <c r="AC793" s="13"/>
    </row>
    <row r="794" ht="16.5" customHeight="1">
      <c r="A794" s="13"/>
      <c r="B794" s="13"/>
      <c r="C794" s="13"/>
      <c r="D794" s="13"/>
      <c r="E794" s="13"/>
      <c r="F794" s="13"/>
      <c r="G794" s="13"/>
      <c r="H794" s="13"/>
      <c r="I794" s="13"/>
      <c r="J794" s="13"/>
      <c r="K794" s="171"/>
      <c r="L794" s="172"/>
      <c r="M794" s="13"/>
      <c r="N794" s="13"/>
      <c r="O794" s="171"/>
      <c r="P794" s="13"/>
      <c r="Q794" s="13"/>
      <c r="R794" s="173"/>
      <c r="S794" s="35"/>
      <c r="T794" s="35"/>
      <c r="U794" s="13"/>
      <c r="V794" s="13"/>
      <c r="W794" s="13"/>
      <c r="X794" s="13"/>
      <c r="Y794" s="13"/>
      <c r="Z794" s="13"/>
      <c r="AA794" s="13"/>
      <c r="AB794" s="13"/>
      <c r="AC794" s="13"/>
    </row>
    <row r="795" ht="16.5" customHeight="1">
      <c r="A795" s="13"/>
      <c r="B795" s="13"/>
      <c r="C795" s="13"/>
      <c r="D795" s="13"/>
      <c r="E795" s="13"/>
      <c r="F795" s="13"/>
      <c r="G795" s="13"/>
      <c r="H795" s="13"/>
      <c r="I795" s="13"/>
      <c r="J795" s="13"/>
      <c r="K795" s="171"/>
      <c r="L795" s="172"/>
      <c r="M795" s="13"/>
      <c r="N795" s="13"/>
      <c r="O795" s="171"/>
      <c r="P795" s="13"/>
      <c r="Q795" s="13"/>
      <c r="R795" s="173"/>
      <c r="S795" s="35"/>
      <c r="T795" s="35"/>
      <c r="U795" s="13"/>
      <c r="V795" s="13"/>
      <c r="W795" s="13"/>
      <c r="X795" s="13"/>
      <c r="Y795" s="13"/>
      <c r="Z795" s="13"/>
      <c r="AA795" s="13"/>
      <c r="AB795" s="13"/>
      <c r="AC795" s="13"/>
    </row>
    <row r="796" ht="16.5" customHeight="1">
      <c r="A796" s="13"/>
      <c r="B796" s="13"/>
      <c r="C796" s="13"/>
      <c r="D796" s="13"/>
      <c r="E796" s="13"/>
      <c r="F796" s="13"/>
      <c r="G796" s="13"/>
      <c r="H796" s="13"/>
      <c r="I796" s="13"/>
      <c r="J796" s="13"/>
      <c r="K796" s="171"/>
      <c r="L796" s="172"/>
      <c r="M796" s="13"/>
      <c r="N796" s="13"/>
      <c r="O796" s="171"/>
      <c r="P796" s="13"/>
      <c r="Q796" s="13"/>
      <c r="R796" s="173"/>
      <c r="S796" s="35"/>
      <c r="T796" s="35"/>
      <c r="U796" s="13"/>
      <c r="V796" s="13"/>
      <c r="W796" s="13"/>
      <c r="X796" s="13"/>
      <c r="Y796" s="13"/>
      <c r="Z796" s="13"/>
      <c r="AA796" s="13"/>
      <c r="AB796" s="13"/>
      <c r="AC796" s="13"/>
    </row>
    <row r="797" ht="16.5" customHeight="1">
      <c r="A797" s="13"/>
      <c r="B797" s="13"/>
      <c r="C797" s="13"/>
      <c r="D797" s="13"/>
      <c r="E797" s="13"/>
      <c r="F797" s="13"/>
      <c r="G797" s="13"/>
      <c r="H797" s="13"/>
      <c r="I797" s="13"/>
      <c r="J797" s="13"/>
      <c r="K797" s="171"/>
      <c r="L797" s="172"/>
      <c r="M797" s="13"/>
      <c r="N797" s="13"/>
      <c r="O797" s="171"/>
      <c r="P797" s="13"/>
      <c r="Q797" s="13"/>
      <c r="R797" s="173"/>
      <c r="S797" s="35"/>
      <c r="T797" s="35"/>
      <c r="U797" s="13"/>
      <c r="V797" s="13"/>
      <c r="W797" s="13"/>
      <c r="X797" s="13"/>
      <c r="Y797" s="13"/>
      <c r="Z797" s="13"/>
      <c r="AA797" s="13"/>
      <c r="AB797" s="13"/>
      <c r="AC797" s="13"/>
    </row>
    <row r="798" ht="16.5" customHeight="1">
      <c r="A798" s="13"/>
      <c r="B798" s="13"/>
      <c r="C798" s="13"/>
      <c r="D798" s="13"/>
      <c r="E798" s="13"/>
      <c r="F798" s="13"/>
      <c r="G798" s="13"/>
      <c r="H798" s="13"/>
      <c r="I798" s="13"/>
      <c r="J798" s="13"/>
      <c r="K798" s="171"/>
      <c r="L798" s="172"/>
      <c r="M798" s="13"/>
      <c r="N798" s="13"/>
      <c r="O798" s="171"/>
      <c r="P798" s="13"/>
      <c r="Q798" s="13"/>
      <c r="R798" s="173"/>
      <c r="S798" s="35"/>
      <c r="T798" s="35"/>
      <c r="U798" s="13"/>
      <c r="V798" s="13"/>
      <c r="W798" s="13"/>
      <c r="X798" s="13"/>
      <c r="Y798" s="13"/>
      <c r="Z798" s="13"/>
      <c r="AA798" s="13"/>
      <c r="AB798" s="13"/>
      <c r="AC798" s="13"/>
    </row>
    <row r="799" ht="16.5" customHeight="1">
      <c r="A799" s="13"/>
      <c r="B799" s="13"/>
      <c r="C799" s="13"/>
      <c r="D799" s="13"/>
      <c r="E799" s="13"/>
      <c r="F799" s="13"/>
      <c r="G799" s="13"/>
      <c r="H799" s="13"/>
      <c r="I799" s="13"/>
      <c r="J799" s="13"/>
      <c r="K799" s="171"/>
      <c r="L799" s="172"/>
      <c r="M799" s="13"/>
      <c r="N799" s="13"/>
      <c r="O799" s="171"/>
      <c r="P799" s="13"/>
      <c r="Q799" s="13"/>
      <c r="R799" s="173"/>
      <c r="S799" s="35"/>
      <c r="T799" s="35"/>
      <c r="U799" s="13"/>
      <c r="V799" s="13"/>
      <c r="W799" s="13"/>
      <c r="X799" s="13"/>
      <c r="Y799" s="13"/>
      <c r="Z799" s="13"/>
      <c r="AA799" s="13"/>
      <c r="AB799" s="13"/>
      <c r="AC799" s="13"/>
    </row>
    <row r="800" ht="16.5" customHeight="1">
      <c r="A800" s="13"/>
      <c r="B800" s="13"/>
      <c r="C800" s="13"/>
      <c r="D800" s="13"/>
      <c r="E800" s="13"/>
      <c r="F800" s="13"/>
      <c r="G800" s="13"/>
      <c r="H800" s="13"/>
      <c r="I800" s="13"/>
      <c r="J800" s="13"/>
      <c r="K800" s="171"/>
      <c r="L800" s="172"/>
      <c r="M800" s="13"/>
      <c r="N800" s="13"/>
      <c r="O800" s="171"/>
      <c r="P800" s="13"/>
      <c r="Q800" s="13"/>
      <c r="R800" s="173"/>
      <c r="S800" s="35"/>
      <c r="T800" s="35"/>
      <c r="U800" s="13"/>
      <c r="V800" s="13"/>
      <c r="W800" s="13"/>
      <c r="X800" s="13"/>
      <c r="Y800" s="13"/>
      <c r="Z800" s="13"/>
      <c r="AA800" s="13"/>
      <c r="AB800" s="13"/>
      <c r="AC800" s="13"/>
    </row>
    <row r="801" ht="16.5" customHeight="1">
      <c r="A801" s="13"/>
      <c r="B801" s="13"/>
      <c r="C801" s="13"/>
      <c r="D801" s="13"/>
      <c r="E801" s="13"/>
      <c r="F801" s="13"/>
      <c r="G801" s="13"/>
      <c r="H801" s="13"/>
      <c r="I801" s="13"/>
      <c r="J801" s="13"/>
      <c r="K801" s="171"/>
      <c r="L801" s="172"/>
      <c r="M801" s="13"/>
      <c r="N801" s="13"/>
      <c r="O801" s="171"/>
      <c r="P801" s="13"/>
      <c r="Q801" s="13"/>
      <c r="R801" s="173"/>
      <c r="S801" s="35"/>
      <c r="T801" s="35"/>
      <c r="U801" s="13"/>
      <c r="V801" s="13"/>
      <c r="W801" s="13"/>
      <c r="X801" s="13"/>
      <c r="Y801" s="13"/>
      <c r="Z801" s="13"/>
      <c r="AA801" s="13"/>
      <c r="AB801" s="13"/>
      <c r="AC801" s="13"/>
    </row>
    <row r="802" ht="16.5" customHeight="1">
      <c r="A802" s="13"/>
      <c r="B802" s="13"/>
      <c r="C802" s="13"/>
      <c r="D802" s="13"/>
      <c r="E802" s="13"/>
      <c r="F802" s="13"/>
      <c r="G802" s="13"/>
      <c r="H802" s="13"/>
      <c r="I802" s="13"/>
      <c r="J802" s="13"/>
      <c r="K802" s="171"/>
      <c r="L802" s="172"/>
      <c r="M802" s="13"/>
      <c r="N802" s="13"/>
      <c r="O802" s="171"/>
      <c r="P802" s="13"/>
      <c r="Q802" s="13"/>
      <c r="R802" s="173"/>
      <c r="S802" s="35"/>
      <c r="T802" s="35"/>
      <c r="U802" s="13"/>
      <c r="V802" s="13"/>
      <c r="W802" s="13"/>
      <c r="X802" s="13"/>
      <c r="Y802" s="13"/>
      <c r="Z802" s="13"/>
      <c r="AA802" s="13"/>
      <c r="AB802" s="13"/>
      <c r="AC802" s="13"/>
    </row>
    <row r="803" ht="16.5" customHeight="1">
      <c r="A803" s="13"/>
      <c r="B803" s="13"/>
      <c r="C803" s="13"/>
      <c r="D803" s="13"/>
      <c r="E803" s="13"/>
      <c r="F803" s="13"/>
      <c r="G803" s="13"/>
      <c r="H803" s="13"/>
      <c r="I803" s="13"/>
      <c r="J803" s="13"/>
      <c r="K803" s="171"/>
      <c r="L803" s="172"/>
      <c r="M803" s="13"/>
      <c r="N803" s="13"/>
      <c r="O803" s="171"/>
      <c r="P803" s="13"/>
      <c r="Q803" s="13"/>
      <c r="R803" s="173"/>
      <c r="S803" s="35"/>
      <c r="T803" s="35"/>
      <c r="U803" s="13"/>
      <c r="V803" s="13"/>
      <c r="W803" s="13"/>
      <c r="X803" s="13"/>
      <c r="Y803" s="13"/>
      <c r="Z803" s="13"/>
      <c r="AA803" s="13"/>
      <c r="AB803" s="13"/>
      <c r="AC803" s="13"/>
    </row>
    <row r="804" ht="16.5" customHeight="1">
      <c r="A804" s="13"/>
      <c r="B804" s="13"/>
      <c r="C804" s="13"/>
      <c r="D804" s="13"/>
      <c r="E804" s="13"/>
      <c r="F804" s="13"/>
      <c r="G804" s="13"/>
      <c r="H804" s="13"/>
      <c r="I804" s="13"/>
      <c r="J804" s="13"/>
      <c r="K804" s="171"/>
      <c r="L804" s="172"/>
      <c r="M804" s="13"/>
      <c r="N804" s="13"/>
      <c r="O804" s="171"/>
      <c r="P804" s="13"/>
      <c r="Q804" s="13"/>
      <c r="R804" s="173"/>
      <c r="S804" s="35"/>
      <c r="T804" s="35"/>
      <c r="U804" s="13"/>
      <c r="V804" s="13"/>
      <c r="W804" s="13"/>
      <c r="X804" s="13"/>
      <c r="Y804" s="13"/>
      <c r="Z804" s="13"/>
      <c r="AA804" s="13"/>
      <c r="AB804" s="13"/>
      <c r="AC804" s="13"/>
    </row>
    <row r="805" ht="16.5" customHeight="1">
      <c r="A805" s="13"/>
      <c r="B805" s="13"/>
      <c r="C805" s="13"/>
      <c r="D805" s="13"/>
      <c r="E805" s="13"/>
      <c r="F805" s="13"/>
      <c r="G805" s="13"/>
      <c r="H805" s="13"/>
      <c r="I805" s="13"/>
      <c r="J805" s="13"/>
      <c r="K805" s="171"/>
      <c r="L805" s="172"/>
      <c r="M805" s="13"/>
      <c r="N805" s="13"/>
      <c r="O805" s="171"/>
      <c r="P805" s="13"/>
      <c r="Q805" s="13"/>
      <c r="R805" s="173"/>
      <c r="S805" s="35"/>
      <c r="T805" s="35"/>
      <c r="U805" s="13"/>
      <c r="V805" s="13"/>
      <c r="W805" s="13"/>
      <c r="X805" s="13"/>
      <c r="Y805" s="13"/>
      <c r="Z805" s="13"/>
      <c r="AA805" s="13"/>
      <c r="AB805" s="13"/>
      <c r="AC805" s="13"/>
    </row>
    <row r="806" ht="16.5" customHeight="1">
      <c r="A806" s="13"/>
      <c r="B806" s="13"/>
      <c r="C806" s="13"/>
      <c r="D806" s="13"/>
      <c r="E806" s="13"/>
      <c r="F806" s="13"/>
      <c r="G806" s="13"/>
      <c r="H806" s="13"/>
      <c r="I806" s="13"/>
      <c r="J806" s="13"/>
      <c r="K806" s="171"/>
      <c r="L806" s="172"/>
      <c r="M806" s="13"/>
      <c r="N806" s="13"/>
      <c r="O806" s="171"/>
      <c r="P806" s="13"/>
      <c r="Q806" s="13"/>
      <c r="R806" s="173"/>
      <c r="S806" s="35"/>
      <c r="T806" s="35"/>
      <c r="U806" s="13"/>
      <c r="V806" s="13"/>
      <c r="W806" s="13"/>
      <c r="X806" s="13"/>
      <c r="Y806" s="13"/>
      <c r="Z806" s="13"/>
      <c r="AA806" s="13"/>
      <c r="AB806" s="13"/>
      <c r="AC806" s="13"/>
    </row>
    <row r="807" ht="16.5" customHeight="1">
      <c r="A807" s="13"/>
      <c r="B807" s="13"/>
      <c r="C807" s="13"/>
      <c r="D807" s="13"/>
      <c r="E807" s="13"/>
      <c r="F807" s="13"/>
      <c r="G807" s="13"/>
      <c r="H807" s="13"/>
      <c r="I807" s="13"/>
      <c r="J807" s="13"/>
      <c r="K807" s="171"/>
      <c r="L807" s="172"/>
      <c r="M807" s="13"/>
      <c r="N807" s="13"/>
      <c r="O807" s="171"/>
      <c r="P807" s="13"/>
      <c r="Q807" s="13"/>
      <c r="R807" s="173"/>
      <c r="S807" s="35"/>
      <c r="T807" s="35"/>
      <c r="U807" s="13"/>
      <c r="V807" s="13"/>
      <c r="W807" s="13"/>
      <c r="X807" s="13"/>
      <c r="Y807" s="13"/>
      <c r="Z807" s="13"/>
      <c r="AA807" s="13"/>
      <c r="AB807" s="13"/>
      <c r="AC807" s="13"/>
    </row>
    <row r="808" ht="16.5" customHeight="1">
      <c r="A808" s="13"/>
      <c r="B808" s="13"/>
      <c r="C808" s="13"/>
      <c r="D808" s="13"/>
      <c r="E808" s="13"/>
      <c r="F808" s="13"/>
      <c r="G808" s="13"/>
      <c r="H808" s="13"/>
      <c r="I808" s="13"/>
      <c r="J808" s="13"/>
      <c r="K808" s="171"/>
      <c r="L808" s="172"/>
      <c r="M808" s="13"/>
      <c r="N808" s="13"/>
      <c r="O808" s="171"/>
      <c r="P808" s="13"/>
      <c r="Q808" s="13"/>
      <c r="R808" s="173"/>
      <c r="S808" s="35"/>
      <c r="T808" s="35"/>
      <c r="U808" s="13"/>
      <c r="V808" s="13"/>
      <c r="W808" s="13"/>
      <c r="X808" s="13"/>
      <c r="Y808" s="13"/>
      <c r="Z808" s="13"/>
      <c r="AA808" s="13"/>
      <c r="AB808" s="13"/>
      <c r="AC808" s="13"/>
    </row>
    <row r="809" ht="16.5" customHeight="1">
      <c r="A809" s="13"/>
      <c r="B809" s="13"/>
      <c r="C809" s="13"/>
      <c r="D809" s="13"/>
      <c r="E809" s="13"/>
      <c r="F809" s="13"/>
      <c r="G809" s="13"/>
      <c r="H809" s="13"/>
      <c r="I809" s="13"/>
      <c r="J809" s="13"/>
      <c r="K809" s="171"/>
      <c r="L809" s="172"/>
      <c r="M809" s="13"/>
      <c r="N809" s="13"/>
      <c r="O809" s="171"/>
      <c r="P809" s="13"/>
      <c r="Q809" s="13"/>
      <c r="R809" s="173"/>
      <c r="S809" s="35"/>
      <c r="T809" s="35"/>
      <c r="U809" s="13"/>
      <c r="V809" s="13"/>
      <c r="W809" s="13"/>
      <c r="X809" s="13"/>
      <c r="Y809" s="13"/>
      <c r="Z809" s="13"/>
      <c r="AA809" s="13"/>
      <c r="AB809" s="13"/>
      <c r="AC809" s="13"/>
    </row>
    <row r="810" ht="16.5" customHeight="1">
      <c r="A810" s="13"/>
      <c r="B810" s="13"/>
      <c r="C810" s="13"/>
      <c r="D810" s="13"/>
      <c r="E810" s="13"/>
      <c r="F810" s="13"/>
      <c r="G810" s="13"/>
      <c r="H810" s="13"/>
      <c r="I810" s="13"/>
      <c r="J810" s="13"/>
      <c r="K810" s="171"/>
      <c r="L810" s="172"/>
      <c r="M810" s="13"/>
      <c r="N810" s="13"/>
      <c r="O810" s="171"/>
      <c r="P810" s="13"/>
      <c r="Q810" s="13"/>
      <c r="R810" s="173"/>
      <c r="S810" s="35"/>
      <c r="T810" s="35"/>
      <c r="U810" s="13"/>
      <c r="V810" s="13"/>
      <c r="W810" s="13"/>
      <c r="X810" s="13"/>
      <c r="Y810" s="13"/>
      <c r="Z810" s="13"/>
      <c r="AA810" s="13"/>
      <c r="AB810" s="13"/>
      <c r="AC810" s="13"/>
    </row>
    <row r="811" ht="16.5" customHeight="1">
      <c r="A811" s="13"/>
      <c r="B811" s="13"/>
      <c r="C811" s="13"/>
      <c r="D811" s="13"/>
      <c r="E811" s="13"/>
      <c r="F811" s="13"/>
      <c r="G811" s="13"/>
      <c r="H811" s="13"/>
      <c r="I811" s="13"/>
      <c r="J811" s="13"/>
      <c r="K811" s="171"/>
      <c r="L811" s="172"/>
      <c r="M811" s="13"/>
      <c r="N811" s="13"/>
      <c r="O811" s="171"/>
      <c r="P811" s="13"/>
      <c r="Q811" s="13"/>
      <c r="R811" s="173"/>
      <c r="S811" s="35"/>
      <c r="T811" s="35"/>
      <c r="U811" s="13"/>
      <c r="V811" s="13"/>
      <c r="W811" s="13"/>
      <c r="X811" s="13"/>
      <c r="Y811" s="13"/>
      <c r="Z811" s="13"/>
      <c r="AA811" s="13"/>
      <c r="AB811" s="13"/>
      <c r="AC811" s="13"/>
    </row>
    <row r="812" ht="16.5" customHeight="1">
      <c r="A812" s="13"/>
      <c r="B812" s="13"/>
      <c r="C812" s="13"/>
      <c r="D812" s="13"/>
      <c r="E812" s="13"/>
      <c r="F812" s="13"/>
      <c r="G812" s="13"/>
      <c r="H812" s="13"/>
      <c r="I812" s="13"/>
      <c r="J812" s="13"/>
      <c r="K812" s="171"/>
      <c r="L812" s="172"/>
      <c r="M812" s="13"/>
      <c r="N812" s="13"/>
      <c r="O812" s="171"/>
      <c r="P812" s="13"/>
      <c r="Q812" s="13"/>
      <c r="R812" s="173"/>
      <c r="S812" s="35"/>
      <c r="T812" s="35"/>
      <c r="U812" s="13"/>
      <c r="V812" s="13"/>
      <c r="W812" s="13"/>
      <c r="X812" s="13"/>
      <c r="Y812" s="13"/>
      <c r="Z812" s="13"/>
      <c r="AA812" s="13"/>
      <c r="AB812" s="13"/>
      <c r="AC812" s="13"/>
    </row>
    <row r="813" ht="16.5" customHeight="1">
      <c r="A813" s="13"/>
      <c r="B813" s="13"/>
      <c r="C813" s="13"/>
      <c r="D813" s="13"/>
      <c r="E813" s="13"/>
      <c r="F813" s="13"/>
      <c r="G813" s="13"/>
      <c r="H813" s="13"/>
      <c r="I813" s="13"/>
      <c r="J813" s="13"/>
      <c r="K813" s="171"/>
      <c r="L813" s="172"/>
      <c r="M813" s="13"/>
      <c r="N813" s="13"/>
      <c r="O813" s="171"/>
      <c r="P813" s="13"/>
      <c r="Q813" s="13"/>
      <c r="R813" s="173"/>
      <c r="S813" s="35"/>
      <c r="T813" s="35"/>
      <c r="U813" s="13"/>
      <c r="V813" s="13"/>
      <c r="W813" s="13"/>
      <c r="X813" s="13"/>
      <c r="Y813" s="13"/>
      <c r="Z813" s="13"/>
      <c r="AA813" s="13"/>
      <c r="AB813" s="13"/>
      <c r="AC813" s="13"/>
    </row>
    <row r="814" ht="16.5" customHeight="1">
      <c r="A814" s="13"/>
      <c r="B814" s="13"/>
      <c r="C814" s="13"/>
      <c r="D814" s="13"/>
      <c r="E814" s="13"/>
      <c r="F814" s="13"/>
      <c r="G814" s="13"/>
      <c r="H814" s="13"/>
      <c r="I814" s="13"/>
      <c r="J814" s="13"/>
      <c r="K814" s="171"/>
      <c r="L814" s="172"/>
      <c r="M814" s="13"/>
      <c r="N814" s="13"/>
      <c r="O814" s="171"/>
      <c r="P814" s="13"/>
      <c r="Q814" s="13"/>
      <c r="R814" s="173"/>
      <c r="S814" s="35"/>
      <c r="T814" s="35"/>
      <c r="U814" s="13"/>
      <c r="V814" s="13"/>
      <c r="W814" s="13"/>
      <c r="X814" s="13"/>
      <c r="Y814" s="13"/>
      <c r="Z814" s="13"/>
      <c r="AA814" s="13"/>
      <c r="AB814" s="13"/>
      <c r="AC814" s="13"/>
    </row>
    <row r="815" ht="16.5" customHeight="1">
      <c r="A815" s="13"/>
      <c r="B815" s="13"/>
      <c r="C815" s="13"/>
      <c r="D815" s="13"/>
      <c r="E815" s="13"/>
      <c r="F815" s="13"/>
      <c r="G815" s="13"/>
      <c r="H815" s="13"/>
      <c r="I815" s="13"/>
      <c r="J815" s="13"/>
      <c r="K815" s="171"/>
      <c r="L815" s="172"/>
      <c r="M815" s="13"/>
      <c r="N815" s="13"/>
      <c r="O815" s="171"/>
      <c r="P815" s="13"/>
      <c r="Q815" s="13"/>
      <c r="R815" s="173"/>
      <c r="S815" s="35"/>
      <c r="T815" s="35"/>
      <c r="U815" s="13"/>
      <c r="V815" s="13"/>
      <c r="W815" s="13"/>
      <c r="X815" s="13"/>
      <c r="Y815" s="13"/>
      <c r="Z815" s="13"/>
      <c r="AA815" s="13"/>
      <c r="AB815" s="13"/>
      <c r="AC815" s="13"/>
    </row>
    <row r="816" ht="16.5" customHeight="1">
      <c r="A816" s="13"/>
      <c r="B816" s="13"/>
      <c r="C816" s="13"/>
      <c r="D816" s="13"/>
      <c r="E816" s="13"/>
      <c r="F816" s="13"/>
      <c r="G816" s="13"/>
      <c r="H816" s="13"/>
      <c r="I816" s="13"/>
      <c r="J816" s="13"/>
      <c r="K816" s="171"/>
      <c r="L816" s="172"/>
      <c r="M816" s="13"/>
      <c r="N816" s="13"/>
      <c r="O816" s="171"/>
      <c r="P816" s="13"/>
      <c r="Q816" s="13"/>
      <c r="R816" s="173"/>
      <c r="S816" s="35"/>
      <c r="T816" s="35"/>
      <c r="U816" s="13"/>
      <c r="V816" s="13"/>
      <c r="W816" s="13"/>
      <c r="X816" s="13"/>
      <c r="Y816" s="13"/>
      <c r="Z816" s="13"/>
      <c r="AA816" s="13"/>
      <c r="AB816" s="13"/>
      <c r="AC816" s="13"/>
    </row>
    <row r="817" ht="16.5" customHeight="1">
      <c r="A817" s="13"/>
      <c r="B817" s="13"/>
      <c r="C817" s="13"/>
      <c r="D817" s="13"/>
      <c r="E817" s="13"/>
      <c r="F817" s="13"/>
      <c r="G817" s="13"/>
      <c r="H817" s="13"/>
      <c r="I817" s="13"/>
      <c r="J817" s="13"/>
      <c r="K817" s="171"/>
      <c r="L817" s="172"/>
      <c r="M817" s="13"/>
      <c r="N817" s="13"/>
      <c r="O817" s="171"/>
      <c r="P817" s="13"/>
      <c r="Q817" s="13"/>
      <c r="R817" s="173"/>
      <c r="S817" s="35"/>
      <c r="T817" s="35"/>
      <c r="U817" s="13"/>
      <c r="V817" s="13"/>
      <c r="W817" s="13"/>
      <c r="X817" s="13"/>
      <c r="Y817" s="13"/>
      <c r="Z817" s="13"/>
      <c r="AA817" s="13"/>
      <c r="AB817" s="13"/>
      <c r="AC817" s="13"/>
    </row>
    <row r="818" ht="16.5" customHeight="1">
      <c r="A818" s="13"/>
      <c r="B818" s="13"/>
      <c r="C818" s="13"/>
      <c r="D818" s="13"/>
      <c r="E818" s="13"/>
      <c r="F818" s="13"/>
      <c r="G818" s="13"/>
      <c r="H818" s="13"/>
      <c r="I818" s="13"/>
      <c r="J818" s="13"/>
      <c r="K818" s="171"/>
      <c r="L818" s="172"/>
      <c r="M818" s="13"/>
      <c r="N818" s="13"/>
      <c r="O818" s="171"/>
      <c r="P818" s="13"/>
      <c r="Q818" s="13"/>
      <c r="R818" s="173"/>
      <c r="S818" s="35"/>
      <c r="T818" s="35"/>
      <c r="U818" s="13"/>
      <c r="V818" s="13"/>
      <c r="W818" s="13"/>
      <c r="X818" s="13"/>
      <c r="Y818" s="13"/>
      <c r="Z818" s="13"/>
      <c r="AA818" s="13"/>
      <c r="AB818" s="13"/>
      <c r="AC818" s="13"/>
    </row>
    <row r="819" ht="16.5" customHeight="1">
      <c r="A819" s="13"/>
      <c r="B819" s="13"/>
      <c r="C819" s="13"/>
      <c r="D819" s="13"/>
      <c r="E819" s="13"/>
      <c r="F819" s="13"/>
      <c r="G819" s="13"/>
      <c r="H819" s="13"/>
      <c r="I819" s="13"/>
      <c r="J819" s="13"/>
      <c r="K819" s="171"/>
      <c r="L819" s="172"/>
      <c r="M819" s="13"/>
      <c r="N819" s="13"/>
      <c r="O819" s="171"/>
      <c r="P819" s="13"/>
      <c r="Q819" s="13"/>
      <c r="R819" s="173"/>
      <c r="S819" s="35"/>
      <c r="T819" s="35"/>
      <c r="U819" s="13"/>
      <c r="V819" s="13"/>
      <c r="W819" s="13"/>
      <c r="X819" s="13"/>
      <c r="Y819" s="13"/>
      <c r="Z819" s="13"/>
      <c r="AA819" s="13"/>
      <c r="AB819" s="13"/>
      <c r="AC819" s="13"/>
    </row>
    <row r="820" ht="16.5" customHeight="1">
      <c r="A820" s="13"/>
      <c r="B820" s="13"/>
      <c r="C820" s="13"/>
      <c r="D820" s="13"/>
      <c r="E820" s="13"/>
      <c r="F820" s="13"/>
      <c r="G820" s="13"/>
      <c r="H820" s="13"/>
      <c r="I820" s="13"/>
      <c r="J820" s="13"/>
      <c r="K820" s="171"/>
      <c r="L820" s="172"/>
      <c r="M820" s="13"/>
      <c r="N820" s="13"/>
      <c r="O820" s="171"/>
      <c r="P820" s="13"/>
      <c r="Q820" s="13"/>
      <c r="R820" s="173"/>
      <c r="S820" s="35"/>
      <c r="T820" s="35"/>
      <c r="U820" s="13"/>
      <c r="V820" s="13"/>
      <c r="W820" s="13"/>
      <c r="X820" s="13"/>
      <c r="Y820" s="13"/>
      <c r="Z820" s="13"/>
      <c r="AA820" s="13"/>
      <c r="AB820" s="13"/>
      <c r="AC820" s="13"/>
    </row>
    <row r="821" ht="16.5" customHeight="1">
      <c r="A821" s="13"/>
      <c r="B821" s="13"/>
      <c r="C821" s="13"/>
      <c r="D821" s="13"/>
      <c r="E821" s="13"/>
      <c r="F821" s="13"/>
      <c r="G821" s="13"/>
      <c r="H821" s="13"/>
      <c r="I821" s="13"/>
      <c r="J821" s="13"/>
      <c r="K821" s="171"/>
      <c r="L821" s="172"/>
      <c r="M821" s="13"/>
      <c r="N821" s="13"/>
      <c r="O821" s="171"/>
      <c r="P821" s="13"/>
      <c r="Q821" s="13"/>
      <c r="R821" s="173"/>
      <c r="S821" s="35"/>
      <c r="T821" s="35"/>
      <c r="U821" s="13"/>
      <c r="V821" s="13"/>
      <c r="W821" s="13"/>
      <c r="X821" s="13"/>
      <c r="Y821" s="13"/>
      <c r="Z821" s="13"/>
      <c r="AA821" s="13"/>
      <c r="AB821" s="13"/>
      <c r="AC821" s="13"/>
    </row>
    <row r="822" ht="16.5" customHeight="1">
      <c r="A822" s="13"/>
      <c r="B822" s="13"/>
      <c r="C822" s="13"/>
      <c r="D822" s="13"/>
      <c r="E822" s="13"/>
      <c r="F822" s="13"/>
      <c r="G822" s="13"/>
      <c r="H822" s="13"/>
      <c r="I822" s="13"/>
      <c r="J822" s="13"/>
      <c r="K822" s="171"/>
      <c r="L822" s="172"/>
      <c r="M822" s="13"/>
      <c r="N822" s="13"/>
      <c r="O822" s="171"/>
      <c r="P822" s="13"/>
      <c r="Q822" s="13"/>
      <c r="R822" s="173"/>
      <c r="S822" s="35"/>
      <c r="T822" s="35"/>
      <c r="U822" s="13"/>
      <c r="V822" s="13"/>
      <c r="W822" s="13"/>
      <c r="X822" s="13"/>
      <c r="Y822" s="13"/>
      <c r="Z822" s="13"/>
      <c r="AA822" s="13"/>
      <c r="AB822" s="13"/>
      <c r="AC822" s="13"/>
    </row>
    <row r="823" ht="16.5" customHeight="1">
      <c r="A823" s="13"/>
      <c r="B823" s="13"/>
      <c r="C823" s="13"/>
      <c r="D823" s="13"/>
      <c r="E823" s="13"/>
      <c r="F823" s="13"/>
      <c r="G823" s="13"/>
      <c r="H823" s="13"/>
      <c r="I823" s="13"/>
      <c r="J823" s="13"/>
      <c r="K823" s="171"/>
      <c r="L823" s="172"/>
      <c r="M823" s="13"/>
      <c r="N823" s="13"/>
      <c r="O823" s="171"/>
      <c r="P823" s="13"/>
      <c r="Q823" s="13"/>
      <c r="R823" s="173"/>
      <c r="S823" s="35"/>
      <c r="T823" s="35"/>
      <c r="U823" s="13"/>
      <c r="V823" s="13"/>
      <c r="W823" s="13"/>
      <c r="X823" s="13"/>
      <c r="Y823" s="13"/>
      <c r="Z823" s="13"/>
      <c r="AA823" s="13"/>
      <c r="AB823" s="13"/>
      <c r="AC823" s="13"/>
    </row>
    <row r="824" ht="16.5" customHeight="1">
      <c r="A824" s="13"/>
      <c r="B824" s="13"/>
      <c r="C824" s="13"/>
      <c r="D824" s="13"/>
      <c r="E824" s="13"/>
      <c r="F824" s="13"/>
      <c r="G824" s="13"/>
      <c r="H824" s="13"/>
      <c r="I824" s="13"/>
      <c r="J824" s="13"/>
      <c r="K824" s="171"/>
      <c r="L824" s="172"/>
      <c r="M824" s="13"/>
      <c r="N824" s="13"/>
      <c r="O824" s="171"/>
      <c r="P824" s="13"/>
      <c r="Q824" s="13"/>
      <c r="R824" s="173"/>
      <c r="S824" s="35"/>
      <c r="T824" s="35"/>
      <c r="U824" s="13"/>
      <c r="V824" s="13"/>
      <c r="W824" s="13"/>
      <c r="X824" s="13"/>
      <c r="Y824" s="13"/>
      <c r="Z824" s="13"/>
      <c r="AA824" s="13"/>
      <c r="AB824" s="13"/>
      <c r="AC824" s="13"/>
    </row>
    <row r="825" ht="16.5" customHeight="1">
      <c r="A825" s="13"/>
      <c r="B825" s="13"/>
      <c r="C825" s="13"/>
      <c r="D825" s="13"/>
      <c r="E825" s="13"/>
      <c r="F825" s="13"/>
      <c r="G825" s="13"/>
      <c r="H825" s="13"/>
      <c r="I825" s="13"/>
      <c r="J825" s="13"/>
      <c r="K825" s="171"/>
      <c r="L825" s="172"/>
      <c r="M825" s="13"/>
      <c r="N825" s="13"/>
      <c r="O825" s="171"/>
      <c r="P825" s="13"/>
      <c r="Q825" s="13"/>
      <c r="R825" s="173"/>
      <c r="S825" s="35"/>
      <c r="T825" s="35"/>
      <c r="U825" s="13"/>
      <c r="V825" s="13"/>
      <c r="W825" s="13"/>
      <c r="X825" s="13"/>
      <c r="Y825" s="13"/>
      <c r="Z825" s="13"/>
      <c r="AA825" s="13"/>
      <c r="AB825" s="13"/>
      <c r="AC825" s="13"/>
    </row>
    <row r="826" ht="16.5" customHeight="1">
      <c r="A826" s="13"/>
      <c r="B826" s="13"/>
      <c r="C826" s="13"/>
      <c r="D826" s="13"/>
      <c r="E826" s="13"/>
      <c r="F826" s="13"/>
      <c r="G826" s="13"/>
      <c r="H826" s="13"/>
      <c r="I826" s="13"/>
      <c r="J826" s="13"/>
      <c r="K826" s="171"/>
      <c r="L826" s="172"/>
      <c r="M826" s="13"/>
      <c r="N826" s="13"/>
      <c r="O826" s="171"/>
      <c r="P826" s="13"/>
      <c r="Q826" s="13"/>
      <c r="R826" s="173"/>
      <c r="S826" s="35"/>
      <c r="T826" s="35"/>
      <c r="U826" s="13"/>
      <c r="V826" s="13"/>
      <c r="W826" s="13"/>
      <c r="X826" s="13"/>
      <c r="Y826" s="13"/>
      <c r="Z826" s="13"/>
      <c r="AA826" s="13"/>
      <c r="AB826" s="13"/>
      <c r="AC826" s="13"/>
    </row>
    <row r="827" ht="16.5" customHeight="1">
      <c r="A827" s="13"/>
      <c r="B827" s="13"/>
      <c r="C827" s="13"/>
      <c r="D827" s="13"/>
      <c r="E827" s="13"/>
      <c r="F827" s="13"/>
      <c r="G827" s="13"/>
      <c r="H827" s="13"/>
      <c r="I827" s="13"/>
      <c r="J827" s="13"/>
      <c r="K827" s="171"/>
      <c r="L827" s="172"/>
      <c r="M827" s="13"/>
      <c r="N827" s="13"/>
      <c r="O827" s="171"/>
      <c r="P827" s="13"/>
      <c r="Q827" s="13"/>
      <c r="R827" s="173"/>
      <c r="S827" s="35"/>
      <c r="T827" s="35"/>
      <c r="U827" s="13"/>
      <c r="V827" s="13"/>
      <c r="W827" s="13"/>
      <c r="X827" s="13"/>
      <c r="Y827" s="13"/>
      <c r="Z827" s="13"/>
      <c r="AA827" s="13"/>
      <c r="AB827" s="13"/>
      <c r="AC827" s="13"/>
    </row>
    <row r="828" ht="16.5" customHeight="1">
      <c r="A828" s="13"/>
      <c r="B828" s="13"/>
      <c r="C828" s="13"/>
      <c r="D828" s="13"/>
      <c r="E828" s="13"/>
      <c r="F828" s="13"/>
      <c r="G828" s="13"/>
      <c r="H828" s="13"/>
      <c r="I828" s="13"/>
      <c r="J828" s="13"/>
      <c r="K828" s="171"/>
      <c r="L828" s="172"/>
      <c r="M828" s="13"/>
      <c r="N828" s="13"/>
      <c r="O828" s="171"/>
      <c r="P828" s="13"/>
      <c r="Q828" s="13"/>
      <c r="R828" s="173"/>
      <c r="S828" s="35"/>
      <c r="T828" s="35"/>
      <c r="U828" s="13"/>
      <c r="V828" s="13"/>
      <c r="W828" s="13"/>
      <c r="X828" s="13"/>
      <c r="Y828" s="13"/>
      <c r="Z828" s="13"/>
      <c r="AA828" s="13"/>
      <c r="AB828" s="13"/>
      <c r="AC828" s="13"/>
    </row>
    <row r="829" ht="16.5" customHeight="1">
      <c r="A829" s="13"/>
      <c r="B829" s="13"/>
      <c r="C829" s="13"/>
      <c r="D829" s="13"/>
      <c r="E829" s="13"/>
      <c r="F829" s="13"/>
      <c r="G829" s="13"/>
      <c r="H829" s="13"/>
      <c r="I829" s="13"/>
      <c r="J829" s="13"/>
      <c r="K829" s="171"/>
      <c r="L829" s="172"/>
      <c r="M829" s="13"/>
      <c r="N829" s="13"/>
      <c r="O829" s="171"/>
      <c r="P829" s="13"/>
      <c r="Q829" s="13"/>
      <c r="R829" s="173"/>
      <c r="S829" s="35"/>
      <c r="T829" s="35"/>
      <c r="U829" s="13"/>
      <c r="V829" s="13"/>
      <c r="W829" s="13"/>
      <c r="X829" s="13"/>
      <c r="Y829" s="13"/>
      <c r="Z829" s="13"/>
      <c r="AA829" s="13"/>
      <c r="AB829" s="13"/>
      <c r="AC829" s="13"/>
    </row>
    <row r="830" ht="16.5" customHeight="1">
      <c r="A830" s="13"/>
      <c r="B830" s="13"/>
      <c r="C830" s="13"/>
      <c r="D830" s="13"/>
      <c r="E830" s="13"/>
      <c r="F830" s="13"/>
      <c r="G830" s="13"/>
      <c r="H830" s="13"/>
      <c r="I830" s="13"/>
      <c r="J830" s="13"/>
      <c r="K830" s="171"/>
      <c r="L830" s="172"/>
      <c r="M830" s="13"/>
      <c r="N830" s="13"/>
      <c r="O830" s="171"/>
      <c r="P830" s="13"/>
      <c r="Q830" s="13"/>
      <c r="R830" s="173"/>
      <c r="S830" s="35"/>
      <c r="T830" s="35"/>
      <c r="U830" s="13"/>
      <c r="V830" s="13"/>
      <c r="W830" s="13"/>
      <c r="X830" s="13"/>
      <c r="Y830" s="13"/>
      <c r="Z830" s="13"/>
      <c r="AA830" s="13"/>
      <c r="AB830" s="13"/>
      <c r="AC830" s="13"/>
    </row>
    <row r="831" ht="16.5" customHeight="1">
      <c r="A831" s="13"/>
      <c r="B831" s="13"/>
      <c r="C831" s="13"/>
      <c r="D831" s="13"/>
      <c r="E831" s="13"/>
      <c r="F831" s="13"/>
      <c r="G831" s="13"/>
      <c r="H831" s="13"/>
      <c r="I831" s="13"/>
      <c r="J831" s="13"/>
      <c r="K831" s="171"/>
      <c r="L831" s="172"/>
      <c r="M831" s="13"/>
      <c r="N831" s="13"/>
      <c r="O831" s="171"/>
      <c r="P831" s="13"/>
      <c r="Q831" s="13"/>
      <c r="R831" s="173"/>
      <c r="S831" s="35"/>
      <c r="T831" s="35"/>
      <c r="U831" s="13"/>
      <c r="V831" s="13"/>
      <c r="W831" s="13"/>
      <c r="X831" s="13"/>
      <c r="Y831" s="13"/>
      <c r="Z831" s="13"/>
      <c r="AA831" s="13"/>
      <c r="AB831" s="13"/>
      <c r="AC831" s="13"/>
    </row>
    <row r="832" ht="16.5" customHeight="1">
      <c r="A832" s="13"/>
      <c r="B832" s="13"/>
      <c r="C832" s="13"/>
      <c r="D832" s="13"/>
      <c r="E832" s="13"/>
      <c r="F832" s="13"/>
      <c r="G832" s="13"/>
      <c r="H832" s="13"/>
      <c r="I832" s="13"/>
      <c r="J832" s="13"/>
      <c r="K832" s="171"/>
      <c r="L832" s="172"/>
      <c r="M832" s="13"/>
      <c r="N832" s="13"/>
      <c r="O832" s="171"/>
      <c r="P832" s="13"/>
      <c r="Q832" s="13"/>
      <c r="R832" s="173"/>
      <c r="S832" s="35"/>
      <c r="T832" s="35"/>
      <c r="U832" s="13"/>
      <c r="V832" s="13"/>
      <c r="W832" s="13"/>
      <c r="X832" s="13"/>
      <c r="Y832" s="13"/>
      <c r="Z832" s="13"/>
      <c r="AA832" s="13"/>
      <c r="AB832" s="13"/>
      <c r="AC832" s="13"/>
    </row>
    <row r="833" ht="16.5" customHeight="1">
      <c r="A833" s="13"/>
      <c r="B833" s="13"/>
      <c r="C833" s="13"/>
      <c r="D833" s="13"/>
      <c r="E833" s="13"/>
      <c r="F833" s="13"/>
      <c r="G833" s="13"/>
      <c r="H833" s="13"/>
      <c r="I833" s="13"/>
      <c r="J833" s="13"/>
      <c r="K833" s="171"/>
      <c r="L833" s="172"/>
      <c r="M833" s="13"/>
      <c r="N833" s="13"/>
      <c r="O833" s="171"/>
      <c r="P833" s="13"/>
      <c r="Q833" s="13"/>
      <c r="R833" s="173"/>
      <c r="S833" s="35"/>
      <c r="T833" s="35"/>
      <c r="U833" s="13"/>
      <c r="V833" s="13"/>
      <c r="W833" s="13"/>
      <c r="X833" s="13"/>
      <c r="Y833" s="13"/>
      <c r="Z833" s="13"/>
      <c r="AA833" s="13"/>
      <c r="AB833" s="13"/>
      <c r="AC833" s="13"/>
    </row>
    <row r="834" ht="16.5" customHeight="1">
      <c r="A834" s="13"/>
      <c r="B834" s="13"/>
      <c r="C834" s="13"/>
      <c r="D834" s="13"/>
      <c r="E834" s="13"/>
      <c r="F834" s="13"/>
      <c r="G834" s="13"/>
      <c r="H834" s="13"/>
      <c r="I834" s="13"/>
      <c r="J834" s="13"/>
      <c r="K834" s="171"/>
      <c r="L834" s="172"/>
      <c r="M834" s="13"/>
      <c r="N834" s="13"/>
      <c r="O834" s="171"/>
      <c r="P834" s="13"/>
      <c r="Q834" s="13"/>
      <c r="R834" s="173"/>
      <c r="S834" s="35"/>
      <c r="T834" s="35"/>
      <c r="U834" s="13"/>
      <c r="V834" s="13"/>
      <c r="W834" s="13"/>
      <c r="X834" s="13"/>
      <c r="Y834" s="13"/>
      <c r="Z834" s="13"/>
      <c r="AA834" s="13"/>
      <c r="AB834" s="13"/>
      <c r="AC834" s="13"/>
    </row>
    <row r="835" ht="16.5" customHeight="1">
      <c r="A835" s="13"/>
      <c r="B835" s="13"/>
      <c r="C835" s="13"/>
      <c r="D835" s="13"/>
      <c r="E835" s="13"/>
      <c r="F835" s="13"/>
      <c r="G835" s="13"/>
      <c r="H835" s="13"/>
      <c r="I835" s="13"/>
      <c r="J835" s="13"/>
      <c r="K835" s="171"/>
      <c r="L835" s="172"/>
      <c r="M835" s="13"/>
      <c r="N835" s="13"/>
      <c r="O835" s="171"/>
      <c r="P835" s="13"/>
      <c r="Q835" s="13"/>
      <c r="R835" s="173"/>
      <c r="S835" s="35"/>
      <c r="T835" s="35"/>
      <c r="U835" s="13"/>
      <c r="V835" s="13"/>
      <c r="W835" s="13"/>
      <c r="X835" s="13"/>
      <c r="Y835" s="13"/>
      <c r="Z835" s="13"/>
      <c r="AA835" s="13"/>
      <c r="AB835" s="13"/>
      <c r="AC835" s="13"/>
    </row>
    <row r="836" ht="16.5" customHeight="1">
      <c r="A836" s="13"/>
      <c r="B836" s="13"/>
      <c r="C836" s="13"/>
      <c r="D836" s="13"/>
      <c r="E836" s="13"/>
      <c r="F836" s="13"/>
      <c r="G836" s="13"/>
      <c r="H836" s="13"/>
      <c r="I836" s="13"/>
      <c r="J836" s="13"/>
      <c r="K836" s="171"/>
      <c r="L836" s="172"/>
      <c r="M836" s="13"/>
      <c r="N836" s="13"/>
      <c r="O836" s="171"/>
      <c r="P836" s="13"/>
      <c r="Q836" s="13"/>
      <c r="R836" s="173"/>
      <c r="S836" s="35"/>
      <c r="T836" s="35"/>
      <c r="U836" s="13"/>
      <c r="V836" s="13"/>
      <c r="W836" s="13"/>
      <c r="X836" s="13"/>
      <c r="Y836" s="13"/>
      <c r="Z836" s="13"/>
      <c r="AA836" s="13"/>
      <c r="AB836" s="13"/>
      <c r="AC836" s="13"/>
    </row>
    <row r="837" ht="16.5" customHeight="1">
      <c r="A837" s="13"/>
      <c r="B837" s="13"/>
      <c r="C837" s="13"/>
      <c r="D837" s="13"/>
      <c r="E837" s="13"/>
      <c r="F837" s="13"/>
      <c r="G837" s="13"/>
      <c r="H837" s="13"/>
      <c r="I837" s="13"/>
      <c r="J837" s="13"/>
      <c r="K837" s="171"/>
      <c r="L837" s="172"/>
      <c r="M837" s="13"/>
      <c r="N837" s="13"/>
      <c r="O837" s="171"/>
      <c r="P837" s="13"/>
      <c r="Q837" s="13"/>
      <c r="R837" s="173"/>
      <c r="S837" s="35"/>
      <c r="T837" s="35"/>
      <c r="U837" s="13"/>
      <c r="V837" s="13"/>
      <c r="W837" s="13"/>
      <c r="X837" s="13"/>
      <c r="Y837" s="13"/>
      <c r="Z837" s="13"/>
      <c r="AA837" s="13"/>
      <c r="AB837" s="13"/>
      <c r="AC837" s="13"/>
    </row>
    <row r="838" ht="16.5" customHeight="1">
      <c r="A838" s="13"/>
      <c r="B838" s="13"/>
      <c r="C838" s="13"/>
      <c r="D838" s="13"/>
      <c r="E838" s="13"/>
      <c r="F838" s="13"/>
      <c r="G838" s="13"/>
      <c r="H838" s="13"/>
      <c r="I838" s="13"/>
      <c r="J838" s="13"/>
      <c r="K838" s="171"/>
      <c r="L838" s="172"/>
      <c r="M838" s="13"/>
      <c r="N838" s="13"/>
      <c r="O838" s="171"/>
      <c r="P838" s="13"/>
      <c r="Q838" s="13"/>
      <c r="R838" s="173"/>
      <c r="S838" s="35"/>
      <c r="T838" s="35"/>
      <c r="U838" s="13"/>
      <c r="V838" s="13"/>
      <c r="W838" s="13"/>
      <c r="X838" s="13"/>
      <c r="Y838" s="13"/>
      <c r="Z838" s="13"/>
      <c r="AA838" s="13"/>
      <c r="AB838" s="13"/>
      <c r="AC838" s="13"/>
    </row>
    <row r="839" ht="16.5" customHeight="1">
      <c r="A839" s="13"/>
      <c r="B839" s="13"/>
      <c r="C839" s="13"/>
      <c r="D839" s="13"/>
      <c r="E839" s="13"/>
      <c r="F839" s="13"/>
      <c r="G839" s="13"/>
      <c r="H839" s="13"/>
      <c r="I839" s="13"/>
      <c r="J839" s="13"/>
      <c r="K839" s="171"/>
      <c r="L839" s="172"/>
      <c r="M839" s="13"/>
      <c r="N839" s="13"/>
      <c r="O839" s="171"/>
      <c r="P839" s="13"/>
      <c r="Q839" s="13"/>
      <c r="R839" s="173"/>
      <c r="S839" s="35"/>
      <c r="T839" s="35"/>
      <c r="U839" s="13"/>
      <c r="V839" s="13"/>
      <c r="W839" s="13"/>
      <c r="X839" s="13"/>
      <c r="Y839" s="13"/>
      <c r="Z839" s="13"/>
      <c r="AA839" s="13"/>
      <c r="AB839" s="13"/>
      <c r="AC839" s="13"/>
    </row>
    <row r="840" ht="16.5" customHeight="1">
      <c r="A840" s="13"/>
      <c r="B840" s="13"/>
      <c r="C840" s="13"/>
      <c r="D840" s="13"/>
      <c r="E840" s="13"/>
      <c r="F840" s="13"/>
      <c r="G840" s="13"/>
      <c r="H840" s="13"/>
      <c r="I840" s="13"/>
      <c r="J840" s="13"/>
      <c r="K840" s="171"/>
      <c r="L840" s="172"/>
      <c r="M840" s="13"/>
      <c r="N840" s="13"/>
      <c r="O840" s="171"/>
      <c r="P840" s="13"/>
      <c r="Q840" s="13"/>
      <c r="R840" s="173"/>
      <c r="S840" s="35"/>
      <c r="T840" s="35"/>
      <c r="U840" s="13"/>
      <c r="V840" s="13"/>
      <c r="W840" s="13"/>
      <c r="X840" s="13"/>
      <c r="Y840" s="13"/>
      <c r="Z840" s="13"/>
      <c r="AA840" s="13"/>
      <c r="AB840" s="13"/>
      <c r="AC840" s="13"/>
    </row>
    <row r="841" ht="16.5" customHeight="1">
      <c r="A841" s="13"/>
      <c r="B841" s="13"/>
      <c r="C841" s="13"/>
      <c r="D841" s="13"/>
      <c r="E841" s="13"/>
      <c r="F841" s="13"/>
      <c r="G841" s="13"/>
      <c r="H841" s="13"/>
      <c r="I841" s="13"/>
      <c r="J841" s="13"/>
      <c r="K841" s="171"/>
      <c r="L841" s="172"/>
      <c r="M841" s="13"/>
      <c r="N841" s="13"/>
      <c r="O841" s="171"/>
      <c r="P841" s="13"/>
      <c r="Q841" s="13"/>
      <c r="R841" s="173"/>
      <c r="S841" s="35"/>
      <c r="T841" s="35"/>
      <c r="U841" s="13"/>
      <c r="V841" s="13"/>
      <c r="W841" s="13"/>
      <c r="X841" s="13"/>
      <c r="Y841" s="13"/>
      <c r="Z841" s="13"/>
      <c r="AA841" s="13"/>
      <c r="AB841" s="13"/>
      <c r="AC841" s="13"/>
    </row>
    <row r="842" ht="16.5" customHeight="1">
      <c r="A842" s="13"/>
      <c r="B842" s="13"/>
      <c r="C842" s="13"/>
      <c r="D842" s="13"/>
      <c r="E842" s="13"/>
      <c r="F842" s="13"/>
      <c r="G842" s="13"/>
      <c r="H842" s="13"/>
      <c r="I842" s="13"/>
      <c r="J842" s="13"/>
      <c r="K842" s="171"/>
      <c r="L842" s="172"/>
      <c r="M842" s="13"/>
      <c r="N842" s="13"/>
      <c r="O842" s="171"/>
      <c r="P842" s="13"/>
      <c r="Q842" s="13"/>
      <c r="R842" s="173"/>
      <c r="S842" s="35"/>
      <c r="T842" s="35"/>
      <c r="U842" s="13"/>
      <c r="V842" s="13"/>
      <c r="W842" s="13"/>
      <c r="X842" s="13"/>
      <c r="Y842" s="13"/>
      <c r="Z842" s="13"/>
      <c r="AA842" s="13"/>
      <c r="AB842" s="13"/>
      <c r="AC842" s="13"/>
    </row>
    <row r="843" ht="16.5" customHeight="1">
      <c r="A843" s="13"/>
      <c r="B843" s="13"/>
      <c r="C843" s="13"/>
      <c r="D843" s="13"/>
      <c r="E843" s="13"/>
      <c r="F843" s="13"/>
      <c r="G843" s="13"/>
      <c r="H843" s="13"/>
      <c r="I843" s="13"/>
      <c r="J843" s="13"/>
      <c r="K843" s="171"/>
      <c r="L843" s="172"/>
      <c r="M843" s="13"/>
      <c r="N843" s="13"/>
      <c r="O843" s="171"/>
      <c r="P843" s="13"/>
      <c r="Q843" s="13"/>
      <c r="R843" s="173"/>
      <c r="S843" s="35"/>
      <c r="T843" s="35"/>
      <c r="U843" s="13"/>
      <c r="V843" s="13"/>
      <c r="W843" s="13"/>
      <c r="X843" s="13"/>
      <c r="Y843" s="13"/>
      <c r="Z843" s="13"/>
      <c r="AA843" s="13"/>
      <c r="AB843" s="13"/>
      <c r="AC843" s="13"/>
    </row>
    <row r="844" ht="16.5" customHeight="1">
      <c r="A844" s="13"/>
      <c r="B844" s="13"/>
      <c r="C844" s="13"/>
      <c r="D844" s="13"/>
      <c r="E844" s="13"/>
      <c r="F844" s="13"/>
      <c r="G844" s="13"/>
      <c r="H844" s="13"/>
      <c r="I844" s="13"/>
      <c r="J844" s="13"/>
      <c r="K844" s="171"/>
      <c r="L844" s="172"/>
      <c r="M844" s="13"/>
      <c r="N844" s="13"/>
      <c r="O844" s="171"/>
      <c r="P844" s="13"/>
      <c r="Q844" s="13"/>
      <c r="R844" s="173"/>
      <c r="S844" s="35"/>
      <c r="T844" s="35"/>
      <c r="U844" s="13"/>
      <c r="V844" s="13"/>
      <c r="W844" s="13"/>
      <c r="X844" s="13"/>
      <c r="Y844" s="13"/>
      <c r="Z844" s="13"/>
      <c r="AA844" s="13"/>
      <c r="AB844" s="13"/>
      <c r="AC844" s="13"/>
    </row>
    <row r="845" ht="16.5" customHeight="1">
      <c r="A845" s="13"/>
      <c r="B845" s="13"/>
      <c r="C845" s="13"/>
      <c r="D845" s="13"/>
      <c r="E845" s="13"/>
      <c r="F845" s="13"/>
      <c r="G845" s="13"/>
      <c r="H845" s="13"/>
      <c r="I845" s="13"/>
      <c r="J845" s="13"/>
      <c r="K845" s="171"/>
      <c r="L845" s="172"/>
      <c r="M845" s="13"/>
      <c r="N845" s="13"/>
      <c r="O845" s="171"/>
      <c r="P845" s="13"/>
      <c r="Q845" s="13"/>
      <c r="R845" s="173"/>
      <c r="S845" s="35"/>
      <c r="T845" s="35"/>
      <c r="U845" s="13"/>
      <c r="V845" s="13"/>
      <c r="W845" s="13"/>
      <c r="X845" s="13"/>
      <c r="Y845" s="13"/>
      <c r="Z845" s="13"/>
      <c r="AA845" s="13"/>
      <c r="AB845" s="13"/>
      <c r="AC845" s="13"/>
    </row>
    <row r="846" ht="16.5" customHeight="1">
      <c r="A846" s="13"/>
      <c r="B846" s="13"/>
      <c r="C846" s="13"/>
      <c r="D846" s="13"/>
      <c r="E846" s="13"/>
      <c r="F846" s="13"/>
      <c r="G846" s="13"/>
      <c r="H846" s="13"/>
      <c r="I846" s="13"/>
      <c r="J846" s="13"/>
      <c r="K846" s="171"/>
      <c r="L846" s="172"/>
      <c r="M846" s="13"/>
      <c r="N846" s="13"/>
      <c r="O846" s="171"/>
      <c r="P846" s="13"/>
      <c r="Q846" s="13"/>
      <c r="R846" s="173"/>
      <c r="S846" s="35"/>
      <c r="T846" s="35"/>
      <c r="U846" s="13"/>
      <c r="V846" s="13"/>
      <c r="W846" s="13"/>
      <c r="X846" s="13"/>
      <c r="Y846" s="13"/>
      <c r="Z846" s="13"/>
      <c r="AA846" s="13"/>
      <c r="AB846" s="13"/>
      <c r="AC846" s="13"/>
    </row>
    <row r="847" ht="16.5" customHeight="1">
      <c r="A847" s="13"/>
      <c r="B847" s="13"/>
      <c r="C847" s="13"/>
      <c r="D847" s="13"/>
      <c r="E847" s="13"/>
      <c r="F847" s="13"/>
      <c r="G847" s="13"/>
      <c r="H847" s="13"/>
      <c r="I847" s="13"/>
      <c r="J847" s="13"/>
      <c r="K847" s="171"/>
      <c r="L847" s="172"/>
      <c r="M847" s="13"/>
      <c r="N847" s="13"/>
      <c r="O847" s="171"/>
      <c r="P847" s="13"/>
      <c r="Q847" s="13"/>
      <c r="R847" s="173"/>
      <c r="S847" s="35"/>
      <c r="T847" s="35"/>
      <c r="U847" s="13"/>
      <c r="V847" s="13"/>
      <c r="W847" s="13"/>
      <c r="X847" s="13"/>
      <c r="Y847" s="13"/>
      <c r="Z847" s="13"/>
      <c r="AA847" s="13"/>
      <c r="AB847" s="13"/>
      <c r="AC847" s="13"/>
    </row>
    <row r="848" ht="16.5" customHeight="1">
      <c r="A848" s="13"/>
      <c r="B848" s="13"/>
      <c r="C848" s="13"/>
      <c r="D848" s="13"/>
      <c r="E848" s="13"/>
      <c r="F848" s="13"/>
      <c r="G848" s="13"/>
      <c r="H848" s="13"/>
      <c r="I848" s="13"/>
      <c r="J848" s="13"/>
      <c r="K848" s="171"/>
      <c r="L848" s="172"/>
      <c r="M848" s="13"/>
      <c r="N848" s="13"/>
      <c r="O848" s="171"/>
      <c r="P848" s="13"/>
      <c r="Q848" s="13"/>
      <c r="R848" s="173"/>
      <c r="S848" s="35"/>
      <c r="T848" s="35"/>
      <c r="U848" s="13"/>
      <c r="V848" s="13"/>
      <c r="W848" s="13"/>
      <c r="X848" s="13"/>
      <c r="Y848" s="13"/>
      <c r="Z848" s="13"/>
      <c r="AA848" s="13"/>
      <c r="AB848" s="13"/>
      <c r="AC848" s="13"/>
    </row>
    <row r="849" ht="16.5" customHeight="1">
      <c r="A849" s="13"/>
      <c r="B849" s="13"/>
      <c r="C849" s="13"/>
      <c r="D849" s="13"/>
      <c r="E849" s="13"/>
      <c r="F849" s="13"/>
      <c r="G849" s="13"/>
      <c r="H849" s="13"/>
      <c r="I849" s="13"/>
      <c r="J849" s="13"/>
      <c r="K849" s="171"/>
      <c r="L849" s="172"/>
      <c r="M849" s="13"/>
      <c r="N849" s="13"/>
      <c r="O849" s="171"/>
      <c r="P849" s="13"/>
      <c r="Q849" s="13"/>
      <c r="R849" s="173"/>
      <c r="S849" s="35"/>
      <c r="T849" s="35"/>
      <c r="U849" s="13"/>
      <c r="V849" s="13"/>
      <c r="W849" s="13"/>
      <c r="X849" s="13"/>
      <c r="Y849" s="13"/>
      <c r="Z849" s="13"/>
      <c r="AA849" s="13"/>
      <c r="AB849" s="13"/>
      <c r="AC849" s="13"/>
    </row>
    <row r="850" ht="16.5" customHeight="1">
      <c r="A850" s="13"/>
      <c r="B850" s="13"/>
      <c r="C850" s="13"/>
      <c r="D850" s="13"/>
      <c r="E850" s="13"/>
      <c r="F850" s="13"/>
      <c r="G850" s="13"/>
      <c r="H850" s="13"/>
      <c r="I850" s="13"/>
      <c r="J850" s="13"/>
      <c r="K850" s="171"/>
      <c r="L850" s="172"/>
      <c r="M850" s="13"/>
      <c r="N850" s="13"/>
      <c r="O850" s="171"/>
      <c r="P850" s="13"/>
      <c r="Q850" s="13"/>
      <c r="R850" s="173"/>
      <c r="S850" s="35"/>
      <c r="T850" s="35"/>
      <c r="U850" s="13"/>
      <c r="V850" s="13"/>
      <c r="W850" s="13"/>
      <c r="X850" s="13"/>
      <c r="Y850" s="13"/>
      <c r="Z850" s="13"/>
      <c r="AA850" s="13"/>
      <c r="AB850" s="13"/>
      <c r="AC850" s="13"/>
    </row>
    <row r="851" ht="16.5" customHeight="1">
      <c r="A851" s="13"/>
      <c r="B851" s="13"/>
      <c r="C851" s="13"/>
      <c r="D851" s="13"/>
      <c r="E851" s="13"/>
      <c r="F851" s="13"/>
      <c r="G851" s="13"/>
      <c r="H851" s="13"/>
      <c r="I851" s="13"/>
      <c r="J851" s="13"/>
      <c r="K851" s="171"/>
      <c r="L851" s="172"/>
      <c r="M851" s="13"/>
      <c r="N851" s="13"/>
      <c r="O851" s="171"/>
      <c r="P851" s="13"/>
      <c r="Q851" s="13"/>
      <c r="R851" s="173"/>
      <c r="S851" s="35"/>
      <c r="T851" s="35"/>
      <c r="U851" s="13"/>
      <c r="V851" s="13"/>
      <c r="W851" s="13"/>
      <c r="X851" s="13"/>
      <c r="Y851" s="13"/>
      <c r="Z851" s="13"/>
      <c r="AA851" s="13"/>
      <c r="AB851" s="13"/>
      <c r="AC851" s="13"/>
    </row>
    <row r="852" ht="16.5" customHeight="1">
      <c r="A852" s="13"/>
      <c r="B852" s="13"/>
      <c r="C852" s="13"/>
      <c r="D852" s="13"/>
      <c r="E852" s="13"/>
      <c r="F852" s="13"/>
      <c r="G852" s="13"/>
      <c r="H852" s="13"/>
      <c r="I852" s="13"/>
      <c r="J852" s="13"/>
      <c r="K852" s="171"/>
      <c r="L852" s="172"/>
      <c r="M852" s="13"/>
      <c r="N852" s="13"/>
      <c r="O852" s="171"/>
      <c r="P852" s="13"/>
      <c r="Q852" s="13"/>
      <c r="R852" s="173"/>
      <c r="S852" s="35"/>
      <c r="T852" s="35"/>
      <c r="U852" s="13"/>
      <c r="V852" s="13"/>
      <c r="W852" s="13"/>
      <c r="X852" s="13"/>
      <c r="Y852" s="13"/>
      <c r="Z852" s="13"/>
      <c r="AA852" s="13"/>
      <c r="AB852" s="13"/>
      <c r="AC852" s="13"/>
    </row>
    <row r="853" ht="16.5" customHeight="1">
      <c r="A853" s="13"/>
      <c r="B853" s="13"/>
      <c r="C853" s="13"/>
      <c r="D853" s="13"/>
      <c r="E853" s="13"/>
      <c r="F853" s="13"/>
      <c r="G853" s="13"/>
      <c r="H853" s="13"/>
      <c r="I853" s="13"/>
      <c r="J853" s="13"/>
      <c r="K853" s="171"/>
      <c r="L853" s="172"/>
      <c r="M853" s="13"/>
      <c r="N853" s="13"/>
      <c r="O853" s="171"/>
      <c r="P853" s="13"/>
      <c r="Q853" s="13"/>
      <c r="R853" s="173"/>
      <c r="S853" s="35"/>
      <c r="T853" s="35"/>
      <c r="U853" s="13"/>
      <c r="V853" s="13"/>
      <c r="W853" s="13"/>
      <c r="X853" s="13"/>
      <c r="Y853" s="13"/>
      <c r="Z853" s="13"/>
      <c r="AA853" s="13"/>
      <c r="AB853" s="13"/>
      <c r="AC853" s="13"/>
    </row>
    <row r="854" ht="16.5" customHeight="1">
      <c r="A854" s="13"/>
      <c r="B854" s="13"/>
      <c r="C854" s="13"/>
      <c r="D854" s="13"/>
      <c r="E854" s="13"/>
      <c r="F854" s="13"/>
      <c r="G854" s="13"/>
      <c r="H854" s="13"/>
      <c r="I854" s="13"/>
      <c r="J854" s="13"/>
      <c r="K854" s="171"/>
      <c r="L854" s="172"/>
      <c r="M854" s="13"/>
      <c r="N854" s="13"/>
      <c r="O854" s="171"/>
      <c r="P854" s="13"/>
      <c r="Q854" s="13"/>
      <c r="R854" s="173"/>
      <c r="S854" s="35"/>
      <c r="T854" s="35"/>
      <c r="U854" s="13"/>
      <c r="V854" s="13"/>
      <c r="W854" s="13"/>
      <c r="X854" s="13"/>
      <c r="Y854" s="13"/>
      <c r="Z854" s="13"/>
      <c r="AA854" s="13"/>
      <c r="AB854" s="13"/>
      <c r="AC854" s="13"/>
    </row>
    <row r="855" ht="16.5" customHeight="1">
      <c r="A855" s="13"/>
      <c r="B855" s="13"/>
      <c r="C855" s="13"/>
      <c r="D855" s="13"/>
      <c r="E855" s="13"/>
      <c r="F855" s="13"/>
      <c r="G855" s="13"/>
      <c r="H855" s="13"/>
      <c r="I855" s="13"/>
      <c r="J855" s="13"/>
      <c r="K855" s="171"/>
      <c r="L855" s="172"/>
      <c r="M855" s="13"/>
      <c r="N855" s="13"/>
      <c r="O855" s="171"/>
      <c r="P855" s="13"/>
      <c r="Q855" s="13"/>
      <c r="R855" s="173"/>
      <c r="S855" s="35"/>
      <c r="T855" s="35"/>
      <c r="U855" s="13"/>
      <c r="V855" s="13"/>
      <c r="W855" s="13"/>
      <c r="X855" s="13"/>
      <c r="Y855" s="13"/>
      <c r="Z855" s="13"/>
      <c r="AA855" s="13"/>
      <c r="AB855" s="13"/>
      <c r="AC855" s="13"/>
    </row>
    <row r="856" ht="16.5" customHeight="1">
      <c r="A856" s="13"/>
      <c r="B856" s="13"/>
      <c r="C856" s="13"/>
      <c r="D856" s="13"/>
      <c r="E856" s="13"/>
      <c r="F856" s="13"/>
      <c r="G856" s="13"/>
      <c r="H856" s="13"/>
      <c r="I856" s="13"/>
      <c r="J856" s="13"/>
      <c r="K856" s="171"/>
      <c r="L856" s="172"/>
      <c r="M856" s="13"/>
      <c r="N856" s="13"/>
      <c r="O856" s="171"/>
      <c r="P856" s="13"/>
      <c r="Q856" s="13"/>
      <c r="R856" s="173"/>
      <c r="S856" s="35"/>
      <c r="T856" s="35"/>
      <c r="U856" s="13"/>
      <c r="V856" s="13"/>
      <c r="W856" s="13"/>
      <c r="X856" s="13"/>
      <c r="Y856" s="13"/>
      <c r="Z856" s="13"/>
      <c r="AA856" s="13"/>
      <c r="AB856" s="13"/>
      <c r="AC856" s="13"/>
    </row>
    <row r="857" ht="16.5" customHeight="1">
      <c r="A857" s="13"/>
      <c r="B857" s="13"/>
      <c r="C857" s="13"/>
      <c r="D857" s="13"/>
      <c r="E857" s="13"/>
      <c r="F857" s="13"/>
      <c r="G857" s="13"/>
      <c r="H857" s="13"/>
      <c r="I857" s="13"/>
      <c r="J857" s="13"/>
      <c r="K857" s="171"/>
      <c r="L857" s="172"/>
      <c r="M857" s="13"/>
      <c r="N857" s="13"/>
      <c r="O857" s="171"/>
      <c r="P857" s="13"/>
      <c r="Q857" s="13"/>
      <c r="R857" s="173"/>
      <c r="S857" s="35"/>
      <c r="T857" s="35"/>
      <c r="U857" s="13"/>
      <c r="V857" s="13"/>
      <c r="W857" s="13"/>
      <c r="X857" s="13"/>
      <c r="Y857" s="13"/>
      <c r="Z857" s="13"/>
      <c r="AA857" s="13"/>
      <c r="AB857" s="13"/>
      <c r="AC857" s="13"/>
    </row>
    <row r="858" ht="16.5" customHeight="1">
      <c r="A858" s="13"/>
      <c r="B858" s="13"/>
      <c r="C858" s="13"/>
      <c r="D858" s="13"/>
      <c r="E858" s="13"/>
      <c r="F858" s="13"/>
      <c r="G858" s="13"/>
      <c r="H858" s="13"/>
      <c r="I858" s="13"/>
      <c r="J858" s="13"/>
      <c r="K858" s="171"/>
      <c r="L858" s="172"/>
      <c r="M858" s="13"/>
      <c r="N858" s="13"/>
      <c r="O858" s="171"/>
      <c r="P858" s="13"/>
      <c r="Q858" s="13"/>
      <c r="R858" s="173"/>
      <c r="S858" s="35"/>
      <c r="T858" s="35"/>
      <c r="U858" s="13"/>
      <c r="V858" s="13"/>
      <c r="W858" s="13"/>
      <c r="X858" s="13"/>
      <c r="Y858" s="13"/>
      <c r="Z858" s="13"/>
      <c r="AA858" s="13"/>
      <c r="AB858" s="13"/>
      <c r="AC858" s="13"/>
    </row>
    <row r="859" ht="16.5" customHeight="1">
      <c r="A859" s="13"/>
      <c r="B859" s="13"/>
      <c r="C859" s="13"/>
      <c r="D859" s="13"/>
      <c r="E859" s="13"/>
      <c r="F859" s="13"/>
      <c r="G859" s="13"/>
      <c r="H859" s="13"/>
      <c r="I859" s="13"/>
      <c r="J859" s="13"/>
      <c r="K859" s="171"/>
      <c r="L859" s="172"/>
      <c r="M859" s="13"/>
      <c r="N859" s="13"/>
      <c r="O859" s="171"/>
      <c r="P859" s="13"/>
      <c r="Q859" s="13"/>
      <c r="R859" s="173"/>
      <c r="S859" s="35"/>
      <c r="T859" s="35"/>
      <c r="U859" s="13"/>
      <c r="V859" s="13"/>
      <c r="W859" s="13"/>
      <c r="X859" s="13"/>
      <c r="Y859" s="13"/>
      <c r="Z859" s="13"/>
      <c r="AA859" s="13"/>
      <c r="AB859" s="13"/>
      <c r="AC859" s="13"/>
    </row>
    <row r="860" ht="16.5" customHeight="1">
      <c r="A860" s="13"/>
      <c r="B860" s="13"/>
      <c r="C860" s="13"/>
      <c r="D860" s="13"/>
      <c r="E860" s="13"/>
      <c r="F860" s="13"/>
      <c r="G860" s="13"/>
      <c r="H860" s="13"/>
      <c r="I860" s="13"/>
      <c r="J860" s="13"/>
      <c r="K860" s="171"/>
      <c r="L860" s="172"/>
      <c r="M860" s="13"/>
      <c r="N860" s="13"/>
      <c r="O860" s="171"/>
      <c r="P860" s="13"/>
      <c r="Q860" s="13"/>
      <c r="R860" s="173"/>
      <c r="S860" s="35"/>
      <c r="T860" s="35"/>
      <c r="U860" s="13"/>
      <c r="V860" s="13"/>
      <c r="W860" s="13"/>
      <c r="X860" s="13"/>
      <c r="Y860" s="13"/>
      <c r="Z860" s="13"/>
      <c r="AA860" s="13"/>
      <c r="AB860" s="13"/>
      <c r="AC860" s="13"/>
    </row>
    <row r="861" ht="16.5" customHeight="1">
      <c r="A861" s="13"/>
      <c r="B861" s="13"/>
      <c r="C861" s="13"/>
      <c r="D861" s="13"/>
      <c r="E861" s="13"/>
      <c r="F861" s="13"/>
      <c r="G861" s="13"/>
      <c r="H861" s="13"/>
      <c r="I861" s="13"/>
      <c r="J861" s="13"/>
      <c r="K861" s="171"/>
      <c r="L861" s="172"/>
      <c r="M861" s="13"/>
      <c r="N861" s="13"/>
      <c r="O861" s="171"/>
      <c r="P861" s="13"/>
      <c r="Q861" s="13"/>
      <c r="R861" s="173"/>
      <c r="S861" s="35"/>
      <c r="T861" s="35"/>
      <c r="U861" s="13"/>
      <c r="V861" s="13"/>
      <c r="W861" s="13"/>
      <c r="X861" s="13"/>
      <c r="Y861" s="13"/>
      <c r="Z861" s="13"/>
      <c r="AA861" s="13"/>
      <c r="AB861" s="13"/>
      <c r="AC861" s="13"/>
    </row>
    <row r="862" ht="16.5" customHeight="1">
      <c r="A862" s="13"/>
      <c r="B862" s="13"/>
      <c r="C862" s="13"/>
      <c r="D862" s="13"/>
      <c r="E862" s="13"/>
      <c r="F862" s="13"/>
      <c r="G862" s="13"/>
      <c r="H862" s="13"/>
      <c r="I862" s="13"/>
      <c r="J862" s="13"/>
      <c r="K862" s="171"/>
      <c r="L862" s="172"/>
      <c r="M862" s="13"/>
      <c r="N862" s="13"/>
      <c r="O862" s="171"/>
      <c r="P862" s="13"/>
      <c r="Q862" s="13"/>
      <c r="R862" s="173"/>
      <c r="S862" s="35"/>
      <c r="T862" s="35"/>
      <c r="U862" s="13"/>
      <c r="V862" s="13"/>
      <c r="W862" s="13"/>
      <c r="X862" s="13"/>
      <c r="Y862" s="13"/>
      <c r="Z862" s="13"/>
      <c r="AA862" s="13"/>
      <c r="AB862" s="13"/>
      <c r="AC862" s="13"/>
    </row>
    <row r="863" ht="16.5" customHeight="1">
      <c r="A863" s="13"/>
      <c r="B863" s="13"/>
      <c r="C863" s="13"/>
      <c r="D863" s="13"/>
      <c r="E863" s="13"/>
      <c r="F863" s="13"/>
      <c r="G863" s="13"/>
      <c r="H863" s="13"/>
      <c r="I863" s="13"/>
      <c r="J863" s="13"/>
      <c r="K863" s="171"/>
      <c r="L863" s="172"/>
      <c r="M863" s="13"/>
      <c r="N863" s="13"/>
      <c r="O863" s="171"/>
      <c r="P863" s="13"/>
      <c r="Q863" s="13"/>
      <c r="R863" s="173"/>
      <c r="S863" s="35"/>
      <c r="T863" s="35"/>
      <c r="U863" s="13"/>
      <c r="V863" s="13"/>
      <c r="W863" s="13"/>
      <c r="X863" s="13"/>
      <c r="Y863" s="13"/>
      <c r="Z863" s="13"/>
      <c r="AA863" s="13"/>
      <c r="AB863" s="13"/>
      <c r="AC863" s="13"/>
    </row>
    <row r="864" ht="16.5" customHeight="1">
      <c r="A864" s="13"/>
      <c r="B864" s="13"/>
      <c r="C864" s="13"/>
      <c r="D864" s="13"/>
      <c r="E864" s="13"/>
      <c r="F864" s="13"/>
      <c r="G864" s="13"/>
      <c r="H864" s="13"/>
      <c r="I864" s="13"/>
      <c r="J864" s="13"/>
      <c r="K864" s="171"/>
      <c r="L864" s="172"/>
      <c r="M864" s="13"/>
      <c r="N864" s="13"/>
      <c r="O864" s="171"/>
      <c r="P864" s="13"/>
      <c r="Q864" s="13"/>
      <c r="R864" s="173"/>
      <c r="S864" s="35"/>
      <c r="T864" s="35"/>
      <c r="U864" s="13"/>
      <c r="V864" s="13"/>
      <c r="W864" s="13"/>
      <c r="X864" s="13"/>
      <c r="Y864" s="13"/>
      <c r="Z864" s="13"/>
      <c r="AA864" s="13"/>
      <c r="AB864" s="13"/>
      <c r="AC864" s="13"/>
    </row>
    <row r="865" ht="16.5" customHeight="1">
      <c r="A865" s="13"/>
      <c r="B865" s="13"/>
      <c r="C865" s="13"/>
      <c r="D865" s="13"/>
      <c r="E865" s="13"/>
      <c r="F865" s="13"/>
      <c r="G865" s="13"/>
      <c r="H865" s="13"/>
      <c r="I865" s="13"/>
      <c r="J865" s="13"/>
      <c r="K865" s="171"/>
      <c r="L865" s="172"/>
      <c r="M865" s="13"/>
      <c r="N865" s="13"/>
      <c r="O865" s="171"/>
      <c r="P865" s="13"/>
      <c r="Q865" s="13"/>
      <c r="R865" s="173"/>
      <c r="S865" s="35"/>
      <c r="T865" s="35"/>
      <c r="U865" s="13"/>
      <c r="V865" s="13"/>
      <c r="W865" s="13"/>
      <c r="X865" s="13"/>
      <c r="Y865" s="13"/>
      <c r="Z865" s="13"/>
      <c r="AA865" s="13"/>
      <c r="AB865" s="13"/>
      <c r="AC865" s="13"/>
    </row>
    <row r="866" ht="16.5" customHeight="1">
      <c r="A866" s="13"/>
      <c r="B866" s="13"/>
      <c r="C866" s="13"/>
      <c r="D866" s="13"/>
      <c r="E866" s="13"/>
      <c r="F866" s="13"/>
      <c r="G866" s="13"/>
      <c r="H866" s="13"/>
      <c r="I866" s="13"/>
      <c r="J866" s="13"/>
      <c r="K866" s="171"/>
      <c r="L866" s="172"/>
      <c r="M866" s="13"/>
      <c r="N866" s="13"/>
      <c r="O866" s="171"/>
      <c r="P866" s="13"/>
      <c r="Q866" s="13"/>
      <c r="R866" s="173"/>
      <c r="S866" s="35"/>
      <c r="T866" s="35"/>
      <c r="U866" s="13"/>
      <c r="V866" s="13"/>
      <c r="W866" s="13"/>
      <c r="X866" s="13"/>
      <c r="Y866" s="13"/>
      <c r="Z866" s="13"/>
      <c r="AA866" s="13"/>
      <c r="AB866" s="13"/>
      <c r="AC866" s="13"/>
    </row>
    <row r="867" ht="16.5" customHeight="1">
      <c r="A867" s="13"/>
      <c r="B867" s="13"/>
      <c r="C867" s="13"/>
      <c r="D867" s="13"/>
      <c r="E867" s="13"/>
      <c r="F867" s="13"/>
      <c r="G867" s="13"/>
      <c r="H867" s="13"/>
      <c r="I867" s="13"/>
      <c r="J867" s="13"/>
      <c r="K867" s="171"/>
      <c r="L867" s="172"/>
      <c r="M867" s="13"/>
      <c r="N867" s="13"/>
      <c r="O867" s="171"/>
      <c r="P867" s="13"/>
      <c r="Q867" s="13"/>
      <c r="R867" s="173"/>
      <c r="S867" s="35"/>
      <c r="T867" s="35"/>
      <c r="U867" s="13"/>
      <c r="V867" s="13"/>
      <c r="W867" s="13"/>
      <c r="X867" s="13"/>
      <c r="Y867" s="13"/>
      <c r="Z867" s="13"/>
      <c r="AA867" s="13"/>
      <c r="AB867" s="13"/>
      <c r="AC867" s="13"/>
    </row>
    <row r="868" ht="16.5" customHeight="1">
      <c r="A868" s="13"/>
      <c r="B868" s="13"/>
      <c r="C868" s="13"/>
      <c r="D868" s="13"/>
      <c r="E868" s="13"/>
      <c r="F868" s="13"/>
      <c r="G868" s="13"/>
      <c r="H868" s="13"/>
      <c r="I868" s="13"/>
      <c r="J868" s="13"/>
      <c r="K868" s="171"/>
      <c r="L868" s="172"/>
      <c r="M868" s="13"/>
      <c r="N868" s="13"/>
      <c r="O868" s="171"/>
      <c r="P868" s="13"/>
      <c r="Q868" s="13"/>
      <c r="R868" s="173"/>
      <c r="S868" s="35"/>
      <c r="T868" s="35"/>
      <c r="U868" s="13"/>
      <c r="V868" s="13"/>
      <c r="W868" s="13"/>
      <c r="X868" s="13"/>
      <c r="Y868" s="13"/>
      <c r="Z868" s="13"/>
      <c r="AA868" s="13"/>
      <c r="AB868" s="13"/>
      <c r="AC868" s="13"/>
    </row>
    <row r="869" ht="16.5" customHeight="1">
      <c r="A869" s="13"/>
      <c r="B869" s="13"/>
      <c r="C869" s="13"/>
      <c r="D869" s="13"/>
      <c r="E869" s="13"/>
      <c r="F869" s="13"/>
      <c r="G869" s="13"/>
      <c r="H869" s="13"/>
      <c r="I869" s="13"/>
      <c r="J869" s="13"/>
      <c r="K869" s="171"/>
      <c r="L869" s="172"/>
      <c r="M869" s="13"/>
      <c r="N869" s="13"/>
      <c r="O869" s="171"/>
      <c r="P869" s="13"/>
      <c r="Q869" s="13"/>
      <c r="R869" s="173"/>
      <c r="S869" s="35"/>
      <c r="T869" s="35"/>
      <c r="U869" s="13"/>
      <c r="V869" s="13"/>
      <c r="W869" s="13"/>
      <c r="X869" s="13"/>
      <c r="Y869" s="13"/>
      <c r="Z869" s="13"/>
      <c r="AA869" s="13"/>
      <c r="AB869" s="13"/>
      <c r="AC869" s="13"/>
    </row>
    <row r="870" ht="16.5" customHeight="1">
      <c r="A870" s="13"/>
      <c r="B870" s="13"/>
      <c r="C870" s="13"/>
      <c r="D870" s="13"/>
      <c r="E870" s="13"/>
      <c r="F870" s="13"/>
      <c r="G870" s="13"/>
      <c r="H870" s="13"/>
      <c r="I870" s="13"/>
      <c r="J870" s="13"/>
      <c r="K870" s="171"/>
      <c r="L870" s="172"/>
      <c r="M870" s="13"/>
      <c r="N870" s="13"/>
      <c r="O870" s="171"/>
      <c r="P870" s="13"/>
      <c r="Q870" s="13"/>
      <c r="R870" s="173"/>
      <c r="S870" s="35"/>
      <c r="T870" s="35"/>
      <c r="U870" s="13"/>
      <c r="V870" s="13"/>
      <c r="W870" s="13"/>
      <c r="X870" s="13"/>
      <c r="Y870" s="13"/>
      <c r="Z870" s="13"/>
      <c r="AA870" s="13"/>
      <c r="AB870" s="13"/>
      <c r="AC870" s="13"/>
    </row>
    <row r="871" ht="16.5" customHeight="1">
      <c r="A871" s="13"/>
      <c r="B871" s="13"/>
      <c r="C871" s="13"/>
      <c r="D871" s="13"/>
      <c r="E871" s="13"/>
      <c r="F871" s="13"/>
      <c r="G871" s="13"/>
      <c r="H871" s="13"/>
      <c r="I871" s="13"/>
      <c r="J871" s="13"/>
      <c r="K871" s="171"/>
      <c r="L871" s="172"/>
      <c r="M871" s="13"/>
      <c r="N871" s="13"/>
      <c r="O871" s="171"/>
      <c r="P871" s="13"/>
      <c r="Q871" s="13"/>
      <c r="R871" s="173"/>
      <c r="S871" s="35"/>
      <c r="T871" s="35"/>
      <c r="U871" s="13"/>
      <c r="V871" s="13"/>
      <c r="W871" s="13"/>
      <c r="X871" s="13"/>
      <c r="Y871" s="13"/>
      <c r="Z871" s="13"/>
      <c r="AA871" s="13"/>
      <c r="AB871" s="13"/>
      <c r="AC871" s="13"/>
    </row>
    <row r="872" ht="16.5" customHeight="1">
      <c r="A872" s="13"/>
      <c r="B872" s="13"/>
      <c r="C872" s="13"/>
      <c r="D872" s="13"/>
      <c r="E872" s="13"/>
      <c r="F872" s="13"/>
      <c r="G872" s="13"/>
      <c r="H872" s="13"/>
      <c r="I872" s="13"/>
      <c r="J872" s="13"/>
      <c r="K872" s="171"/>
      <c r="L872" s="172"/>
      <c r="M872" s="13"/>
      <c r="N872" s="13"/>
      <c r="O872" s="171"/>
      <c r="P872" s="13"/>
      <c r="Q872" s="13"/>
      <c r="R872" s="173"/>
      <c r="S872" s="35"/>
      <c r="T872" s="35"/>
      <c r="U872" s="13"/>
      <c r="V872" s="13"/>
      <c r="W872" s="13"/>
      <c r="X872" s="13"/>
      <c r="Y872" s="13"/>
      <c r="Z872" s="13"/>
      <c r="AA872" s="13"/>
      <c r="AB872" s="13"/>
      <c r="AC872" s="13"/>
    </row>
    <row r="873" ht="16.5" customHeight="1">
      <c r="A873" s="13"/>
      <c r="B873" s="13"/>
      <c r="C873" s="13"/>
      <c r="D873" s="13"/>
      <c r="E873" s="13"/>
      <c r="F873" s="13"/>
      <c r="G873" s="13"/>
      <c r="H873" s="13"/>
      <c r="I873" s="13"/>
      <c r="J873" s="13"/>
      <c r="K873" s="171"/>
      <c r="L873" s="172"/>
      <c r="M873" s="13"/>
      <c r="N873" s="13"/>
      <c r="O873" s="171"/>
      <c r="P873" s="13"/>
      <c r="Q873" s="13"/>
      <c r="R873" s="173"/>
      <c r="S873" s="35"/>
      <c r="T873" s="35"/>
      <c r="U873" s="13"/>
      <c r="V873" s="13"/>
      <c r="W873" s="13"/>
      <c r="X873" s="13"/>
      <c r="Y873" s="13"/>
      <c r="Z873" s="13"/>
      <c r="AA873" s="13"/>
      <c r="AB873" s="13"/>
      <c r="AC873" s="13"/>
    </row>
    <row r="874" ht="16.5" customHeight="1">
      <c r="A874" s="13"/>
      <c r="B874" s="13"/>
      <c r="C874" s="13"/>
      <c r="D874" s="13"/>
      <c r="E874" s="13"/>
      <c r="F874" s="13"/>
      <c r="G874" s="13"/>
      <c r="H874" s="13"/>
      <c r="I874" s="13"/>
      <c r="J874" s="13"/>
      <c r="K874" s="171"/>
      <c r="L874" s="172"/>
      <c r="M874" s="13"/>
      <c r="N874" s="13"/>
      <c r="O874" s="171"/>
      <c r="P874" s="13"/>
      <c r="Q874" s="13"/>
      <c r="R874" s="173"/>
      <c r="S874" s="35"/>
      <c r="T874" s="35"/>
      <c r="U874" s="13"/>
      <c r="V874" s="13"/>
      <c r="W874" s="13"/>
      <c r="X874" s="13"/>
      <c r="Y874" s="13"/>
      <c r="Z874" s="13"/>
      <c r="AA874" s="13"/>
      <c r="AB874" s="13"/>
      <c r="AC874" s="13"/>
    </row>
    <row r="875" ht="16.5" customHeight="1">
      <c r="A875" s="13"/>
      <c r="B875" s="13"/>
      <c r="C875" s="13"/>
      <c r="D875" s="13"/>
      <c r="E875" s="13"/>
      <c r="F875" s="13"/>
      <c r="G875" s="13"/>
      <c r="H875" s="13"/>
      <c r="I875" s="13"/>
      <c r="J875" s="13"/>
      <c r="K875" s="171"/>
      <c r="L875" s="172"/>
      <c r="M875" s="13"/>
      <c r="N875" s="13"/>
      <c r="O875" s="171"/>
      <c r="P875" s="13"/>
      <c r="Q875" s="13"/>
      <c r="R875" s="173"/>
      <c r="S875" s="35"/>
      <c r="T875" s="35"/>
      <c r="U875" s="13"/>
      <c r="V875" s="13"/>
      <c r="W875" s="13"/>
      <c r="X875" s="13"/>
      <c r="Y875" s="13"/>
      <c r="Z875" s="13"/>
      <c r="AA875" s="13"/>
      <c r="AB875" s="13"/>
      <c r="AC875" s="13"/>
    </row>
    <row r="876" ht="16.5" customHeight="1">
      <c r="A876" s="13"/>
      <c r="B876" s="13"/>
      <c r="C876" s="13"/>
      <c r="D876" s="13"/>
      <c r="E876" s="13"/>
      <c r="F876" s="13"/>
      <c r="G876" s="13"/>
      <c r="H876" s="13"/>
      <c r="I876" s="13"/>
      <c r="J876" s="13"/>
      <c r="K876" s="171"/>
      <c r="L876" s="172"/>
      <c r="M876" s="13"/>
      <c r="N876" s="13"/>
      <c r="O876" s="171"/>
      <c r="P876" s="13"/>
      <c r="Q876" s="13"/>
      <c r="R876" s="173"/>
      <c r="S876" s="35"/>
      <c r="T876" s="35"/>
      <c r="U876" s="13"/>
      <c r="V876" s="13"/>
      <c r="W876" s="13"/>
      <c r="X876" s="13"/>
      <c r="Y876" s="13"/>
      <c r="Z876" s="13"/>
      <c r="AA876" s="13"/>
      <c r="AB876" s="13"/>
      <c r="AC876" s="13"/>
    </row>
    <row r="877" ht="16.5" customHeight="1">
      <c r="A877" s="13"/>
      <c r="B877" s="13"/>
      <c r="C877" s="13"/>
      <c r="D877" s="13"/>
      <c r="E877" s="13"/>
      <c r="F877" s="13"/>
      <c r="G877" s="13"/>
      <c r="H877" s="13"/>
      <c r="I877" s="13"/>
      <c r="J877" s="13"/>
      <c r="K877" s="171"/>
      <c r="L877" s="172"/>
      <c r="M877" s="13"/>
      <c r="N877" s="13"/>
      <c r="O877" s="171"/>
      <c r="P877" s="13"/>
      <c r="Q877" s="13"/>
      <c r="R877" s="173"/>
      <c r="S877" s="35"/>
      <c r="T877" s="35"/>
      <c r="U877" s="13"/>
      <c r="V877" s="13"/>
      <c r="W877" s="13"/>
      <c r="X877" s="13"/>
      <c r="Y877" s="13"/>
      <c r="Z877" s="13"/>
      <c r="AA877" s="13"/>
      <c r="AB877" s="13"/>
      <c r="AC877" s="13"/>
    </row>
    <row r="878" ht="16.5" customHeight="1">
      <c r="A878" s="13"/>
      <c r="B878" s="13"/>
      <c r="C878" s="13"/>
      <c r="D878" s="13"/>
      <c r="E878" s="13"/>
      <c r="F878" s="13"/>
      <c r="G878" s="13"/>
      <c r="H878" s="13"/>
      <c r="I878" s="13"/>
      <c r="J878" s="13"/>
      <c r="K878" s="171"/>
      <c r="L878" s="172"/>
      <c r="M878" s="13"/>
      <c r="N878" s="13"/>
      <c r="O878" s="171"/>
      <c r="P878" s="13"/>
      <c r="Q878" s="13"/>
      <c r="R878" s="173"/>
      <c r="S878" s="35"/>
      <c r="T878" s="35"/>
      <c r="U878" s="13"/>
      <c r="V878" s="13"/>
      <c r="W878" s="13"/>
      <c r="X878" s="13"/>
      <c r="Y878" s="13"/>
      <c r="Z878" s="13"/>
      <c r="AA878" s="13"/>
      <c r="AB878" s="13"/>
      <c r="AC878" s="13"/>
    </row>
    <row r="879" ht="16.5" customHeight="1">
      <c r="A879" s="13"/>
      <c r="B879" s="13"/>
      <c r="C879" s="13"/>
      <c r="D879" s="13"/>
      <c r="E879" s="13"/>
      <c r="F879" s="13"/>
      <c r="G879" s="13"/>
      <c r="H879" s="13"/>
      <c r="I879" s="13"/>
      <c r="J879" s="13"/>
      <c r="K879" s="171"/>
      <c r="L879" s="172"/>
      <c r="M879" s="13"/>
      <c r="N879" s="13"/>
      <c r="O879" s="171"/>
      <c r="P879" s="13"/>
      <c r="Q879" s="13"/>
      <c r="R879" s="173"/>
      <c r="S879" s="35"/>
      <c r="T879" s="35"/>
      <c r="U879" s="13"/>
      <c r="V879" s="13"/>
      <c r="W879" s="13"/>
      <c r="X879" s="13"/>
      <c r="Y879" s="13"/>
      <c r="Z879" s="13"/>
      <c r="AA879" s="13"/>
      <c r="AB879" s="13"/>
      <c r="AC879" s="13"/>
    </row>
    <row r="880" ht="16.5" customHeight="1">
      <c r="A880" s="13"/>
      <c r="B880" s="13"/>
      <c r="C880" s="13"/>
      <c r="D880" s="13"/>
      <c r="E880" s="13"/>
      <c r="F880" s="13"/>
      <c r="G880" s="13"/>
      <c r="H880" s="13"/>
      <c r="I880" s="13"/>
      <c r="J880" s="13"/>
      <c r="K880" s="171"/>
      <c r="L880" s="172"/>
      <c r="M880" s="13"/>
      <c r="N880" s="13"/>
      <c r="O880" s="171"/>
      <c r="P880" s="13"/>
      <c r="Q880" s="13"/>
      <c r="R880" s="173"/>
      <c r="S880" s="35"/>
      <c r="T880" s="35"/>
      <c r="U880" s="13"/>
      <c r="V880" s="13"/>
      <c r="W880" s="13"/>
      <c r="X880" s="13"/>
      <c r="Y880" s="13"/>
      <c r="Z880" s="13"/>
      <c r="AA880" s="13"/>
      <c r="AB880" s="13"/>
      <c r="AC880" s="13"/>
    </row>
    <row r="881" ht="16.5" customHeight="1">
      <c r="A881" s="13"/>
      <c r="B881" s="13"/>
      <c r="C881" s="13"/>
      <c r="D881" s="13"/>
      <c r="E881" s="13"/>
      <c r="F881" s="13"/>
      <c r="G881" s="13"/>
      <c r="H881" s="13"/>
      <c r="I881" s="13"/>
      <c r="J881" s="13"/>
      <c r="K881" s="171"/>
      <c r="L881" s="172"/>
      <c r="M881" s="13"/>
      <c r="N881" s="13"/>
      <c r="O881" s="171"/>
      <c r="P881" s="13"/>
      <c r="Q881" s="13"/>
      <c r="R881" s="173"/>
      <c r="S881" s="35"/>
      <c r="T881" s="35"/>
      <c r="U881" s="13"/>
      <c r="V881" s="13"/>
      <c r="W881" s="13"/>
      <c r="X881" s="13"/>
      <c r="Y881" s="13"/>
      <c r="Z881" s="13"/>
      <c r="AA881" s="13"/>
      <c r="AB881" s="13"/>
      <c r="AC881" s="13"/>
    </row>
    <row r="882" ht="16.5" customHeight="1">
      <c r="A882" s="13"/>
      <c r="B882" s="13"/>
      <c r="C882" s="13"/>
      <c r="D882" s="13"/>
      <c r="E882" s="13"/>
      <c r="F882" s="13"/>
      <c r="G882" s="13"/>
      <c r="H882" s="13"/>
      <c r="I882" s="13"/>
      <c r="J882" s="13"/>
      <c r="K882" s="171"/>
      <c r="L882" s="172"/>
      <c r="M882" s="13"/>
      <c r="N882" s="13"/>
      <c r="O882" s="171"/>
      <c r="P882" s="13"/>
      <c r="Q882" s="13"/>
      <c r="R882" s="173"/>
      <c r="S882" s="35"/>
      <c r="T882" s="35"/>
      <c r="U882" s="13"/>
      <c r="V882" s="13"/>
      <c r="W882" s="13"/>
      <c r="X882" s="13"/>
      <c r="Y882" s="13"/>
      <c r="Z882" s="13"/>
      <c r="AA882" s="13"/>
      <c r="AB882" s="13"/>
      <c r="AC882" s="13"/>
    </row>
    <row r="883" ht="16.5" customHeight="1">
      <c r="A883" s="13"/>
      <c r="B883" s="13"/>
      <c r="C883" s="13"/>
      <c r="D883" s="13"/>
      <c r="E883" s="13"/>
      <c r="F883" s="13"/>
      <c r="G883" s="13"/>
      <c r="H883" s="13"/>
      <c r="I883" s="13"/>
      <c r="J883" s="13"/>
      <c r="K883" s="171"/>
      <c r="L883" s="172"/>
      <c r="M883" s="13"/>
      <c r="N883" s="13"/>
      <c r="O883" s="171"/>
      <c r="P883" s="13"/>
      <c r="Q883" s="13"/>
      <c r="R883" s="173"/>
      <c r="S883" s="35"/>
      <c r="T883" s="35"/>
      <c r="U883" s="13"/>
      <c r="V883" s="13"/>
      <c r="W883" s="13"/>
      <c r="X883" s="13"/>
      <c r="Y883" s="13"/>
      <c r="Z883" s="13"/>
      <c r="AA883" s="13"/>
      <c r="AB883" s="13"/>
      <c r="AC883" s="13"/>
    </row>
    <row r="884" ht="16.5" customHeight="1">
      <c r="A884" s="13"/>
      <c r="B884" s="13"/>
      <c r="C884" s="13"/>
      <c r="D884" s="13"/>
      <c r="E884" s="13"/>
      <c r="F884" s="13"/>
      <c r="G884" s="13"/>
      <c r="H884" s="13"/>
      <c r="I884" s="13"/>
      <c r="J884" s="13"/>
      <c r="K884" s="171"/>
      <c r="L884" s="172"/>
      <c r="M884" s="13"/>
      <c r="N884" s="13"/>
      <c r="O884" s="171"/>
      <c r="P884" s="13"/>
      <c r="Q884" s="13"/>
      <c r="R884" s="173"/>
      <c r="S884" s="35"/>
      <c r="T884" s="35"/>
      <c r="U884" s="13"/>
      <c r="V884" s="13"/>
      <c r="W884" s="13"/>
      <c r="X884" s="13"/>
      <c r="Y884" s="13"/>
      <c r="Z884" s="13"/>
      <c r="AA884" s="13"/>
      <c r="AB884" s="13"/>
      <c r="AC884" s="13"/>
    </row>
    <row r="885" ht="16.5" customHeight="1">
      <c r="A885" s="13"/>
      <c r="B885" s="13"/>
      <c r="C885" s="13"/>
      <c r="D885" s="13"/>
      <c r="E885" s="13"/>
      <c r="F885" s="13"/>
      <c r="G885" s="13"/>
      <c r="H885" s="13"/>
      <c r="I885" s="13"/>
      <c r="J885" s="13"/>
      <c r="K885" s="171"/>
      <c r="L885" s="172"/>
      <c r="M885" s="13"/>
      <c r="N885" s="13"/>
      <c r="O885" s="171"/>
      <c r="P885" s="13"/>
      <c r="Q885" s="13"/>
      <c r="R885" s="173"/>
      <c r="S885" s="35"/>
      <c r="T885" s="35"/>
      <c r="U885" s="13"/>
      <c r="V885" s="13"/>
      <c r="W885" s="13"/>
      <c r="X885" s="13"/>
      <c r="Y885" s="13"/>
      <c r="Z885" s="13"/>
      <c r="AA885" s="13"/>
      <c r="AB885" s="13"/>
      <c r="AC885" s="13"/>
    </row>
    <row r="886" ht="16.5" customHeight="1">
      <c r="A886" s="13"/>
      <c r="B886" s="13"/>
      <c r="C886" s="13"/>
      <c r="D886" s="13"/>
      <c r="E886" s="13"/>
      <c r="F886" s="13"/>
      <c r="G886" s="13"/>
      <c r="H886" s="13"/>
      <c r="I886" s="13"/>
      <c r="J886" s="13"/>
      <c r="K886" s="171"/>
      <c r="L886" s="172"/>
      <c r="M886" s="13"/>
      <c r="N886" s="13"/>
      <c r="O886" s="171"/>
      <c r="P886" s="13"/>
      <c r="Q886" s="13"/>
      <c r="R886" s="173"/>
      <c r="S886" s="35"/>
      <c r="T886" s="35"/>
      <c r="U886" s="13"/>
      <c r="V886" s="13"/>
      <c r="W886" s="13"/>
      <c r="X886" s="13"/>
      <c r="Y886" s="13"/>
      <c r="Z886" s="13"/>
      <c r="AA886" s="13"/>
      <c r="AB886" s="13"/>
      <c r="AC886" s="13"/>
    </row>
    <row r="887" ht="16.5" customHeight="1">
      <c r="A887" s="13"/>
      <c r="B887" s="13"/>
      <c r="C887" s="13"/>
      <c r="D887" s="13"/>
      <c r="E887" s="13"/>
      <c r="F887" s="13"/>
      <c r="G887" s="13"/>
      <c r="H887" s="13"/>
      <c r="I887" s="13"/>
      <c r="J887" s="13"/>
      <c r="K887" s="171"/>
      <c r="L887" s="172"/>
      <c r="M887" s="13"/>
      <c r="N887" s="13"/>
      <c r="O887" s="171"/>
      <c r="P887" s="13"/>
      <c r="Q887" s="13"/>
      <c r="R887" s="173"/>
      <c r="S887" s="35"/>
      <c r="T887" s="35"/>
      <c r="U887" s="13"/>
      <c r="V887" s="13"/>
      <c r="W887" s="13"/>
      <c r="X887" s="13"/>
      <c r="Y887" s="13"/>
      <c r="Z887" s="13"/>
      <c r="AA887" s="13"/>
      <c r="AB887" s="13"/>
      <c r="AC887" s="13"/>
    </row>
    <row r="888" ht="16.5" customHeight="1">
      <c r="A888" s="13"/>
      <c r="B888" s="13"/>
      <c r="C888" s="13"/>
      <c r="D888" s="13"/>
      <c r="E888" s="13"/>
      <c r="F888" s="13"/>
      <c r="G888" s="13"/>
      <c r="H888" s="13"/>
      <c r="I888" s="13"/>
      <c r="J888" s="13"/>
      <c r="K888" s="171"/>
      <c r="L888" s="172"/>
      <c r="M888" s="13"/>
      <c r="N888" s="13"/>
      <c r="O888" s="171"/>
      <c r="P888" s="13"/>
      <c r="Q888" s="13"/>
      <c r="R888" s="173"/>
      <c r="S888" s="35"/>
      <c r="T888" s="35"/>
      <c r="U888" s="13"/>
      <c r="V888" s="13"/>
      <c r="W888" s="13"/>
      <c r="X888" s="13"/>
      <c r="Y888" s="13"/>
      <c r="Z888" s="13"/>
      <c r="AA888" s="13"/>
      <c r="AB888" s="13"/>
      <c r="AC888" s="13"/>
    </row>
    <row r="889" ht="16.5" customHeight="1">
      <c r="A889" s="13"/>
      <c r="B889" s="13"/>
      <c r="C889" s="13"/>
      <c r="D889" s="13"/>
      <c r="E889" s="13"/>
      <c r="F889" s="13"/>
      <c r="G889" s="13"/>
      <c r="H889" s="13"/>
      <c r="I889" s="13"/>
      <c r="J889" s="13"/>
      <c r="K889" s="171"/>
      <c r="L889" s="172"/>
      <c r="M889" s="13"/>
      <c r="N889" s="13"/>
      <c r="O889" s="171"/>
      <c r="P889" s="13"/>
      <c r="Q889" s="13"/>
      <c r="R889" s="173"/>
      <c r="S889" s="35"/>
      <c r="T889" s="35"/>
      <c r="U889" s="13"/>
      <c r="V889" s="13"/>
      <c r="W889" s="13"/>
      <c r="X889" s="13"/>
      <c r="Y889" s="13"/>
      <c r="Z889" s="13"/>
      <c r="AA889" s="13"/>
      <c r="AB889" s="13"/>
      <c r="AC889" s="13"/>
    </row>
    <row r="890" ht="16.5" customHeight="1">
      <c r="A890" s="13"/>
      <c r="B890" s="13"/>
      <c r="C890" s="13"/>
      <c r="D890" s="13"/>
      <c r="E890" s="13"/>
      <c r="F890" s="13"/>
      <c r="G890" s="13"/>
      <c r="H890" s="13"/>
      <c r="I890" s="13"/>
      <c r="J890" s="13"/>
      <c r="K890" s="171"/>
      <c r="L890" s="172"/>
      <c r="M890" s="13"/>
      <c r="N890" s="13"/>
      <c r="O890" s="171"/>
      <c r="P890" s="13"/>
      <c r="Q890" s="13"/>
      <c r="R890" s="173"/>
      <c r="S890" s="35"/>
      <c r="T890" s="35"/>
      <c r="U890" s="13"/>
      <c r="V890" s="13"/>
      <c r="W890" s="13"/>
      <c r="X890" s="13"/>
      <c r="Y890" s="13"/>
      <c r="Z890" s="13"/>
      <c r="AA890" s="13"/>
      <c r="AB890" s="13"/>
      <c r="AC890" s="13"/>
    </row>
    <row r="891" ht="16.5" customHeight="1">
      <c r="A891" s="13"/>
      <c r="B891" s="13"/>
      <c r="C891" s="13"/>
      <c r="D891" s="13"/>
      <c r="E891" s="13"/>
      <c r="F891" s="13"/>
      <c r="G891" s="13"/>
      <c r="H891" s="13"/>
      <c r="I891" s="13"/>
      <c r="J891" s="13"/>
      <c r="K891" s="171"/>
      <c r="L891" s="172"/>
      <c r="M891" s="13"/>
      <c r="N891" s="13"/>
      <c r="O891" s="171"/>
      <c r="P891" s="13"/>
      <c r="Q891" s="13"/>
      <c r="R891" s="173"/>
      <c r="S891" s="35"/>
      <c r="T891" s="35"/>
      <c r="U891" s="13"/>
      <c r="V891" s="13"/>
      <c r="W891" s="13"/>
      <c r="X891" s="13"/>
      <c r="Y891" s="13"/>
      <c r="Z891" s="13"/>
      <c r="AA891" s="13"/>
      <c r="AB891" s="13"/>
      <c r="AC891" s="13"/>
    </row>
    <row r="892" ht="16.5" customHeight="1">
      <c r="A892" s="13"/>
      <c r="B892" s="13"/>
      <c r="C892" s="13"/>
      <c r="D892" s="13"/>
      <c r="E892" s="13"/>
      <c r="F892" s="13"/>
      <c r="G892" s="13"/>
      <c r="H892" s="13"/>
      <c r="I892" s="13"/>
      <c r="J892" s="13"/>
      <c r="K892" s="171"/>
      <c r="L892" s="172"/>
      <c r="M892" s="13"/>
      <c r="N892" s="13"/>
      <c r="O892" s="171"/>
      <c r="P892" s="13"/>
      <c r="Q892" s="13"/>
      <c r="R892" s="173"/>
      <c r="S892" s="35"/>
      <c r="T892" s="35"/>
      <c r="U892" s="13"/>
      <c r="V892" s="13"/>
      <c r="W892" s="13"/>
      <c r="X892" s="13"/>
      <c r="Y892" s="13"/>
      <c r="Z892" s="13"/>
      <c r="AA892" s="13"/>
      <c r="AB892" s="13"/>
      <c r="AC892" s="13"/>
    </row>
    <row r="893" ht="16.5" customHeight="1">
      <c r="A893" s="13"/>
      <c r="B893" s="13"/>
      <c r="C893" s="13"/>
      <c r="D893" s="13"/>
      <c r="E893" s="13"/>
      <c r="F893" s="13"/>
      <c r="G893" s="13"/>
      <c r="H893" s="13"/>
      <c r="I893" s="13"/>
      <c r="J893" s="13"/>
      <c r="K893" s="171"/>
      <c r="L893" s="172"/>
      <c r="M893" s="13"/>
      <c r="N893" s="13"/>
      <c r="O893" s="171"/>
      <c r="P893" s="13"/>
      <c r="Q893" s="13"/>
      <c r="R893" s="173"/>
      <c r="S893" s="35"/>
      <c r="T893" s="35"/>
      <c r="U893" s="13"/>
      <c r="V893" s="13"/>
      <c r="W893" s="13"/>
      <c r="X893" s="13"/>
      <c r="Y893" s="13"/>
      <c r="Z893" s="13"/>
      <c r="AA893" s="13"/>
      <c r="AB893" s="13"/>
      <c r="AC893" s="13"/>
    </row>
    <row r="894" ht="16.5" customHeight="1">
      <c r="A894" s="13"/>
      <c r="B894" s="13"/>
      <c r="C894" s="13"/>
      <c r="D894" s="13"/>
      <c r="E894" s="13"/>
      <c r="F894" s="13"/>
      <c r="G894" s="13"/>
      <c r="H894" s="13"/>
      <c r="I894" s="13"/>
      <c r="J894" s="13"/>
      <c r="K894" s="171"/>
      <c r="L894" s="172"/>
      <c r="M894" s="13"/>
      <c r="N894" s="13"/>
      <c r="O894" s="171"/>
      <c r="P894" s="13"/>
      <c r="Q894" s="13"/>
      <c r="R894" s="173"/>
      <c r="S894" s="35"/>
      <c r="T894" s="35"/>
      <c r="U894" s="13"/>
      <c r="V894" s="13"/>
      <c r="W894" s="13"/>
      <c r="X894" s="13"/>
      <c r="Y894" s="13"/>
      <c r="Z894" s="13"/>
      <c r="AA894" s="13"/>
      <c r="AB894" s="13"/>
      <c r="AC894" s="13"/>
    </row>
    <row r="895" ht="16.5" customHeight="1">
      <c r="A895" s="13"/>
      <c r="B895" s="13"/>
      <c r="C895" s="13"/>
      <c r="D895" s="13"/>
      <c r="E895" s="13"/>
      <c r="F895" s="13"/>
      <c r="G895" s="13"/>
      <c r="H895" s="13"/>
      <c r="I895" s="13"/>
      <c r="J895" s="13"/>
      <c r="K895" s="171"/>
      <c r="L895" s="172"/>
      <c r="M895" s="13"/>
      <c r="N895" s="13"/>
      <c r="O895" s="171"/>
      <c r="P895" s="13"/>
      <c r="Q895" s="13"/>
      <c r="R895" s="173"/>
      <c r="S895" s="35"/>
      <c r="T895" s="35"/>
      <c r="U895" s="13"/>
      <c r="V895" s="13"/>
      <c r="W895" s="13"/>
      <c r="X895" s="13"/>
      <c r="Y895" s="13"/>
      <c r="Z895" s="13"/>
      <c r="AA895" s="13"/>
      <c r="AB895" s="13"/>
      <c r="AC895" s="13"/>
    </row>
    <row r="896" ht="16.5" customHeight="1">
      <c r="A896" s="13"/>
      <c r="B896" s="13"/>
      <c r="C896" s="13"/>
      <c r="D896" s="13"/>
      <c r="E896" s="13"/>
      <c r="F896" s="13"/>
      <c r="G896" s="13"/>
      <c r="H896" s="13"/>
      <c r="I896" s="13"/>
      <c r="J896" s="13"/>
      <c r="K896" s="171"/>
      <c r="L896" s="172"/>
      <c r="M896" s="13"/>
      <c r="N896" s="13"/>
      <c r="O896" s="171"/>
      <c r="P896" s="13"/>
      <c r="Q896" s="13"/>
      <c r="R896" s="173"/>
      <c r="S896" s="35"/>
      <c r="T896" s="35"/>
      <c r="U896" s="13"/>
      <c r="V896" s="13"/>
      <c r="W896" s="13"/>
      <c r="X896" s="13"/>
      <c r="Y896" s="13"/>
      <c r="Z896" s="13"/>
      <c r="AA896" s="13"/>
      <c r="AB896" s="13"/>
      <c r="AC896" s="13"/>
    </row>
    <row r="897" ht="16.5" customHeight="1">
      <c r="A897" s="13"/>
      <c r="B897" s="13"/>
      <c r="C897" s="13"/>
      <c r="D897" s="13"/>
      <c r="E897" s="13"/>
      <c r="F897" s="13"/>
      <c r="G897" s="13"/>
      <c r="H897" s="13"/>
      <c r="I897" s="13"/>
      <c r="J897" s="13"/>
      <c r="K897" s="171"/>
      <c r="L897" s="172"/>
      <c r="M897" s="13"/>
      <c r="N897" s="13"/>
      <c r="O897" s="171"/>
      <c r="P897" s="13"/>
      <c r="Q897" s="13"/>
      <c r="R897" s="173"/>
      <c r="S897" s="35"/>
      <c r="T897" s="35"/>
      <c r="U897" s="13"/>
      <c r="V897" s="13"/>
      <c r="W897" s="13"/>
      <c r="X897" s="13"/>
      <c r="Y897" s="13"/>
      <c r="Z897" s="13"/>
      <c r="AA897" s="13"/>
      <c r="AB897" s="13"/>
      <c r="AC897" s="13"/>
    </row>
    <row r="898" ht="16.5" customHeight="1">
      <c r="A898" s="13"/>
      <c r="B898" s="13"/>
      <c r="C898" s="13"/>
      <c r="D898" s="13"/>
      <c r="E898" s="13"/>
      <c r="F898" s="13"/>
      <c r="G898" s="13"/>
      <c r="H898" s="13"/>
      <c r="I898" s="13"/>
      <c r="J898" s="13"/>
      <c r="K898" s="171"/>
      <c r="L898" s="172"/>
      <c r="M898" s="13"/>
      <c r="N898" s="13"/>
      <c r="O898" s="171"/>
      <c r="P898" s="13"/>
      <c r="Q898" s="13"/>
      <c r="R898" s="173"/>
      <c r="S898" s="35"/>
      <c r="T898" s="35"/>
      <c r="U898" s="13"/>
      <c r="V898" s="13"/>
      <c r="W898" s="13"/>
      <c r="X898" s="13"/>
      <c r="Y898" s="13"/>
      <c r="Z898" s="13"/>
      <c r="AA898" s="13"/>
      <c r="AB898" s="13"/>
      <c r="AC898" s="13"/>
    </row>
    <row r="899" ht="16.5" customHeight="1">
      <c r="A899" s="13"/>
      <c r="B899" s="13"/>
      <c r="C899" s="13"/>
      <c r="D899" s="13"/>
      <c r="E899" s="13"/>
      <c r="F899" s="13"/>
      <c r="G899" s="13"/>
      <c r="H899" s="13"/>
      <c r="I899" s="13"/>
      <c r="J899" s="13"/>
      <c r="K899" s="171"/>
      <c r="L899" s="172"/>
      <c r="M899" s="13"/>
      <c r="N899" s="13"/>
      <c r="O899" s="171"/>
      <c r="P899" s="13"/>
      <c r="Q899" s="13"/>
      <c r="R899" s="173"/>
      <c r="S899" s="35"/>
      <c r="T899" s="35"/>
      <c r="U899" s="13"/>
      <c r="V899" s="13"/>
      <c r="W899" s="13"/>
      <c r="X899" s="13"/>
      <c r="Y899" s="13"/>
      <c r="Z899" s="13"/>
      <c r="AA899" s="13"/>
      <c r="AB899" s="13"/>
      <c r="AC899" s="13"/>
    </row>
    <row r="900" ht="16.5" customHeight="1">
      <c r="A900" s="13"/>
      <c r="B900" s="13"/>
      <c r="C900" s="13"/>
      <c r="D900" s="13"/>
      <c r="E900" s="13"/>
      <c r="F900" s="13"/>
      <c r="G900" s="13"/>
      <c r="H900" s="13"/>
      <c r="I900" s="13"/>
      <c r="J900" s="13"/>
      <c r="K900" s="171"/>
      <c r="L900" s="172"/>
      <c r="M900" s="13"/>
      <c r="N900" s="13"/>
      <c r="O900" s="171"/>
      <c r="P900" s="13"/>
      <c r="Q900" s="13"/>
      <c r="R900" s="173"/>
      <c r="S900" s="35"/>
      <c r="T900" s="35"/>
      <c r="U900" s="13"/>
      <c r="V900" s="13"/>
      <c r="W900" s="13"/>
      <c r="X900" s="13"/>
      <c r="Y900" s="13"/>
      <c r="Z900" s="13"/>
      <c r="AA900" s="13"/>
      <c r="AB900" s="13"/>
      <c r="AC900" s="13"/>
    </row>
    <row r="901" ht="16.5" customHeight="1">
      <c r="A901" s="13"/>
      <c r="B901" s="13"/>
      <c r="C901" s="13"/>
      <c r="D901" s="13"/>
      <c r="E901" s="13"/>
      <c r="F901" s="13"/>
      <c r="G901" s="13"/>
      <c r="H901" s="13"/>
      <c r="I901" s="13"/>
      <c r="J901" s="13"/>
      <c r="K901" s="171"/>
      <c r="L901" s="172"/>
      <c r="M901" s="13"/>
      <c r="N901" s="13"/>
      <c r="O901" s="171"/>
      <c r="P901" s="13"/>
      <c r="Q901" s="13"/>
      <c r="R901" s="173"/>
      <c r="S901" s="35"/>
      <c r="T901" s="35"/>
      <c r="U901" s="13"/>
      <c r="V901" s="13"/>
      <c r="W901" s="13"/>
      <c r="X901" s="13"/>
      <c r="Y901" s="13"/>
      <c r="Z901" s="13"/>
      <c r="AA901" s="13"/>
      <c r="AB901" s="13"/>
      <c r="AC901" s="13"/>
    </row>
    <row r="902" ht="16.5" customHeight="1">
      <c r="A902" s="13"/>
      <c r="B902" s="13"/>
      <c r="C902" s="13"/>
      <c r="D902" s="13"/>
      <c r="E902" s="13"/>
      <c r="F902" s="13"/>
      <c r="G902" s="13"/>
      <c r="H902" s="13"/>
      <c r="I902" s="13"/>
      <c r="J902" s="13"/>
      <c r="K902" s="171"/>
      <c r="L902" s="172"/>
      <c r="M902" s="13"/>
      <c r="N902" s="13"/>
      <c r="O902" s="171"/>
      <c r="P902" s="13"/>
      <c r="Q902" s="13"/>
      <c r="R902" s="173"/>
      <c r="S902" s="35"/>
      <c r="T902" s="35"/>
      <c r="U902" s="13"/>
      <c r="V902" s="13"/>
      <c r="W902" s="13"/>
      <c r="X902" s="13"/>
      <c r="Y902" s="13"/>
      <c r="Z902" s="13"/>
      <c r="AA902" s="13"/>
      <c r="AB902" s="13"/>
      <c r="AC902" s="13"/>
    </row>
    <row r="903" ht="16.5" customHeight="1">
      <c r="A903" s="13"/>
      <c r="B903" s="13"/>
      <c r="C903" s="13"/>
      <c r="D903" s="13"/>
      <c r="E903" s="13"/>
      <c r="F903" s="13"/>
      <c r="G903" s="13"/>
      <c r="H903" s="13"/>
      <c r="I903" s="13"/>
      <c r="J903" s="13"/>
      <c r="K903" s="171"/>
      <c r="L903" s="172"/>
      <c r="M903" s="13"/>
      <c r="N903" s="13"/>
      <c r="O903" s="171"/>
      <c r="P903" s="13"/>
      <c r="Q903" s="13"/>
      <c r="R903" s="173"/>
      <c r="S903" s="35"/>
      <c r="T903" s="35"/>
      <c r="U903" s="13"/>
      <c r="V903" s="13"/>
      <c r="W903" s="13"/>
      <c r="X903" s="13"/>
      <c r="Y903" s="13"/>
      <c r="Z903" s="13"/>
      <c r="AA903" s="13"/>
      <c r="AB903" s="13"/>
      <c r="AC903" s="13"/>
    </row>
    <row r="904" ht="16.5" customHeight="1">
      <c r="A904" s="13"/>
      <c r="B904" s="13"/>
      <c r="C904" s="13"/>
      <c r="D904" s="13"/>
      <c r="E904" s="13"/>
      <c r="F904" s="13"/>
      <c r="G904" s="13"/>
      <c r="H904" s="13"/>
      <c r="I904" s="13"/>
      <c r="J904" s="13"/>
      <c r="K904" s="171"/>
      <c r="L904" s="172"/>
      <c r="M904" s="13"/>
      <c r="N904" s="13"/>
      <c r="O904" s="171"/>
      <c r="P904" s="13"/>
      <c r="Q904" s="13"/>
      <c r="R904" s="173"/>
      <c r="S904" s="35"/>
      <c r="T904" s="35"/>
      <c r="U904" s="13"/>
      <c r="V904" s="13"/>
      <c r="W904" s="13"/>
      <c r="X904" s="13"/>
      <c r="Y904" s="13"/>
      <c r="Z904" s="13"/>
      <c r="AA904" s="13"/>
      <c r="AB904" s="13"/>
      <c r="AC904" s="13"/>
    </row>
    <row r="905" ht="16.5" customHeight="1">
      <c r="A905" s="13"/>
      <c r="B905" s="13"/>
      <c r="C905" s="13"/>
      <c r="D905" s="13"/>
      <c r="E905" s="13"/>
      <c r="F905" s="13"/>
      <c r="G905" s="13"/>
      <c r="H905" s="13"/>
      <c r="I905" s="13"/>
      <c r="J905" s="13"/>
      <c r="K905" s="171"/>
      <c r="L905" s="172"/>
      <c r="M905" s="13"/>
      <c r="N905" s="13"/>
      <c r="O905" s="171"/>
      <c r="P905" s="13"/>
      <c r="Q905" s="13"/>
      <c r="R905" s="173"/>
      <c r="S905" s="35"/>
      <c r="T905" s="35"/>
      <c r="U905" s="13"/>
      <c r="V905" s="13"/>
      <c r="W905" s="13"/>
      <c r="X905" s="13"/>
      <c r="Y905" s="13"/>
      <c r="Z905" s="13"/>
      <c r="AA905" s="13"/>
      <c r="AB905" s="13"/>
      <c r="AC905" s="13"/>
    </row>
    <row r="906" ht="16.5" customHeight="1">
      <c r="A906" s="13"/>
      <c r="B906" s="13"/>
      <c r="C906" s="13"/>
      <c r="D906" s="13"/>
      <c r="E906" s="13"/>
      <c r="F906" s="13"/>
      <c r="G906" s="13"/>
      <c r="H906" s="13"/>
      <c r="I906" s="13"/>
      <c r="J906" s="13"/>
      <c r="K906" s="171"/>
      <c r="L906" s="172"/>
      <c r="M906" s="13"/>
      <c r="N906" s="13"/>
      <c r="O906" s="171"/>
      <c r="P906" s="13"/>
      <c r="Q906" s="13"/>
      <c r="R906" s="173"/>
      <c r="S906" s="35"/>
      <c r="T906" s="35"/>
      <c r="U906" s="13"/>
      <c r="V906" s="13"/>
      <c r="W906" s="13"/>
      <c r="X906" s="13"/>
      <c r="Y906" s="13"/>
      <c r="Z906" s="13"/>
      <c r="AA906" s="13"/>
      <c r="AB906" s="13"/>
      <c r="AC906" s="13"/>
    </row>
    <row r="907" ht="16.5" customHeight="1">
      <c r="A907" s="13"/>
      <c r="B907" s="13"/>
      <c r="C907" s="13"/>
      <c r="D907" s="13"/>
      <c r="E907" s="13"/>
      <c r="F907" s="13"/>
      <c r="G907" s="13"/>
      <c r="H907" s="13"/>
      <c r="I907" s="13"/>
      <c r="J907" s="13"/>
      <c r="K907" s="171"/>
      <c r="L907" s="172"/>
      <c r="M907" s="13"/>
      <c r="N907" s="13"/>
      <c r="O907" s="171"/>
      <c r="P907" s="13"/>
      <c r="Q907" s="13"/>
      <c r="R907" s="173"/>
      <c r="S907" s="35"/>
      <c r="T907" s="35"/>
      <c r="U907" s="13"/>
      <c r="V907" s="13"/>
      <c r="W907" s="13"/>
      <c r="X907" s="13"/>
      <c r="Y907" s="13"/>
      <c r="Z907" s="13"/>
      <c r="AA907" s="13"/>
      <c r="AB907" s="13"/>
      <c r="AC907" s="13"/>
    </row>
    <row r="908" ht="16.5" customHeight="1">
      <c r="A908" s="13"/>
      <c r="B908" s="13"/>
      <c r="C908" s="13"/>
      <c r="D908" s="13"/>
      <c r="E908" s="13"/>
      <c r="F908" s="13"/>
      <c r="G908" s="13"/>
      <c r="H908" s="13"/>
      <c r="I908" s="13"/>
      <c r="J908" s="13"/>
      <c r="K908" s="171"/>
      <c r="L908" s="172"/>
      <c r="M908" s="13"/>
      <c r="N908" s="13"/>
      <c r="O908" s="171"/>
      <c r="P908" s="13"/>
      <c r="Q908" s="13"/>
      <c r="R908" s="173"/>
      <c r="S908" s="35"/>
      <c r="T908" s="35"/>
      <c r="U908" s="13"/>
      <c r="V908" s="13"/>
      <c r="W908" s="13"/>
      <c r="X908" s="13"/>
      <c r="Y908" s="13"/>
      <c r="Z908" s="13"/>
      <c r="AA908" s="13"/>
      <c r="AB908" s="13"/>
      <c r="AC908" s="13"/>
    </row>
    <row r="909" ht="16.5" customHeight="1">
      <c r="A909" s="13"/>
      <c r="B909" s="13"/>
      <c r="C909" s="13"/>
      <c r="D909" s="13"/>
      <c r="E909" s="13"/>
      <c r="F909" s="13"/>
      <c r="G909" s="13"/>
      <c r="H909" s="13"/>
      <c r="I909" s="13"/>
      <c r="J909" s="13"/>
      <c r="K909" s="171"/>
      <c r="L909" s="172"/>
      <c r="M909" s="13"/>
      <c r="N909" s="13"/>
      <c r="O909" s="171"/>
      <c r="P909" s="13"/>
      <c r="Q909" s="13"/>
      <c r="R909" s="173"/>
      <c r="S909" s="35"/>
      <c r="T909" s="35"/>
      <c r="U909" s="13"/>
      <c r="V909" s="13"/>
      <c r="W909" s="13"/>
      <c r="X909" s="13"/>
      <c r="Y909" s="13"/>
      <c r="Z909" s="13"/>
      <c r="AA909" s="13"/>
      <c r="AB909" s="13"/>
      <c r="AC909" s="13"/>
    </row>
    <row r="910" ht="16.5" customHeight="1">
      <c r="A910" s="13"/>
      <c r="B910" s="13"/>
      <c r="C910" s="13"/>
      <c r="D910" s="13"/>
      <c r="E910" s="13"/>
      <c r="F910" s="13"/>
      <c r="G910" s="13"/>
      <c r="H910" s="13"/>
      <c r="I910" s="13"/>
      <c r="J910" s="13"/>
      <c r="K910" s="171"/>
      <c r="L910" s="172"/>
      <c r="M910" s="13"/>
      <c r="N910" s="13"/>
      <c r="O910" s="171"/>
      <c r="P910" s="13"/>
      <c r="Q910" s="13"/>
      <c r="R910" s="173"/>
      <c r="S910" s="35"/>
      <c r="T910" s="35"/>
      <c r="U910" s="13"/>
      <c r="V910" s="13"/>
      <c r="W910" s="13"/>
      <c r="X910" s="13"/>
      <c r="Y910" s="13"/>
      <c r="Z910" s="13"/>
      <c r="AA910" s="13"/>
      <c r="AB910" s="13"/>
      <c r="AC910" s="13"/>
    </row>
    <row r="911" ht="16.5" customHeight="1">
      <c r="A911" s="13"/>
      <c r="B911" s="13"/>
      <c r="C911" s="13"/>
      <c r="D911" s="13"/>
      <c r="E911" s="13"/>
      <c r="F911" s="13"/>
      <c r="G911" s="13"/>
      <c r="H911" s="13"/>
      <c r="I911" s="13"/>
      <c r="J911" s="13"/>
      <c r="K911" s="171"/>
      <c r="L911" s="172"/>
      <c r="M911" s="13"/>
      <c r="N911" s="13"/>
      <c r="O911" s="171"/>
      <c r="P911" s="13"/>
      <c r="Q911" s="13"/>
      <c r="R911" s="173"/>
      <c r="S911" s="35"/>
      <c r="T911" s="35"/>
      <c r="U911" s="13"/>
      <c r="V911" s="13"/>
      <c r="W911" s="13"/>
      <c r="X911" s="13"/>
      <c r="Y911" s="13"/>
      <c r="Z911" s="13"/>
      <c r="AA911" s="13"/>
      <c r="AB911" s="13"/>
      <c r="AC911" s="13"/>
    </row>
    <row r="912" ht="16.5" customHeight="1">
      <c r="A912" s="13"/>
      <c r="B912" s="13"/>
      <c r="C912" s="13"/>
      <c r="D912" s="13"/>
      <c r="E912" s="13"/>
      <c r="F912" s="13"/>
      <c r="G912" s="13"/>
      <c r="H912" s="13"/>
      <c r="I912" s="13"/>
      <c r="J912" s="13"/>
      <c r="K912" s="171"/>
      <c r="L912" s="172"/>
      <c r="M912" s="13"/>
      <c r="N912" s="13"/>
      <c r="O912" s="171"/>
      <c r="P912" s="13"/>
      <c r="Q912" s="13"/>
      <c r="R912" s="173"/>
      <c r="S912" s="35"/>
      <c r="T912" s="35"/>
      <c r="U912" s="13"/>
      <c r="V912" s="13"/>
      <c r="W912" s="13"/>
      <c r="X912" s="13"/>
      <c r="Y912" s="13"/>
      <c r="Z912" s="13"/>
      <c r="AA912" s="13"/>
      <c r="AB912" s="13"/>
      <c r="AC912" s="13"/>
    </row>
    <row r="913" ht="16.5" customHeight="1">
      <c r="A913" s="13"/>
      <c r="B913" s="13"/>
      <c r="C913" s="13"/>
      <c r="D913" s="13"/>
      <c r="E913" s="13"/>
      <c r="F913" s="13"/>
      <c r="G913" s="13"/>
      <c r="H913" s="13"/>
      <c r="I913" s="13"/>
      <c r="J913" s="13"/>
      <c r="K913" s="171"/>
      <c r="L913" s="172"/>
      <c r="M913" s="13"/>
      <c r="N913" s="13"/>
      <c r="O913" s="171"/>
      <c r="P913" s="13"/>
      <c r="Q913" s="13"/>
      <c r="R913" s="173"/>
      <c r="S913" s="35"/>
      <c r="T913" s="35"/>
      <c r="U913" s="13"/>
      <c r="V913" s="13"/>
      <c r="W913" s="13"/>
      <c r="X913" s="13"/>
      <c r="Y913" s="13"/>
      <c r="Z913" s="13"/>
      <c r="AA913" s="13"/>
      <c r="AB913" s="13"/>
      <c r="AC913" s="13"/>
    </row>
    <row r="914" ht="16.5" customHeight="1">
      <c r="A914" s="13"/>
      <c r="B914" s="13"/>
      <c r="C914" s="13"/>
      <c r="D914" s="13"/>
      <c r="E914" s="13"/>
      <c r="F914" s="13"/>
      <c r="G914" s="13"/>
      <c r="H914" s="13"/>
      <c r="I914" s="13"/>
      <c r="J914" s="13"/>
      <c r="K914" s="171"/>
      <c r="L914" s="172"/>
      <c r="M914" s="13"/>
      <c r="N914" s="13"/>
      <c r="O914" s="171"/>
      <c r="P914" s="13"/>
      <c r="Q914" s="13"/>
      <c r="R914" s="173"/>
      <c r="S914" s="35"/>
      <c r="T914" s="35"/>
      <c r="U914" s="13"/>
      <c r="V914" s="13"/>
      <c r="W914" s="13"/>
      <c r="X914" s="13"/>
      <c r="Y914" s="13"/>
      <c r="Z914" s="13"/>
      <c r="AA914" s="13"/>
      <c r="AB914" s="13"/>
      <c r="AC914" s="13"/>
    </row>
    <row r="915" ht="16.5" customHeight="1">
      <c r="A915" s="13"/>
      <c r="B915" s="13"/>
      <c r="C915" s="13"/>
      <c r="D915" s="13"/>
      <c r="E915" s="13"/>
      <c r="F915" s="13"/>
      <c r="G915" s="13"/>
      <c r="H915" s="13"/>
      <c r="I915" s="13"/>
      <c r="J915" s="13"/>
      <c r="K915" s="171"/>
      <c r="L915" s="172"/>
      <c r="M915" s="13"/>
      <c r="N915" s="13"/>
      <c r="O915" s="171"/>
      <c r="P915" s="13"/>
      <c r="Q915" s="13"/>
      <c r="R915" s="173"/>
      <c r="S915" s="35"/>
      <c r="T915" s="35"/>
      <c r="U915" s="13"/>
      <c r="V915" s="13"/>
      <c r="W915" s="13"/>
      <c r="X915" s="13"/>
      <c r="Y915" s="13"/>
      <c r="Z915" s="13"/>
      <c r="AA915" s="13"/>
      <c r="AB915" s="13"/>
      <c r="AC915" s="13"/>
    </row>
    <row r="916" ht="16.5" customHeight="1">
      <c r="A916" s="13"/>
      <c r="B916" s="13"/>
      <c r="C916" s="13"/>
      <c r="D916" s="13"/>
      <c r="E916" s="13"/>
      <c r="F916" s="13"/>
      <c r="G916" s="13"/>
      <c r="H916" s="13"/>
      <c r="I916" s="13"/>
      <c r="J916" s="13"/>
      <c r="K916" s="171"/>
      <c r="L916" s="172"/>
      <c r="M916" s="13"/>
      <c r="N916" s="13"/>
      <c r="O916" s="171"/>
      <c r="P916" s="13"/>
      <c r="Q916" s="13"/>
      <c r="R916" s="173"/>
      <c r="S916" s="35"/>
      <c r="T916" s="35"/>
      <c r="U916" s="13"/>
      <c r="V916" s="13"/>
      <c r="W916" s="13"/>
      <c r="X916" s="13"/>
      <c r="Y916" s="13"/>
      <c r="Z916" s="13"/>
      <c r="AA916" s="13"/>
      <c r="AB916" s="13"/>
      <c r="AC916" s="13"/>
    </row>
    <row r="917" ht="16.5" customHeight="1">
      <c r="A917" s="13"/>
      <c r="B917" s="13"/>
      <c r="C917" s="13"/>
      <c r="D917" s="13"/>
      <c r="E917" s="13"/>
      <c r="F917" s="13"/>
      <c r="G917" s="13"/>
      <c r="H917" s="13"/>
      <c r="I917" s="13"/>
      <c r="J917" s="13"/>
      <c r="K917" s="171"/>
      <c r="L917" s="172"/>
      <c r="M917" s="13"/>
      <c r="N917" s="13"/>
      <c r="O917" s="171"/>
      <c r="P917" s="13"/>
      <c r="Q917" s="13"/>
      <c r="R917" s="173"/>
      <c r="S917" s="35"/>
      <c r="T917" s="35"/>
      <c r="U917" s="13"/>
      <c r="V917" s="13"/>
      <c r="W917" s="13"/>
      <c r="X917" s="13"/>
      <c r="Y917" s="13"/>
      <c r="Z917" s="13"/>
      <c r="AA917" s="13"/>
      <c r="AB917" s="13"/>
      <c r="AC917" s="13"/>
    </row>
    <row r="918" ht="16.5" customHeight="1">
      <c r="A918" s="13"/>
      <c r="B918" s="13"/>
      <c r="C918" s="13"/>
      <c r="D918" s="13"/>
      <c r="E918" s="13"/>
      <c r="F918" s="13"/>
      <c r="G918" s="13"/>
      <c r="H918" s="13"/>
      <c r="I918" s="13"/>
      <c r="J918" s="13"/>
      <c r="K918" s="171"/>
      <c r="L918" s="172"/>
      <c r="M918" s="13"/>
      <c r="N918" s="13"/>
      <c r="O918" s="171"/>
      <c r="P918" s="13"/>
      <c r="Q918" s="13"/>
      <c r="R918" s="173"/>
      <c r="S918" s="35"/>
      <c r="T918" s="35"/>
      <c r="U918" s="13"/>
      <c r="V918" s="13"/>
      <c r="W918" s="13"/>
      <c r="X918" s="13"/>
      <c r="Y918" s="13"/>
      <c r="Z918" s="13"/>
      <c r="AA918" s="13"/>
      <c r="AB918" s="13"/>
      <c r="AC918" s="13"/>
    </row>
    <row r="919" ht="16.5" customHeight="1">
      <c r="A919" s="13"/>
      <c r="B919" s="13"/>
      <c r="C919" s="13"/>
      <c r="D919" s="13"/>
      <c r="E919" s="13"/>
      <c r="F919" s="13"/>
      <c r="G919" s="13"/>
      <c r="H919" s="13"/>
      <c r="I919" s="13"/>
      <c r="J919" s="13"/>
      <c r="K919" s="171"/>
      <c r="L919" s="172"/>
      <c r="M919" s="13"/>
      <c r="N919" s="13"/>
      <c r="O919" s="171"/>
      <c r="P919" s="13"/>
      <c r="Q919" s="13"/>
      <c r="R919" s="173"/>
      <c r="S919" s="35"/>
      <c r="T919" s="35"/>
      <c r="U919" s="13"/>
      <c r="V919" s="13"/>
      <c r="W919" s="13"/>
      <c r="X919" s="13"/>
      <c r="Y919" s="13"/>
      <c r="Z919" s="13"/>
      <c r="AA919" s="13"/>
      <c r="AB919" s="13"/>
      <c r="AC919" s="13"/>
    </row>
    <row r="920" ht="16.5" customHeight="1">
      <c r="A920" s="13"/>
      <c r="B920" s="13"/>
      <c r="C920" s="13"/>
      <c r="D920" s="13"/>
      <c r="E920" s="13"/>
      <c r="F920" s="13"/>
      <c r="G920" s="13"/>
      <c r="H920" s="13"/>
      <c r="I920" s="13"/>
      <c r="J920" s="13"/>
      <c r="K920" s="171"/>
      <c r="L920" s="172"/>
      <c r="M920" s="13"/>
      <c r="N920" s="13"/>
      <c r="O920" s="171"/>
      <c r="P920" s="13"/>
      <c r="Q920" s="13"/>
      <c r="R920" s="173"/>
      <c r="S920" s="35"/>
      <c r="T920" s="35"/>
      <c r="U920" s="13"/>
      <c r="V920" s="13"/>
      <c r="W920" s="13"/>
      <c r="X920" s="13"/>
      <c r="Y920" s="13"/>
      <c r="Z920" s="13"/>
      <c r="AA920" s="13"/>
      <c r="AB920" s="13"/>
      <c r="AC920" s="13"/>
    </row>
    <row r="921" ht="16.5" customHeight="1">
      <c r="A921" s="13"/>
      <c r="B921" s="13"/>
      <c r="C921" s="13"/>
      <c r="D921" s="13"/>
      <c r="E921" s="13"/>
      <c r="F921" s="13"/>
      <c r="G921" s="13"/>
      <c r="H921" s="13"/>
      <c r="I921" s="13"/>
      <c r="J921" s="13"/>
      <c r="K921" s="171"/>
      <c r="L921" s="172"/>
      <c r="M921" s="13"/>
      <c r="N921" s="13"/>
      <c r="O921" s="171"/>
      <c r="P921" s="13"/>
      <c r="Q921" s="13"/>
      <c r="R921" s="173"/>
      <c r="S921" s="35"/>
      <c r="T921" s="35"/>
      <c r="U921" s="13"/>
      <c r="V921" s="13"/>
      <c r="W921" s="13"/>
      <c r="X921" s="13"/>
      <c r="Y921" s="13"/>
      <c r="Z921" s="13"/>
      <c r="AA921" s="13"/>
      <c r="AB921" s="13"/>
      <c r="AC921" s="13"/>
    </row>
    <row r="922" ht="16.5" customHeight="1">
      <c r="A922" s="13"/>
      <c r="B922" s="13"/>
      <c r="C922" s="13"/>
      <c r="D922" s="13"/>
      <c r="E922" s="13"/>
      <c r="F922" s="13"/>
      <c r="G922" s="13"/>
      <c r="H922" s="13"/>
      <c r="I922" s="13"/>
      <c r="J922" s="13"/>
      <c r="K922" s="171"/>
      <c r="L922" s="172"/>
      <c r="M922" s="13"/>
      <c r="N922" s="13"/>
      <c r="O922" s="171"/>
      <c r="P922" s="13"/>
      <c r="Q922" s="13"/>
      <c r="R922" s="173"/>
      <c r="S922" s="35"/>
      <c r="T922" s="35"/>
      <c r="U922" s="13"/>
      <c r="V922" s="13"/>
      <c r="W922" s="13"/>
      <c r="X922" s="13"/>
      <c r="Y922" s="13"/>
      <c r="Z922" s="13"/>
      <c r="AA922" s="13"/>
      <c r="AB922" s="13"/>
      <c r="AC922" s="13"/>
    </row>
    <row r="923" ht="16.5" customHeight="1">
      <c r="A923" s="13"/>
      <c r="B923" s="13"/>
      <c r="C923" s="13"/>
      <c r="D923" s="13"/>
      <c r="E923" s="13"/>
      <c r="F923" s="13"/>
      <c r="G923" s="13"/>
      <c r="H923" s="13"/>
      <c r="I923" s="13"/>
      <c r="J923" s="13"/>
      <c r="K923" s="171"/>
      <c r="L923" s="172"/>
      <c r="M923" s="13"/>
      <c r="N923" s="13"/>
      <c r="O923" s="171"/>
      <c r="P923" s="13"/>
      <c r="Q923" s="13"/>
      <c r="R923" s="173"/>
      <c r="S923" s="35"/>
      <c r="T923" s="35"/>
      <c r="U923" s="13"/>
      <c r="V923" s="13"/>
      <c r="W923" s="13"/>
      <c r="X923" s="13"/>
      <c r="Y923" s="13"/>
      <c r="Z923" s="13"/>
      <c r="AA923" s="13"/>
      <c r="AB923" s="13"/>
      <c r="AC923" s="13"/>
    </row>
    <row r="924" ht="16.5" customHeight="1">
      <c r="A924" s="13"/>
      <c r="B924" s="13"/>
      <c r="C924" s="13"/>
      <c r="D924" s="13"/>
      <c r="E924" s="13"/>
      <c r="F924" s="13"/>
      <c r="G924" s="13"/>
      <c r="H924" s="13"/>
      <c r="I924" s="13"/>
      <c r="J924" s="13"/>
      <c r="K924" s="171"/>
      <c r="L924" s="172"/>
      <c r="M924" s="13"/>
      <c r="N924" s="13"/>
      <c r="O924" s="171"/>
      <c r="P924" s="13"/>
      <c r="Q924" s="13"/>
      <c r="R924" s="173"/>
      <c r="S924" s="35"/>
      <c r="T924" s="35"/>
      <c r="U924" s="13"/>
      <c r="V924" s="13"/>
      <c r="W924" s="13"/>
      <c r="X924" s="13"/>
      <c r="Y924" s="13"/>
      <c r="Z924" s="13"/>
      <c r="AA924" s="13"/>
      <c r="AB924" s="13"/>
      <c r="AC924" s="13"/>
    </row>
    <row r="925" ht="16.5" customHeight="1">
      <c r="A925" s="13"/>
      <c r="B925" s="13"/>
      <c r="C925" s="13"/>
      <c r="D925" s="13"/>
      <c r="E925" s="13"/>
      <c r="F925" s="13"/>
      <c r="G925" s="13"/>
      <c r="H925" s="13"/>
      <c r="I925" s="13"/>
      <c r="J925" s="13"/>
      <c r="K925" s="171"/>
      <c r="L925" s="172"/>
      <c r="M925" s="13"/>
      <c r="N925" s="13"/>
      <c r="O925" s="171"/>
      <c r="P925" s="13"/>
      <c r="Q925" s="13"/>
      <c r="R925" s="173"/>
      <c r="S925" s="35"/>
      <c r="T925" s="35"/>
      <c r="U925" s="13"/>
      <c r="V925" s="13"/>
      <c r="W925" s="13"/>
      <c r="X925" s="13"/>
      <c r="Y925" s="13"/>
      <c r="Z925" s="13"/>
      <c r="AA925" s="13"/>
      <c r="AB925" s="13"/>
      <c r="AC925" s="13"/>
    </row>
    <row r="926" ht="16.5" customHeight="1">
      <c r="A926" s="13"/>
      <c r="B926" s="13"/>
      <c r="C926" s="13"/>
      <c r="D926" s="13"/>
      <c r="E926" s="13"/>
      <c r="F926" s="13"/>
      <c r="G926" s="13"/>
      <c r="H926" s="13"/>
      <c r="I926" s="13"/>
      <c r="J926" s="13"/>
      <c r="K926" s="171"/>
      <c r="L926" s="172"/>
      <c r="M926" s="13"/>
      <c r="N926" s="13"/>
      <c r="O926" s="171"/>
      <c r="P926" s="13"/>
      <c r="Q926" s="13"/>
      <c r="R926" s="173"/>
      <c r="S926" s="35"/>
      <c r="T926" s="35"/>
      <c r="U926" s="13"/>
      <c r="V926" s="13"/>
      <c r="W926" s="13"/>
      <c r="X926" s="13"/>
      <c r="Y926" s="13"/>
      <c r="Z926" s="13"/>
      <c r="AA926" s="13"/>
      <c r="AB926" s="13"/>
      <c r="AC926" s="13"/>
    </row>
    <row r="927" ht="16.5" customHeight="1">
      <c r="A927" s="13"/>
      <c r="B927" s="13"/>
      <c r="C927" s="13"/>
      <c r="D927" s="13"/>
      <c r="E927" s="13"/>
      <c r="F927" s="13"/>
      <c r="G927" s="13"/>
      <c r="H927" s="13"/>
      <c r="I927" s="13"/>
      <c r="J927" s="13"/>
      <c r="K927" s="171"/>
      <c r="L927" s="172"/>
      <c r="M927" s="13"/>
      <c r="N927" s="13"/>
      <c r="O927" s="171"/>
      <c r="P927" s="13"/>
      <c r="Q927" s="13"/>
      <c r="R927" s="173"/>
      <c r="S927" s="35"/>
      <c r="T927" s="35"/>
      <c r="U927" s="13"/>
      <c r="V927" s="13"/>
      <c r="W927" s="13"/>
      <c r="X927" s="13"/>
      <c r="Y927" s="13"/>
      <c r="Z927" s="13"/>
      <c r="AA927" s="13"/>
      <c r="AB927" s="13"/>
      <c r="AC927" s="13"/>
    </row>
    <row r="928" ht="16.5" customHeight="1">
      <c r="A928" s="13"/>
      <c r="B928" s="13"/>
      <c r="C928" s="13"/>
      <c r="D928" s="13"/>
      <c r="E928" s="13"/>
      <c r="F928" s="13"/>
      <c r="G928" s="13"/>
      <c r="H928" s="13"/>
      <c r="I928" s="13"/>
      <c r="J928" s="13"/>
      <c r="K928" s="171"/>
      <c r="L928" s="172"/>
      <c r="M928" s="13"/>
      <c r="N928" s="13"/>
      <c r="O928" s="171"/>
      <c r="P928" s="13"/>
      <c r="Q928" s="13"/>
      <c r="R928" s="173"/>
      <c r="S928" s="35"/>
      <c r="T928" s="35"/>
      <c r="U928" s="13"/>
      <c r="V928" s="13"/>
      <c r="W928" s="13"/>
      <c r="X928" s="13"/>
      <c r="Y928" s="13"/>
      <c r="Z928" s="13"/>
      <c r="AA928" s="13"/>
      <c r="AB928" s="13"/>
      <c r="AC928" s="13"/>
    </row>
    <row r="929" ht="16.5" customHeight="1">
      <c r="A929" s="13"/>
      <c r="B929" s="13"/>
      <c r="C929" s="13"/>
      <c r="D929" s="13"/>
      <c r="E929" s="13"/>
      <c r="F929" s="13"/>
      <c r="G929" s="13"/>
      <c r="H929" s="13"/>
      <c r="I929" s="13"/>
      <c r="J929" s="13"/>
      <c r="K929" s="171"/>
      <c r="L929" s="172"/>
      <c r="M929" s="13"/>
      <c r="N929" s="13"/>
      <c r="O929" s="171"/>
      <c r="P929" s="13"/>
      <c r="Q929" s="13"/>
      <c r="R929" s="173"/>
      <c r="S929" s="35"/>
      <c r="T929" s="35"/>
      <c r="U929" s="13"/>
      <c r="V929" s="13"/>
      <c r="W929" s="13"/>
      <c r="X929" s="13"/>
      <c r="Y929" s="13"/>
      <c r="Z929" s="13"/>
      <c r="AA929" s="13"/>
      <c r="AB929" s="13"/>
      <c r="AC929" s="13"/>
    </row>
    <row r="930" ht="16.5" customHeight="1">
      <c r="A930" s="13"/>
      <c r="B930" s="13"/>
      <c r="C930" s="13"/>
      <c r="D930" s="13"/>
      <c r="E930" s="13"/>
      <c r="F930" s="13"/>
      <c r="G930" s="13"/>
      <c r="H930" s="13"/>
      <c r="I930" s="13"/>
      <c r="J930" s="13"/>
      <c r="K930" s="171"/>
      <c r="L930" s="172"/>
      <c r="M930" s="13"/>
      <c r="N930" s="13"/>
      <c r="O930" s="171"/>
      <c r="P930" s="13"/>
      <c r="Q930" s="13"/>
      <c r="R930" s="173"/>
      <c r="S930" s="35"/>
      <c r="T930" s="35"/>
      <c r="U930" s="13"/>
      <c r="V930" s="13"/>
      <c r="W930" s="13"/>
      <c r="X930" s="13"/>
      <c r="Y930" s="13"/>
      <c r="Z930" s="13"/>
      <c r="AA930" s="13"/>
      <c r="AB930" s="13"/>
      <c r="AC930" s="13"/>
    </row>
    <row r="931" ht="16.5" customHeight="1">
      <c r="A931" s="13"/>
      <c r="B931" s="13"/>
      <c r="C931" s="13"/>
      <c r="D931" s="13"/>
      <c r="E931" s="13"/>
      <c r="F931" s="13"/>
      <c r="G931" s="13"/>
      <c r="H931" s="13"/>
      <c r="I931" s="13"/>
      <c r="J931" s="13"/>
      <c r="K931" s="171"/>
      <c r="L931" s="172"/>
      <c r="M931" s="13"/>
      <c r="N931" s="13"/>
      <c r="O931" s="171"/>
      <c r="P931" s="13"/>
      <c r="Q931" s="13"/>
      <c r="R931" s="173"/>
      <c r="S931" s="35"/>
      <c r="T931" s="35"/>
      <c r="U931" s="13"/>
      <c r="V931" s="13"/>
      <c r="W931" s="13"/>
      <c r="X931" s="13"/>
      <c r="Y931" s="13"/>
      <c r="Z931" s="13"/>
      <c r="AA931" s="13"/>
      <c r="AB931" s="13"/>
      <c r="AC931" s="13"/>
    </row>
    <row r="932" ht="16.5" customHeight="1">
      <c r="A932" s="13"/>
      <c r="B932" s="13"/>
      <c r="C932" s="13"/>
      <c r="D932" s="13"/>
      <c r="E932" s="13"/>
      <c r="F932" s="13"/>
      <c r="G932" s="13"/>
      <c r="H932" s="13"/>
      <c r="I932" s="13"/>
      <c r="J932" s="13"/>
      <c r="K932" s="171"/>
      <c r="L932" s="172"/>
      <c r="M932" s="13"/>
      <c r="N932" s="13"/>
      <c r="O932" s="171"/>
      <c r="P932" s="13"/>
      <c r="Q932" s="13"/>
      <c r="R932" s="173"/>
      <c r="S932" s="35"/>
      <c r="T932" s="35"/>
      <c r="U932" s="13"/>
      <c r="V932" s="13"/>
      <c r="W932" s="13"/>
      <c r="X932" s="13"/>
      <c r="Y932" s="13"/>
      <c r="Z932" s="13"/>
      <c r="AA932" s="13"/>
      <c r="AB932" s="13"/>
      <c r="AC932" s="13"/>
    </row>
    <row r="933" ht="16.5" customHeight="1">
      <c r="A933" s="13"/>
      <c r="B933" s="13"/>
      <c r="C933" s="13"/>
      <c r="D933" s="13"/>
      <c r="E933" s="13"/>
      <c r="F933" s="13"/>
      <c r="G933" s="13"/>
      <c r="H933" s="13"/>
      <c r="I933" s="13"/>
      <c r="J933" s="13"/>
      <c r="K933" s="171"/>
      <c r="L933" s="172"/>
      <c r="M933" s="13"/>
      <c r="N933" s="13"/>
      <c r="O933" s="171"/>
      <c r="P933" s="13"/>
      <c r="Q933" s="13"/>
      <c r="R933" s="173"/>
      <c r="S933" s="35"/>
      <c r="T933" s="35"/>
      <c r="U933" s="13"/>
      <c r="V933" s="13"/>
      <c r="W933" s="13"/>
      <c r="X933" s="13"/>
      <c r="Y933" s="13"/>
      <c r="Z933" s="13"/>
      <c r="AA933" s="13"/>
      <c r="AB933" s="13"/>
      <c r="AC933" s="13"/>
    </row>
    <row r="934" ht="16.5" customHeight="1">
      <c r="A934" s="13"/>
      <c r="B934" s="13"/>
      <c r="C934" s="13"/>
      <c r="D934" s="13"/>
      <c r="E934" s="13"/>
      <c r="F934" s="13"/>
      <c r="G934" s="13"/>
      <c r="H934" s="13"/>
      <c r="I934" s="13"/>
      <c r="J934" s="13"/>
      <c r="K934" s="171"/>
      <c r="L934" s="172"/>
      <c r="M934" s="13"/>
      <c r="N934" s="13"/>
      <c r="O934" s="171"/>
      <c r="P934" s="13"/>
      <c r="Q934" s="13"/>
      <c r="R934" s="173"/>
      <c r="S934" s="35"/>
      <c r="T934" s="35"/>
      <c r="U934" s="13"/>
      <c r="V934" s="13"/>
      <c r="W934" s="13"/>
      <c r="X934" s="13"/>
      <c r="Y934" s="13"/>
      <c r="Z934" s="13"/>
      <c r="AA934" s="13"/>
      <c r="AB934" s="13"/>
      <c r="AC934" s="13"/>
    </row>
    <row r="935" ht="16.5" customHeight="1">
      <c r="A935" s="13"/>
      <c r="B935" s="13"/>
      <c r="C935" s="13"/>
      <c r="D935" s="13"/>
      <c r="E935" s="13"/>
      <c r="F935" s="13"/>
      <c r="G935" s="13"/>
      <c r="H935" s="13"/>
      <c r="I935" s="13"/>
      <c r="J935" s="13"/>
      <c r="K935" s="171"/>
      <c r="L935" s="172"/>
      <c r="M935" s="13"/>
      <c r="N935" s="13"/>
      <c r="O935" s="171"/>
      <c r="P935" s="13"/>
      <c r="Q935" s="13"/>
      <c r="R935" s="173"/>
      <c r="S935" s="35"/>
      <c r="T935" s="35"/>
      <c r="U935" s="13"/>
      <c r="V935" s="13"/>
      <c r="W935" s="13"/>
      <c r="X935" s="13"/>
      <c r="Y935" s="13"/>
      <c r="Z935" s="13"/>
      <c r="AA935" s="13"/>
      <c r="AB935" s="13"/>
      <c r="AC935" s="13"/>
    </row>
    <row r="936" ht="16.5" customHeight="1">
      <c r="A936" s="13"/>
      <c r="B936" s="13"/>
      <c r="C936" s="13"/>
      <c r="D936" s="13"/>
      <c r="E936" s="13"/>
      <c r="F936" s="13"/>
      <c r="G936" s="13"/>
      <c r="H936" s="13"/>
      <c r="I936" s="13"/>
      <c r="J936" s="13"/>
      <c r="K936" s="171"/>
      <c r="L936" s="172"/>
      <c r="M936" s="13"/>
      <c r="N936" s="13"/>
      <c r="O936" s="171"/>
      <c r="P936" s="13"/>
      <c r="Q936" s="13"/>
      <c r="R936" s="173"/>
      <c r="S936" s="35"/>
      <c r="T936" s="35"/>
      <c r="U936" s="13"/>
      <c r="V936" s="13"/>
      <c r="W936" s="13"/>
      <c r="X936" s="13"/>
      <c r="Y936" s="13"/>
      <c r="Z936" s="13"/>
      <c r="AA936" s="13"/>
      <c r="AB936" s="13"/>
      <c r="AC936" s="13"/>
    </row>
    <row r="937" ht="16.5" customHeight="1">
      <c r="A937" s="13"/>
      <c r="B937" s="13"/>
      <c r="C937" s="13"/>
      <c r="D937" s="13"/>
      <c r="E937" s="13"/>
      <c r="F937" s="13"/>
      <c r="G937" s="13"/>
      <c r="H937" s="13"/>
      <c r="I937" s="13"/>
      <c r="J937" s="13"/>
      <c r="K937" s="171"/>
      <c r="L937" s="172"/>
      <c r="M937" s="13"/>
      <c r="N937" s="13"/>
      <c r="O937" s="171"/>
      <c r="P937" s="13"/>
      <c r="Q937" s="13"/>
      <c r="R937" s="173"/>
      <c r="S937" s="35"/>
      <c r="T937" s="35"/>
      <c r="U937" s="13"/>
      <c r="V937" s="13"/>
      <c r="W937" s="13"/>
      <c r="X937" s="13"/>
      <c r="Y937" s="13"/>
      <c r="Z937" s="13"/>
      <c r="AA937" s="13"/>
      <c r="AB937" s="13"/>
      <c r="AC937" s="13"/>
    </row>
    <row r="938" ht="16.5" customHeight="1">
      <c r="A938" s="13"/>
      <c r="B938" s="13"/>
      <c r="C938" s="13"/>
      <c r="D938" s="13"/>
      <c r="E938" s="13"/>
      <c r="F938" s="13"/>
      <c r="G938" s="13"/>
      <c r="H938" s="13"/>
      <c r="I938" s="13"/>
      <c r="J938" s="13"/>
      <c r="K938" s="171"/>
      <c r="L938" s="172"/>
      <c r="M938" s="13"/>
      <c r="N938" s="13"/>
      <c r="O938" s="171"/>
      <c r="P938" s="13"/>
      <c r="Q938" s="13"/>
      <c r="R938" s="173"/>
      <c r="S938" s="35"/>
      <c r="T938" s="35"/>
      <c r="U938" s="13"/>
      <c r="V938" s="13"/>
      <c r="W938" s="13"/>
      <c r="X938" s="13"/>
      <c r="Y938" s="13"/>
      <c r="Z938" s="13"/>
      <c r="AA938" s="13"/>
      <c r="AB938" s="13"/>
      <c r="AC938" s="13"/>
    </row>
    <row r="939" ht="16.5" customHeight="1">
      <c r="A939" s="13"/>
      <c r="B939" s="13"/>
      <c r="C939" s="13"/>
      <c r="D939" s="13"/>
      <c r="E939" s="13"/>
      <c r="F939" s="13"/>
      <c r="G939" s="13"/>
      <c r="H939" s="13"/>
      <c r="I939" s="13"/>
      <c r="J939" s="13"/>
      <c r="K939" s="171"/>
      <c r="L939" s="172"/>
      <c r="M939" s="13"/>
      <c r="N939" s="13"/>
      <c r="O939" s="171"/>
      <c r="P939" s="13"/>
      <c r="Q939" s="13"/>
      <c r="R939" s="173"/>
      <c r="S939" s="35"/>
      <c r="T939" s="35"/>
      <c r="U939" s="13"/>
      <c r="V939" s="13"/>
      <c r="W939" s="13"/>
      <c r="X939" s="13"/>
      <c r="Y939" s="13"/>
      <c r="Z939" s="13"/>
      <c r="AA939" s="13"/>
      <c r="AB939" s="13"/>
      <c r="AC939" s="13"/>
    </row>
    <row r="940" ht="16.5" customHeight="1">
      <c r="A940" s="13"/>
      <c r="B940" s="13"/>
      <c r="C940" s="13"/>
      <c r="D940" s="13"/>
      <c r="E940" s="13"/>
      <c r="F940" s="13"/>
      <c r="G940" s="13"/>
      <c r="H940" s="13"/>
      <c r="I940" s="13"/>
      <c r="J940" s="13"/>
      <c r="K940" s="171"/>
      <c r="L940" s="172"/>
      <c r="M940" s="13"/>
      <c r="N940" s="13"/>
      <c r="O940" s="171"/>
      <c r="P940" s="13"/>
      <c r="Q940" s="13"/>
      <c r="R940" s="173"/>
      <c r="S940" s="35"/>
      <c r="T940" s="35"/>
      <c r="U940" s="13"/>
      <c r="V940" s="13"/>
      <c r="W940" s="13"/>
      <c r="X940" s="13"/>
      <c r="Y940" s="13"/>
      <c r="Z940" s="13"/>
      <c r="AA940" s="13"/>
      <c r="AB940" s="13"/>
      <c r="AC940" s="13"/>
    </row>
    <row r="941" ht="16.5" customHeight="1">
      <c r="A941" s="13"/>
      <c r="B941" s="13"/>
      <c r="C941" s="13"/>
      <c r="D941" s="13"/>
      <c r="E941" s="13"/>
      <c r="F941" s="13"/>
      <c r="G941" s="13"/>
      <c r="H941" s="13"/>
      <c r="I941" s="13"/>
      <c r="J941" s="13"/>
      <c r="K941" s="171"/>
      <c r="L941" s="172"/>
      <c r="M941" s="13"/>
      <c r="N941" s="13"/>
      <c r="O941" s="171"/>
      <c r="P941" s="13"/>
      <c r="Q941" s="13"/>
      <c r="R941" s="173"/>
      <c r="S941" s="35"/>
      <c r="T941" s="35"/>
      <c r="U941" s="13"/>
      <c r="V941" s="13"/>
      <c r="W941" s="13"/>
      <c r="X941" s="13"/>
      <c r="Y941" s="13"/>
      <c r="Z941" s="13"/>
      <c r="AA941" s="13"/>
      <c r="AB941" s="13"/>
      <c r="AC941" s="13"/>
    </row>
    <row r="942" ht="16.5" customHeight="1">
      <c r="A942" s="13"/>
      <c r="B942" s="13"/>
      <c r="C942" s="13"/>
      <c r="D942" s="13"/>
      <c r="E942" s="13"/>
      <c r="F942" s="13"/>
      <c r="G942" s="13"/>
      <c r="H942" s="13"/>
      <c r="I942" s="13"/>
      <c r="J942" s="13"/>
      <c r="K942" s="171"/>
      <c r="L942" s="172"/>
      <c r="M942" s="13"/>
      <c r="N942" s="13"/>
      <c r="O942" s="171"/>
      <c r="P942" s="13"/>
      <c r="Q942" s="13"/>
      <c r="R942" s="173"/>
      <c r="S942" s="35"/>
      <c r="T942" s="35"/>
      <c r="U942" s="13"/>
      <c r="V942" s="13"/>
      <c r="W942" s="13"/>
      <c r="X942" s="13"/>
      <c r="Y942" s="13"/>
      <c r="Z942" s="13"/>
      <c r="AA942" s="13"/>
      <c r="AB942" s="13"/>
      <c r="AC942" s="13"/>
    </row>
    <row r="943" ht="16.5" customHeight="1">
      <c r="A943" s="13"/>
      <c r="B943" s="13"/>
      <c r="C943" s="13"/>
      <c r="D943" s="13"/>
      <c r="E943" s="13"/>
      <c r="F943" s="13"/>
      <c r="G943" s="13"/>
      <c r="H943" s="13"/>
      <c r="I943" s="13"/>
      <c r="J943" s="13"/>
      <c r="K943" s="171"/>
      <c r="L943" s="172"/>
      <c r="M943" s="13"/>
      <c r="N943" s="13"/>
      <c r="O943" s="171"/>
      <c r="P943" s="13"/>
      <c r="Q943" s="13"/>
      <c r="R943" s="173"/>
      <c r="S943" s="35"/>
      <c r="T943" s="35"/>
      <c r="U943" s="13"/>
      <c r="V943" s="13"/>
      <c r="W943" s="13"/>
      <c r="X943" s="13"/>
      <c r="Y943" s="13"/>
      <c r="Z943" s="13"/>
      <c r="AA943" s="13"/>
      <c r="AB943" s="13"/>
      <c r="AC943" s="13"/>
    </row>
    <row r="944" ht="16.5" customHeight="1">
      <c r="A944" s="13"/>
      <c r="B944" s="13"/>
      <c r="C944" s="13"/>
      <c r="D944" s="13"/>
      <c r="E944" s="13"/>
      <c r="F944" s="13"/>
      <c r="G944" s="13"/>
      <c r="H944" s="13"/>
      <c r="I944" s="13"/>
      <c r="J944" s="13"/>
      <c r="K944" s="171"/>
      <c r="L944" s="172"/>
      <c r="M944" s="13"/>
      <c r="N944" s="13"/>
      <c r="O944" s="171"/>
      <c r="P944" s="13"/>
      <c r="Q944" s="13"/>
      <c r="R944" s="173"/>
      <c r="S944" s="35"/>
      <c r="T944" s="35"/>
      <c r="U944" s="13"/>
      <c r="V944" s="13"/>
      <c r="W944" s="13"/>
      <c r="X944" s="13"/>
      <c r="Y944" s="13"/>
      <c r="Z944" s="13"/>
      <c r="AA944" s="13"/>
      <c r="AB944" s="13"/>
      <c r="AC944" s="13"/>
    </row>
    <row r="945" ht="16.5" customHeight="1">
      <c r="A945" s="13"/>
      <c r="B945" s="13"/>
      <c r="C945" s="13"/>
      <c r="D945" s="13"/>
      <c r="E945" s="13"/>
      <c r="F945" s="13"/>
      <c r="G945" s="13"/>
      <c r="H945" s="13"/>
      <c r="I945" s="13"/>
      <c r="J945" s="13"/>
      <c r="K945" s="171"/>
      <c r="L945" s="172"/>
      <c r="M945" s="13"/>
      <c r="N945" s="13"/>
      <c r="O945" s="171"/>
      <c r="P945" s="13"/>
      <c r="Q945" s="13"/>
      <c r="R945" s="173"/>
      <c r="S945" s="35"/>
      <c r="T945" s="35"/>
      <c r="U945" s="13"/>
      <c r="V945" s="13"/>
      <c r="W945" s="13"/>
      <c r="X945" s="13"/>
      <c r="Y945" s="13"/>
      <c r="Z945" s="13"/>
      <c r="AA945" s="13"/>
      <c r="AB945" s="13"/>
      <c r="AC945" s="13"/>
    </row>
    <row r="946" ht="16.5" customHeight="1">
      <c r="A946" s="13"/>
      <c r="B946" s="13"/>
      <c r="C946" s="13"/>
      <c r="D946" s="13"/>
      <c r="E946" s="13"/>
      <c r="F946" s="13"/>
      <c r="G946" s="13"/>
      <c r="H946" s="13"/>
      <c r="I946" s="13"/>
      <c r="J946" s="13"/>
      <c r="K946" s="171"/>
      <c r="L946" s="172"/>
      <c r="M946" s="13"/>
      <c r="N946" s="13"/>
      <c r="O946" s="171"/>
      <c r="P946" s="13"/>
      <c r="Q946" s="13"/>
      <c r="R946" s="173"/>
      <c r="S946" s="35"/>
      <c r="T946" s="35"/>
      <c r="U946" s="13"/>
      <c r="V946" s="13"/>
      <c r="W946" s="13"/>
      <c r="X946" s="13"/>
      <c r="Y946" s="13"/>
      <c r="Z946" s="13"/>
      <c r="AA946" s="13"/>
      <c r="AB946" s="13"/>
      <c r="AC946" s="13"/>
    </row>
    <row r="947" ht="16.5" customHeight="1">
      <c r="A947" s="13"/>
      <c r="B947" s="13"/>
      <c r="C947" s="13"/>
      <c r="D947" s="13"/>
      <c r="E947" s="13"/>
      <c r="F947" s="13"/>
      <c r="G947" s="13"/>
      <c r="H947" s="13"/>
      <c r="I947" s="13"/>
      <c r="J947" s="13"/>
      <c r="K947" s="171"/>
      <c r="L947" s="172"/>
      <c r="M947" s="13"/>
      <c r="N947" s="13"/>
      <c r="O947" s="171"/>
      <c r="P947" s="13"/>
      <c r="Q947" s="13"/>
      <c r="R947" s="173"/>
      <c r="S947" s="35"/>
      <c r="T947" s="35"/>
      <c r="U947" s="13"/>
      <c r="V947" s="13"/>
      <c r="W947" s="13"/>
      <c r="X947" s="13"/>
      <c r="Y947" s="13"/>
      <c r="Z947" s="13"/>
      <c r="AA947" s="13"/>
      <c r="AB947" s="13"/>
      <c r="AC947" s="13"/>
    </row>
    <row r="948" ht="16.5" customHeight="1">
      <c r="A948" s="13"/>
      <c r="B948" s="13"/>
      <c r="C948" s="13"/>
      <c r="D948" s="13"/>
      <c r="E948" s="13"/>
      <c r="F948" s="13"/>
      <c r="G948" s="13"/>
      <c r="H948" s="13"/>
      <c r="I948" s="13"/>
      <c r="J948" s="13"/>
      <c r="K948" s="171"/>
      <c r="L948" s="172"/>
      <c r="M948" s="13"/>
      <c r="N948" s="13"/>
      <c r="O948" s="171"/>
      <c r="P948" s="13"/>
      <c r="Q948" s="13"/>
      <c r="R948" s="173"/>
      <c r="S948" s="35"/>
      <c r="T948" s="35"/>
      <c r="U948" s="13"/>
      <c r="V948" s="13"/>
      <c r="W948" s="13"/>
      <c r="X948" s="13"/>
      <c r="Y948" s="13"/>
      <c r="Z948" s="13"/>
      <c r="AA948" s="13"/>
      <c r="AB948" s="13"/>
      <c r="AC948" s="13"/>
    </row>
    <row r="949" ht="16.5" customHeight="1">
      <c r="A949" s="13"/>
      <c r="B949" s="13"/>
      <c r="C949" s="13"/>
      <c r="D949" s="13"/>
      <c r="E949" s="13"/>
      <c r="F949" s="13"/>
      <c r="G949" s="13"/>
      <c r="H949" s="13"/>
      <c r="I949" s="13"/>
      <c r="J949" s="13"/>
      <c r="K949" s="171"/>
      <c r="L949" s="172"/>
      <c r="M949" s="13"/>
      <c r="N949" s="13"/>
      <c r="O949" s="171"/>
      <c r="P949" s="13"/>
      <c r="Q949" s="13"/>
      <c r="R949" s="173"/>
      <c r="S949" s="35"/>
      <c r="T949" s="35"/>
      <c r="U949" s="13"/>
      <c r="V949" s="13"/>
      <c r="W949" s="13"/>
      <c r="X949" s="13"/>
      <c r="Y949" s="13"/>
      <c r="Z949" s="13"/>
      <c r="AA949" s="13"/>
      <c r="AB949" s="13"/>
      <c r="AC949" s="13"/>
    </row>
    <row r="950" ht="16.5" customHeight="1">
      <c r="A950" s="13"/>
      <c r="B950" s="13"/>
      <c r="C950" s="13"/>
      <c r="D950" s="13"/>
      <c r="E950" s="13"/>
      <c r="F950" s="13"/>
      <c r="G950" s="13"/>
      <c r="H950" s="13"/>
      <c r="I950" s="13"/>
      <c r="J950" s="13"/>
      <c r="K950" s="171"/>
      <c r="L950" s="172"/>
      <c r="M950" s="13"/>
      <c r="N950" s="13"/>
      <c r="O950" s="171"/>
      <c r="P950" s="13"/>
      <c r="Q950" s="13"/>
      <c r="R950" s="173"/>
      <c r="S950" s="35"/>
      <c r="T950" s="35"/>
      <c r="U950" s="13"/>
      <c r="V950" s="13"/>
      <c r="W950" s="13"/>
      <c r="X950" s="13"/>
      <c r="Y950" s="13"/>
      <c r="Z950" s="13"/>
      <c r="AA950" s="13"/>
      <c r="AB950" s="13"/>
      <c r="AC950" s="13"/>
    </row>
    <row r="951" ht="16.5" customHeight="1">
      <c r="A951" s="13"/>
      <c r="B951" s="13"/>
      <c r="C951" s="13"/>
      <c r="D951" s="13"/>
      <c r="E951" s="13"/>
      <c r="F951" s="13"/>
      <c r="G951" s="13"/>
      <c r="H951" s="13"/>
      <c r="I951" s="13"/>
      <c r="J951" s="13"/>
      <c r="K951" s="171"/>
      <c r="L951" s="172"/>
      <c r="M951" s="13"/>
      <c r="N951" s="13"/>
      <c r="O951" s="171"/>
      <c r="P951" s="13"/>
      <c r="Q951" s="13"/>
      <c r="R951" s="173"/>
      <c r="S951" s="35"/>
      <c r="T951" s="35"/>
      <c r="U951" s="13"/>
      <c r="V951" s="13"/>
      <c r="W951" s="13"/>
      <c r="X951" s="13"/>
      <c r="Y951" s="13"/>
      <c r="Z951" s="13"/>
      <c r="AA951" s="13"/>
      <c r="AB951" s="13"/>
      <c r="AC951" s="13"/>
    </row>
    <row r="952" ht="16.5" customHeight="1">
      <c r="A952" s="13"/>
      <c r="B952" s="13"/>
      <c r="C952" s="13"/>
      <c r="D952" s="13"/>
      <c r="E952" s="13"/>
      <c r="F952" s="13"/>
      <c r="G952" s="13"/>
      <c r="H952" s="13"/>
      <c r="I952" s="13"/>
      <c r="J952" s="13"/>
      <c r="K952" s="171"/>
      <c r="L952" s="172"/>
      <c r="M952" s="13"/>
      <c r="N952" s="13"/>
      <c r="O952" s="171"/>
      <c r="P952" s="13"/>
      <c r="Q952" s="13"/>
      <c r="R952" s="173"/>
      <c r="S952" s="35"/>
      <c r="T952" s="35"/>
      <c r="U952" s="13"/>
      <c r="V952" s="13"/>
      <c r="W952" s="13"/>
      <c r="X952" s="13"/>
      <c r="Y952" s="13"/>
      <c r="Z952" s="13"/>
      <c r="AA952" s="13"/>
      <c r="AB952" s="13"/>
      <c r="AC952" s="13"/>
    </row>
    <row r="953" ht="16.5" customHeight="1">
      <c r="A953" s="13"/>
      <c r="B953" s="13"/>
      <c r="C953" s="13"/>
      <c r="D953" s="13"/>
      <c r="E953" s="13"/>
      <c r="F953" s="13"/>
      <c r="G953" s="13"/>
      <c r="H953" s="13"/>
      <c r="I953" s="13"/>
      <c r="J953" s="13"/>
      <c r="K953" s="171"/>
      <c r="L953" s="172"/>
      <c r="M953" s="13"/>
      <c r="N953" s="13"/>
      <c r="O953" s="171"/>
      <c r="P953" s="13"/>
      <c r="Q953" s="13"/>
      <c r="R953" s="173"/>
      <c r="S953" s="35"/>
      <c r="T953" s="35"/>
      <c r="U953" s="13"/>
      <c r="V953" s="13"/>
      <c r="W953" s="13"/>
      <c r="X953" s="13"/>
      <c r="Y953" s="13"/>
      <c r="Z953" s="13"/>
      <c r="AA953" s="13"/>
      <c r="AB953" s="13"/>
      <c r="AC953" s="13"/>
    </row>
    <row r="954" ht="16.5" customHeight="1">
      <c r="A954" s="13"/>
      <c r="B954" s="13"/>
      <c r="C954" s="13"/>
      <c r="D954" s="13"/>
      <c r="E954" s="13"/>
      <c r="F954" s="13"/>
      <c r="G954" s="13"/>
      <c r="H954" s="13"/>
      <c r="I954" s="13"/>
      <c r="J954" s="13"/>
      <c r="K954" s="171"/>
      <c r="L954" s="172"/>
      <c r="M954" s="13"/>
      <c r="N954" s="13"/>
      <c r="O954" s="171"/>
      <c r="P954" s="13"/>
      <c r="Q954" s="13"/>
      <c r="R954" s="173"/>
      <c r="S954" s="35"/>
      <c r="T954" s="35"/>
      <c r="U954" s="13"/>
      <c r="V954" s="13"/>
      <c r="W954" s="13"/>
      <c r="X954" s="13"/>
      <c r="Y954" s="13"/>
      <c r="Z954" s="13"/>
      <c r="AA954" s="13"/>
      <c r="AB954" s="13"/>
      <c r="AC954" s="13"/>
    </row>
    <row r="955" ht="16.5" customHeight="1">
      <c r="A955" s="13"/>
      <c r="B955" s="13"/>
      <c r="C955" s="13"/>
      <c r="D955" s="13"/>
      <c r="E955" s="13"/>
      <c r="F955" s="13"/>
      <c r="G955" s="13"/>
      <c r="H955" s="13"/>
      <c r="I955" s="13"/>
      <c r="J955" s="13"/>
      <c r="K955" s="171"/>
      <c r="L955" s="172"/>
      <c r="M955" s="13"/>
      <c r="N955" s="13"/>
      <c r="O955" s="171"/>
      <c r="P955" s="13"/>
      <c r="Q955" s="13"/>
      <c r="R955" s="173"/>
      <c r="S955" s="35"/>
      <c r="T955" s="35"/>
      <c r="U955" s="13"/>
      <c r="V955" s="13"/>
      <c r="W955" s="13"/>
      <c r="X955" s="13"/>
      <c r="Y955" s="13"/>
      <c r="Z955" s="13"/>
      <c r="AA955" s="13"/>
      <c r="AB955" s="13"/>
      <c r="AC955" s="13"/>
    </row>
    <row r="956" ht="16.5" customHeight="1">
      <c r="A956" s="13"/>
      <c r="B956" s="13"/>
      <c r="C956" s="13"/>
      <c r="D956" s="13"/>
      <c r="E956" s="13"/>
      <c r="F956" s="13"/>
      <c r="G956" s="13"/>
      <c r="H956" s="13"/>
      <c r="I956" s="13"/>
      <c r="J956" s="13"/>
      <c r="K956" s="171"/>
      <c r="L956" s="172"/>
      <c r="M956" s="13"/>
      <c r="N956" s="13"/>
      <c r="O956" s="171"/>
      <c r="P956" s="13"/>
      <c r="Q956" s="13"/>
      <c r="R956" s="173"/>
      <c r="S956" s="35"/>
      <c r="T956" s="35"/>
      <c r="U956" s="13"/>
      <c r="V956" s="13"/>
      <c r="W956" s="13"/>
      <c r="X956" s="13"/>
      <c r="Y956" s="13"/>
      <c r="Z956" s="13"/>
      <c r="AA956" s="13"/>
      <c r="AB956" s="13"/>
      <c r="AC956" s="13"/>
    </row>
    <row r="957" ht="16.5" customHeight="1">
      <c r="A957" s="13"/>
      <c r="B957" s="13"/>
      <c r="C957" s="13"/>
      <c r="D957" s="13"/>
      <c r="E957" s="13"/>
      <c r="F957" s="13"/>
      <c r="G957" s="13"/>
      <c r="H957" s="13"/>
      <c r="I957" s="13"/>
      <c r="J957" s="13"/>
      <c r="K957" s="171"/>
      <c r="L957" s="172"/>
      <c r="M957" s="13"/>
      <c r="N957" s="13"/>
      <c r="O957" s="171"/>
      <c r="P957" s="13"/>
      <c r="Q957" s="13"/>
      <c r="R957" s="173"/>
      <c r="S957" s="35"/>
      <c r="T957" s="35"/>
      <c r="U957" s="13"/>
      <c r="V957" s="13"/>
      <c r="W957" s="13"/>
      <c r="X957" s="13"/>
      <c r="Y957" s="13"/>
      <c r="Z957" s="13"/>
      <c r="AA957" s="13"/>
      <c r="AB957" s="13"/>
      <c r="AC957" s="13"/>
    </row>
    <row r="958" ht="16.5" customHeight="1">
      <c r="A958" s="13"/>
      <c r="B958" s="13"/>
      <c r="C958" s="13"/>
      <c r="D958" s="13"/>
      <c r="E958" s="13"/>
      <c r="F958" s="13"/>
      <c r="G958" s="13"/>
      <c r="H958" s="13"/>
      <c r="I958" s="13"/>
      <c r="J958" s="13"/>
      <c r="K958" s="171"/>
      <c r="L958" s="172"/>
      <c r="M958" s="13"/>
      <c r="N958" s="13"/>
      <c r="O958" s="171"/>
      <c r="P958" s="13"/>
      <c r="Q958" s="13"/>
      <c r="R958" s="173"/>
      <c r="S958" s="35"/>
      <c r="T958" s="35"/>
      <c r="U958" s="13"/>
      <c r="V958" s="13"/>
      <c r="W958" s="13"/>
      <c r="X958" s="13"/>
      <c r="Y958" s="13"/>
      <c r="Z958" s="13"/>
      <c r="AA958" s="13"/>
      <c r="AB958" s="13"/>
      <c r="AC958" s="13"/>
    </row>
    <row r="959" ht="16.5" customHeight="1">
      <c r="A959" s="13"/>
      <c r="B959" s="13"/>
      <c r="C959" s="13"/>
      <c r="D959" s="13"/>
      <c r="E959" s="13"/>
      <c r="F959" s="13"/>
      <c r="G959" s="13"/>
      <c r="H959" s="13"/>
      <c r="I959" s="13"/>
      <c r="J959" s="13"/>
      <c r="K959" s="171"/>
      <c r="L959" s="172"/>
      <c r="M959" s="13"/>
      <c r="N959" s="13"/>
      <c r="O959" s="171"/>
      <c r="P959" s="13"/>
      <c r="Q959" s="13"/>
      <c r="R959" s="173"/>
      <c r="S959" s="35"/>
      <c r="T959" s="35"/>
      <c r="U959" s="13"/>
      <c r="V959" s="13"/>
      <c r="W959" s="13"/>
      <c r="X959" s="13"/>
      <c r="Y959" s="13"/>
      <c r="Z959" s="13"/>
      <c r="AA959" s="13"/>
      <c r="AB959" s="13"/>
      <c r="AC959" s="13"/>
    </row>
    <row r="960" ht="16.5" customHeight="1">
      <c r="A960" s="13"/>
      <c r="B960" s="13"/>
      <c r="C960" s="13"/>
      <c r="D960" s="13"/>
      <c r="E960" s="13"/>
      <c r="F960" s="13"/>
      <c r="G960" s="13"/>
      <c r="H960" s="13"/>
      <c r="I960" s="13"/>
      <c r="J960" s="13"/>
      <c r="K960" s="171"/>
      <c r="L960" s="172"/>
      <c r="M960" s="13"/>
      <c r="N960" s="13"/>
      <c r="O960" s="171"/>
      <c r="P960" s="13"/>
      <c r="Q960" s="13"/>
      <c r="R960" s="173"/>
      <c r="S960" s="35"/>
      <c r="T960" s="35"/>
      <c r="U960" s="13"/>
      <c r="V960" s="13"/>
      <c r="W960" s="13"/>
      <c r="X960" s="13"/>
      <c r="Y960" s="13"/>
      <c r="Z960" s="13"/>
      <c r="AA960" s="13"/>
      <c r="AB960" s="13"/>
      <c r="AC960" s="13"/>
    </row>
    <row r="961" ht="16.5" customHeight="1">
      <c r="A961" s="13"/>
      <c r="B961" s="13"/>
      <c r="C961" s="13"/>
      <c r="D961" s="13"/>
      <c r="E961" s="13"/>
      <c r="F961" s="13"/>
      <c r="G961" s="13"/>
      <c r="H961" s="13"/>
      <c r="I961" s="13"/>
      <c r="J961" s="13"/>
      <c r="K961" s="171"/>
      <c r="L961" s="172"/>
      <c r="M961" s="13"/>
      <c r="N961" s="13"/>
      <c r="O961" s="171"/>
      <c r="P961" s="13"/>
      <c r="Q961" s="13"/>
      <c r="R961" s="173"/>
      <c r="S961" s="35"/>
      <c r="T961" s="35"/>
      <c r="U961" s="13"/>
      <c r="V961" s="13"/>
      <c r="W961" s="13"/>
      <c r="X961" s="13"/>
      <c r="Y961" s="13"/>
      <c r="Z961" s="13"/>
      <c r="AA961" s="13"/>
      <c r="AB961" s="13"/>
      <c r="AC961" s="13"/>
    </row>
    <row r="962" ht="16.5" customHeight="1">
      <c r="A962" s="13"/>
      <c r="B962" s="13"/>
      <c r="C962" s="13"/>
      <c r="D962" s="13"/>
      <c r="E962" s="13"/>
      <c r="F962" s="13"/>
      <c r="G962" s="13"/>
      <c r="H962" s="13"/>
      <c r="I962" s="13"/>
      <c r="J962" s="13"/>
      <c r="K962" s="171"/>
      <c r="L962" s="172"/>
      <c r="M962" s="13"/>
      <c r="N962" s="13"/>
      <c r="O962" s="171"/>
      <c r="P962" s="13"/>
      <c r="Q962" s="13"/>
      <c r="R962" s="173"/>
      <c r="S962" s="35"/>
      <c r="T962" s="35"/>
      <c r="U962" s="13"/>
      <c r="V962" s="13"/>
      <c r="W962" s="13"/>
      <c r="X962" s="13"/>
      <c r="Y962" s="13"/>
      <c r="Z962" s="13"/>
      <c r="AA962" s="13"/>
      <c r="AB962" s="13"/>
      <c r="AC962" s="13"/>
    </row>
    <row r="963" ht="16.5" customHeight="1">
      <c r="A963" s="13"/>
      <c r="B963" s="13"/>
      <c r="C963" s="13"/>
      <c r="D963" s="13"/>
      <c r="E963" s="13"/>
      <c r="F963" s="13"/>
      <c r="G963" s="13"/>
      <c r="H963" s="13"/>
      <c r="I963" s="13"/>
      <c r="J963" s="13"/>
      <c r="K963" s="171"/>
      <c r="L963" s="172"/>
      <c r="M963" s="13"/>
      <c r="N963" s="13"/>
      <c r="O963" s="171"/>
      <c r="P963" s="13"/>
      <c r="Q963" s="13"/>
      <c r="R963" s="173"/>
      <c r="S963" s="35"/>
      <c r="T963" s="35"/>
      <c r="U963" s="13"/>
      <c r="V963" s="13"/>
      <c r="W963" s="13"/>
      <c r="X963" s="13"/>
      <c r="Y963" s="13"/>
      <c r="Z963" s="13"/>
      <c r="AA963" s="13"/>
      <c r="AB963" s="13"/>
      <c r="AC963" s="13"/>
    </row>
    <row r="964" ht="16.5" customHeight="1">
      <c r="A964" s="13"/>
      <c r="B964" s="13"/>
      <c r="C964" s="13"/>
      <c r="D964" s="13"/>
      <c r="E964" s="13"/>
      <c r="F964" s="13"/>
      <c r="G964" s="13"/>
      <c r="H964" s="13"/>
      <c r="I964" s="13"/>
      <c r="J964" s="13"/>
      <c r="K964" s="171"/>
      <c r="L964" s="172"/>
      <c r="M964" s="13"/>
      <c r="N964" s="13"/>
      <c r="O964" s="171"/>
      <c r="P964" s="13"/>
      <c r="Q964" s="13"/>
      <c r="R964" s="173"/>
      <c r="S964" s="35"/>
      <c r="T964" s="35"/>
      <c r="U964" s="13"/>
      <c r="V964" s="13"/>
      <c r="W964" s="13"/>
      <c r="X964" s="13"/>
      <c r="Y964" s="13"/>
      <c r="Z964" s="13"/>
      <c r="AA964" s="13"/>
      <c r="AB964" s="13"/>
      <c r="AC964" s="13"/>
    </row>
    <row r="965" ht="16.5" customHeight="1">
      <c r="A965" s="13"/>
      <c r="B965" s="13"/>
      <c r="C965" s="13"/>
      <c r="D965" s="13"/>
      <c r="E965" s="13"/>
      <c r="F965" s="13"/>
      <c r="G965" s="13"/>
      <c r="H965" s="13"/>
      <c r="I965" s="13"/>
      <c r="J965" s="13"/>
      <c r="K965" s="171"/>
      <c r="L965" s="172"/>
      <c r="M965" s="13"/>
      <c r="N965" s="13"/>
      <c r="O965" s="171"/>
      <c r="P965" s="13"/>
      <c r="Q965" s="13"/>
      <c r="R965" s="173"/>
      <c r="S965" s="35"/>
      <c r="T965" s="35"/>
      <c r="U965" s="13"/>
      <c r="V965" s="13"/>
      <c r="W965" s="13"/>
      <c r="X965" s="13"/>
      <c r="Y965" s="13"/>
      <c r="Z965" s="13"/>
      <c r="AA965" s="13"/>
      <c r="AB965" s="13"/>
      <c r="AC965" s="13"/>
    </row>
    <row r="966" ht="16.5" customHeight="1">
      <c r="A966" s="13"/>
      <c r="B966" s="13"/>
      <c r="C966" s="13"/>
      <c r="D966" s="13"/>
      <c r="E966" s="13"/>
      <c r="F966" s="13"/>
      <c r="G966" s="13"/>
      <c r="H966" s="13"/>
      <c r="I966" s="13"/>
      <c r="J966" s="13"/>
      <c r="K966" s="171"/>
      <c r="L966" s="172"/>
      <c r="M966" s="13"/>
      <c r="N966" s="13"/>
      <c r="O966" s="171"/>
      <c r="P966" s="13"/>
      <c r="Q966" s="13"/>
      <c r="R966" s="173"/>
      <c r="S966" s="35"/>
      <c r="T966" s="35"/>
      <c r="U966" s="13"/>
      <c r="V966" s="13"/>
      <c r="W966" s="13"/>
      <c r="X966" s="13"/>
      <c r="Y966" s="13"/>
      <c r="Z966" s="13"/>
      <c r="AA966" s="13"/>
      <c r="AB966" s="13"/>
      <c r="AC966" s="13"/>
    </row>
    <row r="967" ht="16.5" customHeight="1">
      <c r="A967" s="13"/>
      <c r="B967" s="13"/>
      <c r="C967" s="13"/>
      <c r="D967" s="13"/>
      <c r="E967" s="13"/>
      <c r="F967" s="13"/>
      <c r="G967" s="13"/>
      <c r="H967" s="13"/>
      <c r="I967" s="13"/>
      <c r="J967" s="13"/>
      <c r="K967" s="171"/>
      <c r="L967" s="172"/>
      <c r="M967" s="13"/>
      <c r="N967" s="13"/>
      <c r="O967" s="171"/>
      <c r="P967" s="13"/>
      <c r="Q967" s="13"/>
      <c r="R967" s="173"/>
      <c r="S967" s="35"/>
      <c r="T967" s="35"/>
      <c r="U967" s="13"/>
      <c r="V967" s="13"/>
      <c r="W967" s="13"/>
      <c r="X967" s="13"/>
      <c r="Y967" s="13"/>
      <c r="Z967" s="13"/>
      <c r="AA967" s="13"/>
      <c r="AB967" s="13"/>
      <c r="AC967" s="13"/>
    </row>
    <row r="968" ht="16.5" customHeight="1">
      <c r="A968" s="13"/>
      <c r="B968" s="13"/>
      <c r="C968" s="13"/>
      <c r="D968" s="13"/>
      <c r="E968" s="13"/>
      <c r="F968" s="13"/>
      <c r="G968" s="13"/>
      <c r="H968" s="13"/>
      <c r="I968" s="13"/>
      <c r="J968" s="13"/>
      <c r="K968" s="171"/>
      <c r="L968" s="172"/>
      <c r="M968" s="13"/>
      <c r="N968" s="13"/>
      <c r="O968" s="171"/>
      <c r="P968" s="13"/>
      <c r="Q968" s="13"/>
      <c r="R968" s="173"/>
      <c r="S968" s="35"/>
      <c r="T968" s="35"/>
      <c r="U968" s="13"/>
      <c r="V968" s="13"/>
      <c r="W968" s="13"/>
      <c r="X968" s="13"/>
      <c r="Y968" s="13"/>
      <c r="Z968" s="13"/>
      <c r="AA968" s="13"/>
      <c r="AB968" s="13"/>
      <c r="AC968" s="13"/>
    </row>
    <row r="969" ht="16.5" customHeight="1">
      <c r="A969" s="13"/>
      <c r="B969" s="13"/>
      <c r="C969" s="13"/>
      <c r="D969" s="13"/>
      <c r="E969" s="13"/>
      <c r="F969" s="13"/>
      <c r="G969" s="13"/>
      <c r="H969" s="13"/>
      <c r="I969" s="13"/>
      <c r="J969" s="13"/>
      <c r="K969" s="171"/>
      <c r="L969" s="172"/>
      <c r="M969" s="13"/>
      <c r="N969" s="13"/>
      <c r="O969" s="171"/>
      <c r="P969" s="13"/>
      <c r="Q969" s="13"/>
      <c r="R969" s="173"/>
      <c r="S969" s="35"/>
      <c r="T969" s="35"/>
      <c r="U969" s="13"/>
      <c r="V969" s="13"/>
      <c r="W969" s="13"/>
      <c r="X969" s="13"/>
      <c r="Y969" s="13"/>
      <c r="Z969" s="13"/>
      <c r="AA969" s="13"/>
      <c r="AB969" s="13"/>
      <c r="AC969" s="13"/>
    </row>
    <row r="970" ht="16.5" customHeight="1">
      <c r="A970" s="13"/>
      <c r="B970" s="13"/>
      <c r="C970" s="13"/>
      <c r="D970" s="13"/>
      <c r="E970" s="13"/>
      <c r="F970" s="13"/>
      <c r="G970" s="13"/>
      <c r="H970" s="13"/>
      <c r="I970" s="13"/>
      <c r="J970" s="13"/>
      <c r="K970" s="171"/>
      <c r="L970" s="172"/>
      <c r="M970" s="13"/>
      <c r="N970" s="13"/>
      <c r="O970" s="171"/>
      <c r="P970" s="13"/>
      <c r="Q970" s="13"/>
      <c r="R970" s="173"/>
      <c r="S970" s="35"/>
      <c r="T970" s="35"/>
      <c r="U970" s="13"/>
      <c r="V970" s="13"/>
      <c r="W970" s="13"/>
      <c r="X970" s="13"/>
      <c r="Y970" s="13"/>
      <c r="Z970" s="13"/>
      <c r="AA970" s="13"/>
      <c r="AB970" s="13"/>
      <c r="AC970" s="13"/>
    </row>
    <row r="971" ht="16.5" customHeight="1">
      <c r="A971" s="13"/>
      <c r="B971" s="13"/>
      <c r="C971" s="13"/>
      <c r="D971" s="13"/>
      <c r="E971" s="13"/>
      <c r="F971" s="13"/>
      <c r="G971" s="13"/>
      <c r="H971" s="13"/>
      <c r="I971" s="13"/>
      <c r="J971" s="13"/>
      <c r="K971" s="171"/>
      <c r="L971" s="172"/>
      <c r="M971" s="13"/>
      <c r="N971" s="13"/>
      <c r="O971" s="171"/>
      <c r="P971" s="13"/>
      <c r="Q971" s="13"/>
      <c r="R971" s="173"/>
      <c r="S971" s="35"/>
      <c r="T971" s="35"/>
      <c r="U971" s="13"/>
      <c r="V971" s="13"/>
      <c r="W971" s="13"/>
      <c r="X971" s="13"/>
      <c r="Y971" s="13"/>
      <c r="Z971" s="13"/>
      <c r="AA971" s="13"/>
      <c r="AB971" s="13"/>
      <c r="AC971" s="13"/>
    </row>
    <row r="972" ht="16.5" customHeight="1">
      <c r="A972" s="13"/>
      <c r="B972" s="13"/>
      <c r="C972" s="13"/>
      <c r="D972" s="13"/>
      <c r="E972" s="13"/>
      <c r="F972" s="13"/>
      <c r="G972" s="13"/>
      <c r="H972" s="13"/>
      <c r="I972" s="13"/>
      <c r="J972" s="13"/>
      <c r="K972" s="171"/>
      <c r="L972" s="172"/>
      <c r="M972" s="13"/>
      <c r="N972" s="13"/>
      <c r="O972" s="171"/>
      <c r="P972" s="13"/>
      <c r="Q972" s="13"/>
      <c r="R972" s="173"/>
      <c r="S972" s="35"/>
      <c r="T972" s="35"/>
      <c r="U972" s="13"/>
      <c r="V972" s="13"/>
      <c r="W972" s="13"/>
      <c r="X972" s="13"/>
      <c r="Y972" s="13"/>
      <c r="Z972" s="13"/>
      <c r="AA972" s="13"/>
      <c r="AB972" s="13"/>
      <c r="AC972" s="13"/>
    </row>
    <row r="973" ht="16.5" customHeight="1">
      <c r="A973" s="13"/>
      <c r="B973" s="13"/>
      <c r="C973" s="13"/>
      <c r="D973" s="13"/>
      <c r="E973" s="13"/>
      <c r="F973" s="13"/>
      <c r="G973" s="13"/>
      <c r="H973" s="13"/>
      <c r="I973" s="13"/>
      <c r="J973" s="13"/>
      <c r="K973" s="171"/>
      <c r="L973" s="172"/>
      <c r="M973" s="13"/>
      <c r="N973" s="13"/>
      <c r="O973" s="171"/>
      <c r="P973" s="13"/>
      <c r="Q973" s="13"/>
      <c r="R973" s="173"/>
      <c r="S973" s="35"/>
      <c r="T973" s="35"/>
      <c r="U973" s="13"/>
      <c r="V973" s="13"/>
      <c r="W973" s="13"/>
      <c r="X973" s="13"/>
      <c r="Y973" s="13"/>
      <c r="Z973" s="13"/>
      <c r="AA973" s="13"/>
      <c r="AB973" s="13"/>
      <c r="AC973" s="13"/>
    </row>
    <row r="974" ht="16.5" customHeight="1">
      <c r="A974" s="13"/>
      <c r="B974" s="13"/>
      <c r="C974" s="13"/>
      <c r="D974" s="13"/>
      <c r="E974" s="13"/>
      <c r="F974" s="13"/>
      <c r="G974" s="13"/>
      <c r="H974" s="13"/>
      <c r="I974" s="13"/>
      <c r="J974" s="13"/>
      <c r="K974" s="171"/>
      <c r="L974" s="172"/>
      <c r="M974" s="13"/>
      <c r="N974" s="13"/>
      <c r="O974" s="171"/>
      <c r="P974" s="13"/>
      <c r="Q974" s="13"/>
      <c r="R974" s="173"/>
      <c r="S974" s="35"/>
      <c r="T974" s="35"/>
      <c r="U974" s="13"/>
      <c r="V974" s="13"/>
      <c r="W974" s="13"/>
      <c r="X974" s="13"/>
      <c r="Y974" s="13"/>
      <c r="Z974" s="13"/>
      <c r="AA974" s="13"/>
      <c r="AB974" s="13"/>
      <c r="AC974" s="13"/>
    </row>
    <row r="975" ht="16.5" customHeight="1">
      <c r="A975" s="13"/>
      <c r="B975" s="13"/>
      <c r="C975" s="13"/>
      <c r="D975" s="13"/>
      <c r="E975" s="13"/>
      <c r="F975" s="13"/>
      <c r="G975" s="13"/>
      <c r="H975" s="13"/>
      <c r="I975" s="13"/>
      <c r="J975" s="13"/>
      <c r="K975" s="171"/>
      <c r="L975" s="172"/>
      <c r="M975" s="13"/>
      <c r="N975" s="13"/>
      <c r="O975" s="171"/>
      <c r="P975" s="13"/>
      <c r="Q975" s="13"/>
      <c r="R975" s="173"/>
      <c r="S975" s="35"/>
      <c r="T975" s="35"/>
      <c r="U975" s="13"/>
      <c r="V975" s="13"/>
      <c r="W975" s="13"/>
      <c r="X975" s="13"/>
      <c r="Y975" s="13"/>
      <c r="Z975" s="13"/>
      <c r="AA975" s="13"/>
      <c r="AB975" s="13"/>
      <c r="AC975" s="13"/>
    </row>
    <row r="976" ht="16.5" customHeight="1">
      <c r="A976" s="13"/>
      <c r="B976" s="13"/>
      <c r="C976" s="13"/>
      <c r="D976" s="13"/>
      <c r="E976" s="13"/>
      <c r="F976" s="13"/>
      <c r="G976" s="13"/>
      <c r="H976" s="13"/>
      <c r="I976" s="13"/>
      <c r="J976" s="13"/>
      <c r="K976" s="171"/>
      <c r="L976" s="172"/>
      <c r="M976" s="13"/>
      <c r="N976" s="13"/>
      <c r="O976" s="171"/>
      <c r="P976" s="13"/>
      <c r="Q976" s="13"/>
      <c r="R976" s="173"/>
      <c r="S976" s="35"/>
      <c r="T976" s="35"/>
      <c r="U976" s="13"/>
      <c r="V976" s="13"/>
      <c r="W976" s="13"/>
      <c r="X976" s="13"/>
      <c r="Y976" s="13"/>
      <c r="Z976" s="13"/>
      <c r="AA976" s="13"/>
      <c r="AB976" s="13"/>
      <c r="AC976" s="13"/>
    </row>
    <row r="977" ht="16.5" customHeight="1">
      <c r="A977" s="13"/>
      <c r="B977" s="13"/>
      <c r="C977" s="13"/>
      <c r="D977" s="13"/>
      <c r="E977" s="13"/>
      <c r="F977" s="13"/>
      <c r="G977" s="13"/>
      <c r="H977" s="13"/>
      <c r="I977" s="13"/>
      <c r="J977" s="13"/>
      <c r="K977" s="171"/>
      <c r="L977" s="172"/>
      <c r="M977" s="13"/>
      <c r="N977" s="13"/>
      <c r="O977" s="171"/>
      <c r="P977" s="13"/>
      <c r="Q977" s="13"/>
      <c r="R977" s="173"/>
      <c r="S977" s="35"/>
      <c r="T977" s="35"/>
      <c r="U977" s="13"/>
      <c r="V977" s="13"/>
      <c r="W977" s="13"/>
      <c r="X977" s="13"/>
      <c r="Y977" s="13"/>
      <c r="Z977" s="13"/>
      <c r="AA977" s="13"/>
      <c r="AB977" s="13"/>
      <c r="AC977" s="13"/>
    </row>
    <row r="978" ht="16.5" customHeight="1">
      <c r="A978" s="13"/>
      <c r="B978" s="13"/>
      <c r="C978" s="13"/>
      <c r="D978" s="13"/>
      <c r="E978" s="13"/>
      <c r="F978" s="13"/>
      <c r="G978" s="13"/>
      <c r="H978" s="13"/>
      <c r="I978" s="13"/>
      <c r="J978" s="13"/>
      <c r="K978" s="171"/>
      <c r="L978" s="172"/>
      <c r="M978" s="13"/>
      <c r="N978" s="13"/>
      <c r="O978" s="171"/>
      <c r="P978" s="13"/>
      <c r="Q978" s="13"/>
      <c r="R978" s="173"/>
      <c r="S978" s="35"/>
      <c r="T978" s="35"/>
      <c r="U978" s="13"/>
      <c r="V978" s="13"/>
      <c r="W978" s="13"/>
      <c r="X978" s="13"/>
      <c r="Y978" s="13"/>
      <c r="Z978" s="13"/>
      <c r="AA978" s="13"/>
      <c r="AB978" s="13"/>
      <c r="AC978" s="13"/>
    </row>
    <row r="979" ht="16.5" customHeight="1">
      <c r="A979" s="13"/>
      <c r="B979" s="13"/>
      <c r="C979" s="13"/>
      <c r="D979" s="13"/>
      <c r="E979" s="13"/>
      <c r="F979" s="13"/>
      <c r="G979" s="13"/>
      <c r="H979" s="13"/>
      <c r="I979" s="13"/>
      <c r="J979" s="13"/>
      <c r="K979" s="171"/>
      <c r="L979" s="172"/>
      <c r="M979" s="13"/>
      <c r="N979" s="13"/>
      <c r="O979" s="171"/>
      <c r="P979" s="13"/>
      <c r="Q979" s="13"/>
      <c r="R979" s="173"/>
      <c r="S979" s="35"/>
      <c r="T979" s="35"/>
      <c r="U979" s="13"/>
      <c r="V979" s="13"/>
      <c r="W979" s="13"/>
      <c r="X979" s="13"/>
      <c r="Y979" s="13"/>
      <c r="Z979" s="13"/>
      <c r="AA979" s="13"/>
      <c r="AB979" s="13"/>
      <c r="AC979" s="13"/>
    </row>
    <row r="980" ht="16.5" customHeight="1">
      <c r="A980" s="13"/>
      <c r="B980" s="13"/>
      <c r="C980" s="13"/>
      <c r="D980" s="13"/>
      <c r="E980" s="13"/>
      <c r="F980" s="13"/>
      <c r="G980" s="13"/>
      <c r="H980" s="13"/>
      <c r="I980" s="13"/>
      <c r="J980" s="13"/>
      <c r="K980" s="171"/>
      <c r="L980" s="172"/>
      <c r="M980" s="13"/>
      <c r="N980" s="13"/>
      <c r="O980" s="171"/>
      <c r="P980" s="13"/>
      <c r="Q980" s="13"/>
      <c r="R980" s="173"/>
      <c r="S980" s="35"/>
      <c r="T980" s="35"/>
      <c r="U980" s="13"/>
      <c r="V980" s="13"/>
      <c r="W980" s="13"/>
      <c r="X980" s="13"/>
      <c r="Y980" s="13"/>
      <c r="Z980" s="13"/>
      <c r="AA980" s="13"/>
      <c r="AB980" s="13"/>
      <c r="AC980" s="13"/>
    </row>
    <row r="981" ht="16.5" customHeight="1">
      <c r="A981" s="13"/>
      <c r="B981" s="13"/>
      <c r="C981" s="13"/>
      <c r="D981" s="13"/>
      <c r="E981" s="13"/>
      <c r="F981" s="13"/>
      <c r="G981" s="13"/>
      <c r="H981" s="13"/>
      <c r="I981" s="13"/>
      <c r="J981" s="13"/>
      <c r="K981" s="171"/>
      <c r="L981" s="172"/>
      <c r="M981" s="13"/>
      <c r="N981" s="13"/>
      <c r="O981" s="171"/>
      <c r="P981" s="13"/>
      <c r="Q981" s="13"/>
      <c r="R981" s="173"/>
      <c r="S981" s="35"/>
      <c r="T981" s="35"/>
      <c r="U981" s="13"/>
      <c r="V981" s="13"/>
      <c r="W981" s="13"/>
      <c r="X981" s="13"/>
      <c r="Y981" s="13"/>
      <c r="Z981" s="13"/>
      <c r="AA981" s="13"/>
      <c r="AB981" s="13"/>
      <c r="AC981" s="13"/>
    </row>
    <row r="982" ht="16.5" customHeight="1">
      <c r="A982" s="13"/>
      <c r="B982" s="13"/>
      <c r="C982" s="13"/>
      <c r="D982" s="13"/>
      <c r="E982" s="13"/>
      <c r="F982" s="13"/>
      <c r="G982" s="13"/>
      <c r="H982" s="13"/>
      <c r="I982" s="13"/>
      <c r="J982" s="13"/>
      <c r="K982" s="171"/>
      <c r="L982" s="172"/>
      <c r="M982" s="13"/>
      <c r="N982" s="13"/>
      <c r="O982" s="171"/>
      <c r="P982" s="13"/>
      <c r="Q982" s="13"/>
      <c r="R982" s="173"/>
      <c r="S982" s="35"/>
      <c r="T982" s="35"/>
      <c r="U982" s="13"/>
      <c r="V982" s="13"/>
      <c r="W982" s="13"/>
      <c r="X982" s="13"/>
      <c r="Y982" s="13"/>
      <c r="Z982" s="13"/>
      <c r="AA982" s="13"/>
      <c r="AB982" s="13"/>
      <c r="AC982" s="13"/>
    </row>
    <row r="983" ht="16.5" customHeight="1">
      <c r="A983" s="13"/>
      <c r="B983" s="13"/>
      <c r="C983" s="13"/>
      <c r="D983" s="13"/>
      <c r="E983" s="13"/>
      <c r="F983" s="13"/>
      <c r="G983" s="13"/>
      <c r="H983" s="13"/>
      <c r="I983" s="13"/>
      <c r="J983" s="13"/>
      <c r="K983" s="171"/>
      <c r="L983" s="172"/>
      <c r="M983" s="13"/>
      <c r="N983" s="13"/>
      <c r="O983" s="171"/>
      <c r="P983" s="13"/>
      <c r="Q983" s="13"/>
      <c r="R983" s="173"/>
      <c r="S983" s="35"/>
      <c r="T983" s="35"/>
      <c r="U983" s="13"/>
      <c r="V983" s="13"/>
      <c r="W983" s="13"/>
      <c r="X983" s="13"/>
      <c r="Y983" s="13"/>
      <c r="Z983" s="13"/>
      <c r="AA983" s="13"/>
      <c r="AB983" s="13"/>
      <c r="AC983" s="13"/>
    </row>
    <row r="984" ht="16.5" customHeight="1">
      <c r="A984" s="13"/>
      <c r="B984" s="13"/>
      <c r="C984" s="13"/>
      <c r="D984" s="13"/>
      <c r="E984" s="13"/>
      <c r="F984" s="13"/>
      <c r="G984" s="13"/>
      <c r="H984" s="13"/>
      <c r="I984" s="13"/>
      <c r="J984" s="13"/>
      <c r="K984" s="171"/>
      <c r="L984" s="172"/>
      <c r="M984" s="13"/>
      <c r="N984" s="13"/>
      <c r="O984" s="171"/>
      <c r="P984" s="13"/>
      <c r="Q984" s="13"/>
      <c r="R984" s="173"/>
      <c r="S984" s="35"/>
      <c r="T984" s="35"/>
      <c r="U984" s="13"/>
      <c r="V984" s="13"/>
      <c r="W984" s="13"/>
      <c r="X984" s="13"/>
      <c r="Y984" s="13"/>
      <c r="Z984" s="13"/>
      <c r="AA984" s="13"/>
      <c r="AB984" s="13"/>
      <c r="AC984" s="13"/>
    </row>
    <row r="985" ht="16.5" customHeight="1">
      <c r="A985" s="13"/>
      <c r="B985" s="13"/>
      <c r="C985" s="13"/>
      <c r="D985" s="13"/>
      <c r="E985" s="13"/>
      <c r="F985" s="13"/>
      <c r="G985" s="13"/>
      <c r="H985" s="13"/>
      <c r="I985" s="13"/>
      <c r="J985" s="13"/>
      <c r="K985" s="171"/>
      <c r="L985" s="172"/>
      <c r="M985" s="13"/>
      <c r="N985" s="13"/>
      <c r="O985" s="171"/>
      <c r="P985" s="13"/>
      <c r="Q985" s="13"/>
      <c r="R985" s="173"/>
      <c r="S985" s="35"/>
      <c r="T985" s="35"/>
      <c r="U985" s="13"/>
      <c r="V985" s="13"/>
      <c r="W985" s="13"/>
      <c r="X985" s="13"/>
      <c r="Y985" s="13"/>
      <c r="Z985" s="13"/>
      <c r="AA985" s="13"/>
      <c r="AB985" s="13"/>
      <c r="AC985" s="13"/>
    </row>
    <row r="986" ht="16.5" customHeight="1">
      <c r="A986" s="13"/>
      <c r="B986" s="13"/>
      <c r="C986" s="13"/>
      <c r="D986" s="13"/>
      <c r="E986" s="13"/>
      <c r="F986" s="13"/>
      <c r="G986" s="13"/>
      <c r="H986" s="13"/>
      <c r="I986" s="13"/>
      <c r="J986" s="13"/>
      <c r="K986" s="171"/>
      <c r="L986" s="172"/>
      <c r="M986" s="13"/>
      <c r="N986" s="13"/>
      <c r="O986" s="171"/>
      <c r="P986" s="13"/>
      <c r="Q986" s="13"/>
      <c r="R986" s="173"/>
      <c r="S986" s="35"/>
      <c r="T986" s="35"/>
      <c r="U986" s="13"/>
      <c r="V986" s="13"/>
      <c r="W986" s="13"/>
      <c r="X986" s="13"/>
      <c r="Y986" s="13"/>
      <c r="Z986" s="13"/>
      <c r="AA986" s="13"/>
      <c r="AB986" s="13"/>
      <c r="AC986" s="13"/>
    </row>
    <row r="987" ht="16.5" customHeight="1">
      <c r="A987" s="13"/>
      <c r="B987" s="13"/>
      <c r="C987" s="13"/>
      <c r="D987" s="13"/>
      <c r="E987" s="13"/>
      <c r="F987" s="13"/>
      <c r="G987" s="13"/>
      <c r="H987" s="13"/>
      <c r="I987" s="13"/>
      <c r="J987" s="13"/>
      <c r="K987" s="171"/>
      <c r="L987" s="172"/>
      <c r="M987" s="13"/>
      <c r="N987" s="13"/>
      <c r="O987" s="171"/>
      <c r="P987" s="13"/>
      <c r="Q987" s="13"/>
      <c r="R987" s="173"/>
      <c r="S987" s="35"/>
      <c r="T987" s="35"/>
      <c r="U987" s="13"/>
      <c r="V987" s="13"/>
      <c r="W987" s="13"/>
      <c r="X987" s="13"/>
      <c r="Y987" s="13"/>
      <c r="Z987" s="13"/>
      <c r="AA987" s="13"/>
      <c r="AB987" s="13"/>
      <c r="AC987" s="13"/>
    </row>
    <row r="988" ht="16.5" customHeight="1">
      <c r="A988" s="13"/>
      <c r="B988" s="13"/>
      <c r="C988" s="13"/>
      <c r="D988" s="13"/>
      <c r="E988" s="13"/>
      <c r="F988" s="13"/>
      <c r="G988" s="13"/>
      <c r="H988" s="13"/>
      <c r="I988" s="13"/>
      <c r="J988" s="13"/>
      <c r="K988" s="171"/>
      <c r="L988" s="172"/>
      <c r="M988" s="13"/>
      <c r="N988" s="13"/>
      <c r="O988" s="171"/>
      <c r="P988" s="13"/>
      <c r="Q988" s="13"/>
      <c r="R988" s="173"/>
      <c r="S988" s="35"/>
      <c r="T988" s="35"/>
      <c r="U988" s="13"/>
      <c r="V988" s="13"/>
      <c r="W988" s="13"/>
      <c r="X988" s="13"/>
      <c r="Y988" s="13"/>
      <c r="Z988" s="13"/>
      <c r="AA988" s="13"/>
      <c r="AB988" s="13"/>
      <c r="AC988" s="13"/>
    </row>
    <row r="989" ht="16.5" customHeight="1">
      <c r="A989" s="13"/>
      <c r="B989" s="13"/>
      <c r="C989" s="13"/>
      <c r="D989" s="13"/>
      <c r="E989" s="13"/>
      <c r="F989" s="13"/>
      <c r="G989" s="13"/>
      <c r="H989" s="13"/>
      <c r="I989" s="13"/>
      <c r="J989" s="13"/>
      <c r="K989" s="171"/>
      <c r="L989" s="172"/>
      <c r="M989" s="13"/>
      <c r="N989" s="13"/>
      <c r="O989" s="171"/>
      <c r="P989" s="13"/>
      <c r="Q989" s="13"/>
      <c r="R989" s="173"/>
      <c r="S989" s="35"/>
      <c r="T989" s="35"/>
      <c r="U989" s="13"/>
      <c r="V989" s="13"/>
      <c r="W989" s="13"/>
      <c r="X989" s="13"/>
      <c r="Y989" s="13"/>
      <c r="Z989" s="13"/>
      <c r="AA989" s="13"/>
      <c r="AB989" s="13"/>
      <c r="AC989" s="13"/>
    </row>
    <row r="990" ht="16.5" customHeight="1">
      <c r="A990" s="13"/>
      <c r="B990" s="13"/>
      <c r="C990" s="13"/>
      <c r="D990" s="13"/>
      <c r="E990" s="13"/>
      <c r="F990" s="13"/>
      <c r="G990" s="13"/>
      <c r="H990" s="13"/>
      <c r="I990" s="13"/>
      <c r="J990" s="13"/>
      <c r="K990" s="171"/>
      <c r="L990" s="172"/>
      <c r="M990" s="13"/>
      <c r="N990" s="13"/>
      <c r="O990" s="171"/>
      <c r="P990" s="13"/>
      <c r="Q990" s="13"/>
      <c r="R990" s="173"/>
      <c r="S990" s="35"/>
      <c r="T990" s="35"/>
      <c r="U990" s="13"/>
      <c r="V990" s="13"/>
      <c r="W990" s="13"/>
      <c r="X990" s="13"/>
      <c r="Y990" s="13"/>
      <c r="Z990" s="13"/>
      <c r="AA990" s="13"/>
      <c r="AB990" s="13"/>
      <c r="AC990" s="13"/>
    </row>
    <row r="991" ht="16.5" customHeight="1">
      <c r="A991" s="13"/>
      <c r="B991" s="13"/>
      <c r="C991" s="13"/>
      <c r="D991" s="13"/>
      <c r="E991" s="13"/>
      <c r="F991" s="13"/>
      <c r="G991" s="13"/>
      <c r="H991" s="13"/>
      <c r="I991" s="13"/>
      <c r="J991" s="13"/>
      <c r="K991" s="171"/>
      <c r="L991" s="172"/>
      <c r="M991" s="13"/>
      <c r="N991" s="13"/>
      <c r="O991" s="171"/>
      <c r="P991" s="13"/>
      <c r="Q991" s="13"/>
      <c r="R991" s="173"/>
      <c r="S991" s="35"/>
      <c r="T991" s="35"/>
      <c r="U991" s="13"/>
      <c r="V991" s="13"/>
      <c r="W991" s="13"/>
      <c r="X991" s="13"/>
      <c r="Y991" s="13"/>
      <c r="Z991" s="13"/>
      <c r="AA991" s="13"/>
      <c r="AB991" s="13"/>
      <c r="AC991" s="13"/>
    </row>
    <row r="992" ht="16.5" customHeight="1">
      <c r="A992" s="13"/>
      <c r="B992" s="13"/>
      <c r="C992" s="13"/>
      <c r="D992" s="13"/>
      <c r="E992" s="13"/>
      <c r="F992" s="13"/>
      <c r="G992" s="13"/>
      <c r="H992" s="13"/>
      <c r="I992" s="13"/>
      <c r="J992" s="13"/>
      <c r="K992" s="171"/>
      <c r="L992" s="172"/>
      <c r="M992" s="13"/>
      <c r="N992" s="13"/>
      <c r="O992" s="171"/>
      <c r="P992" s="13"/>
      <c r="Q992" s="13"/>
      <c r="R992" s="173"/>
      <c r="S992" s="35"/>
      <c r="T992" s="35"/>
      <c r="U992" s="13"/>
      <c r="V992" s="13"/>
      <c r="W992" s="13"/>
      <c r="X992" s="13"/>
      <c r="Y992" s="13"/>
      <c r="Z992" s="13"/>
      <c r="AA992" s="13"/>
      <c r="AB992" s="13"/>
      <c r="AC992" s="13"/>
    </row>
    <row r="993" ht="16.5" customHeight="1">
      <c r="A993" s="13"/>
      <c r="B993" s="13"/>
      <c r="C993" s="13"/>
      <c r="D993" s="13"/>
      <c r="E993" s="13"/>
      <c r="F993" s="13"/>
      <c r="G993" s="13"/>
      <c r="H993" s="13"/>
      <c r="I993" s="13"/>
      <c r="J993" s="13"/>
      <c r="K993" s="171"/>
      <c r="L993" s="172"/>
      <c r="M993" s="13"/>
      <c r="N993" s="13"/>
      <c r="O993" s="171"/>
      <c r="P993" s="13"/>
      <c r="Q993" s="13"/>
      <c r="R993" s="173"/>
      <c r="S993" s="35"/>
      <c r="T993" s="35"/>
      <c r="U993" s="13"/>
      <c r="V993" s="13"/>
      <c r="W993" s="13"/>
      <c r="X993" s="13"/>
      <c r="Y993" s="13"/>
      <c r="Z993" s="13"/>
      <c r="AA993" s="13"/>
      <c r="AB993" s="13"/>
      <c r="AC993" s="13"/>
    </row>
    <row r="994" ht="16.5" customHeight="1">
      <c r="A994" s="13"/>
      <c r="B994" s="13"/>
      <c r="C994" s="13"/>
      <c r="D994" s="13"/>
      <c r="E994" s="13"/>
      <c r="F994" s="13"/>
      <c r="G994" s="13"/>
      <c r="H994" s="13"/>
      <c r="I994" s="13"/>
      <c r="J994" s="13"/>
      <c r="K994" s="171"/>
      <c r="L994" s="172"/>
      <c r="M994" s="13"/>
      <c r="N994" s="13"/>
      <c r="O994" s="171"/>
      <c r="P994" s="13"/>
      <c r="Q994" s="13"/>
      <c r="R994" s="173"/>
      <c r="S994" s="35"/>
      <c r="T994" s="35"/>
      <c r="U994" s="13"/>
      <c r="V994" s="13"/>
      <c r="W994" s="13"/>
      <c r="X994" s="13"/>
      <c r="Y994" s="13"/>
      <c r="Z994" s="13"/>
      <c r="AA994" s="13"/>
      <c r="AB994" s="13"/>
      <c r="AC994" s="13"/>
    </row>
    <row r="995" ht="16.5" customHeight="1">
      <c r="A995" s="13"/>
      <c r="B995" s="13"/>
      <c r="C995" s="13"/>
      <c r="D995" s="13"/>
      <c r="E995" s="13"/>
      <c r="F995" s="13"/>
      <c r="G995" s="13"/>
      <c r="H995" s="13"/>
      <c r="I995" s="13"/>
      <c r="J995" s="13"/>
      <c r="K995" s="171"/>
      <c r="L995" s="172"/>
      <c r="M995" s="13"/>
      <c r="N995" s="13"/>
      <c r="O995" s="171"/>
      <c r="P995" s="13"/>
      <c r="Q995" s="13"/>
      <c r="R995" s="173"/>
      <c r="S995" s="35"/>
      <c r="T995" s="35"/>
      <c r="U995" s="13"/>
      <c r="V995" s="13"/>
      <c r="W995" s="13"/>
      <c r="X995" s="13"/>
      <c r="Y995" s="13"/>
      <c r="Z995" s="13"/>
      <c r="AA995" s="13"/>
      <c r="AB995" s="13"/>
      <c r="AC995" s="13"/>
    </row>
    <row r="996" ht="16.5" customHeight="1">
      <c r="A996" s="13"/>
      <c r="B996" s="13"/>
      <c r="C996" s="13"/>
      <c r="D996" s="13"/>
      <c r="E996" s="13"/>
      <c r="F996" s="13"/>
      <c r="G996" s="13"/>
      <c r="H996" s="13"/>
      <c r="I996" s="13"/>
      <c r="J996" s="13"/>
      <c r="K996" s="171"/>
      <c r="L996" s="172"/>
      <c r="M996" s="13"/>
      <c r="N996" s="13"/>
      <c r="O996" s="171"/>
      <c r="P996" s="13"/>
      <c r="Q996" s="13"/>
      <c r="R996" s="173"/>
      <c r="S996" s="35"/>
      <c r="T996" s="35"/>
      <c r="U996" s="13"/>
      <c r="V996" s="13"/>
      <c r="W996" s="13"/>
      <c r="X996" s="13"/>
      <c r="Y996" s="13"/>
      <c r="Z996" s="13"/>
      <c r="AA996" s="13"/>
      <c r="AB996" s="13"/>
      <c r="AC996" s="13"/>
    </row>
    <row r="997" ht="16.5" customHeight="1">
      <c r="A997" s="13"/>
      <c r="B997" s="13"/>
      <c r="C997" s="13"/>
      <c r="D997" s="13"/>
      <c r="E997" s="13"/>
      <c r="F997" s="13"/>
      <c r="G997" s="13"/>
      <c r="H997" s="13"/>
      <c r="I997" s="13"/>
      <c r="J997" s="13"/>
      <c r="K997" s="171"/>
      <c r="L997" s="172"/>
      <c r="M997" s="13"/>
      <c r="N997" s="13"/>
      <c r="O997" s="171"/>
      <c r="P997" s="13"/>
      <c r="Q997" s="13"/>
      <c r="R997" s="173"/>
      <c r="S997" s="35"/>
      <c r="T997" s="35"/>
      <c r="U997" s="13"/>
      <c r="V997" s="13"/>
      <c r="W997" s="13"/>
      <c r="X997" s="13"/>
      <c r="Y997" s="13"/>
      <c r="Z997" s="13"/>
      <c r="AA997" s="13"/>
      <c r="AB997" s="13"/>
      <c r="AC997" s="13"/>
    </row>
    <row r="998" ht="16.5" customHeight="1">
      <c r="A998" s="13"/>
      <c r="B998" s="13"/>
      <c r="C998" s="13"/>
      <c r="D998" s="13"/>
      <c r="E998" s="13"/>
      <c r="F998" s="13"/>
      <c r="G998" s="13"/>
      <c r="H998" s="13"/>
      <c r="I998" s="13"/>
      <c r="J998" s="13"/>
      <c r="K998" s="171"/>
      <c r="L998" s="172"/>
      <c r="M998" s="13"/>
      <c r="N998" s="13"/>
      <c r="O998" s="171"/>
      <c r="P998" s="13"/>
      <c r="Q998" s="13"/>
      <c r="R998" s="173"/>
      <c r="S998" s="35"/>
      <c r="T998" s="35"/>
      <c r="U998" s="13"/>
      <c r="V998" s="13"/>
      <c r="W998" s="13"/>
      <c r="X998" s="13"/>
      <c r="Y998" s="13"/>
      <c r="Z998" s="13"/>
      <c r="AA998" s="13"/>
      <c r="AB998" s="13"/>
      <c r="AC998" s="13"/>
    </row>
    <row r="999" ht="16.5" customHeight="1">
      <c r="A999" s="13"/>
      <c r="B999" s="13"/>
      <c r="C999" s="13"/>
      <c r="D999" s="13"/>
      <c r="E999" s="13"/>
      <c r="F999" s="13"/>
      <c r="G999" s="13"/>
      <c r="H999" s="13"/>
      <c r="I999" s="13"/>
      <c r="J999" s="13"/>
      <c r="K999" s="171"/>
      <c r="L999" s="172"/>
      <c r="M999" s="13"/>
      <c r="N999" s="13"/>
      <c r="O999" s="171"/>
      <c r="P999" s="13"/>
      <c r="Q999" s="13"/>
      <c r="R999" s="173"/>
      <c r="S999" s="35"/>
      <c r="T999" s="35"/>
      <c r="U999" s="13"/>
      <c r="V999" s="13"/>
      <c r="W999" s="13"/>
      <c r="X999" s="13"/>
      <c r="Y999" s="13"/>
      <c r="Z999" s="13"/>
      <c r="AA999" s="13"/>
      <c r="AB999" s="13"/>
      <c r="AC999" s="13"/>
    </row>
    <row r="1000" ht="16.5" customHeight="1">
      <c r="A1000" s="13"/>
      <c r="B1000" s="13"/>
      <c r="C1000" s="13"/>
      <c r="D1000" s="13"/>
      <c r="E1000" s="13"/>
      <c r="F1000" s="13"/>
      <c r="G1000" s="13"/>
      <c r="H1000" s="13"/>
      <c r="I1000" s="13"/>
      <c r="J1000" s="13"/>
      <c r="K1000" s="171"/>
      <c r="L1000" s="172"/>
      <c r="M1000" s="13"/>
      <c r="N1000" s="13"/>
      <c r="O1000" s="171"/>
      <c r="P1000" s="13"/>
      <c r="Q1000" s="13"/>
      <c r="R1000" s="173"/>
      <c r="S1000" s="35"/>
      <c r="T1000" s="35"/>
      <c r="U1000" s="13"/>
      <c r="V1000" s="13"/>
      <c r="W1000" s="13"/>
      <c r="X1000" s="13"/>
      <c r="Y1000" s="13"/>
      <c r="Z1000" s="13"/>
      <c r="AA1000" s="13"/>
      <c r="AB1000" s="13"/>
      <c r="AC1000" s="13"/>
    </row>
  </sheetData>
  <autoFilter ref="$A$3:$O$381">
    <filterColumn colId="8">
      <filters>
        <filter val="참조문서확정"/>
      </filters>
    </filterColumn>
    <filterColumn colId="9">
      <filters blank="1">
        <filter val="부산광역시 공무원 복무 조례&#10; [별표3] 경조사별 휴가일수표(제15조제1항 관련)&#10;&#10;&gt;&gt;&gt; 내부, 온나라, 외부 모두에서 유사한 파일도 없습니다&#10;&#10;&gt;&gt; 자치법규에 있습니다. &#10;- 찾을수 없습니다"/>
        <filter val="계약절차 - 478_2505_회계재산담당관_업무매뉴얼_회계재산담당관_계약업무_참고자료회계재산담당관외부용.pdf&#10;&#10;&#10;유의사항 - 473_2411_회계재산담당관_업무매뉴얼_한국지방재정공제회_2024년_개정판_용역계약_길라잡이한국지방재정공제회.pdf&#10;&#10;&#10;유의사항 - 472_2411_회계재산담당관_업무매뉴얼_한국지방재정공제회_2024년_개정판_물품계약_길라잡이한국지방재정공제회.pdf"/>
        <filter val="행정포털 사용자 명단"/>
        <filter val="415_2505_총무과_공문_부산시_방문_주요_인사_의전_매뉴얼_수립_보고자료.pdf&#10; &#10;&#10;&#10;&#10;416_2505_총무과_매뉴얼_부산시_의전실무_매뉴얼.pdf"/>
        <filter val="1285_구내식당_운영가이드.pdf"/>
        <filter val="1259_지방공무원_복무에_관한_예규_개정안전문_행정안전부_예규_제340호.pdf&#10;&#10;자치법규 부산광역시 공무원 복무 조례 [별표3] 경조사별 휴가일수표&#10;&#10;&gt;&gt;&gt; 두번째 문서를 찾을 수 없습니다&#10;&#10;&gt;&gt; 두번째 문서는 자치법규안에 있는 별표 첨부파일입니다.&#10;&#10;&gt;&gt;&gt; 두번째 문서는 여전히 찾을 수 없습니다."/>
        <filter val="264_2401_인사과_법령_행정안전부_지방공무원_인사관계_법령집.pdf &#10;&#10;1259_지방공무원_복무에_관한_예규_개정안전문_행정안전부_예규_제340호.pdf&#10;&#10;자치법규 부산광역시 공무원 복무 조례 및 [별표3] 경조사별 휴가일수표"/>
        <filter val="274_2501_인사과_기본계획_인사과_2025년도_부산광역시_인사운영_기본계획.pdf"/>
      </filters>
    </filterColumn>
  </autoFilter>
  <customSheetViews>
    <customSheetView guid="{4B501203-532A-4297-A52F-0EDDABCA0E36}" filter="1" showAutoFilter="1">
      <autoFilter ref="$A$3:$O$382">
        <filterColumn colId="8">
          <filters blank="1">
            <filter val="고정답변처리"/>
            <filter val="참조문서확정"/>
            <filter val="별도서비스처리"/>
          </filters>
        </filterColumn>
      </autoFilter>
    </customSheetView>
  </customSheetViews>
  <mergeCells count="7">
    <mergeCell ref="A1:F1"/>
    <mergeCell ref="D2:E2"/>
    <mergeCell ref="F2:G2"/>
    <mergeCell ref="H2:I2"/>
    <mergeCell ref="J2:L2"/>
    <mergeCell ref="M2:O2"/>
    <mergeCell ref="P2:T2"/>
  </mergeCells>
  <hyperlinks>
    <hyperlink r:id="rId1" location="question4-8" ref="L266"/>
  </hyperlinks>
  <printOptions/>
  <pageMargins bottom="1.0" footer="0.0" header="0.0" left="0.75" right="0.75" top="1.0"/>
  <pageSetup fitToHeight="0"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s>
  <sheetData>
    <row r="1">
      <c r="A1" s="174" t="s">
        <v>12</v>
      </c>
      <c r="B1" s="174" t="s">
        <v>13</v>
      </c>
    </row>
    <row r="2">
      <c r="A2" s="175">
        <f>IFERROR(__xludf.DUMMYFUNCTION("FILTER('제출내역'!A4:B381, '제출내역'!M4:M381=TRUE)"),2.0)</f>
        <v>2</v>
      </c>
      <c r="B2" s="175" t="str">
        <f>IFERROR(__xludf.DUMMYFUNCTION("""COMPUTED_VALUE"""),"질병휴직시 필요한 서류가 무엇인가요?")</f>
        <v>질병휴직시 필요한 서류가 무엇인가요?</v>
      </c>
      <c r="D2" s="174">
        <v>2.0</v>
      </c>
    </row>
    <row r="3">
      <c r="A3" s="175">
        <f>IFERROR(__xludf.DUMMYFUNCTION("""COMPUTED_VALUE"""),5.0)</f>
        <v>5</v>
      </c>
      <c r="B3" s="175" t="str">
        <f>IFERROR(__xludf.DUMMYFUNCTION("""COMPUTED_VALUE"""),"협상에 의한 계약을 진행할 시 절차가 어떻게 되나요?")</f>
        <v>협상에 의한 계약을 진행할 시 절차가 어떻게 되나요?</v>
      </c>
      <c r="D3" s="174">
        <v>5.0</v>
      </c>
    </row>
    <row r="4">
      <c r="A4" s="175">
        <f>IFERROR(__xludf.DUMMYFUNCTION("""COMPUTED_VALUE"""),6.0)</f>
        <v>6</v>
      </c>
      <c r="B4" s="175" t="str">
        <f>IFERROR(__xludf.DUMMYFUNCTION("""COMPUTED_VALUE"""),"DRM 비밀번호 초기화 방법이 무엇인가요?")</f>
        <v>DRM 비밀번호 초기화 방법이 무엇인가요?</v>
      </c>
      <c r="D4" s="174">
        <v>6.0</v>
      </c>
    </row>
    <row r="5">
      <c r="A5" s="175">
        <f>IFERROR(__xludf.DUMMYFUNCTION("""COMPUTED_VALUE"""),7.0)</f>
        <v>7</v>
      </c>
      <c r="B5" s="175" t="str">
        <f>IFERROR(__xludf.DUMMYFUNCTION("""COMPUTED_VALUE"""),"장관표창 공적심사 의뢰 시 제출서류가 무엇인가요?")</f>
        <v>장관표창 공적심사 의뢰 시 제출서류가 무엇인가요?</v>
      </c>
      <c r="D5" s="174">
        <v>9.0</v>
      </c>
    </row>
    <row r="6">
      <c r="A6" s="175">
        <f>IFERROR(__xludf.DUMMYFUNCTION("""COMPUTED_VALUE"""),8.0)</f>
        <v>8</v>
      </c>
      <c r="B6" s="175" t="str">
        <f>IFERROR(__xludf.DUMMYFUNCTION("""COMPUTED_VALUE"""),"시장표창 공적심사 의뢰 시 제출서류가 무엇인가요?")</f>
        <v>시장표창 공적심사 의뢰 시 제출서류가 무엇인가요?</v>
      </c>
      <c r="D6" s="174">
        <v>10.0</v>
      </c>
    </row>
    <row r="7">
      <c r="A7" s="175">
        <f>IFERROR(__xludf.DUMMYFUNCTION("""COMPUTED_VALUE"""),9.0)</f>
        <v>9</v>
      </c>
      <c r="B7" s="175" t="str">
        <f>IFERROR(__xludf.DUMMYFUNCTION("""COMPUTED_VALUE"""),"일상경비 교부대상 통계목이 무엇인가요?")</f>
        <v>일상경비 교부대상 통계목이 무엇인가요?</v>
      </c>
      <c r="D7" s="174">
        <v>11.0</v>
      </c>
    </row>
    <row r="8">
      <c r="A8" s="175">
        <f>IFERROR(__xludf.DUMMYFUNCTION("""COMPUTED_VALUE"""),10.0)</f>
        <v>10</v>
      </c>
      <c r="B8" s="175" t="str">
        <f>IFERROR(__xludf.DUMMYFUNCTION("""COMPUTED_VALUE"""),"일상경비 교부범위가 어떻게 되나요?")</f>
        <v>일상경비 교부범위가 어떻게 되나요?</v>
      </c>
      <c r="D8" s="174">
        <v>13.0</v>
      </c>
    </row>
    <row r="9">
      <c r="A9" s="175">
        <f>IFERROR(__xludf.DUMMYFUNCTION("""COMPUTED_VALUE"""),11.0)</f>
        <v>11</v>
      </c>
      <c r="B9" s="175" t="str">
        <f>IFERROR(__xludf.DUMMYFUNCTION("""COMPUTED_VALUE"""),"DRM 암호 초기화 어떻게 하나요?")</f>
        <v>DRM 암호 초기화 어떻게 하나요?</v>
      </c>
      <c r="D9" s="174">
        <v>15.0</v>
      </c>
    </row>
    <row r="10">
      <c r="A10" s="175">
        <f>IFERROR(__xludf.DUMMYFUNCTION("""COMPUTED_VALUE"""),13.0)</f>
        <v>13</v>
      </c>
      <c r="B10" s="175" t="str">
        <f>IFERROR(__xludf.DUMMYFUNCTION("""COMPUTED_VALUE"""),"보도자료 작성 기한은?")</f>
        <v>보도자료 작성 기한은?</v>
      </c>
      <c r="D10" s="174">
        <v>16.0</v>
      </c>
    </row>
    <row r="11">
      <c r="A11" s="175">
        <f>IFERROR(__xludf.DUMMYFUNCTION("""COMPUTED_VALUE"""),15.0)</f>
        <v>15</v>
      </c>
      <c r="B11" s="175" t="str">
        <f>IFERROR(__xludf.DUMMYFUNCTION("""COMPUTED_VALUE"""),"인사랑이 열리지 않을때 조치방법은?")</f>
        <v>인사랑이 열리지 않을때 조치방법은?</v>
      </c>
      <c r="D11" s="174">
        <v>17.0</v>
      </c>
    </row>
    <row r="12">
      <c r="A12" s="175">
        <f>IFERROR(__xludf.DUMMYFUNCTION("""COMPUTED_VALUE"""),16.0)</f>
        <v>16</v>
      </c>
      <c r="B12" s="175" t="str">
        <f>IFERROR(__xludf.DUMMYFUNCTION("""COMPUTED_VALUE"""),"행정포털 접속 장애 시 조치 방법은?")</f>
        <v>행정포털 접속 장애 시 조치 방법은?</v>
      </c>
      <c r="D12" s="174">
        <v>18.0</v>
      </c>
    </row>
    <row r="13">
      <c r="A13" s="175">
        <f>IFERROR(__xludf.DUMMYFUNCTION("""COMPUTED_VALUE"""),17.0)</f>
        <v>17</v>
      </c>
      <c r="B13" s="175" t="str">
        <f>IFERROR(__xludf.DUMMYFUNCTION("""COMPUTED_VALUE"""),"회의장 예약 방법은?")</f>
        <v>회의장 예약 방법은?</v>
      </c>
      <c r="D13" s="174">
        <v>19.0</v>
      </c>
    </row>
    <row r="14">
      <c r="A14" s="175">
        <f>IFERROR(__xludf.DUMMYFUNCTION("""COMPUTED_VALUE"""),18.0)</f>
        <v>18</v>
      </c>
      <c r="B14" s="175" t="str">
        <f>IFERROR(__xludf.DUMMYFUNCTION("""COMPUTED_VALUE"""),"PC 개인정보 삭제 방법은? ")</f>
        <v>PC 개인정보 삭제 방법은? </v>
      </c>
      <c r="D14" s="174">
        <v>20.0</v>
      </c>
    </row>
    <row r="15">
      <c r="A15" s="175">
        <f>IFERROR(__xludf.DUMMYFUNCTION("""COMPUTED_VALUE"""),19.0)</f>
        <v>19</v>
      </c>
      <c r="B15" s="175" t="str">
        <f>IFERROR(__xludf.DUMMYFUNCTION("""COMPUTED_VALUE"""),"회의장 예약 방법은?")</f>
        <v>회의장 예약 방법은?</v>
      </c>
      <c r="D15" s="174">
        <v>22.0</v>
      </c>
    </row>
    <row r="16">
      <c r="A16" s="175">
        <f>IFERROR(__xludf.DUMMYFUNCTION("""COMPUTED_VALUE"""),20.0)</f>
        <v>20</v>
      </c>
      <c r="B16" s="175" t="str">
        <f>IFERROR(__xludf.DUMMYFUNCTION("""COMPUTED_VALUE"""),"시 공무원 장례비 지원 및 사망조위금 신청방법은?")</f>
        <v>시 공무원 장례비 지원 및 사망조위금 신청방법은?</v>
      </c>
      <c r="D16" s="174">
        <v>32.0</v>
      </c>
    </row>
    <row r="17">
      <c r="A17" s="175">
        <f>IFERROR(__xludf.DUMMYFUNCTION("""COMPUTED_VALUE"""),22.0)</f>
        <v>22</v>
      </c>
      <c r="B17" s="175" t="str">
        <f>IFERROR(__xludf.DUMMYFUNCTION("""COMPUTED_VALUE"""),"회의실 예약은 어떻게 하나요?")</f>
        <v>회의실 예약은 어떻게 하나요?</v>
      </c>
      <c r="D17" s="174">
        <v>33.0</v>
      </c>
    </row>
    <row r="18">
      <c r="A18" s="175">
        <f>IFERROR(__xludf.DUMMYFUNCTION("""COMPUTED_VALUE"""),24.0)</f>
        <v>24</v>
      </c>
      <c r="B18" s="175" t="str">
        <f>IFERROR(__xludf.DUMMYFUNCTION("""COMPUTED_VALUE"""),"임기제공무원은 어떻게 임용되나요?")</f>
        <v>임기제공무원은 어떻게 임용되나요?</v>
      </c>
      <c r="D18" s="174">
        <v>34.0</v>
      </c>
    </row>
    <row r="19">
      <c r="A19" s="175">
        <f>IFERROR(__xludf.DUMMYFUNCTION("""COMPUTED_VALUE"""),32.0)</f>
        <v>32</v>
      </c>
      <c r="B19" s="175" t="str">
        <f>IFERROR(__xludf.DUMMYFUNCTION("""COMPUTED_VALUE"""),"데이터산업 혁신생태계 조성 전략의 내용은?")</f>
        <v>데이터산업 혁신생태계 조성 전략의 내용은?</v>
      </c>
      <c r="D19" s="174">
        <v>35.0</v>
      </c>
    </row>
    <row r="20">
      <c r="A20" s="175">
        <f>IFERROR(__xludf.DUMMYFUNCTION("""COMPUTED_VALUE"""),33.0)</f>
        <v>33</v>
      </c>
      <c r="B20" s="175" t="str">
        <f>IFERROR(__xludf.DUMMYFUNCTION("""COMPUTED_VALUE"""),"데이터 활용 지원센터(빅데이터혁신센터)의 혁신성장 데이터 챌린지 프로그램은 어떤 것들이 있나요?")</f>
        <v>데이터 활용 지원센터(빅데이터혁신센터)의 혁신성장 데이터 챌린지 프로그램은 어떤 것들이 있나요?</v>
      </c>
      <c r="D20" s="174">
        <v>36.0</v>
      </c>
    </row>
    <row r="21">
      <c r="A21" s="175">
        <f>IFERROR(__xludf.DUMMYFUNCTION("""COMPUTED_VALUE"""),34.0)</f>
        <v>34</v>
      </c>
      <c r="B21" s="175" t="str">
        <f>IFERROR(__xludf.DUMMYFUNCTION("""COMPUTED_VALUE"""),"부산광역시 데이터 활용 및 데이터산업 육성에 관한 조례에 따른 기본계획의 수립 내용은?")</f>
        <v>부산광역시 데이터 활용 및 데이터산업 육성에 관한 조례에 따른 기본계획의 수립 내용은?</v>
      </c>
      <c r="D21" s="174">
        <v>37.0</v>
      </c>
    </row>
    <row r="22">
      <c r="A22" s="175">
        <f>IFERROR(__xludf.DUMMYFUNCTION("""COMPUTED_VALUE"""),35.0)</f>
        <v>35</v>
      </c>
      <c r="B22" s="175" t="str">
        <f>IFERROR(__xludf.DUMMYFUNCTION("""COMPUTED_VALUE"""),"공공데이터 포털에 공공데이터를 등록하는 절차가 무엇인가요?")</f>
        <v>공공데이터 포털에 공공데이터를 등록하는 절차가 무엇인가요?</v>
      </c>
      <c r="D22" s="174">
        <v>38.0</v>
      </c>
    </row>
    <row r="23">
      <c r="A23" s="175">
        <f>IFERROR(__xludf.DUMMYFUNCTION("""COMPUTED_VALUE"""),36.0)</f>
        <v>36</v>
      </c>
      <c r="B23" s="175" t="str">
        <f>IFERROR(__xludf.DUMMYFUNCTION("""COMPUTED_VALUE"""),"공공데이터 목록과 제공 대상 공공데이터의 차이는 무엇인가요?")</f>
        <v>공공데이터 목록과 제공 대상 공공데이터의 차이는 무엇인가요?</v>
      </c>
      <c r="D23" s="174">
        <v>39.0</v>
      </c>
    </row>
    <row r="24">
      <c r="A24" s="175">
        <f>IFERROR(__xludf.DUMMYFUNCTION("""COMPUTED_VALUE"""),37.0)</f>
        <v>37</v>
      </c>
      <c r="B24" s="175" t="str">
        <f>IFERROR(__xludf.DUMMYFUNCTION("""COMPUTED_VALUE"""),"공공데이터 제공 표준이 무엇인가요?")</f>
        <v>공공데이터 제공 표준이 무엇인가요?</v>
      </c>
      <c r="D24" s="174">
        <v>40.0</v>
      </c>
    </row>
    <row r="25">
      <c r="A25" s="175">
        <f>IFERROR(__xludf.DUMMYFUNCTION("""COMPUTED_VALUE"""),38.0)</f>
        <v>38</v>
      </c>
      <c r="B25" s="175" t="str">
        <f>IFERROR(__xludf.DUMMYFUNCTION("""COMPUTED_VALUE"""),"가명정보 처리가 가능한 목적은 무엇인가요?")</f>
        <v>가명정보 처리가 가능한 목적은 무엇인가요?</v>
      </c>
      <c r="D25" s="174">
        <v>41.0</v>
      </c>
    </row>
    <row r="26">
      <c r="A26" s="175">
        <f>IFERROR(__xludf.DUMMYFUNCTION("""COMPUTED_VALUE"""),39.0)</f>
        <v>39</v>
      </c>
      <c r="B26" s="175" t="str">
        <f>IFERROR(__xludf.DUMMYFUNCTION("""COMPUTED_VALUE"""),"가명정보 처리 시 개인정보 주체의 동의가 반드시 필요한가요?")</f>
        <v>가명정보 처리 시 개인정보 주체의 동의가 반드시 필요한가요?</v>
      </c>
      <c r="D26" s="174">
        <v>42.0</v>
      </c>
    </row>
    <row r="27">
      <c r="A27" s="175">
        <f>IFERROR(__xludf.DUMMYFUNCTION("""COMPUTED_VALUE"""),40.0)</f>
        <v>40</v>
      </c>
      <c r="B27" s="175" t="str">
        <f>IFERROR(__xludf.DUMMYFUNCTION("""COMPUTED_VALUE"""),"가명정보를 제3자에게 제공할 때 특별한 조치가 필요한가요?")</f>
        <v>가명정보를 제3자에게 제공할 때 특별한 조치가 필요한가요?</v>
      </c>
      <c r="D27" s="174">
        <v>43.0</v>
      </c>
    </row>
    <row r="28">
      <c r="A28" s="175">
        <f>IFERROR(__xludf.DUMMYFUNCTION("""COMPUTED_VALUE"""),41.0)</f>
        <v>41</v>
      </c>
      <c r="B28" s="175" t="str">
        <f>IFERROR(__xludf.DUMMYFUNCTION("""COMPUTED_VALUE"""),"비정형 데이터의 가명처리 시 유의할 사항은 무엇인가요?")</f>
        <v>비정형 데이터의 가명처리 시 유의할 사항은 무엇인가요?</v>
      </c>
      <c r="D28" s="174">
        <v>45.0</v>
      </c>
    </row>
    <row r="29">
      <c r="A29" s="175">
        <f>IFERROR(__xludf.DUMMYFUNCTION("""COMPUTED_VALUE"""),42.0)</f>
        <v>42</v>
      </c>
      <c r="B29" s="175" t="str">
        <f>IFERROR(__xludf.DUMMYFUNCTION("""COMPUTED_VALUE"""),"부산광역시에서 생산하는 통계는 어떤 것들이 있나요?")</f>
        <v>부산광역시에서 생산하는 통계는 어떤 것들이 있나요?</v>
      </c>
      <c r="D29" s="174">
        <v>49.0</v>
      </c>
    </row>
    <row r="30">
      <c r="A30" s="175">
        <f>IFERROR(__xludf.DUMMYFUNCTION("""COMPUTED_VALUE"""),43.0)</f>
        <v>43</v>
      </c>
      <c r="B30" s="175" t="str">
        <f>IFERROR(__xludf.DUMMYFUNCTION("""COMPUTED_VALUE"""),"내부 지침 및 조례를 빠르게 찾고 싶은데 어떻게 하나요?")</f>
        <v>내부 지침 및 조례를 빠르게 찾고 싶은데 어떻게 하나요?</v>
      </c>
      <c r="D30" s="174">
        <v>50.0</v>
      </c>
    </row>
    <row r="31">
      <c r="A31" s="175">
        <f>IFERROR(__xludf.DUMMYFUNCTION("""COMPUTED_VALUE"""),45.0)</f>
        <v>45</v>
      </c>
      <c r="B31" s="175" t="str">
        <f>IFERROR(__xludf.DUMMYFUNCTION("""COMPUTED_VALUE"""),"문서 보존기간은 얼마인가요?")</f>
        <v>문서 보존기간은 얼마인가요?</v>
      </c>
      <c r="D31" s="174">
        <v>51.0</v>
      </c>
    </row>
    <row r="32">
      <c r="A32" s="175">
        <f>IFERROR(__xludf.DUMMYFUNCTION("""COMPUTED_VALUE"""),46.0)</f>
        <v>46</v>
      </c>
      <c r="B32" s="175" t="str">
        <f>IFERROR(__xludf.DUMMYFUNCTION("""COMPUTED_VALUE"""),"직원대상 후생복지 내용을 보는 방법이 있나요?")</f>
        <v>직원대상 후생복지 내용을 보는 방법이 있나요?</v>
      </c>
      <c r="D32" s="174">
        <v>53.0</v>
      </c>
    </row>
    <row r="33">
      <c r="A33" s="175">
        <f>IFERROR(__xludf.DUMMYFUNCTION("""COMPUTED_VALUE"""),49.0)</f>
        <v>49</v>
      </c>
      <c r="B33" s="175" t="str">
        <f>IFERROR(__xludf.DUMMYFUNCTION("""COMPUTED_VALUE"""),"금액별 수의, 조달, 계약 절차 매뉴얼을 찾고 싶어요")</f>
        <v>금액별 수의, 조달, 계약 절차 매뉴얼을 찾고 싶어요</v>
      </c>
      <c r="D33" s="174">
        <v>54.0</v>
      </c>
    </row>
    <row r="34">
      <c r="A34" s="175">
        <f>IFERROR(__xludf.DUMMYFUNCTION("""COMPUTED_VALUE"""),50.0)</f>
        <v>50</v>
      </c>
      <c r="B34" s="175" t="str">
        <f>IFERROR(__xludf.DUMMYFUNCTION("""COMPUTED_VALUE"""),"DRM, 네트워크접근제어 아이디, 패스워드 찾는 매뉴얼이 있나요?")</f>
        <v>DRM, 네트워크접근제어 아이디, 패스워드 찾는 매뉴얼이 있나요?</v>
      </c>
      <c r="D34" s="174">
        <v>55.0</v>
      </c>
    </row>
    <row r="35">
      <c r="A35" s="175">
        <f>IFERROR(__xludf.DUMMYFUNCTION("""COMPUTED_VALUE"""),51.0)</f>
        <v>51</v>
      </c>
      <c r="B35" s="175" t="str">
        <f>IFERROR(__xludf.DUMMYFUNCTION("""COMPUTED_VALUE"""),"온나라 2.0 이후 많이 발생하는 오류 사례집이 있나요?")</f>
        <v>온나라 2.0 이후 많이 발생하는 오류 사례집이 있나요?</v>
      </c>
      <c r="D35" s="174">
        <v>56.0</v>
      </c>
    </row>
    <row r="36">
      <c r="A36" s="175">
        <f>IFERROR(__xludf.DUMMYFUNCTION("""COMPUTED_VALUE"""),53.0)</f>
        <v>53</v>
      </c>
      <c r="B36" s="175" t="str">
        <f>IFERROR(__xludf.DUMMYFUNCTION("""COMPUTED_VALUE"""),"공용차량 신청방법")</f>
        <v>공용차량 신청방법</v>
      </c>
      <c r="D36" s="174">
        <v>60.0</v>
      </c>
    </row>
    <row r="37">
      <c r="A37" s="175">
        <f>IFERROR(__xludf.DUMMYFUNCTION("""COMPUTED_VALUE"""),54.0)</f>
        <v>54</v>
      </c>
      <c r="B37" s="175" t="str">
        <f>IFERROR(__xludf.DUMMYFUNCTION("""COMPUTED_VALUE"""),"공무원증 재발급 방법")</f>
        <v>공무원증 재발급 방법</v>
      </c>
      <c r="D37" s="174">
        <v>62.0</v>
      </c>
    </row>
    <row r="38">
      <c r="A38" s="175">
        <f>IFERROR(__xludf.DUMMYFUNCTION("""COMPUTED_VALUE"""),55.0)</f>
        <v>55</v>
      </c>
      <c r="B38" s="175" t="str">
        <f>IFERROR(__xludf.DUMMYFUNCTION("""COMPUTED_VALUE"""),"네트워크 차단 시 조치방법")</f>
        <v>네트워크 차단 시 조치방법</v>
      </c>
      <c r="D38" s="174">
        <v>65.0</v>
      </c>
    </row>
    <row r="39">
      <c r="A39" s="175">
        <f>IFERROR(__xludf.DUMMYFUNCTION("""COMPUTED_VALUE"""),56.0)</f>
        <v>56</v>
      </c>
      <c r="B39" s="175" t="str">
        <f>IFERROR(__xludf.DUMMYFUNCTION("""COMPUTED_VALUE"""),"도모헌공간 신청방법")</f>
        <v>도모헌공간 신청방법</v>
      </c>
      <c r="D39" s="174">
        <v>71.0</v>
      </c>
    </row>
    <row r="40">
      <c r="A40" s="175">
        <f>IFERROR(__xludf.DUMMYFUNCTION("""COMPUTED_VALUE"""),57.0)</f>
        <v>57</v>
      </c>
      <c r="B40" s="175" t="str">
        <f>IFERROR(__xludf.DUMMYFUNCTION("""COMPUTED_VALUE"""),"부산시 공무원 복지지원 프로그램 총괄 ")</f>
        <v>부산시 공무원 복지지원 프로그램 총괄 </v>
      </c>
      <c r="D40" s="174">
        <v>72.0</v>
      </c>
    </row>
    <row r="41">
      <c r="A41" s="175">
        <f>IFERROR(__xludf.DUMMYFUNCTION("""COMPUTED_VALUE"""),60.0)</f>
        <v>60</v>
      </c>
      <c r="B41" s="175" t="str">
        <f>IFERROR(__xludf.DUMMYFUNCTION("""COMPUTED_VALUE"""),"보안 USB 반출 및 반입 절차는?")</f>
        <v>보안 USB 반출 및 반입 절차는?</v>
      </c>
      <c r="D41" s="174">
        <v>75.0</v>
      </c>
    </row>
    <row r="42">
      <c r="A42" s="175">
        <f>IFERROR(__xludf.DUMMYFUNCTION("""COMPUTED_VALUE"""),62.0)</f>
        <v>62</v>
      </c>
      <c r="B42" s="175" t="str">
        <f>IFERROR(__xludf.DUMMYFUNCTION("""COMPUTED_VALUE"""),"구청에서 근무 중인 시직원도 장기재직 휴가 쓸 수 있나요?")</f>
        <v>구청에서 근무 중인 시직원도 장기재직 휴가 쓸 수 있나요?</v>
      </c>
      <c r="D42" s="174">
        <v>76.0</v>
      </c>
    </row>
    <row r="43">
      <c r="A43" s="175">
        <f>IFERROR(__xludf.DUMMYFUNCTION("""COMPUTED_VALUE"""),64.0)</f>
        <v>64</v>
      </c>
      <c r="B43" s="175" t="str">
        <f>IFERROR(__xludf.DUMMYFUNCTION("""COMPUTED_VALUE"""),"4시간 미만 관외출장의 경우 일비 및 식비 정액 지급하는지?")</f>
        <v>4시간 미만 관외출장의 경우 일비 및 식비 정액 지급하는지?</v>
      </c>
      <c r="D43" s="174">
        <v>77.0</v>
      </c>
    </row>
    <row r="44">
      <c r="A44" s="175">
        <f>IFERROR(__xludf.DUMMYFUNCTION("""COMPUTED_VALUE"""),65.0)</f>
        <v>65</v>
      </c>
      <c r="B44" s="175" t="str">
        <f>IFERROR(__xludf.DUMMYFUNCTION("""COMPUTED_VALUE"""),"출장 시간 계산 시 18시 근무시간 이후 시간도 포함해야 하는지?")</f>
        <v>출장 시간 계산 시 18시 근무시간 이후 시간도 포함해야 하는지?</v>
      </c>
      <c r="D44" s="174">
        <v>78.0</v>
      </c>
    </row>
    <row r="45">
      <c r="A45" s="175">
        <f>IFERROR(__xludf.DUMMYFUNCTION("""COMPUTED_VALUE"""),71.0)</f>
        <v>71</v>
      </c>
      <c r="B45" s="175" t="str">
        <f>IFERROR(__xludf.DUMMYFUNCTION("""COMPUTED_VALUE"""),"구군에서 전입오고 처음으로 정보공개청구포털에 로그인하려니 안되는데, 어떻게 해야 하나요?")</f>
        <v>구군에서 전입오고 처음으로 정보공개청구포털에 로그인하려니 안되는데, 어떻게 해야 하나요?</v>
      </c>
      <c r="D45" s="174">
        <v>79.0</v>
      </c>
    </row>
    <row r="46">
      <c r="A46" s="175">
        <f>IFERROR(__xludf.DUMMYFUNCTION("""COMPUTED_VALUE"""),72.0)</f>
        <v>72</v>
      </c>
      <c r="B46" s="175" t="str">
        <f>IFERROR(__xludf.DUMMYFUNCTION("""COMPUTED_VALUE"""),"인건비 편성할 때 정원, 현원 중 어떤 기준으로 산출해야 하는지 알려주세요")</f>
        <v>인건비 편성할 때 정원, 현원 중 어떤 기준으로 산출해야 하는지 알려주세요</v>
      </c>
      <c r="D46" s="174">
        <v>80.0</v>
      </c>
    </row>
    <row r="47">
      <c r="A47" s="175">
        <f>IFERROR(__xludf.DUMMYFUNCTION("""COMPUTED_VALUE"""),75.0)</f>
        <v>75</v>
      </c>
      <c r="B47" s="175" t="str">
        <f>IFERROR(__xludf.DUMMYFUNCTION("""COMPUTED_VALUE"""),"(공사,용역,물품) 계약 시 필요한 서류가 뭐가 있는지 알려주세요")</f>
        <v>(공사,용역,물품) 계약 시 필요한 서류가 뭐가 있는지 알려주세요</v>
      </c>
      <c r="D47" s="174">
        <v>85.0</v>
      </c>
    </row>
    <row r="48">
      <c r="A48" s="175">
        <f>IFERROR(__xludf.DUMMYFUNCTION("""COMPUTED_VALUE"""),76.0)</f>
        <v>76</v>
      </c>
      <c r="B48" s="175" t="str">
        <f>IFERROR(__xludf.DUMMYFUNCTION("""COMPUTED_VALUE"""),"온나라 접수 문서를 부서원들도 열람할 수 없도록 하는 방법을 알려주세요")</f>
        <v>온나라 접수 문서를 부서원들도 열람할 수 없도록 하는 방법을 알려주세요</v>
      </c>
      <c r="D48" s="174">
        <v>90.0</v>
      </c>
    </row>
    <row r="49">
      <c r="A49" s="175">
        <f>IFERROR(__xludf.DUMMYFUNCTION("""COMPUTED_VALUE"""),77.0)</f>
        <v>77</v>
      </c>
      <c r="B49" s="175" t="str">
        <f>IFERROR(__xludf.DUMMYFUNCTION("""COMPUTED_VALUE"""),"(공사,용역,물품) 계약 선금 신청 및 지급 절차를 알려주세요")</f>
        <v>(공사,용역,물품) 계약 선금 신청 및 지급 절차를 알려주세요</v>
      </c>
      <c r="D49" s="174">
        <v>95.0</v>
      </c>
    </row>
    <row r="50">
      <c r="A50" s="175">
        <f>IFERROR(__xludf.DUMMYFUNCTION("""COMPUTED_VALUE"""),78.0)</f>
        <v>78</v>
      </c>
      <c r="B50" s="175" t="str">
        <f>IFERROR(__xludf.DUMMYFUNCTION("""COMPUTED_VALUE"""),"(공사,용역,물품) 계약 시 지역제한임찰 대상 금액을 알려주세요")</f>
        <v>(공사,용역,물품) 계약 시 지역제한임찰 대상 금액을 알려주세요</v>
      </c>
      <c r="D50" s="174">
        <v>97.0</v>
      </c>
    </row>
    <row r="51">
      <c r="A51" s="175">
        <f>IFERROR(__xludf.DUMMYFUNCTION("""COMPUTED_VALUE"""),79.0)</f>
        <v>79</v>
      </c>
      <c r="B51" s="175" t="str">
        <f>IFERROR(__xludf.DUMMYFUNCTION("""COMPUTED_VALUE"""),"온나라 지식행정에 접속하면 흰창만 나오는데, 어떻게 해결해야하나요?")</f>
        <v>온나라 지식행정에 접속하면 흰창만 나오는데, 어떻게 해결해야하나요?</v>
      </c>
      <c r="D51" s="174">
        <v>99.0</v>
      </c>
    </row>
    <row r="52">
      <c r="A52" s="175">
        <f>IFERROR(__xludf.DUMMYFUNCTION("""COMPUTED_VALUE"""),80.0)</f>
        <v>80</v>
      </c>
      <c r="B52" s="175" t="str">
        <f>IFERROR(__xludf.DUMMYFUNCTION("""COMPUTED_VALUE"""),"장기재직휴가 신청 절차는?")</f>
        <v>장기재직휴가 신청 절차는?</v>
      </c>
      <c r="D52" s="174">
        <v>100.0</v>
      </c>
    </row>
    <row r="53">
      <c r="A53" s="175">
        <f>IFERROR(__xludf.DUMMYFUNCTION("""COMPUTED_VALUE"""),81.0)</f>
        <v>81</v>
      </c>
      <c r="B53" s="175" t="str">
        <f>IFERROR(__xludf.DUMMYFUNCTION("""COMPUTED_VALUE"""),"직원 단체보장보험 보장내용 및 실비 등 청구 방법은?")</f>
        <v>직원 단체보장보험 보장내용 및 실비 등 청구 방법은?</v>
      </c>
      <c r="D53" s="174">
        <v>101.0</v>
      </c>
    </row>
    <row r="54">
      <c r="A54" s="175">
        <f>IFERROR(__xludf.DUMMYFUNCTION("""COMPUTED_VALUE"""),82.0)</f>
        <v>82</v>
      </c>
      <c r="B54" s="175" t="str">
        <f>IFERROR(__xludf.DUMMYFUNCTION("""COMPUTED_VALUE"""),"PC 네트워크 비밀번호 분실 시 해결방법은?")</f>
        <v>PC 네트워크 비밀번호 분실 시 해결방법은?</v>
      </c>
      <c r="D54" s="174">
        <v>103.0</v>
      </c>
    </row>
    <row r="55">
      <c r="A55" s="175">
        <f>IFERROR(__xludf.DUMMYFUNCTION("""COMPUTED_VALUE"""),85.0)</f>
        <v>85</v>
      </c>
      <c r="B55" s="175" t="str">
        <f>IFERROR(__xludf.DUMMYFUNCTION("""COMPUTED_VALUE"""),"예산편성 관련 사전절차는 어떤게 있으며 이행여부 조회할 수 있는 방법은?")</f>
        <v>예산편성 관련 사전절차는 어떤게 있으며 이행여부 조회할 수 있는 방법은?</v>
      </c>
      <c r="D55" s="174">
        <v>105.0</v>
      </c>
    </row>
    <row r="56">
      <c r="A56" s="175">
        <f>IFERROR(__xludf.DUMMYFUNCTION("""COMPUTED_VALUE"""),90.0)</f>
        <v>90</v>
      </c>
      <c r="B56" s="175" t="str">
        <f>IFERROR(__xludf.DUMMYFUNCTION("""COMPUTED_VALUE"""),"사업예산 편성 시 총사업비와 국비사업비의 금액에 따라 거쳐야 될 사전절차에는 어떤 것이 있나요?")</f>
        <v>사업예산 편성 시 총사업비와 국비사업비의 금액에 따라 거쳐야 될 사전절차에는 어떤 것이 있나요?</v>
      </c>
      <c r="D56" s="174">
        <v>106.0</v>
      </c>
    </row>
    <row r="57">
      <c r="A57" s="175">
        <f>IFERROR(__xludf.DUMMYFUNCTION("""COMPUTED_VALUE"""),95.0)</f>
        <v>95</v>
      </c>
      <c r="B57" s="175" t="str">
        <f>IFERROR(__xludf.DUMMYFUNCTION("""COMPUTED_VALUE"""),"부산시 업무협약 체결할때, 의회 사전동의 유무, 협약서 검토 등 구체적인 절차를 알려줘~")</f>
        <v>부산시 업무협약 체결할때, 의회 사전동의 유무, 협약서 검토 등 구체적인 절차를 알려줘~</v>
      </c>
      <c r="D57" s="174">
        <v>108.0</v>
      </c>
    </row>
    <row r="58">
      <c r="A58" s="175">
        <f>IFERROR(__xludf.DUMMYFUNCTION("""COMPUTED_VALUE"""),97.0)</f>
        <v>97</v>
      </c>
      <c r="B58" s="175" t="str">
        <f>IFERROR(__xludf.DUMMYFUNCTION("""COMPUTED_VALUE"""),"시차출퇴근제 신청 한 날 반가를 쓰면 퇴근을 지정해야하는지? 유연근무제 복무 유의사항은 무엇이 있을까?")</f>
        <v>시차출퇴근제 신청 한 날 반가를 쓰면 퇴근을 지정해야하는지? 유연근무제 복무 유의사항은 무엇이 있을까?</v>
      </c>
      <c r="D58" s="174">
        <v>114.0</v>
      </c>
    </row>
    <row r="59">
      <c r="A59" s="175">
        <f>IFERROR(__xludf.DUMMYFUNCTION("""COMPUTED_VALUE"""),99.0)</f>
        <v>99</v>
      </c>
      <c r="B59" s="175" t="str">
        <f>IFERROR(__xludf.DUMMYFUNCTION("""COMPUTED_VALUE"""),"탄력근무제 관련해서 자세한 매뉴얼이 있나요")</f>
        <v>탄력근무제 관련해서 자세한 매뉴얼이 있나요</v>
      </c>
      <c r="D59" s="174">
        <v>117.0</v>
      </c>
    </row>
    <row r="60">
      <c r="A60" s="175">
        <f>IFERROR(__xludf.DUMMYFUNCTION("""COMPUTED_VALUE"""),100.0)</f>
        <v>100</v>
      </c>
      <c r="B60" s="175" t="str">
        <f>IFERROR(__xludf.DUMMYFUNCTION("""COMPUTED_VALUE"""),"DRM, 네트워크 인증 등 신규직원이 컴퓨터 사용에 알아야할 것들에 대해 정리해주세요.")</f>
        <v>DRM, 네트워크 인증 등 신규직원이 컴퓨터 사용에 알아야할 것들에 대해 정리해주세요.</v>
      </c>
      <c r="D60" s="174">
        <v>120.0</v>
      </c>
    </row>
    <row r="61">
      <c r="A61" s="175">
        <f>IFERROR(__xludf.DUMMYFUNCTION("""COMPUTED_VALUE"""),101.0)</f>
        <v>101</v>
      </c>
      <c r="B61" s="175" t="str">
        <f>IFERROR(__xludf.DUMMYFUNCTION("""COMPUTED_VALUE"""),"부서에서 회계과로 계약요청을 하기 위한 절차는 어떻게 되나요")</f>
        <v>부서에서 회계과로 계약요청을 하기 위한 절차는 어떻게 되나요</v>
      </c>
      <c r="D61" s="174">
        <v>121.0</v>
      </c>
    </row>
    <row r="62">
      <c r="A62" s="175">
        <f>IFERROR(__xludf.DUMMYFUNCTION("""COMPUTED_VALUE"""),103.0)</f>
        <v>103</v>
      </c>
      <c r="B62" s="175" t="str">
        <f>IFERROR(__xludf.DUMMYFUNCTION("""COMPUTED_VALUE"""),"전화기 통화 녹음 하는 방법 및 매뉴얼 알려주세요")</f>
        <v>전화기 통화 녹음 하는 방법 및 매뉴얼 알려주세요</v>
      </c>
      <c r="D62" s="174">
        <v>123.0</v>
      </c>
    </row>
    <row r="63">
      <c r="A63" s="175">
        <f>IFERROR(__xludf.DUMMYFUNCTION("""COMPUTED_VALUE"""),105.0)</f>
        <v>105</v>
      </c>
      <c r="B63" s="175" t="str">
        <f>IFERROR(__xludf.DUMMYFUNCTION("""COMPUTED_VALUE"""),"악성민원 응대 및 대응관련 매뉴얼 알려주세요.")</f>
        <v>악성민원 응대 및 대응관련 매뉴얼 알려주세요.</v>
      </c>
      <c r="D63" s="174">
        <v>124.0</v>
      </c>
    </row>
    <row r="64">
      <c r="A64" s="175">
        <f>IFERROR(__xludf.DUMMYFUNCTION("""COMPUTED_VALUE"""),106.0)</f>
        <v>106</v>
      </c>
      <c r="B64" s="175" t="str">
        <f>IFERROR(__xludf.DUMMYFUNCTION("""COMPUTED_VALUE"""),"근무시간 중 개인사정으로 연가(외출)사용 후 돌아와서 시간외근무를 하면 시간외근무가 인정이 되는지 여부가 궁금해요.")</f>
        <v>근무시간 중 개인사정으로 연가(외출)사용 후 돌아와서 시간외근무를 하면 시간외근무가 인정이 되는지 여부가 궁금해요.</v>
      </c>
      <c r="D64" s="174">
        <v>125.0</v>
      </c>
    </row>
    <row r="65">
      <c r="A65" s="175">
        <f>IFERROR(__xludf.DUMMYFUNCTION("""COMPUTED_VALUE"""),108.0)</f>
        <v>108</v>
      </c>
      <c r="B65" s="175" t="str">
        <f>IFERROR(__xludf.DUMMYFUNCTION("""COMPUTED_VALUE"""),"인사랑 접속이 안될 때 해결방안은?")</f>
        <v>인사랑 접속이 안될 때 해결방안은?</v>
      </c>
      <c r="D65" s="174">
        <v>127.0</v>
      </c>
    </row>
    <row r="66">
      <c r="A66" s="175">
        <f>IFERROR(__xludf.DUMMYFUNCTION("""COMPUTED_VALUE"""),109.0)</f>
        <v>109</v>
      </c>
      <c r="B66" s="175" t="str">
        <f>IFERROR(__xludf.DUMMYFUNCTION("""COMPUTED_VALUE"""),"긴급출퇴근 링크는?")</f>
        <v>긴급출퇴근 링크는?</v>
      </c>
      <c r="D66" s="174">
        <v>128.0</v>
      </c>
    </row>
    <row r="67">
      <c r="A67" s="175">
        <f>IFERROR(__xludf.DUMMYFUNCTION("""COMPUTED_VALUE"""),114.0)</f>
        <v>114</v>
      </c>
      <c r="B67" s="175" t="str">
        <f>IFERROR(__xludf.DUMMYFUNCTION("""COMPUTED_VALUE"""),"용역 계약 절차가 어떻게 되나요")</f>
        <v>용역 계약 절차가 어떻게 되나요</v>
      </c>
      <c r="D67" s="174">
        <v>129.0</v>
      </c>
    </row>
    <row r="68">
      <c r="A68" s="175">
        <f>IFERROR(__xludf.DUMMYFUNCTION("""COMPUTED_VALUE"""),117.0)</f>
        <v>117</v>
      </c>
      <c r="B68" s="175" t="str">
        <f>IFERROR(__xludf.DUMMYFUNCTION("""COMPUTED_VALUE"""),"시 청사 내 편의시설 정보 상세히 안내해주세요")</f>
        <v>시 청사 내 편의시설 정보 상세히 안내해주세요</v>
      </c>
      <c r="D68" s="174">
        <v>135.0</v>
      </c>
    </row>
    <row r="69">
      <c r="A69" s="175">
        <f>IFERROR(__xludf.DUMMYFUNCTION("""COMPUTED_VALUE"""),120.0)</f>
        <v>120</v>
      </c>
      <c r="B69" s="175" t="str">
        <f>IFERROR(__xludf.DUMMYFUNCTION("""COMPUTED_VALUE"""),"시 본청 당직시 주의사항에 대해서 알려줘")</f>
        <v>시 본청 당직시 주의사항에 대해서 알려줘</v>
      </c>
      <c r="D69" s="174">
        <v>138.0</v>
      </c>
    </row>
    <row r="70">
      <c r="A70" s="175">
        <f>IFERROR(__xludf.DUMMYFUNCTION("""COMPUTED_VALUE"""),121.0)</f>
        <v>121</v>
      </c>
      <c r="B70" s="175" t="str">
        <f>IFERROR(__xludf.DUMMYFUNCTION("""COMPUTED_VALUE"""),"시 본청 주차장 승용차 요일제에 대해서 알려줘")</f>
        <v>시 본청 주차장 승용차 요일제에 대해서 알려줘</v>
      </c>
      <c r="E70" s="174">
        <v>143.0</v>
      </c>
      <c r="F70" s="174" t="s">
        <v>2416</v>
      </c>
    </row>
    <row r="71">
      <c r="A71" s="175">
        <f>IFERROR(__xludf.DUMMYFUNCTION("""COMPUTED_VALUE"""),123.0)</f>
        <v>123</v>
      </c>
      <c r="B71" s="175" t="str">
        <f>IFERROR(__xludf.DUMMYFUNCTION("""COMPUTED_VALUE"""),"사무관리비로 선풍기를 구입할 수 있나요?")</f>
        <v>사무관리비로 선풍기를 구입할 수 있나요?</v>
      </c>
      <c r="D71" s="174">
        <v>144.0</v>
      </c>
    </row>
    <row r="72">
      <c r="A72" s="175">
        <f>IFERROR(__xludf.DUMMYFUNCTION("""COMPUTED_VALUE"""),124.0)</f>
        <v>124</v>
      </c>
      <c r="B72" s="175" t="str">
        <f>IFERROR(__xludf.DUMMYFUNCTION("""COMPUTED_VALUE"""),"보도자료가 배포되는 과정에 대해서 알고싶어요")</f>
        <v>보도자료가 배포되는 과정에 대해서 알고싶어요</v>
      </c>
      <c r="D72" s="174">
        <v>145.0</v>
      </c>
    </row>
    <row r="73">
      <c r="A73" s="175">
        <f>IFERROR(__xludf.DUMMYFUNCTION("""COMPUTED_VALUE"""),125.0)</f>
        <v>125</v>
      </c>
      <c r="B73" s="175" t="str">
        <f>IFERROR(__xludf.DUMMYFUNCTION("""COMPUTED_VALUE"""),"현재 비어있는 시청 내 회의실은 어디가 있나요?")</f>
        <v>현재 비어있는 시청 내 회의실은 어디가 있나요?</v>
      </c>
      <c r="D73" s="174">
        <v>147.0</v>
      </c>
    </row>
    <row r="74">
      <c r="A74" s="175">
        <f>IFERROR(__xludf.DUMMYFUNCTION("""COMPUTED_VALUE"""),127.0)</f>
        <v>127</v>
      </c>
      <c r="B74" s="175" t="str">
        <f>IFERROR(__xludf.DUMMYFUNCTION("""COMPUTED_VALUE"""),"2024년과 2025년에 변경되는 주요 복지정책은 무엇이 있나요")</f>
        <v>2024년과 2025년에 변경되는 주요 복지정책은 무엇이 있나요</v>
      </c>
      <c r="D74" s="174">
        <v>148.0</v>
      </c>
    </row>
    <row r="75">
      <c r="A75" s="175">
        <f>IFERROR(__xludf.DUMMYFUNCTION("""COMPUTED_VALUE"""),128.0)</f>
        <v>128</v>
      </c>
      <c r="B75" s="175" t="str">
        <f>IFERROR(__xludf.DUMMYFUNCTION("""COMPUTED_VALUE"""),"장기재직휴가 기준 및 사용방법")</f>
        <v>장기재직휴가 기준 및 사용방법</v>
      </c>
      <c r="D75" s="174">
        <v>150.0</v>
      </c>
    </row>
    <row r="76">
      <c r="A76" s="175">
        <f>IFERROR(__xludf.DUMMYFUNCTION("""COMPUTED_VALUE"""),129.0)</f>
        <v>129</v>
      </c>
      <c r="B76" s="175" t="str">
        <f>IFERROR(__xludf.DUMMYFUNCTION("""COMPUTED_VALUE"""),"DRM 암호 초기화 방법")</f>
        <v>DRM 암호 초기화 방법</v>
      </c>
      <c r="D76" s="174">
        <v>151.0</v>
      </c>
    </row>
    <row r="77">
      <c r="A77" s="175">
        <f>IFERROR(__xludf.DUMMYFUNCTION("""COMPUTED_VALUE"""),135.0)</f>
        <v>135</v>
      </c>
      <c r="B77" s="175" t="str">
        <f>IFERROR(__xludf.DUMMYFUNCTION("""COMPUTED_VALUE"""),"행정정보공동이용 권한 신청 방법")</f>
        <v>행정정보공동이용 권한 신청 방법</v>
      </c>
      <c r="D77" s="174">
        <v>152.0</v>
      </c>
    </row>
    <row r="78">
      <c r="A78" s="175">
        <f>IFERROR(__xludf.DUMMYFUNCTION("""COMPUTED_VALUE"""),138.0)</f>
        <v>138</v>
      </c>
      <c r="B78" s="175" t="str">
        <f>IFERROR(__xludf.DUMMYFUNCTION("""COMPUTED_VALUE"""),"급여 작업시 장기교육자 등에 대한 복리후생비, 수당 등 지급 계산식이 어떻게 되나요?")</f>
        <v>급여 작업시 장기교육자 등에 대한 복리후생비, 수당 등 지급 계산식이 어떻게 되나요?</v>
      </c>
      <c r="D78" s="174">
        <v>154.0</v>
      </c>
    </row>
    <row r="79">
      <c r="A79" s="175">
        <f>IFERROR(__xludf.DUMMYFUNCTION("""COMPUTED_VALUE"""),143.0)</f>
        <v>143</v>
      </c>
      <c r="B79" s="175" t="str">
        <f>IFERROR(__xludf.DUMMYFUNCTION("""COMPUTED_VALUE"""),"온톡 메신저에 부서원 순서를 바꾸고 싶어요")</f>
        <v>온톡 메신저에 부서원 순서를 바꾸고 싶어요</v>
      </c>
      <c r="D79" s="174">
        <v>156.0</v>
      </c>
    </row>
    <row r="80">
      <c r="A80" s="175">
        <f>IFERROR(__xludf.DUMMYFUNCTION("""COMPUTED_VALUE"""),144.0)</f>
        <v>144</v>
      </c>
      <c r="B80" s="175" t="str">
        <f>IFERROR(__xludf.DUMMYFUNCTION("""COMPUTED_VALUE"""),"1인당 1년치 급식비(매식비) 계산은 어떻게 하나요")</f>
        <v>1인당 1년치 급식비(매식비) 계산은 어떻게 하나요</v>
      </c>
      <c r="D80" s="174">
        <v>157.0</v>
      </c>
    </row>
    <row r="81">
      <c r="A81" s="175">
        <f>IFERROR(__xludf.DUMMYFUNCTION("""COMPUTED_VALUE"""),145.0)</f>
        <v>145</v>
      </c>
      <c r="B81" s="175" t="str">
        <f>IFERROR(__xludf.DUMMYFUNCTION("""COMPUTED_VALUE"""),"온톡 메신저에 담당업무 입력은 어떻게 하나요")</f>
        <v>온톡 메신저에 담당업무 입력은 어떻게 하나요</v>
      </c>
      <c r="E81" s="174">
        <v>160.0</v>
      </c>
      <c r="F81" s="174" t="s">
        <v>2416</v>
      </c>
    </row>
    <row r="82">
      <c r="A82" s="175">
        <f>IFERROR(__xludf.DUMMYFUNCTION("""COMPUTED_VALUE"""),147.0)</f>
        <v>147</v>
      </c>
      <c r="B82" s="175" t="str">
        <f>IFERROR(__xludf.DUMMYFUNCTION("""COMPUTED_VALUE"""),"보조금 교부를 위한 보탬이, 이나라도움 사용법은?")</f>
        <v>보조금 교부를 위한 보탬이, 이나라도움 사용법은?</v>
      </c>
      <c r="D82" s="174">
        <v>162.0</v>
      </c>
    </row>
    <row r="83">
      <c r="A83" s="175">
        <f>IFERROR(__xludf.DUMMYFUNCTION("""COMPUTED_VALUE"""),148.0)</f>
        <v>148</v>
      </c>
      <c r="B83" s="175" t="str">
        <f>IFERROR(__xludf.DUMMYFUNCTION("""COMPUTED_VALUE"""),"온나라 시스템을 통해 공문을 생산하였는데, 기안 당시에는 비공개 사유가 있었으나, 현재에는 해당 비공개 사유가 소멸했습니다. 이에 따라, 공개문서로 전환하고 싶은데, 방법이 어떻게 되나요?")</f>
        <v>온나라 시스템을 통해 공문을 생산하였는데, 기안 당시에는 비공개 사유가 있었으나, 현재에는 해당 비공개 사유가 소멸했습니다. 이에 따라, 공개문서로 전환하고 싶은데, 방법이 어떻게 되나요?</v>
      </c>
      <c r="D83" s="174">
        <v>165.0</v>
      </c>
    </row>
    <row r="84">
      <c r="A84" s="175">
        <f>IFERROR(__xludf.DUMMYFUNCTION("""COMPUTED_VALUE"""),150.0)</f>
        <v>150</v>
      </c>
      <c r="B84" s="175" t="str">
        <f>IFERROR(__xludf.DUMMYFUNCTION("""COMPUTED_VALUE"""),"다음달에 시청 1층 대강당을 예약하고 싶은데, 방법을 알고싶어요.")</f>
        <v>다음달에 시청 1층 대강당을 예약하고 싶은데, 방법을 알고싶어요.</v>
      </c>
      <c r="D84" s="174">
        <v>168.0</v>
      </c>
    </row>
    <row r="85">
      <c r="A85" s="175">
        <f>IFERROR(__xludf.DUMMYFUNCTION("""COMPUTED_VALUE"""),151.0)</f>
        <v>151</v>
      </c>
      <c r="B85" s="175" t="str">
        <f>IFERROR(__xludf.DUMMYFUNCTION("""COMPUTED_VALUE"""),"담당업무 관련으로 시청 직원의 설문조사가 필요한데, 어디에 게시해야 많은 사람들이 참여할 수 있을까요")</f>
        <v>담당업무 관련으로 시청 직원의 설문조사가 필요한데, 어디에 게시해야 많은 사람들이 참여할 수 있을까요</v>
      </c>
      <c r="D85" s="174">
        <v>170.0</v>
      </c>
    </row>
    <row r="86">
      <c r="A86" s="175">
        <f>IFERROR(__xludf.DUMMYFUNCTION("""COMPUTED_VALUE"""),152.0)</f>
        <v>152</v>
      </c>
      <c r="B86" s="175" t="str">
        <f>IFERROR(__xludf.DUMMYFUNCTION("""COMPUTED_VALUE"""),"시 공식 SNS에 담당업무를 홍보하고자 게시했으면 하는데, 의뢰 절차가 어떻게 되나요?")</f>
        <v>시 공식 SNS에 담당업무를 홍보하고자 게시했으면 하는데, 의뢰 절차가 어떻게 되나요?</v>
      </c>
      <c r="D86" s="174">
        <v>174.0</v>
      </c>
    </row>
    <row r="87">
      <c r="A87" s="175">
        <f>IFERROR(__xludf.DUMMYFUNCTION("""COMPUTED_VALUE"""),154.0)</f>
        <v>154</v>
      </c>
      <c r="B87" s="175" t="str">
        <f>IFERROR(__xludf.DUMMYFUNCTION("""COMPUTED_VALUE"""),"일반지출의 절차를 알고싶은데, 매뉴얼이나 교육자료를 어디에서 찾을 수 있나요?")</f>
        <v>일반지출의 절차를 알고싶은데, 매뉴얼이나 교육자료를 어디에서 찾을 수 있나요?</v>
      </c>
      <c r="D87" s="174">
        <v>175.0</v>
      </c>
    </row>
    <row r="88">
      <c r="A88" s="175">
        <f>IFERROR(__xludf.DUMMYFUNCTION("""COMPUTED_VALUE"""),155.0)</f>
        <v>155</v>
      </c>
      <c r="B88" s="175" t="str">
        <f>IFERROR(__xludf.DUMMYFUNCTION("""COMPUTED_VALUE"""),"한달동안만 유연근무제를 실시하고 싶은데, 일정기간만 유연근무제 신청할 수 있나요? 할 수 있다면 신청방법이 어떻게 되나요?")</f>
        <v>한달동안만 유연근무제를 실시하고 싶은데, 일정기간만 유연근무제 신청할 수 있나요? 할 수 있다면 신청방법이 어떻게 되나요?</v>
      </c>
      <c r="D88" s="174">
        <v>178.0</v>
      </c>
    </row>
    <row r="89">
      <c r="A89" s="175">
        <f>IFERROR(__xludf.DUMMYFUNCTION("""COMPUTED_VALUE"""),156.0)</f>
        <v>156</v>
      </c>
      <c r="B89" s="175" t="str">
        <f>IFERROR(__xludf.DUMMYFUNCTION("""COMPUTED_VALUE"""),"장기재직휴가는 재직기간 몇 년차부터 생기나요? 그리고 근속년수별로 정확한 휴가 부여 일수를 알고싶어요. ")</f>
        <v>장기재직휴가는 재직기간 몇 년차부터 생기나요? 그리고 근속년수별로 정확한 휴가 부여 일수를 알고싶어요. </v>
      </c>
      <c r="D89" s="174">
        <v>179.0</v>
      </c>
    </row>
    <row r="90">
      <c r="A90" s="175">
        <f>IFERROR(__xludf.DUMMYFUNCTION("""COMPUTED_VALUE"""),157.0)</f>
        <v>157</v>
      </c>
      <c r="B90" s="175" t="str">
        <f>IFERROR(__xludf.DUMMYFUNCTION("""COMPUTED_VALUE"""),"공무원의 연차별로 연가일수가 다른 거 같던데, 재직기간별로 연가가 며칠씩 부여되나요?")</f>
        <v>공무원의 연차별로 연가일수가 다른 거 같던데, 재직기간별로 연가가 며칠씩 부여되나요?</v>
      </c>
      <c r="D90" s="174">
        <v>181.0</v>
      </c>
    </row>
    <row r="91">
      <c r="A91" s="175">
        <f>IFERROR(__xludf.DUMMYFUNCTION("""COMPUTED_VALUE"""),159.0)</f>
        <v>159</v>
      </c>
      <c r="B91" s="175" t="str">
        <f>IFERROR(__xludf.DUMMYFUNCTION("""COMPUTED_VALUE"""),"DRM, PC Client 아이디 및 비밀번호를 잊어버렸을 때 절차 알려주세요")</f>
        <v>DRM, PC Client 아이디 및 비밀번호를 잊어버렸을 때 절차 알려주세요</v>
      </c>
      <c r="D91" s="174">
        <v>184.0</v>
      </c>
    </row>
    <row r="92">
      <c r="A92" s="175">
        <f>IFERROR(__xludf.DUMMYFUNCTION("""COMPUTED_VALUE"""),160.0)</f>
        <v>160</v>
      </c>
      <c r="B92" s="175" t="str">
        <f>IFERROR(__xludf.DUMMYFUNCTION("""COMPUTED_VALUE"""),"온나라 문서 과제카드를 잘못 지정하였습니다. 변경 가능할까요?")</f>
        <v>온나라 문서 과제카드를 잘못 지정하였습니다. 변경 가능할까요?</v>
      </c>
      <c r="D92" s="174">
        <v>185.0</v>
      </c>
    </row>
    <row r="93">
      <c r="A93" s="175">
        <f>IFERROR(__xludf.DUMMYFUNCTION("""COMPUTED_VALUE"""),162.0)</f>
        <v>162</v>
      </c>
      <c r="B93" s="175" t="str">
        <f>IFERROR(__xludf.DUMMYFUNCTION("""COMPUTED_VALUE"""),"장기재직휴가 기준과 사용 방법을 알려주세요. 장기재직휴가 사용 요건이 되면 인사랑에 자동 반영될까요?")</f>
        <v>장기재직휴가 기준과 사용 방법을 알려주세요. 장기재직휴가 사용 요건이 되면 인사랑에 자동 반영될까요?</v>
      </c>
      <c r="D93" s="174">
        <v>186.0</v>
      </c>
    </row>
    <row r="94">
      <c r="A94" s="175">
        <f>IFERROR(__xludf.DUMMYFUNCTION("""COMPUTED_VALUE"""),163.0)</f>
        <v>163</v>
      </c>
      <c r="B94" s="175" t="str">
        <f>IFERROR(__xludf.DUMMYFUNCTION("""COMPUTED_VALUE"""),"공무원 및 공무직 직원복지지원시스템 사용 방법을 알려주세요.")</f>
        <v>공무원 및 공무직 직원복지지원시스템 사용 방법을 알려주세요.</v>
      </c>
      <c r="D94" s="174">
        <v>190.0</v>
      </c>
    </row>
    <row r="95">
      <c r="A95" s="175">
        <f>IFERROR(__xludf.DUMMYFUNCTION("""COMPUTED_VALUE"""),165.0)</f>
        <v>165</v>
      </c>
      <c r="B95" s="175" t="str">
        <f>IFERROR(__xludf.DUMMYFUNCTION("""COMPUTED_VALUE"""),"국민신문고 민원 처리 과정 알려주세요")</f>
        <v>국민신문고 민원 처리 과정 알려주세요</v>
      </c>
      <c r="D95" s="174">
        <v>191.0</v>
      </c>
    </row>
    <row r="96">
      <c r="A96" s="175">
        <f>IFERROR(__xludf.DUMMYFUNCTION("""COMPUTED_VALUE"""),168.0)</f>
        <v>168</v>
      </c>
      <c r="B96" s="175" t="str">
        <f>IFERROR(__xludf.DUMMYFUNCTION("""COMPUTED_VALUE"""),"공무원증 신청 방법 알려줘")</f>
        <v>공무원증 신청 방법 알려줘</v>
      </c>
      <c r="D96" s="174">
        <v>196.0</v>
      </c>
    </row>
    <row r="97">
      <c r="A97" s="175">
        <f>IFERROR(__xludf.DUMMYFUNCTION("""COMPUTED_VALUE"""),170.0)</f>
        <v>170</v>
      </c>
      <c r="B97" s="175" t="str">
        <f>IFERROR(__xludf.DUMMYFUNCTION("""COMPUTED_VALUE"""),"온나라에서 부재자 설정 및 기간은 어떻게 하나요?")</f>
        <v>온나라에서 부재자 설정 및 기간은 어떻게 하나요?</v>
      </c>
      <c r="D97" s="174">
        <v>198.0</v>
      </c>
    </row>
    <row r="98">
      <c r="A98" s="175">
        <f>IFERROR(__xludf.DUMMYFUNCTION("""COMPUTED_VALUE"""),172.0)</f>
        <v>172</v>
      </c>
      <c r="B98" s="175" t="str">
        <f>IFERROR(__xludf.DUMMYFUNCTION("""COMPUTED_VALUE"""),"관외출장 등록 및 여비 신청 방법이 어떻게 하나요?")</f>
        <v>관외출장 등록 및 여비 신청 방법이 어떻게 하나요?</v>
      </c>
      <c r="D98" s="174">
        <v>200.0</v>
      </c>
    </row>
    <row r="99">
      <c r="A99" s="175">
        <f>IFERROR(__xludf.DUMMYFUNCTION("""COMPUTED_VALUE"""),174.0)</f>
        <v>174</v>
      </c>
      <c r="B99" s="175" t="str">
        <f>IFERROR(__xludf.DUMMYFUNCTION("""COMPUTED_VALUE"""),"DRM, PC Client 아이디 및 비밀번호를 잊어버렸을 때 해결 방법은?")</f>
        <v>DRM, PC Client 아이디 및 비밀번호를 잊어버렸을 때 해결 방법은?</v>
      </c>
      <c r="D99" s="174">
        <v>201.0</v>
      </c>
    </row>
    <row r="100">
      <c r="A100" s="175">
        <f>IFERROR(__xludf.DUMMYFUNCTION("""COMPUTED_VALUE"""),175.0)</f>
        <v>175</v>
      </c>
      <c r="B100" s="175" t="str">
        <f>IFERROR(__xludf.DUMMYFUNCTION("""COMPUTED_VALUE"""),"업무추진비 집행을 위해서 확인해야할 규정은 무엇인가요? 그리고 업추비별 특성 및 사용가능내역 알려주세요.")</f>
        <v>업무추진비 집행을 위해서 확인해야할 규정은 무엇인가요? 그리고 업추비별 특성 및 사용가능내역 알려주세요.</v>
      </c>
      <c r="D100" s="174">
        <v>204.0</v>
      </c>
    </row>
    <row r="101">
      <c r="A101" s="175">
        <f>IFERROR(__xludf.DUMMYFUNCTION("""COMPUTED_VALUE"""),178.0)</f>
        <v>178</v>
      </c>
      <c r="B101" s="175" t="str">
        <f>IFERROR(__xludf.DUMMYFUNCTION("""COMPUTED_VALUE"""),"온나라에서 부재자 설정은 어떻게 하나요?")</f>
        <v>온나라에서 부재자 설정은 어떻게 하나요?</v>
      </c>
      <c r="D101" s="174">
        <v>205.0</v>
      </c>
    </row>
    <row r="102">
      <c r="A102" s="175">
        <f>IFERROR(__xludf.DUMMYFUNCTION("""COMPUTED_VALUE"""),179.0)</f>
        <v>179</v>
      </c>
      <c r="B102" s="175" t="str">
        <f>IFERROR(__xludf.DUMMYFUNCTION("""COMPUTED_VALUE"""),"시 홈페이지 고시공고 등록하는 방법이 어떻게 되나요?")</f>
        <v>시 홈페이지 고시공고 등록하는 방법이 어떻게 되나요?</v>
      </c>
      <c r="D102" s="174">
        <v>207.0</v>
      </c>
    </row>
    <row r="103">
      <c r="A103" s="175">
        <f>IFERROR(__xludf.DUMMYFUNCTION("""COMPUTED_VALUE"""),181.0)</f>
        <v>181</v>
      </c>
      <c r="B103" s="175" t="str">
        <f>IFERROR(__xludf.DUMMYFUNCTION("""COMPUTED_VALUE"""),"단체보장보험 세부 보장내용 및 청구방법은 무엇인가요?")</f>
        <v>단체보장보험 세부 보장내용 및 청구방법은 무엇인가요?</v>
      </c>
      <c r="D103" s="174">
        <v>209.0</v>
      </c>
    </row>
    <row r="104">
      <c r="A104" s="175">
        <f>IFERROR(__xludf.DUMMYFUNCTION("""COMPUTED_VALUE"""),184.0)</f>
        <v>184</v>
      </c>
      <c r="B104" s="175" t="str">
        <f>IFERROR(__xludf.DUMMYFUNCTION("""COMPUTED_VALUE"""),"행정정보 공동이용 권한 신청은 어떻게 하는것인가요?")</f>
        <v>행정정보 공동이용 권한 신청은 어떻게 하는것인가요?</v>
      </c>
      <c r="D104" s="174">
        <v>213.0</v>
      </c>
    </row>
    <row r="105">
      <c r="A105" s="175">
        <f>IFERROR(__xludf.DUMMYFUNCTION("""COMPUTED_VALUE"""),185.0)</f>
        <v>185</v>
      </c>
      <c r="B105" s="175" t="str">
        <f>IFERROR(__xludf.DUMMYFUNCTION("""COMPUTED_VALUE"""),"GPKI 재발급 및 인사이동시 이동은 어떻게 하는 것인가요?")</f>
        <v>GPKI 재발급 및 인사이동시 이동은 어떻게 하는 것인가요?</v>
      </c>
      <c r="D105" s="174">
        <v>215.0</v>
      </c>
    </row>
    <row r="106">
      <c r="A106" s="175">
        <f>IFERROR(__xludf.DUMMYFUNCTION("""COMPUTED_VALUE"""),186.0)</f>
        <v>186</v>
      </c>
      <c r="B106" s="175" t="str">
        <f>IFERROR(__xludf.DUMMYFUNCTION("""COMPUTED_VALUE"""),"장기재직 휴가 등록 및 사용 방법이 어떻게 되나요?")</f>
        <v>장기재직 휴가 등록 및 사용 방법이 어떻게 되나요?</v>
      </c>
      <c r="D106" s="174">
        <v>216.0</v>
      </c>
    </row>
    <row r="107">
      <c r="A107" s="175">
        <f>IFERROR(__xludf.DUMMYFUNCTION("""COMPUTED_VALUE"""),187.0)</f>
        <v>187</v>
      </c>
      <c r="B107" s="175" t="str">
        <f>IFERROR(__xludf.DUMMYFUNCTION("""COMPUTED_VALUE"""),"관외출장 시 신청 방법과 여비는 어떻게 받나요?")</f>
        <v>관외출장 시 신청 방법과 여비는 어떻게 받나요?</v>
      </c>
      <c r="D107" s="174">
        <v>217.0</v>
      </c>
    </row>
    <row r="108">
      <c r="A108" s="175">
        <f>IFERROR(__xludf.DUMMYFUNCTION("""COMPUTED_VALUE"""),188.0)</f>
        <v>188</v>
      </c>
      <c r="B108" s="175" t="str">
        <f>IFERROR(__xludf.DUMMYFUNCTION("""COMPUTED_VALUE"""),"온나라 문서배부가 잘못되엇습니다 어떻게 수정하나요?")</f>
        <v>온나라 문서배부가 잘못되엇습니다 어떻게 수정하나요?</v>
      </c>
      <c r="D108" s="174">
        <v>220.0</v>
      </c>
    </row>
    <row r="109">
      <c r="A109" s="175">
        <f>IFERROR(__xludf.DUMMYFUNCTION("""COMPUTED_VALUE"""),189.0)</f>
        <v>189</v>
      </c>
      <c r="B109" s="175" t="str">
        <f>IFERROR(__xludf.DUMMYFUNCTION("""COMPUTED_VALUE"""),"온나라 팀장님 지정 및 부재시 부재설정은 어떻게 하나요?")</f>
        <v>온나라 팀장님 지정 및 부재시 부재설정은 어떻게 하나요?</v>
      </c>
      <c r="D109" s="174">
        <v>221.0</v>
      </c>
    </row>
    <row r="110">
      <c r="A110" s="175">
        <f>IFERROR(__xludf.DUMMYFUNCTION("""COMPUTED_VALUE"""),190.0)</f>
        <v>190</v>
      </c>
      <c r="B110" s="175" t="str">
        <f>IFERROR(__xludf.DUMMYFUNCTION("""COMPUTED_VALUE"""),"업무추진비 사용할 수 있는 항목이 구체적으로 어떻게 되나요?")</f>
        <v>업무추진비 사용할 수 있는 항목이 구체적으로 어떻게 되나요?</v>
      </c>
      <c r="D110" s="174">
        <v>222.0</v>
      </c>
    </row>
    <row r="111">
      <c r="A111" s="175">
        <f>IFERROR(__xludf.DUMMYFUNCTION("""COMPUTED_VALUE"""),191.0)</f>
        <v>191</v>
      </c>
      <c r="B111" s="175" t="str">
        <f>IFERROR(__xludf.DUMMYFUNCTION("""COMPUTED_VALUE"""),"DRM 비밀번호 초기화는 어떻게 하나요?")</f>
        <v>DRM 비밀번호 초기화는 어떻게 하나요?</v>
      </c>
      <c r="D111" s="174">
        <v>229.0</v>
      </c>
    </row>
    <row r="112">
      <c r="A112" s="175">
        <f>IFERROR(__xludf.DUMMYFUNCTION("""COMPUTED_VALUE"""),196.0)</f>
        <v>196</v>
      </c>
      <c r="B112" s="175" t="str">
        <f>IFERROR(__xludf.DUMMYFUNCTION("""COMPUTED_VALUE"""),"온나라시스템 부재 설정 방법은 어떻게 되나요?")</f>
        <v>온나라시스템 부재 설정 방법은 어떻게 되나요?</v>
      </c>
      <c r="D112" s="174">
        <v>230.0</v>
      </c>
    </row>
    <row r="113">
      <c r="A113" s="175">
        <f>IFERROR(__xludf.DUMMYFUNCTION("""COMPUTED_VALUE"""),198.0)</f>
        <v>198</v>
      </c>
      <c r="B113" s="175" t="str">
        <f>IFERROR(__xludf.DUMMYFUNCTION("""COMPUTED_VALUE"""),"일상경비 지출 절차는 어떻게 되나요?")</f>
        <v>일상경비 지출 절차는 어떻게 되나요?</v>
      </c>
      <c r="D113" s="174">
        <v>231.0</v>
      </c>
    </row>
    <row r="114">
      <c r="A114" s="175">
        <f>IFERROR(__xludf.DUMMYFUNCTION("""COMPUTED_VALUE"""),200.0)</f>
        <v>200</v>
      </c>
      <c r="B114" s="175" t="str">
        <f>IFERROR(__xludf.DUMMYFUNCTION("""COMPUTED_VALUE"""),"행정전자서명 가입 절차는 어떻게 되나요?")</f>
        <v>행정전자서명 가입 절차는 어떻게 되나요?</v>
      </c>
      <c r="D114" s="174">
        <v>236.0</v>
      </c>
    </row>
    <row r="115">
      <c r="A115" s="175">
        <f>IFERROR(__xludf.DUMMYFUNCTION("""COMPUTED_VALUE"""),201.0)</f>
        <v>201</v>
      </c>
      <c r="B115" s="175" t="str">
        <f>IFERROR(__xludf.DUMMYFUNCTION("""COMPUTED_VALUE"""),"온나라시스템 과제카드 설정은 어떻게 되나요?")</f>
        <v>온나라시스템 과제카드 설정은 어떻게 되나요?</v>
      </c>
      <c r="D115" s="174">
        <v>238.0</v>
      </c>
    </row>
    <row r="116">
      <c r="A116" s="175">
        <f>IFERROR(__xludf.DUMMYFUNCTION("""COMPUTED_VALUE"""),204.0)</f>
        <v>204</v>
      </c>
      <c r="B116" s="175" t="str">
        <f>IFERROR(__xludf.DUMMYFUNCTION("""COMPUTED_VALUE"""),"DRM, PC Client 아이디 및 비밀번호를 잊어버렸을 때 해결 방법은?")</f>
        <v>DRM, PC Client 아이디 및 비밀번호를 잊어버렸을 때 해결 방법은?</v>
      </c>
      <c r="D116" s="174">
        <v>239.0</v>
      </c>
    </row>
    <row r="117">
      <c r="A117" s="175">
        <f>IFERROR(__xludf.DUMMYFUNCTION("""COMPUTED_VALUE"""),205.0)</f>
        <v>205</v>
      </c>
      <c r="B117" s="175" t="str">
        <f>IFERROR(__xludf.DUMMYFUNCTION("""COMPUTED_VALUE"""),"온나라 문서 과제카드를 잘못 지정하였습니다. 어떻게 수정하나요?")</f>
        <v>온나라 문서 과제카드를 잘못 지정하였습니다. 어떻게 수정하나요?</v>
      </c>
      <c r="D117" s="174">
        <v>241.0</v>
      </c>
    </row>
    <row r="118">
      <c r="A118" s="175">
        <f>IFERROR(__xludf.DUMMYFUNCTION("""COMPUTED_VALUE"""),207.0)</f>
        <v>207</v>
      </c>
      <c r="B118" s="175" t="str">
        <f>IFERROR(__xludf.DUMMYFUNCTION("""COMPUTED_VALUE"""),"장기재직휴가 기준과 사용 방법을 알려주세요. 장기재직휴가 사용 요건이 되면 인사랑에 자동 반영되나요?")</f>
        <v>장기재직휴가 기준과 사용 방법을 알려주세요. 장기재직휴가 사용 요건이 되면 인사랑에 자동 반영되나요?</v>
      </c>
      <c r="D118" s="174">
        <v>245.0</v>
      </c>
    </row>
    <row r="119">
      <c r="A119" s="175">
        <f>IFERROR(__xludf.DUMMYFUNCTION("""COMPUTED_VALUE"""),208.0)</f>
        <v>208</v>
      </c>
      <c r="B119" s="175" t="str">
        <f>IFERROR(__xludf.DUMMYFUNCTION("""COMPUTED_VALUE"""),"직원복지지원시스템 사용 방법을 알려주세요. 행정포털 아이디가 없을 경우엔 어떻게 하나요?")</f>
        <v>직원복지지원시스템 사용 방법을 알려주세요. 행정포털 아이디가 없을 경우엔 어떻게 하나요?</v>
      </c>
      <c r="D119" s="174">
        <v>247.0</v>
      </c>
    </row>
    <row r="120">
      <c r="A120" s="175">
        <f>IFERROR(__xludf.DUMMYFUNCTION("""COMPUTED_VALUE"""),209.0)</f>
        <v>209</v>
      </c>
      <c r="B120" s="175" t="str">
        <f>IFERROR(__xludf.DUMMYFUNCTION("""COMPUTED_VALUE"""),"업무추진비 집행을 위해서 확인해야할 규정을 정리해주세요. 직원당 쓸 수 있는 단가도 상세히 알려주세요
(예시: 정원가산업무추진비 격려금 지급 상한금액 등)")</f>
        <v>업무추진비 집행을 위해서 확인해야할 규정을 정리해주세요. 직원당 쓸 수 있는 단가도 상세히 알려주세요
(예시: 정원가산업무추진비 격려금 지급 상한금액 등)</v>
      </c>
      <c r="D120" s="174">
        <v>250.0</v>
      </c>
    </row>
    <row r="121">
      <c r="A121" s="175">
        <f>IFERROR(__xludf.DUMMYFUNCTION("""COMPUTED_VALUE"""),213.0)</f>
        <v>213</v>
      </c>
      <c r="B121" s="175" t="str">
        <f>IFERROR(__xludf.DUMMYFUNCTION("""COMPUTED_VALUE"""),"온나라에서 부재자 설정은 어떻게 하나요?")</f>
        <v>온나라에서 부재자 설정은 어떻게 하나요?</v>
      </c>
      <c r="D121" s="174">
        <v>251.0</v>
      </c>
    </row>
    <row r="122">
      <c r="A122" s="175">
        <f>IFERROR(__xludf.DUMMYFUNCTION("""COMPUTED_VALUE"""),215.0)</f>
        <v>215</v>
      </c>
      <c r="B122" s="175" t="str">
        <f>IFERROR(__xludf.DUMMYFUNCTION("""COMPUTED_VALUE"""),"조례제정시 의회제출 전 법무담당관 협의 등 거쳐야 하는 내부 절차 및 기한에 대해 알려주세요")</f>
        <v>조례제정시 의회제출 전 법무담당관 협의 등 거쳐야 하는 내부 절차 및 기한에 대해 알려주세요</v>
      </c>
      <c r="D122" s="174">
        <v>252.0</v>
      </c>
    </row>
    <row r="123">
      <c r="A123" s="175">
        <f>IFERROR(__xludf.DUMMYFUNCTION("""COMPUTED_VALUE"""),216.0)</f>
        <v>216</v>
      </c>
      <c r="B123" s="175" t="str">
        <f>IFERROR(__xludf.DUMMYFUNCTION("""COMPUTED_VALUE"""),"휴일 출장시 대체휴무 사용이 가능한가요?")</f>
        <v>휴일 출장시 대체휴무 사용이 가능한가요?</v>
      </c>
      <c r="D123" s="174">
        <v>253.0</v>
      </c>
    </row>
    <row r="124">
      <c r="A124" s="175">
        <f>IFERROR(__xludf.DUMMYFUNCTION("""COMPUTED_VALUE"""),217.0)</f>
        <v>217</v>
      </c>
      <c r="B124" s="175" t="str">
        <f>IFERROR(__xludf.DUMMYFUNCTION("""COMPUTED_VALUE"""),"사후초과 익일결재를 못받은 경우 구제방법이 있나요?")</f>
        <v>사후초과 익일결재를 못받은 경우 구제방법이 있나요?</v>
      </c>
      <c r="D124" s="174">
        <v>254.0</v>
      </c>
    </row>
    <row r="125">
      <c r="A125" s="175">
        <f>IFERROR(__xludf.DUMMYFUNCTION("""COMPUTED_VALUE"""),220.0)</f>
        <v>220</v>
      </c>
      <c r="B125" s="175" t="str">
        <f>IFERROR(__xludf.DUMMYFUNCTION("""COMPUTED_VALUE"""),"회의실 신청 어떻게 하나요?")</f>
        <v>회의실 신청 어떻게 하나요?</v>
      </c>
      <c r="D125" s="174">
        <v>255.0</v>
      </c>
    </row>
    <row r="126">
      <c r="A126" s="175">
        <f>IFERROR(__xludf.DUMMYFUNCTION("""COMPUTED_VALUE"""),221.0)</f>
        <v>221</v>
      </c>
      <c r="B126" s="175" t="str">
        <f>IFERROR(__xludf.DUMMYFUNCTION("""COMPUTED_VALUE"""),"국외출장시 며칠 전까지 허가신청 공문 보내야 하나요?")</f>
        <v>국외출장시 며칠 전까지 허가신청 공문 보내야 하나요?</v>
      </c>
      <c r="D126" s="174">
        <v>256.0</v>
      </c>
    </row>
    <row r="127">
      <c r="A127" s="175">
        <f>IFERROR(__xludf.DUMMYFUNCTION("""COMPUTED_VALUE"""),222.0)</f>
        <v>222</v>
      </c>
      <c r="B127" s="175" t="str">
        <f>IFERROR(__xludf.DUMMYFUNCTION("""COMPUTED_VALUE"""),"보존기간 만료 기록물 자체 폐기 가능한가요?")</f>
        <v>보존기간 만료 기록물 자체 폐기 가능한가요?</v>
      </c>
      <c r="D127" s="174">
        <v>259.0</v>
      </c>
    </row>
    <row r="128">
      <c r="A128" s="175">
        <f>IFERROR(__xludf.DUMMYFUNCTION("""COMPUTED_VALUE"""),226.0)</f>
        <v>226</v>
      </c>
      <c r="B128" s="175" t="str">
        <f>IFERROR(__xludf.DUMMYFUNCTION("""COMPUTED_VALUE"""),"긴급출퇴근제를 사용하기 위한 사전절차는 무엇인가요?")</f>
        <v>긴급출퇴근제를 사용하기 위한 사전절차는 무엇인가요?</v>
      </c>
      <c r="D128" s="174">
        <v>260.0</v>
      </c>
    </row>
    <row r="129">
      <c r="A129" s="175">
        <f>IFERROR(__xludf.DUMMYFUNCTION("""COMPUTED_VALUE"""),229.0)</f>
        <v>229</v>
      </c>
      <c r="B129" s="175" t="str">
        <f>IFERROR(__xludf.DUMMYFUNCTION("""COMPUTED_VALUE"""),"보안usb 매체점검은 어디서 하나요?")</f>
        <v>보안usb 매체점검은 어디서 하나요?</v>
      </c>
      <c r="D129" s="174">
        <v>262.0</v>
      </c>
    </row>
    <row r="130">
      <c r="A130" s="175">
        <f>IFERROR(__xludf.DUMMYFUNCTION("""COMPUTED_VALUE"""),230.0)</f>
        <v>230</v>
      </c>
      <c r="B130" s="175" t="str">
        <f>IFERROR(__xludf.DUMMYFUNCTION("""COMPUTED_VALUE"""),"신규 임용시 원활한 업무진행을 위해 행정포털, 행정전자서명 발급등 처리해야 할 사항 및 절차는 어떻게 되나요?")</f>
        <v>신규 임용시 원활한 업무진행을 위해 행정포털, 행정전자서명 발급등 처리해야 할 사항 및 절차는 어떻게 되나요?</v>
      </c>
      <c r="D130" s="174">
        <v>263.0</v>
      </c>
    </row>
    <row r="131">
      <c r="A131" s="175">
        <f>IFERROR(__xludf.DUMMYFUNCTION("""COMPUTED_VALUE"""),231.0)</f>
        <v>231</v>
      </c>
      <c r="B131" s="175" t="str">
        <f>IFERROR(__xludf.DUMMYFUNCTION("""COMPUTED_VALUE"""),"직원차량 등록 절차는 어떻게 되나요?")</f>
        <v>직원차량 등록 절차는 어떻게 되나요?</v>
      </c>
      <c r="D131" s="174">
        <v>264.0</v>
      </c>
    </row>
    <row r="132">
      <c r="A132" s="175">
        <f>IFERROR(__xludf.DUMMYFUNCTION("""COMPUTED_VALUE"""),236.0)</f>
        <v>236</v>
      </c>
      <c r="B132" s="175" t="str">
        <f>IFERROR(__xludf.DUMMYFUNCTION("""COMPUTED_VALUE"""),"보통예금계좌 점검 주기 및 방법을 알려줘")</f>
        <v>보통예금계좌 점검 주기 및 방법을 알려줘</v>
      </c>
      <c r="D132" s="174">
        <v>265.0</v>
      </c>
    </row>
    <row r="133">
      <c r="A133" s="175">
        <f>IFERROR(__xludf.DUMMYFUNCTION("""COMPUTED_VALUE"""),238.0)</f>
        <v>238</v>
      </c>
      <c r="B133" s="175" t="str">
        <f>IFERROR(__xludf.DUMMYFUNCTION("""COMPUTED_VALUE"""),"장기재직휴가 기준 및 사용 방법을 알려줘")</f>
        <v>장기재직휴가 기준 및 사용 방법을 알려줘</v>
      </c>
      <c r="D133" s="174">
        <v>266.0</v>
      </c>
    </row>
    <row r="134">
      <c r="A134" s="175">
        <f>IFERROR(__xludf.DUMMYFUNCTION("""COMPUTED_VALUE"""),239.0)</f>
        <v>239</v>
      </c>
      <c r="B134" s="175" t="str">
        <f>IFERROR(__xludf.DUMMYFUNCTION("""COMPUTED_VALUE"""),"공무원증 신청 및 승인처리 방법을 알려줘")</f>
        <v>공무원증 신청 및 승인처리 방법을 알려줘</v>
      </c>
      <c r="D134" s="174">
        <v>267.0</v>
      </c>
    </row>
    <row r="135">
      <c r="A135" s="175">
        <f>IFERROR(__xludf.DUMMYFUNCTION("""COMPUTED_VALUE"""),240.0)</f>
        <v>240</v>
      </c>
      <c r="B135" s="175" t="str">
        <f>IFERROR(__xludf.DUMMYFUNCTION("""COMPUTED_VALUE"""),"직원후생복지지원시스템 사용 방법을 알려줘")</f>
        <v>직원후생복지지원시스템 사용 방법을 알려줘</v>
      </c>
      <c r="D135" s="174">
        <v>270.0</v>
      </c>
    </row>
    <row r="136">
      <c r="A136" s="175">
        <f>IFERROR(__xludf.DUMMYFUNCTION("""COMPUTED_VALUE"""),241.0)</f>
        <v>241</v>
      </c>
      <c r="B136" s="175" t="str">
        <f>IFERROR(__xludf.DUMMYFUNCTION("""COMPUTED_VALUE"""),"비밀문서 접수 시 처리 절차를 알려줘")</f>
        <v>비밀문서 접수 시 처리 절차를 알려줘</v>
      </c>
      <c r="D136" s="174">
        <v>272.0</v>
      </c>
    </row>
    <row r="137">
      <c r="A137" s="175">
        <f>IFERROR(__xludf.DUMMYFUNCTION("""COMPUTED_VALUE"""),244.0)</f>
        <v>244</v>
      </c>
      <c r="B137" s="175" t="str">
        <f>IFERROR(__xludf.DUMMYFUNCTION("""COMPUTED_VALUE"""),"정보공개 접수시 처리하는 절차는 어떻게 되나요?")</f>
        <v>정보공개 접수시 처리하는 절차는 어떻게 되나요?</v>
      </c>
      <c r="D137" s="174">
        <v>276.0</v>
      </c>
    </row>
    <row r="138">
      <c r="A138" s="175">
        <f>IFERROR(__xludf.DUMMYFUNCTION("""COMPUTED_VALUE"""),245.0)</f>
        <v>245</v>
      </c>
      <c r="B138" s="175" t="str">
        <f>IFERROR(__xludf.DUMMYFUNCTION("""COMPUTED_VALUE"""),"미등록기록물 등록 방법은 어떻게 되나요?")</f>
        <v>미등록기록물 등록 방법은 어떻게 되나요?</v>
      </c>
      <c r="D138" s="174">
        <v>279.0</v>
      </c>
    </row>
    <row r="139">
      <c r="A139" s="175">
        <f>IFERROR(__xludf.DUMMYFUNCTION("""COMPUTED_VALUE"""),247.0)</f>
        <v>247</v>
      </c>
      <c r="B139" s="175" t="str">
        <f>IFERROR(__xludf.DUMMYFUNCTION("""COMPUTED_VALUE"""),"예산 편성 절차와 관련하여 사업비별 사전 이행절차는 무엇인가요?")</f>
        <v>예산 편성 절차와 관련하여 사업비별 사전 이행절차는 무엇인가요?</v>
      </c>
      <c r="D139" s="174">
        <v>286.0</v>
      </c>
    </row>
    <row r="140">
      <c r="A140" s="175">
        <f>IFERROR(__xludf.DUMMYFUNCTION("""COMPUTED_VALUE"""),250.0)</f>
        <v>250</v>
      </c>
      <c r="B140" s="175" t="str">
        <f>IFERROR(__xludf.DUMMYFUNCTION("""COMPUTED_VALUE"""),"입찰시 지역제한이 불가할 때 이행해야할 절차와 검토항목에는 무엇이 있나요?")</f>
        <v>입찰시 지역제한이 불가할 때 이행해야할 절차와 검토항목에는 무엇이 있나요?</v>
      </c>
      <c r="D140" s="174">
        <v>287.0</v>
      </c>
    </row>
    <row r="141">
      <c r="A141" s="175">
        <f>IFERROR(__xludf.DUMMYFUNCTION("""COMPUTED_VALUE"""),251.0)</f>
        <v>251</v>
      </c>
      <c r="B141" s="175" t="str">
        <f>IFERROR(__xludf.DUMMYFUNCTION("""COMPUTED_VALUE"""),"반복특이(악성) 민원 응대 매뉴얼 및 민원처리 담당자의 보호지원에는 어떤 것이 있나요?")</f>
        <v>반복특이(악성) 민원 응대 매뉴얼 및 민원처리 담당자의 보호지원에는 어떤 것이 있나요?</v>
      </c>
      <c r="D141" s="174">
        <v>299.0</v>
      </c>
    </row>
    <row r="142">
      <c r="A142" s="175">
        <f>IFERROR(__xludf.DUMMYFUNCTION("""COMPUTED_VALUE"""),252.0)</f>
        <v>252</v>
      </c>
      <c r="B142" s="175" t="str">
        <f>IFERROR(__xludf.DUMMYFUNCTION("""COMPUTED_VALUE"""),"업무 관련 소송에 발생하게 되면 부산시에서 법률 지원을 받을 수 있는 방법 및 절차가 어떻게 되나요?")</f>
        <v>업무 관련 소송에 발생하게 되면 부산시에서 법률 지원을 받을 수 있는 방법 및 절차가 어떻게 되나요?</v>
      </c>
      <c r="D142" s="174">
        <v>303.0</v>
      </c>
    </row>
    <row r="143">
      <c r="A143" s="175">
        <f>IFERROR(__xludf.DUMMYFUNCTION("""COMPUTED_VALUE"""),253.0)</f>
        <v>253</v>
      </c>
      <c r="B143" s="175" t="str">
        <f>IFERROR(__xludf.DUMMYFUNCTION("""COMPUTED_VALUE"""),"DRM 암호 초기화는 어떻게 하나요?")</f>
        <v>DRM 암호 초기화는 어떻게 하나요?</v>
      </c>
      <c r="D143" s="174">
        <v>304.0</v>
      </c>
    </row>
    <row r="144">
      <c r="A144" s="175">
        <f>IFERROR(__xludf.DUMMYFUNCTION("""COMPUTED_VALUE"""),254.0)</f>
        <v>254</v>
      </c>
      <c r="B144" s="175" t="str">
        <f>IFERROR(__xludf.DUMMYFUNCTION("""COMPUTED_VALUE"""),"시청사 직원차량 주차등록은 어떻게 하나요?")</f>
        <v>시청사 직원차량 주차등록은 어떻게 하나요?</v>
      </c>
      <c r="D144" s="174">
        <v>306.0</v>
      </c>
    </row>
    <row r="145">
      <c r="A145" s="175">
        <f>IFERROR(__xludf.DUMMYFUNCTION("""COMPUTED_VALUE"""),255.0)</f>
        <v>255</v>
      </c>
      <c r="B145" s="175" t="str">
        <f>IFERROR(__xludf.DUMMYFUNCTION("""COMPUTED_VALUE"""),"자차로 관외출장 나갔을 시 여비 지급은 어떻게 하나요?")</f>
        <v>자차로 관외출장 나갔을 시 여비 지급은 어떻게 하나요?</v>
      </c>
      <c r="D145" s="174">
        <v>307.0</v>
      </c>
    </row>
    <row r="146">
      <c r="A146" s="175">
        <f>IFERROR(__xludf.DUMMYFUNCTION("""COMPUTED_VALUE"""),256.0)</f>
        <v>256</v>
      </c>
      <c r="B146" s="175" t="str">
        <f>IFERROR(__xludf.DUMMYFUNCTION("""COMPUTED_VALUE"""),"휴직 신청 절차 및 행정처리 방법은?")</f>
        <v>휴직 신청 절차 및 행정처리 방법은?</v>
      </c>
      <c r="D146" s="174">
        <v>308.0</v>
      </c>
    </row>
    <row r="147">
      <c r="A147" s="175">
        <f>IFERROR(__xludf.DUMMYFUNCTION("""COMPUTED_VALUE"""),259.0)</f>
        <v>259</v>
      </c>
      <c r="B147" s="175" t="str">
        <f>IFERROR(__xludf.DUMMYFUNCTION("""COMPUTED_VALUE"""),"비전자기록물 편철·정리 방법은?")</f>
        <v>비전자기록물 편철·정리 방법은?</v>
      </c>
      <c r="D147" s="174">
        <v>309.0</v>
      </c>
    </row>
    <row r="148">
      <c r="A148" s="175">
        <f>IFERROR(__xludf.DUMMYFUNCTION("""COMPUTED_VALUE"""),260.0)</f>
        <v>260</v>
      </c>
      <c r="B148" s="175" t="str">
        <f>IFERROR(__xludf.DUMMYFUNCTION("""COMPUTED_VALUE"""),"차량배차 협조 요청 절차 및 처리 방법은?")</f>
        <v>차량배차 협조 요청 절차 및 처리 방법은?</v>
      </c>
      <c r="D148" s="174">
        <v>310.0</v>
      </c>
    </row>
    <row r="149">
      <c r="A149" s="175">
        <f>IFERROR(__xludf.DUMMYFUNCTION("""COMPUTED_VALUE"""),262.0)</f>
        <v>262</v>
      </c>
      <c r="B149" s="175" t="str">
        <f>IFERROR(__xludf.DUMMYFUNCTION("""COMPUTED_VALUE"""),"PC교체로 인한 행정전자서명 이동 방법은?")</f>
        <v>PC교체로 인한 행정전자서명 이동 방법은?</v>
      </c>
      <c r="D149" s="174">
        <v>311.0</v>
      </c>
    </row>
    <row r="150">
      <c r="A150" s="175">
        <f>IFERROR(__xludf.DUMMYFUNCTION("""COMPUTED_VALUE"""),263.0)</f>
        <v>263</v>
      </c>
      <c r="B150" s="175" t="str">
        <f>IFERROR(__xludf.DUMMYFUNCTION("""COMPUTED_VALUE"""),"문서 암호화 해제는 어떻게 하나요?")</f>
        <v>문서 암호화 해제는 어떻게 하나요?</v>
      </c>
      <c r="D150" s="174">
        <v>312.0</v>
      </c>
    </row>
    <row r="151">
      <c r="A151" s="175">
        <f>IFERROR(__xludf.DUMMYFUNCTION("""COMPUTED_VALUE"""),264.0)</f>
        <v>264</v>
      </c>
      <c r="B151" s="175" t="str">
        <f>IFERROR(__xludf.DUMMYFUNCTION("""COMPUTED_VALUE"""),"관내출장 여비 지급기준은 어떻게 되나요?")</f>
        <v>관내출장 여비 지급기준은 어떻게 되나요?</v>
      </c>
      <c r="D151" s="174">
        <v>313.0</v>
      </c>
    </row>
    <row r="152">
      <c r="A152" s="175">
        <f>IFERROR(__xludf.DUMMYFUNCTION("""COMPUTED_VALUE"""),265.0)</f>
        <v>265</v>
      </c>
      <c r="B152" s="175" t="str">
        <f>IFERROR(__xludf.DUMMYFUNCTION("""COMPUTED_VALUE"""),"실물/모바일 공무원증은 어떻게 발급받나요?")</f>
        <v>실물/모바일 공무원증은 어떻게 발급받나요?</v>
      </c>
      <c r="D152" s="174">
        <v>314.0</v>
      </c>
    </row>
    <row r="153">
      <c r="A153" s="175">
        <f>IFERROR(__xludf.DUMMYFUNCTION("""COMPUTED_VALUE"""),266.0)</f>
        <v>266</v>
      </c>
      <c r="B153" s="175" t="str">
        <f>IFERROR(__xludf.DUMMYFUNCTION("""COMPUTED_VALUE"""),"모바일 공무원증은 어떻게 활용할 수 있나요? ")</f>
        <v>모바일 공무원증은 어떻게 활용할 수 있나요? </v>
      </c>
      <c r="D153" s="174">
        <v>315.0</v>
      </c>
    </row>
    <row r="154">
      <c r="A154" s="175">
        <f>IFERROR(__xludf.DUMMYFUNCTION("""COMPUTED_VALUE"""),267.0)</f>
        <v>267</v>
      </c>
      <c r="B154" s="175" t="str">
        <f>IFERROR(__xludf.DUMMYFUNCTION("""COMPUTED_VALUE"""),"장기재직휴가는 어떻게 신청하나요?")</f>
        <v>장기재직휴가는 어떻게 신청하나요?</v>
      </c>
      <c r="D154" s="174">
        <v>316.0</v>
      </c>
    </row>
    <row r="155">
      <c r="A155" s="175">
        <f>IFERROR(__xludf.DUMMYFUNCTION("""COMPUTED_VALUE"""),270.0)</f>
        <v>270</v>
      </c>
      <c r="B155" s="175" t="str">
        <f>IFERROR(__xludf.DUMMYFUNCTION("""COMPUTED_VALUE"""),"기록물의 보존기간을 업무별로 알려주세요 ")</f>
        <v>기록물의 보존기간을 업무별로 알려주세요 </v>
      </c>
      <c r="D155" s="174">
        <v>318.0</v>
      </c>
    </row>
    <row r="156">
      <c r="A156" s="175">
        <f>IFERROR(__xludf.DUMMYFUNCTION("""COMPUTED_VALUE"""),272.0)</f>
        <v>272</v>
      </c>
      <c r="B156" s="175" t="str">
        <f>IFERROR(__xludf.DUMMYFUNCTION("""COMPUTED_VALUE"""),"부산시청 내 회의장의 수용가능인원을 알려주세요")</f>
        <v>부산시청 내 회의장의 수용가능인원을 알려주세요</v>
      </c>
      <c r="D156" s="174">
        <v>320.0</v>
      </c>
    </row>
    <row r="157">
      <c r="A157" s="175">
        <f>IFERROR(__xludf.DUMMYFUNCTION("""COMPUTED_VALUE"""),276.0)</f>
        <v>276</v>
      </c>
      <c r="B157" s="175" t="str">
        <f>IFERROR(__xludf.DUMMYFUNCTION("""COMPUTED_VALUE"""),"업무추진비 집행 시 사용 가능한 항목과 제한 사항은 무엇이며, 지출 시 필요한 증빙 서류는 무엇인가요?")</f>
        <v>업무추진비 집행 시 사용 가능한 항목과 제한 사항은 무엇이며, 지출 시 필요한 증빙 서류는 무엇인가요?</v>
      </c>
      <c r="D157" s="174">
        <v>321.0</v>
      </c>
    </row>
    <row r="158">
      <c r="A158" s="175">
        <f>IFERROR(__xludf.DUMMYFUNCTION("""COMPUTED_VALUE"""),279.0)</f>
        <v>279</v>
      </c>
      <c r="B158" s="175" t="str">
        <f>IFERROR(__xludf.DUMMYFUNCTION("""COMPUTED_VALUE"""),"정보공개법에 따른 정보공개 청구 처리 기한은 며칠인가요?")</f>
        <v>정보공개법에 따른 정보공개 청구 처리 기한은 며칠인가요?</v>
      </c>
      <c r="D158" s="174">
        <v>322.0</v>
      </c>
    </row>
    <row r="159">
      <c r="A159" s="175">
        <f>IFERROR(__xludf.DUMMYFUNCTION("""COMPUTED_VALUE"""),282.0)</f>
        <v>282</v>
      </c>
      <c r="B159" s="175" t="str">
        <f>IFERROR(__xludf.DUMMYFUNCTION("""COMPUTED_VALUE"""),"지방공무원법 및 내부 규정에 따라 겸직이나 외부강의 시 사전 신고가 필요한 경우는 어떤 때이며, 절차는 어떻게 되나요?")</f>
        <v>지방공무원법 및 내부 규정에 따라 겸직이나 외부강의 시 사전 신고가 필요한 경우는 어떤 때이며, 절차는 어떻게 되나요?</v>
      </c>
      <c r="D159" s="174">
        <v>328.0</v>
      </c>
    </row>
    <row r="160">
      <c r="A160" s="175">
        <f>IFERROR(__xludf.DUMMYFUNCTION("""COMPUTED_VALUE"""),285.0)</f>
        <v>285</v>
      </c>
      <c r="B160" s="175" t="str">
        <f>IFERROR(__xludf.DUMMYFUNCTION("""COMPUTED_VALUE"""),"시에서 주관하는 행사 등 추진 시 홍보 광고물 설치 절차는 어떻게 되나요?")</f>
        <v>시에서 주관하는 행사 등 추진 시 홍보 광고물 설치 절차는 어떻게 되나요?</v>
      </c>
      <c r="D160" s="174">
        <v>330.0</v>
      </c>
    </row>
    <row r="161">
      <c r="A161" s="175">
        <f>IFERROR(__xludf.DUMMYFUNCTION("""COMPUTED_VALUE"""),286.0)</f>
        <v>286</v>
      </c>
      <c r="B161" s="175" t="str">
        <f>IFERROR(__xludf.DUMMYFUNCTION("""COMPUTED_VALUE"""),"공사, 용역, 물품 등 구입시 조달청을 통한 계약 절차는 어떻게 되나요?")</f>
        <v>공사, 용역, 물품 등 구입시 조달청을 통한 계약 절차는 어떻게 되나요?</v>
      </c>
      <c r="D161" s="174">
        <v>331.0</v>
      </c>
    </row>
    <row r="162">
      <c r="A162" s="175">
        <f>IFERROR(__xludf.DUMMYFUNCTION("""COMPUTED_VALUE"""),287.0)</f>
        <v>287</v>
      </c>
      <c r="B162" s="175" t="str">
        <f>IFERROR(__xludf.DUMMYFUNCTION("""COMPUTED_VALUE"""),"예산편성을 위한 신규사업 사전이행절차 안내(사업종류, 사업금액별)")</f>
        <v>예산편성을 위한 신규사업 사전이행절차 안내(사업종류, 사업금액별)</v>
      </c>
      <c r="D162" s="174">
        <v>333.0</v>
      </c>
    </row>
    <row r="163">
      <c r="A163" s="175">
        <f>IFERROR(__xludf.DUMMYFUNCTION("""COMPUTED_VALUE"""),292.0)</f>
        <v>292</v>
      </c>
      <c r="B163" s="175" t="str">
        <f>IFERROR(__xludf.DUMMYFUNCTION("""COMPUTED_VALUE"""),"빅데이터과 보유데이터 중 부서활용가능한 데이터 종류")</f>
        <v>빅데이터과 보유데이터 중 부서활용가능한 데이터 종류</v>
      </c>
      <c r="D163" s="174">
        <v>334.0</v>
      </c>
    </row>
    <row r="164">
      <c r="A164" s="175">
        <f>IFERROR(__xludf.DUMMYFUNCTION("""COMPUTED_VALUE"""),297.0)</f>
        <v>297</v>
      </c>
      <c r="B164" s="175" t="str">
        <f>IFERROR(__xludf.DUMMYFUNCTION("""COMPUTED_VALUE"""),"일반 usb, 보안 usb 사용방법을 알려주세요")</f>
        <v>일반 usb, 보안 usb 사용방법을 알려주세요</v>
      </c>
      <c r="D164" s="174">
        <v>336.0</v>
      </c>
    </row>
    <row r="165">
      <c r="A165" s="175">
        <f>IFERROR(__xludf.DUMMYFUNCTION("""COMPUTED_VALUE"""),299.0)</f>
        <v>299</v>
      </c>
      <c r="B165" s="175" t="str">
        <f>IFERROR(__xludf.DUMMYFUNCTION("""COMPUTED_VALUE"""),"gpki 비밀번호 잃어버렸을 떄 조치방법을 알려주세요")</f>
        <v>gpki 비밀번호 잃어버렸을 떄 조치방법을 알려주세요</v>
      </c>
      <c r="D165" s="174">
        <v>338.0</v>
      </c>
    </row>
    <row r="166">
      <c r="A166" s="175">
        <f>IFERROR(__xludf.DUMMYFUNCTION("""COMPUTED_VALUE"""),303.0)</f>
        <v>303</v>
      </c>
      <c r="B166" s="175" t="str">
        <f>IFERROR(__xludf.DUMMYFUNCTION("""COMPUTED_VALUE"""),"수시인사교류의 절차는 어떻게 되나요")</f>
        <v>수시인사교류의 절차는 어떻게 되나요</v>
      </c>
      <c r="D166" s="174">
        <v>340.0</v>
      </c>
    </row>
    <row r="167">
      <c r="A167" s="175">
        <f>IFERROR(__xludf.DUMMYFUNCTION("""COMPUTED_VALUE"""),304.0)</f>
        <v>304</v>
      </c>
      <c r="B167" s="175" t="str">
        <f>IFERROR(__xludf.DUMMYFUNCTION("""COMPUTED_VALUE"""),"전문직위 지정 및 전문관 임용은 어떻게 신청하면 되나요? ")</f>
        <v>전문직위 지정 및 전문관 임용은 어떻게 신청하면 되나요? </v>
      </c>
      <c r="D167" s="174">
        <v>342.0</v>
      </c>
    </row>
    <row r="168">
      <c r="A168" s="175">
        <f>IFERROR(__xludf.DUMMYFUNCTION("""COMPUTED_VALUE"""),305.0)</f>
        <v>305</v>
      </c>
      <c r="B168" s="175" t="str">
        <f>IFERROR(__xludf.DUMMYFUNCTION("""COMPUTED_VALUE"""),"성과상여금 및 연봉결정에 대한 이의신청 방법은?")</f>
        <v>성과상여금 및 연봉결정에 대한 이의신청 방법은?</v>
      </c>
      <c r="D168" s="174">
        <v>346.0</v>
      </c>
    </row>
    <row r="169">
      <c r="A169" s="175">
        <f>IFERROR(__xludf.DUMMYFUNCTION("""COMPUTED_VALUE"""),306.0)</f>
        <v>306</v>
      </c>
      <c r="B169" s="175" t="str">
        <f>IFERROR(__xludf.DUMMYFUNCTION("""COMPUTED_VALUE"""),"공무원증 신청방법? 발급되는데 얼마나 걸리나요?")</f>
        <v>공무원증 신청방법? 발급되는데 얼마나 걸리나요?</v>
      </c>
      <c r="D169" s="174">
        <v>348.0</v>
      </c>
    </row>
    <row r="170">
      <c r="A170" s="175">
        <f>IFERROR(__xludf.DUMMYFUNCTION("""COMPUTED_VALUE"""),307.0)</f>
        <v>307</v>
      </c>
      <c r="B170" s="175" t="str">
        <f>IFERROR(__xludf.DUMMYFUNCTION("""COMPUTED_VALUE"""),"당직 등으로 인한 대체휴무 사용기간은 언제까지인가요?")</f>
        <v>당직 등으로 인한 대체휴무 사용기간은 언제까지인가요?</v>
      </c>
      <c r="D170" s="174">
        <v>352.0</v>
      </c>
    </row>
    <row r="171">
      <c r="A171" s="175">
        <f>IFERROR(__xludf.DUMMYFUNCTION("""COMPUTED_VALUE"""),308.0)</f>
        <v>308</v>
      </c>
      <c r="B171" s="175" t="str">
        <f>IFERROR(__xludf.DUMMYFUNCTION("""COMPUTED_VALUE"""),"휴가 마지막 날 18시 이후 초과근무가 가능한지 ?")</f>
        <v>휴가 마지막 날 18시 이후 초과근무가 가능한지 ?</v>
      </c>
      <c r="D171" s="174">
        <v>353.0</v>
      </c>
    </row>
    <row r="172">
      <c r="A172" s="175">
        <f>IFERROR(__xludf.DUMMYFUNCTION("""COMPUTED_VALUE"""),309.0)</f>
        <v>309</v>
      </c>
      <c r="B172" s="175" t="str">
        <f>IFERROR(__xludf.DUMMYFUNCTION("""COMPUTED_VALUE"""),"육아휴직수당의 지급 금액은 얼마인가요?")</f>
        <v>육아휴직수당의 지급 금액은 얼마인가요?</v>
      </c>
      <c r="E172" s="174">
        <v>362.0</v>
      </c>
      <c r="F172" s="174" t="s">
        <v>2416</v>
      </c>
    </row>
    <row r="173">
      <c r="A173" s="175">
        <f>IFERROR(__xludf.DUMMYFUNCTION("""COMPUTED_VALUE"""),310.0)</f>
        <v>310</v>
      </c>
      <c r="B173" s="175" t="str">
        <f>IFERROR(__xludf.DUMMYFUNCTION("""COMPUTED_VALUE"""),"가족수당의 지급 금액은 어떻게 되나요?")</f>
        <v>가족수당의 지급 금액은 어떻게 되나요?</v>
      </c>
      <c r="D173" s="174">
        <v>369.0</v>
      </c>
    </row>
    <row r="174">
      <c r="A174" s="175">
        <f>IFERROR(__xludf.DUMMYFUNCTION("""COMPUTED_VALUE"""),311.0)</f>
        <v>311</v>
      </c>
      <c r="B174" s="175" t="str">
        <f>IFERROR(__xludf.DUMMYFUNCTION("""COMPUTED_VALUE"""),"복지포인트 영수증 승인 건에 대한 처리(환급 포함) 시기는?")</f>
        <v>복지포인트 영수증 승인 건에 대한 처리(환급 포함) 시기는?</v>
      </c>
      <c r="D174" s="174">
        <v>370.0</v>
      </c>
    </row>
    <row r="175">
      <c r="A175" s="175">
        <f>IFERROR(__xludf.DUMMYFUNCTION("""COMPUTED_VALUE"""),312.0)</f>
        <v>312</v>
      </c>
      <c r="B175" s="175" t="str">
        <f>IFERROR(__xludf.DUMMYFUNCTION("""COMPUTED_VALUE"""),"공무직 직원이 휴직하였는데, 기간제 승인을 받을 수 있나요?")</f>
        <v>공무직 직원이 휴직하였는데, 기간제 승인을 받을 수 있나요?</v>
      </c>
      <c r="D175" s="174">
        <v>375.0</v>
      </c>
    </row>
    <row r="176">
      <c r="A176" s="175">
        <f>IFERROR(__xludf.DUMMYFUNCTION("""COMPUTED_VALUE"""),313.0)</f>
        <v>313</v>
      </c>
      <c r="B176" s="175" t="str">
        <f>IFERROR(__xludf.DUMMYFUNCTION("""COMPUTED_VALUE"""),"예산 통계목별 꼭 거쳐야 하는 예산 사전절차는 어떤것들이 있으며, 그 사전절차 과정은 어떻게 되나요?")</f>
        <v>예산 통계목별 꼭 거쳐야 하는 예산 사전절차는 어떤것들이 있으며, 그 사전절차 과정은 어떻게 되나요?</v>
      </c>
      <c r="D176" s="174">
        <v>377.0</v>
      </c>
    </row>
    <row r="177">
      <c r="A177" s="175">
        <f>IFERROR(__xludf.DUMMYFUNCTION("""COMPUTED_VALUE"""),314.0)</f>
        <v>314</v>
      </c>
      <c r="B177" s="175" t="str">
        <f>IFERROR(__xludf.DUMMYFUNCTION("""COMPUTED_VALUE"""),"일상경비 감사에서 가장 많이 지적되는 사항은 어떤것들이 있으며, 해당 케이스는 어떻게 처리해야 원칙적으로 처리되는 것인가요?")</f>
        <v>일상경비 감사에서 가장 많이 지적되는 사항은 어떤것들이 있으며, 해당 케이스는 어떻게 처리해야 원칙적으로 처리되는 것인가요?</v>
      </c>
    </row>
    <row r="178">
      <c r="A178" s="175">
        <f>IFERROR(__xludf.DUMMYFUNCTION("""COMPUTED_VALUE"""),315.0)</f>
        <v>315</v>
      </c>
      <c r="B178" s="175" t="str">
        <f>IFERROR(__xludf.DUMMYFUNCTION("""COMPUTED_VALUE"""),"조달청에서 물품을 구입하려면 어떤 절차를 거쳐야 하며, e호조는 어떤식으로 진행되어야 하나요?")</f>
        <v>조달청에서 물품을 구입하려면 어떤 절차를 거쳐야 하며, e호조는 어떤식으로 진행되어야 하나요?</v>
      </c>
    </row>
    <row r="179">
      <c r="A179" s="175">
        <f>IFERROR(__xludf.DUMMYFUNCTION("""COMPUTED_VALUE"""),316.0)</f>
        <v>316</v>
      </c>
      <c r="B179" s="175" t="str">
        <f>IFERROR(__xludf.DUMMYFUNCTION("""COMPUTED_VALUE"""),"일상경비로 계약을 하는 경우, 필요한 서류는 어떤것들이 있으며, e호조는 어떻게 진행해야 하나요?")</f>
        <v>일상경비로 계약을 하는 경우, 필요한 서류는 어떤것들이 있으며, e호조는 어떻게 진행해야 하나요?</v>
      </c>
    </row>
    <row r="180">
      <c r="A180" s="175">
        <f>IFERROR(__xludf.DUMMYFUNCTION("""COMPUTED_VALUE"""),318.0)</f>
        <v>318</v>
      </c>
      <c r="B180" s="175" t="str">
        <f>IFERROR(__xludf.DUMMYFUNCTION("""COMPUTED_VALUE"""),"부산시 캐릭터 부기를 사용한 홍보를 하고 싶은데 부기 캐릭터 사용 절차는 어떻게 되나요?")</f>
        <v>부산시 캐릭터 부기를 사용한 홍보를 하고 싶은데 부기 캐릭터 사용 절차는 어떻게 되나요?</v>
      </c>
    </row>
    <row r="181">
      <c r="A181" s="175">
        <f>IFERROR(__xludf.DUMMYFUNCTION("""COMPUTED_VALUE"""),320.0)</f>
        <v>320</v>
      </c>
      <c r="B181" s="175" t="str">
        <f>IFERROR(__xludf.DUMMYFUNCTION("""COMPUTED_VALUE"""),"검사조서가 꼭 필요한 항목은 어떤것들이 있나요?")</f>
        <v>검사조서가 꼭 필요한 항목은 어떤것들이 있나요?</v>
      </c>
    </row>
    <row r="182">
      <c r="A182" s="175">
        <f>IFERROR(__xludf.DUMMYFUNCTION("""COMPUTED_VALUE"""),321.0)</f>
        <v>321</v>
      </c>
      <c r="B182" s="175" t="str">
        <f>IFERROR(__xludf.DUMMYFUNCTION("""COMPUTED_VALUE"""),"관내출장을 갔다가 관외출장을 가는경우, 출장비는 어떻게 지급되어야 하나요?")</f>
        <v>관내출장을 갔다가 관외출장을 가는경우, 출장비는 어떻게 지급되어야 하나요?</v>
      </c>
    </row>
    <row r="183">
      <c r="A183" s="175">
        <f>IFERROR(__xludf.DUMMYFUNCTION("""COMPUTED_VALUE"""),322.0)</f>
        <v>322</v>
      </c>
      <c r="B183" s="175" t="str">
        <f>IFERROR(__xludf.DUMMYFUNCTION("""COMPUTED_VALUE"""),"주말에 관외출장을 가는경우 초과근무나 대체휴무 지급이 가능한가요?")</f>
        <v>주말에 관외출장을 가는경우 초과근무나 대체휴무 지급이 가능한가요?</v>
      </c>
    </row>
    <row r="184">
      <c r="A184" s="175">
        <f>IFERROR(__xludf.DUMMYFUNCTION("""COMPUTED_VALUE"""),324.0)</f>
        <v>324</v>
      </c>
      <c r="B184" s="175" t="str">
        <f>IFERROR(__xludf.DUMMYFUNCTION("""COMPUTED_VALUE"""),"위원회를 만들때 어떤 프로세스를 거쳐서 해야하나요?")</f>
        <v>위원회를 만들때 어떤 프로세스를 거쳐서 해야하나요?</v>
      </c>
    </row>
    <row r="185">
      <c r="A185" s="175">
        <f>IFERROR(__xludf.DUMMYFUNCTION("""COMPUTED_VALUE"""),325.0)</f>
        <v>325</v>
      </c>
      <c r="B185" s="175" t="str">
        <f>IFERROR(__xludf.DUMMYFUNCTION("""COMPUTED_VALUE"""),"민간위탁을 하려고 할때 어떤 조건을 만족시키고 어떤과정을 거쳐야 민간위탁이 가능하나요?")</f>
        <v>민간위탁을 하려고 할때 어떤 조건을 만족시키고 어떤과정을 거쳐야 민간위탁이 가능하나요?</v>
      </c>
    </row>
    <row r="186">
      <c r="A186" s="175">
        <f>IFERROR(__xludf.DUMMYFUNCTION("""COMPUTED_VALUE"""),328.0)</f>
        <v>328</v>
      </c>
      <c r="B186" s="175" t="str">
        <f>IFERROR(__xludf.DUMMYFUNCTION("""COMPUTED_VALUE"""),"각종 홍보자료를 시청 홈페이지, 엘리베이터 화면, 기타 홍보게시판 등 게시하려면 어떻게 해야하나요?")</f>
        <v>각종 홍보자료를 시청 홈페이지, 엘리베이터 화면, 기타 홍보게시판 등 게시하려면 어떻게 해야하나요?</v>
      </c>
    </row>
    <row r="187">
      <c r="A187" s="175">
        <f>IFERROR(__xludf.DUMMYFUNCTION("""COMPUTED_VALUE"""),329.0)</f>
        <v>329</v>
      </c>
      <c r="B187" s="175" t="str">
        <f>IFERROR(__xludf.DUMMYFUNCTION("""COMPUTED_VALUE"""),"단체보장보험 세부 보장내용 및 청구방법은 무엇인가요?")</f>
        <v>단체보장보험 세부 보장내용 및 청구방법은 무엇인가요?</v>
      </c>
    </row>
    <row r="188">
      <c r="A188" s="175">
        <f>IFERROR(__xludf.DUMMYFUNCTION("""COMPUTED_VALUE"""),330.0)</f>
        <v>330</v>
      </c>
      <c r="B188" s="175" t="str">
        <f>IFERROR(__xludf.DUMMYFUNCTION("""COMPUTED_VALUE"""),"계약시 종류별 절차 및 구비서류는 무엇인가요?")</f>
        <v>계약시 종류별 절차 및 구비서류는 무엇인가요?</v>
      </c>
    </row>
    <row r="189">
      <c r="A189" s="175">
        <f>IFERROR(__xludf.DUMMYFUNCTION("""COMPUTED_VALUE"""),331.0)</f>
        <v>331</v>
      </c>
      <c r="B189" s="175" t="str">
        <f>IFERROR(__xludf.DUMMYFUNCTION("""COMPUTED_VALUE"""),"공무국외출장 절차는 무엇인가요?")</f>
        <v>공무국외출장 절차는 무엇인가요?</v>
      </c>
    </row>
    <row r="190">
      <c r="A190" s="175">
        <f>IFERROR(__xludf.DUMMYFUNCTION("""COMPUTED_VALUE"""),332.0)</f>
        <v>332</v>
      </c>
      <c r="B190" s="175" t="str">
        <f>IFERROR(__xludf.DUMMYFUNCTION("""COMPUTED_VALUE"""),"nac 로그인이 안돼요(아이디, 초기비밀번호 등)")</f>
        <v>nac 로그인이 안돼요(아이디, 초기비밀번호 등)</v>
      </c>
    </row>
    <row r="191">
      <c r="A191" s="175">
        <f>IFERROR(__xludf.DUMMYFUNCTION("""COMPUTED_VALUE"""),333.0)</f>
        <v>333</v>
      </c>
      <c r="B191" s="175" t="str">
        <f>IFERROR(__xludf.DUMMYFUNCTION("""COMPUTED_VALUE"""),"공무원증 분실시 청사 출입 방법과 재발급 방법은 무엇인가요?")</f>
        <v>공무원증 분실시 청사 출입 방법과 재발급 방법은 무엇인가요?</v>
      </c>
    </row>
    <row r="192">
      <c r="A192" s="175">
        <f>IFERROR(__xludf.DUMMYFUNCTION("""COMPUTED_VALUE"""),334.0)</f>
        <v>334</v>
      </c>
      <c r="B192" s="175" t="str">
        <f>IFERROR(__xludf.DUMMYFUNCTION("""COMPUTED_VALUE"""),"시청 청사 내 주차 등록 방법은 무엇인가요?")</f>
        <v>시청 청사 내 주차 등록 방법은 무엇인가요?</v>
      </c>
    </row>
    <row r="193">
      <c r="A193" s="175">
        <f>IFERROR(__xludf.DUMMYFUNCTION("""COMPUTED_VALUE"""),336.0)</f>
        <v>336</v>
      </c>
      <c r="B193" s="175" t="str">
        <f>IFERROR(__xludf.DUMMYFUNCTION("""COMPUTED_VALUE"""),"공유재산 관리계획 수립 시 절차는 어떻게 되나요?")</f>
        <v>공유재산 관리계획 수립 시 절차는 어떻게 되나요?</v>
      </c>
    </row>
    <row r="194">
      <c r="A194" s="175">
        <f>IFERROR(__xludf.DUMMYFUNCTION("""COMPUTED_VALUE"""),338.0)</f>
        <v>338</v>
      </c>
      <c r="B194" s="175" t="str">
        <f>IFERROR(__xludf.DUMMYFUNCTION("""COMPUTED_VALUE"""),"행정전자서명(GPKI) 재발급 방법을 알려주세요")</f>
        <v>행정전자서명(GPKI) 재발급 방법을 알려주세요</v>
      </c>
    </row>
    <row r="195">
      <c r="A195" s="175">
        <f>IFERROR(__xludf.DUMMYFUNCTION("""COMPUTED_VALUE"""),340.0)</f>
        <v>340</v>
      </c>
      <c r="B195" s="175" t="str">
        <f>IFERROR(__xludf.DUMMYFUNCTION("""COMPUTED_VALUE"""),"정산검사 결과 보고서에서 포함돼야 할 내용에 어떤 것들이 있나요?")</f>
        <v>정산검사 결과 보고서에서 포함돼야 할 내용에 어떤 것들이 있나요?</v>
      </c>
    </row>
    <row r="196">
      <c r="A196" s="175">
        <f>IFERROR(__xludf.DUMMYFUNCTION("""COMPUTED_VALUE"""),342.0)</f>
        <v>342</v>
      </c>
      <c r="B196" s="175" t="str">
        <f>IFERROR(__xludf.DUMMYFUNCTION("""COMPUTED_VALUE"""),"고충민원이 들어왔을 때 처리절차를 알려주세요")</f>
        <v>고충민원이 들어왔을 때 처리절차를 알려주세요</v>
      </c>
    </row>
    <row r="197">
      <c r="A197" s="175">
        <f>IFERROR(__xludf.DUMMYFUNCTION("""COMPUTED_VALUE"""),346.0)</f>
        <v>346</v>
      </c>
      <c r="B197" s="175" t="str">
        <f>IFERROR(__xludf.DUMMYFUNCTION("""COMPUTED_VALUE"""),"예산변경의 절차에 대해서 알려주세요")</f>
        <v>예산변경의 절차에 대해서 알려주세요</v>
      </c>
    </row>
    <row r="198">
      <c r="A198" s="175">
        <f>IFERROR(__xludf.DUMMYFUNCTION("""COMPUTED_VALUE"""),348.0)</f>
        <v>348</v>
      </c>
      <c r="B198" s="175" t="str">
        <f>IFERROR(__xludf.DUMMYFUNCTION("""COMPUTED_VALUE"""),"법률자문은 어떻게 진행되나요?")</f>
        <v>법률자문은 어떻게 진행되나요?</v>
      </c>
    </row>
    <row r="199">
      <c r="A199" s="175">
        <f>IFERROR(__xludf.DUMMYFUNCTION("""COMPUTED_VALUE"""),351.0)</f>
        <v>351</v>
      </c>
      <c r="B199" s="175" t="str">
        <f>IFERROR(__xludf.DUMMYFUNCTION("""COMPUTED_VALUE"""),"일반지출이 아닌 계약으로 진행해야 하는 기준과 필요 서류들이 무엇이 있는지?")</f>
        <v>일반지출이 아닌 계약으로 진행해야 하는 기준과 필요 서류들이 무엇이 있는지?</v>
      </c>
    </row>
    <row r="200">
      <c r="A200" s="175">
        <f>IFERROR(__xludf.DUMMYFUNCTION("""COMPUTED_VALUE"""),352.0)</f>
        <v>352</v>
      </c>
      <c r="B200" s="175" t="str">
        <f>IFERROR(__xludf.DUMMYFUNCTION("""COMPUTED_VALUE"""),"조례를 제정,개정하기 위한 행정절차 가이드라인을 알려줄 수 있는지?")</f>
        <v>조례를 제정,개정하기 위한 행정절차 가이드라인을 알려줄 수 있는지?</v>
      </c>
    </row>
    <row r="201">
      <c r="A201" s="175">
        <f>IFERROR(__xludf.DUMMYFUNCTION("""COMPUTED_VALUE"""),353.0)</f>
        <v>353</v>
      </c>
      <c r="B201" s="175" t="str">
        <f>IFERROR(__xludf.DUMMYFUNCTION("""COMPUTED_VALUE"""),"PC를 새로 교체했을 때 해야하는 보안절차가 있는지?")</f>
        <v>PC를 새로 교체했을 때 해야하는 보안절차가 있는지?</v>
      </c>
    </row>
    <row r="202">
      <c r="A202" s="175">
        <f>IFERROR(__xludf.DUMMYFUNCTION("""COMPUTED_VALUE"""),358.0)</f>
        <v>358</v>
      </c>
      <c r="B202" s="175" t="str">
        <f>IFERROR(__xludf.DUMMYFUNCTION("""COMPUTED_VALUE"""),"국민신문고, 정보공개 처리 기준 및 답변 예시들을 볼 수 있는지?")</f>
        <v>국민신문고, 정보공개 처리 기준 및 답변 예시들을 볼 수 있는지?</v>
      </c>
    </row>
    <row r="203">
      <c r="A203" s="175">
        <f>IFERROR(__xludf.DUMMYFUNCTION("""COMPUTED_VALUE"""),359.0)</f>
        <v>359</v>
      </c>
      <c r="B203" s="175" t="str">
        <f>IFERROR(__xludf.DUMMYFUNCTION("""COMPUTED_VALUE"""),"수의계약이 아닌 입찰로 진행할 때 선행해야할 절차들과 서류들을 정리해 줄 수 있는지?")</f>
        <v>수의계약이 아닌 입찰로 진행할 때 선행해야할 절차들과 서류들을 정리해 줄 수 있는지?</v>
      </c>
    </row>
    <row r="204">
      <c r="A204" s="175">
        <f>IFERROR(__xludf.DUMMYFUNCTION("""COMPUTED_VALUE"""),361.0)</f>
        <v>361</v>
      </c>
      <c r="B204" s="175" t="str">
        <f>IFERROR(__xludf.DUMMYFUNCTION("""COMPUTED_VALUE"""),"DRM, PC Client 아이디 및 비밀번호를 잊어버렸을 때 절차 알려주세요")</f>
        <v>DRM, PC Client 아이디 및 비밀번호를 잊어버렸을 때 절차 알려주세요</v>
      </c>
    </row>
    <row r="205">
      <c r="A205" s="175">
        <f>IFERROR(__xludf.DUMMYFUNCTION("""COMPUTED_VALUE"""),362.0)</f>
        <v>362</v>
      </c>
      <c r="B205" s="175" t="str">
        <f>IFERROR(__xludf.DUMMYFUNCTION("""COMPUTED_VALUE"""),"온나라 문서 과제카드를 잘못 지정하였습니다. 변경 가능할까요?")</f>
        <v>온나라 문서 과제카드를 잘못 지정하였습니다. 변경 가능할까요?</v>
      </c>
    </row>
    <row r="206">
      <c r="A206" s="175">
        <f>IFERROR(__xludf.DUMMYFUNCTION("""COMPUTED_VALUE"""),365.0)</f>
        <v>365</v>
      </c>
      <c r="B206" s="175" t="str">
        <f>IFERROR(__xludf.DUMMYFUNCTION("""COMPUTED_VALUE"""),"공무원 및 공무직 직원복지지원시스템 사용 방법을 알려주세요.")</f>
        <v>공무원 및 공무직 직원복지지원시스템 사용 방법을 알려주세요.</v>
      </c>
    </row>
    <row r="207">
      <c r="A207" s="175">
        <f>IFERROR(__xludf.DUMMYFUNCTION("""COMPUTED_VALUE"""),369.0)</f>
        <v>369</v>
      </c>
      <c r="B207" s="175" t="str">
        <f>IFERROR(__xludf.DUMMYFUNCTION("""COMPUTED_VALUE"""),"엑셀, 한글 등 SW프로그램을 새로 다운받는 방법을 알려주세요")</f>
        <v>엑셀, 한글 등 SW프로그램을 새로 다운받는 방법을 알려주세요</v>
      </c>
    </row>
    <row r="208">
      <c r="A208" s="175">
        <f>IFERROR(__xludf.DUMMYFUNCTION("""COMPUTED_VALUE"""),370.0)</f>
        <v>370</v>
      </c>
      <c r="B208" s="175" t="str">
        <f>IFERROR(__xludf.DUMMYFUNCTION("""COMPUTED_VALUE"""),"공무원증 신청 방법 알려줘")</f>
        <v>공무원증 신청 방법 알려줘</v>
      </c>
    </row>
    <row r="209">
      <c r="A209" s="175">
        <f>IFERROR(__xludf.DUMMYFUNCTION("""COMPUTED_VALUE"""),375.0)</f>
        <v>375</v>
      </c>
      <c r="B209" s="175" t="str">
        <f>IFERROR(__xludf.DUMMYFUNCTION("""COMPUTED_VALUE"""),"관내출장 시 18:00 이후 복귀하여도 출장 시간 인정이 되는지 궁금합니다.")</f>
        <v>관내출장 시 18:00 이후 복귀하여도 출장 시간 인정이 되는지 궁금합니다.</v>
      </c>
    </row>
    <row r="210">
      <c r="A210" s="175">
        <f>IFERROR(__xludf.DUMMYFUNCTION("""COMPUTED_VALUE"""),377.0)</f>
        <v>377</v>
      </c>
      <c r="B210" s="175" t="str">
        <f>IFERROR(__xludf.DUMMYFUNCTION("""COMPUTED_VALUE"""),"예산 수시 배정 절차가 궁금합니다.")</f>
        <v>예산 수시 배정 절차가 궁금합니다.</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71"/>
    <col customWidth="1" min="2" max="2" width="16.29"/>
    <col customWidth="1" min="3" max="3" width="33.43"/>
    <col customWidth="1" min="4" max="4" width="70.71"/>
    <col customWidth="1" min="5" max="5" width="20.86"/>
    <col customWidth="1" min="6" max="6" width="13.86"/>
    <col customWidth="1" min="7" max="7" width="70.86"/>
    <col customWidth="1" min="8" max="9" width="11.43"/>
    <col customWidth="1" min="10" max="10" width="10.86"/>
    <col customWidth="1" min="11" max="11" width="50.86"/>
    <col customWidth="1" min="12" max="12" width="40.86"/>
    <col customWidth="1" min="13" max="26" width="8.71"/>
  </cols>
  <sheetData>
    <row r="1" ht="15.0" customHeight="1">
      <c r="A1" s="1" t="s">
        <v>2417</v>
      </c>
      <c r="H1" s="176" t="s">
        <v>2418</v>
      </c>
      <c r="I1" s="177">
        <f>COUNTIF(I4:I381,"반영")</f>
        <v>216</v>
      </c>
      <c r="J1" s="13"/>
      <c r="K1" s="13"/>
      <c r="L1" s="13"/>
      <c r="M1" s="13"/>
      <c r="N1" s="13"/>
      <c r="O1" s="13"/>
      <c r="P1" s="13"/>
      <c r="Q1" s="13"/>
      <c r="R1" s="13"/>
      <c r="S1" s="13"/>
      <c r="T1" s="13"/>
      <c r="U1" s="13"/>
      <c r="V1" s="13"/>
      <c r="W1" s="13"/>
      <c r="X1" s="13"/>
      <c r="Y1" s="13"/>
      <c r="Z1" s="13"/>
    </row>
    <row r="2" ht="15.0" customHeight="1">
      <c r="J2" s="178" t="s">
        <v>10</v>
      </c>
      <c r="K2" s="21"/>
      <c r="L2" s="17"/>
      <c r="M2" s="13"/>
      <c r="N2" s="13"/>
      <c r="O2" s="13"/>
      <c r="P2" s="13"/>
      <c r="Q2" s="13"/>
      <c r="R2" s="13"/>
      <c r="S2" s="13"/>
      <c r="T2" s="13"/>
      <c r="U2" s="13"/>
      <c r="V2" s="13"/>
      <c r="W2" s="13"/>
      <c r="X2" s="13"/>
      <c r="Y2" s="13"/>
      <c r="Z2" s="13"/>
    </row>
    <row r="3" ht="30.0" customHeight="1">
      <c r="A3" s="179" t="s">
        <v>12</v>
      </c>
      <c r="B3" s="179" t="s">
        <v>2419</v>
      </c>
      <c r="C3" s="179" t="s">
        <v>13</v>
      </c>
      <c r="D3" s="179" t="s">
        <v>2420</v>
      </c>
      <c r="E3" s="179" t="s">
        <v>2421</v>
      </c>
      <c r="F3" s="179" t="s">
        <v>2422</v>
      </c>
      <c r="G3" s="179" t="s">
        <v>2423</v>
      </c>
      <c r="H3" s="180" t="s">
        <v>2424</v>
      </c>
      <c r="I3" s="181" t="s">
        <v>2425</v>
      </c>
      <c r="J3" s="182" t="s">
        <v>24</v>
      </c>
      <c r="K3" s="183" t="s">
        <v>25</v>
      </c>
      <c r="L3" s="183" t="s">
        <v>26</v>
      </c>
      <c r="M3" s="13"/>
      <c r="N3" s="13"/>
      <c r="O3" s="13"/>
      <c r="P3" s="13"/>
      <c r="Q3" s="13"/>
      <c r="R3" s="13"/>
      <c r="S3" s="13"/>
      <c r="T3" s="13"/>
      <c r="U3" s="13"/>
      <c r="V3" s="13"/>
      <c r="W3" s="13"/>
      <c r="X3" s="13"/>
      <c r="Y3" s="13"/>
      <c r="Z3" s="13"/>
    </row>
    <row r="4" ht="233.25" customHeight="1">
      <c r="A4" s="184">
        <v>1.0</v>
      </c>
      <c r="B4" s="185" t="s">
        <v>2426</v>
      </c>
      <c r="C4" s="186" t="s">
        <v>2427</v>
      </c>
      <c r="D4" s="187" t="s">
        <v>2428</v>
      </c>
      <c r="E4" s="188" t="s">
        <v>2429</v>
      </c>
      <c r="F4" s="35">
        <v>5.0</v>
      </c>
      <c r="G4" s="35" t="s">
        <v>2430</v>
      </c>
      <c r="H4" s="189">
        <v>45985.0</v>
      </c>
      <c r="I4" s="189" t="s">
        <v>2431</v>
      </c>
      <c r="J4" s="190" t="b">
        <v>0</v>
      </c>
      <c r="K4" s="35"/>
      <c r="L4" s="35"/>
      <c r="M4" s="13"/>
      <c r="N4" s="13"/>
      <c r="O4" s="13"/>
      <c r="P4" s="13"/>
      <c r="Q4" s="13"/>
      <c r="R4" s="13"/>
      <c r="S4" s="13"/>
      <c r="T4" s="13"/>
      <c r="U4" s="13"/>
      <c r="V4" s="13"/>
      <c r="W4" s="13"/>
      <c r="X4" s="13"/>
      <c r="Y4" s="13"/>
      <c r="Z4" s="13"/>
    </row>
    <row r="5" ht="274.5" hidden="1" customHeight="1">
      <c r="A5" s="191">
        <v>2.0</v>
      </c>
      <c r="B5" s="185" t="s">
        <v>2426</v>
      </c>
      <c r="C5" s="186" t="s">
        <v>2432</v>
      </c>
      <c r="D5" s="187" t="s">
        <v>2433</v>
      </c>
      <c r="E5" s="187" t="s">
        <v>2434</v>
      </c>
      <c r="F5" s="187" t="s">
        <v>2435</v>
      </c>
      <c r="G5" s="187" t="s">
        <v>2436</v>
      </c>
      <c r="H5" s="189">
        <v>45985.0</v>
      </c>
      <c r="I5" s="189" t="s">
        <v>2437</v>
      </c>
      <c r="J5" s="190" t="b">
        <v>0</v>
      </c>
      <c r="K5" s="35"/>
      <c r="L5" s="35"/>
      <c r="M5" s="13"/>
      <c r="N5" s="13"/>
      <c r="O5" s="13"/>
      <c r="P5" s="13"/>
      <c r="Q5" s="13"/>
      <c r="R5" s="13"/>
      <c r="S5" s="13"/>
      <c r="T5" s="13"/>
      <c r="U5" s="13"/>
      <c r="V5" s="13"/>
      <c r="W5" s="13"/>
      <c r="X5" s="13"/>
      <c r="Y5" s="13"/>
      <c r="Z5" s="13"/>
    </row>
    <row r="6" ht="16.5" customHeight="1">
      <c r="A6" s="184">
        <v>3.0</v>
      </c>
      <c r="B6" s="185" t="s">
        <v>2438</v>
      </c>
      <c r="C6" s="186" t="s">
        <v>2439</v>
      </c>
      <c r="D6" s="187" t="s">
        <v>2440</v>
      </c>
      <c r="E6" s="192" t="s">
        <v>2441</v>
      </c>
      <c r="F6" s="187" t="s">
        <v>2442</v>
      </c>
      <c r="G6" s="187" t="s">
        <v>2443</v>
      </c>
      <c r="H6" s="189">
        <v>45985.0</v>
      </c>
      <c r="I6" s="189" t="s">
        <v>2431</v>
      </c>
      <c r="J6" s="190" t="b">
        <v>0</v>
      </c>
      <c r="K6" s="35"/>
      <c r="L6" s="35"/>
      <c r="M6" s="13"/>
      <c r="N6" s="13"/>
      <c r="O6" s="13"/>
      <c r="P6" s="13"/>
      <c r="Q6" s="13"/>
      <c r="R6" s="13"/>
      <c r="S6" s="13"/>
      <c r="T6" s="13"/>
      <c r="U6" s="13"/>
      <c r="V6" s="13"/>
      <c r="W6" s="13"/>
      <c r="X6" s="13"/>
      <c r="Y6" s="13"/>
      <c r="Z6" s="13"/>
    </row>
    <row r="7" ht="16.5" customHeight="1">
      <c r="A7" s="184">
        <v>4.0</v>
      </c>
      <c r="B7" s="185" t="s">
        <v>2438</v>
      </c>
      <c r="C7" s="186" t="s">
        <v>2444</v>
      </c>
      <c r="D7" s="187" t="s">
        <v>2445</v>
      </c>
      <c r="E7" s="192" t="s">
        <v>2441</v>
      </c>
      <c r="F7" s="187">
        <v>34.0</v>
      </c>
      <c r="G7" s="187" t="s">
        <v>2446</v>
      </c>
      <c r="H7" s="189">
        <v>45985.0</v>
      </c>
      <c r="I7" s="189" t="s">
        <v>2431</v>
      </c>
      <c r="J7" s="190" t="b">
        <v>0</v>
      </c>
      <c r="K7" s="35"/>
      <c r="L7" s="35"/>
      <c r="M7" s="13"/>
      <c r="N7" s="13"/>
      <c r="O7" s="13"/>
      <c r="P7" s="13"/>
      <c r="Q7" s="13"/>
      <c r="R7" s="13"/>
      <c r="S7" s="13"/>
      <c r="T7" s="13"/>
      <c r="U7" s="13"/>
      <c r="V7" s="13"/>
      <c r="W7" s="13"/>
      <c r="X7" s="13"/>
      <c r="Y7" s="13"/>
      <c r="Z7" s="13"/>
    </row>
    <row r="8" ht="173.25" customHeight="1">
      <c r="A8" s="184">
        <v>5.0</v>
      </c>
      <c r="B8" s="185" t="s">
        <v>2438</v>
      </c>
      <c r="C8" s="186" t="s">
        <v>2447</v>
      </c>
      <c r="D8" s="187" t="s">
        <v>2448</v>
      </c>
      <c r="E8" s="192" t="s">
        <v>2449</v>
      </c>
      <c r="F8" s="187" t="s">
        <v>2450</v>
      </c>
      <c r="G8" s="187" t="s">
        <v>2451</v>
      </c>
      <c r="H8" s="189">
        <v>45985.0</v>
      </c>
      <c r="I8" s="189" t="s">
        <v>2431</v>
      </c>
      <c r="J8" s="190" t="b">
        <v>0</v>
      </c>
      <c r="K8" s="35"/>
      <c r="L8" s="35"/>
      <c r="M8" s="13"/>
      <c r="N8" s="13"/>
      <c r="O8" s="13"/>
      <c r="P8" s="13"/>
      <c r="Q8" s="13"/>
      <c r="R8" s="13"/>
      <c r="S8" s="13"/>
      <c r="T8" s="13"/>
      <c r="U8" s="13"/>
      <c r="V8" s="13"/>
      <c r="W8" s="13"/>
      <c r="X8" s="13"/>
      <c r="Y8" s="13"/>
      <c r="Z8" s="13"/>
    </row>
    <row r="9" ht="16.5" customHeight="1">
      <c r="A9" s="184">
        <v>6.0</v>
      </c>
      <c r="B9" s="185" t="s">
        <v>2426</v>
      </c>
      <c r="C9" s="186" t="s">
        <v>2452</v>
      </c>
      <c r="D9" s="187" t="s">
        <v>2453</v>
      </c>
      <c r="E9" s="192" t="s">
        <v>2454</v>
      </c>
      <c r="F9" s="187" t="s">
        <v>2455</v>
      </c>
      <c r="G9" s="187" t="s">
        <v>2456</v>
      </c>
      <c r="H9" s="189">
        <v>45985.0</v>
      </c>
      <c r="I9" s="189" t="s">
        <v>2431</v>
      </c>
      <c r="J9" s="190" t="b">
        <v>0</v>
      </c>
      <c r="K9" s="35"/>
      <c r="L9" s="35"/>
      <c r="M9" s="13"/>
      <c r="N9" s="13"/>
      <c r="O9" s="13"/>
      <c r="P9" s="13"/>
      <c r="Q9" s="13"/>
      <c r="R9" s="13"/>
      <c r="S9" s="13"/>
      <c r="T9" s="13"/>
      <c r="U9" s="13"/>
      <c r="V9" s="13"/>
      <c r="W9" s="13"/>
      <c r="X9" s="13"/>
      <c r="Y9" s="13"/>
      <c r="Z9" s="13"/>
    </row>
    <row r="10" ht="16.5" customHeight="1">
      <c r="A10" s="184">
        <v>7.0</v>
      </c>
      <c r="B10" s="185" t="s">
        <v>2438</v>
      </c>
      <c r="C10" s="186" t="s">
        <v>2457</v>
      </c>
      <c r="D10" s="187" t="s">
        <v>2458</v>
      </c>
      <c r="E10" s="192" t="s">
        <v>2441</v>
      </c>
      <c r="F10" s="187" t="s">
        <v>2459</v>
      </c>
      <c r="G10" s="187" t="s">
        <v>2460</v>
      </c>
      <c r="H10" s="189">
        <v>45985.0</v>
      </c>
      <c r="I10" s="189" t="s">
        <v>2431</v>
      </c>
      <c r="J10" s="190" t="b">
        <v>0</v>
      </c>
      <c r="K10" s="35"/>
      <c r="L10" s="35"/>
      <c r="M10" s="13"/>
      <c r="N10" s="13"/>
      <c r="O10" s="13"/>
      <c r="P10" s="13"/>
      <c r="Q10" s="13"/>
      <c r="R10" s="13"/>
      <c r="S10" s="13"/>
      <c r="T10" s="13"/>
      <c r="U10" s="13"/>
      <c r="V10" s="13"/>
      <c r="W10" s="13"/>
      <c r="X10" s="13"/>
      <c r="Y10" s="13"/>
      <c r="Z10" s="13"/>
    </row>
    <row r="11" ht="16.5" customHeight="1">
      <c r="A11" s="184">
        <v>8.0</v>
      </c>
      <c r="B11" s="185" t="s">
        <v>2461</v>
      </c>
      <c r="C11" s="186" t="s">
        <v>2462</v>
      </c>
      <c r="D11" s="187" t="s">
        <v>2463</v>
      </c>
      <c r="E11" s="192" t="s">
        <v>2464</v>
      </c>
      <c r="F11" s="187" t="s">
        <v>932</v>
      </c>
      <c r="G11" s="187" t="s">
        <v>2465</v>
      </c>
      <c r="H11" s="189">
        <v>45985.0</v>
      </c>
      <c r="I11" s="189" t="s">
        <v>2431</v>
      </c>
      <c r="J11" s="190" t="b">
        <v>0</v>
      </c>
      <c r="K11" s="35"/>
      <c r="L11" s="35"/>
      <c r="M11" s="13"/>
      <c r="N11" s="13"/>
      <c r="O11" s="13"/>
      <c r="P11" s="13"/>
      <c r="Q11" s="13"/>
      <c r="R11" s="13"/>
      <c r="S11" s="13"/>
      <c r="T11" s="13"/>
      <c r="U11" s="13"/>
      <c r="V11" s="13"/>
      <c r="W11" s="13"/>
      <c r="X11" s="13"/>
      <c r="Y11" s="13"/>
      <c r="Z11" s="13"/>
    </row>
    <row r="12" ht="190.5" customHeight="1">
      <c r="A12" s="184">
        <v>9.0</v>
      </c>
      <c r="B12" s="185" t="s">
        <v>2461</v>
      </c>
      <c r="C12" s="186" t="s">
        <v>2466</v>
      </c>
      <c r="D12" s="187" t="s">
        <v>2467</v>
      </c>
      <c r="E12" s="193" t="s">
        <v>2468</v>
      </c>
      <c r="F12" s="187"/>
      <c r="G12" s="187" t="s">
        <v>2465</v>
      </c>
      <c r="H12" s="189">
        <v>45985.0</v>
      </c>
      <c r="I12" s="189" t="s">
        <v>2431</v>
      </c>
      <c r="J12" s="190" t="b">
        <v>0</v>
      </c>
      <c r="K12" s="35"/>
      <c r="L12" s="35"/>
      <c r="M12" s="13"/>
      <c r="N12" s="13"/>
      <c r="O12" s="13"/>
      <c r="P12" s="13"/>
      <c r="Q12" s="13"/>
      <c r="R12" s="13"/>
      <c r="S12" s="13"/>
      <c r="T12" s="13"/>
      <c r="U12" s="13"/>
      <c r="V12" s="13"/>
      <c r="W12" s="13"/>
      <c r="X12" s="13"/>
      <c r="Y12" s="13"/>
      <c r="Z12" s="13"/>
    </row>
    <row r="13" ht="16.5" customHeight="1">
      <c r="A13" s="184">
        <v>10.0</v>
      </c>
      <c r="B13" s="185" t="s">
        <v>2438</v>
      </c>
      <c r="C13" s="186" t="s">
        <v>2469</v>
      </c>
      <c r="D13" s="187" t="s">
        <v>2470</v>
      </c>
      <c r="E13" s="192" t="s">
        <v>2471</v>
      </c>
      <c r="F13" s="187">
        <v>1.0</v>
      </c>
      <c r="G13" s="194" t="s">
        <v>2472</v>
      </c>
      <c r="H13" s="189">
        <v>45985.0</v>
      </c>
      <c r="I13" s="189" t="s">
        <v>2431</v>
      </c>
      <c r="J13" s="190" t="b">
        <v>0</v>
      </c>
      <c r="K13" s="35"/>
      <c r="L13" s="35"/>
      <c r="M13" s="13"/>
      <c r="N13" s="13"/>
      <c r="O13" s="13"/>
      <c r="P13" s="13"/>
      <c r="Q13" s="13"/>
      <c r="R13" s="13"/>
      <c r="S13" s="13"/>
      <c r="T13" s="13"/>
      <c r="U13" s="13"/>
      <c r="V13" s="13"/>
      <c r="W13" s="13"/>
      <c r="X13" s="13"/>
      <c r="Y13" s="13"/>
      <c r="Z13" s="13"/>
    </row>
    <row r="14" ht="16.5" customHeight="1">
      <c r="A14" s="184">
        <v>11.0</v>
      </c>
      <c r="B14" s="185" t="s">
        <v>2438</v>
      </c>
      <c r="C14" s="186" t="s">
        <v>2473</v>
      </c>
      <c r="D14" s="187" t="s">
        <v>2474</v>
      </c>
      <c r="E14" s="192" t="s">
        <v>2475</v>
      </c>
      <c r="F14" s="187" t="s">
        <v>2476</v>
      </c>
      <c r="G14" s="187" t="s">
        <v>2474</v>
      </c>
      <c r="H14" s="189">
        <v>45985.0</v>
      </c>
      <c r="I14" s="189" t="s">
        <v>2431</v>
      </c>
      <c r="J14" s="190" t="b">
        <v>0</v>
      </c>
      <c r="K14" s="35"/>
      <c r="L14" s="35"/>
      <c r="M14" s="13"/>
      <c r="N14" s="13"/>
      <c r="O14" s="13"/>
      <c r="P14" s="13"/>
      <c r="Q14" s="13"/>
      <c r="R14" s="13"/>
      <c r="S14" s="13"/>
      <c r="T14" s="13"/>
      <c r="U14" s="13"/>
      <c r="V14" s="13"/>
      <c r="W14" s="13"/>
      <c r="X14" s="13"/>
      <c r="Y14" s="13"/>
      <c r="Z14" s="13"/>
    </row>
    <row r="15" ht="16.5" customHeight="1">
      <c r="A15" s="184">
        <v>12.0</v>
      </c>
      <c r="B15" s="185" t="s">
        <v>2438</v>
      </c>
      <c r="C15" s="186" t="s">
        <v>2477</v>
      </c>
      <c r="D15" s="187" t="s">
        <v>2478</v>
      </c>
      <c r="E15" s="192" t="s">
        <v>2475</v>
      </c>
      <c r="F15" s="187" t="s">
        <v>2475</v>
      </c>
      <c r="G15" s="187" t="s">
        <v>2478</v>
      </c>
      <c r="H15" s="189">
        <v>45985.0</v>
      </c>
      <c r="I15" s="189" t="s">
        <v>2431</v>
      </c>
      <c r="J15" s="190" t="b">
        <v>0</v>
      </c>
      <c r="K15" s="35"/>
      <c r="L15" s="35"/>
      <c r="M15" s="13"/>
      <c r="N15" s="13"/>
      <c r="O15" s="13"/>
      <c r="P15" s="13"/>
      <c r="Q15" s="13"/>
      <c r="R15" s="13"/>
      <c r="S15" s="13"/>
      <c r="T15" s="13"/>
      <c r="U15" s="13"/>
      <c r="V15" s="13"/>
      <c r="W15" s="13"/>
      <c r="X15" s="13"/>
      <c r="Y15" s="13"/>
      <c r="Z15" s="13"/>
    </row>
    <row r="16" ht="16.5" customHeight="1">
      <c r="A16" s="184">
        <v>13.0</v>
      </c>
      <c r="B16" s="185" t="s">
        <v>2438</v>
      </c>
      <c r="C16" s="186" t="s">
        <v>2479</v>
      </c>
      <c r="D16" s="187" t="s">
        <v>2480</v>
      </c>
      <c r="E16" s="192" t="s">
        <v>2481</v>
      </c>
      <c r="F16" s="187">
        <v>2.0</v>
      </c>
      <c r="G16" s="187" t="s">
        <v>2482</v>
      </c>
      <c r="H16" s="189">
        <v>45985.0</v>
      </c>
      <c r="I16" s="189" t="s">
        <v>2431</v>
      </c>
      <c r="J16" s="190" t="b">
        <v>0</v>
      </c>
      <c r="K16" s="35"/>
      <c r="L16" s="35"/>
      <c r="M16" s="13"/>
      <c r="N16" s="13"/>
      <c r="O16" s="13"/>
      <c r="P16" s="13"/>
      <c r="Q16" s="13"/>
      <c r="R16" s="13"/>
      <c r="S16" s="13"/>
      <c r="T16" s="13"/>
      <c r="U16" s="13"/>
      <c r="V16" s="13"/>
      <c r="W16" s="13"/>
      <c r="X16" s="13"/>
      <c r="Y16" s="13"/>
      <c r="Z16" s="13"/>
    </row>
    <row r="17" ht="16.5" customHeight="1">
      <c r="A17" s="184">
        <v>14.0</v>
      </c>
      <c r="B17" s="185" t="s">
        <v>2438</v>
      </c>
      <c r="C17" s="186" t="s">
        <v>2483</v>
      </c>
      <c r="D17" s="187" t="s">
        <v>2484</v>
      </c>
      <c r="E17" s="192" t="s">
        <v>2475</v>
      </c>
      <c r="F17" s="187" t="s">
        <v>2475</v>
      </c>
      <c r="G17" s="187" t="s">
        <v>2484</v>
      </c>
      <c r="H17" s="189">
        <v>45985.0</v>
      </c>
      <c r="I17" s="189" t="s">
        <v>2431</v>
      </c>
      <c r="J17" s="190" t="b">
        <v>0</v>
      </c>
      <c r="K17" s="35"/>
      <c r="L17" s="35"/>
      <c r="M17" s="13"/>
      <c r="N17" s="13"/>
      <c r="O17" s="13"/>
      <c r="P17" s="13"/>
      <c r="Q17" s="13"/>
      <c r="R17" s="13"/>
      <c r="S17" s="13"/>
      <c r="T17" s="13"/>
      <c r="U17" s="13"/>
      <c r="V17" s="13"/>
      <c r="W17" s="13"/>
      <c r="X17" s="13"/>
      <c r="Y17" s="13"/>
      <c r="Z17" s="13"/>
    </row>
    <row r="18" ht="16.5" customHeight="1">
      <c r="A18" s="184">
        <v>15.0</v>
      </c>
      <c r="B18" s="185" t="s">
        <v>2438</v>
      </c>
      <c r="C18" s="186" t="s">
        <v>2485</v>
      </c>
      <c r="D18" s="187" t="s">
        <v>2486</v>
      </c>
      <c r="E18" s="192" t="s">
        <v>2441</v>
      </c>
      <c r="F18" s="187" t="s">
        <v>2487</v>
      </c>
      <c r="G18" s="187" t="s">
        <v>2488</v>
      </c>
      <c r="H18" s="189">
        <v>45985.0</v>
      </c>
      <c r="I18" s="189" t="s">
        <v>2431</v>
      </c>
      <c r="J18" s="190" t="b">
        <v>0</v>
      </c>
      <c r="K18" s="35"/>
      <c r="L18" s="35"/>
      <c r="M18" s="13"/>
      <c r="N18" s="13"/>
      <c r="O18" s="13"/>
      <c r="P18" s="13"/>
      <c r="Q18" s="13"/>
      <c r="R18" s="13"/>
      <c r="S18" s="13"/>
      <c r="T18" s="13"/>
      <c r="U18" s="13"/>
      <c r="V18" s="13"/>
      <c r="W18" s="13"/>
      <c r="X18" s="13"/>
      <c r="Y18" s="13"/>
      <c r="Z18" s="13"/>
    </row>
    <row r="19" ht="16.5" customHeight="1">
      <c r="A19" s="184">
        <v>16.0</v>
      </c>
      <c r="B19" s="185" t="s">
        <v>2489</v>
      </c>
      <c r="C19" s="186" t="s">
        <v>2490</v>
      </c>
      <c r="D19" s="187" t="s">
        <v>2491</v>
      </c>
      <c r="E19" s="192" t="s">
        <v>2492</v>
      </c>
      <c r="F19" s="187" t="s">
        <v>2493</v>
      </c>
      <c r="G19" s="187" t="s">
        <v>2494</v>
      </c>
      <c r="H19" s="189">
        <v>45986.0</v>
      </c>
      <c r="I19" s="189" t="s">
        <v>2431</v>
      </c>
      <c r="J19" s="190" t="b">
        <v>0</v>
      </c>
      <c r="K19" s="35"/>
      <c r="L19" s="35"/>
      <c r="M19" s="13"/>
      <c r="N19" s="13"/>
      <c r="O19" s="13"/>
      <c r="P19" s="13"/>
      <c r="Q19" s="13"/>
      <c r="R19" s="13"/>
      <c r="S19" s="13"/>
      <c r="T19" s="13"/>
      <c r="U19" s="13"/>
      <c r="V19" s="13"/>
      <c r="W19" s="13"/>
      <c r="X19" s="13"/>
      <c r="Y19" s="13"/>
      <c r="Z19" s="13"/>
    </row>
    <row r="20" ht="16.5" customHeight="1">
      <c r="A20" s="184">
        <v>17.0</v>
      </c>
      <c r="B20" s="185" t="s">
        <v>2489</v>
      </c>
      <c r="C20" s="186" t="s">
        <v>2495</v>
      </c>
      <c r="D20" s="187" t="s">
        <v>2496</v>
      </c>
      <c r="E20" s="192" t="s">
        <v>2492</v>
      </c>
      <c r="F20" s="187" t="s">
        <v>2497</v>
      </c>
      <c r="G20" s="187" t="s">
        <v>2498</v>
      </c>
      <c r="H20" s="189">
        <v>45986.0</v>
      </c>
      <c r="I20" s="189" t="s">
        <v>2431</v>
      </c>
      <c r="J20" s="190" t="b">
        <v>0</v>
      </c>
      <c r="K20" s="35"/>
      <c r="L20" s="35"/>
      <c r="M20" s="13"/>
      <c r="N20" s="13"/>
      <c r="O20" s="13"/>
      <c r="P20" s="13"/>
      <c r="Q20" s="13"/>
      <c r="R20" s="13"/>
      <c r="S20" s="13"/>
      <c r="T20" s="13"/>
      <c r="U20" s="13"/>
      <c r="V20" s="13"/>
      <c r="W20" s="13"/>
      <c r="X20" s="13"/>
      <c r="Y20" s="13"/>
      <c r="Z20" s="13"/>
    </row>
    <row r="21" ht="16.5" customHeight="1">
      <c r="A21" s="184">
        <v>18.0</v>
      </c>
      <c r="B21" s="185" t="s">
        <v>2489</v>
      </c>
      <c r="C21" s="186" t="s">
        <v>2499</v>
      </c>
      <c r="D21" s="187" t="s">
        <v>2500</v>
      </c>
      <c r="E21" s="192" t="s">
        <v>2492</v>
      </c>
      <c r="F21" s="187" t="s">
        <v>2501</v>
      </c>
      <c r="G21" s="187" t="s">
        <v>2502</v>
      </c>
      <c r="H21" s="189">
        <v>45986.0</v>
      </c>
      <c r="I21" s="189" t="s">
        <v>2431</v>
      </c>
      <c r="J21" s="190" t="b">
        <v>0</v>
      </c>
      <c r="K21" s="35"/>
      <c r="L21" s="35"/>
      <c r="M21" s="13"/>
      <c r="N21" s="13"/>
      <c r="O21" s="13"/>
      <c r="P21" s="13"/>
      <c r="Q21" s="13"/>
      <c r="R21" s="13"/>
      <c r="S21" s="13"/>
      <c r="T21" s="13"/>
      <c r="U21" s="13"/>
      <c r="V21" s="13"/>
      <c r="W21" s="13"/>
      <c r="X21" s="13"/>
      <c r="Y21" s="13"/>
      <c r="Z21" s="13"/>
    </row>
    <row r="22" ht="16.5" customHeight="1">
      <c r="A22" s="184">
        <v>19.0</v>
      </c>
      <c r="B22" s="185" t="s">
        <v>2489</v>
      </c>
      <c r="C22" s="186" t="s">
        <v>2503</v>
      </c>
      <c r="D22" s="187" t="s">
        <v>2504</v>
      </c>
      <c r="E22" s="192" t="s">
        <v>2505</v>
      </c>
      <c r="F22" s="187" t="s">
        <v>2506</v>
      </c>
      <c r="G22" s="187" t="s">
        <v>2507</v>
      </c>
      <c r="H22" s="189">
        <v>45986.0</v>
      </c>
      <c r="I22" s="189" t="s">
        <v>2431</v>
      </c>
      <c r="J22" s="190" t="b">
        <v>0</v>
      </c>
      <c r="K22" s="35"/>
      <c r="L22" s="35"/>
      <c r="M22" s="13"/>
      <c r="N22" s="13"/>
      <c r="O22" s="13"/>
      <c r="P22" s="13"/>
      <c r="Q22" s="13"/>
      <c r="R22" s="13"/>
      <c r="S22" s="13"/>
      <c r="T22" s="13"/>
      <c r="U22" s="13"/>
      <c r="V22" s="13"/>
      <c r="W22" s="13"/>
      <c r="X22" s="13"/>
      <c r="Y22" s="13"/>
      <c r="Z22" s="13"/>
    </row>
    <row r="23" ht="16.5" customHeight="1">
      <c r="A23" s="184">
        <v>20.0</v>
      </c>
      <c r="B23" s="185" t="s">
        <v>2508</v>
      </c>
      <c r="C23" s="186" t="s">
        <v>2509</v>
      </c>
      <c r="D23" s="187" t="s">
        <v>2510</v>
      </c>
      <c r="E23" s="192" t="s">
        <v>2511</v>
      </c>
      <c r="F23" s="187">
        <v>23.0</v>
      </c>
      <c r="G23" s="187" t="s">
        <v>2512</v>
      </c>
      <c r="H23" s="189">
        <v>45986.0</v>
      </c>
      <c r="I23" s="189" t="s">
        <v>2431</v>
      </c>
      <c r="J23" s="190" t="b">
        <v>0</v>
      </c>
      <c r="K23" s="35"/>
      <c r="L23" s="35"/>
      <c r="M23" s="13"/>
      <c r="N23" s="13"/>
      <c r="O23" s="13"/>
      <c r="P23" s="13"/>
      <c r="Q23" s="13"/>
      <c r="R23" s="13"/>
      <c r="S23" s="13"/>
      <c r="T23" s="13"/>
      <c r="U23" s="13"/>
      <c r="V23" s="13"/>
      <c r="W23" s="13"/>
      <c r="X23" s="13"/>
      <c r="Y23" s="13"/>
      <c r="Z23" s="13"/>
    </row>
    <row r="24" ht="16.5" customHeight="1">
      <c r="A24" s="184">
        <v>21.0</v>
      </c>
      <c r="B24" s="185" t="s">
        <v>2508</v>
      </c>
      <c r="C24" s="186" t="s">
        <v>2513</v>
      </c>
      <c r="D24" s="187" t="s">
        <v>2514</v>
      </c>
      <c r="E24" s="192" t="s">
        <v>2511</v>
      </c>
      <c r="F24" s="187" t="s">
        <v>2515</v>
      </c>
      <c r="G24" s="187" t="s">
        <v>2512</v>
      </c>
      <c r="H24" s="189">
        <v>45986.0</v>
      </c>
      <c r="I24" s="189" t="s">
        <v>2431</v>
      </c>
      <c r="J24" s="190" t="b">
        <v>0</v>
      </c>
      <c r="K24" s="35"/>
      <c r="L24" s="35"/>
      <c r="M24" s="13"/>
      <c r="N24" s="13"/>
      <c r="O24" s="13"/>
      <c r="P24" s="13"/>
      <c r="Q24" s="13"/>
      <c r="R24" s="13"/>
      <c r="S24" s="13"/>
      <c r="T24" s="13"/>
      <c r="U24" s="13"/>
      <c r="V24" s="13"/>
      <c r="W24" s="13"/>
      <c r="X24" s="13"/>
      <c r="Y24" s="13"/>
      <c r="Z24" s="13"/>
    </row>
    <row r="25" ht="16.5" customHeight="1">
      <c r="A25" s="184">
        <v>22.0</v>
      </c>
      <c r="B25" s="185" t="s">
        <v>2508</v>
      </c>
      <c r="C25" s="186" t="s">
        <v>2516</v>
      </c>
      <c r="D25" s="187" t="s">
        <v>2517</v>
      </c>
      <c r="E25" s="192" t="s">
        <v>2511</v>
      </c>
      <c r="F25" s="187">
        <v>24.0</v>
      </c>
      <c r="G25" s="187" t="s">
        <v>2512</v>
      </c>
      <c r="H25" s="189">
        <v>45986.0</v>
      </c>
      <c r="I25" s="189" t="s">
        <v>2431</v>
      </c>
      <c r="J25" s="190" t="b">
        <v>0</v>
      </c>
      <c r="K25" s="35"/>
      <c r="L25" s="35"/>
      <c r="M25" s="13"/>
      <c r="N25" s="13"/>
      <c r="O25" s="13"/>
      <c r="P25" s="13"/>
      <c r="Q25" s="13"/>
      <c r="R25" s="13"/>
      <c r="S25" s="13"/>
      <c r="T25" s="13"/>
      <c r="U25" s="13"/>
      <c r="V25" s="13"/>
      <c r="W25" s="13"/>
      <c r="X25" s="13"/>
      <c r="Y25" s="13"/>
      <c r="Z25" s="13"/>
    </row>
    <row r="26" ht="16.5" customHeight="1">
      <c r="A26" s="184">
        <v>23.0</v>
      </c>
      <c r="B26" s="185" t="s">
        <v>2508</v>
      </c>
      <c r="C26" s="186" t="s">
        <v>2518</v>
      </c>
      <c r="D26" s="187" t="s">
        <v>2519</v>
      </c>
      <c r="E26" s="192" t="s">
        <v>2511</v>
      </c>
      <c r="F26" s="187">
        <v>24.0</v>
      </c>
      <c r="G26" s="187" t="s">
        <v>2512</v>
      </c>
      <c r="H26" s="189">
        <v>45986.0</v>
      </c>
      <c r="I26" s="189" t="s">
        <v>2431</v>
      </c>
      <c r="J26" s="190" t="b">
        <v>0</v>
      </c>
      <c r="K26" s="35"/>
      <c r="L26" s="35"/>
      <c r="M26" s="13"/>
      <c r="N26" s="13"/>
      <c r="O26" s="13"/>
      <c r="P26" s="13"/>
      <c r="Q26" s="13"/>
      <c r="R26" s="13"/>
      <c r="S26" s="13"/>
      <c r="T26" s="13"/>
      <c r="U26" s="13"/>
      <c r="V26" s="13"/>
      <c r="W26" s="13"/>
      <c r="X26" s="13"/>
      <c r="Y26" s="13"/>
      <c r="Z26" s="13"/>
    </row>
    <row r="27" ht="16.5" customHeight="1">
      <c r="A27" s="184">
        <v>24.0</v>
      </c>
      <c r="B27" s="185" t="s">
        <v>2508</v>
      </c>
      <c r="C27" s="186" t="s">
        <v>2520</v>
      </c>
      <c r="D27" s="195" t="s">
        <v>2521</v>
      </c>
      <c r="E27" s="192" t="s">
        <v>2511</v>
      </c>
      <c r="F27" s="187">
        <v>26.0</v>
      </c>
      <c r="G27" s="187" t="s">
        <v>2512</v>
      </c>
      <c r="H27" s="189">
        <v>45986.0</v>
      </c>
      <c r="I27" s="189" t="s">
        <v>2431</v>
      </c>
      <c r="J27" s="190" t="b">
        <v>0</v>
      </c>
      <c r="K27" s="35"/>
      <c r="L27" s="35"/>
      <c r="M27" s="13"/>
      <c r="N27" s="13"/>
      <c r="O27" s="13"/>
      <c r="P27" s="13"/>
      <c r="Q27" s="13"/>
      <c r="R27" s="13"/>
      <c r="S27" s="13"/>
      <c r="T27" s="13"/>
      <c r="U27" s="13"/>
      <c r="V27" s="13"/>
      <c r="W27" s="13"/>
      <c r="X27" s="13"/>
      <c r="Y27" s="13"/>
      <c r="Z27" s="13"/>
    </row>
    <row r="28" ht="16.5" customHeight="1">
      <c r="A28" s="184">
        <v>25.0</v>
      </c>
      <c r="B28" s="185" t="s">
        <v>2508</v>
      </c>
      <c r="C28" s="186" t="s">
        <v>2522</v>
      </c>
      <c r="D28" s="195" t="s">
        <v>2523</v>
      </c>
      <c r="E28" s="192" t="s">
        <v>2511</v>
      </c>
      <c r="F28" s="187">
        <v>26.0</v>
      </c>
      <c r="G28" s="187" t="s">
        <v>2512</v>
      </c>
      <c r="H28" s="189">
        <v>45986.0</v>
      </c>
      <c r="I28" s="189" t="s">
        <v>2431</v>
      </c>
      <c r="J28" s="190" t="b">
        <v>0</v>
      </c>
      <c r="K28" s="35"/>
      <c r="L28" s="35"/>
      <c r="M28" s="13"/>
      <c r="N28" s="13"/>
      <c r="O28" s="13"/>
      <c r="P28" s="13"/>
      <c r="Q28" s="13"/>
      <c r="R28" s="13"/>
      <c r="S28" s="13"/>
      <c r="T28" s="13"/>
      <c r="U28" s="13"/>
      <c r="V28" s="13"/>
      <c r="W28" s="13"/>
      <c r="X28" s="13"/>
      <c r="Y28" s="13"/>
      <c r="Z28" s="13"/>
    </row>
    <row r="29" ht="16.5" hidden="1" customHeight="1">
      <c r="A29" s="191">
        <v>26.0</v>
      </c>
      <c r="B29" s="191" t="s">
        <v>2426</v>
      </c>
      <c r="C29" s="186" t="s">
        <v>2524</v>
      </c>
      <c r="D29" s="187" t="s">
        <v>2525</v>
      </c>
      <c r="E29" s="187" t="s">
        <v>2526</v>
      </c>
      <c r="F29" s="187"/>
      <c r="G29" s="187" t="s">
        <v>2526</v>
      </c>
      <c r="H29" s="189">
        <v>45986.0</v>
      </c>
      <c r="I29" s="189" t="s">
        <v>2437</v>
      </c>
      <c r="J29" s="190" t="b">
        <v>0</v>
      </c>
      <c r="K29" s="35"/>
      <c r="L29" s="35"/>
      <c r="M29" s="13"/>
      <c r="N29" s="13"/>
      <c r="O29" s="13"/>
      <c r="P29" s="13"/>
      <c r="Q29" s="13"/>
      <c r="R29" s="13"/>
      <c r="S29" s="13"/>
      <c r="T29" s="13"/>
      <c r="U29" s="13"/>
      <c r="V29" s="13"/>
      <c r="W29" s="13"/>
      <c r="X29" s="13"/>
      <c r="Y29" s="13"/>
      <c r="Z29" s="13"/>
    </row>
    <row r="30" ht="16.5" customHeight="1">
      <c r="A30" s="184">
        <v>27.0</v>
      </c>
      <c r="B30" s="185" t="s">
        <v>2461</v>
      </c>
      <c r="C30" s="186" t="s">
        <v>2527</v>
      </c>
      <c r="D30" s="187" t="s">
        <v>2528</v>
      </c>
      <c r="E30" s="192" t="s">
        <v>2529</v>
      </c>
      <c r="F30" s="187" t="s">
        <v>932</v>
      </c>
      <c r="G30" s="187" t="s">
        <v>2530</v>
      </c>
      <c r="H30" s="189">
        <v>45986.0</v>
      </c>
      <c r="I30" s="189" t="s">
        <v>2431</v>
      </c>
      <c r="J30" s="190" t="b">
        <v>0</v>
      </c>
      <c r="K30" s="35"/>
      <c r="L30" s="35"/>
      <c r="M30" s="13"/>
      <c r="N30" s="13"/>
      <c r="O30" s="13"/>
      <c r="P30" s="13"/>
      <c r="Q30" s="13"/>
      <c r="R30" s="13"/>
      <c r="S30" s="13"/>
      <c r="T30" s="13"/>
      <c r="U30" s="13"/>
      <c r="V30" s="13"/>
      <c r="W30" s="13"/>
      <c r="X30" s="13"/>
      <c r="Y30" s="13"/>
      <c r="Z30" s="13"/>
    </row>
    <row r="31" ht="16.5" customHeight="1">
      <c r="A31" s="184">
        <v>28.0</v>
      </c>
      <c r="B31" s="185" t="s">
        <v>2461</v>
      </c>
      <c r="C31" s="186" t="s">
        <v>2531</v>
      </c>
      <c r="D31" s="187" t="s">
        <v>2532</v>
      </c>
      <c r="E31" s="192" t="s">
        <v>2533</v>
      </c>
      <c r="F31" s="187">
        <v>1.0</v>
      </c>
      <c r="G31" s="187" t="s">
        <v>2530</v>
      </c>
      <c r="H31" s="189">
        <v>45986.0</v>
      </c>
      <c r="I31" s="189" t="s">
        <v>2431</v>
      </c>
      <c r="J31" s="190" t="b">
        <v>0</v>
      </c>
      <c r="K31" s="35"/>
      <c r="L31" s="35"/>
      <c r="M31" s="13"/>
      <c r="N31" s="13"/>
      <c r="O31" s="13"/>
      <c r="P31" s="13"/>
      <c r="Q31" s="13"/>
      <c r="R31" s="13"/>
      <c r="S31" s="13"/>
      <c r="T31" s="13"/>
      <c r="U31" s="13"/>
      <c r="V31" s="13"/>
      <c r="W31" s="13"/>
      <c r="X31" s="13"/>
      <c r="Y31" s="13"/>
      <c r="Z31" s="13"/>
    </row>
    <row r="32" ht="16.5" customHeight="1">
      <c r="A32" s="184">
        <v>29.0</v>
      </c>
      <c r="B32" s="185" t="s">
        <v>2489</v>
      </c>
      <c r="C32" s="186" t="s">
        <v>2534</v>
      </c>
      <c r="D32" s="187" t="s">
        <v>2535</v>
      </c>
      <c r="E32" s="192" t="s">
        <v>2536</v>
      </c>
      <c r="F32" s="187">
        <v>21.0</v>
      </c>
      <c r="G32" s="187" t="s">
        <v>2530</v>
      </c>
      <c r="H32" s="189">
        <v>45986.0</v>
      </c>
      <c r="I32" s="189" t="s">
        <v>2431</v>
      </c>
      <c r="J32" s="190" t="b">
        <v>0</v>
      </c>
      <c r="K32" s="35"/>
      <c r="L32" s="35"/>
      <c r="M32" s="13"/>
      <c r="N32" s="13"/>
      <c r="O32" s="13"/>
      <c r="P32" s="13"/>
      <c r="Q32" s="13"/>
      <c r="R32" s="13"/>
      <c r="S32" s="13"/>
      <c r="T32" s="13"/>
      <c r="U32" s="13"/>
      <c r="V32" s="13"/>
      <c r="W32" s="13"/>
      <c r="X32" s="13"/>
      <c r="Y32" s="13"/>
      <c r="Z32" s="13"/>
    </row>
    <row r="33" ht="16.5" customHeight="1">
      <c r="A33" s="184">
        <v>30.0</v>
      </c>
      <c r="B33" s="185" t="s">
        <v>2489</v>
      </c>
      <c r="C33" s="186" t="s">
        <v>2537</v>
      </c>
      <c r="D33" s="187" t="s">
        <v>2538</v>
      </c>
      <c r="E33" s="192" t="s">
        <v>2539</v>
      </c>
      <c r="F33" s="187" t="s">
        <v>2540</v>
      </c>
      <c r="G33" s="187" t="s">
        <v>2530</v>
      </c>
      <c r="H33" s="189">
        <v>45986.0</v>
      </c>
      <c r="I33" s="189" t="s">
        <v>2431</v>
      </c>
      <c r="J33" s="190" t="b">
        <v>0</v>
      </c>
      <c r="K33" s="35"/>
      <c r="L33" s="35"/>
      <c r="M33" s="13"/>
      <c r="N33" s="13"/>
      <c r="O33" s="13"/>
      <c r="P33" s="13"/>
      <c r="Q33" s="13"/>
      <c r="R33" s="13"/>
      <c r="S33" s="13"/>
      <c r="T33" s="13"/>
      <c r="U33" s="13"/>
      <c r="V33" s="13"/>
      <c r="W33" s="13"/>
      <c r="X33" s="13"/>
      <c r="Y33" s="13"/>
      <c r="Z33" s="13"/>
    </row>
    <row r="34" ht="16.5" customHeight="1">
      <c r="A34" s="184">
        <v>31.0</v>
      </c>
      <c r="B34" s="185" t="s">
        <v>2426</v>
      </c>
      <c r="C34" s="186" t="s">
        <v>2541</v>
      </c>
      <c r="D34" s="187" t="s">
        <v>2542</v>
      </c>
      <c r="E34" s="192" t="s">
        <v>2543</v>
      </c>
      <c r="F34" s="187" t="s">
        <v>2544</v>
      </c>
      <c r="G34" s="187" t="s">
        <v>2545</v>
      </c>
      <c r="H34" s="189">
        <v>45986.0</v>
      </c>
      <c r="I34" s="189" t="s">
        <v>2431</v>
      </c>
      <c r="J34" s="190" t="b">
        <v>0</v>
      </c>
      <c r="K34" s="35"/>
      <c r="L34" s="35"/>
      <c r="M34" s="13"/>
      <c r="N34" s="13"/>
      <c r="O34" s="13"/>
      <c r="P34" s="13"/>
      <c r="Q34" s="13"/>
      <c r="R34" s="13"/>
      <c r="S34" s="13"/>
      <c r="T34" s="13"/>
      <c r="U34" s="13"/>
      <c r="V34" s="13"/>
      <c r="W34" s="13"/>
      <c r="X34" s="13"/>
      <c r="Y34" s="13"/>
      <c r="Z34" s="13"/>
    </row>
    <row r="35" ht="16.5" customHeight="1">
      <c r="A35" s="184">
        <v>32.0</v>
      </c>
      <c r="B35" s="185" t="s">
        <v>2426</v>
      </c>
      <c r="C35" s="186" t="s">
        <v>2546</v>
      </c>
      <c r="D35" s="187" t="s">
        <v>2547</v>
      </c>
      <c r="E35" s="192" t="s">
        <v>2543</v>
      </c>
      <c r="F35" s="187" t="s">
        <v>2548</v>
      </c>
      <c r="G35" s="187" t="s">
        <v>2545</v>
      </c>
      <c r="H35" s="189">
        <v>45986.0</v>
      </c>
      <c r="I35" s="189" t="s">
        <v>2431</v>
      </c>
      <c r="J35" s="190" t="b">
        <v>0</v>
      </c>
      <c r="K35" s="35"/>
      <c r="L35" s="35"/>
      <c r="M35" s="13"/>
      <c r="N35" s="13"/>
      <c r="O35" s="13"/>
      <c r="P35" s="13"/>
      <c r="Q35" s="13"/>
      <c r="R35" s="13"/>
      <c r="S35" s="13"/>
      <c r="T35" s="13"/>
      <c r="U35" s="13"/>
      <c r="V35" s="13"/>
      <c r="W35" s="13"/>
      <c r="X35" s="13"/>
      <c r="Y35" s="13"/>
      <c r="Z35" s="13"/>
    </row>
    <row r="36" ht="16.5" customHeight="1">
      <c r="A36" s="184">
        <v>33.0</v>
      </c>
      <c r="B36" s="185" t="s">
        <v>2549</v>
      </c>
      <c r="C36" s="186" t="s">
        <v>2550</v>
      </c>
      <c r="D36" s="187" t="s">
        <v>2551</v>
      </c>
      <c r="E36" s="192" t="s">
        <v>2552</v>
      </c>
      <c r="F36" s="187" t="s">
        <v>2553</v>
      </c>
      <c r="G36" s="187" t="s">
        <v>2554</v>
      </c>
      <c r="H36" s="189">
        <v>45986.0</v>
      </c>
      <c r="I36" s="189" t="s">
        <v>2431</v>
      </c>
      <c r="J36" s="190" t="b">
        <v>0</v>
      </c>
      <c r="K36" s="35"/>
      <c r="L36" s="35"/>
      <c r="M36" s="13"/>
      <c r="N36" s="13"/>
      <c r="O36" s="13"/>
      <c r="P36" s="13"/>
      <c r="Q36" s="13"/>
      <c r="R36" s="13"/>
      <c r="S36" s="13"/>
      <c r="T36" s="13"/>
      <c r="U36" s="13"/>
      <c r="V36" s="13"/>
      <c r="W36" s="13"/>
      <c r="X36" s="13"/>
      <c r="Y36" s="13"/>
      <c r="Z36" s="13"/>
    </row>
    <row r="37" ht="16.5" customHeight="1">
      <c r="A37" s="184">
        <v>34.0</v>
      </c>
      <c r="B37" s="185" t="s">
        <v>2549</v>
      </c>
      <c r="C37" s="186" t="s">
        <v>2555</v>
      </c>
      <c r="D37" s="187" t="s">
        <v>2556</v>
      </c>
      <c r="E37" s="192" t="s">
        <v>2557</v>
      </c>
      <c r="F37" s="187" t="s">
        <v>2558</v>
      </c>
      <c r="G37" s="187" t="s">
        <v>2554</v>
      </c>
      <c r="H37" s="189">
        <v>45986.0</v>
      </c>
      <c r="I37" s="189" t="s">
        <v>2431</v>
      </c>
      <c r="J37" s="190" t="b">
        <v>0</v>
      </c>
      <c r="K37" s="35"/>
      <c r="L37" s="35"/>
      <c r="M37" s="13"/>
      <c r="N37" s="13"/>
      <c r="O37" s="13"/>
      <c r="P37" s="13"/>
      <c r="Q37" s="13"/>
      <c r="R37" s="13"/>
      <c r="S37" s="13"/>
      <c r="T37" s="13"/>
      <c r="U37" s="13"/>
      <c r="V37" s="13"/>
      <c r="W37" s="13"/>
      <c r="X37" s="13"/>
      <c r="Y37" s="13"/>
      <c r="Z37" s="13"/>
    </row>
    <row r="38" ht="16.5" customHeight="1">
      <c r="A38" s="184">
        <v>35.0</v>
      </c>
      <c r="B38" s="185" t="s">
        <v>2508</v>
      </c>
      <c r="C38" s="186" t="s">
        <v>2559</v>
      </c>
      <c r="D38" s="187" t="s">
        <v>2560</v>
      </c>
      <c r="E38" s="192" t="s">
        <v>2561</v>
      </c>
      <c r="F38" s="187">
        <v>39.0</v>
      </c>
      <c r="G38" s="187" t="s">
        <v>2562</v>
      </c>
      <c r="H38" s="189">
        <v>45986.0</v>
      </c>
      <c r="I38" s="189" t="s">
        <v>2431</v>
      </c>
      <c r="J38" s="190" t="b">
        <v>0</v>
      </c>
      <c r="K38" s="35"/>
      <c r="L38" s="35"/>
      <c r="M38" s="13"/>
      <c r="N38" s="13"/>
      <c r="O38" s="13"/>
      <c r="P38" s="13"/>
      <c r="Q38" s="13"/>
      <c r="R38" s="13"/>
      <c r="S38" s="13"/>
      <c r="T38" s="13"/>
      <c r="U38" s="13"/>
      <c r="V38" s="13"/>
      <c r="W38" s="13"/>
      <c r="X38" s="13"/>
      <c r="Y38" s="13"/>
      <c r="Z38" s="13"/>
    </row>
    <row r="39" ht="16.5" customHeight="1">
      <c r="A39" s="184">
        <v>36.0</v>
      </c>
      <c r="B39" s="191" t="s">
        <v>2508</v>
      </c>
      <c r="C39" s="186" t="s">
        <v>2563</v>
      </c>
      <c r="D39" s="187" t="s">
        <v>2564</v>
      </c>
      <c r="E39" s="192" t="s">
        <v>2565</v>
      </c>
      <c r="F39" s="187" t="s">
        <v>2566</v>
      </c>
      <c r="G39" s="187" t="s">
        <v>2567</v>
      </c>
      <c r="H39" s="189">
        <v>45986.0</v>
      </c>
      <c r="I39" s="189" t="s">
        <v>2431</v>
      </c>
      <c r="J39" s="190" t="b">
        <v>0</v>
      </c>
      <c r="K39" s="35"/>
      <c r="L39" s="35"/>
      <c r="M39" s="13"/>
      <c r="N39" s="13"/>
      <c r="O39" s="13"/>
      <c r="P39" s="13"/>
      <c r="Q39" s="13"/>
      <c r="R39" s="13"/>
      <c r="S39" s="13"/>
      <c r="T39" s="13"/>
      <c r="U39" s="13"/>
      <c r="V39" s="13"/>
      <c r="W39" s="13"/>
      <c r="X39" s="13"/>
      <c r="Y39" s="13"/>
      <c r="Z39" s="13"/>
    </row>
    <row r="40" ht="16.5" customHeight="1">
      <c r="A40" s="184">
        <v>37.0</v>
      </c>
      <c r="B40" s="191" t="s">
        <v>2489</v>
      </c>
      <c r="C40" s="186" t="s">
        <v>2568</v>
      </c>
      <c r="D40" s="187" t="s">
        <v>2569</v>
      </c>
      <c r="E40" s="192" t="s">
        <v>2570</v>
      </c>
      <c r="F40" s="187">
        <v>1.0</v>
      </c>
      <c r="G40" s="187" t="s">
        <v>2571</v>
      </c>
      <c r="H40" s="189">
        <v>45986.0</v>
      </c>
      <c r="I40" s="189" t="s">
        <v>2431</v>
      </c>
      <c r="J40" s="190" t="b">
        <v>0</v>
      </c>
      <c r="K40" s="35"/>
      <c r="L40" s="35"/>
      <c r="M40" s="13"/>
      <c r="N40" s="13"/>
      <c r="O40" s="13"/>
      <c r="P40" s="13"/>
      <c r="Q40" s="13"/>
      <c r="R40" s="13"/>
      <c r="S40" s="13"/>
      <c r="T40" s="13"/>
      <c r="U40" s="13"/>
      <c r="V40" s="13"/>
      <c r="W40" s="13"/>
      <c r="X40" s="13"/>
      <c r="Y40" s="13"/>
      <c r="Z40" s="13"/>
    </row>
    <row r="41" ht="16.5" customHeight="1">
      <c r="A41" s="184">
        <v>38.0</v>
      </c>
      <c r="B41" s="191" t="s">
        <v>2572</v>
      </c>
      <c r="C41" s="186" t="s">
        <v>2573</v>
      </c>
      <c r="D41" s="187" t="s">
        <v>2574</v>
      </c>
      <c r="E41" s="192" t="s">
        <v>2575</v>
      </c>
      <c r="F41" s="187">
        <v>1.0</v>
      </c>
      <c r="G41" s="187" t="s">
        <v>2576</v>
      </c>
      <c r="H41" s="189">
        <v>45986.0</v>
      </c>
      <c r="I41" s="189" t="s">
        <v>2431</v>
      </c>
      <c r="J41" s="190" t="b">
        <v>0</v>
      </c>
      <c r="K41" s="35"/>
      <c r="L41" s="35"/>
      <c r="M41" s="13"/>
      <c r="N41" s="13"/>
      <c r="O41" s="13"/>
      <c r="P41" s="13"/>
      <c r="Q41" s="13"/>
      <c r="R41" s="13"/>
      <c r="S41" s="13"/>
      <c r="T41" s="13"/>
      <c r="U41" s="13"/>
      <c r="V41" s="13"/>
      <c r="W41" s="13"/>
      <c r="X41" s="13"/>
      <c r="Y41" s="13"/>
      <c r="Z41" s="13"/>
    </row>
    <row r="42" ht="16.5" customHeight="1">
      <c r="A42" s="184">
        <v>39.0</v>
      </c>
      <c r="B42" s="191" t="s">
        <v>2549</v>
      </c>
      <c r="C42" s="186" t="s">
        <v>2577</v>
      </c>
      <c r="D42" s="187" t="s">
        <v>2578</v>
      </c>
      <c r="E42" s="192" t="s">
        <v>2579</v>
      </c>
      <c r="F42" s="187">
        <v>1.0</v>
      </c>
      <c r="G42" s="187" t="s">
        <v>2580</v>
      </c>
      <c r="H42" s="189">
        <v>45986.0</v>
      </c>
      <c r="I42" s="189" t="s">
        <v>2431</v>
      </c>
      <c r="J42" s="190" t="b">
        <v>0</v>
      </c>
      <c r="K42" s="35"/>
      <c r="L42" s="35"/>
      <c r="M42" s="13"/>
      <c r="N42" s="13"/>
      <c r="O42" s="13"/>
      <c r="P42" s="13"/>
      <c r="Q42" s="13"/>
      <c r="R42" s="13"/>
      <c r="S42" s="13"/>
      <c r="T42" s="13"/>
      <c r="U42" s="13"/>
      <c r="V42" s="13"/>
      <c r="W42" s="13"/>
      <c r="X42" s="13"/>
      <c r="Y42" s="13"/>
      <c r="Z42" s="13"/>
    </row>
    <row r="43" ht="16.5" customHeight="1">
      <c r="A43" s="184">
        <v>40.0</v>
      </c>
      <c r="B43" s="191" t="s">
        <v>2438</v>
      </c>
      <c r="C43" s="186" t="s">
        <v>2581</v>
      </c>
      <c r="D43" s="187" t="s">
        <v>2582</v>
      </c>
      <c r="E43" s="192" t="s">
        <v>2583</v>
      </c>
      <c r="F43" s="187">
        <v>1.0</v>
      </c>
      <c r="G43" s="187" t="s">
        <v>2584</v>
      </c>
      <c r="H43" s="189">
        <v>45986.0</v>
      </c>
      <c r="I43" s="189" t="s">
        <v>2431</v>
      </c>
      <c r="J43" s="190" t="b">
        <v>0</v>
      </c>
      <c r="K43" s="35"/>
      <c r="L43" s="35"/>
      <c r="M43" s="13"/>
      <c r="N43" s="13"/>
      <c r="O43" s="13"/>
      <c r="P43" s="13"/>
      <c r="Q43" s="13"/>
      <c r="R43" s="13"/>
      <c r="S43" s="13"/>
      <c r="T43" s="13"/>
      <c r="U43" s="13"/>
      <c r="V43" s="13"/>
      <c r="W43" s="13"/>
      <c r="X43" s="13"/>
      <c r="Y43" s="13"/>
      <c r="Z43" s="13"/>
    </row>
    <row r="44" ht="16.5" customHeight="1">
      <c r="A44" s="184">
        <v>41.0</v>
      </c>
      <c r="B44" s="191" t="s">
        <v>2438</v>
      </c>
      <c r="C44" s="186" t="s">
        <v>2585</v>
      </c>
      <c r="D44" s="187" t="s">
        <v>2586</v>
      </c>
      <c r="E44" s="192" t="s">
        <v>2587</v>
      </c>
      <c r="F44" s="187" t="s">
        <v>2588</v>
      </c>
      <c r="G44" s="187" t="s">
        <v>2589</v>
      </c>
      <c r="H44" s="189">
        <v>45986.0</v>
      </c>
      <c r="I44" s="189" t="s">
        <v>2431</v>
      </c>
      <c r="J44" s="190" t="b">
        <v>0</v>
      </c>
      <c r="K44" s="35"/>
      <c r="L44" s="35"/>
      <c r="M44" s="13"/>
      <c r="N44" s="13"/>
      <c r="O44" s="13"/>
      <c r="P44" s="13"/>
      <c r="Q44" s="13"/>
      <c r="R44" s="13"/>
      <c r="S44" s="13"/>
      <c r="T44" s="13"/>
      <c r="U44" s="13"/>
      <c r="V44" s="13"/>
      <c r="W44" s="13"/>
      <c r="X44" s="13"/>
      <c r="Y44" s="13"/>
      <c r="Z44" s="13"/>
    </row>
    <row r="45" ht="16.5" customHeight="1">
      <c r="A45" s="184">
        <v>42.0</v>
      </c>
      <c r="B45" s="191" t="s">
        <v>2438</v>
      </c>
      <c r="C45" s="186" t="s">
        <v>2590</v>
      </c>
      <c r="D45" s="187" t="s">
        <v>2591</v>
      </c>
      <c r="E45" s="192" t="s">
        <v>2592</v>
      </c>
      <c r="F45" s="187" t="s">
        <v>2593</v>
      </c>
      <c r="G45" s="187" t="s">
        <v>2594</v>
      </c>
      <c r="H45" s="189">
        <v>45986.0</v>
      </c>
      <c r="I45" s="189" t="s">
        <v>2431</v>
      </c>
      <c r="J45" s="190" t="b">
        <v>0</v>
      </c>
      <c r="K45" s="35"/>
      <c r="L45" s="35"/>
      <c r="M45" s="13"/>
      <c r="N45" s="13"/>
      <c r="O45" s="13"/>
      <c r="P45" s="13"/>
      <c r="Q45" s="13"/>
      <c r="R45" s="13"/>
      <c r="S45" s="13"/>
      <c r="T45" s="13"/>
      <c r="U45" s="13"/>
      <c r="V45" s="13"/>
      <c r="W45" s="13"/>
      <c r="X45" s="13"/>
      <c r="Y45" s="13"/>
      <c r="Z45" s="13"/>
    </row>
    <row r="46" ht="16.5" customHeight="1">
      <c r="A46" s="184">
        <v>43.0</v>
      </c>
      <c r="B46" s="191" t="s">
        <v>2438</v>
      </c>
      <c r="C46" s="186" t="s">
        <v>2595</v>
      </c>
      <c r="D46" s="187" t="s">
        <v>2596</v>
      </c>
      <c r="E46" s="192" t="s">
        <v>2597</v>
      </c>
      <c r="F46" s="187">
        <v>1.0</v>
      </c>
      <c r="G46" s="187" t="s">
        <v>2598</v>
      </c>
      <c r="H46" s="189">
        <v>45986.0</v>
      </c>
      <c r="I46" s="189" t="s">
        <v>2431</v>
      </c>
      <c r="J46" s="190" t="b">
        <v>0</v>
      </c>
      <c r="K46" s="35"/>
      <c r="L46" s="35"/>
      <c r="M46" s="13"/>
      <c r="N46" s="13"/>
      <c r="O46" s="13"/>
      <c r="P46" s="13"/>
      <c r="Q46" s="13"/>
      <c r="R46" s="13"/>
      <c r="S46" s="13"/>
      <c r="T46" s="13"/>
      <c r="U46" s="13"/>
      <c r="V46" s="13"/>
      <c r="W46" s="13"/>
      <c r="X46" s="13"/>
      <c r="Y46" s="13"/>
      <c r="Z46" s="13"/>
    </row>
    <row r="47" ht="16.5" customHeight="1">
      <c r="A47" s="184">
        <v>44.0</v>
      </c>
      <c r="B47" s="191" t="s">
        <v>2599</v>
      </c>
      <c r="C47" s="186" t="s">
        <v>2600</v>
      </c>
      <c r="D47" s="187" t="s">
        <v>2601</v>
      </c>
      <c r="E47" s="192" t="s">
        <v>2602</v>
      </c>
      <c r="F47" s="196" t="s">
        <v>2603</v>
      </c>
      <c r="G47" s="187" t="s">
        <v>2604</v>
      </c>
      <c r="H47" s="189">
        <v>45986.0</v>
      </c>
      <c r="I47" s="189" t="s">
        <v>2431</v>
      </c>
      <c r="J47" s="190" t="b">
        <v>0</v>
      </c>
      <c r="K47" s="35"/>
      <c r="L47" s="35"/>
      <c r="M47" s="13"/>
      <c r="N47" s="13"/>
      <c r="O47" s="13"/>
      <c r="P47" s="13"/>
      <c r="Q47" s="13"/>
      <c r="R47" s="13"/>
      <c r="S47" s="13"/>
      <c r="T47" s="13"/>
      <c r="U47" s="13"/>
      <c r="V47" s="13"/>
      <c r="W47" s="13"/>
      <c r="X47" s="13"/>
      <c r="Y47" s="13"/>
      <c r="Z47" s="13"/>
    </row>
    <row r="48" ht="16.5" hidden="1" customHeight="1">
      <c r="A48" s="191">
        <v>45.0</v>
      </c>
      <c r="B48" s="191" t="s">
        <v>2426</v>
      </c>
      <c r="C48" s="186" t="s">
        <v>2605</v>
      </c>
      <c r="D48" s="187" t="s">
        <v>2606</v>
      </c>
      <c r="E48" s="187" t="s">
        <v>2607</v>
      </c>
      <c r="F48" s="196" t="s">
        <v>2608</v>
      </c>
      <c r="G48" s="187" t="s">
        <v>2609</v>
      </c>
      <c r="H48" s="189">
        <v>45986.0</v>
      </c>
      <c r="I48" s="189" t="s">
        <v>2437</v>
      </c>
      <c r="J48" s="190" t="b">
        <v>0</v>
      </c>
      <c r="K48" s="35"/>
      <c r="L48" s="35"/>
      <c r="M48" s="13"/>
      <c r="N48" s="13"/>
      <c r="O48" s="13"/>
      <c r="P48" s="13"/>
      <c r="Q48" s="13"/>
      <c r="R48" s="13"/>
      <c r="S48" s="13"/>
      <c r="T48" s="13"/>
      <c r="U48" s="13"/>
      <c r="V48" s="13"/>
      <c r="W48" s="13"/>
      <c r="X48" s="13"/>
      <c r="Y48" s="13"/>
      <c r="Z48" s="13"/>
    </row>
    <row r="49" ht="16.5" customHeight="1">
      <c r="A49" s="184">
        <v>46.0</v>
      </c>
      <c r="B49" s="191" t="s">
        <v>2549</v>
      </c>
      <c r="C49" s="186" t="s">
        <v>2610</v>
      </c>
      <c r="D49" s="187" t="s">
        <v>2611</v>
      </c>
      <c r="E49" s="192" t="s">
        <v>2612</v>
      </c>
      <c r="F49" s="187">
        <v>1.0</v>
      </c>
      <c r="G49" s="187" t="s">
        <v>2613</v>
      </c>
      <c r="H49" s="189">
        <v>45986.0</v>
      </c>
      <c r="I49" s="189" t="s">
        <v>2431</v>
      </c>
      <c r="J49" s="190" t="b">
        <v>0</v>
      </c>
      <c r="K49" s="35"/>
      <c r="L49" s="35"/>
      <c r="M49" s="13"/>
      <c r="N49" s="13"/>
      <c r="O49" s="13"/>
      <c r="P49" s="13"/>
      <c r="Q49" s="13"/>
      <c r="R49" s="13"/>
      <c r="S49" s="13"/>
      <c r="T49" s="13"/>
      <c r="U49" s="13"/>
      <c r="V49" s="13"/>
      <c r="W49" s="13"/>
      <c r="X49" s="13"/>
      <c r="Y49" s="13"/>
      <c r="Z49" s="13"/>
    </row>
    <row r="50" ht="16.5" customHeight="1">
      <c r="A50" s="184">
        <v>47.0</v>
      </c>
      <c r="B50" s="191" t="s">
        <v>2614</v>
      </c>
      <c r="C50" s="186" t="s">
        <v>2615</v>
      </c>
      <c r="D50" s="187" t="s">
        <v>2616</v>
      </c>
      <c r="E50" s="192" t="s">
        <v>2617</v>
      </c>
      <c r="F50" s="187" t="s">
        <v>2618</v>
      </c>
      <c r="G50" s="187" t="s">
        <v>2530</v>
      </c>
      <c r="H50" s="189">
        <v>45986.0</v>
      </c>
      <c r="I50" s="189" t="s">
        <v>2431</v>
      </c>
      <c r="J50" s="190" t="b">
        <v>0</v>
      </c>
      <c r="K50" s="35"/>
      <c r="L50" s="35"/>
      <c r="M50" s="13"/>
      <c r="N50" s="13"/>
      <c r="O50" s="13"/>
      <c r="P50" s="13"/>
      <c r="Q50" s="13"/>
      <c r="R50" s="13"/>
      <c r="S50" s="13"/>
      <c r="T50" s="13"/>
      <c r="U50" s="13"/>
      <c r="V50" s="13"/>
      <c r="W50" s="13"/>
      <c r="X50" s="13"/>
      <c r="Y50" s="13"/>
      <c r="Z50" s="13"/>
    </row>
    <row r="51" ht="16.5" customHeight="1">
      <c r="A51" s="184">
        <v>48.0</v>
      </c>
      <c r="B51" s="191" t="s">
        <v>2426</v>
      </c>
      <c r="C51" s="186" t="s">
        <v>2619</v>
      </c>
      <c r="D51" s="187" t="s">
        <v>2620</v>
      </c>
      <c r="E51" s="192" t="s">
        <v>2621</v>
      </c>
      <c r="F51" s="187" t="s">
        <v>932</v>
      </c>
      <c r="G51" s="187" t="s">
        <v>2622</v>
      </c>
      <c r="H51" s="189">
        <v>45986.0</v>
      </c>
      <c r="I51" s="189" t="s">
        <v>2431</v>
      </c>
      <c r="J51" s="190" t="b">
        <v>0</v>
      </c>
      <c r="K51" s="35"/>
      <c r="L51" s="35"/>
      <c r="M51" s="13"/>
      <c r="N51" s="13"/>
      <c r="O51" s="13"/>
      <c r="P51" s="13"/>
      <c r="Q51" s="13"/>
      <c r="R51" s="13"/>
      <c r="S51" s="13"/>
      <c r="T51" s="13"/>
      <c r="U51" s="13"/>
      <c r="V51" s="13"/>
      <c r="W51" s="13"/>
      <c r="X51" s="13"/>
      <c r="Y51" s="13"/>
      <c r="Z51" s="13"/>
    </row>
    <row r="52" ht="16.5" customHeight="1">
      <c r="A52" s="184">
        <v>49.0</v>
      </c>
      <c r="B52" s="191" t="s">
        <v>2426</v>
      </c>
      <c r="C52" s="186" t="s">
        <v>2623</v>
      </c>
      <c r="D52" s="187" t="s">
        <v>2624</v>
      </c>
      <c r="E52" s="192" t="s">
        <v>2621</v>
      </c>
      <c r="F52" s="187">
        <v>3.0</v>
      </c>
      <c r="G52" s="187" t="s">
        <v>2625</v>
      </c>
      <c r="H52" s="189">
        <v>45986.0</v>
      </c>
      <c r="I52" s="189" t="s">
        <v>2431</v>
      </c>
      <c r="J52" s="190" t="b">
        <v>0</v>
      </c>
      <c r="K52" s="35"/>
      <c r="L52" s="35"/>
      <c r="M52" s="13"/>
      <c r="N52" s="13"/>
      <c r="O52" s="13"/>
      <c r="P52" s="13"/>
      <c r="Q52" s="13"/>
      <c r="R52" s="13"/>
      <c r="S52" s="13"/>
      <c r="T52" s="13"/>
      <c r="U52" s="13"/>
      <c r="V52" s="13"/>
      <c r="W52" s="13"/>
      <c r="X52" s="13"/>
      <c r="Y52" s="13"/>
      <c r="Z52" s="13"/>
    </row>
    <row r="53" ht="16.5" hidden="1" customHeight="1">
      <c r="A53" s="191">
        <v>50.0</v>
      </c>
      <c r="B53" s="191" t="s">
        <v>2426</v>
      </c>
      <c r="C53" s="186" t="s">
        <v>2626</v>
      </c>
      <c r="D53" s="187" t="s">
        <v>2627</v>
      </c>
      <c r="E53" s="187" t="s">
        <v>2628</v>
      </c>
      <c r="F53" s="187" t="s">
        <v>2629</v>
      </c>
      <c r="G53" s="187" t="s">
        <v>2630</v>
      </c>
      <c r="H53" s="189">
        <v>45986.0</v>
      </c>
      <c r="I53" s="189" t="s">
        <v>2437</v>
      </c>
      <c r="J53" s="190" t="b">
        <v>0</v>
      </c>
      <c r="K53" s="35"/>
      <c r="L53" s="35"/>
      <c r="M53" s="13"/>
      <c r="N53" s="13"/>
      <c r="O53" s="13"/>
      <c r="P53" s="13"/>
      <c r="Q53" s="13"/>
      <c r="R53" s="13"/>
      <c r="S53" s="13"/>
      <c r="T53" s="13"/>
      <c r="U53" s="13"/>
      <c r="V53" s="13"/>
      <c r="W53" s="13"/>
      <c r="X53" s="13"/>
      <c r="Y53" s="13"/>
      <c r="Z53" s="13"/>
    </row>
    <row r="54" ht="16.5" customHeight="1">
      <c r="A54" s="184">
        <v>51.0</v>
      </c>
      <c r="B54" s="191" t="s">
        <v>2426</v>
      </c>
      <c r="C54" s="186" t="s">
        <v>2631</v>
      </c>
      <c r="D54" s="197" t="s">
        <v>2632</v>
      </c>
      <c r="E54" s="192" t="s">
        <v>2633</v>
      </c>
      <c r="F54" s="187">
        <v>17.0</v>
      </c>
      <c r="G54" s="187" t="s">
        <v>2634</v>
      </c>
      <c r="H54" s="189">
        <v>45986.0</v>
      </c>
      <c r="I54" s="189" t="s">
        <v>2431</v>
      </c>
      <c r="J54" s="190" t="b">
        <v>0</v>
      </c>
      <c r="K54" s="35"/>
      <c r="L54" s="35"/>
      <c r="M54" s="13"/>
      <c r="N54" s="13"/>
      <c r="O54" s="13"/>
      <c r="P54" s="13"/>
      <c r="Q54" s="13"/>
      <c r="R54" s="13"/>
      <c r="S54" s="13"/>
      <c r="T54" s="13"/>
      <c r="U54" s="13"/>
      <c r="V54" s="13"/>
      <c r="W54" s="13"/>
      <c r="X54" s="13"/>
      <c r="Y54" s="13"/>
      <c r="Z54" s="13"/>
    </row>
    <row r="55" ht="16.5" customHeight="1">
      <c r="A55" s="184">
        <v>52.0</v>
      </c>
      <c r="B55" s="191" t="s">
        <v>2426</v>
      </c>
      <c r="C55" s="186" t="s">
        <v>2635</v>
      </c>
      <c r="D55" s="187" t="s">
        <v>2636</v>
      </c>
      <c r="E55" s="192" t="s">
        <v>2633</v>
      </c>
      <c r="F55" s="187">
        <v>45.0</v>
      </c>
      <c r="G55" s="187" t="s">
        <v>2634</v>
      </c>
      <c r="H55" s="189">
        <v>45986.0</v>
      </c>
      <c r="I55" s="189" t="s">
        <v>2431</v>
      </c>
      <c r="J55" s="190" t="b">
        <v>0</v>
      </c>
      <c r="K55" s="35"/>
      <c r="L55" s="35"/>
      <c r="M55" s="13"/>
      <c r="N55" s="13"/>
      <c r="O55" s="13"/>
      <c r="P55" s="13"/>
      <c r="Q55" s="13"/>
      <c r="R55" s="13"/>
      <c r="S55" s="13"/>
      <c r="T55" s="13"/>
      <c r="U55" s="13"/>
      <c r="V55" s="13"/>
      <c r="W55" s="13"/>
      <c r="X55" s="13"/>
      <c r="Y55" s="13"/>
      <c r="Z55" s="13"/>
    </row>
    <row r="56" ht="16.5" customHeight="1">
      <c r="A56" s="184">
        <v>53.0</v>
      </c>
      <c r="B56" s="191" t="s">
        <v>2426</v>
      </c>
      <c r="C56" s="186" t="s">
        <v>2637</v>
      </c>
      <c r="D56" s="187" t="s">
        <v>2638</v>
      </c>
      <c r="E56" s="192" t="s">
        <v>2633</v>
      </c>
      <c r="F56" s="187" t="s">
        <v>2639</v>
      </c>
      <c r="G56" s="187" t="s">
        <v>2634</v>
      </c>
      <c r="H56" s="189">
        <v>45986.0</v>
      </c>
      <c r="I56" s="189" t="s">
        <v>2431</v>
      </c>
      <c r="J56" s="190" t="b">
        <v>0</v>
      </c>
      <c r="K56" s="35"/>
      <c r="L56" s="35"/>
      <c r="M56" s="13"/>
      <c r="N56" s="13"/>
      <c r="O56" s="13"/>
      <c r="P56" s="13"/>
      <c r="Q56" s="13"/>
      <c r="R56" s="13"/>
      <c r="S56" s="13"/>
      <c r="T56" s="13"/>
      <c r="U56" s="13"/>
      <c r="V56" s="13"/>
      <c r="W56" s="13"/>
      <c r="X56" s="13"/>
      <c r="Y56" s="13"/>
      <c r="Z56" s="13"/>
    </row>
    <row r="57" ht="16.5" hidden="1" customHeight="1">
      <c r="A57" s="191">
        <v>54.0</v>
      </c>
      <c r="B57" s="191" t="s">
        <v>2640</v>
      </c>
      <c r="C57" s="186" t="s">
        <v>2641</v>
      </c>
      <c r="D57" s="187" t="s">
        <v>2642</v>
      </c>
      <c r="E57" s="187" t="s">
        <v>2643</v>
      </c>
      <c r="F57" s="187" t="s">
        <v>2643</v>
      </c>
      <c r="G57" s="198" t="s">
        <v>2644</v>
      </c>
      <c r="H57" s="189">
        <v>45987.0</v>
      </c>
      <c r="I57" s="189" t="s">
        <v>2437</v>
      </c>
      <c r="J57" s="190" t="b">
        <v>0</v>
      </c>
      <c r="K57" s="35"/>
      <c r="L57" s="35"/>
      <c r="M57" s="13"/>
      <c r="N57" s="13"/>
      <c r="O57" s="13"/>
      <c r="P57" s="13"/>
      <c r="Q57" s="13"/>
      <c r="R57" s="13"/>
      <c r="S57" s="13"/>
      <c r="T57" s="13"/>
      <c r="U57" s="13"/>
      <c r="V57" s="13"/>
      <c r="W57" s="13"/>
      <c r="X57" s="13"/>
      <c r="Y57" s="13"/>
      <c r="Z57" s="13"/>
    </row>
    <row r="58" ht="16.5" customHeight="1">
      <c r="A58" s="184">
        <v>55.0</v>
      </c>
      <c r="B58" s="191" t="s">
        <v>2572</v>
      </c>
      <c r="C58" s="186" t="s">
        <v>2645</v>
      </c>
      <c r="D58" s="187" t="s">
        <v>2646</v>
      </c>
      <c r="E58" s="192" t="s">
        <v>2647</v>
      </c>
      <c r="F58" s="187">
        <v>3.0</v>
      </c>
      <c r="G58" s="187" t="s">
        <v>2648</v>
      </c>
      <c r="H58" s="189">
        <v>45987.0</v>
      </c>
      <c r="I58" s="189" t="s">
        <v>2431</v>
      </c>
      <c r="J58" s="190" t="b">
        <v>0</v>
      </c>
      <c r="K58" s="35"/>
      <c r="L58" s="35"/>
      <c r="M58" s="13"/>
      <c r="N58" s="13"/>
      <c r="O58" s="13"/>
      <c r="P58" s="13"/>
      <c r="Q58" s="13"/>
      <c r="R58" s="13"/>
      <c r="S58" s="13"/>
      <c r="T58" s="13"/>
      <c r="U58" s="13"/>
      <c r="V58" s="13"/>
      <c r="W58" s="13"/>
      <c r="X58" s="13"/>
      <c r="Y58" s="13"/>
      <c r="Z58" s="13"/>
    </row>
    <row r="59" ht="16.5" customHeight="1">
      <c r="A59" s="184">
        <v>56.0</v>
      </c>
      <c r="B59" s="191" t="s">
        <v>2572</v>
      </c>
      <c r="C59" s="186" t="s">
        <v>2649</v>
      </c>
      <c r="D59" s="187" t="s">
        <v>2650</v>
      </c>
      <c r="E59" s="192" t="s">
        <v>2647</v>
      </c>
      <c r="F59" s="187">
        <v>5.0</v>
      </c>
      <c r="G59" s="187" t="s">
        <v>2648</v>
      </c>
      <c r="H59" s="189">
        <v>45987.0</v>
      </c>
      <c r="I59" s="189" t="s">
        <v>2431</v>
      </c>
      <c r="J59" s="190" t="b">
        <v>0</v>
      </c>
      <c r="K59" s="35"/>
      <c r="L59" s="35"/>
      <c r="M59" s="13"/>
      <c r="N59" s="13"/>
      <c r="O59" s="13"/>
      <c r="P59" s="13"/>
      <c r="Q59" s="13"/>
      <c r="R59" s="13"/>
      <c r="S59" s="13"/>
      <c r="T59" s="13"/>
      <c r="U59" s="13"/>
      <c r="V59" s="13"/>
      <c r="W59" s="13"/>
      <c r="X59" s="13"/>
      <c r="Y59" s="13"/>
      <c r="Z59" s="13"/>
    </row>
    <row r="60" ht="16.5" customHeight="1">
      <c r="A60" s="184">
        <v>57.0</v>
      </c>
      <c r="B60" s="191" t="s">
        <v>2651</v>
      </c>
      <c r="C60" s="186" t="s">
        <v>2652</v>
      </c>
      <c r="D60" s="187" t="s">
        <v>2653</v>
      </c>
      <c r="E60" s="192" t="s">
        <v>2647</v>
      </c>
      <c r="F60" s="187">
        <v>3.0</v>
      </c>
      <c r="G60" s="187" t="s">
        <v>2648</v>
      </c>
      <c r="H60" s="189">
        <v>45987.0</v>
      </c>
      <c r="I60" s="189" t="s">
        <v>2431</v>
      </c>
      <c r="J60" s="190" t="b">
        <v>0</v>
      </c>
      <c r="K60" s="35"/>
      <c r="L60" s="35"/>
      <c r="M60" s="13"/>
      <c r="N60" s="13"/>
      <c r="O60" s="13"/>
      <c r="P60" s="13"/>
      <c r="Q60" s="13"/>
      <c r="R60" s="13"/>
      <c r="S60" s="13"/>
      <c r="T60" s="13"/>
      <c r="U60" s="13"/>
      <c r="V60" s="13"/>
      <c r="W60" s="13"/>
      <c r="X60" s="13"/>
      <c r="Y60" s="13"/>
      <c r="Z60" s="13"/>
    </row>
    <row r="61" ht="16.5" customHeight="1">
      <c r="A61" s="184">
        <v>58.0</v>
      </c>
      <c r="B61" s="191" t="s">
        <v>2651</v>
      </c>
      <c r="C61" s="186" t="s">
        <v>2654</v>
      </c>
      <c r="D61" s="187" t="s">
        <v>2655</v>
      </c>
      <c r="E61" s="192" t="s">
        <v>2647</v>
      </c>
      <c r="F61" s="187">
        <v>25.0</v>
      </c>
      <c r="G61" s="187" t="s">
        <v>2648</v>
      </c>
      <c r="H61" s="189">
        <v>45987.0</v>
      </c>
      <c r="I61" s="189" t="s">
        <v>2431</v>
      </c>
      <c r="J61" s="190" t="b">
        <v>0</v>
      </c>
      <c r="K61" s="35"/>
      <c r="L61" s="35"/>
      <c r="M61" s="13"/>
      <c r="N61" s="13"/>
      <c r="O61" s="13"/>
      <c r="P61" s="13"/>
      <c r="Q61" s="13"/>
      <c r="R61" s="13"/>
      <c r="S61" s="13"/>
      <c r="T61" s="13"/>
      <c r="U61" s="13"/>
      <c r="V61" s="13"/>
      <c r="W61" s="13"/>
      <c r="X61" s="13"/>
      <c r="Y61" s="13"/>
      <c r="Z61" s="13"/>
    </row>
    <row r="62" ht="16.5" hidden="1" customHeight="1">
      <c r="A62" s="191">
        <v>59.0</v>
      </c>
      <c r="B62" s="199" t="s">
        <v>2426</v>
      </c>
      <c r="C62" s="186" t="s">
        <v>2656</v>
      </c>
      <c r="D62" s="187" t="s">
        <v>2657</v>
      </c>
      <c r="E62" s="187" t="s">
        <v>2658</v>
      </c>
      <c r="F62" s="187" t="s">
        <v>2659</v>
      </c>
      <c r="G62" s="187" t="s">
        <v>2648</v>
      </c>
      <c r="H62" s="189">
        <v>45987.0</v>
      </c>
      <c r="I62" s="189" t="s">
        <v>2437</v>
      </c>
      <c r="J62" s="190" t="b">
        <v>0</v>
      </c>
      <c r="K62" s="35"/>
      <c r="L62" s="35"/>
      <c r="M62" s="13"/>
      <c r="N62" s="13"/>
      <c r="O62" s="13"/>
      <c r="P62" s="13"/>
      <c r="Q62" s="13"/>
      <c r="R62" s="13"/>
      <c r="S62" s="13"/>
      <c r="T62" s="13"/>
      <c r="U62" s="13"/>
      <c r="V62" s="13"/>
      <c r="W62" s="13"/>
      <c r="X62" s="13"/>
      <c r="Y62" s="13"/>
      <c r="Z62" s="13"/>
    </row>
    <row r="63" ht="16.5" customHeight="1">
      <c r="A63" s="184">
        <v>60.0</v>
      </c>
      <c r="B63" s="191" t="s">
        <v>2660</v>
      </c>
      <c r="C63" s="186" t="s">
        <v>2661</v>
      </c>
      <c r="D63" s="187" t="s">
        <v>2662</v>
      </c>
      <c r="E63" s="192" t="s">
        <v>2663</v>
      </c>
      <c r="F63" s="187">
        <v>17.0</v>
      </c>
      <c r="G63" s="187" t="s">
        <v>2530</v>
      </c>
      <c r="H63" s="189">
        <v>45987.0</v>
      </c>
      <c r="I63" s="189" t="s">
        <v>2431</v>
      </c>
      <c r="J63" s="190" t="b">
        <v>0</v>
      </c>
      <c r="K63" s="35"/>
      <c r="L63" s="35"/>
      <c r="M63" s="13"/>
      <c r="N63" s="13"/>
      <c r="O63" s="13"/>
      <c r="P63" s="13"/>
      <c r="Q63" s="13"/>
      <c r="R63" s="13"/>
      <c r="S63" s="13"/>
      <c r="T63" s="13"/>
      <c r="U63" s="13"/>
      <c r="V63" s="13"/>
      <c r="W63" s="13"/>
      <c r="X63" s="13"/>
      <c r="Y63" s="13"/>
      <c r="Z63" s="13"/>
    </row>
    <row r="64" ht="16.5" hidden="1" customHeight="1">
      <c r="A64" s="200">
        <v>61.0</v>
      </c>
      <c r="B64" s="200" t="s">
        <v>2660</v>
      </c>
      <c r="C64" s="201" t="s">
        <v>2664</v>
      </c>
      <c r="D64" s="202" t="s">
        <v>2665</v>
      </c>
      <c r="E64" s="202" t="s">
        <v>2666</v>
      </c>
      <c r="F64" s="202" t="s">
        <v>2667</v>
      </c>
      <c r="G64" s="202" t="s">
        <v>2668</v>
      </c>
      <c r="H64" s="203">
        <v>45987.0</v>
      </c>
      <c r="I64" s="204" t="s">
        <v>2437</v>
      </c>
      <c r="J64" s="190" t="b">
        <v>0</v>
      </c>
      <c r="K64" s="35"/>
      <c r="L64" s="35"/>
      <c r="M64" s="13"/>
      <c r="N64" s="13"/>
      <c r="O64" s="13"/>
      <c r="P64" s="13"/>
      <c r="Q64" s="13"/>
      <c r="R64" s="13"/>
      <c r="S64" s="13"/>
      <c r="T64" s="13"/>
      <c r="U64" s="13"/>
      <c r="V64" s="13"/>
      <c r="W64" s="13"/>
      <c r="X64" s="13"/>
      <c r="Y64" s="13"/>
      <c r="Z64" s="13"/>
    </row>
    <row r="65" ht="16.5" hidden="1" customHeight="1">
      <c r="A65" s="200">
        <v>62.0</v>
      </c>
      <c r="B65" s="200" t="s">
        <v>2489</v>
      </c>
      <c r="C65" s="201" t="s">
        <v>2669</v>
      </c>
      <c r="D65" s="202" t="s">
        <v>2670</v>
      </c>
      <c r="E65" s="202" t="s">
        <v>2671</v>
      </c>
      <c r="F65" s="202" t="s">
        <v>2672</v>
      </c>
      <c r="G65" s="202" t="s">
        <v>2673</v>
      </c>
      <c r="H65" s="203">
        <v>45987.0</v>
      </c>
      <c r="I65" s="204" t="s">
        <v>2437</v>
      </c>
      <c r="J65" s="190" t="b">
        <v>0</v>
      </c>
      <c r="K65" s="35"/>
      <c r="L65" s="35"/>
      <c r="M65" s="13"/>
      <c r="N65" s="13"/>
      <c r="O65" s="13"/>
      <c r="P65" s="13"/>
      <c r="Q65" s="13"/>
      <c r="R65" s="13"/>
      <c r="S65" s="13"/>
      <c r="T65" s="13"/>
      <c r="U65" s="13"/>
      <c r="V65" s="13"/>
      <c r="W65" s="13"/>
      <c r="X65" s="13"/>
      <c r="Y65" s="13"/>
      <c r="Z65" s="13"/>
    </row>
    <row r="66" ht="16.5" customHeight="1">
      <c r="A66" s="205">
        <v>63.0</v>
      </c>
      <c r="B66" s="200" t="s">
        <v>2489</v>
      </c>
      <c r="C66" s="201" t="s">
        <v>2674</v>
      </c>
      <c r="D66" s="202" t="s">
        <v>2675</v>
      </c>
      <c r="E66" s="206" t="s">
        <v>2676</v>
      </c>
      <c r="F66" s="202" t="s">
        <v>2677</v>
      </c>
      <c r="G66" s="202" t="s">
        <v>2678</v>
      </c>
      <c r="H66" s="203">
        <v>45988.0</v>
      </c>
      <c r="I66" s="204" t="s">
        <v>2431</v>
      </c>
      <c r="J66" s="190" t="b">
        <v>0</v>
      </c>
      <c r="K66" s="35"/>
      <c r="L66" s="35"/>
      <c r="M66" s="13"/>
      <c r="N66" s="13"/>
      <c r="O66" s="13"/>
      <c r="P66" s="13"/>
      <c r="Q66" s="13"/>
      <c r="R66" s="13"/>
      <c r="S66" s="13"/>
      <c r="T66" s="13"/>
      <c r="U66" s="13"/>
      <c r="V66" s="13"/>
      <c r="W66" s="13"/>
      <c r="X66" s="13"/>
      <c r="Y66" s="13"/>
      <c r="Z66" s="13"/>
    </row>
    <row r="67" ht="16.5" hidden="1" customHeight="1">
      <c r="A67" s="200">
        <v>64.0</v>
      </c>
      <c r="B67" s="200" t="s">
        <v>2679</v>
      </c>
      <c r="C67" s="201" t="s">
        <v>2680</v>
      </c>
      <c r="D67" s="202" t="s">
        <v>2681</v>
      </c>
      <c r="E67" s="207" t="s">
        <v>2682</v>
      </c>
      <c r="F67" s="202" t="s">
        <v>2683</v>
      </c>
      <c r="G67" s="202" t="s">
        <v>2684</v>
      </c>
      <c r="H67" s="203">
        <v>45989.0</v>
      </c>
      <c r="I67" s="204" t="s">
        <v>2437</v>
      </c>
      <c r="J67" s="190" t="b">
        <v>0</v>
      </c>
      <c r="K67" s="35"/>
      <c r="L67" s="35"/>
      <c r="M67" s="13"/>
      <c r="N67" s="13"/>
      <c r="O67" s="13"/>
      <c r="P67" s="13"/>
      <c r="Q67" s="13"/>
      <c r="R67" s="13"/>
      <c r="S67" s="13"/>
      <c r="T67" s="13"/>
      <c r="U67" s="13"/>
      <c r="V67" s="13"/>
      <c r="W67" s="13"/>
      <c r="X67" s="13"/>
      <c r="Y67" s="13"/>
      <c r="Z67" s="13"/>
    </row>
    <row r="68" ht="16.5" customHeight="1">
      <c r="A68" s="205">
        <v>65.0</v>
      </c>
      <c r="B68" s="200" t="s">
        <v>2685</v>
      </c>
      <c r="C68" s="201" t="s">
        <v>2686</v>
      </c>
      <c r="D68" s="208" t="s">
        <v>2687</v>
      </c>
      <c r="E68" s="206" t="s">
        <v>2688</v>
      </c>
      <c r="F68" s="209"/>
      <c r="G68" s="202" t="s">
        <v>2689</v>
      </c>
      <c r="H68" s="203">
        <v>45989.0</v>
      </c>
      <c r="I68" s="204" t="s">
        <v>2431</v>
      </c>
      <c r="J68" s="190" t="b">
        <v>0</v>
      </c>
      <c r="K68" s="35"/>
      <c r="L68" s="35"/>
      <c r="M68" s="13"/>
      <c r="N68" s="13"/>
      <c r="O68" s="13"/>
      <c r="P68" s="13"/>
      <c r="Q68" s="13"/>
      <c r="R68" s="13"/>
      <c r="S68" s="13"/>
      <c r="T68" s="13"/>
      <c r="U68" s="13"/>
      <c r="V68" s="13"/>
      <c r="W68" s="13"/>
      <c r="X68" s="13"/>
      <c r="Y68" s="13"/>
      <c r="Z68" s="13"/>
    </row>
    <row r="69" ht="16.5" hidden="1" customHeight="1">
      <c r="A69" s="200">
        <v>66.0</v>
      </c>
      <c r="B69" s="200" t="s">
        <v>2690</v>
      </c>
      <c r="C69" s="201" t="s">
        <v>2691</v>
      </c>
      <c r="D69" s="202" t="s">
        <v>2692</v>
      </c>
      <c r="E69" s="207" t="s">
        <v>2693</v>
      </c>
      <c r="F69" s="202" t="s">
        <v>2694</v>
      </c>
      <c r="G69" s="202" t="s">
        <v>2695</v>
      </c>
      <c r="H69" s="203">
        <v>45989.0</v>
      </c>
      <c r="I69" s="204" t="s">
        <v>2437</v>
      </c>
      <c r="J69" s="190" t="b">
        <v>0</v>
      </c>
      <c r="K69" s="35"/>
      <c r="L69" s="35"/>
      <c r="M69" s="13"/>
      <c r="N69" s="13"/>
      <c r="O69" s="13"/>
      <c r="P69" s="13"/>
      <c r="Q69" s="13"/>
      <c r="R69" s="13"/>
      <c r="S69" s="13"/>
      <c r="T69" s="13"/>
      <c r="U69" s="13"/>
      <c r="V69" s="13"/>
      <c r="W69" s="13"/>
      <c r="X69" s="13"/>
      <c r="Y69" s="13"/>
      <c r="Z69" s="13"/>
    </row>
    <row r="70" ht="16.5" hidden="1" customHeight="1">
      <c r="A70" s="200">
        <v>67.0</v>
      </c>
      <c r="B70" s="200" t="s">
        <v>2489</v>
      </c>
      <c r="C70" s="201" t="s">
        <v>2696</v>
      </c>
      <c r="D70" s="202" t="s">
        <v>2697</v>
      </c>
      <c r="E70" s="207" t="s">
        <v>2698</v>
      </c>
      <c r="F70" s="202" t="s">
        <v>2699</v>
      </c>
      <c r="G70" s="202" t="s">
        <v>2700</v>
      </c>
      <c r="H70" s="203">
        <v>45989.0</v>
      </c>
      <c r="I70" s="204" t="s">
        <v>2437</v>
      </c>
      <c r="J70" s="190" t="b">
        <v>0</v>
      </c>
      <c r="K70" s="35"/>
      <c r="L70" s="35"/>
      <c r="M70" s="13"/>
      <c r="N70" s="13"/>
      <c r="O70" s="13"/>
      <c r="P70" s="13"/>
      <c r="Q70" s="13"/>
      <c r="R70" s="13"/>
      <c r="S70" s="13"/>
      <c r="T70" s="13"/>
      <c r="U70" s="13"/>
      <c r="V70" s="13"/>
      <c r="W70" s="13"/>
      <c r="X70" s="13"/>
      <c r="Y70" s="13"/>
      <c r="Z70" s="13"/>
    </row>
    <row r="71" ht="16.5" customHeight="1">
      <c r="A71" s="205">
        <v>68.0</v>
      </c>
      <c r="B71" s="200" t="s">
        <v>2685</v>
      </c>
      <c r="C71" s="201" t="s">
        <v>2701</v>
      </c>
      <c r="D71" s="202" t="s">
        <v>2702</v>
      </c>
      <c r="E71" s="210" t="s">
        <v>2703</v>
      </c>
      <c r="F71" s="202" t="s">
        <v>2704</v>
      </c>
      <c r="G71" s="202" t="s">
        <v>2705</v>
      </c>
      <c r="H71" s="203">
        <v>45989.0</v>
      </c>
      <c r="I71" s="204" t="s">
        <v>2431</v>
      </c>
      <c r="J71" s="190" t="b">
        <v>0</v>
      </c>
      <c r="K71" s="35"/>
      <c r="L71" s="35"/>
      <c r="M71" s="13"/>
      <c r="N71" s="13"/>
      <c r="O71" s="13"/>
      <c r="P71" s="13"/>
      <c r="Q71" s="13"/>
      <c r="R71" s="13"/>
      <c r="S71" s="13"/>
      <c r="T71" s="13"/>
      <c r="U71" s="13"/>
      <c r="V71" s="13"/>
      <c r="W71" s="13"/>
      <c r="X71" s="13"/>
      <c r="Y71" s="13"/>
      <c r="Z71" s="13"/>
    </row>
    <row r="72" ht="16.5" customHeight="1">
      <c r="A72" s="205">
        <v>69.0</v>
      </c>
      <c r="B72" s="200" t="s">
        <v>2706</v>
      </c>
      <c r="C72" s="201" t="s">
        <v>2707</v>
      </c>
      <c r="D72" s="202" t="s">
        <v>2708</v>
      </c>
      <c r="E72" s="206" t="s">
        <v>2709</v>
      </c>
      <c r="F72" s="202" t="s">
        <v>2710</v>
      </c>
      <c r="G72" s="202" t="s">
        <v>2711</v>
      </c>
      <c r="H72" s="203">
        <v>45989.0</v>
      </c>
      <c r="I72" s="204" t="s">
        <v>2431</v>
      </c>
      <c r="J72" s="190" t="b">
        <v>0</v>
      </c>
      <c r="K72" s="35"/>
      <c r="L72" s="35"/>
      <c r="M72" s="13"/>
      <c r="N72" s="13"/>
      <c r="O72" s="13"/>
      <c r="P72" s="13"/>
      <c r="Q72" s="13"/>
      <c r="R72" s="13"/>
      <c r="S72" s="13"/>
      <c r="T72" s="13"/>
      <c r="U72" s="13"/>
      <c r="V72" s="13"/>
      <c r="W72" s="13"/>
      <c r="X72" s="13"/>
      <c r="Y72" s="13"/>
      <c r="Z72" s="13"/>
    </row>
    <row r="73" ht="16.5" customHeight="1">
      <c r="A73" s="205">
        <v>70.0</v>
      </c>
      <c r="B73" s="200" t="s">
        <v>2489</v>
      </c>
      <c r="C73" s="201" t="s">
        <v>2712</v>
      </c>
      <c r="D73" s="202" t="s">
        <v>2713</v>
      </c>
      <c r="E73" s="206" t="s">
        <v>2714</v>
      </c>
      <c r="F73" s="202">
        <v>45.0</v>
      </c>
      <c r="G73" s="202" t="s">
        <v>2530</v>
      </c>
      <c r="H73" s="203">
        <v>45989.0</v>
      </c>
      <c r="I73" s="204" t="s">
        <v>2431</v>
      </c>
      <c r="J73" s="190" t="b">
        <v>0</v>
      </c>
      <c r="K73" s="35"/>
      <c r="L73" s="35"/>
      <c r="M73" s="13"/>
      <c r="N73" s="13"/>
      <c r="O73" s="13"/>
      <c r="P73" s="13"/>
      <c r="Q73" s="13"/>
      <c r="R73" s="13"/>
      <c r="S73" s="13"/>
      <c r="T73" s="13"/>
      <c r="U73" s="13"/>
      <c r="V73" s="13"/>
      <c r="W73" s="13"/>
      <c r="X73" s="13"/>
      <c r="Y73" s="13"/>
      <c r="Z73" s="13"/>
    </row>
    <row r="74" ht="16.5" customHeight="1">
      <c r="A74" s="205">
        <v>71.0</v>
      </c>
      <c r="B74" s="200" t="s">
        <v>2489</v>
      </c>
      <c r="C74" s="201" t="s">
        <v>2715</v>
      </c>
      <c r="D74" s="202" t="s">
        <v>2716</v>
      </c>
      <c r="E74" s="206" t="s">
        <v>2714</v>
      </c>
      <c r="F74" s="202">
        <v>43.0</v>
      </c>
      <c r="G74" s="202" t="s">
        <v>2530</v>
      </c>
      <c r="H74" s="203">
        <v>45989.0</v>
      </c>
      <c r="I74" s="204" t="s">
        <v>2431</v>
      </c>
      <c r="J74" s="190" t="b">
        <v>0</v>
      </c>
      <c r="K74" s="35"/>
      <c r="L74" s="35"/>
      <c r="M74" s="13"/>
      <c r="N74" s="13"/>
      <c r="O74" s="13"/>
      <c r="P74" s="13"/>
      <c r="Q74" s="13"/>
      <c r="R74" s="13"/>
      <c r="S74" s="13"/>
      <c r="T74" s="13"/>
      <c r="U74" s="13"/>
      <c r="V74" s="13"/>
      <c r="W74" s="13"/>
      <c r="X74" s="13"/>
      <c r="Y74" s="13"/>
      <c r="Z74" s="13"/>
    </row>
    <row r="75" ht="16.5" customHeight="1">
      <c r="A75" s="205">
        <v>72.0</v>
      </c>
      <c r="B75" s="200" t="s">
        <v>2489</v>
      </c>
      <c r="C75" s="201" t="s">
        <v>2717</v>
      </c>
      <c r="D75" s="202" t="s">
        <v>2718</v>
      </c>
      <c r="E75" s="206" t="s">
        <v>2714</v>
      </c>
      <c r="F75" s="202">
        <v>47.0</v>
      </c>
      <c r="G75" s="202" t="s">
        <v>2530</v>
      </c>
      <c r="H75" s="203">
        <v>45989.0</v>
      </c>
      <c r="I75" s="204" t="s">
        <v>2431</v>
      </c>
      <c r="J75" s="190" t="b">
        <v>0</v>
      </c>
      <c r="K75" s="35"/>
      <c r="L75" s="35"/>
      <c r="M75" s="13"/>
      <c r="N75" s="13"/>
      <c r="O75" s="13"/>
      <c r="P75" s="13"/>
      <c r="Q75" s="13"/>
      <c r="R75" s="13"/>
      <c r="S75" s="13"/>
      <c r="T75" s="13"/>
      <c r="U75" s="13"/>
      <c r="V75" s="13"/>
      <c r="W75" s="13"/>
      <c r="X75" s="13"/>
      <c r="Y75" s="13"/>
      <c r="Z75" s="13"/>
    </row>
    <row r="76" ht="16.5" customHeight="1">
      <c r="A76" s="205">
        <v>73.0</v>
      </c>
      <c r="B76" s="200" t="s">
        <v>2489</v>
      </c>
      <c r="C76" s="201" t="s">
        <v>2719</v>
      </c>
      <c r="D76" s="202" t="s">
        <v>2720</v>
      </c>
      <c r="E76" s="206" t="s">
        <v>2714</v>
      </c>
      <c r="F76" s="202">
        <v>49.0</v>
      </c>
      <c r="G76" s="202" t="s">
        <v>2530</v>
      </c>
      <c r="H76" s="203">
        <v>45989.0</v>
      </c>
      <c r="I76" s="204" t="s">
        <v>2431</v>
      </c>
      <c r="J76" s="190" t="b">
        <v>0</v>
      </c>
      <c r="K76" s="35"/>
      <c r="L76" s="35"/>
      <c r="M76" s="13"/>
      <c r="N76" s="13"/>
      <c r="O76" s="13"/>
      <c r="P76" s="13"/>
      <c r="Q76" s="13"/>
      <c r="R76" s="13"/>
      <c r="S76" s="13"/>
      <c r="T76" s="13"/>
      <c r="U76" s="13"/>
      <c r="V76" s="13"/>
      <c r="W76" s="13"/>
      <c r="X76" s="13"/>
      <c r="Y76" s="13"/>
      <c r="Z76" s="13"/>
    </row>
    <row r="77" ht="16.5" customHeight="1">
      <c r="A77" s="205">
        <v>74.0</v>
      </c>
      <c r="B77" s="200" t="s">
        <v>2489</v>
      </c>
      <c r="C77" s="201" t="s">
        <v>2721</v>
      </c>
      <c r="D77" s="202" t="s">
        <v>2722</v>
      </c>
      <c r="E77" s="206" t="s">
        <v>2714</v>
      </c>
      <c r="F77" s="202">
        <v>56.0</v>
      </c>
      <c r="G77" s="202" t="s">
        <v>2530</v>
      </c>
      <c r="H77" s="203">
        <v>45989.0</v>
      </c>
      <c r="I77" s="204" t="s">
        <v>2431</v>
      </c>
      <c r="J77" s="190" t="b">
        <v>0</v>
      </c>
      <c r="K77" s="35"/>
      <c r="L77" s="35"/>
      <c r="M77" s="13"/>
      <c r="N77" s="13"/>
      <c r="O77" s="13"/>
      <c r="P77" s="13"/>
      <c r="Q77" s="13"/>
      <c r="R77" s="13"/>
      <c r="S77" s="13"/>
      <c r="T77" s="13"/>
      <c r="U77" s="13"/>
      <c r="V77" s="13"/>
      <c r="W77" s="13"/>
      <c r="X77" s="13"/>
      <c r="Y77" s="13"/>
      <c r="Z77" s="13"/>
    </row>
    <row r="78" ht="16.5" customHeight="1">
      <c r="A78" s="205">
        <v>75.0</v>
      </c>
      <c r="B78" s="200" t="s">
        <v>2489</v>
      </c>
      <c r="C78" s="201" t="s">
        <v>2723</v>
      </c>
      <c r="D78" s="202" t="s">
        <v>2724</v>
      </c>
      <c r="E78" s="206" t="s">
        <v>2714</v>
      </c>
      <c r="F78" s="202">
        <v>58.0</v>
      </c>
      <c r="G78" s="202" t="s">
        <v>2530</v>
      </c>
      <c r="H78" s="203">
        <v>45989.0</v>
      </c>
      <c r="I78" s="204" t="s">
        <v>2431</v>
      </c>
      <c r="J78" s="190" t="b">
        <v>0</v>
      </c>
      <c r="K78" s="35"/>
      <c r="L78" s="35"/>
      <c r="M78" s="13"/>
      <c r="N78" s="13"/>
      <c r="O78" s="13"/>
      <c r="P78" s="13"/>
      <c r="Q78" s="13"/>
      <c r="R78" s="13"/>
      <c r="S78" s="13"/>
      <c r="T78" s="13"/>
      <c r="U78" s="13"/>
      <c r="V78" s="13"/>
      <c r="W78" s="13"/>
      <c r="X78" s="13"/>
      <c r="Y78" s="13"/>
      <c r="Z78" s="13"/>
    </row>
    <row r="79" ht="16.5" customHeight="1">
      <c r="A79" s="205">
        <v>76.0</v>
      </c>
      <c r="B79" s="200" t="s">
        <v>2660</v>
      </c>
      <c r="C79" s="201" t="s">
        <v>2725</v>
      </c>
      <c r="D79" s="202" t="s">
        <v>2726</v>
      </c>
      <c r="E79" s="206" t="s">
        <v>2727</v>
      </c>
      <c r="F79" s="202" t="s">
        <v>2728</v>
      </c>
      <c r="G79" s="202" t="s">
        <v>2729</v>
      </c>
      <c r="H79" s="203">
        <v>45989.0</v>
      </c>
      <c r="I79" s="204" t="s">
        <v>2431</v>
      </c>
      <c r="J79" s="190" t="b">
        <v>0</v>
      </c>
      <c r="K79" s="35"/>
      <c r="L79" s="35"/>
      <c r="M79" s="13"/>
      <c r="N79" s="13"/>
      <c r="O79" s="13"/>
      <c r="P79" s="13"/>
      <c r="Q79" s="13"/>
      <c r="R79" s="13"/>
      <c r="S79" s="13"/>
      <c r="T79" s="13"/>
      <c r="U79" s="13"/>
      <c r="V79" s="13"/>
      <c r="W79" s="13"/>
      <c r="X79" s="13"/>
      <c r="Y79" s="13"/>
      <c r="Z79" s="13"/>
    </row>
    <row r="80" ht="16.5" hidden="1" customHeight="1">
      <c r="A80" s="200">
        <v>77.0</v>
      </c>
      <c r="B80" s="200" t="s">
        <v>2549</v>
      </c>
      <c r="C80" s="201" t="s">
        <v>2730</v>
      </c>
      <c r="D80" s="202" t="s">
        <v>2731</v>
      </c>
      <c r="E80" s="202" t="s">
        <v>2732</v>
      </c>
      <c r="F80" s="202" t="s">
        <v>2728</v>
      </c>
      <c r="G80" s="202" t="s">
        <v>2733</v>
      </c>
      <c r="H80" s="203">
        <v>45989.0</v>
      </c>
      <c r="I80" s="204" t="s">
        <v>2437</v>
      </c>
      <c r="J80" s="190" t="b">
        <v>0</v>
      </c>
      <c r="K80" s="35"/>
      <c r="L80" s="35"/>
      <c r="M80" s="13"/>
      <c r="N80" s="13"/>
      <c r="O80" s="13"/>
      <c r="P80" s="13"/>
      <c r="Q80" s="13"/>
      <c r="R80" s="13"/>
      <c r="S80" s="13"/>
      <c r="T80" s="13"/>
      <c r="U80" s="13"/>
      <c r="V80" s="13"/>
      <c r="W80" s="13"/>
      <c r="X80" s="13"/>
      <c r="Y80" s="13"/>
      <c r="Z80" s="13"/>
    </row>
    <row r="81" ht="16.5" customHeight="1">
      <c r="A81" s="205">
        <v>78.0</v>
      </c>
      <c r="B81" s="200" t="s">
        <v>2660</v>
      </c>
      <c r="C81" s="201" t="s">
        <v>2734</v>
      </c>
      <c r="D81" s="202" t="s">
        <v>2735</v>
      </c>
      <c r="E81" s="206" t="s">
        <v>2727</v>
      </c>
      <c r="F81" s="202">
        <v>4.0</v>
      </c>
      <c r="G81" s="202" t="s">
        <v>2736</v>
      </c>
      <c r="H81" s="203">
        <v>45992.0</v>
      </c>
      <c r="I81" s="204" t="s">
        <v>2431</v>
      </c>
      <c r="J81" s="190" t="b">
        <v>0</v>
      </c>
      <c r="K81" s="35"/>
      <c r="L81" s="35"/>
      <c r="M81" s="13"/>
      <c r="N81" s="13"/>
      <c r="O81" s="13"/>
      <c r="P81" s="13"/>
      <c r="Q81" s="13"/>
      <c r="R81" s="13"/>
      <c r="S81" s="13"/>
      <c r="T81" s="13"/>
      <c r="U81" s="13"/>
      <c r="V81" s="13"/>
      <c r="W81" s="13"/>
      <c r="X81" s="13"/>
      <c r="Y81" s="13"/>
      <c r="Z81" s="13"/>
    </row>
    <row r="82" ht="16.5" customHeight="1">
      <c r="A82" s="205">
        <v>79.0</v>
      </c>
      <c r="B82" s="200" t="s">
        <v>2549</v>
      </c>
      <c r="C82" s="201" t="s">
        <v>2737</v>
      </c>
      <c r="D82" s="202" t="s">
        <v>2738</v>
      </c>
      <c r="E82" s="206" t="s">
        <v>2739</v>
      </c>
      <c r="F82" s="209"/>
      <c r="G82" s="202" t="s">
        <v>2740</v>
      </c>
      <c r="H82" s="203">
        <v>45992.0</v>
      </c>
      <c r="I82" s="204" t="s">
        <v>2431</v>
      </c>
      <c r="J82" s="190" t="b">
        <v>0</v>
      </c>
      <c r="K82" s="35"/>
      <c r="L82" s="35"/>
      <c r="M82" s="13"/>
      <c r="N82" s="13"/>
      <c r="O82" s="13"/>
      <c r="P82" s="13"/>
      <c r="Q82" s="13"/>
      <c r="R82" s="13"/>
      <c r="S82" s="13"/>
      <c r="T82" s="13"/>
      <c r="U82" s="13"/>
      <c r="V82" s="13"/>
      <c r="W82" s="13"/>
      <c r="X82" s="13"/>
      <c r="Y82" s="13"/>
      <c r="Z82" s="13"/>
    </row>
    <row r="83" ht="16.5" customHeight="1">
      <c r="A83" s="205">
        <v>80.0</v>
      </c>
      <c r="B83" s="200" t="s">
        <v>2741</v>
      </c>
      <c r="C83" s="201" t="s">
        <v>2742</v>
      </c>
      <c r="D83" s="202" t="s">
        <v>2743</v>
      </c>
      <c r="E83" s="206" t="s">
        <v>2744</v>
      </c>
      <c r="F83" s="202">
        <v>6.0</v>
      </c>
      <c r="G83" s="202" t="s">
        <v>2745</v>
      </c>
      <c r="H83" s="203">
        <v>45993.0</v>
      </c>
      <c r="I83" s="204" t="s">
        <v>2431</v>
      </c>
      <c r="J83" s="190" t="b">
        <v>0</v>
      </c>
      <c r="K83" s="35"/>
      <c r="L83" s="35"/>
      <c r="M83" s="13"/>
      <c r="N83" s="13"/>
      <c r="O83" s="13"/>
      <c r="P83" s="13"/>
      <c r="Q83" s="13"/>
      <c r="R83" s="13"/>
      <c r="S83" s="13"/>
      <c r="T83" s="13"/>
      <c r="U83" s="13"/>
      <c r="V83" s="13"/>
      <c r="W83" s="13"/>
      <c r="X83" s="13"/>
      <c r="Y83" s="13"/>
      <c r="Z83" s="13"/>
    </row>
    <row r="84" ht="16.5" customHeight="1">
      <c r="A84" s="205">
        <v>81.0</v>
      </c>
      <c r="B84" s="200" t="s">
        <v>2741</v>
      </c>
      <c r="C84" s="201" t="s">
        <v>2746</v>
      </c>
      <c r="D84" s="202" t="s">
        <v>2747</v>
      </c>
      <c r="E84" s="210" t="s">
        <v>2748</v>
      </c>
      <c r="F84" s="209"/>
      <c r="G84" s="202" t="s">
        <v>2749</v>
      </c>
      <c r="H84" s="203">
        <v>45993.0</v>
      </c>
      <c r="I84" s="204" t="s">
        <v>2431</v>
      </c>
      <c r="J84" s="190" t="b">
        <v>0</v>
      </c>
      <c r="K84" s="35"/>
      <c r="L84" s="35"/>
      <c r="M84" s="13"/>
      <c r="N84" s="13"/>
      <c r="O84" s="13"/>
      <c r="P84" s="13"/>
      <c r="Q84" s="13"/>
      <c r="R84" s="13"/>
      <c r="S84" s="13"/>
      <c r="T84" s="13"/>
      <c r="U84" s="13"/>
      <c r="V84" s="13"/>
      <c r="W84" s="13"/>
      <c r="X84" s="13"/>
      <c r="Y84" s="13"/>
      <c r="Z84" s="13"/>
    </row>
    <row r="85" ht="16.5" customHeight="1">
      <c r="A85" s="205">
        <v>82.0</v>
      </c>
      <c r="B85" s="200" t="s">
        <v>2640</v>
      </c>
      <c r="C85" s="201" t="s">
        <v>2750</v>
      </c>
      <c r="D85" s="208" t="s">
        <v>2751</v>
      </c>
      <c r="E85" s="206" t="s">
        <v>2752</v>
      </c>
      <c r="F85" s="210" t="s">
        <v>2753</v>
      </c>
      <c r="G85" s="202" t="s">
        <v>2754</v>
      </c>
      <c r="H85" s="203">
        <v>45993.0</v>
      </c>
      <c r="I85" s="204" t="s">
        <v>2431</v>
      </c>
      <c r="J85" s="190" t="b">
        <v>0</v>
      </c>
      <c r="K85" s="35"/>
      <c r="L85" s="35"/>
      <c r="M85" s="13"/>
      <c r="N85" s="13"/>
      <c r="O85" s="13"/>
      <c r="P85" s="13"/>
      <c r="Q85" s="13"/>
      <c r="R85" s="13"/>
      <c r="S85" s="13"/>
      <c r="T85" s="13"/>
      <c r="U85" s="13"/>
      <c r="V85" s="13"/>
      <c r="W85" s="13"/>
      <c r="X85" s="13"/>
      <c r="Y85" s="13"/>
      <c r="Z85" s="13"/>
    </row>
    <row r="86" ht="16.5" customHeight="1">
      <c r="A86" s="205">
        <v>83.0</v>
      </c>
      <c r="B86" s="200" t="s">
        <v>2640</v>
      </c>
      <c r="C86" s="201" t="s">
        <v>2755</v>
      </c>
      <c r="D86" s="208" t="s">
        <v>2756</v>
      </c>
      <c r="E86" s="206" t="s">
        <v>2757</v>
      </c>
      <c r="F86" s="210" t="s">
        <v>2758</v>
      </c>
      <c r="G86" s="202" t="s">
        <v>2754</v>
      </c>
      <c r="H86" s="203">
        <v>45993.0</v>
      </c>
      <c r="I86" s="204" t="s">
        <v>2431</v>
      </c>
      <c r="J86" s="190" t="b">
        <v>0</v>
      </c>
      <c r="K86" s="35"/>
      <c r="L86" s="35"/>
      <c r="M86" s="13"/>
      <c r="N86" s="13"/>
      <c r="O86" s="13"/>
      <c r="P86" s="13"/>
      <c r="Q86" s="13"/>
      <c r="R86" s="13"/>
      <c r="S86" s="13"/>
      <c r="T86" s="13"/>
      <c r="U86" s="13"/>
      <c r="V86" s="13"/>
      <c r="W86" s="13"/>
      <c r="X86" s="13"/>
      <c r="Y86" s="13"/>
      <c r="Z86" s="13"/>
    </row>
    <row r="87" ht="16.5" customHeight="1">
      <c r="A87" s="205">
        <v>84.0</v>
      </c>
      <c r="B87" s="200" t="s">
        <v>2426</v>
      </c>
      <c r="C87" s="201" t="s">
        <v>2759</v>
      </c>
      <c r="D87" s="208" t="s">
        <v>2760</v>
      </c>
      <c r="E87" s="206" t="s">
        <v>2761</v>
      </c>
      <c r="F87" s="202" t="s">
        <v>2762</v>
      </c>
      <c r="G87" s="202" t="s">
        <v>2763</v>
      </c>
      <c r="H87" s="203">
        <v>45993.0</v>
      </c>
      <c r="I87" s="204" t="s">
        <v>2431</v>
      </c>
      <c r="J87" s="190" t="b">
        <v>0</v>
      </c>
      <c r="K87" s="35"/>
      <c r="L87" s="35"/>
      <c r="M87" s="13"/>
      <c r="N87" s="13"/>
      <c r="O87" s="13"/>
      <c r="P87" s="13"/>
      <c r="Q87" s="13"/>
      <c r="R87" s="13"/>
      <c r="S87" s="13"/>
      <c r="T87" s="13"/>
      <c r="U87" s="13"/>
      <c r="V87" s="13"/>
      <c r="W87" s="13"/>
      <c r="X87" s="13"/>
      <c r="Y87" s="13"/>
      <c r="Z87" s="13"/>
    </row>
    <row r="88" ht="16.5" customHeight="1">
      <c r="A88" s="205">
        <v>85.0</v>
      </c>
      <c r="B88" s="200" t="s">
        <v>2508</v>
      </c>
      <c r="C88" s="201" t="s">
        <v>2764</v>
      </c>
      <c r="D88" s="208" t="s">
        <v>2765</v>
      </c>
      <c r="E88" s="211" t="s">
        <v>2766</v>
      </c>
      <c r="F88" s="212" t="s">
        <v>2767</v>
      </c>
      <c r="G88" s="212" t="s">
        <v>2768</v>
      </c>
      <c r="H88" s="203">
        <v>45993.0</v>
      </c>
      <c r="I88" s="204" t="s">
        <v>2431</v>
      </c>
      <c r="J88" s="190" t="b">
        <v>0</v>
      </c>
      <c r="K88" s="35"/>
      <c r="L88" s="35"/>
      <c r="M88" s="13"/>
      <c r="N88" s="13"/>
      <c r="O88" s="13"/>
      <c r="P88" s="13"/>
      <c r="Q88" s="13"/>
      <c r="R88" s="13"/>
      <c r="S88" s="13"/>
      <c r="T88" s="13"/>
      <c r="U88" s="13"/>
      <c r="V88" s="13"/>
      <c r="W88" s="13"/>
      <c r="X88" s="13"/>
      <c r="Y88" s="13"/>
      <c r="Z88" s="13"/>
    </row>
    <row r="89" ht="16.5" customHeight="1">
      <c r="A89" s="205">
        <v>86.0</v>
      </c>
      <c r="B89" s="200" t="s">
        <v>2461</v>
      </c>
      <c r="C89" s="201" t="s">
        <v>2769</v>
      </c>
      <c r="D89" s="202" t="s">
        <v>2770</v>
      </c>
      <c r="E89" s="206" t="s">
        <v>2771</v>
      </c>
      <c r="F89" s="202">
        <v>1.0</v>
      </c>
      <c r="G89" s="202" t="s">
        <v>2772</v>
      </c>
      <c r="H89" s="203">
        <v>45993.0</v>
      </c>
      <c r="I89" s="204" t="s">
        <v>2431</v>
      </c>
      <c r="J89" s="190" t="b">
        <v>0</v>
      </c>
      <c r="K89" s="35"/>
      <c r="L89" s="35"/>
      <c r="M89" s="13"/>
      <c r="N89" s="13"/>
      <c r="O89" s="13"/>
      <c r="P89" s="13"/>
      <c r="Q89" s="13"/>
      <c r="R89" s="13"/>
      <c r="S89" s="13"/>
      <c r="T89" s="13"/>
      <c r="U89" s="13"/>
      <c r="V89" s="13"/>
      <c r="W89" s="13"/>
      <c r="X89" s="13"/>
      <c r="Y89" s="13"/>
      <c r="Z89" s="13"/>
    </row>
    <row r="90" ht="16.5" customHeight="1">
      <c r="A90" s="205">
        <v>87.0</v>
      </c>
      <c r="B90" s="200" t="s">
        <v>2461</v>
      </c>
      <c r="C90" s="201" t="s">
        <v>2773</v>
      </c>
      <c r="D90" s="202" t="s">
        <v>2774</v>
      </c>
      <c r="E90" s="206" t="s">
        <v>2775</v>
      </c>
      <c r="F90" s="202">
        <v>1.0</v>
      </c>
      <c r="G90" s="202" t="s">
        <v>2776</v>
      </c>
      <c r="H90" s="203">
        <v>45993.0</v>
      </c>
      <c r="I90" s="204" t="s">
        <v>2431</v>
      </c>
      <c r="J90" s="190" t="b">
        <v>0</v>
      </c>
      <c r="K90" s="35"/>
      <c r="L90" s="35"/>
      <c r="M90" s="13"/>
      <c r="N90" s="13"/>
      <c r="O90" s="13"/>
      <c r="P90" s="13"/>
      <c r="Q90" s="13"/>
      <c r="R90" s="13"/>
      <c r="S90" s="13"/>
      <c r="T90" s="13"/>
      <c r="U90" s="13"/>
      <c r="V90" s="13"/>
      <c r="W90" s="13"/>
      <c r="X90" s="13"/>
      <c r="Y90" s="13"/>
      <c r="Z90" s="13"/>
    </row>
    <row r="91" ht="16.5" customHeight="1">
      <c r="A91" s="205">
        <v>88.0</v>
      </c>
      <c r="B91" s="200" t="s">
        <v>2489</v>
      </c>
      <c r="C91" s="213" t="s">
        <v>2777</v>
      </c>
      <c r="D91" s="202" t="s">
        <v>2778</v>
      </c>
      <c r="E91" s="206" t="s">
        <v>2779</v>
      </c>
      <c r="F91" s="202">
        <v>17.0</v>
      </c>
      <c r="G91" s="202" t="s">
        <v>2780</v>
      </c>
      <c r="H91" s="203">
        <v>45993.0</v>
      </c>
      <c r="I91" s="204" t="s">
        <v>2431</v>
      </c>
      <c r="J91" s="190" t="b">
        <v>0</v>
      </c>
      <c r="K91" s="35"/>
      <c r="L91" s="35"/>
      <c r="M91" s="13"/>
      <c r="N91" s="13"/>
      <c r="O91" s="13"/>
      <c r="P91" s="13"/>
      <c r="Q91" s="13"/>
      <c r="R91" s="13"/>
      <c r="S91" s="13"/>
      <c r="T91" s="13"/>
      <c r="U91" s="13"/>
      <c r="V91" s="13"/>
      <c r="W91" s="13"/>
      <c r="X91" s="13"/>
      <c r="Y91" s="13"/>
      <c r="Z91" s="13"/>
    </row>
    <row r="92" ht="16.5" customHeight="1">
      <c r="A92" s="205">
        <v>89.0</v>
      </c>
      <c r="B92" s="200" t="s">
        <v>2489</v>
      </c>
      <c r="C92" s="201" t="s">
        <v>2781</v>
      </c>
      <c r="D92" s="202" t="s">
        <v>2782</v>
      </c>
      <c r="E92" s="206" t="s">
        <v>2779</v>
      </c>
      <c r="F92" s="202">
        <v>25.0</v>
      </c>
      <c r="G92" s="202" t="s">
        <v>2780</v>
      </c>
      <c r="H92" s="203">
        <v>45993.0</v>
      </c>
      <c r="I92" s="204" t="s">
        <v>2431</v>
      </c>
      <c r="J92" s="190" t="b">
        <v>0</v>
      </c>
      <c r="K92" s="35"/>
      <c r="L92" s="35"/>
      <c r="M92" s="13"/>
      <c r="N92" s="13"/>
      <c r="O92" s="13"/>
      <c r="P92" s="13"/>
      <c r="Q92" s="13"/>
      <c r="R92" s="13"/>
      <c r="S92" s="13"/>
      <c r="T92" s="13"/>
      <c r="U92" s="13"/>
      <c r="V92" s="13"/>
      <c r="W92" s="13"/>
      <c r="X92" s="13"/>
      <c r="Y92" s="13"/>
      <c r="Z92" s="13"/>
    </row>
    <row r="93" ht="16.5" customHeight="1">
      <c r="A93" s="205">
        <v>90.0</v>
      </c>
      <c r="B93" s="200" t="s">
        <v>2489</v>
      </c>
      <c r="C93" s="201" t="s">
        <v>2783</v>
      </c>
      <c r="D93" s="202" t="s">
        <v>2784</v>
      </c>
      <c r="E93" s="214"/>
      <c r="F93" s="202">
        <v>26.0</v>
      </c>
      <c r="G93" s="202" t="s">
        <v>2780</v>
      </c>
      <c r="H93" s="203">
        <v>45993.0</v>
      </c>
      <c r="I93" s="204" t="s">
        <v>2431</v>
      </c>
      <c r="J93" s="190" t="b">
        <v>0</v>
      </c>
      <c r="K93" s="35"/>
      <c r="L93" s="35"/>
      <c r="M93" s="13"/>
      <c r="N93" s="13"/>
      <c r="O93" s="13"/>
      <c r="P93" s="13"/>
      <c r="Q93" s="13"/>
      <c r="R93" s="13"/>
      <c r="S93" s="13"/>
      <c r="T93" s="13"/>
      <c r="U93" s="13"/>
      <c r="V93" s="13"/>
      <c r="W93" s="13"/>
      <c r="X93" s="13"/>
      <c r="Y93" s="13"/>
      <c r="Z93" s="13"/>
    </row>
    <row r="94" ht="16.5" customHeight="1">
      <c r="A94" s="205">
        <v>91.0</v>
      </c>
      <c r="B94" s="200" t="s">
        <v>2489</v>
      </c>
      <c r="C94" s="201" t="s">
        <v>2785</v>
      </c>
      <c r="D94" s="202" t="s">
        <v>2786</v>
      </c>
      <c r="E94" s="206" t="s">
        <v>2779</v>
      </c>
      <c r="F94" s="202">
        <v>27.0</v>
      </c>
      <c r="G94" s="202" t="s">
        <v>2780</v>
      </c>
      <c r="H94" s="203">
        <v>45993.0</v>
      </c>
      <c r="I94" s="204" t="s">
        <v>2431</v>
      </c>
      <c r="J94" s="190" t="b">
        <v>0</v>
      </c>
      <c r="K94" s="35"/>
      <c r="L94" s="35"/>
      <c r="M94" s="13"/>
      <c r="N94" s="13"/>
      <c r="O94" s="13"/>
      <c r="P94" s="13"/>
      <c r="Q94" s="13"/>
      <c r="R94" s="13"/>
      <c r="S94" s="13"/>
      <c r="T94" s="13"/>
      <c r="U94" s="13"/>
      <c r="V94" s="13"/>
      <c r="W94" s="13"/>
      <c r="X94" s="13"/>
      <c r="Y94" s="13"/>
      <c r="Z94" s="13"/>
    </row>
    <row r="95" ht="16.5" customHeight="1">
      <c r="A95" s="205">
        <v>92.0</v>
      </c>
      <c r="B95" s="200" t="s">
        <v>2489</v>
      </c>
      <c r="C95" s="201" t="s">
        <v>2787</v>
      </c>
      <c r="D95" s="202" t="s">
        <v>2788</v>
      </c>
      <c r="E95" s="206" t="s">
        <v>2779</v>
      </c>
      <c r="F95" s="202">
        <v>30.0</v>
      </c>
      <c r="G95" s="202" t="s">
        <v>2780</v>
      </c>
      <c r="H95" s="203">
        <v>45993.0</v>
      </c>
      <c r="I95" s="204" t="s">
        <v>2431</v>
      </c>
      <c r="J95" s="190" t="b">
        <v>0</v>
      </c>
      <c r="K95" s="35"/>
      <c r="L95" s="35"/>
      <c r="M95" s="13"/>
      <c r="N95" s="13"/>
      <c r="O95" s="13"/>
      <c r="P95" s="13"/>
      <c r="Q95" s="13"/>
      <c r="R95" s="13"/>
      <c r="S95" s="13"/>
      <c r="T95" s="13"/>
      <c r="U95" s="13"/>
      <c r="V95" s="13"/>
      <c r="W95" s="13"/>
      <c r="X95" s="13"/>
      <c r="Y95" s="13"/>
      <c r="Z95" s="13"/>
    </row>
    <row r="96" ht="16.5" customHeight="1">
      <c r="A96" s="205">
        <v>93.0</v>
      </c>
      <c r="B96" s="200" t="s">
        <v>2489</v>
      </c>
      <c r="C96" s="201" t="s">
        <v>2789</v>
      </c>
      <c r="D96" s="202" t="s">
        <v>2790</v>
      </c>
      <c r="E96" s="206" t="s">
        <v>2779</v>
      </c>
      <c r="F96" s="202">
        <v>52.0</v>
      </c>
      <c r="G96" s="202" t="s">
        <v>2780</v>
      </c>
      <c r="H96" s="203">
        <v>45993.0</v>
      </c>
      <c r="I96" s="204" t="s">
        <v>2431</v>
      </c>
      <c r="J96" s="190" t="b">
        <v>0</v>
      </c>
      <c r="K96" s="35"/>
      <c r="L96" s="35"/>
      <c r="M96" s="13"/>
      <c r="N96" s="13"/>
      <c r="O96" s="13"/>
      <c r="P96" s="13"/>
      <c r="Q96" s="13"/>
      <c r="R96" s="13"/>
      <c r="S96" s="13"/>
      <c r="T96" s="13"/>
      <c r="U96" s="13"/>
      <c r="V96" s="13"/>
      <c r="W96" s="13"/>
      <c r="X96" s="13"/>
      <c r="Y96" s="13"/>
      <c r="Z96" s="13"/>
    </row>
    <row r="97" ht="16.5" hidden="1" customHeight="1">
      <c r="A97" s="200">
        <v>94.0</v>
      </c>
      <c r="B97" s="200" t="s">
        <v>2438</v>
      </c>
      <c r="C97" s="201" t="s">
        <v>2791</v>
      </c>
      <c r="D97" s="202" t="s">
        <v>2792</v>
      </c>
      <c r="E97" s="202" t="s">
        <v>2793</v>
      </c>
      <c r="F97" s="202" t="s">
        <v>2794</v>
      </c>
      <c r="G97" s="202" t="s">
        <v>2795</v>
      </c>
      <c r="H97" s="203">
        <v>45993.0</v>
      </c>
      <c r="I97" s="204" t="s">
        <v>2437</v>
      </c>
      <c r="J97" s="190" t="b">
        <v>0</v>
      </c>
      <c r="K97" s="35"/>
      <c r="L97" s="35"/>
      <c r="M97" s="13"/>
      <c r="N97" s="13"/>
      <c r="O97" s="13"/>
      <c r="P97" s="13"/>
      <c r="Q97" s="13"/>
      <c r="R97" s="13"/>
      <c r="S97" s="13"/>
      <c r="T97" s="13"/>
      <c r="U97" s="13"/>
      <c r="V97" s="13"/>
      <c r="W97" s="13"/>
      <c r="X97" s="13"/>
      <c r="Y97" s="13"/>
      <c r="Z97" s="13"/>
    </row>
    <row r="98" ht="16.5" hidden="1" customHeight="1">
      <c r="A98" s="200">
        <v>95.0</v>
      </c>
      <c r="B98" s="200" t="s">
        <v>2640</v>
      </c>
      <c r="C98" s="201" t="s">
        <v>2796</v>
      </c>
      <c r="D98" s="202" t="s">
        <v>2797</v>
      </c>
      <c r="E98" s="202" t="s">
        <v>2798</v>
      </c>
      <c r="F98" s="202" t="s">
        <v>2798</v>
      </c>
      <c r="G98" s="202" t="s">
        <v>2799</v>
      </c>
      <c r="H98" s="203">
        <v>45993.0</v>
      </c>
      <c r="I98" s="204" t="s">
        <v>2437</v>
      </c>
      <c r="J98" s="190" t="b">
        <v>0</v>
      </c>
      <c r="K98" s="35"/>
      <c r="L98" s="35"/>
      <c r="M98" s="13"/>
      <c r="N98" s="13"/>
      <c r="O98" s="13"/>
      <c r="P98" s="13"/>
      <c r="Q98" s="13"/>
      <c r="R98" s="13"/>
      <c r="S98" s="13"/>
      <c r="T98" s="13"/>
      <c r="U98" s="13"/>
      <c r="V98" s="13"/>
      <c r="W98" s="13"/>
      <c r="X98" s="13"/>
      <c r="Y98" s="13"/>
      <c r="Z98" s="13"/>
    </row>
    <row r="99" ht="16.5" hidden="1" customHeight="1">
      <c r="A99" s="200">
        <v>96.0</v>
      </c>
      <c r="B99" s="200" t="s">
        <v>2614</v>
      </c>
      <c r="C99" s="201" t="s">
        <v>2800</v>
      </c>
      <c r="D99" s="202" t="s">
        <v>2801</v>
      </c>
      <c r="E99" s="202" t="s">
        <v>2802</v>
      </c>
      <c r="F99" s="202" t="s">
        <v>2803</v>
      </c>
      <c r="G99" s="202" t="s">
        <v>2804</v>
      </c>
      <c r="H99" s="203">
        <v>45993.0</v>
      </c>
      <c r="I99" s="204" t="s">
        <v>2437</v>
      </c>
      <c r="J99" s="190" t="b">
        <v>0</v>
      </c>
      <c r="K99" s="35"/>
      <c r="L99" s="35"/>
      <c r="M99" s="13"/>
      <c r="N99" s="13"/>
      <c r="O99" s="13"/>
      <c r="P99" s="13"/>
      <c r="Q99" s="13"/>
      <c r="R99" s="13"/>
      <c r="S99" s="13"/>
      <c r="T99" s="13"/>
      <c r="U99" s="13"/>
      <c r="V99" s="13"/>
      <c r="W99" s="13"/>
      <c r="X99" s="13"/>
      <c r="Y99" s="13"/>
      <c r="Z99" s="13"/>
    </row>
    <row r="100" ht="16.5" customHeight="1">
      <c r="A100" s="205">
        <v>97.0</v>
      </c>
      <c r="B100" s="200" t="s">
        <v>2651</v>
      </c>
      <c r="C100" s="201" t="s">
        <v>2805</v>
      </c>
      <c r="D100" s="202" t="s">
        <v>2806</v>
      </c>
      <c r="E100" s="206" t="s">
        <v>2807</v>
      </c>
      <c r="F100" s="202" t="s">
        <v>2808</v>
      </c>
      <c r="G100" s="202" t="s">
        <v>2809</v>
      </c>
      <c r="H100" s="203">
        <v>45993.0</v>
      </c>
      <c r="I100" s="204" t="s">
        <v>2431</v>
      </c>
      <c r="J100" s="190" t="b">
        <v>0</v>
      </c>
      <c r="K100" s="35"/>
      <c r="L100" s="35"/>
      <c r="M100" s="13"/>
      <c r="N100" s="13"/>
      <c r="O100" s="13"/>
      <c r="P100" s="13"/>
      <c r="Q100" s="13"/>
      <c r="R100" s="13"/>
      <c r="S100" s="13"/>
      <c r="T100" s="13"/>
      <c r="U100" s="13"/>
      <c r="V100" s="13"/>
      <c r="W100" s="13"/>
      <c r="X100" s="13"/>
      <c r="Y100" s="13"/>
      <c r="Z100" s="13"/>
    </row>
    <row r="101" ht="16.5" customHeight="1">
      <c r="A101" s="205">
        <v>98.0</v>
      </c>
      <c r="B101" s="200" t="s">
        <v>2549</v>
      </c>
      <c r="C101" s="201" t="s">
        <v>2810</v>
      </c>
      <c r="D101" s="202" t="s">
        <v>2811</v>
      </c>
      <c r="E101" s="206" t="s">
        <v>2812</v>
      </c>
      <c r="F101" s="202" t="s">
        <v>2813</v>
      </c>
      <c r="G101" s="202" t="s">
        <v>2814</v>
      </c>
      <c r="H101" s="203">
        <v>45993.0</v>
      </c>
      <c r="I101" s="204" t="s">
        <v>2431</v>
      </c>
      <c r="J101" s="190" t="b">
        <v>0</v>
      </c>
      <c r="K101" s="35"/>
      <c r="L101" s="35"/>
      <c r="M101" s="13"/>
      <c r="N101" s="13"/>
      <c r="O101" s="13"/>
      <c r="P101" s="13"/>
      <c r="Q101" s="13"/>
      <c r="R101" s="13"/>
      <c r="S101" s="13"/>
      <c r="T101" s="13"/>
      <c r="U101" s="13"/>
      <c r="V101" s="13"/>
      <c r="W101" s="13"/>
      <c r="X101" s="13"/>
      <c r="Y101" s="13"/>
      <c r="Z101" s="13"/>
    </row>
    <row r="102" ht="16.5" hidden="1" customHeight="1">
      <c r="A102" s="200">
        <v>99.0</v>
      </c>
      <c r="B102" s="200" t="s">
        <v>2549</v>
      </c>
      <c r="C102" s="201" t="s">
        <v>2815</v>
      </c>
      <c r="D102" s="202" t="s">
        <v>2816</v>
      </c>
      <c r="E102" s="202" t="s">
        <v>2817</v>
      </c>
      <c r="F102" s="202" t="s">
        <v>2818</v>
      </c>
      <c r="G102" s="202" t="s">
        <v>2819</v>
      </c>
      <c r="H102" s="203">
        <v>45993.0</v>
      </c>
      <c r="I102" s="204" t="s">
        <v>2437</v>
      </c>
      <c r="J102" s="190" t="b">
        <v>0</v>
      </c>
      <c r="K102" s="35"/>
      <c r="L102" s="35"/>
      <c r="M102" s="13"/>
      <c r="N102" s="13"/>
      <c r="O102" s="13"/>
      <c r="P102" s="13"/>
      <c r="Q102" s="13"/>
      <c r="R102" s="13"/>
      <c r="S102" s="13"/>
      <c r="T102" s="13"/>
      <c r="U102" s="13"/>
      <c r="V102" s="13"/>
      <c r="W102" s="13"/>
      <c r="X102" s="13"/>
      <c r="Y102" s="13"/>
      <c r="Z102" s="13"/>
    </row>
    <row r="103" ht="16.5" customHeight="1">
      <c r="A103" s="205">
        <v>100.0</v>
      </c>
      <c r="B103" s="200" t="s">
        <v>2426</v>
      </c>
      <c r="C103" s="201" t="s">
        <v>2820</v>
      </c>
      <c r="D103" s="202" t="s">
        <v>2821</v>
      </c>
      <c r="E103" s="206" t="s">
        <v>2822</v>
      </c>
      <c r="F103" s="202" t="s">
        <v>2823</v>
      </c>
      <c r="G103" s="202" t="s">
        <v>2824</v>
      </c>
      <c r="H103" s="203">
        <v>45993.0</v>
      </c>
      <c r="I103" s="204" t="s">
        <v>2431</v>
      </c>
      <c r="J103" s="190" t="b">
        <v>0</v>
      </c>
      <c r="K103" s="35"/>
      <c r="L103" s="35"/>
      <c r="M103" s="13"/>
      <c r="N103" s="13"/>
      <c r="O103" s="13"/>
      <c r="P103" s="13"/>
      <c r="Q103" s="13"/>
      <c r="R103" s="13"/>
      <c r="S103" s="13"/>
      <c r="T103" s="13"/>
      <c r="U103" s="13"/>
      <c r="V103" s="13"/>
      <c r="W103" s="13"/>
      <c r="X103" s="13"/>
      <c r="Y103" s="13"/>
      <c r="Z103" s="13"/>
    </row>
    <row r="104" ht="16.5" hidden="1" customHeight="1">
      <c r="A104" s="200">
        <v>101.0</v>
      </c>
      <c r="B104" s="200" t="s">
        <v>2426</v>
      </c>
      <c r="C104" s="201" t="s">
        <v>2825</v>
      </c>
      <c r="D104" s="202" t="s">
        <v>2826</v>
      </c>
      <c r="E104" s="202" t="s">
        <v>2827</v>
      </c>
      <c r="F104" s="202" t="s">
        <v>2828</v>
      </c>
      <c r="G104" s="202" t="s">
        <v>2530</v>
      </c>
      <c r="H104" s="203">
        <v>45993.0</v>
      </c>
      <c r="I104" s="204" t="s">
        <v>2437</v>
      </c>
      <c r="J104" s="190" t="b">
        <v>0</v>
      </c>
      <c r="K104" s="35"/>
      <c r="L104" s="35"/>
      <c r="M104" s="13"/>
      <c r="N104" s="13"/>
      <c r="O104" s="13"/>
      <c r="P104" s="13"/>
      <c r="Q104" s="13"/>
      <c r="R104" s="13"/>
      <c r="S104" s="13"/>
      <c r="T104" s="13"/>
      <c r="U104" s="13"/>
      <c r="V104" s="13"/>
      <c r="W104" s="13"/>
      <c r="X104" s="13"/>
      <c r="Y104" s="13"/>
      <c r="Z104" s="13"/>
    </row>
    <row r="105" ht="16.5" customHeight="1">
      <c r="A105" s="205">
        <v>102.0</v>
      </c>
      <c r="B105" s="200" t="s">
        <v>2426</v>
      </c>
      <c r="C105" s="201" t="s">
        <v>2829</v>
      </c>
      <c r="D105" s="202" t="s">
        <v>2830</v>
      </c>
      <c r="E105" s="206" t="s">
        <v>2831</v>
      </c>
      <c r="F105" s="202" t="s">
        <v>2832</v>
      </c>
      <c r="G105" s="202" t="s">
        <v>2833</v>
      </c>
      <c r="H105" s="203">
        <v>45993.0</v>
      </c>
      <c r="I105" s="204" t="s">
        <v>2431</v>
      </c>
      <c r="J105" s="190" t="b">
        <v>0</v>
      </c>
      <c r="K105" s="35"/>
      <c r="L105" s="35"/>
      <c r="M105" s="13"/>
      <c r="N105" s="13"/>
      <c r="O105" s="13"/>
      <c r="P105" s="13"/>
      <c r="Q105" s="13"/>
      <c r="R105" s="13"/>
      <c r="S105" s="13"/>
      <c r="T105" s="13"/>
      <c r="U105" s="13"/>
      <c r="V105" s="13"/>
      <c r="W105" s="13"/>
      <c r="X105" s="13"/>
      <c r="Y105" s="13"/>
      <c r="Z105" s="13"/>
    </row>
    <row r="106" ht="16.5" customHeight="1">
      <c r="A106" s="205">
        <v>103.0</v>
      </c>
      <c r="B106" s="200" t="s">
        <v>2426</v>
      </c>
      <c r="C106" s="201" t="s">
        <v>2834</v>
      </c>
      <c r="D106" s="202" t="s">
        <v>2835</v>
      </c>
      <c r="E106" s="206" t="s">
        <v>2836</v>
      </c>
      <c r="F106" s="202" t="s">
        <v>2837</v>
      </c>
      <c r="G106" s="202" t="s">
        <v>2838</v>
      </c>
      <c r="H106" s="203">
        <v>45993.0</v>
      </c>
      <c r="I106" s="204" t="s">
        <v>2431</v>
      </c>
      <c r="J106" s="190" t="b">
        <v>0</v>
      </c>
      <c r="K106" s="35"/>
      <c r="L106" s="35"/>
      <c r="M106" s="13"/>
      <c r="N106" s="13"/>
      <c r="O106" s="13"/>
      <c r="P106" s="13"/>
      <c r="Q106" s="13"/>
      <c r="R106" s="13"/>
      <c r="S106" s="13"/>
      <c r="T106" s="13"/>
      <c r="U106" s="13"/>
      <c r="V106" s="13"/>
      <c r="W106" s="13"/>
      <c r="X106" s="13"/>
      <c r="Y106" s="13"/>
      <c r="Z106" s="13"/>
    </row>
    <row r="107" ht="16.5" hidden="1" customHeight="1">
      <c r="A107" s="200">
        <v>104.0</v>
      </c>
      <c r="B107" s="200" t="s">
        <v>2706</v>
      </c>
      <c r="C107" s="201" t="s">
        <v>2839</v>
      </c>
      <c r="D107" s="202" t="s">
        <v>2840</v>
      </c>
      <c r="E107" s="202" t="s">
        <v>2841</v>
      </c>
      <c r="F107" s="202" t="s">
        <v>2842</v>
      </c>
      <c r="G107" s="202" t="s">
        <v>2843</v>
      </c>
      <c r="H107" s="203">
        <v>45993.0</v>
      </c>
      <c r="I107" s="204" t="s">
        <v>2437</v>
      </c>
      <c r="J107" s="190" t="b">
        <v>0</v>
      </c>
      <c r="K107" s="35"/>
      <c r="L107" s="35"/>
      <c r="M107" s="13"/>
      <c r="N107" s="13"/>
      <c r="O107" s="13"/>
      <c r="P107" s="13"/>
      <c r="Q107" s="13"/>
      <c r="R107" s="13"/>
      <c r="S107" s="13"/>
      <c r="T107" s="13"/>
      <c r="U107" s="13"/>
      <c r="V107" s="13"/>
      <c r="W107" s="13"/>
      <c r="X107" s="13"/>
      <c r="Y107" s="13"/>
      <c r="Z107" s="13"/>
    </row>
    <row r="108" ht="16.5" hidden="1" customHeight="1">
      <c r="A108" s="200">
        <v>105.0</v>
      </c>
      <c r="B108" s="200" t="s">
        <v>2706</v>
      </c>
      <c r="C108" s="201" t="s">
        <v>2844</v>
      </c>
      <c r="D108" s="202" t="s">
        <v>2845</v>
      </c>
      <c r="E108" s="202" t="s">
        <v>2846</v>
      </c>
      <c r="F108" s="202" t="s">
        <v>2847</v>
      </c>
      <c r="G108" s="202" t="s">
        <v>2848</v>
      </c>
      <c r="H108" s="203">
        <v>45993.0</v>
      </c>
      <c r="I108" s="204" t="s">
        <v>2437</v>
      </c>
      <c r="J108" s="190" t="b">
        <v>0</v>
      </c>
      <c r="K108" s="35"/>
      <c r="L108" s="35"/>
      <c r="M108" s="13"/>
      <c r="N108" s="13"/>
      <c r="O108" s="13"/>
      <c r="P108" s="13"/>
      <c r="Q108" s="13"/>
      <c r="R108" s="13"/>
      <c r="S108" s="13"/>
      <c r="T108" s="13"/>
      <c r="U108" s="13"/>
      <c r="V108" s="13"/>
      <c r="W108" s="13"/>
      <c r="X108" s="13"/>
      <c r="Y108" s="13"/>
      <c r="Z108" s="13"/>
    </row>
    <row r="109" ht="16.5" customHeight="1">
      <c r="A109" s="205">
        <v>106.0</v>
      </c>
      <c r="B109" s="200" t="s">
        <v>2508</v>
      </c>
      <c r="C109" s="201" t="s">
        <v>2849</v>
      </c>
      <c r="D109" s="202" t="s">
        <v>2850</v>
      </c>
      <c r="E109" s="206" t="s">
        <v>2511</v>
      </c>
      <c r="F109" s="202">
        <v>28.0</v>
      </c>
      <c r="G109" s="202" t="s">
        <v>2851</v>
      </c>
      <c r="H109" s="203">
        <v>45993.0</v>
      </c>
      <c r="I109" s="204" t="s">
        <v>2431</v>
      </c>
      <c r="J109" s="190" t="b">
        <v>0</v>
      </c>
      <c r="K109" s="35"/>
      <c r="L109" s="35"/>
      <c r="M109" s="13"/>
      <c r="N109" s="13"/>
      <c r="O109" s="13"/>
      <c r="P109" s="13"/>
      <c r="Q109" s="13"/>
      <c r="R109" s="13"/>
      <c r="S109" s="13"/>
      <c r="T109" s="13"/>
      <c r="U109" s="13"/>
      <c r="V109" s="13"/>
      <c r="W109" s="13"/>
      <c r="X109" s="13"/>
      <c r="Y109" s="13"/>
      <c r="Z109" s="13"/>
    </row>
    <row r="110" ht="16.5" customHeight="1">
      <c r="A110" s="205">
        <v>107.0</v>
      </c>
      <c r="B110" s="200" t="s">
        <v>2685</v>
      </c>
      <c r="C110" s="201" t="s">
        <v>2852</v>
      </c>
      <c r="D110" s="202" t="s">
        <v>2853</v>
      </c>
      <c r="E110" s="206" t="s">
        <v>2854</v>
      </c>
      <c r="F110" s="202" t="s">
        <v>2855</v>
      </c>
      <c r="G110" s="202" t="s">
        <v>2856</v>
      </c>
      <c r="H110" s="203">
        <v>45993.0</v>
      </c>
      <c r="I110" s="204" t="s">
        <v>2431</v>
      </c>
      <c r="J110" s="190" t="b">
        <v>0</v>
      </c>
      <c r="K110" s="35"/>
      <c r="L110" s="35"/>
      <c r="M110" s="13"/>
      <c r="N110" s="13"/>
      <c r="O110" s="13"/>
      <c r="P110" s="13"/>
      <c r="Q110" s="13"/>
      <c r="R110" s="13"/>
      <c r="S110" s="13"/>
      <c r="T110" s="13"/>
      <c r="U110" s="13"/>
      <c r="V110" s="13"/>
      <c r="W110" s="13"/>
      <c r="X110" s="13"/>
      <c r="Y110" s="13"/>
      <c r="Z110" s="13"/>
    </row>
    <row r="111" ht="16.5" customHeight="1">
      <c r="A111" s="215">
        <v>108.0</v>
      </c>
      <c r="B111" s="216" t="s">
        <v>2489</v>
      </c>
      <c r="C111" s="201" t="s">
        <v>2857</v>
      </c>
      <c r="D111" s="202" t="s">
        <v>2858</v>
      </c>
      <c r="E111" s="206" t="s">
        <v>2859</v>
      </c>
      <c r="F111" s="202" t="s">
        <v>2860</v>
      </c>
      <c r="G111" s="202" t="s">
        <v>2861</v>
      </c>
      <c r="H111" s="203">
        <v>45993.0</v>
      </c>
      <c r="I111" s="204" t="s">
        <v>2431</v>
      </c>
      <c r="J111" s="190" t="b">
        <v>0</v>
      </c>
      <c r="K111" s="35"/>
      <c r="L111" s="35"/>
      <c r="M111" s="13"/>
      <c r="N111" s="13"/>
      <c r="O111" s="13"/>
      <c r="P111" s="13"/>
      <c r="Q111" s="13"/>
      <c r="R111" s="13"/>
      <c r="S111" s="13"/>
      <c r="T111" s="13"/>
      <c r="U111" s="13"/>
      <c r="V111" s="13"/>
      <c r="W111" s="13"/>
      <c r="X111" s="13"/>
      <c r="Y111" s="13"/>
      <c r="Z111" s="13"/>
    </row>
    <row r="112" ht="16.5" hidden="1" customHeight="1">
      <c r="A112" s="216">
        <v>109.0</v>
      </c>
      <c r="B112" s="216" t="s">
        <v>2489</v>
      </c>
      <c r="C112" s="201" t="s">
        <v>2862</v>
      </c>
      <c r="D112" s="202" t="s">
        <v>2863</v>
      </c>
      <c r="E112" s="207" t="s">
        <v>2864</v>
      </c>
      <c r="F112" s="202" t="s">
        <v>2865</v>
      </c>
      <c r="G112" s="202" t="s">
        <v>2866</v>
      </c>
      <c r="H112" s="203">
        <v>45993.0</v>
      </c>
      <c r="I112" s="204" t="s">
        <v>2437</v>
      </c>
      <c r="J112" s="190" t="b">
        <v>0</v>
      </c>
      <c r="K112" s="35"/>
      <c r="L112" s="35"/>
      <c r="M112" s="13"/>
      <c r="N112" s="13"/>
      <c r="O112" s="13"/>
      <c r="P112" s="13"/>
      <c r="Q112" s="13"/>
      <c r="R112" s="13"/>
      <c r="S112" s="13"/>
      <c r="T112" s="13"/>
      <c r="U112" s="13"/>
      <c r="V112" s="13"/>
      <c r="W112" s="13"/>
      <c r="X112" s="13"/>
      <c r="Y112" s="13"/>
      <c r="Z112" s="13"/>
    </row>
    <row r="113" ht="16.5" customHeight="1">
      <c r="A113" s="215">
        <v>110.0</v>
      </c>
      <c r="B113" s="216" t="s">
        <v>2489</v>
      </c>
      <c r="C113" s="201" t="s">
        <v>2867</v>
      </c>
      <c r="D113" s="217" t="s">
        <v>2868</v>
      </c>
      <c r="E113" s="206" t="s">
        <v>2869</v>
      </c>
      <c r="F113" s="202" t="s">
        <v>2870</v>
      </c>
      <c r="G113" s="202" t="s">
        <v>2871</v>
      </c>
      <c r="H113" s="203">
        <v>45993.0</v>
      </c>
      <c r="I113" s="204" t="s">
        <v>2431</v>
      </c>
      <c r="J113" s="190" t="b">
        <v>0</v>
      </c>
      <c r="K113" s="35"/>
      <c r="L113" s="35"/>
      <c r="M113" s="13"/>
      <c r="N113" s="13"/>
      <c r="O113" s="13"/>
      <c r="P113" s="13"/>
      <c r="Q113" s="13"/>
      <c r="R113" s="13"/>
      <c r="S113" s="13"/>
      <c r="T113" s="13"/>
      <c r="U113" s="13"/>
      <c r="V113" s="13"/>
      <c r="W113" s="13"/>
      <c r="X113" s="13"/>
      <c r="Y113" s="13"/>
      <c r="Z113" s="13"/>
    </row>
    <row r="114" ht="16.5" customHeight="1">
      <c r="A114" s="215">
        <v>111.0</v>
      </c>
      <c r="B114" s="216" t="s">
        <v>2489</v>
      </c>
      <c r="C114" s="201" t="s">
        <v>2872</v>
      </c>
      <c r="D114" s="202" t="s">
        <v>2873</v>
      </c>
      <c r="E114" s="206" t="s">
        <v>2874</v>
      </c>
      <c r="F114" s="202" t="s">
        <v>2875</v>
      </c>
      <c r="G114" s="202" t="s">
        <v>2876</v>
      </c>
      <c r="H114" s="203">
        <v>45993.0</v>
      </c>
      <c r="I114" s="204" t="s">
        <v>2431</v>
      </c>
      <c r="J114" s="190" t="b">
        <v>0</v>
      </c>
      <c r="K114" s="35"/>
      <c r="L114" s="35"/>
      <c r="M114" s="13"/>
      <c r="N114" s="13"/>
      <c r="O114" s="13"/>
      <c r="P114" s="13"/>
      <c r="Q114" s="13"/>
      <c r="R114" s="13"/>
      <c r="S114" s="13"/>
      <c r="T114" s="13"/>
      <c r="U114" s="13"/>
      <c r="V114" s="13"/>
      <c r="W114" s="13"/>
      <c r="X114" s="13"/>
      <c r="Y114" s="13"/>
      <c r="Z114" s="13"/>
    </row>
    <row r="115" ht="16.5" customHeight="1">
      <c r="A115" s="215">
        <v>112.0</v>
      </c>
      <c r="B115" s="216" t="s">
        <v>2489</v>
      </c>
      <c r="C115" s="201" t="s">
        <v>2877</v>
      </c>
      <c r="D115" s="202" t="s">
        <v>2878</v>
      </c>
      <c r="E115" s="206" t="s">
        <v>2879</v>
      </c>
      <c r="F115" s="218" t="s">
        <v>2880</v>
      </c>
      <c r="G115" s="202" t="s">
        <v>2881</v>
      </c>
      <c r="H115" s="203">
        <v>45993.0</v>
      </c>
      <c r="I115" s="204" t="s">
        <v>2431</v>
      </c>
      <c r="J115" s="190" t="b">
        <v>0</v>
      </c>
      <c r="K115" s="35"/>
      <c r="L115" s="35"/>
      <c r="M115" s="13"/>
      <c r="N115" s="13"/>
      <c r="O115" s="13"/>
      <c r="P115" s="13"/>
      <c r="Q115" s="13"/>
      <c r="R115" s="13"/>
      <c r="S115" s="13"/>
      <c r="T115" s="13"/>
      <c r="U115" s="13"/>
      <c r="V115" s="13"/>
      <c r="W115" s="13"/>
      <c r="X115" s="13"/>
      <c r="Y115" s="13"/>
      <c r="Z115" s="13"/>
    </row>
    <row r="116" ht="16.5" customHeight="1">
      <c r="A116" s="215">
        <v>113.0</v>
      </c>
      <c r="B116" s="216" t="s">
        <v>2489</v>
      </c>
      <c r="C116" s="201" t="s">
        <v>2882</v>
      </c>
      <c r="D116" s="202" t="s">
        <v>2883</v>
      </c>
      <c r="E116" s="206" t="s">
        <v>2859</v>
      </c>
      <c r="F116" s="202" t="s">
        <v>2884</v>
      </c>
      <c r="G116" s="202" t="s">
        <v>2885</v>
      </c>
      <c r="H116" s="203">
        <v>45993.0</v>
      </c>
      <c r="I116" s="204" t="s">
        <v>2431</v>
      </c>
      <c r="J116" s="190" t="b">
        <v>0</v>
      </c>
      <c r="K116" s="35"/>
      <c r="L116" s="35"/>
      <c r="M116" s="13"/>
      <c r="N116" s="13"/>
      <c r="O116" s="13"/>
      <c r="P116" s="13"/>
      <c r="Q116" s="13"/>
      <c r="R116" s="13"/>
      <c r="S116" s="13"/>
      <c r="T116" s="13"/>
      <c r="U116" s="13"/>
      <c r="V116" s="13"/>
      <c r="W116" s="13"/>
      <c r="X116" s="13"/>
      <c r="Y116" s="13"/>
      <c r="Z116" s="13"/>
    </row>
    <row r="117" ht="16.5" customHeight="1">
      <c r="A117" s="215">
        <v>114.0</v>
      </c>
      <c r="B117" s="216" t="s">
        <v>2489</v>
      </c>
      <c r="C117" s="201" t="s">
        <v>2886</v>
      </c>
      <c r="D117" s="202" t="s">
        <v>2887</v>
      </c>
      <c r="E117" s="206" t="s">
        <v>2869</v>
      </c>
      <c r="F117" s="202" t="s">
        <v>2888</v>
      </c>
      <c r="G117" s="202" t="s">
        <v>2889</v>
      </c>
      <c r="H117" s="203">
        <v>45993.0</v>
      </c>
      <c r="I117" s="204" t="s">
        <v>2431</v>
      </c>
      <c r="J117" s="190" t="b">
        <v>0</v>
      </c>
      <c r="K117" s="35"/>
      <c r="L117" s="35"/>
      <c r="M117" s="13"/>
      <c r="N117" s="13"/>
      <c r="O117" s="13"/>
      <c r="P117" s="13"/>
      <c r="Q117" s="13"/>
      <c r="R117" s="13"/>
      <c r="S117" s="13"/>
      <c r="T117" s="13"/>
      <c r="U117" s="13"/>
      <c r="V117" s="13"/>
      <c r="W117" s="13"/>
      <c r="X117" s="13"/>
      <c r="Y117" s="13"/>
      <c r="Z117" s="13"/>
    </row>
    <row r="118" ht="16.5" hidden="1" customHeight="1">
      <c r="A118" s="216">
        <v>115.0</v>
      </c>
      <c r="B118" s="216" t="s">
        <v>2489</v>
      </c>
      <c r="C118" s="201" t="s">
        <v>2890</v>
      </c>
      <c r="D118" s="202" t="s">
        <v>2891</v>
      </c>
      <c r="E118" s="202" t="s">
        <v>2892</v>
      </c>
      <c r="F118" s="202" t="s">
        <v>2893</v>
      </c>
      <c r="G118" s="202" t="s">
        <v>2894</v>
      </c>
      <c r="H118" s="203">
        <v>45993.0</v>
      </c>
      <c r="I118" s="204" t="s">
        <v>2437</v>
      </c>
      <c r="J118" s="190" t="b">
        <v>0</v>
      </c>
      <c r="K118" s="35"/>
      <c r="L118" s="35"/>
      <c r="M118" s="13"/>
      <c r="N118" s="13"/>
      <c r="O118" s="13"/>
      <c r="P118" s="13"/>
      <c r="Q118" s="13"/>
      <c r="R118" s="13"/>
      <c r="S118" s="13"/>
      <c r="T118" s="13"/>
      <c r="U118" s="13"/>
      <c r="V118" s="13"/>
      <c r="W118" s="13"/>
      <c r="X118" s="13"/>
      <c r="Y118" s="13"/>
      <c r="Z118" s="13"/>
    </row>
    <row r="119" ht="16.5" customHeight="1">
      <c r="A119" s="215">
        <v>116.0</v>
      </c>
      <c r="B119" s="216" t="s">
        <v>2489</v>
      </c>
      <c r="C119" s="201" t="s">
        <v>2895</v>
      </c>
      <c r="D119" s="202" t="s">
        <v>2896</v>
      </c>
      <c r="E119" s="206" t="s">
        <v>2897</v>
      </c>
      <c r="F119" s="218" t="s">
        <v>2898</v>
      </c>
      <c r="G119" s="202" t="s">
        <v>2899</v>
      </c>
      <c r="H119" s="203">
        <v>45993.0</v>
      </c>
      <c r="I119" s="204" t="s">
        <v>2431</v>
      </c>
      <c r="J119" s="190" t="b">
        <v>0</v>
      </c>
      <c r="K119" s="35"/>
      <c r="L119" s="35"/>
      <c r="M119" s="13"/>
      <c r="N119" s="13"/>
      <c r="O119" s="13"/>
      <c r="P119" s="13"/>
      <c r="Q119" s="13"/>
      <c r="R119" s="13"/>
      <c r="S119" s="13"/>
      <c r="T119" s="13"/>
      <c r="U119" s="13"/>
      <c r="V119" s="13"/>
      <c r="W119" s="13"/>
      <c r="X119" s="13"/>
      <c r="Y119" s="13"/>
      <c r="Z119" s="13"/>
    </row>
    <row r="120" ht="16.5" hidden="1" customHeight="1">
      <c r="A120" s="216">
        <v>117.0</v>
      </c>
      <c r="B120" s="216" t="s">
        <v>2508</v>
      </c>
      <c r="C120" s="201" t="s">
        <v>2900</v>
      </c>
      <c r="D120" s="202" t="s">
        <v>2901</v>
      </c>
      <c r="E120" s="202" t="s">
        <v>2902</v>
      </c>
      <c r="F120" s="202" t="s">
        <v>2903</v>
      </c>
      <c r="G120" s="202" t="s">
        <v>2530</v>
      </c>
      <c r="H120" s="203">
        <v>45993.0</v>
      </c>
      <c r="I120" s="204" t="s">
        <v>2437</v>
      </c>
      <c r="J120" s="190" t="b">
        <v>0</v>
      </c>
      <c r="K120" s="35"/>
      <c r="L120" s="35"/>
      <c r="M120" s="13"/>
      <c r="N120" s="13"/>
      <c r="O120" s="13"/>
      <c r="P120" s="13"/>
      <c r="Q120" s="13"/>
      <c r="R120" s="13"/>
      <c r="S120" s="13"/>
      <c r="T120" s="13"/>
      <c r="U120" s="13"/>
      <c r="V120" s="13"/>
      <c r="W120" s="13"/>
      <c r="X120" s="13"/>
      <c r="Y120" s="13"/>
      <c r="Z120" s="13"/>
    </row>
    <row r="121" ht="16.5" hidden="1" customHeight="1">
      <c r="A121" s="216">
        <v>118.0</v>
      </c>
      <c r="B121" s="216" t="s">
        <v>2640</v>
      </c>
      <c r="C121" s="201" t="s">
        <v>2904</v>
      </c>
      <c r="D121" s="202" t="s">
        <v>2905</v>
      </c>
      <c r="E121" s="202" t="s">
        <v>2906</v>
      </c>
      <c r="F121" s="202" t="s">
        <v>2907</v>
      </c>
      <c r="G121" s="202" t="s">
        <v>2634</v>
      </c>
      <c r="H121" s="203">
        <v>45993.0</v>
      </c>
      <c r="I121" s="204" t="s">
        <v>2437</v>
      </c>
      <c r="J121" s="190" t="b">
        <v>0</v>
      </c>
      <c r="K121" s="35"/>
      <c r="L121" s="35"/>
      <c r="M121" s="13"/>
      <c r="N121" s="13"/>
      <c r="O121" s="13"/>
      <c r="P121" s="13"/>
      <c r="Q121" s="13"/>
      <c r="R121" s="13"/>
      <c r="S121" s="13"/>
      <c r="T121" s="13"/>
      <c r="U121" s="13"/>
      <c r="V121" s="13"/>
      <c r="W121" s="13"/>
      <c r="X121" s="13"/>
      <c r="Y121" s="13"/>
      <c r="Z121" s="13"/>
    </row>
    <row r="122" ht="16.5" customHeight="1">
      <c r="A122" s="215">
        <v>119.0</v>
      </c>
      <c r="B122" s="216" t="s">
        <v>2549</v>
      </c>
      <c r="C122" s="201" t="s">
        <v>2908</v>
      </c>
      <c r="D122" s="202" t="s">
        <v>2909</v>
      </c>
      <c r="E122" s="219" t="s">
        <v>2910</v>
      </c>
      <c r="F122" s="39" t="s">
        <v>2911</v>
      </c>
      <c r="G122" s="39" t="s">
        <v>2912</v>
      </c>
      <c r="H122" s="203">
        <v>45994.0</v>
      </c>
      <c r="I122" s="204" t="s">
        <v>2431</v>
      </c>
      <c r="J122" s="190" t="b">
        <v>0</v>
      </c>
      <c r="K122" s="35"/>
      <c r="L122" s="35"/>
      <c r="M122" s="13"/>
      <c r="N122" s="13"/>
      <c r="O122" s="13"/>
      <c r="P122" s="13"/>
      <c r="Q122" s="13"/>
      <c r="R122" s="13"/>
      <c r="S122" s="13"/>
      <c r="T122" s="13"/>
      <c r="U122" s="13"/>
      <c r="V122" s="13"/>
      <c r="W122" s="13"/>
      <c r="X122" s="13"/>
      <c r="Y122" s="13"/>
      <c r="Z122" s="13"/>
    </row>
    <row r="123" ht="16.5" customHeight="1">
      <c r="A123" s="215">
        <v>120.0</v>
      </c>
      <c r="B123" s="216" t="s">
        <v>2549</v>
      </c>
      <c r="C123" s="201" t="s">
        <v>2913</v>
      </c>
      <c r="D123" s="202" t="s">
        <v>2914</v>
      </c>
      <c r="E123" s="219" t="s">
        <v>2910</v>
      </c>
      <c r="F123" s="39" t="s">
        <v>2915</v>
      </c>
      <c r="G123" s="39" t="s">
        <v>2916</v>
      </c>
      <c r="H123" s="203">
        <v>45994.0</v>
      </c>
      <c r="I123" s="204" t="s">
        <v>2431</v>
      </c>
      <c r="J123" s="190" t="b">
        <v>0</v>
      </c>
      <c r="K123" s="35"/>
      <c r="L123" s="35"/>
      <c r="M123" s="13"/>
      <c r="N123" s="13"/>
      <c r="O123" s="13"/>
      <c r="P123" s="13"/>
      <c r="Q123" s="13"/>
      <c r="R123" s="13"/>
      <c r="S123" s="13"/>
      <c r="T123" s="13"/>
      <c r="U123" s="13"/>
      <c r="V123" s="13"/>
      <c r="W123" s="13"/>
      <c r="X123" s="13"/>
      <c r="Y123" s="13"/>
      <c r="Z123" s="13"/>
    </row>
    <row r="124" ht="16.5" customHeight="1">
      <c r="A124" s="215">
        <v>121.0</v>
      </c>
      <c r="B124" s="216" t="s">
        <v>2549</v>
      </c>
      <c r="C124" s="201" t="s">
        <v>2917</v>
      </c>
      <c r="D124" s="202" t="s">
        <v>2918</v>
      </c>
      <c r="E124" s="219" t="s">
        <v>2910</v>
      </c>
      <c r="F124" s="39" t="s">
        <v>2919</v>
      </c>
      <c r="G124" s="39" t="s">
        <v>2920</v>
      </c>
      <c r="H124" s="203">
        <v>45994.0</v>
      </c>
      <c r="I124" s="204" t="s">
        <v>2431</v>
      </c>
      <c r="J124" s="190" t="b">
        <v>0</v>
      </c>
      <c r="K124" s="35"/>
      <c r="L124" s="35"/>
      <c r="M124" s="13"/>
      <c r="N124" s="13"/>
      <c r="O124" s="13"/>
      <c r="P124" s="13"/>
      <c r="Q124" s="13"/>
      <c r="R124" s="13"/>
      <c r="S124" s="13"/>
      <c r="T124" s="13"/>
      <c r="U124" s="13"/>
      <c r="V124" s="13"/>
      <c r="W124" s="13"/>
      <c r="X124" s="13"/>
      <c r="Y124" s="13"/>
      <c r="Z124" s="13"/>
    </row>
    <row r="125" ht="16.5" customHeight="1">
      <c r="A125" s="215">
        <v>122.0</v>
      </c>
      <c r="B125" s="216" t="s">
        <v>2549</v>
      </c>
      <c r="C125" s="201" t="s">
        <v>2921</v>
      </c>
      <c r="D125" s="202" t="s">
        <v>2922</v>
      </c>
      <c r="E125" s="219" t="s">
        <v>2923</v>
      </c>
      <c r="F125" s="202" t="s">
        <v>2924</v>
      </c>
      <c r="G125" s="39" t="s">
        <v>2925</v>
      </c>
      <c r="H125" s="203">
        <v>45994.0</v>
      </c>
      <c r="I125" s="204" t="s">
        <v>2431</v>
      </c>
      <c r="J125" s="190" t="b">
        <v>0</v>
      </c>
      <c r="K125" s="35"/>
      <c r="L125" s="35"/>
      <c r="M125" s="13"/>
      <c r="N125" s="13"/>
      <c r="O125" s="13"/>
      <c r="P125" s="13"/>
      <c r="Q125" s="13"/>
      <c r="R125" s="13"/>
      <c r="S125" s="13"/>
      <c r="T125" s="13"/>
      <c r="U125" s="13"/>
      <c r="V125" s="13"/>
      <c r="W125" s="13"/>
      <c r="X125" s="13"/>
      <c r="Y125" s="13"/>
      <c r="Z125" s="13"/>
    </row>
    <row r="126" ht="16.5" customHeight="1">
      <c r="A126" s="215">
        <v>123.0</v>
      </c>
      <c r="B126" s="216" t="s">
        <v>2660</v>
      </c>
      <c r="C126" s="201" t="s">
        <v>2926</v>
      </c>
      <c r="D126" s="202" t="s">
        <v>2927</v>
      </c>
      <c r="E126" s="206" t="s">
        <v>2928</v>
      </c>
      <c r="F126" s="202" t="s">
        <v>2929</v>
      </c>
      <c r="G126" s="202" t="s">
        <v>2930</v>
      </c>
      <c r="H126" s="203">
        <v>45994.0</v>
      </c>
      <c r="I126" s="204" t="s">
        <v>2431</v>
      </c>
      <c r="J126" s="190" t="b">
        <v>0</v>
      </c>
      <c r="K126" s="35"/>
      <c r="L126" s="35"/>
      <c r="M126" s="13"/>
      <c r="N126" s="13"/>
      <c r="O126" s="13"/>
      <c r="P126" s="13"/>
      <c r="Q126" s="13"/>
      <c r="R126" s="13"/>
      <c r="S126" s="13"/>
      <c r="T126" s="13"/>
      <c r="U126" s="13"/>
      <c r="V126" s="13"/>
      <c r="W126" s="13"/>
      <c r="X126" s="13"/>
      <c r="Y126" s="13"/>
      <c r="Z126" s="13"/>
    </row>
    <row r="127" ht="16.5" customHeight="1">
      <c r="A127" s="215">
        <v>124.0</v>
      </c>
      <c r="B127" s="216" t="s">
        <v>2660</v>
      </c>
      <c r="C127" s="201" t="s">
        <v>2931</v>
      </c>
      <c r="D127" s="202" t="s">
        <v>2932</v>
      </c>
      <c r="E127" s="206" t="s">
        <v>2933</v>
      </c>
      <c r="F127" s="202" t="s">
        <v>2933</v>
      </c>
      <c r="G127" s="202" t="s">
        <v>2934</v>
      </c>
      <c r="H127" s="203">
        <v>45994.0</v>
      </c>
      <c r="I127" s="204" t="s">
        <v>2431</v>
      </c>
      <c r="J127" s="190" t="b">
        <v>0</v>
      </c>
      <c r="K127" s="35"/>
      <c r="L127" s="35"/>
      <c r="M127" s="13"/>
      <c r="N127" s="13"/>
      <c r="O127" s="13"/>
      <c r="P127" s="13"/>
      <c r="Q127" s="13"/>
      <c r="R127" s="13"/>
      <c r="S127" s="13"/>
      <c r="T127" s="13"/>
      <c r="U127" s="13"/>
      <c r="V127" s="13"/>
      <c r="W127" s="13"/>
      <c r="X127" s="13"/>
      <c r="Y127" s="13"/>
      <c r="Z127" s="13"/>
    </row>
    <row r="128" ht="16.5" customHeight="1">
      <c r="A128" s="215">
        <v>125.0</v>
      </c>
      <c r="B128" s="216" t="s">
        <v>2660</v>
      </c>
      <c r="C128" s="201" t="s">
        <v>2935</v>
      </c>
      <c r="D128" s="202" t="s">
        <v>2936</v>
      </c>
      <c r="E128" s="206" t="s">
        <v>2663</v>
      </c>
      <c r="F128" s="202">
        <v>5.0</v>
      </c>
      <c r="G128" s="202" t="s">
        <v>2937</v>
      </c>
      <c r="H128" s="203">
        <v>45994.0</v>
      </c>
      <c r="I128" s="204" t="s">
        <v>2431</v>
      </c>
      <c r="J128" s="190" t="b">
        <v>0</v>
      </c>
      <c r="K128" s="35"/>
      <c r="L128" s="35"/>
      <c r="M128" s="13"/>
      <c r="N128" s="13"/>
      <c r="O128" s="13"/>
      <c r="P128" s="13"/>
      <c r="Q128" s="13"/>
      <c r="R128" s="13"/>
      <c r="S128" s="13"/>
      <c r="T128" s="13"/>
      <c r="U128" s="13"/>
      <c r="V128" s="13"/>
      <c r="W128" s="13"/>
      <c r="X128" s="13"/>
      <c r="Y128" s="13"/>
      <c r="Z128" s="13"/>
    </row>
    <row r="129" ht="16.5" customHeight="1">
      <c r="A129" s="215">
        <v>126.0</v>
      </c>
      <c r="B129" s="216" t="s">
        <v>2660</v>
      </c>
      <c r="C129" s="201" t="s">
        <v>2938</v>
      </c>
      <c r="D129" s="202" t="s">
        <v>2939</v>
      </c>
      <c r="E129" s="206" t="s">
        <v>2663</v>
      </c>
      <c r="F129" s="202">
        <v>6.0</v>
      </c>
      <c r="G129" s="202" t="s">
        <v>2937</v>
      </c>
      <c r="H129" s="203">
        <v>45994.0</v>
      </c>
      <c r="I129" s="204" t="s">
        <v>2431</v>
      </c>
      <c r="J129" s="190" t="b">
        <v>0</v>
      </c>
      <c r="K129" s="35"/>
      <c r="L129" s="35"/>
      <c r="M129" s="13"/>
      <c r="N129" s="13"/>
      <c r="O129" s="13"/>
      <c r="P129" s="13"/>
      <c r="Q129" s="13"/>
      <c r="R129" s="13"/>
      <c r="S129" s="13"/>
      <c r="T129" s="13"/>
      <c r="U129" s="13"/>
      <c r="V129" s="13"/>
      <c r="W129" s="13"/>
      <c r="X129" s="13"/>
      <c r="Y129" s="13"/>
      <c r="Z129" s="13"/>
    </row>
    <row r="130" ht="16.5" customHeight="1">
      <c r="A130" s="215">
        <v>127.0</v>
      </c>
      <c r="B130" s="216" t="s">
        <v>2438</v>
      </c>
      <c r="C130" s="201" t="s">
        <v>2940</v>
      </c>
      <c r="D130" s="202" t="s">
        <v>2941</v>
      </c>
      <c r="E130" s="206" t="s">
        <v>2942</v>
      </c>
      <c r="F130" s="220">
        <v>45752.0</v>
      </c>
      <c r="G130" s="202" t="s">
        <v>2943</v>
      </c>
      <c r="H130" s="203">
        <v>45994.0</v>
      </c>
      <c r="I130" s="204" t="s">
        <v>2431</v>
      </c>
      <c r="J130" s="190" t="b">
        <v>0</v>
      </c>
      <c r="K130" s="35"/>
      <c r="L130" s="35"/>
      <c r="M130" s="13"/>
      <c r="N130" s="13"/>
      <c r="O130" s="13"/>
      <c r="P130" s="13"/>
      <c r="Q130" s="13"/>
      <c r="R130" s="13"/>
      <c r="S130" s="13"/>
      <c r="T130" s="13"/>
      <c r="U130" s="13"/>
      <c r="V130" s="13"/>
      <c r="W130" s="13"/>
      <c r="X130" s="13"/>
      <c r="Y130" s="13"/>
      <c r="Z130" s="13"/>
    </row>
    <row r="131" ht="16.5" customHeight="1">
      <c r="A131" s="215">
        <v>128.0</v>
      </c>
      <c r="B131" s="216" t="s">
        <v>2438</v>
      </c>
      <c r="C131" s="201" t="s">
        <v>2944</v>
      </c>
      <c r="D131" s="202" t="s">
        <v>2945</v>
      </c>
      <c r="E131" s="206" t="s">
        <v>2942</v>
      </c>
      <c r="F131" s="202" t="s">
        <v>2946</v>
      </c>
      <c r="G131" s="202" t="s">
        <v>2947</v>
      </c>
      <c r="H131" s="203">
        <v>45994.0</v>
      </c>
      <c r="I131" s="204" t="s">
        <v>2431</v>
      </c>
      <c r="J131" s="190" t="b">
        <v>0</v>
      </c>
      <c r="K131" s="35"/>
      <c r="L131" s="35"/>
      <c r="M131" s="13"/>
      <c r="N131" s="13"/>
      <c r="O131" s="13"/>
      <c r="P131" s="13"/>
      <c r="Q131" s="13"/>
      <c r="R131" s="13"/>
      <c r="S131" s="13"/>
      <c r="T131" s="13"/>
      <c r="U131" s="13"/>
      <c r="V131" s="13"/>
      <c r="W131" s="13"/>
      <c r="X131" s="13"/>
      <c r="Y131" s="13"/>
      <c r="Z131" s="13"/>
    </row>
    <row r="132" ht="16.5" customHeight="1">
      <c r="A132" s="215">
        <v>129.0</v>
      </c>
      <c r="B132" s="216" t="s">
        <v>2489</v>
      </c>
      <c r="C132" s="201" t="s">
        <v>2948</v>
      </c>
      <c r="D132" s="202" t="s">
        <v>2949</v>
      </c>
      <c r="E132" s="206" t="s">
        <v>2950</v>
      </c>
      <c r="F132" s="202">
        <v>45.0</v>
      </c>
      <c r="G132" s="202" t="s">
        <v>2951</v>
      </c>
      <c r="H132" s="203">
        <v>45994.0</v>
      </c>
      <c r="I132" s="204" t="s">
        <v>2431</v>
      </c>
      <c r="J132" s="190" t="b">
        <v>0</v>
      </c>
      <c r="K132" s="35"/>
      <c r="L132" s="35"/>
      <c r="M132" s="13"/>
      <c r="N132" s="13"/>
      <c r="O132" s="13"/>
      <c r="P132" s="13"/>
      <c r="Q132" s="13"/>
      <c r="R132" s="13"/>
      <c r="S132" s="13"/>
      <c r="T132" s="13"/>
      <c r="U132" s="13"/>
      <c r="V132" s="13"/>
      <c r="W132" s="13"/>
      <c r="X132" s="13"/>
      <c r="Y132" s="13"/>
      <c r="Z132" s="13"/>
    </row>
    <row r="133" ht="16.5" hidden="1" customHeight="1">
      <c r="A133" s="216">
        <v>130.0</v>
      </c>
      <c r="B133" s="216" t="s">
        <v>2426</v>
      </c>
      <c r="C133" s="201" t="s">
        <v>2952</v>
      </c>
      <c r="D133" s="202" t="s">
        <v>2953</v>
      </c>
      <c r="E133" s="207" t="s">
        <v>2954</v>
      </c>
      <c r="F133" s="202" t="s">
        <v>2955</v>
      </c>
      <c r="G133" s="202" t="s">
        <v>2956</v>
      </c>
      <c r="H133" s="203">
        <v>45994.0</v>
      </c>
      <c r="I133" s="204" t="s">
        <v>2437</v>
      </c>
      <c r="J133" s="190" t="b">
        <v>0</v>
      </c>
      <c r="K133" s="35"/>
      <c r="L133" s="35"/>
      <c r="M133" s="13"/>
      <c r="N133" s="13"/>
      <c r="O133" s="13"/>
      <c r="P133" s="13"/>
      <c r="Q133" s="13"/>
      <c r="R133" s="13"/>
      <c r="S133" s="13"/>
      <c r="T133" s="13"/>
      <c r="U133" s="13"/>
      <c r="V133" s="13"/>
      <c r="W133" s="13"/>
      <c r="X133" s="13"/>
      <c r="Y133" s="13"/>
      <c r="Z133" s="13"/>
    </row>
    <row r="134" ht="16.5" customHeight="1">
      <c r="A134" s="215">
        <v>131.0</v>
      </c>
      <c r="B134" s="216" t="s">
        <v>2489</v>
      </c>
      <c r="C134" s="201" t="s">
        <v>2957</v>
      </c>
      <c r="D134" s="202" t="s">
        <v>2958</v>
      </c>
      <c r="E134" s="210" t="s">
        <v>2959</v>
      </c>
      <c r="F134" s="209"/>
      <c r="G134" s="221" t="s">
        <v>2960</v>
      </c>
      <c r="H134" s="203">
        <v>45994.0</v>
      </c>
      <c r="I134" s="204" t="s">
        <v>2431</v>
      </c>
      <c r="J134" s="190" t="b">
        <v>0</v>
      </c>
      <c r="K134" s="35"/>
      <c r="L134" s="35"/>
      <c r="M134" s="13"/>
      <c r="N134" s="13"/>
      <c r="O134" s="13"/>
      <c r="P134" s="13"/>
      <c r="Q134" s="13"/>
      <c r="R134" s="13"/>
      <c r="S134" s="13"/>
      <c r="T134" s="13"/>
      <c r="U134" s="13"/>
      <c r="V134" s="13"/>
      <c r="W134" s="13"/>
      <c r="X134" s="13"/>
      <c r="Y134" s="13"/>
      <c r="Z134" s="13"/>
    </row>
    <row r="135" ht="16.5" customHeight="1">
      <c r="A135" s="215">
        <v>132.0</v>
      </c>
      <c r="B135" s="216" t="s">
        <v>2690</v>
      </c>
      <c r="C135" s="201" t="s">
        <v>2961</v>
      </c>
      <c r="D135" s="202" t="s">
        <v>2962</v>
      </c>
      <c r="E135" s="210" t="s">
        <v>2963</v>
      </c>
      <c r="F135" s="209"/>
      <c r="G135" s="222"/>
      <c r="H135" s="203">
        <v>45994.0</v>
      </c>
      <c r="I135" s="204" t="s">
        <v>2431</v>
      </c>
      <c r="J135" s="190" t="b">
        <v>0</v>
      </c>
      <c r="K135" s="35"/>
      <c r="L135" s="35"/>
      <c r="M135" s="13"/>
      <c r="N135" s="13"/>
      <c r="O135" s="13"/>
      <c r="P135" s="13"/>
      <c r="Q135" s="13"/>
      <c r="R135" s="13"/>
      <c r="S135" s="13"/>
      <c r="T135" s="13"/>
      <c r="U135" s="13"/>
      <c r="V135" s="13"/>
      <c r="W135" s="13"/>
      <c r="X135" s="13"/>
      <c r="Y135" s="13"/>
      <c r="Z135" s="13"/>
    </row>
    <row r="136" ht="16.5" customHeight="1">
      <c r="A136" s="215">
        <v>133.0</v>
      </c>
      <c r="B136" s="216" t="s">
        <v>2690</v>
      </c>
      <c r="C136" s="201" t="s">
        <v>2964</v>
      </c>
      <c r="D136" s="202" t="s">
        <v>2965</v>
      </c>
      <c r="E136" s="210" t="s">
        <v>2966</v>
      </c>
      <c r="F136" s="209"/>
      <c r="G136" s="222"/>
      <c r="H136" s="203">
        <v>45994.0</v>
      </c>
      <c r="I136" s="204" t="s">
        <v>2431</v>
      </c>
      <c r="J136" s="190" t="b">
        <v>0</v>
      </c>
      <c r="K136" s="35"/>
      <c r="L136" s="35"/>
      <c r="M136" s="13"/>
      <c r="N136" s="13"/>
      <c r="O136" s="13"/>
      <c r="P136" s="13"/>
      <c r="Q136" s="13"/>
      <c r="R136" s="13"/>
      <c r="S136" s="13"/>
      <c r="T136" s="13"/>
      <c r="U136" s="13"/>
      <c r="V136" s="13"/>
      <c r="W136" s="13"/>
      <c r="X136" s="13"/>
      <c r="Y136" s="13"/>
      <c r="Z136" s="13"/>
    </row>
    <row r="137" ht="16.5" customHeight="1">
      <c r="A137" s="215">
        <v>134.0</v>
      </c>
      <c r="B137" s="216" t="s">
        <v>2549</v>
      </c>
      <c r="C137" s="201" t="s">
        <v>2967</v>
      </c>
      <c r="D137" s="202" t="s">
        <v>2968</v>
      </c>
      <c r="E137" s="206" t="s">
        <v>2969</v>
      </c>
      <c r="F137" s="209"/>
      <c r="G137" s="222"/>
      <c r="H137" s="203">
        <v>45994.0</v>
      </c>
      <c r="I137" s="204" t="s">
        <v>2431</v>
      </c>
      <c r="J137" s="190" t="b">
        <v>0</v>
      </c>
      <c r="K137" s="35"/>
      <c r="L137" s="35"/>
      <c r="M137" s="13"/>
      <c r="N137" s="13"/>
      <c r="O137" s="13"/>
      <c r="P137" s="13"/>
      <c r="Q137" s="13"/>
      <c r="R137" s="13"/>
      <c r="S137" s="13"/>
      <c r="T137" s="13"/>
      <c r="U137" s="13"/>
      <c r="V137" s="13"/>
      <c r="W137" s="13"/>
      <c r="X137" s="13"/>
      <c r="Y137" s="13"/>
      <c r="Z137" s="13"/>
    </row>
    <row r="138" ht="16.5" customHeight="1">
      <c r="A138" s="215">
        <v>135.0</v>
      </c>
      <c r="B138" s="216" t="s">
        <v>2690</v>
      </c>
      <c r="C138" s="201" t="s">
        <v>2970</v>
      </c>
      <c r="D138" s="202" t="s">
        <v>2971</v>
      </c>
      <c r="E138" s="210" t="s">
        <v>2972</v>
      </c>
      <c r="F138" s="209"/>
      <c r="G138" s="223"/>
      <c r="H138" s="203">
        <v>45994.0</v>
      </c>
      <c r="I138" s="204" t="s">
        <v>2431</v>
      </c>
      <c r="J138" s="190" t="b">
        <v>0</v>
      </c>
      <c r="K138" s="35"/>
      <c r="L138" s="35"/>
      <c r="M138" s="13"/>
      <c r="N138" s="13"/>
      <c r="O138" s="13"/>
      <c r="P138" s="13"/>
      <c r="Q138" s="13"/>
      <c r="R138" s="13"/>
      <c r="S138" s="13"/>
      <c r="T138" s="13"/>
      <c r="U138" s="13"/>
      <c r="V138" s="13"/>
      <c r="W138" s="13"/>
      <c r="X138" s="13"/>
      <c r="Y138" s="13"/>
      <c r="Z138" s="13"/>
    </row>
    <row r="139" ht="16.5" customHeight="1">
      <c r="A139" s="215">
        <v>136.0</v>
      </c>
      <c r="B139" s="216" t="s">
        <v>2614</v>
      </c>
      <c r="C139" s="201" t="s">
        <v>2973</v>
      </c>
      <c r="D139" s="202" t="s">
        <v>2974</v>
      </c>
      <c r="E139" s="206" t="s">
        <v>2975</v>
      </c>
      <c r="F139" s="202">
        <v>1.0</v>
      </c>
      <c r="G139" s="202" t="s">
        <v>2976</v>
      </c>
      <c r="H139" s="203">
        <v>45994.0</v>
      </c>
      <c r="I139" s="204" t="s">
        <v>2431</v>
      </c>
      <c r="J139" s="190" t="b">
        <v>0</v>
      </c>
      <c r="K139" s="35"/>
      <c r="L139" s="35"/>
      <c r="M139" s="13"/>
      <c r="N139" s="13"/>
      <c r="O139" s="13"/>
      <c r="P139" s="13"/>
      <c r="Q139" s="13"/>
      <c r="R139" s="13"/>
      <c r="S139" s="13"/>
      <c r="T139" s="13"/>
      <c r="U139" s="13"/>
      <c r="V139" s="13"/>
      <c r="W139" s="13"/>
      <c r="X139" s="13"/>
      <c r="Y139" s="13"/>
      <c r="Z139" s="13"/>
    </row>
    <row r="140" ht="16.5" customHeight="1">
      <c r="A140" s="215">
        <v>137.0</v>
      </c>
      <c r="B140" s="216" t="s">
        <v>2508</v>
      </c>
      <c r="C140" s="201" t="s">
        <v>2977</v>
      </c>
      <c r="D140" s="202" t="s">
        <v>2978</v>
      </c>
      <c r="E140" s="210" t="s">
        <v>2979</v>
      </c>
      <c r="F140" s="209"/>
      <c r="G140" s="202" t="s">
        <v>2980</v>
      </c>
      <c r="H140" s="203">
        <v>45994.0</v>
      </c>
      <c r="I140" s="204" t="s">
        <v>2431</v>
      </c>
      <c r="J140" s="190" t="b">
        <v>0</v>
      </c>
      <c r="K140" s="35"/>
      <c r="L140" s="35"/>
      <c r="M140" s="13"/>
      <c r="N140" s="13"/>
      <c r="O140" s="13"/>
      <c r="P140" s="13"/>
      <c r="Q140" s="13"/>
      <c r="R140" s="13"/>
      <c r="S140" s="13"/>
      <c r="T140" s="13"/>
      <c r="U140" s="13"/>
      <c r="V140" s="13"/>
      <c r="W140" s="13"/>
      <c r="X140" s="13"/>
      <c r="Y140" s="13"/>
      <c r="Z140" s="13"/>
    </row>
    <row r="141" ht="16.5" customHeight="1">
      <c r="A141" s="215">
        <v>138.0</v>
      </c>
      <c r="B141" s="216" t="s">
        <v>2685</v>
      </c>
      <c r="C141" s="224" t="s">
        <v>2981</v>
      </c>
      <c r="D141" s="202" t="s">
        <v>2982</v>
      </c>
      <c r="E141" s="206" t="s">
        <v>2983</v>
      </c>
      <c r="F141" s="210" t="s">
        <v>2984</v>
      </c>
      <c r="G141" s="202" t="s">
        <v>2985</v>
      </c>
      <c r="H141" s="203">
        <v>45994.0</v>
      </c>
      <c r="I141" s="204" t="s">
        <v>2431</v>
      </c>
      <c r="J141" s="190" t="b">
        <v>0</v>
      </c>
      <c r="K141" s="35"/>
      <c r="L141" s="35"/>
      <c r="M141" s="13"/>
      <c r="N141" s="13"/>
      <c r="O141" s="13"/>
      <c r="P141" s="13"/>
      <c r="Q141" s="13"/>
      <c r="R141" s="13"/>
      <c r="S141" s="13"/>
      <c r="T141" s="13"/>
      <c r="U141" s="13"/>
      <c r="V141" s="13"/>
      <c r="W141" s="13"/>
      <c r="X141" s="13"/>
      <c r="Y141" s="13"/>
      <c r="Z141" s="13"/>
    </row>
    <row r="142" ht="16.5" customHeight="1">
      <c r="A142" s="215">
        <v>139.0</v>
      </c>
      <c r="B142" s="216" t="s">
        <v>2685</v>
      </c>
      <c r="C142" s="224" t="s">
        <v>2986</v>
      </c>
      <c r="D142" s="202" t="s">
        <v>2987</v>
      </c>
      <c r="E142" s="206" t="s">
        <v>2988</v>
      </c>
      <c r="F142" s="210" t="s">
        <v>2989</v>
      </c>
      <c r="G142" s="202" t="s">
        <v>2990</v>
      </c>
      <c r="H142" s="203">
        <v>45994.0</v>
      </c>
      <c r="I142" s="204" t="s">
        <v>2431</v>
      </c>
      <c r="J142" s="190" t="b">
        <v>0</v>
      </c>
      <c r="K142" s="35"/>
      <c r="L142" s="35"/>
      <c r="M142" s="13"/>
      <c r="N142" s="13"/>
      <c r="O142" s="13"/>
      <c r="P142" s="13"/>
      <c r="Q142" s="13"/>
      <c r="R142" s="13"/>
      <c r="S142" s="13"/>
      <c r="T142" s="13"/>
      <c r="U142" s="13"/>
      <c r="V142" s="13"/>
      <c r="W142" s="13"/>
      <c r="X142" s="13"/>
      <c r="Y142" s="13"/>
      <c r="Z142" s="13"/>
    </row>
    <row r="143" ht="16.5" customHeight="1">
      <c r="A143" s="215">
        <v>140.0</v>
      </c>
      <c r="B143" s="216" t="s">
        <v>2679</v>
      </c>
      <c r="C143" s="224" t="s">
        <v>2991</v>
      </c>
      <c r="D143" s="202" t="s">
        <v>2992</v>
      </c>
      <c r="E143" s="206" t="s">
        <v>2993</v>
      </c>
      <c r="F143" s="210" t="s">
        <v>2994</v>
      </c>
      <c r="G143" s="202" t="s">
        <v>2990</v>
      </c>
      <c r="H143" s="203">
        <v>45994.0</v>
      </c>
      <c r="I143" s="204" t="s">
        <v>2431</v>
      </c>
      <c r="J143" s="190" t="b">
        <v>0</v>
      </c>
      <c r="K143" s="35"/>
      <c r="L143" s="35"/>
      <c r="M143" s="13"/>
      <c r="N143" s="13"/>
      <c r="O143" s="13"/>
      <c r="P143" s="13"/>
      <c r="Q143" s="13"/>
      <c r="R143" s="13"/>
      <c r="S143" s="13"/>
      <c r="T143" s="13"/>
      <c r="U143" s="13"/>
      <c r="V143" s="13"/>
      <c r="W143" s="13"/>
      <c r="X143" s="13"/>
      <c r="Y143" s="13"/>
      <c r="Z143" s="13"/>
    </row>
    <row r="144" ht="16.5" customHeight="1">
      <c r="A144" s="215">
        <v>141.0</v>
      </c>
      <c r="B144" s="216" t="s">
        <v>2706</v>
      </c>
      <c r="C144" s="224" t="s">
        <v>2995</v>
      </c>
      <c r="D144" s="202" t="s">
        <v>2996</v>
      </c>
      <c r="E144" s="206" t="s">
        <v>2997</v>
      </c>
      <c r="F144" s="210" t="s">
        <v>2998</v>
      </c>
      <c r="G144" s="202" t="s">
        <v>2999</v>
      </c>
      <c r="H144" s="203">
        <v>45994.0</v>
      </c>
      <c r="I144" s="204" t="s">
        <v>2431</v>
      </c>
      <c r="J144" s="190" t="b">
        <v>0</v>
      </c>
      <c r="K144" s="35"/>
      <c r="L144" s="35"/>
      <c r="M144" s="13"/>
      <c r="N144" s="13"/>
      <c r="O144" s="13"/>
      <c r="P144" s="13"/>
      <c r="Q144" s="13"/>
      <c r="R144" s="13"/>
      <c r="S144" s="13"/>
      <c r="T144" s="13"/>
      <c r="U144" s="13"/>
      <c r="V144" s="13"/>
      <c r="W144" s="13"/>
      <c r="X144" s="13"/>
      <c r="Y144" s="13"/>
      <c r="Z144" s="13"/>
    </row>
    <row r="145" ht="16.5" customHeight="1">
      <c r="A145" s="215">
        <v>142.0</v>
      </c>
      <c r="B145" s="216" t="s">
        <v>2685</v>
      </c>
      <c r="C145" s="224" t="s">
        <v>3000</v>
      </c>
      <c r="D145" s="202" t="s">
        <v>3001</v>
      </c>
      <c r="E145" s="206" t="s">
        <v>3002</v>
      </c>
      <c r="F145" s="210" t="s">
        <v>3003</v>
      </c>
      <c r="G145" s="202" t="s">
        <v>2990</v>
      </c>
      <c r="H145" s="203">
        <v>45994.0</v>
      </c>
      <c r="I145" s="204" t="s">
        <v>2431</v>
      </c>
      <c r="J145" s="190" t="b">
        <v>0</v>
      </c>
      <c r="K145" s="35"/>
      <c r="L145" s="35"/>
      <c r="M145" s="13"/>
      <c r="N145" s="13"/>
      <c r="O145" s="13"/>
      <c r="P145" s="13"/>
      <c r="Q145" s="13"/>
      <c r="R145" s="13"/>
      <c r="S145" s="13"/>
      <c r="T145" s="13"/>
      <c r="U145" s="13"/>
      <c r="V145" s="13"/>
      <c r="W145" s="13"/>
      <c r="X145" s="13"/>
      <c r="Y145" s="13"/>
      <c r="Z145" s="13"/>
    </row>
    <row r="146" ht="16.5" customHeight="1">
      <c r="A146" s="215">
        <v>143.0</v>
      </c>
      <c r="B146" s="216" t="s">
        <v>2438</v>
      </c>
      <c r="C146" s="224" t="s">
        <v>3004</v>
      </c>
      <c r="D146" s="202" t="s">
        <v>3005</v>
      </c>
      <c r="E146" s="206" t="s">
        <v>3006</v>
      </c>
      <c r="F146" s="225"/>
      <c r="G146" s="202" t="s">
        <v>3007</v>
      </c>
      <c r="H146" s="203">
        <v>45994.0</v>
      </c>
      <c r="I146" s="204" t="s">
        <v>2431</v>
      </c>
      <c r="J146" s="190" t="b">
        <v>0</v>
      </c>
      <c r="K146" s="35"/>
      <c r="L146" s="35"/>
      <c r="M146" s="13"/>
      <c r="N146" s="13"/>
      <c r="O146" s="13"/>
      <c r="P146" s="13"/>
      <c r="Q146" s="13"/>
      <c r="R146" s="13"/>
      <c r="S146" s="13"/>
      <c r="T146" s="13"/>
      <c r="U146" s="13"/>
      <c r="V146" s="13"/>
      <c r="W146" s="13"/>
      <c r="X146" s="13"/>
      <c r="Y146" s="13"/>
      <c r="Z146" s="13"/>
    </row>
    <row r="147" ht="16.5" hidden="1" customHeight="1">
      <c r="A147" s="216">
        <v>144.0</v>
      </c>
      <c r="B147" s="216" t="s">
        <v>2489</v>
      </c>
      <c r="C147" s="201" t="s">
        <v>3008</v>
      </c>
      <c r="D147" s="202" t="s">
        <v>3009</v>
      </c>
      <c r="E147" s="207" t="s">
        <v>3010</v>
      </c>
      <c r="F147" s="202" t="s">
        <v>3011</v>
      </c>
      <c r="G147" s="202" t="s">
        <v>2951</v>
      </c>
      <c r="H147" s="203">
        <v>45994.0</v>
      </c>
      <c r="I147" s="204" t="s">
        <v>2437</v>
      </c>
      <c r="J147" s="190" t="b">
        <v>0</v>
      </c>
      <c r="K147" s="35"/>
      <c r="L147" s="35"/>
      <c r="M147" s="13"/>
      <c r="N147" s="13"/>
      <c r="O147" s="13"/>
      <c r="P147" s="13"/>
      <c r="Q147" s="13"/>
      <c r="R147" s="13"/>
      <c r="S147" s="13"/>
      <c r="T147" s="13"/>
      <c r="U147" s="13"/>
      <c r="V147" s="13"/>
      <c r="W147" s="13"/>
      <c r="X147" s="13"/>
      <c r="Y147" s="13"/>
      <c r="Z147" s="13"/>
    </row>
    <row r="148" ht="16.5" customHeight="1">
      <c r="A148" s="215">
        <v>145.0</v>
      </c>
      <c r="B148" s="216" t="s">
        <v>2426</v>
      </c>
      <c r="C148" s="201" t="s">
        <v>3012</v>
      </c>
      <c r="D148" s="202" t="s">
        <v>3013</v>
      </c>
      <c r="E148" s="206" t="s">
        <v>3014</v>
      </c>
      <c r="F148" s="202">
        <v>20.0</v>
      </c>
      <c r="G148" s="202" t="s">
        <v>3015</v>
      </c>
      <c r="H148" s="203">
        <v>45994.0</v>
      </c>
      <c r="I148" s="204" t="s">
        <v>2431</v>
      </c>
      <c r="J148" s="190" t="b">
        <v>0</v>
      </c>
      <c r="K148" s="35"/>
      <c r="L148" s="35"/>
      <c r="M148" s="13"/>
      <c r="N148" s="13"/>
      <c r="O148" s="13"/>
      <c r="P148" s="13"/>
      <c r="Q148" s="13"/>
      <c r="R148" s="13"/>
      <c r="S148" s="13"/>
      <c r="T148" s="13"/>
      <c r="U148" s="13"/>
      <c r="V148" s="13"/>
      <c r="W148" s="13"/>
      <c r="X148" s="13"/>
      <c r="Y148" s="13"/>
      <c r="Z148" s="13"/>
    </row>
    <row r="149" ht="16.5" hidden="1" customHeight="1">
      <c r="A149" s="216">
        <v>146.0</v>
      </c>
      <c r="B149" s="216" t="s">
        <v>2489</v>
      </c>
      <c r="C149" s="201" t="s">
        <v>3016</v>
      </c>
      <c r="D149" s="202" t="s">
        <v>3017</v>
      </c>
      <c r="E149" s="226" t="s">
        <v>3018</v>
      </c>
      <c r="F149" s="202" t="s">
        <v>3019</v>
      </c>
      <c r="G149" s="202" t="s">
        <v>3015</v>
      </c>
      <c r="H149" s="203">
        <v>45994.0</v>
      </c>
      <c r="I149" s="204" t="s">
        <v>2437</v>
      </c>
      <c r="J149" s="190" t="b">
        <v>0</v>
      </c>
      <c r="K149" s="35"/>
      <c r="L149" s="35"/>
      <c r="M149" s="13"/>
      <c r="N149" s="13"/>
      <c r="O149" s="13"/>
      <c r="P149" s="13"/>
      <c r="Q149" s="13"/>
      <c r="R149" s="13"/>
      <c r="S149" s="13"/>
      <c r="T149" s="13"/>
      <c r="U149" s="13"/>
      <c r="V149" s="13"/>
      <c r="W149" s="13"/>
      <c r="X149" s="13"/>
      <c r="Y149" s="13"/>
      <c r="Z149" s="13"/>
    </row>
    <row r="150" ht="16.5" customHeight="1">
      <c r="A150" s="215">
        <v>147.0</v>
      </c>
      <c r="B150" s="216" t="s">
        <v>2489</v>
      </c>
      <c r="C150" s="201" t="s">
        <v>3020</v>
      </c>
      <c r="D150" s="202" t="s">
        <v>3021</v>
      </c>
      <c r="E150" s="206" t="s">
        <v>3022</v>
      </c>
      <c r="F150" s="202">
        <v>3.0</v>
      </c>
      <c r="G150" s="202" t="s">
        <v>3023</v>
      </c>
      <c r="H150" s="203">
        <v>45994.0</v>
      </c>
      <c r="I150" s="204" t="s">
        <v>2431</v>
      </c>
      <c r="J150" s="190" t="b">
        <v>0</v>
      </c>
      <c r="K150" s="35"/>
      <c r="L150" s="35"/>
      <c r="M150" s="13"/>
      <c r="N150" s="13"/>
      <c r="O150" s="13"/>
      <c r="P150" s="13"/>
      <c r="Q150" s="13"/>
      <c r="R150" s="13"/>
      <c r="S150" s="13"/>
      <c r="T150" s="13"/>
      <c r="U150" s="13"/>
      <c r="V150" s="13"/>
      <c r="W150" s="13"/>
      <c r="X150" s="13"/>
      <c r="Y150" s="13"/>
      <c r="Z150" s="13"/>
    </row>
    <row r="151" ht="16.5" customHeight="1">
      <c r="A151" s="215">
        <v>148.0</v>
      </c>
      <c r="B151" s="216" t="s">
        <v>2489</v>
      </c>
      <c r="C151" s="201" t="s">
        <v>3024</v>
      </c>
      <c r="D151" s="202" t="s">
        <v>3025</v>
      </c>
      <c r="E151" s="206" t="s">
        <v>3026</v>
      </c>
      <c r="F151" s="202">
        <v>13.0</v>
      </c>
      <c r="G151" s="202" t="s">
        <v>3023</v>
      </c>
      <c r="H151" s="203">
        <v>45994.0</v>
      </c>
      <c r="I151" s="204" t="s">
        <v>2431</v>
      </c>
      <c r="J151" s="190" t="b">
        <v>0</v>
      </c>
      <c r="K151" s="35"/>
      <c r="L151" s="35"/>
      <c r="M151" s="13"/>
      <c r="N151" s="13"/>
      <c r="O151" s="13"/>
      <c r="P151" s="13"/>
      <c r="Q151" s="13"/>
      <c r="R151" s="13"/>
      <c r="S151" s="13"/>
      <c r="T151" s="13"/>
      <c r="U151" s="13"/>
      <c r="V151" s="13"/>
      <c r="W151" s="13"/>
      <c r="X151" s="13"/>
      <c r="Y151" s="13"/>
      <c r="Z151" s="13"/>
    </row>
    <row r="152" ht="16.5" hidden="1" customHeight="1">
      <c r="A152" s="216">
        <v>149.0</v>
      </c>
      <c r="B152" s="216" t="s">
        <v>2426</v>
      </c>
      <c r="C152" s="201" t="s">
        <v>3027</v>
      </c>
      <c r="D152" s="202" t="s">
        <v>3028</v>
      </c>
      <c r="E152" s="58" t="s">
        <v>3029</v>
      </c>
      <c r="F152" s="39" t="s">
        <v>3030</v>
      </c>
      <c r="G152" s="227" t="s">
        <v>3031</v>
      </c>
      <c r="H152" s="228">
        <v>45995.0</v>
      </c>
      <c r="I152" s="204" t="s">
        <v>2437</v>
      </c>
      <c r="J152" s="190" t="b">
        <v>0</v>
      </c>
      <c r="K152" s="35"/>
      <c r="L152" s="35"/>
      <c r="M152" s="13"/>
      <c r="N152" s="13"/>
      <c r="O152" s="13"/>
      <c r="P152" s="13"/>
      <c r="Q152" s="13"/>
      <c r="R152" s="13"/>
      <c r="S152" s="13"/>
      <c r="T152" s="13"/>
      <c r="U152" s="13"/>
      <c r="V152" s="13"/>
      <c r="W152" s="13"/>
      <c r="X152" s="13"/>
      <c r="Y152" s="13"/>
      <c r="Z152" s="13"/>
    </row>
    <row r="153" ht="16.5" hidden="1" customHeight="1">
      <c r="A153" s="216">
        <v>150.0</v>
      </c>
      <c r="B153" s="216" t="s">
        <v>2706</v>
      </c>
      <c r="C153" s="201" t="s">
        <v>3032</v>
      </c>
      <c r="D153" s="39" t="s">
        <v>3033</v>
      </c>
      <c r="E153" s="229" t="s">
        <v>3034</v>
      </c>
      <c r="F153" s="209"/>
      <c r="G153" s="230" t="s">
        <v>3035</v>
      </c>
      <c r="H153" s="228">
        <v>45995.0</v>
      </c>
      <c r="I153" s="204" t="s">
        <v>2437</v>
      </c>
      <c r="J153" s="190" t="b">
        <v>0</v>
      </c>
      <c r="K153" s="35"/>
      <c r="L153" s="35"/>
      <c r="M153" s="13"/>
      <c r="N153" s="13"/>
      <c r="O153" s="13"/>
      <c r="P153" s="13"/>
      <c r="Q153" s="13"/>
      <c r="R153" s="13"/>
      <c r="S153" s="13"/>
      <c r="T153" s="13"/>
      <c r="U153" s="13"/>
      <c r="V153" s="13"/>
      <c r="W153" s="13"/>
      <c r="X153" s="13"/>
      <c r="Y153" s="13"/>
      <c r="Z153" s="13"/>
    </row>
    <row r="154" ht="16.5" hidden="1" customHeight="1">
      <c r="A154" s="216">
        <v>151.0</v>
      </c>
      <c r="B154" s="216" t="s">
        <v>2489</v>
      </c>
      <c r="C154" s="201" t="s">
        <v>3036</v>
      </c>
      <c r="D154" s="202" t="s">
        <v>3037</v>
      </c>
      <c r="E154" s="207" t="s">
        <v>3038</v>
      </c>
      <c r="F154" s="202" t="s">
        <v>3039</v>
      </c>
      <c r="G154" s="231" t="s">
        <v>3040</v>
      </c>
      <c r="H154" s="228">
        <v>45995.0</v>
      </c>
      <c r="I154" s="204" t="s">
        <v>2437</v>
      </c>
      <c r="J154" s="190" t="b">
        <v>0</v>
      </c>
      <c r="K154" s="35"/>
      <c r="L154" s="35"/>
      <c r="M154" s="13"/>
      <c r="N154" s="13"/>
      <c r="O154" s="13"/>
      <c r="P154" s="13"/>
      <c r="Q154" s="13"/>
      <c r="R154" s="13"/>
      <c r="S154" s="13"/>
      <c r="T154" s="13"/>
      <c r="U154" s="13"/>
      <c r="V154" s="13"/>
      <c r="W154" s="13"/>
      <c r="X154" s="13"/>
      <c r="Y154" s="13"/>
      <c r="Z154" s="13"/>
    </row>
    <row r="155" ht="16.5" hidden="1" customHeight="1">
      <c r="A155" s="216">
        <v>152.0</v>
      </c>
      <c r="B155" s="216" t="s">
        <v>2489</v>
      </c>
      <c r="C155" s="201" t="s">
        <v>3041</v>
      </c>
      <c r="D155" s="202" t="s">
        <v>3042</v>
      </c>
      <c r="E155" s="207" t="s">
        <v>3038</v>
      </c>
      <c r="F155" s="202" t="s">
        <v>3043</v>
      </c>
      <c r="G155" s="232" t="s">
        <v>3044</v>
      </c>
      <c r="H155" s="228">
        <v>45995.0</v>
      </c>
      <c r="I155" s="204" t="s">
        <v>2437</v>
      </c>
      <c r="J155" s="190" t="b">
        <v>0</v>
      </c>
      <c r="K155" s="35"/>
      <c r="L155" s="35"/>
      <c r="M155" s="13"/>
      <c r="N155" s="13"/>
      <c r="O155" s="13"/>
      <c r="P155" s="13"/>
      <c r="Q155" s="13"/>
      <c r="R155" s="13"/>
      <c r="S155" s="13"/>
      <c r="T155" s="13"/>
      <c r="U155" s="13"/>
      <c r="V155" s="13"/>
      <c r="W155" s="13"/>
      <c r="X155" s="13"/>
      <c r="Y155" s="13"/>
      <c r="Z155" s="13"/>
    </row>
    <row r="156" ht="16.5" customHeight="1">
      <c r="A156" s="215">
        <v>153.0</v>
      </c>
      <c r="B156" s="233" t="s">
        <v>3045</v>
      </c>
      <c r="C156" s="37" t="s">
        <v>3046</v>
      </c>
      <c r="D156" s="234" t="s">
        <v>3047</v>
      </c>
      <c r="E156" s="219" t="s">
        <v>3048</v>
      </c>
      <c r="F156" s="108">
        <v>45882.0</v>
      </c>
      <c r="G156" s="39" t="s">
        <v>2530</v>
      </c>
      <c r="H156" s="228">
        <v>45995.0</v>
      </c>
      <c r="I156" s="204" t="s">
        <v>2431</v>
      </c>
      <c r="J156" s="190" t="b">
        <v>0</v>
      </c>
      <c r="K156" s="35"/>
      <c r="L156" s="35"/>
      <c r="M156" s="13"/>
      <c r="N156" s="13"/>
      <c r="O156" s="13"/>
      <c r="P156" s="13"/>
      <c r="Q156" s="13"/>
      <c r="R156" s="13"/>
      <c r="S156" s="13"/>
      <c r="T156" s="13"/>
      <c r="U156" s="13"/>
      <c r="V156" s="13"/>
      <c r="W156" s="13"/>
      <c r="X156" s="13"/>
      <c r="Y156" s="13"/>
      <c r="Z156" s="13"/>
    </row>
    <row r="157" ht="16.5" customHeight="1">
      <c r="A157" s="215">
        <v>154.0</v>
      </c>
      <c r="B157" s="233" t="s">
        <v>3045</v>
      </c>
      <c r="C157" s="37" t="s">
        <v>3049</v>
      </c>
      <c r="D157" s="234" t="s">
        <v>3050</v>
      </c>
      <c r="E157" s="219" t="s">
        <v>3048</v>
      </c>
      <c r="F157" s="108">
        <v>45941.0</v>
      </c>
      <c r="G157" s="39" t="s">
        <v>2530</v>
      </c>
      <c r="H157" s="228">
        <v>45995.0</v>
      </c>
      <c r="I157" s="204" t="s">
        <v>2431</v>
      </c>
      <c r="J157" s="190" t="b">
        <v>0</v>
      </c>
      <c r="K157" s="35"/>
      <c r="L157" s="35"/>
      <c r="M157" s="13"/>
      <c r="N157" s="13"/>
      <c r="O157" s="13"/>
      <c r="P157" s="13"/>
      <c r="Q157" s="13"/>
      <c r="R157" s="13"/>
      <c r="S157" s="13"/>
      <c r="T157" s="13"/>
      <c r="U157" s="13"/>
      <c r="V157" s="13"/>
      <c r="W157" s="13"/>
      <c r="X157" s="13"/>
      <c r="Y157" s="13"/>
      <c r="Z157" s="13"/>
    </row>
    <row r="158" ht="16.5" customHeight="1">
      <c r="A158" s="215">
        <v>155.0</v>
      </c>
      <c r="B158" s="233" t="s">
        <v>3045</v>
      </c>
      <c r="C158" s="37" t="s">
        <v>3051</v>
      </c>
      <c r="D158" s="234" t="s">
        <v>3052</v>
      </c>
      <c r="E158" s="219" t="s">
        <v>3048</v>
      </c>
      <c r="F158" s="39">
        <v>4.0</v>
      </c>
      <c r="G158" s="55"/>
      <c r="H158" s="228">
        <v>45995.0</v>
      </c>
      <c r="I158" s="204" t="s">
        <v>2431</v>
      </c>
      <c r="J158" s="190" t="b">
        <v>0</v>
      </c>
      <c r="K158" s="35"/>
      <c r="L158" s="35"/>
      <c r="M158" s="13"/>
      <c r="N158" s="13"/>
      <c r="O158" s="13"/>
      <c r="P158" s="13"/>
      <c r="Q158" s="13"/>
      <c r="R158" s="13"/>
      <c r="S158" s="13"/>
      <c r="T158" s="13"/>
      <c r="U158" s="13"/>
      <c r="V158" s="13"/>
      <c r="W158" s="13"/>
      <c r="X158" s="13"/>
      <c r="Y158" s="13"/>
      <c r="Z158" s="13"/>
    </row>
    <row r="159" ht="16.5" customHeight="1">
      <c r="A159" s="215">
        <v>156.0</v>
      </c>
      <c r="B159" s="233" t="s">
        <v>3045</v>
      </c>
      <c r="C159" s="37" t="s">
        <v>3053</v>
      </c>
      <c r="D159" s="234" t="s">
        <v>3054</v>
      </c>
      <c r="E159" s="219" t="s">
        <v>3048</v>
      </c>
      <c r="F159" s="39" t="s">
        <v>3055</v>
      </c>
      <c r="G159" s="235"/>
      <c r="H159" s="228">
        <v>45995.0</v>
      </c>
      <c r="I159" s="204" t="s">
        <v>2431</v>
      </c>
      <c r="J159" s="190" t="b">
        <v>0</v>
      </c>
      <c r="K159" s="35"/>
      <c r="L159" s="35"/>
      <c r="M159" s="13"/>
      <c r="N159" s="13"/>
      <c r="O159" s="13"/>
      <c r="P159" s="13"/>
      <c r="Q159" s="13"/>
      <c r="R159" s="13"/>
      <c r="S159" s="13"/>
      <c r="T159" s="13"/>
      <c r="U159" s="13"/>
      <c r="V159" s="13"/>
      <c r="W159" s="13"/>
      <c r="X159" s="13"/>
      <c r="Y159" s="13"/>
      <c r="Z159" s="13"/>
    </row>
    <row r="160" ht="16.5" customHeight="1">
      <c r="A160" s="215">
        <v>157.0</v>
      </c>
      <c r="B160" s="216" t="s">
        <v>2438</v>
      </c>
      <c r="C160" s="201" t="s">
        <v>3056</v>
      </c>
      <c r="D160" s="202" t="s">
        <v>3057</v>
      </c>
      <c r="E160" s="206" t="s">
        <v>3058</v>
      </c>
      <c r="F160" s="202">
        <v>1.0</v>
      </c>
      <c r="G160" s="202" t="s">
        <v>3059</v>
      </c>
      <c r="H160" s="228">
        <v>45995.0</v>
      </c>
      <c r="I160" s="204" t="s">
        <v>2431</v>
      </c>
      <c r="J160" s="190" t="b">
        <v>0</v>
      </c>
      <c r="K160" s="35"/>
      <c r="L160" s="35"/>
      <c r="M160" s="13"/>
      <c r="N160" s="13"/>
      <c r="O160" s="13"/>
      <c r="P160" s="13"/>
      <c r="Q160" s="13"/>
      <c r="R160" s="13"/>
      <c r="S160" s="13"/>
      <c r="T160" s="13"/>
      <c r="U160" s="13"/>
      <c r="V160" s="13"/>
      <c r="W160" s="13"/>
      <c r="X160" s="13"/>
      <c r="Y160" s="13"/>
      <c r="Z160" s="13"/>
    </row>
    <row r="161" ht="16.5" hidden="1" customHeight="1">
      <c r="A161" s="216">
        <v>158.0</v>
      </c>
      <c r="B161" s="216" t="s">
        <v>2426</v>
      </c>
      <c r="C161" s="201" t="s">
        <v>3060</v>
      </c>
      <c r="D161" s="202" t="s">
        <v>3061</v>
      </c>
      <c r="E161" s="207" t="s">
        <v>3062</v>
      </c>
      <c r="F161" s="202" t="s">
        <v>3063</v>
      </c>
      <c r="G161" s="202" t="s">
        <v>3064</v>
      </c>
      <c r="H161" s="228">
        <v>45995.0</v>
      </c>
      <c r="I161" s="204" t="s">
        <v>2437</v>
      </c>
      <c r="J161" s="190" t="b">
        <v>0</v>
      </c>
      <c r="K161" s="35"/>
      <c r="L161" s="35"/>
      <c r="M161" s="13"/>
      <c r="N161" s="13"/>
      <c r="O161" s="13"/>
      <c r="P161" s="13"/>
      <c r="Q161" s="13"/>
      <c r="R161" s="13"/>
      <c r="S161" s="13"/>
      <c r="T161" s="13"/>
      <c r="U161" s="13"/>
      <c r="V161" s="13"/>
      <c r="W161" s="13"/>
      <c r="X161" s="13"/>
      <c r="Y161" s="13"/>
      <c r="Z161" s="13"/>
    </row>
    <row r="162" ht="16.5" customHeight="1">
      <c r="A162" s="215">
        <v>159.0</v>
      </c>
      <c r="B162" s="216" t="s">
        <v>2549</v>
      </c>
      <c r="C162" s="201" t="s">
        <v>3065</v>
      </c>
      <c r="D162" s="202" t="s">
        <v>3066</v>
      </c>
      <c r="E162" s="206" t="s">
        <v>3067</v>
      </c>
      <c r="F162" s="202">
        <v>1.0</v>
      </c>
      <c r="G162" s="202" t="s">
        <v>3068</v>
      </c>
      <c r="H162" s="228">
        <v>45995.0</v>
      </c>
      <c r="I162" s="204" t="s">
        <v>2431</v>
      </c>
      <c r="J162" s="190" t="b">
        <v>0</v>
      </c>
      <c r="K162" s="35"/>
      <c r="L162" s="35"/>
      <c r="M162" s="13"/>
      <c r="N162" s="13"/>
      <c r="O162" s="13"/>
      <c r="P162" s="13"/>
      <c r="Q162" s="13"/>
      <c r="R162" s="13"/>
      <c r="S162" s="13"/>
      <c r="T162" s="13"/>
      <c r="U162" s="13"/>
      <c r="V162" s="13"/>
      <c r="W162" s="13"/>
      <c r="X162" s="13"/>
      <c r="Y162" s="13"/>
      <c r="Z162" s="13"/>
    </row>
    <row r="163" ht="16.5" customHeight="1">
      <c r="A163" s="215">
        <v>160.0</v>
      </c>
      <c r="B163" s="216" t="s">
        <v>2489</v>
      </c>
      <c r="C163" s="201" t="s">
        <v>3069</v>
      </c>
      <c r="D163" s="202" t="s">
        <v>3070</v>
      </c>
      <c r="E163" s="206" t="s">
        <v>3071</v>
      </c>
      <c r="F163" s="209"/>
      <c r="G163" s="202" t="s">
        <v>3072</v>
      </c>
      <c r="H163" s="228">
        <v>45995.0</v>
      </c>
      <c r="I163" s="204" t="s">
        <v>2431</v>
      </c>
      <c r="J163" s="190" t="b">
        <v>0</v>
      </c>
      <c r="K163" s="35"/>
      <c r="L163" s="35"/>
      <c r="M163" s="13"/>
      <c r="N163" s="13"/>
      <c r="O163" s="13"/>
      <c r="P163" s="13"/>
      <c r="Q163" s="13"/>
      <c r="R163" s="13"/>
      <c r="S163" s="13"/>
      <c r="T163" s="13"/>
      <c r="U163" s="13"/>
      <c r="V163" s="13"/>
      <c r="W163" s="13"/>
      <c r="X163" s="13"/>
      <c r="Y163" s="13"/>
      <c r="Z163" s="13"/>
    </row>
    <row r="164" ht="16.5" hidden="1" customHeight="1">
      <c r="A164" s="216">
        <v>161.0</v>
      </c>
      <c r="B164" s="216" t="s">
        <v>2489</v>
      </c>
      <c r="C164" s="201" t="s">
        <v>3073</v>
      </c>
      <c r="D164" s="202" t="s">
        <v>3074</v>
      </c>
      <c r="E164" s="207" t="s">
        <v>3075</v>
      </c>
      <c r="F164" s="209"/>
      <c r="G164" s="236" t="s">
        <v>3076</v>
      </c>
      <c r="H164" s="228">
        <v>45995.0</v>
      </c>
      <c r="I164" s="204" t="s">
        <v>2437</v>
      </c>
      <c r="J164" s="190" t="b">
        <v>0</v>
      </c>
      <c r="K164" s="35"/>
      <c r="L164" s="35"/>
      <c r="M164" s="13"/>
      <c r="N164" s="13"/>
      <c r="O164" s="13"/>
      <c r="P164" s="13"/>
      <c r="Q164" s="13"/>
      <c r="R164" s="13"/>
      <c r="S164" s="13"/>
      <c r="T164" s="13"/>
      <c r="U164" s="13"/>
      <c r="V164" s="13"/>
      <c r="W164" s="13"/>
      <c r="X164" s="13"/>
      <c r="Y164" s="13"/>
      <c r="Z164" s="13"/>
    </row>
    <row r="165" ht="16.5" hidden="1" customHeight="1">
      <c r="A165" s="216">
        <v>162.0</v>
      </c>
      <c r="B165" s="233" t="s">
        <v>3077</v>
      </c>
      <c r="C165" s="201" t="s">
        <v>3078</v>
      </c>
      <c r="D165" s="202" t="s">
        <v>3079</v>
      </c>
      <c r="E165" s="237" t="s">
        <v>3080</v>
      </c>
      <c r="F165" s="39" t="s">
        <v>3081</v>
      </c>
      <c r="G165" s="202" t="s">
        <v>3082</v>
      </c>
      <c r="H165" s="228">
        <v>45995.0</v>
      </c>
      <c r="I165" s="204" t="s">
        <v>2437</v>
      </c>
      <c r="J165" s="190" t="b">
        <v>0</v>
      </c>
      <c r="K165" s="35"/>
      <c r="L165" s="35"/>
      <c r="M165" s="13"/>
      <c r="N165" s="13"/>
      <c r="O165" s="13"/>
      <c r="P165" s="13"/>
      <c r="Q165" s="13"/>
      <c r="R165" s="13"/>
      <c r="S165" s="13"/>
      <c r="T165" s="13"/>
      <c r="U165" s="13"/>
      <c r="V165" s="13"/>
      <c r="W165" s="13"/>
      <c r="X165" s="13"/>
      <c r="Y165" s="13"/>
      <c r="Z165" s="13"/>
    </row>
    <row r="166" ht="16.5" hidden="1" customHeight="1">
      <c r="A166" s="216">
        <v>163.0</v>
      </c>
      <c r="B166" s="216" t="s">
        <v>2651</v>
      </c>
      <c r="C166" s="201" t="s">
        <v>3083</v>
      </c>
      <c r="D166" s="202" t="s">
        <v>3084</v>
      </c>
      <c r="E166" s="207" t="s">
        <v>3085</v>
      </c>
      <c r="F166" s="202" t="s">
        <v>3086</v>
      </c>
      <c r="G166" s="202" t="s">
        <v>3087</v>
      </c>
      <c r="H166" s="228">
        <v>45995.0</v>
      </c>
      <c r="I166" s="204" t="s">
        <v>2437</v>
      </c>
      <c r="J166" s="190" t="b">
        <v>0</v>
      </c>
      <c r="K166" s="35"/>
      <c r="L166" s="35"/>
      <c r="M166" s="13"/>
      <c r="N166" s="13"/>
      <c r="O166" s="13"/>
      <c r="P166" s="13"/>
      <c r="Q166" s="13"/>
      <c r="R166" s="13"/>
      <c r="S166" s="13"/>
      <c r="T166" s="13"/>
      <c r="U166" s="13"/>
      <c r="V166" s="13"/>
      <c r="W166" s="13"/>
      <c r="X166" s="13"/>
      <c r="Y166" s="13"/>
      <c r="Z166" s="13"/>
    </row>
    <row r="167" ht="16.5" customHeight="1">
      <c r="A167" s="215">
        <v>164.0</v>
      </c>
      <c r="B167" s="216" t="s">
        <v>2651</v>
      </c>
      <c r="C167" s="201" t="s">
        <v>3088</v>
      </c>
      <c r="D167" s="202" t="s">
        <v>3089</v>
      </c>
      <c r="E167" s="206" t="s">
        <v>3090</v>
      </c>
      <c r="F167" s="202">
        <v>1.0</v>
      </c>
      <c r="G167" s="202" t="s">
        <v>3091</v>
      </c>
      <c r="H167" s="228">
        <v>45995.0</v>
      </c>
      <c r="I167" s="204" t="s">
        <v>2431</v>
      </c>
      <c r="J167" s="190" t="b">
        <v>0</v>
      </c>
      <c r="K167" s="35"/>
      <c r="L167" s="35"/>
      <c r="M167" s="13"/>
      <c r="N167" s="13"/>
      <c r="O167" s="13"/>
      <c r="P167" s="13"/>
      <c r="Q167" s="13"/>
      <c r="R167" s="13"/>
      <c r="S167" s="13"/>
      <c r="T167" s="13"/>
      <c r="U167" s="13"/>
      <c r="V167" s="13"/>
      <c r="W167" s="13"/>
      <c r="X167" s="13"/>
      <c r="Y167" s="13"/>
      <c r="Z167" s="13"/>
    </row>
    <row r="168" ht="16.5" customHeight="1">
      <c r="A168" s="215">
        <v>165.0</v>
      </c>
      <c r="B168" s="216" t="s">
        <v>3092</v>
      </c>
      <c r="C168" s="201" t="s">
        <v>3093</v>
      </c>
      <c r="D168" s="202" t="s">
        <v>3094</v>
      </c>
      <c r="E168" s="206" t="s">
        <v>3095</v>
      </c>
      <c r="F168" s="202" t="s">
        <v>3096</v>
      </c>
      <c r="G168" s="202" t="s">
        <v>3097</v>
      </c>
      <c r="H168" s="228">
        <v>45996.0</v>
      </c>
      <c r="I168" s="204" t="s">
        <v>2431</v>
      </c>
      <c r="J168" s="190" t="b">
        <v>0</v>
      </c>
      <c r="K168" s="35"/>
      <c r="L168" s="35"/>
      <c r="M168" s="13"/>
      <c r="N168" s="13"/>
      <c r="O168" s="13"/>
      <c r="P168" s="13"/>
      <c r="Q168" s="13"/>
      <c r="R168" s="13"/>
      <c r="S168" s="13"/>
      <c r="T168" s="13"/>
      <c r="U168" s="13"/>
      <c r="V168" s="13"/>
      <c r="W168" s="13"/>
      <c r="X168" s="13"/>
      <c r="Y168" s="13"/>
      <c r="Z168" s="13"/>
    </row>
    <row r="169" ht="16.5" customHeight="1">
      <c r="A169" s="215">
        <v>166.0</v>
      </c>
      <c r="B169" s="216" t="s">
        <v>3092</v>
      </c>
      <c r="C169" s="201" t="s">
        <v>3098</v>
      </c>
      <c r="D169" s="202" t="s">
        <v>3099</v>
      </c>
      <c r="E169" s="206" t="s">
        <v>3095</v>
      </c>
      <c r="F169" s="202" t="s">
        <v>3096</v>
      </c>
      <c r="G169" s="202" t="s">
        <v>3097</v>
      </c>
      <c r="H169" s="228">
        <v>45996.0</v>
      </c>
      <c r="I169" s="204" t="s">
        <v>2431</v>
      </c>
      <c r="J169" s="190" t="b">
        <v>0</v>
      </c>
      <c r="K169" s="35"/>
      <c r="L169" s="35"/>
      <c r="M169" s="13"/>
      <c r="N169" s="13"/>
      <c r="O169" s="13"/>
      <c r="P169" s="13"/>
      <c r="Q169" s="13"/>
      <c r="R169" s="13"/>
      <c r="S169" s="13"/>
      <c r="T169" s="13"/>
      <c r="U169" s="13"/>
      <c r="V169" s="13"/>
      <c r="W169" s="13"/>
      <c r="X169" s="13"/>
      <c r="Y169" s="13"/>
      <c r="Z169" s="13"/>
    </row>
    <row r="170" ht="16.5" customHeight="1">
      <c r="A170" s="215">
        <v>167.0</v>
      </c>
      <c r="B170" s="216" t="s">
        <v>3092</v>
      </c>
      <c r="C170" s="201" t="s">
        <v>3100</v>
      </c>
      <c r="D170" s="202" t="s">
        <v>3101</v>
      </c>
      <c r="E170" s="206" t="s">
        <v>3102</v>
      </c>
      <c r="F170" s="202" t="s">
        <v>3103</v>
      </c>
      <c r="G170" s="202" t="s">
        <v>3104</v>
      </c>
      <c r="H170" s="228">
        <v>45996.0</v>
      </c>
      <c r="I170" s="204" t="s">
        <v>2431</v>
      </c>
      <c r="J170" s="190" t="b">
        <v>0</v>
      </c>
      <c r="K170" s="35"/>
      <c r="L170" s="35"/>
      <c r="M170" s="13"/>
      <c r="N170" s="13"/>
      <c r="O170" s="13"/>
      <c r="P170" s="13"/>
      <c r="Q170" s="13"/>
      <c r="R170" s="13"/>
      <c r="S170" s="13"/>
      <c r="T170" s="13"/>
      <c r="U170" s="13"/>
      <c r="V170" s="13"/>
      <c r="W170" s="13"/>
      <c r="X170" s="13"/>
      <c r="Y170" s="13"/>
      <c r="Z170" s="13"/>
    </row>
    <row r="171" ht="16.5" customHeight="1">
      <c r="A171" s="215">
        <v>168.0</v>
      </c>
      <c r="B171" s="216" t="s">
        <v>3092</v>
      </c>
      <c r="C171" s="201" t="s">
        <v>3105</v>
      </c>
      <c r="D171" s="202" t="s">
        <v>3106</v>
      </c>
      <c r="E171" s="206" t="s">
        <v>3107</v>
      </c>
      <c r="F171" s="202" t="s">
        <v>3108</v>
      </c>
      <c r="G171" s="202" t="s">
        <v>3109</v>
      </c>
      <c r="H171" s="228">
        <v>45996.0</v>
      </c>
      <c r="I171" s="204" t="s">
        <v>2431</v>
      </c>
      <c r="J171" s="190" t="b">
        <v>0</v>
      </c>
      <c r="K171" s="35"/>
      <c r="L171" s="35"/>
      <c r="M171" s="13"/>
      <c r="N171" s="13"/>
      <c r="O171" s="13"/>
      <c r="P171" s="13"/>
      <c r="Q171" s="13"/>
      <c r="R171" s="13"/>
      <c r="S171" s="13"/>
      <c r="T171" s="13"/>
      <c r="U171" s="13"/>
      <c r="V171" s="13"/>
      <c r="W171" s="13"/>
      <c r="X171" s="13"/>
      <c r="Y171" s="13"/>
      <c r="Z171" s="13"/>
    </row>
    <row r="172" ht="16.5" customHeight="1">
      <c r="A172" s="215">
        <v>169.0</v>
      </c>
      <c r="B172" s="216" t="s">
        <v>3092</v>
      </c>
      <c r="C172" s="201" t="s">
        <v>3110</v>
      </c>
      <c r="D172" s="202" t="s">
        <v>3111</v>
      </c>
      <c r="E172" s="206" t="s">
        <v>3107</v>
      </c>
      <c r="F172" s="202" t="s">
        <v>3112</v>
      </c>
      <c r="G172" s="202" t="s">
        <v>3113</v>
      </c>
      <c r="H172" s="228">
        <v>45996.0</v>
      </c>
      <c r="I172" s="204" t="s">
        <v>2431</v>
      </c>
      <c r="J172" s="190" t="b">
        <v>0</v>
      </c>
      <c r="K172" s="35"/>
      <c r="L172" s="35"/>
      <c r="M172" s="13"/>
      <c r="N172" s="13"/>
      <c r="O172" s="13"/>
      <c r="P172" s="13"/>
      <c r="Q172" s="13"/>
      <c r="R172" s="13"/>
      <c r="S172" s="13"/>
      <c r="T172" s="13"/>
      <c r="U172" s="13"/>
      <c r="V172" s="13"/>
      <c r="W172" s="13"/>
      <c r="X172" s="13"/>
      <c r="Y172" s="13"/>
      <c r="Z172" s="13"/>
    </row>
    <row r="173" ht="16.5" customHeight="1">
      <c r="A173" s="215">
        <v>170.0</v>
      </c>
      <c r="B173" s="216" t="s">
        <v>3092</v>
      </c>
      <c r="C173" s="201" t="s">
        <v>3114</v>
      </c>
      <c r="D173" s="217" t="s">
        <v>3115</v>
      </c>
      <c r="E173" s="206" t="s">
        <v>3116</v>
      </c>
      <c r="F173" s="202" t="s">
        <v>3117</v>
      </c>
      <c r="G173" s="202" t="s">
        <v>3118</v>
      </c>
      <c r="H173" s="228">
        <v>45996.0</v>
      </c>
      <c r="I173" s="204" t="s">
        <v>2431</v>
      </c>
      <c r="J173" s="190" t="b">
        <v>0</v>
      </c>
      <c r="K173" s="35"/>
      <c r="L173" s="35"/>
      <c r="M173" s="13"/>
      <c r="N173" s="13"/>
      <c r="O173" s="13"/>
      <c r="P173" s="13"/>
      <c r="Q173" s="13"/>
      <c r="R173" s="13"/>
      <c r="S173" s="13"/>
      <c r="T173" s="13"/>
      <c r="U173" s="13"/>
      <c r="V173" s="13"/>
      <c r="W173" s="13"/>
      <c r="X173" s="13"/>
      <c r="Y173" s="13"/>
      <c r="Z173" s="13"/>
    </row>
    <row r="174" ht="16.5" customHeight="1">
      <c r="A174" s="215">
        <v>171.0</v>
      </c>
      <c r="B174" s="216" t="s">
        <v>3092</v>
      </c>
      <c r="C174" s="201" t="s">
        <v>3119</v>
      </c>
      <c r="D174" s="202" t="s">
        <v>3120</v>
      </c>
      <c r="E174" s="206" t="s">
        <v>3121</v>
      </c>
      <c r="F174" s="202" t="s">
        <v>3122</v>
      </c>
      <c r="G174" s="202" t="s">
        <v>2554</v>
      </c>
      <c r="H174" s="228">
        <v>45996.0</v>
      </c>
      <c r="I174" s="204" t="s">
        <v>2431</v>
      </c>
      <c r="J174" s="190" t="b">
        <v>0</v>
      </c>
      <c r="K174" s="35"/>
      <c r="L174" s="35"/>
      <c r="M174" s="13"/>
      <c r="N174" s="13"/>
      <c r="O174" s="13"/>
      <c r="P174" s="13"/>
      <c r="Q174" s="13"/>
      <c r="R174" s="13"/>
      <c r="S174" s="13"/>
      <c r="T174" s="13"/>
      <c r="U174" s="13"/>
      <c r="V174" s="13"/>
      <c r="W174" s="13"/>
      <c r="X174" s="13"/>
      <c r="Y174" s="13"/>
      <c r="Z174" s="13"/>
    </row>
    <row r="175" ht="16.5" hidden="1" customHeight="1">
      <c r="A175" s="216">
        <v>172.0</v>
      </c>
      <c r="B175" s="216" t="s">
        <v>3092</v>
      </c>
      <c r="C175" s="201" t="s">
        <v>3123</v>
      </c>
      <c r="D175" s="202" t="s">
        <v>3124</v>
      </c>
      <c r="E175" s="207" t="s">
        <v>3125</v>
      </c>
      <c r="F175" s="202" t="s">
        <v>3126</v>
      </c>
      <c r="G175" s="202" t="s">
        <v>2554</v>
      </c>
      <c r="H175" s="228">
        <v>45996.0</v>
      </c>
      <c r="I175" s="204" t="s">
        <v>2437</v>
      </c>
      <c r="J175" s="190" t="b">
        <v>0</v>
      </c>
      <c r="K175" s="35"/>
      <c r="L175" s="35"/>
      <c r="M175" s="13"/>
      <c r="N175" s="13"/>
      <c r="O175" s="13"/>
      <c r="P175" s="13"/>
      <c r="Q175" s="13"/>
      <c r="R175" s="13"/>
      <c r="S175" s="13"/>
      <c r="T175" s="13"/>
      <c r="U175" s="13"/>
      <c r="V175" s="13"/>
      <c r="W175" s="13"/>
      <c r="X175" s="13"/>
      <c r="Y175" s="13"/>
      <c r="Z175" s="13"/>
    </row>
    <row r="176" ht="16.5" customHeight="1">
      <c r="A176" s="215">
        <v>173.0</v>
      </c>
      <c r="B176" s="216" t="s">
        <v>2679</v>
      </c>
      <c r="C176" s="224" t="s">
        <v>3127</v>
      </c>
      <c r="D176" s="202" t="s">
        <v>3128</v>
      </c>
      <c r="E176" s="206" t="s">
        <v>3129</v>
      </c>
      <c r="F176" s="220">
        <v>45659.0</v>
      </c>
      <c r="G176" s="202" t="s">
        <v>3130</v>
      </c>
      <c r="H176" s="228">
        <v>45996.0</v>
      </c>
      <c r="I176" s="204" t="s">
        <v>2431</v>
      </c>
      <c r="J176" s="190" t="b">
        <v>0</v>
      </c>
      <c r="K176" s="35"/>
      <c r="L176" s="35"/>
      <c r="M176" s="13"/>
      <c r="N176" s="13"/>
      <c r="O176" s="13"/>
      <c r="P176" s="13"/>
      <c r="Q176" s="13"/>
      <c r="R176" s="13"/>
      <c r="S176" s="13"/>
      <c r="T176" s="13"/>
      <c r="U176" s="13"/>
      <c r="V176" s="13"/>
      <c r="W176" s="13"/>
      <c r="X176" s="13"/>
      <c r="Y176" s="13"/>
      <c r="Z176" s="13"/>
    </row>
    <row r="177" ht="16.5" customHeight="1">
      <c r="A177" s="215">
        <v>174.0</v>
      </c>
      <c r="B177" s="216" t="s">
        <v>2508</v>
      </c>
      <c r="C177" s="201" t="s">
        <v>3131</v>
      </c>
      <c r="D177" s="217" t="s">
        <v>3132</v>
      </c>
      <c r="E177" s="206" t="s">
        <v>3133</v>
      </c>
      <c r="F177" s="210" t="s">
        <v>3134</v>
      </c>
      <c r="G177" s="202" t="s">
        <v>2990</v>
      </c>
      <c r="H177" s="228">
        <v>45996.0</v>
      </c>
      <c r="I177" s="204" t="s">
        <v>2431</v>
      </c>
      <c r="J177" s="190" t="b">
        <v>0</v>
      </c>
      <c r="K177" s="35"/>
      <c r="L177" s="35"/>
      <c r="M177" s="13"/>
      <c r="N177" s="13"/>
      <c r="O177" s="13"/>
      <c r="P177" s="13"/>
      <c r="Q177" s="13"/>
      <c r="R177" s="13"/>
      <c r="S177" s="13"/>
      <c r="T177" s="13"/>
      <c r="U177" s="13"/>
      <c r="V177" s="13"/>
      <c r="W177" s="13"/>
      <c r="X177" s="13"/>
      <c r="Y177" s="13"/>
      <c r="Z177" s="13"/>
    </row>
    <row r="178" ht="16.5" customHeight="1">
      <c r="A178" s="215">
        <v>175.0</v>
      </c>
      <c r="B178" s="216" t="s">
        <v>2461</v>
      </c>
      <c r="C178" s="201" t="s">
        <v>3135</v>
      </c>
      <c r="D178" s="202" t="s">
        <v>3136</v>
      </c>
      <c r="E178" s="206" t="s">
        <v>3137</v>
      </c>
      <c r="F178" s="210" t="s">
        <v>3138</v>
      </c>
      <c r="G178" s="202" t="s">
        <v>2990</v>
      </c>
      <c r="H178" s="228">
        <v>45996.0</v>
      </c>
      <c r="I178" s="204" t="s">
        <v>2431</v>
      </c>
      <c r="J178" s="190" t="b">
        <v>0</v>
      </c>
      <c r="K178" s="35"/>
      <c r="L178" s="35"/>
      <c r="M178" s="13"/>
      <c r="N178" s="13"/>
      <c r="O178" s="13"/>
      <c r="P178" s="13"/>
      <c r="Q178" s="13"/>
      <c r="R178" s="13"/>
      <c r="S178" s="13"/>
      <c r="T178" s="13"/>
      <c r="U178" s="13"/>
      <c r="V178" s="13"/>
      <c r="W178" s="13"/>
      <c r="X178" s="13"/>
      <c r="Y178" s="13"/>
      <c r="Z178" s="13"/>
    </row>
    <row r="179" ht="16.5" customHeight="1">
      <c r="A179" s="215">
        <v>176.0</v>
      </c>
      <c r="B179" s="216" t="s">
        <v>2461</v>
      </c>
      <c r="C179" s="201" t="s">
        <v>3139</v>
      </c>
      <c r="D179" s="202" t="s">
        <v>3140</v>
      </c>
      <c r="E179" s="206" t="s">
        <v>3141</v>
      </c>
      <c r="F179" s="210" t="s">
        <v>3142</v>
      </c>
      <c r="G179" s="202" t="s">
        <v>2990</v>
      </c>
      <c r="H179" s="228">
        <v>45996.0</v>
      </c>
      <c r="I179" s="204" t="s">
        <v>2431</v>
      </c>
      <c r="J179" s="190" t="b">
        <v>0</v>
      </c>
      <c r="K179" s="35"/>
      <c r="L179" s="35"/>
      <c r="M179" s="13"/>
      <c r="N179" s="13"/>
      <c r="O179" s="13"/>
      <c r="P179" s="13"/>
      <c r="Q179" s="13"/>
      <c r="R179" s="13"/>
      <c r="S179" s="13"/>
      <c r="T179" s="13"/>
      <c r="U179" s="13"/>
      <c r="V179" s="13"/>
      <c r="W179" s="13"/>
      <c r="X179" s="13"/>
      <c r="Y179" s="13"/>
      <c r="Z179" s="13"/>
    </row>
    <row r="180" ht="16.5" customHeight="1">
      <c r="A180" s="215">
        <v>177.0</v>
      </c>
      <c r="B180" s="216" t="s">
        <v>2461</v>
      </c>
      <c r="C180" s="201" t="s">
        <v>3143</v>
      </c>
      <c r="D180" s="202" t="s">
        <v>3144</v>
      </c>
      <c r="E180" s="206" t="s">
        <v>3145</v>
      </c>
      <c r="F180" s="210" t="s">
        <v>3146</v>
      </c>
      <c r="G180" s="202" t="s">
        <v>2990</v>
      </c>
      <c r="H180" s="228">
        <v>45996.0</v>
      </c>
      <c r="I180" s="204" t="s">
        <v>2431</v>
      </c>
      <c r="J180" s="190" t="b">
        <v>0</v>
      </c>
      <c r="K180" s="35"/>
      <c r="L180" s="35"/>
      <c r="M180" s="13"/>
      <c r="N180" s="13"/>
      <c r="O180" s="13"/>
      <c r="P180" s="13"/>
      <c r="Q180" s="13"/>
      <c r="R180" s="13"/>
      <c r="S180" s="13"/>
      <c r="T180" s="13"/>
      <c r="U180" s="13"/>
      <c r="V180" s="13"/>
      <c r="W180" s="13"/>
      <c r="X180" s="13"/>
      <c r="Y180" s="13"/>
      <c r="Z180" s="13"/>
    </row>
    <row r="181" ht="16.5" customHeight="1">
      <c r="A181" s="215">
        <v>178.0</v>
      </c>
      <c r="B181" s="216" t="s">
        <v>2461</v>
      </c>
      <c r="C181" s="201" t="s">
        <v>3147</v>
      </c>
      <c r="D181" s="202" t="s">
        <v>3148</v>
      </c>
      <c r="E181" s="206" t="s">
        <v>3149</v>
      </c>
      <c r="F181" s="210" t="s">
        <v>3150</v>
      </c>
      <c r="G181" s="202" t="s">
        <v>2990</v>
      </c>
      <c r="H181" s="228">
        <v>45996.0</v>
      </c>
      <c r="I181" s="204" t="s">
        <v>2431</v>
      </c>
      <c r="J181" s="190" t="b">
        <v>0</v>
      </c>
      <c r="K181" s="35"/>
      <c r="L181" s="35"/>
      <c r="M181" s="13"/>
      <c r="N181" s="13"/>
      <c r="O181" s="13"/>
      <c r="P181" s="13"/>
      <c r="Q181" s="13"/>
      <c r="R181" s="13"/>
      <c r="S181" s="13"/>
      <c r="T181" s="13"/>
      <c r="U181" s="13"/>
      <c r="V181" s="13"/>
      <c r="W181" s="13"/>
      <c r="X181" s="13"/>
      <c r="Y181" s="13"/>
      <c r="Z181" s="13"/>
    </row>
    <row r="182" ht="16.5" customHeight="1">
      <c r="A182" s="215">
        <v>179.0</v>
      </c>
      <c r="B182" s="216" t="s">
        <v>2508</v>
      </c>
      <c r="C182" s="201" t="s">
        <v>3151</v>
      </c>
      <c r="D182" s="202" t="s">
        <v>3152</v>
      </c>
      <c r="E182" s="206" t="s">
        <v>3153</v>
      </c>
      <c r="F182" s="210" t="s">
        <v>3154</v>
      </c>
      <c r="G182" s="202" t="s">
        <v>2990</v>
      </c>
      <c r="H182" s="228">
        <v>45996.0</v>
      </c>
      <c r="I182" s="204" t="s">
        <v>2431</v>
      </c>
      <c r="J182" s="190" t="b">
        <v>0</v>
      </c>
      <c r="K182" s="35"/>
      <c r="L182" s="35"/>
      <c r="M182" s="13"/>
      <c r="N182" s="13"/>
      <c r="O182" s="13"/>
      <c r="P182" s="13"/>
      <c r="Q182" s="13"/>
      <c r="R182" s="13"/>
      <c r="S182" s="13"/>
      <c r="T182" s="13"/>
      <c r="U182" s="13"/>
      <c r="V182" s="13"/>
      <c r="W182" s="13"/>
      <c r="X182" s="13"/>
      <c r="Y182" s="13"/>
      <c r="Z182" s="13"/>
    </row>
    <row r="183" ht="16.5" customHeight="1">
      <c r="A183" s="215">
        <v>180.0</v>
      </c>
      <c r="B183" s="216" t="s">
        <v>2489</v>
      </c>
      <c r="C183" s="201" t="s">
        <v>3155</v>
      </c>
      <c r="D183" s="202" t="s">
        <v>3156</v>
      </c>
      <c r="E183" s="206" t="s">
        <v>3157</v>
      </c>
      <c r="F183" s="202" t="s">
        <v>3158</v>
      </c>
      <c r="G183" s="202" t="s">
        <v>3159</v>
      </c>
      <c r="H183" s="204" t="s">
        <v>3160</v>
      </c>
      <c r="I183" s="204" t="s">
        <v>2431</v>
      </c>
      <c r="J183" s="190" t="b">
        <v>0</v>
      </c>
      <c r="K183" s="35"/>
      <c r="L183" s="35"/>
      <c r="M183" s="13"/>
      <c r="N183" s="13"/>
      <c r="O183" s="13"/>
      <c r="P183" s="13"/>
      <c r="Q183" s="13"/>
      <c r="R183" s="13"/>
      <c r="S183" s="13"/>
      <c r="T183" s="13"/>
      <c r="U183" s="13"/>
      <c r="V183" s="13"/>
      <c r="W183" s="13"/>
      <c r="X183" s="13"/>
      <c r="Y183" s="13"/>
      <c r="Z183" s="13"/>
    </row>
    <row r="184" ht="16.5" customHeight="1">
      <c r="A184" s="215">
        <v>181.0</v>
      </c>
      <c r="B184" s="216" t="s">
        <v>2489</v>
      </c>
      <c r="C184" s="201" t="s">
        <v>3161</v>
      </c>
      <c r="D184" s="202" t="s">
        <v>3162</v>
      </c>
      <c r="E184" s="206" t="s">
        <v>3157</v>
      </c>
      <c r="F184" s="202" t="s">
        <v>3163</v>
      </c>
      <c r="G184" s="202" t="s">
        <v>3164</v>
      </c>
      <c r="H184" s="204" t="s">
        <v>3160</v>
      </c>
      <c r="I184" s="204" t="s">
        <v>2431</v>
      </c>
      <c r="J184" s="190" t="b">
        <v>0</v>
      </c>
      <c r="K184" s="35"/>
      <c r="L184" s="35"/>
      <c r="M184" s="13"/>
      <c r="N184" s="13"/>
      <c r="O184" s="13"/>
      <c r="P184" s="13"/>
      <c r="Q184" s="13"/>
      <c r="R184" s="13"/>
      <c r="S184" s="13"/>
      <c r="T184" s="13"/>
      <c r="U184" s="13"/>
      <c r="V184" s="13"/>
      <c r="W184" s="13"/>
      <c r="X184" s="13"/>
      <c r="Y184" s="13"/>
      <c r="Z184" s="13"/>
    </row>
    <row r="185" ht="16.5" customHeight="1">
      <c r="A185" s="215">
        <v>182.0</v>
      </c>
      <c r="B185" s="216" t="s">
        <v>2690</v>
      </c>
      <c r="C185" s="201" t="s">
        <v>3165</v>
      </c>
      <c r="D185" s="202" t="s">
        <v>3166</v>
      </c>
      <c r="E185" s="206" t="s">
        <v>3167</v>
      </c>
      <c r="F185" s="238">
        <v>39303.0</v>
      </c>
      <c r="G185" s="202" t="s">
        <v>3168</v>
      </c>
      <c r="H185" s="204" t="s">
        <v>3160</v>
      </c>
      <c r="I185" s="204" t="s">
        <v>2431</v>
      </c>
      <c r="J185" s="190" t="b">
        <v>0</v>
      </c>
      <c r="K185" s="35"/>
      <c r="L185" s="35"/>
      <c r="M185" s="13"/>
      <c r="N185" s="13"/>
      <c r="O185" s="13"/>
      <c r="P185" s="13"/>
      <c r="Q185" s="13"/>
      <c r="R185" s="13"/>
      <c r="S185" s="13"/>
      <c r="T185" s="13"/>
      <c r="U185" s="13"/>
      <c r="V185" s="13"/>
      <c r="W185" s="13"/>
      <c r="X185" s="13"/>
      <c r="Y185" s="13"/>
      <c r="Z185" s="13"/>
    </row>
    <row r="186" ht="16.5" customHeight="1">
      <c r="A186" s="215">
        <v>183.0</v>
      </c>
      <c r="B186" s="216" t="s">
        <v>2489</v>
      </c>
      <c r="C186" s="201" t="s">
        <v>3169</v>
      </c>
      <c r="D186" s="202" t="s">
        <v>3170</v>
      </c>
      <c r="E186" s="206" t="s">
        <v>3167</v>
      </c>
      <c r="F186" s="202" t="s">
        <v>3171</v>
      </c>
      <c r="G186" s="202" t="s">
        <v>2530</v>
      </c>
      <c r="H186" s="204" t="s">
        <v>3160</v>
      </c>
      <c r="I186" s="204" t="s">
        <v>2431</v>
      </c>
      <c r="J186" s="190" t="b">
        <v>0</v>
      </c>
      <c r="K186" s="35"/>
      <c r="L186" s="35"/>
      <c r="M186" s="13"/>
      <c r="N186" s="13"/>
      <c r="O186" s="13"/>
      <c r="P186" s="13"/>
      <c r="Q186" s="13"/>
      <c r="R186" s="13"/>
      <c r="S186" s="13"/>
      <c r="T186" s="13"/>
      <c r="U186" s="13"/>
      <c r="V186" s="13"/>
      <c r="W186" s="13"/>
      <c r="X186" s="13"/>
      <c r="Y186" s="13"/>
      <c r="Z186" s="13"/>
    </row>
    <row r="187" ht="16.5" customHeight="1">
      <c r="A187" s="215">
        <v>184.0</v>
      </c>
      <c r="B187" s="216" t="s">
        <v>2614</v>
      </c>
      <c r="C187" s="201" t="s">
        <v>3172</v>
      </c>
      <c r="D187" s="239" t="s">
        <v>3173</v>
      </c>
      <c r="E187" s="210" t="s">
        <v>3174</v>
      </c>
      <c r="F187" s="209"/>
      <c r="G187" s="202" t="s">
        <v>3175</v>
      </c>
      <c r="H187" s="204" t="s">
        <v>3160</v>
      </c>
      <c r="I187" s="204" t="s">
        <v>2431</v>
      </c>
      <c r="J187" s="190" t="b">
        <v>0</v>
      </c>
      <c r="K187" s="35"/>
      <c r="L187" s="35"/>
      <c r="M187" s="13"/>
      <c r="N187" s="13"/>
      <c r="O187" s="13"/>
      <c r="P187" s="13"/>
      <c r="Q187" s="13"/>
      <c r="R187" s="13"/>
      <c r="S187" s="13"/>
      <c r="T187" s="13"/>
      <c r="U187" s="13"/>
      <c r="V187" s="13"/>
      <c r="W187" s="13"/>
      <c r="X187" s="13"/>
      <c r="Y187" s="13"/>
      <c r="Z187" s="13"/>
    </row>
    <row r="188" ht="16.5" customHeight="1">
      <c r="A188" s="215">
        <v>185.0</v>
      </c>
      <c r="B188" s="216" t="s">
        <v>2489</v>
      </c>
      <c r="C188" s="201" t="s">
        <v>3176</v>
      </c>
      <c r="D188" s="202" t="s">
        <v>3177</v>
      </c>
      <c r="E188" s="206" t="s">
        <v>3178</v>
      </c>
      <c r="F188" s="202" t="s">
        <v>3179</v>
      </c>
      <c r="G188" s="202" t="s">
        <v>2530</v>
      </c>
      <c r="H188" s="204" t="s">
        <v>3180</v>
      </c>
      <c r="I188" s="204" t="s">
        <v>2431</v>
      </c>
      <c r="J188" s="190" t="b">
        <v>0</v>
      </c>
      <c r="K188" s="35"/>
      <c r="L188" s="35"/>
      <c r="M188" s="13"/>
      <c r="N188" s="13"/>
      <c r="O188" s="13"/>
      <c r="P188" s="13"/>
      <c r="Q188" s="13"/>
      <c r="R188" s="13"/>
      <c r="S188" s="13"/>
      <c r="T188" s="13"/>
      <c r="U188" s="13"/>
      <c r="V188" s="13"/>
      <c r="W188" s="13"/>
      <c r="X188" s="13"/>
      <c r="Y188" s="13"/>
      <c r="Z188" s="13"/>
    </row>
    <row r="189" ht="16.5" customHeight="1">
      <c r="A189" s="215">
        <v>186.0</v>
      </c>
      <c r="B189" s="216" t="s">
        <v>2489</v>
      </c>
      <c r="C189" s="201" t="s">
        <v>3181</v>
      </c>
      <c r="D189" s="202" t="s">
        <v>3182</v>
      </c>
      <c r="E189" s="206" t="s">
        <v>3178</v>
      </c>
      <c r="F189" s="202">
        <v>70.0</v>
      </c>
      <c r="G189" s="202" t="s">
        <v>2530</v>
      </c>
      <c r="H189" s="204" t="s">
        <v>3180</v>
      </c>
      <c r="I189" s="204" t="s">
        <v>2431</v>
      </c>
      <c r="J189" s="190" t="b">
        <v>0</v>
      </c>
      <c r="K189" s="35"/>
      <c r="L189" s="35"/>
      <c r="M189" s="13"/>
      <c r="N189" s="13"/>
      <c r="O189" s="13"/>
      <c r="P189" s="13"/>
      <c r="Q189" s="13"/>
      <c r="R189" s="13"/>
      <c r="S189" s="13"/>
      <c r="T189" s="13"/>
      <c r="U189" s="13"/>
      <c r="V189" s="13"/>
      <c r="W189" s="13"/>
      <c r="X189" s="13"/>
      <c r="Y189" s="13"/>
      <c r="Z189" s="13"/>
    </row>
    <row r="190" ht="16.5" customHeight="1">
      <c r="A190" s="215">
        <v>187.0</v>
      </c>
      <c r="B190" s="216" t="s">
        <v>2489</v>
      </c>
      <c r="C190" s="201" t="s">
        <v>3183</v>
      </c>
      <c r="D190" s="202" t="s">
        <v>3184</v>
      </c>
      <c r="E190" s="206" t="s">
        <v>3178</v>
      </c>
      <c r="F190" s="202">
        <v>60.0</v>
      </c>
      <c r="G190" s="202" t="s">
        <v>2530</v>
      </c>
      <c r="H190" s="204" t="s">
        <v>3180</v>
      </c>
      <c r="I190" s="204" t="s">
        <v>2431</v>
      </c>
      <c r="J190" s="190" t="b">
        <v>0</v>
      </c>
      <c r="K190" s="35"/>
      <c r="L190" s="35"/>
      <c r="M190" s="13"/>
      <c r="N190" s="13"/>
      <c r="O190" s="13"/>
      <c r="P190" s="13"/>
      <c r="Q190" s="13"/>
      <c r="R190" s="13"/>
      <c r="S190" s="13"/>
      <c r="T190" s="13"/>
      <c r="U190" s="13"/>
      <c r="V190" s="13"/>
      <c r="W190" s="13"/>
      <c r="X190" s="13"/>
      <c r="Y190" s="13"/>
      <c r="Z190" s="13"/>
    </row>
    <row r="191" ht="16.5" customHeight="1">
      <c r="A191" s="215">
        <v>188.0</v>
      </c>
      <c r="B191" s="216" t="s">
        <v>2489</v>
      </c>
      <c r="C191" s="201" t="s">
        <v>3185</v>
      </c>
      <c r="D191" s="202" t="s">
        <v>3186</v>
      </c>
      <c r="E191" s="206" t="s">
        <v>3178</v>
      </c>
      <c r="F191" s="202">
        <v>220.0</v>
      </c>
      <c r="G191" s="209"/>
      <c r="H191" s="204" t="s">
        <v>3180</v>
      </c>
      <c r="I191" s="204" t="s">
        <v>2431</v>
      </c>
      <c r="J191" s="190" t="b">
        <v>0</v>
      </c>
      <c r="K191" s="35"/>
      <c r="L191" s="35"/>
      <c r="M191" s="13"/>
      <c r="N191" s="13"/>
      <c r="O191" s="13"/>
      <c r="P191" s="13"/>
      <c r="Q191" s="13"/>
      <c r="R191" s="13"/>
      <c r="S191" s="13"/>
      <c r="T191" s="13"/>
      <c r="U191" s="13"/>
      <c r="V191" s="13"/>
      <c r="W191" s="13"/>
      <c r="X191" s="13"/>
      <c r="Y191" s="13"/>
      <c r="Z191" s="13"/>
    </row>
    <row r="192" ht="16.5" customHeight="1">
      <c r="A192" s="215">
        <v>189.0</v>
      </c>
      <c r="B192" s="216" t="s">
        <v>2489</v>
      </c>
      <c r="C192" s="201" t="s">
        <v>3187</v>
      </c>
      <c r="D192" s="240" t="s">
        <v>3188</v>
      </c>
      <c r="E192" s="206" t="s">
        <v>3189</v>
      </c>
      <c r="F192" s="202" t="s">
        <v>3190</v>
      </c>
      <c r="G192" s="240" t="s">
        <v>3188</v>
      </c>
      <c r="H192" s="204" t="s">
        <v>3180</v>
      </c>
      <c r="I192" s="204" t="s">
        <v>2431</v>
      </c>
      <c r="J192" s="190" t="b">
        <v>0</v>
      </c>
      <c r="K192" s="35"/>
      <c r="L192" s="35"/>
      <c r="M192" s="13"/>
      <c r="N192" s="13"/>
      <c r="O192" s="13"/>
      <c r="P192" s="13"/>
      <c r="Q192" s="13"/>
      <c r="R192" s="13"/>
      <c r="S192" s="13"/>
      <c r="T192" s="13"/>
      <c r="U192" s="13"/>
      <c r="V192" s="13"/>
      <c r="W192" s="13"/>
      <c r="X192" s="13"/>
      <c r="Y192" s="13"/>
      <c r="Z192" s="13"/>
    </row>
    <row r="193" ht="16.5" customHeight="1">
      <c r="A193" s="215">
        <v>190.0</v>
      </c>
      <c r="B193" s="216" t="s">
        <v>2489</v>
      </c>
      <c r="C193" s="201" t="s">
        <v>3191</v>
      </c>
      <c r="D193" s="202" t="s">
        <v>3192</v>
      </c>
      <c r="E193" s="206" t="s">
        <v>3178</v>
      </c>
      <c r="F193" s="202" t="s">
        <v>3193</v>
      </c>
      <c r="G193" s="202" t="s">
        <v>2530</v>
      </c>
      <c r="H193" s="204" t="s">
        <v>3180</v>
      </c>
      <c r="I193" s="204" t="s">
        <v>2431</v>
      </c>
      <c r="J193" s="190" t="b">
        <v>0</v>
      </c>
      <c r="K193" s="35"/>
      <c r="L193" s="35"/>
      <c r="M193" s="13"/>
      <c r="N193" s="13"/>
      <c r="O193" s="13"/>
      <c r="P193" s="13"/>
      <c r="Q193" s="13"/>
      <c r="R193" s="13"/>
      <c r="S193" s="13"/>
      <c r="T193" s="13"/>
      <c r="U193" s="13"/>
      <c r="V193" s="13"/>
      <c r="W193" s="13"/>
      <c r="X193" s="13"/>
      <c r="Y193" s="13"/>
      <c r="Z193" s="13"/>
    </row>
    <row r="194" ht="16.5" customHeight="1">
      <c r="A194" s="215">
        <v>191.0</v>
      </c>
      <c r="B194" s="216" t="s">
        <v>2489</v>
      </c>
      <c r="C194" s="201" t="s">
        <v>3194</v>
      </c>
      <c r="D194" s="202" t="s">
        <v>3195</v>
      </c>
      <c r="E194" s="206" t="s">
        <v>3196</v>
      </c>
      <c r="F194" s="202" t="s">
        <v>3196</v>
      </c>
      <c r="G194" s="202" t="s">
        <v>2530</v>
      </c>
      <c r="H194" s="204" t="s">
        <v>3160</v>
      </c>
      <c r="I194" s="204" t="s">
        <v>2431</v>
      </c>
      <c r="J194" s="190" t="b">
        <v>0</v>
      </c>
      <c r="K194" s="35"/>
      <c r="L194" s="35"/>
      <c r="M194" s="13"/>
      <c r="N194" s="13"/>
      <c r="O194" s="13"/>
      <c r="P194" s="13"/>
      <c r="Q194" s="13"/>
      <c r="R194" s="13"/>
      <c r="S194" s="13"/>
      <c r="T194" s="13"/>
      <c r="U194" s="13"/>
      <c r="V194" s="13"/>
      <c r="W194" s="13"/>
      <c r="X194" s="13"/>
      <c r="Y194" s="13"/>
      <c r="Z194" s="13"/>
    </row>
    <row r="195" ht="16.5" customHeight="1">
      <c r="A195" s="215">
        <v>192.0</v>
      </c>
      <c r="B195" s="216" t="s">
        <v>2489</v>
      </c>
      <c r="C195" s="201" t="s">
        <v>3197</v>
      </c>
      <c r="D195" s="202" t="s">
        <v>3198</v>
      </c>
      <c r="E195" s="206" t="s">
        <v>3199</v>
      </c>
      <c r="F195" s="202" t="s">
        <v>3199</v>
      </c>
      <c r="G195" s="202" t="s">
        <v>2530</v>
      </c>
      <c r="H195" s="204" t="s">
        <v>3200</v>
      </c>
      <c r="I195" s="204" t="s">
        <v>2431</v>
      </c>
      <c r="J195" s="190" t="b">
        <v>0</v>
      </c>
      <c r="K195" s="35"/>
      <c r="L195" s="35"/>
      <c r="M195" s="13"/>
      <c r="N195" s="13"/>
      <c r="O195" s="13"/>
      <c r="P195" s="13"/>
      <c r="Q195" s="13"/>
      <c r="R195" s="13"/>
      <c r="S195" s="13"/>
      <c r="T195" s="13"/>
      <c r="U195" s="13"/>
      <c r="V195" s="13"/>
      <c r="W195" s="13"/>
      <c r="X195" s="13"/>
      <c r="Y195" s="13"/>
      <c r="Z195" s="13"/>
    </row>
    <row r="196" ht="16.5" customHeight="1">
      <c r="A196" s="215">
        <v>193.0</v>
      </c>
      <c r="B196" s="216" t="s">
        <v>2489</v>
      </c>
      <c r="C196" s="201" t="s">
        <v>3201</v>
      </c>
      <c r="D196" s="202" t="s">
        <v>3202</v>
      </c>
      <c r="E196" s="206" t="s">
        <v>3199</v>
      </c>
      <c r="F196" s="202" t="s">
        <v>3199</v>
      </c>
      <c r="G196" s="202" t="s">
        <v>2530</v>
      </c>
      <c r="H196" s="204" t="s">
        <v>3200</v>
      </c>
      <c r="I196" s="204" t="s">
        <v>2431</v>
      </c>
      <c r="J196" s="190" t="b">
        <v>0</v>
      </c>
      <c r="K196" s="35"/>
      <c r="L196" s="35"/>
      <c r="M196" s="13"/>
      <c r="N196" s="13"/>
      <c r="O196" s="13"/>
      <c r="P196" s="13"/>
      <c r="Q196" s="13"/>
      <c r="R196" s="13"/>
      <c r="S196" s="13"/>
      <c r="T196" s="13"/>
      <c r="U196" s="13"/>
      <c r="V196" s="13"/>
      <c r="W196" s="13"/>
      <c r="X196" s="13"/>
      <c r="Y196" s="13"/>
      <c r="Z196" s="13"/>
    </row>
    <row r="197" ht="16.5" hidden="1" customHeight="1">
      <c r="A197" s="216">
        <v>194.0</v>
      </c>
      <c r="B197" s="216" t="s">
        <v>2489</v>
      </c>
      <c r="C197" s="201" t="s">
        <v>3203</v>
      </c>
      <c r="D197" s="202" t="s">
        <v>3204</v>
      </c>
      <c r="E197" s="207" t="s">
        <v>3205</v>
      </c>
      <c r="F197" s="202" t="s">
        <v>3205</v>
      </c>
      <c r="G197" s="202" t="s">
        <v>2530</v>
      </c>
      <c r="H197" s="204" t="s">
        <v>3200</v>
      </c>
      <c r="I197" s="204" t="s">
        <v>2437</v>
      </c>
      <c r="J197" s="190" t="b">
        <v>0</v>
      </c>
      <c r="K197" s="35"/>
      <c r="L197" s="35"/>
      <c r="M197" s="13"/>
      <c r="N197" s="13"/>
      <c r="O197" s="13"/>
      <c r="P197" s="13"/>
      <c r="Q197" s="13"/>
      <c r="R197" s="13"/>
      <c r="S197" s="13"/>
      <c r="T197" s="13"/>
      <c r="U197" s="13"/>
      <c r="V197" s="13"/>
      <c r="W197" s="13"/>
      <c r="X197" s="13"/>
      <c r="Y197" s="13"/>
      <c r="Z197" s="13"/>
    </row>
    <row r="198" ht="16.5" customHeight="1">
      <c r="A198" s="215">
        <v>195.0</v>
      </c>
      <c r="B198" s="216" t="s">
        <v>2489</v>
      </c>
      <c r="C198" s="201" t="s">
        <v>3206</v>
      </c>
      <c r="D198" s="202" t="s">
        <v>3207</v>
      </c>
      <c r="E198" s="206" t="s">
        <v>3208</v>
      </c>
      <c r="F198" s="202" t="s">
        <v>3208</v>
      </c>
      <c r="G198" s="202" t="s">
        <v>2530</v>
      </c>
      <c r="H198" s="204" t="s">
        <v>3200</v>
      </c>
      <c r="I198" s="204" t="s">
        <v>2431</v>
      </c>
      <c r="J198" s="190" t="b">
        <v>0</v>
      </c>
      <c r="K198" s="35"/>
      <c r="L198" s="35"/>
      <c r="M198" s="13"/>
      <c r="N198" s="13"/>
      <c r="O198" s="13"/>
      <c r="P198" s="13"/>
      <c r="Q198" s="13"/>
      <c r="R198" s="13"/>
      <c r="S198" s="13"/>
      <c r="T198" s="13"/>
      <c r="U198" s="13"/>
      <c r="V198" s="13"/>
      <c r="W198" s="13"/>
      <c r="X198" s="13"/>
      <c r="Y198" s="13"/>
      <c r="Z198" s="13"/>
    </row>
    <row r="199" ht="16.5" customHeight="1">
      <c r="A199" s="215">
        <v>196.0</v>
      </c>
      <c r="B199" s="216" t="s">
        <v>2489</v>
      </c>
      <c r="C199" s="201" t="s">
        <v>3209</v>
      </c>
      <c r="D199" s="202" t="s">
        <v>3210</v>
      </c>
      <c r="E199" s="206" t="s">
        <v>3211</v>
      </c>
      <c r="F199" s="202">
        <v>6.0</v>
      </c>
      <c r="G199" s="202" t="s">
        <v>3212</v>
      </c>
      <c r="H199" s="204" t="s">
        <v>3213</v>
      </c>
      <c r="I199" s="204" t="s">
        <v>2431</v>
      </c>
      <c r="J199" s="190" t="b">
        <v>0</v>
      </c>
      <c r="K199" s="35"/>
      <c r="L199" s="35"/>
      <c r="M199" s="13"/>
      <c r="N199" s="13"/>
      <c r="O199" s="13"/>
      <c r="P199" s="13"/>
      <c r="Q199" s="13"/>
      <c r="R199" s="13"/>
      <c r="S199" s="13"/>
      <c r="T199" s="13"/>
      <c r="U199" s="13"/>
      <c r="V199" s="13"/>
      <c r="W199" s="13"/>
      <c r="X199" s="13"/>
      <c r="Y199" s="13"/>
      <c r="Z199" s="13"/>
    </row>
    <row r="200" ht="16.5" customHeight="1">
      <c r="A200" s="215">
        <v>197.0</v>
      </c>
      <c r="B200" s="216" t="s">
        <v>2489</v>
      </c>
      <c r="C200" s="201" t="s">
        <v>3214</v>
      </c>
      <c r="D200" s="202" t="s">
        <v>3215</v>
      </c>
      <c r="E200" s="206" t="s">
        <v>3211</v>
      </c>
      <c r="F200" s="202">
        <v>5.0</v>
      </c>
      <c r="G200" s="202" t="s">
        <v>3216</v>
      </c>
      <c r="H200" s="204" t="s">
        <v>3213</v>
      </c>
      <c r="I200" s="204" t="s">
        <v>2431</v>
      </c>
      <c r="J200" s="190" t="b">
        <v>0</v>
      </c>
      <c r="K200" s="35"/>
      <c r="L200" s="35"/>
      <c r="M200" s="13"/>
      <c r="N200" s="13"/>
      <c r="O200" s="13"/>
      <c r="P200" s="13"/>
      <c r="Q200" s="13"/>
      <c r="R200" s="13"/>
      <c r="S200" s="13"/>
      <c r="T200" s="13"/>
      <c r="U200" s="13"/>
      <c r="V200" s="13"/>
      <c r="W200" s="13"/>
      <c r="X200" s="13"/>
      <c r="Y200" s="13"/>
      <c r="Z200" s="13"/>
    </row>
    <row r="201" ht="16.5" customHeight="1">
      <c r="A201" s="215">
        <v>198.0</v>
      </c>
      <c r="B201" s="216" t="s">
        <v>2489</v>
      </c>
      <c r="C201" s="201" t="s">
        <v>3217</v>
      </c>
      <c r="D201" s="202" t="s">
        <v>3218</v>
      </c>
      <c r="E201" s="206" t="s">
        <v>3211</v>
      </c>
      <c r="F201" s="220">
        <v>45752.0</v>
      </c>
      <c r="G201" s="202" t="s">
        <v>3219</v>
      </c>
      <c r="H201" s="204" t="s">
        <v>3213</v>
      </c>
      <c r="I201" s="204" t="s">
        <v>2431</v>
      </c>
      <c r="J201" s="190" t="b">
        <v>0</v>
      </c>
      <c r="K201" s="35"/>
      <c r="L201" s="35"/>
      <c r="M201" s="13"/>
      <c r="N201" s="13"/>
      <c r="O201" s="13"/>
      <c r="P201" s="13"/>
      <c r="Q201" s="13"/>
      <c r="R201" s="13"/>
      <c r="S201" s="13"/>
      <c r="T201" s="13"/>
      <c r="U201" s="13"/>
      <c r="V201" s="13"/>
      <c r="W201" s="13"/>
      <c r="X201" s="13"/>
      <c r="Y201" s="13"/>
      <c r="Z201" s="13"/>
    </row>
    <row r="202" ht="16.5" customHeight="1">
      <c r="A202" s="215">
        <v>199.0</v>
      </c>
      <c r="B202" s="216" t="s">
        <v>2489</v>
      </c>
      <c r="C202" s="201" t="s">
        <v>3220</v>
      </c>
      <c r="D202" s="202" t="s">
        <v>3221</v>
      </c>
      <c r="E202" s="206" t="s">
        <v>3211</v>
      </c>
      <c r="F202" s="220">
        <v>45752.0</v>
      </c>
      <c r="G202" s="202" t="s">
        <v>3219</v>
      </c>
      <c r="H202" s="204" t="s">
        <v>3213</v>
      </c>
      <c r="I202" s="204" t="s">
        <v>2431</v>
      </c>
      <c r="J202" s="190" t="b">
        <v>0</v>
      </c>
      <c r="K202" s="35"/>
      <c r="L202" s="35"/>
      <c r="M202" s="13"/>
      <c r="N202" s="13"/>
      <c r="O202" s="13"/>
      <c r="P202" s="13"/>
      <c r="Q202" s="13"/>
      <c r="R202" s="13"/>
      <c r="S202" s="13"/>
      <c r="T202" s="13"/>
      <c r="U202" s="13"/>
      <c r="V202" s="13"/>
      <c r="W202" s="13"/>
      <c r="X202" s="13"/>
      <c r="Y202" s="13"/>
      <c r="Z202" s="13"/>
    </row>
    <row r="203" ht="16.5" customHeight="1">
      <c r="A203" s="215">
        <v>200.0</v>
      </c>
      <c r="B203" s="216" t="s">
        <v>2489</v>
      </c>
      <c r="C203" s="201" t="s">
        <v>3222</v>
      </c>
      <c r="D203" s="202" t="s">
        <v>3223</v>
      </c>
      <c r="E203" s="206" t="s">
        <v>3211</v>
      </c>
      <c r="F203" s="220">
        <v>45720.0</v>
      </c>
      <c r="G203" s="202" t="s">
        <v>3223</v>
      </c>
      <c r="H203" s="204" t="s">
        <v>3213</v>
      </c>
      <c r="I203" s="204" t="s">
        <v>2431</v>
      </c>
      <c r="J203" s="190" t="b">
        <v>0</v>
      </c>
      <c r="K203" s="35"/>
      <c r="L203" s="35"/>
      <c r="M203" s="13"/>
      <c r="N203" s="13"/>
      <c r="O203" s="13"/>
      <c r="P203" s="13"/>
      <c r="Q203" s="13"/>
      <c r="R203" s="13"/>
      <c r="S203" s="13"/>
      <c r="T203" s="13"/>
      <c r="U203" s="13"/>
      <c r="V203" s="13"/>
      <c r="W203" s="13"/>
      <c r="X203" s="13"/>
      <c r="Y203" s="13"/>
      <c r="Z203" s="13"/>
    </row>
    <row r="204" ht="16.5" customHeight="1">
      <c r="A204" s="215">
        <v>201.0</v>
      </c>
      <c r="B204" s="216" t="s">
        <v>2489</v>
      </c>
      <c r="C204" s="201" t="s">
        <v>3224</v>
      </c>
      <c r="D204" s="202" t="s">
        <v>3225</v>
      </c>
      <c r="E204" s="206" t="s">
        <v>3211</v>
      </c>
      <c r="F204" s="202">
        <v>5.0</v>
      </c>
      <c r="G204" s="202" t="s">
        <v>3226</v>
      </c>
      <c r="H204" s="204" t="s">
        <v>3213</v>
      </c>
      <c r="I204" s="204" t="s">
        <v>2431</v>
      </c>
      <c r="J204" s="190" t="b">
        <v>0</v>
      </c>
      <c r="K204" s="35"/>
      <c r="L204" s="35"/>
      <c r="M204" s="13"/>
      <c r="N204" s="13"/>
      <c r="O204" s="13"/>
      <c r="P204" s="13"/>
      <c r="Q204" s="13"/>
      <c r="R204" s="13"/>
      <c r="S204" s="13"/>
      <c r="T204" s="13"/>
      <c r="U204" s="13"/>
      <c r="V204" s="13"/>
      <c r="W204" s="13"/>
      <c r="X204" s="13"/>
      <c r="Y204" s="13"/>
      <c r="Z204" s="13"/>
    </row>
    <row r="205" ht="16.5" customHeight="1">
      <c r="A205" s="215">
        <v>202.0</v>
      </c>
      <c r="B205" s="216" t="s">
        <v>2489</v>
      </c>
      <c r="C205" s="201" t="s">
        <v>3227</v>
      </c>
      <c r="D205" s="202" t="s">
        <v>3228</v>
      </c>
      <c r="E205" s="206" t="s">
        <v>3211</v>
      </c>
      <c r="F205" s="220">
        <v>45720.0</v>
      </c>
      <c r="G205" s="202" t="s">
        <v>3223</v>
      </c>
      <c r="H205" s="204" t="s">
        <v>3229</v>
      </c>
      <c r="I205" s="204" t="s">
        <v>2431</v>
      </c>
      <c r="J205" s="190" t="b">
        <v>0</v>
      </c>
      <c r="K205" s="35"/>
      <c r="L205" s="35"/>
      <c r="M205" s="13"/>
      <c r="N205" s="13"/>
      <c r="O205" s="13"/>
      <c r="P205" s="13"/>
      <c r="Q205" s="13"/>
      <c r="R205" s="13"/>
      <c r="S205" s="13"/>
      <c r="T205" s="13"/>
      <c r="U205" s="13"/>
      <c r="V205" s="13"/>
      <c r="W205" s="13"/>
      <c r="X205" s="13"/>
      <c r="Y205" s="13"/>
      <c r="Z205" s="13"/>
    </row>
    <row r="206" ht="16.5" customHeight="1">
      <c r="A206" s="215">
        <v>203.0</v>
      </c>
      <c r="B206" s="216" t="s">
        <v>2489</v>
      </c>
      <c r="C206" s="201" t="s">
        <v>3230</v>
      </c>
      <c r="D206" s="202" t="s">
        <v>3231</v>
      </c>
      <c r="E206" s="206" t="s">
        <v>3211</v>
      </c>
      <c r="F206" s="202">
        <v>7.0</v>
      </c>
      <c r="G206" s="202" t="s">
        <v>3232</v>
      </c>
      <c r="H206" s="204" t="s">
        <v>3229</v>
      </c>
      <c r="I206" s="204" t="s">
        <v>2431</v>
      </c>
      <c r="J206" s="190" t="b">
        <v>0</v>
      </c>
      <c r="K206" s="35"/>
      <c r="L206" s="35"/>
      <c r="M206" s="13"/>
      <c r="N206" s="13"/>
      <c r="O206" s="13"/>
      <c r="P206" s="13"/>
      <c r="Q206" s="13"/>
      <c r="R206" s="13"/>
      <c r="S206" s="13"/>
      <c r="T206" s="13"/>
      <c r="U206" s="13"/>
      <c r="V206" s="13"/>
      <c r="W206" s="13"/>
      <c r="X206" s="13"/>
      <c r="Y206" s="13"/>
      <c r="Z206" s="13"/>
    </row>
    <row r="207" ht="16.5" customHeight="1">
      <c r="A207" s="215">
        <v>204.0</v>
      </c>
      <c r="B207" s="216" t="s">
        <v>2489</v>
      </c>
      <c r="C207" s="201" t="s">
        <v>3233</v>
      </c>
      <c r="D207" s="202" t="s">
        <v>3234</v>
      </c>
      <c r="E207" s="206" t="s">
        <v>3211</v>
      </c>
      <c r="F207" s="202">
        <v>5.0</v>
      </c>
      <c r="G207" s="202" t="s">
        <v>3235</v>
      </c>
      <c r="H207" s="204" t="s">
        <v>3229</v>
      </c>
      <c r="I207" s="204" t="s">
        <v>2431</v>
      </c>
      <c r="J207" s="190" t="b">
        <v>0</v>
      </c>
      <c r="K207" s="35"/>
      <c r="L207" s="35"/>
      <c r="M207" s="13"/>
      <c r="N207" s="13"/>
      <c r="O207" s="13"/>
      <c r="P207" s="13"/>
      <c r="Q207" s="13"/>
      <c r="R207" s="13"/>
      <c r="S207" s="13"/>
      <c r="T207" s="13"/>
      <c r="U207" s="13"/>
      <c r="V207" s="13"/>
      <c r="W207" s="13"/>
      <c r="X207" s="13"/>
      <c r="Y207" s="13"/>
      <c r="Z207" s="13"/>
    </row>
    <row r="208" ht="16.5" customHeight="1">
      <c r="A208" s="215">
        <v>205.0</v>
      </c>
      <c r="B208" s="216" t="s">
        <v>2489</v>
      </c>
      <c r="C208" s="201" t="s">
        <v>3236</v>
      </c>
      <c r="D208" s="202" t="s">
        <v>3237</v>
      </c>
      <c r="E208" s="206" t="s">
        <v>3211</v>
      </c>
      <c r="F208" s="202">
        <v>4.0</v>
      </c>
      <c r="G208" s="202" t="s">
        <v>3238</v>
      </c>
      <c r="H208" s="204" t="s">
        <v>3229</v>
      </c>
      <c r="I208" s="204" t="s">
        <v>2431</v>
      </c>
      <c r="J208" s="190" t="b">
        <v>0</v>
      </c>
      <c r="K208" s="35"/>
      <c r="L208" s="35"/>
      <c r="M208" s="13"/>
      <c r="N208" s="13"/>
      <c r="O208" s="13"/>
      <c r="P208" s="13"/>
      <c r="Q208" s="13"/>
      <c r="R208" s="13"/>
      <c r="S208" s="13"/>
      <c r="T208" s="13"/>
      <c r="U208" s="13"/>
      <c r="V208" s="13"/>
      <c r="W208" s="13"/>
      <c r="X208" s="13"/>
      <c r="Y208" s="13"/>
      <c r="Z208" s="13"/>
    </row>
    <row r="209" ht="16.5" customHeight="1">
      <c r="A209" s="205">
        <v>206.0</v>
      </c>
      <c r="B209" s="200" t="s">
        <v>2489</v>
      </c>
      <c r="C209" s="201" t="s">
        <v>3239</v>
      </c>
      <c r="D209" s="202" t="s">
        <v>3240</v>
      </c>
      <c r="E209" s="206" t="s">
        <v>3241</v>
      </c>
      <c r="F209" s="209"/>
      <c r="G209" s="202" t="s">
        <v>3242</v>
      </c>
      <c r="H209" s="204" t="s">
        <v>3229</v>
      </c>
      <c r="I209" s="204" t="s">
        <v>2431</v>
      </c>
      <c r="J209" s="241" t="b">
        <v>0</v>
      </c>
      <c r="K209" s="55"/>
      <c r="L209" s="55"/>
      <c r="M209" s="13"/>
      <c r="N209" s="13"/>
      <c r="O209" s="13"/>
      <c r="P209" s="13"/>
      <c r="Q209" s="13"/>
      <c r="R209" s="13"/>
      <c r="S209" s="13"/>
      <c r="T209" s="13"/>
      <c r="U209" s="13"/>
      <c r="V209" s="13"/>
      <c r="W209" s="13"/>
      <c r="X209" s="13"/>
      <c r="Y209" s="13"/>
      <c r="Z209" s="13"/>
    </row>
    <row r="210" ht="16.5" customHeight="1">
      <c r="A210" s="205">
        <v>207.0</v>
      </c>
      <c r="B210" s="200" t="s">
        <v>2489</v>
      </c>
      <c r="C210" s="201" t="s">
        <v>3243</v>
      </c>
      <c r="D210" s="202" t="s">
        <v>3244</v>
      </c>
      <c r="E210" s="206" t="s">
        <v>3245</v>
      </c>
      <c r="F210" s="202">
        <v>154.0</v>
      </c>
      <c r="G210" s="202" t="s">
        <v>3246</v>
      </c>
      <c r="H210" s="204" t="s">
        <v>3229</v>
      </c>
      <c r="I210" s="204" t="s">
        <v>2431</v>
      </c>
      <c r="J210" s="241" t="b">
        <v>0</v>
      </c>
      <c r="K210" s="55"/>
      <c r="L210" s="55"/>
      <c r="M210" s="13"/>
      <c r="N210" s="13"/>
      <c r="O210" s="13"/>
      <c r="P210" s="13"/>
      <c r="Q210" s="13"/>
      <c r="R210" s="13"/>
      <c r="S210" s="13"/>
      <c r="T210" s="13"/>
      <c r="U210" s="13"/>
      <c r="V210" s="13"/>
      <c r="W210" s="13"/>
      <c r="X210" s="13"/>
      <c r="Y210" s="13"/>
      <c r="Z210" s="13"/>
    </row>
    <row r="211" ht="16.5" customHeight="1">
      <c r="A211" s="205">
        <v>208.0</v>
      </c>
      <c r="B211" s="200" t="s">
        <v>2489</v>
      </c>
      <c r="C211" s="201" t="s">
        <v>3247</v>
      </c>
      <c r="D211" s="202" t="s">
        <v>3248</v>
      </c>
      <c r="E211" s="206" t="s">
        <v>3245</v>
      </c>
      <c r="F211" s="202">
        <v>154.0</v>
      </c>
      <c r="G211" s="202" t="s">
        <v>3249</v>
      </c>
      <c r="H211" s="204" t="s">
        <v>3250</v>
      </c>
      <c r="I211" s="204" t="s">
        <v>2431</v>
      </c>
      <c r="J211" s="241" t="b">
        <v>0</v>
      </c>
      <c r="K211" s="55"/>
      <c r="L211" s="55"/>
      <c r="M211" s="13"/>
      <c r="N211" s="13"/>
      <c r="O211" s="13"/>
      <c r="P211" s="13"/>
      <c r="Q211" s="13"/>
      <c r="R211" s="13"/>
      <c r="S211" s="13"/>
      <c r="T211" s="13"/>
      <c r="U211" s="13"/>
      <c r="V211" s="13"/>
      <c r="W211" s="13"/>
      <c r="X211" s="13"/>
      <c r="Y211" s="13"/>
      <c r="Z211" s="13"/>
    </row>
    <row r="212" ht="16.5" customHeight="1">
      <c r="A212" s="205">
        <v>209.0</v>
      </c>
      <c r="B212" s="200" t="s">
        <v>2489</v>
      </c>
      <c r="C212" s="201" t="s">
        <v>3251</v>
      </c>
      <c r="D212" s="202" t="s">
        <v>3252</v>
      </c>
      <c r="E212" s="206" t="s">
        <v>3245</v>
      </c>
      <c r="F212" s="202">
        <v>156.0</v>
      </c>
      <c r="G212" s="202" t="s">
        <v>3253</v>
      </c>
      <c r="H212" s="204" t="s">
        <v>3250</v>
      </c>
      <c r="I212" s="204" t="s">
        <v>2431</v>
      </c>
      <c r="J212" s="241" t="b">
        <v>0</v>
      </c>
      <c r="K212" s="55"/>
      <c r="L212" s="55"/>
      <c r="M212" s="13"/>
      <c r="N212" s="13"/>
      <c r="O212" s="13"/>
      <c r="P212" s="13"/>
      <c r="Q212" s="13"/>
      <c r="R212" s="13"/>
      <c r="S212" s="13"/>
      <c r="T212" s="13"/>
      <c r="U212" s="13"/>
      <c r="V212" s="13"/>
      <c r="W212" s="13"/>
      <c r="X212" s="13"/>
      <c r="Y212" s="13"/>
      <c r="Z212" s="13"/>
    </row>
    <row r="213" ht="16.5" customHeight="1">
      <c r="A213" s="205">
        <v>210.0</v>
      </c>
      <c r="B213" s="200" t="s">
        <v>2489</v>
      </c>
      <c r="C213" s="201" t="s">
        <v>3254</v>
      </c>
      <c r="D213" s="202" t="s">
        <v>3255</v>
      </c>
      <c r="E213" s="206" t="s">
        <v>3245</v>
      </c>
      <c r="F213" s="202">
        <v>157.0</v>
      </c>
      <c r="G213" s="202" t="s">
        <v>3256</v>
      </c>
      <c r="H213" s="204" t="s">
        <v>3250</v>
      </c>
      <c r="I213" s="204" t="s">
        <v>2431</v>
      </c>
      <c r="J213" s="241" t="b">
        <v>0</v>
      </c>
      <c r="K213" s="55"/>
      <c r="L213" s="55"/>
      <c r="M213" s="13"/>
      <c r="N213" s="13"/>
      <c r="O213" s="13"/>
      <c r="P213" s="13"/>
      <c r="Q213" s="13"/>
      <c r="R213" s="13"/>
      <c r="S213" s="13"/>
      <c r="T213" s="13"/>
      <c r="U213" s="13"/>
      <c r="V213" s="13"/>
      <c r="W213" s="13"/>
      <c r="X213" s="13"/>
      <c r="Y213" s="13"/>
      <c r="Z213" s="13"/>
    </row>
    <row r="214" ht="16.5" customHeight="1">
      <c r="A214" s="205">
        <v>211.0</v>
      </c>
      <c r="B214" s="200" t="s">
        <v>2489</v>
      </c>
      <c r="C214" s="201" t="s">
        <v>3257</v>
      </c>
      <c r="D214" s="202" t="s">
        <v>3258</v>
      </c>
      <c r="E214" s="206" t="s">
        <v>3245</v>
      </c>
      <c r="F214" s="202">
        <v>157.0</v>
      </c>
      <c r="G214" s="202" t="s">
        <v>3259</v>
      </c>
      <c r="H214" s="204" t="s">
        <v>3250</v>
      </c>
      <c r="I214" s="204" t="s">
        <v>2431</v>
      </c>
      <c r="J214" s="241" t="b">
        <v>0</v>
      </c>
      <c r="K214" s="55"/>
      <c r="L214" s="55"/>
      <c r="M214" s="13"/>
      <c r="N214" s="13"/>
      <c r="O214" s="13"/>
      <c r="P214" s="13"/>
      <c r="Q214" s="13"/>
      <c r="R214" s="13"/>
      <c r="S214" s="13"/>
      <c r="T214" s="13"/>
      <c r="U214" s="13"/>
      <c r="V214" s="13"/>
      <c r="W214" s="13"/>
      <c r="X214" s="13"/>
      <c r="Y214" s="13"/>
      <c r="Z214" s="13"/>
    </row>
    <row r="215" ht="16.5" customHeight="1">
      <c r="A215" s="205">
        <v>212.0</v>
      </c>
      <c r="B215" s="200" t="s">
        <v>2489</v>
      </c>
      <c r="C215" s="201" t="s">
        <v>3260</v>
      </c>
      <c r="D215" s="202" t="s">
        <v>3261</v>
      </c>
      <c r="E215" s="206" t="s">
        <v>3245</v>
      </c>
      <c r="F215" s="202">
        <v>157.0</v>
      </c>
      <c r="G215" s="202" t="s">
        <v>3262</v>
      </c>
      <c r="H215" s="204" t="s">
        <v>3250</v>
      </c>
      <c r="I215" s="204" t="s">
        <v>2431</v>
      </c>
      <c r="J215" s="241" t="b">
        <v>0</v>
      </c>
      <c r="K215" s="55"/>
      <c r="L215" s="55"/>
      <c r="M215" s="13"/>
      <c r="N215" s="13"/>
      <c r="O215" s="13"/>
      <c r="P215" s="13"/>
      <c r="Q215" s="13"/>
      <c r="R215" s="13"/>
      <c r="S215" s="13"/>
      <c r="T215" s="13"/>
      <c r="U215" s="13"/>
      <c r="V215" s="13"/>
      <c r="W215" s="13"/>
      <c r="X215" s="13"/>
      <c r="Y215" s="13"/>
      <c r="Z215" s="13"/>
    </row>
    <row r="216" ht="16.5" customHeight="1">
      <c r="A216" s="205">
        <v>213.0</v>
      </c>
      <c r="B216" s="200" t="s">
        <v>2489</v>
      </c>
      <c r="C216" s="201" t="s">
        <v>3263</v>
      </c>
      <c r="D216" s="202" t="s">
        <v>3264</v>
      </c>
      <c r="E216" s="206" t="s">
        <v>3245</v>
      </c>
      <c r="F216" s="202">
        <v>157.0</v>
      </c>
      <c r="G216" s="202" t="s">
        <v>3265</v>
      </c>
      <c r="H216" s="204" t="s">
        <v>3250</v>
      </c>
      <c r="I216" s="204" t="s">
        <v>2431</v>
      </c>
      <c r="J216" s="241" t="b">
        <v>0</v>
      </c>
      <c r="K216" s="55"/>
      <c r="L216" s="55"/>
      <c r="M216" s="13"/>
      <c r="N216" s="13"/>
      <c r="O216" s="13"/>
      <c r="P216" s="13"/>
      <c r="Q216" s="13"/>
      <c r="R216" s="13"/>
      <c r="S216" s="13"/>
      <c r="T216" s="13"/>
      <c r="U216" s="13"/>
      <c r="V216" s="13"/>
      <c r="W216" s="13"/>
      <c r="X216" s="13"/>
      <c r="Y216" s="13"/>
      <c r="Z216" s="13"/>
    </row>
    <row r="217" ht="16.5" hidden="1" customHeight="1">
      <c r="A217" s="200">
        <v>214.0</v>
      </c>
      <c r="B217" s="200" t="s">
        <v>2489</v>
      </c>
      <c r="C217" s="201" t="s">
        <v>3266</v>
      </c>
      <c r="D217" s="202" t="s">
        <v>3267</v>
      </c>
      <c r="E217" s="202" t="s">
        <v>3268</v>
      </c>
      <c r="F217" s="202" t="s">
        <v>3269</v>
      </c>
      <c r="G217" s="202" t="s">
        <v>3270</v>
      </c>
      <c r="H217" s="242"/>
      <c r="I217" s="204" t="s">
        <v>2437</v>
      </c>
      <c r="J217" s="241" t="b">
        <v>0</v>
      </c>
      <c r="K217" s="55"/>
      <c r="L217" s="55"/>
      <c r="M217" s="13"/>
      <c r="N217" s="13"/>
      <c r="O217" s="13"/>
      <c r="P217" s="13"/>
      <c r="Q217" s="13"/>
      <c r="R217" s="13"/>
      <c r="S217" s="13"/>
      <c r="T217" s="13"/>
      <c r="U217" s="13"/>
      <c r="V217" s="13"/>
      <c r="W217" s="13"/>
      <c r="X217" s="13"/>
      <c r="Y217" s="13"/>
      <c r="Z217" s="13"/>
    </row>
    <row r="218" ht="16.5" customHeight="1">
      <c r="A218" s="205">
        <v>215.0</v>
      </c>
      <c r="B218" s="200" t="s">
        <v>2599</v>
      </c>
      <c r="C218" s="201" t="s">
        <v>3271</v>
      </c>
      <c r="D218" s="202" t="s">
        <v>421</v>
      </c>
      <c r="E218" s="206" t="s">
        <v>3272</v>
      </c>
      <c r="F218" s="202" t="s">
        <v>423</v>
      </c>
      <c r="G218" s="202" t="s">
        <v>3273</v>
      </c>
      <c r="H218" s="242"/>
      <c r="I218" s="204" t="s">
        <v>2431</v>
      </c>
      <c r="J218" s="241" t="b">
        <v>0</v>
      </c>
      <c r="K218" s="55"/>
      <c r="L218" s="55"/>
      <c r="M218" s="13"/>
      <c r="N218" s="13"/>
      <c r="O218" s="13"/>
      <c r="P218" s="13"/>
      <c r="Q218" s="13"/>
      <c r="R218" s="13"/>
      <c r="S218" s="13"/>
      <c r="T218" s="13"/>
      <c r="U218" s="13"/>
      <c r="V218" s="13"/>
      <c r="W218" s="13"/>
      <c r="X218" s="13"/>
      <c r="Y218" s="13"/>
      <c r="Z218" s="13"/>
    </row>
    <row r="219" ht="16.5" hidden="1" customHeight="1">
      <c r="A219" s="200">
        <v>216.0</v>
      </c>
      <c r="B219" s="243" t="s">
        <v>2461</v>
      </c>
      <c r="C219" s="244" t="s">
        <v>3274</v>
      </c>
      <c r="D219" s="212" t="s">
        <v>3275</v>
      </c>
      <c r="E219" s="212" t="s">
        <v>3276</v>
      </c>
      <c r="F219" s="212" t="s">
        <v>2475</v>
      </c>
      <c r="G219" s="212" t="s">
        <v>2465</v>
      </c>
      <c r="H219" s="245">
        <v>45999.0</v>
      </c>
      <c r="I219" s="204" t="s">
        <v>2437</v>
      </c>
      <c r="J219" s="241" t="b">
        <v>0</v>
      </c>
      <c r="K219" s="55"/>
      <c r="L219" s="55"/>
      <c r="M219" s="13"/>
      <c r="N219" s="13"/>
      <c r="O219" s="13"/>
      <c r="P219" s="13"/>
      <c r="Q219" s="13"/>
      <c r="R219" s="13"/>
      <c r="S219" s="13"/>
      <c r="T219" s="13"/>
      <c r="U219" s="13"/>
      <c r="V219" s="13"/>
      <c r="W219" s="13"/>
      <c r="X219" s="13"/>
      <c r="Y219" s="13"/>
      <c r="Z219" s="13"/>
    </row>
    <row r="220" ht="16.5" customHeight="1">
      <c r="A220" s="205">
        <v>217.0</v>
      </c>
      <c r="B220" s="243" t="s">
        <v>2640</v>
      </c>
      <c r="C220" s="244" t="s">
        <v>3277</v>
      </c>
      <c r="D220" s="212" t="s">
        <v>3278</v>
      </c>
      <c r="E220" s="211" t="s">
        <v>3279</v>
      </c>
      <c r="F220" s="212" t="s">
        <v>2475</v>
      </c>
      <c r="G220" s="212" t="s">
        <v>2465</v>
      </c>
      <c r="H220" s="245">
        <v>45999.0</v>
      </c>
      <c r="I220" s="204" t="s">
        <v>2431</v>
      </c>
      <c r="J220" s="241" t="b">
        <v>0</v>
      </c>
      <c r="K220" s="55"/>
      <c r="L220" s="55"/>
      <c r="M220" s="13"/>
      <c r="N220" s="13"/>
      <c r="O220" s="13"/>
      <c r="P220" s="13"/>
      <c r="Q220" s="13"/>
      <c r="R220" s="13"/>
      <c r="S220" s="13"/>
      <c r="T220" s="13"/>
      <c r="U220" s="13"/>
      <c r="V220" s="13"/>
      <c r="W220" s="13"/>
      <c r="X220" s="13"/>
      <c r="Y220" s="13"/>
      <c r="Z220" s="13"/>
    </row>
    <row r="221" ht="16.5" customHeight="1">
      <c r="A221" s="205">
        <v>218.0</v>
      </c>
      <c r="B221" s="243" t="s">
        <v>2549</v>
      </c>
      <c r="C221" s="244" t="s">
        <v>3280</v>
      </c>
      <c r="D221" s="212" t="s">
        <v>3281</v>
      </c>
      <c r="E221" s="211" t="s">
        <v>3282</v>
      </c>
      <c r="F221" s="212">
        <v>11.0</v>
      </c>
      <c r="G221" s="212" t="s">
        <v>3283</v>
      </c>
      <c r="H221" s="245">
        <v>45999.0</v>
      </c>
      <c r="I221" s="204" t="s">
        <v>2431</v>
      </c>
      <c r="J221" s="241" t="b">
        <v>0</v>
      </c>
      <c r="K221" s="55"/>
      <c r="L221" s="55"/>
      <c r="M221" s="13"/>
      <c r="N221" s="13"/>
      <c r="O221" s="13"/>
      <c r="P221" s="13"/>
      <c r="Q221" s="13"/>
      <c r="R221" s="13"/>
      <c r="S221" s="13"/>
      <c r="T221" s="13"/>
      <c r="U221" s="13"/>
      <c r="V221" s="13"/>
      <c r="W221" s="13"/>
      <c r="X221" s="13"/>
      <c r="Y221" s="13"/>
      <c r="Z221" s="13"/>
    </row>
    <row r="222" ht="16.5" customHeight="1">
      <c r="A222" s="205">
        <v>219.0</v>
      </c>
      <c r="B222" s="243" t="s">
        <v>2549</v>
      </c>
      <c r="C222" s="244" t="s">
        <v>3284</v>
      </c>
      <c r="D222" s="212" t="s">
        <v>3285</v>
      </c>
      <c r="E222" s="211" t="s">
        <v>3282</v>
      </c>
      <c r="F222" s="246">
        <v>45973.0</v>
      </c>
      <c r="G222" s="212" t="s">
        <v>3285</v>
      </c>
      <c r="H222" s="245">
        <v>45999.0</v>
      </c>
      <c r="I222" s="204" t="s">
        <v>2431</v>
      </c>
      <c r="J222" s="241" t="b">
        <v>0</v>
      </c>
      <c r="K222" s="55"/>
      <c r="L222" s="55"/>
      <c r="M222" s="13"/>
      <c r="N222" s="13"/>
      <c r="O222" s="13"/>
      <c r="P222" s="13"/>
      <c r="Q222" s="13"/>
      <c r="R222" s="13"/>
      <c r="S222" s="13"/>
      <c r="T222" s="13"/>
      <c r="U222" s="13"/>
      <c r="V222" s="13"/>
      <c r="W222" s="13"/>
      <c r="X222" s="13"/>
      <c r="Y222" s="13"/>
      <c r="Z222" s="13"/>
    </row>
    <row r="223" ht="16.5" customHeight="1">
      <c r="A223" s="205">
        <v>220.0</v>
      </c>
      <c r="B223" s="243" t="s">
        <v>2549</v>
      </c>
      <c r="C223" s="244" t="s">
        <v>3286</v>
      </c>
      <c r="D223" s="212" t="s">
        <v>3287</v>
      </c>
      <c r="E223" s="211" t="s">
        <v>3282</v>
      </c>
      <c r="F223" s="212">
        <v>12.0</v>
      </c>
      <c r="G223" s="212" t="s">
        <v>3287</v>
      </c>
      <c r="H223" s="245">
        <v>45999.0</v>
      </c>
      <c r="I223" s="204" t="s">
        <v>2431</v>
      </c>
      <c r="J223" s="241" t="b">
        <v>0</v>
      </c>
      <c r="K223" s="55"/>
      <c r="L223" s="55"/>
      <c r="M223" s="13"/>
      <c r="N223" s="13"/>
      <c r="O223" s="13"/>
      <c r="P223" s="13"/>
      <c r="Q223" s="13"/>
      <c r="R223" s="13"/>
      <c r="S223" s="13"/>
      <c r="T223" s="13"/>
      <c r="U223" s="13"/>
      <c r="V223" s="13"/>
      <c r="W223" s="13"/>
      <c r="X223" s="13"/>
      <c r="Y223" s="13"/>
      <c r="Z223" s="13"/>
    </row>
    <row r="224" ht="16.5" customHeight="1">
      <c r="A224" s="205">
        <v>221.0</v>
      </c>
      <c r="B224" s="243" t="s">
        <v>2599</v>
      </c>
      <c r="C224" s="244" t="s">
        <v>3288</v>
      </c>
      <c r="D224" s="212" t="s">
        <v>3289</v>
      </c>
      <c r="E224" s="211" t="s">
        <v>3290</v>
      </c>
      <c r="F224" s="212">
        <v>1.0</v>
      </c>
      <c r="G224" s="212" t="s">
        <v>2465</v>
      </c>
      <c r="H224" s="245">
        <v>45999.0</v>
      </c>
      <c r="I224" s="204" t="s">
        <v>2431</v>
      </c>
      <c r="J224" s="241" t="b">
        <v>0</v>
      </c>
      <c r="K224" s="55"/>
      <c r="L224" s="55"/>
      <c r="M224" s="13"/>
      <c r="N224" s="13"/>
      <c r="O224" s="13"/>
      <c r="P224" s="13"/>
      <c r="Q224" s="13"/>
      <c r="R224" s="13"/>
      <c r="S224" s="13"/>
      <c r="T224" s="13"/>
      <c r="U224" s="13"/>
      <c r="V224" s="13"/>
      <c r="W224" s="13"/>
      <c r="X224" s="13"/>
      <c r="Y224" s="13"/>
      <c r="Z224" s="13"/>
    </row>
    <row r="225" ht="16.5" customHeight="1">
      <c r="A225" s="205">
        <v>222.0</v>
      </c>
      <c r="B225" s="243" t="s">
        <v>2461</v>
      </c>
      <c r="C225" s="244" t="s">
        <v>3291</v>
      </c>
      <c r="D225" s="212" t="s">
        <v>3292</v>
      </c>
      <c r="E225" s="211" t="s">
        <v>3293</v>
      </c>
      <c r="F225" s="212">
        <v>1.0</v>
      </c>
      <c r="G225" s="212" t="s">
        <v>2465</v>
      </c>
      <c r="H225" s="245">
        <v>45999.0</v>
      </c>
      <c r="I225" s="204" t="s">
        <v>2431</v>
      </c>
      <c r="J225" s="241" t="b">
        <v>0</v>
      </c>
      <c r="K225" s="55"/>
      <c r="L225" s="55"/>
      <c r="M225" s="13"/>
      <c r="N225" s="13"/>
      <c r="O225" s="13"/>
      <c r="P225" s="13"/>
      <c r="Q225" s="13"/>
      <c r="R225" s="13"/>
      <c r="S225" s="13"/>
      <c r="T225" s="13"/>
      <c r="U225" s="13"/>
      <c r="V225" s="13"/>
      <c r="W225" s="13"/>
      <c r="X225" s="13"/>
      <c r="Y225" s="13"/>
      <c r="Z225" s="13"/>
    </row>
    <row r="226" ht="16.5" customHeight="1">
      <c r="A226" s="205">
        <v>223.0</v>
      </c>
      <c r="B226" s="243" t="s">
        <v>2461</v>
      </c>
      <c r="C226" s="244" t="s">
        <v>3294</v>
      </c>
      <c r="D226" s="212" t="s">
        <v>3295</v>
      </c>
      <c r="E226" s="211" t="s">
        <v>3296</v>
      </c>
      <c r="F226" s="212">
        <v>1.0</v>
      </c>
      <c r="G226" s="212" t="s">
        <v>2465</v>
      </c>
      <c r="H226" s="245">
        <v>45999.0</v>
      </c>
      <c r="I226" s="204" t="s">
        <v>2431</v>
      </c>
      <c r="J226" s="241" t="b">
        <v>0</v>
      </c>
      <c r="K226" s="55"/>
      <c r="L226" s="55"/>
      <c r="M226" s="13"/>
      <c r="N226" s="13"/>
      <c r="O226" s="13"/>
      <c r="P226" s="13"/>
      <c r="Q226" s="13"/>
      <c r="R226" s="13"/>
      <c r="S226" s="13"/>
      <c r="T226" s="13"/>
      <c r="U226" s="13"/>
      <c r="V226" s="13"/>
      <c r="W226" s="13"/>
      <c r="X226" s="13"/>
      <c r="Y226" s="13"/>
      <c r="Z226" s="13"/>
    </row>
    <row r="227" ht="16.5" customHeight="1">
      <c r="A227" s="205">
        <v>224.0</v>
      </c>
      <c r="B227" s="243" t="s">
        <v>2599</v>
      </c>
      <c r="C227" s="244" t="s">
        <v>3297</v>
      </c>
      <c r="D227" s="212" t="s">
        <v>3298</v>
      </c>
      <c r="E227" s="211" t="s">
        <v>3299</v>
      </c>
      <c r="F227" s="212">
        <v>24.0</v>
      </c>
      <c r="G227" s="212" t="s">
        <v>2465</v>
      </c>
      <c r="H227" s="245">
        <v>45999.0</v>
      </c>
      <c r="I227" s="204" t="s">
        <v>2431</v>
      </c>
      <c r="J227" s="241" t="b">
        <v>0</v>
      </c>
      <c r="K227" s="55"/>
      <c r="L227" s="55"/>
      <c r="M227" s="13"/>
      <c r="N227" s="13"/>
      <c r="O227" s="13"/>
      <c r="P227" s="13"/>
      <c r="Q227" s="13"/>
      <c r="R227" s="13"/>
      <c r="S227" s="13"/>
      <c r="T227" s="13"/>
      <c r="U227" s="13"/>
      <c r="V227" s="13"/>
      <c r="W227" s="13"/>
      <c r="X227" s="13"/>
      <c r="Y227" s="13"/>
      <c r="Z227" s="13"/>
    </row>
    <row r="228" ht="16.5" customHeight="1">
      <c r="A228" s="205">
        <v>225.0</v>
      </c>
      <c r="B228" s="243" t="s">
        <v>2426</v>
      </c>
      <c r="C228" s="244" t="s">
        <v>3300</v>
      </c>
      <c r="D228" s="212" t="s">
        <v>3301</v>
      </c>
      <c r="E228" s="211" t="s">
        <v>3302</v>
      </c>
      <c r="F228" s="212">
        <v>1.0</v>
      </c>
      <c r="G228" s="212" t="s">
        <v>3303</v>
      </c>
      <c r="H228" s="245">
        <v>45999.0</v>
      </c>
      <c r="I228" s="204" t="s">
        <v>2431</v>
      </c>
      <c r="J228" s="241" t="b">
        <v>0</v>
      </c>
      <c r="K228" s="55"/>
      <c r="L228" s="55"/>
      <c r="M228" s="13"/>
      <c r="N228" s="13"/>
      <c r="O228" s="13"/>
      <c r="P228" s="13"/>
      <c r="Q228" s="13"/>
      <c r="R228" s="13"/>
      <c r="S228" s="13"/>
      <c r="T228" s="13"/>
      <c r="U228" s="13"/>
      <c r="V228" s="13"/>
      <c r="W228" s="13"/>
      <c r="X228" s="13"/>
      <c r="Y228" s="13"/>
      <c r="Z228" s="13"/>
    </row>
    <row r="229" ht="16.5" hidden="1" customHeight="1">
      <c r="A229" s="200">
        <v>226.0</v>
      </c>
      <c r="B229" s="243" t="s">
        <v>2489</v>
      </c>
      <c r="C229" s="244" t="s">
        <v>3304</v>
      </c>
      <c r="D229" s="212" t="s">
        <v>3305</v>
      </c>
      <c r="E229" s="212" t="s">
        <v>2475</v>
      </c>
      <c r="F229" s="212" t="s">
        <v>2475</v>
      </c>
      <c r="G229" s="212" t="s">
        <v>2465</v>
      </c>
      <c r="H229" s="245">
        <v>45999.0</v>
      </c>
      <c r="I229" s="204" t="s">
        <v>2437</v>
      </c>
      <c r="J229" s="241" t="b">
        <v>0</v>
      </c>
      <c r="K229" s="55"/>
      <c r="L229" s="55"/>
      <c r="M229" s="13"/>
      <c r="N229" s="13"/>
      <c r="O229" s="13"/>
      <c r="P229" s="13"/>
      <c r="Q229" s="13"/>
      <c r="R229" s="13"/>
      <c r="S229" s="13"/>
      <c r="T229" s="13"/>
      <c r="U229" s="13"/>
      <c r="V229" s="13"/>
      <c r="W229" s="13"/>
      <c r="X229" s="13"/>
      <c r="Y229" s="13"/>
      <c r="Z229" s="13"/>
    </row>
    <row r="230" ht="16.5" customHeight="1">
      <c r="A230" s="205">
        <v>227.0</v>
      </c>
      <c r="B230" s="200" t="s">
        <v>2438</v>
      </c>
      <c r="C230" s="201" t="s">
        <v>3306</v>
      </c>
      <c r="D230" s="202" t="s">
        <v>3307</v>
      </c>
      <c r="E230" s="206" t="s">
        <v>3308</v>
      </c>
      <c r="F230" s="202" t="s">
        <v>3309</v>
      </c>
      <c r="G230" s="202" t="s">
        <v>3310</v>
      </c>
      <c r="H230" s="55"/>
      <c r="I230" s="204" t="s">
        <v>2431</v>
      </c>
      <c r="J230" s="241" t="b">
        <v>0</v>
      </c>
      <c r="K230" s="55"/>
      <c r="L230" s="55"/>
      <c r="M230" s="13"/>
      <c r="N230" s="13"/>
      <c r="O230" s="13"/>
      <c r="P230" s="13"/>
      <c r="Q230" s="13"/>
      <c r="R230" s="13"/>
      <c r="S230" s="13"/>
      <c r="T230" s="13"/>
      <c r="U230" s="13"/>
      <c r="V230" s="13"/>
      <c r="W230" s="13"/>
      <c r="X230" s="13"/>
      <c r="Y230" s="13"/>
      <c r="Z230" s="13"/>
    </row>
    <row r="231" ht="16.5" customHeight="1">
      <c r="A231" s="205">
        <v>228.0</v>
      </c>
      <c r="B231" s="200" t="s">
        <v>2438</v>
      </c>
      <c r="C231" s="201" t="s">
        <v>3311</v>
      </c>
      <c r="D231" s="202" t="s">
        <v>3312</v>
      </c>
      <c r="E231" s="206" t="s">
        <v>3313</v>
      </c>
      <c r="F231" s="202" t="s">
        <v>3314</v>
      </c>
      <c r="G231" s="202" t="s">
        <v>3315</v>
      </c>
      <c r="H231" s="55"/>
      <c r="I231" s="204" t="s">
        <v>2431</v>
      </c>
      <c r="J231" s="241" t="b">
        <v>0</v>
      </c>
      <c r="K231" s="55"/>
      <c r="L231" s="55"/>
      <c r="M231" s="13"/>
      <c r="N231" s="13"/>
      <c r="O231" s="13"/>
      <c r="P231" s="13"/>
      <c r="Q231" s="13"/>
      <c r="R231" s="13"/>
      <c r="S231" s="13"/>
      <c r="T231" s="13"/>
      <c r="U231" s="13"/>
      <c r="V231" s="13"/>
      <c r="W231" s="13"/>
      <c r="X231" s="13"/>
      <c r="Y231" s="13"/>
      <c r="Z231" s="13"/>
    </row>
    <row r="232" ht="16.5" customHeight="1">
      <c r="A232" s="205">
        <v>229.0</v>
      </c>
      <c r="B232" s="200" t="s">
        <v>2438</v>
      </c>
      <c r="C232" s="201" t="s">
        <v>3316</v>
      </c>
      <c r="D232" s="202" t="s">
        <v>3317</v>
      </c>
      <c r="E232" s="206" t="s">
        <v>3318</v>
      </c>
      <c r="F232" s="202" t="s">
        <v>2639</v>
      </c>
      <c r="G232" s="202" t="s">
        <v>3319</v>
      </c>
      <c r="H232" s="55"/>
      <c r="I232" s="204" t="s">
        <v>2431</v>
      </c>
      <c r="J232" s="241" t="b">
        <v>0</v>
      </c>
      <c r="K232" s="55"/>
      <c r="L232" s="55"/>
      <c r="M232" s="13"/>
      <c r="N232" s="13"/>
      <c r="O232" s="13"/>
      <c r="P232" s="13"/>
      <c r="Q232" s="13"/>
      <c r="R232" s="13"/>
      <c r="S232" s="13"/>
      <c r="T232" s="13"/>
      <c r="U232" s="13"/>
      <c r="V232" s="13"/>
      <c r="W232" s="13"/>
      <c r="X232" s="13"/>
      <c r="Y232" s="13"/>
      <c r="Z232" s="13"/>
    </row>
    <row r="233" ht="16.5" customHeight="1">
      <c r="A233" s="205">
        <v>230.0</v>
      </c>
      <c r="B233" s="200" t="s">
        <v>2438</v>
      </c>
      <c r="C233" s="201" t="s">
        <v>3320</v>
      </c>
      <c r="D233" s="202" t="s">
        <v>3321</v>
      </c>
      <c r="E233" s="206" t="s">
        <v>3322</v>
      </c>
      <c r="F233" s="202" t="s">
        <v>3323</v>
      </c>
      <c r="G233" s="202" t="s">
        <v>3324</v>
      </c>
      <c r="H233" s="55"/>
      <c r="I233" s="204" t="s">
        <v>2431</v>
      </c>
      <c r="J233" s="241" t="b">
        <v>0</v>
      </c>
      <c r="K233" s="55"/>
      <c r="L233" s="55"/>
      <c r="M233" s="13"/>
      <c r="N233" s="13"/>
      <c r="O233" s="13"/>
      <c r="P233" s="13"/>
      <c r="Q233" s="13"/>
      <c r="R233" s="13"/>
      <c r="S233" s="13"/>
      <c r="T233" s="13"/>
      <c r="U233" s="13"/>
      <c r="V233" s="13"/>
      <c r="W233" s="13"/>
      <c r="X233" s="13"/>
      <c r="Y233" s="13"/>
      <c r="Z233" s="13"/>
    </row>
    <row r="234" ht="16.5" hidden="1" customHeight="1">
      <c r="A234" s="200">
        <v>231.0</v>
      </c>
      <c r="B234" s="200" t="s">
        <v>2438</v>
      </c>
      <c r="C234" s="201" t="s">
        <v>3325</v>
      </c>
      <c r="D234" s="202" t="s">
        <v>3326</v>
      </c>
      <c r="E234" s="202" t="s">
        <v>3327</v>
      </c>
      <c r="F234" s="209"/>
      <c r="G234" s="209"/>
      <c r="H234" s="55"/>
      <c r="I234" s="204" t="s">
        <v>2437</v>
      </c>
      <c r="J234" s="241" t="b">
        <v>0</v>
      </c>
      <c r="K234" s="55"/>
      <c r="L234" s="55"/>
      <c r="M234" s="13"/>
      <c r="N234" s="13"/>
      <c r="O234" s="13"/>
      <c r="P234" s="13"/>
      <c r="Q234" s="13"/>
      <c r="R234" s="13"/>
      <c r="S234" s="13"/>
      <c r="T234" s="13"/>
      <c r="U234" s="13"/>
      <c r="V234" s="13"/>
      <c r="W234" s="13"/>
      <c r="X234" s="13"/>
      <c r="Y234" s="13"/>
      <c r="Z234" s="13"/>
    </row>
    <row r="235" ht="16.5" customHeight="1">
      <c r="A235" s="205">
        <v>232.0</v>
      </c>
      <c r="B235" s="200" t="s">
        <v>2438</v>
      </c>
      <c r="C235" s="201" t="s">
        <v>3328</v>
      </c>
      <c r="D235" s="240" t="s">
        <v>3329</v>
      </c>
      <c r="E235" s="206" t="s">
        <v>3330</v>
      </c>
      <c r="F235" s="202" t="s">
        <v>3309</v>
      </c>
      <c r="G235" s="240" t="s">
        <v>3329</v>
      </c>
      <c r="H235" s="55"/>
      <c r="I235" s="204" t="s">
        <v>2431</v>
      </c>
      <c r="J235" s="241" t="b">
        <v>0</v>
      </c>
      <c r="K235" s="55"/>
      <c r="L235" s="55"/>
      <c r="M235" s="13"/>
      <c r="N235" s="13"/>
      <c r="O235" s="13"/>
      <c r="P235" s="13"/>
      <c r="Q235" s="13"/>
      <c r="R235" s="13"/>
      <c r="S235" s="13"/>
      <c r="T235" s="13"/>
      <c r="U235" s="13"/>
      <c r="V235" s="13"/>
      <c r="W235" s="13"/>
      <c r="X235" s="13"/>
      <c r="Y235" s="13"/>
      <c r="Z235" s="13"/>
    </row>
    <row r="236" ht="16.5" customHeight="1">
      <c r="A236" s="205">
        <v>233.0</v>
      </c>
      <c r="B236" s="247" t="s">
        <v>2549</v>
      </c>
      <c r="C236" s="201" t="s">
        <v>3331</v>
      </c>
      <c r="D236" s="202" t="s">
        <v>3332</v>
      </c>
      <c r="E236" s="206" t="s">
        <v>3333</v>
      </c>
      <c r="F236" s="202" t="s">
        <v>3334</v>
      </c>
      <c r="G236" s="209"/>
      <c r="H236" s="55"/>
      <c r="I236" s="204" t="s">
        <v>2431</v>
      </c>
      <c r="J236" s="241" t="b">
        <v>0</v>
      </c>
      <c r="K236" s="55"/>
      <c r="L236" s="55"/>
      <c r="M236" s="13"/>
      <c r="N236" s="13"/>
      <c r="O236" s="13"/>
      <c r="P236" s="13"/>
      <c r="Q236" s="13"/>
      <c r="R236" s="13"/>
      <c r="S236" s="13"/>
      <c r="T236" s="13"/>
      <c r="U236" s="13"/>
      <c r="V236" s="13"/>
      <c r="W236" s="13"/>
      <c r="X236" s="13"/>
      <c r="Y236" s="13"/>
      <c r="Z236" s="13"/>
    </row>
    <row r="237" ht="16.5" customHeight="1">
      <c r="A237" s="205">
        <v>234.0</v>
      </c>
      <c r="B237" s="247" t="s">
        <v>2549</v>
      </c>
      <c r="C237" s="201" t="s">
        <v>3335</v>
      </c>
      <c r="D237" s="202" t="s">
        <v>3336</v>
      </c>
      <c r="E237" s="206" t="s">
        <v>3337</v>
      </c>
      <c r="F237" s="220">
        <v>45693.0</v>
      </c>
      <c r="G237" s="202" t="s">
        <v>3338</v>
      </c>
      <c r="H237" s="55"/>
      <c r="I237" s="204" t="s">
        <v>2431</v>
      </c>
      <c r="J237" s="241" t="b">
        <v>0</v>
      </c>
      <c r="K237" s="55"/>
      <c r="L237" s="55"/>
      <c r="M237" s="13"/>
      <c r="N237" s="13"/>
      <c r="O237" s="13"/>
      <c r="P237" s="13"/>
      <c r="Q237" s="13"/>
      <c r="R237" s="13"/>
      <c r="S237" s="13"/>
      <c r="T237" s="13"/>
      <c r="U237" s="13"/>
      <c r="V237" s="13"/>
      <c r="W237" s="13"/>
      <c r="X237" s="13"/>
      <c r="Y237" s="13"/>
      <c r="Z237" s="13"/>
    </row>
    <row r="238" ht="16.5" customHeight="1">
      <c r="A238" s="205">
        <v>235.0</v>
      </c>
      <c r="B238" s="247" t="s">
        <v>2549</v>
      </c>
      <c r="C238" s="201" t="s">
        <v>3339</v>
      </c>
      <c r="D238" s="202" t="s">
        <v>3340</v>
      </c>
      <c r="E238" s="206" t="s">
        <v>3337</v>
      </c>
      <c r="F238" s="220">
        <v>45693.0</v>
      </c>
      <c r="G238" s="202" t="s">
        <v>3341</v>
      </c>
      <c r="H238" s="55"/>
      <c r="I238" s="204" t="s">
        <v>2431</v>
      </c>
      <c r="J238" s="241" t="b">
        <v>0</v>
      </c>
      <c r="K238" s="55"/>
      <c r="L238" s="55"/>
      <c r="M238" s="13"/>
      <c r="N238" s="13"/>
      <c r="O238" s="13"/>
      <c r="P238" s="13"/>
      <c r="Q238" s="13"/>
      <c r="R238" s="13"/>
      <c r="S238" s="13"/>
      <c r="T238" s="13"/>
      <c r="U238" s="13"/>
      <c r="V238" s="13"/>
      <c r="W238" s="13"/>
      <c r="X238" s="13"/>
      <c r="Y238" s="13"/>
      <c r="Z238" s="13"/>
    </row>
    <row r="239" ht="16.5" customHeight="1">
      <c r="A239" s="205">
        <v>236.0</v>
      </c>
      <c r="B239" s="243" t="s">
        <v>2426</v>
      </c>
      <c r="C239" s="244" t="s">
        <v>3342</v>
      </c>
      <c r="D239" s="212" t="s">
        <v>3343</v>
      </c>
      <c r="E239" s="211" t="s">
        <v>3344</v>
      </c>
      <c r="F239" s="212">
        <v>84.0</v>
      </c>
      <c r="G239" s="248"/>
      <c r="H239" s="57" t="s">
        <v>3345</v>
      </c>
      <c r="I239" s="204" t="s">
        <v>2431</v>
      </c>
      <c r="J239" s="241" t="b">
        <v>0</v>
      </c>
      <c r="K239" s="55"/>
      <c r="L239" s="55"/>
      <c r="M239" s="13"/>
      <c r="N239" s="13"/>
      <c r="O239" s="13"/>
      <c r="P239" s="13"/>
      <c r="Q239" s="13"/>
      <c r="R239" s="13"/>
      <c r="S239" s="13"/>
      <c r="T239" s="13"/>
      <c r="U239" s="13"/>
      <c r="V239" s="13"/>
      <c r="W239" s="13"/>
      <c r="X239" s="13"/>
      <c r="Y239" s="13"/>
      <c r="Z239" s="13"/>
    </row>
    <row r="240" ht="16.5" customHeight="1">
      <c r="A240" s="205">
        <v>237.0</v>
      </c>
      <c r="B240" s="243" t="s">
        <v>2426</v>
      </c>
      <c r="C240" s="244" t="s">
        <v>3346</v>
      </c>
      <c r="D240" s="212" t="s">
        <v>3347</v>
      </c>
      <c r="E240" s="211" t="s">
        <v>3344</v>
      </c>
      <c r="F240" s="212" t="s">
        <v>3348</v>
      </c>
      <c r="G240" s="249" t="s">
        <v>3349</v>
      </c>
      <c r="H240" s="57" t="s">
        <v>3345</v>
      </c>
      <c r="I240" s="204" t="s">
        <v>2431</v>
      </c>
      <c r="J240" s="241" t="b">
        <v>0</v>
      </c>
      <c r="K240" s="55"/>
      <c r="L240" s="55"/>
      <c r="M240" s="13"/>
      <c r="N240" s="13"/>
      <c r="O240" s="13"/>
      <c r="P240" s="13"/>
      <c r="Q240" s="13"/>
      <c r="R240" s="13"/>
      <c r="S240" s="13"/>
      <c r="T240" s="13"/>
      <c r="U240" s="13"/>
      <c r="V240" s="13"/>
      <c r="W240" s="13"/>
      <c r="X240" s="13"/>
      <c r="Y240" s="13"/>
      <c r="Z240" s="13"/>
    </row>
    <row r="241" ht="16.5" customHeight="1">
      <c r="A241" s="205">
        <v>238.0</v>
      </c>
      <c r="B241" s="243" t="s">
        <v>2426</v>
      </c>
      <c r="C241" s="244" t="s">
        <v>3350</v>
      </c>
      <c r="D241" s="212" t="s">
        <v>3351</v>
      </c>
      <c r="E241" s="211" t="s">
        <v>3352</v>
      </c>
      <c r="F241" s="212">
        <v>106.0</v>
      </c>
      <c r="G241" s="212" t="s">
        <v>3353</v>
      </c>
      <c r="H241" s="57" t="s">
        <v>3354</v>
      </c>
      <c r="I241" s="204" t="s">
        <v>2431</v>
      </c>
      <c r="J241" s="241" t="b">
        <v>0</v>
      </c>
      <c r="K241" s="55"/>
      <c r="L241" s="55"/>
      <c r="M241" s="13"/>
      <c r="N241" s="13"/>
      <c r="O241" s="13"/>
      <c r="P241" s="13"/>
      <c r="Q241" s="13"/>
      <c r="R241" s="13"/>
      <c r="S241" s="13"/>
      <c r="T241" s="13"/>
      <c r="U241" s="13"/>
      <c r="V241" s="13"/>
      <c r="W241" s="13"/>
      <c r="X241" s="13"/>
      <c r="Y241" s="13"/>
      <c r="Z241" s="13"/>
    </row>
    <row r="242" ht="16.5" hidden="1" customHeight="1">
      <c r="A242" s="200">
        <v>239.0</v>
      </c>
      <c r="B242" s="243" t="s">
        <v>2426</v>
      </c>
      <c r="C242" s="244" t="s">
        <v>3355</v>
      </c>
      <c r="D242" s="212" t="s">
        <v>3356</v>
      </c>
      <c r="E242" s="212" t="s">
        <v>3357</v>
      </c>
      <c r="F242" s="212">
        <v>193.0</v>
      </c>
      <c r="G242" s="212" t="s">
        <v>3358</v>
      </c>
      <c r="H242" s="57" t="s">
        <v>3354</v>
      </c>
      <c r="I242" s="204" t="s">
        <v>2437</v>
      </c>
      <c r="J242" s="241" t="b">
        <v>0</v>
      </c>
      <c r="K242" s="55"/>
      <c r="L242" s="55"/>
      <c r="M242" s="13"/>
      <c r="N242" s="13"/>
      <c r="O242" s="13"/>
      <c r="P242" s="13"/>
      <c r="Q242" s="13"/>
      <c r="R242" s="13"/>
      <c r="S242" s="13"/>
      <c r="T242" s="13"/>
      <c r="U242" s="13"/>
      <c r="V242" s="13"/>
      <c r="W242" s="13"/>
      <c r="X242" s="13"/>
      <c r="Y242" s="13"/>
      <c r="Z242" s="13"/>
    </row>
    <row r="243" ht="16.5" customHeight="1">
      <c r="A243" s="205">
        <v>240.0</v>
      </c>
      <c r="B243" s="243" t="s">
        <v>2426</v>
      </c>
      <c r="C243" s="244" t="s">
        <v>3359</v>
      </c>
      <c r="D243" s="212" t="s">
        <v>3360</v>
      </c>
      <c r="E243" s="211" t="s">
        <v>3344</v>
      </c>
      <c r="F243" s="212">
        <v>250.0</v>
      </c>
      <c r="G243" s="212" t="s">
        <v>3361</v>
      </c>
      <c r="H243" s="57" t="s">
        <v>3362</v>
      </c>
      <c r="I243" s="204" t="s">
        <v>2431</v>
      </c>
      <c r="J243" s="241" t="b">
        <v>0</v>
      </c>
      <c r="K243" s="55"/>
      <c r="L243" s="55"/>
      <c r="M243" s="13"/>
      <c r="N243" s="13"/>
      <c r="O243" s="13"/>
      <c r="P243" s="13"/>
      <c r="Q243" s="13"/>
      <c r="R243" s="13"/>
      <c r="S243" s="13"/>
      <c r="T243" s="13"/>
      <c r="U243" s="13"/>
      <c r="V243" s="13"/>
      <c r="W243" s="13"/>
      <c r="X243" s="13"/>
      <c r="Y243" s="13"/>
      <c r="Z243" s="13"/>
    </row>
    <row r="244" ht="16.5" customHeight="1">
      <c r="A244" s="205">
        <v>241.0</v>
      </c>
      <c r="B244" s="243" t="s">
        <v>2426</v>
      </c>
      <c r="C244" s="244" t="s">
        <v>3363</v>
      </c>
      <c r="D244" s="212" t="s">
        <v>3364</v>
      </c>
      <c r="E244" s="211" t="s">
        <v>3344</v>
      </c>
      <c r="F244" s="212" t="s">
        <v>3365</v>
      </c>
      <c r="G244" s="212" t="s">
        <v>3366</v>
      </c>
      <c r="H244" s="57" t="s">
        <v>3362</v>
      </c>
      <c r="I244" s="204" t="s">
        <v>2431</v>
      </c>
      <c r="J244" s="241" t="b">
        <v>0</v>
      </c>
      <c r="K244" s="55"/>
      <c r="L244" s="55"/>
      <c r="M244" s="13"/>
      <c r="N244" s="13"/>
      <c r="O244" s="13"/>
      <c r="P244" s="13"/>
      <c r="Q244" s="13"/>
      <c r="R244" s="13"/>
      <c r="S244" s="13"/>
      <c r="T244" s="13"/>
      <c r="U244" s="13"/>
      <c r="V244" s="13"/>
      <c r="W244" s="13"/>
      <c r="X244" s="13"/>
      <c r="Y244" s="13"/>
      <c r="Z244" s="13"/>
    </row>
    <row r="245" ht="16.5" customHeight="1">
      <c r="A245" s="205">
        <v>242.0</v>
      </c>
      <c r="B245" s="243" t="s">
        <v>2426</v>
      </c>
      <c r="C245" s="244" t="s">
        <v>3367</v>
      </c>
      <c r="D245" s="212" t="s">
        <v>3368</v>
      </c>
      <c r="E245" s="211" t="s">
        <v>3344</v>
      </c>
      <c r="F245" s="212">
        <v>200.0</v>
      </c>
      <c r="G245" s="212" t="s">
        <v>3369</v>
      </c>
      <c r="H245" s="57" t="s">
        <v>3370</v>
      </c>
      <c r="I245" s="204" t="s">
        <v>2431</v>
      </c>
      <c r="J245" s="241" t="b">
        <v>0</v>
      </c>
      <c r="K245" s="55"/>
      <c r="L245" s="55"/>
      <c r="M245" s="13"/>
      <c r="N245" s="13"/>
      <c r="O245" s="13"/>
      <c r="P245" s="13"/>
      <c r="Q245" s="13"/>
      <c r="R245" s="13"/>
      <c r="S245" s="13"/>
      <c r="T245" s="13"/>
      <c r="U245" s="13"/>
      <c r="V245" s="13"/>
      <c r="W245" s="13"/>
      <c r="X245" s="13"/>
      <c r="Y245" s="13"/>
      <c r="Z245" s="13"/>
    </row>
    <row r="246" ht="16.5" customHeight="1">
      <c r="A246" s="205">
        <v>243.0</v>
      </c>
      <c r="B246" s="243" t="s">
        <v>2426</v>
      </c>
      <c r="C246" s="244" t="s">
        <v>3371</v>
      </c>
      <c r="D246" s="212" t="s">
        <v>3372</v>
      </c>
      <c r="E246" s="211" t="s">
        <v>3373</v>
      </c>
      <c r="F246" s="248"/>
      <c r="G246" s="212" t="s">
        <v>3374</v>
      </c>
      <c r="H246" s="57" t="s">
        <v>3370</v>
      </c>
      <c r="I246" s="204" t="s">
        <v>2431</v>
      </c>
      <c r="J246" s="241" t="b">
        <v>0</v>
      </c>
      <c r="K246" s="55"/>
      <c r="L246" s="55"/>
      <c r="M246" s="13"/>
      <c r="N246" s="13"/>
      <c r="O246" s="13"/>
      <c r="P246" s="13"/>
      <c r="Q246" s="13"/>
      <c r="R246" s="13"/>
      <c r="S246" s="13"/>
      <c r="T246" s="13"/>
      <c r="U246" s="13"/>
      <c r="V246" s="13"/>
      <c r="W246" s="13"/>
      <c r="X246" s="13"/>
      <c r="Y246" s="13"/>
      <c r="Z246" s="13"/>
    </row>
    <row r="247" ht="16.5" hidden="1" customHeight="1">
      <c r="A247" s="200">
        <v>244.0</v>
      </c>
      <c r="B247" s="243" t="s">
        <v>2426</v>
      </c>
      <c r="C247" s="244" t="s">
        <v>3375</v>
      </c>
      <c r="D247" s="212" t="s">
        <v>3376</v>
      </c>
      <c r="E247" s="212" t="s">
        <v>3357</v>
      </c>
      <c r="F247" s="212">
        <v>192.0</v>
      </c>
      <c r="G247" s="212" t="s">
        <v>3377</v>
      </c>
      <c r="H247" s="57" t="s">
        <v>3378</v>
      </c>
      <c r="I247" s="204" t="s">
        <v>2437</v>
      </c>
      <c r="J247" s="241" t="b">
        <v>0</v>
      </c>
      <c r="K247" s="55"/>
      <c r="L247" s="55"/>
      <c r="M247" s="13"/>
      <c r="N247" s="13"/>
      <c r="O247" s="13"/>
      <c r="P247" s="13"/>
      <c r="Q247" s="13"/>
      <c r="R247" s="13"/>
      <c r="S247" s="13"/>
      <c r="T247" s="13"/>
      <c r="U247" s="13"/>
      <c r="V247" s="13"/>
      <c r="W247" s="13"/>
      <c r="X247" s="13"/>
      <c r="Y247" s="13"/>
      <c r="Z247" s="13"/>
    </row>
    <row r="248" ht="16.5" customHeight="1">
      <c r="A248" s="205">
        <v>245.0</v>
      </c>
      <c r="B248" s="243" t="s">
        <v>2426</v>
      </c>
      <c r="C248" s="244" t="s">
        <v>3379</v>
      </c>
      <c r="D248" s="212" t="s">
        <v>3380</v>
      </c>
      <c r="E248" s="211" t="s">
        <v>3352</v>
      </c>
      <c r="F248" s="212">
        <v>113.0</v>
      </c>
      <c r="G248" s="212" t="s">
        <v>3381</v>
      </c>
      <c r="H248" s="57" t="s">
        <v>3378</v>
      </c>
      <c r="I248" s="204" t="s">
        <v>2431</v>
      </c>
      <c r="J248" s="241" t="b">
        <v>0</v>
      </c>
      <c r="K248" s="55"/>
      <c r="L248" s="55"/>
      <c r="M248" s="13"/>
      <c r="N248" s="13"/>
      <c r="O248" s="13"/>
      <c r="P248" s="13"/>
      <c r="Q248" s="13"/>
      <c r="R248" s="13"/>
      <c r="S248" s="13"/>
      <c r="T248" s="13"/>
      <c r="U248" s="13"/>
      <c r="V248" s="13"/>
      <c r="W248" s="13"/>
      <c r="X248" s="13"/>
      <c r="Y248" s="13"/>
      <c r="Z248" s="13"/>
    </row>
    <row r="249" ht="16.5" hidden="1" customHeight="1">
      <c r="A249" s="200">
        <v>246.0</v>
      </c>
      <c r="B249" s="243" t="s">
        <v>2426</v>
      </c>
      <c r="C249" s="244" t="s">
        <v>3382</v>
      </c>
      <c r="D249" s="212" t="s">
        <v>3383</v>
      </c>
      <c r="E249" s="212" t="s">
        <v>3384</v>
      </c>
      <c r="F249" s="212" t="s">
        <v>3385</v>
      </c>
      <c r="G249" s="212" t="s">
        <v>3386</v>
      </c>
      <c r="H249" s="57" t="s">
        <v>3387</v>
      </c>
      <c r="I249" s="204" t="s">
        <v>2437</v>
      </c>
      <c r="J249" s="241" t="b">
        <v>0</v>
      </c>
      <c r="K249" s="55"/>
      <c r="L249" s="55"/>
      <c r="M249" s="13"/>
      <c r="N249" s="13"/>
      <c r="O249" s="13"/>
      <c r="P249" s="13"/>
      <c r="Q249" s="13"/>
      <c r="R249" s="13"/>
      <c r="S249" s="13"/>
      <c r="T249" s="13"/>
      <c r="U249" s="13"/>
      <c r="V249" s="13"/>
      <c r="W249" s="13"/>
      <c r="X249" s="13"/>
      <c r="Y249" s="13"/>
      <c r="Z249" s="13"/>
    </row>
    <row r="250" ht="16.5" hidden="1" customHeight="1">
      <c r="A250" s="200">
        <v>247.0</v>
      </c>
      <c r="B250" s="243" t="s">
        <v>2426</v>
      </c>
      <c r="C250" s="244" t="s">
        <v>3388</v>
      </c>
      <c r="D250" s="212" t="s">
        <v>3389</v>
      </c>
      <c r="E250" s="212" t="s">
        <v>3384</v>
      </c>
      <c r="F250" s="212" t="s">
        <v>3390</v>
      </c>
      <c r="G250" s="212" t="s">
        <v>3391</v>
      </c>
      <c r="H250" s="57" t="s">
        <v>3387</v>
      </c>
      <c r="I250" s="204" t="s">
        <v>2437</v>
      </c>
      <c r="J250" s="241" t="b">
        <v>0</v>
      </c>
      <c r="K250" s="55"/>
      <c r="L250" s="55"/>
      <c r="M250" s="13"/>
      <c r="N250" s="13"/>
      <c r="O250" s="13"/>
      <c r="P250" s="13"/>
      <c r="Q250" s="13"/>
      <c r="R250" s="13"/>
      <c r="S250" s="13"/>
      <c r="T250" s="13"/>
      <c r="U250" s="13"/>
      <c r="V250" s="13"/>
      <c r="W250" s="13"/>
      <c r="X250" s="13"/>
      <c r="Y250" s="13"/>
      <c r="Z250" s="13"/>
    </row>
    <row r="251" ht="16.5" hidden="1" customHeight="1">
      <c r="A251" s="200">
        <v>248.0</v>
      </c>
      <c r="B251" s="243" t="s">
        <v>2426</v>
      </c>
      <c r="C251" s="244" t="s">
        <v>3392</v>
      </c>
      <c r="D251" s="212" t="s">
        <v>3393</v>
      </c>
      <c r="E251" s="212" t="s">
        <v>3384</v>
      </c>
      <c r="F251" s="212" t="s">
        <v>3394</v>
      </c>
      <c r="G251" s="212" t="s">
        <v>3395</v>
      </c>
      <c r="H251" s="57" t="s">
        <v>3396</v>
      </c>
      <c r="I251" s="204" t="s">
        <v>2437</v>
      </c>
      <c r="J251" s="241" t="b">
        <v>0</v>
      </c>
      <c r="K251" s="55"/>
      <c r="L251" s="55"/>
      <c r="M251" s="13"/>
      <c r="N251" s="13"/>
      <c r="O251" s="13"/>
      <c r="P251" s="13"/>
      <c r="Q251" s="13"/>
      <c r="R251" s="13"/>
      <c r="S251" s="13"/>
      <c r="T251" s="13"/>
      <c r="U251" s="13"/>
      <c r="V251" s="13"/>
      <c r="W251" s="13"/>
      <c r="X251" s="13"/>
      <c r="Y251" s="13"/>
      <c r="Z251" s="13"/>
    </row>
    <row r="252" ht="16.5" hidden="1" customHeight="1">
      <c r="A252" s="200">
        <v>249.0</v>
      </c>
      <c r="B252" s="243" t="s">
        <v>2426</v>
      </c>
      <c r="C252" s="244" t="s">
        <v>3397</v>
      </c>
      <c r="D252" s="212" t="s">
        <v>3398</v>
      </c>
      <c r="E252" s="212" t="s">
        <v>3384</v>
      </c>
      <c r="F252" s="212">
        <v>3.0</v>
      </c>
      <c r="G252" s="212" t="s">
        <v>3398</v>
      </c>
      <c r="H252" s="57" t="s">
        <v>3396</v>
      </c>
      <c r="I252" s="204" t="s">
        <v>2437</v>
      </c>
      <c r="J252" s="241" t="b">
        <v>0</v>
      </c>
      <c r="K252" s="55"/>
      <c r="L252" s="55"/>
      <c r="M252" s="13"/>
      <c r="N252" s="13"/>
      <c r="O252" s="13"/>
      <c r="P252" s="13"/>
      <c r="Q252" s="13"/>
      <c r="R252" s="13"/>
      <c r="S252" s="13"/>
      <c r="T252" s="13"/>
      <c r="U252" s="13"/>
      <c r="V252" s="13"/>
      <c r="W252" s="13"/>
      <c r="X252" s="13"/>
      <c r="Y252" s="13"/>
      <c r="Z252" s="13"/>
    </row>
    <row r="253" ht="16.5" customHeight="1">
      <c r="A253" s="205">
        <v>250.0</v>
      </c>
      <c r="B253" s="243" t="s">
        <v>2426</v>
      </c>
      <c r="C253" s="244" t="s">
        <v>3399</v>
      </c>
      <c r="D253" s="212" t="s">
        <v>3400</v>
      </c>
      <c r="E253" s="211" t="s">
        <v>3344</v>
      </c>
      <c r="F253" s="212">
        <v>47.0</v>
      </c>
      <c r="G253" s="212" t="s">
        <v>3401</v>
      </c>
      <c r="H253" s="57" t="s">
        <v>3402</v>
      </c>
      <c r="I253" s="204" t="s">
        <v>2431</v>
      </c>
      <c r="J253" s="241" t="b">
        <v>0</v>
      </c>
      <c r="K253" s="55"/>
      <c r="L253" s="55"/>
      <c r="M253" s="13"/>
      <c r="N253" s="13"/>
      <c r="O253" s="13"/>
      <c r="P253" s="13"/>
      <c r="Q253" s="13"/>
      <c r="R253" s="13"/>
      <c r="S253" s="13"/>
      <c r="T253" s="13"/>
      <c r="U253" s="13"/>
      <c r="V253" s="13"/>
      <c r="W253" s="13"/>
      <c r="X253" s="13"/>
      <c r="Y253" s="13"/>
      <c r="Z253" s="13"/>
    </row>
    <row r="254" ht="16.5" hidden="1" customHeight="1">
      <c r="A254" s="200">
        <v>251.0</v>
      </c>
      <c r="B254" s="243" t="s">
        <v>2426</v>
      </c>
      <c r="C254" s="244" t="s">
        <v>3403</v>
      </c>
      <c r="D254" s="212" t="s">
        <v>3404</v>
      </c>
      <c r="E254" s="212" t="s">
        <v>3357</v>
      </c>
      <c r="F254" s="212">
        <v>188.0</v>
      </c>
      <c r="G254" s="212" t="s">
        <v>3405</v>
      </c>
      <c r="H254" s="57" t="s">
        <v>3402</v>
      </c>
      <c r="I254" s="204" t="s">
        <v>2437</v>
      </c>
      <c r="J254" s="241" t="b">
        <v>0</v>
      </c>
      <c r="K254" s="55"/>
      <c r="L254" s="55"/>
      <c r="M254" s="13"/>
      <c r="N254" s="13"/>
      <c r="O254" s="13"/>
      <c r="P254" s="13"/>
      <c r="Q254" s="13"/>
      <c r="R254" s="13"/>
      <c r="S254" s="13"/>
      <c r="T254" s="13"/>
      <c r="U254" s="13"/>
      <c r="V254" s="13"/>
      <c r="W254" s="13"/>
      <c r="X254" s="13"/>
      <c r="Y254" s="13"/>
      <c r="Z254" s="13"/>
    </row>
    <row r="255" ht="16.5" customHeight="1">
      <c r="A255" s="205">
        <v>252.0</v>
      </c>
      <c r="B255" s="243" t="s">
        <v>2426</v>
      </c>
      <c r="C255" s="244" t="s">
        <v>3406</v>
      </c>
      <c r="D255" s="212" t="s">
        <v>3407</v>
      </c>
      <c r="E255" s="211" t="s">
        <v>3344</v>
      </c>
      <c r="F255" s="212">
        <v>47.0</v>
      </c>
      <c r="G255" s="212" t="s">
        <v>3408</v>
      </c>
      <c r="H255" s="57" t="s">
        <v>3409</v>
      </c>
      <c r="I255" s="204" t="s">
        <v>2431</v>
      </c>
      <c r="J255" s="241" t="b">
        <v>0</v>
      </c>
      <c r="K255" s="55"/>
      <c r="L255" s="55"/>
      <c r="M255" s="13"/>
      <c r="N255" s="13"/>
      <c r="O255" s="13"/>
      <c r="P255" s="13"/>
      <c r="Q255" s="13"/>
      <c r="R255" s="13"/>
      <c r="S255" s="13"/>
      <c r="T255" s="13"/>
      <c r="U255" s="13"/>
      <c r="V255" s="13"/>
      <c r="W255" s="13"/>
      <c r="X255" s="13"/>
      <c r="Y255" s="13"/>
      <c r="Z255" s="13"/>
    </row>
    <row r="256" ht="16.5" customHeight="1">
      <c r="A256" s="205">
        <v>253.0</v>
      </c>
      <c r="B256" s="243" t="s">
        <v>2426</v>
      </c>
      <c r="C256" s="244" t="s">
        <v>3410</v>
      </c>
      <c r="D256" s="212" t="s">
        <v>3411</v>
      </c>
      <c r="E256" s="211" t="s">
        <v>3344</v>
      </c>
      <c r="F256" s="212">
        <v>20.0</v>
      </c>
      <c r="G256" s="212" t="s">
        <v>3412</v>
      </c>
      <c r="H256" s="57" t="s">
        <v>3409</v>
      </c>
      <c r="I256" s="204" t="s">
        <v>2431</v>
      </c>
      <c r="J256" s="241" t="b">
        <v>0</v>
      </c>
      <c r="K256" s="55"/>
      <c r="L256" s="55"/>
      <c r="M256" s="13"/>
      <c r="N256" s="13"/>
      <c r="O256" s="13"/>
      <c r="P256" s="13"/>
      <c r="Q256" s="13"/>
      <c r="R256" s="13"/>
      <c r="S256" s="13"/>
      <c r="T256" s="13"/>
      <c r="U256" s="13"/>
      <c r="V256" s="13"/>
      <c r="W256" s="13"/>
      <c r="X256" s="13"/>
      <c r="Y256" s="13"/>
      <c r="Z256" s="13"/>
    </row>
    <row r="257" ht="16.5" hidden="1" customHeight="1">
      <c r="A257" s="200">
        <v>254.0</v>
      </c>
      <c r="B257" s="243" t="s">
        <v>2426</v>
      </c>
      <c r="C257" s="244" t="s">
        <v>3413</v>
      </c>
      <c r="D257" s="212" t="s">
        <v>3414</v>
      </c>
      <c r="E257" s="212" t="s">
        <v>3384</v>
      </c>
      <c r="F257" s="212">
        <v>4.0</v>
      </c>
      <c r="G257" s="212" t="s">
        <v>3414</v>
      </c>
      <c r="H257" s="57" t="s">
        <v>3415</v>
      </c>
      <c r="I257" s="204" t="s">
        <v>2437</v>
      </c>
      <c r="J257" s="241" t="b">
        <v>0</v>
      </c>
      <c r="K257" s="55"/>
      <c r="L257" s="55"/>
      <c r="M257" s="13"/>
      <c r="N257" s="13"/>
      <c r="O257" s="13"/>
      <c r="P257" s="13"/>
      <c r="Q257" s="13"/>
      <c r="R257" s="13"/>
      <c r="S257" s="13"/>
      <c r="T257" s="13"/>
      <c r="U257" s="13"/>
      <c r="V257" s="13"/>
      <c r="W257" s="13"/>
      <c r="X257" s="13"/>
      <c r="Y257" s="13"/>
      <c r="Z257" s="13"/>
    </row>
    <row r="258" ht="16.5" customHeight="1">
      <c r="A258" s="205">
        <v>255.0</v>
      </c>
      <c r="B258" s="243" t="s">
        <v>2426</v>
      </c>
      <c r="C258" s="244" t="s">
        <v>3416</v>
      </c>
      <c r="D258" s="212" t="s">
        <v>3417</v>
      </c>
      <c r="E258" s="211" t="s">
        <v>3352</v>
      </c>
      <c r="F258" s="212">
        <v>56.0</v>
      </c>
      <c r="G258" s="212" t="s">
        <v>3418</v>
      </c>
      <c r="H258" s="57" t="s">
        <v>3415</v>
      </c>
      <c r="I258" s="204" t="s">
        <v>2431</v>
      </c>
      <c r="J258" s="241" t="b">
        <v>0</v>
      </c>
      <c r="K258" s="55"/>
      <c r="L258" s="55"/>
      <c r="M258" s="13"/>
      <c r="N258" s="13"/>
      <c r="O258" s="13"/>
      <c r="P258" s="13"/>
      <c r="Q258" s="13"/>
      <c r="R258" s="13"/>
      <c r="S258" s="13"/>
      <c r="T258" s="13"/>
      <c r="U258" s="13"/>
      <c r="V258" s="13"/>
      <c r="W258" s="13"/>
      <c r="X258" s="13"/>
      <c r="Y258" s="13"/>
      <c r="Z258" s="13"/>
    </row>
    <row r="259" ht="16.5" customHeight="1">
      <c r="A259" s="205">
        <v>256.0</v>
      </c>
      <c r="B259" s="243" t="s">
        <v>2426</v>
      </c>
      <c r="C259" s="244" t="s">
        <v>3419</v>
      </c>
      <c r="D259" s="212" t="s">
        <v>3420</v>
      </c>
      <c r="E259" s="211" t="s">
        <v>3421</v>
      </c>
      <c r="F259" s="212" t="s">
        <v>3422</v>
      </c>
      <c r="G259" s="212" t="s">
        <v>3423</v>
      </c>
      <c r="H259" s="57" t="s">
        <v>3424</v>
      </c>
      <c r="I259" s="204" t="s">
        <v>2431</v>
      </c>
      <c r="J259" s="241" t="b">
        <v>0</v>
      </c>
      <c r="K259" s="55"/>
      <c r="L259" s="55"/>
      <c r="M259" s="13"/>
      <c r="N259" s="13"/>
      <c r="O259" s="13"/>
      <c r="P259" s="13"/>
      <c r="Q259" s="13"/>
      <c r="R259" s="13"/>
      <c r="S259" s="13"/>
      <c r="T259" s="13"/>
      <c r="U259" s="13"/>
      <c r="V259" s="13"/>
      <c r="W259" s="13"/>
      <c r="X259" s="13"/>
      <c r="Y259" s="13"/>
      <c r="Z259" s="13"/>
    </row>
    <row r="260" ht="16.5" customHeight="1">
      <c r="A260" s="205">
        <v>257.0</v>
      </c>
      <c r="B260" s="243" t="s">
        <v>2426</v>
      </c>
      <c r="C260" s="244" t="s">
        <v>3425</v>
      </c>
      <c r="D260" s="212" t="s">
        <v>3426</v>
      </c>
      <c r="E260" s="211" t="s">
        <v>3344</v>
      </c>
      <c r="F260" s="212" t="s">
        <v>3422</v>
      </c>
      <c r="G260" s="212" t="s">
        <v>3423</v>
      </c>
      <c r="H260" s="57" t="s">
        <v>3424</v>
      </c>
      <c r="I260" s="204" t="s">
        <v>2431</v>
      </c>
      <c r="J260" s="241" t="b">
        <v>0</v>
      </c>
      <c r="K260" s="55"/>
      <c r="L260" s="55"/>
      <c r="M260" s="13"/>
      <c r="N260" s="13"/>
      <c r="O260" s="13"/>
      <c r="P260" s="13"/>
      <c r="Q260" s="13"/>
      <c r="R260" s="13"/>
      <c r="S260" s="13"/>
      <c r="T260" s="13"/>
      <c r="U260" s="13"/>
      <c r="V260" s="13"/>
      <c r="W260" s="13"/>
      <c r="X260" s="13"/>
      <c r="Y260" s="13"/>
      <c r="Z260" s="13"/>
    </row>
    <row r="261" ht="16.5" customHeight="1">
      <c r="A261" s="205">
        <v>258.0</v>
      </c>
      <c r="B261" s="243" t="s">
        <v>2426</v>
      </c>
      <c r="C261" s="244" t="s">
        <v>3427</v>
      </c>
      <c r="D261" s="212" t="s">
        <v>3428</v>
      </c>
      <c r="E261" s="211" t="s">
        <v>3344</v>
      </c>
      <c r="F261" s="212" t="s">
        <v>3422</v>
      </c>
      <c r="G261" s="212" t="s">
        <v>3423</v>
      </c>
      <c r="H261" s="57" t="s">
        <v>3424</v>
      </c>
      <c r="I261" s="204" t="s">
        <v>2431</v>
      </c>
      <c r="J261" s="241" t="b">
        <v>0</v>
      </c>
      <c r="K261" s="55"/>
      <c r="L261" s="55"/>
      <c r="M261" s="13"/>
      <c r="N261" s="13"/>
      <c r="O261" s="13"/>
      <c r="P261" s="13"/>
      <c r="Q261" s="13"/>
      <c r="R261" s="13"/>
      <c r="S261" s="13"/>
      <c r="T261" s="13"/>
      <c r="U261" s="13"/>
      <c r="V261" s="13"/>
      <c r="W261" s="13"/>
      <c r="X261" s="13"/>
      <c r="Y261" s="13"/>
      <c r="Z261" s="13"/>
    </row>
    <row r="262" ht="16.5" customHeight="1">
      <c r="A262" s="205">
        <v>259.0</v>
      </c>
      <c r="B262" s="243" t="s">
        <v>2426</v>
      </c>
      <c r="C262" s="244" t="s">
        <v>3429</v>
      </c>
      <c r="D262" s="212" t="s">
        <v>3430</v>
      </c>
      <c r="E262" s="211" t="s">
        <v>3344</v>
      </c>
      <c r="F262" s="212" t="s">
        <v>3422</v>
      </c>
      <c r="G262" s="212" t="s">
        <v>3423</v>
      </c>
      <c r="H262" s="57" t="s">
        <v>3424</v>
      </c>
      <c r="I262" s="204" t="s">
        <v>2431</v>
      </c>
      <c r="J262" s="241" t="b">
        <v>0</v>
      </c>
      <c r="K262" s="55"/>
      <c r="L262" s="55"/>
      <c r="M262" s="13"/>
      <c r="N262" s="13"/>
      <c r="O262" s="13"/>
      <c r="P262" s="13"/>
      <c r="Q262" s="13"/>
      <c r="R262" s="13"/>
      <c r="S262" s="13"/>
      <c r="T262" s="13"/>
      <c r="U262" s="13"/>
      <c r="V262" s="13"/>
      <c r="W262" s="13"/>
      <c r="X262" s="13"/>
      <c r="Y262" s="13"/>
      <c r="Z262" s="13"/>
    </row>
    <row r="263" ht="16.5" hidden="1" customHeight="1">
      <c r="A263" s="200">
        <v>260.0</v>
      </c>
      <c r="B263" s="243" t="s">
        <v>2426</v>
      </c>
      <c r="C263" s="244" t="s">
        <v>3431</v>
      </c>
      <c r="D263" s="212" t="s">
        <v>3432</v>
      </c>
      <c r="E263" s="248"/>
      <c r="F263" s="248"/>
      <c r="G263" s="248"/>
      <c r="H263" s="57" t="s">
        <v>3424</v>
      </c>
      <c r="I263" s="204" t="s">
        <v>2437</v>
      </c>
      <c r="J263" s="241" t="b">
        <v>0</v>
      </c>
      <c r="K263" s="55"/>
      <c r="L263" s="55"/>
      <c r="M263" s="13"/>
      <c r="N263" s="13"/>
      <c r="O263" s="13"/>
      <c r="P263" s="13"/>
      <c r="Q263" s="13"/>
      <c r="R263" s="13"/>
      <c r="S263" s="13"/>
      <c r="T263" s="13"/>
      <c r="U263" s="13"/>
      <c r="V263" s="13"/>
      <c r="W263" s="13"/>
      <c r="X263" s="13"/>
      <c r="Y263" s="13"/>
      <c r="Z263" s="13"/>
    </row>
    <row r="264" ht="16.5" hidden="1" customHeight="1">
      <c r="A264" s="200">
        <v>261.0</v>
      </c>
      <c r="B264" s="243" t="s">
        <v>2426</v>
      </c>
      <c r="C264" s="244" t="s">
        <v>3433</v>
      </c>
      <c r="D264" s="212" t="s">
        <v>3434</v>
      </c>
      <c r="E264" s="248"/>
      <c r="F264" s="248"/>
      <c r="G264" s="248"/>
      <c r="H264" s="57" t="s">
        <v>3424</v>
      </c>
      <c r="I264" s="204" t="s">
        <v>2437</v>
      </c>
      <c r="J264" s="241" t="b">
        <v>0</v>
      </c>
      <c r="K264" s="55"/>
      <c r="L264" s="55"/>
      <c r="M264" s="13"/>
      <c r="N264" s="13"/>
      <c r="O264" s="13"/>
      <c r="P264" s="13"/>
      <c r="Q264" s="13"/>
      <c r="R264" s="13"/>
      <c r="S264" s="13"/>
      <c r="T264" s="13"/>
      <c r="U264" s="13"/>
      <c r="V264" s="13"/>
      <c r="W264" s="13"/>
      <c r="X264" s="13"/>
      <c r="Y264" s="13"/>
      <c r="Z264" s="13"/>
    </row>
    <row r="265" ht="16.5" customHeight="1">
      <c r="A265" s="205">
        <v>262.0</v>
      </c>
      <c r="B265" s="243" t="s">
        <v>2426</v>
      </c>
      <c r="C265" s="244" t="s">
        <v>3435</v>
      </c>
      <c r="D265" s="212" t="s">
        <v>3436</v>
      </c>
      <c r="E265" s="211" t="s">
        <v>3437</v>
      </c>
      <c r="F265" s="248"/>
      <c r="G265" s="212" t="s">
        <v>3436</v>
      </c>
      <c r="H265" s="57" t="s">
        <v>3438</v>
      </c>
      <c r="I265" s="204" t="s">
        <v>2431</v>
      </c>
      <c r="J265" s="241" t="b">
        <v>0</v>
      </c>
      <c r="K265" s="55"/>
      <c r="L265" s="55"/>
      <c r="M265" s="13"/>
      <c r="N265" s="13"/>
      <c r="O265" s="13"/>
      <c r="P265" s="13"/>
      <c r="Q265" s="13"/>
      <c r="R265" s="13"/>
      <c r="S265" s="13"/>
      <c r="T265" s="13"/>
      <c r="U265" s="13"/>
      <c r="V265" s="13"/>
      <c r="W265" s="13"/>
      <c r="X265" s="13"/>
      <c r="Y265" s="13"/>
      <c r="Z265" s="13"/>
    </row>
    <row r="266" ht="16.5" hidden="1" customHeight="1">
      <c r="A266" s="200">
        <v>263.0</v>
      </c>
      <c r="B266" s="243" t="s">
        <v>2426</v>
      </c>
      <c r="C266" s="244" t="s">
        <v>3439</v>
      </c>
      <c r="D266" s="212" t="s">
        <v>3440</v>
      </c>
      <c r="E266" s="212" t="s">
        <v>3357</v>
      </c>
      <c r="F266" s="212">
        <v>193.0</v>
      </c>
      <c r="G266" s="212" t="s">
        <v>3441</v>
      </c>
      <c r="H266" s="57" t="s">
        <v>3424</v>
      </c>
      <c r="I266" s="204" t="s">
        <v>2437</v>
      </c>
      <c r="J266" s="241" t="b">
        <v>0</v>
      </c>
      <c r="K266" s="55"/>
      <c r="L266" s="55"/>
      <c r="M266" s="13"/>
      <c r="N266" s="13"/>
      <c r="O266" s="13"/>
      <c r="P266" s="13"/>
      <c r="Q266" s="13"/>
      <c r="R266" s="13"/>
      <c r="S266" s="13"/>
      <c r="T266" s="13"/>
      <c r="U266" s="13"/>
      <c r="V266" s="13"/>
      <c r="W266" s="13"/>
      <c r="X266" s="13"/>
      <c r="Y266" s="13"/>
      <c r="Z266" s="13"/>
    </row>
    <row r="267" ht="16.5" customHeight="1">
      <c r="A267" s="205">
        <v>264.0</v>
      </c>
      <c r="B267" s="243" t="s">
        <v>2426</v>
      </c>
      <c r="C267" s="244" t="s">
        <v>3442</v>
      </c>
      <c r="D267" s="212" t="s">
        <v>3443</v>
      </c>
      <c r="E267" s="211" t="s">
        <v>3444</v>
      </c>
      <c r="F267" s="246">
        <v>45659.0</v>
      </c>
      <c r="G267" s="212" t="s">
        <v>3445</v>
      </c>
      <c r="H267" s="57" t="s">
        <v>3438</v>
      </c>
      <c r="I267" s="204" t="s">
        <v>2431</v>
      </c>
      <c r="J267" s="241" t="b">
        <v>0</v>
      </c>
      <c r="K267" s="55"/>
      <c r="L267" s="55"/>
      <c r="M267" s="13"/>
      <c r="N267" s="13"/>
      <c r="O267" s="13"/>
      <c r="P267" s="13"/>
      <c r="Q267" s="13"/>
      <c r="R267" s="13"/>
      <c r="S267" s="13"/>
      <c r="T267" s="13"/>
      <c r="U267" s="13"/>
      <c r="V267" s="13"/>
      <c r="W267" s="13"/>
      <c r="X267" s="13"/>
      <c r="Y267" s="13"/>
      <c r="Z267" s="13"/>
    </row>
    <row r="268" ht="16.5" customHeight="1">
      <c r="A268" s="205">
        <v>265.0</v>
      </c>
      <c r="B268" s="243" t="s">
        <v>2438</v>
      </c>
      <c r="C268" s="201" t="s">
        <v>3446</v>
      </c>
      <c r="D268" s="202" t="s">
        <v>3447</v>
      </c>
      <c r="E268" s="206" t="s">
        <v>3448</v>
      </c>
      <c r="F268" s="202" t="s">
        <v>3449</v>
      </c>
      <c r="G268" s="208" t="s">
        <v>3450</v>
      </c>
      <c r="H268" s="55"/>
      <c r="I268" s="204" t="s">
        <v>2431</v>
      </c>
      <c r="J268" s="241" t="b">
        <v>0</v>
      </c>
      <c r="K268" s="55"/>
      <c r="L268" s="55"/>
      <c r="M268" s="13"/>
      <c r="N268" s="13"/>
      <c r="O268" s="13"/>
      <c r="P268" s="13"/>
      <c r="Q268" s="13"/>
      <c r="R268" s="13"/>
      <c r="S268" s="13"/>
      <c r="T268" s="13"/>
      <c r="U268" s="13"/>
      <c r="V268" s="13"/>
      <c r="W268" s="13"/>
      <c r="X268" s="13"/>
      <c r="Y268" s="13"/>
      <c r="Z268" s="13"/>
    </row>
    <row r="269" ht="16.5" customHeight="1">
      <c r="A269" s="205">
        <v>266.0</v>
      </c>
      <c r="B269" s="243" t="s">
        <v>2438</v>
      </c>
      <c r="C269" s="201" t="s">
        <v>3451</v>
      </c>
      <c r="D269" s="202" t="s">
        <v>3452</v>
      </c>
      <c r="E269" s="206" t="s">
        <v>3453</v>
      </c>
      <c r="F269" s="202">
        <v>1.0</v>
      </c>
      <c r="G269" s="202" t="s">
        <v>3452</v>
      </c>
      <c r="H269" s="55"/>
      <c r="I269" s="204" t="s">
        <v>2431</v>
      </c>
      <c r="J269" s="241" t="b">
        <v>0</v>
      </c>
      <c r="K269" s="55"/>
      <c r="L269" s="55"/>
      <c r="M269" s="13"/>
      <c r="N269" s="13"/>
      <c r="O269" s="13"/>
      <c r="P269" s="13"/>
      <c r="Q269" s="13"/>
      <c r="R269" s="13"/>
      <c r="S269" s="13"/>
      <c r="T269" s="13"/>
      <c r="U269" s="13"/>
      <c r="V269" s="13"/>
      <c r="W269" s="13"/>
      <c r="X269" s="13"/>
      <c r="Y269" s="13"/>
      <c r="Z269" s="13"/>
    </row>
    <row r="270" ht="16.5" customHeight="1">
      <c r="A270" s="205">
        <v>267.0</v>
      </c>
      <c r="B270" s="243" t="s">
        <v>2438</v>
      </c>
      <c r="C270" s="201" t="s">
        <v>3454</v>
      </c>
      <c r="D270" s="202" t="s">
        <v>3455</v>
      </c>
      <c r="E270" s="206" t="s">
        <v>3456</v>
      </c>
      <c r="F270" s="202" t="s">
        <v>3457</v>
      </c>
      <c r="G270" s="202" t="s">
        <v>3458</v>
      </c>
      <c r="H270" s="55"/>
      <c r="I270" s="204" t="s">
        <v>2431</v>
      </c>
      <c r="J270" s="241" t="b">
        <v>0</v>
      </c>
      <c r="K270" s="55"/>
      <c r="L270" s="55"/>
      <c r="M270" s="13"/>
      <c r="N270" s="13"/>
      <c r="O270" s="13"/>
      <c r="P270" s="13"/>
      <c r="Q270" s="13"/>
      <c r="R270" s="13"/>
      <c r="S270" s="13"/>
      <c r="T270" s="13"/>
      <c r="U270" s="13"/>
      <c r="V270" s="13"/>
      <c r="W270" s="13"/>
      <c r="X270" s="13"/>
      <c r="Y270" s="13"/>
      <c r="Z270" s="13"/>
    </row>
    <row r="271" ht="16.5" customHeight="1">
      <c r="A271" s="10"/>
      <c r="B271" s="10"/>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6.5" customHeight="1">
      <c r="A272" s="10"/>
      <c r="B272" s="10"/>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6.5" customHeight="1">
      <c r="A273" s="10"/>
      <c r="B273" s="10"/>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6.5" customHeight="1">
      <c r="A274" s="10"/>
      <c r="B274" s="10"/>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6.5" customHeight="1">
      <c r="A275" s="10"/>
      <c r="B275" s="10"/>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6.5" customHeight="1">
      <c r="A276" s="10"/>
      <c r="B276" s="10"/>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6.5" customHeight="1">
      <c r="A277" s="10"/>
      <c r="B277" s="10"/>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6.5" customHeight="1">
      <c r="A278" s="10"/>
      <c r="B278" s="10"/>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6.5" customHeight="1">
      <c r="A279" s="10"/>
      <c r="B279" s="10"/>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6.5" customHeight="1">
      <c r="A280" s="10"/>
      <c r="B280" s="10"/>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6.5" customHeight="1">
      <c r="A281" s="10"/>
      <c r="B281" s="10"/>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6.5" customHeight="1">
      <c r="A282" s="10"/>
      <c r="B282" s="10"/>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6.5" customHeight="1">
      <c r="A283" s="10"/>
      <c r="B283" s="10"/>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6.5" customHeight="1">
      <c r="A284" s="10"/>
      <c r="B284" s="10"/>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6.5" customHeight="1">
      <c r="A285" s="10"/>
      <c r="B285" s="10"/>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6.5" customHeight="1">
      <c r="A286" s="10"/>
      <c r="B286" s="10"/>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6.5" customHeight="1">
      <c r="A287" s="10"/>
      <c r="B287" s="10"/>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6.5" customHeight="1">
      <c r="A288" s="10"/>
      <c r="B288" s="10"/>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6.5" customHeight="1">
      <c r="A289" s="10"/>
      <c r="B289" s="10"/>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6.5" customHeight="1">
      <c r="A290" s="10"/>
      <c r="B290" s="10"/>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6.5" customHeight="1">
      <c r="A291" s="10"/>
      <c r="B291" s="10"/>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6.5" customHeight="1">
      <c r="A292" s="10"/>
      <c r="B292" s="10"/>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6.5" customHeight="1">
      <c r="A293" s="10"/>
      <c r="B293" s="10"/>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6.5" customHeight="1">
      <c r="A294" s="10"/>
      <c r="B294" s="10"/>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6.5" customHeight="1">
      <c r="A295" s="10"/>
      <c r="B295" s="10"/>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6.5" customHeight="1">
      <c r="A296" s="10"/>
      <c r="B296" s="10"/>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6.5" customHeight="1">
      <c r="A297" s="10"/>
      <c r="B297" s="10"/>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6.5" customHeight="1">
      <c r="A298" s="10"/>
      <c r="B298" s="10"/>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6.5" customHeight="1">
      <c r="A299" s="10"/>
      <c r="B299" s="10"/>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6.5" customHeight="1">
      <c r="A300" s="10"/>
      <c r="B300" s="10"/>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6.5" customHeight="1">
      <c r="A301" s="10"/>
      <c r="B301" s="10"/>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6.5" customHeight="1">
      <c r="A302" s="10"/>
      <c r="B302" s="10"/>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6.5" customHeight="1">
      <c r="A303" s="10"/>
      <c r="B303" s="10"/>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6.5" customHeight="1">
      <c r="A304" s="10"/>
      <c r="B304" s="10"/>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6.5" customHeight="1">
      <c r="A305" s="10"/>
      <c r="B305" s="10"/>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6.5" customHeight="1">
      <c r="A306" s="10"/>
      <c r="B306" s="10"/>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6.5" customHeight="1">
      <c r="A307" s="10"/>
      <c r="B307" s="10"/>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6.5" customHeight="1">
      <c r="A308" s="10"/>
      <c r="B308" s="10"/>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6.5" customHeight="1">
      <c r="A309" s="10"/>
      <c r="B309" s="10"/>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6.5" customHeight="1">
      <c r="A310" s="10"/>
      <c r="B310" s="10"/>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6.5" customHeight="1">
      <c r="A311" s="10"/>
      <c r="B311" s="10"/>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6.5" customHeight="1">
      <c r="A312" s="10"/>
      <c r="B312" s="10"/>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6.5" customHeight="1">
      <c r="A313" s="10"/>
      <c r="B313" s="10"/>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6.5" customHeight="1">
      <c r="A314" s="10"/>
      <c r="B314" s="10"/>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6.5" customHeight="1">
      <c r="A315" s="10"/>
      <c r="B315" s="10"/>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6.5" customHeight="1">
      <c r="A316" s="10"/>
      <c r="B316" s="10"/>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6.5" customHeight="1">
      <c r="A317" s="10"/>
      <c r="B317" s="10"/>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6.5" customHeight="1">
      <c r="A318" s="10"/>
      <c r="B318" s="10"/>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6.5" customHeight="1">
      <c r="A319" s="10"/>
      <c r="B319" s="10"/>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6.5" customHeight="1">
      <c r="A320" s="10"/>
      <c r="B320" s="10"/>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6.5" customHeight="1">
      <c r="A321" s="10"/>
      <c r="B321" s="10"/>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6.5" customHeight="1">
      <c r="A322" s="10"/>
      <c r="B322" s="10"/>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6.5" customHeight="1">
      <c r="A323" s="10"/>
      <c r="B323" s="10"/>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6.5" customHeight="1">
      <c r="A324" s="10"/>
      <c r="B324" s="10"/>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6.5" customHeight="1">
      <c r="A325" s="10"/>
      <c r="B325" s="10"/>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6.5" customHeight="1">
      <c r="A326" s="10"/>
      <c r="B326" s="10"/>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6.5" customHeight="1">
      <c r="A327" s="10"/>
      <c r="B327" s="10"/>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6.5" customHeight="1">
      <c r="A328" s="10"/>
      <c r="B328" s="10"/>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6.5" customHeight="1">
      <c r="A329" s="10"/>
      <c r="B329" s="10"/>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6.5" customHeight="1">
      <c r="A330" s="10"/>
      <c r="B330" s="10"/>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6.5" customHeight="1">
      <c r="A331" s="10"/>
      <c r="B331" s="10"/>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6.5" customHeight="1">
      <c r="A332" s="10"/>
      <c r="B332" s="10"/>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6.5" customHeight="1">
      <c r="A333" s="10"/>
      <c r="B333" s="10"/>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6.5" customHeight="1">
      <c r="A334" s="10"/>
      <c r="B334" s="10"/>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6.5" customHeight="1">
      <c r="A335" s="10"/>
      <c r="B335" s="10"/>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6.5" customHeight="1">
      <c r="A336" s="10"/>
      <c r="B336" s="10"/>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6.5" customHeight="1">
      <c r="A337" s="10"/>
      <c r="B337" s="10"/>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6.5" customHeight="1">
      <c r="A338" s="10"/>
      <c r="B338" s="10"/>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6.5" customHeight="1">
      <c r="A339" s="10"/>
      <c r="B339" s="10"/>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6.5" customHeight="1">
      <c r="A340" s="10"/>
      <c r="B340" s="10"/>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6.5" customHeight="1">
      <c r="A341" s="10"/>
      <c r="B341" s="10"/>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6.5" customHeight="1">
      <c r="A342" s="10"/>
      <c r="B342" s="10"/>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6.5" customHeight="1">
      <c r="A343" s="10"/>
      <c r="B343" s="10"/>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6.5" customHeight="1">
      <c r="A344" s="10"/>
      <c r="B344" s="10"/>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6.5" customHeight="1">
      <c r="A345" s="10"/>
      <c r="B345" s="10"/>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6.5" customHeight="1">
      <c r="A346" s="10"/>
      <c r="B346" s="10"/>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6.5" customHeight="1">
      <c r="A347" s="10"/>
      <c r="B347" s="10"/>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6.5" customHeight="1">
      <c r="A348" s="10"/>
      <c r="B348" s="10"/>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6.5" customHeight="1">
      <c r="A349" s="10"/>
      <c r="B349" s="10"/>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6.5" customHeight="1">
      <c r="A350" s="10"/>
      <c r="B350" s="10"/>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6.5" customHeight="1">
      <c r="A351" s="10"/>
      <c r="B351" s="10"/>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6.5" customHeight="1">
      <c r="A352" s="10"/>
      <c r="B352" s="10"/>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6.5" customHeight="1">
      <c r="A353" s="10"/>
      <c r="B353" s="10"/>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6.5" customHeight="1">
      <c r="A354" s="10"/>
      <c r="B354" s="10"/>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6.5" customHeight="1">
      <c r="A355" s="10"/>
      <c r="B355" s="10"/>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6.5" customHeight="1">
      <c r="A356" s="10"/>
      <c r="B356" s="10"/>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6.5" customHeight="1">
      <c r="A357" s="10"/>
      <c r="B357" s="10"/>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6.5" customHeight="1">
      <c r="A358" s="10"/>
      <c r="B358" s="10"/>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6.5" customHeight="1">
      <c r="A359" s="10"/>
      <c r="B359" s="10"/>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6.5" customHeight="1">
      <c r="A360" s="10"/>
      <c r="B360" s="10"/>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6.5" customHeight="1">
      <c r="A361" s="10"/>
      <c r="B361" s="10"/>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6.5" customHeight="1">
      <c r="A362" s="10"/>
      <c r="B362" s="10"/>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6.5" customHeight="1">
      <c r="A363" s="10"/>
      <c r="B363" s="10"/>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6.5" customHeight="1">
      <c r="A364" s="10"/>
      <c r="B364" s="10"/>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6.5" customHeight="1">
      <c r="A365" s="10"/>
      <c r="B365" s="10"/>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6.5" customHeight="1">
      <c r="A366" s="10"/>
      <c r="B366" s="10"/>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6.5" customHeight="1">
      <c r="A367" s="10"/>
      <c r="B367" s="10"/>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6.5" customHeight="1">
      <c r="A368" s="10"/>
      <c r="B368" s="10"/>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6.5" customHeight="1">
      <c r="A369" s="10"/>
      <c r="B369" s="10"/>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6.5" customHeight="1">
      <c r="A370" s="10"/>
      <c r="B370" s="10"/>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6.5" customHeight="1">
      <c r="A371" s="10"/>
      <c r="B371" s="10"/>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6.5" customHeight="1">
      <c r="A372" s="10"/>
      <c r="B372" s="10"/>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6.5" customHeight="1">
      <c r="A373" s="10"/>
      <c r="B373" s="10"/>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6.5" customHeight="1">
      <c r="A374" s="10"/>
      <c r="B374" s="10"/>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6.5" customHeight="1">
      <c r="A375" s="10"/>
      <c r="B375" s="10"/>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6.5" customHeight="1">
      <c r="A376" s="10"/>
      <c r="B376" s="10"/>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6.5" customHeight="1">
      <c r="A377" s="10"/>
      <c r="B377" s="10"/>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6.5" customHeight="1">
      <c r="A378" s="10"/>
      <c r="B378" s="10"/>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6.5" customHeight="1">
      <c r="A379" s="10"/>
      <c r="B379" s="10"/>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6.5" customHeight="1">
      <c r="A380" s="10"/>
      <c r="B380" s="10"/>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6.5" customHeight="1">
      <c r="A381" s="10"/>
      <c r="B381" s="10"/>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6.5" customHeight="1">
      <c r="A382" s="10"/>
      <c r="B382" s="10"/>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6.5" customHeight="1">
      <c r="A383" s="10"/>
      <c r="B383" s="10"/>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6.5" customHeight="1">
      <c r="A384" s="10"/>
      <c r="B384" s="10"/>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6.5" customHeight="1">
      <c r="A385" s="10"/>
      <c r="B385" s="10"/>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6.5" customHeight="1">
      <c r="A386" s="10"/>
      <c r="B386" s="10"/>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6.5" customHeight="1">
      <c r="A387" s="10"/>
      <c r="B387" s="10"/>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6.5" customHeight="1">
      <c r="A388" s="10"/>
      <c r="B388" s="10"/>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6.5" customHeight="1">
      <c r="A389" s="10"/>
      <c r="B389" s="10"/>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6.5" customHeight="1">
      <c r="A390" s="10"/>
      <c r="B390" s="10"/>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6.5" customHeight="1">
      <c r="A391" s="10"/>
      <c r="B391" s="10"/>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6.5" customHeight="1">
      <c r="A392" s="10"/>
      <c r="B392" s="10"/>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6.5" customHeight="1">
      <c r="A393" s="10"/>
      <c r="B393" s="10"/>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6.5" customHeight="1">
      <c r="A394" s="10"/>
      <c r="B394" s="10"/>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6.5" customHeight="1">
      <c r="A395" s="10"/>
      <c r="B395" s="10"/>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6.5" customHeight="1">
      <c r="A396" s="10"/>
      <c r="B396" s="10"/>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6.5" customHeight="1">
      <c r="A397" s="10"/>
      <c r="B397" s="10"/>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6.5" customHeight="1">
      <c r="A398" s="10"/>
      <c r="B398" s="10"/>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6.5" customHeight="1">
      <c r="A399" s="10"/>
      <c r="B399" s="10"/>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6.5" customHeight="1">
      <c r="A400" s="10"/>
      <c r="B400" s="10"/>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6.5" customHeight="1">
      <c r="A401" s="10"/>
      <c r="B401" s="10"/>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6.5" customHeight="1">
      <c r="A402" s="10"/>
      <c r="B402" s="10"/>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6.5" customHeight="1">
      <c r="A403" s="10"/>
      <c r="B403" s="10"/>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6.5" customHeight="1">
      <c r="A404" s="10"/>
      <c r="B404" s="10"/>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6.5" customHeight="1">
      <c r="A405" s="10"/>
      <c r="B405" s="10"/>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6.5" customHeight="1">
      <c r="A406" s="10"/>
      <c r="B406" s="10"/>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6.5" customHeight="1">
      <c r="A407" s="10"/>
      <c r="B407" s="10"/>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6.5" customHeight="1">
      <c r="A408" s="10"/>
      <c r="B408" s="10"/>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6.5" customHeight="1">
      <c r="A409" s="10"/>
      <c r="B409" s="10"/>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6.5" customHeight="1">
      <c r="A410" s="10"/>
      <c r="B410" s="10"/>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6.5" customHeight="1">
      <c r="A411" s="10"/>
      <c r="B411" s="10"/>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6.5" customHeight="1">
      <c r="A412" s="10"/>
      <c r="B412" s="10"/>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6.5" customHeight="1">
      <c r="A413" s="10"/>
      <c r="B413" s="10"/>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6.5" customHeight="1">
      <c r="A414" s="10"/>
      <c r="B414" s="10"/>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6.5" customHeight="1">
      <c r="A415" s="10"/>
      <c r="B415" s="10"/>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6.5" customHeight="1">
      <c r="A416" s="10"/>
      <c r="B416" s="10"/>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6.5" customHeight="1">
      <c r="A417" s="10"/>
      <c r="B417" s="10"/>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6.5" customHeight="1">
      <c r="A418" s="10"/>
      <c r="B418" s="10"/>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6.5" customHeight="1">
      <c r="A419" s="10"/>
      <c r="B419" s="10"/>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6.5" customHeight="1">
      <c r="A420" s="10"/>
      <c r="B420" s="10"/>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6.5" customHeight="1">
      <c r="A421" s="10"/>
      <c r="B421" s="10"/>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6.5" customHeight="1">
      <c r="A422" s="10"/>
      <c r="B422" s="10"/>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6.5" customHeight="1">
      <c r="A423" s="10"/>
      <c r="B423" s="10"/>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6.5" customHeight="1">
      <c r="A424" s="10"/>
      <c r="B424" s="10"/>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6.5" customHeight="1">
      <c r="A425" s="10"/>
      <c r="B425" s="10"/>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6.5" customHeight="1">
      <c r="A426" s="10"/>
      <c r="B426" s="10"/>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6.5" customHeight="1">
      <c r="A427" s="10"/>
      <c r="B427" s="10"/>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6.5" customHeight="1">
      <c r="A428" s="10"/>
      <c r="B428" s="10"/>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6.5" customHeight="1">
      <c r="A429" s="10"/>
      <c r="B429" s="10"/>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6.5" customHeight="1">
      <c r="A430" s="10"/>
      <c r="B430" s="10"/>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6.5" customHeight="1">
      <c r="A431" s="10"/>
      <c r="B431" s="10"/>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6.5" customHeight="1">
      <c r="A432" s="10"/>
      <c r="B432" s="10"/>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6.5" customHeight="1">
      <c r="A433" s="10"/>
      <c r="B433" s="10"/>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6.5" customHeight="1">
      <c r="A434" s="10"/>
      <c r="B434" s="10"/>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6.5" customHeight="1">
      <c r="A435" s="10"/>
      <c r="B435" s="10"/>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6.5" customHeight="1">
      <c r="A436" s="10"/>
      <c r="B436" s="10"/>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6.5" customHeight="1">
      <c r="A437" s="10"/>
      <c r="B437" s="10"/>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6.5" customHeight="1">
      <c r="A438" s="10"/>
      <c r="B438" s="10"/>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6.5" customHeight="1">
      <c r="A439" s="10"/>
      <c r="B439" s="10"/>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6.5" customHeight="1">
      <c r="A440" s="10"/>
      <c r="B440" s="10"/>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6.5" customHeight="1">
      <c r="A441" s="10"/>
      <c r="B441" s="10"/>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6.5" customHeight="1">
      <c r="A442" s="10"/>
      <c r="B442" s="10"/>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6.5" customHeight="1">
      <c r="A443" s="10"/>
      <c r="B443" s="10"/>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6.5" customHeight="1">
      <c r="A444" s="10"/>
      <c r="B444" s="10"/>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6.5" customHeight="1">
      <c r="A445" s="10"/>
      <c r="B445" s="10"/>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6.5" customHeight="1">
      <c r="A446" s="10"/>
      <c r="B446" s="10"/>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6.5" customHeight="1">
      <c r="A447" s="10"/>
      <c r="B447" s="10"/>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6.5" customHeight="1">
      <c r="A448" s="10"/>
      <c r="B448" s="10"/>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6.5" customHeight="1">
      <c r="A449" s="10"/>
      <c r="B449" s="10"/>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6.5" customHeight="1">
      <c r="A450" s="10"/>
      <c r="B450" s="10"/>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6.5" customHeight="1">
      <c r="A451" s="10"/>
      <c r="B451" s="10"/>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6.5" customHeight="1">
      <c r="A452" s="10"/>
      <c r="B452" s="10"/>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6.5" customHeight="1">
      <c r="A453" s="10"/>
      <c r="B453" s="10"/>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6.5" customHeight="1">
      <c r="A454" s="10"/>
      <c r="B454" s="10"/>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6.5" customHeight="1">
      <c r="A455" s="10"/>
      <c r="B455" s="10"/>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6.5" customHeight="1">
      <c r="A456" s="10"/>
      <c r="B456" s="10"/>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6.5" customHeight="1">
      <c r="A457" s="10"/>
      <c r="B457" s="10"/>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6.5" customHeight="1">
      <c r="A458" s="10"/>
      <c r="B458" s="10"/>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6.5" customHeight="1">
      <c r="A459" s="10"/>
      <c r="B459" s="10"/>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6.5" customHeight="1">
      <c r="A460" s="10"/>
      <c r="B460" s="10"/>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6.5" customHeight="1">
      <c r="A461" s="10"/>
      <c r="B461" s="10"/>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6.5" customHeight="1">
      <c r="A462" s="10"/>
      <c r="B462" s="10"/>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6.5" customHeight="1">
      <c r="A463" s="10"/>
      <c r="B463" s="10"/>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6.5" customHeight="1">
      <c r="A464" s="10"/>
      <c r="B464" s="10"/>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6.5" customHeight="1">
      <c r="A465" s="10"/>
      <c r="B465" s="10"/>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6.5" customHeight="1">
      <c r="A466" s="10"/>
      <c r="B466" s="10"/>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6.5" customHeight="1">
      <c r="A467" s="10"/>
      <c r="B467" s="10"/>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6.5" customHeight="1">
      <c r="A468" s="10"/>
      <c r="B468" s="10"/>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6.5" customHeight="1">
      <c r="A469" s="10"/>
      <c r="B469" s="10"/>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6.5" customHeight="1">
      <c r="A470" s="10"/>
      <c r="B470" s="10"/>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6.5" customHeight="1">
      <c r="A471" s="10"/>
      <c r="B471" s="10"/>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6.5" customHeight="1">
      <c r="A472" s="10"/>
      <c r="B472" s="10"/>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6.5" customHeight="1">
      <c r="A473" s="10"/>
      <c r="B473" s="10"/>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6.5" customHeight="1">
      <c r="A474" s="10"/>
      <c r="B474" s="10"/>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6.5" customHeight="1">
      <c r="A475" s="10"/>
      <c r="B475" s="10"/>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6.5" customHeight="1">
      <c r="A476" s="10"/>
      <c r="B476" s="10"/>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6.5" customHeight="1">
      <c r="A477" s="10"/>
      <c r="B477" s="10"/>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6.5" customHeight="1">
      <c r="A478" s="10"/>
      <c r="B478" s="10"/>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6.5" customHeight="1">
      <c r="A479" s="10"/>
      <c r="B479" s="10"/>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6.5" customHeight="1">
      <c r="A480" s="10"/>
      <c r="B480" s="10"/>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6.5" customHeight="1">
      <c r="A481" s="10"/>
      <c r="B481" s="10"/>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6.5" customHeight="1">
      <c r="A482" s="10"/>
      <c r="B482" s="10"/>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6.5" customHeight="1">
      <c r="A483" s="10"/>
      <c r="B483" s="10"/>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6.5" customHeight="1">
      <c r="A484" s="10"/>
      <c r="B484" s="10"/>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6.5" customHeight="1">
      <c r="A485" s="10"/>
      <c r="B485" s="10"/>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6.5" customHeight="1">
      <c r="A486" s="10"/>
      <c r="B486" s="10"/>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6.5" customHeight="1">
      <c r="A487" s="10"/>
      <c r="B487" s="10"/>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6.5" customHeight="1">
      <c r="A488" s="10"/>
      <c r="B488" s="10"/>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6.5" customHeight="1">
      <c r="A489" s="10"/>
      <c r="B489" s="10"/>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6.5" customHeight="1">
      <c r="A490" s="10"/>
      <c r="B490" s="10"/>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6.5" customHeight="1">
      <c r="A491" s="10"/>
      <c r="B491" s="10"/>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6.5" customHeight="1">
      <c r="A492" s="10"/>
      <c r="B492" s="10"/>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6.5" customHeight="1">
      <c r="A493" s="10"/>
      <c r="B493" s="10"/>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6.5" customHeight="1">
      <c r="A494" s="10"/>
      <c r="B494" s="10"/>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6.5" customHeight="1">
      <c r="A495" s="10"/>
      <c r="B495" s="10"/>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6.5" customHeight="1">
      <c r="A496" s="10"/>
      <c r="B496" s="10"/>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6.5" customHeight="1">
      <c r="A497" s="10"/>
      <c r="B497" s="10"/>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6.5" customHeight="1">
      <c r="A498" s="10"/>
      <c r="B498" s="10"/>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6.5" customHeight="1">
      <c r="A499" s="10"/>
      <c r="B499" s="10"/>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6.5" customHeight="1">
      <c r="A500" s="10"/>
      <c r="B500" s="10"/>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6.5" customHeight="1">
      <c r="A501" s="10"/>
      <c r="B501" s="10"/>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6.5" customHeight="1">
      <c r="A502" s="10"/>
      <c r="B502" s="10"/>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6.5" customHeight="1">
      <c r="A503" s="10"/>
      <c r="B503" s="10"/>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6.5" customHeight="1">
      <c r="A504" s="10"/>
      <c r="B504" s="10"/>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6.5" customHeight="1">
      <c r="A505" s="10"/>
      <c r="B505" s="10"/>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6.5" customHeight="1">
      <c r="A506" s="10"/>
      <c r="B506" s="10"/>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6.5" customHeight="1">
      <c r="A507" s="10"/>
      <c r="B507" s="10"/>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6.5" customHeight="1">
      <c r="A508" s="10"/>
      <c r="B508" s="10"/>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6.5" customHeight="1">
      <c r="A509" s="10"/>
      <c r="B509" s="10"/>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6.5" customHeight="1">
      <c r="A510" s="10"/>
      <c r="B510" s="10"/>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6.5" customHeight="1">
      <c r="A511" s="10"/>
      <c r="B511" s="10"/>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6.5" customHeight="1">
      <c r="A512" s="10"/>
      <c r="B512" s="10"/>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6.5" customHeight="1">
      <c r="A513" s="10"/>
      <c r="B513" s="10"/>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6.5" customHeight="1">
      <c r="A514" s="10"/>
      <c r="B514" s="10"/>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6.5" customHeight="1">
      <c r="A515" s="10"/>
      <c r="B515" s="10"/>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6.5" customHeight="1">
      <c r="A516" s="10"/>
      <c r="B516" s="10"/>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6.5" customHeight="1">
      <c r="A517" s="10"/>
      <c r="B517" s="10"/>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6.5" customHeight="1">
      <c r="A518" s="10"/>
      <c r="B518" s="10"/>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6.5" customHeight="1">
      <c r="A519" s="10"/>
      <c r="B519" s="10"/>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6.5" customHeight="1">
      <c r="A520" s="10"/>
      <c r="B520" s="10"/>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6.5" customHeight="1">
      <c r="A521" s="10"/>
      <c r="B521" s="10"/>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6.5" customHeight="1">
      <c r="A522" s="10"/>
      <c r="B522" s="10"/>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6.5" customHeight="1">
      <c r="A523" s="10"/>
      <c r="B523" s="10"/>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6.5" customHeight="1">
      <c r="A524" s="10"/>
      <c r="B524" s="10"/>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6.5" customHeight="1">
      <c r="A525" s="10"/>
      <c r="B525" s="10"/>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6.5" customHeight="1">
      <c r="A526" s="10"/>
      <c r="B526" s="10"/>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6.5" customHeight="1">
      <c r="A527" s="10"/>
      <c r="B527" s="10"/>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6.5" customHeight="1">
      <c r="A528" s="10"/>
      <c r="B528" s="10"/>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6.5" customHeight="1">
      <c r="A529" s="10"/>
      <c r="B529" s="10"/>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6.5" customHeight="1">
      <c r="A530" s="10"/>
      <c r="B530" s="10"/>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6.5" customHeight="1">
      <c r="A531" s="10"/>
      <c r="B531" s="10"/>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6.5" customHeight="1">
      <c r="A532" s="10"/>
      <c r="B532" s="10"/>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6.5" customHeight="1">
      <c r="A533" s="10"/>
      <c r="B533" s="10"/>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6.5" customHeight="1">
      <c r="A534" s="10"/>
      <c r="B534" s="10"/>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6.5" customHeight="1">
      <c r="A535" s="10"/>
      <c r="B535" s="10"/>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6.5" customHeight="1">
      <c r="A536" s="10"/>
      <c r="B536" s="10"/>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6.5" customHeight="1">
      <c r="A537" s="10"/>
      <c r="B537" s="10"/>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6.5" customHeight="1">
      <c r="A538" s="10"/>
      <c r="B538" s="10"/>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6.5" customHeight="1">
      <c r="A539" s="10"/>
      <c r="B539" s="10"/>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6.5" customHeight="1">
      <c r="A540" s="10"/>
      <c r="B540" s="10"/>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6.5" customHeight="1">
      <c r="A541" s="10"/>
      <c r="B541" s="10"/>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6.5" customHeight="1">
      <c r="A542" s="10"/>
      <c r="B542" s="10"/>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6.5" customHeight="1">
      <c r="A543" s="10"/>
      <c r="B543" s="10"/>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6.5" customHeight="1">
      <c r="A544" s="10"/>
      <c r="B544" s="10"/>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6.5" customHeight="1">
      <c r="A545" s="10"/>
      <c r="B545" s="10"/>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6.5" customHeight="1">
      <c r="A546" s="10"/>
      <c r="B546" s="10"/>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6.5" customHeight="1">
      <c r="A547" s="10"/>
      <c r="B547" s="10"/>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6.5" customHeight="1">
      <c r="A548" s="10"/>
      <c r="B548" s="10"/>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6.5" customHeight="1">
      <c r="A549" s="10"/>
      <c r="B549" s="10"/>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6.5" customHeight="1">
      <c r="A550" s="10"/>
      <c r="B550" s="10"/>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6.5" customHeight="1">
      <c r="A551" s="10"/>
      <c r="B551" s="10"/>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6.5" customHeight="1">
      <c r="A552" s="10"/>
      <c r="B552" s="10"/>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6.5" customHeight="1">
      <c r="A553" s="10"/>
      <c r="B553" s="10"/>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6.5" customHeight="1">
      <c r="A554" s="10"/>
      <c r="B554" s="10"/>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6.5" customHeight="1">
      <c r="A555" s="10"/>
      <c r="B555" s="10"/>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6.5" customHeight="1">
      <c r="A556" s="10"/>
      <c r="B556" s="10"/>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6.5" customHeight="1">
      <c r="A557" s="10"/>
      <c r="B557" s="10"/>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6.5" customHeight="1">
      <c r="A558" s="10"/>
      <c r="B558" s="10"/>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6.5" customHeight="1">
      <c r="A559" s="10"/>
      <c r="B559" s="10"/>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6.5" customHeight="1">
      <c r="A560" s="10"/>
      <c r="B560" s="10"/>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6.5" customHeight="1">
      <c r="A561" s="10"/>
      <c r="B561" s="10"/>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6.5" customHeight="1">
      <c r="A562" s="10"/>
      <c r="B562" s="10"/>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6.5" customHeight="1">
      <c r="A563" s="10"/>
      <c r="B563" s="10"/>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6.5" customHeight="1">
      <c r="A564" s="10"/>
      <c r="B564" s="10"/>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6.5" customHeight="1">
      <c r="A565" s="10"/>
      <c r="B565" s="10"/>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6.5" customHeight="1">
      <c r="A566" s="10"/>
      <c r="B566" s="10"/>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6.5" customHeight="1">
      <c r="A567" s="10"/>
      <c r="B567" s="10"/>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6.5" customHeight="1">
      <c r="A568" s="10"/>
      <c r="B568" s="10"/>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6.5" customHeight="1">
      <c r="A569" s="10"/>
      <c r="B569" s="10"/>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6.5" customHeight="1">
      <c r="A570" s="10"/>
      <c r="B570" s="10"/>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6.5" customHeight="1">
      <c r="A571" s="10"/>
      <c r="B571" s="10"/>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6.5" customHeight="1">
      <c r="A572" s="10"/>
      <c r="B572" s="10"/>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6.5" customHeight="1">
      <c r="A573" s="10"/>
      <c r="B573" s="10"/>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6.5" customHeight="1">
      <c r="A574" s="10"/>
      <c r="B574" s="10"/>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6.5" customHeight="1">
      <c r="A575" s="10"/>
      <c r="B575" s="10"/>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6.5" customHeight="1">
      <c r="A576" s="10"/>
      <c r="B576" s="10"/>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6.5" customHeight="1">
      <c r="A577" s="10"/>
      <c r="B577" s="10"/>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6.5" customHeight="1">
      <c r="A578" s="10"/>
      <c r="B578" s="10"/>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6.5" customHeight="1">
      <c r="A579" s="10"/>
      <c r="B579" s="10"/>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6.5" customHeight="1">
      <c r="A580" s="10"/>
      <c r="B580" s="10"/>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6.5" customHeight="1">
      <c r="A581" s="10"/>
      <c r="B581" s="10"/>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6.5" customHeight="1">
      <c r="A582" s="10"/>
      <c r="B582" s="10"/>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6.5" customHeight="1">
      <c r="A583" s="10"/>
      <c r="B583" s="10"/>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6.5" customHeight="1">
      <c r="A584" s="10"/>
      <c r="B584" s="10"/>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6.5" customHeight="1">
      <c r="A585" s="10"/>
      <c r="B585" s="10"/>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6.5" customHeight="1">
      <c r="A586" s="10"/>
      <c r="B586" s="10"/>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6.5" customHeight="1">
      <c r="A587" s="10"/>
      <c r="B587" s="10"/>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6.5" customHeight="1">
      <c r="A588" s="10"/>
      <c r="B588" s="10"/>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6.5" customHeight="1">
      <c r="A589" s="10"/>
      <c r="B589" s="10"/>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6.5" customHeight="1">
      <c r="A590" s="10"/>
      <c r="B590" s="10"/>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6.5" customHeight="1">
      <c r="A591" s="10"/>
      <c r="B591" s="10"/>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6.5" customHeight="1">
      <c r="A592" s="10"/>
      <c r="B592" s="10"/>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6.5" customHeight="1">
      <c r="A593" s="10"/>
      <c r="B593" s="10"/>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6.5" customHeight="1">
      <c r="A594" s="10"/>
      <c r="B594" s="10"/>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6.5" customHeight="1">
      <c r="A595" s="10"/>
      <c r="B595" s="10"/>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6.5" customHeight="1">
      <c r="A596" s="10"/>
      <c r="B596" s="10"/>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6.5" customHeight="1">
      <c r="A597" s="10"/>
      <c r="B597" s="10"/>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6.5" customHeight="1">
      <c r="A598" s="10"/>
      <c r="B598" s="10"/>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6.5" customHeight="1">
      <c r="A599" s="10"/>
      <c r="B599" s="10"/>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6.5" customHeight="1">
      <c r="A600" s="10"/>
      <c r="B600" s="10"/>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6.5" customHeight="1">
      <c r="A601" s="10"/>
      <c r="B601" s="10"/>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6.5" customHeight="1">
      <c r="A602" s="10"/>
      <c r="B602" s="10"/>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6.5" customHeight="1">
      <c r="A603" s="10"/>
      <c r="B603" s="10"/>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6.5" customHeight="1">
      <c r="A604" s="10"/>
      <c r="B604" s="10"/>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6.5" customHeight="1">
      <c r="A605" s="10"/>
      <c r="B605" s="10"/>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6.5" customHeight="1">
      <c r="A606" s="10"/>
      <c r="B606" s="10"/>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6.5" customHeight="1">
      <c r="A607" s="10"/>
      <c r="B607" s="10"/>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6.5" customHeight="1">
      <c r="A608" s="10"/>
      <c r="B608" s="10"/>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6.5" customHeight="1">
      <c r="A609" s="10"/>
      <c r="B609" s="10"/>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6.5" customHeight="1">
      <c r="A610" s="10"/>
      <c r="B610" s="10"/>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6.5" customHeight="1">
      <c r="A611" s="10"/>
      <c r="B611" s="10"/>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6.5" customHeight="1">
      <c r="A612" s="10"/>
      <c r="B612" s="10"/>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6.5" customHeight="1">
      <c r="A613" s="10"/>
      <c r="B613" s="10"/>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6.5" customHeight="1">
      <c r="A614" s="10"/>
      <c r="B614" s="10"/>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6.5" customHeight="1">
      <c r="A615" s="10"/>
      <c r="B615" s="10"/>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6.5" customHeight="1">
      <c r="A616" s="10"/>
      <c r="B616" s="10"/>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6.5" customHeight="1">
      <c r="A617" s="10"/>
      <c r="B617" s="10"/>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6.5" customHeight="1">
      <c r="A618" s="10"/>
      <c r="B618" s="10"/>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6.5" customHeight="1">
      <c r="A619" s="10"/>
      <c r="B619" s="10"/>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6.5" customHeight="1">
      <c r="A620" s="10"/>
      <c r="B620" s="10"/>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6.5" customHeight="1">
      <c r="A621" s="10"/>
      <c r="B621" s="10"/>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6.5" customHeight="1">
      <c r="A622" s="10"/>
      <c r="B622" s="10"/>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6.5" customHeight="1">
      <c r="A623" s="10"/>
      <c r="B623" s="10"/>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6.5" customHeight="1">
      <c r="A624" s="10"/>
      <c r="B624" s="10"/>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6.5" customHeight="1">
      <c r="A625" s="10"/>
      <c r="B625" s="10"/>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6.5" customHeight="1">
      <c r="A626" s="10"/>
      <c r="B626" s="10"/>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6.5" customHeight="1">
      <c r="A627" s="10"/>
      <c r="B627" s="10"/>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6.5" customHeight="1">
      <c r="A628" s="10"/>
      <c r="B628" s="10"/>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6.5" customHeight="1">
      <c r="A629" s="10"/>
      <c r="B629" s="10"/>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6.5" customHeight="1">
      <c r="A630" s="10"/>
      <c r="B630" s="10"/>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6.5" customHeight="1">
      <c r="A631" s="10"/>
      <c r="B631" s="10"/>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6.5" customHeight="1">
      <c r="A632" s="10"/>
      <c r="B632" s="10"/>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6.5" customHeight="1">
      <c r="A633" s="10"/>
      <c r="B633" s="10"/>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6.5" customHeight="1">
      <c r="A634" s="10"/>
      <c r="B634" s="10"/>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6.5" customHeight="1">
      <c r="A635" s="10"/>
      <c r="B635" s="10"/>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6.5" customHeight="1">
      <c r="A636" s="10"/>
      <c r="B636" s="10"/>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6.5" customHeight="1">
      <c r="A637" s="10"/>
      <c r="B637" s="10"/>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6.5" customHeight="1">
      <c r="A638" s="10"/>
      <c r="B638" s="10"/>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6.5" customHeight="1">
      <c r="A639" s="10"/>
      <c r="B639" s="10"/>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6.5" customHeight="1">
      <c r="A640" s="10"/>
      <c r="B640" s="10"/>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6.5" customHeight="1">
      <c r="A641" s="10"/>
      <c r="B641" s="10"/>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6.5" customHeight="1">
      <c r="A642" s="10"/>
      <c r="B642" s="10"/>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6.5" customHeight="1">
      <c r="A643" s="10"/>
      <c r="B643" s="10"/>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6.5" customHeight="1">
      <c r="A644" s="10"/>
      <c r="B644" s="10"/>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6.5" customHeight="1">
      <c r="A645" s="10"/>
      <c r="B645" s="10"/>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6.5" customHeight="1">
      <c r="A646" s="10"/>
      <c r="B646" s="10"/>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6.5" customHeight="1">
      <c r="A647" s="10"/>
      <c r="B647" s="10"/>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6.5" customHeight="1">
      <c r="A648" s="10"/>
      <c r="B648" s="10"/>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6.5" customHeight="1">
      <c r="A649" s="10"/>
      <c r="B649" s="10"/>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6.5" customHeight="1">
      <c r="A650" s="10"/>
      <c r="B650" s="10"/>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6.5" customHeight="1">
      <c r="A651" s="10"/>
      <c r="B651" s="10"/>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6.5" customHeight="1">
      <c r="A652" s="10"/>
      <c r="B652" s="10"/>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6.5" customHeight="1">
      <c r="A653" s="10"/>
      <c r="B653" s="10"/>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6.5" customHeight="1">
      <c r="A654" s="10"/>
      <c r="B654" s="10"/>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6.5" customHeight="1">
      <c r="A655" s="10"/>
      <c r="B655" s="10"/>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6.5" customHeight="1">
      <c r="A656" s="10"/>
      <c r="B656" s="10"/>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6.5" customHeight="1">
      <c r="A657" s="10"/>
      <c r="B657" s="10"/>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6.5" customHeight="1">
      <c r="A658" s="10"/>
      <c r="B658" s="10"/>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6.5" customHeight="1">
      <c r="A659" s="10"/>
      <c r="B659" s="10"/>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6.5" customHeight="1">
      <c r="A660" s="10"/>
      <c r="B660" s="10"/>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6.5" customHeight="1">
      <c r="A661" s="10"/>
      <c r="B661" s="10"/>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6.5" customHeight="1">
      <c r="A662" s="10"/>
      <c r="B662" s="10"/>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6.5" customHeight="1">
      <c r="A663" s="10"/>
      <c r="B663" s="10"/>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6.5" customHeight="1">
      <c r="A664" s="10"/>
      <c r="B664" s="10"/>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6.5" customHeight="1">
      <c r="A665" s="10"/>
      <c r="B665" s="10"/>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6.5" customHeight="1">
      <c r="A666" s="10"/>
      <c r="B666" s="10"/>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6.5" customHeight="1">
      <c r="A667" s="10"/>
      <c r="B667" s="10"/>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6.5" customHeight="1">
      <c r="A668" s="10"/>
      <c r="B668" s="10"/>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6.5" customHeight="1">
      <c r="A669" s="10"/>
      <c r="B669" s="10"/>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6.5" customHeight="1">
      <c r="A670" s="10"/>
      <c r="B670" s="10"/>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6.5" customHeight="1">
      <c r="A671" s="10"/>
      <c r="B671" s="10"/>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6.5" customHeight="1">
      <c r="A672" s="10"/>
      <c r="B672" s="10"/>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6.5" customHeight="1">
      <c r="A673" s="10"/>
      <c r="B673" s="10"/>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6.5" customHeight="1">
      <c r="A674" s="10"/>
      <c r="B674" s="10"/>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6.5" customHeight="1">
      <c r="A675" s="10"/>
      <c r="B675" s="10"/>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6.5" customHeight="1">
      <c r="A676" s="10"/>
      <c r="B676" s="10"/>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6.5" customHeight="1">
      <c r="A677" s="10"/>
      <c r="B677" s="10"/>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6.5" customHeight="1">
      <c r="A678" s="10"/>
      <c r="B678" s="10"/>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6.5" customHeight="1">
      <c r="A679" s="10"/>
      <c r="B679" s="10"/>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6.5" customHeight="1">
      <c r="A680" s="10"/>
      <c r="B680" s="10"/>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6.5" customHeight="1">
      <c r="A681" s="10"/>
      <c r="B681" s="10"/>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6.5" customHeight="1">
      <c r="A682" s="10"/>
      <c r="B682" s="10"/>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6.5" customHeight="1">
      <c r="A683" s="10"/>
      <c r="B683" s="10"/>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6.5" customHeight="1">
      <c r="A684" s="10"/>
      <c r="B684" s="10"/>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6.5" customHeight="1">
      <c r="A685" s="10"/>
      <c r="B685" s="10"/>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6.5" customHeight="1">
      <c r="A686" s="10"/>
      <c r="B686" s="10"/>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6.5" customHeight="1">
      <c r="A687" s="10"/>
      <c r="B687" s="10"/>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6.5" customHeight="1">
      <c r="A688" s="10"/>
      <c r="B688" s="10"/>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6.5" customHeight="1">
      <c r="A689" s="10"/>
      <c r="B689" s="10"/>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6.5" customHeight="1">
      <c r="A690" s="10"/>
      <c r="B690" s="10"/>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6.5" customHeight="1">
      <c r="A691" s="10"/>
      <c r="B691" s="10"/>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6.5" customHeight="1">
      <c r="A692" s="10"/>
      <c r="B692" s="10"/>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6.5" customHeight="1">
      <c r="A693" s="10"/>
      <c r="B693" s="10"/>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6.5" customHeight="1">
      <c r="A694" s="10"/>
      <c r="B694" s="10"/>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6.5" customHeight="1">
      <c r="A695" s="10"/>
      <c r="B695" s="10"/>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6.5" customHeight="1">
      <c r="A696" s="10"/>
      <c r="B696" s="10"/>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6.5" customHeight="1">
      <c r="A697" s="10"/>
      <c r="B697" s="10"/>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6.5" customHeight="1">
      <c r="A698" s="10"/>
      <c r="B698" s="10"/>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6.5" customHeight="1">
      <c r="A699" s="10"/>
      <c r="B699" s="10"/>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6.5" customHeight="1">
      <c r="A700" s="10"/>
      <c r="B700" s="10"/>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6.5" customHeight="1">
      <c r="A701" s="10"/>
      <c r="B701" s="10"/>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6.5" customHeight="1">
      <c r="A702" s="10"/>
      <c r="B702" s="10"/>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6.5" customHeight="1">
      <c r="A703" s="10"/>
      <c r="B703" s="10"/>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6.5" customHeight="1">
      <c r="A704" s="10"/>
      <c r="B704" s="10"/>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6.5" customHeight="1">
      <c r="A705" s="10"/>
      <c r="B705" s="10"/>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6.5" customHeight="1">
      <c r="A706" s="10"/>
      <c r="B706" s="10"/>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6.5" customHeight="1">
      <c r="A707" s="10"/>
      <c r="B707" s="10"/>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6.5" customHeight="1">
      <c r="A708" s="10"/>
      <c r="B708" s="10"/>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6.5" customHeight="1">
      <c r="A709" s="10"/>
      <c r="B709" s="10"/>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6.5" customHeight="1">
      <c r="A710" s="10"/>
      <c r="B710" s="10"/>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6.5" customHeight="1">
      <c r="A711" s="10"/>
      <c r="B711" s="10"/>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6.5" customHeight="1">
      <c r="A712" s="10"/>
      <c r="B712" s="10"/>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6.5" customHeight="1">
      <c r="A713" s="10"/>
      <c r="B713" s="10"/>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6.5" customHeight="1">
      <c r="A714" s="10"/>
      <c r="B714" s="10"/>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6.5" customHeight="1">
      <c r="A715" s="10"/>
      <c r="B715" s="10"/>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6.5" customHeight="1">
      <c r="A716" s="10"/>
      <c r="B716" s="10"/>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6.5" customHeight="1">
      <c r="A717" s="10"/>
      <c r="B717" s="10"/>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6.5" customHeight="1">
      <c r="A718" s="10"/>
      <c r="B718" s="10"/>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6.5" customHeight="1">
      <c r="A719" s="10"/>
      <c r="B719" s="10"/>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6.5" customHeight="1">
      <c r="A720" s="10"/>
      <c r="B720" s="10"/>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6.5" customHeight="1">
      <c r="A721" s="10"/>
      <c r="B721" s="10"/>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6.5" customHeight="1">
      <c r="A722" s="10"/>
      <c r="B722" s="10"/>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6.5" customHeight="1">
      <c r="A723" s="10"/>
      <c r="B723" s="10"/>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6.5" customHeight="1">
      <c r="A724" s="10"/>
      <c r="B724" s="10"/>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6.5" customHeight="1">
      <c r="A725" s="10"/>
      <c r="B725" s="10"/>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6.5" customHeight="1">
      <c r="A726" s="10"/>
      <c r="B726" s="10"/>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6.5" customHeight="1">
      <c r="A727" s="10"/>
      <c r="B727" s="10"/>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6.5" customHeight="1">
      <c r="A728" s="10"/>
      <c r="B728" s="10"/>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6.5" customHeight="1">
      <c r="A729" s="10"/>
      <c r="B729" s="10"/>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6.5" customHeight="1">
      <c r="A730" s="10"/>
      <c r="B730" s="10"/>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6.5" customHeight="1">
      <c r="A731" s="10"/>
      <c r="B731" s="10"/>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6.5" customHeight="1">
      <c r="A732" s="10"/>
      <c r="B732" s="10"/>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6.5" customHeight="1">
      <c r="A733" s="10"/>
      <c r="B733" s="10"/>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6.5" customHeight="1">
      <c r="A734" s="10"/>
      <c r="B734" s="10"/>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6.5" customHeight="1">
      <c r="A735" s="10"/>
      <c r="B735" s="10"/>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6.5" customHeight="1">
      <c r="A736" s="10"/>
      <c r="B736" s="10"/>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6.5" customHeight="1">
      <c r="A737" s="10"/>
      <c r="B737" s="10"/>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6.5" customHeight="1">
      <c r="A738" s="10"/>
      <c r="B738" s="10"/>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6.5" customHeight="1">
      <c r="A739" s="10"/>
      <c r="B739" s="10"/>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6.5" customHeight="1">
      <c r="A740" s="10"/>
      <c r="B740" s="10"/>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6.5" customHeight="1">
      <c r="A741" s="10"/>
      <c r="B741" s="10"/>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6.5" customHeight="1">
      <c r="A742" s="10"/>
      <c r="B742" s="10"/>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6.5" customHeight="1">
      <c r="A743" s="10"/>
      <c r="B743" s="10"/>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6.5" customHeight="1">
      <c r="A744" s="10"/>
      <c r="B744" s="10"/>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6.5" customHeight="1">
      <c r="A745" s="10"/>
      <c r="B745" s="10"/>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6.5" customHeight="1">
      <c r="A746" s="10"/>
      <c r="B746" s="10"/>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6.5" customHeight="1">
      <c r="A747" s="10"/>
      <c r="B747" s="10"/>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6.5" customHeight="1">
      <c r="A748" s="10"/>
      <c r="B748" s="10"/>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6.5" customHeight="1">
      <c r="A749" s="10"/>
      <c r="B749" s="10"/>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6.5" customHeight="1">
      <c r="A750" s="10"/>
      <c r="B750" s="10"/>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6.5" customHeight="1">
      <c r="A751" s="10"/>
      <c r="B751" s="10"/>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6.5" customHeight="1">
      <c r="A752" s="10"/>
      <c r="B752" s="10"/>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6.5" customHeight="1">
      <c r="A753" s="10"/>
      <c r="B753" s="10"/>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6.5" customHeight="1">
      <c r="A754" s="10"/>
      <c r="B754" s="10"/>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6.5" customHeight="1">
      <c r="A755" s="10"/>
      <c r="B755" s="10"/>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6.5" customHeight="1">
      <c r="A756" s="10"/>
      <c r="B756" s="10"/>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6.5" customHeight="1">
      <c r="A757" s="10"/>
      <c r="B757" s="10"/>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6.5" customHeight="1">
      <c r="A758" s="10"/>
      <c r="B758" s="10"/>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6.5" customHeight="1">
      <c r="A759" s="10"/>
      <c r="B759" s="10"/>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6.5" customHeight="1">
      <c r="A760" s="10"/>
      <c r="B760" s="10"/>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6.5" customHeight="1">
      <c r="A761" s="10"/>
      <c r="B761" s="10"/>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6.5" customHeight="1">
      <c r="A762" s="10"/>
      <c r="B762" s="10"/>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6.5" customHeight="1">
      <c r="A763" s="10"/>
      <c r="B763" s="10"/>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6.5" customHeight="1">
      <c r="A764" s="10"/>
      <c r="B764" s="10"/>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6.5" customHeight="1">
      <c r="A765" s="10"/>
      <c r="B765" s="10"/>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6.5" customHeight="1">
      <c r="A766" s="10"/>
      <c r="B766" s="10"/>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6.5" customHeight="1">
      <c r="A767" s="10"/>
      <c r="B767" s="10"/>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6.5" customHeight="1">
      <c r="A768" s="10"/>
      <c r="B768" s="10"/>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6.5" customHeight="1">
      <c r="A769" s="10"/>
      <c r="B769" s="10"/>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6.5" customHeight="1">
      <c r="A770" s="10"/>
      <c r="B770" s="10"/>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6.5" customHeight="1">
      <c r="A771" s="10"/>
      <c r="B771" s="10"/>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6.5" customHeight="1">
      <c r="A772" s="10"/>
      <c r="B772" s="10"/>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6.5" customHeight="1">
      <c r="A773" s="10"/>
      <c r="B773" s="10"/>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6.5" customHeight="1">
      <c r="A774" s="10"/>
      <c r="B774" s="10"/>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6.5" customHeight="1">
      <c r="A775" s="10"/>
      <c r="B775" s="10"/>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6.5" customHeight="1">
      <c r="A776" s="10"/>
      <c r="B776" s="10"/>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6.5" customHeight="1">
      <c r="A777" s="10"/>
      <c r="B777" s="10"/>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6.5" customHeight="1">
      <c r="A778" s="10"/>
      <c r="B778" s="10"/>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6.5" customHeight="1">
      <c r="A779" s="10"/>
      <c r="B779" s="10"/>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6.5" customHeight="1">
      <c r="A780" s="10"/>
      <c r="B780" s="10"/>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6.5" customHeight="1">
      <c r="A781" s="10"/>
      <c r="B781" s="10"/>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6.5" customHeight="1">
      <c r="A782" s="10"/>
      <c r="B782" s="10"/>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6.5" customHeight="1">
      <c r="A783" s="10"/>
      <c r="B783" s="10"/>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6.5" customHeight="1">
      <c r="A784" s="10"/>
      <c r="B784" s="10"/>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6.5" customHeight="1">
      <c r="A785" s="10"/>
      <c r="B785" s="10"/>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6.5" customHeight="1">
      <c r="A786" s="10"/>
      <c r="B786" s="10"/>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6.5" customHeight="1">
      <c r="A787" s="10"/>
      <c r="B787" s="10"/>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6.5" customHeight="1">
      <c r="A788" s="10"/>
      <c r="B788" s="10"/>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6.5" customHeight="1">
      <c r="A789" s="10"/>
      <c r="B789" s="10"/>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6.5" customHeight="1">
      <c r="A790" s="10"/>
      <c r="B790" s="10"/>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6.5" customHeight="1">
      <c r="A791" s="10"/>
      <c r="B791" s="10"/>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6.5" customHeight="1">
      <c r="A792" s="10"/>
      <c r="B792" s="10"/>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6.5" customHeight="1">
      <c r="A793" s="10"/>
      <c r="B793" s="10"/>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6.5" customHeight="1">
      <c r="A794" s="10"/>
      <c r="B794" s="10"/>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6.5" customHeight="1">
      <c r="A795" s="10"/>
      <c r="B795" s="10"/>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6.5" customHeight="1">
      <c r="A796" s="10"/>
      <c r="B796" s="10"/>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6.5" customHeight="1">
      <c r="A797" s="10"/>
      <c r="B797" s="10"/>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6.5" customHeight="1">
      <c r="A798" s="10"/>
      <c r="B798" s="10"/>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6.5" customHeight="1">
      <c r="A799" s="10"/>
      <c r="B799" s="10"/>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6.5" customHeight="1">
      <c r="A800" s="10"/>
      <c r="B800" s="10"/>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6.5" customHeight="1">
      <c r="A801" s="10"/>
      <c r="B801" s="10"/>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6.5" customHeight="1">
      <c r="A802" s="10"/>
      <c r="B802" s="10"/>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6.5" customHeight="1">
      <c r="A803" s="10"/>
      <c r="B803" s="10"/>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6.5" customHeight="1">
      <c r="A804" s="10"/>
      <c r="B804" s="10"/>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6.5" customHeight="1">
      <c r="A805" s="10"/>
      <c r="B805" s="10"/>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6.5" customHeight="1">
      <c r="A806" s="10"/>
      <c r="B806" s="10"/>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6.5" customHeight="1">
      <c r="A807" s="10"/>
      <c r="B807" s="10"/>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6.5" customHeight="1">
      <c r="A808" s="10"/>
      <c r="B808" s="10"/>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6.5" customHeight="1">
      <c r="A809" s="10"/>
      <c r="B809" s="10"/>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6.5" customHeight="1">
      <c r="A810" s="10"/>
      <c r="B810" s="10"/>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6.5" customHeight="1">
      <c r="A811" s="10"/>
      <c r="B811" s="10"/>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6.5" customHeight="1">
      <c r="A812" s="10"/>
      <c r="B812" s="10"/>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6.5" customHeight="1">
      <c r="A813" s="10"/>
      <c r="B813" s="10"/>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6.5" customHeight="1">
      <c r="A814" s="10"/>
      <c r="B814" s="10"/>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6.5" customHeight="1">
      <c r="A815" s="10"/>
      <c r="B815" s="10"/>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6.5" customHeight="1">
      <c r="A816" s="10"/>
      <c r="B816" s="10"/>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6.5" customHeight="1">
      <c r="A817" s="10"/>
      <c r="B817" s="10"/>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6.5" customHeight="1">
      <c r="A818" s="10"/>
      <c r="B818" s="10"/>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6.5" customHeight="1">
      <c r="A819" s="10"/>
      <c r="B819" s="10"/>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6.5" customHeight="1">
      <c r="A820" s="10"/>
      <c r="B820" s="10"/>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6.5" customHeight="1">
      <c r="A821" s="10"/>
      <c r="B821" s="10"/>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6.5" customHeight="1">
      <c r="A822" s="10"/>
      <c r="B822" s="10"/>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6.5" customHeight="1">
      <c r="A823" s="10"/>
      <c r="B823" s="10"/>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6.5" customHeight="1">
      <c r="A824" s="10"/>
      <c r="B824" s="10"/>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6.5" customHeight="1">
      <c r="A825" s="10"/>
      <c r="B825" s="10"/>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6.5" customHeight="1">
      <c r="A826" s="10"/>
      <c r="B826" s="10"/>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6.5" customHeight="1">
      <c r="A827" s="10"/>
      <c r="B827" s="10"/>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6.5" customHeight="1">
      <c r="A828" s="10"/>
      <c r="B828" s="10"/>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6.5" customHeight="1">
      <c r="A829" s="10"/>
      <c r="B829" s="10"/>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6.5" customHeight="1">
      <c r="A830" s="10"/>
      <c r="B830" s="10"/>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6.5" customHeight="1">
      <c r="A831" s="10"/>
      <c r="B831" s="10"/>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6.5" customHeight="1">
      <c r="A832" s="10"/>
      <c r="B832" s="10"/>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6.5" customHeight="1">
      <c r="A833" s="10"/>
      <c r="B833" s="10"/>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6.5" customHeight="1">
      <c r="A834" s="10"/>
      <c r="B834" s="10"/>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6.5" customHeight="1">
      <c r="A835" s="10"/>
      <c r="B835" s="10"/>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6.5" customHeight="1">
      <c r="A836" s="10"/>
      <c r="B836" s="10"/>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6.5" customHeight="1">
      <c r="A837" s="10"/>
      <c r="B837" s="10"/>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6.5" customHeight="1">
      <c r="A838" s="10"/>
      <c r="B838" s="10"/>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6.5" customHeight="1">
      <c r="A839" s="10"/>
      <c r="B839" s="10"/>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6.5" customHeight="1">
      <c r="A840" s="10"/>
      <c r="B840" s="10"/>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6.5" customHeight="1">
      <c r="A841" s="10"/>
      <c r="B841" s="10"/>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6.5" customHeight="1">
      <c r="A842" s="10"/>
      <c r="B842" s="10"/>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6.5" customHeight="1">
      <c r="A843" s="10"/>
      <c r="B843" s="10"/>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6.5" customHeight="1">
      <c r="A844" s="10"/>
      <c r="B844" s="10"/>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6.5" customHeight="1">
      <c r="A845" s="10"/>
      <c r="B845" s="10"/>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6.5" customHeight="1">
      <c r="A846" s="10"/>
      <c r="B846" s="10"/>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6.5" customHeight="1">
      <c r="A847" s="10"/>
      <c r="B847" s="10"/>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6.5" customHeight="1">
      <c r="A848" s="10"/>
      <c r="B848" s="10"/>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6.5" customHeight="1">
      <c r="A849" s="10"/>
      <c r="B849" s="10"/>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6.5" customHeight="1">
      <c r="A850" s="10"/>
      <c r="B850" s="10"/>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6.5" customHeight="1">
      <c r="A851" s="10"/>
      <c r="B851" s="10"/>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6.5" customHeight="1">
      <c r="A852" s="10"/>
      <c r="B852" s="10"/>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6.5" customHeight="1">
      <c r="A853" s="10"/>
      <c r="B853" s="10"/>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6.5" customHeight="1">
      <c r="A854" s="10"/>
      <c r="B854" s="10"/>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6.5" customHeight="1">
      <c r="A855" s="10"/>
      <c r="B855" s="10"/>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6.5" customHeight="1">
      <c r="A856" s="10"/>
      <c r="B856" s="10"/>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6.5" customHeight="1">
      <c r="A857" s="10"/>
      <c r="B857" s="10"/>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6.5" customHeight="1">
      <c r="A858" s="10"/>
      <c r="B858" s="10"/>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6.5" customHeight="1">
      <c r="A859" s="10"/>
      <c r="B859" s="10"/>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6.5" customHeight="1">
      <c r="A860" s="10"/>
      <c r="B860" s="10"/>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6.5" customHeight="1">
      <c r="A861" s="10"/>
      <c r="B861" s="10"/>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6.5" customHeight="1">
      <c r="A862" s="10"/>
      <c r="B862" s="10"/>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6.5" customHeight="1">
      <c r="A863" s="10"/>
      <c r="B863" s="10"/>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6.5" customHeight="1">
      <c r="A864" s="10"/>
      <c r="B864" s="10"/>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6.5" customHeight="1">
      <c r="A865" s="10"/>
      <c r="B865" s="10"/>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6.5" customHeight="1">
      <c r="A866" s="10"/>
      <c r="B866" s="10"/>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6.5" customHeight="1">
      <c r="A867" s="10"/>
      <c r="B867" s="10"/>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6.5" customHeight="1">
      <c r="A868" s="10"/>
      <c r="B868" s="10"/>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6.5" customHeight="1">
      <c r="A869" s="10"/>
      <c r="B869" s="10"/>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6.5" customHeight="1">
      <c r="A870" s="10"/>
      <c r="B870" s="10"/>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6.5" customHeight="1">
      <c r="A871" s="10"/>
      <c r="B871" s="10"/>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6.5" customHeight="1">
      <c r="A872" s="10"/>
      <c r="B872" s="10"/>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6.5" customHeight="1">
      <c r="A873" s="10"/>
      <c r="B873" s="10"/>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6.5" customHeight="1">
      <c r="A874" s="10"/>
      <c r="B874" s="10"/>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6.5" customHeight="1">
      <c r="A875" s="10"/>
      <c r="B875" s="10"/>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6.5" customHeight="1">
      <c r="A876" s="10"/>
      <c r="B876" s="10"/>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6.5" customHeight="1">
      <c r="A877" s="10"/>
      <c r="B877" s="10"/>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6.5" customHeight="1">
      <c r="A878" s="10"/>
      <c r="B878" s="10"/>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6.5" customHeight="1">
      <c r="A879" s="10"/>
      <c r="B879" s="10"/>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6.5" customHeight="1">
      <c r="A880" s="10"/>
      <c r="B880" s="10"/>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6.5" customHeight="1">
      <c r="A881" s="10"/>
      <c r="B881" s="10"/>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6.5" customHeight="1">
      <c r="A882" s="10"/>
      <c r="B882" s="10"/>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6.5" customHeight="1">
      <c r="A883" s="10"/>
      <c r="B883" s="10"/>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6.5" customHeight="1">
      <c r="A884" s="10"/>
      <c r="B884" s="10"/>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6.5" customHeight="1">
      <c r="A885" s="10"/>
      <c r="B885" s="10"/>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6.5" customHeight="1">
      <c r="A886" s="10"/>
      <c r="B886" s="10"/>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6.5" customHeight="1">
      <c r="A887" s="10"/>
      <c r="B887" s="10"/>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6.5" customHeight="1">
      <c r="A888" s="10"/>
      <c r="B888" s="10"/>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6.5" customHeight="1">
      <c r="A889" s="10"/>
      <c r="B889" s="10"/>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6.5" customHeight="1">
      <c r="A890" s="10"/>
      <c r="B890" s="10"/>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6.5" customHeight="1">
      <c r="A891" s="10"/>
      <c r="B891" s="10"/>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6.5" customHeight="1">
      <c r="A892" s="10"/>
      <c r="B892" s="10"/>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6.5" customHeight="1">
      <c r="A893" s="10"/>
      <c r="B893" s="10"/>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6.5" customHeight="1">
      <c r="A894" s="10"/>
      <c r="B894" s="10"/>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6.5" customHeight="1">
      <c r="A895" s="10"/>
      <c r="B895" s="10"/>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6.5" customHeight="1">
      <c r="A896" s="10"/>
      <c r="B896" s="10"/>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6.5" customHeight="1">
      <c r="A897" s="10"/>
      <c r="B897" s="10"/>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6.5" customHeight="1">
      <c r="A898" s="10"/>
      <c r="B898" s="10"/>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6.5" customHeight="1">
      <c r="A899" s="10"/>
      <c r="B899" s="10"/>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6.5" customHeight="1">
      <c r="A900" s="10"/>
      <c r="B900" s="10"/>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6.5" customHeight="1">
      <c r="A901" s="10"/>
      <c r="B901" s="10"/>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6.5" customHeight="1">
      <c r="A902" s="10"/>
      <c r="B902" s="10"/>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6.5" customHeight="1">
      <c r="A903" s="10"/>
      <c r="B903" s="10"/>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6.5" customHeight="1">
      <c r="A904" s="10"/>
      <c r="B904" s="10"/>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6.5" customHeight="1">
      <c r="A905" s="10"/>
      <c r="B905" s="10"/>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6.5" customHeight="1">
      <c r="A906" s="10"/>
      <c r="B906" s="10"/>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6.5" customHeight="1">
      <c r="A907" s="10"/>
      <c r="B907" s="10"/>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6.5" customHeight="1">
      <c r="A908" s="10"/>
      <c r="B908" s="10"/>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6.5" customHeight="1">
      <c r="A909" s="10"/>
      <c r="B909" s="10"/>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6.5" customHeight="1">
      <c r="A910" s="10"/>
      <c r="B910" s="10"/>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6.5" customHeight="1">
      <c r="A911" s="10"/>
      <c r="B911" s="10"/>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6.5" customHeight="1">
      <c r="A912" s="10"/>
      <c r="B912" s="10"/>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6.5" customHeight="1">
      <c r="A913" s="10"/>
      <c r="B913" s="10"/>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6.5" customHeight="1">
      <c r="A914" s="10"/>
      <c r="B914" s="10"/>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6.5" customHeight="1">
      <c r="A915" s="10"/>
      <c r="B915" s="10"/>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6.5" customHeight="1">
      <c r="A916" s="10"/>
      <c r="B916" s="10"/>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6.5" customHeight="1">
      <c r="A917" s="10"/>
      <c r="B917" s="10"/>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6.5" customHeight="1">
      <c r="A918" s="10"/>
      <c r="B918" s="10"/>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6.5" customHeight="1">
      <c r="A919" s="10"/>
      <c r="B919" s="10"/>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6.5" customHeight="1">
      <c r="A920" s="10"/>
      <c r="B920" s="10"/>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6.5" customHeight="1">
      <c r="A921" s="10"/>
      <c r="B921" s="10"/>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6.5" customHeight="1">
      <c r="A922" s="10"/>
      <c r="B922" s="10"/>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6.5" customHeight="1">
      <c r="A923" s="10"/>
      <c r="B923" s="10"/>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6.5" customHeight="1">
      <c r="A924" s="10"/>
      <c r="B924" s="10"/>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6.5" customHeight="1">
      <c r="A925" s="10"/>
      <c r="B925" s="10"/>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6.5" customHeight="1">
      <c r="A926" s="10"/>
      <c r="B926" s="10"/>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6.5" customHeight="1">
      <c r="A927" s="10"/>
      <c r="B927" s="10"/>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6.5" customHeight="1">
      <c r="A928" s="10"/>
      <c r="B928" s="10"/>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6.5" customHeight="1">
      <c r="A929" s="10"/>
      <c r="B929" s="10"/>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6.5" customHeight="1">
      <c r="A930" s="10"/>
      <c r="B930" s="10"/>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6.5" customHeight="1">
      <c r="A931" s="10"/>
      <c r="B931" s="10"/>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6.5" customHeight="1">
      <c r="A932" s="10"/>
      <c r="B932" s="10"/>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6.5" customHeight="1">
      <c r="A933" s="10"/>
      <c r="B933" s="10"/>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6.5" customHeight="1">
      <c r="A934" s="10"/>
      <c r="B934" s="10"/>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6.5" customHeight="1">
      <c r="A935" s="10"/>
      <c r="B935" s="10"/>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6.5" customHeight="1">
      <c r="A936" s="10"/>
      <c r="B936" s="10"/>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6.5" customHeight="1">
      <c r="A937" s="10"/>
      <c r="B937" s="10"/>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6.5" customHeight="1">
      <c r="A938" s="10"/>
      <c r="B938" s="10"/>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6.5" customHeight="1">
      <c r="A939" s="10"/>
      <c r="B939" s="10"/>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6.5" customHeight="1">
      <c r="A940" s="10"/>
      <c r="B940" s="10"/>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6.5" customHeight="1">
      <c r="A941" s="10"/>
      <c r="B941" s="10"/>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6.5" customHeight="1">
      <c r="A942" s="10"/>
      <c r="B942" s="10"/>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6.5" customHeight="1">
      <c r="A943" s="10"/>
      <c r="B943" s="10"/>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6.5" customHeight="1">
      <c r="A944" s="10"/>
      <c r="B944" s="10"/>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6.5" customHeight="1">
      <c r="A945" s="10"/>
      <c r="B945" s="10"/>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6.5" customHeight="1">
      <c r="A946" s="10"/>
      <c r="B946" s="10"/>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6.5" customHeight="1">
      <c r="A947" s="10"/>
      <c r="B947" s="10"/>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6.5" customHeight="1">
      <c r="A948" s="10"/>
      <c r="B948" s="10"/>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6.5" customHeight="1">
      <c r="A949" s="10"/>
      <c r="B949" s="10"/>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6.5" customHeight="1">
      <c r="A950" s="10"/>
      <c r="B950" s="10"/>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6.5" customHeight="1">
      <c r="A951" s="10"/>
      <c r="B951" s="10"/>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6.5" customHeight="1">
      <c r="A952" s="10"/>
      <c r="B952" s="10"/>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6.5" customHeight="1">
      <c r="A953" s="10"/>
      <c r="B953" s="10"/>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6.5" customHeight="1">
      <c r="A954" s="10"/>
      <c r="B954" s="10"/>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6.5" customHeight="1">
      <c r="A955" s="10"/>
      <c r="B955" s="10"/>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6.5" customHeight="1">
      <c r="A956" s="10"/>
      <c r="B956" s="10"/>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6.5" customHeight="1">
      <c r="A957" s="10"/>
      <c r="B957" s="10"/>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6.5" customHeight="1">
      <c r="A958" s="10"/>
      <c r="B958" s="10"/>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6.5" customHeight="1">
      <c r="A959" s="10"/>
      <c r="B959" s="10"/>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6.5" customHeight="1">
      <c r="A960" s="10"/>
      <c r="B960" s="10"/>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6.5" customHeight="1">
      <c r="A961" s="10"/>
      <c r="B961" s="10"/>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6.5" customHeight="1">
      <c r="A962" s="10"/>
      <c r="B962" s="10"/>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6.5" customHeight="1">
      <c r="A963" s="10"/>
      <c r="B963" s="10"/>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6.5" customHeight="1">
      <c r="A964" s="10"/>
      <c r="B964" s="10"/>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6.5" customHeight="1">
      <c r="A965" s="10"/>
      <c r="B965" s="10"/>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6.5" customHeight="1">
      <c r="A966" s="10"/>
      <c r="B966" s="10"/>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6.5" customHeight="1">
      <c r="A967" s="10"/>
      <c r="B967" s="10"/>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6.5" customHeight="1">
      <c r="A968" s="10"/>
      <c r="B968" s="10"/>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6.5" customHeight="1">
      <c r="A969" s="10"/>
      <c r="B969" s="10"/>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6.5" customHeight="1">
      <c r="A970" s="10"/>
      <c r="B970" s="10"/>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6.5" customHeight="1">
      <c r="A971" s="10"/>
      <c r="B971" s="10"/>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6.5" customHeight="1">
      <c r="A972" s="10"/>
      <c r="B972" s="10"/>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6.5" customHeight="1">
      <c r="A973" s="10"/>
      <c r="B973" s="10"/>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6.5" customHeight="1">
      <c r="A974" s="10"/>
      <c r="B974" s="10"/>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6.5" customHeight="1">
      <c r="A975" s="10"/>
      <c r="B975" s="10"/>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6.5" customHeight="1">
      <c r="A976" s="10"/>
      <c r="B976" s="10"/>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6.5" customHeight="1">
      <c r="A977" s="10"/>
      <c r="B977" s="10"/>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6.5" customHeight="1">
      <c r="A978" s="10"/>
      <c r="B978" s="10"/>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6.5" customHeight="1">
      <c r="A979" s="10"/>
      <c r="B979" s="10"/>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6.5" customHeight="1">
      <c r="A980" s="10"/>
      <c r="B980" s="10"/>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6.5" customHeight="1">
      <c r="A981" s="10"/>
      <c r="B981" s="10"/>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6.5" customHeight="1">
      <c r="A982" s="10"/>
      <c r="B982" s="10"/>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6.5" customHeight="1">
      <c r="A983" s="10"/>
      <c r="B983" s="10"/>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6.5" customHeight="1">
      <c r="A984" s="10"/>
      <c r="B984" s="10"/>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6.5" customHeight="1">
      <c r="A985" s="10"/>
      <c r="B985" s="10"/>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6.5" customHeight="1">
      <c r="A986" s="10"/>
      <c r="B986" s="10"/>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6.5" customHeight="1">
      <c r="A987" s="10"/>
      <c r="B987" s="10"/>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6.5" customHeight="1">
      <c r="A988" s="10"/>
      <c r="B988" s="10"/>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6.5" customHeight="1">
      <c r="A989" s="10"/>
      <c r="B989" s="10"/>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6.5" customHeight="1">
      <c r="A990" s="10"/>
      <c r="B990" s="10"/>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6.5" customHeight="1">
      <c r="A991" s="10"/>
      <c r="B991" s="10"/>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6.5" customHeight="1">
      <c r="A992" s="10"/>
      <c r="B992" s="10"/>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6.5" customHeight="1">
      <c r="A993" s="10"/>
      <c r="B993" s="10"/>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6.5" customHeight="1">
      <c r="A994" s="10"/>
      <c r="B994" s="10"/>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6.5" customHeight="1">
      <c r="A995" s="10"/>
      <c r="B995" s="10"/>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6.5" customHeight="1">
      <c r="A996" s="10"/>
      <c r="B996" s="10"/>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6.5" customHeight="1">
      <c r="A997" s="10"/>
      <c r="B997" s="10"/>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6.5" customHeight="1">
      <c r="A998" s="10"/>
      <c r="B998" s="10"/>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6.5" customHeight="1">
      <c r="A999" s="10"/>
      <c r="B999" s="10"/>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6.5" customHeight="1">
      <c r="A1000" s="10"/>
      <c r="B1000" s="10"/>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autoFilter ref="$A$3:$L$270">
    <filterColumn colId="8">
      <filters>
        <filter val="반영"/>
      </filters>
    </filterColumn>
  </autoFilter>
  <mergeCells count="5">
    <mergeCell ref="J2:L2"/>
    <mergeCell ref="G134:G138"/>
    <mergeCell ref="A1:G2"/>
    <mergeCell ref="H1:H2"/>
    <mergeCell ref="I1:I2"/>
  </mergeCells>
  <hyperlinks>
    <hyperlink r:id="rId1" location="J25:0" ref="F47"/>
    <hyperlink r:id="rId2" ref="F48"/>
    <hyperlink r:id="rId3" ref="G57"/>
    <hyperlink r:id="rId4" ref="E71"/>
    <hyperlink r:id="rId5" ref="E84"/>
    <hyperlink r:id="rId6" ref="F85"/>
    <hyperlink r:id="rId7" ref="F86"/>
    <hyperlink r:id="rId8" ref="F115"/>
    <hyperlink r:id="rId9" location="searchId1" ref="F119"/>
    <hyperlink r:id="rId10" ref="E134"/>
    <hyperlink r:id="rId11" ref="E135"/>
    <hyperlink r:id="rId12" ref="E136"/>
    <hyperlink r:id="rId13" ref="E138"/>
    <hyperlink r:id="rId14" ref="E140"/>
    <hyperlink r:id="rId15" ref="F141"/>
    <hyperlink r:id="rId16" ref="F142"/>
    <hyperlink r:id="rId17" ref="F143"/>
    <hyperlink r:id="rId18" ref="F144"/>
    <hyperlink r:id="rId19" ref="F145"/>
    <hyperlink r:id="rId20" ref="F177"/>
    <hyperlink r:id="rId21" ref="F178"/>
    <hyperlink r:id="rId22" ref="F179"/>
    <hyperlink r:id="rId23" ref="F180"/>
    <hyperlink r:id="rId24" ref="F181"/>
    <hyperlink r:id="rId25" ref="F182"/>
    <hyperlink r:id="rId26" ref="E187"/>
  </hyperlinks>
  <printOptions/>
  <pageMargins bottom="1.0" footer="0.0" header="0.0" left="0.75" right="0.75" top="1.0"/>
  <pageSetup paperSize="9" orientation="portrait"/>
  <drawing r:id="rId27"/>
</worksheet>
</file>