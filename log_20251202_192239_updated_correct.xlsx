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9F5B2CC7-59B2-4BC7-9B31-DE58B9A6391F}" xr6:coauthVersionLast="47" xr6:coauthVersionMax="47" xr10:uidLastSave="{00000000-0000-0000-0000-000000000000}"/>
  <bookViews>
    <workbookView xWindow="-120" yWindow="-120" windowWidth="29040" windowHeight="15720" xr2:uid="{00000000-000D-0000-FFFF-FFFF00000000}"/>
  </bookViews>
  <sheets>
    <sheet name="Statistics" sheetId="2" r:id="rId1"/>
    <sheet name="Log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2" i="2"/>
  <c r="B1" i="2"/>
  <c r="C3" i="2" l="1"/>
  <c r="C2" i="2"/>
</calcChain>
</file>

<file path=xl/sharedStrings.xml><?xml version="1.0" encoding="utf-8"?>
<sst xmlns="http://schemas.openxmlformats.org/spreadsheetml/2006/main" count="2159" uniqueCount="871">
  <si>
    <t>질의문</t>
  </si>
  <si>
    <t>답변참조문서</t>
  </si>
  <si>
    <t>참조페이지</t>
  </si>
  <si>
    <t>참조문서검색</t>
  </si>
  <si>
    <t>SLM참조여부</t>
  </si>
  <si>
    <t>task_id</t>
  </si>
  <si>
    <t>SLM 답변</t>
  </si>
  <si>
    <t>doc_id</t>
  </si>
  <si>
    <t>score</t>
  </si>
  <si>
    <t>group</t>
  </si>
  <si>
    <t>file</t>
  </si>
  <si>
    <t>page_num</t>
  </si>
  <si>
    <t>직원들(6급 이하)의 유연근무 등의 복무결재시 전결권자는 누구인가요?</t>
  </si>
  <si>
    <t xml:space="preserve">부산광역시 사무 전결처리 규칙
-붙임파일(별표)전결사항
 (탭) 공통사항
</t>
  </si>
  <si>
    <t>1</t>
  </si>
  <si>
    <t>미존재</t>
  </si>
  <si>
    <t>미참조</t>
  </si>
  <si>
    <t>6d592c0d166f42e98aacf24cf7f7d636</t>
  </si>
  <si>
    <t>질문하신 내용에 대해서는 참고할 만한 자료를 찾지 못했습니다. 관련 부서나 업무 담당자에게 문의해 주시기 바랍니다.</t>
  </si>
  <si>
    <t>DRM 비밀번호 초기화 방법이 무엇인가요?</t>
  </si>
  <si>
    <t>331_2112_정보화정책과_업무매뉴얼_정보화정책과_부서관리자_매뉴얼자료유출방지시스템_DRM_v50_비번초기화.pdf</t>
  </si>
  <si>
    <t>1, 2, 3</t>
  </si>
  <si>
    <t>존재</t>
  </si>
  <si>
    <t>참조</t>
  </si>
  <si>
    <t>ad225badc9ff4bf2a21721aa68ea5ca9</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</si>
  <si>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</si>
  <si>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</si>
  <si>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내부자료</t>
  </si>
  <si>
    <t>edb1e797-f9cd-4785-8595-87e84038bc40</t>
  </si>
  <si>
    <t>a121944b-92ec-4338-bfb3-1e517948c634</t>
  </si>
  <si>
    <t>DRM 암호 초기화 어떻게 하나요?</t>
  </si>
  <si>
    <t>b46599eb4f45434b820dcebbe2e393cd</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</si>
  <si>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</si>
  <si>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</si>
  <si>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1280_간단한_질문_대응_FAQ-txt.pdf</t>
  </si>
  <si>
    <t>a43b263bedde46fa8dcaec2558df80eb</t>
  </si>
  <si>
    <t>인사랑이 열리지 않을때 조치방법은?</t>
  </si>
  <si>
    <t>1255_행정포털_오류조치_안내_정보화정책과_20251112.pdf</t>
  </si>
  <si>
    <t>56e86fa1b3a440429f1246a7a3bdf841</t>
  </si>
  <si>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</si>
  <si>
    <t>44362772-0ca2-464e-98df-d9b4c549578f</t>
  </si>
  <si>
    <t>행정포털 접속 장애 시 조치 방법은?</t>
  </si>
  <si>
    <t>e3b00d9424b64eebae3740fa8ef313bb</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</si>
  <si>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</si>
  <si>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</si>
  <si>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</si>
  <si>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</si>
  <si>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</si>
  <si>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</si>
  <si>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</si>
  <si>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201e49af59164fc688804caaea8366a8</t>
  </si>
  <si>
    <t>회의장의 예약 방법은 장소마다 다를 수 있습니다. 일반적으로 시청사의 회의장은 행정포털 회의장 시스템을 통해 예약이 가능합니다. 예를 들어, 1층 대강당이나 지하 3층의 회의실은 이 시스템을 사용하여 예약할 수 있습니다. 그러나 일부 회의실은 해당 부서나 담당자를 통해 직접 예약을 해야 할 수도 있습니다.
예를 들어:
- **도모헌 계단식 강연장**과 **콘퍼런스룸**은 행정포털 회의장 시스템에서 예약이 가능하며,
- **부산경제진흥원** 회의실은 유선으로 문의하여 예약해야 합니다 (**문의처: 600-1759**).
- **국민연금공단 자치경찰위원회**와 **건설본부 회의실**, 그리고 **부산고용복지센터**의 회의실들도 각각 유선으로 문의한 후 공문을 발송하여 예약해야 합니다.
더 자세한 정보나 특정 회의실의 예약 방법을 알고 싶으시면, 해당 회의실이 위치한 부서의 연락처나 예약 절차를 확인해 보시는 것이 좋습니다. 필요한 경우, 관련 부서에 직접 연락하여 정확한 정보를 얻으실 수 있습니다. 도움이 필요하시면 언제든지 말씀해 주세요!</t>
  </si>
  <si>
    <t>af6b89a2-5cae-416e-94fb-270a19595566</t>
  </si>
  <si>
    <t>1281_게시판_시청사_회의장회의실_현황-hwp.pdf</t>
  </si>
  <si>
    <t>f10e4076-05ec-4ab0-88fe-31f3c238cf88</t>
  </si>
  <si>
    <t>c87e8ecf-dcf2-43a5-baa6-16ef385e7a3b</t>
  </si>
  <si>
    <t>PC 개인정보 삭제 방법은?</t>
  </si>
  <si>
    <t>357_2412_정보화정책과_업무매뉴얼_정보화정책과_PC개인정보파일_정비방법간단매뉴얼_0310.pdf</t>
  </si>
  <si>
    <t>fcc45c16db0144fb847e5384eac395d9</t>
  </si>
  <si>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</si>
  <si>
    <t>2be574ee-d6d9-4b5a-ac6d-2bea79390ada</t>
  </si>
  <si>
    <t>3adbc8d806994961a251e26acf35baba</t>
  </si>
  <si>
    <t>시 공무원 장례비 지원 및 사망조위금 신청방법은?</t>
  </si>
  <si>
    <t>278_2501_인사과_기타_인사과_2025년_공무원_장례비_지원_추진계획.pdf</t>
  </si>
  <si>
    <t>2</t>
  </si>
  <si>
    <t>4c6984d830694894b07333bd2363e8bf</t>
  </si>
  <si>
    <t>부산광역시에서 시행하는 공무원 장례비 지원 및 사망조위금 신청 방법에 대해 알려드리겠습니다.
**1. 공무원 장례비 지원**
- **지원 대상**: 본청, 직속기관, 사업소, 시의회(시의원 포함) 소속 공무원의 배우자, 부모(배우자의 부모 포함), 자녀, 사위, 며느리의 사망 시 해당됩니다.
- **지원 금액**: 1인당 1,000천 원 이내의 실비를 지원하며, 재직 중 최대 2회까지 가능합니다.
- **신청 방법**:
  - 장례비용을 선결제한 후, 영수증 및 필요한 증빙자료를 준비합니다.
  - 인사과의 *직원복지지원 시스템*에 접속하여 온라인으로 신청합니다.
    - 로그인 후, 메뉴에서 '장례비 지원 신청' 항목을 선택합니다.
    - 제출해야 할 서류 목록에 따라 파일을 업로드하거나 정보를 입력합니다.
  - 증빙자료로는 다음과 같은 것들이 필요합니다:
    - **사망 확인 자료**: 사망진단서, 사체검안서, 검시필증 등
    - **친족 증명 자료**: 가족관계증명서, 혼인증명서 등
    - **비용 결제 증빙**: 본인 명의의 카드 영수증(매출전표), 현금영수증, 입금증 및 거래내역서 등
- **주의 사항**:
  - 모든 증빙자료는 공무원 본인의 이름으로 발급되어야 합니다.
  - 1회용품 구매 비용이나 간이영수증 등은 지원 대상이 아닙니다.
  - 사망일로부터 1년 이내에 신청하지 않으면 지원이 소멸되므로 기간 내에 신청해야 합니다.
**2. 사망조위금 신청**
- **지원 대상**: 공무원의 사망 시 그 유가족에게 지급되는 위로금으로, 별도의 절차 없이 자동으로 지급됩니다.
- **지원 금액**: 5,000천 원이며, 추가적인 신청 절차는 없습니다.
**추가 정보**
- **문의처**: 자세한 사항은 부산광역시 인사과 또는 각 기관의 인사 담당자에게 문의하실 수 있습니다.
- **관련 문서**: 첨부된 '직원복지지원 시스템 신청방법', '관련 법령 및 조례', '공공기관 1회용품 등 사용 줄이기 실천지침' 등을 참고하시면 도움이 됩니다.
위의 절차를 통해 필요한 지원을 받으실 수 있으며, 궁금한 점이 있으시면 언제든지 인사과로 연락 주시기 바랍니다.</t>
  </si>
  <si>
    <t>5f9d33cc-8d3e-4cb9-8677-e2dd6c39ab35</t>
  </si>
  <si>
    <t>회의실 예약은 어떻게 하나요?</t>
  </si>
  <si>
    <t>99f5257cd7c54800929fa247204c6ddf</t>
  </si>
  <si>
    <t>회의실 예약을 위해서는 먼저 어떤 종류의 회의실을 이용할 것인지 결정해야 합니다. 예를 들어, 도모헌의 계단식 강연장이나 콘퍼런스룸 등을 사용하고 싶다면 다음과 같은 절차를 따르세요:
1. **행정포털 접속**: 부산시 내부망인 행정포털에 로그인합니다.
2. **회의장 시스템 접근**: 우측 분홍색 배너를 통해 "회의장" 메뉴로 이동합니다.
3. **회의실 선택**:
   - **계단식 강연장(다할)**: "회의실 예약"에서 "도모헌 본관(별도 신청)"을 선택하고 원하는 날짜와 시간을 선택합니다.
   - **콘퍼런스룸(취람)**: "회의실 예약"에서 "도모헌 회의실(콘퍼런스룸)"을 선택하고 순차등록으로 예약합니다.
4. **사용신청서 제출**: 필요한 경우 총무과로 사용신청서를 첨부한 공문을 발송합니다.
5. **승인 대기**: 총무과의 사용심사를 거쳐 승인이 완료되면 예약을 확정할 수 있습니다.
다른 층의 회의실이나 외부 회의장을 이용하려면 해당 부서나 기관에 직접 문의하거나 행정포털 내 다른 경로를 통해 예약해야 할 수도 있습니다. 자세한 사항은 각 회의실의 예약 방법과 관련된 문서나 공지사항을 참고하시기 바랍니다. 또한, 일부 회의실은 특정 부서나 단체에서만 사용이 가능하므로 사전에 확인하는 것이 좋습니다. 도움이 더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</si>
  <si>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</si>
  <si>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</si>
  <si>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</si>
  <si>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</si>
  <si>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</si>
  <si>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b45bf30e0e1946379090c35e2d40214e</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</si>
  <si>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**임용권자**: 지방자치단체의 장과 지방의회의 의장 등이 임용권자로 지정되어 있습니다.
- **임용 조건**: 전문지식이나 기술의 필요성, 임용관리의 특수성 등을 고려하여 임용합니다.
**2. 임용 절차**
- **임용조건 설정**: 임용권자는 임용조건, 임용절차, 근무상한연령 등을 대통령령으로 정합니다.
- **임용 방식**: 임용권자는 해당 조건을 충족하는 인력을 임기제공무원으로 임용할 수 있습니다.
**3. 관련 법령**
- **'지방공무원법' 제25조의5**: 임기제공무원의 임용에 관한 규정을 담고 있습니다.
- **대통령령**: 구체적인 임용조건과 절차 등을 상세히 규정하고 있습니다.
**4. 임용의 특징**
- **근무기간**: 임기제공무원의 근무기간은 일정 기간으로 제한되며, 이는 해당 업무의 특성에 따라 결정됩니다.
- **성과 평가**: 근무기간 동안의 성과를 평가하여 추가 임용 여부나 근무기간 연장을 결정할 수 있습니다.
**따라서**, 임기제공무원은 전문성이 요구되는 특정 업무를 수행하기 위해 임용권자가 임용조건을 설정하고 그에 맞는 인력을 임용하는 방식으로 진행됩니다. 이는 지방자치단체의 효율적인 인력 운용과 전문성 확보를 위한 제도입니다.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</si>
  <si>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</si>
  <si>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</si>
  <si>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</si>
  <si>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</si>
  <si>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</si>
  <si>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자치법규정보시스템</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</si>
  <si>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</si>
  <si>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</si>
  <si>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</si>
  <si>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</si>
  <si>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</si>
  <si>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170_2503_빅데이터과_업무매뉴얼_빅데이터과_빅데이터과바인더.hwp</t>
  </si>
  <si>
    <t>24</t>
  </si>
  <si>
    <t>4e7170a62c414972aa8f03e7b096c3a5</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</si>
  <si>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</si>
  <si>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</si>
  <si>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170_2503_빅데이터과_업무매뉴얼_빅데이터과_빅데이터과바인더.pdf</t>
  </si>
  <si>
    <t>08dd0469-7355-4af4-82b1-7ef14be58263</t>
  </si>
  <si>
    <t>0f31473d-2184-4efb-b47a-2804328ed9f1</t>
  </si>
  <si>
    <t>8b93c297-0ad6-47ef-946a-7eebb16788b5</t>
  </si>
  <si>
    <t>부산광역시 데이터 활용 및 데이터산업 육성에 관한 조례에 따른 기본계획의 수립 내용은?</t>
  </si>
  <si>
    <t>158_2408_빅데이터과_조례_빅데이터과_부산광역시_데이터_활용_및_데이터산업_육성에_관한_조례.pdf</t>
  </si>
  <si>
    <t>f0d57ef616aa4ac1abb39d80fc89143c</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</si>
  <si>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</si>
  <si>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</si>
  <si>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</si>
  <si>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</si>
  <si>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</si>
  <si>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</si>
  <si>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</si>
  <si>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</si>
  <si>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</si>
  <si>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</si>
  <si>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</si>
  <si>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f3ec82905bf043169ebe4c4617be70ec</t>
  </si>
  <si>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</si>
  <si>
    <t>6d0649db-14bc-4ae2-bf11-4887574f8476</t>
  </si>
  <si>
    <t>dc242179-c4d6-465d-8180-28344250af8a</t>
  </si>
  <si>
    <t>0d54ef30-4ef7-4b40-b340-1ecb82c32e22</t>
  </si>
  <si>
    <t>7445c0b7-a52f-49df-b31c-82fa8e0d8c10</t>
  </si>
  <si>
    <t>af0d6c4f-5a3b-47e6-b4ab-3b51acaf95ea</t>
  </si>
  <si>
    <t>공공데이터 제공 표준이 무엇인가요?</t>
  </si>
  <si>
    <t>72</t>
  </si>
  <si>
    <t>57a3b8c471c645a7820a4cab6b01239d</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</si>
  <si>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</si>
  <si>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</si>
  <si>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</si>
  <si>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</si>
  <si>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</si>
  <si>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</si>
  <si>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DRM, 네트워크접근제어 아이디, 패스워드 찾는 매뉴얼이 있나요?</t>
  </si>
  <si>
    <t>fbd503a1aa5d4ff7a9fa2b2b687d8a5e</t>
  </si>
  <si>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</si>
  <si>
    <t>온나라 2.0 이후 많이 발생하는 오류 사례집이 있나요?</t>
  </si>
  <si>
    <t>353_2412_정보화정책과_업무매뉴얼_KLID_온나라_20_달라지는_점PDF.pdf</t>
  </si>
  <si>
    <t>25, 26</t>
  </si>
  <si>
    <t>1e7b00b105084ab6a1c066e8453a843b</t>
  </si>
  <si>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</si>
  <si>
    <t>3bdd1910-e377-4a61-afed-15b6ea45329c</t>
  </si>
  <si>
    <t>348e87dd-8752-4a4e-bf5a-f4bb857d0648</t>
  </si>
  <si>
    <t>공용차량 신청방법</t>
  </si>
  <si>
    <t>a18d0dada174478d81cfb3ce70d06f6a</t>
  </si>
  <si>
    <t>공무원증 재발급 방법</t>
  </si>
  <si>
    <t>1219_2510_인사과_매뉴얼_인사과_자주찾는_질문인사과_전체.pdf</t>
  </si>
  <si>
    <t>7</t>
  </si>
  <si>
    <t>00d430618ddb46c0a5fe02eaf41085a3</t>
  </si>
  <si>
    <t>공무원증이 분실되거나 훼손되었거나 기재사항이 변경되었거나 직위나 직급이 변동된 경우에는 공무원증을 재발급 받아야 합니다. 이를 위해서는 먼저 해당 사유가 발생한 날로부터 5일 이내에 별지 제2호서식의 공무원증 재발급신청서를 작성하여 소속부서의 장을 거쳐 시장에게 제출해야 합니다. 이때 제출일 전 1년 이내에 촬영한 전자파일 형태의 사진을 함께 제출해야 합니다. 이후 시장은 공무원증을 재발급해 주며, 발급 후에는 새로운 공무원증을 수령하여 사용하시면 됩니다. 또한, 공무원증의 재발급 비용은 발급 후 1년 이내의 사진 변경이나 본인 부주의로 인한 분실의 경우에는 해당 공무원이 부담할 수 있으니 유의하시기 바랍니다. 자세한 절차나 필요 서류는 소속기관의 인사 담당자나 인사과에 문의하시면 정확한 안내를 받을 수 있습니다.</t>
  </si>
  <si>
    <t>c850e08a-7707-4cb6-90c1-1a948f53b256</t>
  </si>
  <si>
    <t>1156_페이지116_문서6_164218_부산광역시_공무원증_규정.pdf</t>
  </si>
  <si>
    <t>db139756-2513-4560-b9da-fdcb0531057a</t>
  </si>
  <si>
    <t>8aecbe9e-05a0-4bee-bd71-16eaafa7cb9e</t>
  </si>
  <si>
    <t>1e2e479d-7a22-4a66-a831-eecd78da5f29</t>
  </si>
  <si>
    <t>1231_공무원증_및_모바일공무원증_발급반납_협조_요청.pdf</t>
  </si>
  <si>
    <t>네트워크 차단 시 조치방법</t>
  </si>
  <si>
    <t>c98eef0073c44c18abd198501456381b</t>
  </si>
  <si>
    <t>도모헌공간 신청방법</t>
  </si>
  <si>
    <t xml:space="preserve">407_2505_총무과_주요질문사항_도모헌_이용범위_및_신청_절차.pdf </t>
  </si>
  <si>
    <t>a0e5e393765b415ea9abadcfc36f42c5</t>
  </si>
  <si>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</si>
  <si>
    <t>조례 제정 및 개정 절차는?</t>
  </si>
  <si>
    <t>92_2501_법무담당관_업무매뉴얼_법무담당관_자치법규_입법절차_등.pdf</t>
  </si>
  <si>
    <t>546c55d621c3410494c706fcfec2ebaa</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</si>
  <si>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</si>
  <si>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</si>
  <si>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</si>
  <si>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</si>
  <si>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</si>
  <si>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</si>
  <si>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</si>
  <si>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</si>
  <si>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</si>
  <si>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</si>
  <si>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</si>
  <si>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884c652aa66e430699b6e179cfc82289</t>
  </si>
  <si>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</si>
  <si>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</si>
  <si>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</si>
  <si>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</si>
  <si>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</si>
  <si>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</si>
  <si>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0f0b16be2bba4dfeba58cd94ea861cc1</t>
  </si>
  <si>
    <t>인건비를 편성할 때는 일반적으로 **현원**을 기준으로 산출합니다. 이는 현재 실제로 근무하고 있는 인력을 기반으로 예산을 편성함으로써 실제 지출과 일치시키기 위함입니다.
그러나 일부 지침이나 규정에 따르면, 예산편성의 기준이 되는 정원은 **현원 대비 결원율 5%를 초과할 수 없도록** 제한하고 있습니다. 즉, 현원이 정원보다 적을 경우에도 최소한 현원의 95%까지는 인건비로 편성할 수 있다는 의미입니다. 만약 결원율이 5%를 초과한다면, 조직진단을 통해 정원을 조정해야 합니다.
또한, 신규 채용 계획이 이미 확정되었거나 채용 절차가 진행 중인 경우에는 예외적으로 이러한 결원을 포함하여 예산을 편성할 수 있습니다.
결론적으로, 인건비 편성 시에는 다음과 같은 절차를 따릅니다:
1. **현원**을 기준으로 인건비를 산출합니다.
2. 그러나 **현원이 정원보다 적을 경우**, 현원의 95%까지 인건비로 편성할 수 있으며, 나머지 인원은 정원 조정을 통해 감축하거나 봉급(목적)예비비로 편성합니다.
3. **결원율이 정원 대비 5%를 초과하면**, 조직진단을 통해 정원을 조정해야 합니다.
이러한 내용은 제공하신 문서들에서도 확인할 수 있습니다. 예를 들어, 첫 번째 문서에서는 "예산편성의 기준이 되는 정원은 현원 대비 결원율 5%를 초과할 수 없음"이라고 명시하고 있습니다. 또한 두 번째와 세 번째 문서에서도 비슷한 내용이 언급되고 있습니다.
따라서 인건비 편성 시에는 현원을 기준으로 하되, 결원율을 고려하여 최대 5%까지는 예외적으로 예산을 편성할 수 있음을 참고하시기 바랍니다. 더 궁금한 점이 있으시면 언제든지 물어보세요!</t>
  </si>
  <si>
    <t>0cd6fdc8-31c7-474f-9c3d-b5450dd687b0</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</si>
  <si>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</si>
  <si>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</si>
  <si>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</si>
  <si>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</si>
  <si>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</si>
  <si>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</si>
  <si>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</si>
  <si>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</si>
  <si>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 xml:space="preserve">478_2505_회계재산담당관_업무매뉴얼_회계재산담당관_계약업무_참고자료회계재산담당관외부용.pdf </t>
  </si>
  <si>
    <t>10</t>
  </si>
  <si>
    <t>0d5b6bd442164d6397693ea01a1d83f9</t>
  </si>
  <si>
    <t>네, 알겠습니다! 공사, 용역, 물품 계약 시 필요한 서류들을 안내해 드릴게요.
---
### **1. 공통적으로 필요한 서류**
- **집행품의서**: 사업을 진행하기 위한 내부 승인 문서입니다.
- **표준계약서**: 계약의 기본 틀을 제공하는 문서로, 계약의 주요 사항을 담고 있습니다.
- **입찰유의서**: 입찰 참여자들이 유의해야 할 사항들을 명시한 문서입니다.
- **계약 일반조건**: 일반적인 계약 조건들을 상세히 설명한 문서입니다.
- **계약 특수조건**(필요 시): 특정 계약에만 적용되는 특별한 조건을 담은 문서입니다.
- **견적서 및 산출내역서**: 제안된 금액과 그에 대한 세부 내역을 나타낸 문서입니다.
- **조세포탈서약서**: 세금 탈루를 하지 않겠다는 약속을 담은 문서입니다.
- **청렴계약이행서약서(업체용)**: 부정행위를 하지 않고 투명하게 계약을 이행하겠다는 서약서입니다.
- **법인등기부 등본**: 회사의 법적 설립 상태를 증명하는 문서입니다.
- **사업자등록증 사본**: 합법적인 사업 활동을 하고 있음을 보여주는 문서입니다.
- **법인인감(또는 사용인감계)**: 계약서에 인감을 찍을 때 사용하는 인감과 그 사용을 허가받은 문서입니다.
- **대가지급 통장사본**: 대금을 받을 계좌 정보를 확인하는 문서입니다.
- **정부수입인지**: 계약에 따른 세금을 납부했다는 증명을 해주는 문서입니다.
### **2. 공사 계약 시 추가로 필요한 서류**
- **설계서(설계설명서, 설계도면, 현장설명서 등)**: 공사에 대한 구체적인 계획을 담은 문서들입니다.
- **현장설명서**: 공사 현장의 상태나 주의사항을 설명한 문서입니다.
- **물량내역서**: 공사에 사용되는 자재의 양이나 작업량을 상세히 기록한 문서입니다.
- **착공(착수)신고서**: 공사를 시작한다는 사실을 알리는 문서입니다.
- **안전·환경 및 품질관리계획서**: 공사 현장에서의 안전을 보장하고 환경을 보호하며 품질을 유지하기 위한 계획을 담은 문서입니다.
- **공정예정표**: 공사가 어떤 순서로 진행될지를 나타내는 일정표입니다.
- **직접시공계획통보서**: 공사의 일부를 직접 시공할 계획을 알리는 문서입니다.
- **건설업 등 업종 등록증 사본**: 건설업을 영위할 수 있는 자격을 증명하는 문서입니다.
- **기술자보유증명서**: 필요한 기술을 가진 인력을 보유하고 있음을 증명하는 문서입니다.
- **4대보험 사업장 가입자명부**: 직원들의 사회보장 보험 가입 현황을 보여주는 문서입니다.
### **3. 용역 계약 시 추가로 필요한 서류**
- **과업내용서 및 산출내역서**: 수행해야 할 업무 내용과 그에 따른 비용을 상세히 기록한 문서입니다.
- **근로자권리보호이행서약서(단순노무용역)**: 단순 노동자를 고용할 경우 그들의 권리를 보호하겠다는 서약서입니다.
- **손해배상증권**: 만약의 사고나 손실에 대비한 보험 증서입니다.
### **4. 물품 계약 시 추가로 필요한 서류**
- **규격서(사양서 또는 시방서)**: 물품의 성능이나 사양을 구체적으로 명시한 문서입니다.
- **납품완료신고서(검사원)**: 물품이 모두 납품되었음을 신고하는 문서입니다.
- **검사・검수조서**: 물품의 수령 및 검사를 기록하는 문서입니다.
- **하도급계약서 사본**: 하도급 업체와의 계약 내용을 담은 문서입니다.
- **하도급대금 직불합의서**: 하도급 대금을 직접 지급하기로 합의한 문서입니다.
- **공동계약이행계획서**: 여러 업체가 공동으로 계약을 수행할 때의 계획을 담은 문서입니다.
- **산업안전보건의무 준수・이행 서약서**: 작업장에서의 안전과 보건을 준수하겠다는 서약서입니다.
- **수의계약 체결제한여부 확인서**: 수의계약이 가능한지 여부를 확인하는 문서입니다.
- **수의계약 각서**: 수의계약에 동의한다는 내용의 문서입니다.
---
**추가 팁:** 모든 서류는 원본대조필 날인을 받아야 하며, 대리인이 참석할 경우에는 위임장과 재직증명서를 함께 제출해야 합니다. 또한, 계약 금액에 따라 정부수입인지의 금액이 달라지므로 정확한 금액을 확인하고 납부해야 합니다.
이렇게 각 계약 유형별로 필요한 서류들을 준비하시면 됩니다. 더 궁금한 점이 있으시면 언제든지 물어보세요! 도움이 되었기를 바랍니다.</t>
  </si>
  <si>
    <t>43945003-3348-4234-9ba9-1c465c8dac4b</t>
  </si>
  <si>
    <t>473_2411_회계재산담당관_업무매뉴얼_한국지방재정공제회_2024년_개정판_용역계약_길라잡이한국지방재정공제회.pdf</t>
  </si>
  <si>
    <t>8e767a5b-5a88-4899-a92c-8ef6fb60fddd</t>
  </si>
  <si>
    <t>478_2505_회계재산담당관_업무매뉴얼_회계재산담당관_계약업무_참고자료회계재산담당관외부용.pdf</t>
  </si>
  <si>
    <t>19a8afe1-74b9-403d-9c1e-646144427d9d</t>
  </si>
  <si>
    <t>475_2501_회계재산담당관_업무매뉴얼_회계재산담당관_2025년_계약업무_통합운영_매뉴얼2511_회계재산담당관_계약지원팀.pdf</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</si>
  <si>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</si>
  <si>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</si>
  <si>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</si>
  <si>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</si>
  <si>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온나라 접수 문서를 부서원들도 열람할 수 없도록 하는 방법을 알려주세요</t>
  </si>
  <si>
    <t>343_2405_정보화정책과_업무매뉴얼_행정안전부_온나라20_사용자교육자료배포용.pdf</t>
  </si>
  <si>
    <t>33</t>
  </si>
  <si>
    <t>29c8023c16874d008d4efb91a56cc2df</t>
  </si>
  <si>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</si>
  <si>
    <t>db04b049-f367-4bb2-b8c6-407699ed1861</t>
  </si>
  <si>
    <t>(공사,용역,물품) 계약 선금 신청 및 지급 절차를 알려주세요</t>
  </si>
  <si>
    <t>268, 269</t>
  </si>
  <si>
    <t>9c933509176f4319ae1910e2994547a6</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</si>
  <si>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</si>
  <si>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</si>
  <si>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</si>
  <si>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</si>
  <si>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</si>
  <si>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</si>
  <si>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</si>
  <si>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</si>
  <si>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</si>
  <si>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6ce31d158b974614a6c904d9c29e4066</t>
  </si>
  <si>
    <t>네, 부산광역시청의 계약업무 매뉴얼에 따르면 다음과 같습니다:
- **공사**:
  - **종합공사**: 추정가격 **100억 원 미만**
  - **전문공사**: 추정가격 **10억 원 미만**
  - **기타공사**(전기, 소방, 통신 등): 추정가격 **10억 원 미만**
- **용역**:
  - **건설기술용역**: 추정가격 **3.3억 원 미만**
  - **건설기술용역 외의 용역**: 추정가격 **3.5억 원 미만**
  - **정밀안전진단용역**: 추정가격 **1.5억 원 미만**
- **물품**:
  - 추정가격 **3.5억 원 미만**
이러한 금액 기준에 따라 해당 금액 이하의 계약은 지역제한입찰로 진행됩니다. 만약 지역제한입찰을 적용할 수 없는 명백한 사유가 있을 경우에는 사전에 감사관실의 사전컨설팅 감사를 받아야 합니다.
또한, 지역제한입찰이 불가능한 경우에는 전국입찰로 진행되며, 이때는 지역의무공동도급 비율이 적용될 수 있습니다. 예를 들어, 공사의 경우 원칙적으로 지역업체의 의무참여비율이 40%이고, 지역경제 활성화를 위해 예외적으로 49%까지 가능합니다.
추가적인 질문이나 궁금한 점이 있으시면 언제든지 말씀해 주세요! 도움이 되었기를 바랍니다.</t>
  </si>
  <si>
    <t>76d70972-0572-49d7-acbc-9ec334a069a2</t>
  </si>
  <si>
    <t>4dc65730-756f-4992-b0c6-6e858b948fed</t>
  </si>
  <si>
    <t>38e7414d-0df6-44fe-bfab-490827f4fa57</t>
  </si>
  <si>
    <t>735f7abc-81da-455b-8c73-b2d106b9af73</t>
  </si>
  <si>
    <t>f7a7db70-43bf-47f0-8c8f-ddc605e1ab60</t>
  </si>
  <si>
    <t>온나라 지식행정에 접속하면 흰창만 나오는데, 어떻게 해결해야하나요?</t>
  </si>
  <si>
    <t>0524545380504446bfe052ab559cef9b</t>
  </si>
  <si>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</si>
  <si>
    <t>장기재직휴가 신청 절차는?</t>
  </si>
  <si>
    <t>1227_2407_부산광역시_인사과_업무매뉴얼_인사과_장기재직휴가_시행지침_개정전문.pdf</t>
  </si>
  <si>
    <t>3, 4</t>
  </si>
  <si>
    <t>5fab6d3bab5545c08c32e3e527652c75</t>
  </si>
  <si>
    <t>장기재직휴가는 5년 이상 근무한 공무원에게 제공되는 특별휴가로, 업무에 지장이 없는 범위 내에서 사용할 수 있습니다. 신청 절차는 다음과 같습니다:
1. **휴가 계획 수립**: 먼저, 본인이 원하는 휴가 기간을 결정하고, 그 기간에 업무에 차질이 없도록 계획을 세웁니다.
2. **업무 대행자 지정**: 장기간 휴가를 사용하는 동안 자신의 업무를 대신할 동료나 부하 직원을 지정해야 합니다. 이는 업무 연속성을 유지하고, 다른 직원들에게 부담을 주지 않기 위한 것입니다.
3. **부서장 승인 요청**: 휴가 계획과 업무 대행자 지정을 포함한 휴가 신청서를 작성하여 부서장에게 제출합니다. 이때, 차세대인사랑 복무관리시스템을 통해 승인을 받아야 하며, 일반적으로 휴가 시작일 기준 1주일 전에 승인 절차를 완료해야 합니다.
4. **승인권자 승인**: 부서장의 승인이 완료되면, 과장급 이상의 경우에는 직상이나 국장급 및 3급 사업소장의 추가 승인이 필요할 수 있습니다. 특히, 과장급 이상은 본청 지도·감독부서 실·국장의 승인을 받아야 합니다.
5. **복무시스템 등록**: 승인이 완료되면, 차세대인사랑 복무관리시스템에 휴가를 등록합니다. 이 때, 휴가구분을 "연가외휴가관리 - 특별휴가 - '장기재직휴가'"로 선택하고, 휴가 사유를 명확하게 기재합니다. 예를 들어, "(금회) 20년차 1회 5일, (잔여일수) 20일"과 같이 표시합니다.
6. **휴가 실시**: 모든 승인 절차와 시스템 등록이 완료되면, 계획된 날짜에 휴가를 사용합니다. 휴가 중에는 긴급 연락망을 유지하고, 복귀 후에는 업무 인계·인수를 철저히 해야 합니다.
**유의 사항**:
- **최소 휴가 기간**: 장기재직휴가는 최소 2일 이상부터 사용이 가능하며, 토·일요일 및 공휴일은 휴가 기간에 산입되지 않습니다.
- **부서 인원 제한**: 동일한 부서에서 동시에 휴가를 사용하는 직원이 부서 정원의 1/3을 넘지 않도록 조절해야 합니다.
- **연가와의 연계 사용**: 장기간 휴가를 사용하기 위해 연가와 연계하여 사용하는 것이 권장되며, 이를 희망하는 경우 휴가 계획 단계에서 미리 명시해야 합니다.
이러한 절차를 따르면 장기재직휴가를 원활하게 신청하고 사용할 수 있습니다. 추가로 궁금한 점이 있으면 언제든지 물어보세요!</t>
  </si>
  <si>
    <t>ae3f5807-c46f-48ff-b17b-aad0c8a3ac78</t>
  </si>
  <si>
    <t>08ccf532-ece9-4ce6-a58c-720818b91707</t>
  </si>
  <si>
    <t>d90900dd-41af-4d32-8b63-ccfd787f88b8</t>
  </si>
  <si>
    <t>c0635dda-3441-4063-8c58-d6f398790375</t>
  </si>
  <si>
    <t>284_2501_인사과_기타_인사과_2025년_직원_장기재직휴가_지원_계획.pdf</t>
  </si>
  <si>
    <t>PC 네트워크 비밀번호 분실 시 해결방법은?</t>
  </si>
  <si>
    <t>af8667ad3a0a49409a7605e1f98c2d49</t>
  </si>
  <si>
    <t>예산편성 관련 사전절차는 어떤게 있으며 이행여부 조회할 수 있는 방법은?</t>
  </si>
  <si>
    <t>213_2408_예산담당관_예산편성계획_예산담당관_2025년_예산편성계획.pdf</t>
  </si>
  <si>
    <t>7751f9c3e20e4573b2482d0f6b36f93b</t>
  </si>
  <si>
    <t>예산편성에 앞서 이행해야 하는 사전절차는 다음과 같습니다:
1. **원가계산**: 예산을 편성하기 전에 사업의 원가를 정확히 산정하여 예산안에 반영해야 합니다.
2. **민간위탁 관리위원회 심의**: 민간위탁 사업을 추진하는 경우, 해당 위원회의 심의를 거쳐야 합니다.
3. **의회 동의**: 예산안이 의회에서 승인되기 위해 동의를 받아야 하며, 이는 예산안의 신뢰성을 높이기 위한 절차입니다.
4. **투자심사**: 대규모 투자사업의 경우 투자심사를 통해 사업의 필요성과 효율성을 검증받아야 합니다.
이러한 사전절차의 이행 여부를 확인하려면 다음의 방법을 활용할 수 있습니다:
- **관련 부서 문의**: 예산편성 담당 부서나 기획조정실에 연락하여 해당 사업의 사전절차 이행 상황을 확인할 수 있습니다.
- **의회 회의록 열람**: 시의회의 공식 웹사이트나 기록 보관소에서 회의록을 열람하면 예산안 심의 과정에서의 논의 내용과 결정 사항을 알 수 있습니다.
- **정보공개 청구**: 공공기관의 정보공개에 관한 법률에 따라 정보공개를 청구하여 필요한 자료를 받을 수 있습니다.
- **부산시청 홈페이지 검색**: 시청의 공지사항이나 보도자료 섹션에서 해당 사업에 대한 정보를 찾아볼 수 있습니다.
위의 방법들을 통해 예산편성 관련 사전절차의 이행 여부를 확인하고, 필요한 경우 추가적인 정보를 얻을 수 있습니다. 구체적인 사업이나 부서에 대해 더 자세한 정보가 필요하다면, 해당 부서로 직접 문의하시는 것이 가장 정확하고 빠른 방법입니다. 도움이 필요하시면 언제든지 말씀해 주세요!</t>
  </si>
  <si>
    <t>faf152d4-dc92-48a2-b01b-5b03cbed4daf</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</si>
  <si>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</si>
  <si>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</si>
  <si>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</si>
  <si>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36</t>
  </si>
  <si>
    <t>4d99069c14cb4c2d8ba6ddc2074d69ba</t>
  </si>
  <si>
    <t>부산시 업무협약 체결할때, 의회 사전동의 유무, 협약서 검토 등 구체적인 절차를 알려줘~</t>
  </si>
  <si>
    <t>376_2210_조직담당관_업무매뉴얼_조직담당관_업무협약_관리_매뉴얼.pdf</t>
  </si>
  <si>
    <t>6</t>
  </si>
  <si>
    <t>e9297b5c610e49ccad17ad97befe0583</t>
  </si>
  <si>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</si>
  <si>
    <t>02ebf214-87cd-4dfd-8ce3-524d13e36e05</t>
  </si>
  <si>
    <t>64ddd62d-14b3-4996-b8ea-53f8181c3d05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</si>
  <si>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</si>
  <si>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</si>
  <si>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</si>
  <si>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22</t>
  </si>
  <si>
    <t>dfdcc9e6234444f5bb7d6df747b2ecf7</t>
  </si>
  <si>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</si>
  <si>
    <t>14657837-b1cf-4247-8740-e0002b0029a0</t>
  </si>
  <si>
    <t>탄력근무제 관련해서 자세한 매뉴얼이 있나요</t>
  </si>
  <si>
    <t>19</t>
  </si>
  <si>
    <t>91e91fd4481b4334ba4864c4d541a9ce</t>
  </si>
  <si>
    <t>DRM, 네트워크 인증 등 신규직원이 컴퓨터 사용에 알아야할 것들에 대해 정리해주세요.</t>
  </si>
  <si>
    <t>bc834df813da49ec9e232678635f4f7f</t>
  </si>
  <si>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</si>
  <si>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</si>
  <si>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</si>
  <si>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</si>
  <si>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fa0bb69c4d2c47088fbe2b2337135089</t>
  </si>
  <si>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</si>
  <si>
    <t>716bd629-5cc2-486f-9b06-eb2285c40f9c</t>
  </si>
  <si>
    <t>인사랑 접속이 안될 때 해결방안은?</t>
  </si>
  <si>
    <t>d50f5542a7b34c86809e5a6972187696</t>
  </si>
  <si>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</si>
  <si>
    <t>ㅇㅇ 업무 담당 직원 내선번호 어떻게 되나요?</t>
  </si>
  <si>
    <t>1253_행정포털_사용자_명단-csv.pdf</t>
  </si>
  <si>
    <t>129</t>
  </si>
  <si>
    <t>d368951c96a54db48cace5833a26f014</t>
  </si>
  <si>
    <t>청사 내 설비 관련 담당 문의는 어디에 하나요</t>
  </si>
  <si>
    <t>59</t>
  </si>
  <si>
    <t>9fbc8287813c49bfa4bdc19450eea21f</t>
  </si>
  <si>
    <t>시 청사 내 편의시설 정보 상세히 안내해주세요</t>
  </si>
  <si>
    <t>408_2505_총무과_주요질문사항_시청사_층별_안내.pdf</t>
  </si>
  <si>
    <t>1, 2</t>
  </si>
  <si>
    <t>90d6a9ee782a4834b94457276003c76c</t>
  </si>
  <si>
    <t>시 본청 당직시 주의사항에 대해서 알려줘</t>
  </si>
  <si>
    <t>306_2504_인사과_업무매뉴얼_인사과_당직원근무자료.pdf</t>
  </si>
  <si>
    <t>221694300da64597ae5dab3e1600c204</t>
  </si>
  <si>
    <t>네, 부산광역시청의 당직 시 주의사항을 알려드리겠습니다.
**당직근무자 임무**
- **평상시 업무**
  - **청사 내외 방범·방호·방화 및 보안 상태 순찰·점검**: 당직자는 청사의 안전을 위해 정기적으로 순찰하며, 이상이 없는지 점검해야 합니다.
  - **청원경찰과 정상근무시간 외 근무자의 복무 확인 및 산하기관 당직 상황 확인 감독**: 청원경찰과 야간 근무자들의 근무 상태를 확인하고, 산하기관의 당직 상황을 모니터링합니다.
  - **문서 수발·인계, 당직 민원 처리**: 중요한 문서를 적절히 관리하고, 당직 중에 발생하는 민원을 처리합니다.
  - **(시) 근조기·근조화 및 (노조) 근조기·근조화·상조 물품 신청 안내**: 직원들의 경조사 시 필요한 물품을 적시에 지원받을 수 있도록 안내합니다.
- **비상시 대응**
  - **긴급 사태 발생 시 즉시 보고 및 신속 대처**: 예기치 못한 상황이 발생할 경우 지체 없이 상급자나 관련 부서에 보고하고 조치를 취해야 합니다.
  - **청사 화재 시 긴급 조치**: 화재와 같은 긴급 상황에서 초기 진압이나 대피 유도 등의 조치를 취해야 합니다.
  - **재난 상황실에서 관리하는 자연재난·사회재난 상황 동향 파악 및 신속 보고**: 지역의 재난 상황에 대해 지속적으로 정보를 수집하고 필요 시 보고합니다.
**당직차량 운행**
- **차량키 수령**: 당직 근무를 위해 필요한 차량 열쇠를 지정된 장소에서 수령합니다.
- **운행일지 작성**: 차량 사용 후에는 운행일지를 작성하여 기록으로 남깁니다.
- **차량키 반납**: 근무 종료 후 차량 열쇠를 원래 위치에 반납합니다.
**행정안전부 당직보고**
- **접속 방법**: 행정포털을 통해 온나라 온행정지원시스템에 접속하여 당직보고를 합니다.
- **당직보고 절차**: 당직 대표자가 자신의 아이디로 로그인한 후, '온나라 지식' 메뉴에서 '행정지원' 섹션의 '당직근무' 기능을 사용하여 보고합니다.
- **주의 사항**: 새로운 시스템으로 변경되었으므로, 정확한 절차를 숙지하고 올바르게 보고해야 합니다.
**추가적인 주의사항**
- **근무 시간 준수**: 당직 근무 시간은 숙직의 경우 오후 6시부터 다음날 오전 9시까지이며, 일직의 경우 오전 9시부터 오후 6시까지입니다.
- **합동근무 및 교대근무**: 당직 시작 후 첫 한 시간과 종료 전 두 시간은 모든 당직자가 합동으로 근무하며, 그 외 시간에는 교대로 근무할 수 있습니다.
- **비번자 대기 장소**: 비번자인 경우에도 당직실이나 당직 휴게실에서 대기해야 하며, 사무실 등 다른 장소에서는 대기할 수 없습니다.
이러한 지침들을 잘 숙지하여 당직 근무 중 안전하고 효율적인 업무 수행에 도움이 되길 바랍니다. 추가적인 질문이나 궁금한 점이 있으시면 언제든지 말씀해 주세요.</t>
  </si>
  <si>
    <t>4e0e7987-21d5-4a0e-b4c0-416d3ff5e1fb</t>
  </si>
  <si>
    <t>시 본청 주차장 승용차 요일제에 대해서 알려줘</t>
  </si>
  <si>
    <t>409_2505_총무과_주요질문사항_직원주차장_이용_안내.pdf</t>
  </si>
  <si>
    <t>d0afcc4e4ff54284b15e3daa6406c61a</t>
  </si>
  <si>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</si>
  <si>
    <t>589bb7c6-2204-440a-bfdc-10544ac70a4b</t>
  </si>
  <si>
    <t>사무관리비로 선풍기를 구입할 수 있나요?</t>
  </si>
  <si>
    <t>101, 102</t>
  </si>
  <si>
    <t>be8c88549ca74d6aab0c348d1b3d663a</t>
  </si>
  <si>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</si>
  <si>
    <t>104095f2-c245-46dd-81c5-94df703f7c01</t>
  </si>
  <si>
    <t>98b926ad-3c12-4fe4-9320-f452882e2422</t>
  </si>
  <si>
    <t>보도자료가 배포되는 과정에 대해서 알고싶어요</t>
  </si>
  <si>
    <t>80745cfa316048d7a010039835d7cf86</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</si>
  <si>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</si>
  <si>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</si>
  <si>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</si>
  <si>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</si>
  <si>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</si>
  <si>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</si>
  <si>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None</t>
  </si>
  <si>
    <t>b58b5ec875de4505855b99898a51f673</t>
  </si>
  <si>
    <t>2024년과 2025년에 변경되는 주요 복지정책은 무엇이 있나요</t>
  </si>
  <si>
    <t>290_2501_인사과_기타_인사과_2025년도_부산광역시_맞춤형복지제도_운영계획.pdf</t>
  </si>
  <si>
    <t>bde89ccc45ed49de937dc38f0a33b0bc</t>
  </si>
  <si>
    <t>장기재직휴가 기준 및 사용방법</t>
  </si>
  <si>
    <t>2, 3,  4</t>
  </si>
  <si>
    <t>3216297c5df84c57be30edbb3c82acd4</t>
  </si>
  <si>
    <t>장기재직휴가는 재직기간 5년 이상의 공무원에게 제공되는 특별휴가로, 재충전의 기회와 사기를 진작하기 위한 제도입니다. 이 휴가는 재직기간에 따라 다음과 같이 제공됩니다:
- **5년 ~ 9년**: 5일
- **10년 ~ 19년**: 10일
- **20년 ~ 29년**: 25일
- **30년 이상**: 25일
**사용 방법**은 다음과 같습니다:
1. **부서장의 승인 필요**: 휴가는 업무에 지장이 없도록 부서장의 승인을 받아야 합니다. 과장급 이하의 경우 과장이, 그 이상의 경우에는 상위 관리자가 승인합니다.
2. **재직기간 내 사용**: 각 재직기간 동안 정해진 휴가를 모두 사용해야 하며, 특히 6개월 내에 소멸되는 휴가의 경우 소멸 유예 기간을 활용하여 사용할 수 있습니다.
3. **휴가 기간 분할 사용 가능**: 최소 2일 이상으로 휴가를 분할하여 사용할 수 있으며, 토·일요일이나 공휴일은 휴가 기간에 포함되지 않습니다.
4. **부서 인원 제한**: 부서 전체 인원의 1/3 이내에서 휴가 대상자를 선정합니다.
5. **연가와의 연계 사용**: 장기간 휴가를 사용하기 위해 연가와 연계하여 사용하는 것을 권장하며, 이때도 부서장의 승인이 필요합니다.
6. **업무 대행자 지정**: 장기간 휴가를 사용하는 동안 업무 공백을 방지하기 위해 업무 대행자를 지정하고, 인계·인수를 철저히 해야 합니다.
7. **비상 연락 체계 유지**: 휴가 중에도 긴급 상황에 대비해 비상 연락 체계를 유지해야 합니다.
또한, 국정감사나 행정사무감사 등의 중요한 일정이나 국가적 재난 상황에서는 휴가를 자제하는 것이 원칙입니다.
**재직기간 산정 방법은** 「공무원연금법」 제25조에 따른 공무원연금공단의 퇴직급여 재직기간을 기준으로 하며, 이는 임명일부터 퇴직일까지의 연월수로 계산됩니다. 자세한 재직기간 확인은 공무원연금공단 홈페이지를 통해 가능합니다.
이러한 지침을 준수하여 장기재직휴가를 사용하면 업무 효율성과 개인의 만족도를 높일 수 있습니다. 추가적인 문의 사항이 있으시면 언제든지 말씀해 주세요!</t>
  </si>
  <si>
    <t>867fdd11-cbf6-45dd-83f0-f2ea74e1f6c3</t>
  </si>
  <si>
    <t>DRM 암호 초기화 방법</t>
  </si>
  <si>
    <t>5ff9ab68ca76448dbc33809cac0dccf1</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</si>
  <si>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</si>
  <si>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</si>
  <si>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</si>
  <si>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e2fb628774b84c699462d733cd58f2e6</t>
  </si>
  <si>
    <t>행정정보공동이용 권한 신청 방법</t>
  </si>
  <si>
    <t>1261_행정정보공동이용_권한관리_매뉴얼_250101.pdf</t>
  </si>
  <si>
    <t>f280681ce7954c92b172b5d35d022c2a</t>
  </si>
  <si>
    <t>행정정보공동이용 권한을 신청하려면 먼저 해당 기관의 내부 규정을 확인하고, 필요한 절차를 따라야 합니다. 일반적으로 다음과 같은 단계를 따릅니다:
1. **관련 규정 확인**: 행정정보공동이용 권한 신청을 위해서는 해당 기관의 내부 규정이나 지침을 확인해야 합니다. 이는 권한 신청 절차, 필요한 서류, 승인 절차 등을 명확히 이해하는 데 도움이 됩니다.
2. **신청서 작성**: 행정정보공동이용 권한 신청서를 작성합니다. 이 때, 신청 이유, 사용 목적, 필요한 권한 범위 등을 상세하게 기술해야 합니다. 또한, 상급자나 담당 부서의 승인을 받아야 할 수도 있습니다.
3. **필요한 서류 준비**: 신청서와 함께 제출해야 하는 서류나 증빙 자료를 준비합니다. 예를 들어, 신분증 사본, 업무 분장표, 보안 각서 등이 필요할 수 있습니다.
4. **신청서 제출**: 작성한 신청서와 필요한 서류를 인사팀이나 전산 관리 부서 등 권한 부여를 담당하는 부서에 제출합니다.
5. **심사 및 승인 대기**: 제출된 신청서는 관련 부서에서 심사를 받게 되며, 심사 과정에서 추가 정보가 요구될 수 있습니다. 승인 여부는 일정 기간 후에 통보됩니다.
6. **권한 부여 및 활용**: 승인이 완료되면 행정정보공동이용 시스템을 사용할 수 있는 권한이 부여되며, 이를 통해 필요한 정보를 조회하고 활용할 수 있습니다.
**추가적으로**, 행정정보공동이용 권한은 민감한 정보를 다루는 것이므로 보안 의식이 매우 중요합니다. 따라서 권한 신청 시에는 보안 교육 이수나 보안 서약서 작성이 요구될 수 있으며, 권한 남용 방지를 위한 모니터링이 이루어질 수 있습니다.
만약 구체적인 절차나 필요한 서류에 대해 더 자세히 알고 싶으시면, 소속 기관의 인사팀이나 전산 관리 부서에 문의하시는 것이 가장 정확합니다. 또한, 행정정보공동이용 시스템의 공식 홈페이지나 관련 매뉴얼을 참조하시면 도움이 될 것입니다. 추가로 궁금한 점이 있으시면 언제든지 물어보세요!</t>
  </si>
  <si>
    <t>d21496b6-f45f-40da-a740-5c27140e479c</t>
  </si>
  <si>
    <t>0e93d85e-f05b-4fa6-932f-609ae0804abc</t>
  </si>
  <si>
    <t>1260_행정정보_공동이용_신규사무신청_매뉴얼_202405.pdf</t>
  </si>
  <si>
    <t>62ccf8ce-1f8d-485b-8a7b-20e8d93f9fb7</t>
  </si>
  <si>
    <t>430_2408_통합민원과_업무매뉴얼_행정안전부_행정정보공동이용.pdf</t>
  </si>
  <si>
    <t>ea084d60-7b66-4a81-9eba-8e69090afa09</t>
  </si>
  <si>
    <t>급여 작업시 장기교육자 등에 대한 복리후생비, 수당 등 지급 계산식이 어떻게 되나요?</t>
  </si>
  <si>
    <t>215_2501_예산담당관_업무매뉴얼_예산담당관_2025급여_및_수당_관련_FAQ.pdf</t>
  </si>
  <si>
    <t>11</t>
  </si>
  <si>
    <t>8b0d5b81f3554c129e11b3c40c06c832</t>
  </si>
  <si>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</si>
  <si>
    <t>1d48191a-6d15-4ce8-beac-b1620e497ccc</t>
  </si>
  <si>
    <t>온톡 메신저에 부서원 순서를 바꾸고 싶어요</t>
  </si>
  <si>
    <t xml:space="preserve">371_2503_정보화정책과_업무매뉴얼_정보화정책과_온톡_온메일_온나라_지식_사용자_매뉴얼_v21.pdf </t>
  </si>
  <si>
    <t>2, 3</t>
  </si>
  <si>
    <t>c7b73672744f420eb9012c34f5add591</t>
  </si>
  <si>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</si>
  <si>
    <t>0de28738-97a2-44ce-abc8-b7305c84f075</t>
  </si>
  <si>
    <t>52b60055-fdb1-4ab3-b0de-91a29af5ca37</t>
  </si>
  <si>
    <t>1인당 1년치 급식비(매식비) 계산은 어떻게 하나요</t>
  </si>
  <si>
    <t>355</t>
  </si>
  <si>
    <t>4454daf37e2a43b59f24fc585e6f7f10</t>
  </si>
  <si>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</si>
  <si>
    <t>ffb6937f-e743-4f3f-89aa-ab226a54a5aa</t>
  </si>
  <si>
    <t>보조금 교부를 위한 보탬이, 이나라도움 사용법은?</t>
  </si>
  <si>
    <t>328_2503_재정협력담당관_업뮤매뉴얼_행정안전부_2025년_지방보조금_관리가이드.pdf</t>
  </si>
  <si>
    <t>26</t>
  </si>
  <si>
    <t>8fcaa2a043514c80a12ed38233388100</t>
  </si>
  <si>
    <t>온나라 시스템을 통해 공문을 생산하였는데, 기안 당시에는 비공개 사유가 있었으나, 현재에는 해당 비공개 사유가 소멸했습니다. 이에 따라, 공개문서로 전환하고 싶은데, 방법이 어떻게 되나요?</t>
  </si>
  <si>
    <t>1d7ea963c0d14f58afb50b78a72c7bfb</t>
  </si>
  <si>
    <t>다음달에 시청 1층 대강당을 예약하고 싶은데, 방법을 알고싶어요.</t>
  </si>
  <si>
    <t>82cc908fc0ef4b71ad4a5400977561b0</t>
  </si>
  <si>
    <t>담당업무 관련으로 시청 직원의 설문조사가 필요한데, 어디에 게시해야 많은 사람들이 참여할 수 있을까요</t>
  </si>
  <si>
    <t>1362cdab33534892adc990464a3247fa</t>
  </si>
  <si>
    <t>시 공식 SNS에 담당업무를 홍보하고자 게시했으면 하는데, 의뢰 절차가 어떻게 되나요?</t>
  </si>
  <si>
    <t>88_2504_미디어담당관_업무매뉴얼_미디어담당관_콘텐츠기획팀_업무관련FAQ.pdf</t>
  </si>
  <si>
    <t>0072b17943d14c7a9d7256bf97b321d8</t>
  </si>
  <si>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</si>
  <si>
    <t>d4e260bf-9230-4f58-b9b3-7f5c363b01ec</t>
  </si>
  <si>
    <t>일반지출의 절차를 알고싶은데, 매뉴얼이나 교육자료를 어디에서 찾을 수 있나요?</t>
  </si>
  <si>
    <t>477_2505_회계재산담당관_업무매뉴얼_메타넷디지털_일반지출_절차_및_삭제_회계재산담당관_경리팀.pdf</t>
  </si>
  <si>
    <t>0c5df2d42f684cb9a32e140dd25a89ba</t>
  </si>
  <si>
    <t>장기재직휴가는 재직기간 몇 년차부터 생기나요? 그리고 근속년수별로 정확한 휴가 부여 일수를 알고싶어요.</t>
  </si>
  <si>
    <t>b4f200bb3bdc4642ab52a1ce803eaccf</t>
  </si>
  <si>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</si>
  <si>
    <t>공무원의 연차별로 연가일수가 다른 거 같던데, 재직기간별로 연가가 며칠씩 부여되나요?</t>
  </si>
  <si>
    <t>403, 404</t>
  </si>
  <si>
    <t>310ea1e80dc143a48e5a47e5f91041c7</t>
  </si>
  <si>
    <t>네, 맞아요! 공무원의 연가일수는 재직기간에 따라 다르게 부여됩니다. 아래는 국가공무원과 지방공무원의 재직기간별 연가일수를 정리한 내용이에요:
---
**국가공무원**
- **1개월 이상 1년 미만**: 연가 11일
- **1년 이상 2년 미만**: 연가 12일
- **2년 이상 3년 미만**: 연가 14일
- **3년 이상 4년 미만**: 연가 15일
- **4년 이상 5년 미만**: 연가 17일
- **5년 이상 6년 미만**: 연가 20일
- **6년 이상**: 연가 21일
*참고로, 일부 공무원의 경우 인사혁신처장이 정하는 공무원 경력 외의 유사경력이 있을 때는 5년 미만의 재직기간별 연가일수에 각각 3일을 더할 수 있어요.*
---
**지방공무원**
- **1개월 이상 1년 미만**: 연가 11일
- **1년 이상 2년 미만**: 연가 15일
- **2년 이상 3년 미만**: 연가 16일
- **3년 이상 4년 미만**: 연가 17일
- **4년 이상 5년 미만**: 연가 20일
- **5년 이상 6년 미만**: 연가 21일
- **6년 이상**: 연가 22일
*여기서도 마찬가지로, 지방자치단체의 조례로 정하는 공무원 경력 외의 유사경력이 있는 경우에는 5년 미만의 재직기간별 연가일수에 각각 3일을 더할 수 있습니다.*
---
또한, 연가 외에도 병가, 특별휴가 등이 있으며, 이러한 휴가의 사용은 개인의 상황에 맞게 조정될 수 있어요. 만약 구체적인 상황이나 추가적인 정보가 필요하시다면 언제든지 말씀해 주세요! 도움이 되었길 바라요. 😊</t>
  </si>
  <si>
    <t>abbaf9e4-888f-4fbb-8586-f2b9dd9ab1a4</t>
  </si>
  <si>
    <t>db8f6f9e-b249-49a0-a815-ebb1bdd3441a</t>
  </si>
  <si>
    <t>420a7ac0-45ad-49da-8650-1d86bbcd3047</t>
  </si>
  <si>
    <t>8f945de4-6a10-4701-9864-4bb92b9a23c4</t>
  </si>
  <si>
    <t>e222d0f8-b11a-44c1-9a40-354a71f59032</t>
  </si>
  <si>
    <t>DRM, PC Client 아이디 및 비밀번호를 잊어버렸을 때 절차 알려주세요</t>
  </si>
  <si>
    <t>f907085fc5e942f5b36edca7411fd29e</t>
  </si>
  <si>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</si>
  <si>
    <t>온나라 문서 과제카드를 잘못 지정하였습니다. 변경 가능할까요?</t>
  </si>
  <si>
    <t>438_2502_통합민원과_업무메뉴얼_통합민원과_기록관리_업무편람기정너.pdf</t>
  </si>
  <si>
    <t>44</t>
  </si>
  <si>
    <t>40071a13f3434193ab22ca379e9fa43a</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</si>
  <si>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</si>
  <si>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</si>
  <si>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</si>
  <si>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2, 3, 4</t>
  </si>
  <si>
    <t>a0aced3e3c2b4217b173c573dcf40751</t>
  </si>
  <si>
    <t>네, 말씀하신 내용에 대해 자세히 안내해 드릴게요.
**1. 장기재직휴가 기준**
- **시행 대상**: 재직기간 5년 이상인 공무원
- **휴가 일수**:
  - **5년 ~ 9년**: 5일
  - **10년 ~ 19년**: 10일
  - **20년 ~ 29년**: 25일
  - **30년 이상**: 25일
**2. 사용 방법**
- **재직기간에 따른 사용**: 해당 기간에 해당하는 휴가를 반드시 사용해야 합니다.
- **분할 사용 가능**: 휴가 기간을 최소 2일 이상부터 여러 회로 나누어 사용할 수 있습니다.
- **토·일요일 및 공휴일 제외**: 휴가 기간에는 토요일, 일요일, 공휴일은 포함되지 않습니다.
- **연가와의 연계 사용**: 장기간 휴가를 사용하기 위해 연가를 연계하여 사용하는 것을 권장하며, 이때는 휴가 계획 결재 시 명확히 표시해야 합니다.
**3. 인사랑에 자동 반영 여부**
- **자동 반영되지 않음**: 현재 인사랑 시스템에서는 장기재직휴가 일수가 자동으로 반영되지 않습니다.
- **사전 등록 필요**: 휴가를 사용하려는 직원은 사전에 인사랑에 "장기재직휴가"로 등록하고, 부서장의 승인을 받아야 합니다.
- **등록 절차**:
  - **휴가구분**: 연가외휴가관리 - 특별휴가 - '장기재직휴가' 선택
  - **휴가사유**: 예를 들어 "(금회) 20년차 1회 5일, (잔여일수) 20일"
**추가 정보**
- **재직기간 산정**: 공무원연금공단의 퇴직급여 재직기간(연월수로 계산)을 기준으로 합니다.
- **승인권자**: 부서별로 다르며, 일반적으로 과장이나 팀장이 승인권자로 지정됩니다.
- **업무 공백 방지**: 장기간 휴가 중에는 업무 대행자를 지정하여 업무에 차질이 없도록 해야 합니다.
- **특정 시기 휴가 자제**: 국정감사, 행정사무감사, 부서 주요 업무 추진 기간, 국가적 재난 상황 등에는 휴가를 자제하는 것이 좋습니다.
**결론적으로**, 장기재직휴가는 재직기간에 따라 정해진 일수를 반드시 사용해야 하며, 인사랑에 직접 등록하고 부서장의 승인을 받아야 합니다. 자동 반영되지 않으므로, 사용 전에 절차를 잘 확인하시기 바랍니다. 더 궁금한 점이 있으시면 언제든지 물어보세요! 도움이 되었길 바라요.</t>
  </si>
  <si>
    <t>988bc7ed-dc4f-4198-840a-e5826517641a</t>
  </si>
  <si>
    <t>c9a3cb41-c389-4595-b818-47a786afecdd</t>
  </si>
  <si>
    <t>747_페이지75_문서7_163334_부산광역시_공무직_및_기간제노동자_인사관리_규정.pdf</t>
  </si>
  <si>
    <t>업무추진비 집행 기준을 알려주세요</t>
  </si>
  <si>
    <t>127, 128</t>
  </si>
  <si>
    <t>78547986565f4497ac12905dce1f77da</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</si>
  <si>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각 부서별로 클린카드를 공용으로 발급받아 사용합니다.
   - 일반카드의 불가피한 사용을 대비하여 최소한의 일반카드를 법인별로 별도로 발급받을 수 있습니다.
2. **클린카드 의무적 제한 업종**:
   - **유흥업종**: 한국표준산업분류에 따라 접객요원을 두고 술을 판매하는 일반유흥주점과 무도시설을 갖춘 무도유흥주점은 사용이 제한됩니다.
     - 일반유흥주점: 룸살롱, 단란주점, 가라오케, 가요주점, 요정, 비어홀, 바 등
     - 무도유흥주점: 클럽, 극장식 주점, 나이트클럽, 스탠드바, 카바레 등
   - **의무적 제한업종이 아닌 '기타주점'에서의 음주 목적 사용은 부적절하며 제한됩니다.**
   - **위생업종**: 이・미용실, 피부미용실, 사우나, 안마시술소, 발마사지, 스포츠마사지, 네일아트, 지압원 등 대인서비스를 제공하는 곳은 사용이 제한됩니다.
   - **레저업종**: 골프장, 골프연습장, 스크린골프장, 노래방, 사교춤, 전화방, 비디오방, 당구장, 헬스클럽, PC방, 스키장 등은 사용이 제한됩니다.
   - **사행업종**: 카지노, 복권방, 오락실은 사용이 제한됩니다.
   - **기타업종**: 성인용품점, 총포류 판매점 등도 사용이 제한됩니다.
3. **현금 사용 제한**:
   - 업무추진비는 원칙적으로 현금으로 사용할 수 없습니다.
   - 그러나 격려금, 축의금, 부의금 등 현금 집행이 불가피한 경우에는 예외적으로 사용할 수 있습니다.
   - 축의금이나 부의금은 기관운영업무추진비에서만 집행 가능하며, 기관별 대표 1인만이 집행할 수 있습니다.
   - 경조사와 관련된 경비는 부정청탁 및 금품등 수수의 금지에 관한 법률 시행령 [별표 1]에 따른 기준을 준수해야 합니다.
4. **접대비 집행 기준**:
   - 간담회 등 접대비는 특별한 사유가 없는 한 1인당 1회당 4만원 이하 범위에서 집행해야 합니다.
   - 행사의 성격 등 불가피한 경우에는 증빙서류에 사유를 명시하고 4만원을 초과하여 집행할 수 있습니다.
   - 단, 청탁금지법 적용 대상인 공직자 등에게 집행하는 접대비는 3만원 이하로 집행해야 합니다.
   - 기념품 및 특산품 지급은 5만원 이하 범위에서 가능합니다.
   - 「농수산물 품질관리법」에 따른 농수산물 및 농수산가공품은 10만원까지 허용됩니다.
5. **집행 내용 기록**:
   - 업무추진비를 집행할 때는 집행목적, 일시, 장소, 집행 대상 등을 증빙서류에 상세하게 기재하여 사용 용도를 명확히 해야 합니다.
   - 건당 50만원 이상의 경우에는 주된 상대방의 소속 또는 주소 및 성명을 증빙서류에 반드시 기재해야 합니다.
6. **상품권, 기념품, 특산품 관리**:
   - 업무추진비로 이러한 물품을 구매한 경우에는 지급관리 대장에 지급일시, 대상자 및 수량을 정확히 기재하고 결재를 받아야 합니다.
   - 이를 통해 물품이 사적으로 사용되는 것을 방지하고 투명성을 확보합니다.
7. **시간대와 장소의 제한**:
   - 심야 시간(23시 이후)이나 사용자의 자택 근처 등 통상적인 업무 추진과 관련이 적은 시간과 장소에서는 업무추진비를 사용할 수 없습니다.
   - 그러나 직무 관련성이 입증되는 객관적 증빙서류를 제출하면 예외적으로 사용할 수 있습니다.
이러한 기준들은 업무추진비가 적절하고 투명하게 사용되도록 하기 위한 것입니다. 만약 더 자세한 지침이나 특정 상황에 대한 문의사항이 있으시면 말씀해 주세요. 도와드릴 수 있도록 최선을 다하겠습니다.</t>
  </si>
  <si>
    <t>47881b89-c1be-42b7-8db5-b4025c269d3b</t>
  </si>
  <si>
    <t>8b8e8dd9-8a1a-4899-bedb-aa9ec7f2f49d</t>
  </si>
  <si>
    <t>e00486c0-ac09-4d48-936a-8614ebf03b92</t>
  </si>
  <si>
    <t>51_2406_공공하수인프라과_업무매뉴얼_행정안전부_2025년도_지방공기업_예산편성기준.pdf</t>
  </si>
  <si>
    <t>e8b750f1-d9ba-4cfa-8366-17e23ec6cebf</t>
  </si>
  <si>
    <t>f232c639-66b9-48d1-8e8a-43b5c1529c3d</t>
  </si>
  <si>
    <t>1257_2412_회계재산담당관_공문_회계재산담당관_2025년도_일상경비_교부운영계획.pdf</t>
  </si>
  <si>
    <t>국민신문고 민원 처리 과정 알려주세요</t>
  </si>
  <si>
    <t>1234_국민신문고_사용자지침서_민원_v17.pdf</t>
  </si>
  <si>
    <t>16, 17</t>
  </si>
  <si>
    <t>fb4cead5843147e5bc95feea1b3ca854</t>
  </si>
  <si>
    <t>공무원증 신청 방법 알려줘</t>
  </si>
  <si>
    <t>de275e3c2cf64626b67cb0fce14d3b17</t>
  </si>
  <si>
    <t>공무원증은 부산광역시에서 근무하는 공무원의 신분을 나타내는 중요한 증명서로, 이를 발급받고자 할 때는 다음과 같은 절차를 따르셔야 해요.
**공무원증 신청 절차**
1. **인사랑 시스템 접속**: 먼저, 부산광역시 내부망인 '인사랑' 시스템에 로그인하세요. 이는 공무원들이 사용하는 인사 관리 시스템이에요.
2. **인사마당 메뉴 선택**: 인사랑 메인 화면에서 '인사마당' 메뉴를 찾아 클릭해 주세요.
3. **공무원증 신청 메뉴 접근**: 인사마당 내에서 '공무원증(또는 모바일공무원증)' 신청 메뉴를 선택하시면 됩니다.
4. **필요한 정보 입력 및 사진 업로드**: 신청 양식에 개인 정보와 필요한 사항을 정확하게 기입하시고, 최신 사진이 필요해요. 사진은 제출일 전 1년 이내에 촬영한 전자파일 형태로 준비해 주세요.
5. **부서장 승인 요청**: 신청서를 작성한 후에는 소속 부서의 부서장님께 승인을 받아야 해요. 부서장의 승인이 있어야만 공무원증이 발급될 수 있어요.
6. **발급 대기 및 수령**: 신청서와 부서장님의 승인이 완료되면, 인사과에서 검토 후 공무원증을 발급해 드려요. 실물 공무원증은 신청 후 약 4주 정도 소요되며, 모바일 공무원증은 신청 후 약 1주일 이내에 안내 문자를 받게 되어요. 문자 안내에 따라 설치를 진행하면 돼요.
**추가적인 주의사항**
- **모바일 공무원증 신청 시**: 만약 모바일 공무원증을 신청하신다면, 실물 공무원증 뒷면에 있는 '6260000-'로 시작하는 연번을 정확히 기재해야 해요. 이는 모바일 공무원증과 실물 공무원증의 일치를 확인하는 데 중요해요.
- **퇴직 시 공무원증 반납**: 퇴직하실 때는 반드시 공무원증을 반납해야 해요. 이는 개인정보 보호와 보안상의 이유로 매우 중요하므로 잊지 말고 반납해 주세요.
이렇게 절차를 따르면 공무원증을 원활하게 발급받을 수 있을 거예요. 추가로 궁금한 점이 있으시면 언제든지 물어봐 주세요! 도움이 필요하면 언제든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</si>
  <si>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</si>
  <si>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</si>
  <si>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</si>
  <si>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91614a1f0f85477ca2e69a5e240c7be8</t>
  </si>
  <si>
    <t>DRM, PC Client 아이디 및 비밀번호를 잊어버렸을 때 해결 방법은?</t>
  </si>
  <si>
    <t>8dfb7125a96548109b49435e2f6b520c</t>
  </si>
  <si>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</si>
  <si>
    <t>업무추진비 집행을 위해서 확인해야할 규정은 무엇인가요? 그리고 업추비별 특성 및 사용가능내역 알려주세요.</t>
  </si>
  <si>
    <t>32239eabf3f043139eb50c448b1dccf9</t>
  </si>
  <si>
    <t>온나라에서 부재자 설정은 어떻게 하나요?</t>
  </si>
  <si>
    <t>509fde1eb8314a75aedbd02612420e14</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</si>
  <si>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</si>
  <si>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cc65a471-32fc-4c82-9b20-0843afcf10bf</t>
  </si>
  <si>
    <t>시 홈페이지 고시공고 등록하는 방법이 어떻게 되나요?</t>
  </si>
  <si>
    <t>87_2504_미디어담당관_업무매뉴얼_미디어담당관_매거진운영팀_홍보_요청_절차.pdf</t>
  </si>
  <si>
    <t>3</t>
  </si>
  <si>
    <t>eccfba94439f4839985ec67867ca6c5e</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</si>
  <si>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</si>
  <si>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</si>
  <si>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단체보장보험 세부 보장내용 및 청구방법은 무엇인가요?</t>
  </si>
  <si>
    <t>279_2501_인사과_기타_인사과_2025년_맞춤형복지_단체보장보험_가입내용_및_청구방법_안내.pdf</t>
  </si>
  <si>
    <t>defa6bb434f6497da986eeca000111a2</t>
  </si>
  <si>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</si>
  <si>
    <t>351c164b-0cee-4b6f-ba68-bbaa8affc02b</t>
  </si>
  <si>
    <t>오늘 구내식당 메뉴를 알 수 있나요?</t>
  </si>
  <si>
    <t>구매식당_운영가이드.pdf</t>
  </si>
  <si>
    <t>9615456bc4ca41648f12afb39170036a</t>
  </si>
  <si>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</si>
  <si>
    <t>행정정보 공동이용 권한 신청은 어떻게 하는것인가요?</t>
  </si>
  <si>
    <t>87b38db896a14189a870cbb9e1339485</t>
  </si>
  <si>
    <t>행정정보 공동이용 권한 신청은 다음과 같은 절차를 따릅니다.
**1. 신청 대상 확인**
먼저, 신청하려는 업무가 행정정보 공동이용 대상인지를 확인해야 합니다. 이는 행정안전부에서 지정한 표준사무 목록에 포함되어 있는지 확인하는 것을 의미합니다.
**2. 신청서 작성**
'행정정보 공동이용 지침 별지 제3호 서식'을 이용하여 신청서를 작성합니다. 이 서식은 행정안전부 홈페이지나 관련 부서에서 다운로드할 수 있습니다.
**3. 필요한 자료 준비**
신청서 작성과 함께 필요한 자료를 준비해야 합니다. 일반적으로 요구되는 자료는 다음과 같습니다:
- **신청 사유**: 왜 해당 정보를 공동이용해야 하는지 명확히 기술합니다.
- **관련 법령 및 규칙**: 업무 처리에 대한 법적 근거를 제시합니다.
- **연간 예상 이용량**: 연간 얼마나 많은 횟수로 이용할 예정인지 예측하여 기재합니다.
- **사전동의 방법**: 민원인의 동의를 얻는 방법을 상세히 기술하며, 이에 대한 증거 자료를 첨부합니다. 예를 들어, 민원신청서에 포함되었는지, 인터넷 접수 시 사전동의를 받았는지, 별도로 사전동의서를 징구했는지 등을 표시하고 관련 화면을 캡처하여 첨부합니다.
**4. 신청서 제출**
작성한 신청서와 모든 첨부자료를 행정안전부(공공지능정책과)로 공문을 통해 발송합니다.
**5. 검토 및 승인**
행정안전부는 제출된 신청서를 검토하여 타당성을 판단하고, 필요한 경우 보완을 요청할 수 있습니다. 이후 승인이 이루어지면 해당 권한을 부여받게 됩니다.
**추가적으로 알아두어야 할 사항**
- **행정정보 공동이용 지침 숙지**: 지침에 명시된 절차와 규정을 정확히 이해하는 것이 중요합니다.
- **법률적 근거 확보**: 업무 처리에 대한 충분한 법률적 근거를 마련해야 하며, 이는 향후 발생할 수 있는 문제를 예방합니다.
- **민원인 권리 보호**: 민원인의 개인정보를 취급하므로, 사전동의 절차를 철저히 이행해야 합니다.
이러한 절차를 따르면 행정정보 공동이용 권한을 원활하게 신청하고 활용할 수 있습니다. 만약 구체적인 도움이 필요하다면, 행정안전부 공공지능정책과에 문의하시는 것도 좋은 방법입니다.</t>
  </si>
  <si>
    <t>90f03a44-9d79-434b-bc90-4c48126afc04</t>
  </si>
  <si>
    <t>5844bcf1-4896-4ac2-a5d5-244d31aeec3c</t>
  </si>
  <si>
    <t>398_2409_중대재해예방과_업무매뉴얼_행정안전부_지역축제장_안전관리_매뉴얼2024.pdf</t>
  </si>
  <si>
    <t>363d8bed-e3ef-4416-8db8-fa18c9708b33</t>
  </si>
  <si>
    <t>GPKI 재발급 및 인사이동시 이동은 어떻게 하는 것인가요?</t>
  </si>
  <si>
    <t>90a4d759d4494f6d84f90235e19399bb</t>
  </si>
  <si>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</si>
  <si>
    <t>4079d725-ae34-4963-89e9-a8a0a3b18329</t>
  </si>
  <si>
    <t>장기재직 휴가 등록 및 사용 방법이 어떻게 되나요?</t>
  </si>
  <si>
    <t>5767c47c37f846b48f43560e4c6b26c9</t>
  </si>
  <si>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</si>
  <si>
    <t>업무추진비 사용할 수 있는 항목이 구체적으로 어떻게 되나요?</t>
  </si>
  <si>
    <t>ce05255241964cb787ea6b6c9d5578f8</t>
  </si>
  <si>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</si>
  <si>
    <t>e0e9d28e-e01f-4c6c-93d4-8d6f68671933</t>
  </si>
  <si>
    <t>9a729ebf-6b86-4382-8c5d-22291957d2fc</t>
  </si>
  <si>
    <t>729d22d3-722f-46bf-be7e-aa760f2f022d</t>
  </si>
  <si>
    <t>469_2406_회계재산담당관_법령_행정안전부_지방자치단체_회계관리에_관한_훈령_00.pdf</t>
  </si>
  <si>
    <t>c3d47ddf-c1db-4876-a518-0ca760403f07</t>
  </si>
  <si>
    <t>c20d5ddc-a1d1-4538-9146-3689b7420da7</t>
  </si>
  <si>
    <t>DRM 비밀번호 초기화는 어떻게 하나요?</t>
  </si>
  <si>
    <t>34b594860db84cbb9b8da777110cfc2f</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</si>
  <si>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</si>
  <si>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</si>
  <si>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4609e8b0d5af4b14b0fd2d01f72df4ac</t>
  </si>
  <si>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</si>
  <si>
    <t>일상경비 지출 절차는 어떻게 되나요?</t>
  </si>
  <si>
    <t>1245_일상경비_사용방법-txt.pdf</t>
  </si>
  <si>
    <t>4bdc6251754f47dab0b57f466a9dcd69</t>
  </si>
  <si>
    <t>일상경비 지출 절차는 다음과 같습니다:
1. **사전 집행품의**: 지출 전에 내부결재를 받아 예산을 사용할 목적과 금액을 승인받습니다.
2. **지출원인행위**: 지출 사유를 공식적으로 기록하여 지출을 위한 법적 근거를 마련합니다.
3. **검사·검수**: 지출 예정인 물품이나 서비스에 대해 품질과 가격을 확인하고 적절한지를 검사합니다.
4. **지급**: 위의 절차를 모두 거친 후 실제로 지출을 실행합니다.
이러한 절차를 통해 예산의 투명성과 효율성을 확보하며, 규정에 따른 올바른 지출이 이루어집니다. 추가로 궁금한 사항이 있으시면 언제든지 말씀해 주세요!</t>
  </si>
  <si>
    <t>7b9d3d58-da0c-4457-bf09-c02426e2c912</t>
  </si>
  <si>
    <t>f00c3cd7-06eb-46b4-b58a-9795f5cf82f6</t>
  </si>
  <si>
    <t>1273_2412_회계재산담당관_공문_회계재산담당관_2025년도_일상경비_교부운영계획-odt.pdf</t>
  </si>
  <si>
    <t>41c355f7-9573-440d-be81-b5e760db0e67</t>
  </si>
  <si>
    <t>9b66f5c7-9e85-4ad2-9e5d-420eb5fbcabf</t>
  </si>
  <si>
    <t>43_페이지5_문서3_162141_부산광역시_회계관리에_관한_규칙.pdf</t>
  </si>
  <si>
    <t>2dd0da23-563e-43bb-a11e-d921c31045c3</t>
  </si>
  <si>
    <t>행정전자서명 가입 절차는 어떻게 되나요?</t>
  </si>
  <si>
    <t>c4d712b86a1947ae9a6980475d980e7e</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</si>
  <si>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</si>
  <si>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2880f80d97fd4928bdeb413fe8aaae17</t>
  </si>
  <si>
    <t>온나라 문서 과제카드를 잘못 지정하였습니다. 어떻게 수정하나요?</t>
  </si>
  <si>
    <t>abaac85758c647259fd124fdab5cb520</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</si>
  <si>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</si>
  <si>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</si>
  <si>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509165783df6435e8ab93073213b4ede</t>
  </si>
  <si>
    <t>네, 말씀하신 내용에 대해 자세히 안내해 드릴게요.
**장기재직휴가 기준**
- **시행 대상**: 재직기간 5년 이상인 공무원
- **휴가 일수**:
  - **5년 ~ 9년**: 5일
  - **10년 ~ 19년**: 10일
  - **20년 ~ 29년**: 25일
  - **30년 이상**: 25일
**장기재직휴가 사용 방법**
1. **재직기간 확인**: 공무원연금공단에서 제공하는 퇴직급여 재직기간을 기준으로 합니다.
   - 방법은 첨부된 참고자료를 참조하세요.
2. **사전 등록**: 휴가 시작일 기준 1주일 전에 차세대인사랑 복무관리시스템을 통해 휴가 신청을 합니다.
   - **등록 절차**:
     - 직원이 부서별 서무를 통해 복무시스템에 승인 가능 일수를 사전 등록합니다.
     - 부서장은 휴가 시작 전까지 승인합니다.
3. **승인 및 실시**:
   - 부서장의 승인이 완료되면 휴가를 실시할 수 있습니다.
   - 휴가 신청 시 복무 구분은 "연가외휴가관리 - 특별휴가 - '장기재직휴가'"로 등록하며, 휴가 사유에 금회 차수와 남은 휴가 일수를 명시합니다.
4. **휴가 기간 및 분할 사용**:
   - 휴가 기간은 최소 2일 이상 사용 가능하며, 필요에 따라 여러 번 나누어 사용할 수 있습니다.
   - 예를 들어, 10일의 휴가는 3일씩 3번, 2일씩 5번 등으로 분할 가능합니다.
   - 토요일, 일요일, 공휴일은 휴가 기간에 포함되지 않습니다.
5. **업무 대행자 지정**:
   - 장기간 휴가 중에는 업무 공백을 방지하기 위해 업무 대행자를 지정해야 합니다.
   - 부서장은 휴가 기간 동안 업무 대행자 지정을 확인하고 승인합니다.
6. **기타 유의사항**:
   - 국정감사, 행정사무감사, 부서 주요 업무 추진 기간, 국가적 재난 상황 등 중요한 시기에는 휴가 사용을 자제해야 합니다.
   - 연가와 연계하여 사용하는 것도 가능하며, 이때는 휴가 신청 시 명확히 표시해야 합니다.
**인사 시스템 자동 반영 여부**
- **자동 반영되지 않습니다.**
  - 장기재직휴가 사용 자격이 되더라도 자동으로 인사 시스템에 반영되거나 알림이 제공되지 않습니다.
  - 따라서, 본인이 재직기간을 확인하고 해당되는 경우 직접 복무관리시스템에 신청 절차를 진행해야 합니다.
**추가 정보**
- **재직기간 산정 방법**:
  - 공무원연금공단 웹사이트에서 본인의 재직기간을 확인할 수 있습니다.
  - 재직기간은 임명된 날부터 현재까지의 연월수로 계산됩니다.
- **문의처**:
  - 자세한 내용이나 개별적인 문의 사항은 인사과 담당자나 복무 관련 부서에 연락하시면 도움을 받으실 수 있습니다.
---
이렇게 장기재직휴가의 기준과 사용 방법에 대해 알아보았습니다. 추가적인 질문이나 도움이 필요하시면 언제든지 말씀해 주세요!</t>
  </si>
  <si>
    <t>cb9aadd9-b151-4b85-9de9-4f670b93f777</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</si>
  <si>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</si>
  <si>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</si>
  <si>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</si>
  <si>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cec063b49597462ca8aaaee5869b851e</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</si>
  <si>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</si>
  <si>
    <t>126d524e-03a8-4f9f-9da6-ed5c6d2d18e2</t>
  </si>
  <si>
    <t>3cbf2afa-167e-46a9-949d-0841dc36cf22</t>
  </si>
  <si>
    <t>e2b81875-e425-4671-9633-1d9eb8fdf592</t>
  </si>
  <si>
    <t>06e2d806-820f-44b2-88c2-0cde5771c810</t>
  </si>
  <si>
    <t>eaa42b83536d4ccaa134782b9980e315</t>
  </si>
  <si>
    <t>조례제정시 의회제출 전 법무담당관 협의 등 거쳐야 하는 내부 절차 및 기한에 대해 알려주세요</t>
  </si>
  <si>
    <t>228d18b797204225a6cf2ee488613126</t>
  </si>
  <si>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</si>
  <si>
    <t>0a746bec-056c-4b53-bcb3-8671909e6a17</t>
  </si>
  <si>
    <t>휴일 출장시 대체휴무 사용이 가능한가요?</t>
  </si>
  <si>
    <t>535c04df00184cbea358c7335d2670aa</t>
  </si>
  <si>
    <t>사후초과 익일결재를 못받은 경우 구제방법이 있나요?</t>
  </si>
  <si>
    <t>349</t>
  </si>
  <si>
    <t>0f3ba8681fa04f2193e9109c81772085</t>
  </si>
  <si>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</si>
  <si>
    <t>4c484216-17f1-412e-9d3b-6db284268cc9</t>
  </si>
  <si>
    <t>회의실 신청 어떻게 하나요?</t>
  </si>
  <si>
    <t>cecf7148bc5b48068678290d530b9185</t>
  </si>
  <si>
    <t>회의실을 신청하려면 먼저 시청사의 내부 또는 외부 회의장을 선택해야 합니다. 내부 회의장은 행정포털의 회의장 예약 시스템을 통해 온라인으로 예약할 수 있습니다. 외부 회의장의 경우, 국민연금공단, 부산고용복지센터, 부산경제진흥원과 같은 기관에서 제공하는 회의실을 사용할 수 있으며, 이들 회의실은 해당 기관에 직접 연락하여 예약을 진행해야 합니다.
**내부 회의장 예약 방법:**
1. **행정포털 접속**: 시청 직원이라면 행정포털 웹사이트에 로그인합니다.
2. **회의장 예약 시스템 접근**: 포털 내에서 '회의장 예약' 메뉴를 찾아 들어갑니다.
3. **회의장 선택**: 원하는 회의실의 종류와 수용 인원을 고려하여 적합한 장소를 선택합니다.
4. **일정 입력**: 사용하고자 하는 날짜와 시간을 설정하고 필요한 정보를 입력합니다.
5. **신청 완료**: 모든 정보를 정확히 기입한 후 예약을 확정합니다.
**외부 회의장 예약 방법:**
1. **기관 연락처 확인**: 사용하려는 외부 회의장이 위치한 기관의 연락처를 확인합니다. 예를 들어:
   - 국민연금공단 자치경찰위원회: 888-2661
   - 국민연금공단 건설본부: 888-6001
   - 부산고용복지센터: 860-2142
2. **전화 예약**: 해당 번호로 전화를 걸어 회의실 사용을 요청합니다.
3. **공문 발송 필요 여부 확인**: 일부 회의실은 공문을 통한 예약이 필요할 수 있으므로 사전에 확인합니다.
4. **사용 조건 협의**: 회의 시간, 사용 목적 등을 상세히 논의하고 필요한 사항을 조율합니다.
**주의 사항:**
- **중복 예약 방지**: 동일한 회의실을 다른 날이나 시간에 중복해서 예약하지 않도록 주의해야 합니다.
- **정보 업데이트**: 회의장 예약 정보와 실제 사용 부서 정보가 일치하도록 관리합니다.
- **회의 물품 준비**: 외부 회의장을 이용할 때는 회의 물품을 미리 준비하거나 해당 기관과 협의하여 준비합니다.
- **환경 정리**: 회의 후에는 회의실과 주변 환경을 깨끗하게 정리합니다.
추가적인 도움이 필요하시거나 특정 회의실에 대한 자세한 정보가 필요하시면 언제든지 말씀해 주세요. 도와드릴 수 있어 기쁩니다!</t>
  </si>
  <si>
    <t>66063161-42ba-4177-9e58-a5ca453d8611</t>
  </si>
  <si>
    <t>국외출장시 며칠 전까지 허가신청 공문 보내야 하나요?</t>
  </si>
  <si>
    <t>483_페이지49_문서3_162906_부산광역시_공무국외출장_조례.pdf</t>
  </si>
  <si>
    <t>9855ea61a63e494e852de1156391f5e6</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</si>
  <si>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</si>
  <si>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</si>
  <si>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</si>
  <si>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</si>
  <si>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</si>
  <si>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6e6f4bae32244e6d9e504e50e59bb3f3</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</si>
  <si>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</si>
  <si>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</si>
  <si>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</si>
  <si>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</si>
  <si>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</si>
  <si>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9d5dc2fe1d3f4469988ea8ce224fc780</t>
  </si>
  <si>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</si>
  <si>
    <t>eeb59030-5346-44c9-aa6d-a7b16bc33730</t>
  </si>
  <si>
    <t>89e1fa96-4c9d-45ab-8f16-a271379ed94d</t>
  </si>
  <si>
    <t>bc02f04b-68d0-4c39-babe-e4d573aa8069</t>
  </si>
  <si>
    <t>신규 임용시 원활한 업무진행을 위해 행정포털, 행정전자서명 발급등 처리해야 할 사항 및 절차는 어떻게 되나요?</t>
  </si>
  <si>
    <t>5073b1de8d484314ac893b0704f42709</t>
  </si>
  <si>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</si>
  <si>
    <t>bbdc59a2-deab-43c6-a54d-e61ff223faa4</t>
  </si>
  <si>
    <t>직원차량 등록 절차는 어떻게 되나요?</t>
  </si>
  <si>
    <t>4faa9dd0fe54480da31aefa8eae4c752</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</si>
  <si>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</si>
  <si>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조례 개정 절차는 어떻게 되나요?</t>
  </si>
  <si>
    <t>e4e74103315547e9a4df3e9943beb198</t>
  </si>
  <si>
    <t>보통예금계좌 점검 주기 및 방법을 알려줘</t>
  </si>
  <si>
    <t>131, 132</t>
  </si>
  <si>
    <t>ed8af15ea217491c9736285bf44396e0</t>
  </si>
  <si>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</si>
  <si>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</si>
  <si>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</si>
  <si>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</si>
  <si>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</si>
  <si>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520656330a7e47849b2e63f31366ca42</t>
  </si>
  <si>
    <t>장기재직휴가는 재직기간 5년 이상의 공무원에게 제공되는 특별휴가로, 재충전의 기회와 사기를 진작하기 위한 제도입니다. 휴가 일수는 재직기간에 따라 다음과 같이 정해집니다:
- **5년 ~ 9년**: 5일
- **10년 ~ 19년**: 10일
- **20년 ~ 29년**: 25일
- **30년 이상**: 25일
**사용 방법은 다음과 같습니다:**
1. **재직기간 별 사용 기간 준수**: 각 재직기간에 해당하는 기간 내에 반드시 휴가를 사용해야 합니다. 예를 들어, 10년에서 19년에 해당하는 공무원은 이 기간에 휴가를 사용해야 하며, 기간이 지나면 사용할 수 없습니다.
2. **휴가 기간 분할 사용 가능**: 휴가 기간은 최소 2일 이상으로 분할하여 사용할 수 있습니다. 예를 들어, 10일의 휴가를 3일씩 두 번 나누어 사용하는 것이 가능합니다.
3. **토·일요일 및 공휴일 제외**: 휴가 기간 계산 시 토요일, 일요일, 공휴일은 포함되지 않습니다.
4. **부서 인원의 1/3 이내로 휴가 대상자 선정**: 부서 전체 인원의 1/3 이내에서만 휴가를 신청할 수 있어 업무 연속성을 유지합니다.
5. **연가와의 연계 사용 권장**: 필요에 따라 연가와 함께 사용하여 더 긴 휴식을 취할 수 있으며, 이때는 휴가 계획 결재 시 명확히 표시해야 합니다.
6. **업무 대행자 지정 필수**: 장기간 휴가를 사용할 경우, 업무 공백을 방지하기 위해 업무를 대신할 대행자를 지정하고, 그 사실을 부서장이 확인한 후에야 휴가를 승인받을 수 있습니다.
7. **주요 업무 일정 고려**: 국정감사, 행정사무감사, 부서 주요 업무 추진 기간이나 국가적 재난 상황 등 중요한 시기에는 휴가를 자제하거나 조정해야 합니다.
8. **비상 연락망 구축**: 장기간 휴가 중에는 긴급 상황에 대비하여 비상 연락망을 유지하고, 언제든지 연락이 가능하도록 해야 합니다.
9. **복무 시스템 승인 절차**: 휴가를 사용하기 위해서는 먼저 차세대인사랑 복무 시스템을 통해 승인권자인 부서장의 승인을 받아야 합니다. 이는 휴가 시작일 기준 최소 1주일 전에 완료되어야 합니다.
10. **재직기간 확인 방법**: 재직기간은 공무원연금공단에서 제공하는 퇴직급여 재직기간을 기준으로 하며, 연월수로 계산됩니다. 정확한 재직기간을 확인하려면 공무원연금공단 홈페이지에서 공인인증서를 이용해 조회할 수 있습니다.
이러한 절차를 따르면 장기재직휴가를 효율적으로 활용할 수 있으며, 개인의 재충전과 조직의 업무 효율성을 동시에 높일 수 있습니다. 추가적인 문의 사항이 있으시면 언제든 말씀해 주세요!</t>
  </si>
  <si>
    <t>공무원증 신청 및 승인처리 방법을 알려줘</t>
  </si>
  <si>
    <t>c906a8db229843b68c087f99b8e4cfdf</t>
  </si>
  <si>
    <t>공무원증 및 모바일 공무원증의 신청 및 승인 처리 방법은 다음과 같습니다:
1. **인사시스템 접속**: 먼저 '인사랑' 인사시스템에 로그인합니다.
2. **신청 경로 이동**:
   - **공무원증 신청**: '인사마당' 메뉴에서 '공무원증 신청' 항목을 선택합니다.
   - **모바일공무원증 신청**: '인사마당' 메뉴에서 '모바일공무원증 신청' 항목을 선택합니다.
3. **정보 입력 및 제출**:
   - 필요한 개인 정보를 정확하게 입력합니다.
   - 특히, 모바일증 신청 시에는 실물공무원증 뒷면에 있는 '6260000-'로 시작하는 연번을 정확히 기재해야 합니다.
4. **부서장 승인 요청**:
   - 신청서를 작성한 후, 해당 부서의 부서장에게 승인을 요청합니다.
   - 부서장은 신청자의 정보가 정확한지 확인한 후 승인 절차를 진행합니다.
5. **승인 완료 및 수령**:
   - 부서장의 승인이 완료되면, 신청 절차가 마무리됩니다.
   - **실물공무원증**은 신청 후 약 4주 이내에 발급되어 본인에게 전달됩니다.
   - **모바일공무원증**은 신청 후 약 1주일 이내에 안내 문자를 받게 되며, 문자의 안내에 따라 설치를 진행하면 됩니다.
이러한 절차를 통해 공무원증 및 모바일공무원증을 발급받을 수 있으며, 이는 공무원의 신분 확인과 청사 출입 등에 사용됩니다. 만약 추가적인 도움이 필요하거나 문제가 발생할 경우, 인사관리팀이나 담당 부서에 문의하시면 자세한 안내를 받으실 수 있습니다.</t>
  </si>
  <si>
    <t>비밀문서 접수 시 처리 절차를 알려줘</t>
  </si>
  <si>
    <t>776_페이지78_문서6_163407_부산광역시_보안업무규정.pdf</t>
  </si>
  <si>
    <t>4</t>
  </si>
  <si>
    <t>93989febc5d544bfbcb679b300f6f498</t>
  </si>
  <si>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</si>
  <si>
    <t>a9442f9c-e893-429f-8d63-183881bca4f8</t>
  </si>
  <si>
    <t>미등록기록물 등록 방법은 어떻게 되나요?</t>
  </si>
  <si>
    <t>19, 20, 21, 22, 23, 24</t>
  </si>
  <si>
    <t>d9e85a8e96474f3a863d57a27ef87c61</t>
  </si>
  <si>
    <t>미등록기록물의 등록 방법은 다음과 같습니다:
1. **기록관리시스템 로그인**: 행정포털을 통해 자동으로 로그인이 가능하며, 행정서비스 &gt; 기록관 &gt; 기록관리시스템으로 접속합니다.
2. **미등록기록물 추가 등록 절차**:
   - **대 상**: 당해 연도에 등록되지 않은 비전자기록물
   - **절 차**:
     1. **기록물철 등록**
       - *절차*: 기록물인수 &gt; 등록인수 &gt; 등록 버튼 클릭
       - *등록화면*:
         - 등록정보 입력 (기록물철명, 생산기관, 위과제 등)
         - 등록 버튼 클릭
     2. **기록물건 등록**
       - 기록물인수 &gt; 등록인수 &gt; 등록 버튼 클릭
       - 등록화면에서 각 기록물에 대한 상세 정보를 입력하고 등록 버튼을 클릭합니다.
     3. **등록 완료**
     4. **검수 및 인수**
       - 등록인수 &gt; 기록물 등록 &gt; 검수 &gt; 조회 버튼 클릭
       - 해당 기록물철 선택 후 정상검수 및 인수 버튼을 클릭합니다.
     5. **표지·색인목록 출력**
       - 기록물보존 &gt; 기록정리 &gt; 비전자편철에서 필요한 정보를 입력하고 조회합니다.
       - 해당 기록물철 선택 후 표지와 색인목록을 인쇄합니다.
이러한 절차를 통해 미등록된 비전자기록물을 시스템에 등록하고 관리할 수 있습니다. 만약 더 자세한 안내나 도움이 필요하다면 언제든지 말씀해 주세요!</t>
  </si>
  <si>
    <t>1048ac7a-a626-4624-8d16-360c81dcced2</t>
  </si>
  <si>
    <t>7f6432b7-8e69-4404-8ee9-c8a456e13b0f</t>
  </si>
  <si>
    <t>1c7165f8-c462-4a02-b893-c805acbaa275</t>
  </si>
  <si>
    <t>62197637-aeda-43e8-95a6-7eb187cf5d41</t>
  </si>
  <si>
    <t>예산 편성 절차와 관련하여 사업비별 사전 이행절차는 무엇인가요?</t>
  </si>
  <si>
    <t>b7fcf8d95da54c8aa31e18c2178285cd</t>
  </si>
  <si>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</si>
  <si>
    <t>829f7bfd-2082-402e-8bdc-f45e19f9d0c3</t>
  </si>
  <si>
    <t>입찰시 지역제한이 불가할 때 이행해야할 절차와 검토항목에는 무엇이 있나요?</t>
  </si>
  <si>
    <t>987baa482c204d9bb899358e6ae2e2d4</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</si>
  <si>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</si>
  <si>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</si>
  <si>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</si>
  <si>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431_2410_통합민원과_업무매뉴얼_행정안전부_민원인의_위법행위_및_반복민원_대응방안지침.pdf</t>
  </si>
  <si>
    <t>19, 44</t>
  </si>
  <si>
    <t>6f91b58471454436a00ea1be8f8b06d3</t>
  </si>
  <si>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</si>
  <si>
    <t>7282123c-4679-475f-a839-84fabd393319</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</si>
  <si>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</si>
  <si>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</si>
  <si>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</si>
  <si>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</si>
  <si>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258c6dbf9b1f46cf9f1b07bf6d7a1031</t>
  </si>
  <si>
    <t>부산시에서는 공무원이 업무 수행 중에 발생한 소송에 대해 법률적인 지원을 제공하고 있습니다. 이를 위해 '부산광역시 소송사무 처리 규칙'이라는 내부 규정을 두고 있으며, 이에 따르면 다음과 같은 절차를 따르게 됩니다.
**1. 소송 발생 시 초기 대응**
- **보고 의무**: 공무원은 업무와 관련하여 소송이 제기되었음을 인지하면 즉시 해당 사실을 소속 부서의 장에게 보고해야 합니다.
- **법무담당관과의 협의**: 소속 부서의 장은 해당 사건을 법무담당관과 상의하여 향후 대응 방안을 논의합니다.
**2. 소송대리인 또는 변호사의 선임 요청**
- **필요성 판단**: 소송의 성격과 중요성을 고려하여 소송대리인이나 변호사의 선임이 필요하다고 판단되면, 소속 부서의 장은 시정조정위원회의 심의를 거칩니다.
- **확약서 제출**: 해당 공무원으로부터 별지 제10호서식의 확약서를 받아 소송대리인 또는 변호사의 선임을 법무담당관에게 요청합니다.
- **변호사 선임**: 법무담당관은 요청에 따라 적절한 소송대리인이나 변호사를 선임하며, 필요에 따라서는 해당 공무원이 직접 변호사를 선임할 수도 있습니다.
**3. 소송 진행 과정에서의 지원**
- **법률 자문 제공**: 법무담당관은 소송 진행 과정에서 필요한 법률 자문을 제공합니다.
- **소송비용 지원**: 소송비용은 별표의 지급기준에 따라 회계별로 지급되며, 특히 시 차원의 대응이 필요한 사건의 경우 시정조정위원회에서 지원 금액을 결정합니다.
**4. 소송 결과에 따른 후속 조치**
- **패소 시 비용 회수**: 만약 공무원의 고의 또는 중대한 과실로 인해 패소 판결이 내려진 경우, 소송대리인 또는 변호사에게 지급된 소요비용은 해당 공무원으로부터 회수됩니다.
- **무죄 판결 시 비용 보전**: 직무를 성실히 수행한 결과 무죄 판결이 확정된 경우, 변호인 선임비용은 시정조정위원회의 심의를 거쳐 법무담당관에게 요청하여 보전받을 수 있습니다.
**5. 기타 사항**
- **중요소송의 지정**: 시정에 중대한 영향을 미치거나 소송물가액이 큰 경우 등은 중요소송으로 지정되어 더욱 체계적이고 지속적인 관리가 이루어집니다.
- **인사상 인센티브 제공**: 중요소송을 담당하는 공무원에게는 인사상 인센티브가 제공될 수 있습니다.
**종합적으로**, 부산시의 공무원은 업무 관련 소송이 발생할 경우 소속 부서와 법무담당관을 통해 법률 지원을 받을 수 있으며, 이는 시의 내부 규정에 따라 체계적으로 관리되고 있습니다. 추가적인 문의사항이 있으시면 언제든지 말씀해 주세요. 도움이 필요하시면 최선을 다해 도와드리겠습니다.</t>
  </si>
  <si>
    <t>1f25818e-35c1-4a09-aec8-35eb78aa9e08</t>
  </si>
  <si>
    <t>38c3df51-3b1d-4216-8b66-599722c55c4a</t>
  </si>
  <si>
    <t>DRM 암호 초기화는 어떻게 하나요?</t>
  </si>
  <si>
    <t>f35cae5f45bd43fba1413ef62ec3ee54</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</si>
  <si>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</si>
  <si>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</si>
  <si>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c392b17288ac46799f9fd6f04a04022e</t>
  </si>
  <si>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</si>
  <si>
    <t>자차로 관외출장 나갔을 시 여비 지급은 어떻게 하나요?</t>
  </si>
  <si>
    <t>604, 605</t>
  </si>
  <si>
    <t>ed9ac64556ee4c7a9327d312f6185c09</t>
  </si>
  <si>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</si>
  <si>
    <t>57c602ee-77b6-4888-9752-44357b3f4cfb</t>
  </si>
  <si>
    <t>7d56d172-72b1-47f8-913c-fe7b97af853b</t>
  </si>
  <si>
    <t>257817f4-eb3c-44cd-a170-67a953688596</t>
  </si>
  <si>
    <t>1230_공무원여비100문100답.pdf</t>
  </si>
  <si>
    <t>휴직 신청 절차 및 행정처리 방법은?</t>
  </si>
  <si>
    <t>293_2501_인사과_지침_행정안전부_지방공무원_인사제도_운영지침행정안전부예규제314호.pdf</t>
  </si>
  <si>
    <t>6243685c02ea45869b4c63899a6ccf63</t>
  </si>
  <si>
    <t>비전자기록물 편철·정리 방법은?</t>
  </si>
  <si>
    <t>423_2012_통합민원과_업무메뉴얼_통합민원과_비전자기록물_편철정리_요령.pdf</t>
  </si>
  <si>
    <t>b400957b979c480f976598a3065e2010</t>
  </si>
  <si>
    <t>비전자기록물의 편철·정리 방법은 다음과 같습니다.
1. **기록물 정리**: 사안이 종결된 문서는 진행문서파일에서 꺼내어 사안 발생 순서(1월부터 12월까지)에 따라 위에서 아래로 정리합니다. 이때 원본 기록물만을 대상으로 하며, 전자문서 출력본이나 참고용 사본은 제거합니다. 그러나 분리등록한 비전자 문서의 전자문서 출력본은 함께 편철·관리하되, 반드시 전자문서임을 표시해야 합니다. 부득이하게 전자문서 출력본 등 사본을 함께 관리해야 하는 경우에는 전자문서 또는 사본임을 명확히 표시합니다. 또한, 기록물을 묶는 데 사용되는 철침, 클립, 철제품 등은 모두 제거합니다.
2. **기록물의 편철**:
   - **편철 순서**: 기록물철 표지 → 색인목록 → 문서(사안 발생 순)의 순서로 편철합니다.
   - **편철량 제한**: 편철량은 100매 이내를 원칙으로 하지만, 편철량이 많은 경우에는 2권 이상으로 분철할 수 있습니다. 분철의 기준은 기록물 건별로 하며, 하나의 기록물은 편철량이 많아도 분철하지 않습니다. 편철용 집게로 고정 가능한 경우에는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총 권수와 해당 기록물의 번호를 표시합니다.
3. **면 표시**:
   - **위치**: 기록물 건별 면표시는 중앙 하단에, 전체 쪽수에서 해당 쪽수를 기재합니다. 기록물 철별 면표시는 우측 하단에 기재합니다.
   - **방법**:
     - 접혀있는 문서는 펼쳐진 상태에서 면 표시를 합니다.
     - 분철된 경우, 전권의 마지막 면수에 이어서 면 표시를 합니다. 예를 들어, 첫 번째 권의 쪽수가 110으로 끝나면 두 번째 권은 111부터 시작합니다.
     - 양면에 내용이 있는 경우, 양쪽 면 모두에 면 표시를 합니다.
     - 백지에 간인이 찍힌 경우에도 모든 페이지에 면 표시를 합니다.
     - 회계서류의 영수증 등이 계단식으로 붙어 있는 경우, 각각의 페이지에 면 표시를 합니다.
     - 사본이나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면 표시를 하지 않고, 전자문서임을 표시합니다.
     - 책자의 표지는 간지와 중복되므로 면 표시를 하지 않습니다. 그러나 책자 표지와 중복되는 간지가 없는 경우에는 표지에 면 표시를 합니다.
     - 대장류의 빈 서식은 내용이 없으므로 면 표시를 하지 않습니다.
4. **기록물철 표지 및 색인목록 작성**:
   - **기록물철 표지 출력 방법**:
     - 온나라 시스템을 통해 과제관리 → 부서과제 → 단위과제 → 해당 카드명 클릭 → 기록물철 표지 클릭 → 기록물철 인쇄(또는 저장 후 인쇄)를 실행합니다.
   - **기록물철 표지 기재사항**:
     - 기록물철명(과제카드명과 동일), 생산연도와 종료연도, 부서명을 기재합니다.
     - 기록물철 표지를 인쇄한 후 오른쪽 여백에 연필로 보존기간을 기재합니다.
     - 분철된 경우, 기록물철 표지 인쇄 후 기록물철명 옆에 괄호하고 연필로 권호수를 기재합니다.
   - **색인목록 작성 방법**:
     - 온나라 시스템을 이용하여 과제관리 → 부서과제 → 단위과제 → 해당 카드명 클릭 → 실적관리 → 비전자기록물 엑셀다운로드 아이콘 클릭 → 연도 선택 → 다운로드 → 쪽수와 비고란을 추가로 작성합니다.
     - 분철된 경우, 색인목록은 첫 번째 권에만 편철합니다.
이러한 절차를 따르면 비전자기록물을 체계적이고 효율적으로 편철·정리할 수 있으며, 이후의 관리나 열람 시에도 편리함을 제공합니다. 만약 더 자세한 안내나 도움이 필요하다면 언제든지 말씀해 주세요! 다른 궁금한 점이 있으면 또 물어봐 주세요. 도와드릴게요.</t>
  </si>
  <si>
    <t>3ac56127-fa43-4e06-acc4-b727cdf75f64</t>
  </si>
  <si>
    <t>499af8ab-2218-4ac2-b553-c875de6ab912</t>
  </si>
  <si>
    <t>91d5b22b-b1b6-4af4-bef0-5aec87d72f1c</t>
  </si>
  <si>
    <t>1a3208cc-3ea3-4bd3-b212-ffd71b8aeb1b</t>
  </si>
  <si>
    <t>차량배차 협조 요청 절차 및 처리 방법은?</t>
  </si>
  <si>
    <t>40c2eeaea8aa4a819f39feea4f526df9</t>
  </si>
  <si>
    <t>PC교체로 인한 행정전자서명 이동 방법은?</t>
  </si>
  <si>
    <t>aa600038c5c54a86afc60bca6dfd4e78</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</si>
  <si>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</si>
  <si>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</si>
  <si>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</si>
  <si>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4fff325d3c64442a99722546e58fbe6b</t>
  </si>
  <si>
    <t>관내출장 여비 지급기준은 다음과 같습니다.
1. **공무원 여비 규정**:
   - **제18조(근무지 내 국내 출장 시의 여비)**에 따르면,
     - **출장 여행시간이 4시간 이상인 공무원**: 2만원 지급
     - **출장 여행시간이 4시간 미만인 공무원**: 1만원 지급
   - 단, **전용 차량 배정자**나 **공무용 차량을 이용하는 경우** 등 인사혁신처장이 정하는 바에 따라 출장을 하는 공무원에게는 **1만원을 감액하여 지급**합니다.
   - 또한, **같은 시·군 및 섬 안에서의 출장**이나 **여행거리가 12킬로미터 미만인 출장**을 "근무지 내 국내 출장"으로 정의합니다.
2. **지방자치단체 예산편성 운영기준**:
   - **'202 여비' 항목**에서 **국내여비**를 편성하며, 이는 **공무원여비규정**에 따른 **국내출장여비**를 의미합니다.
   - **기관운영·정원가산·시책추진 업무추진비 예산편성 및 집행**에서는 **연간 집행계획을 수립**하고, 그에 따라 **월별 또는 분기별로 균형 있게 집행**하도록 합니다.
3. **실제 사례**:
   - **부산광역시청의 내부 지침**에서도 이러한 규정을 따르고 있으며, **관내출장 여비는 1만원**으로 책정되어 있습니다.
   - **급량비 집행 시 인당 식비**는 **1인당 9천원 이내**로 준수해야 하며, **지방자치단체 구매카드 사용 원칙**을 따릅니다.
따라서, **관내출장 여비는 출장 시간이 4시간을 기준으로 하여 1만원 또는 2만원이 지급되며**, 상황에 따라 감액될 수 있습니다. 정확한 지급액은 해당 공무원의 실제 출장 시간과 조건에 따라 결정됩니다. 추가적인 문의 사항이 있으시면 언제든지 말씀해 주세요!</t>
  </si>
  <si>
    <t>d5913983-add8-40e1-a021-c33a72f35858</t>
  </si>
  <si>
    <t>1166dfbf-557b-4572-a887-e83108ba995c</t>
  </si>
  <si>
    <t>dc07f99d-66f2-4bc3-9519-6863b28ccf2d</t>
  </si>
  <si>
    <t>207_2007_예산담당관_업무매뉴얼_행정안전부_2021년도_지방자치단체_예산편성_운영기준_및_기금운용계획_수립기준.pdf</t>
  </si>
  <si>
    <t>실물/모바일 공무원증은 어떻게 발급받나요?</t>
  </si>
  <si>
    <t>4a7d15cc271b43bdb151f05e809b660e</t>
  </si>
  <si>
    <t>안녕하세요! 위 문서에서 언급된 내용에 따르면, 실물 또는 모바일 공무원증은 '인사랑' 시스템 내에서 발급받을 수 있어요.
**발급 방법:**
1. **인사랑 접속**: 먼저 업무 시스템인 '인사랑'에 로그인하세요.
2. **인사마당 메뉴 선택**: 메인 화면에서 '인사마당' 메뉴를 클릭합니다.
3. **공무원증(또는 모바일공무원증) 신청**: '인사마당' 내 해당 섹션에서 '공무원증' 또는 '모바일공무원증' 신청을 진행합니다.
4. **부서장 승인**: 신청 후에는 부서장의 승인이 필요합니다. 이는 내부 절차상 필요한 단계이니 잊지 마세요.
5. **신청 완료 및 수령**:
   - **실물 공무원증**: 신청 후 약 4주 정도 후에 발급되며, 직접 수령하거나 우편으로 받을 수 있습니다.
   - **모바일 공무원증**: 신청 후 약 1주일 이내에 안내 문자가 발송됩니다. 문자의 안내에 따라 설치를 진행하면 됩니다.
6. **뒷면 연번 기재**: 모바일 공무원증을 신청할 때는 실물 공무원증 뒷면에 있는 '6260000-'로 시작하는 연번을 정확히 기입해야 해요.
**주의사항:**
- 퇴직이나 전보 등의 사유로 인해 공무원증이 변경되거나 재발급이 필요할 경우, 새로운 공무원증을 발급받고 이전 것은 반드시 반납해야 합니다.
- 모바일 공무원증은 스마트폰을 통해 편리하게 사용할 수 있으며, 분실 위험도 적습니다.
만약 추가적인 도움이 필요하시거나 다른 궁금한 점이 있으시면 언제든지 말씀해 주세요! 도와드릴 수 있어 기쁩니다.</t>
  </si>
  <si>
    <t>모바일 공무원증은 어떻게 활용할 수 있나요?</t>
  </si>
  <si>
    <t>7bfd96eb7a774d63b34818b2849f3a4e</t>
  </si>
  <si>
    <t>장기재직휴가는 어떻게 신청하나요?</t>
  </si>
  <si>
    <t>d972b0aa4d5f42818986cc086901c3f4</t>
  </si>
  <si>
    <t>장기재직휴가는 다음과 같은 절차로 신청할 수 있습니다:
1. **재직기간 확인**: 먼저, 본인의 재직기간이 장기재직휴가 대상인지를 확인해야 합니다. 일반적으로 재직기간 5년 이상인 공무원이 대상이 됩니다.
2. **휴가 계획 수립**: 휴가를 언제 사용할 것인지 계획을 세웁니다. 이때, 부서 내 다른 직원들과의 일정 조율도 필요합니다.
3. **부서장 승인 요청**: 휴가 계획을 작성하여 부서장에게 승인을 요청합니다. 부서장은 업무에 지장이 없도록 휴가 일정을 확인하고 승인 여부를 결정합니다.
4. **복무시스템 등록**: 부서장의 승인이 완료되면, 차세대인사랑 복무관리시스템을 통해 휴가를 등록합니다. 이 때, 휴가구분을 "연가외휴가관리 - 특별휴가 - '장기재직휴가'"로 선택하고, 휴가 사유를 명확하게 기재합니다.
5. **업무 대행자 지정**: 장기간 휴가를 사용하는 경우에는 업무 공백을 방지하기 위해 업무 대행자를 지정해야 합니다. 이는 부서장이 확인 후 승인합니다.
6. **휴가 실시**: 모든 절차를 마친 후에는 정해진 날짜에 휴가를 사용합니다.
**주의 사항**:
- 휴가 시작일 기준 최소 1주일 전에 승인을 받아야 하며, 토·일요일 및 공휴일은 휴가 기간에 포함되지 않습니다.
- 부서 현원의 1/3 이내에서만 휴가를 사용할 수 있으므로, 부서 내 상황을 고려해야 합니다.
- 장기간 휴가 사용 시에는 긴급 연락이 가능하도록 비상연락체계를 유지하는 것이 중요합니다.
이러한 절차를 따르면 장기재직휴가를 원활하게 신청하고 사용할 수 있습니다. 추가로 궁금한 점이 있으시면 언제든지 말씀해 주세요!</t>
  </si>
  <si>
    <t>188b7c62-c0c1-4ea8-a4cc-83dd5dfe3f06</t>
  </si>
  <si>
    <t>17_2412_공공기관담당관_업무매뉴얼_행정안전부_지방공기업_통합경영공시_기준.pdf</t>
  </si>
  <si>
    <t>기록물의 보존기간을 업무별로 알려주세요</t>
  </si>
  <si>
    <t>236, 237, 238</t>
  </si>
  <si>
    <t>ecd5c1404a6f4a9480210dff41bed431</t>
  </si>
  <si>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 보존됩니다.
2. **준영구**: 영구 보존할 필요성은 없지만 일정 기간 동안 보존해야 하는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보존기간이 적용됩니다.
4. **10년**: 30년 이상으로 보존할 필요는 없지만, 공공기관의 주요 업무에 관한 기록물로서 5년 이상의 기간 동안 업무에 참고하거나 기관의 업무 수행 내용을 증명할 필요가 있는 경우에 10년의 보존기간이 적용됩니다.
5. **5년**: 주요 업무를 제외한 일반적인 사항과 관련된 기록물로서 3년 이상의 기간 동안 업무에 참고하거나 기관의 업무 수행 내용을 증명할 필요가 있는 경우에 5년의 보존기간이 적용됩니다.
6. **3년**: 일상적인 업무를 수행하면서 생산한 기록물로서 1년 이상의 기간 동안 업무에 참고하거나 기관의 업무 수행 내용을 증명할 필요가 있는 경우에 3년의 보존기간이 적용됩니다.
7. **1년**: 행정적, 법적, 재정적으로 증명할 가치가 없고 역사적으로 보존할 필요도 없는 단순하고 일상적인 업무를 수행하면서 생산한 기록물은 1년간 보존 후 폐기됩니다.
또한, 특정 업무에 대해서는 법령이나 지침에 따라 별도의 보존기간이 지정되어 있을 수 있으므로, 구체적인 업무별로 정확한 보존기간을 확인하려면 해당 업무와 관련된 법령이나 기관의 내부 지침을 참고하시는 것이 좋습니다. 추가적인 도움이 필요하시면 언제든지 말씀해 주세요!</t>
  </si>
  <si>
    <t>8bc19b6d-f180-422b-9a51-611f19c27f6c</t>
  </si>
  <si>
    <t>7b23e2a6-85ec-421c-82a2-3683efb5d170</t>
  </si>
  <si>
    <t>19593c95-c8c3-49d1-9e01-42e8935780ce</t>
  </si>
  <si>
    <t>ecb6f6f7-e64c-4464-a8da-8b4894001ac4</t>
  </si>
  <si>
    <t>9da986cf-37a5-4c15-a47c-a61caed864f2</t>
  </si>
  <si>
    <t>부산시청 내 회의장의 수용가능인원을 알려주세요</t>
  </si>
  <si>
    <t>70764cf4ad194cae82a286c33c417fad</t>
  </si>
  <si>
    <t>부산시청 내에 있는 주요 회의장과 그 수용 가능 인원은 다음과 같습니다:
1. **본관 계단식 강연장**:
   - 위치: 본관
   - 수용 인원: **100명**
2. **콘퍼런스룸 회의장**:
   - 위치: 본관
   - 수용 인원: **39명** (회의 20명, 배석 19명)
3. **도모헌 계단식 강연장**:
   - 위치: 도모헌 (구 부산시장 관사)
   - 수용 인원: **100명**
4. **국민연금공단 회의실**:
   - 위치: 국민연금공단 건물
   - **자치경찰위원회 회의실**: 18층에 위치하며 수용 인원은 **30명**
   - **건설본부 회의실**: 21층에 위치하며 수용 인원은 **20명**
5. **부산고용복지센터 대강당**:
   - 위치: 부산고용복지센터 건물 5층
   - 수용 인원: **150명**
6. **부산경제진흥원 회의실**:
   - 위치: 연산5동 프라임시티빌딩 3층
   - 수용 인원: **25~30명**
7. **시청사 주변 외부 회의장**:
   - 총 6개소가 추가로 확보되어 있으며, 각 회의실의 정확한 수용 인원은 제공되지 않았지만 일반적으로 **25~30명** 정도를 수용할 수 있습니다.
8. **12층 소회의실 (1,2)**:
   - 위치: 시청사 12층
   - 수용 인원: 각각 **10~15명** 정도로 추정됩니다.
이러한 정보는 문서에서 언급된 내용이며, 회의장 사용 시에는 사전에 예약을 통해 확인하시는 것이 좋습니다. 또한, 일부 회의실은 특정 부서에서만 사용할 수 있거나, 외부 기관과의 협의를 거쳐야 할 수도 있으니 참고하시기 바랍니다. 더 자세한 정보가 필요하시면 해당 부서로 직접 연락하여 확인하실 수 있습니다. 도움이 되셨기를 바랍니다!</t>
  </si>
  <si>
    <t>업무추진비 집행 시 사용 가능한 항목과 제한 사항은 무엇이며, 지출 시 필요한 증빙 서류는 무엇인가요?</t>
  </si>
  <si>
    <t>db48d41c3bf64027ad70b77acf39ab7f</t>
  </si>
  <si>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</si>
  <si>
    <t>0e972f48-fafb-4164-abee-5dfd3e6efd1b</t>
  </si>
  <si>
    <t>7bd262ec-809d-4578-979e-9e1155cea437</t>
  </si>
  <si>
    <t>정보공개법에 따른 정보공개 청구 처리 기한은 며칠인가요?</t>
  </si>
  <si>
    <t>100</t>
  </si>
  <si>
    <t>bd42336f30d243b6bd684cd356525b69</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</si>
  <si>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</si>
  <si>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</si>
  <si>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</si>
  <si>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</si>
  <si>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</si>
  <si>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2dbe94245c68427687a457912532d7be</t>
  </si>
  <si>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</si>
  <si>
    <t>1f57bd33-2f48-4b01-bbc7-ba9d173f7ca5</t>
  </si>
  <si>
    <t>28_2503_공공기관담당관_업무매뉴얼_행정안전부_2025년도_지방공사채_발행_운영기준.pdf</t>
  </si>
  <si>
    <t>7c53d3cd-686a-4ae5-bb7f-f28f05c191ad</t>
  </si>
  <si>
    <t>공사, 용역, 물품 등 구입시 조달청을 통한 계약 절차는 어떻게 되나요?</t>
  </si>
  <si>
    <t>10d563c6638249529f2dcbc56fadf8b8</t>
  </si>
  <si>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</si>
  <si>
    <t>829f6a4f-671c-4d8f-b46a-8d89fdd5aef1</t>
  </si>
  <si>
    <t>예산편성을 위한 신규사업 사전이행절차 안내(사업종류, 사업금액별)</t>
  </si>
  <si>
    <t>1db09eea70944058b9bf5abd60d6948c</t>
  </si>
  <si>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</si>
  <si>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</si>
  <si>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</si>
  <si>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</si>
  <si>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</si>
  <si>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fd1860e53cd04ae09928f04233b679a8</t>
  </si>
  <si>
    <t>휴직 중인 공무원의 보수와 관련된 사항은 「지방공무원 보수업무 처리지침」에서 상세히 규정하고 있습니다.
먼저, **직권휴직**이나 **청원휴직**으로 인해 휴직 상태에 있는 공무원에 대한 급여 지급 여부와 비율은 다음과 같습니다:
- **직권휴직**: 질병휴직의 경우 일정 비율로 봉급이 지급되며, 병역휴직 등은 봉급이 지급되지 않습니다.
- **청원휴직**: 고용휴직, 유학휴직, 연수휴직 등은 봉급이 지급되지 않으나, 육아휴직의 경우 일부 수당이 지급됩니다.
또한, **건강보험료**와 같은 사회보험료는 일반적으로 근로자가 소득이 있을 때 부과되는 것이 원칙입니다. 그러나 휴직 상태에서는 소득이 없거나 감소하므로, 이에 따른 보험료 부담 조정이 필요합니다.
**국민건강보험법 시행규칙**에 따르면, 휴직 등으로 소득이 없는 경우에는 건강보험료를 경감받을 수 있으며, 이는 해당 공단에 신청하여 조정 가능합니다. 따라서 휴직자는 자신의 상황에 맞게 건강보험료를 조정해야 합니다.
결론적으로, 휴직자의 급여 보험료 납부는 휴직 유형과 그에 따른 소득 여부에 따라 달라집니다. 정확한 정보를 위해서는 소속 기관의 인사 담당자나 관할 공단에 문의하시는 것이 좋습니다. 또한, 최신 법령과 지침을 확인하여 개인의 상황에 맞는 조치를 취하시기 바랍니다. 추가적인 도움이 필요하시면 언제든지 말씀해 주세요!</t>
  </si>
  <si>
    <t>c2b4d5fe-7a2a-43f3-9f4d-5b9a3ee64258</t>
  </si>
  <si>
    <t>2375b6b4-ad63-4307-921d-99a4b1260b34</t>
  </si>
  <si>
    <t>gpki 비밀번호 잃어버렸을 떄 조치방법을 알려주세요</t>
  </si>
  <si>
    <t>56fe3693483d44389e71e8fe45f9f475</t>
  </si>
  <si>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</si>
  <si>
    <t>수시인사교류의 절차는 어떻게 되나요</t>
  </si>
  <si>
    <t>7970bc21723347228b026c5495158411</t>
  </si>
  <si>
    <t>전문직위 지정 및 전문관 임용은 어떻게 신청하면 되나요?</t>
  </si>
  <si>
    <t>db6ac6ae2ff94aa8a38e70f5b7797d13</t>
  </si>
  <si>
    <t>전문직위 지정 및 전문관 임용은 다음과 같은 절차를 따라 신청하실 수 있습니다.
**1. 전문직위 지정 신청**
- **신청 주체**: 각 부서 또는 실국에서 전문직위 지정을 희망하는 직위를 신청합니다.
- **신청 방법**: 인사과에 전문직위 지정 신청을 제출합니다.
- **신청 내용**: 전문직위로 지정하고자 하는 직위의 상세 내용과 그 이유를 명확히 기재해야 합니다.
**2. 전문관 임용 신청**
- **신청 주체**: 전문관으로 선발되기를 원하는 소속 공무원이 직접 신청하거나, 부서에서 추천할 수 있습니다.
- **신청 방법**: 인사과에 전문관 임용 신청을 제출합니다.
- **신청 조건**: 해당 직무 수행에 필요한 경력, 교육훈련, 자격증, 어학능력 등을 갖추고 있어야 하며, 최소 3년 이상의 근무 확약을 해야 합니다.
**주의사항**
- **직무분석 및 심의 과정**: 신청된 전문직위와 전문관은 조직담당관과 인사과의 검토를 거치고, 인사위원회의 심의를 통해 최종 결정됩니다.
- **인센티브 제공**: 전문직위에서 근무하거나 전문관으로 임명되면 근무 기간에 따라 가점과 수당이 부여됩니다.
  - **가점**: 근무 기간에 따라 매월 0.05점에서 0.08점의 가점이 누적됩니다.
  - **수당**: 전문관에게는 월별로 7만원에서 40만원까지의 수당이 지급됩니다.
**추가 정보**
- **전문직위 및 전문관 운영 현황**
  - **전문직위 수**: 총 95개 직위가 전문직위로 지정되어 있으며, 이 중 일부는 공석 상태입니다.
  - **전문관 임용 현황**: 현재 80명의 전문관이 활동 중이며, 하반기에는 추가 임용이 예정되어 있습니다.
- **전문직위 지정 기준**
  - **지정 계급**: 5급부터 7급까지(상당 계급 포함)의 직위 중에서 전문성이 요구되고 장기 근무가 필요한 직위를 대상으로 합니다.
  - **지정 요건**: 고도의 전문 지식이나 기술이 필요하며, 최소 3년 이상의 지속적인 근무가 필요합니다.
- **전문직위 지정 절차**
  1. **신청**: 각 부서 또는 실국에서 전문직위 지정을 희망하는 직위를 인사과에 신청합니다.
  2. **검토**: 인사과에서는 해당 직위의 전문성 여부를 검토합니다.
  3. **심의**: 인사위원회에서 전문직위 지정 여부를 심의합니다.
  4. **지정**: 최종적으로 전문직위로 지정됩니다.
- **전문관 선발 절차**
  1. **공모**: 전문관으로 지원하고자 하는 공무원은 개별적으로 신청하거나 부서에서 추천할 수 있습니다.
  2. **심의**: 인사위원회는 지원자의 직무 수행 능력 및 적격성을 심사합니다.
  3. **임용**: 선정된 전문관을 해당 직위에 임용합니다.
**문의처**
더 자세한 안내나 도움이 필요하시면 인사과로 연락해 주세요. 인사과는 전문직위 지정 및 전문관 임용에 관한 모든 사항을 지원하고 있습니다.
---
이렇게 전문직위 지정 및 전문관 임용에 대한 신청 방법을 알려드렸습니다. 추가로 궁금한 점이 있으시면 언제든지 말씀해 주세요!</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</si>
  <si>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</si>
  <si>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</si>
  <si>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</si>
  <si>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</si>
  <si>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</si>
  <si>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</si>
  <si>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</si>
  <si>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</si>
  <si>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90917170-0bbe-4e5c-b5e0-d39c2ddf08f1</t>
  </si>
  <si>
    <t>243_2001_인사과_기본계획_인사과_2020년도_부산광역시_인사운영_기본계획.pdf</t>
  </si>
  <si>
    <t>공무원증 신청방법? 발급되는데 얼마나 걸리나요?</t>
  </si>
  <si>
    <t>f43b3b81ed8444e1a0e44bd2717fd60f</t>
  </si>
  <si>
    <t>공무원증은 인사랑 시스템에서 신청할 수 있어요. 구체적인 절차는 다음과 같아요:
1. **인사시스템 접속**: 먼저, 소속 기관의 인사시스템을 통해 '인사마당' 메뉴로 들어가세요.
2. **신청서 작성**: '공무원증(또는 모바일공무원증)' 신청을 선택하고 필요한 정보를 입력하세요. 이때, 모바일증 신청 시에는 실물공무원증 뒷면에 있는 번호를 정확히 기입해야 해요.
3. **부서장 승인**: 작성한 신청서를 제출하면 부서장의 승인이 필요해요. 승인이 완료되면 다음 단계로 진행돼요.
4. **발급 대기**:
   - **실물공무원증**: 일반적으로 신청 후 약 **4주 정도** 후에 수령하실 수 있어요.
   - **모바일공무원증**: 신청 후 약 **1주일 내외**로 안내 문자를 받게 되며, 해당 문자에 따라 설치를 진행하시면 돼요.
이렇게 절차를 따르면 공무원증을 발급받으실 수 있어요. 추가로 궁금한 점이 있으시면 언제든지 물어보세요! 도움이 필요하면 말씀해 주세요.</t>
  </si>
  <si>
    <t>당직 등으로 인한 대체휴무 사용기간은 언제까지인가요?</t>
  </si>
  <si>
    <t>499468c9dc2641649591586e5b49b1bf</t>
  </si>
  <si>
    <t>휴가 마지막 날 18시 이후 초과근무가 가능한지 ?</t>
  </si>
  <si>
    <t>f613db00691047a2afc1cedfe43cec97</t>
  </si>
  <si>
    <t>네, 가능합니다.
'지방공무원 복무에 관한 예규'에 따르면, 복무규정 제4조제1항에 의해 지방자치단체의 장과 지방의회의 의장은 민원 편의 등 공무 수행상 필요하다고 인정될 때 정규 근무시간 외에 근무하거나 토요일 또는 공휴일에 근무를 명할 수 있습니다. 이는 공무원의 휴가와 관련된 제한 없이 적용됩니다.
따라서, 휴가 마지막 날이라도 18시 이후에 초과근무를 명령받을 수 있으며, 이에 대한 대체휴무도 부여받을 수 있습니다. 단, 대체휴무는 근무의 연속성과 관련 규정에 따라 부여되며, 근무 중에 개인적인 용무로 인해 근무하지 않은 시간이 없는 경우에 인정됩니다.
**참고사항:**
- **초과근무의 정의:** 정규 근무시간 이외에 근무한 시간을 말하며, 토요일이나 공휴일에도 적용됩니다.
- **대체휴무 부여 조건:** 요일에 관계없이 정규 근무시간이 아닌 시간에 8시간 이상을 근무하면 대체휴무를 받을 수 있습니다.
- **연속성의 중요성:** 근무 중간에 개인적인 사유로 근무하지 않은 시간이 있으면 연속성이 인정되지 않아 대체휴무 부여가 어려울 수 있습니다.
따라서, 휴가 마지막 날 18시 이후라도 필요한 경우 초과근무를 할 수 있으며, 이에 따른 대체휴무를 통해 휴식을 취할 수 있습니다. 자세한 사항은 해당 지방자치단체의 인사 담당자나 복무 관리 규정을 확인하시기 바랍니다. 추가적인 도움이 필요하시면 언제든지 말씀해 주세요!</t>
  </si>
  <si>
    <t>c7c83916-a444-4c61-b42b-8387b89ba4c1</t>
  </si>
  <si>
    <t>육아휴직수당의 지급 금액은 얼마인가요?</t>
  </si>
  <si>
    <t>21</t>
  </si>
  <si>
    <t>12bd4005a95047569578924712055b08</t>
  </si>
  <si>
    <t>육아휴직수당의 지급 금액은 여러 요소에 따라 달라집니다. 일반적으로 육아휴직수당은 육아휴직 시작일 현재의 급여와 휴직 기간에 따라 계산됩니다.
예를 들어, **첫째 자녀**에 대한 육아휴직의 경우:
- **육아휴직 시작일부터 6개월째까지**: 육아휴직 시작일 현재의 월봉급액의 80%에 해당하는 금액을 지급합니다. 이때, 월별 지급액의 상한액은 다음과 같습니다:
  - **1개월째 ~ 3개월째**: 250만원
  - **4개월째 ~ 6개월째**: 200만원
- **육아휴직 7개월째 이후**: 육아휴직 시작일의 월봉급액의 80%에 해당하는 금액을 지급하며, 월별 상한액은 160만원입니다.
또한, **둘째 이후 자녀**에 대한 육아휴직의 경우에는 휴직 중 15% 공제 없이 육아휴직수당 전액을 지급합니다.
그리고 **한부모가족지원법**에 따른 모 또는 부에 해당하는 공무원이 육아휴직을 할 경우에도 특별한 지급 기준이 있습니다.
보다 정확한 금액을 알기 위해서는 귀하가 속한 기관의 인사 담당자나 관련 규정을 참고하시는 것이 좋습니다. 만약 구체적인 상황이나 추가 정보가 필요하시다면 알려주세요! 도와드릴 수 있는 다른 내용이 있으면 말씀해 주세요.</t>
  </si>
  <si>
    <t>a6575ca5-7d31-48a3-8d5e-0904c262b7d8</t>
  </si>
  <si>
    <t>7e532afc-45c7-4fc7-8aaa-7a4c9baa0683</t>
  </si>
  <si>
    <t>0cc77955-271f-4d46-974e-09a475335c66</t>
  </si>
  <si>
    <t>2fb0a0bf-29cb-4592-90fc-279a16598677</t>
  </si>
  <si>
    <t>2c892ab8-7053-4aca-839a-73180b93a5a6</t>
  </si>
  <si>
    <t>가족수당의 지급 금액은 어떻게 되나요?</t>
  </si>
  <si>
    <t>d8b5df43387642cdb4d81c67438f7bdf</t>
  </si>
  <si>
    <t>가족수당은 부양가족이 있는 공무원에게 지급되며, 지급액은 다음과 같습니다:
- **배우자**: 월 40,000원
- **자녀**:
  - 첫째 자녀: 월 50,000원
  - 둘째 자녀: 월 80,000원
  - 셋째 이후 자녀: 월 120,000원
- **배우자와 자녀를 제외한 부양가족**(예: 부모님, 형제자매 등): 1명당 월 20,000원
이러한 가족수당은 공무원의 봉급 외에 추가로 지급되는 수당이며, 부양가족의 수와 종류에 따라 지급액이 결정됩니다. 또한, 가족수당은 매년 정부 정책에 따라 변동될 수 있으므로 최신 정보를 확인하시는 것이 좋습니다. 더 궁금한 점이 있으시면 언제든지 물어보세요!</t>
  </si>
  <si>
    <t>8da2d05e-692d-4589-a4c3-7467a4a349a4</t>
  </si>
  <si>
    <t>241_2025_인구정책담당관_업무매뉴얼_여성가족부_2025년_가족사업안내_1권.pdf</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</si>
  <si>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</si>
  <si>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</si>
  <si>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</si>
  <si>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</si>
  <si>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</si>
  <si>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</si>
  <si>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23</t>
  </si>
  <si>
    <t>2b3e54a7cb064c25af109a1649bade98</t>
  </si>
  <si>
    <t>공무직 직원이 휴직하였는데, 기간제 승인을 받을 수 있나요?</t>
  </si>
  <si>
    <t>0dfb098833e147e1b3870a0d20194bd1</t>
  </si>
  <si>
    <t>네, 가능합니다. 부산광역시 공무직 및 기간제노동자 인사관리 규정에 따르면, 공무원 및 공무직·청원경찰·기간제노동자가 출산휴가와 육아휴직, 질병휴직, 간병휴직으로 3개월 이상 결원이 발생할 경우, 해당 직원이 복귀할 때까지 기간제노동자를 대체인력으로 근무하게 할 수 있습니다. 이때 대체인력의 근무기간은 해당 직원의 휴가나 휴직 등의 기간을 초과할 수 없습니다. 따라서 공무직 직원이 휴직한 경우, 그 자리를 대신할 기간제노동자에 대한 승인이 가능하며, 이는 규정에서 허용하는 예외적인 상황입니다. 자세한 내용은 제11조 제2항을 참고하시면 됩니다.</t>
  </si>
  <si>
    <t>99476865-e057-4c54-b2d2-51ba4c839169</t>
  </si>
  <si>
    <t>d85f8e26-dac8-4bac-9dd7-8c12b866862b</t>
  </si>
  <si>
    <t>예산 통계목별 꼭 거쳐야 하는 예산 사전절차는 어떤것들이 있으며, 그 사전절차 과정은 어떻게 되나요?</t>
  </si>
  <si>
    <t>81572904dc6d4f65a80959f2cab134da</t>
  </si>
  <si>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</si>
  <si>
    <t>일상경비 감사에서 가장 많이 지적되는 사항은 어떤것들이 있으며, 해당 케이스는 어떻게 처리해야 원칙적으로 처리되는 것인가요?</t>
  </si>
  <si>
    <t>1244_일상경비_감사_전달사항.pdf</t>
  </si>
  <si>
    <t>ebbf52391b4a430898a3b1299defe0b8</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</si>
  <si>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</si>
  <si>
    <t>321ed37e-c7a5-48f0-9191-8d1b64bc1341</t>
  </si>
  <si>
    <t>03b1d649-71fd-486b-b670-96d7f7165c27</t>
  </si>
  <si>
    <t>조달청에서 물품을 구입하려면 어떤 절차를 거쳐야 하며, e호조는 어떤식으로 진행되어야 하나요?</t>
  </si>
  <si>
    <t>a7b7be6e86f540349b4be12bf62d834e</t>
  </si>
  <si>
    <t>일상경비로 계약을 하는 경우, 필요한 서류는 어떤것들이 있으며, e호조는 어떻게 진행해야 하나요?</t>
  </si>
  <si>
    <t>7, 8</t>
  </si>
  <si>
    <t>1449f0ecf4bc4ccbb096f85f8b22ec6d</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</si>
  <si>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</si>
  <si>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</si>
  <si>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dd6bd3e6b0d340bfbe28e6d15c8b5fbe</t>
  </si>
  <si>
    <t>관내출장을 갔다가 관외출장을 가는경우, 출장비는 어떻게 지급되어야 하나요?</t>
  </si>
  <si>
    <t>14</t>
  </si>
  <si>
    <t>d43dfe6bc8bc4678b62743a6fdb6a8fe</t>
  </si>
  <si>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</si>
  <si>
    <t>f2cc3c1a-e8c7-47de-9201-4106e61c909f</t>
  </si>
  <si>
    <t>715b0bb8-78d2-4e63-a7eb-07f6057a4bcd</t>
  </si>
  <si>
    <t>주말에 관외출장을 가는경우 초과근무나 대체휴무 지급이 가능한가요?</t>
  </si>
  <si>
    <t>d9507af5df2645dbaa08ff1da84f5974</t>
  </si>
  <si>
    <t>각종 홍보자료를 시청 홈페이지, 엘리베이터 화면, 기타 홍보게시판 등 게시하려면 어떻게 해야하나요?</t>
  </si>
  <si>
    <t>9db88403c77e412fb0e071877abdd7fa</t>
  </si>
  <si>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</si>
  <si>
    <t>계약시 종류별 절차 및 구비서류는 무엇인가요?</t>
  </si>
  <si>
    <t>4b1fe95c7ffd4e499ad412402da74914</t>
  </si>
  <si>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</si>
  <si>
    <t>공무국외출장 절차는 무엇인가요?</t>
  </si>
  <si>
    <t>1d0dc76e5b254cc8a6808a8e3e521195</t>
  </si>
  <si>
    <t>공무국외출장 절차는 다음과 같습니다.
1. **공무국외출장 계획 수립**: 공무국외출장을 계획하는 부서에서는 출장 목적, 일정, 방문 기관 등을 포함한 상세한 계획을 수립해야 합니다.
2. **사전 승인 및 예산 확보**: 출장 계획은 상위 부서나 관련 부서의 승인을 받아야 하며, 출장 비용에 대한 예산을 확보해야 합니다.
3. **공무국외출장 심사 신청**: 공무국외출장 심사위원회에 심사를 신청합니다. 이때 출장 계획서와 관련된 서류들을 제출해야 합니다.
4. **심사위원회 심사**: 심사위원회는 제출된 자료를 바탕으로 출장의 필요성, 방문 국가의 타당성, 여행자의 적합성 등을 종합적으로 평가합니다.
5. **심사 결과 통보**: 심사 결과는 신청 부서로 통보되며, 승인될 경우 출장을 진행할 수 있습니다.
6. **보안 교육 및 준수**: 출국 전 공무국외출장자는 보안 서약서 작성, 안전 수칙 교육 등 필요한 절차를 이수해야 합니다.
7. **출장 수행**: 계획된 일정에 따라 출장을 수행하며, 현지에서의 모든 활동은 공식 업무에 초점을 맞춰야 합니다.
8. **귀국 후 보고서 제출**: 출장 후에는 출장 결과를 정리한 보고서를 작성하여 제출해야 합니다. 이는 추후 유사한 출장에 참고 자료로 활용됩니다.
9. **사후 관리**: 출장 중 얻은 정보나 자료는 관련 부서에 공유되고, 후속 조치나 정책 개발에 활용됩니다.
이러한 절차를 통해 공무국외출장은 투명하고 효율적으로 이루어지며, 예산 낭비를 방지하고 업무 효율성을 높일 수 있습니다. 추가적인 문의 사항이 있으시면 언제든지 말씀해 주세요!</t>
  </si>
  <si>
    <t>b29c8120-2337-4bf6-a34c-8fd9566c290e</t>
  </si>
  <si>
    <t>8330217a-0b4a-4e44-87fa-e6a16776e71e</t>
  </si>
  <si>
    <t>3d057e26-da95-412b-ae56-7c4c6dad3476</t>
  </si>
  <si>
    <t>a683d03a-9adb-4efa-9dce-e40998300ef5</t>
  </si>
  <si>
    <t>nac 로그인이 안돼요(아이디, 초기비밀번호 등)</t>
  </si>
  <si>
    <t>a74428e1126b4192a141d400d4ebeb4e</t>
  </si>
  <si>
    <t>공무원증 분실시 청사 출입 방법과 재발급 방법은 무엇인가요?</t>
  </si>
  <si>
    <t>40d82e80431a43969c30702ab998e526</t>
  </si>
  <si>
    <t>시청 청사 내 주차 등록 방법은 무엇인가요?</t>
  </si>
  <si>
    <t>201c0ff2e1e14f5c96517c2bae9860bc</t>
  </si>
  <si>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</si>
  <si>
    <t>공유재산 관리계획 수립 시 절차는 어떻게 되나요?</t>
  </si>
  <si>
    <t>1256_공유재산관리계획_작성기준.pdf</t>
  </si>
  <si>
    <t>17</t>
  </si>
  <si>
    <t>791bf5e008b442a19c4fbce81a7db83a</t>
  </si>
  <si>
    <t>공유재산 관리계획 수립 시 절차는 다음과 같습니다.
1. **사업계획 수립**: 먼저, 공유재산의 취득 또는 처분이 필요한 사업을 계획합니다. 이때 사업목적, 용도, 기간, 취득·처분하는 재산의 현황, 기준가격, 취득·처분방법 등을 명확하게 설정해야 합니다.
2. **공유재산관리계획 수립 대상 검토**:
   - **재산관리부서**에서는 총괄재산관리부서와 협의하여 해당 사업이 공유재산관리계획 수립 대상인지 확인합니다.
   - **총괄재산관리부서**에서는 재산관리부서로부터 제공받은 정보를 바탕으로 「공유재산 및 물품 관리법」 및 관련 규정에 따라 공유재산관리계획 수립 대상 여부를 검토합니다.
3. **공유재산관리계획 수립**:
   - 공유재산관리계획 수립 대상인 경우, 재산관리부서와 총괄재산관리부서가 협력하여 공유재산관리계획을 작성합니다.
   - 여기에는 사업명, 사업기간, 재산의 종류, 용도, 취득·처분면적, 기준가격 등이 포함됩니다.
4. **예산부서와의 협의**:
   - 재산관리부서는 총괄재산관리부서를 통해 공유재산관리계획 수립 결과를 예산부서에 통보합니다.
   - 예산부서는 이를 토대로 예산안을 편성합니다.
5. **지방의회 제출 및 심의**:
   - 지방자치단체의 장은 공유재산관리계획(안)과 예산편성(안)을 지방의회에 제출합니다.
   - 지방의회는 해당 안건을 심의하고 의결합니다.
6. **사업 추진**:
   - 지방의회의 의결을 거친 후, 지방자치단체는 공유재산관리계획에 따라 사업을 진행합니다.
이러한 절차를 통해 공유재산의 효율적이고 투명한 관리를 도모하며, 법령에 따른 절차를 준수함으로써 재정의 건전성을 유지합니다. 만약 추가적인 정보나 특정 부분에 대한 자세한 설명이 필요하다면 알려주세요!</t>
  </si>
  <si>
    <t>eb526b2c-280f-46e4-8ee3-4a90d362f41c</t>
  </si>
  <si>
    <t>2e4d564a-b45e-43fc-9874-00c64bce402e</t>
  </si>
  <si>
    <t>d9f21e88-de99-4fe8-ade1-af7d18412f41</t>
  </si>
  <si>
    <t>301750b4-3f18-4d2b-b2bb-ab7f3b101d7a</t>
  </si>
  <si>
    <t>2de0f0c8-62b8-4a49-95ad-da8779b388e1</t>
  </si>
  <si>
    <t>행정전자서명(GPKI) 재발급 방법을 알려주세요</t>
  </si>
  <si>
    <t>5f9e9d73360748429f18ad163752f7f2</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</si>
  <si>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</si>
  <si>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</si>
  <si>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</si>
  <si>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649c78b4623443e3b4fc0a71cf3ab348</t>
  </si>
  <si>
    <t>정산검사 결과 보고서는 보조금 또는 예산 사용에 대한 정확한 회계 처리와 투명한 자금 운용을 확인하기 위해 작성되는 중요한 문서입니다. 이러한 보고서를 작성할 때 일반적으로 포함되어야 할 주요 내용은 다음과 같습니다:
1. **기본 정보**
   - 보고서 번호 및 발행 일자
   - 보고 대상 기관 또는 프로젝트명
   - 담당자 및 책임자의 서명
2. **목적 및 범위**
   - 정산검사의 목적과 범위를 명확히 기술합니다.
   - 검사의 대상이 되는 기간과 금액을 명시합니다.
3. **정산 검사 방법론**
   - 사용된 회계 감사 기법이나 평가 방법을 설명합니다.
   - 내부 통제 시스템의 점검 여부 및 그 결과에 대해 언급합니다.
4. **정산 결과 요약**
   - 전반적인 정산 상태를 요약하여 제공합니다.
   - 수입과 지출의 일치 여부, 잔액의 적정성 등에 대한 평가를 포함합니다.
5. **수입 및 지출 세부 내역**
   - 모든 수입과 지출 항목을 상세히 기록합니다.
   - 거래 날짜, 상대방, 거래 내용, 금액 등이 포함됩니다.
6. **차이 발생 사유**
   - 정산 과정에서 발생한 차이의 원인을 분석합니다.
   - 오차의 종류(예: 계산 오류, 누락, 중복 청구 등)를 분류합니다.
7. **문제점 및 개선 권고 사항**
   - 발견된 문제점과 이에 대한 개선 방안을 제시합니다.
   - 향후 유사한 문제가 재발하지 않도록 예방 조치를 권장합니다.
8. **증빙 서류 첨부**
   - 모든 거래에 대한 증빙 자료를 첨부합니다.
   - 영수증, 계약서, 송장 등 실제 거래를 입증하는 문서가 포함됩니다.
9. **감사 의견**
   - 정산 결과에 대한 최종 의견을 제시합니다.
   - 재정 상태가 적정하며 규정에 부합하는지 여부를 판단합니다.
10. **관련 법규 및 규정 준수 여부**
    - 해당 활동이 관련 법규와 규정을 준수했는지 확인합니다.
    - 위반 사항이 있을 경우 그 내용과 영향에 대해 기술합니다.
이러한 요소들을 포함하여 보고서를 작성하면, 정산 과정에서의 투명성과 책임성을 높이고, 향후 재정 관리의 효율성을 향상시킬 수 있습니다. 또한, 관련 이해관계자들에게 정확하고 신뢰할 수 있는 정보를 제공할 수 있게 됩니다. 보고서를 작성할 때는 명확하고 간결한 표현을 사용하고, 필요한 경우 도표나 그래프를 활용하여 복잡한 데이터를 쉽게 이해할 수 있도록 구성하는 것이 좋습니다.</t>
  </si>
  <si>
    <t>8bc7be8f-ead9-4917-956d-0906893f67b4</t>
  </si>
  <si>
    <t>고충민원이 들어왔을 때 처리절차를 알려주세요</t>
  </si>
  <si>
    <t>139</t>
  </si>
  <si>
    <t>c3e33e3f2ac4410f992ffc1842e779e4</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</si>
  <si>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</si>
  <si>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</si>
  <si>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</si>
  <si>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</si>
  <si>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</si>
  <si>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</si>
  <si>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</si>
  <si>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</si>
  <si>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</si>
  <si>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f4a5dee440844408b2598fd0cc35e4d3</t>
  </si>
  <si>
    <t>네, 계약입찰공고 시 공고기간은 초일을 포함하여 계산해야 합니다. 이는 지방계약법 시행령 제36조에 따르면 "입찰공고 기간은 공고일부터 개찰일까지의 기간을 말하며, 그 기간은 초일을 산입한다"라고 규정되어 있습니다. 따라서 공고기간을 계산할 때는 공고일을 포함하여 시작하며, 개찰일은 제외하고 나머지 일수를 계산하게 됩니다.
예를 들어, 공고기간이 7일로 공고되었다면, 공고일을 첫날로 하여 7일간 공고되고, 마지막 날인 7일째 되는 날에 개찰이 이루어집니다. 이때 토·공휴일은 공고기간에 포함되며, 개찰일은 제외됩니다.
따라서 계약입찰공고 시에는 이러한 규정을 정확히 이해하고 공고기간을 설정하여야 하며, 이를 통해 입찰 참여자들이 충분한 시간을 가지고 입찰에 참여할 수 있도록 해야 합니다. 만약 공고기간 계산에 혼동이 있다면, 관련 법령이나 지침서를 참고하거나 담당 부서에 문의하여 정확한 정보를 얻는 것이 좋습니다. 추가로 도움이 필요하시면 언제든지 말씀해 주세요!</t>
  </si>
  <si>
    <t>72e9bf70-bd20-4b74-9466-c6b4ca3bb3a1</t>
  </si>
  <si>
    <t>cecbaed6-245a-4ada-a28b-2c05b32c13c7</t>
  </si>
  <si>
    <t>예산변경의 절차에 대해서 알려주세요</t>
  </si>
  <si>
    <t>404</t>
  </si>
  <si>
    <t>6f819a115c11412e8f2896db1dc3447c</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</si>
  <si>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</si>
  <si>
    <t>fe2a1e0e-54ce-4cee-9e1c-15e9468c6de9</t>
  </si>
  <si>
    <t>법률자문은 어떻게 진행되나요?</t>
  </si>
  <si>
    <t>58edd4f25bc64a7c8af86fc3e251307a</t>
  </si>
  <si>
    <t>조례를 제정,개정하기 위한 행정절차 가이드라인을 알려줄 수 있는지?</t>
  </si>
  <si>
    <t>daba3275acab4154a68276fa898d1f0e</t>
  </si>
  <si>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</si>
  <si>
    <t>PC를 새로 교체했을 때 해야하는 보안절차가 있는지?</t>
  </si>
  <si>
    <t>88abe4cf84444cb59fc5974319379c38</t>
  </si>
  <si>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</si>
  <si>
    <t>10fba99152f2493d9ef67781e192ca32</t>
  </si>
  <si>
    <t>bf42ae1e4a124c958f2376260d63b9dd</t>
  </si>
  <si>
    <t>e7313ca42a2748e7adfd2db38b23c507</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</si>
  <si>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2. **클린카드 의무적 제한 업종**:
   - **유흥업종**: 한국표준산업분류에 따라 접객요원을 두고 술을 판매하는 일반유흥주점과 무도시설을 갖추고 술을 판매하는 무도유흥주점이 이에 해당합니다.
     - 일반유흥주점: 룸살롱, 단란주점, 가라오케, 가요주점, 요정, 비어홀, 바 등
     - 무도유흥주점: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 **사행업종**: 카지노, 복권방, 오락실
   - **기타업종**: 성인용품점, 총포류 판매점
3. **현금 사용 제한**:
   - 업무추진비는 원칙적으로 현금을 사용할 수 없습니다.
   - 그러나 격려금, 축의금, 부의금 등 현금 집행이 불가피한 경우에는 예외적으로 사용할 수 있습니다.
   - 이때는 지출품의서에 지급 목적, 대상, 금액, 지급 필요성 등을 상세히 기록해야 합니다.
4. **심야 시간 및 자택 근처에서의 사용 제한**:
   - 심야(23시 이후)나 사용자의 자택 근처 등에서 통상적인 업무 추진과 관련이 적은 시간과 장소에서는 사용할 수 없습니다.
   - 하지만 직무 관련성을 증명하는 객관적 증빙서류를 제출하면 예외적으로 허용됩니다.
5. **접대비 집행 기준**:
   - 간담회 등 접대비는 특별한 사유 없이 1인당 1회당 4만원 이하로 집행해야 합니다.
   - 행사의 성격이나 불가피한 사유로 인해 4만원을 초과해야 하는 경우에는 증빙서류에 사유를 명시하고 집행할 수 있습니다.
   - 또한, 「청탁금지법」 적용 대상인 공직자 등에게 접대비를 집행할 때는 3만원 이하로 집행해야 합니다.
   - 기념품 및 특산품 지급은 5만원 이하로 집행 가능합니다.
   - 「농수산물 품질관리법」에 따른 농수산물 및 농수산가공품은 10만원까지 가능합니다.
6. **집행 내용 기록**:
   - 업무추진비를 집행할 때에는 집행목적, 일시, 장소, 집행 대상 등을 증빙서류에 명확하게 기재해야 합니다.
   - 특히, 건당 50만원 이상의 경우에는 주된 상대방의 소속 또는 주소 및 성명을 반드시 기재해야 합니다.
7. **상품권, 기념품, 특산품 관리**:
   - 업무추진비로 이러한 물품을 구매한 경우에는 지급관리 대장에 지급일시, 대상자, 수량 등을 기재하고 결재를 받아야 합니다.
   - 이를 통해 물품이 사적으로 사용되는 것을 방지하고 투명하게 관리할 수 있습니다.
이러한 기준들은 업무추진비가 적절하고 투명하게 사용되도록 하기 위한 것입니다. 만약 더 자세한 정보가 필요하시다면 해당 지침의 원문을 참고하시는 것이 좋습니다. 도움이 되었길 바랍니다!</t>
  </si>
  <si>
    <t>엑셀, 한글 등 SW프로그램을 새로 다운받는 방법을 알려주세요</t>
  </si>
  <si>
    <t>477c13ff090a4a5a9da11d09ad0decb9</t>
  </si>
  <si>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</si>
  <si>
    <t>a9520f81-11c3-45d9-8966-a188243da387</t>
  </si>
  <si>
    <t>e6f5fc829aea4812b1c68e659ca5d13d</t>
  </si>
  <si>
    <t>관내출장 시 18:00 이후 복귀하여도 출장 시간 인정이 되는지 궁금합니다.</t>
  </si>
  <si>
    <t>1249_지방공무원_복무규정대통령령제35666호20250722.pdf</t>
  </si>
  <si>
    <t>a733b2b7a8df45d0888ab45cf4c6a114</t>
  </si>
  <si>
    <t>예산 수시 배정 절차가 궁금합니다.</t>
  </si>
  <si>
    <t>163</t>
  </si>
  <si>
    <t>59d323f30ee2430e9e2a8e7fcd2482b9</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</si>
  <si>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긴급하게 집행이 필요할 때 진행됩니다.
2. **세출예산배정계획 조정**: 예산부서에서는 사업부서로부터 제출된 세출예산수시배정요구서를 검토합니다. 만약 배정에 결격사유가 없다면, 세출예산배정계획을 조정하여 수시 배정을 준비합니다.
3. **수시배정 확정 및 관계부서 통지**: 예산부서에서 수시배정을 확정하면, 이를 관계부서에 공식적으로 통지합니다. 이로써 예산의 수시 배정이 완료되며, 사업부서에서는 해당 예산을 집행할 수 있게 됩니다.
**참고사항**
- **배정 단위**: 예산부서는 세부사업별·편성목 단위로 예산을 배정하며, 회계 처리 등을 고려하여 통계목까지 내부적으로 관리합니다.
- **회계처리**: 예산 재배정 시에는 예산부서에서 편성목까지 확정하고, 회계 처리를 위해 통계목까지를 내부적으로 관리합니다.
위의 절차를 통해 예산의 효율적인 운용과 신속한 대응이 가능합니다. 추가적인 질문이나 도움이 필요하시면 언제든지 말씀해 주세요!</t>
  </si>
  <si>
    <t>0f102545-033c-490f-b3e6-04a3a70b22a4</t>
  </si>
  <si>
    <t>1258_2507_예산담당관_업무매뉴얼_행정안전부_2026년도_지방자치단체_예산편성_운영기준_및_기금운용계획_수립기준최종.pdf</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</si>
  <si>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</si>
  <si>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</si>
  <si>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</si>
  <si>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</si>
  <si>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</si>
  <si>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총질문수</t>
    <phoneticPr fontId="3" type="noConversion"/>
  </si>
  <si>
    <t>검색TOP5포함</t>
    <phoneticPr fontId="3" type="noConversion"/>
  </si>
  <si>
    <t>LLM정답청크선택</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</si>
</sst>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rgb="FFFF0000"/>
      <name val="맑은 고딕"/>
      <family val="3"/>
      <charset val="129"/>
    </font>
    <font>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9">
    <xf numFmtId="0" fontId="0" fillId="0" borderId="0" xfId="0"/>
    <xf numFmtId="0" fontId="0" fillId="0" borderId="0" xfId="0" applyAlignment="1">
      <alignment vertical="top" wrapText="1"/>
    </xf>
    <xf numFmtId="0" fontId="1" fillId="0" borderId="0" xfId="0" applyFont="1"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0" borderId="0" xfId="0"/>
    <xf numFmtId="0" fontId="0" fillId="0" borderId="0" xfId="0" applyAlignment="1">
      <alignment vertical="top"/>
    </xf>
    <xf numFmtId="10" fontId="0" fillId="0" borderId="0" xfId="1" applyNumberFormat="1" applyFont="1" applyAlignment="1"/>
  </cellXfs>
  <cellStyles count="2">
    <cellStyle name="백분율" xfId="1" builtinId="5"/>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891B-D1AB-49C6-A371-9FE6DCE5EB07}">
  <dimension ref="A1:C3"/>
  <sheetViews>
    <sheetView tabSelected="1" workbookViewId="0">
      <selection activeCell="F8" sqref="F8"/>
    </sheetView>
  </sheetViews>
  <sheetFormatPr defaultRowHeight="16.5" x14ac:dyDescent="0.3"/>
  <cols>
    <col min="1" max="1" width="16.875" bestFit="1" customWidth="1"/>
  </cols>
  <sheetData>
    <row r="1" spans="1:3" x14ac:dyDescent="0.3">
      <c r="A1" t="s">
        <v>868</v>
      </c>
      <c r="B1">
        <f>COUNTA(Logs!A:A) - 1</f>
        <v>167</v>
      </c>
    </row>
    <row r="2" spans="1:3" x14ac:dyDescent="0.3">
      <c r="A2" t="s">
        <v>869</v>
      </c>
      <c r="B2">
        <f>COUNTIF(Logs!D:D, "존재")</f>
        <v>101</v>
      </c>
      <c r="C2" s="8">
        <f>B2/B1</f>
        <v>0.60479041916167664</v>
      </c>
    </row>
    <row r="3" spans="1:3" x14ac:dyDescent="0.3">
      <c r="A3" t="s">
        <v>870</v>
      </c>
      <c r="B3">
        <f>COUNTIF(Logs!E:E, "참조")</f>
        <v>97</v>
      </c>
      <c r="C3" s="8">
        <f>B3/B1</f>
        <v>0.58083832335329344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6"/>
  <sheetViews>
    <sheetView workbookViewId="0">
      <selection activeCell="E2" sqref="E2:E6"/>
    </sheetView>
  </sheetViews>
  <sheetFormatPr defaultRowHeight="16.5" x14ac:dyDescent="0.3"/>
  <cols>
    <col min="1" max="1" width="30" customWidth="1"/>
    <col min="2" max="2" width="20" customWidth="1"/>
    <col min="3" max="6" width="10" customWidth="1"/>
    <col min="7" max="7" width="50" customWidth="1"/>
    <col min="8" max="10" width="10" customWidth="1"/>
    <col min="11" max="11" width="30" customWidth="1"/>
    <col min="12" max="12" width="10" customWidth="1"/>
  </cols>
  <sheetData>
    <row r="1" spans="1:12" x14ac:dyDescent="0.3">
      <c r="A1" t="s">
        <v>0</v>
      </c>
      <c r="B1" t="s">
        <v>1</v>
      </c>
      <c r="C1" t="s">
        <v>2</v>
      </c>
      <c r="D1" t="s">
        <v>3</v>
      </c>
      <c r="E1" t="s">
        <v>4</v>
      </c>
      <c r="F1" t="s">
        <v>5</v>
      </c>
      <c r="G1" t="s">
        <v>6</v>
      </c>
      <c r="H1" t="s">
        <v>7</v>
      </c>
      <c r="I1" t="s">
        <v>8</v>
      </c>
      <c r="J1" t="s">
        <v>9</v>
      </c>
      <c r="K1" t="s">
        <v>10</v>
      </c>
      <c r="L1" t="s">
        <v>11</v>
      </c>
    </row>
    <row r="2" spans="1:12" ht="90" customHeight="1" x14ac:dyDescent="0.3">
      <c r="A2" s="5" t="s">
        <v>12</v>
      </c>
      <c r="B2" s="5" t="s">
        <v>13</v>
      </c>
      <c r="C2" s="5" t="s">
        <v>14</v>
      </c>
      <c r="D2" s="7" t="s">
        <v>15</v>
      </c>
      <c r="E2" s="7" t="s">
        <v>16</v>
      </c>
      <c r="F2" s="5" t="s">
        <v>17</v>
      </c>
      <c r="G2" s="5" t="s">
        <v>18</v>
      </c>
      <c r="H2" s="1"/>
      <c r="I2" s="1"/>
      <c r="J2" s="1"/>
      <c r="K2" s="1"/>
      <c r="L2" s="1"/>
    </row>
    <row r="3" spans="1:12" ht="90" customHeight="1" x14ac:dyDescent="0.3">
      <c r="A3" s="6"/>
      <c r="B3" s="6"/>
      <c r="C3" s="6"/>
      <c r="D3" s="6"/>
      <c r="E3" s="6"/>
      <c r="F3" s="6"/>
      <c r="G3" s="6"/>
      <c r="H3" s="1"/>
      <c r="I3" s="1"/>
      <c r="J3" s="1"/>
      <c r="K3" s="1"/>
      <c r="L3" s="1"/>
    </row>
    <row r="4" spans="1:12" ht="90" customHeight="1" x14ac:dyDescent="0.3">
      <c r="A4" s="6"/>
      <c r="B4" s="6"/>
      <c r="C4" s="6"/>
      <c r="D4" s="6"/>
      <c r="E4" s="6"/>
      <c r="F4" s="6"/>
      <c r="G4" s="6"/>
      <c r="H4" s="1"/>
      <c r="I4" s="1"/>
      <c r="J4" s="1"/>
      <c r="K4" s="1"/>
      <c r="L4" s="1"/>
    </row>
    <row r="5" spans="1:12" ht="90" customHeight="1" x14ac:dyDescent="0.3">
      <c r="A5" s="6"/>
      <c r="B5" s="6"/>
      <c r="C5" s="6"/>
      <c r="D5" s="6"/>
      <c r="E5" s="6"/>
      <c r="F5" s="6"/>
      <c r="G5" s="6"/>
      <c r="H5" s="1"/>
      <c r="I5" s="1"/>
      <c r="J5" s="1"/>
      <c r="K5" s="1"/>
      <c r="L5" s="1"/>
    </row>
    <row r="6" spans="1:12" ht="90" customHeight="1" x14ac:dyDescent="0.3">
      <c r="A6" s="6"/>
      <c r="B6" s="6"/>
      <c r="C6" s="6"/>
      <c r="D6" s="6"/>
      <c r="E6" s="6"/>
      <c r="F6" s="6"/>
      <c r="G6" s="6"/>
      <c r="H6" s="1"/>
      <c r="I6" s="1"/>
      <c r="J6" s="1"/>
      <c r="K6" s="1"/>
      <c r="L6" s="1"/>
    </row>
    <row r="7" spans="1:12" ht="90" customHeight="1" x14ac:dyDescent="0.3">
      <c r="A7" s="5" t="s">
        <v>19</v>
      </c>
      <c r="B7" s="5" t="s">
        <v>20</v>
      </c>
      <c r="C7" s="5" t="s">
        <v>21</v>
      </c>
      <c r="D7" s="7" t="s">
        <v>22</v>
      </c>
      <c r="E7" s="7" t="s">
        <v>23</v>
      </c>
      <c r="F7" s="5" t="s">
        <v>24</v>
      </c>
      <c r="G7" s="5" t="s">
        <v>25</v>
      </c>
      <c r="H7" s="3" t="s">
        <v>26</v>
      </c>
      <c r="I7" s="3">
        <v>0.993939453311524</v>
      </c>
      <c r="J7" s="3" t="s">
        <v>27</v>
      </c>
      <c r="K7" s="3" t="s">
        <v>20</v>
      </c>
      <c r="L7" s="3">
        <v>3</v>
      </c>
    </row>
    <row r="8" spans="1:12" ht="90" customHeight="1" x14ac:dyDescent="0.3">
      <c r="A8" s="6"/>
      <c r="B8" s="6"/>
      <c r="C8" s="6"/>
      <c r="D8" s="6"/>
      <c r="E8" s="6"/>
      <c r="F8" s="6"/>
      <c r="G8" s="6"/>
      <c r="H8" s="3" t="s">
        <v>28</v>
      </c>
      <c r="I8" s="3">
        <v>0.98212843704600317</v>
      </c>
      <c r="J8" s="3" t="s">
        <v>27</v>
      </c>
      <c r="K8" s="3" t="s">
        <v>20</v>
      </c>
      <c r="L8" s="3">
        <v>1</v>
      </c>
    </row>
    <row r="9" spans="1:12" ht="90" customHeight="1" x14ac:dyDescent="0.3">
      <c r="A9" s="6"/>
      <c r="B9" s="6"/>
      <c r="C9" s="6"/>
      <c r="D9" s="6"/>
      <c r="E9" s="6"/>
      <c r="F9" s="6"/>
      <c r="G9" s="6"/>
      <c r="H9" s="3" t="s">
        <v>29</v>
      </c>
      <c r="I9" s="3">
        <v>0.89566442351067332</v>
      </c>
      <c r="J9" s="3" t="s">
        <v>27</v>
      </c>
      <c r="K9" s="3" t="s">
        <v>20</v>
      </c>
      <c r="L9" s="3">
        <v>2</v>
      </c>
    </row>
    <row r="10" spans="1:12" ht="90" customHeight="1" x14ac:dyDescent="0.3">
      <c r="A10" s="6"/>
      <c r="B10" s="6"/>
      <c r="C10" s="6"/>
      <c r="D10" s="6"/>
      <c r="E10" s="6"/>
      <c r="F10" s="6"/>
      <c r="G10" s="6"/>
      <c r="H10" s="1"/>
      <c r="I10" s="1"/>
      <c r="J10" s="1"/>
      <c r="K10" s="1"/>
      <c r="L10" s="1"/>
    </row>
    <row r="11" spans="1:12" ht="90" customHeight="1" x14ac:dyDescent="0.3">
      <c r="A11" s="6"/>
      <c r="B11" s="6"/>
      <c r="C11" s="6"/>
      <c r="D11" s="6"/>
      <c r="E11" s="6"/>
      <c r="F11" s="6"/>
      <c r="G11" s="6"/>
      <c r="H11" s="1"/>
      <c r="I11" s="1"/>
      <c r="J11" s="1"/>
      <c r="K11" s="1"/>
      <c r="L11" s="1"/>
    </row>
    <row r="12" spans="1:12" ht="90" customHeight="1" x14ac:dyDescent="0.3">
      <c r="A12" s="5" t="s">
        <v>30</v>
      </c>
      <c r="B12" s="5" t="s">
        <v>20</v>
      </c>
      <c r="C12" s="5" t="s">
        <v>21</v>
      </c>
      <c r="D12" s="7" t="s">
        <v>22</v>
      </c>
      <c r="E12" s="7" t="s">
        <v>23</v>
      </c>
      <c r="F12" s="5" t="s">
        <v>31</v>
      </c>
      <c r="G12" s="5" t="s">
        <v>32</v>
      </c>
      <c r="H12" s="3" t="s">
        <v>26</v>
      </c>
      <c r="I12" s="3">
        <v>0.78545211508632895</v>
      </c>
      <c r="J12" s="3" t="s">
        <v>27</v>
      </c>
      <c r="K12" s="3" t="s">
        <v>20</v>
      </c>
      <c r="L12" s="3">
        <v>3</v>
      </c>
    </row>
    <row r="13" spans="1:12" ht="90" customHeight="1" x14ac:dyDescent="0.3">
      <c r="A13" s="6"/>
      <c r="B13" s="6"/>
      <c r="C13" s="6"/>
      <c r="D13" s="6"/>
      <c r="E13" s="6"/>
      <c r="F13" s="6"/>
      <c r="G13" s="6"/>
      <c r="H13" s="3" t="s">
        <v>28</v>
      </c>
      <c r="I13" s="3">
        <v>0.77866440435937367</v>
      </c>
      <c r="J13" s="3" t="s">
        <v>27</v>
      </c>
      <c r="K13" s="3" t="s">
        <v>20</v>
      </c>
      <c r="L13" s="3">
        <v>1</v>
      </c>
    </row>
    <row r="14" spans="1:12" ht="90" customHeight="1" x14ac:dyDescent="0.3">
      <c r="A14" s="6"/>
      <c r="B14" s="6"/>
      <c r="C14" s="6"/>
      <c r="D14" s="6"/>
      <c r="E14" s="6"/>
      <c r="F14" s="6"/>
      <c r="G14" s="6"/>
      <c r="H14" s="3" t="s">
        <v>29</v>
      </c>
      <c r="I14" s="3">
        <v>0.72140690755942172</v>
      </c>
      <c r="J14" s="3" t="s">
        <v>27</v>
      </c>
      <c r="K14" s="3" t="s">
        <v>20</v>
      </c>
      <c r="L14" s="3">
        <v>2</v>
      </c>
    </row>
    <row r="15" spans="1:12" ht="90" customHeight="1" x14ac:dyDescent="0.3">
      <c r="A15" s="6"/>
      <c r="B15" s="6"/>
      <c r="C15" s="6"/>
      <c r="D15" s="6"/>
      <c r="E15" s="6"/>
      <c r="F15" s="6"/>
      <c r="G15" s="6"/>
      <c r="H15" s="1"/>
      <c r="I15" s="1"/>
      <c r="J15" s="1"/>
      <c r="K15" s="1"/>
      <c r="L15" s="1"/>
    </row>
    <row r="16" spans="1:12" ht="90" customHeight="1" x14ac:dyDescent="0.3">
      <c r="A16" s="6"/>
      <c r="B16" s="6"/>
      <c r="C16" s="6"/>
      <c r="D16" s="6"/>
      <c r="E16" s="6"/>
      <c r="F16" s="6"/>
      <c r="G16" s="6"/>
      <c r="H16" s="1"/>
      <c r="I16" s="1"/>
      <c r="J16" s="1"/>
      <c r="K16" s="1"/>
      <c r="L16" s="1"/>
    </row>
    <row r="17" spans="1:12" ht="90" customHeight="1" x14ac:dyDescent="0.3">
      <c r="A17" s="5" t="s">
        <v>33</v>
      </c>
      <c r="B17" s="5" t="s">
        <v>34</v>
      </c>
      <c r="C17" s="5" t="s">
        <v>14</v>
      </c>
      <c r="D17" s="7" t="s">
        <v>15</v>
      </c>
      <c r="E17" s="7" t="s">
        <v>16</v>
      </c>
      <c r="F17" s="5" t="s">
        <v>35</v>
      </c>
      <c r="G17" s="5" t="s">
        <v>18</v>
      </c>
      <c r="H17" s="1"/>
      <c r="I17" s="1"/>
      <c r="J17" s="1"/>
      <c r="K17" s="1"/>
      <c r="L17" s="1"/>
    </row>
    <row r="18" spans="1:12" ht="90" customHeight="1" x14ac:dyDescent="0.3">
      <c r="A18" s="6"/>
      <c r="B18" s="6"/>
      <c r="C18" s="6"/>
      <c r="D18" s="6"/>
      <c r="E18" s="6"/>
      <c r="F18" s="6"/>
      <c r="G18" s="6"/>
      <c r="H18" s="1"/>
      <c r="I18" s="1"/>
      <c r="J18" s="1"/>
      <c r="K18" s="1"/>
      <c r="L18" s="1"/>
    </row>
    <row r="19" spans="1:12" ht="90" customHeight="1" x14ac:dyDescent="0.3">
      <c r="A19" s="6"/>
      <c r="B19" s="6"/>
      <c r="C19" s="6"/>
      <c r="D19" s="6"/>
      <c r="E19" s="6"/>
      <c r="F19" s="6"/>
      <c r="G19" s="6"/>
      <c r="H19" s="1"/>
      <c r="I19" s="1"/>
      <c r="J19" s="1"/>
      <c r="K19" s="1"/>
      <c r="L19" s="1"/>
    </row>
    <row r="20" spans="1:12" ht="90" customHeight="1" x14ac:dyDescent="0.3">
      <c r="A20" s="6"/>
      <c r="B20" s="6"/>
      <c r="C20" s="6"/>
      <c r="D20" s="6"/>
      <c r="E20" s="6"/>
      <c r="F20" s="6"/>
      <c r="G20" s="6"/>
      <c r="H20" s="1"/>
      <c r="I20" s="1"/>
      <c r="J20" s="1"/>
      <c r="K20" s="1"/>
      <c r="L20" s="1"/>
    </row>
    <row r="21" spans="1:12" ht="90" customHeight="1" x14ac:dyDescent="0.3">
      <c r="A21" s="6"/>
      <c r="B21" s="6"/>
      <c r="C21" s="6"/>
      <c r="D21" s="6"/>
      <c r="E21" s="6"/>
      <c r="F21" s="6"/>
      <c r="G21" s="6"/>
      <c r="H21" s="1"/>
      <c r="I21" s="1"/>
      <c r="J21" s="1"/>
      <c r="K21" s="1"/>
      <c r="L21" s="1"/>
    </row>
    <row r="22" spans="1:12" ht="90" customHeight="1" x14ac:dyDescent="0.3">
      <c r="A22" s="5" t="s">
        <v>36</v>
      </c>
      <c r="B22" s="5" t="s">
        <v>37</v>
      </c>
      <c r="C22" s="5" t="s">
        <v>14</v>
      </c>
      <c r="D22" s="7" t="s">
        <v>22</v>
      </c>
      <c r="E22" s="7" t="s">
        <v>23</v>
      </c>
      <c r="F22" s="5" t="s">
        <v>38</v>
      </c>
      <c r="G22" s="5" t="s">
        <v>39</v>
      </c>
      <c r="H22" s="3" t="s">
        <v>40</v>
      </c>
      <c r="I22" s="3">
        <v>0.99787998199462868</v>
      </c>
      <c r="J22" s="3" t="s">
        <v>27</v>
      </c>
      <c r="K22" s="3" t="s">
        <v>37</v>
      </c>
      <c r="L22" s="3">
        <v>1</v>
      </c>
    </row>
    <row r="23" spans="1:12" ht="90" customHeight="1" x14ac:dyDescent="0.3">
      <c r="A23" s="6"/>
      <c r="B23" s="6"/>
      <c r="C23" s="6"/>
      <c r="D23" s="6"/>
      <c r="E23" s="6"/>
      <c r="F23" s="6"/>
      <c r="G23" s="6"/>
      <c r="H23" s="1"/>
      <c r="I23" s="1"/>
      <c r="J23" s="1"/>
      <c r="K23" s="1"/>
      <c r="L23" s="1"/>
    </row>
    <row r="24" spans="1:12" ht="90" customHeight="1" x14ac:dyDescent="0.3">
      <c r="A24" s="6"/>
      <c r="B24" s="6"/>
      <c r="C24" s="6"/>
      <c r="D24" s="6"/>
      <c r="E24" s="6"/>
      <c r="F24" s="6"/>
      <c r="G24" s="6"/>
      <c r="H24" s="1"/>
      <c r="I24" s="1"/>
      <c r="J24" s="1"/>
      <c r="K24" s="1"/>
      <c r="L24" s="1"/>
    </row>
    <row r="25" spans="1:12" ht="90" customHeight="1" x14ac:dyDescent="0.3">
      <c r="A25" s="6"/>
      <c r="B25" s="6"/>
      <c r="C25" s="6"/>
      <c r="D25" s="6"/>
      <c r="E25" s="6"/>
      <c r="F25" s="6"/>
      <c r="G25" s="6"/>
      <c r="H25" s="1"/>
      <c r="I25" s="1"/>
      <c r="J25" s="1"/>
      <c r="K25" s="1"/>
      <c r="L25" s="1"/>
    </row>
    <row r="26" spans="1:12" ht="90" customHeight="1" x14ac:dyDescent="0.3">
      <c r="A26" s="6"/>
      <c r="B26" s="6"/>
      <c r="C26" s="6"/>
      <c r="D26" s="6"/>
      <c r="E26" s="6"/>
      <c r="F26" s="6"/>
      <c r="G26" s="6"/>
      <c r="H26" s="1"/>
      <c r="I26" s="1"/>
      <c r="J26" s="1"/>
      <c r="K26" s="1"/>
      <c r="L26" s="1"/>
    </row>
    <row r="27" spans="1:12" ht="90" customHeight="1" x14ac:dyDescent="0.3">
      <c r="A27" s="5" t="s">
        <v>41</v>
      </c>
      <c r="B27" s="5" t="s">
        <v>37</v>
      </c>
      <c r="C27" s="5" t="s">
        <v>14</v>
      </c>
      <c r="D27" s="7" t="s">
        <v>22</v>
      </c>
      <c r="E27" s="7" t="s">
        <v>23</v>
      </c>
      <c r="F27" s="5" t="s">
        <v>42</v>
      </c>
      <c r="G27" s="5" t="s">
        <v>43</v>
      </c>
      <c r="H27" s="3" t="s">
        <v>44</v>
      </c>
      <c r="I27" s="3">
        <v>0.99970752000808716</v>
      </c>
      <c r="J27" s="3" t="s">
        <v>27</v>
      </c>
      <c r="K27" s="3" t="s">
        <v>37</v>
      </c>
      <c r="L27" s="3">
        <v>1</v>
      </c>
    </row>
    <row r="28" spans="1:12" ht="90" customHeight="1" x14ac:dyDescent="0.3">
      <c r="A28" s="6"/>
      <c r="B28" s="6"/>
      <c r="C28" s="6"/>
      <c r="D28" s="6"/>
      <c r="E28" s="6"/>
      <c r="F28" s="6"/>
      <c r="G28" s="6"/>
      <c r="H28" s="2" t="s">
        <v>45</v>
      </c>
      <c r="I28" s="2">
        <v>0.88730227947235107</v>
      </c>
      <c r="J28" s="2" t="s">
        <v>27</v>
      </c>
      <c r="K28" s="2" t="s">
        <v>46</v>
      </c>
      <c r="L28" s="2">
        <v>10</v>
      </c>
    </row>
    <row r="29" spans="1:12" ht="90" customHeight="1" x14ac:dyDescent="0.3">
      <c r="A29" s="6"/>
      <c r="B29" s="6"/>
      <c r="C29" s="6"/>
      <c r="D29" s="6"/>
      <c r="E29" s="6"/>
      <c r="F29" s="6"/>
      <c r="G29" s="6"/>
      <c r="H29" s="1" t="s">
        <v>47</v>
      </c>
      <c r="I29" s="1">
        <v>0.76710452703602849</v>
      </c>
      <c r="J29" s="1" t="s">
        <v>27</v>
      </c>
      <c r="K29" s="1" t="s">
        <v>48</v>
      </c>
      <c r="L29" s="1">
        <v>4</v>
      </c>
    </row>
    <row r="30" spans="1:12" ht="90" customHeight="1" x14ac:dyDescent="0.3">
      <c r="A30" s="6"/>
      <c r="B30" s="6"/>
      <c r="C30" s="6"/>
      <c r="D30" s="6"/>
      <c r="E30" s="6"/>
      <c r="F30" s="6"/>
      <c r="G30" s="6"/>
      <c r="H30" s="1"/>
      <c r="I30" s="1"/>
      <c r="J30" s="1"/>
      <c r="K30" s="1"/>
      <c r="L30" s="1"/>
    </row>
    <row r="31" spans="1:12" ht="90" customHeight="1" x14ac:dyDescent="0.3">
      <c r="A31" s="6"/>
      <c r="B31" s="6"/>
      <c r="C31" s="6"/>
      <c r="D31" s="6"/>
      <c r="E31" s="6"/>
      <c r="F31" s="6"/>
      <c r="G31" s="6"/>
      <c r="H31" s="1"/>
      <c r="I31" s="1"/>
      <c r="J31" s="1"/>
      <c r="K31" s="1"/>
      <c r="L31" s="1"/>
    </row>
    <row r="32" spans="1:12" ht="90" customHeight="1" x14ac:dyDescent="0.3">
      <c r="A32" s="5" t="s">
        <v>49</v>
      </c>
      <c r="B32" s="5" t="s">
        <v>34</v>
      </c>
      <c r="C32" s="5" t="s">
        <v>14</v>
      </c>
      <c r="D32" s="7" t="s">
        <v>15</v>
      </c>
      <c r="E32" s="7" t="s">
        <v>16</v>
      </c>
      <c r="F32" s="5" t="s">
        <v>50</v>
      </c>
      <c r="G32" s="5" t="s">
        <v>51</v>
      </c>
      <c r="H32" s="2" t="s">
        <v>52</v>
      </c>
      <c r="I32" s="2">
        <v>0.97092235088348389</v>
      </c>
      <c r="J32" s="2" t="s">
        <v>27</v>
      </c>
      <c r="K32" s="2" t="s">
        <v>53</v>
      </c>
      <c r="L32" s="2">
        <v>2</v>
      </c>
    </row>
    <row r="33" spans="1:12" ht="90" customHeight="1" x14ac:dyDescent="0.3">
      <c r="A33" s="6"/>
      <c r="B33" s="6"/>
      <c r="C33" s="6"/>
      <c r="D33" s="6"/>
      <c r="E33" s="6"/>
      <c r="F33" s="6"/>
      <c r="G33" s="6"/>
      <c r="H33" s="2" t="s">
        <v>54</v>
      </c>
      <c r="I33" s="2">
        <v>0.93659758567810059</v>
      </c>
      <c r="J33" s="2" t="s">
        <v>27</v>
      </c>
      <c r="K33" s="2" t="s">
        <v>53</v>
      </c>
      <c r="L33" s="2">
        <v>1</v>
      </c>
    </row>
    <row r="34" spans="1:12" ht="90" customHeight="1" x14ac:dyDescent="0.3">
      <c r="A34" s="6"/>
      <c r="B34" s="6"/>
      <c r="C34" s="6"/>
      <c r="D34" s="6"/>
      <c r="E34" s="6"/>
      <c r="F34" s="6"/>
      <c r="G34" s="6"/>
      <c r="H34" s="2" t="s">
        <v>55</v>
      </c>
      <c r="I34" s="2">
        <v>0.84487539529800415</v>
      </c>
      <c r="J34" s="2" t="s">
        <v>27</v>
      </c>
      <c r="K34" s="2" t="s">
        <v>53</v>
      </c>
      <c r="L34" s="2">
        <v>3</v>
      </c>
    </row>
    <row r="35" spans="1:12" ht="90" customHeight="1" x14ac:dyDescent="0.3">
      <c r="A35" s="6"/>
      <c r="B35" s="6"/>
      <c r="C35" s="6"/>
      <c r="D35" s="6"/>
      <c r="E35" s="6"/>
      <c r="F35" s="6"/>
      <c r="G35" s="6"/>
      <c r="H35" s="1"/>
      <c r="I35" s="1"/>
      <c r="J35" s="1"/>
      <c r="K35" s="1"/>
      <c r="L35" s="1"/>
    </row>
    <row r="36" spans="1:12" ht="90" customHeight="1" x14ac:dyDescent="0.3">
      <c r="A36" s="6"/>
      <c r="B36" s="6"/>
      <c r="C36" s="6"/>
      <c r="D36" s="6"/>
      <c r="E36" s="6"/>
      <c r="F36" s="6"/>
      <c r="G36" s="6"/>
      <c r="H36" s="1"/>
      <c r="I36" s="1"/>
      <c r="J36" s="1"/>
      <c r="K36" s="1"/>
      <c r="L36" s="1"/>
    </row>
    <row r="37" spans="1:12" ht="90" customHeight="1" x14ac:dyDescent="0.3">
      <c r="A37" s="5" t="s">
        <v>56</v>
      </c>
      <c r="B37" s="5" t="s">
        <v>57</v>
      </c>
      <c r="C37" s="5" t="s">
        <v>14</v>
      </c>
      <c r="D37" s="7" t="s">
        <v>22</v>
      </c>
      <c r="E37" s="7" t="s">
        <v>23</v>
      </c>
      <c r="F37" s="5" t="s">
        <v>58</v>
      </c>
      <c r="G37" s="5" t="s">
        <v>59</v>
      </c>
      <c r="H37" s="3" t="s">
        <v>60</v>
      </c>
      <c r="I37" s="3">
        <v>0.9727787971496582</v>
      </c>
      <c r="J37" s="3" t="s">
        <v>27</v>
      </c>
      <c r="K37" s="3" t="s">
        <v>57</v>
      </c>
      <c r="L37" s="3">
        <v>1</v>
      </c>
    </row>
    <row r="38" spans="1:12" ht="90" customHeight="1" x14ac:dyDescent="0.3">
      <c r="A38" s="6"/>
      <c r="B38" s="6"/>
      <c r="C38" s="6"/>
      <c r="D38" s="6"/>
      <c r="E38" s="6"/>
      <c r="F38" s="6"/>
      <c r="G38" s="6"/>
      <c r="H38" s="1"/>
      <c r="I38" s="1"/>
      <c r="J38" s="1"/>
      <c r="K38" s="1"/>
      <c r="L38" s="1"/>
    </row>
    <row r="39" spans="1:12" ht="90" customHeight="1" x14ac:dyDescent="0.3">
      <c r="A39" s="6"/>
      <c r="B39" s="6"/>
      <c r="C39" s="6"/>
      <c r="D39" s="6"/>
      <c r="E39" s="6"/>
      <c r="F39" s="6"/>
      <c r="G39" s="6"/>
      <c r="H39" s="1"/>
      <c r="I39" s="1"/>
      <c r="J39" s="1"/>
      <c r="K39" s="1"/>
      <c r="L39" s="1"/>
    </row>
    <row r="40" spans="1:12" ht="90" customHeight="1" x14ac:dyDescent="0.3">
      <c r="A40" s="6"/>
      <c r="B40" s="6"/>
      <c r="C40" s="6"/>
      <c r="D40" s="6"/>
      <c r="E40" s="6"/>
      <c r="F40" s="6"/>
      <c r="G40" s="6"/>
      <c r="H40" s="1"/>
      <c r="I40" s="1"/>
      <c r="J40" s="1"/>
      <c r="K40" s="1"/>
      <c r="L40" s="1"/>
    </row>
    <row r="41" spans="1:12" ht="90" customHeight="1" x14ac:dyDescent="0.3">
      <c r="A41" s="6"/>
      <c r="B41" s="6"/>
      <c r="C41" s="6"/>
      <c r="D41" s="6"/>
      <c r="E41" s="6"/>
      <c r="F41" s="6"/>
      <c r="G41" s="6"/>
      <c r="H41" s="1"/>
      <c r="I41" s="1"/>
      <c r="J41" s="1"/>
      <c r="K41" s="1"/>
      <c r="L41" s="1"/>
    </row>
    <row r="42" spans="1:12" ht="90" customHeight="1" x14ac:dyDescent="0.3">
      <c r="A42" s="5" t="s">
        <v>49</v>
      </c>
      <c r="B42" s="5" t="s">
        <v>34</v>
      </c>
      <c r="C42" s="5" t="s">
        <v>14</v>
      </c>
      <c r="D42" s="7" t="s">
        <v>15</v>
      </c>
      <c r="E42" s="7" t="s">
        <v>16</v>
      </c>
      <c r="F42" s="5" t="s">
        <v>61</v>
      </c>
      <c r="G42" s="5" t="s">
        <v>51</v>
      </c>
      <c r="H42" s="2" t="s">
        <v>52</v>
      </c>
      <c r="I42" s="2">
        <v>0.97102397680282593</v>
      </c>
      <c r="J42" s="2" t="s">
        <v>27</v>
      </c>
      <c r="K42" s="2" t="s">
        <v>53</v>
      </c>
      <c r="L42" s="2">
        <v>2</v>
      </c>
    </row>
    <row r="43" spans="1:12" ht="90" customHeight="1" x14ac:dyDescent="0.3">
      <c r="A43" s="6"/>
      <c r="B43" s="6"/>
      <c r="C43" s="6"/>
      <c r="D43" s="6"/>
      <c r="E43" s="6"/>
      <c r="F43" s="6"/>
      <c r="G43" s="6"/>
      <c r="H43" s="2" t="s">
        <v>54</v>
      </c>
      <c r="I43" s="2">
        <v>0.93659764528274536</v>
      </c>
      <c r="J43" s="2" t="s">
        <v>27</v>
      </c>
      <c r="K43" s="2" t="s">
        <v>53</v>
      </c>
      <c r="L43" s="2">
        <v>1</v>
      </c>
    </row>
    <row r="44" spans="1:12" ht="90" customHeight="1" x14ac:dyDescent="0.3">
      <c r="A44" s="6"/>
      <c r="B44" s="6"/>
      <c r="C44" s="6"/>
      <c r="D44" s="6"/>
      <c r="E44" s="6"/>
      <c r="F44" s="6"/>
      <c r="G44" s="6"/>
      <c r="H44" s="2" t="s">
        <v>55</v>
      </c>
      <c r="I44" s="2">
        <v>0.84487539529800415</v>
      </c>
      <c r="J44" s="2" t="s">
        <v>27</v>
      </c>
      <c r="K44" s="2" t="s">
        <v>53</v>
      </c>
      <c r="L44" s="2">
        <v>3</v>
      </c>
    </row>
    <row r="45" spans="1:12" ht="90" customHeight="1" x14ac:dyDescent="0.3">
      <c r="A45" s="6"/>
      <c r="B45" s="6"/>
      <c r="C45" s="6"/>
      <c r="D45" s="6"/>
      <c r="E45" s="6"/>
      <c r="F45" s="6"/>
      <c r="G45" s="6"/>
      <c r="H45" s="1"/>
      <c r="I45" s="1"/>
      <c r="J45" s="1"/>
      <c r="K45" s="1"/>
      <c r="L45" s="1"/>
    </row>
    <row r="46" spans="1:12" ht="90" customHeight="1" x14ac:dyDescent="0.3">
      <c r="A46" s="6"/>
      <c r="B46" s="6"/>
      <c r="C46" s="6"/>
      <c r="D46" s="6"/>
      <c r="E46" s="6"/>
      <c r="F46" s="6"/>
      <c r="G46" s="6"/>
      <c r="H46" s="1"/>
      <c r="I46" s="1"/>
      <c r="J46" s="1"/>
      <c r="K46" s="1"/>
      <c r="L46" s="1"/>
    </row>
    <row r="47" spans="1:12" ht="90" customHeight="1" x14ac:dyDescent="0.3">
      <c r="A47" s="5" t="s">
        <v>62</v>
      </c>
      <c r="B47" s="5" t="s">
        <v>63</v>
      </c>
      <c r="C47" s="5" t="s">
        <v>64</v>
      </c>
      <c r="D47" s="7" t="s">
        <v>22</v>
      </c>
      <c r="E47" s="7" t="s">
        <v>23</v>
      </c>
      <c r="F47" s="5" t="s">
        <v>65</v>
      </c>
      <c r="G47" s="5" t="s">
        <v>66</v>
      </c>
      <c r="H47" s="3" t="s">
        <v>67</v>
      </c>
      <c r="I47" s="3">
        <v>0.99998664855957031</v>
      </c>
      <c r="J47" s="3" t="s">
        <v>27</v>
      </c>
      <c r="K47" s="3" t="s">
        <v>63</v>
      </c>
      <c r="L47" s="3">
        <v>2</v>
      </c>
    </row>
    <row r="48" spans="1:12" ht="90" customHeight="1" x14ac:dyDescent="0.3">
      <c r="A48" s="6"/>
      <c r="B48" s="6"/>
      <c r="C48" s="6"/>
      <c r="D48" s="6"/>
      <c r="E48" s="6"/>
      <c r="F48" s="6"/>
      <c r="G48" s="6"/>
      <c r="H48" s="1"/>
      <c r="I48" s="1"/>
      <c r="J48" s="1"/>
      <c r="K48" s="1"/>
      <c r="L48" s="1"/>
    </row>
    <row r="49" spans="1:12" ht="90" customHeight="1" x14ac:dyDescent="0.3">
      <c r="A49" s="6"/>
      <c r="B49" s="6"/>
      <c r="C49" s="6"/>
      <c r="D49" s="6"/>
      <c r="E49" s="6"/>
      <c r="F49" s="6"/>
      <c r="G49" s="6"/>
      <c r="H49" s="1"/>
      <c r="I49" s="1"/>
      <c r="J49" s="1"/>
      <c r="K49" s="1"/>
      <c r="L49" s="1"/>
    </row>
    <row r="50" spans="1:12" ht="90" customHeight="1" x14ac:dyDescent="0.3">
      <c r="A50" s="6"/>
      <c r="B50" s="6"/>
      <c r="C50" s="6"/>
      <c r="D50" s="6"/>
      <c r="E50" s="6"/>
      <c r="F50" s="6"/>
      <c r="G50" s="6"/>
      <c r="H50" s="1"/>
      <c r="I50" s="1"/>
      <c r="J50" s="1"/>
      <c r="K50" s="1"/>
      <c r="L50" s="1"/>
    </row>
    <row r="51" spans="1:12" ht="90" customHeight="1" x14ac:dyDescent="0.3">
      <c r="A51" s="6"/>
      <c r="B51" s="6"/>
      <c r="C51" s="6"/>
      <c r="D51" s="6"/>
      <c r="E51" s="6"/>
      <c r="F51" s="6"/>
      <c r="G51" s="6"/>
      <c r="H51" s="1"/>
      <c r="I51" s="1"/>
      <c r="J51" s="1"/>
      <c r="K51" s="1"/>
      <c r="L51" s="1"/>
    </row>
    <row r="52" spans="1:12" ht="90" customHeight="1" x14ac:dyDescent="0.3">
      <c r="A52" s="5" t="s">
        <v>68</v>
      </c>
      <c r="B52" s="5" t="s">
        <v>34</v>
      </c>
      <c r="C52" s="5" t="s">
        <v>14</v>
      </c>
      <c r="D52" s="7" t="s">
        <v>15</v>
      </c>
      <c r="E52" s="7" t="s">
        <v>16</v>
      </c>
      <c r="F52" s="5" t="s">
        <v>69</v>
      </c>
      <c r="G52" s="5" t="s">
        <v>70</v>
      </c>
      <c r="H52" s="2" t="s">
        <v>54</v>
      </c>
      <c r="I52" s="2">
        <v>0.89161121845245361</v>
      </c>
      <c r="J52" s="2" t="s">
        <v>27</v>
      </c>
      <c r="K52" s="2" t="s">
        <v>53</v>
      </c>
      <c r="L52" s="2">
        <v>1</v>
      </c>
    </row>
    <row r="53" spans="1:12" ht="90" customHeight="1" x14ac:dyDescent="0.3">
      <c r="A53" s="6"/>
      <c r="B53" s="6"/>
      <c r="C53" s="6"/>
      <c r="D53" s="6"/>
      <c r="E53" s="6"/>
      <c r="F53" s="6"/>
      <c r="G53" s="6"/>
      <c r="H53" s="1" t="s">
        <v>71</v>
      </c>
      <c r="I53" s="1">
        <v>0.81834977865219116</v>
      </c>
      <c r="J53" s="1" t="s">
        <v>27</v>
      </c>
      <c r="K53" s="1" t="s">
        <v>72</v>
      </c>
      <c r="L53" s="1">
        <v>1</v>
      </c>
    </row>
    <row r="54" spans="1:12" ht="90" customHeight="1" x14ac:dyDescent="0.3">
      <c r="A54" s="6"/>
      <c r="B54" s="6"/>
      <c r="C54" s="6"/>
      <c r="D54" s="6"/>
      <c r="E54" s="6"/>
      <c r="F54" s="6"/>
      <c r="G54" s="6"/>
      <c r="H54" s="2" t="s">
        <v>55</v>
      </c>
      <c r="I54" s="2">
        <v>0.79039227962493896</v>
      </c>
      <c r="J54" s="2" t="s">
        <v>27</v>
      </c>
      <c r="K54" s="2" t="s">
        <v>53</v>
      </c>
      <c r="L54" s="2">
        <v>3</v>
      </c>
    </row>
    <row r="55" spans="1:12" ht="90" customHeight="1" x14ac:dyDescent="0.3">
      <c r="A55" s="6"/>
      <c r="B55" s="6"/>
      <c r="C55" s="6"/>
      <c r="D55" s="6"/>
      <c r="E55" s="6"/>
      <c r="F55" s="6"/>
      <c r="G55" s="6"/>
      <c r="H55" s="1"/>
      <c r="I55" s="1"/>
      <c r="J55" s="1"/>
      <c r="K55" s="1"/>
      <c r="L55" s="1"/>
    </row>
    <row r="56" spans="1:12" ht="90" customHeight="1" x14ac:dyDescent="0.3">
      <c r="A56" s="6"/>
      <c r="B56" s="6"/>
      <c r="C56" s="6"/>
      <c r="D56" s="6"/>
      <c r="E56" s="6"/>
      <c r="F56" s="6"/>
      <c r="G56" s="6"/>
      <c r="H56" s="1"/>
      <c r="I56" s="1"/>
      <c r="J56" s="1"/>
      <c r="K56" s="1"/>
      <c r="L56" s="1"/>
    </row>
    <row r="57" spans="1:12" ht="90" customHeight="1" x14ac:dyDescent="0.3">
      <c r="A57" s="5" t="s">
        <v>73</v>
      </c>
      <c r="B57" s="5" t="s">
        <v>74</v>
      </c>
      <c r="C57" s="5" t="s">
        <v>75</v>
      </c>
      <c r="D57" s="7" t="s">
        <v>15</v>
      </c>
      <c r="E57" s="7" t="s">
        <v>16</v>
      </c>
      <c r="F57" s="5" t="s">
        <v>76</v>
      </c>
      <c r="G57" s="5" t="s">
        <v>77</v>
      </c>
      <c r="H57" s="2" t="s">
        <v>78</v>
      </c>
      <c r="I57" s="2">
        <v>0.99677354097366333</v>
      </c>
      <c r="J57" s="2" t="s">
        <v>27</v>
      </c>
      <c r="K57" s="2" t="s">
        <v>79</v>
      </c>
      <c r="L57" s="2">
        <v>863</v>
      </c>
    </row>
    <row r="58" spans="1:12" ht="90" customHeight="1" x14ac:dyDescent="0.3">
      <c r="A58" s="6"/>
      <c r="B58" s="6"/>
      <c r="C58" s="6"/>
      <c r="D58" s="6"/>
      <c r="E58" s="6"/>
      <c r="F58" s="6"/>
      <c r="G58" s="6"/>
      <c r="H58" s="2" t="s">
        <v>80</v>
      </c>
      <c r="I58" s="2">
        <v>0.99562078714370728</v>
      </c>
      <c r="J58" s="2" t="s">
        <v>27</v>
      </c>
      <c r="K58" s="2" t="s">
        <v>81</v>
      </c>
      <c r="L58" s="2">
        <v>561</v>
      </c>
    </row>
    <row r="59" spans="1:12" ht="90" customHeight="1" x14ac:dyDescent="0.3">
      <c r="A59" s="6"/>
      <c r="B59" s="6"/>
      <c r="C59" s="6"/>
      <c r="D59" s="6"/>
      <c r="E59" s="6"/>
      <c r="F59" s="6"/>
      <c r="G59" s="6"/>
      <c r="H59" s="1" t="s">
        <v>82</v>
      </c>
      <c r="I59" s="1">
        <v>0.99497425556182861</v>
      </c>
      <c r="J59" s="1" t="s">
        <v>83</v>
      </c>
      <c r="K59" s="1" t="s">
        <v>84</v>
      </c>
      <c r="L59" s="1">
        <v>4</v>
      </c>
    </row>
    <row r="60" spans="1:12" ht="90" customHeight="1" x14ac:dyDescent="0.3">
      <c r="A60" s="6"/>
      <c r="B60" s="6"/>
      <c r="C60" s="6"/>
      <c r="D60" s="6"/>
      <c r="E60" s="6"/>
      <c r="F60" s="6"/>
      <c r="G60" s="6"/>
      <c r="H60" s="1" t="s">
        <v>85</v>
      </c>
      <c r="I60" s="1">
        <v>0.99406564235687256</v>
      </c>
      <c r="J60" s="1" t="s">
        <v>27</v>
      </c>
      <c r="K60" s="1" t="s">
        <v>79</v>
      </c>
      <c r="L60" s="1">
        <v>37</v>
      </c>
    </row>
    <row r="61" spans="1:12" ht="90" customHeight="1" x14ac:dyDescent="0.3">
      <c r="A61" s="6"/>
      <c r="B61" s="6"/>
      <c r="C61" s="6"/>
      <c r="D61" s="6"/>
      <c r="E61" s="6"/>
      <c r="F61" s="6"/>
      <c r="G61" s="6"/>
      <c r="H61" s="1" t="s">
        <v>86</v>
      </c>
      <c r="I61" s="1">
        <v>0.99283772706985474</v>
      </c>
      <c r="J61" s="1" t="s">
        <v>27</v>
      </c>
      <c r="K61" s="1" t="s">
        <v>87</v>
      </c>
      <c r="L61" s="1">
        <v>9</v>
      </c>
    </row>
    <row r="62" spans="1:12" ht="90" customHeight="1" x14ac:dyDescent="0.3">
      <c r="A62" s="5" t="s">
        <v>88</v>
      </c>
      <c r="B62" s="5" t="s">
        <v>89</v>
      </c>
      <c r="C62" s="5" t="s">
        <v>90</v>
      </c>
      <c r="D62" s="7" t="s">
        <v>15</v>
      </c>
      <c r="E62" s="7" t="s">
        <v>16</v>
      </c>
      <c r="F62" s="5" t="s">
        <v>91</v>
      </c>
      <c r="G62" s="5" t="s">
        <v>92</v>
      </c>
      <c r="H62" s="2" t="s">
        <v>93</v>
      </c>
      <c r="I62" s="2">
        <v>0.99996519088745117</v>
      </c>
      <c r="J62" s="2" t="s">
        <v>27</v>
      </c>
      <c r="K62" s="2" t="s">
        <v>94</v>
      </c>
      <c r="L62" s="2">
        <v>24</v>
      </c>
    </row>
    <row r="63" spans="1:12" ht="90" customHeight="1" x14ac:dyDescent="0.3">
      <c r="A63" s="6"/>
      <c r="B63" s="6"/>
      <c r="C63" s="6"/>
      <c r="D63" s="6"/>
      <c r="E63" s="6"/>
      <c r="F63" s="6"/>
      <c r="G63" s="6"/>
      <c r="H63" s="2" t="s">
        <v>95</v>
      </c>
      <c r="I63" s="2">
        <v>0.99995267391204834</v>
      </c>
      <c r="J63" s="2" t="s">
        <v>27</v>
      </c>
      <c r="K63" s="2" t="s">
        <v>94</v>
      </c>
      <c r="L63" s="2">
        <v>28</v>
      </c>
    </row>
    <row r="64" spans="1:12" ht="90" customHeight="1" x14ac:dyDescent="0.3">
      <c r="A64" s="6"/>
      <c r="B64" s="6"/>
      <c r="C64" s="6"/>
      <c r="D64" s="6"/>
      <c r="E64" s="6"/>
      <c r="F64" s="6"/>
      <c r="G64" s="6"/>
      <c r="H64" s="2" t="s">
        <v>96</v>
      </c>
      <c r="I64" s="2">
        <v>0.99994933605194092</v>
      </c>
      <c r="J64" s="2" t="s">
        <v>27</v>
      </c>
      <c r="K64" s="2" t="s">
        <v>94</v>
      </c>
      <c r="L64" s="2">
        <v>2</v>
      </c>
    </row>
    <row r="65" spans="1:12" ht="90" customHeight="1" x14ac:dyDescent="0.3">
      <c r="A65" s="6"/>
      <c r="B65" s="6"/>
      <c r="C65" s="6"/>
      <c r="D65" s="6"/>
      <c r="E65" s="6"/>
      <c r="F65" s="6"/>
      <c r="G65" s="6"/>
      <c r="H65" s="1" t="s">
        <v>97</v>
      </c>
      <c r="I65" s="1">
        <v>0.99799430370330811</v>
      </c>
      <c r="J65" s="1" t="s">
        <v>27</v>
      </c>
      <c r="K65" s="1" t="s">
        <v>94</v>
      </c>
      <c r="L65" s="1">
        <v>78</v>
      </c>
    </row>
    <row r="66" spans="1:12" ht="90" customHeight="1" x14ac:dyDescent="0.3">
      <c r="A66" s="6"/>
      <c r="B66" s="6"/>
      <c r="C66" s="6"/>
      <c r="D66" s="6"/>
      <c r="E66" s="6"/>
      <c r="F66" s="6"/>
      <c r="G66" s="6"/>
      <c r="H66" s="1"/>
      <c r="I66" s="1"/>
      <c r="J66" s="1"/>
      <c r="K66" s="1"/>
      <c r="L66" s="1"/>
    </row>
    <row r="67" spans="1:12" ht="90" customHeight="1" x14ac:dyDescent="0.3">
      <c r="A67" s="5" t="s">
        <v>98</v>
      </c>
      <c r="B67" s="5" t="s">
        <v>99</v>
      </c>
      <c r="C67" s="5" t="s">
        <v>14</v>
      </c>
      <c r="D67" s="7" t="s">
        <v>22</v>
      </c>
      <c r="E67" s="7" t="s">
        <v>23</v>
      </c>
      <c r="F67" s="5" t="s">
        <v>100</v>
      </c>
      <c r="G67" s="5" t="s">
        <v>101</v>
      </c>
      <c r="H67" s="1" t="s">
        <v>102</v>
      </c>
      <c r="I67" s="1">
        <v>0.99997568130493164</v>
      </c>
      <c r="J67" s="1" t="s">
        <v>83</v>
      </c>
      <c r="K67" s="1" t="s">
        <v>103</v>
      </c>
      <c r="L67" s="1">
        <v>2</v>
      </c>
    </row>
    <row r="68" spans="1:12" ht="90" customHeight="1" x14ac:dyDescent="0.3">
      <c r="A68" s="6"/>
      <c r="B68" s="6"/>
      <c r="C68" s="6"/>
      <c r="D68" s="6"/>
      <c r="E68" s="6"/>
      <c r="F68" s="6"/>
      <c r="G68" s="6"/>
      <c r="H68" s="2" t="s">
        <v>104</v>
      </c>
      <c r="I68" s="2">
        <v>0.99995911121368408</v>
      </c>
      <c r="J68" s="2" t="s">
        <v>27</v>
      </c>
      <c r="K68" s="2" t="s">
        <v>94</v>
      </c>
      <c r="L68" s="2">
        <v>11</v>
      </c>
    </row>
    <row r="69" spans="1:12" ht="90" customHeight="1" x14ac:dyDescent="0.3">
      <c r="A69" s="6"/>
      <c r="B69" s="6"/>
      <c r="C69" s="6"/>
      <c r="D69" s="6"/>
      <c r="E69" s="6"/>
      <c r="F69" s="6"/>
      <c r="G69" s="6"/>
      <c r="H69" s="2" t="s">
        <v>105</v>
      </c>
      <c r="I69" s="2">
        <v>0.99879622459411621</v>
      </c>
      <c r="J69" s="2" t="s">
        <v>27</v>
      </c>
      <c r="K69" s="2" t="s">
        <v>94</v>
      </c>
      <c r="L69" s="2">
        <v>14</v>
      </c>
    </row>
    <row r="70" spans="1:12" ht="90" customHeight="1" x14ac:dyDescent="0.3">
      <c r="A70" s="6"/>
      <c r="B70" s="6"/>
      <c r="C70" s="6"/>
      <c r="D70" s="6"/>
      <c r="E70" s="6"/>
      <c r="F70" s="6"/>
      <c r="G70" s="6"/>
      <c r="H70" s="3" t="s">
        <v>106</v>
      </c>
      <c r="I70" s="3">
        <v>0.9974486231803894</v>
      </c>
      <c r="J70" s="3" t="s">
        <v>27</v>
      </c>
      <c r="K70" s="3" t="s">
        <v>99</v>
      </c>
      <c r="L70" s="3">
        <v>1</v>
      </c>
    </row>
    <row r="71" spans="1:12" ht="90" customHeight="1" x14ac:dyDescent="0.3">
      <c r="A71" s="6"/>
      <c r="B71" s="6"/>
      <c r="C71" s="6"/>
      <c r="D71" s="6"/>
      <c r="E71" s="6"/>
      <c r="F71" s="6"/>
      <c r="G71" s="6"/>
      <c r="H71" s="1" t="s">
        <v>107</v>
      </c>
      <c r="I71" s="1">
        <v>0.9974486231803894</v>
      </c>
      <c r="J71" s="1" t="s">
        <v>83</v>
      </c>
      <c r="K71" s="1" t="s">
        <v>108</v>
      </c>
      <c r="L71" s="1">
        <v>1</v>
      </c>
    </row>
    <row r="72" spans="1:12" ht="90" customHeight="1" x14ac:dyDescent="0.3">
      <c r="A72" s="5" t="s">
        <v>109</v>
      </c>
      <c r="B72" s="5" t="s">
        <v>110</v>
      </c>
      <c r="C72" s="5" t="s">
        <v>111</v>
      </c>
      <c r="D72" s="7" t="s">
        <v>22</v>
      </c>
      <c r="E72" s="7" t="s">
        <v>23</v>
      </c>
      <c r="F72" s="5" t="s">
        <v>112</v>
      </c>
      <c r="G72" s="5" t="s">
        <v>113</v>
      </c>
      <c r="H72" s="3" t="s">
        <v>114</v>
      </c>
      <c r="I72" s="3">
        <v>0.99999344348907471</v>
      </c>
      <c r="J72" s="3" t="s">
        <v>27</v>
      </c>
      <c r="K72" s="3" t="s">
        <v>110</v>
      </c>
      <c r="L72" s="3">
        <v>30</v>
      </c>
    </row>
    <row r="73" spans="1:12" ht="90" customHeight="1" x14ac:dyDescent="0.3">
      <c r="A73" s="6"/>
      <c r="B73" s="6"/>
      <c r="C73" s="6"/>
      <c r="D73" s="6"/>
      <c r="E73" s="6"/>
      <c r="F73" s="6"/>
      <c r="G73" s="6"/>
      <c r="H73" s="2" t="s">
        <v>115</v>
      </c>
      <c r="I73" s="2">
        <v>0.99972373247146606</v>
      </c>
      <c r="J73" s="2" t="s">
        <v>27</v>
      </c>
      <c r="K73" s="2" t="s">
        <v>110</v>
      </c>
      <c r="L73" s="2">
        <v>41</v>
      </c>
    </row>
    <row r="74" spans="1:12" ht="90" customHeight="1" x14ac:dyDescent="0.3">
      <c r="A74" s="6"/>
      <c r="B74" s="6"/>
      <c r="C74" s="6"/>
      <c r="D74" s="6"/>
      <c r="E74" s="6"/>
      <c r="F74" s="6"/>
      <c r="G74" s="6"/>
      <c r="H74" s="2" t="s">
        <v>116</v>
      </c>
      <c r="I74" s="2">
        <v>0.99881833791732788</v>
      </c>
      <c r="J74" s="2" t="s">
        <v>27</v>
      </c>
      <c r="K74" s="2" t="s">
        <v>110</v>
      </c>
      <c r="L74" s="2">
        <v>127</v>
      </c>
    </row>
    <row r="75" spans="1:12" ht="90" customHeight="1" x14ac:dyDescent="0.3">
      <c r="A75" s="6"/>
      <c r="B75" s="6"/>
      <c r="C75" s="6"/>
      <c r="D75" s="6"/>
      <c r="E75" s="6"/>
      <c r="F75" s="6"/>
      <c r="G75" s="6"/>
      <c r="H75" s="1" t="s">
        <v>117</v>
      </c>
      <c r="I75" s="1">
        <v>0.99835497140884399</v>
      </c>
      <c r="J75" s="1" t="s">
        <v>27</v>
      </c>
      <c r="K75" s="1" t="s">
        <v>110</v>
      </c>
      <c r="L75" s="1">
        <v>126</v>
      </c>
    </row>
    <row r="76" spans="1:12" ht="90" customHeight="1" x14ac:dyDescent="0.3">
      <c r="A76" s="6"/>
      <c r="B76" s="6"/>
      <c r="C76" s="6"/>
      <c r="D76" s="6"/>
      <c r="E76" s="6"/>
      <c r="F76" s="6"/>
      <c r="G76" s="6"/>
      <c r="H76" s="1" t="s">
        <v>118</v>
      </c>
      <c r="I76" s="1">
        <v>0.9967610239982605</v>
      </c>
      <c r="J76" s="1" t="s">
        <v>27</v>
      </c>
      <c r="K76" s="1" t="s">
        <v>110</v>
      </c>
      <c r="L76" s="1">
        <v>31</v>
      </c>
    </row>
    <row r="77" spans="1:12" ht="90" customHeight="1" x14ac:dyDescent="0.3">
      <c r="A77" s="5" t="s">
        <v>119</v>
      </c>
      <c r="B77" s="5" t="s">
        <v>110</v>
      </c>
      <c r="C77" s="5" t="s">
        <v>120</v>
      </c>
      <c r="D77" s="7" t="s">
        <v>22</v>
      </c>
      <c r="E77" s="7" t="s">
        <v>23</v>
      </c>
      <c r="F77" s="5" t="s">
        <v>121</v>
      </c>
      <c r="G77" s="5" t="s">
        <v>122</v>
      </c>
      <c r="H77" s="1" t="s">
        <v>123</v>
      </c>
      <c r="I77" s="1">
        <v>0.99638956785202026</v>
      </c>
      <c r="J77" s="1" t="s">
        <v>27</v>
      </c>
      <c r="K77" s="1" t="s">
        <v>110</v>
      </c>
      <c r="L77" s="1">
        <v>38</v>
      </c>
    </row>
    <row r="78" spans="1:12" ht="90" customHeight="1" x14ac:dyDescent="0.3">
      <c r="A78" s="6"/>
      <c r="B78" s="6"/>
      <c r="C78" s="6"/>
      <c r="D78" s="6"/>
      <c r="E78" s="6"/>
      <c r="F78" s="6"/>
      <c r="G78" s="6"/>
      <c r="H78" s="3" t="s">
        <v>124</v>
      </c>
      <c r="I78" s="3">
        <v>0.99559670686721802</v>
      </c>
      <c r="J78" s="3" t="s">
        <v>27</v>
      </c>
      <c r="K78" s="3" t="s">
        <v>110</v>
      </c>
      <c r="L78" s="3">
        <v>72</v>
      </c>
    </row>
    <row r="79" spans="1:12" ht="90" customHeight="1" x14ac:dyDescent="0.3">
      <c r="A79" s="6"/>
      <c r="B79" s="6"/>
      <c r="C79" s="6"/>
      <c r="D79" s="6"/>
      <c r="E79" s="6"/>
      <c r="F79" s="6"/>
      <c r="G79" s="6"/>
      <c r="H79" s="2" t="s">
        <v>125</v>
      </c>
      <c r="I79" s="2">
        <v>0.9877265059350524</v>
      </c>
      <c r="J79" s="2" t="s">
        <v>27</v>
      </c>
      <c r="K79" s="2" t="s">
        <v>94</v>
      </c>
      <c r="L79" s="2">
        <v>141</v>
      </c>
    </row>
    <row r="80" spans="1:12" ht="90" customHeight="1" x14ac:dyDescent="0.3">
      <c r="A80" s="6"/>
      <c r="B80" s="6"/>
      <c r="C80" s="6"/>
      <c r="D80" s="6"/>
      <c r="E80" s="6"/>
      <c r="F80" s="6"/>
      <c r="G80" s="6"/>
      <c r="H80" s="1" t="s">
        <v>126</v>
      </c>
      <c r="I80" s="1">
        <v>0.96979933977127075</v>
      </c>
      <c r="J80" s="1" t="s">
        <v>27</v>
      </c>
      <c r="K80" s="1" t="s">
        <v>110</v>
      </c>
      <c r="L80" s="1">
        <v>75</v>
      </c>
    </row>
    <row r="81" spans="1:12" ht="90" customHeight="1" x14ac:dyDescent="0.3">
      <c r="A81" s="6"/>
      <c r="B81" s="6"/>
      <c r="C81" s="6"/>
      <c r="D81" s="6"/>
      <c r="E81" s="6"/>
      <c r="F81" s="6"/>
      <c r="G81" s="6"/>
      <c r="H81" s="1" t="s">
        <v>127</v>
      </c>
      <c r="I81" s="1">
        <v>0.93918806314468384</v>
      </c>
      <c r="J81" s="1" t="s">
        <v>27</v>
      </c>
      <c r="K81" s="1" t="s">
        <v>110</v>
      </c>
      <c r="L81" s="1">
        <v>3</v>
      </c>
    </row>
    <row r="82" spans="1:12" ht="90" customHeight="1" x14ac:dyDescent="0.3">
      <c r="A82" s="5" t="s">
        <v>128</v>
      </c>
      <c r="B82" s="5" t="s">
        <v>20</v>
      </c>
      <c r="C82" s="5" t="s">
        <v>21</v>
      </c>
      <c r="D82" s="7" t="s">
        <v>22</v>
      </c>
      <c r="E82" s="7" t="s">
        <v>23</v>
      </c>
      <c r="F82" s="5" t="s">
        <v>129</v>
      </c>
      <c r="G82" s="5" t="s">
        <v>130</v>
      </c>
      <c r="H82" s="3" t="s">
        <v>28</v>
      </c>
      <c r="I82" s="3">
        <v>0.99978962396455651</v>
      </c>
      <c r="J82" s="3" t="s">
        <v>27</v>
      </c>
      <c r="K82" s="3" t="s">
        <v>20</v>
      </c>
      <c r="L82" s="3">
        <v>1</v>
      </c>
    </row>
    <row r="83" spans="1:12" ht="90" customHeight="1" x14ac:dyDescent="0.3">
      <c r="A83" s="6"/>
      <c r="B83" s="6"/>
      <c r="C83" s="6"/>
      <c r="D83" s="6"/>
      <c r="E83" s="6"/>
      <c r="F83" s="6"/>
      <c r="G83" s="6"/>
      <c r="H83" s="3" t="s">
        <v>26</v>
      </c>
      <c r="I83" s="3">
        <v>0.99669747402613706</v>
      </c>
      <c r="J83" s="3" t="s">
        <v>27</v>
      </c>
      <c r="K83" s="3" t="s">
        <v>20</v>
      </c>
      <c r="L83" s="3">
        <v>3</v>
      </c>
    </row>
    <row r="84" spans="1:12" ht="90" customHeight="1" x14ac:dyDescent="0.3">
      <c r="A84" s="6"/>
      <c r="B84" s="6"/>
      <c r="C84" s="6"/>
      <c r="D84" s="6"/>
      <c r="E84" s="6"/>
      <c r="F84" s="6"/>
      <c r="G84" s="6"/>
      <c r="H84" s="3" t="s">
        <v>29</v>
      </c>
      <c r="I84" s="3">
        <v>0.91666112147504453</v>
      </c>
      <c r="J84" s="3" t="s">
        <v>27</v>
      </c>
      <c r="K84" s="3" t="s">
        <v>20</v>
      </c>
      <c r="L84" s="3">
        <v>2</v>
      </c>
    </row>
    <row r="85" spans="1:12" ht="90" customHeight="1" x14ac:dyDescent="0.3">
      <c r="A85" s="6"/>
      <c r="B85" s="6"/>
      <c r="C85" s="6"/>
      <c r="D85" s="6"/>
      <c r="E85" s="6"/>
      <c r="F85" s="6"/>
      <c r="G85" s="6"/>
      <c r="H85" s="1"/>
      <c r="I85" s="1"/>
      <c r="J85" s="1"/>
      <c r="K85" s="1"/>
      <c r="L85" s="1"/>
    </row>
    <row r="86" spans="1:12" ht="90" customHeight="1" x14ac:dyDescent="0.3">
      <c r="A86" s="6"/>
      <c r="B86" s="6"/>
      <c r="C86" s="6"/>
      <c r="D86" s="6"/>
      <c r="E86" s="6"/>
      <c r="F86" s="6"/>
      <c r="G86" s="6"/>
      <c r="H86" s="1"/>
      <c r="I86" s="1"/>
      <c r="J86" s="1"/>
      <c r="K86" s="1"/>
      <c r="L86" s="1"/>
    </row>
    <row r="87" spans="1:12" ht="90" customHeight="1" x14ac:dyDescent="0.3">
      <c r="A87" s="5" t="s">
        <v>131</v>
      </c>
      <c r="B87" s="5" t="s">
        <v>132</v>
      </c>
      <c r="C87" s="5" t="s">
        <v>133</v>
      </c>
      <c r="D87" s="7" t="s">
        <v>22</v>
      </c>
      <c r="E87" s="7" t="s">
        <v>23</v>
      </c>
      <c r="F87" s="5" t="s">
        <v>134</v>
      </c>
      <c r="G87" s="5" t="s">
        <v>135</v>
      </c>
      <c r="H87" s="3" t="s">
        <v>136</v>
      </c>
      <c r="I87" s="3">
        <v>0.99963474273681641</v>
      </c>
      <c r="J87" s="3" t="s">
        <v>27</v>
      </c>
      <c r="K87" s="3" t="s">
        <v>132</v>
      </c>
      <c r="L87" s="3">
        <v>25</v>
      </c>
    </row>
    <row r="88" spans="1:12" ht="90" customHeight="1" x14ac:dyDescent="0.3">
      <c r="A88" s="6"/>
      <c r="B88" s="6"/>
      <c r="C88" s="6"/>
      <c r="D88" s="6"/>
      <c r="E88" s="6"/>
      <c r="F88" s="6"/>
      <c r="G88" s="6"/>
      <c r="H88" s="4" t="s">
        <v>137</v>
      </c>
      <c r="I88" s="4">
        <v>0.99922371840788549</v>
      </c>
      <c r="J88" s="4" t="s">
        <v>27</v>
      </c>
      <c r="K88" s="4" t="s">
        <v>132</v>
      </c>
      <c r="L88" s="4">
        <v>26</v>
      </c>
    </row>
    <row r="89" spans="1:12" ht="90" customHeight="1" x14ac:dyDescent="0.3">
      <c r="A89" s="6"/>
      <c r="B89" s="6"/>
      <c r="C89" s="6"/>
      <c r="D89" s="6"/>
      <c r="E89" s="6"/>
      <c r="F89" s="6"/>
      <c r="G89" s="6"/>
      <c r="H89" s="1"/>
      <c r="I89" s="1"/>
      <c r="J89" s="1"/>
      <c r="K89" s="1"/>
      <c r="L89" s="1"/>
    </row>
    <row r="90" spans="1:12" ht="90" customHeight="1" x14ac:dyDescent="0.3">
      <c r="A90" s="6"/>
      <c r="B90" s="6"/>
      <c r="C90" s="6"/>
      <c r="D90" s="6"/>
      <c r="E90" s="6"/>
      <c r="F90" s="6"/>
      <c r="G90" s="6"/>
      <c r="H90" s="1"/>
      <c r="I90" s="1"/>
      <c r="J90" s="1"/>
      <c r="K90" s="1"/>
      <c r="L90" s="1"/>
    </row>
    <row r="91" spans="1:12" ht="90" customHeight="1" x14ac:dyDescent="0.3">
      <c r="A91" s="6"/>
      <c r="B91" s="6"/>
      <c r="C91" s="6"/>
      <c r="D91" s="6"/>
      <c r="E91" s="6"/>
      <c r="F91" s="6"/>
      <c r="G91" s="6"/>
      <c r="H91" s="1"/>
      <c r="I91" s="1"/>
      <c r="J91" s="1"/>
      <c r="K91" s="1"/>
      <c r="L91" s="1"/>
    </row>
    <row r="92" spans="1:12" ht="90" customHeight="1" x14ac:dyDescent="0.3">
      <c r="A92" s="5" t="s">
        <v>138</v>
      </c>
      <c r="B92" s="5" t="s">
        <v>34</v>
      </c>
      <c r="C92" s="5" t="s">
        <v>14</v>
      </c>
      <c r="D92" s="7" t="s">
        <v>15</v>
      </c>
      <c r="E92" s="7" t="s">
        <v>16</v>
      </c>
      <c r="F92" s="5" t="s">
        <v>139</v>
      </c>
      <c r="G92" s="5" t="s">
        <v>18</v>
      </c>
      <c r="H92" s="1"/>
      <c r="I92" s="1"/>
      <c r="J92" s="1"/>
      <c r="K92" s="1"/>
      <c r="L92" s="1"/>
    </row>
    <row r="93" spans="1:12" ht="90" customHeight="1" x14ac:dyDescent="0.3">
      <c r="A93" s="6"/>
      <c r="B93" s="6"/>
      <c r="C93" s="6"/>
      <c r="D93" s="6"/>
      <c r="E93" s="6"/>
      <c r="F93" s="6"/>
      <c r="G93" s="6"/>
      <c r="H93" s="1"/>
      <c r="I93" s="1"/>
      <c r="J93" s="1"/>
      <c r="K93" s="1"/>
      <c r="L93" s="1"/>
    </row>
    <row r="94" spans="1:12" ht="90" customHeight="1" x14ac:dyDescent="0.3">
      <c r="A94" s="6"/>
      <c r="B94" s="6"/>
      <c r="C94" s="6"/>
      <c r="D94" s="6"/>
      <c r="E94" s="6"/>
      <c r="F94" s="6"/>
      <c r="G94" s="6"/>
      <c r="H94" s="1"/>
      <c r="I94" s="1"/>
      <c r="J94" s="1"/>
      <c r="K94" s="1"/>
      <c r="L94" s="1"/>
    </row>
    <row r="95" spans="1:12" ht="90" customHeight="1" x14ac:dyDescent="0.3">
      <c r="A95" s="6"/>
      <c r="B95" s="6"/>
      <c r="C95" s="6"/>
      <c r="D95" s="6"/>
      <c r="E95" s="6"/>
      <c r="F95" s="6"/>
      <c r="G95" s="6"/>
      <c r="H95" s="1"/>
      <c r="I95" s="1"/>
      <c r="J95" s="1"/>
      <c r="K95" s="1"/>
      <c r="L95" s="1"/>
    </row>
    <row r="96" spans="1:12" ht="90" customHeight="1" x14ac:dyDescent="0.3">
      <c r="A96" s="6"/>
      <c r="B96" s="6"/>
      <c r="C96" s="6"/>
      <c r="D96" s="6"/>
      <c r="E96" s="6"/>
      <c r="F96" s="6"/>
      <c r="G96" s="6"/>
      <c r="H96" s="1"/>
      <c r="I96" s="1"/>
      <c r="J96" s="1"/>
      <c r="K96" s="1"/>
      <c r="L96" s="1"/>
    </row>
    <row r="97" spans="1:12" ht="90" customHeight="1" x14ac:dyDescent="0.3">
      <c r="A97" s="5" t="s">
        <v>140</v>
      </c>
      <c r="B97" s="5" t="s">
        <v>141</v>
      </c>
      <c r="C97" s="5" t="s">
        <v>142</v>
      </c>
      <c r="D97" s="7" t="s">
        <v>15</v>
      </c>
      <c r="E97" s="7" t="s">
        <v>16</v>
      </c>
      <c r="F97" s="5" t="s">
        <v>143</v>
      </c>
      <c r="G97" s="5" t="s">
        <v>144</v>
      </c>
      <c r="H97" s="2" t="s">
        <v>145</v>
      </c>
      <c r="I97" s="2">
        <v>0.99994146823883057</v>
      </c>
      <c r="J97" s="2" t="s">
        <v>83</v>
      </c>
      <c r="K97" s="2" t="s">
        <v>146</v>
      </c>
      <c r="L97" s="2">
        <v>1</v>
      </c>
    </row>
    <row r="98" spans="1:12" ht="90" customHeight="1" x14ac:dyDescent="0.3">
      <c r="A98" s="6"/>
      <c r="B98" s="6"/>
      <c r="C98" s="6"/>
      <c r="D98" s="6"/>
      <c r="E98" s="6"/>
      <c r="F98" s="6"/>
      <c r="G98" s="6"/>
      <c r="H98" s="2" t="s">
        <v>147</v>
      </c>
      <c r="I98" s="2">
        <v>0.99256610870361328</v>
      </c>
      <c r="J98" s="2" t="s">
        <v>83</v>
      </c>
      <c r="K98" s="2" t="s">
        <v>146</v>
      </c>
      <c r="L98" s="2">
        <v>2</v>
      </c>
    </row>
    <row r="99" spans="1:12" ht="90" customHeight="1" x14ac:dyDescent="0.3">
      <c r="A99" s="6"/>
      <c r="B99" s="6"/>
      <c r="C99" s="6"/>
      <c r="D99" s="6"/>
      <c r="E99" s="6"/>
      <c r="F99" s="6"/>
      <c r="G99" s="6"/>
      <c r="H99" s="1" t="s">
        <v>148</v>
      </c>
      <c r="I99" s="1">
        <v>0.91328141116511397</v>
      </c>
      <c r="J99" s="1" t="s">
        <v>83</v>
      </c>
      <c r="K99" s="1" t="s">
        <v>146</v>
      </c>
      <c r="L99" s="1">
        <v>2</v>
      </c>
    </row>
    <row r="100" spans="1:12" ht="90" customHeight="1" x14ac:dyDescent="0.3">
      <c r="A100" s="6"/>
      <c r="B100" s="6"/>
      <c r="C100" s="6"/>
      <c r="D100" s="6"/>
      <c r="E100" s="6"/>
      <c r="F100" s="6"/>
      <c r="G100" s="6"/>
      <c r="H100" s="1" t="s">
        <v>149</v>
      </c>
      <c r="I100" s="1">
        <v>0.87722522020339966</v>
      </c>
      <c r="J100" s="1" t="s">
        <v>27</v>
      </c>
      <c r="K100" s="1" t="s">
        <v>150</v>
      </c>
      <c r="L100" s="1">
        <v>1</v>
      </c>
    </row>
    <row r="101" spans="1:12" ht="90" customHeight="1" x14ac:dyDescent="0.3">
      <c r="A101" s="6"/>
      <c r="B101" s="6"/>
      <c r="C101" s="6"/>
      <c r="D101" s="6"/>
      <c r="E101" s="6"/>
      <c r="F101" s="6"/>
      <c r="G101" s="6"/>
      <c r="H101" s="1"/>
      <c r="I101" s="1"/>
      <c r="J101" s="1"/>
      <c r="K101" s="1"/>
      <c r="L101" s="1"/>
    </row>
    <row r="102" spans="1:12" ht="90" customHeight="1" x14ac:dyDescent="0.3">
      <c r="A102" s="5" t="s">
        <v>151</v>
      </c>
      <c r="B102" s="5" t="s">
        <v>34</v>
      </c>
      <c r="C102" s="5" t="s">
        <v>14</v>
      </c>
      <c r="D102" s="7" t="s">
        <v>15</v>
      </c>
      <c r="E102" s="7" t="s">
        <v>16</v>
      </c>
      <c r="F102" s="5" t="s">
        <v>152</v>
      </c>
      <c r="G102" s="5" t="s">
        <v>18</v>
      </c>
      <c r="H102" s="1"/>
      <c r="I102" s="1"/>
      <c r="J102" s="1"/>
      <c r="K102" s="1"/>
      <c r="L102" s="1"/>
    </row>
    <row r="103" spans="1:12" ht="90" customHeight="1" x14ac:dyDescent="0.3">
      <c r="A103" s="6"/>
      <c r="B103" s="6"/>
      <c r="C103" s="6"/>
      <c r="D103" s="6"/>
      <c r="E103" s="6"/>
      <c r="F103" s="6"/>
      <c r="G103" s="6"/>
      <c r="H103" s="1"/>
      <c r="I103" s="1"/>
      <c r="J103" s="1"/>
      <c r="K103" s="1"/>
      <c r="L103" s="1"/>
    </row>
    <row r="104" spans="1:12" ht="90" customHeight="1" x14ac:dyDescent="0.3">
      <c r="A104" s="6"/>
      <c r="B104" s="6"/>
      <c r="C104" s="6"/>
      <c r="D104" s="6"/>
      <c r="E104" s="6"/>
      <c r="F104" s="6"/>
      <c r="G104" s="6"/>
      <c r="H104" s="1"/>
      <c r="I104" s="1"/>
      <c r="J104" s="1"/>
      <c r="K104" s="1"/>
      <c r="L104" s="1"/>
    </row>
    <row r="105" spans="1:12" ht="90" customHeight="1" x14ac:dyDescent="0.3">
      <c r="A105" s="6"/>
      <c r="B105" s="6"/>
      <c r="C105" s="6"/>
      <c r="D105" s="6"/>
      <c r="E105" s="6"/>
      <c r="F105" s="6"/>
      <c r="G105" s="6"/>
      <c r="H105" s="1"/>
      <c r="I105" s="1"/>
      <c r="J105" s="1"/>
      <c r="K105" s="1"/>
      <c r="L105" s="1"/>
    </row>
    <row r="106" spans="1:12" ht="90" customHeight="1" x14ac:dyDescent="0.3">
      <c r="A106" s="6"/>
      <c r="B106" s="6"/>
      <c r="C106" s="6"/>
      <c r="D106" s="6"/>
      <c r="E106" s="6"/>
      <c r="F106" s="6"/>
      <c r="G106" s="6"/>
      <c r="H106" s="1"/>
      <c r="I106" s="1"/>
      <c r="J106" s="1"/>
      <c r="K106" s="1"/>
      <c r="L106" s="1"/>
    </row>
    <row r="107" spans="1:12" ht="90" customHeight="1" x14ac:dyDescent="0.3">
      <c r="A107" s="5" t="s">
        <v>153</v>
      </c>
      <c r="B107" s="5" t="s">
        <v>154</v>
      </c>
      <c r="C107" s="5" t="s">
        <v>14</v>
      </c>
      <c r="D107" s="7" t="s">
        <v>22</v>
      </c>
      <c r="E107" s="7" t="s">
        <v>23</v>
      </c>
      <c r="F107" s="5" t="s">
        <v>155</v>
      </c>
      <c r="G107" s="5" t="s">
        <v>156</v>
      </c>
      <c r="H107" s="3" t="s">
        <v>71</v>
      </c>
      <c r="I107" s="3">
        <v>0.94065934419631958</v>
      </c>
      <c r="J107" s="3" t="s">
        <v>27</v>
      </c>
      <c r="K107" s="3" t="s">
        <v>72</v>
      </c>
      <c r="L107" s="3">
        <v>1</v>
      </c>
    </row>
    <row r="108" spans="1:12" ht="90" customHeight="1" x14ac:dyDescent="0.3">
      <c r="A108" s="6"/>
      <c r="B108" s="6"/>
      <c r="C108" s="6"/>
      <c r="D108" s="6"/>
      <c r="E108" s="6"/>
      <c r="F108" s="6"/>
      <c r="G108" s="6"/>
      <c r="H108" s="1"/>
      <c r="I108" s="1"/>
      <c r="J108" s="1"/>
      <c r="K108" s="1"/>
      <c r="L108" s="1"/>
    </row>
    <row r="109" spans="1:12" ht="90" customHeight="1" x14ac:dyDescent="0.3">
      <c r="A109" s="6"/>
      <c r="B109" s="6"/>
      <c r="C109" s="6"/>
      <c r="D109" s="6"/>
      <c r="E109" s="6"/>
      <c r="F109" s="6"/>
      <c r="G109" s="6"/>
      <c r="H109" s="1"/>
      <c r="I109" s="1"/>
      <c r="J109" s="1"/>
      <c r="K109" s="1"/>
      <c r="L109" s="1"/>
    </row>
    <row r="110" spans="1:12" ht="90" customHeight="1" x14ac:dyDescent="0.3">
      <c r="A110" s="6"/>
      <c r="B110" s="6"/>
      <c r="C110" s="6"/>
      <c r="D110" s="6"/>
      <c r="E110" s="6"/>
      <c r="F110" s="6"/>
      <c r="G110" s="6"/>
      <c r="H110" s="1"/>
      <c r="I110" s="1"/>
      <c r="J110" s="1"/>
      <c r="K110" s="1"/>
      <c r="L110" s="1"/>
    </row>
    <row r="111" spans="1:12" ht="90" customHeight="1" x14ac:dyDescent="0.3">
      <c r="A111" s="6"/>
      <c r="B111" s="6"/>
      <c r="C111" s="6"/>
      <c r="D111" s="6"/>
      <c r="E111" s="6"/>
      <c r="F111" s="6"/>
      <c r="G111" s="6"/>
      <c r="H111" s="1"/>
      <c r="I111" s="1"/>
      <c r="J111" s="1"/>
      <c r="K111" s="1"/>
      <c r="L111" s="1"/>
    </row>
    <row r="112" spans="1:12" ht="90" customHeight="1" x14ac:dyDescent="0.3">
      <c r="A112" s="5" t="s">
        <v>157</v>
      </c>
      <c r="B112" s="5" t="s">
        <v>158</v>
      </c>
      <c r="C112" s="5" t="s">
        <v>14</v>
      </c>
      <c r="D112" s="7" t="s">
        <v>15</v>
      </c>
      <c r="E112" s="7" t="s">
        <v>16</v>
      </c>
      <c r="F112" s="5" t="s">
        <v>159</v>
      </c>
      <c r="G112" s="5" t="s">
        <v>160</v>
      </c>
      <c r="H112" s="2" t="s">
        <v>161</v>
      </c>
      <c r="I112" s="2">
        <v>0.93792092800140381</v>
      </c>
      <c r="J112" s="2" t="s">
        <v>27</v>
      </c>
      <c r="K112" s="2" t="s">
        <v>162</v>
      </c>
      <c r="L112" s="2">
        <v>473</v>
      </c>
    </row>
    <row r="113" spans="1:12" ht="90" customHeight="1" x14ac:dyDescent="0.3">
      <c r="A113" s="6"/>
      <c r="B113" s="6"/>
      <c r="C113" s="6"/>
      <c r="D113" s="6"/>
      <c r="E113" s="6"/>
      <c r="F113" s="6"/>
      <c r="G113" s="6"/>
      <c r="H113" s="1" t="s">
        <v>163</v>
      </c>
      <c r="I113" s="1">
        <v>0.91901779174804688</v>
      </c>
      <c r="J113" s="1" t="s">
        <v>27</v>
      </c>
      <c r="K113" s="1" t="s">
        <v>164</v>
      </c>
      <c r="L113" s="1">
        <v>192</v>
      </c>
    </row>
    <row r="114" spans="1:12" ht="90" customHeight="1" x14ac:dyDescent="0.3">
      <c r="A114" s="6"/>
      <c r="B114" s="6"/>
      <c r="C114" s="6"/>
      <c r="D114" s="6"/>
      <c r="E114" s="6"/>
      <c r="F114" s="6"/>
      <c r="G114" s="6"/>
      <c r="H114" s="2" t="s">
        <v>165</v>
      </c>
      <c r="I114" s="2">
        <v>0.88852649927139282</v>
      </c>
      <c r="J114" s="2" t="s">
        <v>27</v>
      </c>
      <c r="K114" s="2" t="s">
        <v>164</v>
      </c>
      <c r="L114" s="2">
        <v>81</v>
      </c>
    </row>
    <row r="115" spans="1:12" ht="90" customHeight="1" x14ac:dyDescent="0.3">
      <c r="A115" s="6"/>
      <c r="B115" s="6"/>
      <c r="C115" s="6"/>
      <c r="D115" s="6"/>
      <c r="E115" s="6"/>
      <c r="F115" s="6"/>
      <c r="G115" s="6"/>
      <c r="H115" s="2" t="s">
        <v>166</v>
      </c>
      <c r="I115" s="2">
        <v>0.88546717166900635</v>
      </c>
      <c r="J115" s="2" t="s">
        <v>27</v>
      </c>
      <c r="K115" s="2" t="s">
        <v>79</v>
      </c>
      <c r="L115" s="2">
        <v>648</v>
      </c>
    </row>
    <row r="116" spans="1:12" ht="90" customHeight="1" x14ac:dyDescent="0.3">
      <c r="A116" s="6"/>
      <c r="B116" s="6"/>
      <c r="C116" s="6"/>
      <c r="D116" s="6"/>
      <c r="E116" s="6"/>
      <c r="F116" s="6"/>
      <c r="G116" s="6"/>
      <c r="H116" s="1" t="s">
        <v>167</v>
      </c>
      <c r="I116" s="1">
        <v>0.87357139587402344</v>
      </c>
      <c r="J116" s="1" t="s">
        <v>27</v>
      </c>
      <c r="K116" s="1" t="s">
        <v>162</v>
      </c>
      <c r="L116" s="1">
        <v>474</v>
      </c>
    </row>
    <row r="117" spans="1:12" ht="90" customHeight="1" x14ac:dyDescent="0.3">
      <c r="A117" s="5" t="s">
        <v>168</v>
      </c>
      <c r="B117" s="5" t="s">
        <v>169</v>
      </c>
      <c r="C117" s="5" t="s">
        <v>170</v>
      </c>
      <c r="D117" s="7" t="s">
        <v>22</v>
      </c>
      <c r="E117" s="7" t="s">
        <v>23</v>
      </c>
      <c r="F117" s="5" t="s">
        <v>171</v>
      </c>
      <c r="G117" s="5" t="s">
        <v>172</v>
      </c>
      <c r="H117" s="3" t="s">
        <v>173</v>
      </c>
      <c r="I117" s="3">
        <v>0.99914073943938053</v>
      </c>
      <c r="J117" s="3" t="s">
        <v>27</v>
      </c>
      <c r="K117" s="3" t="s">
        <v>169</v>
      </c>
      <c r="L117" s="3">
        <v>220</v>
      </c>
    </row>
    <row r="118" spans="1:12" ht="90" customHeight="1" x14ac:dyDescent="0.3">
      <c r="A118" s="6"/>
      <c r="B118" s="6"/>
      <c r="C118" s="6"/>
      <c r="D118" s="6"/>
      <c r="E118" s="6"/>
      <c r="F118" s="6"/>
      <c r="G118" s="6"/>
      <c r="H118" s="3" t="s">
        <v>174</v>
      </c>
      <c r="I118" s="3">
        <v>0.99802714586257935</v>
      </c>
      <c r="J118" s="3" t="s">
        <v>27</v>
      </c>
      <c r="K118" s="3" t="s">
        <v>169</v>
      </c>
      <c r="L118" s="3">
        <v>219</v>
      </c>
    </row>
    <row r="119" spans="1:12" ht="90" customHeight="1" x14ac:dyDescent="0.3">
      <c r="A119" s="6"/>
      <c r="B119" s="6"/>
      <c r="C119" s="6"/>
      <c r="D119" s="6"/>
      <c r="E119" s="6"/>
      <c r="F119" s="6"/>
      <c r="G119" s="6"/>
      <c r="H119" s="1"/>
      <c r="I119" s="1"/>
      <c r="J119" s="1"/>
      <c r="K119" s="1"/>
      <c r="L119" s="1"/>
    </row>
    <row r="120" spans="1:12" ht="90" customHeight="1" x14ac:dyDescent="0.3">
      <c r="A120" s="6"/>
      <c r="B120" s="6"/>
      <c r="C120" s="6"/>
      <c r="D120" s="6"/>
      <c r="E120" s="6"/>
      <c r="F120" s="6"/>
      <c r="G120" s="6"/>
      <c r="H120" s="1"/>
      <c r="I120" s="1"/>
      <c r="J120" s="1"/>
      <c r="K120" s="1"/>
      <c r="L120" s="1"/>
    </row>
    <row r="121" spans="1:12" ht="90" customHeight="1" x14ac:dyDescent="0.3">
      <c r="A121" s="6"/>
      <c r="B121" s="6"/>
      <c r="C121" s="6"/>
      <c r="D121" s="6"/>
      <c r="E121" s="6"/>
      <c r="F121" s="6"/>
      <c r="G121" s="6"/>
      <c r="H121" s="1"/>
      <c r="I121" s="1"/>
      <c r="J121" s="1"/>
      <c r="K121" s="1"/>
      <c r="L121" s="1"/>
    </row>
    <row r="122" spans="1:12" ht="90" customHeight="1" x14ac:dyDescent="0.3">
      <c r="A122" s="5" t="s">
        <v>175</v>
      </c>
      <c r="B122" s="5" t="s">
        <v>176</v>
      </c>
      <c r="C122" s="5" t="s">
        <v>177</v>
      </c>
      <c r="D122" s="7" t="s">
        <v>22</v>
      </c>
      <c r="E122" s="7" t="s">
        <v>23</v>
      </c>
      <c r="F122" s="5" t="s">
        <v>178</v>
      </c>
      <c r="G122" s="5" t="s">
        <v>179</v>
      </c>
      <c r="H122" s="3" t="s">
        <v>180</v>
      </c>
      <c r="I122" s="3">
        <v>0.99999392032623291</v>
      </c>
      <c r="J122" s="3" t="s">
        <v>27</v>
      </c>
      <c r="K122" s="3" t="s">
        <v>176</v>
      </c>
      <c r="L122" s="3">
        <v>99</v>
      </c>
    </row>
    <row r="123" spans="1:12" ht="90" customHeight="1" x14ac:dyDescent="0.3">
      <c r="A123" s="6"/>
      <c r="B123" s="6"/>
      <c r="C123" s="6"/>
      <c r="D123" s="6"/>
      <c r="E123" s="6"/>
      <c r="F123" s="6"/>
      <c r="G123" s="6"/>
      <c r="H123" s="2" t="s">
        <v>181</v>
      </c>
      <c r="I123" s="2">
        <v>0.99998617170544946</v>
      </c>
      <c r="J123" s="2" t="s">
        <v>27</v>
      </c>
      <c r="K123" s="2" t="s">
        <v>182</v>
      </c>
      <c r="L123" s="2">
        <v>64</v>
      </c>
    </row>
    <row r="124" spans="1:12" ht="90" customHeight="1" x14ac:dyDescent="0.3">
      <c r="A124" s="6"/>
      <c r="B124" s="6"/>
      <c r="C124" s="6"/>
      <c r="D124" s="6"/>
      <c r="E124" s="6"/>
      <c r="F124" s="6"/>
      <c r="G124" s="6"/>
      <c r="H124" s="2" t="s">
        <v>183</v>
      </c>
      <c r="I124" s="2">
        <v>0.99996732066480376</v>
      </c>
      <c r="J124" s="2" t="s">
        <v>27</v>
      </c>
      <c r="K124" s="2" t="s">
        <v>184</v>
      </c>
      <c r="L124" s="2">
        <v>21</v>
      </c>
    </row>
    <row r="125" spans="1:12" ht="90" customHeight="1" x14ac:dyDescent="0.3">
      <c r="A125" s="6"/>
      <c r="B125" s="6"/>
      <c r="C125" s="6"/>
      <c r="D125" s="6"/>
      <c r="E125" s="6"/>
      <c r="F125" s="6"/>
      <c r="G125" s="6"/>
      <c r="H125" s="1" t="s">
        <v>185</v>
      </c>
      <c r="I125" s="1">
        <v>0.99995899200439453</v>
      </c>
      <c r="J125" s="1" t="s">
        <v>27</v>
      </c>
      <c r="K125" s="1" t="s">
        <v>184</v>
      </c>
      <c r="L125" s="1">
        <v>22</v>
      </c>
    </row>
    <row r="126" spans="1:12" ht="90" customHeight="1" x14ac:dyDescent="0.3">
      <c r="A126" s="6"/>
      <c r="B126" s="6"/>
      <c r="C126" s="6"/>
      <c r="D126" s="6"/>
      <c r="E126" s="6"/>
      <c r="F126" s="6"/>
      <c r="G126" s="6"/>
      <c r="H126" s="1" t="s">
        <v>186</v>
      </c>
      <c r="I126" s="1">
        <v>0.99995875358581543</v>
      </c>
      <c r="J126" s="1" t="s">
        <v>27</v>
      </c>
      <c r="K126" s="1" t="s">
        <v>187</v>
      </c>
      <c r="L126" s="1">
        <v>28</v>
      </c>
    </row>
    <row r="127" spans="1:12" ht="90" customHeight="1" x14ac:dyDescent="0.3">
      <c r="A127" s="5" t="s">
        <v>188</v>
      </c>
      <c r="B127" s="5" t="s">
        <v>189</v>
      </c>
      <c r="C127" s="5" t="s">
        <v>190</v>
      </c>
      <c r="D127" s="7" t="s">
        <v>22</v>
      </c>
      <c r="E127" s="7" t="s">
        <v>23</v>
      </c>
      <c r="F127" s="5" t="s">
        <v>191</v>
      </c>
      <c r="G127" s="5" t="s">
        <v>192</v>
      </c>
      <c r="H127" s="2" t="s">
        <v>193</v>
      </c>
      <c r="I127" s="2">
        <v>0.98702687025070124</v>
      </c>
      <c r="J127" s="2" t="s">
        <v>27</v>
      </c>
      <c r="K127" s="2" t="s">
        <v>194</v>
      </c>
      <c r="L127" s="2">
        <v>280</v>
      </c>
    </row>
    <row r="128" spans="1:12" ht="90" customHeight="1" x14ac:dyDescent="0.3">
      <c r="A128" s="6"/>
      <c r="B128" s="6"/>
      <c r="C128" s="6"/>
      <c r="D128" s="6"/>
      <c r="E128" s="6"/>
      <c r="F128" s="6"/>
      <c r="G128" s="6"/>
      <c r="H128" s="3" t="s">
        <v>195</v>
      </c>
      <c r="I128" s="3">
        <v>0.98625653982162476</v>
      </c>
      <c r="J128" s="3" t="s">
        <v>27</v>
      </c>
      <c r="K128" s="3" t="s">
        <v>196</v>
      </c>
      <c r="L128" s="3">
        <v>10</v>
      </c>
    </row>
    <row r="129" spans="1:12" ht="90" customHeight="1" x14ac:dyDescent="0.3">
      <c r="A129" s="6"/>
      <c r="B129" s="6"/>
      <c r="C129" s="6"/>
      <c r="D129" s="6"/>
      <c r="E129" s="6"/>
      <c r="F129" s="6"/>
      <c r="G129" s="6"/>
      <c r="H129" s="2" t="s">
        <v>197</v>
      </c>
      <c r="I129" s="2">
        <v>0.98265403509140015</v>
      </c>
      <c r="J129" s="2" t="s">
        <v>27</v>
      </c>
      <c r="K129" s="2" t="s">
        <v>198</v>
      </c>
      <c r="L129" s="2">
        <v>2</v>
      </c>
    </row>
    <row r="130" spans="1:12" ht="90" customHeight="1" x14ac:dyDescent="0.3">
      <c r="A130" s="6"/>
      <c r="B130" s="6"/>
      <c r="C130" s="6"/>
      <c r="D130" s="6"/>
      <c r="E130" s="6"/>
      <c r="F130" s="6"/>
      <c r="G130" s="6"/>
      <c r="H130" s="1" t="s">
        <v>199</v>
      </c>
      <c r="I130" s="1">
        <v>0.9156535267829895</v>
      </c>
      <c r="J130" s="1" t="s">
        <v>27</v>
      </c>
      <c r="K130" s="1" t="s">
        <v>200</v>
      </c>
      <c r="L130" s="1">
        <v>245</v>
      </c>
    </row>
    <row r="131" spans="1:12" ht="90" customHeight="1" x14ac:dyDescent="0.3">
      <c r="A131" s="6"/>
      <c r="B131" s="6"/>
      <c r="C131" s="6"/>
      <c r="D131" s="6"/>
      <c r="E131" s="6"/>
      <c r="F131" s="6"/>
      <c r="G131" s="6"/>
      <c r="H131" s="1" t="s">
        <v>201</v>
      </c>
      <c r="I131" s="1">
        <v>0.88977968692779541</v>
      </c>
      <c r="J131" s="1" t="s">
        <v>27</v>
      </c>
      <c r="K131" s="1" t="s">
        <v>202</v>
      </c>
      <c r="L131" s="1">
        <v>260</v>
      </c>
    </row>
    <row r="132" spans="1:12" ht="90" customHeight="1" x14ac:dyDescent="0.3">
      <c r="A132" s="5" t="s">
        <v>203</v>
      </c>
      <c r="B132" s="5" t="s">
        <v>204</v>
      </c>
      <c r="C132" s="5" t="s">
        <v>205</v>
      </c>
      <c r="D132" s="7" t="s">
        <v>22</v>
      </c>
      <c r="E132" s="7" t="s">
        <v>23</v>
      </c>
      <c r="F132" s="5" t="s">
        <v>206</v>
      </c>
      <c r="G132" s="5" t="s">
        <v>207</v>
      </c>
      <c r="H132" s="3" t="s">
        <v>208</v>
      </c>
      <c r="I132" s="3">
        <v>0.98357707262039185</v>
      </c>
      <c r="J132" s="3" t="s">
        <v>27</v>
      </c>
      <c r="K132" s="3" t="s">
        <v>204</v>
      </c>
      <c r="L132" s="3">
        <v>33</v>
      </c>
    </row>
    <row r="133" spans="1:12" ht="90" customHeight="1" x14ac:dyDescent="0.3">
      <c r="A133" s="6"/>
      <c r="B133" s="6"/>
      <c r="C133" s="6"/>
      <c r="D133" s="6"/>
      <c r="E133" s="6"/>
      <c r="F133" s="6"/>
      <c r="G133" s="6"/>
      <c r="H133" s="1"/>
      <c r="I133" s="1"/>
      <c r="J133" s="1"/>
      <c r="K133" s="1"/>
      <c r="L133" s="1"/>
    </row>
    <row r="134" spans="1:12" ht="90" customHeight="1" x14ac:dyDescent="0.3">
      <c r="A134" s="6"/>
      <c r="B134" s="6"/>
      <c r="C134" s="6"/>
      <c r="D134" s="6"/>
      <c r="E134" s="6"/>
      <c r="F134" s="6"/>
      <c r="G134" s="6"/>
      <c r="H134" s="1"/>
      <c r="I134" s="1"/>
      <c r="J134" s="1"/>
      <c r="K134" s="1"/>
      <c r="L134" s="1"/>
    </row>
    <row r="135" spans="1:12" ht="90" customHeight="1" x14ac:dyDescent="0.3">
      <c r="A135" s="6"/>
      <c r="B135" s="6"/>
      <c r="C135" s="6"/>
      <c r="D135" s="6"/>
      <c r="E135" s="6"/>
      <c r="F135" s="6"/>
      <c r="G135" s="6"/>
      <c r="H135" s="1"/>
      <c r="I135" s="1"/>
      <c r="J135" s="1"/>
      <c r="K135" s="1"/>
      <c r="L135" s="1"/>
    </row>
    <row r="136" spans="1:12" ht="90" customHeight="1" x14ac:dyDescent="0.3">
      <c r="A136" s="6"/>
      <c r="B136" s="6"/>
      <c r="C136" s="6"/>
      <c r="D136" s="6"/>
      <c r="E136" s="6"/>
      <c r="F136" s="6"/>
      <c r="G136" s="6"/>
      <c r="H136" s="1"/>
      <c r="I136" s="1"/>
      <c r="J136" s="1"/>
      <c r="K136" s="1"/>
      <c r="L136" s="1"/>
    </row>
    <row r="137" spans="1:12" ht="90" customHeight="1" x14ac:dyDescent="0.3">
      <c r="A137" s="5" t="s">
        <v>209</v>
      </c>
      <c r="B137" s="5" t="s">
        <v>202</v>
      </c>
      <c r="C137" s="5" t="s">
        <v>210</v>
      </c>
      <c r="D137" s="7" t="s">
        <v>22</v>
      </c>
      <c r="E137" s="7" t="s">
        <v>23</v>
      </c>
      <c r="F137" s="5" t="s">
        <v>211</v>
      </c>
      <c r="G137" s="5" t="s">
        <v>212</v>
      </c>
      <c r="H137" s="3" t="s">
        <v>213</v>
      </c>
      <c r="I137" s="3">
        <v>0.99563735723495483</v>
      </c>
      <c r="J137" s="3" t="s">
        <v>27</v>
      </c>
      <c r="K137" s="3" t="s">
        <v>202</v>
      </c>
      <c r="L137" s="3">
        <v>268</v>
      </c>
    </row>
    <row r="138" spans="1:12" ht="90" customHeight="1" x14ac:dyDescent="0.3">
      <c r="A138" s="6"/>
      <c r="B138" s="6"/>
      <c r="C138" s="6"/>
      <c r="D138" s="6"/>
      <c r="E138" s="6"/>
      <c r="F138" s="6"/>
      <c r="G138" s="6"/>
      <c r="H138" s="2" t="s">
        <v>214</v>
      </c>
      <c r="I138" s="2">
        <v>0.9859844446182251</v>
      </c>
      <c r="J138" s="2" t="s">
        <v>27</v>
      </c>
      <c r="K138" s="2" t="s">
        <v>200</v>
      </c>
      <c r="L138" s="2">
        <v>266</v>
      </c>
    </row>
    <row r="139" spans="1:12" ht="90" customHeight="1" x14ac:dyDescent="0.3">
      <c r="A139" s="6"/>
      <c r="B139" s="6"/>
      <c r="C139" s="6"/>
      <c r="D139" s="6"/>
      <c r="E139" s="6"/>
      <c r="F139" s="6"/>
      <c r="G139" s="6"/>
      <c r="H139" s="2" t="s">
        <v>215</v>
      </c>
      <c r="I139" s="2">
        <v>0.98417997360229492</v>
      </c>
      <c r="J139" s="2" t="s">
        <v>27</v>
      </c>
      <c r="K139" s="2" t="s">
        <v>194</v>
      </c>
      <c r="L139" s="2">
        <v>290</v>
      </c>
    </row>
    <row r="140" spans="1:12" ht="90" customHeight="1" x14ac:dyDescent="0.3">
      <c r="A140" s="6"/>
      <c r="B140" s="6"/>
      <c r="C140" s="6"/>
      <c r="D140" s="6"/>
      <c r="E140" s="6"/>
      <c r="F140" s="6"/>
      <c r="G140" s="6"/>
      <c r="H140" s="1" t="s">
        <v>216</v>
      </c>
      <c r="I140" s="1">
        <v>0.96942037343978882</v>
      </c>
      <c r="J140" s="1" t="s">
        <v>27</v>
      </c>
      <c r="K140" s="1" t="s">
        <v>217</v>
      </c>
      <c r="L140" s="1">
        <v>15</v>
      </c>
    </row>
    <row r="141" spans="1:12" ht="90" customHeight="1" x14ac:dyDescent="0.3">
      <c r="A141" s="6"/>
      <c r="B141" s="6"/>
      <c r="C141" s="6"/>
      <c r="D141" s="6"/>
      <c r="E141" s="6"/>
      <c r="F141" s="6"/>
      <c r="G141" s="6"/>
      <c r="H141" s="1" t="s">
        <v>218</v>
      </c>
      <c r="I141" s="1">
        <v>0.96766763925552368</v>
      </c>
      <c r="J141" s="1" t="s">
        <v>27</v>
      </c>
      <c r="K141" s="1" t="s">
        <v>196</v>
      </c>
      <c r="L141" s="1">
        <v>11</v>
      </c>
    </row>
    <row r="142" spans="1:12" ht="90" customHeight="1" x14ac:dyDescent="0.3">
      <c r="A142" s="5" t="s">
        <v>219</v>
      </c>
      <c r="B142" s="5" t="s">
        <v>196</v>
      </c>
      <c r="C142" s="5" t="s">
        <v>220</v>
      </c>
      <c r="D142" s="7" t="s">
        <v>22</v>
      </c>
      <c r="E142" s="7" t="s">
        <v>16</v>
      </c>
      <c r="F142" s="5" t="s">
        <v>221</v>
      </c>
      <c r="G142" s="5" t="s">
        <v>222</v>
      </c>
      <c r="H142" s="4" t="s">
        <v>223</v>
      </c>
      <c r="I142" s="4">
        <v>0.99897420406341553</v>
      </c>
      <c r="J142" s="4" t="s">
        <v>27</v>
      </c>
      <c r="K142" s="4" t="s">
        <v>196</v>
      </c>
      <c r="L142" s="4">
        <v>14</v>
      </c>
    </row>
    <row r="143" spans="1:12" ht="90" customHeight="1" x14ac:dyDescent="0.3">
      <c r="A143" s="6"/>
      <c r="B143" s="6"/>
      <c r="C143" s="6"/>
      <c r="D143" s="6"/>
      <c r="E143" s="6"/>
      <c r="F143" s="6"/>
      <c r="G143" s="6"/>
      <c r="H143" s="4" t="s">
        <v>224</v>
      </c>
      <c r="I143" s="4">
        <v>0.99813348054885864</v>
      </c>
      <c r="J143" s="4" t="s">
        <v>27</v>
      </c>
      <c r="K143" s="4" t="s">
        <v>196</v>
      </c>
      <c r="L143" s="4">
        <v>10</v>
      </c>
    </row>
    <row r="144" spans="1:12" ht="90" customHeight="1" x14ac:dyDescent="0.3">
      <c r="A144" s="6"/>
      <c r="B144" s="6"/>
      <c r="C144" s="6"/>
      <c r="D144" s="6"/>
      <c r="E144" s="6"/>
      <c r="F144" s="6"/>
      <c r="G144" s="6"/>
      <c r="H144" s="2" t="s">
        <v>225</v>
      </c>
      <c r="I144" s="2">
        <v>0.96399992704391479</v>
      </c>
      <c r="J144" s="2" t="s">
        <v>27</v>
      </c>
      <c r="K144" s="2" t="s">
        <v>198</v>
      </c>
      <c r="L144" s="2">
        <v>5</v>
      </c>
    </row>
    <row r="145" spans="1:12" ht="90" customHeight="1" x14ac:dyDescent="0.3">
      <c r="A145" s="6"/>
      <c r="B145" s="6"/>
      <c r="C145" s="6"/>
      <c r="D145" s="6"/>
      <c r="E145" s="6"/>
      <c r="F145" s="6"/>
      <c r="G145" s="6"/>
      <c r="H145" s="2" t="s">
        <v>226</v>
      </c>
      <c r="I145" s="2">
        <v>0.90944886207580566</v>
      </c>
      <c r="J145" s="2" t="s">
        <v>27</v>
      </c>
      <c r="K145" s="2" t="s">
        <v>196</v>
      </c>
      <c r="L145" s="2">
        <v>3</v>
      </c>
    </row>
    <row r="146" spans="1:12" ht="90" customHeight="1" x14ac:dyDescent="0.3">
      <c r="A146" s="6"/>
      <c r="B146" s="6"/>
      <c r="C146" s="6"/>
      <c r="D146" s="6"/>
      <c r="E146" s="6"/>
      <c r="F146" s="6"/>
      <c r="G146" s="6"/>
      <c r="H146" s="1" t="s">
        <v>227</v>
      </c>
      <c r="I146" s="1">
        <v>0.81254881620407104</v>
      </c>
      <c r="J146" s="1" t="s">
        <v>27</v>
      </c>
      <c r="K146" s="1" t="s">
        <v>200</v>
      </c>
      <c r="L146" s="1">
        <v>137</v>
      </c>
    </row>
    <row r="147" spans="1:12" ht="90" customHeight="1" x14ac:dyDescent="0.3">
      <c r="A147" s="5" t="s">
        <v>228</v>
      </c>
      <c r="B147" s="5" t="s">
        <v>46</v>
      </c>
      <c r="C147" s="5" t="s">
        <v>190</v>
      </c>
      <c r="D147" s="7" t="s">
        <v>22</v>
      </c>
      <c r="E147" s="7" t="s">
        <v>23</v>
      </c>
      <c r="F147" s="5" t="s">
        <v>229</v>
      </c>
      <c r="G147" s="5" t="s">
        <v>230</v>
      </c>
      <c r="H147" s="3" t="s">
        <v>45</v>
      </c>
      <c r="I147" s="3">
        <v>0.99970859289169312</v>
      </c>
      <c r="J147" s="3" t="s">
        <v>27</v>
      </c>
      <c r="K147" s="3" t="s">
        <v>46</v>
      </c>
      <c r="L147" s="3">
        <v>10</v>
      </c>
    </row>
    <row r="148" spans="1:12" ht="90" customHeight="1" x14ac:dyDescent="0.3">
      <c r="A148" s="6"/>
      <c r="B148" s="6"/>
      <c r="C148" s="6"/>
      <c r="D148" s="6"/>
      <c r="E148" s="6"/>
      <c r="F148" s="6"/>
      <c r="G148" s="6"/>
      <c r="H148" s="1"/>
      <c r="I148" s="1"/>
      <c r="J148" s="1"/>
      <c r="K148" s="1"/>
      <c r="L148" s="1"/>
    </row>
    <row r="149" spans="1:12" ht="90" customHeight="1" x14ac:dyDescent="0.3">
      <c r="A149" s="6"/>
      <c r="B149" s="6"/>
      <c r="C149" s="6"/>
      <c r="D149" s="6"/>
      <c r="E149" s="6"/>
      <c r="F149" s="6"/>
      <c r="G149" s="6"/>
      <c r="H149" s="1"/>
      <c r="I149" s="1"/>
      <c r="J149" s="1"/>
      <c r="K149" s="1"/>
      <c r="L149" s="1"/>
    </row>
    <row r="150" spans="1:12" ht="90" customHeight="1" x14ac:dyDescent="0.3">
      <c r="A150" s="6"/>
      <c r="B150" s="6"/>
      <c r="C150" s="6"/>
      <c r="D150" s="6"/>
      <c r="E150" s="6"/>
      <c r="F150" s="6"/>
      <c r="G150" s="6"/>
      <c r="H150" s="1"/>
      <c r="I150" s="1"/>
      <c r="J150" s="1"/>
      <c r="K150" s="1"/>
      <c r="L150" s="1"/>
    </row>
    <row r="151" spans="1:12" ht="90" customHeight="1" x14ac:dyDescent="0.3">
      <c r="A151" s="6"/>
      <c r="B151" s="6"/>
      <c r="C151" s="6"/>
      <c r="D151" s="6"/>
      <c r="E151" s="6"/>
      <c r="F151" s="6"/>
      <c r="G151" s="6"/>
      <c r="H151" s="1"/>
      <c r="I151" s="1"/>
      <c r="J151" s="1"/>
      <c r="K151" s="1"/>
      <c r="L151" s="1"/>
    </row>
    <row r="152" spans="1:12" ht="90" customHeight="1" x14ac:dyDescent="0.3">
      <c r="A152" s="5" t="s">
        <v>231</v>
      </c>
      <c r="B152" s="5" t="s">
        <v>232</v>
      </c>
      <c r="C152" s="5" t="s">
        <v>233</v>
      </c>
      <c r="D152" s="7" t="s">
        <v>22</v>
      </c>
      <c r="E152" s="7" t="s">
        <v>23</v>
      </c>
      <c r="F152" s="5" t="s">
        <v>234</v>
      </c>
      <c r="G152" s="5" t="s">
        <v>235</v>
      </c>
      <c r="H152" s="2" t="s">
        <v>236</v>
      </c>
      <c r="I152" s="2">
        <v>0.98758125305175781</v>
      </c>
      <c r="J152" s="2" t="s">
        <v>27</v>
      </c>
      <c r="K152" s="2" t="s">
        <v>232</v>
      </c>
      <c r="L152" s="2">
        <v>2</v>
      </c>
    </row>
    <row r="153" spans="1:12" ht="90" customHeight="1" x14ac:dyDescent="0.3">
      <c r="A153" s="6"/>
      <c r="B153" s="6"/>
      <c r="C153" s="6"/>
      <c r="D153" s="6"/>
      <c r="E153" s="6"/>
      <c r="F153" s="6"/>
      <c r="G153" s="6"/>
      <c r="H153" s="3" t="s">
        <v>237</v>
      </c>
      <c r="I153" s="3">
        <v>0.95791900157928467</v>
      </c>
      <c r="J153" s="3" t="s">
        <v>27</v>
      </c>
      <c r="K153" s="3" t="s">
        <v>232</v>
      </c>
      <c r="L153" s="3">
        <v>4</v>
      </c>
    </row>
    <row r="154" spans="1:12" ht="90" customHeight="1" x14ac:dyDescent="0.3">
      <c r="A154" s="6"/>
      <c r="B154" s="6"/>
      <c r="C154" s="6"/>
      <c r="D154" s="6"/>
      <c r="E154" s="6"/>
      <c r="F154" s="6"/>
      <c r="G154" s="6"/>
      <c r="H154" s="3" t="s">
        <v>238</v>
      </c>
      <c r="I154" s="3">
        <v>0.91970175504684448</v>
      </c>
      <c r="J154" s="3" t="s">
        <v>27</v>
      </c>
      <c r="K154" s="3" t="s">
        <v>232</v>
      </c>
      <c r="L154" s="3">
        <v>3</v>
      </c>
    </row>
    <row r="155" spans="1:12" ht="90" customHeight="1" x14ac:dyDescent="0.3">
      <c r="A155" s="6"/>
      <c r="B155" s="6"/>
      <c r="C155" s="6"/>
      <c r="D155" s="6"/>
      <c r="E155" s="6"/>
      <c r="F155" s="6"/>
      <c r="G155" s="6"/>
      <c r="H155" s="1" t="s">
        <v>239</v>
      </c>
      <c r="I155" s="1">
        <v>0.8575739860534668</v>
      </c>
      <c r="J155" s="1" t="s">
        <v>27</v>
      </c>
      <c r="K155" s="1" t="s">
        <v>240</v>
      </c>
      <c r="L155" s="1">
        <v>3</v>
      </c>
    </row>
    <row r="156" spans="1:12" ht="90" customHeight="1" x14ac:dyDescent="0.3">
      <c r="A156" s="6"/>
      <c r="B156" s="6"/>
      <c r="C156" s="6"/>
      <c r="D156" s="6"/>
      <c r="E156" s="6"/>
      <c r="F156" s="6"/>
      <c r="G156" s="6"/>
      <c r="H156" s="1"/>
      <c r="I156" s="1"/>
      <c r="J156" s="1"/>
      <c r="K156" s="1"/>
      <c r="L156" s="1"/>
    </row>
    <row r="157" spans="1:12" ht="90" customHeight="1" x14ac:dyDescent="0.3">
      <c r="A157" s="5" t="s">
        <v>241</v>
      </c>
      <c r="B157" s="5" t="s">
        <v>34</v>
      </c>
      <c r="C157" s="5" t="s">
        <v>14</v>
      </c>
      <c r="D157" s="7" t="s">
        <v>15</v>
      </c>
      <c r="E157" s="7" t="s">
        <v>16</v>
      </c>
      <c r="F157" s="5" t="s">
        <v>242</v>
      </c>
      <c r="G157" s="5" t="s">
        <v>18</v>
      </c>
      <c r="H157" s="1"/>
      <c r="I157" s="1"/>
      <c r="J157" s="1"/>
      <c r="K157" s="1"/>
      <c r="L157" s="1"/>
    </row>
    <row r="158" spans="1:12" ht="90" customHeight="1" x14ac:dyDescent="0.3">
      <c r="A158" s="6"/>
      <c r="B158" s="6"/>
      <c r="C158" s="6"/>
      <c r="D158" s="6"/>
      <c r="E158" s="6"/>
      <c r="F158" s="6"/>
      <c r="G158" s="6"/>
      <c r="H158" s="1"/>
      <c r="I158" s="1"/>
      <c r="J158" s="1"/>
      <c r="K158" s="1"/>
      <c r="L158" s="1"/>
    </row>
    <row r="159" spans="1:12" ht="90" customHeight="1" x14ac:dyDescent="0.3">
      <c r="A159" s="6"/>
      <c r="B159" s="6"/>
      <c r="C159" s="6"/>
      <c r="D159" s="6"/>
      <c r="E159" s="6"/>
      <c r="F159" s="6"/>
      <c r="G159" s="6"/>
      <c r="H159" s="1"/>
      <c r="I159" s="1"/>
      <c r="J159" s="1"/>
      <c r="K159" s="1"/>
      <c r="L159" s="1"/>
    </row>
    <row r="160" spans="1:12" ht="90" customHeight="1" x14ac:dyDescent="0.3">
      <c r="A160" s="6"/>
      <c r="B160" s="6"/>
      <c r="C160" s="6"/>
      <c r="D160" s="6"/>
      <c r="E160" s="6"/>
      <c r="F160" s="6"/>
      <c r="G160" s="6"/>
      <c r="H160" s="1"/>
      <c r="I160" s="1"/>
      <c r="J160" s="1"/>
      <c r="K160" s="1"/>
      <c r="L160" s="1"/>
    </row>
    <row r="161" spans="1:12" ht="90" customHeight="1" x14ac:dyDescent="0.3">
      <c r="A161" s="6"/>
      <c r="B161" s="6"/>
      <c r="C161" s="6"/>
      <c r="D161" s="6"/>
      <c r="E161" s="6"/>
      <c r="F161" s="6"/>
      <c r="G161" s="6"/>
      <c r="H161" s="1"/>
      <c r="I161" s="1"/>
      <c r="J161" s="1"/>
      <c r="K161" s="1"/>
      <c r="L161" s="1"/>
    </row>
    <row r="162" spans="1:12" ht="90" customHeight="1" x14ac:dyDescent="0.3">
      <c r="A162" s="5" t="s">
        <v>243</v>
      </c>
      <c r="B162" s="5" t="s">
        <v>244</v>
      </c>
      <c r="C162" s="5" t="s">
        <v>111</v>
      </c>
      <c r="D162" s="7" t="s">
        <v>22</v>
      </c>
      <c r="E162" s="7" t="s">
        <v>23</v>
      </c>
      <c r="F162" s="5" t="s">
        <v>245</v>
      </c>
      <c r="G162" s="5" t="s">
        <v>246</v>
      </c>
      <c r="H162" s="3" t="s">
        <v>247</v>
      </c>
      <c r="I162" s="3">
        <v>0.99980181455612183</v>
      </c>
      <c r="J162" s="3" t="s">
        <v>27</v>
      </c>
      <c r="K162" s="3" t="s">
        <v>244</v>
      </c>
      <c r="L162" s="3">
        <v>30</v>
      </c>
    </row>
    <row r="163" spans="1:12" ht="90" customHeight="1" x14ac:dyDescent="0.3">
      <c r="A163" s="6"/>
      <c r="B163" s="6"/>
      <c r="C163" s="6"/>
      <c r="D163" s="6"/>
      <c r="E163" s="6"/>
      <c r="F163" s="6"/>
      <c r="G163" s="6"/>
      <c r="H163" s="2" t="s">
        <v>248</v>
      </c>
      <c r="I163" s="2">
        <v>0.76248449087142944</v>
      </c>
      <c r="J163" s="2" t="s">
        <v>27</v>
      </c>
      <c r="K163" s="2" t="s">
        <v>249</v>
      </c>
      <c r="L163" s="2">
        <v>22</v>
      </c>
    </row>
    <row r="164" spans="1:12" ht="90" customHeight="1" x14ac:dyDescent="0.3">
      <c r="A164" s="6"/>
      <c r="B164" s="6"/>
      <c r="C164" s="6"/>
      <c r="D164" s="6"/>
      <c r="E164" s="6"/>
      <c r="F164" s="6"/>
      <c r="G164" s="6"/>
      <c r="H164" s="1"/>
      <c r="I164" s="1"/>
      <c r="J164" s="1"/>
      <c r="K164" s="1"/>
      <c r="L164" s="1"/>
    </row>
    <row r="165" spans="1:12" ht="90" customHeight="1" x14ac:dyDescent="0.3">
      <c r="A165" s="6"/>
      <c r="B165" s="6"/>
      <c r="C165" s="6"/>
      <c r="D165" s="6"/>
      <c r="E165" s="6"/>
      <c r="F165" s="6"/>
      <c r="G165" s="6"/>
      <c r="H165" s="1"/>
      <c r="I165" s="1"/>
      <c r="J165" s="1"/>
      <c r="K165" s="1"/>
      <c r="L165" s="1"/>
    </row>
    <row r="166" spans="1:12" ht="90" customHeight="1" x14ac:dyDescent="0.3">
      <c r="A166" s="6"/>
      <c r="B166" s="6"/>
      <c r="C166" s="6"/>
      <c r="D166" s="6"/>
      <c r="E166" s="6"/>
      <c r="F166" s="6"/>
      <c r="G166" s="6"/>
      <c r="H166" s="1"/>
      <c r="I166" s="1"/>
      <c r="J166" s="1"/>
      <c r="K166" s="1"/>
      <c r="L166" s="1"/>
    </row>
    <row r="167" spans="1:12" ht="90" customHeight="1" x14ac:dyDescent="0.3">
      <c r="A167" s="5" t="s">
        <v>250</v>
      </c>
      <c r="B167" s="5" t="s">
        <v>244</v>
      </c>
      <c r="C167" s="5" t="s">
        <v>251</v>
      </c>
      <c r="D167" s="7" t="s">
        <v>15</v>
      </c>
      <c r="E167" s="7" t="s">
        <v>16</v>
      </c>
      <c r="F167" s="5" t="s">
        <v>252</v>
      </c>
      <c r="G167" s="5" t="s">
        <v>18</v>
      </c>
      <c r="H167" s="1"/>
      <c r="I167" s="1"/>
      <c r="J167" s="1"/>
      <c r="K167" s="1"/>
      <c r="L167" s="1"/>
    </row>
    <row r="168" spans="1:12" ht="90" customHeight="1" x14ac:dyDescent="0.3">
      <c r="A168" s="6"/>
      <c r="B168" s="6"/>
      <c r="C168" s="6"/>
      <c r="D168" s="6"/>
      <c r="E168" s="6"/>
      <c r="F168" s="6"/>
      <c r="G168" s="6"/>
      <c r="H168" s="1"/>
      <c r="I168" s="1"/>
      <c r="J168" s="1"/>
      <c r="K168" s="1"/>
      <c r="L168" s="1"/>
    </row>
    <row r="169" spans="1:12" ht="90" customHeight="1" x14ac:dyDescent="0.3">
      <c r="A169" s="6"/>
      <c r="B169" s="6"/>
      <c r="C169" s="6"/>
      <c r="D169" s="6"/>
      <c r="E169" s="6"/>
      <c r="F169" s="6"/>
      <c r="G169" s="6"/>
      <c r="H169" s="1"/>
      <c r="I169" s="1"/>
      <c r="J169" s="1"/>
      <c r="K169" s="1"/>
      <c r="L169" s="1"/>
    </row>
    <row r="170" spans="1:12" ht="90" customHeight="1" x14ac:dyDescent="0.3">
      <c r="A170" s="6"/>
      <c r="B170" s="6"/>
      <c r="C170" s="6"/>
      <c r="D170" s="6"/>
      <c r="E170" s="6"/>
      <c r="F170" s="6"/>
      <c r="G170" s="6"/>
      <c r="H170" s="1"/>
      <c r="I170" s="1"/>
      <c r="J170" s="1"/>
      <c r="K170" s="1"/>
      <c r="L170" s="1"/>
    </row>
    <row r="171" spans="1:12" ht="90" customHeight="1" x14ac:dyDescent="0.3">
      <c r="A171" s="6"/>
      <c r="B171" s="6"/>
      <c r="C171" s="6"/>
      <c r="D171" s="6"/>
      <c r="E171" s="6"/>
      <c r="F171" s="6"/>
      <c r="G171" s="6"/>
      <c r="H171" s="1"/>
      <c r="I171" s="1"/>
      <c r="J171" s="1"/>
      <c r="K171" s="1"/>
      <c r="L171" s="1"/>
    </row>
    <row r="172" spans="1:12" ht="90" customHeight="1" x14ac:dyDescent="0.3">
      <c r="A172" s="5" t="s">
        <v>253</v>
      </c>
      <c r="B172" s="5" t="s">
        <v>254</v>
      </c>
      <c r="C172" s="5" t="s">
        <v>255</v>
      </c>
      <c r="D172" s="7" t="s">
        <v>22</v>
      </c>
      <c r="E172" s="7" t="s">
        <v>23</v>
      </c>
      <c r="F172" s="5" t="s">
        <v>256</v>
      </c>
      <c r="G172" s="5" t="s">
        <v>257</v>
      </c>
      <c r="H172" s="3" t="s">
        <v>258</v>
      </c>
      <c r="I172" s="3">
        <v>0.90803015232086182</v>
      </c>
      <c r="J172" s="3" t="s">
        <v>27</v>
      </c>
      <c r="K172" s="3" t="s">
        <v>254</v>
      </c>
      <c r="L172" s="3">
        <v>6</v>
      </c>
    </row>
    <row r="173" spans="1:12" ht="90" customHeight="1" x14ac:dyDescent="0.3">
      <c r="A173" s="6"/>
      <c r="B173" s="6"/>
      <c r="C173" s="6"/>
      <c r="D173" s="6"/>
      <c r="E173" s="6"/>
      <c r="F173" s="6"/>
      <c r="G173" s="6"/>
      <c r="H173" s="2" t="s">
        <v>259</v>
      </c>
      <c r="I173" s="2">
        <v>0.88314265012741089</v>
      </c>
      <c r="J173" s="2" t="s">
        <v>27</v>
      </c>
      <c r="K173" s="2" t="s">
        <v>254</v>
      </c>
      <c r="L173" s="2">
        <v>3</v>
      </c>
    </row>
    <row r="174" spans="1:12" ht="90" customHeight="1" x14ac:dyDescent="0.3">
      <c r="A174" s="6"/>
      <c r="B174" s="6"/>
      <c r="C174" s="6"/>
      <c r="D174" s="6"/>
      <c r="E174" s="6"/>
      <c r="F174" s="6"/>
      <c r="G174" s="6"/>
      <c r="H174" s="1" t="s">
        <v>260</v>
      </c>
      <c r="I174" s="1">
        <v>0.84382134675979614</v>
      </c>
      <c r="J174" s="1" t="s">
        <v>27</v>
      </c>
      <c r="K174" s="1" t="s">
        <v>254</v>
      </c>
      <c r="L174" s="1">
        <v>11</v>
      </c>
    </row>
    <row r="175" spans="1:12" ht="90" customHeight="1" x14ac:dyDescent="0.3">
      <c r="A175" s="6"/>
      <c r="B175" s="6"/>
      <c r="C175" s="6"/>
      <c r="D175" s="6"/>
      <c r="E175" s="6"/>
      <c r="F175" s="6"/>
      <c r="G175" s="6"/>
      <c r="H175" s="1"/>
      <c r="I175" s="1"/>
      <c r="J175" s="1"/>
      <c r="K175" s="1"/>
      <c r="L175" s="1"/>
    </row>
    <row r="176" spans="1:12" ht="90" customHeight="1" x14ac:dyDescent="0.3">
      <c r="A176" s="6"/>
      <c r="B176" s="6"/>
      <c r="C176" s="6"/>
      <c r="D176" s="6"/>
      <c r="E176" s="6"/>
      <c r="F176" s="6"/>
      <c r="G176" s="6"/>
      <c r="H176" s="1"/>
      <c r="I176" s="1"/>
      <c r="J176" s="1"/>
      <c r="K176" s="1"/>
      <c r="L176" s="1"/>
    </row>
    <row r="177" spans="1:12" ht="90" customHeight="1" x14ac:dyDescent="0.3">
      <c r="A177" s="5" t="s">
        <v>261</v>
      </c>
      <c r="B177" s="5" t="s">
        <v>262</v>
      </c>
      <c r="C177" s="5" t="s">
        <v>263</v>
      </c>
      <c r="D177" s="7" t="s">
        <v>15</v>
      </c>
      <c r="E177" s="7" t="s">
        <v>16</v>
      </c>
      <c r="F177" s="5" t="s">
        <v>264</v>
      </c>
      <c r="G177" s="5" t="s">
        <v>265</v>
      </c>
      <c r="H177" s="2" t="s">
        <v>266</v>
      </c>
      <c r="I177" s="2">
        <v>0.86123651266098022</v>
      </c>
      <c r="J177" s="2" t="s">
        <v>27</v>
      </c>
      <c r="K177" s="2" t="s">
        <v>262</v>
      </c>
      <c r="L177" s="2">
        <v>13</v>
      </c>
    </row>
    <row r="178" spans="1:12" ht="90" customHeight="1" x14ac:dyDescent="0.3">
      <c r="A178" s="6"/>
      <c r="B178" s="6"/>
      <c r="C178" s="6"/>
      <c r="D178" s="6"/>
      <c r="E178" s="6"/>
      <c r="F178" s="6"/>
      <c r="G178" s="6"/>
      <c r="H178" s="1"/>
      <c r="I178" s="1"/>
      <c r="J178" s="1"/>
      <c r="K178" s="1"/>
      <c r="L178" s="1"/>
    </row>
    <row r="179" spans="1:12" ht="90" customHeight="1" x14ac:dyDescent="0.3">
      <c r="A179" s="6"/>
      <c r="B179" s="6"/>
      <c r="C179" s="6"/>
      <c r="D179" s="6"/>
      <c r="E179" s="6"/>
      <c r="F179" s="6"/>
      <c r="G179" s="6"/>
      <c r="H179" s="1"/>
      <c r="I179" s="1"/>
      <c r="J179" s="1"/>
      <c r="K179" s="1"/>
      <c r="L179" s="1"/>
    </row>
    <row r="180" spans="1:12" ht="90" customHeight="1" x14ac:dyDescent="0.3">
      <c r="A180" s="6"/>
      <c r="B180" s="6"/>
      <c r="C180" s="6"/>
      <c r="D180" s="6"/>
      <c r="E180" s="6"/>
      <c r="F180" s="6"/>
      <c r="G180" s="6"/>
      <c r="H180" s="1"/>
      <c r="I180" s="1"/>
      <c r="J180" s="1"/>
      <c r="K180" s="1"/>
      <c r="L180" s="1"/>
    </row>
    <row r="181" spans="1:12" ht="90" customHeight="1" x14ac:dyDescent="0.3">
      <c r="A181" s="6"/>
      <c r="B181" s="6"/>
      <c r="C181" s="6"/>
      <c r="D181" s="6"/>
      <c r="E181" s="6"/>
      <c r="F181" s="6"/>
      <c r="G181" s="6"/>
      <c r="H181" s="1"/>
      <c r="I181" s="1"/>
      <c r="J181" s="1"/>
      <c r="K181" s="1"/>
      <c r="L181" s="1"/>
    </row>
    <row r="182" spans="1:12" ht="90" customHeight="1" x14ac:dyDescent="0.3">
      <c r="A182" s="5" t="s">
        <v>267</v>
      </c>
      <c r="B182" s="5" t="s">
        <v>262</v>
      </c>
      <c r="C182" s="5" t="s">
        <v>268</v>
      </c>
      <c r="D182" s="7" t="s">
        <v>15</v>
      </c>
      <c r="E182" s="7" t="s">
        <v>16</v>
      </c>
      <c r="F182" s="5" t="s">
        <v>269</v>
      </c>
      <c r="G182" s="5" t="s">
        <v>18</v>
      </c>
      <c r="H182" s="1"/>
      <c r="I182" s="1"/>
      <c r="J182" s="1"/>
      <c r="K182" s="1"/>
      <c r="L182" s="1"/>
    </row>
    <row r="183" spans="1:12" ht="90" customHeight="1" x14ac:dyDescent="0.3">
      <c r="A183" s="6"/>
      <c r="B183" s="6"/>
      <c r="C183" s="6"/>
      <c r="D183" s="6"/>
      <c r="E183" s="6"/>
      <c r="F183" s="6"/>
      <c r="G183" s="6"/>
      <c r="H183" s="1"/>
      <c r="I183" s="1"/>
      <c r="J183" s="1"/>
      <c r="K183" s="1"/>
      <c r="L183" s="1"/>
    </row>
    <row r="184" spans="1:12" ht="90" customHeight="1" x14ac:dyDescent="0.3">
      <c r="A184" s="6"/>
      <c r="B184" s="6"/>
      <c r="C184" s="6"/>
      <c r="D184" s="6"/>
      <c r="E184" s="6"/>
      <c r="F184" s="6"/>
      <c r="G184" s="6"/>
      <c r="H184" s="1"/>
      <c r="I184" s="1"/>
      <c r="J184" s="1"/>
      <c r="K184" s="1"/>
      <c r="L184" s="1"/>
    </row>
    <row r="185" spans="1:12" ht="90" customHeight="1" x14ac:dyDescent="0.3">
      <c r="A185" s="6"/>
      <c r="B185" s="6"/>
      <c r="C185" s="6"/>
      <c r="D185" s="6"/>
      <c r="E185" s="6"/>
      <c r="F185" s="6"/>
      <c r="G185" s="6"/>
      <c r="H185" s="1"/>
      <c r="I185" s="1"/>
      <c r="J185" s="1"/>
      <c r="K185" s="1"/>
      <c r="L185" s="1"/>
    </row>
    <row r="186" spans="1:12" ht="90" customHeight="1" x14ac:dyDescent="0.3">
      <c r="A186" s="6"/>
      <c r="B186" s="6"/>
      <c r="C186" s="6"/>
      <c r="D186" s="6"/>
      <c r="E186" s="6"/>
      <c r="F186" s="6"/>
      <c r="G186" s="6"/>
      <c r="H186" s="1"/>
      <c r="I186" s="1"/>
      <c r="J186" s="1"/>
      <c r="K186" s="1"/>
      <c r="L186" s="1"/>
    </row>
    <row r="187" spans="1:12" ht="90" customHeight="1" x14ac:dyDescent="0.3">
      <c r="A187" s="5" t="s">
        <v>270</v>
      </c>
      <c r="B187" s="5" t="s">
        <v>20</v>
      </c>
      <c r="C187" s="5" t="s">
        <v>21</v>
      </c>
      <c r="D187" s="7" t="s">
        <v>22</v>
      </c>
      <c r="E187" s="7" t="s">
        <v>23</v>
      </c>
      <c r="F187" s="5" t="s">
        <v>271</v>
      </c>
      <c r="G187" s="5" t="s">
        <v>272</v>
      </c>
      <c r="H187" s="3" t="s">
        <v>28</v>
      </c>
      <c r="I187" s="3">
        <v>0.9995868581685835</v>
      </c>
      <c r="J187" s="3" t="s">
        <v>27</v>
      </c>
      <c r="K187" s="3" t="s">
        <v>20</v>
      </c>
      <c r="L187" s="3">
        <v>1</v>
      </c>
    </row>
    <row r="188" spans="1:12" ht="90" customHeight="1" x14ac:dyDescent="0.3">
      <c r="A188" s="6"/>
      <c r="B188" s="6"/>
      <c r="C188" s="6"/>
      <c r="D188" s="6"/>
      <c r="E188" s="6"/>
      <c r="F188" s="6"/>
      <c r="G188" s="6"/>
      <c r="H188" s="3" t="s">
        <v>26</v>
      </c>
      <c r="I188" s="3">
        <v>0.99489304200426287</v>
      </c>
      <c r="J188" s="3" t="s">
        <v>27</v>
      </c>
      <c r="K188" s="3" t="s">
        <v>20</v>
      </c>
      <c r="L188" s="3">
        <v>3</v>
      </c>
    </row>
    <row r="189" spans="1:12" ht="90" customHeight="1" x14ac:dyDescent="0.3">
      <c r="A189" s="6"/>
      <c r="B189" s="6"/>
      <c r="C189" s="6"/>
      <c r="D189" s="6"/>
      <c r="E189" s="6"/>
      <c r="F189" s="6"/>
      <c r="G189" s="6"/>
      <c r="H189" s="3" t="s">
        <v>29</v>
      </c>
      <c r="I189" s="3">
        <v>0.91584993894671296</v>
      </c>
      <c r="J189" s="3" t="s">
        <v>27</v>
      </c>
      <c r="K189" s="3" t="s">
        <v>20</v>
      </c>
      <c r="L189" s="3">
        <v>2</v>
      </c>
    </row>
    <row r="190" spans="1:12" ht="90" customHeight="1" x14ac:dyDescent="0.3">
      <c r="A190" s="6"/>
      <c r="B190" s="6"/>
      <c r="C190" s="6"/>
      <c r="D190" s="6"/>
      <c r="E190" s="6"/>
      <c r="F190" s="6"/>
      <c r="G190" s="6"/>
      <c r="H190" s="1"/>
      <c r="I190" s="1"/>
      <c r="J190" s="1"/>
      <c r="K190" s="1"/>
      <c r="L190" s="1"/>
    </row>
    <row r="191" spans="1:12" ht="90" customHeight="1" x14ac:dyDescent="0.3">
      <c r="A191" s="6"/>
      <c r="B191" s="6"/>
      <c r="C191" s="6"/>
      <c r="D191" s="6"/>
      <c r="E191" s="6"/>
      <c r="F191" s="6"/>
      <c r="G191" s="6"/>
      <c r="H191" s="1"/>
      <c r="I191" s="1"/>
      <c r="J191" s="1"/>
      <c r="K191" s="1"/>
      <c r="L191" s="1"/>
    </row>
    <row r="192" spans="1:12" ht="90" customHeight="1" x14ac:dyDescent="0.3">
      <c r="A192" s="5" t="s">
        <v>273</v>
      </c>
      <c r="B192" s="5" t="s">
        <v>274</v>
      </c>
      <c r="C192" s="5" t="s">
        <v>275</v>
      </c>
      <c r="D192" s="7" t="s">
        <v>22</v>
      </c>
      <c r="E192" s="7" t="s">
        <v>23</v>
      </c>
      <c r="F192" s="5" t="s">
        <v>276</v>
      </c>
      <c r="G192" s="5" t="s">
        <v>277</v>
      </c>
      <c r="H192" s="3" t="s">
        <v>278</v>
      </c>
      <c r="I192" s="3">
        <v>0.96578414786668954</v>
      </c>
      <c r="J192" s="3" t="s">
        <v>27</v>
      </c>
      <c r="K192" s="3" t="s">
        <v>274</v>
      </c>
      <c r="L192" s="3">
        <v>340</v>
      </c>
    </row>
    <row r="193" spans="1:12" ht="90" customHeight="1" x14ac:dyDescent="0.3">
      <c r="A193" s="6"/>
      <c r="B193" s="6"/>
      <c r="C193" s="6"/>
      <c r="D193" s="6"/>
      <c r="E193" s="6"/>
      <c r="F193" s="6"/>
      <c r="G193" s="6"/>
      <c r="H193" s="1"/>
      <c r="I193" s="1"/>
      <c r="J193" s="1"/>
      <c r="K193" s="1"/>
      <c r="L193" s="1"/>
    </row>
    <row r="194" spans="1:12" ht="90" customHeight="1" x14ac:dyDescent="0.3">
      <c r="A194" s="6"/>
      <c r="B194" s="6"/>
      <c r="C194" s="6"/>
      <c r="D194" s="6"/>
      <c r="E194" s="6"/>
      <c r="F194" s="6"/>
      <c r="G194" s="6"/>
      <c r="H194" s="1"/>
      <c r="I194" s="1"/>
      <c r="J194" s="1"/>
      <c r="K194" s="1"/>
      <c r="L194" s="1"/>
    </row>
    <row r="195" spans="1:12" ht="90" customHeight="1" x14ac:dyDescent="0.3">
      <c r="A195" s="6"/>
      <c r="B195" s="6"/>
      <c r="C195" s="6"/>
      <c r="D195" s="6"/>
      <c r="E195" s="6"/>
      <c r="F195" s="6"/>
      <c r="G195" s="6"/>
      <c r="H195" s="1"/>
      <c r="I195" s="1"/>
      <c r="J195" s="1"/>
      <c r="K195" s="1"/>
      <c r="L195" s="1"/>
    </row>
    <row r="196" spans="1:12" ht="90" customHeight="1" x14ac:dyDescent="0.3">
      <c r="A196" s="6"/>
      <c r="B196" s="6"/>
      <c r="C196" s="6"/>
      <c r="D196" s="6"/>
      <c r="E196" s="6"/>
      <c r="F196" s="6"/>
      <c r="G196" s="6"/>
      <c r="H196" s="1"/>
      <c r="I196" s="1"/>
      <c r="J196" s="1"/>
      <c r="K196" s="1"/>
      <c r="L196" s="1"/>
    </row>
    <row r="197" spans="1:12" ht="90" customHeight="1" x14ac:dyDescent="0.3">
      <c r="A197" s="5" t="s">
        <v>279</v>
      </c>
      <c r="B197" s="5" t="s">
        <v>37</v>
      </c>
      <c r="C197" s="5" t="s">
        <v>14</v>
      </c>
      <c r="D197" s="7" t="s">
        <v>22</v>
      </c>
      <c r="E197" s="7" t="s">
        <v>23</v>
      </c>
      <c r="F197" s="5" t="s">
        <v>280</v>
      </c>
      <c r="G197" s="5" t="s">
        <v>281</v>
      </c>
      <c r="H197" s="3" t="s">
        <v>40</v>
      </c>
      <c r="I197" s="3">
        <v>0.99977380037307717</v>
      </c>
      <c r="J197" s="3" t="s">
        <v>27</v>
      </c>
      <c r="K197" s="3" t="s">
        <v>37</v>
      </c>
      <c r="L197" s="3">
        <v>1</v>
      </c>
    </row>
    <row r="198" spans="1:12" ht="90" customHeight="1" x14ac:dyDescent="0.3">
      <c r="A198" s="6"/>
      <c r="B198" s="6"/>
      <c r="C198" s="6"/>
      <c r="D198" s="6"/>
      <c r="E198" s="6"/>
      <c r="F198" s="6"/>
      <c r="G198" s="6"/>
      <c r="H198" s="1"/>
      <c r="I198" s="1"/>
      <c r="J198" s="1"/>
      <c r="K198" s="1"/>
      <c r="L198" s="1"/>
    </row>
    <row r="199" spans="1:12" ht="90" customHeight="1" x14ac:dyDescent="0.3">
      <c r="A199" s="6"/>
      <c r="B199" s="6"/>
      <c r="C199" s="6"/>
      <c r="D199" s="6"/>
      <c r="E199" s="6"/>
      <c r="F199" s="6"/>
      <c r="G199" s="6"/>
      <c r="H199" s="1"/>
      <c r="I199" s="1"/>
      <c r="J199" s="1"/>
      <c r="K199" s="1"/>
      <c r="L199" s="1"/>
    </row>
    <row r="200" spans="1:12" ht="90" customHeight="1" x14ac:dyDescent="0.3">
      <c r="A200" s="6"/>
      <c r="B200" s="6"/>
      <c r="C200" s="6"/>
      <c r="D200" s="6"/>
      <c r="E200" s="6"/>
      <c r="F200" s="6"/>
      <c r="G200" s="6"/>
      <c r="H200" s="1"/>
      <c r="I200" s="1"/>
      <c r="J200" s="1"/>
      <c r="K200" s="1"/>
      <c r="L200" s="1"/>
    </row>
    <row r="201" spans="1:12" ht="90" customHeight="1" x14ac:dyDescent="0.3">
      <c r="A201" s="6"/>
      <c r="B201" s="6"/>
      <c r="C201" s="6"/>
      <c r="D201" s="6"/>
      <c r="E201" s="6"/>
      <c r="F201" s="6"/>
      <c r="G201" s="6"/>
      <c r="H201" s="1"/>
      <c r="I201" s="1"/>
      <c r="J201" s="1"/>
      <c r="K201" s="1"/>
      <c r="L201" s="1"/>
    </row>
    <row r="202" spans="1:12" ht="90" customHeight="1" x14ac:dyDescent="0.3">
      <c r="A202" s="5" t="s">
        <v>282</v>
      </c>
      <c r="B202" s="5" t="s">
        <v>283</v>
      </c>
      <c r="C202" s="5" t="s">
        <v>284</v>
      </c>
      <c r="D202" s="7" t="s">
        <v>15</v>
      </c>
      <c r="E202" s="7" t="s">
        <v>16</v>
      </c>
      <c r="F202" s="5" t="s">
        <v>285</v>
      </c>
      <c r="G202" s="5" t="s">
        <v>18</v>
      </c>
      <c r="H202" s="1"/>
      <c r="I202" s="1"/>
      <c r="J202" s="1"/>
      <c r="K202" s="1"/>
      <c r="L202" s="1"/>
    </row>
    <row r="203" spans="1:12" ht="90" customHeight="1" x14ac:dyDescent="0.3">
      <c r="A203" s="6"/>
      <c r="B203" s="6"/>
      <c r="C203" s="6"/>
      <c r="D203" s="6"/>
      <c r="E203" s="6"/>
      <c r="F203" s="6"/>
      <c r="G203" s="6"/>
      <c r="H203" s="1"/>
      <c r="I203" s="1"/>
      <c r="J203" s="1"/>
      <c r="K203" s="1"/>
      <c r="L203" s="1"/>
    </row>
    <row r="204" spans="1:12" ht="90" customHeight="1" x14ac:dyDescent="0.3">
      <c r="A204" s="6"/>
      <c r="B204" s="6"/>
      <c r="C204" s="6"/>
      <c r="D204" s="6"/>
      <c r="E204" s="6"/>
      <c r="F204" s="6"/>
      <c r="G204" s="6"/>
      <c r="H204" s="1"/>
      <c r="I204" s="1"/>
      <c r="J204" s="1"/>
      <c r="K204" s="1"/>
      <c r="L204" s="1"/>
    </row>
    <row r="205" spans="1:12" ht="90" customHeight="1" x14ac:dyDescent="0.3">
      <c r="A205" s="6"/>
      <c r="B205" s="6"/>
      <c r="C205" s="6"/>
      <c r="D205" s="6"/>
      <c r="E205" s="6"/>
      <c r="F205" s="6"/>
      <c r="G205" s="6"/>
      <c r="H205" s="1"/>
      <c r="I205" s="1"/>
      <c r="J205" s="1"/>
      <c r="K205" s="1"/>
      <c r="L205" s="1"/>
    </row>
    <row r="206" spans="1:12" ht="90" customHeight="1" x14ac:dyDescent="0.3">
      <c r="A206" s="6"/>
      <c r="B206" s="6"/>
      <c r="C206" s="6"/>
      <c r="D206" s="6"/>
      <c r="E206" s="6"/>
      <c r="F206" s="6"/>
      <c r="G206" s="6"/>
      <c r="H206" s="1"/>
      <c r="I206" s="1"/>
      <c r="J206" s="1"/>
      <c r="K206" s="1"/>
      <c r="L206" s="1"/>
    </row>
    <row r="207" spans="1:12" ht="90" customHeight="1" x14ac:dyDescent="0.3">
      <c r="A207" s="5" t="s">
        <v>286</v>
      </c>
      <c r="B207" s="5" t="s">
        <v>283</v>
      </c>
      <c r="C207" s="5" t="s">
        <v>287</v>
      </c>
      <c r="D207" s="7" t="s">
        <v>15</v>
      </c>
      <c r="E207" s="7" t="s">
        <v>16</v>
      </c>
      <c r="F207" s="5" t="s">
        <v>288</v>
      </c>
      <c r="G207" s="5" t="s">
        <v>18</v>
      </c>
      <c r="H207" s="1"/>
      <c r="I207" s="1"/>
      <c r="J207" s="1"/>
      <c r="K207" s="1"/>
      <c r="L207" s="1"/>
    </row>
    <row r="208" spans="1:12" ht="90" customHeight="1" x14ac:dyDescent="0.3">
      <c r="A208" s="6"/>
      <c r="B208" s="6"/>
      <c r="C208" s="6"/>
      <c r="D208" s="6"/>
      <c r="E208" s="6"/>
      <c r="F208" s="6"/>
      <c r="G208" s="6"/>
      <c r="H208" s="1"/>
      <c r="I208" s="1"/>
      <c r="J208" s="1"/>
      <c r="K208" s="1"/>
      <c r="L208" s="1"/>
    </row>
    <row r="209" spans="1:12" ht="90" customHeight="1" x14ac:dyDescent="0.3">
      <c r="A209" s="6"/>
      <c r="B209" s="6"/>
      <c r="C209" s="6"/>
      <c r="D209" s="6"/>
      <c r="E209" s="6"/>
      <c r="F209" s="6"/>
      <c r="G209" s="6"/>
      <c r="H209" s="1"/>
      <c r="I209" s="1"/>
      <c r="J209" s="1"/>
      <c r="K209" s="1"/>
      <c r="L209" s="1"/>
    </row>
    <row r="210" spans="1:12" ht="90" customHeight="1" x14ac:dyDescent="0.3">
      <c r="A210" s="6"/>
      <c r="B210" s="6"/>
      <c r="C210" s="6"/>
      <c r="D210" s="6"/>
      <c r="E210" s="6"/>
      <c r="F210" s="6"/>
      <c r="G210" s="6"/>
      <c r="H210" s="1"/>
      <c r="I210" s="1"/>
      <c r="J210" s="1"/>
      <c r="K210" s="1"/>
      <c r="L210" s="1"/>
    </row>
    <row r="211" spans="1:12" ht="90" customHeight="1" x14ac:dyDescent="0.3">
      <c r="A211" s="6"/>
      <c r="B211" s="6"/>
      <c r="C211" s="6"/>
      <c r="D211" s="6"/>
      <c r="E211" s="6"/>
      <c r="F211" s="6"/>
      <c r="G211" s="6"/>
      <c r="H211" s="1"/>
      <c r="I211" s="1"/>
      <c r="J211" s="1"/>
      <c r="K211" s="1"/>
      <c r="L211" s="1"/>
    </row>
    <row r="212" spans="1:12" ht="90" customHeight="1" x14ac:dyDescent="0.3">
      <c r="A212" s="5" t="s">
        <v>289</v>
      </c>
      <c r="B212" s="5" t="s">
        <v>290</v>
      </c>
      <c r="C212" s="5" t="s">
        <v>291</v>
      </c>
      <c r="D212" s="7" t="s">
        <v>15</v>
      </c>
      <c r="E212" s="7" t="s">
        <v>16</v>
      </c>
      <c r="F212" s="5" t="s">
        <v>292</v>
      </c>
      <c r="G212" s="5" t="s">
        <v>18</v>
      </c>
      <c r="H212" s="1"/>
      <c r="I212" s="1"/>
      <c r="J212" s="1"/>
      <c r="K212" s="1"/>
      <c r="L212" s="1"/>
    </row>
    <row r="213" spans="1:12" ht="90" customHeight="1" x14ac:dyDescent="0.3">
      <c r="A213" s="6"/>
      <c r="B213" s="6"/>
      <c r="C213" s="6"/>
      <c r="D213" s="6"/>
      <c r="E213" s="6"/>
      <c r="F213" s="6"/>
      <c r="G213" s="6"/>
      <c r="H213" s="1"/>
      <c r="I213" s="1"/>
      <c r="J213" s="1"/>
      <c r="K213" s="1"/>
      <c r="L213" s="1"/>
    </row>
    <row r="214" spans="1:12" ht="90" customHeight="1" x14ac:dyDescent="0.3">
      <c r="A214" s="6"/>
      <c r="B214" s="6"/>
      <c r="C214" s="6"/>
      <c r="D214" s="6"/>
      <c r="E214" s="6"/>
      <c r="F214" s="6"/>
      <c r="G214" s="6"/>
      <c r="H214" s="1"/>
      <c r="I214" s="1"/>
      <c r="J214" s="1"/>
      <c r="K214" s="1"/>
      <c r="L214" s="1"/>
    </row>
    <row r="215" spans="1:12" ht="90" customHeight="1" x14ac:dyDescent="0.3">
      <c r="A215" s="6"/>
      <c r="B215" s="6"/>
      <c r="C215" s="6"/>
      <c r="D215" s="6"/>
      <c r="E215" s="6"/>
      <c r="F215" s="6"/>
      <c r="G215" s="6"/>
      <c r="H215" s="1"/>
      <c r="I215" s="1"/>
      <c r="J215" s="1"/>
      <c r="K215" s="1"/>
      <c r="L215" s="1"/>
    </row>
    <row r="216" spans="1:12" ht="90" customHeight="1" x14ac:dyDescent="0.3">
      <c r="A216" s="6"/>
      <c r="B216" s="6"/>
      <c r="C216" s="6"/>
      <c r="D216" s="6"/>
      <c r="E216" s="6"/>
      <c r="F216" s="6"/>
      <c r="G216" s="6"/>
      <c r="H216" s="1"/>
      <c r="I216" s="1"/>
      <c r="J216" s="1"/>
      <c r="K216" s="1"/>
      <c r="L216" s="1"/>
    </row>
    <row r="217" spans="1:12" ht="90" customHeight="1" x14ac:dyDescent="0.3">
      <c r="A217" s="5" t="s">
        <v>293</v>
      </c>
      <c r="B217" s="5" t="s">
        <v>294</v>
      </c>
      <c r="C217" s="5" t="s">
        <v>14</v>
      </c>
      <c r="D217" s="7" t="s">
        <v>22</v>
      </c>
      <c r="E217" s="7" t="s">
        <v>23</v>
      </c>
      <c r="F217" s="5" t="s">
        <v>295</v>
      </c>
      <c r="G217" s="5" t="s">
        <v>296</v>
      </c>
      <c r="H217" s="3" t="s">
        <v>297</v>
      </c>
      <c r="I217" s="3">
        <v>0.999439537525177</v>
      </c>
      <c r="J217" s="3" t="s">
        <v>27</v>
      </c>
      <c r="K217" s="3" t="s">
        <v>294</v>
      </c>
      <c r="L217" s="3">
        <v>1</v>
      </c>
    </row>
    <row r="218" spans="1:12" ht="90" customHeight="1" x14ac:dyDescent="0.3">
      <c r="A218" s="6"/>
      <c r="B218" s="6"/>
      <c r="C218" s="6"/>
      <c r="D218" s="6"/>
      <c r="E218" s="6"/>
      <c r="F218" s="6"/>
      <c r="G218" s="6"/>
      <c r="H218" s="1"/>
      <c r="I218" s="1"/>
      <c r="J218" s="1"/>
      <c r="K218" s="1"/>
      <c r="L218" s="1"/>
    </row>
    <row r="219" spans="1:12" ht="90" customHeight="1" x14ac:dyDescent="0.3">
      <c r="A219" s="6"/>
      <c r="B219" s="6"/>
      <c r="C219" s="6"/>
      <c r="D219" s="6"/>
      <c r="E219" s="6"/>
      <c r="F219" s="6"/>
      <c r="G219" s="6"/>
      <c r="H219" s="1"/>
      <c r="I219" s="1"/>
      <c r="J219" s="1"/>
      <c r="K219" s="1"/>
      <c r="L219" s="1"/>
    </row>
    <row r="220" spans="1:12" ht="90" customHeight="1" x14ac:dyDescent="0.3">
      <c r="A220" s="6"/>
      <c r="B220" s="6"/>
      <c r="C220" s="6"/>
      <c r="D220" s="6"/>
      <c r="E220" s="6"/>
      <c r="F220" s="6"/>
      <c r="G220" s="6"/>
      <c r="H220" s="1"/>
      <c r="I220" s="1"/>
      <c r="J220" s="1"/>
      <c r="K220" s="1"/>
      <c r="L220" s="1"/>
    </row>
    <row r="221" spans="1:12" ht="90" customHeight="1" x14ac:dyDescent="0.3">
      <c r="A221" s="6"/>
      <c r="B221" s="6"/>
      <c r="C221" s="6"/>
      <c r="D221" s="6"/>
      <c r="E221" s="6"/>
      <c r="F221" s="6"/>
      <c r="G221" s="6"/>
      <c r="H221" s="1"/>
      <c r="I221" s="1"/>
      <c r="J221" s="1"/>
      <c r="K221" s="1"/>
      <c r="L221" s="1"/>
    </row>
    <row r="222" spans="1:12" ht="90" customHeight="1" x14ac:dyDescent="0.3">
      <c r="A222" s="5" t="s">
        <v>298</v>
      </c>
      <c r="B222" s="5" t="s">
        <v>299</v>
      </c>
      <c r="C222" s="5" t="s">
        <v>14</v>
      </c>
      <c r="D222" s="7" t="s">
        <v>22</v>
      </c>
      <c r="E222" s="7" t="s">
        <v>23</v>
      </c>
      <c r="F222" s="5" t="s">
        <v>300</v>
      </c>
      <c r="G222" s="5" t="s">
        <v>301</v>
      </c>
      <c r="H222" s="3" t="s">
        <v>302</v>
      </c>
      <c r="I222" s="3">
        <v>0.91313892602920532</v>
      </c>
      <c r="J222" s="3" t="s">
        <v>27</v>
      </c>
      <c r="K222" s="3" t="s">
        <v>299</v>
      </c>
      <c r="L222" s="3">
        <v>1</v>
      </c>
    </row>
    <row r="223" spans="1:12" ht="90" customHeight="1" x14ac:dyDescent="0.3">
      <c r="A223" s="6"/>
      <c r="B223" s="6"/>
      <c r="C223" s="6"/>
      <c r="D223" s="6"/>
      <c r="E223" s="6"/>
      <c r="F223" s="6"/>
      <c r="G223" s="6"/>
      <c r="H223" s="1"/>
      <c r="I223" s="1"/>
      <c r="J223" s="1"/>
      <c r="K223" s="1"/>
      <c r="L223" s="1"/>
    </row>
    <row r="224" spans="1:12" ht="90" customHeight="1" x14ac:dyDescent="0.3">
      <c r="A224" s="6"/>
      <c r="B224" s="6"/>
      <c r="C224" s="6"/>
      <c r="D224" s="6"/>
      <c r="E224" s="6"/>
      <c r="F224" s="6"/>
      <c r="G224" s="6"/>
      <c r="H224" s="1"/>
      <c r="I224" s="1"/>
      <c r="J224" s="1"/>
      <c r="K224" s="1"/>
      <c r="L224" s="1"/>
    </row>
    <row r="225" spans="1:12" ht="90" customHeight="1" x14ac:dyDescent="0.3">
      <c r="A225" s="6"/>
      <c r="B225" s="6"/>
      <c r="C225" s="6"/>
      <c r="D225" s="6"/>
      <c r="E225" s="6"/>
      <c r="F225" s="6"/>
      <c r="G225" s="6"/>
      <c r="H225" s="1"/>
      <c r="I225" s="1"/>
      <c r="J225" s="1"/>
      <c r="K225" s="1"/>
      <c r="L225" s="1"/>
    </row>
    <row r="226" spans="1:12" ht="90" customHeight="1" x14ac:dyDescent="0.3">
      <c r="A226" s="6"/>
      <c r="B226" s="6"/>
      <c r="C226" s="6"/>
      <c r="D226" s="6"/>
      <c r="E226" s="6"/>
      <c r="F226" s="6"/>
      <c r="G226" s="6"/>
      <c r="H226" s="1"/>
      <c r="I226" s="1"/>
      <c r="J226" s="1"/>
      <c r="K226" s="1"/>
      <c r="L226" s="1"/>
    </row>
    <row r="227" spans="1:12" ht="90" customHeight="1" x14ac:dyDescent="0.3">
      <c r="A227" s="5" t="s">
        <v>303</v>
      </c>
      <c r="B227" s="5" t="s">
        <v>176</v>
      </c>
      <c r="C227" s="5" t="s">
        <v>304</v>
      </c>
      <c r="D227" s="7" t="s">
        <v>22</v>
      </c>
      <c r="E227" s="7" t="s">
        <v>23</v>
      </c>
      <c r="F227" s="5" t="s">
        <v>305</v>
      </c>
      <c r="G227" s="5" t="s">
        <v>306</v>
      </c>
      <c r="H227" s="3" t="s">
        <v>307</v>
      </c>
      <c r="I227" s="3">
        <v>0.99925023317337036</v>
      </c>
      <c r="J227" s="3" t="s">
        <v>27</v>
      </c>
      <c r="K227" s="3" t="s">
        <v>176</v>
      </c>
      <c r="L227" s="3">
        <v>102</v>
      </c>
    </row>
    <row r="228" spans="1:12" ht="90" customHeight="1" x14ac:dyDescent="0.3">
      <c r="A228" s="6"/>
      <c r="B228" s="6"/>
      <c r="C228" s="6"/>
      <c r="D228" s="6"/>
      <c r="E228" s="6"/>
      <c r="F228" s="6"/>
      <c r="G228" s="6"/>
      <c r="H228" s="3" t="s">
        <v>308</v>
      </c>
      <c r="I228" s="3">
        <v>0.99923884868621826</v>
      </c>
      <c r="J228" s="3" t="s">
        <v>27</v>
      </c>
      <c r="K228" s="3" t="s">
        <v>176</v>
      </c>
      <c r="L228" s="3">
        <v>101</v>
      </c>
    </row>
    <row r="229" spans="1:12" ht="90" customHeight="1" x14ac:dyDescent="0.3">
      <c r="A229" s="6"/>
      <c r="B229" s="6"/>
      <c r="C229" s="6"/>
      <c r="D229" s="6"/>
      <c r="E229" s="6"/>
      <c r="F229" s="6"/>
      <c r="G229" s="6"/>
      <c r="H229" s="1"/>
      <c r="I229" s="1"/>
      <c r="J229" s="1"/>
      <c r="K229" s="1"/>
      <c r="L229" s="1"/>
    </row>
    <row r="230" spans="1:12" ht="90" customHeight="1" x14ac:dyDescent="0.3">
      <c r="A230" s="6"/>
      <c r="B230" s="6"/>
      <c r="C230" s="6"/>
      <c r="D230" s="6"/>
      <c r="E230" s="6"/>
      <c r="F230" s="6"/>
      <c r="G230" s="6"/>
      <c r="H230" s="1"/>
      <c r="I230" s="1"/>
      <c r="J230" s="1"/>
      <c r="K230" s="1"/>
      <c r="L230" s="1"/>
    </row>
    <row r="231" spans="1:12" ht="90" customHeight="1" x14ac:dyDescent="0.3">
      <c r="A231" s="6"/>
      <c r="B231" s="6"/>
      <c r="C231" s="6"/>
      <c r="D231" s="6"/>
      <c r="E231" s="6"/>
      <c r="F231" s="6"/>
      <c r="G231" s="6"/>
      <c r="H231" s="1"/>
      <c r="I231" s="1"/>
      <c r="J231" s="1"/>
      <c r="K231" s="1"/>
      <c r="L231" s="1"/>
    </row>
    <row r="232" spans="1:12" ht="90" customHeight="1" x14ac:dyDescent="0.3">
      <c r="A232" s="5" t="s">
        <v>309</v>
      </c>
      <c r="B232" s="5" t="s">
        <v>34</v>
      </c>
      <c r="C232" s="5" t="s">
        <v>14</v>
      </c>
      <c r="D232" s="7" t="s">
        <v>15</v>
      </c>
      <c r="E232" s="7" t="s">
        <v>16</v>
      </c>
      <c r="F232" s="5" t="s">
        <v>310</v>
      </c>
      <c r="G232" s="5" t="s">
        <v>311</v>
      </c>
      <c r="H232" s="2" t="s">
        <v>312</v>
      </c>
      <c r="I232" s="2">
        <v>0.98521673660929876</v>
      </c>
      <c r="J232" s="2" t="s">
        <v>27</v>
      </c>
      <c r="K232" s="2" t="s">
        <v>313</v>
      </c>
      <c r="L232" s="2">
        <v>43</v>
      </c>
    </row>
    <row r="233" spans="1:12" ht="90" customHeight="1" x14ac:dyDescent="0.3">
      <c r="A233" s="6"/>
      <c r="B233" s="6"/>
      <c r="C233" s="6"/>
      <c r="D233" s="6"/>
      <c r="E233" s="6"/>
      <c r="F233" s="6"/>
      <c r="G233" s="6"/>
      <c r="H233" s="2" t="s">
        <v>314</v>
      </c>
      <c r="I233" s="2">
        <v>0.86128395795822144</v>
      </c>
      <c r="J233" s="2" t="s">
        <v>27</v>
      </c>
      <c r="K233" s="2" t="s">
        <v>315</v>
      </c>
      <c r="L233" s="2">
        <v>10</v>
      </c>
    </row>
    <row r="234" spans="1:12" ht="90" customHeight="1" x14ac:dyDescent="0.3">
      <c r="A234" s="6"/>
      <c r="B234" s="6"/>
      <c r="C234" s="6"/>
      <c r="D234" s="6"/>
      <c r="E234" s="6"/>
      <c r="F234" s="6"/>
      <c r="G234" s="6"/>
      <c r="H234" s="1"/>
      <c r="I234" s="1"/>
      <c r="J234" s="1"/>
      <c r="K234" s="1"/>
      <c r="L234" s="1"/>
    </row>
    <row r="235" spans="1:12" ht="90" customHeight="1" x14ac:dyDescent="0.3">
      <c r="A235" s="6"/>
      <c r="B235" s="6"/>
      <c r="C235" s="6"/>
      <c r="D235" s="6"/>
      <c r="E235" s="6"/>
      <c r="F235" s="6"/>
      <c r="G235" s="6"/>
      <c r="H235" s="1"/>
      <c r="I235" s="1"/>
      <c r="J235" s="1"/>
      <c r="K235" s="1"/>
      <c r="L235" s="1"/>
    </row>
    <row r="236" spans="1:12" ht="90" customHeight="1" x14ac:dyDescent="0.3">
      <c r="A236" s="6"/>
      <c r="B236" s="6"/>
      <c r="C236" s="6"/>
      <c r="D236" s="6"/>
      <c r="E236" s="6"/>
      <c r="F236" s="6"/>
      <c r="G236" s="6"/>
      <c r="H236" s="1"/>
      <c r="I236" s="1"/>
      <c r="J236" s="1"/>
      <c r="K236" s="1"/>
      <c r="L236" s="1"/>
    </row>
    <row r="237" spans="1:12" ht="90" customHeight="1" x14ac:dyDescent="0.3">
      <c r="A237" s="5" t="s">
        <v>316</v>
      </c>
      <c r="B237" s="5" t="s">
        <v>34</v>
      </c>
      <c r="C237" s="5" t="s">
        <v>317</v>
      </c>
      <c r="D237" s="7" t="s">
        <v>15</v>
      </c>
      <c r="E237" s="7" t="s">
        <v>16</v>
      </c>
      <c r="F237" s="5" t="s">
        <v>318</v>
      </c>
      <c r="G237" s="5" t="s">
        <v>18</v>
      </c>
      <c r="H237" s="1"/>
      <c r="I237" s="1"/>
      <c r="J237" s="1"/>
      <c r="K237" s="1"/>
      <c r="L237" s="1"/>
    </row>
    <row r="238" spans="1:12" ht="90" customHeight="1" x14ac:dyDescent="0.3">
      <c r="A238" s="6"/>
      <c r="B238" s="6"/>
      <c r="C238" s="6"/>
      <c r="D238" s="6"/>
      <c r="E238" s="6"/>
      <c r="F238" s="6"/>
      <c r="G238" s="6"/>
      <c r="H238" s="1"/>
      <c r="I238" s="1"/>
      <c r="J238" s="1"/>
      <c r="K238" s="1"/>
      <c r="L238" s="1"/>
    </row>
    <row r="239" spans="1:12" ht="90" customHeight="1" x14ac:dyDescent="0.3">
      <c r="A239" s="6"/>
      <c r="B239" s="6"/>
      <c r="C239" s="6"/>
      <c r="D239" s="6"/>
      <c r="E239" s="6"/>
      <c r="F239" s="6"/>
      <c r="G239" s="6"/>
      <c r="H239" s="1"/>
      <c r="I239" s="1"/>
      <c r="J239" s="1"/>
      <c r="K239" s="1"/>
      <c r="L239" s="1"/>
    </row>
    <row r="240" spans="1:12" ht="90" customHeight="1" x14ac:dyDescent="0.3">
      <c r="A240" s="6"/>
      <c r="B240" s="6"/>
      <c r="C240" s="6"/>
      <c r="D240" s="6"/>
      <c r="E240" s="6"/>
      <c r="F240" s="6"/>
      <c r="G240" s="6"/>
      <c r="H240" s="1"/>
      <c r="I240" s="1"/>
      <c r="J240" s="1"/>
      <c r="K240" s="1"/>
      <c r="L240" s="1"/>
    </row>
    <row r="241" spans="1:12" ht="90" customHeight="1" x14ac:dyDescent="0.3">
      <c r="A241" s="6"/>
      <c r="B241" s="6"/>
      <c r="C241" s="6"/>
      <c r="D241" s="6"/>
      <c r="E241" s="6"/>
      <c r="F241" s="6"/>
      <c r="G241" s="6"/>
      <c r="H241" s="1"/>
      <c r="I241" s="1"/>
      <c r="J241" s="1"/>
      <c r="K241" s="1"/>
      <c r="L241" s="1"/>
    </row>
    <row r="242" spans="1:12" ht="90" customHeight="1" x14ac:dyDescent="0.3">
      <c r="A242" s="5" t="s">
        <v>319</v>
      </c>
      <c r="B242" s="5" t="s">
        <v>320</v>
      </c>
      <c r="C242" s="5" t="s">
        <v>14</v>
      </c>
      <c r="D242" s="7" t="s">
        <v>15</v>
      </c>
      <c r="E242" s="7" t="s">
        <v>16</v>
      </c>
      <c r="F242" s="5" t="s">
        <v>321</v>
      </c>
      <c r="G242" s="5" t="s">
        <v>18</v>
      </c>
      <c r="H242" s="1"/>
      <c r="I242" s="1"/>
      <c r="J242" s="1"/>
      <c r="K242" s="1"/>
      <c r="L242" s="1"/>
    </row>
    <row r="243" spans="1:12" ht="90" customHeight="1" x14ac:dyDescent="0.3">
      <c r="A243" s="6"/>
      <c r="B243" s="6"/>
      <c r="C243" s="6"/>
      <c r="D243" s="6"/>
      <c r="E243" s="6"/>
      <c r="F243" s="6"/>
      <c r="G243" s="6"/>
      <c r="H243" s="1"/>
      <c r="I243" s="1"/>
      <c r="J243" s="1"/>
      <c r="K243" s="1"/>
      <c r="L243" s="1"/>
    </row>
    <row r="244" spans="1:12" ht="90" customHeight="1" x14ac:dyDescent="0.3">
      <c r="A244" s="6"/>
      <c r="B244" s="6"/>
      <c r="C244" s="6"/>
      <c r="D244" s="6"/>
      <c r="E244" s="6"/>
      <c r="F244" s="6"/>
      <c r="G244" s="6"/>
      <c r="H244" s="1"/>
      <c r="I244" s="1"/>
      <c r="J244" s="1"/>
      <c r="K244" s="1"/>
      <c r="L244" s="1"/>
    </row>
    <row r="245" spans="1:12" ht="90" customHeight="1" x14ac:dyDescent="0.3">
      <c r="A245" s="6"/>
      <c r="B245" s="6"/>
      <c r="C245" s="6"/>
      <c r="D245" s="6"/>
      <c r="E245" s="6"/>
      <c r="F245" s="6"/>
      <c r="G245" s="6"/>
      <c r="H245" s="1"/>
      <c r="I245" s="1"/>
      <c r="J245" s="1"/>
      <c r="K245" s="1"/>
      <c r="L245" s="1"/>
    </row>
    <row r="246" spans="1:12" ht="90" customHeight="1" x14ac:dyDescent="0.3">
      <c r="A246" s="6"/>
      <c r="B246" s="6"/>
      <c r="C246" s="6"/>
      <c r="D246" s="6"/>
      <c r="E246" s="6"/>
      <c r="F246" s="6"/>
      <c r="G246" s="6"/>
      <c r="H246" s="1"/>
      <c r="I246" s="1"/>
      <c r="J246" s="1"/>
      <c r="K246" s="1"/>
      <c r="L246" s="1"/>
    </row>
    <row r="247" spans="1:12" ht="90" customHeight="1" x14ac:dyDescent="0.3">
      <c r="A247" s="5" t="s">
        <v>322</v>
      </c>
      <c r="B247" s="5" t="s">
        <v>232</v>
      </c>
      <c r="C247" s="5" t="s">
        <v>323</v>
      </c>
      <c r="D247" s="7" t="s">
        <v>22</v>
      </c>
      <c r="E247" s="7" t="s">
        <v>23</v>
      </c>
      <c r="F247" s="5" t="s">
        <v>324</v>
      </c>
      <c r="G247" s="5" t="s">
        <v>325</v>
      </c>
      <c r="H247" s="3" t="s">
        <v>326</v>
      </c>
      <c r="I247" s="3">
        <v>0.99970167875289917</v>
      </c>
      <c r="J247" s="3" t="s">
        <v>27</v>
      </c>
      <c r="K247" s="3" t="s">
        <v>232</v>
      </c>
      <c r="L247" s="3">
        <v>2</v>
      </c>
    </row>
    <row r="248" spans="1:12" ht="90" customHeight="1" x14ac:dyDescent="0.3">
      <c r="A248" s="6"/>
      <c r="B248" s="6"/>
      <c r="C248" s="6"/>
      <c r="D248" s="6"/>
      <c r="E248" s="6"/>
      <c r="F248" s="6"/>
      <c r="G248" s="6"/>
      <c r="H248" s="3" t="s">
        <v>237</v>
      </c>
      <c r="I248" s="3">
        <v>0.99825292825698853</v>
      </c>
      <c r="J248" s="3" t="s">
        <v>27</v>
      </c>
      <c r="K248" s="3" t="s">
        <v>232</v>
      </c>
      <c r="L248" s="3">
        <v>4</v>
      </c>
    </row>
    <row r="249" spans="1:12" ht="90" customHeight="1" x14ac:dyDescent="0.3">
      <c r="A249" s="6"/>
      <c r="B249" s="6"/>
      <c r="C249" s="6"/>
      <c r="D249" s="6"/>
      <c r="E249" s="6"/>
      <c r="F249" s="6"/>
      <c r="G249" s="6"/>
      <c r="H249" s="3" t="s">
        <v>238</v>
      </c>
      <c r="I249" s="3">
        <v>0.99775427579879761</v>
      </c>
      <c r="J249" s="3" t="s">
        <v>27</v>
      </c>
      <c r="K249" s="3" t="s">
        <v>232</v>
      </c>
      <c r="L249" s="3">
        <v>3</v>
      </c>
    </row>
    <row r="250" spans="1:12" ht="90" customHeight="1" x14ac:dyDescent="0.3">
      <c r="A250" s="6"/>
      <c r="B250" s="6"/>
      <c r="C250" s="6"/>
      <c r="D250" s="6"/>
      <c r="E250" s="6"/>
      <c r="F250" s="6"/>
      <c r="G250" s="6"/>
      <c r="H250" s="1"/>
      <c r="I250" s="1"/>
      <c r="J250" s="1"/>
      <c r="K250" s="1"/>
      <c r="L250" s="1"/>
    </row>
    <row r="251" spans="1:12" ht="90" customHeight="1" x14ac:dyDescent="0.3">
      <c r="A251" s="6"/>
      <c r="B251" s="6"/>
      <c r="C251" s="6"/>
      <c r="D251" s="6"/>
      <c r="E251" s="6"/>
      <c r="F251" s="6"/>
      <c r="G251" s="6"/>
      <c r="H251" s="1"/>
      <c r="I251" s="1"/>
      <c r="J251" s="1"/>
      <c r="K251" s="1"/>
      <c r="L251" s="1"/>
    </row>
    <row r="252" spans="1:12" ht="90" customHeight="1" x14ac:dyDescent="0.3">
      <c r="A252" s="5" t="s">
        <v>327</v>
      </c>
      <c r="B252" s="5" t="s">
        <v>20</v>
      </c>
      <c r="C252" s="5" t="s">
        <v>21</v>
      </c>
      <c r="D252" s="7" t="s">
        <v>22</v>
      </c>
      <c r="E252" s="7" t="s">
        <v>23</v>
      </c>
      <c r="F252" s="5" t="s">
        <v>328</v>
      </c>
      <c r="G252" s="5" t="s">
        <v>329</v>
      </c>
      <c r="H252" s="3" t="s">
        <v>26</v>
      </c>
      <c r="I252" s="3">
        <v>0.78545211508632895</v>
      </c>
      <c r="J252" s="3" t="s">
        <v>27</v>
      </c>
      <c r="K252" s="3" t="s">
        <v>20</v>
      </c>
      <c r="L252" s="3">
        <v>3</v>
      </c>
    </row>
    <row r="253" spans="1:12" ht="90" customHeight="1" x14ac:dyDescent="0.3">
      <c r="A253" s="6"/>
      <c r="B253" s="6"/>
      <c r="C253" s="6"/>
      <c r="D253" s="6"/>
      <c r="E253" s="6"/>
      <c r="F253" s="6"/>
      <c r="G253" s="6"/>
      <c r="H253" s="3" t="s">
        <v>28</v>
      </c>
      <c r="I253" s="3">
        <v>0.77866440435937367</v>
      </c>
      <c r="J253" s="3" t="s">
        <v>27</v>
      </c>
      <c r="K253" s="3" t="s">
        <v>20</v>
      </c>
      <c r="L253" s="3">
        <v>1</v>
      </c>
    </row>
    <row r="254" spans="1:12" ht="90" customHeight="1" x14ac:dyDescent="0.3">
      <c r="A254" s="6"/>
      <c r="B254" s="6"/>
      <c r="C254" s="6"/>
      <c r="D254" s="6"/>
      <c r="E254" s="6"/>
      <c r="F254" s="6"/>
      <c r="G254" s="6"/>
      <c r="H254" s="3" t="s">
        <v>29</v>
      </c>
      <c r="I254" s="3">
        <v>0.72140690755942172</v>
      </c>
      <c r="J254" s="3" t="s">
        <v>27</v>
      </c>
      <c r="K254" s="3" t="s">
        <v>20</v>
      </c>
      <c r="L254" s="3">
        <v>2</v>
      </c>
    </row>
    <row r="255" spans="1:12" ht="90" customHeight="1" x14ac:dyDescent="0.3">
      <c r="A255" s="6"/>
      <c r="B255" s="6"/>
      <c r="C255" s="6"/>
      <c r="D255" s="6"/>
      <c r="E255" s="6"/>
      <c r="F255" s="6"/>
      <c r="G255" s="6"/>
      <c r="H255" s="1"/>
      <c r="I255" s="1"/>
      <c r="J255" s="1"/>
      <c r="K255" s="1"/>
      <c r="L255" s="1"/>
    </row>
    <row r="256" spans="1:12" ht="90" customHeight="1" x14ac:dyDescent="0.3">
      <c r="A256" s="6"/>
      <c r="B256" s="6"/>
      <c r="C256" s="6"/>
      <c r="D256" s="6"/>
      <c r="E256" s="6"/>
      <c r="F256" s="6"/>
      <c r="G256" s="6"/>
      <c r="H256" s="1"/>
      <c r="I256" s="1"/>
      <c r="J256" s="1"/>
      <c r="K256" s="1"/>
      <c r="L256" s="1"/>
    </row>
    <row r="257" spans="1:12" ht="90" customHeight="1" x14ac:dyDescent="0.3">
      <c r="A257" s="5" t="s">
        <v>330</v>
      </c>
      <c r="B257" s="5" t="s">
        <v>331</v>
      </c>
      <c r="C257" s="5" t="s">
        <v>14</v>
      </c>
      <c r="D257" s="7" t="s">
        <v>15</v>
      </c>
      <c r="E257" s="7" t="s">
        <v>16</v>
      </c>
      <c r="F257" s="5" t="s">
        <v>332</v>
      </c>
      <c r="G257" s="5" t="s">
        <v>18</v>
      </c>
      <c r="H257" s="1"/>
      <c r="I257" s="1"/>
      <c r="J257" s="1"/>
      <c r="K257" s="1"/>
      <c r="L257" s="1"/>
    </row>
    <row r="258" spans="1:12" ht="90" customHeight="1" x14ac:dyDescent="0.3">
      <c r="A258" s="6"/>
      <c r="B258" s="6"/>
      <c r="C258" s="6"/>
      <c r="D258" s="6"/>
      <c r="E258" s="6"/>
      <c r="F258" s="6"/>
      <c r="G258" s="6"/>
      <c r="H258" s="1"/>
      <c r="I258" s="1"/>
      <c r="J258" s="1"/>
      <c r="K258" s="1"/>
      <c r="L258" s="1"/>
    </row>
    <row r="259" spans="1:12" ht="90" customHeight="1" x14ac:dyDescent="0.3">
      <c r="A259" s="6"/>
      <c r="B259" s="6"/>
      <c r="C259" s="6"/>
      <c r="D259" s="6"/>
      <c r="E259" s="6"/>
      <c r="F259" s="6"/>
      <c r="G259" s="6"/>
      <c r="H259" s="1"/>
      <c r="I259" s="1"/>
      <c r="J259" s="1"/>
      <c r="K259" s="1"/>
      <c r="L259" s="1"/>
    </row>
    <row r="260" spans="1:12" ht="90" customHeight="1" x14ac:dyDescent="0.3">
      <c r="A260" s="6"/>
      <c r="B260" s="6"/>
      <c r="C260" s="6"/>
      <c r="D260" s="6"/>
      <c r="E260" s="6"/>
      <c r="F260" s="6"/>
      <c r="G260" s="6"/>
      <c r="H260" s="1"/>
      <c r="I260" s="1"/>
      <c r="J260" s="1"/>
      <c r="K260" s="1"/>
      <c r="L260" s="1"/>
    </row>
    <row r="261" spans="1:12" ht="90" customHeight="1" x14ac:dyDescent="0.3">
      <c r="A261" s="6"/>
      <c r="B261" s="6"/>
      <c r="C261" s="6"/>
      <c r="D261" s="6"/>
      <c r="E261" s="6"/>
      <c r="F261" s="6"/>
      <c r="G261" s="6"/>
      <c r="H261" s="1"/>
      <c r="I261" s="1"/>
      <c r="J261" s="1"/>
      <c r="K261" s="1"/>
      <c r="L261" s="1"/>
    </row>
    <row r="262" spans="1:12" ht="90" customHeight="1" x14ac:dyDescent="0.3">
      <c r="A262" s="5" t="s">
        <v>333</v>
      </c>
      <c r="B262" s="5" t="s">
        <v>334</v>
      </c>
      <c r="C262" s="5" t="s">
        <v>291</v>
      </c>
      <c r="D262" s="7" t="s">
        <v>15</v>
      </c>
      <c r="E262" s="7" t="s">
        <v>16</v>
      </c>
      <c r="F262" s="5" t="s">
        <v>335</v>
      </c>
      <c r="G262" s="5" t="s">
        <v>336</v>
      </c>
      <c r="H262" s="2" t="s">
        <v>337</v>
      </c>
      <c r="I262" s="2">
        <v>0.9556611180305481</v>
      </c>
      <c r="J262" s="2" t="s">
        <v>27</v>
      </c>
      <c r="K262" s="2" t="s">
        <v>334</v>
      </c>
      <c r="L262" s="2">
        <v>4</v>
      </c>
    </row>
    <row r="263" spans="1:12" ht="90" customHeight="1" x14ac:dyDescent="0.3">
      <c r="A263" s="6"/>
      <c r="B263" s="6"/>
      <c r="C263" s="6"/>
      <c r="D263" s="6"/>
      <c r="E263" s="6"/>
      <c r="F263" s="6"/>
      <c r="G263" s="6"/>
      <c r="H263" s="2" t="s">
        <v>338</v>
      </c>
      <c r="I263" s="2">
        <v>0.95485639572143555</v>
      </c>
      <c r="J263" s="2" t="s">
        <v>27</v>
      </c>
      <c r="K263" s="2" t="s">
        <v>339</v>
      </c>
      <c r="L263" s="2">
        <v>8</v>
      </c>
    </row>
    <row r="264" spans="1:12" ht="90" customHeight="1" x14ac:dyDescent="0.3">
      <c r="A264" s="6"/>
      <c r="B264" s="6"/>
      <c r="C264" s="6"/>
      <c r="D264" s="6"/>
      <c r="E264" s="6"/>
      <c r="F264" s="6"/>
      <c r="G264" s="6"/>
      <c r="H264" s="2" t="s">
        <v>340</v>
      </c>
      <c r="I264" s="2">
        <v>0.92618471384048462</v>
      </c>
      <c r="J264" s="2" t="s">
        <v>27</v>
      </c>
      <c r="K264" s="2" t="s">
        <v>341</v>
      </c>
      <c r="L264" s="2">
        <v>40</v>
      </c>
    </row>
    <row r="265" spans="1:12" ht="90" customHeight="1" x14ac:dyDescent="0.3">
      <c r="A265" s="6"/>
      <c r="B265" s="6"/>
      <c r="C265" s="6"/>
      <c r="D265" s="6"/>
      <c r="E265" s="6"/>
      <c r="F265" s="6"/>
      <c r="G265" s="6"/>
      <c r="H265" s="1" t="s">
        <v>342</v>
      </c>
      <c r="I265" s="1">
        <v>0.88395261764526367</v>
      </c>
      <c r="J265" s="1" t="s">
        <v>27</v>
      </c>
      <c r="K265" s="1" t="s">
        <v>339</v>
      </c>
      <c r="L265" s="1">
        <v>2</v>
      </c>
    </row>
    <row r="266" spans="1:12" ht="90" customHeight="1" x14ac:dyDescent="0.3">
      <c r="A266" s="6"/>
      <c r="B266" s="6"/>
      <c r="C266" s="6"/>
      <c r="D266" s="6"/>
      <c r="E266" s="6"/>
      <c r="F266" s="6"/>
      <c r="G266" s="6"/>
      <c r="H266" s="1"/>
      <c r="I266" s="1"/>
      <c r="J266" s="1"/>
      <c r="K266" s="1"/>
      <c r="L266" s="1"/>
    </row>
    <row r="267" spans="1:12" ht="90" customHeight="1" x14ac:dyDescent="0.3">
      <c r="A267" s="5" t="s">
        <v>343</v>
      </c>
      <c r="B267" s="5" t="s">
        <v>344</v>
      </c>
      <c r="C267" s="5" t="s">
        <v>345</v>
      </c>
      <c r="D267" s="7" t="s">
        <v>22</v>
      </c>
      <c r="E267" s="7" t="s">
        <v>23</v>
      </c>
      <c r="F267" s="5" t="s">
        <v>346</v>
      </c>
      <c r="G267" s="5" t="s">
        <v>347</v>
      </c>
      <c r="H267" s="3" t="s">
        <v>348</v>
      </c>
      <c r="I267" s="3">
        <v>0.99999940395355225</v>
      </c>
      <c r="J267" s="3" t="s">
        <v>27</v>
      </c>
      <c r="K267" s="3" t="s">
        <v>344</v>
      </c>
      <c r="L267" s="3">
        <v>11</v>
      </c>
    </row>
    <row r="268" spans="1:12" ht="90" customHeight="1" x14ac:dyDescent="0.3">
      <c r="A268" s="6"/>
      <c r="B268" s="6"/>
      <c r="C268" s="6"/>
      <c r="D268" s="6"/>
      <c r="E268" s="6"/>
      <c r="F268" s="6"/>
      <c r="G268" s="6"/>
      <c r="H268" s="1"/>
      <c r="I268" s="1"/>
      <c r="J268" s="1"/>
      <c r="K268" s="1"/>
      <c r="L268" s="1"/>
    </row>
    <row r="269" spans="1:12" ht="90" customHeight="1" x14ac:dyDescent="0.3">
      <c r="A269" s="6"/>
      <c r="B269" s="6"/>
      <c r="C269" s="6"/>
      <c r="D269" s="6"/>
      <c r="E269" s="6"/>
      <c r="F269" s="6"/>
      <c r="G269" s="6"/>
      <c r="H269" s="1"/>
      <c r="I269" s="1"/>
      <c r="J269" s="1"/>
      <c r="K269" s="1"/>
      <c r="L269" s="1"/>
    </row>
    <row r="270" spans="1:12" ht="90" customHeight="1" x14ac:dyDescent="0.3">
      <c r="A270" s="6"/>
      <c r="B270" s="6"/>
      <c r="C270" s="6"/>
      <c r="D270" s="6"/>
      <c r="E270" s="6"/>
      <c r="F270" s="6"/>
      <c r="G270" s="6"/>
      <c r="H270" s="1"/>
      <c r="I270" s="1"/>
      <c r="J270" s="1"/>
      <c r="K270" s="1"/>
      <c r="L270" s="1"/>
    </row>
    <row r="271" spans="1:12" ht="90" customHeight="1" x14ac:dyDescent="0.3">
      <c r="A271" s="6"/>
      <c r="B271" s="6"/>
      <c r="C271" s="6"/>
      <c r="D271" s="6"/>
      <c r="E271" s="6"/>
      <c r="F271" s="6"/>
      <c r="G271" s="6"/>
      <c r="H271" s="1"/>
      <c r="I271" s="1"/>
      <c r="J271" s="1"/>
      <c r="K271" s="1"/>
      <c r="L271" s="1"/>
    </row>
    <row r="272" spans="1:12" ht="90" customHeight="1" x14ac:dyDescent="0.3">
      <c r="A272" s="5" t="s">
        <v>349</v>
      </c>
      <c r="B272" s="5" t="s">
        <v>350</v>
      </c>
      <c r="C272" s="5" t="s">
        <v>351</v>
      </c>
      <c r="D272" s="7" t="s">
        <v>22</v>
      </c>
      <c r="E272" s="7" t="s">
        <v>23</v>
      </c>
      <c r="F272" s="5" t="s">
        <v>352</v>
      </c>
      <c r="G272" s="5" t="s">
        <v>353</v>
      </c>
      <c r="H272" s="3" t="s">
        <v>354</v>
      </c>
      <c r="I272" s="3">
        <v>0.99978551778507674</v>
      </c>
      <c r="J272" s="3" t="s">
        <v>27</v>
      </c>
      <c r="K272" s="3" t="s">
        <v>46</v>
      </c>
      <c r="L272" s="3">
        <v>3</v>
      </c>
    </row>
    <row r="273" spans="1:12" ht="90" customHeight="1" x14ac:dyDescent="0.3">
      <c r="A273" s="6"/>
      <c r="B273" s="6"/>
      <c r="C273" s="6"/>
      <c r="D273" s="6"/>
      <c r="E273" s="6"/>
      <c r="F273" s="6"/>
      <c r="G273" s="6"/>
      <c r="H273" s="3" t="s">
        <v>355</v>
      </c>
      <c r="I273" s="3">
        <v>0.99968719482418433</v>
      </c>
      <c r="J273" s="3" t="s">
        <v>27</v>
      </c>
      <c r="K273" s="3" t="s">
        <v>46</v>
      </c>
      <c r="L273" s="3">
        <v>2</v>
      </c>
    </row>
    <row r="274" spans="1:12" ht="90" customHeight="1" x14ac:dyDescent="0.3">
      <c r="A274" s="6"/>
      <c r="B274" s="6"/>
      <c r="C274" s="6"/>
      <c r="D274" s="6"/>
      <c r="E274" s="6"/>
      <c r="F274" s="6"/>
      <c r="G274" s="6"/>
      <c r="H274" s="1"/>
      <c r="I274" s="1"/>
      <c r="J274" s="1"/>
      <c r="K274" s="1"/>
      <c r="L274" s="1"/>
    </row>
    <row r="275" spans="1:12" ht="90" customHeight="1" x14ac:dyDescent="0.3">
      <c r="A275" s="6"/>
      <c r="B275" s="6"/>
      <c r="C275" s="6"/>
      <c r="D275" s="6"/>
      <c r="E275" s="6"/>
      <c r="F275" s="6"/>
      <c r="G275" s="6"/>
      <c r="H275" s="1"/>
      <c r="I275" s="1"/>
      <c r="J275" s="1"/>
      <c r="K275" s="1"/>
      <c r="L275" s="1"/>
    </row>
    <row r="276" spans="1:12" ht="90" customHeight="1" x14ac:dyDescent="0.3">
      <c r="A276" s="6"/>
      <c r="B276" s="6"/>
      <c r="C276" s="6"/>
      <c r="D276" s="6"/>
      <c r="E276" s="6"/>
      <c r="F276" s="6"/>
      <c r="G276" s="6"/>
      <c r="H276" s="1"/>
      <c r="I276" s="1"/>
      <c r="J276" s="1"/>
      <c r="K276" s="1"/>
      <c r="L276" s="1"/>
    </row>
    <row r="277" spans="1:12" ht="90" customHeight="1" x14ac:dyDescent="0.3">
      <c r="A277" s="5" t="s">
        <v>356</v>
      </c>
      <c r="B277" s="5" t="s">
        <v>274</v>
      </c>
      <c r="C277" s="5" t="s">
        <v>357</v>
      </c>
      <c r="D277" s="7" t="s">
        <v>22</v>
      </c>
      <c r="E277" s="7" t="s">
        <v>23</v>
      </c>
      <c r="F277" s="5" t="s">
        <v>358</v>
      </c>
      <c r="G277" s="5" t="s">
        <v>359</v>
      </c>
      <c r="H277" s="3" t="s">
        <v>360</v>
      </c>
      <c r="I277" s="3">
        <v>0.96753901243209839</v>
      </c>
      <c r="J277" s="3" t="s">
        <v>27</v>
      </c>
      <c r="K277" s="3" t="s">
        <v>274</v>
      </c>
      <c r="L277" s="3">
        <v>355</v>
      </c>
    </row>
    <row r="278" spans="1:12" ht="90" customHeight="1" x14ac:dyDescent="0.3">
      <c r="A278" s="6"/>
      <c r="B278" s="6"/>
      <c r="C278" s="6"/>
      <c r="D278" s="6"/>
      <c r="E278" s="6"/>
      <c r="F278" s="6"/>
      <c r="G278" s="6"/>
      <c r="H278" s="1"/>
      <c r="I278" s="1"/>
      <c r="J278" s="1"/>
      <c r="K278" s="1"/>
      <c r="L278" s="1"/>
    </row>
    <row r="279" spans="1:12" ht="90" customHeight="1" x14ac:dyDescent="0.3">
      <c r="A279" s="6"/>
      <c r="B279" s="6"/>
      <c r="C279" s="6"/>
      <c r="D279" s="6"/>
      <c r="E279" s="6"/>
      <c r="F279" s="6"/>
      <c r="G279" s="6"/>
      <c r="H279" s="1"/>
      <c r="I279" s="1"/>
      <c r="J279" s="1"/>
      <c r="K279" s="1"/>
      <c r="L279" s="1"/>
    </row>
    <row r="280" spans="1:12" ht="90" customHeight="1" x14ac:dyDescent="0.3">
      <c r="A280" s="6"/>
      <c r="B280" s="6"/>
      <c r="C280" s="6"/>
      <c r="D280" s="6"/>
      <c r="E280" s="6"/>
      <c r="F280" s="6"/>
      <c r="G280" s="6"/>
      <c r="H280" s="1"/>
      <c r="I280" s="1"/>
      <c r="J280" s="1"/>
      <c r="K280" s="1"/>
      <c r="L280" s="1"/>
    </row>
    <row r="281" spans="1:12" ht="90" customHeight="1" x14ac:dyDescent="0.3">
      <c r="A281" s="6"/>
      <c r="B281" s="6"/>
      <c r="C281" s="6"/>
      <c r="D281" s="6"/>
      <c r="E281" s="6"/>
      <c r="F281" s="6"/>
      <c r="G281" s="6"/>
      <c r="H281" s="1"/>
      <c r="I281" s="1"/>
      <c r="J281" s="1"/>
      <c r="K281" s="1"/>
      <c r="L281" s="1"/>
    </row>
    <row r="282" spans="1:12" ht="90" customHeight="1" x14ac:dyDescent="0.3">
      <c r="A282" s="5" t="s">
        <v>361</v>
      </c>
      <c r="B282" s="5" t="s">
        <v>362</v>
      </c>
      <c r="C282" s="5" t="s">
        <v>363</v>
      </c>
      <c r="D282" s="7" t="s">
        <v>15</v>
      </c>
      <c r="E282" s="7" t="s">
        <v>16</v>
      </c>
      <c r="F282" s="5" t="s">
        <v>364</v>
      </c>
      <c r="G282" s="5" t="s">
        <v>18</v>
      </c>
      <c r="H282" s="1"/>
      <c r="I282" s="1"/>
      <c r="J282" s="1"/>
      <c r="K282" s="1"/>
      <c r="L282" s="1"/>
    </row>
    <row r="283" spans="1:12" ht="90" customHeight="1" x14ac:dyDescent="0.3">
      <c r="A283" s="6"/>
      <c r="B283" s="6"/>
      <c r="C283" s="6"/>
      <c r="D283" s="6"/>
      <c r="E283" s="6"/>
      <c r="F283" s="6"/>
      <c r="G283" s="6"/>
      <c r="H283" s="1"/>
      <c r="I283" s="1"/>
      <c r="J283" s="1"/>
      <c r="K283" s="1"/>
      <c r="L283" s="1"/>
    </row>
    <row r="284" spans="1:12" ht="90" customHeight="1" x14ac:dyDescent="0.3">
      <c r="A284" s="6"/>
      <c r="B284" s="6"/>
      <c r="C284" s="6"/>
      <c r="D284" s="6"/>
      <c r="E284" s="6"/>
      <c r="F284" s="6"/>
      <c r="G284" s="6"/>
      <c r="H284" s="1"/>
      <c r="I284" s="1"/>
      <c r="J284" s="1"/>
      <c r="K284" s="1"/>
      <c r="L284" s="1"/>
    </row>
    <row r="285" spans="1:12" ht="90" customHeight="1" x14ac:dyDescent="0.3">
      <c r="A285" s="6"/>
      <c r="B285" s="6"/>
      <c r="C285" s="6"/>
      <c r="D285" s="6"/>
      <c r="E285" s="6"/>
      <c r="F285" s="6"/>
      <c r="G285" s="6"/>
      <c r="H285" s="1"/>
      <c r="I285" s="1"/>
      <c r="J285" s="1"/>
      <c r="K285" s="1"/>
      <c r="L285" s="1"/>
    </row>
    <row r="286" spans="1:12" ht="90" customHeight="1" x14ac:dyDescent="0.3">
      <c r="A286" s="6"/>
      <c r="B286" s="6"/>
      <c r="C286" s="6"/>
      <c r="D286" s="6"/>
      <c r="E286" s="6"/>
      <c r="F286" s="6"/>
      <c r="G286" s="6"/>
      <c r="H286" s="1"/>
      <c r="I286" s="1"/>
      <c r="J286" s="1"/>
      <c r="K286" s="1"/>
      <c r="L286" s="1"/>
    </row>
    <row r="287" spans="1:12" ht="90" customHeight="1" x14ac:dyDescent="0.3">
      <c r="A287" s="5" t="s">
        <v>365</v>
      </c>
      <c r="B287" s="5" t="s">
        <v>34</v>
      </c>
      <c r="C287" s="5" t="s">
        <v>14</v>
      </c>
      <c r="D287" s="7" t="s">
        <v>15</v>
      </c>
      <c r="E287" s="7" t="s">
        <v>16</v>
      </c>
      <c r="F287" s="5" t="s">
        <v>366</v>
      </c>
      <c r="G287" s="5" t="s">
        <v>18</v>
      </c>
      <c r="H287" s="1"/>
      <c r="I287" s="1"/>
      <c r="J287" s="1"/>
      <c r="K287" s="1"/>
      <c r="L287" s="1"/>
    </row>
    <row r="288" spans="1:12" ht="90" customHeight="1" x14ac:dyDescent="0.3">
      <c r="A288" s="6"/>
      <c r="B288" s="6"/>
      <c r="C288" s="6"/>
      <c r="D288" s="6"/>
      <c r="E288" s="6"/>
      <c r="F288" s="6"/>
      <c r="G288" s="6"/>
      <c r="H288" s="1"/>
      <c r="I288" s="1"/>
      <c r="J288" s="1"/>
      <c r="K288" s="1"/>
      <c r="L288" s="1"/>
    </row>
    <row r="289" spans="1:12" ht="90" customHeight="1" x14ac:dyDescent="0.3">
      <c r="A289" s="6"/>
      <c r="B289" s="6"/>
      <c r="C289" s="6"/>
      <c r="D289" s="6"/>
      <c r="E289" s="6"/>
      <c r="F289" s="6"/>
      <c r="G289" s="6"/>
      <c r="H289" s="1"/>
      <c r="I289" s="1"/>
      <c r="J289" s="1"/>
      <c r="K289" s="1"/>
      <c r="L289" s="1"/>
    </row>
    <row r="290" spans="1:12" ht="90" customHeight="1" x14ac:dyDescent="0.3">
      <c r="A290" s="6"/>
      <c r="B290" s="6"/>
      <c r="C290" s="6"/>
      <c r="D290" s="6"/>
      <c r="E290" s="6"/>
      <c r="F290" s="6"/>
      <c r="G290" s="6"/>
      <c r="H290" s="1"/>
      <c r="I290" s="1"/>
      <c r="J290" s="1"/>
      <c r="K290" s="1"/>
      <c r="L290" s="1"/>
    </row>
    <row r="291" spans="1:12" ht="90" customHeight="1" x14ac:dyDescent="0.3">
      <c r="A291" s="6"/>
      <c r="B291" s="6"/>
      <c r="C291" s="6"/>
      <c r="D291" s="6"/>
      <c r="E291" s="6"/>
      <c r="F291" s="6"/>
      <c r="G291" s="6"/>
      <c r="H291" s="1"/>
      <c r="I291" s="1"/>
      <c r="J291" s="1"/>
      <c r="K291" s="1"/>
      <c r="L291" s="1"/>
    </row>
    <row r="292" spans="1:12" ht="90" customHeight="1" x14ac:dyDescent="0.3">
      <c r="A292" s="5" t="s">
        <v>367</v>
      </c>
      <c r="B292" s="5" t="s">
        <v>34</v>
      </c>
      <c r="C292" s="5" t="s">
        <v>14</v>
      </c>
      <c r="D292" s="7" t="s">
        <v>15</v>
      </c>
      <c r="E292" s="7" t="s">
        <v>16</v>
      </c>
      <c r="F292" s="5" t="s">
        <v>368</v>
      </c>
      <c r="G292" s="5" t="s">
        <v>18</v>
      </c>
      <c r="H292" s="1"/>
      <c r="I292" s="1"/>
      <c r="J292" s="1"/>
      <c r="K292" s="1"/>
      <c r="L292" s="1"/>
    </row>
    <row r="293" spans="1:12" ht="90" customHeight="1" x14ac:dyDescent="0.3">
      <c r="A293" s="6"/>
      <c r="B293" s="6"/>
      <c r="C293" s="6"/>
      <c r="D293" s="6"/>
      <c r="E293" s="6"/>
      <c r="F293" s="6"/>
      <c r="G293" s="6"/>
      <c r="H293" s="1"/>
      <c r="I293" s="1"/>
      <c r="J293" s="1"/>
      <c r="K293" s="1"/>
      <c r="L293" s="1"/>
    </row>
    <row r="294" spans="1:12" ht="90" customHeight="1" x14ac:dyDescent="0.3">
      <c r="A294" s="6"/>
      <c r="B294" s="6"/>
      <c r="C294" s="6"/>
      <c r="D294" s="6"/>
      <c r="E294" s="6"/>
      <c r="F294" s="6"/>
      <c r="G294" s="6"/>
      <c r="H294" s="1"/>
      <c r="I294" s="1"/>
      <c r="J294" s="1"/>
      <c r="K294" s="1"/>
      <c r="L294" s="1"/>
    </row>
    <row r="295" spans="1:12" ht="90" customHeight="1" x14ac:dyDescent="0.3">
      <c r="A295" s="6"/>
      <c r="B295" s="6"/>
      <c r="C295" s="6"/>
      <c r="D295" s="6"/>
      <c r="E295" s="6"/>
      <c r="F295" s="6"/>
      <c r="G295" s="6"/>
      <c r="H295" s="1"/>
      <c r="I295" s="1"/>
      <c r="J295" s="1"/>
      <c r="K295" s="1"/>
      <c r="L295" s="1"/>
    </row>
    <row r="296" spans="1:12" ht="90" customHeight="1" x14ac:dyDescent="0.3">
      <c r="A296" s="6"/>
      <c r="B296" s="6"/>
      <c r="C296" s="6"/>
      <c r="D296" s="6"/>
      <c r="E296" s="6"/>
      <c r="F296" s="6"/>
      <c r="G296" s="6"/>
      <c r="H296" s="1"/>
      <c r="I296" s="1"/>
      <c r="J296" s="1"/>
      <c r="K296" s="1"/>
      <c r="L296" s="1"/>
    </row>
    <row r="297" spans="1:12" ht="90" customHeight="1" x14ac:dyDescent="0.3">
      <c r="A297" s="5" t="s">
        <v>369</v>
      </c>
      <c r="B297" s="5" t="s">
        <v>34</v>
      </c>
      <c r="C297" s="5" t="s">
        <v>14</v>
      </c>
      <c r="D297" s="7" t="s">
        <v>15</v>
      </c>
      <c r="E297" s="7" t="s">
        <v>16</v>
      </c>
      <c r="F297" s="5" t="s">
        <v>370</v>
      </c>
      <c r="G297" s="5" t="s">
        <v>18</v>
      </c>
      <c r="H297" s="1"/>
      <c r="I297" s="1"/>
      <c r="J297" s="1"/>
      <c r="K297" s="1"/>
      <c r="L297" s="1"/>
    </row>
    <row r="298" spans="1:12" ht="90" customHeight="1" x14ac:dyDescent="0.3">
      <c r="A298" s="6"/>
      <c r="B298" s="6"/>
      <c r="C298" s="6"/>
      <c r="D298" s="6"/>
      <c r="E298" s="6"/>
      <c r="F298" s="6"/>
      <c r="G298" s="6"/>
      <c r="H298" s="1"/>
      <c r="I298" s="1"/>
      <c r="J298" s="1"/>
      <c r="K298" s="1"/>
      <c r="L298" s="1"/>
    </row>
    <row r="299" spans="1:12" ht="90" customHeight="1" x14ac:dyDescent="0.3">
      <c r="A299" s="6"/>
      <c r="B299" s="6"/>
      <c r="C299" s="6"/>
      <c r="D299" s="6"/>
      <c r="E299" s="6"/>
      <c r="F299" s="6"/>
      <c r="G299" s="6"/>
      <c r="H299" s="1"/>
      <c r="I299" s="1"/>
      <c r="J299" s="1"/>
      <c r="K299" s="1"/>
      <c r="L299" s="1"/>
    </row>
    <row r="300" spans="1:12" ht="90" customHeight="1" x14ac:dyDescent="0.3">
      <c r="A300" s="6"/>
      <c r="B300" s="6"/>
      <c r="C300" s="6"/>
      <c r="D300" s="6"/>
      <c r="E300" s="6"/>
      <c r="F300" s="6"/>
      <c r="G300" s="6"/>
      <c r="H300" s="1"/>
      <c r="I300" s="1"/>
      <c r="J300" s="1"/>
      <c r="K300" s="1"/>
      <c r="L300" s="1"/>
    </row>
    <row r="301" spans="1:12" ht="90" customHeight="1" x14ac:dyDescent="0.3">
      <c r="A301" s="6"/>
      <c r="B301" s="6"/>
      <c r="C301" s="6"/>
      <c r="D301" s="6"/>
      <c r="E301" s="6"/>
      <c r="F301" s="6"/>
      <c r="G301" s="6"/>
      <c r="H301" s="1"/>
      <c r="I301" s="1"/>
      <c r="J301" s="1"/>
      <c r="K301" s="1"/>
      <c r="L301" s="1"/>
    </row>
    <row r="302" spans="1:12" ht="90" customHeight="1" x14ac:dyDescent="0.3">
      <c r="A302" s="5" t="s">
        <v>371</v>
      </c>
      <c r="B302" s="5" t="s">
        <v>372</v>
      </c>
      <c r="C302" s="5" t="s">
        <v>14</v>
      </c>
      <c r="D302" s="7" t="s">
        <v>22</v>
      </c>
      <c r="E302" s="7" t="s">
        <v>23</v>
      </c>
      <c r="F302" s="5" t="s">
        <v>373</v>
      </c>
      <c r="G302" s="5" t="s">
        <v>374</v>
      </c>
      <c r="H302" s="3" t="s">
        <v>375</v>
      </c>
      <c r="I302" s="3">
        <v>0.9998544454574585</v>
      </c>
      <c r="J302" s="3" t="s">
        <v>27</v>
      </c>
      <c r="K302" s="3" t="s">
        <v>372</v>
      </c>
      <c r="L302" s="3">
        <v>1</v>
      </c>
    </row>
    <row r="303" spans="1:12" ht="90" customHeight="1" x14ac:dyDescent="0.3">
      <c r="A303" s="6"/>
      <c r="B303" s="6"/>
      <c r="C303" s="6"/>
      <c r="D303" s="6"/>
      <c r="E303" s="6"/>
      <c r="F303" s="6"/>
      <c r="G303" s="6"/>
      <c r="H303" s="1"/>
      <c r="I303" s="1"/>
      <c r="J303" s="1"/>
      <c r="K303" s="1"/>
      <c r="L303" s="1"/>
    </row>
    <row r="304" spans="1:12" ht="90" customHeight="1" x14ac:dyDescent="0.3">
      <c r="A304" s="6"/>
      <c r="B304" s="6"/>
      <c r="C304" s="6"/>
      <c r="D304" s="6"/>
      <c r="E304" s="6"/>
      <c r="F304" s="6"/>
      <c r="G304" s="6"/>
      <c r="H304" s="1"/>
      <c r="I304" s="1"/>
      <c r="J304" s="1"/>
      <c r="K304" s="1"/>
      <c r="L304" s="1"/>
    </row>
    <row r="305" spans="1:12" ht="90" customHeight="1" x14ac:dyDescent="0.3">
      <c r="A305" s="6"/>
      <c r="B305" s="6"/>
      <c r="C305" s="6"/>
      <c r="D305" s="6"/>
      <c r="E305" s="6"/>
      <c r="F305" s="6"/>
      <c r="G305" s="6"/>
      <c r="H305" s="1"/>
      <c r="I305" s="1"/>
      <c r="J305" s="1"/>
      <c r="K305" s="1"/>
      <c r="L305" s="1"/>
    </row>
    <row r="306" spans="1:12" ht="90" customHeight="1" x14ac:dyDescent="0.3">
      <c r="A306" s="6"/>
      <c r="B306" s="6"/>
      <c r="C306" s="6"/>
      <c r="D306" s="6"/>
      <c r="E306" s="6"/>
      <c r="F306" s="6"/>
      <c r="G306" s="6"/>
      <c r="H306" s="1"/>
      <c r="I306" s="1"/>
      <c r="J306" s="1"/>
      <c r="K306" s="1"/>
      <c r="L306" s="1"/>
    </row>
    <row r="307" spans="1:12" ht="90" customHeight="1" x14ac:dyDescent="0.3">
      <c r="A307" s="5" t="s">
        <v>376</v>
      </c>
      <c r="B307" s="5" t="s">
        <v>377</v>
      </c>
      <c r="C307" s="5" t="s">
        <v>255</v>
      </c>
      <c r="D307" s="7" t="s">
        <v>15</v>
      </c>
      <c r="E307" s="7" t="s">
        <v>16</v>
      </c>
      <c r="F307" s="5" t="s">
        <v>378</v>
      </c>
      <c r="G307" s="5" t="s">
        <v>18</v>
      </c>
      <c r="H307" s="1"/>
      <c r="I307" s="1"/>
      <c r="J307" s="1"/>
      <c r="K307" s="1"/>
      <c r="L307" s="1"/>
    </row>
    <row r="308" spans="1:12" ht="90" customHeight="1" x14ac:dyDescent="0.3">
      <c r="A308" s="6"/>
      <c r="B308" s="6"/>
      <c r="C308" s="6"/>
      <c r="D308" s="6"/>
      <c r="E308" s="6"/>
      <c r="F308" s="6"/>
      <c r="G308" s="6"/>
      <c r="H308" s="1"/>
      <c r="I308" s="1"/>
      <c r="J308" s="1"/>
      <c r="K308" s="1"/>
      <c r="L308" s="1"/>
    </row>
    <row r="309" spans="1:12" ht="90" customHeight="1" x14ac:dyDescent="0.3">
      <c r="A309" s="6"/>
      <c r="B309" s="6"/>
      <c r="C309" s="6"/>
      <c r="D309" s="6"/>
      <c r="E309" s="6"/>
      <c r="F309" s="6"/>
      <c r="G309" s="6"/>
      <c r="H309" s="1"/>
      <c r="I309" s="1"/>
      <c r="J309" s="1"/>
      <c r="K309" s="1"/>
      <c r="L309" s="1"/>
    </row>
    <row r="310" spans="1:12" ht="90" customHeight="1" x14ac:dyDescent="0.3">
      <c r="A310" s="6"/>
      <c r="B310" s="6"/>
      <c r="C310" s="6"/>
      <c r="D310" s="6"/>
      <c r="E310" s="6"/>
      <c r="F310" s="6"/>
      <c r="G310" s="6"/>
      <c r="H310" s="1"/>
      <c r="I310" s="1"/>
      <c r="J310" s="1"/>
      <c r="K310" s="1"/>
      <c r="L310" s="1"/>
    </row>
    <row r="311" spans="1:12" ht="90" customHeight="1" x14ac:dyDescent="0.3">
      <c r="A311" s="6"/>
      <c r="B311" s="6"/>
      <c r="C311" s="6"/>
      <c r="D311" s="6"/>
      <c r="E311" s="6"/>
      <c r="F311" s="6"/>
      <c r="G311" s="6"/>
      <c r="H311" s="1"/>
      <c r="I311" s="1"/>
      <c r="J311" s="1"/>
      <c r="K311" s="1"/>
      <c r="L311" s="1"/>
    </row>
    <row r="312" spans="1:12" ht="90" customHeight="1" x14ac:dyDescent="0.3">
      <c r="A312" s="5" t="s">
        <v>379</v>
      </c>
      <c r="B312" s="5" t="s">
        <v>232</v>
      </c>
      <c r="C312" s="5" t="s">
        <v>64</v>
      </c>
      <c r="D312" s="7" t="s">
        <v>22</v>
      </c>
      <c r="E312" s="7" t="s">
        <v>23</v>
      </c>
      <c r="F312" s="5" t="s">
        <v>380</v>
      </c>
      <c r="G312" s="5" t="s">
        <v>381</v>
      </c>
      <c r="H312" s="3" t="s">
        <v>236</v>
      </c>
      <c r="I312" s="3">
        <v>0.99264729022979736</v>
      </c>
      <c r="J312" s="3" t="s">
        <v>27</v>
      </c>
      <c r="K312" s="3" t="s">
        <v>232</v>
      </c>
      <c r="L312" s="3">
        <v>2</v>
      </c>
    </row>
    <row r="313" spans="1:12" ht="90" customHeight="1" x14ac:dyDescent="0.3">
      <c r="A313" s="6"/>
      <c r="B313" s="6"/>
      <c r="C313" s="6"/>
      <c r="D313" s="6"/>
      <c r="E313" s="6"/>
      <c r="F313" s="6"/>
      <c r="G313" s="6"/>
      <c r="H313" s="1"/>
      <c r="I313" s="1"/>
      <c r="J313" s="1"/>
      <c r="K313" s="1"/>
      <c r="L313" s="1"/>
    </row>
    <row r="314" spans="1:12" ht="90" customHeight="1" x14ac:dyDescent="0.3">
      <c r="A314" s="6"/>
      <c r="B314" s="6"/>
      <c r="C314" s="6"/>
      <c r="D314" s="6"/>
      <c r="E314" s="6"/>
      <c r="F314" s="6"/>
      <c r="G314" s="6"/>
      <c r="H314" s="1"/>
      <c r="I314" s="1"/>
      <c r="J314" s="1"/>
      <c r="K314" s="1"/>
      <c r="L314" s="1"/>
    </row>
    <row r="315" spans="1:12" ht="90" customHeight="1" x14ac:dyDescent="0.3">
      <c r="A315" s="6"/>
      <c r="B315" s="6"/>
      <c r="C315" s="6"/>
      <c r="D315" s="6"/>
      <c r="E315" s="6"/>
      <c r="F315" s="6"/>
      <c r="G315" s="6"/>
      <c r="H315" s="1"/>
      <c r="I315" s="1"/>
      <c r="J315" s="1"/>
      <c r="K315" s="1"/>
      <c r="L315" s="1"/>
    </row>
    <row r="316" spans="1:12" ht="90" customHeight="1" x14ac:dyDescent="0.3">
      <c r="A316" s="6"/>
      <c r="B316" s="6"/>
      <c r="C316" s="6"/>
      <c r="D316" s="6"/>
      <c r="E316" s="6"/>
      <c r="F316" s="6"/>
      <c r="G316" s="6"/>
      <c r="H316" s="1"/>
      <c r="I316" s="1"/>
      <c r="J316" s="1"/>
      <c r="K316" s="1"/>
      <c r="L316" s="1"/>
    </row>
    <row r="317" spans="1:12" ht="90" customHeight="1" x14ac:dyDescent="0.3">
      <c r="A317" s="5" t="s">
        <v>382</v>
      </c>
      <c r="B317" s="5" t="s">
        <v>79</v>
      </c>
      <c r="C317" s="5" t="s">
        <v>383</v>
      </c>
      <c r="D317" s="7" t="s">
        <v>22</v>
      </c>
      <c r="E317" s="7" t="s">
        <v>23</v>
      </c>
      <c r="F317" s="5" t="s">
        <v>384</v>
      </c>
      <c r="G317" s="5" t="s">
        <v>385</v>
      </c>
      <c r="H317" s="2" t="s">
        <v>386</v>
      </c>
      <c r="I317" s="2">
        <v>0.99590009450912476</v>
      </c>
      <c r="J317" s="2" t="s">
        <v>27</v>
      </c>
      <c r="K317" s="2" t="s">
        <v>81</v>
      </c>
      <c r="L317" s="2">
        <v>444</v>
      </c>
    </row>
    <row r="318" spans="1:12" ht="90" customHeight="1" x14ac:dyDescent="0.3">
      <c r="A318" s="6"/>
      <c r="B318" s="6"/>
      <c r="C318" s="6"/>
      <c r="D318" s="6"/>
      <c r="E318" s="6"/>
      <c r="F318" s="6"/>
      <c r="G318" s="6"/>
      <c r="H318" s="2" t="s">
        <v>387</v>
      </c>
      <c r="I318" s="2">
        <v>0.99532926082611084</v>
      </c>
      <c r="J318" s="2" t="s">
        <v>27</v>
      </c>
      <c r="K318" s="2" t="s">
        <v>81</v>
      </c>
      <c r="L318" s="2">
        <v>442</v>
      </c>
    </row>
    <row r="319" spans="1:12" ht="90" customHeight="1" x14ac:dyDescent="0.3">
      <c r="A319" s="6"/>
      <c r="B319" s="6"/>
      <c r="C319" s="6"/>
      <c r="D319" s="6"/>
      <c r="E319" s="6"/>
      <c r="F319" s="6"/>
      <c r="G319" s="6"/>
      <c r="H319" s="3" t="s">
        <v>388</v>
      </c>
      <c r="I319" s="3">
        <v>0.9931175708770752</v>
      </c>
      <c r="J319" s="3" t="s">
        <v>27</v>
      </c>
      <c r="K319" s="3" t="s">
        <v>79</v>
      </c>
      <c r="L319" s="3">
        <v>404</v>
      </c>
    </row>
    <row r="320" spans="1:12" ht="90" customHeight="1" x14ac:dyDescent="0.3">
      <c r="A320" s="6"/>
      <c r="B320" s="6"/>
      <c r="C320" s="6"/>
      <c r="D320" s="6"/>
      <c r="E320" s="6"/>
      <c r="F320" s="6"/>
      <c r="G320" s="6"/>
      <c r="H320" s="1" t="s">
        <v>389</v>
      </c>
      <c r="I320" s="1">
        <v>0.98897331953048706</v>
      </c>
      <c r="J320" s="1" t="s">
        <v>27</v>
      </c>
      <c r="K320" s="1" t="s">
        <v>274</v>
      </c>
      <c r="L320" s="1">
        <v>363</v>
      </c>
    </row>
    <row r="321" spans="1:12" ht="90" customHeight="1" x14ac:dyDescent="0.3">
      <c r="A321" s="6"/>
      <c r="B321" s="6"/>
      <c r="C321" s="6"/>
      <c r="D321" s="6"/>
      <c r="E321" s="6"/>
      <c r="F321" s="6"/>
      <c r="G321" s="6"/>
      <c r="H321" s="1" t="s">
        <v>390</v>
      </c>
      <c r="I321" s="1">
        <v>0.98595738410949707</v>
      </c>
      <c r="J321" s="1" t="s">
        <v>27</v>
      </c>
      <c r="K321" s="1" t="s">
        <v>262</v>
      </c>
      <c r="L321" s="1">
        <v>40</v>
      </c>
    </row>
    <row r="322" spans="1:12" ht="90" customHeight="1" x14ac:dyDescent="0.3">
      <c r="A322" s="5" t="s">
        <v>391</v>
      </c>
      <c r="B322" s="5" t="s">
        <v>20</v>
      </c>
      <c r="C322" s="5" t="s">
        <v>21</v>
      </c>
      <c r="D322" s="7" t="s">
        <v>22</v>
      </c>
      <c r="E322" s="7" t="s">
        <v>23</v>
      </c>
      <c r="F322" s="5" t="s">
        <v>392</v>
      </c>
      <c r="G322" s="5" t="s">
        <v>393</v>
      </c>
      <c r="H322" s="3" t="s">
        <v>26</v>
      </c>
      <c r="I322" s="3">
        <v>0.99177205501961496</v>
      </c>
      <c r="J322" s="3" t="s">
        <v>27</v>
      </c>
      <c r="K322" s="3" t="s">
        <v>20</v>
      </c>
      <c r="L322" s="3">
        <v>3</v>
      </c>
    </row>
    <row r="323" spans="1:12" ht="90" customHeight="1" x14ac:dyDescent="0.3">
      <c r="A323" s="6"/>
      <c r="B323" s="6"/>
      <c r="C323" s="6"/>
      <c r="D323" s="6"/>
      <c r="E323" s="6"/>
      <c r="F323" s="6"/>
      <c r="G323" s="6"/>
      <c r="H323" s="3" t="s">
        <v>28</v>
      </c>
      <c r="I323" s="3">
        <v>0.98889134984361116</v>
      </c>
      <c r="J323" s="3" t="s">
        <v>27</v>
      </c>
      <c r="K323" s="3" t="s">
        <v>20</v>
      </c>
      <c r="L323" s="3">
        <v>1</v>
      </c>
    </row>
    <row r="324" spans="1:12" ht="90" customHeight="1" x14ac:dyDescent="0.3">
      <c r="A324" s="6"/>
      <c r="B324" s="6"/>
      <c r="C324" s="6"/>
      <c r="D324" s="6"/>
      <c r="E324" s="6"/>
      <c r="F324" s="6"/>
      <c r="G324" s="6"/>
      <c r="H324" s="3" t="s">
        <v>29</v>
      </c>
      <c r="I324" s="3">
        <v>0.90491826526374564</v>
      </c>
      <c r="J324" s="3" t="s">
        <v>27</v>
      </c>
      <c r="K324" s="3" t="s">
        <v>20</v>
      </c>
      <c r="L324" s="3">
        <v>2</v>
      </c>
    </row>
    <row r="325" spans="1:12" ht="90" customHeight="1" x14ac:dyDescent="0.3">
      <c r="A325" s="6"/>
      <c r="B325" s="6"/>
      <c r="C325" s="6"/>
      <c r="D325" s="6"/>
      <c r="E325" s="6"/>
      <c r="F325" s="6"/>
      <c r="G325" s="6"/>
      <c r="H325" s="1"/>
      <c r="I325" s="1"/>
      <c r="J325" s="1"/>
      <c r="K325" s="1"/>
      <c r="L325" s="1"/>
    </row>
    <row r="326" spans="1:12" ht="90" customHeight="1" x14ac:dyDescent="0.3">
      <c r="A326" s="6"/>
      <c r="B326" s="6"/>
      <c r="C326" s="6"/>
      <c r="D326" s="6"/>
      <c r="E326" s="6"/>
      <c r="F326" s="6"/>
      <c r="G326" s="6"/>
      <c r="H326" s="1"/>
      <c r="I326" s="1"/>
      <c r="J326" s="1"/>
      <c r="K326" s="1"/>
      <c r="L326" s="1"/>
    </row>
    <row r="327" spans="1:12" ht="90" customHeight="1" x14ac:dyDescent="0.3">
      <c r="A327" s="5" t="s">
        <v>394</v>
      </c>
      <c r="B327" s="5" t="s">
        <v>395</v>
      </c>
      <c r="C327" s="5" t="s">
        <v>396</v>
      </c>
      <c r="D327" s="7" t="s">
        <v>22</v>
      </c>
      <c r="E327" s="7" t="s">
        <v>23</v>
      </c>
      <c r="F327" s="5" t="s">
        <v>397</v>
      </c>
      <c r="G327" s="5" t="s">
        <v>398</v>
      </c>
      <c r="H327" s="3" t="s">
        <v>399</v>
      </c>
      <c r="I327" s="3">
        <v>0.99711117752966671</v>
      </c>
      <c r="J327" s="3" t="s">
        <v>27</v>
      </c>
      <c r="K327" s="3" t="s">
        <v>395</v>
      </c>
      <c r="L327" s="3">
        <v>44</v>
      </c>
    </row>
    <row r="328" spans="1:12" ht="90" customHeight="1" x14ac:dyDescent="0.3">
      <c r="A328" s="6"/>
      <c r="B328" s="6"/>
      <c r="C328" s="6"/>
      <c r="D328" s="6"/>
      <c r="E328" s="6"/>
      <c r="F328" s="6"/>
      <c r="G328" s="6"/>
      <c r="H328" s="1"/>
      <c r="I328" s="1"/>
      <c r="J328" s="1"/>
      <c r="K328" s="1"/>
      <c r="L328" s="1"/>
    </row>
    <row r="329" spans="1:12" ht="90" customHeight="1" x14ac:dyDescent="0.3">
      <c r="A329" s="6"/>
      <c r="B329" s="6"/>
      <c r="C329" s="6"/>
      <c r="D329" s="6"/>
      <c r="E329" s="6"/>
      <c r="F329" s="6"/>
      <c r="G329" s="6"/>
      <c r="H329" s="1"/>
      <c r="I329" s="1"/>
      <c r="J329" s="1"/>
      <c r="K329" s="1"/>
      <c r="L329" s="1"/>
    </row>
    <row r="330" spans="1:12" ht="90" customHeight="1" x14ac:dyDescent="0.3">
      <c r="A330" s="6"/>
      <c r="B330" s="6"/>
      <c r="C330" s="6"/>
      <c r="D330" s="6"/>
      <c r="E330" s="6"/>
      <c r="F330" s="6"/>
      <c r="G330" s="6"/>
      <c r="H330" s="1"/>
      <c r="I330" s="1"/>
      <c r="J330" s="1"/>
      <c r="K330" s="1"/>
      <c r="L330" s="1"/>
    </row>
    <row r="331" spans="1:12" ht="90" customHeight="1" x14ac:dyDescent="0.3">
      <c r="A331" s="6"/>
      <c r="B331" s="6"/>
      <c r="C331" s="6"/>
      <c r="D331" s="6"/>
      <c r="E331" s="6"/>
      <c r="F331" s="6"/>
      <c r="G331" s="6"/>
      <c r="H331" s="1"/>
      <c r="I331" s="1"/>
      <c r="J331" s="1"/>
      <c r="K331" s="1"/>
      <c r="L331" s="1"/>
    </row>
    <row r="332" spans="1:12" ht="90" customHeight="1" x14ac:dyDescent="0.3">
      <c r="A332" s="5" t="s">
        <v>400</v>
      </c>
      <c r="B332" s="5" t="s">
        <v>232</v>
      </c>
      <c r="C332" s="5" t="s">
        <v>401</v>
      </c>
      <c r="D332" s="7" t="s">
        <v>22</v>
      </c>
      <c r="E332" s="7" t="s">
        <v>23</v>
      </c>
      <c r="F332" s="5" t="s">
        <v>402</v>
      </c>
      <c r="G332" s="5" t="s">
        <v>403</v>
      </c>
      <c r="H332" s="3" t="s">
        <v>238</v>
      </c>
      <c r="I332" s="3">
        <v>0.99951684474945068</v>
      </c>
      <c r="J332" s="3" t="s">
        <v>27</v>
      </c>
      <c r="K332" s="3" t="s">
        <v>232</v>
      </c>
      <c r="L332" s="3">
        <v>3</v>
      </c>
    </row>
    <row r="333" spans="1:12" ht="90" customHeight="1" x14ac:dyDescent="0.3">
      <c r="A333" s="6"/>
      <c r="B333" s="6"/>
      <c r="C333" s="6"/>
      <c r="D333" s="6"/>
      <c r="E333" s="6"/>
      <c r="F333" s="6"/>
      <c r="G333" s="6"/>
      <c r="H333" s="3" t="s">
        <v>326</v>
      </c>
      <c r="I333" s="3">
        <v>0.99943822622299194</v>
      </c>
      <c r="J333" s="3" t="s">
        <v>27</v>
      </c>
      <c r="K333" s="3" t="s">
        <v>232</v>
      </c>
      <c r="L333" s="3">
        <v>2</v>
      </c>
    </row>
    <row r="334" spans="1:12" ht="90" customHeight="1" x14ac:dyDescent="0.3">
      <c r="A334" s="6"/>
      <c r="B334" s="6"/>
      <c r="C334" s="6"/>
      <c r="D334" s="6"/>
      <c r="E334" s="6"/>
      <c r="F334" s="6"/>
      <c r="G334" s="6"/>
      <c r="H334" s="4" t="s">
        <v>237</v>
      </c>
      <c r="I334" s="4">
        <v>0.99869543313980103</v>
      </c>
      <c r="J334" s="4" t="s">
        <v>27</v>
      </c>
      <c r="K334" s="4" t="s">
        <v>232</v>
      </c>
      <c r="L334" s="4">
        <v>4</v>
      </c>
    </row>
    <row r="335" spans="1:12" ht="90" customHeight="1" x14ac:dyDescent="0.3">
      <c r="A335" s="6"/>
      <c r="B335" s="6"/>
      <c r="C335" s="6"/>
      <c r="D335" s="6"/>
      <c r="E335" s="6"/>
      <c r="F335" s="6"/>
      <c r="G335" s="6"/>
      <c r="H335" s="1" t="s">
        <v>404</v>
      </c>
      <c r="I335" s="1">
        <v>0.95424167582043662</v>
      </c>
      <c r="J335" s="1" t="s">
        <v>27</v>
      </c>
      <c r="K335" s="1" t="s">
        <v>262</v>
      </c>
      <c r="L335" s="1">
        <v>22</v>
      </c>
    </row>
    <row r="336" spans="1:12" ht="90" customHeight="1" x14ac:dyDescent="0.3">
      <c r="A336" s="6"/>
      <c r="B336" s="6"/>
      <c r="C336" s="6"/>
      <c r="D336" s="6"/>
      <c r="E336" s="6"/>
      <c r="F336" s="6"/>
      <c r="G336" s="6"/>
      <c r="H336" s="1" t="s">
        <v>405</v>
      </c>
      <c r="I336" s="1">
        <v>0.95397250749072837</v>
      </c>
      <c r="J336" s="1" t="s">
        <v>83</v>
      </c>
      <c r="K336" s="1" t="s">
        <v>406</v>
      </c>
      <c r="L336" s="1">
        <v>9</v>
      </c>
    </row>
    <row r="337" spans="1:12" ht="90" customHeight="1" x14ac:dyDescent="0.3">
      <c r="A337" s="5" t="s">
        <v>407</v>
      </c>
      <c r="B337" s="5" t="s">
        <v>377</v>
      </c>
      <c r="C337" s="5" t="s">
        <v>408</v>
      </c>
      <c r="D337" s="7" t="s">
        <v>15</v>
      </c>
      <c r="E337" s="7" t="s">
        <v>16</v>
      </c>
      <c r="F337" s="5" t="s">
        <v>409</v>
      </c>
      <c r="G337" s="5" t="s">
        <v>410</v>
      </c>
      <c r="H337" s="2" t="s">
        <v>411</v>
      </c>
      <c r="I337" s="2">
        <v>0.99864774942398071</v>
      </c>
      <c r="J337" s="2" t="s">
        <v>27</v>
      </c>
      <c r="K337" s="2" t="s">
        <v>187</v>
      </c>
      <c r="L337" s="2">
        <v>41</v>
      </c>
    </row>
    <row r="338" spans="1:12" ht="90" customHeight="1" x14ac:dyDescent="0.3">
      <c r="A338" s="6"/>
      <c r="B338" s="6"/>
      <c r="C338" s="6"/>
      <c r="D338" s="6"/>
      <c r="E338" s="6"/>
      <c r="F338" s="6"/>
      <c r="G338" s="6"/>
      <c r="H338" s="2" t="s">
        <v>412</v>
      </c>
      <c r="I338" s="2">
        <v>0.99716871976852417</v>
      </c>
      <c r="J338" s="2" t="s">
        <v>27</v>
      </c>
      <c r="K338" s="2" t="s">
        <v>187</v>
      </c>
      <c r="L338" s="2">
        <v>34</v>
      </c>
    </row>
    <row r="339" spans="1:12" ht="90" customHeight="1" x14ac:dyDescent="0.3">
      <c r="A339" s="6"/>
      <c r="B339" s="6"/>
      <c r="C339" s="6"/>
      <c r="D339" s="6"/>
      <c r="E339" s="6"/>
      <c r="F339" s="6"/>
      <c r="G339" s="6"/>
      <c r="H339" s="2" t="s">
        <v>413</v>
      </c>
      <c r="I339" s="2">
        <v>0.99315732717514038</v>
      </c>
      <c r="J339" s="2" t="s">
        <v>27</v>
      </c>
      <c r="K339" s="2" t="s">
        <v>414</v>
      </c>
      <c r="L339" s="2">
        <v>79</v>
      </c>
    </row>
    <row r="340" spans="1:12" ht="90" customHeight="1" x14ac:dyDescent="0.3">
      <c r="A340" s="6"/>
      <c r="B340" s="6"/>
      <c r="C340" s="6"/>
      <c r="D340" s="6"/>
      <c r="E340" s="6"/>
      <c r="F340" s="6"/>
      <c r="G340" s="6"/>
      <c r="H340" s="1" t="s">
        <v>415</v>
      </c>
      <c r="I340" s="1">
        <v>0.99315732717514038</v>
      </c>
      <c r="J340" s="1" t="s">
        <v>27</v>
      </c>
      <c r="K340" s="1" t="s">
        <v>182</v>
      </c>
      <c r="L340" s="1">
        <v>77</v>
      </c>
    </row>
    <row r="341" spans="1:12" ht="90" customHeight="1" x14ac:dyDescent="0.3">
      <c r="A341" s="6"/>
      <c r="B341" s="6"/>
      <c r="C341" s="6"/>
      <c r="D341" s="6"/>
      <c r="E341" s="6"/>
      <c r="F341" s="6"/>
      <c r="G341" s="6"/>
      <c r="H341" s="1" t="s">
        <v>416</v>
      </c>
      <c r="I341" s="1">
        <v>0.99135571718215942</v>
      </c>
      <c r="J341" s="1" t="s">
        <v>27</v>
      </c>
      <c r="K341" s="1" t="s">
        <v>417</v>
      </c>
      <c r="L341" s="1">
        <v>8</v>
      </c>
    </row>
    <row r="342" spans="1:12" ht="90" customHeight="1" x14ac:dyDescent="0.3">
      <c r="A342" s="5" t="s">
        <v>418</v>
      </c>
      <c r="B342" s="5" t="s">
        <v>419</v>
      </c>
      <c r="C342" s="5" t="s">
        <v>420</v>
      </c>
      <c r="D342" s="7" t="s">
        <v>15</v>
      </c>
      <c r="E342" s="7" t="s">
        <v>16</v>
      </c>
      <c r="F342" s="5" t="s">
        <v>421</v>
      </c>
      <c r="G342" s="5" t="s">
        <v>18</v>
      </c>
      <c r="H342" s="1"/>
      <c r="I342" s="1"/>
      <c r="J342" s="1"/>
      <c r="K342" s="1"/>
      <c r="L342" s="1"/>
    </row>
    <row r="343" spans="1:12" ht="90" customHeight="1" x14ac:dyDescent="0.3">
      <c r="A343" s="6"/>
      <c r="B343" s="6"/>
      <c r="C343" s="6"/>
      <c r="D343" s="6"/>
      <c r="E343" s="6"/>
      <c r="F343" s="6"/>
      <c r="G343" s="6"/>
      <c r="H343" s="1"/>
      <c r="I343" s="1"/>
      <c r="J343" s="1"/>
      <c r="K343" s="1"/>
      <c r="L343" s="1"/>
    </row>
    <row r="344" spans="1:12" ht="90" customHeight="1" x14ac:dyDescent="0.3">
      <c r="A344" s="6"/>
      <c r="B344" s="6"/>
      <c r="C344" s="6"/>
      <c r="D344" s="6"/>
      <c r="E344" s="6"/>
      <c r="F344" s="6"/>
      <c r="G344" s="6"/>
      <c r="H344" s="1"/>
      <c r="I344" s="1"/>
      <c r="J344" s="1"/>
      <c r="K344" s="1"/>
      <c r="L344" s="1"/>
    </row>
    <row r="345" spans="1:12" ht="90" customHeight="1" x14ac:dyDescent="0.3">
      <c r="A345" s="6"/>
      <c r="B345" s="6"/>
      <c r="C345" s="6"/>
      <c r="D345" s="6"/>
      <c r="E345" s="6"/>
      <c r="F345" s="6"/>
      <c r="G345" s="6"/>
      <c r="H345" s="1"/>
      <c r="I345" s="1"/>
      <c r="J345" s="1"/>
      <c r="K345" s="1"/>
      <c r="L345" s="1"/>
    </row>
    <row r="346" spans="1:12" ht="90" customHeight="1" x14ac:dyDescent="0.3">
      <c r="A346" s="6"/>
      <c r="B346" s="6"/>
      <c r="C346" s="6"/>
      <c r="D346" s="6"/>
      <c r="E346" s="6"/>
      <c r="F346" s="6"/>
      <c r="G346" s="6"/>
      <c r="H346" s="1"/>
      <c r="I346" s="1"/>
      <c r="J346" s="1"/>
      <c r="K346" s="1"/>
      <c r="L346" s="1"/>
    </row>
    <row r="347" spans="1:12" ht="90" customHeight="1" x14ac:dyDescent="0.3">
      <c r="A347" s="5" t="s">
        <v>422</v>
      </c>
      <c r="B347" s="5" t="s">
        <v>141</v>
      </c>
      <c r="C347" s="5" t="s">
        <v>142</v>
      </c>
      <c r="D347" s="7" t="s">
        <v>15</v>
      </c>
      <c r="E347" s="7" t="s">
        <v>16</v>
      </c>
      <c r="F347" s="5" t="s">
        <v>423</v>
      </c>
      <c r="G347" s="5" t="s">
        <v>424</v>
      </c>
      <c r="H347" s="2" t="s">
        <v>149</v>
      </c>
      <c r="I347" s="2">
        <v>0.96557915210723877</v>
      </c>
      <c r="J347" s="2" t="s">
        <v>27</v>
      </c>
      <c r="K347" s="2" t="s">
        <v>150</v>
      </c>
      <c r="L347" s="2">
        <v>1</v>
      </c>
    </row>
    <row r="348" spans="1:12" ht="90" customHeight="1" x14ac:dyDescent="0.3">
      <c r="A348" s="6"/>
      <c r="B348" s="6"/>
      <c r="C348" s="6"/>
      <c r="D348" s="6"/>
      <c r="E348" s="6"/>
      <c r="F348" s="6"/>
      <c r="G348" s="6"/>
      <c r="H348" s="2" t="s">
        <v>425</v>
      </c>
      <c r="I348" s="2">
        <v>0.94252222776412964</v>
      </c>
      <c r="J348" s="2" t="s">
        <v>27</v>
      </c>
      <c r="K348" s="2" t="s">
        <v>426</v>
      </c>
      <c r="L348" s="2">
        <v>32</v>
      </c>
    </row>
    <row r="349" spans="1:12" ht="90" customHeight="1" x14ac:dyDescent="0.3">
      <c r="A349" s="6"/>
      <c r="B349" s="6"/>
      <c r="C349" s="6"/>
      <c r="D349" s="6"/>
      <c r="E349" s="6"/>
      <c r="F349" s="6"/>
      <c r="G349" s="6"/>
      <c r="H349" s="2" t="s">
        <v>145</v>
      </c>
      <c r="I349" s="2">
        <v>0.90206116437911987</v>
      </c>
      <c r="J349" s="2" t="s">
        <v>83</v>
      </c>
      <c r="K349" s="2" t="s">
        <v>146</v>
      </c>
      <c r="L349" s="2">
        <v>1</v>
      </c>
    </row>
    <row r="350" spans="1:12" ht="90" customHeight="1" x14ac:dyDescent="0.3">
      <c r="A350" s="6"/>
      <c r="B350" s="6"/>
      <c r="C350" s="6"/>
      <c r="D350" s="6"/>
      <c r="E350" s="6"/>
      <c r="F350" s="6"/>
      <c r="G350" s="6"/>
      <c r="H350" s="1"/>
      <c r="I350" s="1"/>
      <c r="J350" s="1"/>
      <c r="K350" s="1"/>
      <c r="L350" s="1"/>
    </row>
    <row r="351" spans="1:12" ht="90" customHeight="1" x14ac:dyDescent="0.3">
      <c r="A351" s="6"/>
      <c r="B351" s="6"/>
      <c r="C351" s="6"/>
      <c r="D351" s="6"/>
      <c r="E351" s="6"/>
      <c r="F351" s="6"/>
      <c r="G351" s="6"/>
      <c r="H351" s="1"/>
      <c r="I351" s="1"/>
      <c r="J351" s="1"/>
      <c r="K351" s="1"/>
      <c r="L351" s="1"/>
    </row>
    <row r="352" spans="1:12" ht="90" customHeight="1" x14ac:dyDescent="0.3">
      <c r="A352" s="5" t="s">
        <v>427</v>
      </c>
      <c r="B352" s="5" t="s">
        <v>132</v>
      </c>
      <c r="C352" s="5" t="s">
        <v>363</v>
      </c>
      <c r="D352" s="7" t="s">
        <v>15</v>
      </c>
      <c r="E352" s="7" t="s">
        <v>16</v>
      </c>
      <c r="F352" s="5" t="s">
        <v>428</v>
      </c>
      <c r="G352" s="5" t="s">
        <v>18</v>
      </c>
      <c r="H352" s="1"/>
      <c r="I352" s="1"/>
      <c r="J352" s="1"/>
      <c r="K352" s="1"/>
      <c r="L352" s="1"/>
    </row>
    <row r="353" spans="1:12" ht="90" customHeight="1" x14ac:dyDescent="0.3">
      <c r="A353" s="6"/>
      <c r="B353" s="6"/>
      <c r="C353" s="6"/>
      <c r="D353" s="6"/>
      <c r="E353" s="6"/>
      <c r="F353" s="6"/>
      <c r="G353" s="6"/>
      <c r="H353" s="1"/>
      <c r="I353" s="1"/>
      <c r="J353" s="1"/>
      <c r="K353" s="1"/>
      <c r="L353" s="1"/>
    </row>
    <row r="354" spans="1:12" ht="90" customHeight="1" x14ac:dyDescent="0.3">
      <c r="A354" s="6"/>
      <c r="B354" s="6"/>
      <c r="C354" s="6"/>
      <c r="D354" s="6"/>
      <c r="E354" s="6"/>
      <c r="F354" s="6"/>
      <c r="G354" s="6"/>
      <c r="H354" s="1"/>
      <c r="I354" s="1"/>
      <c r="J354" s="1"/>
      <c r="K354" s="1"/>
      <c r="L354" s="1"/>
    </row>
    <row r="355" spans="1:12" ht="90" customHeight="1" x14ac:dyDescent="0.3">
      <c r="A355" s="6"/>
      <c r="B355" s="6"/>
      <c r="C355" s="6"/>
      <c r="D355" s="6"/>
      <c r="E355" s="6"/>
      <c r="F355" s="6"/>
      <c r="G355" s="6"/>
      <c r="H355" s="1"/>
      <c r="I355" s="1"/>
      <c r="J355" s="1"/>
      <c r="K355" s="1"/>
      <c r="L355" s="1"/>
    </row>
    <row r="356" spans="1:12" ht="90" customHeight="1" x14ac:dyDescent="0.3">
      <c r="A356" s="6"/>
      <c r="B356" s="6"/>
      <c r="C356" s="6"/>
      <c r="D356" s="6"/>
      <c r="E356" s="6"/>
      <c r="F356" s="6"/>
      <c r="G356" s="6"/>
      <c r="H356" s="1"/>
      <c r="I356" s="1"/>
      <c r="J356" s="1"/>
      <c r="K356" s="1"/>
      <c r="L356" s="1"/>
    </row>
    <row r="357" spans="1:12" ht="90" customHeight="1" x14ac:dyDescent="0.3">
      <c r="A357" s="5" t="s">
        <v>429</v>
      </c>
      <c r="B357" s="5" t="s">
        <v>20</v>
      </c>
      <c r="C357" s="5" t="s">
        <v>21</v>
      </c>
      <c r="D357" s="7" t="s">
        <v>22</v>
      </c>
      <c r="E357" s="7" t="s">
        <v>23</v>
      </c>
      <c r="F357" s="5" t="s">
        <v>430</v>
      </c>
      <c r="G357" s="5" t="s">
        <v>431</v>
      </c>
      <c r="H357" s="3" t="s">
        <v>28</v>
      </c>
      <c r="I357" s="3">
        <v>0.99836919055784634</v>
      </c>
      <c r="J357" s="3" t="s">
        <v>27</v>
      </c>
      <c r="K357" s="3" t="s">
        <v>20</v>
      </c>
      <c r="L357" s="3">
        <v>1</v>
      </c>
    </row>
    <row r="358" spans="1:12" ht="90" customHeight="1" x14ac:dyDescent="0.3">
      <c r="A358" s="6"/>
      <c r="B358" s="6"/>
      <c r="C358" s="6"/>
      <c r="D358" s="6"/>
      <c r="E358" s="6"/>
      <c r="F358" s="6"/>
      <c r="G358" s="6"/>
      <c r="H358" s="3" t="s">
        <v>26</v>
      </c>
      <c r="I358" s="3">
        <v>0.99552068603571464</v>
      </c>
      <c r="J358" s="3" t="s">
        <v>27</v>
      </c>
      <c r="K358" s="3" t="s">
        <v>20</v>
      </c>
      <c r="L358" s="3">
        <v>3</v>
      </c>
    </row>
    <row r="359" spans="1:12" ht="90" customHeight="1" x14ac:dyDescent="0.3">
      <c r="A359" s="6"/>
      <c r="B359" s="6"/>
      <c r="C359" s="6"/>
      <c r="D359" s="6"/>
      <c r="E359" s="6"/>
      <c r="F359" s="6"/>
      <c r="G359" s="6"/>
      <c r="H359" s="3" t="s">
        <v>29</v>
      </c>
      <c r="I359" s="3">
        <v>0.91511580892208311</v>
      </c>
      <c r="J359" s="3" t="s">
        <v>27</v>
      </c>
      <c r="K359" s="3" t="s">
        <v>20</v>
      </c>
      <c r="L359" s="3">
        <v>2</v>
      </c>
    </row>
    <row r="360" spans="1:12" ht="90" customHeight="1" x14ac:dyDescent="0.3">
      <c r="A360" s="6"/>
      <c r="B360" s="6"/>
      <c r="C360" s="6"/>
      <c r="D360" s="6"/>
      <c r="E360" s="6"/>
      <c r="F360" s="6"/>
      <c r="G360" s="6"/>
      <c r="H360" s="1"/>
      <c r="I360" s="1"/>
      <c r="J360" s="1"/>
      <c r="K360" s="1"/>
      <c r="L360" s="1"/>
    </row>
    <row r="361" spans="1:12" ht="90" customHeight="1" x14ac:dyDescent="0.3">
      <c r="A361" s="6"/>
      <c r="B361" s="6"/>
      <c r="C361" s="6"/>
      <c r="D361" s="6"/>
      <c r="E361" s="6"/>
      <c r="F361" s="6"/>
      <c r="G361" s="6"/>
      <c r="H361" s="1"/>
      <c r="I361" s="1"/>
      <c r="J361" s="1"/>
      <c r="K361" s="1"/>
      <c r="L361" s="1"/>
    </row>
    <row r="362" spans="1:12" ht="90" customHeight="1" x14ac:dyDescent="0.3">
      <c r="A362" s="5" t="s">
        <v>432</v>
      </c>
      <c r="B362" s="5" t="s">
        <v>377</v>
      </c>
      <c r="C362" s="5" t="s">
        <v>408</v>
      </c>
      <c r="D362" s="7" t="s">
        <v>15</v>
      </c>
      <c r="E362" s="7" t="s">
        <v>16</v>
      </c>
      <c r="F362" s="5" t="s">
        <v>433</v>
      </c>
      <c r="G362" s="5" t="s">
        <v>18</v>
      </c>
      <c r="H362" s="1"/>
      <c r="I362" s="1"/>
      <c r="J362" s="1"/>
      <c r="K362" s="1"/>
      <c r="L362" s="1"/>
    </row>
    <row r="363" spans="1:12" ht="90" customHeight="1" x14ac:dyDescent="0.3">
      <c r="A363" s="6"/>
      <c r="B363" s="6"/>
      <c r="C363" s="6"/>
      <c r="D363" s="6"/>
      <c r="E363" s="6"/>
      <c r="F363" s="6"/>
      <c r="G363" s="6"/>
      <c r="H363" s="1"/>
      <c r="I363" s="1"/>
      <c r="J363" s="1"/>
      <c r="K363" s="1"/>
      <c r="L363" s="1"/>
    </row>
    <row r="364" spans="1:12" ht="90" customHeight="1" x14ac:dyDescent="0.3">
      <c r="A364" s="6"/>
      <c r="B364" s="6"/>
      <c r="C364" s="6"/>
      <c r="D364" s="6"/>
      <c r="E364" s="6"/>
      <c r="F364" s="6"/>
      <c r="G364" s="6"/>
      <c r="H364" s="1"/>
      <c r="I364" s="1"/>
      <c r="J364" s="1"/>
      <c r="K364" s="1"/>
      <c r="L364" s="1"/>
    </row>
    <row r="365" spans="1:12" ht="90" customHeight="1" x14ac:dyDescent="0.3">
      <c r="A365" s="6"/>
      <c r="B365" s="6"/>
      <c r="C365" s="6"/>
      <c r="D365" s="6"/>
      <c r="E365" s="6"/>
      <c r="F365" s="6"/>
      <c r="G365" s="6"/>
      <c r="H365" s="1"/>
      <c r="I365" s="1"/>
      <c r="J365" s="1"/>
      <c r="K365" s="1"/>
      <c r="L365" s="1"/>
    </row>
    <row r="366" spans="1:12" ht="90" customHeight="1" x14ac:dyDescent="0.3">
      <c r="A366" s="6"/>
      <c r="B366" s="6"/>
      <c r="C366" s="6"/>
      <c r="D366" s="6"/>
      <c r="E366" s="6"/>
      <c r="F366" s="6"/>
      <c r="G366" s="6"/>
      <c r="H366" s="1"/>
      <c r="I366" s="1"/>
      <c r="J366" s="1"/>
      <c r="K366" s="1"/>
      <c r="L366" s="1"/>
    </row>
    <row r="367" spans="1:12" ht="90" customHeight="1" x14ac:dyDescent="0.3">
      <c r="A367" s="5" t="s">
        <v>434</v>
      </c>
      <c r="B367" s="5" t="s">
        <v>132</v>
      </c>
      <c r="C367" s="5" t="s">
        <v>363</v>
      </c>
      <c r="D367" s="7" t="s">
        <v>22</v>
      </c>
      <c r="E367" s="7" t="s">
        <v>23</v>
      </c>
      <c r="F367" s="5" t="s">
        <v>435</v>
      </c>
      <c r="G367" s="5" t="s">
        <v>436</v>
      </c>
      <c r="H367" s="3" t="s">
        <v>437</v>
      </c>
      <c r="I367" s="3">
        <v>0.99980670213699341</v>
      </c>
      <c r="J367" s="3" t="s">
        <v>27</v>
      </c>
      <c r="K367" s="3" t="s">
        <v>132</v>
      </c>
      <c r="L367" s="3">
        <v>26</v>
      </c>
    </row>
    <row r="368" spans="1:12" ht="90" customHeight="1" x14ac:dyDescent="0.3">
      <c r="A368" s="6"/>
      <c r="B368" s="6"/>
      <c r="C368" s="6"/>
      <c r="D368" s="6"/>
      <c r="E368" s="6"/>
      <c r="F368" s="6"/>
      <c r="G368" s="6"/>
      <c r="H368" s="1"/>
      <c r="I368" s="1"/>
      <c r="J368" s="1"/>
      <c r="K368" s="1"/>
      <c r="L368" s="1"/>
    </row>
    <row r="369" spans="1:12" ht="90" customHeight="1" x14ac:dyDescent="0.3">
      <c r="A369" s="6"/>
      <c r="B369" s="6"/>
      <c r="C369" s="6"/>
      <c r="D369" s="6"/>
      <c r="E369" s="6"/>
      <c r="F369" s="6"/>
      <c r="G369" s="6"/>
      <c r="H369" s="1"/>
      <c r="I369" s="1"/>
      <c r="J369" s="1"/>
      <c r="K369" s="1"/>
      <c r="L369" s="1"/>
    </row>
    <row r="370" spans="1:12" ht="90" customHeight="1" x14ac:dyDescent="0.3">
      <c r="A370" s="6"/>
      <c r="B370" s="6"/>
      <c r="C370" s="6"/>
      <c r="D370" s="6"/>
      <c r="E370" s="6"/>
      <c r="F370" s="6"/>
      <c r="G370" s="6"/>
      <c r="H370" s="1"/>
      <c r="I370" s="1"/>
      <c r="J370" s="1"/>
      <c r="K370" s="1"/>
      <c r="L370" s="1"/>
    </row>
    <row r="371" spans="1:12" ht="90" customHeight="1" x14ac:dyDescent="0.3">
      <c r="A371" s="6"/>
      <c r="B371" s="6"/>
      <c r="C371" s="6"/>
      <c r="D371" s="6"/>
      <c r="E371" s="6"/>
      <c r="F371" s="6"/>
      <c r="G371" s="6"/>
      <c r="H371" s="1"/>
      <c r="I371" s="1"/>
      <c r="J371" s="1"/>
      <c r="K371" s="1"/>
      <c r="L371" s="1"/>
    </row>
    <row r="372" spans="1:12" ht="90" customHeight="1" x14ac:dyDescent="0.3">
      <c r="A372" s="5" t="s">
        <v>438</v>
      </c>
      <c r="B372" s="5" t="s">
        <v>439</v>
      </c>
      <c r="C372" s="5" t="s">
        <v>440</v>
      </c>
      <c r="D372" s="7" t="s">
        <v>22</v>
      </c>
      <c r="E372" s="7" t="s">
        <v>23</v>
      </c>
      <c r="F372" s="5" t="s">
        <v>441</v>
      </c>
      <c r="G372" s="5" t="s">
        <v>442</v>
      </c>
      <c r="H372" s="3" t="s">
        <v>443</v>
      </c>
      <c r="I372" s="3">
        <v>0.96553713083267212</v>
      </c>
      <c r="J372" s="3" t="s">
        <v>27</v>
      </c>
      <c r="K372" s="3" t="s">
        <v>439</v>
      </c>
      <c r="L372" s="3">
        <v>3</v>
      </c>
    </row>
    <row r="373" spans="1:12" ht="90" customHeight="1" x14ac:dyDescent="0.3">
      <c r="A373" s="6"/>
      <c r="B373" s="6"/>
      <c r="C373" s="6"/>
      <c r="D373" s="6"/>
      <c r="E373" s="6"/>
      <c r="F373" s="6"/>
      <c r="G373" s="6"/>
      <c r="H373" s="1"/>
      <c r="I373" s="1"/>
      <c r="J373" s="1"/>
      <c r="K373" s="1"/>
      <c r="L373" s="1"/>
    </row>
    <row r="374" spans="1:12" ht="90" customHeight="1" x14ac:dyDescent="0.3">
      <c r="A374" s="6"/>
      <c r="B374" s="6"/>
      <c r="C374" s="6"/>
      <c r="D374" s="6"/>
      <c r="E374" s="6"/>
      <c r="F374" s="6"/>
      <c r="G374" s="6"/>
      <c r="H374" s="1"/>
      <c r="I374" s="1"/>
      <c r="J374" s="1"/>
      <c r="K374" s="1"/>
      <c r="L374" s="1"/>
    </row>
    <row r="375" spans="1:12" ht="90" customHeight="1" x14ac:dyDescent="0.3">
      <c r="A375" s="6"/>
      <c r="B375" s="6"/>
      <c r="C375" s="6"/>
      <c r="D375" s="6"/>
      <c r="E375" s="6"/>
      <c r="F375" s="6"/>
      <c r="G375" s="6"/>
      <c r="H375" s="1"/>
      <c r="I375" s="1"/>
      <c r="J375" s="1"/>
      <c r="K375" s="1"/>
      <c r="L375" s="1"/>
    </row>
    <row r="376" spans="1:12" ht="90" customHeight="1" x14ac:dyDescent="0.3">
      <c r="A376" s="6"/>
      <c r="B376" s="6"/>
      <c r="C376" s="6"/>
      <c r="D376" s="6"/>
      <c r="E376" s="6"/>
      <c r="F376" s="6"/>
      <c r="G376" s="6"/>
      <c r="H376" s="1"/>
      <c r="I376" s="1"/>
      <c r="J376" s="1"/>
      <c r="K376" s="1"/>
      <c r="L376" s="1"/>
    </row>
    <row r="377" spans="1:12" ht="90" customHeight="1" x14ac:dyDescent="0.3">
      <c r="A377" s="5" t="s">
        <v>444</v>
      </c>
      <c r="B377" s="5" t="s">
        <v>445</v>
      </c>
      <c r="C377" s="5" t="s">
        <v>14</v>
      </c>
      <c r="D377" s="7" t="s">
        <v>22</v>
      </c>
      <c r="E377" s="7" t="s">
        <v>23</v>
      </c>
      <c r="F377" s="5" t="s">
        <v>446</v>
      </c>
      <c r="G377" s="5" t="s">
        <v>447</v>
      </c>
      <c r="H377" s="3" t="s">
        <v>448</v>
      </c>
      <c r="I377" s="3">
        <v>0.99999785423278809</v>
      </c>
      <c r="J377" s="3" t="s">
        <v>27</v>
      </c>
      <c r="K377" s="3" t="s">
        <v>445</v>
      </c>
      <c r="L377" s="3">
        <v>1</v>
      </c>
    </row>
    <row r="378" spans="1:12" ht="90" customHeight="1" x14ac:dyDescent="0.3">
      <c r="A378" s="6"/>
      <c r="B378" s="6"/>
      <c r="C378" s="6"/>
      <c r="D378" s="6"/>
      <c r="E378" s="6"/>
      <c r="F378" s="6"/>
      <c r="G378" s="6"/>
      <c r="H378" s="1"/>
      <c r="I378" s="1"/>
      <c r="J378" s="1"/>
      <c r="K378" s="1"/>
      <c r="L378" s="1"/>
    </row>
    <row r="379" spans="1:12" ht="90" customHeight="1" x14ac:dyDescent="0.3">
      <c r="A379" s="6"/>
      <c r="B379" s="6"/>
      <c r="C379" s="6"/>
      <c r="D379" s="6"/>
      <c r="E379" s="6"/>
      <c r="F379" s="6"/>
      <c r="G379" s="6"/>
      <c r="H379" s="1"/>
      <c r="I379" s="1"/>
      <c r="J379" s="1"/>
      <c r="K379" s="1"/>
      <c r="L379" s="1"/>
    </row>
    <row r="380" spans="1:12" ht="90" customHeight="1" x14ac:dyDescent="0.3">
      <c r="A380" s="6"/>
      <c r="B380" s="6"/>
      <c r="C380" s="6"/>
      <c r="D380" s="6"/>
      <c r="E380" s="6"/>
      <c r="F380" s="6"/>
      <c r="G380" s="6"/>
      <c r="H380" s="1"/>
      <c r="I380" s="1"/>
      <c r="J380" s="1"/>
      <c r="K380" s="1"/>
      <c r="L380" s="1"/>
    </row>
    <row r="381" spans="1:12" ht="90" customHeight="1" x14ac:dyDescent="0.3">
      <c r="A381" s="6"/>
      <c r="B381" s="6"/>
      <c r="C381" s="6"/>
      <c r="D381" s="6"/>
      <c r="E381" s="6"/>
      <c r="F381" s="6"/>
      <c r="G381" s="6"/>
      <c r="H381" s="1"/>
      <c r="I381" s="1"/>
      <c r="J381" s="1"/>
      <c r="K381" s="1"/>
      <c r="L381" s="1"/>
    </row>
    <row r="382" spans="1:12" ht="90" customHeight="1" x14ac:dyDescent="0.3">
      <c r="A382" s="5" t="s">
        <v>449</v>
      </c>
      <c r="B382" s="5" t="s">
        <v>450</v>
      </c>
      <c r="C382" s="5" t="s">
        <v>14</v>
      </c>
      <c r="D382" s="7" t="s">
        <v>15</v>
      </c>
      <c r="E382" s="7" t="s">
        <v>16</v>
      </c>
      <c r="F382" s="5" t="s">
        <v>451</v>
      </c>
      <c r="G382" s="5" t="s">
        <v>452</v>
      </c>
      <c r="H382" s="1"/>
      <c r="I382" s="1"/>
      <c r="J382" s="1"/>
      <c r="K382" s="1"/>
      <c r="L382" s="1"/>
    </row>
    <row r="383" spans="1:12" ht="90" customHeight="1" x14ac:dyDescent="0.3">
      <c r="A383" s="6"/>
      <c r="B383" s="6"/>
      <c r="C383" s="6"/>
      <c r="D383" s="6"/>
      <c r="E383" s="6"/>
      <c r="F383" s="6"/>
      <c r="G383" s="6"/>
      <c r="H383" s="1"/>
      <c r="I383" s="1"/>
      <c r="J383" s="1"/>
      <c r="K383" s="1"/>
      <c r="L383" s="1"/>
    </row>
    <row r="384" spans="1:12" ht="90" customHeight="1" x14ac:dyDescent="0.3">
      <c r="A384" s="6"/>
      <c r="B384" s="6"/>
      <c r="C384" s="6"/>
      <c r="D384" s="6"/>
      <c r="E384" s="6"/>
      <c r="F384" s="6"/>
      <c r="G384" s="6"/>
      <c r="H384" s="1"/>
      <c r="I384" s="1"/>
      <c r="J384" s="1"/>
      <c r="K384" s="1"/>
      <c r="L384" s="1"/>
    </row>
    <row r="385" spans="1:12" ht="90" customHeight="1" x14ac:dyDescent="0.3">
      <c r="A385" s="6"/>
      <c r="B385" s="6"/>
      <c r="C385" s="6"/>
      <c r="D385" s="6"/>
      <c r="E385" s="6"/>
      <c r="F385" s="6"/>
      <c r="G385" s="6"/>
      <c r="H385" s="1"/>
      <c r="I385" s="1"/>
      <c r="J385" s="1"/>
      <c r="K385" s="1"/>
      <c r="L385" s="1"/>
    </row>
    <row r="386" spans="1:12" ht="90" customHeight="1" x14ac:dyDescent="0.3">
      <c r="A386" s="6"/>
      <c r="B386" s="6"/>
      <c r="C386" s="6"/>
      <c r="D386" s="6"/>
      <c r="E386" s="6"/>
      <c r="F386" s="6"/>
      <c r="G386" s="6"/>
      <c r="H386" s="1"/>
      <c r="I386" s="1"/>
      <c r="J386" s="1"/>
      <c r="K386" s="1"/>
      <c r="L386" s="1"/>
    </row>
    <row r="387" spans="1:12" ht="90" customHeight="1" x14ac:dyDescent="0.3">
      <c r="A387" s="5" t="s">
        <v>453</v>
      </c>
      <c r="B387" s="5" t="s">
        <v>334</v>
      </c>
      <c r="C387" s="5" t="s">
        <v>291</v>
      </c>
      <c r="D387" s="7" t="s">
        <v>15</v>
      </c>
      <c r="E387" s="7" t="s">
        <v>16</v>
      </c>
      <c r="F387" s="5" t="s">
        <v>454</v>
      </c>
      <c r="G387" s="5" t="s">
        <v>455</v>
      </c>
      <c r="H387" s="2" t="s">
        <v>340</v>
      </c>
      <c r="I387" s="2">
        <v>0.99916481971740723</v>
      </c>
      <c r="J387" s="2" t="s">
        <v>27</v>
      </c>
      <c r="K387" s="2" t="s">
        <v>341</v>
      </c>
      <c r="L387" s="2">
        <v>40</v>
      </c>
    </row>
    <row r="388" spans="1:12" ht="90" customHeight="1" x14ac:dyDescent="0.3">
      <c r="A388" s="6"/>
      <c r="B388" s="6"/>
      <c r="C388" s="6"/>
      <c r="D388" s="6"/>
      <c r="E388" s="6"/>
      <c r="F388" s="6"/>
      <c r="G388" s="6"/>
      <c r="H388" s="2" t="s">
        <v>456</v>
      </c>
      <c r="I388" s="2">
        <v>0.99897217750549316</v>
      </c>
      <c r="J388" s="2" t="s">
        <v>27</v>
      </c>
      <c r="K388" s="2" t="s">
        <v>339</v>
      </c>
      <c r="L388" s="2">
        <v>20</v>
      </c>
    </row>
    <row r="389" spans="1:12" ht="90" customHeight="1" x14ac:dyDescent="0.3">
      <c r="A389" s="6"/>
      <c r="B389" s="6"/>
      <c r="C389" s="6"/>
      <c r="D389" s="6"/>
      <c r="E389" s="6"/>
      <c r="F389" s="6"/>
      <c r="G389" s="6"/>
      <c r="H389" s="2" t="s">
        <v>342</v>
      </c>
      <c r="I389" s="2">
        <v>0.99892163276672363</v>
      </c>
      <c r="J389" s="2" t="s">
        <v>27</v>
      </c>
      <c r="K389" s="2" t="s">
        <v>339</v>
      </c>
      <c r="L389" s="2">
        <v>2</v>
      </c>
    </row>
    <row r="390" spans="1:12" ht="90" customHeight="1" x14ac:dyDescent="0.3">
      <c r="A390" s="6"/>
      <c r="B390" s="6"/>
      <c r="C390" s="6"/>
      <c r="D390" s="6"/>
      <c r="E390" s="6"/>
      <c r="F390" s="6"/>
      <c r="G390" s="6"/>
      <c r="H390" s="1" t="s">
        <v>457</v>
      </c>
      <c r="I390" s="1">
        <v>0.99342197179794312</v>
      </c>
      <c r="J390" s="1" t="s">
        <v>27</v>
      </c>
      <c r="K390" s="1" t="s">
        <v>458</v>
      </c>
      <c r="L390" s="1">
        <v>191</v>
      </c>
    </row>
    <row r="391" spans="1:12" ht="90" customHeight="1" x14ac:dyDescent="0.3">
      <c r="A391" s="6"/>
      <c r="B391" s="6"/>
      <c r="C391" s="6"/>
      <c r="D391" s="6"/>
      <c r="E391" s="6"/>
      <c r="F391" s="6"/>
      <c r="G391" s="6"/>
      <c r="H391" s="1" t="s">
        <v>459</v>
      </c>
      <c r="I391" s="1">
        <v>0.98860257863998413</v>
      </c>
      <c r="J391" s="1" t="s">
        <v>27</v>
      </c>
      <c r="K391" s="1" t="s">
        <v>458</v>
      </c>
      <c r="L391" s="1">
        <v>209</v>
      </c>
    </row>
    <row r="392" spans="1:12" ht="90" customHeight="1" x14ac:dyDescent="0.3">
      <c r="A392" s="5" t="s">
        <v>460</v>
      </c>
      <c r="B392" s="5" t="s">
        <v>331</v>
      </c>
      <c r="C392" s="5" t="s">
        <v>14</v>
      </c>
      <c r="D392" s="7" t="s">
        <v>22</v>
      </c>
      <c r="E392" s="7" t="s">
        <v>23</v>
      </c>
      <c r="F392" s="5" t="s">
        <v>461</v>
      </c>
      <c r="G392" s="5" t="s">
        <v>462</v>
      </c>
      <c r="H392" s="3" t="s">
        <v>463</v>
      </c>
      <c r="I392" s="3">
        <v>0.99120503664016724</v>
      </c>
      <c r="J392" s="3" t="s">
        <v>27</v>
      </c>
      <c r="K392" s="3" t="s">
        <v>331</v>
      </c>
      <c r="L392" s="3">
        <v>1</v>
      </c>
    </row>
    <row r="393" spans="1:12" ht="90" customHeight="1" x14ac:dyDescent="0.3">
      <c r="A393" s="6"/>
      <c r="B393" s="6"/>
      <c r="C393" s="6"/>
      <c r="D393" s="6"/>
      <c r="E393" s="6"/>
      <c r="F393" s="6"/>
      <c r="G393" s="6"/>
      <c r="H393" s="1"/>
      <c r="I393" s="1"/>
      <c r="J393" s="1"/>
      <c r="K393" s="1"/>
      <c r="L393" s="1"/>
    </row>
    <row r="394" spans="1:12" ht="90" customHeight="1" x14ac:dyDescent="0.3">
      <c r="A394" s="6"/>
      <c r="B394" s="6"/>
      <c r="C394" s="6"/>
      <c r="D394" s="6"/>
      <c r="E394" s="6"/>
      <c r="F394" s="6"/>
      <c r="G394" s="6"/>
      <c r="H394" s="1"/>
      <c r="I394" s="1"/>
      <c r="J394" s="1"/>
      <c r="K394" s="1"/>
      <c r="L394" s="1"/>
    </row>
    <row r="395" spans="1:12" ht="90" customHeight="1" x14ac:dyDescent="0.3">
      <c r="A395" s="6"/>
      <c r="B395" s="6"/>
      <c r="C395" s="6"/>
      <c r="D395" s="6"/>
      <c r="E395" s="6"/>
      <c r="F395" s="6"/>
      <c r="G395" s="6"/>
      <c r="H395" s="1"/>
      <c r="I395" s="1"/>
      <c r="J395" s="1"/>
      <c r="K395" s="1"/>
      <c r="L395" s="1"/>
    </row>
    <row r="396" spans="1:12" ht="90" customHeight="1" x14ac:dyDescent="0.3">
      <c r="A396" s="6"/>
      <c r="B396" s="6"/>
      <c r="C396" s="6"/>
      <c r="D396" s="6"/>
      <c r="E396" s="6"/>
      <c r="F396" s="6"/>
      <c r="G396" s="6"/>
      <c r="H396" s="1"/>
      <c r="I396" s="1"/>
      <c r="J396" s="1"/>
      <c r="K396" s="1"/>
      <c r="L396" s="1"/>
    </row>
    <row r="397" spans="1:12" ht="90" customHeight="1" x14ac:dyDescent="0.3">
      <c r="A397" s="5" t="s">
        <v>464</v>
      </c>
      <c r="B397" s="5" t="s">
        <v>232</v>
      </c>
      <c r="C397" s="5" t="s">
        <v>401</v>
      </c>
      <c r="D397" s="7" t="s">
        <v>22</v>
      </c>
      <c r="E397" s="7" t="s">
        <v>23</v>
      </c>
      <c r="F397" s="5" t="s">
        <v>465</v>
      </c>
      <c r="G397" s="5" t="s">
        <v>466</v>
      </c>
      <c r="H397" s="3" t="s">
        <v>238</v>
      </c>
      <c r="I397" s="3">
        <v>0.99719065427780151</v>
      </c>
      <c r="J397" s="3" t="s">
        <v>27</v>
      </c>
      <c r="K397" s="3" t="s">
        <v>232</v>
      </c>
      <c r="L397" s="3">
        <v>3</v>
      </c>
    </row>
    <row r="398" spans="1:12" ht="90" customHeight="1" x14ac:dyDescent="0.3">
      <c r="A398" s="6"/>
      <c r="B398" s="6"/>
      <c r="C398" s="6"/>
      <c r="D398" s="6"/>
      <c r="E398" s="6"/>
      <c r="F398" s="6"/>
      <c r="G398" s="6"/>
      <c r="H398" s="3" t="s">
        <v>236</v>
      </c>
      <c r="I398" s="3">
        <v>0.9765966534614563</v>
      </c>
      <c r="J398" s="3" t="s">
        <v>27</v>
      </c>
      <c r="K398" s="3" t="s">
        <v>232</v>
      </c>
      <c r="L398" s="3">
        <v>2</v>
      </c>
    </row>
    <row r="399" spans="1:12" ht="90" customHeight="1" x14ac:dyDescent="0.3">
      <c r="A399" s="6"/>
      <c r="B399" s="6"/>
      <c r="C399" s="6"/>
      <c r="D399" s="6"/>
      <c r="E399" s="6"/>
      <c r="F399" s="6"/>
      <c r="G399" s="6"/>
      <c r="H399" s="4" t="s">
        <v>237</v>
      </c>
      <c r="I399" s="4">
        <v>0.94010376930236816</v>
      </c>
      <c r="J399" s="4" t="s">
        <v>27</v>
      </c>
      <c r="K399" s="4" t="s">
        <v>232</v>
      </c>
      <c r="L399" s="4">
        <v>4</v>
      </c>
    </row>
    <row r="400" spans="1:12" ht="90" customHeight="1" x14ac:dyDescent="0.3">
      <c r="A400" s="6"/>
      <c r="B400" s="6"/>
      <c r="C400" s="6"/>
      <c r="D400" s="6"/>
      <c r="E400" s="6"/>
      <c r="F400" s="6"/>
      <c r="G400" s="6"/>
      <c r="H400" s="1"/>
      <c r="I400" s="1"/>
      <c r="J400" s="1"/>
      <c r="K400" s="1"/>
      <c r="L400" s="1"/>
    </row>
    <row r="401" spans="1:12" ht="90" customHeight="1" x14ac:dyDescent="0.3">
      <c r="A401" s="6"/>
      <c r="B401" s="6"/>
      <c r="C401" s="6"/>
      <c r="D401" s="6"/>
      <c r="E401" s="6"/>
      <c r="F401" s="6"/>
      <c r="G401" s="6"/>
      <c r="H401" s="1"/>
      <c r="I401" s="1"/>
      <c r="J401" s="1"/>
      <c r="K401" s="1"/>
      <c r="L401" s="1"/>
    </row>
    <row r="402" spans="1:12" ht="90" customHeight="1" x14ac:dyDescent="0.3">
      <c r="A402" s="5" t="s">
        <v>467</v>
      </c>
      <c r="B402" s="5" t="s">
        <v>377</v>
      </c>
      <c r="C402" s="5" t="s">
        <v>408</v>
      </c>
      <c r="D402" s="7" t="s">
        <v>15</v>
      </c>
      <c r="E402" s="7" t="s">
        <v>16</v>
      </c>
      <c r="F402" s="5" t="s">
        <v>468</v>
      </c>
      <c r="G402" s="5" t="s">
        <v>469</v>
      </c>
      <c r="H402" s="2" t="s">
        <v>470</v>
      </c>
      <c r="I402" s="2">
        <v>0.99714547395704911</v>
      </c>
      <c r="J402" s="2" t="s">
        <v>27</v>
      </c>
      <c r="K402" s="2" t="s">
        <v>187</v>
      </c>
      <c r="L402" s="2">
        <v>41</v>
      </c>
    </row>
    <row r="403" spans="1:12" ht="90" customHeight="1" x14ac:dyDescent="0.3">
      <c r="A403" s="6"/>
      <c r="B403" s="6"/>
      <c r="C403" s="6"/>
      <c r="D403" s="6"/>
      <c r="E403" s="6"/>
      <c r="F403" s="6"/>
      <c r="G403" s="6"/>
      <c r="H403" s="2" t="s">
        <v>471</v>
      </c>
      <c r="I403" s="2">
        <v>0.99583721160888672</v>
      </c>
      <c r="J403" s="2" t="s">
        <v>27</v>
      </c>
      <c r="K403" s="2" t="s">
        <v>362</v>
      </c>
      <c r="L403" s="2">
        <v>61</v>
      </c>
    </row>
    <row r="404" spans="1:12" ht="90" customHeight="1" x14ac:dyDescent="0.3">
      <c r="A404" s="6"/>
      <c r="B404" s="6"/>
      <c r="C404" s="6"/>
      <c r="D404" s="6"/>
      <c r="E404" s="6"/>
      <c r="F404" s="6"/>
      <c r="G404" s="6"/>
      <c r="H404" s="2" t="s">
        <v>472</v>
      </c>
      <c r="I404" s="2">
        <v>0.98739778995513916</v>
      </c>
      <c r="J404" s="2" t="s">
        <v>27</v>
      </c>
      <c r="K404" s="2" t="s">
        <v>473</v>
      </c>
      <c r="L404" s="2">
        <v>30</v>
      </c>
    </row>
    <row r="405" spans="1:12" ht="90" customHeight="1" x14ac:dyDescent="0.3">
      <c r="A405" s="6"/>
      <c r="B405" s="6"/>
      <c r="C405" s="6"/>
      <c r="D405" s="6"/>
      <c r="E405" s="6"/>
      <c r="F405" s="6"/>
      <c r="G405" s="6"/>
      <c r="H405" s="1" t="s">
        <v>474</v>
      </c>
      <c r="I405" s="1">
        <v>0.98436117172241211</v>
      </c>
      <c r="J405" s="1" t="s">
        <v>27</v>
      </c>
      <c r="K405" s="1" t="s">
        <v>182</v>
      </c>
      <c r="L405" s="1">
        <v>68</v>
      </c>
    </row>
    <row r="406" spans="1:12" ht="90" customHeight="1" x14ac:dyDescent="0.3">
      <c r="A406" s="6"/>
      <c r="B406" s="6"/>
      <c r="C406" s="6"/>
      <c r="D406" s="6"/>
      <c r="E406" s="6"/>
      <c r="F406" s="6"/>
      <c r="G406" s="6"/>
      <c r="H406" s="1" t="s">
        <v>475</v>
      </c>
      <c r="I406" s="1">
        <v>0.97945761680603027</v>
      </c>
      <c r="J406" s="1" t="s">
        <v>27</v>
      </c>
      <c r="K406" s="1" t="s">
        <v>187</v>
      </c>
      <c r="L406" s="1">
        <v>33</v>
      </c>
    </row>
    <row r="407" spans="1:12" ht="90" customHeight="1" x14ac:dyDescent="0.3">
      <c r="A407" s="5" t="s">
        <v>476</v>
      </c>
      <c r="B407" s="5" t="s">
        <v>20</v>
      </c>
      <c r="C407" s="5" t="s">
        <v>21</v>
      </c>
      <c r="D407" s="7" t="s">
        <v>22</v>
      </c>
      <c r="E407" s="7" t="s">
        <v>23</v>
      </c>
      <c r="F407" s="5" t="s">
        <v>477</v>
      </c>
      <c r="G407" s="5" t="s">
        <v>478</v>
      </c>
      <c r="H407" s="3" t="s">
        <v>26</v>
      </c>
      <c r="I407" s="3">
        <v>0.98912937771203158</v>
      </c>
      <c r="J407" s="3" t="s">
        <v>27</v>
      </c>
      <c r="K407" s="3" t="s">
        <v>20</v>
      </c>
      <c r="L407" s="3">
        <v>3</v>
      </c>
    </row>
    <row r="408" spans="1:12" ht="90" customHeight="1" x14ac:dyDescent="0.3">
      <c r="A408" s="6"/>
      <c r="B408" s="6"/>
      <c r="C408" s="6"/>
      <c r="D408" s="6"/>
      <c r="E408" s="6"/>
      <c r="F408" s="6"/>
      <c r="G408" s="6"/>
      <c r="H408" s="3" t="s">
        <v>28</v>
      </c>
      <c r="I408" s="3">
        <v>0.95844632186660472</v>
      </c>
      <c r="J408" s="3" t="s">
        <v>27</v>
      </c>
      <c r="K408" s="3" t="s">
        <v>20</v>
      </c>
      <c r="L408" s="3">
        <v>1</v>
      </c>
    </row>
    <row r="409" spans="1:12" ht="90" customHeight="1" x14ac:dyDescent="0.3">
      <c r="A409" s="6"/>
      <c r="B409" s="6"/>
      <c r="C409" s="6"/>
      <c r="D409" s="6"/>
      <c r="E409" s="6"/>
      <c r="F409" s="6"/>
      <c r="G409" s="6"/>
      <c r="H409" s="3" t="s">
        <v>29</v>
      </c>
      <c r="I409" s="3">
        <v>0.87172071319195943</v>
      </c>
      <c r="J409" s="3" t="s">
        <v>27</v>
      </c>
      <c r="K409" s="3" t="s">
        <v>20</v>
      </c>
      <c r="L409" s="3">
        <v>2</v>
      </c>
    </row>
    <row r="410" spans="1:12" ht="90" customHeight="1" x14ac:dyDescent="0.3">
      <c r="A410" s="6"/>
      <c r="B410" s="6"/>
      <c r="C410" s="6"/>
      <c r="D410" s="6"/>
      <c r="E410" s="6"/>
      <c r="F410" s="6"/>
      <c r="G410" s="6"/>
      <c r="H410" s="1"/>
      <c r="I410" s="1"/>
      <c r="J410" s="1"/>
      <c r="K410" s="1"/>
      <c r="L410" s="1"/>
    </row>
    <row r="411" spans="1:12" ht="90" customHeight="1" x14ac:dyDescent="0.3">
      <c r="A411" s="6"/>
      <c r="B411" s="6"/>
      <c r="C411" s="6"/>
      <c r="D411" s="6"/>
      <c r="E411" s="6"/>
      <c r="F411" s="6"/>
      <c r="G411" s="6"/>
      <c r="H411" s="1"/>
      <c r="I411" s="1"/>
      <c r="J411" s="1"/>
      <c r="K411" s="1"/>
      <c r="L411" s="1"/>
    </row>
    <row r="412" spans="1:12" ht="90" customHeight="1" x14ac:dyDescent="0.3">
      <c r="A412" s="5" t="s">
        <v>479</v>
      </c>
      <c r="B412" s="5" t="s">
        <v>132</v>
      </c>
      <c r="C412" s="5" t="s">
        <v>363</v>
      </c>
      <c r="D412" s="7" t="s">
        <v>22</v>
      </c>
      <c r="E412" s="7" t="s">
        <v>16</v>
      </c>
      <c r="F412" s="5" t="s">
        <v>480</v>
      </c>
      <c r="G412" s="5" t="s">
        <v>481</v>
      </c>
      <c r="H412" s="4" t="s">
        <v>137</v>
      </c>
      <c r="I412" s="4">
        <v>0.93964559736801001</v>
      </c>
      <c r="J412" s="4" t="s">
        <v>27</v>
      </c>
      <c r="K412" s="4" t="s">
        <v>132</v>
      </c>
      <c r="L412" s="4">
        <v>26</v>
      </c>
    </row>
    <row r="413" spans="1:12" ht="90" customHeight="1" x14ac:dyDescent="0.3">
      <c r="A413" s="6"/>
      <c r="B413" s="6"/>
      <c r="C413" s="6"/>
      <c r="D413" s="6"/>
      <c r="E413" s="6"/>
      <c r="F413" s="6"/>
      <c r="G413" s="6"/>
      <c r="H413" s="1"/>
      <c r="I413" s="1"/>
      <c r="J413" s="1"/>
      <c r="K413" s="1"/>
      <c r="L413" s="1"/>
    </row>
    <row r="414" spans="1:12" ht="90" customHeight="1" x14ac:dyDescent="0.3">
      <c r="A414" s="6"/>
      <c r="B414" s="6"/>
      <c r="C414" s="6"/>
      <c r="D414" s="6"/>
      <c r="E414" s="6"/>
      <c r="F414" s="6"/>
      <c r="G414" s="6"/>
      <c r="H414" s="1"/>
      <c r="I414" s="1"/>
      <c r="J414" s="1"/>
      <c r="K414" s="1"/>
      <c r="L414" s="1"/>
    </row>
    <row r="415" spans="1:12" ht="90" customHeight="1" x14ac:dyDescent="0.3">
      <c r="A415" s="6"/>
      <c r="B415" s="6"/>
      <c r="C415" s="6"/>
      <c r="D415" s="6"/>
      <c r="E415" s="6"/>
      <c r="F415" s="6"/>
      <c r="G415" s="6"/>
      <c r="H415" s="1"/>
      <c r="I415" s="1"/>
      <c r="J415" s="1"/>
      <c r="K415" s="1"/>
      <c r="L415" s="1"/>
    </row>
    <row r="416" spans="1:12" ht="90" customHeight="1" x14ac:dyDescent="0.3">
      <c r="A416" s="6"/>
      <c r="B416" s="6"/>
      <c r="C416" s="6"/>
      <c r="D416" s="6"/>
      <c r="E416" s="6"/>
      <c r="F416" s="6"/>
      <c r="G416" s="6"/>
      <c r="H416" s="1"/>
      <c r="I416" s="1"/>
      <c r="J416" s="1"/>
      <c r="K416" s="1"/>
      <c r="L416" s="1"/>
    </row>
    <row r="417" spans="1:12" ht="90" customHeight="1" x14ac:dyDescent="0.3">
      <c r="A417" s="5" t="s">
        <v>482</v>
      </c>
      <c r="B417" s="5" t="s">
        <v>483</v>
      </c>
      <c r="C417" s="5" t="s">
        <v>14</v>
      </c>
      <c r="D417" s="7" t="s">
        <v>22</v>
      </c>
      <c r="E417" s="7" t="s">
        <v>23</v>
      </c>
      <c r="F417" s="5" t="s">
        <v>484</v>
      </c>
      <c r="G417" s="5" t="s">
        <v>485</v>
      </c>
      <c r="H417" s="3" t="s">
        <v>486</v>
      </c>
      <c r="I417" s="3">
        <v>0.99989950656890847</v>
      </c>
      <c r="J417" s="3" t="s">
        <v>27</v>
      </c>
      <c r="K417" s="3" t="s">
        <v>483</v>
      </c>
      <c r="L417" s="3">
        <v>1</v>
      </c>
    </row>
    <row r="418" spans="1:12" ht="90" customHeight="1" x14ac:dyDescent="0.3">
      <c r="A418" s="6"/>
      <c r="B418" s="6"/>
      <c r="C418" s="6"/>
      <c r="D418" s="6"/>
      <c r="E418" s="6"/>
      <c r="F418" s="6"/>
      <c r="G418" s="6"/>
      <c r="H418" s="2" t="s">
        <v>487</v>
      </c>
      <c r="I418" s="2">
        <v>0.97830861806869507</v>
      </c>
      <c r="J418" s="2" t="s">
        <v>27</v>
      </c>
      <c r="K418" s="2" t="s">
        <v>488</v>
      </c>
      <c r="L418" s="2">
        <v>12</v>
      </c>
    </row>
    <row r="419" spans="1:12" ht="90" customHeight="1" x14ac:dyDescent="0.3">
      <c r="A419" s="6"/>
      <c r="B419" s="6"/>
      <c r="C419" s="6"/>
      <c r="D419" s="6"/>
      <c r="E419" s="6"/>
      <c r="F419" s="6"/>
      <c r="G419" s="6"/>
      <c r="H419" s="2" t="s">
        <v>489</v>
      </c>
      <c r="I419" s="2">
        <v>0.95759755373001099</v>
      </c>
      <c r="J419" s="2" t="s">
        <v>27</v>
      </c>
      <c r="K419" s="2" t="s">
        <v>417</v>
      </c>
      <c r="L419" s="2">
        <v>7</v>
      </c>
    </row>
    <row r="420" spans="1:12" ht="90" customHeight="1" x14ac:dyDescent="0.3">
      <c r="A420" s="6"/>
      <c r="B420" s="6"/>
      <c r="C420" s="6"/>
      <c r="D420" s="6"/>
      <c r="E420" s="6"/>
      <c r="F420" s="6"/>
      <c r="G420" s="6"/>
      <c r="H420" s="1" t="s">
        <v>490</v>
      </c>
      <c r="I420" s="1">
        <v>0.95337910170506135</v>
      </c>
      <c r="J420" s="1" t="s">
        <v>83</v>
      </c>
      <c r="K420" s="1" t="s">
        <v>491</v>
      </c>
      <c r="L420" s="1">
        <v>2</v>
      </c>
    </row>
    <row r="421" spans="1:12" ht="90" customHeight="1" x14ac:dyDescent="0.3">
      <c r="A421" s="6"/>
      <c r="B421" s="6"/>
      <c r="C421" s="6"/>
      <c r="D421" s="6"/>
      <c r="E421" s="6"/>
      <c r="F421" s="6"/>
      <c r="G421" s="6"/>
      <c r="H421" s="1" t="s">
        <v>492</v>
      </c>
      <c r="I421" s="1">
        <v>0.87769694074145455</v>
      </c>
      <c r="J421" s="1" t="s">
        <v>27</v>
      </c>
      <c r="K421" s="1" t="s">
        <v>488</v>
      </c>
      <c r="L421" s="1">
        <v>4</v>
      </c>
    </row>
    <row r="422" spans="1:12" ht="90" customHeight="1" x14ac:dyDescent="0.3">
      <c r="A422" s="5" t="s">
        <v>493</v>
      </c>
      <c r="B422" s="5" t="s">
        <v>331</v>
      </c>
      <c r="C422" s="5" t="s">
        <v>14</v>
      </c>
      <c r="D422" s="7" t="s">
        <v>22</v>
      </c>
      <c r="E422" s="7" t="s">
        <v>23</v>
      </c>
      <c r="F422" s="5" t="s">
        <v>494</v>
      </c>
      <c r="G422" s="5" t="s">
        <v>495</v>
      </c>
      <c r="H422" s="3" t="s">
        <v>463</v>
      </c>
      <c r="I422" s="3">
        <v>0.99304789304733276</v>
      </c>
      <c r="J422" s="3" t="s">
        <v>27</v>
      </c>
      <c r="K422" s="3" t="s">
        <v>331</v>
      </c>
      <c r="L422" s="3">
        <v>1</v>
      </c>
    </row>
    <row r="423" spans="1:12" ht="90" customHeight="1" x14ac:dyDescent="0.3">
      <c r="A423" s="6"/>
      <c r="B423" s="6"/>
      <c r="C423" s="6"/>
      <c r="D423" s="6"/>
      <c r="E423" s="6"/>
      <c r="F423" s="6"/>
      <c r="G423" s="6"/>
      <c r="H423" s="1"/>
      <c r="I423" s="1"/>
      <c r="J423" s="1"/>
      <c r="K423" s="1"/>
      <c r="L423" s="1"/>
    </row>
    <row r="424" spans="1:12" ht="90" customHeight="1" x14ac:dyDescent="0.3">
      <c r="A424" s="6"/>
      <c r="B424" s="6"/>
      <c r="C424" s="6"/>
      <c r="D424" s="6"/>
      <c r="E424" s="6"/>
      <c r="F424" s="6"/>
      <c r="G424" s="6"/>
      <c r="H424" s="1"/>
      <c r="I424" s="1"/>
      <c r="J424" s="1"/>
      <c r="K424" s="1"/>
      <c r="L424" s="1"/>
    </row>
    <row r="425" spans="1:12" ht="90" customHeight="1" x14ac:dyDescent="0.3">
      <c r="A425" s="6"/>
      <c r="B425" s="6"/>
      <c r="C425" s="6"/>
      <c r="D425" s="6"/>
      <c r="E425" s="6"/>
      <c r="F425" s="6"/>
      <c r="G425" s="6"/>
      <c r="H425" s="1"/>
      <c r="I425" s="1"/>
      <c r="J425" s="1"/>
      <c r="K425" s="1"/>
      <c r="L425" s="1"/>
    </row>
    <row r="426" spans="1:12" ht="90" customHeight="1" x14ac:dyDescent="0.3">
      <c r="A426" s="6"/>
      <c r="B426" s="6"/>
      <c r="C426" s="6"/>
      <c r="D426" s="6"/>
      <c r="E426" s="6"/>
      <c r="F426" s="6"/>
      <c r="G426" s="6"/>
      <c r="H426" s="1"/>
      <c r="I426" s="1"/>
      <c r="J426" s="1"/>
      <c r="K426" s="1"/>
      <c r="L426" s="1"/>
    </row>
    <row r="427" spans="1:12" ht="90" customHeight="1" x14ac:dyDescent="0.3">
      <c r="A427" s="5" t="s">
        <v>429</v>
      </c>
      <c r="B427" s="5" t="s">
        <v>20</v>
      </c>
      <c r="C427" s="5" t="s">
        <v>21</v>
      </c>
      <c r="D427" s="7" t="s">
        <v>22</v>
      </c>
      <c r="E427" s="7" t="s">
        <v>23</v>
      </c>
      <c r="F427" s="5" t="s">
        <v>496</v>
      </c>
      <c r="G427" s="5" t="s">
        <v>431</v>
      </c>
      <c r="H427" s="3" t="s">
        <v>28</v>
      </c>
      <c r="I427" s="3">
        <v>0.99836919055784634</v>
      </c>
      <c r="J427" s="3" t="s">
        <v>27</v>
      </c>
      <c r="K427" s="3" t="s">
        <v>20</v>
      </c>
      <c r="L427" s="3">
        <v>1</v>
      </c>
    </row>
    <row r="428" spans="1:12" ht="90" customHeight="1" x14ac:dyDescent="0.3">
      <c r="A428" s="6"/>
      <c r="B428" s="6"/>
      <c r="C428" s="6"/>
      <c r="D428" s="6"/>
      <c r="E428" s="6"/>
      <c r="F428" s="6"/>
      <c r="G428" s="6"/>
      <c r="H428" s="3" t="s">
        <v>26</v>
      </c>
      <c r="I428" s="3">
        <v>0.99552068603571464</v>
      </c>
      <c r="J428" s="3" t="s">
        <v>27</v>
      </c>
      <c r="K428" s="3" t="s">
        <v>20</v>
      </c>
      <c r="L428" s="3">
        <v>3</v>
      </c>
    </row>
    <row r="429" spans="1:12" ht="90" customHeight="1" x14ac:dyDescent="0.3">
      <c r="A429" s="6"/>
      <c r="B429" s="6"/>
      <c r="C429" s="6"/>
      <c r="D429" s="6"/>
      <c r="E429" s="6"/>
      <c r="F429" s="6"/>
      <c r="G429" s="6"/>
      <c r="H429" s="3" t="s">
        <v>29</v>
      </c>
      <c r="I429" s="3">
        <v>0.91511580892208311</v>
      </c>
      <c r="J429" s="3" t="s">
        <v>27</v>
      </c>
      <c r="K429" s="3" t="s">
        <v>20</v>
      </c>
      <c r="L429" s="3">
        <v>2</v>
      </c>
    </row>
    <row r="430" spans="1:12" ht="90" customHeight="1" x14ac:dyDescent="0.3">
      <c r="A430" s="6"/>
      <c r="B430" s="6"/>
      <c r="C430" s="6"/>
      <c r="D430" s="6"/>
      <c r="E430" s="6"/>
      <c r="F430" s="6"/>
      <c r="G430" s="6"/>
      <c r="H430" s="1"/>
      <c r="I430" s="1"/>
      <c r="J430" s="1"/>
      <c r="K430" s="1"/>
      <c r="L430" s="1"/>
    </row>
    <row r="431" spans="1:12" ht="90" customHeight="1" x14ac:dyDescent="0.3">
      <c r="A431" s="6"/>
      <c r="B431" s="6"/>
      <c r="C431" s="6"/>
      <c r="D431" s="6"/>
      <c r="E431" s="6"/>
      <c r="F431" s="6"/>
      <c r="G431" s="6"/>
      <c r="H431" s="1"/>
      <c r="I431" s="1"/>
      <c r="J431" s="1"/>
      <c r="K431" s="1"/>
      <c r="L431" s="1"/>
    </row>
    <row r="432" spans="1:12" ht="90" customHeight="1" x14ac:dyDescent="0.3">
      <c r="A432" s="5" t="s">
        <v>497</v>
      </c>
      <c r="B432" s="5" t="s">
        <v>395</v>
      </c>
      <c r="C432" s="5" t="s">
        <v>396</v>
      </c>
      <c r="D432" s="7" t="s">
        <v>22</v>
      </c>
      <c r="E432" s="7" t="s">
        <v>23</v>
      </c>
      <c r="F432" s="5" t="s">
        <v>498</v>
      </c>
      <c r="G432" s="5" t="s">
        <v>499</v>
      </c>
      <c r="H432" s="3" t="s">
        <v>399</v>
      </c>
      <c r="I432" s="3">
        <v>0.99637072139449878</v>
      </c>
      <c r="J432" s="3" t="s">
        <v>27</v>
      </c>
      <c r="K432" s="3" t="s">
        <v>395</v>
      </c>
      <c r="L432" s="3">
        <v>44</v>
      </c>
    </row>
    <row r="433" spans="1:12" ht="90" customHeight="1" x14ac:dyDescent="0.3">
      <c r="A433" s="6"/>
      <c r="B433" s="6"/>
      <c r="C433" s="6"/>
      <c r="D433" s="6"/>
      <c r="E433" s="6"/>
      <c r="F433" s="6"/>
      <c r="G433" s="6"/>
      <c r="H433" s="1"/>
      <c r="I433" s="1"/>
      <c r="J433" s="1"/>
      <c r="K433" s="1"/>
      <c r="L433" s="1"/>
    </row>
    <row r="434" spans="1:12" ht="90" customHeight="1" x14ac:dyDescent="0.3">
      <c r="A434" s="6"/>
      <c r="B434" s="6"/>
      <c r="C434" s="6"/>
      <c r="D434" s="6"/>
      <c r="E434" s="6"/>
      <c r="F434" s="6"/>
      <c r="G434" s="6"/>
      <c r="H434" s="1"/>
      <c r="I434" s="1"/>
      <c r="J434" s="1"/>
      <c r="K434" s="1"/>
      <c r="L434" s="1"/>
    </row>
    <row r="435" spans="1:12" ht="90" customHeight="1" x14ac:dyDescent="0.3">
      <c r="A435" s="6"/>
      <c r="B435" s="6"/>
      <c r="C435" s="6"/>
      <c r="D435" s="6"/>
      <c r="E435" s="6"/>
      <c r="F435" s="6"/>
      <c r="G435" s="6"/>
      <c r="H435" s="1"/>
      <c r="I435" s="1"/>
      <c r="J435" s="1"/>
      <c r="K435" s="1"/>
      <c r="L435" s="1"/>
    </row>
    <row r="436" spans="1:12" ht="90" customHeight="1" x14ac:dyDescent="0.3">
      <c r="A436" s="6"/>
      <c r="B436" s="6"/>
      <c r="C436" s="6"/>
      <c r="D436" s="6"/>
      <c r="E436" s="6"/>
      <c r="F436" s="6"/>
      <c r="G436" s="6"/>
      <c r="H436" s="1"/>
      <c r="I436" s="1"/>
      <c r="J436" s="1"/>
      <c r="K436" s="1"/>
      <c r="L436" s="1"/>
    </row>
    <row r="437" spans="1:12" ht="90" customHeight="1" x14ac:dyDescent="0.3">
      <c r="A437" s="5" t="s">
        <v>500</v>
      </c>
      <c r="B437" s="5" t="s">
        <v>232</v>
      </c>
      <c r="C437" s="5" t="s">
        <v>401</v>
      </c>
      <c r="D437" s="7" t="s">
        <v>22</v>
      </c>
      <c r="E437" s="7" t="s">
        <v>23</v>
      </c>
      <c r="F437" s="5" t="s">
        <v>501</v>
      </c>
      <c r="G437" s="5" t="s">
        <v>502</v>
      </c>
      <c r="H437" s="3" t="s">
        <v>238</v>
      </c>
      <c r="I437" s="3">
        <v>0.99951684474945068</v>
      </c>
      <c r="J437" s="3" t="s">
        <v>27</v>
      </c>
      <c r="K437" s="3" t="s">
        <v>232</v>
      </c>
      <c r="L437" s="3">
        <v>3</v>
      </c>
    </row>
    <row r="438" spans="1:12" ht="90" customHeight="1" x14ac:dyDescent="0.3">
      <c r="A438" s="6"/>
      <c r="B438" s="6"/>
      <c r="C438" s="6"/>
      <c r="D438" s="6"/>
      <c r="E438" s="6"/>
      <c r="F438" s="6"/>
      <c r="G438" s="6"/>
      <c r="H438" s="3" t="s">
        <v>326</v>
      </c>
      <c r="I438" s="3">
        <v>0.99943822622299194</v>
      </c>
      <c r="J438" s="3" t="s">
        <v>27</v>
      </c>
      <c r="K438" s="3" t="s">
        <v>232</v>
      </c>
      <c r="L438" s="3">
        <v>2</v>
      </c>
    </row>
    <row r="439" spans="1:12" ht="90" customHeight="1" x14ac:dyDescent="0.3">
      <c r="A439" s="6"/>
      <c r="B439" s="6"/>
      <c r="C439" s="6"/>
      <c r="D439" s="6"/>
      <c r="E439" s="6"/>
      <c r="F439" s="6"/>
      <c r="G439" s="6"/>
      <c r="H439" s="3" t="s">
        <v>237</v>
      </c>
      <c r="I439" s="3">
        <v>0.99869543313980103</v>
      </c>
      <c r="J439" s="3" t="s">
        <v>27</v>
      </c>
      <c r="K439" s="3" t="s">
        <v>232</v>
      </c>
      <c r="L439" s="3">
        <v>4</v>
      </c>
    </row>
    <row r="440" spans="1:12" ht="90" customHeight="1" x14ac:dyDescent="0.3">
      <c r="A440" s="6"/>
      <c r="B440" s="6"/>
      <c r="C440" s="6"/>
      <c r="D440" s="6"/>
      <c r="E440" s="6"/>
      <c r="F440" s="6"/>
      <c r="G440" s="6"/>
      <c r="H440" s="1" t="s">
        <v>404</v>
      </c>
      <c r="I440" s="1">
        <v>0.95424167582043662</v>
      </c>
      <c r="J440" s="1" t="s">
        <v>27</v>
      </c>
      <c r="K440" s="1" t="s">
        <v>262</v>
      </c>
      <c r="L440" s="1">
        <v>22</v>
      </c>
    </row>
    <row r="441" spans="1:12" ht="90" customHeight="1" x14ac:dyDescent="0.3">
      <c r="A441" s="6"/>
      <c r="B441" s="6"/>
      <c r="C441" s="6"/>
      <c r="D441" s="6"/>
      <c r="E441" s="6"/>
      <c r="F441" s="6"/>
      <c r="G441" s="6"/>
      <c r="H441" s="1" t="s">
        <v>503</v>
      </c>
      <c r="I441" s="1">
        <v>0.95005746228562504</v>
      </c>
      <c r="J441" s="1" t="s">
        <v>83</v>
      </c>
      <c r="K441" s="1" t="s">
        <v>406</v>
      </c>
      <c r="L441" s="1">
        <v>11</v>
      </c>
    </row>
    <row r="442" spans="1:12" ht="90" customHeight="1" x14ac:dyDescent="0.3">
      <c r="A442" s="5" t="s">
        <v>504</v>
      </c>
      <c r="B442" s="5" t="s">
        <v>505</v>
      </c>
      <c r="C442" s="5" t="s">
        <v>506</v>
      </c>
      <c r="D442" s="7" t="s">
        <v>22</v>
      </c>
      <c r="E442" s="7" t="s">
        <v>23</v>
      </c>
      <c r="F442" s="5" t="s">
        <v>507</v>
      </c>
      <c r="G442" s="5" t="s">
        <v>508</v>
      </c>
      <c r="H442" s="3" t="s">
        <v>509</v>
      </c>
      <c r="I442" s="3">
        <v>0.99929050594375313</v>
      </c>
      <c r="J442" s="3" t="s">
        <v>27</v>
      </c>
      <c r="K442" s="3" t="s">
        <v>505</v>
      </c>
      <c r="L442" s="3">
        <v>2</v>
      </c>
    </row>
    <row r="443" spans="1:12" ht="90" customHeight="1" x14ac:dyDescent="0.3">
      <c r="A443" s="6"/>
      <c r="B443" s="6"/>
      <c r="C443" s="6"/>
      <c r="D443" s="6"/>
      <c r="E443" s="6"/>
      <c r="F443" s="6"/>
      <c r="G443" s="6"/>
      <c r="H443" s="3" t="s">
        <v>510</v>
      </c>
      <c r="I443" s="3">
        <v>0.99913193023278779</v>
      </c>
      <c r="J443" s="3" t="s">
        <v>27</v>
      </c>
      <c r="K443" s="3" t="s">
        <v>505</v>
      </c>
      <c r="L443" s="3">
        <v>3</v>
      </c>
    </row>
    <row r="444" spans="1:12" ht="90" customHeight="1" x14ac:dyDescent="0.3">
      <c r="A444" s="6"/>
      <c r="B444" s="6"/>
      <c r="C444" s="6"/>
      <c r="D444" s="6"/>
      <c r="E444" s="6"/>
      <c r="F444" s="6"/>
      <c r="G444" s="6"/>
      <c r="H444" s="3" t="s">
        <v>511</v>
      </c>
      <c r="I444" s="3">
        <v>0.97365552186965942</v>
      </c>
      <c r="J444" s="3" t="s">
        <v>27</v>
      </c>
      <c r="K444" s="3" t="s">
        <v>505</v>
      </c>
      <c r="L444" s="3">
        <v>4</v>
      </c>
    </row>
    <row r="445" spans="1:12" ht="90" customHeight="1" x14ac:dyDescent="0.3">
      <c r="A445" s="6"/>
      <c r="B445" s="6"/>
      <c r="C445" s="6"/>
      <c r="D445" s="6"/>
      <c r="E445" s="6"/>
      <c r="F445" s="6"/>
      <c r="G445" s="6"/>
      <c r="H445" s="4" t="s">
        <v>512</v>
      </c>
      <c r="I445" s="4">
        <v>0.80607002973556519</v>
      </c>
      <c r="J445" s="4" t="s">
        <v>27</v>
      </c>
      <c r="K445" s="4" t="s">
        <v>505</v>
      </c>
      <c r="L445" s="4">
        <v>1</v>
      </c>
    </row>
    <row r="446" spans="1:12" ht="90" customHeight="1" x14ac:dyDescent="0.3">
      <c r="A446" s="6"/>
      <c r="B446" s="6"/>
      <c r="C446" s="6"/>
      <c r="D446" s="6"/>
      <c r="E446" s="6"/>
      <c r="F446" s="6"/>
      <c r="G446" s="6"/>
      <c r="H446" s="1"/>
      <c r="I446" s="1"/>
      <c r="J446" s="1"/>
      <c r="K446" s="1"/>
      <c r="L446" s="1"/>
    </row>
    <row r="447" spans="1:12" ht="90" customHeight="1" x14ac:dyDescent="0.3">
      <c r="A447" s="5" t="s">
        <v>434</v>
      </c>
      <c r="B447" s="5" t="s">
        <v>132</v>
      </c>
      <c r="C447" s="5" t="s">
        <v>363</v>
      </c>
      <c r="D447" s="7" t="s">
        <v>22</v>
      </c>
      <c r="E447" s="7" t="s">
        <v>23</v>
      </c>
      <c r="F447" s="5" t="s">
        <v>513</v>
      </c>
      <c r="G447" s="5" t="s">
        <v>436</v>
      </c>
      <c r="H447" s="3" t="s">
        <v>437</v>
      </c>
      <c r="I447" s="3">
        <v>0.99980670213699341</v>
      </c>
      <c r="J447" s="3" t="s">
        <v>27</v>
      </c>
      <c r="K447" s="3" t="s">
        <v>132</v>
      </c>
      <c r="L447" s="3">
        <v>26</v>
      </c>
    </row>
    <row r="448" spans="1:12" ht="90" customHeight="1" x14ac:dyDescent="0.3">
      <c r="A448" s="6"/>
      <c r="B448" s="6"/>
      <c r="C448" s="6"/>
      <c r="D448" s="6"/>
      <c r="E448" s="6"/>
      <c r="F448" s="6"/>
      <c r="G448" s="6"/>
      <c r="H448" s="1"/>
      <c r="I448" s="1"/>
      <c r="J448" s="1"/>
      <c r="K448" s="1"/>
      <c r="L448" s="1"/>
    </row>
    <row r="449" spans="1:12" ht="90" customHeight="1" x14ac:dyDescent="0.3">
      <c r="A449" s="6"/>
      <c r="B449" s="6"/>
      <c r="C449" s="6"/>
      <c r="D449" s="6"/>
      <c r="E449" s="6"/>
      <c r="F449" s="6"/>
      <c r="G449" s="6"/>
      <c r="H449" s="1"/>
      <c r="I449" s="1"/>
      <c r="J449" s="1"/>
      <c r="K449" s="1"/>
      <c r="L449" s="1"/>
    </row>
    <row r="450" spans="1:12" ht="90" customHeight="1" x14ac:dyDescent="0.3">
      <c r="A450" s="6"/>
      <c r="B450" s="6"/>
      <c r="C450" s="6"/>
      <c r="D450" s="6"/>
      <c r="E450" s="6"/>
      <c r="F450" s="6"/>
      <c r="G450" s="6"/>
      <c r="H450" s="1"/>
      <c r="I450" s="1"/>
      <c r="J450" s="1"/>
      <c r="K450" s="1"/>
      <c r="L450" s="1"/>
    </row>
    <row r="451" spans="1:12" ht="90" customHeight="1" x14ac:dyDescent="0.3">
      <c r="A451" s="6"/>
      <c r="B451" s="6"/>
      <c r="C451" s="6"/>
      <c r="D451" s="6"/>
      <c r="E451" s="6"/>
      <c r="F451" s="6"/>
      <c r="G451" s="6"/>
      <c r="H451" s="1"/>
      <c r="I451" s="1"/>
      <c r="J451" s="1"/>
      <c r="K451" s="1"/>
      <c r="L451" s="1"/>
    </row>
    <row r="452" spans="1:12" ht="90" customHeight="1" x14ac:dyDescent="0.3">
      <c r="A452" s="5" t="s">
        <v>514</v>
      </c>
      <c r="B452" s="5" t="s">
        <v>158</v>
      </c>
      <c r="C452" s="5" t="s">
        <v>14</v>
      </c>
      <c r="D452" s="7" t="s">
        <v>22</v>
      </c>
      <c r="E452" s="7" t="s">
        <v>23</v>
      </c>
      <c r="F452" s="5" t="s">
        <v>515</v>
      </c>
      <c r="G452" s="5" t="s">
        <v>516</v>
      </c>
      <c r="H452" s="3" t="s">
        <v>517</v>
      </c>
      <c r="I452" s="3">
        <v>0.99696439504623413</v>
      </c>
      <c r="J452" s="3" t="s">
        <v>27</v>
      </c>
      <c r="K452" s="3" t="s">
        <v>158</v>
      </c>
      <c r="L452" s="3">
        <v>1</v>
      </c>
    </row>
    <row r="453" spans="1:12" ht="90" customHeight="1" x14ac:dyDescent="0.3">
      <c r="A453" s="6"/>
      <c r="B453" s="6"/>
      <c r="C453" s="6"/>
      <c r="D453" s="6"/>
      <c r="E453" s="6"/>
      <c r="F453" s="6"/>
      <c r="G453" s="6"/>
      <c r="H453" s="1"/>
      <c r="I453" s="1"/>
      <c r="J453" s="1"/>
      <c r="K453" s="1"/>
      <c r="L453" s="1"/>
    </row>
    <row r="454" spans="1:12" ht="90" customHeight="1" x14ac:dyDescent="0.3">
      <c r="A454" s="6"/>
      <c r="B454" s="6"/>
      <c r="C454" s="6"/>
      <c r="D454" s="6"/>
      <c r="E454" s="6"/>
      <c r="F454" s="6"/>
      <c r="G454" s="6"/>
      <c r="H454" s="1"/>
      <c r="I454" s="1"/>
      <c r="J454" s="1"/>
      <c r="K454" s="1"/>
      <c r="L454" s="1"/>
    </row>
    <row r="455" spans="1:12" ht="90" customHeight="1" x14ac:dyDescent="0.3">
      <c r="A455" s="6"/>
      <c r="B455" s="6"/>
      <c r="C455" s="6"/>
      <c r="D455" s="6"/>
      <c r="E455" s="6"/>
      <c r="F455" s="6"/>
      <c r="G455" s="6"/>
      <c r="H455" s="1"/>
      <c r="I455" s="1"/>
      <c r="J455" s="1"/>
      <c r="K455" s="1"/>
      <c r="L455" s="1"/>
    </row>
    <row r="456" spans="1:12" ht="90" customHeight="1" x14ac:dyDescent="0.3">
      <c r="A456" s="6"/>
      <c r="B456" s="6"/>
      <c r="C456" s="6"/>
      <c r="D456" s="6"/>
      <c r="E456" s="6"/>
      <c r="F456" s="6"/>
      <c r="G456" s="6"/>
      <c r="H456" s="1"/>
      <c r="I456" s="1"/>
      <c r="J456" s="1"/>
      <c r="K456" s="1"/>
      <c r="L456" s="1"/>
    </row>
    <row r="457" spans="1:12" ht="90" customHeight="1" x14ac:dyDescent="0.3">
      <c r="A457" s="5" t="s">
        <v>518</v>
      </c>
      <c r="B457" s="5" t="s">
        <v>141</v>
      </c>
      <c r="C457" s="5" t="s">
        <v>75</v>
      </c>
      <c r="D457" s="7" t="s">
        <v>15</v>
      </c>
      <c r="E457" s="7" t="s">
        <v>16</v>
      </c>
      <c r="F457" s="5" t="s">
        <v>519</v>
      </c>
      <c r="G457" s="5" t="s">
        <v>18</v>
      </c>
      <c r="H457" s="1"/>
      <c r="I457" s="1"/>
      <c r="J457" s="1"/>
      <c r="K457" s="1"/>
      <c r="L457" s="1"/>
    </row>
    <row r="458" spans="1:12" ht="90" customHeight="1" x14ac:dyDescent="0.3">
      <c r="A458" s="6"/>
      <c r="B458" s="6"/>
      <c r="C458" s="6"/>
      <c r="D458" s="6"/>
      <c r="E458" s="6"/>
      <c r="F458" s="6"/>
      <c r="G458" s="6"/>
      <c r="H458" s="1"/>
      <c r="I458" s="1"/>
      <c r="J458" s="1"/>
      <c r="K458" s="1"/>
      <c r="L458" s="1"/>
    </row>
    <row r="459" spans="1:12" ht="90" customHeight="1" x14ac:dyDescent="0.3">
      <c r="A459" s="6"/>
      <c r="B459" s="6"/>
      <c r="C459" s="6"/>
      <c r="D459" s="6"/>
      <c r="E459" s="6"/>
      <c r="F459" s="6"/>
      <c r="G459" s="6"/>
      <c r="H459" s="1"/>
      <c r="I459" s="1"/>
      <c r="J459" s="1"/>
      <c r="K459" s="1"/>
      <c r="L459" s="1"/>
    </row>
    <row r="460" spans="1:12" ht="90" customHeight="1" x14ac:dyDescent="0.3">
      <c r="A460" s="6"/>
      <c r="B460" s="6"/>
      <c r="C460" s="6"/>
      <c r="D460" s="6"/>
      <c r="E460" s="6"/>
      <c r="F460" s="6"/>
      <c r="G460" s="6"/>
      <c r="H460" s="1"/>
      <c r="I460" s="1"/>
      <c r="J460" s="1"/>
      <c r="K460" s="1"/>
      <c r="L460" s="1"/>
    </row>
    <row r="461" spans="1:12" ht="90" customHeight="1" x14ac:dyDescent="0.3">
      <c r="A461" s="6"/>
      <c r="B461" s="6"/>
      <c r="C461" s="6"/>
      <c r="D461" s="6"/>
      <c r="E461" s="6"/>
      <c r="F461" s="6"/>
      <c r="G461" s="6"/>
      <c r="H461" s="1"/>
      <c r="I461" s="1"/>
      <c r="J461" s="1"/>
      <c r="K461" s="1"/>
      <c r="L461" s="1"/>
    </row>
    <row r="462" spans="1:12" ht="90" customHeight="1" x14ac:dyDescent="0.3">
      <c r="A462" s="5" t="s">
        <v>520</v>
      </c>
      <c r="B462" s="5" t="s">
        <v>274</v>
      </c>
      <c r="C462" s="5" t="s">
        <v>521</v>
      </c>
      <c r="D462" s="7" t="s">
        <v>22</v>
      </c>
      <c r="E462" s="7" t="s">
        <v>23</v>
      </c>
      <c r="F462" s="5" t="s">
        <v>522</v>
      </c>
      <c r="G462" s="5" t="s">
        <v>523</v>
      </c>
      <c r="H462" s="3" t="s">
        <v>524</v>
      </c>
      <c r="I462" s="3">
        <v>0.99915063381195068</v>
      </c>
      <c r="J462" s="3" t="s">
        <v>27</v>
      </c>
      <c r="K462" s="3" t="s">
        <v>274</v>
      </c>
      <c r="L462" s="3">
        <v>349</v>
      </c>
    </row>
    <row r="463" spans="1:12" ht="90" customHeight="1" x14ac:dyDescent="0.3">
      <c r="A463" s="6"/>
      <c r="B463" s="6"/>
      <c r="C463" s="6"/>
      <c r="D463" s="6"/>
      <c r="E463" s="6"/>
      <c r="F463" s="6"/>
      <c r="G463" s="6"/>
      <c r="H463" s="1"/>
      <c r="I463" s="1"/>
      <c r="J463" s="1"/>
      <c r="K463" s="1"/>
      <c r="L463" s="1"/>
    </row>
    <row r="464" spans="1:12" ht="90" customHeight="1" x14ac:dyDescent="0.3">
      <c r="A464" s="6"/>
      <c r="B464" s="6"/>
      <c r="C464" s="6"/>
      <c r="D464" s="6"/>
      <c r="E464" s="6"/>
      <c r="F464" s="6"/>
      <c r="G464" s="6"/>
      <c r="H464" s="1"/>
      <c r="I464" s="1"/>
      <c r="J464" s="1"/>
      <c r="K464" s="1"/>
      <c r="L464" s="1"/>
    </row>
    <row r="465" spans="1:12" ht="90" customHeight="1" x14ac:dyDescent="0.3">
      <c r="A465" s="6"/>
      <c r="B465" s="6"/>
      <c r="C465" s="6"/>
      <c r="D465" s="6"/>
      <c r="E465" s="6"/>
      <c r="F465" s="6"/>
      <c r="G465" s="6"/>
      <c r="H465" s="1"/>
      <c r="I465" s="1"/>
      <c r="J465" s="1"/>
      <c r="K465" s="1"/>
      <c r="L465" s="1"/>
    </row>
    <row r="466" spans="1:12" ht="90" customHeight="1" x14ac:dyDescent="0.3">
      <c r="A466" s="6"/>
      <c r="B466" s="6"/>
      <c r="C466" s="6"/>
      <c r="D466" s="6"/>
      <c r="E466" s="6"/>
      <c r="F466" s="6"/>
      <c r="G466" s="6"/>
      <c r="H466" s="1"/>
      <c r="I466" s="1"/>
      <c r="J466" s="1"/>
      <c r="K466" s="1"/>
      <c r="L466" s="1"/>
    </row>
    <row r="467" spans="1:12" ht="90" customHeight="1" x14ac:dyDescent="0.3">
      <c r="A467" s="5" t="s">
        <v>525</v>
      </c>
      <c r="B467" s="5" t="s">
        <v>34</v>
      </c>
      <c r="C467" s="5" t="s">
        <v>14</v>
      </c>
      <c r="D467" s="7" t="s">
        <v>15</v>
      </c>
      <c r="E467" s="7" t="s">
        <v>16</v>
      </c>
      <c r="F467" s="5" t="s">
        <v>526</v>
      </c>
      <c r="G467" s="5" t="s">
        <v>527</v>
      </c>
      <c r="H467" s="2" t="s">
        <v>528</v>
      </c>
      <c r="I467" s="2">
        <v>0.91069523019605136</v>
      </c>
      <c r="J467" s="2" t="s">
        <v>27</v>
      </c>
      <c r="K467" s="2" t="s">
        <v>53</v>
      </c>
      <c r="L467" s="2">
        <v>1</v>
      </c>
    </row>
    <row r="468" spans="1:12" ht="90" customHeight="1" x14ac:dyDescent="0.3">
      <c r="A468" s="6"/>
      <c r="B468" s="6"/>
      <c r="C468" s="6"/>
      <c r="D468" s="6"/>
      <c r="E468" s="6"/>
      <c r="F468" s="6"/>
      <c r="G468" s="6"/>
      <c r="H468" s="1"/>
      <c r="I468" s="1"/>
      <c r="J468" s="1"/>
      <c r="K468" s="1"/>
      <c r="L468" s="1"/>
    </row>
    <row r="469" spans="1:12" ht="90" customHeight="1" x14ac:dyDescent="0.3">
      <c r="A469" s="6"/>
      <c r="B469" s="6"/>
      <c r="C469" s="6"/>
      <c r="D469" s="6"/>
      <c r="E469" s="6"/>
      <c r="F469" s="6"/>
      <c r="G469" s="6"/>
      <c r="H469" s="1"/>
      <c r="I469" s="1"/>
      <c r="J469" s="1"/>
      <c r="K469" s="1"/>
      <c r="L469" s="1"/>
    </row>
    <row r="470" spans="1:12" ht="90" customHeight="1" x14ac:dyDescent="0.3">
      <c r="A470" s="6"/>
      <c r="B470" s="6"/>
      <c r="C470" s="6"/>
      <c r="D470" s="6"/>
      <c r="E470" s="6"/>
      <c r="F470" s="6"/>
      <c r="G470" s="6"/>
      <c r="H470" s="1"/>
      <c r="I470" s="1"/>
      <c r="J470" s="1"/>
      <c r="K470" s="1"/>
      <c r="L470" s="1"/>
    </row>
    <row r="471" spans="1:12" ht="90" customHeight="1" x14ac:dyDescent="0.3">
      <c r="A471" s="6"/>
      <c r="B471" s="6"/>
      <c r="C471" s="6"/>
      <c r="D471" s="6"/>
      <c r="E471" s="6"/>
      <c r="F471" s="6"/>
      <c r="G471" s="6"/>
      <c r="H471" s="1"/>
      <c r="I471" s="1"/>
      <c r="J471" s="1"/>
      <c r="K471" s="1"/>
      <c r="L471" s="1"/>
    </row>
    <row r="472" spans="1:12" ht="90" customHeight="1" x14ac:dyDescent="0.3">
      <c r="A472" s="5" t="s">
        <v>529</v>
      </c>
      <c r="B472" s="5" t="s">
        <v>530</v>
      </c>
      <c r="C472" s="5" t="s">
        <v>14</v>
      </c>
      <c r="D472" s="7" t="s">
        <v>22</v>
      </c>
      <c r="E472" s="7" t="s">
        <v>23</v>
      </c>
      <c r="F472" s="5" t="s">
        <v>531</v>
      </c>
      <c r="G472" s="5" t="s">
        <v>532</v>
      </c>
      <c r="H472" s="3" t="s">
        <v>533</v>
      </c>
      <c r="I472" s="3">
        <v>0.98045521974563599</v>
      </c>
      <c r="J472" s="3" t="s">
        <v>83</v>
      </c>
      <c r="K472" s="3" t="s">
        <v>530</v>
      </c>
      <c r="L472" s="3">
        <v>1</v>
      </c>
    </row>
    <row r="473" spans="1:12" ht="90" customHeight="1" x14ac:dyDescent="0.3">
      <c r="A473" s="6"/>
      <c r="B473" s="6"/>
      <c r="C473" s="6"/>
      <c r="D473" s="6"/>
      <c r="E473" s="6"/>
      <c r="F473" s="6"/>
      <c r="G473" s="6"/>
      <c r="H473" s="1"/>
      <c r="I473" s="1"/>
      <c r="J473" s="1"/>
      <c r="K473" s="1"/>
      <c r="L473" s="1"/>
    </row>
    <row r="474" spans="1:12" ht="90" customHeight="1" x14ac:dyDescent="0.3">
      <c r="A474" s="6"/>
      <c r="B474" s="6"/>
      <c r="C474" s="6"/>
      <c r="D474" s="6"/>
      <c r="E474" s="6"/>
      <c r="F474" s="6"/>
      <c r="G474" s="6"/>
      <c r="H474" s="1"/>
      <c r="I474" s="1"/>
      <c r="J474" s="1"/>
      <c r="K474" s="1"/>
      <c r="L474" s="1"/>
    </row>
    <row r="475" spans="1:12" ht="90" customHeight="1" x14ac:dyDescent="0.3">
      <c r="A475" s="6"/>
      <c r="B475" s="6"/>
      <c r="C475" s="6"/>
      <c r="D475" s="6"/>
      <c r="E475" s="6"/>
      <c r="F475" s="6"/>
      <c r="G475" s="6"/>
      <c r="H475" s="1"/>
      <c r="I475" s="1"/>
      <c r="J475" s="1"/>
      <c r="K475" s="1"/>
      <c r="L475" s="1"/>
    </row>
    <row r="476" spans="1:12" ht="90" customHeight="1" x14ac:dyDescent="0.3">
      <c r="A476" s="6"/>
      <c r="B476" s="6"/>
      <c r="C476" s="6"/>
      <c r="D476" s="6"/>
      <c r="E476" s="6"/>
      <c r="F476" s="6"/>
      <c r="G476" s="6"/>
      <c r="H476" s="1"/>
      <c r="I476" s="1"/>
      <c r="J476" s="1"/>
      <c r="K476" s="1"/>
      <c r="L476" s="1"/>
    </row>
    <row r="477" spans="1:12" ht="90" customHeight="1" x14ac:dyDescent="0.3">
      <c r="A477" s="5" t="s">
        <v>534</v>
      </c>
      <c r="B477" s="5" t="s">
        <v>535</v>
      </c>
      <c r="C477" s="5" t="s">
        <v>536</v>
      </c>
      <c r="D477" s="7" t="s">
        <v>22</v>
      </c>
      <c r="E477" s="7" t="s">
        <v>23</v>
      </c>
      <c r="F477" s="5" t="s">
        <v>537</v>
      </c>
      <c r="G477" s="5" t="s">
        <v>538</v>
      </c>
      <c r="H477" s="3" t="s">
        <v>539</v>
      </c>
      <c r="I477" s="3">
        <v>0.91895568370819092</v>
      </c>
      <c r="J477" s="3" t="s">
        <v>27</v>
      </c>
      <c r="K477" s="3" t="s">
        <v>535</v>
      </c>
      <c r="L477" s="3">
        <v>264</v>
      </c>
    </row>
    <row r="478" spans="1:12" ht="90" customHeight="1" x14ac:dyDescent="0.3">
      <c r="A478" s="6"/>
      <c r="B478" s="6"/>
      <c r="C478" s="6"/>
      <c r="D478" s="6"/>
      <c r="E478" s="6"/>
      <c r="F478" s="6"/>
      <c r="G478" s="6"/>
      <c r="H478" s="1"/>
      <c r="I478" s="1"/>
      <c r="J478" s="1"/>
      <c r="K478" s="1"/>
      <c r="L478" s="1"/>
    </row>
    <row r="479" spans="1:12" ht="90" customHeight="1" x14ac:dyDescent="0.3">
      <c r="A479" s="6"/>
      <c r="B479" s="6"/>
      <c r="C479" s="6"/>
      <c r="D479" s="6"/>
      <c r="E479" s="6"/>
      <c r="F479" s="6"/>
      <c r="G479" s="6"/>
      <c r="H479" s="1"/>
      <c r="I479" s="1"/>
      <c r="J479" s="1"/>
      <c r="K479" s="1"/>
      <c r="L479" s="1"/>
    </row>
    <row r="480" spans="1:12" ht="90" customHeight="1" x14ac:dyDescent="0.3">
      <c r="A480" s="6"/>
      <c r="B480" s="6"/>
      <c r="C480" s="6"/>
      <c r="D480" s="6"/>
      <c r="E480" s="6"/>
      <c r="F480" s="6"/>
      <c r="G480" s="6"/>
      <c r="H480" s="1"/>
      <c r="I480" s="1"/>
      <c r="J480" s="1"/>
      <c r="K480" s="1"/>
      <c r="L480" s="1"/>
    </row>
    <row r="481" spans="1:12" ht="90" customHeight="1" x14ac:dyDescent="0.3">
      <c r="A481" s="6"/>
      <c r="B481" s="6"/>
      <c r="C481" s="6"/>
      <c r="D481" s="6"/>
      <c r="E481" s="6"/>
      <c r="F481" s="6"/>
      <c r="G481" s="6"/>
      <c r="H481" s="1"/>
      <c r="I481" s="1"/>
      <c r="J481" s="1"/>
      <c r="K481" s="1"/>
      <c r="L481" s="1"/>
    </row>
    <row r="482" spans="1:12" ht="90" customHeight="1" x14ac:dyDescent="0.3">
      <c r="A482" s="5" t="s">
        <v>540</v>
      </c>
      <c r="B482" s="5" t="s">
        <v>541</v>
      </c>
      <c r="C482" s="5" t="s">
        <v>542</v>
      </c>
      <c r="D482" s="7" t="s">
        <v>22</v>
      </c>
      <c r="E482" s="7" t="s">
        <v>23</v>
      </c>
      <c r="F482" s="5" t="s">
        <v>543</v>
      </c>
      <c r="G482" s="5" t="s">
        <v>544</v>
      </c>
      <c r="H482" s="3" t="s">
        <v>545</v>
      </c>
      <c r="I482" s="3">
        <v>0.99960202724138925</v>
      </c>
      <c r="J482" s="3" t="s">
        <v>27</v>
      </c>
      <c r="K482" s="3" t="s">
        <v>541</v>
      </c>
      <c r="L482" s="3">
        <v>30</v>
      </c>
    </row>
    <row r="483" spans="1:12" ht="90" customHeight="1" x14ac:dyDescent="0.3">
      <c r="A483" s="6"/>
      <c r="B483" s="6"/>
      <c r="C483" s="6"/>
      <c r="D483" s="6"/>
      <c r="E483" s="6"/>
      <c r="F483" s="6"/>
      <c r="G483" s="6"/>
      <c r="H483" s="3" t="s">
        <v>546</v>
      </c>
      <c r="I483" s="3">
        <v>0.99842983477400249</v>
      </c>
      <c r="J483" s="3" t="s">
        <v>27</v>
      </c>
      <c r="K483" s="3" t="s">
        <v>541</v>
      </c>
      <c r="L483" s="3">
        <v>29</v>
      </c>
    </row>
    <row r="484" spans="1:12" ht="90" customHeight="1" x14ac:dyDescent="0.3">
      <c r="A484" s="6"/>
      <c r="B484" s="6"/>
      <c r="C484" s="6"/>
      <c r="D484" s="6"/>
      <c r="E484" s="6"/>
      <c r="F484" s="6"/>
      <c r="G484" s="6"/>
      <c r="H484" s="1" t="s">
        <v>547</v>
      </c>
      <c r="I484" s="1">
        <v>0.84690898656845071</v>
      </c>
      <c r="J484" s="1" t="s">
        <v>27</v>
      </c>
      <c r="K484" s="1" t="s">
        <v>541</v>
      </c>
      <c r="L484" s="1">
        <v>24</v>
      </c>
    </row>
    <row r="485" spans="1:12" ht="90" customHeight="1" x14ac:dyDescent="0.3">
      <c r="A485" s="6"/>
      <c r="B485" s="6"/>
      <c r="C485" s="6"/>
      <c r="D485" s="6"/>
      <c r="E485" s="6"/>
      <c r="F485" s="6"/>
      <c r="G485" s="6"/>
      <c r="H485" s="1"/>
      <c r="I485" s="1"/>
      <c r="J485" s="1"/>
      <c r="K485" s="1"/>
      <c r="L485" s="1"/>
    </row>
    <row r="486" spans="1:12" ht="90" customHeight="1" x14ac:dyDescent="0.3">
      <c r="A486" s="6"/>
      <c r="B486" s="6"/>
      <c r="C486" s="6"/>
      <c r="D486" s="6"/>
      <c r="E486" s="6"/>
      <c r="F486" s="6"/>
      <c r="G486" s="6"/>
      <c r="H486" s="1"/>
      <c r="I486" s="1"/>
      <c r="J486" s="1"/>
      <c r="K486" s="1"/>
      <c r="L486" s="1"/>
    </row>
    <row r="487" spans="1:12" ht="90" customHeight="1" x14ac:dyDescent="0.3">
      <c r="A487" s="5" t="s">
        <v>548</v>
      </c>
      <c r="B487" s="5" t="s">
        <v>331</v>
      </c>
      <c r="C487" s="5" t="s">
        <v>14</v>
      </c>
      <c r="D487" s="7" t="s">
        <v>22</v>
      </c>
      <c r="E487" s="7" t="s">
        <v>23</v>
      </c>
      <c r="F487" s="5" t="s">
        <v>549</v>
      </c>
      <c r="G487" s="5" t="s">
        <v>550</v>
      </c>
      <c r="H487" s="3" t="s">
        <v>551</v>
      </c>
      <c r="I487" s="3">
        <v>0.95089852452237389</v>
      </c>
      <c r="J487" s="3" t="s">
        <v>27</v>
      </c>
      <c r="K487" s="3" t="s">
        <v>331</v>
      </c>
      <c r="L487" s="3">
        <v>1</v>
      </c>
    </row>
    <row r="488" spans="1:12" ht="90" customHeight="1" x14ac:dyDescent="0.3">
      <c r="A488" s="6"/>
      <c r="B488" s="6"/>
      <c r="C488" s="6"/>
      <c r="D488" s="6"/>
      <c r="E488" s="6"/>
      <c r="F488" s="6"/>
      <c r="G488" s="6"/>
      <c r="H488" s="1"/>
      <c r="I488" s="1"/>
      <c r="J488" s="1"/>
      <c r="K488" s="1"/>
      <c r="L488" s="1"/>
    </row>
    <row r="489" spans="1:12" ht="90" customHeight="1" x14ac:dyDescent="0.3">
      <c r="A489" s="6"/>
      <c r="B489" s="6"/>
      <c r="C489" s="6"/>
      <c r="D489" s="6"/>
      <c r="E489" s="6"/>
      <c r="F489" s="6"/>
      <c r="G489" s="6"/>
      <c r="H489" s="1"/>
      <c r="I489" s="1"/>
      <c r="J489" s="1"/>
      <c r="K489" s="1"/>
      <c r="L489" s="1"/>
    </row>
    <row r="490" spans="1:12" ht="90" customHeight="1" x14ac:dyDescent="0.3">
      <c r="A490" s="6"/>
      <c r="B490" s="6"/>
      <c r="C490" s="6"/>
      <c r="D490" s="6"/>
      <c r="E490" s="6"/>
      <c r="F490" s="6"/>
      <c r="G490" s="6"/>
      <c r="H490" s="1"/>
      <c r="I490" s="1"/>
      <c r="J490" s="1"/>
      <c r="K490" s="1"/>
      <c r="L490" s="1"/>
    </row>
    <row r="491" spans="1:12" ht="90" customHeight="1" x14ac:dyDescent="0.3">
      <c r="A491" s="6"/>
      <c r="B491" s="6"/>
      <c r="C491" s="6"/>
      <c r="D491" s="6"/>
      <c r="E491" s="6"/>
      <c r="F491" s="6"/>
      <c r="G491" s="6"/>
      <c r="H491" s="1"/>
      <c r="I491" s="1"/>
      <c r="J491" s="1"/>
      <c r="K491" s="1"/>
      <c r="L491" s="1"/>
    </row>
    <row r="492" spans="1:12" ht="90" customHeight="1" x14ac:dyDescent="0.3">
      <c r="A492" s="5" t="s">
        <v>552</v>
      </c>
      <c r="B492" s="5" t="s">
        <v>299</v>
      </c>
      <c r="C492" s="5" t="s">
        <v>14</v>
      </c>
      <c r="D492" s="7" t="s">
        <v>22</v>
      </c>
      <c r="E492" s="7" t="s">
        <v>23</v>
      </c>
      <c r="F492" s="5" t="s">
        <v>553</v>
      </c>
      <c r="G492" s="5" t="s">
        <v>554</v>
      </c>
      <c r="H492" s="3" t="s">
        <v>302</v>
      </c>
      <c r="I492" s="3">
        <v>0.99518221616744995</v>
      </c>
      <c r="J492" s="3" t="s">
        <v>27</v>
      </c>
      <c r="K492" s="3" t="s">
        <v>299</v>
      </c>
      <c r="L492" s="3">
        <v>1</v>
      </c>
    </row>
    <row r="493" spans="1:12" ht="90" customHeight="1" x14ac:dyDescent="0.3">
      <c r="A493" s="6"/>
      <c r="B493" s="6"/>
      <c r="C493" s="6"/>
      <c r="D493" s="6"/>
      <c r="E493" s="6"/>
      <c r="F493" s="6"/>
      <c r="G493" s="6"/>
      <c r="H493" s="1"/>
      <c r="I493" s="1"/>
      <c r="J493" s="1"/>
      <c r="K493" s="1"/>
      <c r="L493" s="1"/>
    </row>
    <row r="494" spans="1:12" ht="90" customHeight="1" x14ac:dyDescent="0.3">
      <c r="A494" s="6"/>
      <c r="B494" s="6"/>
      <c r="C494" s="6"/>
      <c r="D494" s="6"/>
      <c r="E494" s="6"/>
      <c r="F494" s="6"/>
      <c r="G494" s="6"/>
      <c r="H494" s="1"/>
      <c r="I494" s="1"/>
      <c r="J494" s="1"/>
      <c r="K494" s="1"/>
      <c r="L494" s="1"/>
    </row>
    <row r="495" spans="1:12" ht="90" customHeight="1" x14ac:dyDescent="0.3">
      <c r="A495" s="6"/>
      <c r="B495" s="6"/>
      <c r="C495" s="6"/>
      <c r="D495" s="6"/>
      <c r="E495" s="6"/>
      <c r="F495" s="6"/>
      <c r="G495" s="6"/>
      <c r="H495" s="1"/>
      <c r="I495" s="1"/>
      <c r="J495" s="1"/>
      <c r="K495" s="1"/>
      <c r="L495" s="1"/>
    </row>
    <row r="496" spans="1:12" ht="90" customHeight="1" x14ac:dyDescent="0.3">
      <c r="A496" s="6"/>
      <c r="B496" s="6"/>
      <c r="C496" s="6"/>
      <c r="D496" s="6"/>
      <c r="E496" s="6"/>
      <c r="F496" s="6"/>
      <c r="G496" s="6"/>
      <c r="H496" s="1"/>
      <c r="I496" s="1"/>
      <c r="J496" s="1"/>
      <c r="K496" s="1"/>
      <c r="L496" s="1"/>
    </row>
    <row r="497" spans="1:12" ht="90" customHeight="1" x14ac:dyDescent="0.3">
      <c r="A497" s="5" t="s">
        <v>555</v>
      </c>
      <c r="B497" s="5" t="s">
        <v>158</v>
      </c>
      <c r="C497" s="5" t="s">
        <v>14</v>
      </c>
      <c r="D497" s="7" t="s">
        <v>15</v>
      </c>
      <c r="E497" s="7" t="s">
        <v>16</v>
      </c>
      <c r="F497" s="5" t="s">
        <v>556</v>
      </c>
      <c r="G497" s="5" t="s">
        <v>18</v>
      </c>
      <c r="H497" s="1"/>
      <c r="I497" s="1"/>
      <c r="J497" s="1"/>
      <c r="K497" s="1"/>
      <c r="L497" s="1"/>
    </row>
    <row r="498" spans="1:12" ht="90" customHeight="1" x14ac:dyDescent="0.3">
      <c r="A498" s="6"/>
      <c r="B498" s="6"/>
      <c r="C498" s="6"/>
      <c r="D498" s="6"/>
      <c r="E498" s="6"/>
      <c r="F498" s="6"/>
      <c r="G498" s="6"/>
      <c r="H498" s="1"/>
      <c r="I498" s="1"/>
      <c r="J498" s="1"/>
      <c r="K498" s="1"/>
      <c r="L498" s="1"/>
    </row>
    <row r="499" spans="1:12" ht="90" customHeight="1" x14ac:dyDescent="0.3">
      <c r="A499" s="6"/>
      <c r="B499" s="6"/>
      <c r="C499" s="6"/>
      <c r="D499" s="6"/>
      <c r="E499" s="6"/>
      <c r="F499" s="6"/>
      <c r="G499" s="6"/>
      <c r="H499" s="1"/>
      <c r="I499" s="1"/>
      <c r="J499" s="1"/>
      <c r="K499" s="1"/>
      <c r="L499" s="1"/>
    </row>
    <row r="500" spans="1:12" ht="90" customHeight="1" x14ac:dyDescent="0.3">
      <c r="A500" s="6"/>
      <c r="B500" s="6"/>
      <c r="C500" s="6"/>
      <c r="D500" s="6"/>
      <c r="E500" s="6"/>
      <c r="F500" s="6"/>
      <c r="G500" s="6"/>
      <c r="H500" s="1"/>
      <c r="I500" s="1"/>
      <c r="J500" s="1"/>
      <c r="K500" s="1"/>
      <c r="L500" s="1"/>
    </row>
    <row r="501" spans="1:12" ht="90" customHeight="1" x14ac:dyDescent="0.3">
      <c r="A501" s="6"/>
      <c r="B501" s="6"/>
      <c r="C501" s="6"/>
      <c r="D501" s="6"/>
      <c r="E501" s="6"/>
      <c r="F501" s="6"/>
      <c r="G501" s="6"/>
      <c r="H501" s="1"/>
      <c r="I501" s="1"/>
      <c r="J501" s="1"/>
      <c r="K501" s="1"/>
      <c r="L501" s="1"/>
    </row>
    <row r="502" spans="1:12" ht="90" customHeight="1" x14ac:dyDescent="0.3">
      <c r="A502" s="5" t="s">
        <v>557</v>
      </c>
      <c r="B502" s="5" t="s">
        <v>473</v>
      </c>
      <c r="C502" s="5" t="s">
        <v>558</v>
      </c>
      <c r="D502" s="7" t="s">
        <v>22</v>
      </c>
      <c r="E502" s="7" t="s">
        <v>23</v>
      </c>
      <c r="F502" s="5" t="s">
        <v>559</v>
      </c>
      <c r="G502" s="5" t="s">
        <v>560</v>
      </c>
      <c r="H502" s="3" t="s">
        <v>561</v>
      </c>
      <c r="I502" s="3">
        <v>0.99996566772460938</v>
      </c>
      <c r="J502" s="3" t="s">
        <v>27</v>
      </c>
      <c r="K502" s="3" t="s">
        <v>473</v>
      </c>
      <c r="L502" s="3">
        <v>131</v>
      </c>
    </row>
    <row r="503" spans="1:12" ht="90" customHeight="1" x14ac:dyDescent="0.3">
      <c r="A503" s="6"/>
      <c r="B503" s="6"/>
      <c r="C503" s="6"/>
      <c r="D503" s="6"/>
      <c r="E503" s="6"/>
      <c r="F503" s="6"/>
      <c r="G503" s="6"/>
      <c r="H503" s="3" t="s">
        <v>562</v>
      </c>
      <c r="I503" s="3">
        <v>0.99995386600494385</v>
      </c>
      <c r="J503" s="3" t="s">
        <v>27</v>
      </c>
      <c r="K503" s="3" t="s">
        <v>473</v>
      </c>
      <c r="L503" s="3">
        <v>132</v>
      </c>
    </row>
    <row r="504" spans="1:12" ht="90" customHeight="1" x14ac:dyDescent="0.3">
      <c r="A504" s="6"/>
      <c r="B504" s="6"/>
      <c r="C504" s="6"/>
      <c r="D504" s="6"/>
      <c r="E504" s="6"/>
      <c r="F504" s="6"/>
      <c r="G504" s="6"/>
      <c r="H504" s="2" t="s">
        <v>563</v>
      </c>
      <c r="I504" s="2">
        <v>0.95584571361541748</v>
      </c>
      <c r="J504" s="2" t="s">
        <v>27</v>
      </c>
      <c r="K504" s="2" t="s">
        <v>473</v>
      </c>
      <c r="L504" s="2">
        <v>40</v>
      </c>
    </row>
    <row r="505" spans="1:12" ht="90" customHeight="1" x14ac:dyDescent="0.3">
      <c r="A505" s="6"/>
      <c r="B505" s="6"/>
      <c r="C505" s="6"/>
      <c r="D505" s="6"/>
      <c r="E505" s="6"/>
      <c r="F505" s="6"/>
      <c r="G505" s="6"/>
      <c r="H505" s="1"/>
      <c r="I505" s="1"/>
      <c r="J505" s="1"/>
      <c r="K505" s="1"/>
      <c r="L505" s="1"/>
    </row>
    <row r="506" spans="1:12" ht="90" customHeight="1" x14ac:dyDescent="0.3">
      <c r="A506" s="6"/>
      <c r="B506" s="6"/>
      <c r="C506" s="6"/>
      <c r="D506" s="6"/>
      <c r="E506" s="6"/>
      <c r="F506" s="6"/>
      <c r="G506" s="6"/>
      <c r="H506" s="1"/>
      <c r="I506" s="1"/>
      <c r="J506" s="1"/>
      <c r="K506" s="1"/>
      <c r="L506" s="1"/>
    </row>
    <row r="507" spans="1:12" ht="90" customHeight="1" x14ac:dyDescent="0.3">
      <c r="A507" s="5" t="s">
        <v>564</v>
      </c>
      <c r="B507" s="5" t="s">
        <v>232</v>
      </c>
      <c r="C507" s="5" t="s">
        <v>401</v>
      </c>
      <c r="D507" s="7" t="s">
        <v>22</v>
      </c>
      <c r="E507" s="7" t="s">
        <v>23</v>
      </c>
      <c r="F507" s="5" t="s">
        <v>565</v>
      </c>
      <c r="G507" s="5" t="s">
        <v>566</v>
      </c>
      <c r="H507" s="3" t="s">
        <v>326</v>
      </c>
      <c r="I507" s="3">
        <v>0.99970167875289917</v>
      </c>
      <c r="J507" s="3" t="s">
        <v>27</v>
      </c>
      <c r="K507" s="3" t="s">
        <v>232</v>
      </c>
      <c r="L507" s="3">
        <v>2</v>
      </c>
    </row>
    <row r="508" spans="1:12" ht="90" customHeight="1" x14ac:dyDescent="0.3">
      <c r="A508" s="6"/>
      <c r="B508" s="6"/>
      <c r="C508" s="6"/>
      <c r="D508" s="6"/>
      <c r="E508" s="6"/>
      <c r="F508" s="6"/>
      <c r="G508" s="6"/>
      <c r="H508" s="3" t="s">
        <v>237</v>
      </c>
      <c r="I508" s="3">
        <v>0.99825292825698853</v>
      </c>
      <c r="J508" s="3" t="s">
        <v>27</v>
      </c>
      <c r="K508" s="3" t="s">
        <v>232</v>
      </c>
      <c r="L508" s="3">
        <v>4</v>
      </c>
    </row>
    <row r="509" spans="1:12" ht="90" customHeight="1" x14ac:dyDescent="0.3">
      <c r="A509" s="6"/>
      <c r="B509" s="6"/>
      <c r="C509" s="6"/>
      <c r="D509" s="6"/>
      <c r="E509" s="6"/>
      <c r="F509" s="6"/>
      <c r="G509" s="6"/>
      <c r="H509" s="3" t="s">
        <v>238</v>
      </c>
      <c r="I509" s="3">
        <v>0.99775427579879761</v>
      </c>
      <c r="J509" s="3" t="s">
        <v>27</v>
      </c>
      <c r="K509" s="3" t="s">
        <v>232</v>
      </c>
      <c r="L509" s="3">
        <v>3</v>
      </c>
    </row>
    <row r="510" spans="1:12" ht="90" customHeight="1" x14ac:dyDescent="0.3">
      <c r="A510" s="6"/>
      <c r="B510" s="6"/>
      <c r="C510" s="6"/>
      <c r="D510" s="6"/>
      <c r="E510" s="6"/>
      <c r="F510" s="6"/>
      <c r="G510" s="6"/>
      <c r="H510" s="1"/>
      <c r="I510" s="1"/>
      <c r="J510" s="1"/>
      <c r="K510" s="1"/>
      <c r="L510" s="1"/>
    </row>
    <row r="511" spans="1:12" ht="90" customHeight="1" x14ac:dyDescent="0.3">
      <c r="A511" s="6"/>
      <c r="B511" s="6"/>
      <c r="C511" s="6"/>
      <c r="D511" s="6"/>
      <c r="E511" s="6"/>
      <c r="F511" s="6"/>
      <c r="G511" s="6"/>
      <c r="H511" s="1"/>
      <c r="I511" s="1"/>
      <c r="J511" s="1"/>
      <c r="K511" s="1"/>
      <c r="L511" s="1"/>
    </row>
    <row r="512" spans="1:12" ht="90" customHeight="1" x14ac:dyDescent="0.3">
      <c r="A512" s="5" t="s">
        <v>567</v>
      </c>
      <c r="B512" s="5" t="s">
        <v>141</v>
      </c>
      <c r="C512" s="5" t="s">
        <v>142</v>
      </c>
      <c r="D512" s="7" t="s">
        <v>15</v>
      </c>
      <c r="E512" s="7" t="s">
        <v>16</v>
      </c>
      <c r="F512" s="5" t="s">
        <v>568</v>
      </c>
      <c r="G512" s="5" t="s">
        <v>569</v>
      </c>
      <c r="H512" s="2" t="s">
        <v>149</v>
      </c>
      <c r="I512" s="2">
        <v>0.88117557764053345</v>
      </c>
      <c r="J512" s="2" t="s">
        <v>27</v>
      </c>
      <c r="K512" s="2" t="s">
        <v>150</v>
      </c>
      <c r="L512" s="2">
        <v>1</v>
      </c>
    </row>
    <row r="513" spans="1:12" ht="90" customHeight="1" x14ac:dyDescent="0.3">
      <c r="A513" s="6"/>
      <c r="B513" s="6"/>
      <c r="C513" s="6"/>
      <c r="D513" s="6"/>
      <c r="E513" s="6"/>
      <c r="F513" s="6"/>
      <c r="G513" s="6"/>
      <c r="H513" s="1"/>
      <c r="I513" s="1"/>
      <c r="J513" s="1"/>
      <c r="K513" s="1"/>
      <c r="L513" s="1"/>
    </row>
    <row r="514" spans="1:12" ht="90" customHeight="1" x14ac:dyDescent="0.3">
      <c r="A514" s="6"/>
      <c r="B514" s="6"/>
      <c r="C514" s="6"/>
      <c r="D514" s="6"/>
      <c r="E514" s="6"/>
      <c r="F514" s="6"/>
      <c r="G514" s="6"/>
      <c r="H514" s="1"/>
      <c r="I514" s="1"/>
      <c r="J514" s="1"/>
      <c r="K514" s="1"/>
      <c r="L514" s="1"/>
    </row>
    <row r="515" spans="1:12" ht="90" customHeight="1" x14ac:dyDescent="0.3">
      <c r="A515" s="6"/>
      <c r="B515" s="6"/>
      <c r="C515" s="6"/>
      <c r="D515" s="6"/>
      <c r="E515" s="6"/>
      <c r="F515" s="6"/>
      <c r="G515" s="6"/>
      <c r="H515" s="1"/>
      <c r="I515" s="1"/>
      <c r="J515" s="1"/>
      <c r="K515" s="1"/>
      <c r="L515" s="1"/>
    </row>
    <row r="516" spans="1:12" ht="90" customHeight="1" x14ac:dyDescent="0.3">
      <c r="A516" s="6"/>
      <c r="B516" s="6"/>
      <c r="C516" s="6"/>
      <c r="D516" s="6"/>
      <c r="E516" s="6"/>
      <c r="F516" s="6"/>
      <c r="G516" s="6"/>
      <c r="H516" s="1"/>
      <c r="I516" s="1"/>
      <c r="J516" s="1"/>
      <c r="K516" s="1"/>
      <c r="L516" s="1"/>
    </row>
    <row r="517" spans="1:12" ht="90" customHeight="1" x14ac:dyDescent="0.3">
      <c r="A517" s="5" t="s">
        <v>570</v>
      </c>
      <c r="B517" s="5" t="s">
        <v>571</v>
      </c>
      <c r="C517" s="5" t="s">
        <v>572</v>
      </c>
      <c r="D517" s="7" t="s">
        <v>22</v>
      </c>
      <c r="E517" s="7" t="s">
        <v>23</v>
      </c>
      <c r="F517" s="5" t="s">
        <v>573</v>
      </c>
      <c r="G517" s="5" t="s">
        <v>574</v>
      </c>
      <c r="H517" s="3" t="s">
        <v>575</v>
      </c>
      <c r="I517" s="3">
        <v>0.99998104572295876</v>
      </c>
      <c r="J517" s="3" t="s">
        <v>83</v>
      </c>
      <c r="K517" s="3" t="s">
        <v>571</v>
      </c>
      <c r="L517" s="3">
        <v>4</v>
      </c>
    </row>
    <row r="518" spans="1:12" ht="90" customHeight="1" x14ac:dyDescent="0.3">
      <c r="A518" s="6"/>
      <c r="B518" s="6"/>
      <c r="C518" s="6"/>
      <c r="D518" s="6"/>
      <c r="E518" s="6"/>
      <c r="F518" s="6"/>
      <c r="G518" s="6"/>
      <c r="H518" s="1"/>
      <c r="I518" s="1"/>
      <c r="J518" s="1"/>
      <c r="K518" s="1"/>
      <c r="L518" s="1"/>
    </row>
    <row r="519" spans="1:12" ht="90" customHeight="1" x14ac:dyDescent="0.3">
      <c r="A519" s="6"/>
      <c r="B519" s="6"/>
      <c r="C519" s="6"/>
      <c r="D519" s="6"/>
      <c r="E519" s="6"/>
      <c r="F519" s="6"/>
      <c r="G519" s="6"/>
      <c r="H519" s="1"/>
      <c r="I519" s="1"/>
      <c r="J519" s="1"/>
      <c r="K519" s="1"/>
      <c r="L519" s="1"/>
    </row>
    <row r="520" spans="1:12" ht="90" customHeight="1" x14ac:dyDescent="0.3">
      <c r="A520" s="6"/>
      <c r="B520" s="6"/>
      <c r="C520" s="6"/>
      <c r="D520" s="6"/>
      <c r="E520" s="6"/>
      <c r="F520" s="6"/>
      <c r="G520" s="6"/>
      <c r="H520" s="1"/>
      <c r="I520" s="1"/>
      <c r="J520" s="1"/>
      <c r="K520" s="1"/>
      <c r="L520" s="1"/>
    </row>
    <row r="521" spans="1:12" ht="90" customHeight="1" x14ac:dyDescent="0.3">
      <c r="A521" s="6"/>
      <c r="B521" s="6"/>
      <c r="C521" s="6"/>
      <c r="D521" s="6"/>
      <c r="E521" s="6"/>
      <c r="F521" s="6"/>
      <c r="G521" s="6"/>
      <c r="H521" s="1"/>
      <c r="I521" s="1"/>
      <c r="J521" s="1"/>
      <c r="K521" s="1"/>
      <c r="L521" s="1"/>
    </row>
    <row r="522" spans="1:12" ht="90" customHeight="1" x14ac:dyDescent="0.3">
      <c r="A522" s="5" t="s">
        <v>576</v>
      </c>
      <c r="B522" s="5" t="s">
        <v>395</v>
      </c>
      <c r="C522" s="5" t="s">
        <v>577</v>
      </c>
      <c r="D522" s="7" t="s">
        <v>22</v>
      </c>
      <c r="E522" s="7" t="s">
        <v>23</v>
      </c>
      <c r="F522" s="5" t="s">
        <v>578</v>
      </c>
      <c r="G522" s="5" t="s">
        <v>579</v>
      </c>
      <c r="H522" s="3" t="s">
        <v>580</v>
      </c>
      <c r="I522" s="3">
        <v>0.9997625945468066</v>
      </c>
      <c r="J522" s="3" t="s">
        <v>27</v>
      </c>
      <c r="K522" s="3" t="s">
        <v>395</v>
      </c>
      <c r="L522" s="3">
        <v>23</v>
      </c>
    </row>
    <row r="523" spans="1:12" ht="90" customHeight="1" x14ac:dyDescent="0.3">
      <c r="A523" s="6"/>
      <c r="B523" s="6"/>
      <c r="C523" s="6"/>
      <c r="D523" s="6"/>
      <c r="E523" s="6"/>
      <c r="F523" s="6"/>
      <c r="G523" s="6"/>
      <c r="H523" s="3" t="s">
        <v>581</v>
      </c>
      <c r="I523" s="3">
        <v>0.99958699257590655</v>
      </c>
      <c r="J523" s="3" t="s">
        <v>27</v>
      </c>
      <c r="K523" s="3" t="s">
        <v>395</v>
      </c>
      <c r="L523" s="3">
        <v>19</v>
      </c>
    </row>
    <row r="524" spans="1:12" ht="90" customHeight="1" x14ac:dyDescent="0.3">
      <c r="A524" s="6"/>
      <c r="B524" s="6"/>
      <c r="C524" s="6"/>
      <c r="D524" s="6"/>
      <c r="E524" s="6"/>
      <c r="F524" s="6"/>
      <c r="G524" s="6"/>
      <c r="H524" s="4" t="s">
        <v>582</v>
      </c>
      <c r="I524" s="4">
        <v>0.91680085427785662</v>
      </c>
      <c r="J524" s="4" t="s">
        <v>27</v>
      </c>
      <c r="K524" s="4" t="s">
        <v>395</v>
      </c>
      <c r="L524" s="4">
        <v>20</v>
      </c>
    </row>
    <row r="525" spans="1:12" ht="90" customHeight="1" x14ac:dyDescent="0.3">
      <c r="A525" s="6"/>
      <c r="B525" s="6"/>
      <c r="C525" s="6"/>
      <c r="D525" s="6"/>
      <c r="E525" s="6"/>
      <c r="F525" s="6"/>
      <c r="G525" s="6"/>
      <c r="H525" s="1" t="s">
        <v>583</v>
      </c>
      <c r="I525" s="1">
        <v>0.91529813156853668</v>
      </c>
      <c r="J525" s="1" t="s">
        <v>27</v>
      </c>
      <c r="K525" s="1" t="s">
        <v>395</v>
      </c>
      <c r="L525" s="1">
        <v>80</v>
      </c>
    </row>
    <row r="526" spans="1:12" ht="90" customHeight="1" x14ac:dyDescent="0.3">
      <c r="A526" s="6"/>
      <c r="B526" s="6"/>
      <c r="C526" s="6"/>
      <c r="D526" s="6"/>
      <c r="E526" s="6"/>
      <c r="F526" s="6"/>
      <c r="G526" s="6"/>
      <c r="H526" s="1"/>
      <c r="I526" s="1"/>
      <c r="J526" s="1"/>
      <c r="K526" s="1"/>
      <c r="L526" s="1"/>
    </row>
    <row r="527" spans="1:12" ht="90" customHeight="1" x14ac:dyDescent="0.3">
      <c r="A527" s="5" t="s">
        <v>584</v>
      </c>
      <c r="B527" s="5" t="s">
        <v>244</v>
      </c>
      <c r="C527" s="5" t="s">
        <v>251</v>
      </c>
      <c r="D527" s="7" t="s">
        <v>22</v>
      </c>
      <c r="E527" s="7" t="s">
        <v>23</v>
      </c>
      <c r="F527" s="5" t="s">
        <v>585</v>
      </c>
      <c r="G527" s="5" t="s">
        <v>586</v>
      </c>
      <c r="H527" s="3" t="s">
        <v>587</v>
      </c>
      <c r="I527" s="3">
        <v>0.99999213218688587</v>
      </c>
      <c r="J527" s="3" t="s">
        <v>27</v>
      </c>
      <c r="K527" s="3" t="s">
        <v>244</v>
      </c>
      <c r="L527" s="3">
        <v>36</v>
      </c>
    </row>
    <row r="528" spans="1:12" ht="90" customHeight="1" x14ac:dyDescent="0.3">
      <c r="A528" s="6"/>
      <c r="B528" s="6"/>
      <c r="C528" s="6"/>
      <c r="D528" s="6"/>
      <c r="E528" s="6"/>
      <c r="F528" s="6"/>
      <c r="G528" s="6"/>
      <c r="H528" s="1" t="s">
        <v>248</v>
      </c>
      <c r="I528" s="1">
        <v>0.96128386259078979</v>
      </c>
      <c r="J528" s="1" t="s">
        <v>27</v>
      </c>
      <c r="K528" s="1" t="s">
        <v>249</v>
      </c>
      <c r="L528" s="1">
        <v>22</v>
      </c>
    </row>
    <row r="529" spans="1:12" ht="90" customHeight="1" x14ac:dyDescent="0.3">
      <c r="A529" s="6"/>
      <c r="B529" s="6"/>
      <c r="C529" s="6"/>
      <c r="D529" s="6"/>
      <c r="E529" s="6"/>
      <c r="F529" s="6"/>
      <c r="G529" s="6"/>
      <c r="H529" s="1"/>
      <c r="I529" s="1"/>
      <c r="J529" s="1"/>
      <c r="K529" s="1"/>
      <c r="L529" s="1"/>
    </row>
    <row r="530" spans="1:12" ht="90" customHeight="1" x14ac:dyDescent="0.3">
      <c r="A530" s="6"/>
      <c r="B530" s="6"/>
      <c r="C530" s="6"/>
      <c r="D530" s="6"/>
      <c r="E530" s="6"/>
      <c r="F530" s="6"/>
      <c r="G530" s="6"/>
      <c r="H530" s="1"/>
      <c r="I530" s="1"/>
      <c r="J530" s="1"/>
      <c r="K530" s="1"/>
      <c r="L530" s="1"/>
    </row>
    <row r="531" spans="1:12" ht="90" customHeight="1" x14ac:dyDescent="0.3">
      <c r="A531" s="6"/>
      <c r="B531" s="6"/>
      <c r="C531" s="6"/>
      <c r="D531" s="6"/>
      <c r="E531" s="6"/>
      <c r="F531" s="6"/>
      <c r="G531" s="6"/>
      <c r="H531" s="1"/>
      <c r="I531" s="1"/>
      <c r="J531" s="1"/>
      <c r="K531" s="1"/>
      <c r="L531" s="1"/>
    </row>
    <row r="532" spans="1:12" ht="90" customHeight="1" x14ac:dyDescent="0.3">
      <c r="A532" s="5" t="s">
        <v>588</v>
      </c>
      <c r="B532" s="5" t="s">
        <v>198</v>
      </c>
      <c r="C532" s="5" t="s">
        <v>75</v>
      </c>
      <c r="D532" s="7" t="s">
        <v>22</v>
      </c>
      <c r="E532" s="7" t="s">
        <v>23</v>
      </c>
      <c r="F532" s="5" t="s">
        <v>589</v>
      </c>
      <c r="G532" s="5" t="s">
        <v>590</v>
      </c>
      <c r="H532" s="3" t="s">
        <v>591</v>
      </c>
      <c r="I532" s="3">
        <v>0.95190709828932274</v>
      </c>
      <c r="J532" s="3" t="s">
        <v>27</v>
      </c>
      <c r="K532" s="3" t="s">
        <v>198</v>
      </c>
      <c r="L532" s="3">
        <v>13</v>
      </c>
    </row>
    <row r="533" spans="1:12" ht="90" customHeight="1" x14ac:dyDescent="0.3">
      <c r="A533" s="6"/>
      <c r="B533" s="6"/>
      <c r="C533" s="6"/>
      <c r="D533" s="6"/>
      <c r="E533" s="6"/>
      <c r="F533" s="6"/>
      <c r="G533" s="6"/>
      <c r="H533" s="1"/>
      <c r="I533" s="1"/>
      <c r="J533" s="1"/>
      <c r="K533" s="1"/>
      <c r="L533" s="1"/>
    </row>
    <row r="534" spans="1:12" ht="90" customHeight="1" x14ac:dyDescent="0.3">
      <c r="A534" s="6"/>
      <c r="B534" s="6"/>
      <c r="C534" s="6"/>
      <c r="D534" s="6"/>
      <c r="E534" s="6"/>
      <c r="F534" s="6"/>
      <c r="G534" s="6"/>
      <c r="H534" s="1"/>
      <c r="I534" s="1"/>
      <c r="J534" s="1"/>
      <c r="K534" s="1"/>
      <c r="L534" s="1"/>
    </row>
    <row r="535" spans="1:12" ht="90" customHeight="1" x14ac:dyDescent="0.3">
      <c r="A535" s="6"/>
      <c r="B535" s="6"/>
      <c r="C535" s="6"/>
      <c r="D535" s="6"/>
      <c r="E535" s="6"/>
      <c r="F535" s="6"/>
      <c r="G535" s="6"/>
      <c r="H535" s="1"/>
      <c r="I535" s="1"/>
      <c r="J535" s="1"/>
      <c r="K535" s="1"/>
      <c r="L535" s="1"/>
    </row>
    <row r="536" spans="1:12" ht="90" customHeight="1" x14ac:dyDescent="0.3">
      <c r="A536" s="6"/>
      <c r="B536" s="6"/>
      <c r="C536" s="6"/>
      <c r="D536" s="6"/>
      <c r="E536" s="6"/>
      <c r="F536" s="6"/>
      <c r="G536" s="6"/>
      <c r="H536" s="1"/>
      <c r="I536" s="1"/>
      <c r="J536" s="1"/>
      <c r="K536" s="1"/>
      <c r="L536" s="1"/>
    </row>
    <row r="537" spans="1:12" ht="90" customHeight="1" x14ac:dyDescent="0.3">
      <c r="A537" s="5" t="s">
        <v>592</v>
      </c>
      <c r="B537" s="5" t="s">
        <v>593</v>
      </c>
      <c r="C537" s="5" t="s">
        <v>594</v>
      </c>
      <c r="D537" s="7" t="s">
        <v>22</v>
      </c>
      <c r="E537" s="7" t="s">
        <v>23</v>
      </c>
      <c r="F537" s="5" t="s">
        <v>595</v>
      </c>
      <c r="G537" s="5" t="s">
        <v>596</v>
      </c>
      <c r="H537" s="3" t="s">
        <v>597</v>
      </c>
      <c r="I537" s="3">
        <v>0.99993515014648438</v>
      </c>
      <c r="J537" s="3" t="s">
        <v>27</v>
      </c>
      <c r="K537" s="3" t="s">
        <v>593</v>
      </c>
      <c r="L537" s="3">
        <v>19</v>
      </c>
    </row>
    <row r="538" spans="1:12" ht="90" customHeight="1" x14ac:dyDescent="0.3">
      <c r="A538" s="6"/>
      <c r="B538" s="6"/>
      <c r="C538" s="6"/>
      <c r="D538" s="6"/>
      <c r="E538" s="6"/>
      <c r="F538" s="6"/>
      <c r="G538" s="6"/>
      <c r="H538" s="3" t="s">
        <v>598</v>
      </c>
      <c r="I538" s="3">
        <v>0.99968957901000977</v>
      </c>
      <c r="J538" s="3" t="s">
        <v>27</v>
      </c>
      <c r="K538" s="3" t="s">
        <v>593</v>
      </c>
      <c r="L538" s="3">
        <v>44</v>
      </c>
    </row>
    <row r="539" spans="1:12" ht="90" customHeight="1" x14ac:dyDescent="0.3">
      <c r="A539" s="6"/>
      <c r="B539" s="6"/>
      <c r="C539" s="6"/>
      <c r="D539" s="6"/>
      <c r="E539" s="6"/>
      <c r="F539" s="6"/>
      <c r="G539" s="6"/>
      <c r="H539" s="1"/>
      <c r="I539" s="1"/>
      <c r="J539" s="1"/>
      <c r="K539" s="1"/>
      <c r="L539" s="1"/>
    </row>
    <row r="540" spans="1:12" ht="90" customHeight="1" x14ac:dyDescent="0.3">
      <c r="A540" s="6"/>
      <c r="B540" s="6"/>
      <c r="C540" s="6"/>
      <c r="D540" s="6"/>
      <c r="E540" s="6"/>
      <c r="F540" s="6"/>
      <c r="G540" s="6"/>
      <c r="H540" s="1"/>
      <c r="I540" s="1"/>
      <c r="J540" s="1"/>
      <c r="K540" s="1"/>
      <c r="L540" s="1"/>
    </row>
    <row r="541" spans="1:12" ht="90" customHeight="1" x14ac:dyDescent="0.3">
      <c r="A541" s="6"/>
      <c r="B541" s="6"/>
      <c r="C541" s="6"/>
      <c r="D541" s="6"/>
      <c r="E541" s="6"/>
      <c r="F541" s="6"/>
      <c r="G541" s="6"/>
      <c r="H541" s="1"/>
      <c r="I541" s="1"/>
      <c r="J541" s="1"/>
      <c r="K541" s="1"/>
      <c r="L541" s="1"/>
    </row>
    <row r="542" spans="1:12" ht="90" customHeight="1" x14ac:dyDescent="0.3">
      <c r="A542" s="5" t="s">
        <v>599</v>
      </c>
      <c r="B542" s="5" t="s">
        <v>600</v>
      </c>
      <c r="C542" s="5" t="s">
        <v>601</v>
      </c>
      <c r="D542" s="7" t="s">
        <v>22</v>
      </c>
      <c r="E542" s="7" t="s">
        <v>23</v>
      </c>
      <c r="F542" s="5" t="s">
        <v>602</v>
      </c>
      <c r="G542" s="5" t="s">
        <v>603</v>
      </c>
      <c r="H542" s="3" t="s">
        <v>604</v>
      </c>
      <c r="I542" s="3">
        <v>0.9927554726600647</v>
      </c>
      <c r="J542" s="3" t="s">
        <v>83</v>
      </c>
      <c r="K542" s="3" t="s">
        <v>600</v>
      </c>
      <c r="L542" s="3">
        <v>4</v>
      </c>
    </row>
    <row r="543" spans="1:12" ht="90" customHeight="1" x14ac:dyDescent="0.3">
      <c r="A543" s="6"/>
      <c r="B543" s="6"/>
      <c r="C543" s="6"/>
      <c r="D543" s="6"/>
      <c r="E543" s="6"/>
      <c r="F543" s="6"/>
      <c r="G543" s="6"/>
      <c r="H543" s="4" t="s">
        <v>605</v>
      </c>
      <c r="I543" s="4">
        <v>0.99216777086232688</v>
      </c>
      <c r="J543" s="4" t="s">
        <v>83</v>
      </c>
      <c r="K543" s="4" t="s">
        <v>600</v>
      </c>
      <c r="L543" s="4">
        <v>5</v>
      </c>
    </row>
    <row r="544" spans="1:12" ht="90" customHeight="1" x14ac:dyDescent="0.3">
      <c r="A544" s="6"/>
      <c r="B544" s="6"/>
      <c r="C544" s="6"/>
      <c r="D544" s="6"/>
      <c r="E544" s="6"/>
      <c r="F544" s="6"/>
      <c r="G544" s="6"/>
      <c r="H544" s="1"/>
      <c r="I544" s="1"/>
      <c r="J544" s="1"/>
      <c r="K544" s="1"/>
      <c r="L544" s="1"/>
    </row>
    <row r="545" spans="1:12" ht="90" customHeight="1" x14ac:dyDescent="0.3">
      <c r="A545" s="6"/>
      <c r="B545" s="6"/>
      <c r="C545" s="6"/>
      <c r="D545" s="6"/>
      <c r="E545" s="6"/>
      <c r="F545" s="6"/>
      <c r="G545" s="6"/>
      <c r="H545" s="1"/>
      <c r="I545" s="1"/>
      <c r="J545" s="1"/>
      <c r="K545" s="1"/>
      <c r="L545" s="1"/>
    </row>
    <row r="546" spans="1:12" ht="90" customHeight="1" x14ac:dyDescent="0.3">
      <c r="A546" s="6"/>
      <c r="B546" s="6"/>
      <c r="C546" s="6"/>
      <c r="D546" s="6"/>
      <c r="E546" s="6"/>
      <c r="F546" s="6"/>
      <c r="G546" s="6"/>
      <c r="H546" s="1"/>
      <c r="I546" s="1"/>
      <c r="J546" s="1"/>
      <c r="K546" s="1"/>
      <c r="L546" s="1"/>
    </row>
    <row r="547" spans="1:12" ht="90" customHeight="1" x14ac:dyDescent="0.3">
      <c r="A547" s="5" t="s">
        <v>606</v>
      </c>
      <c r="B547" s="5" t="s">
        <v>20</v>
      </c>
      <c r="C547" s="5" t="s">
        <v>21</v>
      </c>
      <c r="D547" s="7" t="s">
        <v>22</v>
      </c>
      <c r="E547" s="7" t="s">
        <v>23</v>
      </c>
      <c r="F547" s="5" t="s">
        <v>607</v>
      </c>
      <c r="G547" s="5" t="s">
        <v>608</v>
      </c>
      <c r="H547" s="3" t="s">
        <v>26</v>
      </c>
      <c r="I547" s="3">
        <v>0.78545211508632895</v>
      </c>
      <c r="J547" s="3" t="s">
        <v>27</v>
      </c>
      <c r="K547" s="3" t="s">
        <v>20</v>
      </c>
      <c r="L547" s="3">
        <v>3</v>
      </c>
    </row>
    <row r="548" spans="1:12" ht="90" customHeight="1" x14ac:dyDescent="0.3">
      <c r="A548" s="6"/>
      <c r="B548" s="6"/>
      <c r="C548" s="6"/>
      <c r="D548" s="6"/>
      <c r="E548" s="6"/>
      <c r="F548" s="6"/>
      <c r="G548" s="6"/>
      <c r="H548" s="3" t="s">
        <v>28</v>
      </c>
      <c r="I548" s="3">
        <v>0.77866440435937367</v>
      </c>
      <c r="J548" s="3" t="s">
        <v>27</v>
      </c>
      <c r="K548" s="3" t="s">
        <v>20</v>
      </c>
      <c r="L548" s="3">
        <v>1</v>
      </c>
    </row>
    <row r="549" spans="1:12" ht="90" customHeight="1" x14ac:dyDescent="0.3">
      <c r="A549" s="6"/>
      <c r="B549" s="6"/>
      <c r="C549" s="6"/>
      <c r="D549" s="6"/>
      <c r="E549" s="6"/>
      <c r="F549" s="6"/>
      <c r="G549" s="6"/>
      <c r="H549" s="3" t="s">
        <v>29</v>
      </c>
      <c r="I549" s="3">
        <v>0.72140690755942172</v>
      </c>
      <c r="J549" s="3" t="s">
        <v>27</v>
      </c>
      <c r="K549" s="3" t="s">
        <v>20</v>
      </c>
      <c r="L549" s="3">
        <v>2</v>
      </c>
    </row>
    <row r="550" spans="1:12" ht="90" customHeight="1" x14ac:dyDescent="0.3">
      <c r="A550" s="6"/>
      <c r="B550" s="6"/>
      <c r="C550" s="6"/>
      <c r="D550" s="6"/>
      <c r="E550" s="6"/>
      <c r="F550" s="6"/>
      <c r="G550" s="6"/>
      <c r="H550" s="1"/>
      <c r="I550" s="1"/>
      <c r="J550" s="1"/>
      <c r="K550" s="1"/>
      <c r="L550" s="1"/>
    </row>
    <row r="551" spans="1:12" ht="90" customHeight="1" x14ac:dyDescent="0.3">
      <c r="A551" s="6"/>
      <c r="B551" s="6"/>
      <c r="C551" s="6"/>
      <c r="D551" s="6"/>
      <c r="E551" s="6"/>
      <c r="F551" s="6"/>
      <c r="G551" s="6"/>
      <c r="H551" s="1"/>
      <c r="I551" s="1"/>
      <c r="J551" s="1"/>
      <c r="K551" s="1"/>
      <c r="L551" s="1"/>
    </row>
    <row r="552" spans="1:12" ht="90" customHeight="1" x14ac:dyDescent="0.3">
      <c r="A552" s="5" t="s">
        <v>609</v>
      </c>
      <c r="B552" s="5" t="s">
        <v>299</v>
      </c>
      <c r="C552" s="5" t="s">
        <v>14</v>
      </c>
      <c r="D552" s="7" t="s">
        <v>22</v>
      </c>
      <c r="E552" s="7" t="s">
        <v>23</v>
      </c>
      <c r="F552" s="5" t="s">
        <v>610</v>
      </c>
      <c r="G552" s="5" t="s">
        <v>611</v>
      </c>
      <c r="H552" s="3" t="s">
        <v>302</v>
      </c>
      <c r="I552" s="3">
        <v>0.99948799610137939</v>
      </c>
      <c r="J552" s="3" t="s">
        <v>27</v>
      </c>
      <c r="K552" s="3" t="s">
        <v>299</v>
      </c>
      <c r="L552" s="3">
        <v>1</v>
      </c>
    </row>
    <row r="553" spans="1:12" ht="90" customHeight="1" x14ac:dyDescent="0.3">
      <c r="A553" s="6"/>
      <c r="B553" s="6"/>
      <c r="C553" s="6"/>
      <c r="D553" s="6"/>
      <c r="E553" s="6"/>
      <c r="F553" s="6"/>
      <c r="G553" s="6"/>
      <c r="H553" s="1"/>
      <c r="I553" s="1"/>
      <c r="J553" s="1"/>
      <c r="K553" s="1"/>
      <c r="L553" s="1"/>
    </row>
    <row r="554" spans="1:12" ht="90" customHeight="1" x14ac:dyDescent="0.3">
      <c r="A554" s="6"/>
      <c r="B554" s="6"/>
      <c r="C554" s="6"/>
      <c r="D554" s="6"/>
      <c r="E554" s="6"/>
      <c r="F554" s="6"/>
      <c r="G554" s="6"/>
      <c r="H554" s="1"/>
      <c r="I554" s="1"/>
      <c r="J554" s="1"/>
      <c r="K554" s="1"/>
      <c r="L554" s="1"/>
    </row>
    <row r="555" spans="1:12" ht="90" customHeight="1" x14ac:dyDescent="0.3">
      <c r="A555" s="6"/>
      <c r="B555" s="6"/>
      <c r="C555" s="6"/>
      <c r="D555" s="6"/>
      <c r="E555" s="6"/>
      <c r="F555" s="6"/>
      <c r="G555" s="6"/>
      <c r="H555" s="1"/>
      <c r="I555" s="1"/>
      <c r="J555" s="1"/>
      <c r="K555" s="1"/>
      <c r="L555" s="1"/>
    </row>
    <row r="556" spans="1:12" ht="90" customHeight="1" x14ac:dyDescent="0.3">
      <c r="A556" s="6"/>
      <c r="B556" s="6"/>
      <c r="C556" s="6"/>
      <c r="D556" s="6"/>
      <c r="E556" s="6"/>
      <c r="F556" s="6"/>
      <c r="G556" s="6"/>
      <c r="H556" s="1"/>
      <c r="I556" s="1"/>
      <c r="J556" s="1"/>
      <c r="K556" s="1"/>
      <c r="L556" s="1"/>
    </row>
    <row r="557" spans="1:12" ht="90" customHeight="1" x14ac:dyDescent="0.3">
      <c r="A557" s="5" t="s">
        <v>612</v>
      </c>
      <c r="B557" s="5" t="s">
        <v>81</v>
      </c>
      <c r="C557" s="5" t="s">
        <v>613</v>
      </c>
      <c r="D557" s="7" t="s">
        <v>22</v>
      </c>
      <c r="E557" s="7" t="s">
        <v>23</v>
      </c>
      <c r="F557" s="5" t="s">
        <v>614</v>
      </c>
      <c r="G557" s="5" t="s">
        <v>615</v>
      </c>
      <c r="H557" s="3" t="s">
        <v>616</v>
      </c>
      <c r="I557" s="3">
        <v>0.99414741992950439</v>
      </c>
      <c r="J557" s="3" t="s">
        <v>27</v>
      </c>
      <c r="K557" s="3" t="s">
        <v>81</v>
      </c>
      <c r="L557" s="3">
        <v>604</v>
      </c>
    </row>
    <row r="558" spans="1:12" ht="90" customHeight="1" x14ac:dyDescent="0.3">
      <c r="A558" s="6"/>
      <c r="B558" s="6"/>
      <c r="C558" s="6"/>
      <c r="D558" s="6"/>
      <c r="E558" s="6"/>
      <c r="F558" s="6"/>
      <c r="G558" s="6"/>
      <c r="H558" s="3" t="s">
        <v>617</v>
      </c>
      <c r="I558" s="3">
        <v>0.92564594745635986</v>
      </c>
      <c r="J558" s="3" t="s">
        <v>27</v>
      </c>
      <c r="K558" s="3" t="s">
        <v>81</v>
      </c>
      <c r="L558" s="3">
        <v>605</v>
      </c>
    </row>
    <row r="559" spans="1:12" ht="90" customHeight="1" x14ac:dyDescent="0.3">
      <c r="A559" s="6"/>
      <c r="B559" s="6"/>
      <c r="C559" s="6"/>
      <c r="D559" s="6"/>
      <c r="E559" s="6"/>
      <c r="F559" s="6"/>
      <c r="G559" s="6"/>
      <c r="H559" s="2" t="s">
        <v>618</v>
      </c>
      <c r="I559" s="2">
        <v>0.80659550428390503</v>
      </c>
      <c r="J559" s="2" t="s">
        <v>27</v>
      </c>
      <c r="K559" s="2" t="s">
        <v>619</v>
      </c>
      <c r="L559" s="2">
        <v>22</v>
      </c>
    </row>
    <row r="560" spans="1:12" ht="90" customHeight="1" x14ac:dyDescent="0.3">
      <c r="A560" s="6"/>
      <c r="B560" s="6"/>
      <c r="C560" s="6"/>
      <c r="D560" s="6"/>
      <c r="E560" s="6"/>
      <c r="F560" s="6"/>
      <c r="G560" s="6"/>
      <c r="H560" s="1"/>
      <c r="I560" s="1"/>
      <c r="J560" s="1"/>
      <c r="K560" s="1"/>
      <c r="L560" s="1"/>
    </row>
    <row r="561" spans="1:12" ht="90" customHeight="1" x14ac:dyDescent="0.3">
      <c r="A561" s="6"/>
      <c r="B561" s="6"/>
      <c r="C561" s="6"/>
      <c r="D561" s="6"/>
      <c r="E561" s="6"/>
      <c r="F561" s="6"/>
      <c r="G561" s="6"/>
      <c r="H561" s="1"/>
      <c r="I561" s="1"/>
      <c r="J561" s="1"/>
      <c r="K561" s="1"/>
      <c r="L561" s="1"/>
    </row>
    <row r="562" spans="1:12" ht="90" customHeight="1" x14ac:dyDescent="0.3">
      <c r="A562" s="5" t="s">
        <v>620</v>
      </c>
      <c r="B562" s="5" t="s">
        <v>621</v>
      </c>
      <c r="C562" s="5" t="s">
        <v>263</v>
      </c>
      <c r="D562" s="7" t="s">
        <v>15</v>
      </c>
      <c r="E562" s="7" t="s">
        <v>16</v>
      </c>
      <c r="F562" s="5" t="s">
        <v>622</v>
      </c>
      <c r="G562" s="5" t="s">
        <v>18</v>
      </c>
      <c r="H562" s="1"/>
      <c r="I562" s="1"/>
      <c r="J562" s="1"/>
      <c r="K562" s="1"/>
      <c r="L562" s="1"/>
    </row>
    <row r="563" spans="1:12" ht="90" customHeight="1" x14ac:dyDescent="0.3">
      <c r="A563" s="6"/>
      <c r="B563" s="6"/>
      <c r="C563" s="6"/>
      <c r="D563" s="6"/>
      <c r="E563" s="6"/>
      <c r="F563" s="6"/>
      <c r="G563" s="6"/>
      <c r="H563" s="1"/>
      <c r="I563" s="1"/>
      <c r="J563" s="1"/>
      <c r="K563" s="1"/>
      <c r="L563" s="1"/>
    </row>
    <row r="564" spans="1:12" ht="90" customHeight="1" x14ac:dyDescent="0.3">
      <c r="A564" s="6"/>
      <c r="B564" s="6"/>
      <c r="C564" s="6"/>
      <c r="D564" s="6"/>
      <c r="E564" s="6"/>
      <c r="F564" s="6"/>
      <c r="G564" s="6"/>
      <c r="H564" s="1"/>
      <c r="I564" s="1"/>
      <c r="J564" s="1"/>
      <c r="K564" s="1"/>
      <c r="L564" s="1"/>
    </row>
    <row r="565" spans="1:12" ht="90" customHeight="1" x14ac:dyDescent="0.3">
      <c r="A565" s="6"/>
      <c r="B565" s="6"/>
      <c r="C565" s="6"/>
      <c r="D565" s="6"/>
      <c r="E565" s="6"/>
      <c r="F565" s="6"/>
      <c r="G565" s="6"/>
      <c r="H565" s="1"/>
      <c r="I565" s="1"/>
      <c r="J565" s="1"/>
      <c r="K565" s="1"/>
      <c r="L565" s="1"/>
    </row>
    <row r="566" spans="1:12" ht="90" customHeight="1" x14ac:dyDescent="0.3">
      <c r="A566" s="6"/>
      <c r="B566" s="6"/>
      <c r="C566" s="6"/>
      <c r="D566" s="6"/>
      <c r="E566" s="6"/>
      <c r="F566" s="6"/>
      <c r="G566" s="6"/>
      <c r="H566" s="1"/>
      <c r="I566" s="1"/>
      <c r="J566" s="1"/>
      <c r="K566" s="1"/>
      <c r="L566" s="1"/>
    </row>
    <row r="567" spans="1:12" ht="90" customHeight="1" x14ac:dyDescent="0.3">
      <c r="A567" s="5" t="s">
        <v>623</v>
      </c>
      <c r="B567" s="5" t="s">
        <v>624</v>
      </c>
      <c r="C567" s="5" t="s">
        <v>291</v>
      </c>
      <c r="D567" s="7" t="s">
        <v>22</v>
      </c>
      <c r="E567" s="7" t="s">
        <v>23</v>
      </c>
      <c r="F567" s="5" t="s">
        <v>625</v>
      </c>
      <c r="G567" s="5" t="s">
        <v>626</v>
      </c>
      <c r="H567" s="3" t="s">
        <v>627</v>
      </c>
      <c r="I567" s="3">
        <v>0.99999523162841797</v>
      </c>
      <c r="J567" s="3" t="s">
        <v>27</v>
      </c>
      <c r="K567" s="3" t="s">
        <v>624</v>
      </c>
      <c r="L567" s="3">
        <v>2</v>
      </c>
    </row>
    <row r="568" spans="1:12" ht="90" customHeight="1" x14ac:dyDescent="0.3">
      <c r="A568" s="6"/>
      <c r="B568" s="6"/>
      <c r="C568" s="6"/>
      <c r="D568" s="6"/>
      <c r="E568" s="6"/>
      <c r="F568" s="6"/>
      <c r="G568" s="6"/>
      <c r="H568" s="3" t="s">
        <v>628</v>
      </c>
      <c r="I568" s="3">
        <v>0.99997663497924805</v>
      </c>
      <c r="J568" s="3" t="s">
        <v>27</v>
      </c>
      <c r="K568" s="3" t="s">
        <v>624</v>
      </c>
      <c r="L568" s="3">
        <v>1</v>
      </c>
    </row>
    <row r="569" spans="1:12" ht="90" customHeight="1" x14ac:dyDescent="0.3">
      <c r="A569" s="6"/>
      <c r="B569" s="6"/>
      <c r="C569" s="6"/>
      <c r="D569" s="6"/>
      <c r="E569" s="6"/>
      <c r="F569" s="6"/>
      <c r="G569" s="6"/>
      <c r="H569" s="1" t="s">
        <v>629</v>
      </c>
      <c r="I569" s="1">
        <v>0.88891726732254028</v>
      </c>
      <c r="J569" s="1" t="s">
        <v>27</v>
      </c>
      <c r="K569" s="1" t="s">
        <v>535</v>
      </c>
      <c r="L569" s="1">
        <v>47</v>
      </c>
    </row>
    <row r="570" spans="1:12" ht="90" customHeight="1" x14ac:dyDescent="0.3">
      <c r="A570" s="6"/>
      <c r="B570" s="6"/>
      <c r="C570" s="6"/>
      <c r="D570" s="6"/>
      <c r="E570" s="6"/>
      <c r="F570" s="6"/>
      <c r="G570" s="6"/>
      <c r="H570" s="1" t="s">
        <v>630</v>
      </c>
      <c r="I570" s="1">
        <v>0.75592851638793945</v>
      </c>
      <c r="J570" s="1" t="s">
        <v>27</v>
      </c>
      <c r="K570" s="1" t="s">
        <v>535</v>
      </c>
      <c r="L570" s="1">
        <v>185</v>
      </c>
    </row>
    <row r="571" spans="1:12" ht="90" customHeight="1" x14ac:dyDescent="0.3">
      <c r="A571" s="6"/>
      <c r="B571" s="6"/>
      <c r="C571" s="6"/>
      <c r="D571" s="6"/>
      <c r="E571" s="6"/>
      <c r="F571" s="6"/>
      <c r="G571" s="6"/>
      <c r="H571" s="1"/>
      <c r="I571" s="1"/>
      <c r="J571" s="1"/>
      <c r="K571" s="1"/>
      <c r="L571" s="1"/>
    </row>
    <row r="572" spans="1:12" ht="90" customHeight="1" x14ac:dyDescent="0.3">
      <c r="A572" s="5" t="s">
        <v>631</v>
      </c>
      <c r="B572" s="5" t="s">
        <v>34</v>
      </c>
      <c r="C572" s="5" t="s">
        <v>14</v>
      </c>
      <c r="D572" s="7" t="s">
        <v>15</v>
      </c>
      <c r="E572" s="7" t="s">
        <v>16</v>
      </c>
      <c r="F572" s="5" t="s">
        <v>632</v>
      </c>
      <c r="G572" s="5" t="s">
        <v>18</v>
      </c>
      <c r="H572" s="1"/>
      <c r="I572" s="1"/>
      <c r="J572" s="1"/>
      <c r="K572" s="1"/>
      <c r="L572" s="1"/>
    </row>
    <row r="573" spans="1:12" ht="90" customHeight="1" x14ac:dyDescent="0.3">
      <c r="A573" s="6"/>
      <c r="B573" s="6"/>
      <c r="C573" s="6"/>
      <c r="D573" s="6"/>
      <c r="E573" s="6"/>
      <c r="F573" s="6"/>
      <c r="G573" s="6"/>
      <c r="H573" s="1"/>
      <c r="I573" s="1"/>
      <c r="J573" s="1"/>
      <c r="K573" s="1"/>
      <c r="L573" s="1"/>
    </row>
    <row r="574" spans="1:12" ht="90" customHeight="1" x14ac:dyDescent="0.3">
      <c r="A574" s="6"/>
      <c r="B574" s="6"/>
      <c r="C574" s="6"/>
      <c r="D574" s="6"/>
      <c r="E574" s="6"/>
      <c r="F574" s="6"/>
      <c r="G574" s="6"/>
      <c r="H574" s="1"/>
      <c r="I574" s="1"/>
      <c r="J574" s="1"/>
      <c r="K574" s="1"/>
      <c r="L574" s="1"/>
    </row>
    <row r="575" spans="1:12" ht="90" customHeight="1" x14ac:dyDescent="0.3">
      <c r="A575" s="6"/>
      <c r="B575" s="6"/>
      <c r="C575" s="6"/>
      <c r="D575" s="6"/>
      <c r="E575" s="6"/>
      <c r="F575" s="6"/>
      <c r="G575" s="6"/>
      <c r="H575" s="1"/>
      <c r="I575" s="1"/>
      <c r="J575" s="1"/>
      <c r="K575" s="1"/>
      <c r="L575" s="1"/>
    </row>
    <row r="576" spans="1:12" ht="90" customHeight="1" x14ac:dyDescent="0.3">
      <c r="A576" s="6"/>
      <c r="B576" s="6"/>
      <c r="C576" s="6"/>
      <c r="D576" s="6"/>
      <c r="E576" s="6"/>
      <c r="F576" s="6"/>
      <c r="G576" s="6"/>
      <c r="H576" s="1"/>
      <c r="I576" s="1"/>
      <c r="J576" s="1"/>
      <c r="K576" s="1"/>
      <c r="L576" s="1"/>
    </row>
    <row r="577" spans="1:12" ht="90" customHeight="1" x14ac:dyDescent="0.3">
      <c r="A577" s="5" t="s">
        <v>633</v>
      </c>
      <c r="B577" s="5" t="s">
        <v>331</v>
      </c>
      <c r="C577" s="5" t="s">
        <v>14</v>
      </c>
      <c r="D577" s="7" t="s">
        <v>22</v>
      </c>
      <c r="E577" s="7" t="s">
        <v>23</v>
      </c>
      <c r="F577" s="5" t="s">
        <v>634</v>
      </c>
      <c r="G577" s="5" t="s">
        <v>635</v>
      </c>
      <c r="H577" s="3" t="s">
        <v>463</v>
      </c>
      <c r="I577" s="3">
        <v>0.99954801797866821</v>
      </c>
      <c r="J577" s="3" t="s">
        <v>27</v>
      </c>
      <c r="K577" s="3" t="s">
        <v>331</v>
      </c>
      <c r="L577" s="3">
        <v>1</v>
      </c>
    </row>
    <row r="578" spans="1:12" ht="90" customHeight="1" x14ac:dyDescent="0.3">
      <c r="A578" s="6"/>
      <c r="B578" s="6"/>
      <c r="C578" s="6"/>
      <c r="D578" s="6"/>
      <c r="E578" s="6"/>
      <c r="F578" s="6"/>
      <c r="G578" s="6"/>
      <c r="H578" s="1"/>
      <c r="I578" s="1"/>
      <c r="J578" s="1"/>
      <c r="K578" s="1"/>
      <c r="L578" s="1"/>
    </row>
    <row r="579" spans="1:12" ht="90" customHeight="1" x14ac:dyDescent="0.3">
      <c r="A579" s="6"/>
      <c r="B579" s="6"/>
      <c r="C579" s="6"/>
      <c r="D579" s="6"/>
      <c r="E579" s="6"/>
      <c r="F579" s="6"/>
      <c r="G579" s="6"/>
      <c r="H579" s="1"/>
      <c r="I579" s="1"/>
      <c r="J579" s="1"/>
      <c r="K579" s="1"/>
      <c r="L579" s="1"/>
    </row>
    <row r="580" spans="1:12" ht="90" customHeight="1" x14ac:dyDescent="0.3">
      <c r="A580" s="6"/>
      <c r="B580" s="6"/>
      <c r="C580" s="6"/>
      <c r="D580" s="6"/>
      <c r="E580" s="6"/>
      <c r="F580" s="6"/>
      <c r="G580" s="6"/>
      <c r="H580" s="1"/>
      <c r="I580" s="1"/>
      <c r="J580" s="1"/>
      <c r="K580" s="1"/>
      <c r="L580" s="1"/>
    </row>
    <row r="581" spans="1:12" ht="90" customHeight="1" x14ac:dyDescent="0.3">
      <c r="A581" s="6"/>
      <c r="B581" s="6"/>
      <c r="C581" s="6"/>
      <c r="D581" s="6"/>
      <c r="E581" s="6"/>
      <c r="F581" s="6"/>
      <c r="G581" s="6"/>
      <c r="H581" s="1"/>
      <c r="I581" s="1"/>
      <c r="J581" s="1"/>
      <c r="K581" s="1"/>
      <c r="L581" s="1"/>
    </row>
    <row r="582" spans="1:12" ht="90" customHeight="1" x14ac:dyDescent="0.3">
      <c r="A582" s="5" t="s">
        <v>636</v>
      </c>
      <c r="B582" s="5" t="s">
        <v>637</v>
      </c>
      <c r="C582" s="5" t="s">
        <v>572</v>
      </c>
      <c r="D582" s="7" t="s">
        <v>22</v>
      </c>
      <c r="E582" s="7" t="s">
        <v>23</v>
      </c>
      <c r="F582" s="5" t="s">
        <v>638</v>
      </c>
      <c r="G582" s="5" t="s">
        <v>639</v>
      </c>
      <c r="H582" s="3" t="s">
        <v>640</v>
      </c>
      <c r="I582" s="3">
        <v>0.97006267309188843</v>
      </c>
      <c r="J582" s="3" t="s">
        <v>27</v>
      </c>
      <c r="K582" s="3" t="s">
        <v>637</v>
      </c>
      <c r="L582" s="3">
        <v>4</v>
      </c>
    </row>
    <row r="583" spans="1:12" ht="90" customHeight="1" x14ac:dyDescent="0.3">
      <c r="A583" s="6"/>
      <c r="B583" s="6"/>
      <c r="C583" s="6"/>
      <c r="D583" s="6"/>
      <c r="E583" s="6"/>
      <c r="F583" s="6"/>
      <c r="G583" s="6"/>
      <c r="H583" s="2" t="s">
        <v>641</v>
      </c>
      <c r="I583" s="2">
        <v>0.80420821905136108</v>
      </c>
      <c r="J583" s="2" t="s">
        <v>27</v>
      </c>
      <c r="K583" s="2" t="s">
        <v>417</v>
      </c>
      <c r="L583" s="2">
        <v>7</v>
      </c>
    </row>
    <row r="584" spans="1:12" ht="90" customHeight="1" x14ac:dyDescent="0.3">
      <c r="A584" s="6"/>
      <c r="B584" s="6"/>
      <c r="C584" s="6"/>
      <c r="D584" s="6"/>
      <c r="E584" s="6"/>
      <c r="F584" s="6"/>
      <c r="G584" s="6"/>
      <c r="H584" s="2" t="s">
        <v>642</v>
      </c>
      <c r="I584" s="2">
        <v>0.76835005925436728</v>
      </c>
      <c r="J584" s="2" t="s">
        <v>27</v>
      </c>
      <c r="K584" s="2" t="s">
        <v>643</v>
      </c>
      <c r="L584" s="2">
        <v>112</v>
      </c>
    </row>
    <row r="585" spans="1:12" ht="90" customHeight="1" x14ac:dyDescent="0.3">
      <c r="A585" s="6"/>
      <c r="B585" s="6"/>
      <c r="C585" s="6"/>
      <c r="D585" s="6"/>
      <c r="E585" s="6"/>
      <c r="F585" s="6"/>
      <c r="G585" s="6"/>
      <c r="H585" s="1"/>
      <c r="I585" s="1"/>
      <c r="J585" s="1"/>
      <c r="K585" s="1"/>
      <c r="L585" s="1"/>
    </row>
    <row r="586" spans="1:12" ht="90" customHeight="1" x14ac:dyDescent="0.3">
      <c r="A586" s="6"/>
      <c r="B586" s="6"/>
      <c r="C586" s="6"/>
      <c r="D586" s="6"/>
      <c r="E586" s="6"/>
      <c r="F586" s="6"/>
      <c r="G586" s="6"/>
      <c r="H586" s="1"/>
      <c r="I586" s="1"/>
      <c r="J586" s="1"/>
      <c r="K586" s="1"/>
      <c r="L586" s="1"/>
    </row>
    <row r="587" spans="1:12" ht="90" customHeight="1" x14ac:dyDescent="0.3">
      <c r="A587" s="5" t="s">
        <v>644</v>
      </c>
      <c r="B587" s="5" t="s">
        <v>141</v>
      </c>
      <c r="C587" s="5" t="s">
        <v>142</v>
      </c>
      <c r="D587" s="7" t="s">
        <v>15</v>
      </c>
      <c r="E587" s="7" t="s">
        <v>16</v>
      </c>
      <c r="F587" s="5" t="s">
        <v>645</v>
      </c>
      <c r="G587" s="5" t="s">
        <v>646</v>
      </c>
      <c r="H587" s="2" t="s">
        <v>149</v>
      </c>
      <c r="I587" s="2">
        <v>0.97989046573638916</v>
      </c>
      <c r="J587" s="2" t="s">
        <v>27</v>
      </c>
      <c r="K587" s="2" t="s">
        <v>150</v>
      </c>
      <c r="L587" s="2">
        <v>1</v>
      </c>
    </row>
    <row r="588" spans="1:12" ht="90" customHeight="1" x14ac:dyDescent="0.3">
      <c r="A588" s="6"/>
      <c r="B588" s="6"/>
      <c r="C588" s="6"/>
      <c r="D588" s="6"/>
      <c r="E588" s="6"/>
      <c r="F588" s="6"/>
      <c r="G588" s="6"/>
      <c r="H588" s="1"/>
      <c r="I588" s="1"/>
      <c r="J588" s="1"/>
      <c r="K588" s="1"/>
      <c r="L588" s="1"/>
    </row>
    <row r="589" spans="1:12" ht="90" customHeight="1" x14ac:dyDescent="0.3">
      <c r="A589" s="6"/>
      <c r="B589" s="6"/>
      <c r="C589" s="6"/>
      <c r="D589" s="6"/>
      <c r="E589" s="6"/>
      <c r="F589" s="6"/>
      <c r="G589" s="6"/>
      <c r="H589" s="1"/>
      <c r="I589" s="1"/>
      <c r="J589" s="1"/>
      <c r="K589" s="1"/>
      <c r="L589" s="1"/>
    </row>
    <row r="590" spans="1:12" ht="90" customHeight="1" x14ac:dyDescent="0.3">
      <c r="A590" s="6"/>
      <c r="B590" s="6"/>
      <c r="C590" s="6"/>
      <c r="D590" s="6"/>
      <c r="E590" s="6"/>
      <c r="F590" s="6"/>
      <c r="G590" s="6"/>
      <c r="H590" s="1"/>
      <c r="I590" s="1"/>
      <c r="J590" s="1"/>
      <c r="K590" s="1"/>
      <c r="L590" s="1"/>
    </row>
    <row r="591" spans="1:12" ht="90" customHeight="1" x14ac:dyDescent="0.3">
      <c r="A591" s="6"/>
      <c r="B591" s="6"/>
      <c r="C591" s="6"/>
      <c r="D591" s="6"/>
      <c r="E591" s="6"/>
      <c r="F591" s="6"/>
      <c r="G591" s="6"/>
      <c r="H591" s="1"/>
      <c r="I591" s="1"/>
      <c r="J591" s="1"/>
      <c r="K591" s="1"/>
      <c r="L591" s="1"/>
    </row>
    <row r="592" spans="1:12" ht="90" customHeight="1" x14ac:dyDescent="0.3">
      <c r="A592" s="5" t="s">
        <v>647</v>
      </c>
      <c r="B592" s="5" t="s">
        <v>141</v>
      </c>
      <c r="C592" s="5" t="s">
        <v>142</v>
      </c>
      <c r="D592" s="7" t="s">
        <v>15</v>
      </c>
      <c r="E592" s="7" t="s">
        <v>16</v>
      </c>
      <c r="F592" s="5" t="s">
        <v>648</v>
      </c>
      <c r="G592" s="5" t="s">
        <v>18</v>
      </c>
      <c r="H592" s="1"/>
      <c r="I592" s="1"/>
      <c r="J592" s="1"/>
      <c r="K592" s="1"/>
      <c r="L592" s="1"/>
    </row>
    <row r="593" spans="1:12" ht="90" customHeight="1" x14ac:dyDescent="0.3">
      <c r="A593" s="6"/>
      <c r="B593" s="6"/>
      <c r="C593" s="6"/>
      <c r="D593" s="6"/>
      <c r="E593" s="6"/>
      <c r="F593" s="6"/>
      <c r="G593" s="6"/>
      <c r="H593" s="1"/>
      <c r="I593" s="1"/>
      <c r="J593" s="1"/>
      <c r="K593" s="1"/>
      <c r="L593" s="1"/>
    </row>
    <row r="594" spans="1:12" ht="90" customHeight="1" x14ac:dyDescent="0.3">
      <c r="A594" s="6"/>
      <c r="B594" s="6"/>
      <c r="C594" s="6"/>
      <c r="D594" s="6"/>
      <c r="E594" s="6"/>
      <c r="F594" s="6"/>
      <c r="G594" s="6"/>
      <c r="H594" s="1"/>
      <c r="I594" s="1"/>
      <c r="J594" s="1"/>
      <c r="K594" s="1"/>
      <c r="L594" s="1"/>
    </row>
    <row r="595" spans="1:12" ht="90" customHeight="1" x14ac:dyDescent="0.3">
      <c r="A595" s="6"/>
      <c r="B595" s="6"/>
      <c r="C595" s="6"/>
      <c r="D595" s="6"/>
      <c r="E595" s="6"/>
      <c r="F595" s="6"/>
      <c r="G595" s="6"/>
      <c r="H595" s="1"/>
      <c r="I595" s="1"/>
      <c r="J595" s="1"/>
      <c r="K595" s="1"/>
      <c r="L595" s="1"/>
    </row>
    <row r="596" spans="1:12" ht="90" customHeight="1" x14ac:dyDescent="0.3">
      <c r="A596" s="6"/>
      <c r="B596" s="6"/>
      <c r="C596" s="6"/>
      <c r="D596" s="6"/>
      <c r="E596" s="6"/>
      <c r="F596" s="6"/>
      <c r="G596" s="6"/>
      <c r="H596" s="1"/>
      <c r="I596" s="1"/>
      <c r="J596" s="1"/>
      <c r="K596" s="1"/>
      <c r="L596" s="1"/>
    </row>
    <row r="597" spans="1:12" ht="90" customHeight="1" x14ac:dyDescent="0.3">
      <c r="A597" s="5" t="s">
        <v>649</v>
      </c>
      <c r="B597" s="5" t="s">
        <v>232</v>
      </c>
      <c r="C597" s="5" t="s">
        <v>401</v>
      </c>
      <c r="D597" s="7" t="s">
        <v>22</v>
      </c>
      <c r="E597" s="7" t="s">
        <v>23</v>
      </c>
      <c r="F597" s="5" t="s">
        <v>650</v>
      </c>
      <c r="G597" s="5" t="s">
        <v>651</v>
      </c>
      <c r="H597" s="3" t="s">
        <v>326</v>
      </c>
      <c r="I597" s="3">
        <v>0.99524682760238647</v>
      </c>
      <c r="J597" s="3" t="s">
        <v>27</v>
      </c>
      <c r="K597" s="3" t="s">
        <v>232</v>
      </c>
      <c r="L597" s="3">
        <v>2</v>
      </c>
    </row>
    <row r="598" spans="1:12" ht="90" customHeight="1" x14ac:dyDescent="0.3">
      <c r="A598" s="6"/>
      <c r="B598" s="6"/>
      <c r="C598" s="6"/>
      <c r="D598" s="6"/>
      <c r="E598" s="6"/>
      <c r="F598" s="6"/>
      <c r="G598" s="6"/>
      <c r="H598" s="3" t="s">
        <v>237</v>
      </c>
      <c r="I598" s="3">
        <v>0.98023933172225952</v>
      </c>
      <c r="J598" s="3" t="s">
        <v>27</v>
      </c>
      <c r="K598" s="3" t="s">
        <v>232</v>
      </c>
      <c r="L598" s="3">
        <v>4</v>
      </c>
    </row>
    <row r="599" spans="1:12" ht="90" customHeight="1" x14ac:dyDescent="0.3">
      <c r="A599" s="6"/>
      <c r="B599" s="6"/>
      <c r="C599" s="6"/>
      <c r="D599" s="6"/>
      <c r="E599" s="6"/>
      <c r="F599" s="6"/>
      <c r="G599" s="6"/>
      <c r="H599" s="3" t="s">
        <v>238</v>
      </c>
      <c r="I599" s="3">
        <v>0.97548246383666992</v>
      </c>
      <c r="J599" s="3" t="s">
        <v>27</v>
      </c>
      <c r="K599" s="3" t="s">
        <v>232</v>
      </c>
      <c r="L599" s="3">
        <v>3</v>
      </c>
    </row>
    <row r="600" spans="1:12" ht="90" customHeight="1" x14ac:dyDescent="0.3">
      <c r="A600" s="6"/>
      <c r="B600" s="6"/>
      <c r="C600" s="6"/>
      <c r="D600" s="6"/>
      <c r="E600" s="6"/>
      <c r="F600" s="6"/>
      <c r="G600" s="6"/>
      <c r="H600" s="1" t="s">
        <v>239</v>
      </c>
      <c r="I600" s="1">
        <v>0.95053797960281372</v>
      </c>
      <c r="J600" s="1" t="s">
        <v>27</v>
      </c>
      <c r="K600" s="1" t="s">
        <v>240</v>
      </c>
      <c r="L600" s="1">
        <v>3</v>
      </c>
    </row>
    <row r="601" spans="1:12" ht="90" customHeight="1" x14ac:dyDescent="0.3">
      <c r="A601" s="6"/>
      <c r="B601" s="6"/>
      <c r="C601" s="6"/>
      <c r="D601" s="6"/>
      <c r="E601" s="6"/>
      <c r="F601" s="6"/>
      <c r="G601" s="6"/>
      <c r="H601" s="1" t="s">
        <v>652</v>
      </c>
      <c r="I601" s="1">
        <v>0.80734646320343018</v>
      </c>
      <c r="J601" s="1" t="s">
        <v>27</v>
      </c>
      <c r="K601" s="1" t="s">
        <v>653</v>
      </c>
      <c r="L601" s="1">
        <v>43</v>
      </c>
    </row>
    <row r="602" spans="1:12" ht="90" customHeight="1" x14ac:dyDescent="0.3">
      <c r="A602" s="5" t="s">
        <v>654</v>
      </c>
      <c r="B602" s="5" t="s">
        <v>535</v>
      </c>
      <c r="C602" s="5" t="s">
        <v>655</v>
      </c>
      <c r="D602" s="7" t="s">
        <v>22</v>
      </c>
      <c r="E602" s="7" t="s">
        <v>23</v>
      </c>
      <c r="F602" s="5" t="s">
        <v>656</v>
      </c>
      <c r="G602" s="5" t="s">
        <v>657</v>
      </c>
      <c r="H602" s="3" t="s">
        <v>658</v>
      </c>
      <c r="I602" s="3">
        <v>0.99995434284210205</v>
      </c>
      <c r="J602" s="3" t="s">
        <v>27</v>
      </c>
      <c r="K602" s="3" t="s">
        <v>535</v>
      </c>
      <c r="L602" s="3">
        <v>238</v>
      </c>
    </row>
    <row r="603" spans="1:12" ht="90" customHeight="1" x14ac:dyDescent="0.3">
      <c r="A603" s="6"/>
      <c r="B603" s="6"/>
      <c r="C603" s="6"/>
      <c r="D603" s="6"/>
      <c r="E603" s="6"/>
      <c r="F603" s="6"/>
      <c r="G603" s="6"/>
      <c r="H603" s="3" t="s">
        <v>659</v>
      </c>
      <c r="I603" s="3">
        <v>0.99988436698913574</v>
      </c>
      <c r="J603" s="3" t="s">
        <v>27</v>
      </c>
      <c r="K603" s="3" t="s">
        <v>535</v>
      </c>
      <c r="L603" s="3">
        <v>237</v>
      </c>
    </row>
    <row r="604" spans="1:12" ht="90" customHeight="1" x14ac:dyDescent="0.3">
      <c r="A604" s="6"/>
      <c r="B604" s="6"/>
      <c r="C604" s="6"/>
      <c r="D604" s="6"/>
      <c r="E604" s="6"/>
      <c r="F604" s="6"/>
      <c r="G604" s="6"/>
      <c r="H604" s="3" t="s">
        <v>660</v>
      </c>
      <c r="I604" s="3">
        <v>0.99853920936584473</v>
      </c>
      <c r="J604" s="3" t="s">
        <v>27</v>
      </c>
      <c r="K604" s="3" t="s">
        <v>535</v>
      </c>
      <c r="L604" s="3">
        <v>236</v>
      </c>
    </row>
    <row r="605" spans="1:12" ht="90" customHeight="1" x14ac:dyDescent="0.3">
      <c r="A605" s="6"/>
      <c r="B605" s="6"/>
      <c r="C605" s="6"/>
      <c r="D605" s="6"/>
      <c r="E605" s="6"/>
      <c r="F605" s="6"/>
      <c r="G605" s="6"/>
      <c r="H605" s="1" t="s">
        <v>661</v>
      </c>
      <c r="I605" s="1">
        <v>0.87211441993713379</v>
      </c>
      <c r="J605" s="1" t="s">
        <v>27</v>
      </c>
      <c r="K605" s="1" t="s">
        <v>535</v>
      </c>
      <c r="L605" s="1">
        <v>22</v>
      </c>
    </row>
    <row r="606" spans="1:12" ht="90" customHeight="1" x14ac:dyDescent="0.3">
      <c r="A606" s="6"/>
      <c r="B606" s="6"/>
      <c r="C606" s="6"/>
      <c r="D606" s="6"/>
      <c r="E606" s="6"/>
      <c r="F606" s="6"/>
      <c r="G606" s="6"/>
      <c r="H606" s="1" t="s">
        <v>662</v>
      </c>
      <c r="I606" s="1">
        <v>0.80371755361557007</v>
      </c>
      <c r="J606" s="1" t="s">
        <v>27</v>
      </c>
      <c r="K606" s="1" t="s">
        <v>395</v>
      </c>
      <c r="L606" s="1">
        <v>98</v>
      </c>
    </row>
    <row r="607" spans="1:12" ht="90" customHeight="1" x14ac:dyDescent="0.3">
      <c r="A607" s="5" t="s">
        <v>663</v>
      </c>
      <c r="B607" s="5" t="s">
        <v>53</v>
      </c>
      <c r="C607" s="5" t="s">
        <v>440</v>
      </c>
      <c r="D607" s="7" t="s">
        <v>15</v>
      </c>
      <c r="E607" s="7" t="s">
        <v>16</v>
      </c>
      <c r="F607" s="5" t="s">
        <v>664</v>
      </c>
      <c r="G607" s="5" t="s">
        <v>665</v>
      </c>
      <c r="H607" s="2" t="s">
        <v>54</v>
      </c>
      <c r="I607" s="2">
        <v>0.96960586309432983</v>
      </c>
      <c r="J607" s="2" t="s">
        <v>27</v>
      </c>
      <c r="K607" s="2" t="s">
        <v>53</v>
      </c>
      <c r="L607" s="2">
        <v>1</v>
      </c>
    </row>
    <row r="608" spans="1:12" ht="90" customHeight="1" x14ac:dyDescent="0.3">
      <c r="A608" s="6"/>
      <c r="B608" s="6"/>
      <c r="C608" s="6"/>
      <c r="D608" s="6"/>
      <c r="E608" s="6"/>
      <c r="F608" s="6"/>
      <c r="G608" s="6"/>
      <c r="H608" s="1"/>
      <c r="I608" s="1"/>
      <c r="J608" s="1"/>
      <c r="K608" s="1"/>
      <c r="L608" s="1"/>
    </row>
    <row r="609" spans="1:12" ht="90" customHeight="1" x14ac:dyDescent="0.3">
      <c r="A609" s="6"/>
      <c r="B609" s="6"/>
      <c r="C609" s="6"/>
      <c r="D609" s="6"/>
      <c r="E609" s="6"/>
      <c r="F609" s="6"/>
      <c r="G609" s="6"/>
      <c r="H609" s="1"/>
      <c r="I609" s="1"/>
      <c r="J609" s="1"/>
      <c r="K609" s="1"/>
      <c r="L609" s="1"/>
    </row>
    <row r="610" spans="1:12" ht="90" customHeight="1" x14ac:dyDescent="0.3">
      <c r="A610" s="6"/>
      <c r="B610" s="6"/>
      <c r="C610" s="6"/>
      <c r="D610" s="6"/>
      <c r="E610" s="6"/>
      <c r="F610" s="6"/>
      <c r="G610" s="6"/>
      <c r="H610" s="1"/>
      <c r="I610" s="1"/>
      <c r="J610" s="1"/>
      <c r="K610" s="1"/>
      <c r="L610" s="1"/>
    </row>
    <row r="611" spans="1:12" ht="90" customHeight="1" x14ac:dyDescent="0.3">
      <c r="A611" s="6"/>
      <c r="B611" s="6"/>
      <c r="C611" s="6"/>
      <c r="D611" s="6"/>
      <c r="E611" s="6"/>
      <c r="F611" s="6"/>
      <c r="G611" s="6"/>
      <c r="H611" s="1"/>
      <c r="I611" s="1"/>
      <c r="J611" s="1"/>
      <c r="K611" s="1"/>
      <c r="L611" s="1"/>
    </row>
    <row r="612" spans="1:12" ht="90" customHeight="1" x14ac:dyDescent="0.3">
      <c r="A612" s="5" t="s">
        <v>666</v>
      </c>
      <c r="B612" s="5" t="s">
        <v>377</v>
      </c>
      <c r="C612" s="5" t="s">
        <v>408</v>
      </c>
      <c r="D612" s="7" t="s">
        <v>15</v>
      </c>
      <c r="E612" s="7" t="s">
        <v>16</v>
      </c>
      <c r="F612" s="5" t="s">
        <v>667</v>
      </c>
      <c r="G612" s="5" t="s">
        <v>668</v>
      </c>
      <c r="H612" s="2" t="s">
        <v>412</v>
      </c>
      <c r="I612" s="2">
        <v>0.9909629225730896</v>
      </c>
      <c r="J612" s="2" t="s">
        <v>27</v>
      </c>
      <c r="K612" s="2" t="s">
        <v>187</v>
      </c>
      <c r="L612" s="2">
        <v>34</v>
      </c>
    </row>
    <row r="613" spans="1:12" ht="90" customHeight="1" x14ac:dyDescent="0.3">
      <c r="A613" s="6"/>
      <c r="B613" s="6"/>
      <c r="C613" s="6"/>
      <c r="D613" s="6"/>
      <c r="E613" s="6"/>
      <c r="F613" s="6"/>
      <c r="G613" s="6"/>
      <c r="H613" s="2" t="s">
        <v>669</v>
      </c>
      <c r="I613" s="2">
        <v>0.93522173165797218</v>
      </c>
      <c r="J613" s="2" t="s">
        <v>27</v>
      </c>
      <c r="K613" s="2" t="s">
        <v>414</v>
      </c>
      <c r="L613" s="2">
        <v>80</v>
      </c>
    </row>
    <row r="614" spans="1:12" ht="90" customHeight="1" x14ac:dyDescent="0.3">
      <c r="A614" s="6"/>
      <c r="B614" s="6"/>
      <c r="C614" s="6"/>
      <c r="D614" s="6"/>
      <c r="E614" s="6"/>
      <c r="F614" s="6"/>
      <c r="G614" s="6"/>
      <c r="H614" s="2" t="s">
        <v>471</v>
      </c>
      <c r="I614" s="2">
        <v>0.93198978900909424</v>
      </c>
      <c r="J614" s="2" t="s">
        <v>27</v>
      </c>
      <c r="K614" s="2" t="s">
        <v>362</v>
      </c>
      <c r="L614" s="2">
        <v>61</v>
      </c>
    </row>
    <row r="615" spans="1:12" ht="90" customHeight="1" x14ac:dyDescent="0.3">
      <c r="A615" s="6"/>
      <c r="B615" s="6"/>
      <c r="C615" s="6"/>
      <c r="D615" s="6"/>
      <c r="E615" s="6"/>
      <c r="F615" s="6"/>
      <c r="G615" s="6"/>
      <c r="H615" s="1" t="s">
        <v>670</v>
      </c>
      <c r="I615" s="1">
        <v>0.92382133006663136</v>
      </c>
      <c r="J615" s="1" t="s">
        <v>27</v>
      </c>
      <c r="K615" s="1" t="s">
        <v>182</v>
      </c>
      <c r="L615" s="1">
        <v>78</v>
      </c>
    </row>
    <row r="616" spans="1:12" ht="90" customHeight="1" x14ac:dyDescent="0.3">
      <c r="A616" s="6"/>
      <c r="B616" s="6"/>
      <c r="C616" s="6"/>
      <c r="D616" s="6"/>
      <c r="E616" s="6"/>
      <c r="F616" s="6"/>
      <c r="G616" s="6"/>
      <c r="H616" s="1" t="s">
        <v>470</v>
      </c>
      <c r="I616" s="1">
        <v>0.90138280391691972</v>
      </c>
      <c r="J616" s="1" t="s">
        <v>27</v>
      </c>
      <c r="K616" s="1" t="s">
        <v>187</v>
      </c>
      <c r="L616" s="1">
        <v>41</v>
      </c>
    </row>
    <row r="617" spans="1:12" ht="90" customHeight="1" x14ac:dyDescent="0.3">
      <c r="A617" s="5" t="s">
        <v>671</v>
      </c>
      <c r="B617" s="5" t="s">
        <v>169</v>
      </c>
      <c r="C617" s="5" t="s">
        <v>672</v>
      </c>
      <c r="D617" s="7" t="s">
        <v>22</v>
      </c>
      <c r="E617" s="7" t="s">
        <v>16</v>
      </c>
      <c r="F617" s="5" t="s">
        <v>673</v>
      </c>
      <c r="G617" s="5" t="s">
        <v>674</v>
      </c>
      <c r="H617" s="2" t="s">
        <v>675</v>
      </c>
      <c r="I617" s="2">
        <v>0.95058590173721247</v>
      </c>
      <c r="J617" s="2" t="s">
        <v>27</v>
      </c>
      <c r="K617" s="2" t="s">
        <v>676</v>
      </c>
      <c r="L617" s="2">
        <v>135</v>
      </c>
    </row>
    <row r="618" spans="1:12" ht="90" customHeight="1" x14ac:dyDescent="0.3">
      <c r="A618" s="6"/>
      <c r="B618" s="6"/>
      <c r="C618" s="6"/>
      <c r="D618" s="6"/>
      <c r="E618" s="6"/>
      <c r="F618" s="6"/>
      <c r="G618" s="6"/>
      <c r="H618" s="4" t="s">
        <v>677</v>
      </c>
      <c r="I618" s="4">
        <v>0.73223531246185303</v>
      </c>
      <c r="J618" s="4" t="s">
        <v>27</v>
      </c>
      <c r="K618" s="4" t="s">
        <v>169</v>
      </c>
      <c r="L618" s="4">
        <v>100</v>
      </c>
    </row>
    <row r="619" spans="1:12" ht="90" customHeight="1" x14ac:dyDescent="0.3">
      <c r="A619" s="6"/>
      <c r="B619" s="6"/>
      <c r="C619" s="6"/>
      <c r="D619" s="6"/>
      <c r="E619" s="6"/>
      <c r="F619" s="6"/>
      <c r="G619" s="6"/>
      <c r="H619" s="1"/>
      <c r="I619" s="1"/>
      <c r="J619" s="1"/>
      <c r="K619" s="1"/>
      <c r="L619" s="1"/>
    </row>
    <row r="620" spans="1:12" ht="90" customHeight="1" x14ac:dyDescent="0.3">
      <c r="A620" s="6"/>
      <c r="B620" s="6"/>
      <c r="C620" s="6"/>
      <c r="D620" s="6"/>
      <c r="E620" s="6"/>
      <c r="F620" s="6"/>
      <c r="G620" s="6"/>
      <c r="H620" s="1"/>
      <c r="I620" s="1"/>
      <c r="J620" s="1"/>
      <c r="K620" s="1"/>
      <c r="L620" s="1"/>
    </row>
    <row r="621" spans="1:12" ht="90" customHeight="1" x14ac:dyDescent="0.3">
      <c r="A621" s="6"/>
      <c r="B621" s="6"/>
      <c r="C621" s="6"/>
      <c r="D621" s="6"/>
      <c r="E621" s="6"/>
      <c r="F621" s="6"/>
      <c r="G621" s="6"/>
      <c r="H621" s="1"/>
      <c r="I621" s="1"/>
      <c r="J621" s="1"/>
      <c r="K621" s="1"/>
      <c r="L621" s="1"/>
    </row>
    <row r="622" spans="1:12" ht="90" customHeight="1" x14ac:dyDescent="0.3">
      <c r="A622" s="5" t="s">
        <v>678</v>
      </c>
      <c r="B622" s="5" t="s">
        <v>244</v>
      </c>
      <c r="C622" s="5" t="s">
        <v>251</v>
      </c>
      <c r="D622" s="7" t="s">
        <v>15</v>
      </c>
      <c r="E622" s="7" t="s">
        <v>16</v>
      </c>
      <c r="F622" s="5" t="s">
        <v>679</v>
      </c>
      <c r="G622" s="5" t="s">
        <v>680</v>
      </c>
      <c r="H622" s="2" t="s">
        <v>681</v>
      </c>
      <c r="I622" s="2">
        <v>0.98434489965438843</v>
      </c>
      <c r="J622" s="2" t="s">
        <v>27</v>
      </c>
      <c r="K622" s="2" t="s">
        <v>682</v>
      </c>
      <c r="L622" s="2">
        <v>15</v>
      </c>
    </row>
    <row r="623" spans="1:12" ht="90" customHeight="1" x14ac:dyDescent="0.3">
      <c r="A623" s="6"/>
      <c r="B623" s="6"/>
      <c r="C623" s="6"/>
      <c r="D623" s="6"/>
      <c r="E623" s="6"/>
      <c r="F623" s="6"/>
      <c r="G623" s="6"/>
      <c r="H623" s="1" t="s">
        <v>683</v>
      </c>
      <c r="I623" s="1">
        <v>0.76284110546112061</v>
      </c>
      <c r="J623" s="1" t="s">
        <v>27</v>
      </c>
      <c r="K623" s="1" t="s">
        <v>244</v>
      </c>
      <c r="L623" s="1">
        <v>23</v>
      </c>
    </row>
    <row r="624" spans="1:12" ht="90" customHeight="1" x14ac:dyDescent="0.3">
      <c r="A624" s="6"/>
      <c r="B624" s="6"/>
      <c r="C624" s="6"/>
      <c r="D624" s="6"/>
      <c r="E624" s="6"/>
      <c r="F624" s="6"/>
      <c r="G624" s="6"/>
      <c r="H624" s="1"/>
      <c r="I624" s="1"/>
      <c r="J624" s="1"/>
      <c r="K624" s="1"/>
      <c r="L624" s="1"/>
    </row>
    <row r="625" spans="1:12" ht="90" customHeight="1" x14ac:dyDescent="0.3">
      <c r="A625" s="6"/>
      <c r="B625" s="6"/>
      <c r="C625" s="6"/>
      <c r="D625" s="6"/>
      <c r="E625" s="6"/>
      <c r="F625" s="6"/>
      <c r="G625" s="6"/>
      <c r="H625" s="1"/>
      <c r="I625" s="1"/>
      <c r="J625" s="1"/>
      <c r="K625" s="1"/>
      <c r="L625" s="1"/>
    </row>
    <row r="626" spans="1:12" ht="90" customHeight="1" x14ac:dyDescent="0.3">
      <c r="A626" s="6"/>
      <c r="B626" s="6"/>
      <c r="C626" s="6"/>
      <c r="D626" s="6"/>
      <c r="E626" s="6"/>
      <c r="F626" s="6"/>
      <c r="G626" s="6"/>
      <c r="H626" s="1"/>
      <c r="I626" s="1"/>
      <c r="J626" s="1"/>
      <c r="K626" s="1"/>
      <c r="L626" s="1"/>
    </row>
    <row r="627" spans="1:12" ht="90" customHeight="1" x14ac:dyDescent="0.3">
      <c r="A627" s="5" t="s">
        <v>684</v>
      </c>
      <c r="B627" s="5" t="s">
        <v>202</v>
      </c>
      <c r="C627" s="5" t="s">
        <v>268</v>
      </c>
      <c r="D627" s="7" t="s">
        <v>15</v>
      </c>
      <c r="E627" s="7" t="s">
        <v>16</v>
      </c>
      <c r="F627" s="5" t="s">
        <v>685</v>
      </c>
      <c r="G627" s="5" t="s">
        <v>686</v>
      </c>
      <c r="H627" s="2" t="s">
        <v>687</v>
      </c>
      <c r="I627" s="2">
        <v>0.77397537231445313</v>
      </c>
      <c r="J627" s="2" t="s">
        <v>27</v>
      </c>
      <c r="K627" s="2" t="s">
        <v>196</v>
      </c>
      <c r="L627" s="2">
        <v>9</v>
      </c>
    </row>
    <row r="628" spans="1:12" ht="90" customHeight="1" x14ac:dyDescent="0.3">
      <c r="A628" s="6"/>
      <c r="B628" s="6"/>
      <c r="C628" s="6"/>
      <c r="D628" s="6"/>
      <c r="E628" s="6"/>
      <c r="F628" s="6"/>
      <c r="G628" s="6"/>
      <c r="H628" s="1"/>
      <c r="I628" s="1"/>
      <c r="J628" s="1"/>
      <c r="K628" s="1"/>
      <c r="L628" s="1"/>
    </row>
    <row r="629" spans="1:12" ht="90" customHeight="1" x14ac:dyDescent="0.3">
      <c r="A629" s="6"/>
      <c r="B629" s="6"/>
      <c r="C629" s="6"/>
      <c r="D629" s="6"/>
      <c r="E629" s="6"/>
      <c r="F629" s="6"/>
      <c r="G629" s="6"/>
      <c r="H629" s="1"/>
      <c r="I629" s="1"/>
      <c r="J629" s="1"/>
      <c r="K629" s="1"/>
      <c r="L629" s="1"/>
    </row>
    <row r="630" spans="1:12" ht="90" customHeight="1" x14ac:dyDescent="0.3">
      <c r="A630" s="6"/>
      <c r="B630" s="6"/>
      <c r="C630" s="6"/>
      <c r="D630" s="6"/>
      <c r="E630" s="6"/>
      <c r="F630" s="6"/>
      <c r="G630" s="6"/>
      <c r="H630" s="1"/>
      <c r="I630" s="1"/>
      <c r="J630" s="1"/>
      <c r="K630" s="1"/>
      <c r="L630" s="1"/>
    </row>
    <row r="631" spans="1:12" ht="90" customHeight="1" x14ac:dyDescent="0.3">
      <c r="A631" s="6"/>
      <c r="B631" s="6"/>
      <c r="C631" s="6"/>
      <c r="D631" s="6"/>
      <c r="E631" s="6"/>
      <c r="F631" s="6"/>
      <c r="G631" s="6"/>
      <c r="H631" s="1"/>
      <c r="I631" s="1"/>
      <c r="J631" s="1"/>
      <c r="K631" s="1"/>
      <c r="L631" s="1"/>
    </row>
    <row r="632" spans="1:12" ht="90" customHeight="1" x14ac:dyDescent="0.3">
      <c r="A632" s="5" t="s">
        <v>688</v>
      </c>
      <c r="B632" s="5" t="s">
        <v>244</v>
      </c>
      <c r="C632" s="5" t="s">
        <v>251</v>
      </c>
      <c r="D632" s="7" t="s">
        <v>22</v>
      </c>
      <c r="E632" s="7" t="s">
        <v>23</v>
      </c>
      <c r="F632" s="5" t="s">
        <v>689</v>
      </c>
      <c r="G632" s="5" t="s">
        <v>690</v>
      </c>
      <c r="H632" s="3" t="s">
        <v>587</v>
      </c>
      <c r="I632" s="3">
        <v>0.9998353719711266</v>
      </c>
      <c r="J632" s="3" t="s">
        <v>27</v>
      </c>
      <c r="K632" s="3" t="s">
        <v>244</v>
      </c>
      <c r="L632" s="3">
        <v>36</v>
      </c>
    </row>
    <row r="633" spans="1:12" ht="90" customHeight="1" x14ac:dyDescent="0.3">
      <c r="A633" s="6"/>
      <c r="B633" s="6"/>
      <c r="C633" s="6"/>
      <c r="D633" s="6"/>
      <c r="E633" s="6"/>
      <c r="F633" s="6"/>
      <c r="G633" s="6"/>
      <c r="H633" s="1" t="s">
        <v>691</v>
      </c>
      <c r="I633" s="1">
        <v>0.80804789066314697</v>
      </c>
      <c r="J633" s="1" t="s">
        <v>27</v>
      </c>
      <c r="K633" s="1" t="s">
        <v>692</v>
      </c>
      <c r="L633" s="1">
        <v>11</v>
      </c>
    </row>
    <row r="634" spans="1:12" ht="90" customHeight="1" x14ac:dyDescent="0.3">
      <c r="A634" s="6"/>
      <c r="B634" s="6"/>
      <c r="C634" s="6"/>
      <c r="D634" s="6"/>
      <c r="E634" s="6"/>
      <c r="F634" s="6"/>
      <c r="G634" s="6"/>
      <c r="H634" s="1"/>
      <c r="I634" s="1"/>
      <c r="J634" s="1"/>
      <c r="K634" s="1"/>
      <c r="L634" s="1"/>
    </row>
    <row r="635" spans="1:12" ht="90" customHeight="1" x14ac:dyDescent="0.3">
      <c r="A635" s="6"/>
      <c r="B635" s="6"/>
      <c r="C635" s="6"/>
      <c r="D635" s="6"/>
      <c r="E635" s="6"/>
      <c r="F635" s="6"/>
      <c r="G635" s="6"/>
      <c r="H635" s="1"/>
      <c r="I635" s="1"/>
      <c r="J635" s="1"/>
      <c r="K635" s="1"/>
      <c r="L635" s="1"/>
    </row>
    <row r="636" spans="1:12" ht="90" customHeight="1" x14ac:dyDescent="0.3">
      <c r="A636" s="6"/>
      <c r="B636" s="6"/>
      <c r="C636" s="6"/>
      <c r="D636" s="6"/>
      <c r="E636" s="6"/>
      <c r="F636" s="6"/>
      <c r="G636" s="6"/>
      <c r="H636" s="1"/>
      <c r="I636" s="1"/>
      <c r="J636" s="1"/>
      <c r="K636" s="1"/>
      <c r="L636" s="1"/>
    </row>
    <row r="637" spans="1:12" ht="90" customHeight="1" x14ac:dyDescent="0.3">
      <c r="A637" s="5" t="s">
        <v>693</v>
      </c>
      <c r="B637" s="5" t="s">
        <v>274</v>
      </c>
      <c r="C637" s="5" t="s">
        <v>694</v>
      </c>
      <c r="D637" s="7" t="s">
        <v>22</v>
      </c>
      <c r="E637" s="7" t="s">
        <v>23</v>
      </c>
      <c r="F637" s="5" t="s">
        <v>695</v>
      </c>
      <c r="G637" s="5" t="s">
        <v>696</v>
      </c>
      <c r="H637" s="3" t="s">
        <v>697</v>
      </c>
      <c r="I637" s="3">
        <v>0.99995911121368408</v>
      </c>
      <c r="J637" s="3" t="s">
        <v>27</v>
      </c>
      <c r="K637" s="3" t="s">
        <v>274</v>
      </c>
      <c r="L637" s="3">
        <v>66</v>
      </c>
    </row>
    <row r="638" spans="1:12" ht="90" customHeight="1" x14ac:dyDescent="0.3">
      <c r="A638" s="6"/>
      <c r="B638" s="6"/>
      <c r="C638" s="6"/>
      <c r="D638" s="6"/>
      <c r="E638" s="6"/>
      <c r="F638" s="6"/>
      <c r="G638" s="6"/>
      <c r="H638" s="4" t="s">
        <v>698</v>
      </c>
      <c r="I638" s="4">
        <v>0.9999319314956665</v>
      </c>
      <c r="J638" s="4" t="s">
        <v>27</v>
      </c>
      <c r="K638" s="4" t="s">
        <v>274</v>
      </c>
      <c r="L638" s="4">
        <v>65</v>
      </c>
    </row>
    <row r="639" spans="1:12" ht="90" customHeight="1" x14ac:dyDescent="0.3">
      <c r="A639" s="6"/>
      <c r="B639" s="6"/>
      <c r="C639" s="6"/>
      <c r="D639" s="6"/>
      <c r="E639" s="6"/>
      <c r="F639" s="6"/>
      <c r="G639" s="6"/>
      <c r="H639" s="1"/>
      <c r="I639" s="1"/>
      <c r="J639" s="1"/>
      <c r="K639" s="1"/>
      <c r="L639" s="1"/>
    </row>
    <row r="640" spans="1:12" ht="90" customHeight="1" x14ac:dyDescent="0.3">
      <c r="A640" s="6"/>
      <c r="B640" s="6"/>
      <c r="C640" s="6"/>
      <c r="D640" s="6"/>
      <c r="E640" s="6"/>
      <c r="F640" s="6"/>
      <c r="G640" s="6"/>
      <c r="H640" s="1"/>
      <c r="I640" s="1"/>
      <c r="J640" s="1"/>
      <c r="K640" s="1"/>
      <c r="L640" s="1"/>
    </row>
    <row r="641" spans="1:12" ht="90" customHeight="1" x14ac:dyDescent="0.3">
      <c r="A641" s="6"/>
      <c r="B641" s="6"/>
      <c r="C641" s="6"/>
      <c r="D641" s="6"/>
      <c r="E641" s="6"/>
      <c r="F641" s="6"/>
      <c r="G641" s="6"/>
      <c r="H641" s="1"/>
      <c r="I641" s="1"/>
      <c r="J641" s="1"/>
      <c r="K641" s="1"/>
      <c r="L641" s="1"/>
    </row>
    <row r="642" spans="1:12" ht="90" customHeight="1" x14ac:dyDescent="0.3">
      <c r="A642" s="5" t="s">
        <v>699</v>
      </c>
      <c r="B642" s="5" t="s">
        <v>331</v>
      </c>
      <c r="C642" s="5" t="s">
        <v>14</v>
      </c>
      <c r="D642" s="7" t="s">
        <v>22</v>
      </c>
      <c r="E642" s="7" t="s">
        <v>23</v>
      </c>
      <c r="F642" s="5" t="s">
        <v>700</v>
      </c>
      <c r="G642" s="5" t="s">
        <v>701</v>
      </c>
      <c r="H642" s="3" t="s">
        <v>551</v>
      </c>
      <c r="I642" s="3">
        <v>0.97755521113380006</v>
      </c>
      <c r="J642" s="3" t="s">
        <v>27</v>
      </c>
      <c r="K642" s="3" t="s">
        <v>331</v>
      </c>
      <c r="L642" s="3">
        <v>1</v>
      </c>
    </row>
    <row r="643" spans="1:12" ht="90" customHeight="1" x14ac:dyDescent="0.3">
      <c r="A643" s="6"/>
      <c r="B643" s="6"/>
      <c r="C643" s="6"/>
      <c r="D643" s="6"/>
      <c r="E643" s="6"/>
      <c r="F643" s="6"/>
      <c r="G643" s="6"/>
      <c r="H643" s="1"/>
      <c r="I643" s="1"/>
      <c r="J643" s="1"/>
      <c r="K643" s="1"/>
      <c r="L643" s="1"/>
    </row>
    <row r="644" spans="1:12" ht="90" customHeight="1" x14ac:dyDescent="0.3">
      <c r="A644" s="6"/>
      <c r="B644" s="6"/>
      <c r="C644" s="6"/>
      <c r="D644" s="6"/>
      <c r="E644" s="6"/>
      <c r="F644" s="6"/>
      <c r="G644" s="6"/>
      <c r="H644" s="1"/>
      <c r="I644" s="1"/>
      <c r="J644" s="1"/>
      <c r="K644" s="1"/>
      <c r="L644" s="1"/>
    </row>
    <row r="645" spans="1:12" ht="90" customHeight="1" x14ac:dyDescent="0.3">
      <c r="A645" s="6"/>
      <c r="B645" s="6"/>
      <c r="C645" s="6"/>
      <c r="D645" s="6"/>
      <c r="E645" s="6"/>
      <c r="F645" s="6"/>
      <c r="G645" s="6"/>
      <c r="H645" s="1"/>
      <c r="I645" s="1"/>
      <c r="J645" s="1"/>
      <c r="K645" s="1"/>
      <c r="L645" s="1"/>
    </row>
    <row r="646" spans="1:12" ht="90" customHeight="1" x14ac:dyDescent="0.3">
      <c r="A646" s="6"/>
      <c r="B646" s="6"/>
      <c r="C646" s="6"/>
      <c r="D646" s="6"/>
      <c r="E646" s="6"/>
      <c r="F646" s="6"/>
      <c r="G646" s="6"/>
      <c r="H646" s="1"/>
      <c r="I646" s="1"/>
      <c r="J646" s="1"/>
      <c r="K646" s="1"/>
      <c r="L646" s="1"/>
    </row>
    <row r="647" spans="1:12" ht="90" customHeight="1" x14ac:dyDescent="0.3">
      <c r="A647" s="5" t="s">
        <v>702</v>
      </c>
      <c r="B647" s="5" t="s">
        <v>141</v>
      </c>
      <c r="C647" s="5" t="s">
        <v>14</v>
      </c>
      <c r="D647" s="7" t="s">
        <v>15</v>
      </c>
      <c r="E647" s="7" t="s">
        <v>16</v>
      </c>
      <c r="F647" s="5" t="s">
        <v>703</v>
      </c>
      <c r="G647" s="5" t="s">
        <v>18</v>
      </c>
      <c r="H647" s="1"/>
      <c r="I647" s="1"/>
      <c r="J647" s="1"/>
      <c r="K647" s="1"/>
      <c r="L647" s="1"/>
    </row>
    <row r="648" spans="1:12" ht="90" customHeight="1" x14ac:dyDescent="0.3">
      <c r="A648" s="6"/>
      <c r="B648" s="6"/>
      <c r="C648" s="6"/>
      <c r="D648" s="6"/>
      <c r="E648" s="6"/>
      <c r="F648" s="6"/>
      <c r="G648" s="6"/>
      <c r="H648" s="1"/>
      <c r="I648" s="1"/>
      <c r="J648" s="1"/>
      <c r="K648" s="1"/>
      <c r="L648" s="1"/>
    </row>
    <row r="649" spans="1:12" ht="90" customHeight="1" x14ac:dyDescent="0.3">
      <c r="A649" s="6"/>
      <c r="B649" s="6"/>
      <c r="C649" s="6"/>
      <c r="D649" s="6"/>
      <c r="E649" s="6"/>
      <c r="F649" s="6"/>
      <c r="G649" s="6"/>
      <c r="H649" s="1"/>
      <c r="I649" s="1"/>
      <c r="J649" s="1"/>
      <c r="K649" s="1"/>
      <c r="L649" s="1"/>
    </row>
    <row r="650" spans="1:12" ht="90" customHeight="1" x14ac:dyDescent="0.3">
      <c r="A650" s="6"/>
      <c r="B650" s="6"/>
      <c r="C650" s="6"/>
      <c r="D650" s="6"/>
      <c r="E650" s="6"/>
      <c r="F650" s="6"/>
      <c r="G650" s="6"/>
      <c r="H650" s="1"/>
      <c r="I650" s="1"/>
      <c r="J650" s="1"/>
      <c r="K650" s="1"/>
      <c r="L650" s="1"/>
    </row>
    <row r="651" spans="1:12" ht="90" customHeight="1" x14ac:dyDescent="0.3">
      <c r="A651" s="6"/>
      <c r="B651" s="6"/>
      <c r="C651" s="6"/>
      <c r="D651" s="6"/>
      <c r="E651" s="6"/>
      <c r="F651" s="6"/>
      <c r="G651" s="6"/>
      <c r="H651" s="1"/>
      <c r="I651" s="1"/>
      <c r="J651" s="1"/>
      <c r="K651" s="1"/>
      <c r="L651" s="1"/>
    </row>
    <row r="652" spans="1:12" ht="90" customHeight="1" x14ac:dyDescent="0.3">
      <c r="A652" s="5" t="s">
        <v>704</v>
      </c>
      <c r="B652" s="5" t="s">
        <v>141</v>
      </c>
      <c r="C652" s="5" t="s">
        <v>572</v>
      </c>
      <c r="D652" s="7" t="s">
        <v>15</v>
      </c>
      <c r="E652" s="7" t="s">
        <v>16</v>
      </c>
      <c r="F652" s="5" t="s">
        <v>705</v>
      </c>
      <c r="G652" s="5" t="s">
        <v>706</v>
      </c>
      <c r="H652" s="2" t="s">
        <v>707</v>
      </c>
      <c r="I652" s="2">
        <v>0.99985504150390625</v>
      </c>
      <c r="J652" s="2" t="s">
        <v>27</v>
      </c>
      <c r="K652" s="2" t="s">
        <v>708</v>
      </c>
      <c r="L652" s="2">
        <v>31</v>
      </c>
    </row>
    <row r="653" spans="1:12" ht="90" customHeight="1" x14ac:dyDescent="0.3">
      <c r="A653" s="6"/>
      <c r="B653" s="6"/>
      <c r="C653" s="6"/>
      <c r="D653" s="6"/>
      <c r="E653" s="6"/>
      <c r="F653" s="6"/>
      <c r="G653" s="6"/>
      <c r="H653" s="2" t="s">
        <v>709</v>
      </c>
      <c r="I653" s="2">
        <v>0.99965059757232666</v>
      </c>
      <c r="J653" s="2" t="s">
        <v>27</v>
      </c>
      <c r="K653" s="2" t="s">
        <v>710</v>
      </c>
      <c r="L653" s="2">
        <v>12</v>
      </c>
    </row>
    <row r="654" spans="1:12" ht="90" customHeight="1" x14ac:dyDescent="0.3">
      <c r="A654" s="6"/>
      <c r="B654" s="6"/>
      <c r="C654" s="6"/>
      <c r="D654" s="6"/>
      <c r="E654" s="6"/>
      <c r="F654" s="6"/>
      <c r="G654" s="6"/>
      <c r="H654" s="2" t="s">
        <v>711</v>
      </c>
      <c r="I654" s="2">
        <v>0.99819666147232056</v>
      </c>
      <c r="J654" s="2" t="s">
        <v>27</v>
      </c>
      <c r="K654" s="2" t="s">
        <v>712</v>
      </c>
      <c r="L654" s="2">
        <v>10</v>
      </c>
    </row>
    <row r="655" spans="1:12" ht="90" customHeight="1" x14ac:dyDescent="0.3">
      <c r="A655" s="6"/>
      <c r="B655" s="6"/>
      <c r="C655" s="6"/>
      <c r="D655" s="6"/>
      <c r="E655" s="6"/>
      <c r="F655" s="6"/>
      <c r="G655" s="6"/>
      <c r="H655" s="1" t="s">
        <v>713</v>
      </c>
      <c r="I655" s="1">
        <v>0.99784386157989502</v>
      </c>
      <c r="J655" s="1" t="s">
        <v>27</v>
      </c>
      <c r="K655" s="1" t="s">
        <v>714</v>
      </c>
      <c r="L655" s="1">
        <v>12</v>
      </c>
    </row>
    <row r="656" spans="1:12" ht="90" customHeight="1" x14ac:dyDescent="0.3">
      <c r="A656" s="6"/>
      <c r="B656" s="6"/>
      <c r="C656" s="6"/>
      <c r="D656" s="6"/>
      <c r="E656" s="6"/>
      <c r="F656" s="6"/>
      <c r="G656" s="6"/>
      <c r="H656" s="1" t="s">
        <v>715</v>
      </c>
      <c r="I656" s="1">
        <v>0.99453401565551758</v>
      </c>
      <c r="J656" s="1" t="s">
        <v>27</v>
      </c>
      <c r="K656" s="1" t="s">
        <v>716</v>
      </c>
      <c r="L656" s="1">
        <v>12</v>
      </c>
    </row>
    <row r="657" spans="1:12" ht="90" customHeight="1" x14ac:dyDescent="0.3">
      <c r="A657" s="5" t="s">
        <v>717</v>
      </c>
      <c r="B657" s="5" t="s">
        <v>141</v>
      </c>
      <c r="C657" s="5" t="s">
        <v>142</v>
      </c>
      <c r="D657" s="7" t="s">
        <v>15</v>
      </c>
      <c r="E657" s="7" t="s">
        <v>16</v>
      </c>
      <c r="F657" s="5" t="s">
        <v>718</v>
      </c>
      <c r="G657" s="5" t="s">
        <v>719</v>
      </c>
      <c r="H657" s="2" t="s">
        <v>149</v>
      </c>
      <c r="I657" s="2">
        <v>0.96330595016479492</v>
      </c>
      <c r="J657" s="2" t="s">
        <v>27</v>
      </c>
      <c r="K657" s="2" t="s">
        <v>150</v>
      </c>
      <c r="L657" s="2">
        <v>1</v>
      </c>
    </row>
    <row r="658" spans="1:12" ht="90" customHeight="1" x14ac:dyDescent="0.3">
      <c r="A658" s="6"/>
      <c r="B658" s="6"/>
      <c r="C658" s="6"/>
      <c r="D658" s="6"/>
      <c r="E658" s="6"/>
      <c r="F658" s="6"/>
      <c r="G658" s="6"/>
      <c r="H658" s="1"/>
      <c r="I658" s="1"/>
      <c r="J658" s="1"/>
      <c r="K658" s="1"/>
      <c r="L658" s="1"/>
    </row>
    <row r="659" spans="1:12" ht="90" customHeight="1" x14ac:dyDescent="0.3">
      <c r="A659" s="6"/>
      <c r="B659" s="6"/>
      <c r="C659" s="6"/>
      <c r="D659" s="6"/>
      <c r="E659" s="6"/>
      <c r="F659" s="6"/>
      <c r="G659" s="6"/>
      <c r="H659" s="1"/>
      <c r="I659" s="1"/>
      <c r="J659" s="1"/>
      <c r="K659" s="1"/>
      <c r="L659" s="1"/>
    </row>
    <row r="660" spans="1:12" ht="90" customHeight="1" x14ac:dyDescent="0.3">
      <c r="A660" s="6"/>
      <c r="B660" s="6"/>
      <c r="C660" s="6"/>
      <c r="D660" s="6"/>
      <c r="E660" s="6"/>
      <c r="F660" s="6"/>
      <c r="G660" s="6"/>
      <c r="H660" s="1"/>
      <c r="I660" s="1"/>
      <c r="J660" s="1"/>
      <c r="K660" s="1"/>
      <c r="L660" s="1"/>
    </row>
    <row r="661" spans="1:12" ht="90" customHeight="1" x14ac:dyDescent="0.3">
      <c r="A661" s="6"/>
      <c r="B661" s="6"/>
      <c r="C661" s="6"/>
      <c r="D661" s="6"/>
      <c r="E661" s="6"/>
      <c r="F661" s="6"/>
      <c r="G661" s="6"/>
      <c r="H661" s="1"/>
      <c r="I661" s="1"/>
      <c r="J661" s="1"/>
      <c r="K661" s="1"/>
      <c r="L661" s="1"/>
    </row>
    <row r="662" spans="1:12" ht="90" customHeight="1" x14ac:dyDescent="0.3">
      <c r="A662" s="5" t="s">
        <v>720</v>
      </c>
      <c r="B662" s="5" t="s">
        <v>141</v>
      </c>
      <c r="C662" s="5" t="s">
        <v>190</v>
      </c>
      <c r="D662" s="7" t="s">
        <v>15</v>
      </c>
      <c r="E662" s="7" t="s">
        <v>16</v>
      </c>
      <c r="F662" s="5" t="s">
        <v>721</v>
      </c>
      <c r="G662" s="5" t="s">
        <v>18</v>
      </c>
      <c r="H662" s="1"/>
      <c r="I662" s="1"/>
      <c r="J662" s="1"/>
      <c r="K662" s="1"/>
      <c r="L662" s="1"/>
    </row>
    <row r="663" spans="1:12" ht="90" customHeight="1" x14ac:dyDescent="0.3">
      <c r="A663" s="6"/>
      <c r="B663" s="6"/>
      <c r="C663" s="6"/>
      <c r="D663" s="6"/>
      <c r="E663" s="6"/>
      <c r="F663" s="6"/>
      <c r="G663" s="6"/>
      <c r="H663" s="1"/>
      <c r="I663" s="1"/>
      <c r="J663" s="1"/>
      <c r="K663" s="1"/>
      <c r="L663" s="1"/>
    </row>
    <row r="664" spans="1:12" ht="90" customHeight="1" x14ac:dyDescent="0.3">
      <c r="A664" s="6"/>
      <c r="B664" s="6"/>
      <c r="C664" s="6"/>
      <c r="D664" s="6"/>
      <c r="E664" s="6"/>
      <c r="F664" s="6"/>
      <c r="G664" s="6"/>
      <c r="H664" s="1"/>
      <c r="I664" s="1"/>
      <c r="J664" s="1"/>
      <c r="K664" s="1"/>
      <c r="L664" s="1"/>
    </row>
    <row r="665" spans="1:12" ht="90" customHeight="1" x14ac:dyDescent="0.3">
      <c r="A665" s="6"/>
      <c r="B665" s="6"/>
      <c r="C665" s="6"/>
      <c r="D665" s="6"/>
      <c r="E665" s="6"/>
      <c r="F665" s="6"/>
      <c r="G665" s="6"/>
      <c r="H665" s="1"/>
      <c r="I665" s="1"/>
      <c r="J665" s="1"/>
      <c r="K665" s="1"/>
      <c r="L665" s="1"/>
    </row>
    <row r="666" spans="1:12" ht="90" customHeight="1" x14ac:dyDescent="0.3">
      <c r="A666" s="6"/>
      <c r="B666" s="6"/>
      <c r="C666" s="6"/>
      <c r="D666" s="6"/>
      <c r="E666" s="6"/>
      <c r="F666" s="6"/>
      <c r="G666" s="6"/>
      <c r="H666" s="1"/>
      <c r="I666" s="1"/>
      <c r="J666" s="1"/>
      <c r="K666" s="1"/>
      <c r="L666" s="1"/>
    </row>
    <row r="667" spans="1:12" ht="90" customHeight="1" x14ac:dyDescent="0.3">
      <c r="A667" s="5" t="s">
        <v>722</v>
      </c>
      <c r="B667" s="5" t="s">
        <v>141</v>
      </c>
      <c r="C667" s="5" t="s">
        <v>190</v>
      </c>
      <c r="D667" s="7" t="s">
        <v>15</v>
      </c>
      <c r="E667" s="7" t="s">
        <v>16</v>
      </c>
      <c r="F667" s="5" t="s">
        <v>723</v>
      </c>
      <c r="G667" s="5" t="s">
        <v>724</v>
      </c>
      <c r="H667" s="2" t="s">
        <v>725</v>
      </c>
      <c r="I667" s="2">
        <v>0.73159593343734741</v>
      </c>
      <c r="J667" s="2" t="s">
        <v>27</v>
      </c>
      <c r="K667" s="2" t="s">
        <v>262</v>
      </c>
      <c r="L667" s="2">
        <v>7</v>
      </c>
    </row>
    <row r="668" spans="1:12" ht="90" customHeight="1" x14ac:dyDescent="0.3">
      <c r="A668" s="6"/>
      <c r="B668" s="6"/>
      <c r="C668" s="6"/>
      <c r="D668" s="6"/>
      <c r="E668" s="6"/>
      <c r="F668" s="6"/>
      <c r="G668" s="6"/>
      <c r="H668" s="1"/>
      <c r="I668" s="1"/>
      <c r="J668" s="1"/>
      <c r="K668" s="1"/>
      <c r="L668" s="1"/>
    </row>
    <row r="669" spans="1:12" ht="90" customHeight="1" x14ac:dyDescent="0.3">
      <c r="A669" s="6"/>
      <c r="B669" s="6"/>
      <c r="C669" s="6"/>
      <c r="D669" s="6"/>
      <c r="E669" s="6"/>
      <c r="F669" s="6"/>
      <c r="G669" s="6"/>
      <c r="H669" s="1"/>
      <c r="I669" s="1"/>
      <c r="J669" s="1"/>
      <c r="K669" s="1"/>
      <c r="L669" s="1"/>
    </row>
    <row r="670" spans="1:12" ht="90" customHeight="1" x14ac:dyDescent="0.3">
      <c r="A670" s="6"/>
      <c r="B670" s="6"/>
      <c r="C670" s="6"/>
      <c r="D670" s="6"/>
      <c r="E670" s="6"/>
      <c r="F670" s="6"/>
      <c r="G670" s="6"/>
      <c r="H670" s="1"/>
      <c r="I670" s="1"/>
      <c r="J670" s="1"/>
      <c r="K670" s="1"/>
      <c r="L670" s="1"/>
    </row>
    <row r="671" spans="1:12" ht="90" customHeight="1" x14ac:dyDescent="0.3">
      <c r="A671" s="6"/>
      <c r="B671" s="6"/>
      <c r="C671" s="6"/>
      <c r="D671" s="6"/>
      <c r="E671" s="6"/>
      <c r="F671" s="6"/>
      <c r="G671" s="6"/>
      <c r="H671" s="1"/>
      <c r="I671" s="1"/>
      <c r="J671" s="1"/>
      <c r="K671" s="1"/>
      <c r="L671" s="1"/>
    </row>
    <row r="672" spans="1:12" ht="90" customHeight="1" x14ac:dyDescent="0.3">
      <c r="A672" s="5" t="s">
        <v>726</v>
      </c>
      <c r="B672" s="5" t="s">
        <v>141</v>
      </c>
      <c r="C672" s="5" t="s">
        <v>727</v>
      </c>
      <c r="D672" s="7" t="s">
        <v>15</v>
      </c>
      <c r="E672" s="7" t="s">
        <v>16</v>
      </c>
      <c r="F672" s="5" t="s">
        <v>728</v>
      </c>
      <c r="G672" s="5" t="s">
        <v>729</v>
      </c>
      <c r="H672" s="2" t="s">
        <v>730</v>
      </c>
      <c r="I672" s="2">
        <v>0.99920624494552612</v>
      </c>
      <c r="J672" s="2" t="s">
        <v>27</v>
      </c>
      <c r="K672" s="2" t="s">
        <v>274</v>
      </c>
      <c r="L672" s="2">
        <v>317</v>
      </c>
    </row>
    <row r="673" spans="1:12" ht="90" customHeight="1" x14ac:dyDescent="0.3">
      <c r="A673" s="6"/>
      <c r="B673" s="6"/>
      <c r="C673" s="6"/>
      <c r="D673" s="6"/>
      <c r="E673" s="6"/>
      <c r="F673" s="6"/>
      <c r="G673" s="6"/>
      <c r="H673" s="2" t="s">
        <v>731</v>
      </c>
      <c r="I673" s="2">
        <v>0.99894851446151733</v>
      </c>
      <c r="J673" s="2" t="s">
        <v>27</v>
      </c>
      <c r="K673" s="2" t="s">
        <v>176</v>
      </c>
      <c r="L673" s="2">
        <v>427</v>
      </c>
    </row>
    <row r="674" spans="1:12" ht="90" customHeight="1" x14ac:dyDescent="0.3">
      <c r="A674" s="6"/>
      <c r="B674" s="6"/>
      <c r="C674" s="6"/>
      <c r="D674" s="6"/>
      <c r="E674" s="6"/>
      <c r="F674" s="6"/>
      <c r="G674" s="6"/>
      <c r="H674" s="2" t="s">
        <v>732</v>
      </c>
      <c r="I674" s="2">
        <v>0.9988023042678833</v>
      </c>
      <c r="J674" s="2" t="s">
        <v>27</v>
      </c>
      <c r="K674" s="2" t="s">
        <v>81</v>
      </c>
      <c r="L674" s="2">
        <v>398</v>
      </c>
    </row>
    <row r="675" spans="1:12" ht="90" customHeight="1" x14ac:dyDescent="0.3">
      <c r="A675" s="6"/>
      <c r="B675" s="6"/>
      <c r="C675" s="6"/>
      <c r="D675" s="6"/>
      <c r="E675" s="6"/>
      <c r="F675" s="6"/>
      <c r="G675" s="6"/>
      <c r="H675" s="1" t="s">
        <v>733</v>
      </c>
      <c r="I675" s="1">
        <v>0.99878031015396118</v>
      </c>
      <c r="J675" s="1" t="s">
        <v>27</v>
      </c>
      <c r="K675" s="1" t="s">
        <v>274</v>
      </c>
      <c r="L675" s="1">
        <v>307</v>
      </c>
    </row>
    <row r="676" spans="1:12" ht="90" customHeight="1" x14ac:dyDescent="0.3">
      <c r="A676" s="6"/>
      <c r="B676" s="6"/>
      <c r="C676" s="6"/>
      <c r="D676" s="6"/>
      <c r="E676" s="6"/>
      <c r="F676" s="6"/>
      <c r="G676" s="6"/>
      <c r="H676" s="1" t="s">
        <v>734</v>
      </c>
      <c r="I676" s="1">
        <v>0.99874508380889893</v>
      </c>
      <c r="J676" s="1" t="s">
        <v>27</v>
      </c>
      <c r="K676" s="1" t="s">
        <v>81</v>
      </c>
      <c r="L676" s="1">
        <v>397</v>
      </c>
    </row>
    <row r="677" spans="1:12" ht="90" customHeight="1" x14ac:dyDescent="0.3">
      <c r="A677" s="5" t="s">
        <v>735</v>
      </c>
      <c r="B677" s="5" t="s">
        <v>141</v>
      </c>
      <c r="C677" s="5" t="s">
        <v>263</v>
      </c>
      <c r="D677" s="7" t="s">
        <v>15</v>
      </c>
      <c r="E677" s="7" t="s">
        <v>16</v>
      </c>
      <c r="F677" s="5" t="s">
        <v>736</v>
      </c>
      <c r="G677" s="5" t="s">
        <v>737</v>
      </c>
      <c r="H677" s="2" t="s">
        <v>738</v>
      </c>
      <c r="I677" s="2">
        <v>0.99754375219345093</v>
      </c>
      <c r="J677" s="2" t="s">
        <v>27</v>
      </c>
      <c r="K677" s="2" t="s">
        <v>739</v>
      </c>
      <c r="L677" s="2">
        <v>393</v>
      </c>
    </row>
    <row r="678" spans="1:12" ht="90" customHeight="1" x14ac:dyDescent="0.3">
      <c r="A678" s="6"/>
      <c r="B678" s="6"/>
      <c r="C678" s="6"/>
      <c r="D678" s="6"/>
      <c r="E678" s="6"/>
      <c r="F678" s="6"/>
      <c r="G678" s="6"/>
      <c r="H678" s="2" t="s">
        <v>740</v>
      </c>
      <c r="I678" s="2">
        <v>0.99646914005279541</v>
      </c>
      <c r="J678" s="2" t="s">
        <v>27</v>
      </c>
      <c r="K678" s="2" t="s">
        <v>274</v>
      </c>
      <c r="L678" s="2">
        <v>379</v>
      </c>
    </row>
    <row r="679" spans="1:12" ht="90" customHeight="1" x14ac:dyDescent="0.3">
      <c r="A679" s="6"/>
      <c r="B679" s="6"/>
      <c r="C679" s="6"/>
      <c r="D679" s="6"/>
      <c r="E679" s="6"/>
      <c r="F679" s="6"/>
      <c r="G679" s="6"/>
      <c r="H679" s="2" t="s">
        <v>741</v>
      </c>
      <c r="I679" s="2">
        <v>0.99646087799850025</v>
      </c>
      <c r="J679" s="2" t="s">
        <v>83</v>
      </c>
      <c r="K679" s="2" t="s">
        <v>742</v>
      </c>
      <c r="L679" s="2">
        <v>3</v>
      </c>
    </row>
    <row r="680" spans="1:12" ht="90" customHeight="1" x14ac:dyDescent="0.3">
      <c r="A680" s="6"/>
      <c r="B680" s="6"/>
      <c r="C680" s="6"/>
      <c r="D680" s="6"/>
      <c r="E680" s="6"/>
      <c r="F680" s="6"/>
      <c r="G680" s="6"/>
      <c r="H680" s="1" t="s">
        <v>743</v>
      </c>
      <c r="I680" s="1">
        <v>0.9963836669921875</v>
      </c>
      <c r="J680" s="1" t="s">
        <v>27</v>
      </c>
      <c r="K680" s="1" t="s">
        <v>274</v>
      </c>
      <c r="L680" s="1">
        <v>271</v>
      </c>
    </row>
    <row r="681" spans="1:12" ht="90" customHeight="1" x14ac:dyDescent="0.3">
      <c r="A681" s="6"/>
      <c r="B681" s="6"/>
      <c r="C681" s="6"/>
      <c r="D681" s="6"/>
      <c r="E681" s="6"/>
      <c r="F681" s="6"/>
      <c r="G681" s="6"/>
      <c r="H681" s="1" t="s">
        <v>744</v>
      </c>
      <c r="I681" s="1">
        <v>0.9943310022354126</v>
      </c>
      <c r="J681" s="1" t="s">
        <v>27</v>
      </c>
      <c r="K681" s="1" t="s">
        <v>274</v>
      </c>
      <c r="L681" s="1">
        <v>277</v>
      </c>
    </row>
    <row r="682" spans="1:12" ht="90" customHeight="1" x14ac:dyDescent="0.3">
      <c r="A682" s="5" t="s">
        <v>745</v>
      </c>
      <c r="B682" s="5" t="s">
        <v>141</v>
      </c>
      <c r="C682" s="5" t="s">
        <v>746</v>
      </c>
      <c r="D682" s="7" t="s">
        <v>15</v>
      </c>
      <c r="E682" s="7" t="s">
        <v>16</v>
      </c>
      <c r="F682" s="5" t="s">
        <v>747</v>
      </c>
      <c r="G682" s="5" t="s">
        <v>18</v>
      </c>
      <c r="H682" s="1"/>
      <c r="I682" s="1"/>
      <c r="J682" s="1"/>
      <c r="K682" s="1"/>
      <c r="L682" s="1"/>
    </row>
    <row r="683" spans="1:12" ht="90" customHeight="1" x14ac:dyDescent="0.3">
      <c r="A683" s="6"/>
      <c r="B683" s="6"/>
      <c r="C683" s="6"/>
      <c r="D683" s="6"/>
      <c r="E683" s="6"/>
      <c r="F683" s="6"/>
      <c r="G683" s="6"/>
      <c r="H683" s="1"/>
      <c r="I683" s="1"/>
      <c r="J683" s="1"/>
      <c r="K683" s="1"/>
      <c r="L683" s="1"/>
    </row>
    <row r="684" spans="1:12" ht="90" customHeight="1" x14ac:dyDescent="0.3">
      <c r="A684" s="6"/>
      <c r="B684" s="6"/>
      <c r="C684" s="6"/>
      <c r="D684" s="6"/>
      <c r="E684" s="6"/>
      <c r="F684" s="6"/>
      <c r="G684" s="6"/>
      <c r="H684" s="1"/>
      <c r="I684" s="1"/>
      <c r="J684" s="1"/>
      <c r="K684" s="1"/>
      <c r="L684" s="1"/>
    </row>
    <row r="685" spans="1:12" ht="90" customHeight="1" x14ac:dyDescent="0.3">
      <c r="A685" s="6"/>
      <c r="B685" s="6"/>
      <c r="C685" s="6"/>
      <c r="D685" s="6"/>
      <c r="E685" s="6"/>
      <c r="F685" s="6"/>
      <c r="G685" s="6"/>
      <c r="H685" s="1"/>
      <c r="I685" s="1"/>
      <c r="J685" s="1"/>
      <c r="K685" s="1"/>
      <c r="L685" s="1"/>
    </row>
    <row r="686" spans="1:12" ht="90" customHeight="1" x14ac:dyDescent="0.3">
      <c r="A686" s="6"/>
      <c r="B686" s="6"/>
      <c r="C686" s="6"/>
      <c r="D686" s="6"/>
      <c r="E686" s="6"/>
      <c r="F686" s="6"/>
      <c r="G686" s="6"/>
      <c r="H686" s="1"/>
      <c r="I686" s="1"/>
      <c r="J686" s="1"/>
      <c r="K686" s="1"/>
      <c r="L686" s="1"/>
    </row>
    <row r="687" spans="1:12" ht="90" customHeight="1" x14ac:dyDescent="0.3">
      <c r="A687" s="5" t="s">
        <v>748</v>
      </c>
      <c r="B687" s="5" t="s">
        <v>406</v>
      </c>
      <c r="C687" s="5" t="s">
        <v>351</v>
      </c>
      <c r="D687" s="7" t="s">
        <v>22</v>
      </c>
      <c r="E687" s="7" t="s">
        <v>23</v>
      </c>
      <c r="F687" s="5" t="s">
        <v>749</v>
      </c>
      <c r="G687" s="5" t="s">
        <v>750</v>
      </c>
      <c r="H687" s="3" t="s">
        <v>751</v>
      </c>
      <c r="I687" s="3">
        <v>0.9986845850944519</v>
      </c>
      <c r="J687" s="3" t="s">
        <v>83</v>
      </c>
      <c r="K687" s="3" t="s">
        <v>406</v>
      </c>
      <c r="L687" s="3">
        <v>3</v>
      </c>
    </row>
    <row r="688" spans="1:12" ht="90" customHeight="1" x14ac:dyDescent="0.3">
      <c r="A688" s="6"/>
      <c r="B688" s="6"/>
      <c r="C688" s="6"/>
      <c r="D688" s="6"/>
      <c r="E688" s="6"/>
      <c r="F688" s="6"/>
      <c r="G688" s="6"/>
      <c r="H688" s="4" t="s">
        <v>752</v>
      </c>
      <c r="I688" s="4">
        <v>0.99806088209152222</v>
      </c>
      <c r="J688" s="4" t="s">
        <v>83</v>
      </c>
      <c r="K688" s="4" t="s">
        <v>406</v>
      </c>
      <c r="L688" s="4">
        <v>2</v>
      </c>
    </row>
    <row r="689" spans="1:12" ht="90" customHeight="1" x14ac:dyDescent="0.3">
      <c r="A689" s="6"/>
      <c r="B689" s="6"/>
      <c r="C689" s="6"/>
      <c r="D689" s="6"/>
      <c r="E689" s="6"/>
      <c r="F689" s="6"/>
      <c r="G689" s="6"/>
      <c r="H689" s="1"/>
      <c r="I689" s="1"/>
      <c r="J689" s="1"/>
      <c r="K689" s="1"/>
      <c r="L689" s="1"/>
    </row>
    <row r="690" spans="1:12" ht="90" customHeight="1" x14ac:dyDescent="0.3">
      <c r="A690" s="6"/>
      <c r="B690" s="6"/>
      <c r="C690" s="6"/>
      <c r="D690" s="6"/>
      <c r="E690" s="6"/>
      <c r="F690" s="6"/>
      <c r="G690" s="6"/>
      <c r="H690" s="1"/>
      <c r="I690" s="1"/>
      <c r="J690" s="1"/>
      <c r="K690" s="1"/>
      <c r="L690" s="1"/>
    </row>
    <row r="691" spans="1:12" ht="90" customHeight="1" x14ac:dyDescent="0.3">
      <c r="A691" s="6"/>
      <c r="B691" s="6"/>
      <c r="C691" s="6"/>
      <c r="D691" s="6"/>
      <c r="E691" s="6"/>
      <c r="F691" s="6"/>
      <c r="G691" s="6"/>
      <c r="H691" s="1"/>
      <c r="I691" s="1"/>
      <c r="J691" s="1"/>
      <c r="K691" s="1"/>
      <c r="L691" s="1"/>
    </row>
    <row r="692" spans="1:12" ht="90" customHeight="1" x14ac:dyDescent="0.3">
      <c r="A692" s="5" t="s">
        <v>753</v>
      </c>
      <c r="B692" s="5" t="s">
        <v>244</v>
      </c>
      <c r="C692" s="5" t="s">
        <v>251</v>
      </c>
      <c r="D692" s="7" t="s">
        <v>22</v>
      </c>
      <c r="E692" s="7" t="s">
        <v>23</v>
      </c>
      <c r="F692" s="5" t="s">
        <v>754</v>
      </c>
      <c r="G692" s="5" t="s">
        <v>755</v>
      </c>
      <c r="H692" s="3" t="s">
        <v>587</v>
      </c>
      <c r="I692" s="3">
        <v>0.98880487680434803</v>
      </c>
      <c r="J692" s="3" t="s">
        <v>27</v>
      </c>
      <c r="K692" s="3" t="s">
        <v>244</v>
      </c>
      <c r="L692" s="3">
        <v>36</v>
      </c>
    </row>
    <row r="693" spans="1:12" ht="90" customHeight="1" x14ac:dyDescent="0.3">
      <c r="A693" s="6"/>
      <c r="B693" s="6"/>
      <c r="C693" s="6"/>
      <c r="D693" s="6"/>
      <c r="E693" s="6"/>
      <c r="F693" s="6"/>
      <c r="G693" s="6"/>
      <c r="H693" s="1"/>
      <c r="I693" s="1"/>
      <c r="J693" s="1"/>
      <c r="K693" s="1"/>
      <c r="L693" s="1"/>
    </row>
    <row r="694" spans="1:12" ht="90" customHeight="1" x14ac:dyDescent="0.3">
      <c r="A694" s="6"/>
      <c r="B694" s="6"/>
      <c r="C694" s="6"/>
      <c r="D694" s="6"/>
      <c r="E694" s="6"/>
      <c r="F694" s="6"/>
      <c r="G694" s="6"/>
      <c r="H694" s="1"/>
      <c r="I694" s="1"/>
      <c r="J694" s="1"/>
      <c r="K694" s="1"/>
      <c r="L694" s="1"/>
    </row>
    <row r="695" spans="1:12" ht="90" customHeight="1" x14ac:dyDescent="0.3">
      <c r="A695" s="6"/>
      <c r="B695" s="6"/>
      <c r="C695" s="6"/>
      <c r="D695" s="6"/>
      <c r="E695" s="6"/>
      <c r="F695" s="6"/>
      <c r="G695" s="6"/>
      <c r="H695" s="1"/>
      <c r="I695" s="1"/>
      <c r="J695" s="1"/>
      <c r="K695" s="1"/>
      <c r="L695" s="1"/>
    </row>
    <row r="696" spans="1:12" ht="90" customHeight="1" x14ac:dyDescent="0.3">
      <c r="A696" s="6"/>
      <c r="B696" s="6"/>
      <c r="C696" s="6"/>
      <c r="D696" s="6"/>
      <c r="E696" s="6"/>
      <c r="F696" s="6"/>
      <c r="G696" s="6"/>
      <c r="H696" s="1"/>
      <c r="I696" s="1"/>
      <c r="J696" s="1"/>
      <c r="K696" s="1"/>
      <c r="L696" s="1"/>
    </row>
    <row r="697" spans="1:12" ht="90" customHeight="1" x14ac:dyDescent="0.3">
      <c r="A697" s="5" t="s">
        <v>756</v>
      </c>
      <c r="B697" s="5" t="s">
        <v>757</v>
      </c>
      <c r="C697" s="5" t="s">
        <v>291</v>
      </c>
      <c r="D697" s="7" t="s">
        <v>22</v>
      </c>
      <c r="E697" s="7" t="s">
        <v>23</v>
      </c>
      <c r="F697" s="5" t="s">
        <v>758</v>
      </c>
      <c r="G697" s="5" t="s">
        <v>759</v>
      </c>
      <c r="H697" s="3" t="s">
        <v>760</v>
      </c>
      <c r="I697" s="3">
        <v>0.99981104840513957</v>
      </c>
      <c r="J697" s="3" t="s">
        <v>27</v>
      </c>
      <c r="K697" s="3" t="s">
        <v>757</v>
      </c>
      <c r="L697" s="3">
        <v>1</v>
      </c>
    </row>
    <row r="698" spans="1:12" ht="90" customHeight="1" x14ac:dyDescent="0.3">
      <c r="A698" s="6"/>
      <c r="B698" s="6"/>
      <c r="C698" s="6"/>
      <c r="D698" s="6"/>
      <c r="E698" s="6"/>
      <c r="F698" s="6"/>
      <c r="G698" s="6"/>
      <c r="H698" s="4" t="s">
        <v>761</v>
      </c>
      <c r="I698" s="4">
        <v>0.99976092576980591</v>
      </c>
      <c r="J698" s="4" t="s">
        <v>27</v>
      </c>
      <c r="K698" s="4" t="s">
        <v>757</v>
      </c>
      <c r="L698" s="4">
        <v>2</v>
      </c>
    </row>
    <row r="699" spans="1:12" ht="90" customHeight="1" x14ac:dyDescent="0.3">
      <c r="A699" s="6"/>
      <c r="B699" s="6"/>
      <c r="C699" s="6"/>
      <c r="D699" s="6"/>
      <c r="E699" s="6"/>
      <c r="F699" s="6"/>
      <c r="G699" s="6"/>
      <c r="H699" s="1"/>
      <c r="I699" s="1"/>
      <c r="J699" s="1"/>
      <c r="K699" s="1"/>
      <c r="L699" s="1"/>
    </row>
    <row r="700" spans="1:12" ht="90" customHeight="1" x14ac:dyDescent="0.3">
      <c r="A700" s="6"/>
      <c r="B700" s="6"/>
      <c r="C700" s="6"/>
      <c r="D700" s="6"/>
      <c r="E700" s="6"/>
      <c r="F700" s="6"/>
      <c r="G700" s="6"/>
      <c r="H700" s="1"/>
      <c r="I700" s="1"/>
      <c r="J700" s="1"/>
      <c r="K700" s="1"/>
      <c r="L700" s="1"/>
    </row>
    <row r="701" spans="1:12" ht="90" customHeight="1" x14ac:dyDescent="0.3">
      <c r="A701" s="6"/>
      <c r="B701" s="6"/>
      <c r="C701" s="6"/>
      <c r="D701" s="6"/>
      <c r="E701" s="6"/>
      <c r="F701" s="6"/>
      <c r="G701" s="6"/>
      <c r="H701" s="1"/>
      <c r="I701" s="1"/>
      <c r="J701" s="1"/>
      <c r="K701" s="1"/>
      <c r="L701" s="1"/>
    </row>
    <row r="702" spans="1:12" ht="90" customHeight="1" x14ac:dyDescent="0.3">
      <c r="A702" s="5" t="s">
        <v>762</v>
      </c>
      <c r="B702" s="5" t="s">
        <v>202</v>
      </c>
      <c r="C702" s="5" t="s">
        <v>268</v>
      </c>
      <c r="D702" s="7" t="s">
        <v>15</v>
      </c>
      <c r="E702" s="7" t="s">
        <v>16</v>
      </c>
      <c r="F702" s="5" t="s">
        <v>763</v>
      </c>
      <c r="G702" s="5" t="s">
        <v>18</v>
      </c>
      <c r="H702" s="1"/>
      <c r="I702" s="1"/>
      <c r="J702" s="1"/>
      <c r="K702" s="1"/>
      <c r="L702" s="1"/>
    </row>
    <row r="703" spans="1:12" ht="90" customHeight="1" x14ac:dyDescent="0.3">
      <c r="A703" s="6"/>
      <c r="B703" s="6"/>
      <c r="C703" s="6"/>
      <c r="D703" s="6"/>
      <c r="E703" s="6"/>
      <c r="F703" s="6"/>
      <c r="G703" s="6"/>
      <c r="H703" s="1"/>
      <c r="I703" s="1"/>
      <c r="J703" s="1"/>
      <c r="K703" s="1"/>
      <c r="L703" s="1"/>
    </row>
    <row r="704" spans="1:12" ht="90" customHeight="1" x14ac:dyDescent="0.3">
      <c r="A704" s="6"/>
      <c r="B704" s="6"/>
      <c r="C704" s="6"/>
      <c r="D704" s="6"/>
      <c r="E704" s="6"/>
      <c r="F704" s="6"/>
      <c r="G704" s="6"/>
      <c r="H704" s="1"/>
      <c r="I704" s="1"/>
      <c r="J704" s="1"/>
      <c r="K704" s="1"/>
      <c r="L704" s="1"/>
    </row>
    <row r="705" spans="1:12" ht="90" customHeight="1" x14ac:dyDescent="0.3">
      <c r="A705" s="6"/>
      <c r="B705" s="6"/>
      <c r="C705" s="6"/>
      <c r="D705" s="6"/>
      <c r="E705" s="6"/>
      <c r="F705" s="6"/>
      <c r="G705" s="6"/>
      <c r="H705" s="1"/>
      <c r="I705" s="1"/>
      <c r="J705" s="1"/>
      <c r="K705" s="1"/>
      <c r="L705" s="1"/>
    </row>
    <row r="706" spans="1:12" ht="90" customHeight="1" x14ac:dyDescent="0.3">
      <c r="A706" s="6"/>
      <c r="B706" s="6"/>
      <c r="C706" s="6"/>
      <c r="D706" s="6"/>
      <c r="E706" s="6"/>
      <c r="F706" s="6"/>
      <c r="G706" s="6"/>
      <c r="H706" s="1"/>
      <c r="I706" s="1"/>
      <c r="J706" s="1"/>
      <c r="K706" s="1"/>
      <c r="L706" s="1"/>
    </row>
    <row r="707" spans="1:12" ht="90" customHeight="1" x14ac:dyDescent="0.3">
      <c r="A707" s="5" t="s">
        <v>764</v>
      </c>
      <c r="B707" s="5" t="s">
        <v>417</v>
      </c>
      <c r="C707" s="5" t="s">
        <v>765</v>
      </c>
      <c r="D707" s="7" t="s">
        <v>15</v>
      </c>
      <c r="E707" s="7" t="s">
        <v>16</v>
      </c>
      <c r="F707" s="5" t="s">
        <v>766</v>
      </c>
      <c r="G707" s="5" t="s">
        <v>18</v>
      </c>
      <c r="H707" s="1"/>
      <c r="I707" s="1"/>
      <c r="J707" s="1"/>
      <c r="K707" s="1"/>
      <c r="L707" s="1"/>
    </row>
    <row r="708" spans="1:12" ht="90" customHeight="1" x14ac:dyDescent="0.3">
      <c r="A708" s="6"/>
      <c r="B708" s="6"/>
      <c r="C708" s="6"/>
      <c r="D708" s="6"/>
      <c r="E708" s="6"/>
      <c r="F708" s="6"/>
      <c r="G708" s="6"/>
      <c r="H708" s="1"/>
      <c r="I708" s="1"/>
      <c r="J708" s="1"/>
      <c r="K708" s="1"/>
      <c r="L708" s="1"/>
    </row>
    <row r="709" spans="1:12" ht="90" customHeight="1" x14ac:dyDescent="0.3">
      <c r="A709" s="6"/>
      <c r="B709" s="6"/>
      <c r="C709" s="6"/>
      <c r="D709" s="6"/>
      <c r="E709" s="6"/>
      <c r="F709" s="6"/>
      <c r="G709" s="6"/>
      <c r="H709" s="1"/>
      <c r="I709" s="1"/>
      <c r="J709" s="1"/>
      <c r="K709" s="1"/>
      <c r="L709" s="1"/>
    </row>
    <row r="710" spans="1:12" ht="90" customHeight="1" x14ac:dyDescent="0.3">
      <c r="A710" s="6"/>
      <c r="B710" s="6"/>
      <c r="C710" s="6"/>
      <c r="D710" s="6"/>
      <c r="E710" s="6"/>
      <c r="F710" s="6"/>
      <c r="G710" s="6"/>
      <c r="H710" s="1"/>
      <c r="I710" s="1"/>
      <c r="J710" s="1"/>
      <c r="K710" s="1"/>
      <c r="L710" s="1"/>
    </row>
    <row r="711" spans="1:12" ht="90" customHeight="1" x14ac:dyDescent="0.3">
      <c r="A711" s="6"/>
      <c r="B711" s="6"/>
      <c r="C711" s="6"/>
      <c r="D711" s="6"/>
      <c r="E711" s="6"/>
      <c r="F711" s="6"/>
      <c r="G711" s="6"/>
      <c r="H711" s="1"/>
      <c r="I711" s="1"/>
      <c r="J711" s="1"/>
      <c r="K711" s="1"/>
      <c r="L711" s="1"/>
    </row>
    <row r="712" spans="1:12" ht="90" customHeight="1" x14ac:dyDescent="0.3">
      <c r="A712" s="5" t="s">
        <v>767</v>
      </c>
      <c r="B712" s="5" t="s">
        <v>768</v>
      </c>
      <c r="C712" s="5" t="s">
        <v>14</v>
      </c>
      <c r="D712" s="7" t="s">
        <v>15</v>
      </c>
      <c r="E712" s="7" t="s">
        <v>16</v>
      </c>
      <c r="F712" s="5" t="s">
        <v>769</v>
      </c>
      <c r="G712" s="5" t="s">
        <v>18</v>
      </c>
      <c r="H712" s="1"/>
      <c r="I712" s="1"/>
      <c r="J712" s="1"/>
      <c r="K712" s="1"/>
      <c r="L712" s="1"/>
    </row>
    <row r="713" spans="1:12" ht="90" customHeight="1" x14ac:dyDescent="0.3">
      <c r="A713" s="6"/>
      <c r="B713" s="6"/>
      <c r="C713" s="6"/>
      <c r="D713" s="6"/>
      <c r="E713" s="6"/>
      <c r="F713" s="6"/>
      <c r="G713" s="6"/>
      <c r="H713" s="1"/>
      <c r="I713" s="1"/>
      <c r="J713" s="1"/>
      <c r="K713" s="1"/>
      <c r="L713" s="1"/>
    </row>
    <row r="714" spans="1:12" ht="90" customHeight="1" x14ac:dyDescent="0.3">
      <c r="A714" s="6"/>
      <c r="B714" s="6"/>
      <c r="C714" s="6"/>
      <c r="D714" s="6"/>
      <c r="E714" s="6"/>
      <c r="F714" s="6"/>
      <c r="G714" s="6"/>
      <c r="H714" s="1"/>
      <c r="I714" s="1"/>
      <c r="J714" s="1"/>
      <c r="K714" s="1"/>
      <c r="L714" s="1"/>
    </row>
    <row r="715" spans="1:12" ht="90" customHeight="1" x14ac:dyDescent="0.3">
      <c r="A715" s="6"/>
      <c r="B715" s="6"/>
      <c r="C715" s="6"/>
      <c r="D715" s="6"/>
      <c r="E715" s="6"/>
      <c r="F715" s="6"/>
      <c r="G715" s="6"/>
      <c r="H715" s="1"/>
      <c r="I715" s="1"/>
      <c r="J715" s="1"/>
      <c r="K715" s="1"/>
      <c r="L715" s="1"/>
    </row>
    <row r="716" spans="1:12" ht="90" customHeight="1" x14ac:dyDescent="0.3">
      <c r="A716" s="6"/>
      <c r="B716" s="6"/>
      <c r="C716" s="6"/>
      <c r="D716" s="6"/>
      <c r="E716" s="6"/>
      <c r="F716" s="6"/>
      <c r="G716" s="6"/>
      <c r="H716" s="1"/>
      <c r="I716" s="1"/>
      <c r="J716" s="1"/>
      <c r="K716" s="1"/>
      <c r="L716" s="1"/>
    </row>
    <row r="717" spans="1:12" ht="90" customHeight="1" x14ac:dyDescent="0.3">
      <c r="A717" s="5" t="s">
        <v>770</v>
      </c>
      <c r="B717" s="5" t="s">
        <v>619</v>
      </c>
      <c r="C717" s="5" t="s">
        <v>771</v>
      </c>
      <c r="D717" s="7" t="s">
        <v>22</v>
      </c>
      <c r="E717" s="7" t="s">
        <v>23</v>
      </c>
      <c r="F717" s="5" t="s">
        <v>772</v>
      </c>
      <c r="G717" s="5" t="s">
        <v>773</v>
      </c>
      <c r="H717" s="3" t="s">
        <v>774</v>
      </c>
      <c r="I717" s="3">
        <v>0.99976581335067749</v>
      </c>
      <c r="J717" s="3" t="s">
        <v>27</v>
      </c>
      <c r="K717" s="3" t="s">
        <v>619</v>
      </c>
      <c r="L717" s="3">
        <v>14</v>
      </c>
    </row>
    <row r="718" spans="1:12" ht="90" customHeight="1" x14ac:dyDescent="0.3">
      <c r="A718" s="6"/>
      <c r="B718" s="6"/>
      <c r="C718" s="6"/>
      <c r="D718" s="6"/>
      <c r="E718" s="6"/>
      <c r="F718" s="6"/>
      <c r="G718" s="6"/>
      <c r="H718" s="1" t="s">
        <v>775</v>
      </c>
      <c r="I718" s="1">
        <v>0.79517108201980591</v>
      </c>
      <c r="J718" s="1" t="s">
        <v>27</v>
      </c>
      <c r="K718" s="1" t="s">
        <v>739</v>
      </c>
      <c r="L718" s="1">
        <v>45</v>
      </c>
    </row>
    <row r="719" spans="1:12" ht="90" customHeight="1" x14ac:dyDescent="0.3">
      <c r="A719" s="6"/>
      <c r="B719" s="6"/>
      <c r="C719" s="6"/>
      <c r="D719" s="6"/>
      <c r="E719" s="6"/>
      <c r="F719" s="6"/>
      <c r="G719" s="6"/>
      <c r="H719" s="1"/>
      <c r="I719" s="1"/>
      <c r="J719" s="1"/>
      <c r="K719" s="1"/>
      <c r="L719" s="1"/>
    </row>
    <row r="720" spans="1:12" ht="90" customHeight="1" x14ac:dyDescent="0.3">
      <c r="A720" s="6"/>
      <c r="B720" s="6"/>
      <c r="C720" s="6"/>
      <c r="D720" s="6"/>
      <c r="E720" s="6"/>
      <c r="F720" s="6"/>
      <c r="G720" s="6"/>
      <c r="H720" s="1"/>
      <c r="I720" s="1"/>
      <c r="J720" s="1"/>
      <c r="K720" s="1"/>
      <c r="L720" s="1"/>
    </row>
    <row r="721" spans="1:12" ht="90" customHeight="1" x14ac:dyDescent="0.3">
      <c r="A721" s="6"/>
      <c r="B721" s="6"/>
      <c r="C721" s="6"/>
      <c r="D721" s="6"/>
      <c r="E721" s="6"/>
      <c r="F721" s="6"/>
      <c r="G721" s="6"/>
      <c r="H721" s="1"/>
      <c r="I721" s="1"/>
      <c r="J721" s="1"/>
      <c r="K721" s="1"/>
      <c r="L721" s="1"/>
    </row>
    <row r="722" spans="1:12" ht="90" customHeight="1" x14ac:dyDescent="0.3">
      <c r="A722" s="5" t="s">
        <v>776</v>
      </c>
      <c r="B722" s="5" t="s">
        <v>141</v>
      </c>
      <c r="C722" s="5" t="s">
        <v>75</v>
      </c>
      <c r="D722" s="7" t="s">
        <v>15</v>
      </c>
      <c r="E722" s="7" t="s">
        <v>16</v>
      </c>
      <c r="F722" s="5" t="s">
        <v>777</v>
      </c>
      <c r="G722" s="5" t="s">
        <v>18</v>
      </c>
      <c r="H722" s="1"/>
      <c r="I722" s="1"/>
      <c r="J722" s="1"/>
      <c r="K722" s="1"/>
      <c r="L722" s="1"/>
    </row>
    <row r="723" spans="1:12" ht="90" customHeight="1" x14ac:dyDescent="0.3">
      <c r="A723" s="6"/>
      <c r="B723" s="6"/>
      <c r="C723" s="6"/>
      <c r="D723" s="6"/>
      <c r="E723" s="6"/>
      <c r="F723" s="6"/>
      <c r="G723" s="6"/>
      <c r="H723" s="1"/>
      <c r="I723" s="1"/>
      <c r="J723" s="1"/>
      <c r="K723" s="1"/>
      <c r="L723" s="1"/>
    </row>
    <row r="724" spans="1:12" ht="90" customHeight="1" x14ac:dyDescent="0.3">
      <c r="A724" s="6"/>
      <c r="B724" s="6"/>
      <c r="C724" s="6"/>
      <c r="D724" s="6"/>
      <c r="E724" s="6"/>
      <c r="F724" s="6"/>
      <c r="G724" s="6"/>
      <c r="H724" s="1"/>
      <c r="I724" s="1"/>
      <c r="J724" s="1"/>
      <c r="K724" s="1"/>
      <c r="L724" s="1"/>
    </row>
    <row r="725" spans="1:12" ht="90" customHeight="1" x14ac:dyDescent="0.3">
      <c r="A725" s="6"/>
      <c r="B725" s="6"/>
      <c r="C725" s="6"/>
      <c r="D725" s="6"/>
      <c r="E725" s="6"/>
      <c r="F725" s="6"/>
      <c r="G725" s="6"/>
      <c r="H725" s="1"/>
      <c r="I725" s="1"/>
      <c r="J725" s="1"/>
      <c r="K725" s="1"/>
      <c r="L725" s="1"/>
    </row>
    <row r="726" spans="1:12" ht="90" customHeight="1" x14ac:dyDescent="0.3">
      <c r="A726" s="6"/>
      <c r="B726" s="6"/>
      <c r="C726" s="6"/>
      <c r="D726" s="6"/>
      <c r="E726" s="6"/>
      <c r="F726" s="6"/>
      <c r="G726" s="6"/>
      <c r="H726" s="1"/>
      <c r="I726" s="1"/>
      <c r="J726" s="1"/>
      <c r="K726" s="1"/>
      <c r="L726" s="1"/>
    </row>
    <row r="727" spans="1:12" ht="90" customHeight="1" x14ac:dyDescent="0.3">
      <c r="A727" s="5" t="s">
        <v>778</v>
      </c>
      <c r="B727" s="5" t="s">
        <v>372</v>
      </c>
      <c r="C727" s="5" t="s">
        <v>14</v>
      </c>
      <c r="D727" s="7" t="s">
        <v>22</v>
      </c>
      <c r="E727" s="7" t="s">
        <v>23</v>
      </c>
      <c r="F727" s="5" t="s">
        <v>779</v>
      </c>
      <c r="G727" s="5" t="s">
        <v>780</v>
      </c>
      <c r="H727" s="3" t="s">
        <v>375</v>
      </c>
      <c r="I727" s="3">
        <v>0.99990677833557129</v>
      </c>
      <c r="J727" s="3" t="s">
        <v>27</v>
      </c>
      <c r="K727" s="3" t="s">
        <v>372</v>
      </c>
      <c r="L727" s="3">
        <v>1</v>
      </c>
    </row>
    <row r="728" spans="1:12" ht="90" customHeight="1" x14ac:dyDescent="0.3">
      <c r="A728" s="6"/>
      <c r="B728" s="6"/>
      <c r="C728" s="6"/>
      <c r="D728" s="6"/>
      <c r="E728" s="6"/>
      <c r="F728" s="6"/>
      <c r="G728" s="6"/>
      <c r="H728" s="1"/>
      <c r="I728" s="1"/>
      <c r="J728" s="1"/>
      <c r="K728" s="1"/>
      <c r="L728" s="1"/>
    </row>
    <row r="729" spans="1:12" ht="90" customHeight="1" x14ac:dyDescent="0.3">
      <c r="A729" s="6"/>
      <c r="B729" s="6"/>
      <c r="C729" s="6"/>
      <c r="D729" s="6"/>
      <c r="E729" s="6"/>
      <c r="F729" s="6"/>
      <c r="G729" s="6"/>
      <c r="H729" s="1"/>
      <c r="I729" s="1"/>
      <c r="J729" s="1"/>
      <c r="K729" s="1"/>
      <c r="L729" s="1"/>
    </row>
    <row r="730" spans="1:12" ht="90" customHeight="1" x14ac:dyDescent="0.3">
      <c r="A730" s="6"/>
      <c r="B730" s="6"/>
      <c r="C730" s="6"/>
      <c r="D730" s="6"/>
      <c r="E730" s="6"/>
      <c r="F730" s="6"/>
      <c r="G730" s="6"/>
      <c r="H730" s="1"/>
      <c r="I730" s="1"/>
      <c r="J730" s="1"/>
      <c r="K730" s="1"/>
      <c r="L730" s="1"/>
    </row>
    <row r="731" spans="1:12" ht="90" customHeight="1" x14ac:dyDescent="0.3">
      <c r="A731" s="6"/>
      <c r="B731" s="6"/>
      <c r="C731" s="6"/>
      <c r="D731" s="6"/>
      <c r="E731" s="6"/>
      <c r="F731" s="6"/>
      <c r="G731" s="6"/>
      <c r="H731" s="1"/>
      <c r="I731" s="1"/>
      <c r="J731" s="1"/>
      <c r="K731" s="1"/>
      <c r="L731" s="1"/>
    </row>
    <row r="732" spans="1:12" ht="90" customHeight="1" x14ac:dyDescent="0.3">
      <c r="A732" s="5" t="s">
        <v>781</v>
      </c>
      <c r="B732" s="5" t="s">
        <v>198</v>
      </c>
      <c r="C732" s="5" t="s">
        <v>64</v>
      </c>
      <c r="D732" s="7" t="s">
        <v>22</v>
      </c>
      <c r="E732" s="7" t="s">
        <v>23</v>
      </c>
      <c r="F732" s="5" t="s">
        <v>782</v>
      </c>
      <c r="G732" s="5" t="s">
        <v>783</v>
      </c>
      <c r="H732" s="3" t="s">
        <v>197</v>
      </c>
      <c r="I732" s="3">
        <v>0.9998469352722168</v>
      </c>
      <c r="J732" s="3" t="s">
        <v>27</v>
      </c>
      <c r="K732" s="3" t="s">
        <v>198</v>
      </c>
      <c r="L732" s="3">
        <v>2</v>
      </c>
    </row>
    <row r="733" spans="1:12" ht="90" customHeight="1" x14ac:dyDescent="0.3">
      <c r="A733" s="6"/>
      <c r="B733" s="6"/>
      <c r="C733" s="6"/>
      <c r="D733" s="6"/>
      <c r="E733" s="6"/>
      <c r="F733" s="6"/>
      <c r="G733" s="6"/>
      <c r="H733" s="1"/>
      <c r="I733" s="1"/>
      <c r="J733" s="1"/>
      <c r="K733" s="1"/>
      <c r="L733" s="1"/>
    </row>
    <row r="734" spans="1:12" ht="90" customHeight="1" x14ac:dyDescent="0.3">
      <c r="A734" s="6"/>
      <c r="B734" s="6"/>
      <c r="C734" s="6"/>
      <c r="D734" s="6"/>
      <c r="E734" s="6"/>
      <c r="F734" s="6"/>
      <c r="G734" s="6"/>
      <c r="H734" s="1"/>
      <c r="I734" s="1"/>
      <c r="J734" s="1"/>
      <c r="K734" s="1"/>
      <c r="L734" s="1"/>
    </row>
    <row r="735" spans="1:12" ht="90" customHeight="1" x14ac:dyDescent="0.3">
      <c r="A735" s="6"/>
      <c r="B735" s="6"/>
      <c r="C735" s="6"/>
      <c r="D735" s="6"/>
      <c r="E735" s="6"/>
      <c r="F735" s="6"/>
      <c r="G735" s="6"/>
      <c r="H735" s="1"/>
      <c r="I735" s="1"/>
      <c r="J735" s="1"/>
      <c r="K735" s="1"/>
      <c r="L735" s="1"/>
    </row>
    <row r="736" spans="1:12" ht="90" customHeight="1" x14ac:dyDescent="0.3">
      <c r="A736" s="6"/>
      <c r="B736" s="6"/>
      <c r="C736" s="6"/>
      <c r="D736" s="6"/>
      <c r="E736" s="6"/>
      <c r="F736" s="6"/>
      <c r="G736" s="6"/>
      <c r="H736" s="1"/>
      <c r="I736" s="1"/>
      <c r="J736" s="1"/>
      <c r="K736" s="1"/>
      <c r="L736" s="1"/>
    </row>
    <row r="737" spans="1:12" ht="90" customHeight="1" x14ac:dyDescent="0.3">
      <c r="A737" s="5" t="s">
        <v>784</v>
      </c>
      <c r="B737" s="5" t="s">
        <v>530</v>
      </c>
      <c r="C737" s="5" t="s">
        <v>21</v>
      </c>
      <c r="D737" s="7" t="s">
        <v>22</v>
      </c>
      <c r="E737" s="7" t="s">
        <v>23</v>
      </c>
      <c r="F737" s="5" t="s">
        <v>785</v>
      </c>
      <c r="G737" s="5" t="s">
        <v>786</v>
      </c>
      <c r="H737" s="3" t="s">
        <v>533</v>
      </c>
      <c r="I737" s="3">
        <v>0.99999547004699707</v>
      </c>
      <c r="J737" s="3" t="s">
        <v>83</v>
      </c>
      <c r="K737" s="3" t="s">
        <v>530</v>
      </c>
      <c r="L737" s="3">
        <v>1</v>
      </c>
    </row>
    <row r="738" spans="1:12" ht="90" customHeight="1" x14ac:dyDescent="0.3">
      <c r="A738" s="6"/>
      <c r="B738" s="6"/>
      <c r="C738" s="6"/>
      <c r="D738" s="6"/>
      <c r="E738" s="6"/>
      <c r="F738" s="6"/>
      <c r="G738" s="6"/>
      <c r="H738" s="3" t="s">
        <v>787</v>
      </c>
      <c r="I738" s="3">
        <v>0.99999511241912842</v>
      </c>
      <c r="J738" s="3" t="s">
        <v>83</v>
      </c>
      <c r="K738" s="3" t="s">
        <v>530</v>
      </c>
      <c r="L738" s="3">
        <v>2</v>
      </c>
    </row>
    <row r="739" spans="1:12" ht="90" customHeight="1" x14ac:dyDescent="0.3">
      <c r="A739" s="6"/>
      <c r="B739" s="6"/>
      <c r="C739" s="6"/>
      <c r="D739" s="6"/>
      <c r="E739" s="6"/>
      <c r="F739" s="6"/>
      <c r="G739" s="6"/>
      <c r="H739" s="2" t="s">
        <v>788</v>
      </c>
      <c r="I739" s="2">
        <v>0.9999929666519165</v>
      </c>
      <c r="J739" s="2" t="s">
        <v>83</v>
      </c>
      <c r="K739" s="2" t="s">
        <v>530</v>
      </c>
      <c r="L739" s="2">
        <v>3</v>
      </c>
    </row>
    <row r="740" spans="1:12" ht="90" customHeight="1" x14ac:dyDescent="0.3">
      <c r="A740" s="6"/>
      <c r="B740" s="6"/>
      <c r="C740" s="6"/>
      <c r="D740" s="6"/>
      <c r="E740" s="6"/>
      <c r="F740" s="6"/>
      <c r="G740" s="6"/>
      <c r="H740" s="4" t="s">
        <v>789</v>
      </c>
      <c r="I740" s="4">
        <v>0.99997067397724271</v>
      </c>
      <c r="J740" s="4" t="s">
        <v>83</v>
      </c>
      <c r="K740" s="4" t="s">
        <v>530</v>
      </c>
      <c r="L740" s="4">
        <v>3</v>
      </c>
    </row>
    <row r="741" spans="1:12" ht="90" customHeight="1" x14ac:dyDescent="0.3">
      <c r="A741" s="6"/>
      <c r="B741" s="6"/>
      <c r="C741" s="6"/>
      <c r="D741" s="6"/>
      <c r="E741" s="6"/>
      <c r="F741" s="6"/>
      <c r="G741" s="6"/>
      <c r="H741" s="1" t="s">
        <v>790</v>
      </c>
      <c r="I741" s="1">
        <v>0.90160679816739075</v>
      </c>
      <c r="J741" s="1" t="s">
        <v>27</v>
      </c>
      <c r="K741" s="1" t="s">
        <v>473</v>
      </c>
      <c r="L741" s="1">
        <v>29</v>
      </c>
    </row>
    <row r="742" spans="1:12" ht="90" customHeight="1" x14ac:dyDescent="0.3">
      <c r="A742" s="5" t="s">
        <v>791</v>
      </c>
      <c r="B742" s="5" t="s">
        <v>34</v>
      </c>
      <c r="C742" s="5" t="s">
        <v>14</v>
      </c>
      <c r="D742" s="7" t="s">
        <v>15</v>
      </c>
      <c r="E742" s="7" t="s">
        <v>16</v>
      </c>
      <c r="F742" s="5" t="s">
        <v>792</v>
      </c>
      <c r="G742" s="5" t="s">
        <v>18</v>
      </c>
      <c r="H742" s="1"/>
      <c r="I742" s="1"/>
      <c r="J742" s="1"/>
      <c r="K742" s="1"/>
      <c r="L742" s="1"/>
    </row>
    <row r="743" spans="1:12" ht="90" customHeight="1" x14ac:dyDescent="0.3">
      <c r="A743" s="6"/>
      <c r="B743" s="6"/>
      <c r="C743" s="6"/>
      <c r="D743" s="6"/>
      <c r="E743" s="6"/>
      <c r="F743" s="6"/>
      <c r="G743" s="6"/>
      <c r="H743" s="1"/>
      <c r="I743" s="1"/>
      <c r="J743" s="1"/>
      <c r="K743" s="1"/>
      <c r="L743" s="1"/>
    </row>
    <row r="744" spans="1:12" ht="90" customHeight="1" x14ac:dyDescent="0.3">
      <c r="A744" s="6"/>
      <c r="B744" s="6"/>
      <c r="C744" s="6"/>
      <c r="D744" s="6"/>
      <c r="E744" s="6"/>
      <c r="F744" s="6"/>
      <c r="G744" s="6"/>
      <c r="H744" s="1"/>
      <c r="I744" s="1"/>
      <c r="J744" s="1"/>
      <c r="K744" s="1"/>
      <c r="L744" s="1"/>
    </row>
    <row r="745" spans="1:12" ht="90" customHeight="1" x14ac:dyDescent="0.3">
      <c r="A745" s="6"/>
      <c r="B745" s="6"/>
      <c r="C745" s="6"/>
      <c r="D745" s="6"/>
      <c r="E745" s="6"/>
      <c r="F745" s="6"/>
      <c r="G745" s="6"/>
      <c r="H745" s="1"/>
      <c r="I745" s="1"/>
      <c r="J745" s="1"/>
      <c r="K745" s="1"/>
      <c r="L745" s="1"/>
    </row>
    <row r="746" spans="1:12" ht="90" customHeight="1" x14ac:dyDescent="0.3">
      <c r="A746" s="6"/>
      <c r="B746" s="6"/>
      <c r="C746" s="6"/>
      <c r="D746" s="6"/>
      <c r="E746" s="6"/>
      <c r="F746" s="6"/>
      <c r="G746" s="6"/>
      <c r="H746" s="1"/>
      <c r="I746" s="1"/>
      <c r="J746" s="1"/>
      <c r="K746" s="1"/>
      <c r="L746" s="1"/>
    </row>
    <row r="747" spans="1:12" ht="90" customHeight="1" x14ac:dyDescent="0.3">
      <c r="A747" s="5" t="s">
        <v>793</v>
      </c>
      <c r="B747" s="5" t="s">
        <v>141</v>
      </c>
      <c r="C747" s="5" t="s">
        <v>142</v>
      </c>
      <c r="D747" s="7" t="s">
        <v>15</v>
      </c>
      <c r="E747" s="7" t="s">
        <v>16</v>
      </c>
      <c r="F747" s="5" t="s">
        <v>794</v>
      </c>
      <c r="G747" s="5" t="s">
        <v>18</v>
      </c>
      <c r="H747" s="1"/>
      <c r="I747" s="1"/>
      <c r="J747" s="1"/>
      <c r="K747" s="1"/>
      <c r="L747" s="1"/>
    </row>
    <row r="748" spans="1:12" ht="90" customHeight="1" x14ac:dyDescent="0.3">
      <c r="A748" s="6"/>
      <c r="B748" s="6"/>
      <c r="C748" s="6"/>
      <c r="D748" s="6"/>
      <c r="E748" s="6"/>
      <c r="F748" s="6"/>
      <c r="G748" s="6"/>
      <c r="H748" s="1"/>
      <c r="I748" s="1"/>
      <c r="J748" s="1"/>
      <c r="K748" s="1"/>
      <c r="L748" s="1"/>
    </row>
    <row r="749" spans="1:12" ht="90" customHeight="1" x14ac:dyDescent="0.3">
      <c r="A749" s="6"/>
      <c r="B749" s="6"/>
      <c r="C749" s="6"/>
      <c r="D749" s="6"/>
      <c r="E749" s="6"/>
      <c r="F749" s="6"/>
      <c r="G749" s="6"/>
      <c r="H749" s="1"/>
      <c r="I749" s="1"/>
      <c r="J749" s="1"/>
      <c r="K749" s="1"/>
      <c r="L749" s="1"/>
    </row>
    <row r="750" spans="1:12" ht="90" customHeight="1" x14ac:dyDescent="0.3">
      <c r="A750" s="6"/>
      <c r="B750" s="6"/>
      <c r="C750" s="6"/>
      <c r="D750" s="6"/>
      <c r="E750" s="6"/>
      <c r="F750" s="6"/>
      <c r="G750" s="6"/>
      <c r="H750" s="1"/>
      <c r="I750" s="1"/>
      <c r="J750" s="1"/>
      <c r="K750" s="1"/>
      <c r="L750" s="1"/>
    </row>
    <row r="751" spans="1:12" ht="90" customHeight="1" x14ac:dyDescent="0.3">
      <c r="A751" s="6"/>
      <c r="B751" s="6"/>
      <c r="C751" s="6"/>
      <c r="D751" s="6"/>
      <c r="E751" s="6"/>
      <c r="F751" s="6"/>
      <c r="G751" s="6"/>
      <c r="H751" s="1"/>
      <c r="I751" s="1"/>
      <c r="J751" s="1"/>
      <c r="K751" s="1"/>
      <c r="L751" s="1"/>
    </row>
    <row r="752" spans="1:12" ht="90" customHeight="1" x14ac:dyDescent="0.3">
      <c r="A752" s="5" t="s">
        <v>795</v>
      </c>
      <c r="B752" s="5" t="s">
        <v>299</v>
      </c>
      <c r="C752" s="5" t="s">
        <v>14</v>
      </c>
      <c r="D752" s="7" t="s">
        <v>22</v>
      </c>
      <c r="E752" s="7" t="s">
        <v>23</v>
      </c>
      <c r="F752" s="5" t="s">
        <v>796</v>
      </c>
      <c r="G752" s="5" t="s">
        <v>797</v>
      </c>
      <c r="H752" s="3" t="s">
        <v>302</v>
      </c>
      <c r="I752" s="3">
        <v>0.99365520477294922</v>
      </c>
      <c r="J752" s="3" t="s">
        <v>27</v>
      </c>
      <c r="K752" s="3" t="s">
        <v>299</v>
      </c>
      <c r="L752" s="3">
        <v>1</v>
      </c>
    </row>
    <row r="753" spans="1:12" ht="90" customHeight="1" x14ac:dyDescent="0.3">
      <c r="A753" s="6"/>
      <c r="B753" s="6"/>
      <c r="C753" s="6"/>
      <c r="D753" s="6"/>
      <c r="E753" s="6"/>
      <c r="F753" s="6"/>
      <c r="G753" s="6"/>
      <c r="H753" s="1"/>
      <c r="I753" s="1"/>
      <c r="J753" s="1"/>
      <c r="K753" s="1"/>
      <c r="L753" s="1"/>
    </row>
    <row r="754" spans="1:12" ht="90" customHeight="1" x14ac:dyDescent="0.3">
      <c r="A754" s="6"/>
      <c r="B754" s="6"/>
      <c r="C754" s="6"/>
      <c r="D754" s="6"/>
      <c r="E754" s="6"/>
      <c r="F754" s="6"/>
      <c r="G754" s="6"/>
      <c r="H754" s="1"/>
      <c r="I754" s="1"/>
      <c r="J754" s="1"/>
      <c r="K754" s="1"/>
      <c r="L754" s="1"/>
    </row>
    <row r="755" spans="1:12" ht="90" customHeight="1" x14ac:dyDescent="0.3">
      <c r="A755" s="6"/>
      <c r="B755" s="6"/>
      <c r="C755" s="6"/>
      <c r="D755" s="6"/>
      <c r="E755" s="6"/>
      <c r="F755" s="6"/>
      <c r="G755" s="6"/>
      <c r="H755" s="1"/>
      <c r="I755" s="1"/>
      <c r="J755" s="1"/>
      <c r="K755" s="1"/>
      <c r="L755" s="1"/>
    </row>
    <row r="756" spans="1:12" ht="90" customHeight="1" x14ac:dyDescent="0.3">
      <c r="A756" s="6"/>
      <c r="B756" s="6"/>
      <c r="C756" s="6"/>
      <c r="D756" s="6"/>
      <c r="E756" s="6"/>
      <c r="F756" s="6"/>
      <c r="G756" s="6"/>
      <c r="H756" s="1"/>
      <c r="I756" s="1"/>
      <c r="J756" s="1"/>
      <c r="K756" s="1"/>
      <c r="L756" s="1"/>
    </row>
    <row r="757" spans="1:12" ht="90" customHeight="1" x14ac:dyDescent="0.3">
      <c r="A757" s="5" t="s">
        <v>798</v>
      </c>
      <c r="B757" s="5" t="s">
        <v>799</v>
      </c>
      <c r="C757" s="5" t="s">
        <v>800</v>
      </c>
      <c r="D757" s="7" t="s">
        <v>22</v>
      </c>
      <c r="E757" s="7" t="s">
        <v>23</v>
      </c>
      <c r="F757" s="5" t="s">
        <v>801</v>
      </c>
      <c r="G757" s="5" t="s">
        <v>802</v>
      </c>
      <c r="H757" s="3" t="s">
        <v>803</v>
      </c>
      <c r="I757" s="3">
        <v>0.99998295307159424</v>
      </c>
      <c r="J757" s="3" t="s">
        <v>27</v>
      </c>
      <c r="K757" s="3" t="s">
        <v>799</v>
      </c>
      <c r="L757" s="3">
        <v>17</v>
      </c>
    </row>
    <row r="758" spans="1:12" ht="90" customHeight="1" x14ac:dyDescent="0.3">
      <c r="A758" s="6"/>
      <c r="B758" s="6"/>
      <c r="C758" s="6"/>
      <c r="D758" s="6"/>
      <c r="E758" s="6"/>
      <c r="F758" s="6"/>
      <c r="G758" s="6"/>
      <c r="H758" s="2" t="s">
        <v>804</v>
      </c>
      <c r="I758" s="2">
        <v>0.9708591103553772</v>
      </c>
      <c r="J758" s="2" t="s">
        <v>27</v>
      </c>
      <c r="K758" s="2" t="s">
        <v>799</v>
      </c>
      <c r="L758" s="2">
        <v>1</v>
      </c>
    </row>
    <row r="759" spans="1:12" ht="90" customHeight="1" x14ac:dyDescent="0.3">
      <c r="A759" s="6"/>
      <c r="B759" s="6"/>
      <c r="C759" s="6"/>
      <c r="D759" s="6"/>
      <c r="E759" s="6"/>
      <c r="F759" s="6"/>
      <c r="G759" s="6"/>
      <c r="H759" s="2" t="s">
        <v>805</v>
      </c>
      <c r="I759" s="2">
        <v>0.96737504005432129</v>
      </c>
      <c r="J759" s="2" t="s">
        <v>27</v>
      </c>
      <c r="K759" s="2" t="s">
        <v>799</v>
      </c>
      <c r="L759" s="2">
        <v>14</v>
      </c>
    </row>
    <row r="760" spans="1:12" ht="90" customHeight="1" x14ac:dyDescent="0.3">
      <c r="A760" s="6"/>
      <c r="B760" s="6"/>
      <c r="C760" s="6"/>
      <c r="D760" s="6"/>
      <c r="E760" s="6"/>
      <c r="F760" s="6"/>
      <c r="G760" s="6"/>
      <c r="H760" s="1" t="s">
        <v>806</v>
      </c>
      <c r="I760" s="1">
        <v>0.9668676232324499</v>
      </c>
      <c r="J760" s="1" t="s">
        <v>27</v>
      </c>
      <c r="K760" s="1" t="s">
        <v>799</v>
      </c>
      <c r="L760" s="1">
        <v>12</v>
      </c>
    </row>
    <row r="761" spans="1:12" ht="90" customHeight="1" x14ac:dyDescent="0.3">
      <c r="A761" s="6"/>
      <c r="B761" s="6"/>
      <c r="C761" s="6"/>
      <c r="D761" s="6"/>
      <c r="E761" s="6"/>
      <c r="F761" s="6"/>
      <c r="G761" s="6"/>
      <c r="H761" s="1" t="s">
        <v>807</v>
      </c>
      <c r="I761" s="1">
        <v>0.94401752948760986</v>
      </c>
      <c r="J761" s="1" t="s">
        <v>27</v>
      </c>
      <c r="K761" s="1" t="s">
        <v>799</v>
      </c>
      <c r="L761" s="1">
        <v>10</v>
      </c>
    </row>
    <row r="762" spans="1:12" ht="90" customHeight="1" x14ac:dyDescent="0.3">
      <c r="A762" s="5" t="s">
        <v>808</v>
      </c>
      <c r="B762" s="5" t="s">
        <v>331</v>
      </c>
      <c r="C762" s="5" t="s">
        <v>14</v>
      </c>
      <c r="D762" s="7" t="s">
        <v>22</v>
      </c>
      <c r="E762" s="7" t="s">
        <v>23</v>
      </c>
      <c r="F762" s="5" t="s">
        <v>809</v>
      </c>
      <c r="G762" s="5" t="s">
        <v>810</v>
      </c>
      <c r="H762" s="3" t="s">
        <v>463</v>
      </c>
      <c r="I762" s="3">
        <v>0.99405044317245483</v>
      </c>
      <c r="J762" s="3" t="s">
        <v>27</v>
      </c>
      <c r="K762" s="3" t="s">
        <v>331</v>
      </c>
      <c r="L762" s="3">
        <v>1</v>
      </c>
    </row>
    <row r="763" spans="1:12" ht="90" customHeight="1" x14ac:dyDescent="0.3">
      <c r="A763" s="6"/>
      <c r="B763" s="6"/>
      <c r="C763" s="6"/>
      <c r="D763" s="6"/>
      <c r="E763" s="6"/>
      <c r="F763" s="6"/>
      <c r="G763" s="6"/>
      <c r="H763" s="1"/>
      <c r="I763" s="1"/>
      <c r="J763" s="1"/>
      <c r="K763" s="1"/>
      <c r="L763" s="1"/>
    </row>
    <row r="764" spans="1:12" ht="90" customHeight="1" x14ac:dyDescent="0.3">
      <c r="A764" s="6"/>
      <c r="B764" s="6"/>
      <c r="C764" s="6"/>
      <c r="D764" s="6"/>
      <c r="E764" s="6"/>
      <c r="F764" s="6"/>
      <c r="G764" s="6"/>
      <c r="H764" s="1"/>
      <c r="I764" s="1"/>
      <c r="J764" s="1"/>
      <c r="K764" s="1"/>
      <c r="L764" s="1"/>
    </row>
    <row r="765" spans="1:12" ht="90" customHeight="1" x14ac:dyDescent="0.3">
      <c r="A765" s="6"/>
      <c r="B765" s="6"/>
      <c r="C765" s="6"/>
      <c r="D765" s="6"/>
      <c r="E765" s="6"/>
      <c r="F765" s="6"/>
      <c r="G765" s="6"/>
      <c r="H765" s="1"/>
      <c r="I765" s="1"/>
      <c r="J765" s="1"/>
      <c r="K765" s="1"/>
      <c r="L765" s="1"/>
    </row>
    <row r="766" spans="1:12" ht="90" customHeight="1" x14ac:dyDescent="0.3">
      <c r="A766" s="6"/>
      <c r="B766" s="6"/>
      <c r="C766" s="6"/>
      <c r="D766" s="6"/>
      <c r="E766" s="6"/>
      <c r="F766" s="6"/>
      <c r="G766" s="6"/>
      <c r="H766" s="1"/>
      <c r="I766" s="1"/>
      <c r="J766" s="1"/>
      <c r="K766" s="1"/>
      <c r="L766" s="1"/>
    </row>
    <row r="767" spans="1:12" ht="90" customHeight="1" x14ac:dyDescent="0.3">
      <c r="A767" s="5" t="s">
        <v>811</v>
      </c>
      <c r="B767" s="5" t="s">
        <v>362</v>
      </c>
      <c r="C767" s="5" t="s">
        <v>812</v>
      </c>
      <c r="D767" s="7" t="s">
        <v>22</v>
      </c>
      <c r="E767" s="7" t="s">
        <v>23</v>
      </c>
      <c r="F767" s="5" t="s">
        <v>813</v>
      </c>
      <c r="G767" s="5" t="s">
        <v>814</v>
      </c>
      <c r="H767" s="3" t="s">
        <v>815</v>
      </c>
      <c r="I767" s="3">
        <v>0.99999618530273438</v>
      </c>
      <c r="J767" s="3" t="s">
        <v>27</v>
      </c>
      <c r="K767" s="3" t="s">
        <v>362</v>
      </c>
      <c r="L767" s="3">
        <v>169</v>
      </c>
    </row>
    <row r="768" spans="1:12" ht="90" customHeight="1" x14ac:dyDescent="0.3">
      <c r="A768" s="6"/>
      <c r="B768" s="6"/>
      <c r="C768" s="6"/>
      <c r="D768" s="6"/>
      <c r="E768" s="6"/>
      <c r="F768" s="6"/>
      <c r="G768" s="6"/>
      <c r="H768" s="1"/>
      <c r="I768" s="1"/>
      <c r="J768" s="1"/>
      <c r="K768" s="1"/>
      <c r="L768" s="1"/>
    </row>
    <row r="769" spans="1:12" ht="90" customHeight="1" x14ac:dyDescent="0.3">
      <c r="A769" s="6"/>
      <c r="B769" s="6"/>
      <c r="C769" s="6"/>
      <c r="D769" s="6"/>
      <c r="E769" s="6"/>
      <c r="F769" s="6"/>
      <c r="G769" s="6"/>
      <c r="H769" s="1"/>
      <c r="I769" s="1"/>
      <c r="J769" s="1"/>
      <c r="K769" s="1"/>
      <c r="L769" s="1"/>
    </row>
    <row r="770" spans="1:12" ht="90" customHeight="1" x14ac:dyDescent="0.3">
      <c r="A770" s="6"/>
      <c r="B770" s="6"/>
      <c r="C770" s="6"/>
      <c r="D770" s="6"/>
      <c r="E770" s="6"/>
      <c r="F770" s="6"/>
      <c r="G770" s="6"/>
      <c r="H770" s="1"/>
      <c r="I770" s="1"/>
      <c r="J770" s="1"/>
      <c r="K770" s="1"/>
      <c r="L770" s="1"/>
    </row>
    <row r="771" spans="1:12" ht="90" customHeight="1" x14ac:dyDescent="0.3">
      <c r="A771" s="6"/>
      <c r="B771" s="6"/>
      <c r="C771" s="6"/>
      <c r="D771" s="6"/>
      <c r="E771" s="6"/>
      <c r="F771" s="6"/>
      <c r="G771" s="6"/>
      <c r="H771" s="1"/>
      <c r="I771" s="1"/>
      <c r="J771" s="1"/>
      <c r="K771" s="1"/>
      <c r="L771" s="1"/>
    </row>
    <row r="772" spans="1:12" ht="90" customHeight="1" x14ac:dyDescent="0.3">
      <c r="A772" s="5" t="s">
        <v>816</v>
      </c>
      <c r="B772" s="5" t="s">
        <v>676</v>
      </c>
      <c r="C772" s="5" t="s">
        <v>817</v>
      </c>
      <c r="D772" s="7" t="s">
        <v>22</v>
      </c>
      <c r="E772" s="7" t="s">
        <v>16</v>
      </c>
      <c r="F772" s="5" t="s">
        <v>818</v>
      </c>
      <c r="G772" s="5" t="s">
        <v>819</v>
      </c>
      <c r="H772" s="2" t="s">
        <v>820</v>
      </c>
      <c r="I772" s="2">
        <v>0.98078066110610962</v>
      </c>
      <c r="J772" s="2" t="s">
        <v>27</v>
      </c>
      <c r="K772" s="2" t="s">
        <v>164</v>
      </c>
      <c r="L772" s="2">
        <v>261</v>
      </c>
    </row>
    <row r="773" spans="1:12" ht="90" customHeight="1" x14ac:dyDescent="0.3">
      <c r="A773" s="6"/>
      <c r="B773" s="6"/>
      <c r="C773" s="6"/>
      <c r="D773" s="6"/>
      <c r="E773" s="6"/>
      <c r="F773" s="6"/>
      <c r="G773" s="6"/>
      <c r="H773" s="2" t="s">
        <v>821</v>
      </c>
      <c r="I773" s="2">
        <v>0.97196507453918457</v>
      </c>
      <c r="J773" s="2" t="s">
        <v>27</v>
      </c>
      <c r="K773" s="2" t="s">
        <v>164</v>
      </c>
      <c r="L773" s="2">
        <v>260</v>
      </c>
    </row>
    <row r="774" spans="1:12" ht="90" customHeight="1" x14ac:dyDescent="0.3">
      <c r="A774" s="6"/>
      <c r="B774" s="6"/>
      <c r="C774" s="6"/>
      <c r="D774" s="6"/>
      <c r="E774" s="6"/>
      <c r="F774" s="6"/>
      <c r="G774" s="6"/>
      <c r="H774" s="2" t="s">
        <v>822</v>
      </c>
      <c r="I774" s="2">
        <v>0.9149964451789856</v>
      </c>
      <c r="J774" s="2" t="s">
        <v>27</v>
      </c>
      <c r="K774" s="2" t="s">
        <v>823</v>
      </c>
      <c r="L774" s="2">
        <v>16</v>
      </c>
    </row>
    <row r="775" spans="1:12" ht="90" customHeight="1" x14ac:dyDescent="0.3">
      <c r="A775" s="6"/>
      <c r="B775" s="6"/>
      <c r="C775" s="6"/>
      <c r="D775" s="6"/>
      <c r="E775" s="6"/>
      <c r="F775" s="6"/>
      <c r="G775" s="6"/>
      <c r="H775" s="4" t="s">
        <v>824</v>
      </c>
      <c r="I775" s="4">
        <v>0.9138946533203125</v>
      </c>
      <c r="J775" s="4" t="s">
        <v>27</v>
      </c>
      <c r="K775" s="4" t="s">
        <v>676</v>
      </c>
      <c r="L775" s="4">
        <v>139</v>
      </c>
    </row>
    <row r="776" spans="1:12" ht="90" customHeight="1" x14ac:dyDescent="0.3">
      <c r="A776" s="6"/>
      <c r="B776" s="6"/>
      <c r="C776" s="6"/>
      <c r="D776" s="6"/>
      <c r="E776" s="6"/>
      <c r="F776" s="6"/>
      <c r="G776" s="6"/>
      <c r="H776" s="1" t="s">
        <v>825</v>
      </c>
      <c r="I776" s="1">
        <v>0.90447521209716797</v>
      </c>
      <c r="J776" s="1" t="s">
        <v>27</v>
      </c>
      <c r="K776" s="1" t="s">
        <v>676</v>
      </c>
      <c r="L776" s="1">
        <v>138</v>
      </c>
    </row>
    <row r="777" spans="1:12" ht="90" customHeight="1" x14ac:dyDescent="0.3">
      <c r="A777" s="5" t="s">
        <v>826</v>
      </c>
      <c r="B777" s="5" t="s">
        <v>196</v>
      </c>
      <c r="C777" s="5" t="s">
        <v>827</v>
      </c>
      <c r="D777" s="7" t="s">
        <v>22</v>
      </c>
      <c r="E777" s="7" t="s">
        <v>23</v>
      </c>
      <c r="F777" s="5" t="s">
        <v>828</v>
      </c>
      <c r="G777" s="5" t="s">
        <v>829</v>
      </c>
      <c r="H777" s="3" t="s">
        <v>830</v>
      </c>
      <c r="I777" s="3">
        <v>0.97824108600616455</v>
      </c>
      <c r="J777" s="3" t="s">
        <v>27</v>
      </c>
      <c r="K777" s="3" t="s">
        <v>196</v>
      </c>
      <c r="L777" s="3">
        <v>16</v>
      </c>
    </row>
    <row r="778" spans="1:12" ht="90" customHeight="1" x14ac:dyDescent="0.3">
      <c r="A778" s="6"/>
      <c r="B778" s="6"/>
      <c r="C778" s="6"/>
      <c r="D778" s="6"/>
      <c r="E778" s="6"/>
      <c r="F778" s="6"/>
      <c r="G778" s="6"/>
      <c r="H778" s="4" t="s">
        <v>831</v>
      </c>
      <c r="I778" s="4">
        <v>0.96846663951873779</v>
      </c>
      <c r="J778" s="4" t="s">
        <v>27</v>
      </c>
      <c r="K778" s="4" t="s">
        <v>196</v>
      </c>
      <c r="L778" s="4">
        <v>15</v>
      </c>
    </row>
    <row r="779" spans="1:12" ht="90" customHeight="1" x14ac:dyDescent="0.3">
      <c r="A779" s="6"/>
      <c r="B779" s="6"/>
      <c r="C779" s="6"/>
      <c r="D779" s="6"/>
      <c r="E779" s="6"/>
      <c r="F779" s="6"/>
      <c r="G779" s="6"/>
      <c r="H779" s="1"/>
      <c r="I779" s="1"/>
      <c r="J779" s="1"/>
      <c r="K779" s="1"/>
      <c r="L779" s="1"/>
    </row>
    <row r="780" spans="1:12" ht="90" customHeight="1" x14ac:dyDescent="0.3">
      <c r="A780" s="6"/>
      <c r="B780" s="6"/>
      <c r="C780" s="6"/>
      <c r="D780" s="6"/>
      <c r="E780" s="6"/>
      <c r="F780" s="6"/>
      <c r="G780" s="6"/>
      <c r="H780" s="1"/>
      <c r="I780" s="1"/>
      <c r="J780" s="1"/>
      <c r="K780" s="1"/>
      <c r="L780" s="1"/>
    </row>
    <row r="781" spans="1:12" ht="90" customHeight="1" x14ac:dyDescent="0.3">
      <c r="A781" s="6"/>
      <c r="B781" s="6"/>
      <c r="C781" s="6"/>
      <c r="D781" s="6"/>
      <c r="E781" s="6"/>
      <c r="F781" s="6"/>
      <c r="G781" s="6"/>
      <c r="H781" s="1"/>
      <c r="I781" s="1"/>
      <c r="J781" s="1"/>
      <c r="K781" s="1"/>
      <c r="L781" s="1"/>
    </row>
    <row r="782" spans="1:12" ht="90" customHeight="1" x14ac:dyDescent="0.3">
      <c r="A782" s="5" t="s">
        <v>832</v>
      </c>
      <c r="B782" s="5" t="s">
        <v>176</v>
      </c>
      <c r="C782" s="5" t="s">
        <v>833</v>
      </c>
      <c r="D782" s="7" t="s">
        <v>22</v>
      </c>
      <c r="E782" s="7" t="s">
        <v>23</v>
      </c>
      <c r="F782" s="5" t="s">
        <v>834</v>
      </c>
      <c r="G782" s="5" t="s">
        <v>835</v>
      </c>
      <c r="H782" s="3" t="s">
        <v>836</v>
      </c>
      <c r="I782" s="3">
        <v>0.99724340438842773</v>
      </c>
      <c r="J782" s="3" t="s">
        <v>27</v>
      </c>
      <c r="K782" s="3" t="s">
        <v>176</v>
      </c>
      <c r="L782" s="3">
        <v>404</v>
      </c>
    </row>
    <row r="783" spans="1:12" ht="90" customHeight="1" x14ac:dyDescent="0.3">
      <c r="A783" s="6"/>
      <c r="B783" s="6"/>
      <c r="C783" s="6"/>
      <c r="D783" s="6"/>
      <c r="E783" s="6"/>
      <c r="F783" s="6"/>
      <c r="G783" s="6"/>
      <c r="H783" s="1"/>
      <c r="I783" s="1"/>
      <c r="J783" s="1"/>
      <c r="K783" s="1"/>
      <c r="L783" s="1"/>
    </row>
    <row r="784" spans="1:12" ht="90" customHeight="1" x14ac:dyDescent="0.3">
      <c r="A784" s="6"/>
      <c r="B784" s="6"/>
      <c r="C784" s="6"/>
      <c r="D784" s="6"/>
      <c r="E784" s="6"/>
      <c r="F784" s="6"/>
      <c r="G784" s="6"/>
      <c r="H784" s="1"/>
      <c r="I784" s="1"/>
      <c r="J784" s="1"/>
      <c r="K784" s="1"/>
      <c r="L784" s="1"/>
    </row>
    <row r="785" spans="1:12" ht="90" customHeight="1" x14ac:dyDescent="0.3">
      <c r="A785" s="6"/>
      <c r="B785" s="6"/>
      <c r="C785" s="6"/>
      <c r="D785" s="6"/>
      <c r="E785" s="6"/>
      <c r="F785" s="6"/>
      <c r="G785" s="6"/>
      <c r="H785" s="1"/>
      <c r="I785" s="1"/>
      <c r="J785" s="1"/>
      <c r="K785" s="1"/>
      <c r="L785" s="1"/>
    </row>
    <row r="786" spans="1:12" ht="90" customHeight="1" x14ac:dyDescent="0.3">
      <c r="A786" s="6"/>
      <c r="B786" s="6"/>
      <c r="C786" s="6"/>
      <c r="D786" s="6"/>
      <c r="E786" s="6"/>
      <c r="F786" s="6"/>
      <c r="G786" s="6"/>
      <c r="H786" s="1"/>
      <c r="I786" s="1"/>
      <c r="J786" s="1"/>
      <c r="K786" s="1"/>
      <c r="L786" s="1"/>
    </row>
    <row r="787" spans="1:12" ht="90" customHeight="1" x14ac:dyDescent="0.3">
      <c r="A787" s="5" t="s">
        <v>837</v>
      </c>
      <c r="B787" s="5" t="s">
        <v>158</v>
      </c>
      <c r="C787" s="5" t="s">
        <v>440</v>
      </c>
      <c r="D787" s="7" t="s">
        <v>15</v>
      </c>
      <c r="E787" s="7" t="s">
        <v>16</v>
      </c>
      <c r="F787" s="5" t="s">
        <v>838</v>
      </c>
      <c r="G787" s="5" t="s">
        <v>18</v>
      </c>
      <c r="H787" s="1"/>
      <c r="I787" s="1"/>
      <c r="J787" s="1"/>
      <c r="K787" s="1"/>
      <c r="L787" s="1"/>
    </row>
    <row r="788" spans="1:12" ht="90" customHeight="1" x14ac:dyDescent="0.3">
      <c r="A788" s="6"/>
      <c r="B788" s="6"/>
      <c r="C788" s="6"/>
      <c r="D788" s="6"/>
      <c r="E788" s="6"/>
      <c r="F788" s="6"/>
      <c r="G788" s="6"/>
      <c r="H788" s="1"/>
      <c r="I788" s="1"/>
      <c r="J788" s="1"/>
      <c r="K788" s="1"/>
      <c r="L788" s="1"/>
    </row>
    <row r="789" spans="1:12" ht="90" customHeight="1" x14ac:dyDescent="0.3">
      <c r="A789" s="6"/>
      <c r="B789" s="6"/>
      <c r="C789" s="6"/>
      <c r="D789" s="6"/>
      <c r="E789" s="6"/>
      <c r="F789" s="6"/>
      <c r="G789" s="6"/>
      <c r="H789" s="1"/>
      <c r="I789" s="1"/>
      <c r="J789" s="1"/>
      <c r="K789" s="1"/>
      <c r="L789" s="1"/>
    </row>
    <row r="790" spans="1:12" ht="90" customHeight="1" x14ac:dyDescent="0.3">
      <c r="A790" s="6"/>
      <c r="B790" s="6"/>
      <c r="C790" s="6"/>
      <c r="D790" s="6"/>
      <c r="E790" s="6"/>
      <c r="F790" s="6"/>
      <c r="G790" s="6"/>
      <c r="H790" s="1"/>
      <c r="I790" s="1"/>
      <c r="J790" s="1"/>
      <c r="K790" s="1"/>
      <c r="L790" s="1"/>
    </row>
    <row r="791" spans="1:12" ht="90" customHeight="1" x14ac:dyDescent="0.3">
      <c r="A791" s="6"/>
      <c r="B791" s="6"/>
      <c r="C791" s="6"/>
      <c r="D791" s="6"/>
      <c r="E791" s="6"/>
      <c r="F791" s="6"/>
      <c r="G791" s="6"/>
      <c r="H791" s="1"/>
      <c r="I791" s="1"/>
      <c r="J791" s="1"/>
      <c r="K791" s="1"/>
      <c r="L791" s="1"/>
    </row>
    <row r="792" spans="1:12" ht="90" customHeight="1" x14ac:dyDescent="0.3">
      <c r="A792" s="5" t="s">
        <v>839</v>
      </c>
      <c r="B792" s="5" t="s">
        <v>158</v>
      </c>
      <c r="C792" s="5" t="s">
        <v>14</v>
      </c>
      <c r="D792" s="7" t="s">
        <v>22</v>
      </c>
      <c r="E792" s="7" t="s">
        <v>23</v>
      </c>
      <c r="F792" s="5" t="s">
        <v>840</v>
      </c>
      <c r="G792" s="5" t="s">
        <v>841</v>
      </c>
      <c r="H792" s="3" t="s">
        <v>517</v>
      </c>
      <c r="I792" s="3">
        <v>0.99709165096282959</v>
      </c>
      <c r="J792" s="3" t="s">
        <v>27</v>
      </c>
      <c r="K792" s="3" t="s">
        <v>158</v>
      </c>
      <c r="L792" s="3">
        <v>1</v>
      </c>
    </row>
    <row r="793" spans="1:12" ht="90" customHeight="1" x14ac:dyDescent="0.3">
      <c r="A793" s="6"/>
      <c r="B793" s="6"/>
      <c r="C793" s="6"/>
      <c r="D793" s="6"/>
      <c r="E793" s="6"/>
      <c r="F793" s="6"/>
      <c r="G793" s="6"/>
      <c r="H793" s="1"/>
      <c r="I793" s="1"/>
      <c r="J793" s="1"/>
      <c r="K793" s="1"/>
      <c r="L793" s="1"/>
    </row>
    <row r="794" spans="1:12" ht="90" customHeight="1" x14ac:dyDescent="0.3">
      <c r="A794" s="6"/>
      <c r="B794" s="6"/>
      <c r="C794" s="6"/>
      <c r="D794" s="6"/>
      <c r="E794" s="6"/>
      <c r="F794" s="6"/>
      <c r="G794" s="6"/>
      <c r="H794" s="1"/>
      <c r="I794" s="1"/>
      <c r="J794" s="1"/>
      <c r="K794" s="1"/>
      <c r="L794" s="1"/>
    </row>
    <row r="795" spans="1:12" ht="90" customHeight="1" x14ac:dyDescent="0.3">
      <c r="A795" s="6"/>
      <c r="B795" s="6"/>
      <c r="C795" s="6"/>
      <c r="D795" s="6"/>
      <c r="E795" s="6"/>
      <c r="F795" s="6"/>
      <c r="G795" s="6"/>
      <c r="H795" s="1"/>
      <c r="I795" s="1"/>
      <c r="J795" s="1"/>
      <c r="K795" s="1"/>
      <c r="L795" s="1"/>
    </row>
    <row r="796" spans="1:12" ht="90" customHeight="1" x14ac:dyDescent="0.3">
      <c r="A796" s="6"/>
      <c r="B796" s="6"/>
      <c r="C796" s="6"/>
      <c r="D796" s="6"/>
      <c r="E796" s="6"/>
      <c r="F796" s="6"/>
      <c r="G796" s="6"/>
      <c r="H796" s="1"/>
      <c r="I796" s="1"/>
      <c r="J796" s="1"/>
      <c r="K796" s="1"/>
      <c r="L796" s="1"/>
    </row>
    <row r="797" spans="1:12" ht="90" customHeight="1" x14ac:dyDescent="0.3">
      <c r="A797" s="5" t="s">
        <v>842</v>
      </c>
      <c r="B797" s="5" t="s">
        <v>37</v>
      </c>
      <c r="C797" s="5" t="s">
        <v>14</v>
      </c>
      <c r="D797" s="7" t="s">
        <v>22</v>
      </c>
      <c r="E797" s="7" t="s">
        <v>23</v>
      </c>
      <c r="F797" s="5" t="s">
        <v>843</v>
      </c>
      <c r="G797" s="5" t="s">
        <v>844</v>
      </c>
      <c r="H797" s="3" t="s">
        <v>40</v>
      </c>
      <c r="I797" s="3">
        <v>0.86253654956817605</v>
      </c>
      <c r="J797" s="3" t="s">
        <v>27</v>
      </c>
      <c r="K797" s="3" t="s">
        <v>37</v>
      </c>
      <c r="L797" s="3">
        <v>1</v>
      </c>
    </row>
    <row r="798" spans="1:12" ht="90" customHeight="1" x14ac:dyDescent="0.3">
      <c r="A798" s="6"/>
      <c r="B798" s="6"/>
      <c r="C798" s="6"/>
      <c r="D798" s="6"/>
      <c r="E798" s="6"/>
      <c r="F798" s="6"/>
      <c r="G798" s="6"/>
      <c r="H798" s="1"/>
      <c r="I798" s="1"/>
      <c r="J798" s="1"/>
      <c r="K798" s="1"/>
      <c r="L798" s="1"/>
    </row>
    <row r="799" spans="1:12" ht="90" customHeight="1" x14ac:dyDescent="0.3">
      <c r="A799" s="6"/>
      <c r="B799" s="6"/>
      <c r="C799" s="6"/>
      <c r="D799" s="6"/>
      <c r="E799" s="6"/>
      <c r="F799" s="6"/>
      <c r="G799" s="6"/>
      <c r="H799" s="1"/>
      <c r="I799" s="1"/>
      <c r="J799" s="1"/>
      <c r="K799" s="1"/>
      <c r="L799" s="1"/>
    </row>
    <row r="800" spans="1:12" ht="90" customHeight="1" x14ac:dyDescent="0.3">
      <c r="A800" s="6"/>
      <c r="B800" s="6"/>
      <c r="C800" s="6"/>
      <c r="D800" s="6"/>
      <c r="E800" s="6"/>
      <c r="F800" s="6"/>
      <c r="G800" s="6"/>
      <c r="H800" s="1"/>
      <c r="I800" s="1"/>
      <c r="J800" s="1"/>
      <c r="K800" s="1"/>
      <c r="L800" s="1"/>
    </row>
    <row r="801" spans="1:12" ht="90" customHeight="1" x14ac:dyDescent="0.3">
      <c r="A801" s="6"/>
      <c r="B801" s="6"/>
      <c r="C801" s="6"/>
      <c r="D801" s="6"/>
      <c r="E801" s="6"/>
      <c r="F801" s="6"/>
      <c r="G801" s="6"/>
      <c r="H801" s="1"/>
      <c r="I801" s="1"/>
      <c r="J801" s="1"/>
      <c r="K801" s="1"/>
      <c r="L801" s="1"/>
    </row>
    <row r="802" spans="1:12" ht="90" customHeight="1" x14ac:dyDescent="0.3">
      <c r="A802" s="5" t="s">
        <v>391</v>
      </c>
      <c r="B802" s="5" t="s">
        <v>20</v>
      </c>
      <c r="C802" s="5" t="s">
        <v>21</v>
      </c>
      <c r="D802" s="7" t="s">
        <v>22</v>
      </c>
      <c r="E802" s="7" t="s">
        <v>23</v>
      </c>
      <c r="F802" s="5" t="s">
        <v>845</v>
      </c>
      <c r="G802" s="5" t="s">
        <v>393</v>
      </c>
      <c r="H802" s="3" t="s">
        <v>26</v>
      </c>
      <c r="I802" s="3">
        <v>0.99177205501961496</v>
      </c>
      <c r="J802" s="3" t="s">
        <v>27</v>
      </c>
      <c r="K802" s="3" t="s">
        <v>20</v>
      </c>
      <c r="L802" s="3">
        <v>3</v>
      </c>
    </row>
    <row r="803" spans="1:12" ht="90" customHeight="1" x14ac:dyDescent="0.3">
      <c r="A803" s="6"/>
      <c r="B803" s="6"/>
      <c r="C803" s="6"/>
      <c r="D803" s="6"/>
      <c r="E803" s="6"/>
      <c r="F803" s="6"/>
      <c r="G803" s="6"/>
      <c r="H803" s="3" t="s">
        <v>28</v>
      </c>
      <c r="I803" s="3">
        <v>0.98889134984361116</v>
      </c>
      <c r="J803" s="3" t="s">
        <v>27</v>
      </c>
      <c r="K803" s="3" t="s">
        <v>20</v>
      </c>
      <c r="L803" s="3">
        <v>1</v>
      </c>
    </row>
    <row r="804" spans="1:12" ht="90" customHeight="1" x14ac:dyDescent="0.3">
      <c r="A804" s="6"/>
      <c r="B804" s="6"/>
      <c r="C804" s="6"/>
      <c r="D804" s="6"/>
      <c r="E804" s="6"/>
      <c r="F804" s="6"/>
      <c r="G804" s="6"/>
      <c r="H804" s="3" t="s">
        <v>29</v>
      </c>
      <c r="I804" s="3">
        <v>0.90491826526374564</v>
      </c>
      <c r="J804" s="3" t="s">
        <v>27</v>
      </c>
      <c r="K804" s="3" t="s">
        <v>20</v>
      </c>
      <c r="L804" s="3">
        <v>2</v>
      </c>
    </row>
    <row r="805" spans="1:12" ht="90" customHeight="1" x14ac:dyDescent="0.3">
      <c r="A805" s="6"/>
      <c r="B805" s="6"/>
      <c r="C805" s="6"/>
      <c r="D805" s="6"/>
      <c r="E805" s="6"/>
      <c r="F805" s="6"/>
      <c r="G805" s="6"/>
      <c r="H805" s="1"/>
      <c r="I805" s="1"/>
      <c r="J805" s="1"/>
      <c r="K805" s="1"/>
      <c r="L805" s="1"/>
    </row>
    <row r="806" spans="1:12" ht="90" customHeight="1" x14ac:dyDescent="0.3">
      <c r="A806" s="6"/>
      <c r="B806" s="6"/>
      <c r="C806" s="6"/>
      <c r="D806" s="6"/>
      <c r="E806" s="6"/>
      <c r="F806" s="6"/>
      <c r="G806" s="6"/>
      <c r="H806" s="1"/>
      <c r="I806" s="1"/>
      <c r="J806" s="1"/>
      <c r="K806" s="1"/>
      <c r="L806" s="1"/>
    </row>
    <row r="807" spans="1:12" ht="90" customHeight="1" x14ac:dyDescent="0.3">
      <c r="A807" s="5" t="s">
        <v>394</v>
      </c>
      <c r="B807" s="5" t="s">
        <v>395</v>
      </c>
      <c r="C807" s="5" t="s">
        <v>396</v>
      </c>
      <c r="D807" s="7" t="s">
        <v>22</v>
      </c>
      <c r="E807" s="7" t="s">
        <v>23</v>
      </c>
      <c r="F807" s="5" t="s">
        <v>846</v>
      </c>
      <c r="G807" s="5" t="s">
        <v>398</v>
      </c>
      <c r="H807" s="3" t="s">
        <v>399</v>
      </c>
      <c r="I807" s="3">
        <v>0.99711117752966671</v>
      </c>
      <c r="J807" s="3" t="s">
        <v>27</v>
      </c>
      <c r="K807" s="3" t="s">
        <v>395</v>
      </c>
      <c r="L807" s="3">
        <v>44</v>
      </c>
    </row>
    <row r="808" spans="1:12" ht="90" customHeight="1" x14ac:dyDescent="0.3">
      <c r="A808" s="6"/>
      <c r="B808" s="6"/>
      <c r="C808" s="6"/>
      <c r="D808" s="6"/>
      <c r="E808" s="6"/>
      <c r="F808" s="6"/>
      <c r="G808" s="6"/>
      <c r="H808" s="1"/>
      <c r="I808" s="1"/>
      <c r="J808" s="1"/>
      <c r="K808" s="1"/>
      <c r="L808" s="1"/>
    </row>
    <row r="809" spans="1:12" ht="90" customHeight="1" x14ac:dyDescent="0.3">
      <c r="A809" s="6"/>
      <c r="B809" s="6"/>
      <c r="C809" s="6"/>
      <c r="D809" s="6"/>
      <c r="E809" s="6"/>
      <c r="F809" s="6"/>
      <c r="G809" s="6"/>
      <c r="H809" s="1"/>
      <c r="I809" s="1"/>
      <c r="J809" s="1"/>
      <c r="K809" s="1"/>
      <c r="L809" s="1"/>
    </row>
    <row r="810" spans="1:12" ht="90" customHeight="1" x14ac:dyDescent="0.3">
      <c r="A810" s="6"/>
      <c r="B810" s="6"/>
      <c r="C810" s="6"/>
      <c r="D810" s="6"/>
      <c r="E810" s="6"/>
      <c r="F810" s="6"/>
      <c r="G810" s="6"/>
      <c r="H810" s="1"/>
      <c r="I810" s="1"/>
      <c r="J810" s="1"/>
      <c r="K810" s="1"/>
      <c r="L810" s="1"/>
    </row>
    <row r="811" spans="1:12" ht="90" customHeight="1" x14ac:dyDescent="0.3">
      <c r="A811" s="6"/>
      <c r="B811" s="6"/>
      <c r="C811" s="6"/>
      <c r="D811" s="6"/>
      <c r="E811" s="6"/>
      <c r="F811" s="6"/>
      <c r="G811" s="6"/>
      <c r="H811" s="1"/>
      <c r="I811" s="1"/>
      <c r="J811" s="1"/>
      <c r="K811" s="1"/>
      <c r="L811" s="1"/>
    </row>
    <row r="812" spans="1:12" ht="90" customHeight="1" x14ac:dyDescent="0.3">
      <c r="A812" s="5" t="s">
        <v>407</v>
      </c>
      <c r="B812" s="5" t="s">
        <v>377</v>
      </c>
      <c r="C812" s="5" t="s">
        <v>408</v>
      </c>
      <c r="D812" s="7" t="s">
        <v>15</v>
      </c>
      <c r="E812" s="7" t="s">
        <v>16</v>
      </c>
      <c r="F812" s="5" t="s">
        <v>847</v>
      </c>
      <c r="G812" s="5" t="s">
        <v>848</v>
      </c>
      <c r="H812" s="2" t="s">
        <v>411</v>
      </c>
      <c r="I812" s="2">
        <v>0.99864774942398071</v>
      </c>
      <c r="J812" s="2" t="s">
        <v>27</v>
      </c>
      <c r="K812" s="2" t="s">
        <v>187</v>
      </c>
      <c r="L812" s="2">
        <v>41</v>
      </c>
    </row>
    <row r="813" spans="1:12" ht="90" customHeight="1" x14ac:dyDescent="0.3">
      <c r="A813" s="6"/>
      <c r="B813" s="6"/>
      <c r="C813" s="6"/>
      <c r="D813" s="6"/>
      <c r="E813" s="6"/>
      <c r="F813" s="6"/>
      <c r="G813" s="6"/>
      <c r="H813" s="2" t="s">
        <v>412</v>
      </c>
      <c r="I813" s="2">
        <v>0.99716871976852417</v>
      </c>
      <c r="J813" s="2" t="s">
        <v>27</v>
      </c>
      <c r="K813" s="2" t="s">
        <v>187</v>
      </c>
      <c r="L813" s="2">
        <v>34</v>
      </c>
    </row>
    <row r="814" spans="1:12" ht="90" customHeight="1" x14ac:dyDescent="0.3">
      <c r="A814" s="6"/>
      <c r="B814" s="6"/>
      <c r="C814" s="6"/>
      <c r="D814" s="6"/>
      <c r="E814" s="6"/>
      <c r="F814" s="6"/>
      <c r="G814" s="6"/>
      <c r="H814" s="2" t="s">
        <v>415</v>
      </c>
      <c r="I814" s="2">
        <v>0.99315732717514038</v>
      </c>
      <c r="J814" s="2" t="s">
        <v>27</v>
      </c>
      <c r="K814" s="2" t="s">
        <v>182</v>
      </c>
      <c r="L814" s="2">
        <v>77</v>
      </c>
    </row>
    <row r="815" spans="1:12" ht="90" customHeight="1" x14ac:dyDescent="0.3">
      <c r="A815" s="6"/>
      <c r="B815" s="6"/>
      <c r="C815" s="6"/>
      <c r="D815" s="6"/>
      <c r="E815" s="6"/>
      <c r="F815" s="6"/>
      <c r="G815" s="6"/>
      <c r="H815" s="1" t="s">
        <v>413</v>
      </c>
      <c r="I815" s="1">
        <v>0.99315732717514038</v>
      </c>
      <c r="J815" s="1" t="s">
        <v>27</v>
      </c>
      <c r="K815" s="1" t="s">
        <v>414</v>
      </c>
      <c r="L815" s="1">
        <v>79</v>
      </c>
    </row>
    <row r="816" spans="1:12" ht="90" customHeight="1" x14ac:dyDescent="0.3">
      <c r="A816" s="6"/>
      <c r="B816" s="6"/>
      <c r="C816" s="6"/>
      <c r="D816" s="6"/>
      <c r="E816" s="6"/>
      <c r="F816" s="6"/>
      <c r="G816" s="6"/>
      <c r="H816" s="1" t="s">
        <v>416</v>
      </c>
      <c r="I816" s="1">
        <v>0.99135571718215942</v>
      </c>
      <c r="J816" s="1" t="s">
        <v>27</v>
      </c>
      <c r="K816" s="1" t="s">
        <v>417</v>
      </c>
      <c r="L816" s="1">
        <v>8</v>
      </c>
    </row>
    <row r="817" spans="1:12" ht="90" customHeight="1" x14ac:dyDescent="0.3">
      <c r="A817" s="5" t="s">
        <v>849</v>
      </c>
      <c r="B817" s="5" t="s">
        <v>37</v>
      </c>
      <c r="C817" s="5" t="s">
        <v>771</v>
      </c>
      <c r="D817" s="7" t="s">
        <v>22</v>
      </c>
      <c r="E817" s="7" t="s">
        <v>23</v>
      </c>
      <c r="F817" s="5" t="s">
        <v>850</v>
      </c>
      <c r="G817" s="5" t="s">
        <v>851</v>
      </c>
      <c r="H817" s="3" t="s">
        <v>852</v>
      </c>
      <c r="I817" s="3">
        <v>0.8587498664855957</v>
      </c>
      <c r="J817" s="3" t="s">
        <v>27</v>
      </c>
      <c r="K817" s="3" t="s">
        <v>37</v>
      </c>
      <c r="L817" s="3">
        <v>14</v>
      </c>
    </row>
    <row r="818" spans="1:12" ht="90" customHeight="1" x14ac:dyDescent="0.3">
      <c r="A818" s="6"/>
      <c r="B818" s="6"/>
      <c r="C818" s="6"/>
      <c r="D818" s="6"/>
      <c r="E818" s="6"/>
      <c r="F818" s="6"/>
      <c r="G818" s="6"/>
      <c r="H818" s="1"/>
      <c r="I818" s="1"/>
      <c r="J818" s="1"/>
      <c r="K818" s="1"/>
      <c r="L818" s="1"/>
    </row>
    <row r="819" spans="1:12" ht="90" customHeight="1" x14ac:dyDescent="0.3">
      <c r="A819" s="6"/>
      <c r="B819" s="6"/>
      <c r="C819" s="6"/>
      <c r="D819" s="6"/>
      <c r="E819" s="6"/>
      <c r="F819" s="6"/>
      <c r="G819" s="6"/>
      <c r="H819" s="1"/>
      <c r="I819" s="1"/>
      <c r="J819" s="1"/>
      <c r="K819" s="1"/>
      <c r="L819" s="1"/>
    </row>
    <row r="820" spans="1:12" ht="90" customHeight="1" x14ac:dyDescent="0.3">
      <c r="A820" s="6"/>
      <c r="B820" s="6"/>
      <c r="C820" s="6"/>
      <c r="D820" s="6"/>
      <c r="E820" s="6"/>
      <c r="F820" s="6"/>
      <c r="G820" s="6"/>
      <c r="H820" s="1"/>
      <c r="I820" s="1"/>
      <c r="J820" s="1"/>
      <c r="K820" s="1"/>
      <c r="L820" s="1"/>
    </row>
    <row r="821" spans="1:12" ht="90" customHeight="1" x14ac:dyDescent="0.3">
      <c r="A821" s="6"/>
      <c r="B821" s="6"/>
      <c r="C821" s="6"/>
      <c r="D821" s="6"/>
      <c r="E821" s="6"/>
      <c r="F821" s="6"/>
      <c r="G821" s="6"/>
      <c r="H821" s="1"/>
      <c r="I821" s="1"/>
      <c r="J821" s="1"/>
      <c r="K821" s="1"/>
      <c r="L821" s="1"/>
    </row>
    <row r="822" spans="1:12" ht="90" customHeight="1" x14ac:dyDescent="0.3">
      <c r="A822" s="5" t="s">
        <v>422</v>
      </c>
      <c r="B822" s="5" t="s">
        <v>141</v>
      </c>
      <c r="C822" s="5" t="s">
        <v>142</v>
      </c>
      <c r="D822" s="7" t="s">
        <v>15</v>
      </c>
      <c r="E822" s="7" t="s">
        <v>16</v>
      </c>
      <c r="F822" s="5" t="s">
        <v>853</v>
      </c>
      <c r="G822" s="5" t="s">
        <v>424</v>
      </c>
      <c r="H822" s="2" t="s">
        <v>149</v>
      </c>
      <c r="I822" s="2">
        <v>0.96557915210723877</v>
      </c>
      <c r="J822" s="2" t="s">
        <v>27</v>
      </c>
      <c r="K822" s="2" t="s">
        <v>150</v>
      </c>
      <c r="L822" s="2">
        <v>1</v>
      </c>
    </row>
    <row r="823" spans="1:12" ht="90" customHeight="1" x14ac:dyDescent="0.3">
      <c r="A823" s="6"/>
      <c r="B823" s="6"/>
      <c r="C823" s="6"/>
      <c r="D823" s="6"/>
      <c r="E823" s="6"/>
      <c r="F823" s="6"/>
      <c r="G823" s="6"/>
      <c r="H823" s="2" t="s">
        <v>425</v>
      </c>
      <c r="I823" s="2">
        <v>0.94252222776412964</v>
      </c>
      <c r="J823" s="2" t="s">
        <v>27</v>
      </c>
      <c r="K823" s="2" t="s">
        <v>426</v>
      </c>
      <c r="L823" s="2">
        <v>32</v>
      </c>
    </row>
    <row r="824" spans="1:12" ht="90" customHeight="1" x14ac:dyDescent="0.3">
      <c r="A824" s="6"/>
      <c r="B824" s="6"/>
      <c r="C824" s="6"/>
      <c r="D824" s="6"/>
      <c r="E824" s="6"/>
      <c r="F824" s="6"/>
      <c r="G824" s="6"/>
      <c r="H824" s="2" t="s">
        <v>145</v>
      </c>
      <c r="I824" s="2">
        <v>0.90206116437911987</v>
      </c>
      <c r="J824" s="2" t="s">
        <v>83</v>
      </c>
      <c r="K824" s="2" t="s">
        <v>146</v>
      </c>
      <c r="L824" s="2">
        <v>1</v>
      </c>
    </row>
    <row r="825" spans="1:12" ht="90" customHeight="1" x14ac:dyDescent="0.3">
      <c r="A825" s="6"/>
      <c r="B825" s="6"/>
      <c r="C825" s="6"/>
      <c r="D825" s="6"/>
      <c r="E825" s="6"/>
      <c r="F825" s="6"/>
      <c r="G825" s="6"/>
      <c r="H825" s="1"/>
      <c r="I825" s="1"/>
      <c r="J825" s="1"/>
      <c r="K825" s="1"/>
      <c r="L825" s="1"/>
    </row>
    <row r="826" spans="1:12" ht="90" customHeight="1" x14ac:dyDescent="0.3">
      <c r="A826" s="6"/>
      <c r="B826" s="6"/>
      <c r="C826" s="6"/>
      <c r="D826" s="6"/>
      <c r="E826" s="6"/>
      <c r="F826" s="6"/>
      <c r="G826" s="6"/>
      <c r="H826" s="1"/>
      <c r="I826" s="1"/>
      <c r="J826" s="1"/>
      <c r="K826" s="1"/>
      <c r="L826" s="1"/>
    </row>
    <row r="827" spans="1:12" ht="90" customHeight="1" x14ac:dyDescent="0.3">
      <c r="A827" s="5" t="s">
        <v>854</v>
      </c>
      <c r="B827" s="5" t="s">
        <v>855</v>
      </c>
      <c r="C827" s="5" t="s">
        <v>572</v>
      </c>
      <c r="D827" s="7" t="s">
        <v>15</v>
      </c>
      <c r="E827" s="7" t="s">
        <v>16</v>
      </c>
      <c r="F827" s="5" t="s">
        <v>856</v>
      </c>
      <c r="G827" s="5" t="s">
        <v>18</v>
      </c>
      <c r="H827" s="1"/>
      <c r="I827" s="1"/>
      <c r="J827" s="1"/>
      <c r="K827" s="1"/>
      <c r="L827" s="1"/>
    </row>
    <row r="828" spans="1:12" ht="90" customHeight="1" x14ac:dyDescent="0.3">
      <c r="A828" s="6"/>
      <c r="B828" s="6"/>
      <c r="C828" s="6"/>
      <c r="D828" s="6"/>
      <c r="E828" s="6"/>
      <c r="F828" s="6"/>
      <c r="G828" s="6"/>
      <c r="H828" s="1"/>
      <c r="I828" s="1"/>
      <c r="J828" s="1"/>
      <c r="K828" s="1"/>
      <c r="L828" s="1"/>
    </row>
    <row r="829" spans="1:12" ht="90" customHeight="1" x14ac:dyDescent="0.3">
      <c r="A829" s="6"/>
      <c r="B829" s="6"/>
      <c r="C829" s="6"/>
      <c r="D829" s="6"/>
      <c r="E829" s="6"/>
      <c r="F829" s="6"/>
      <c r="G829" s="6"/>
      <c r="H829" s="1"/>
      <c r="I829" s="1"/>
      <c r="J829" s="1"/>
      <c r="K829" s="1"/>
      <c r="L829" s="1"/>
    </row>
    <row r="830" spans="1:12" ht="90" customHeight="1" x14ac:dyDescent="0.3">
      <c r="A830" s="6"/>
      <c r="B830" s="6"/>
      <c r="C830" s="6"/>
      <c r="D830" s="6"/>
      <c r="E830" s="6"/>
      <c r="F830" s="6"/>
      <c r="G830" s="6"/>
      <c r="H830" s="1"/>
      <c r="I830" s="1"/>
      <c r="J830" s="1"/>
      <c r="K830" s="1"/>
      <c r="L830" s="1"/>
    </row>
    <row r="831" spans="1:12" ht="90" customHeight="1" x14ac:dyDescent="0.3">
      <c r="A831" s="6"/>
      <c r="B831" s="6"/>
      <c r="C831" s="6"/>
      <c r="D831" s="6"/>
      <c r="E831" s="6"/>
      <c r="F831" s="6"/>
      <c r="G831" s="6"/>
      <c r="H831" s="1"/>
      <c r="I831" s="1"/>
      <c r="J831" s="1"/>
      <c r="K831" s="1"/>
      <c r="L831" s="1"/>
    </row>
    <row r="832" spans="1:12" ht="90" customHeight="1" x14ac:dyDescent="0.3">
      <c r="A832" s="5" t="s">
        <v>857</v>
      </c>
      <c r="B832" s="5" t="s">
        <v>176</v>
      </c>
      <c r="C832" s="5" t="s">
        <v>858</v>
      </c>
      <c r="D832" s="7" t="s">
        <v>22</v>
      </c>
      <c r="E832" s="7" t="s">
        <v>23</v>
      </c>
      <c r="F832" s="5" t="s">
        <v>859</v>
      </c>
      <c r="G832" s="5" t="s">
        <v>860</v>
      </c>
      <c r="H832" s="2" t="s">
        <v>861</v>
      </c>
      <c r="I832" s="2">
        <v>0.99171489477157593</v>
      </c>
      <c r="J832" s="2" t="s">
        <v>27</v>
      </c>
      <c r="K832" s="2" t="s">
        <v>862</v>
      </c>
      <c r="L832" s="2">
        <v>175</v>
      </c>
    </row>
    <row r="833" spans="1:12" ht="90" customHeight="1" x14ac:dyDescent="0.3">
      <c r="A833" s="6"/>
      <c r="B833" s="6"/>
      <c r="C833" s="6"/>
      <c r="D833" s="6"/>
      <c r="E833" s="6"/>
      <c r="F833" s="6"/>
      <c r="G833" s="6"/>
      <c r="H833" s="2" t="s">
        <v>863</v>
      </c>
      <c r="I833" s="2">
        <v>0.86280667781829834</v>
      </c>
      <c r="J833" s="2" t="s">
        <v>27</v>
      </c>
      <c r="K833" s="2" t="s">
        <v>864</v>
      </c>
      <c r="L833" s="2">
        <v>159</v>
      </c>
    </row>
    <row r="834" spans="1:12" ht="90" customHeight="1" x14ac:dyDescent="0.3">
      <c r="A834" s="6"/>
      <c r="B834" s="6"/>
      <c r="C834" s="6"/>
      <c r="D834" s="6"/>
      <c r="E834" s="6"/>
      <c r="F834" s="6"/>
      <c r="G834" s="6"/>
      <c r="H834" s="3" t="s">
        <v>865</v>
      </c>
      <c r="I834" s="3">
        <v>0.85510104894638062</v>
      </c>
      <c r="J834" s="3" t="s">
        <v>27</v>
      </c>
      <c r="K834" s="3" t="s">
        <v>176</v>
      </c>
      <c r="L834" s="3">
        <v>163</v>
      </c>
    </row>
    <row r="835" spans="1:12" ht="90" customHeight="1" x14ac:dyDescent="0.3">
      <c r="A835" s="6"/>
      <c r="B835" s="6"/>
      <c r="C835" s="6"/>
      <c r="D835" s="6"/>
      <c r="E835" s="6"/>
      <c r="F835" s="6"/>
      <c r="G835" s="6"/>
      <c r="H835" s="1" t="s">
        <v>866</v>
      </c>
      <c r="I835" s="1">
        <v>0.84057450294494629</v>
      </c>
      <c r="J835" s="1" t="s">
        <v>27</v>
      </c>
      <c r="K835" s="1" t="s">
        <v>643</v>
      </c>
      <c r="L835" s="1">
        <v>398</v>
      </c>
    </row>
    <row r="836" spans="1:12" ht="90" customHeight="1" x14ac:dyDescent="0.3">
      <c r="A836" s="6"/>
      <c r="B836" s="6"/>
      <c r="C836" s="6"/>
      <c r="D836" s="6"/>
      <c r="E836" s="6"/>
      <c r="F836" s="6"/>
      <c r="G836" s="6"/>
      <c r="H836" s="1" t="s">
        <v>867</v>
      </c>
      <c r="I836" s="1">
        <v>0.84057450294494629</v>
      </c>
      <c r="J836" s="1" t="s">
        <v>27</v>
      </c>
      <c r="K836" s="1" t="s">
        <v>864</v>
      </c>
      <c r="L836" s="1">
        <v>402</v>
      </c>
    </row>
  </sheetData>
  <mergeCells count="1169">
    <mergeCell ref="B2:B6"/>
    <mergeCell ref="D2:D6"/>
    <mergeCell ref="B567:B571"/>
    <mergeCell ref="F702:F706"/>
    <mergeCell ref="D767:D771"/>
    <mergeCell ref="D567:D571"/>
    <mergeCell ref="G812:G816"/>
    <mergeCell ref="F767:F771"/>
    <mergeCell ref="F12:F16"/>
    <mergeCell ref="A497:A501"/>
    <mergeCell ref="B517:B521"/>
    <mergeCell ref="E722:E726"/>
    <mergeCell ref="A472:A476"/>
    <mergeCell ref="F297:F301"/>
    <mergeCell ref="D582:D586"/>
    <mergeCell ref="C472:C476"/>
    <mergeCell ref="F462:F466"/>
    <mergeCell ref="F327:F331"/>
    <mergeCell ref="D277:D281"/>
    <mergeCell ref="E827:E831"/>
    <mergeCell ref="C237:C241"/>
    <mergeCell ref="B447:B451"/>
    <mergeCell ref="E237:E241"/>
    <mergeCell ref="C777:C781"/>
    <mergeCell ref="E777:E781"/>
    <mergeCell ref="E212:E216"/>
    <mergeCell ref="A52:A56"/>
    <mergeCell ref="B142:B146"/>
    <mergeCell ref="E277:E281"/>
    <mergeCell ref="D142:D146"/>
    <mergeCell ref="C817:C821"/>
    <mergeCell ref="G277:G281"/>
    <mergeCell ref="B7:B11"/>
    <mergeCell ref="E817:E821"/>
    <mergeCell ref="E537:E541"/>
    <mergeCell ref="G562:G566"/>
    <mergeCell ref="B492:B496"/>
    <mergeCell ref="G537:G541"/>
    <mergeCell ref="D492:D496"/>
    <mergeCell ref="E512:E516"/>
    <mergeCell ref="E67:E71"/>
    <mergeCell ref="B442:B446"/>
    <mergeCell ref="B242:B246"/>
    <mergeCell ref="D467:D471"/>
    <mergeCell ref="D442:D446"/>
    <mergeCell ref="E577:E581"/>
    <mergeCell ref="F467:F471"/>
    <mergeCell ref="B307:B311"/>
    <mergeCell ref="G132:G136"/>
    <mergeCell ref="G577:G581"/>
    <mergeCell ref="C397:C401"/>
    <mergeCell ref="A547:A551"/>
    <mergeCell ref="G392:G396"/>
    <mergeCell ref="B287:B291"/>
    <mergeCell ref="G112:G116"/>
    <mergeCell ref="F322:F326"/>
    <mergeCell ref="D287:D291"/>
    <mergeCell ref="B352:B356"/>
    <mergeCell ref="A242:A246"/>
    <mergeCell ref="G177:G181"/>
    <mergeCell ref="D352:D356"/>
    <mergeCell ref="C242:C246"/>
    <mergeCell ref="A307:A311"/>
    <mergeCell ref="D572:D576"/>
    <mergeCell ref="G127:G131"/>
    <mergeCell ref="F17:F21"/>
    <mergeCell ref="F772:F776"/>
    <mergeCell ref="G692:G696"/>
    <mergeCell ref="D47:D51"/>
    <mergeCell ref="A57:A61"/>
    <mergeCell ref="G412:G416"/>
    <mergeCell ref="F47:F51"/>
    <mergeCell ref="D612:D616"/>
    <mergeCell ref="D587:D591"/>
    <mergeCell ref="A657:A661"/>
    <mergeCell ref="A542:A546"/>
    <mergeCell ref="F612:F616"/>
    <mergeCell ref="C542:C546"/>
    <mergeCell ref="F22:F26"/>
    <mergeCell ref="B497:B501"/>
    <mergeCell ref="F317:F321"/>
    <mergeCell ref="C517:C521"/>
    <mergeCell ref="E107:E111"/>
    <mergeCell ref="A827:A831"/>
    <mergeCell ref="A127:A131"/>
    <mergeCell ref="C827:C831"/>
    <mergeCell ref="F617:F621"/>
    <mergeCell ref="A692:A696"/>
    <mergeCell ref="F682:F686"/>
    <mergeCell ref="A102:A106"/>
    <mergeCell ref="C102:C106"/>
    <mergeCell ref="G257:G261"/>
    <mergeCell ref="A642:A646"/>
    <mergeCell ref="D532:D536"/>
    <mergeCell ref="F632:F636"/>
    <mergeCell ref="A387:A391"/>
    <mergeCell ref="E522:E526"/>
    <mergeCell ref="C587:C591"/>
    <mergeCell ref="C387:C391"/>
    <mergeCell ref="D752:D756"/>
    <mergeCell ref="E587:E591"/>
    <mergeCell ref="A337:A341"/>
    <mergeCell ref="F162:F166"/>
    <mergeCell ref="A402:A406"/>
    <mergeCell ref="E117:E121"/>
    <mergeCell ref="F227:F231"/>
    <mergeCell ref="C402:C406"/>
    <mergeCell ref="B292:B296"/>
    <mergeCell ref="G117:G121"/>
    <mergeCell ref="B357:B361"/>
    <mergeCell ref="A687:A691"/>
    <mergeCell ref="E822:E826"/>
    <mergeCell ref="C687:C691"/>
    <mergeCell ref="B777:B781"/>
    <mergeCell ref="E132:E136"/>
    <mergeCell ref="C2:C6"/>
    <mergeCell ref="E702:E706"/>
    <mergeCell ref="D337:D341"/>
    <mergeCell ref="E2:E6"/>
    <mergeCell ref="C567:C571"/>
    <mergeCell ref="G162:G166"/>
    <mergeCell ref="A267:A271"/>
    <mergeCell ref="D402:D406"/>
    <mergeCell ref="C732:C736"/>
    <mergeCell ref="G267:G271"/>
    <mergeCell ref="E732:E736"/>
    <mergeCell ref="G702:G706"/>
    <mergeCell ref="G767:G771"/>
    <mergeCell ref="D687:D691"/>
    <mergeCell ref="B472:B476"/>
    <mergeCell ref="B637:B641"/>
    <mergeCell ref="G462:G466"/>
    <mergeCell ref="B192:B196"/>
    <mergeCell ref="D637:D641"/>
    <mergeCell ref="G427:G431"/>
    <mergeCell ref="D192:D196"/>
    <mergeCell ref="A392:A396"/>
    <mergeCell ref="C592:C596"/>
    <mergeCell ref="G747:G751"/>
    <mergeCell ref="D167:D171"/>
    <mergeCell ref="D332:D336"/>
    <mergeCell ref="A342:A346"/>
    <mergeCell ref="D232:D236"/>
    <mergeCell ref="B197:B201"/>
    <mergeCell ref="F167:F171"/>
    <mergeCell ref="E562:E566"/>
    <mergeCell ref="F332:F336"/>
    <mergeCell ref="A7:A11"/>
    <mergeCell ref="E142:E146"/>
    <mergeCell ref="B27:B31"/>
    <mergeCell ref="A172:A176"/>
    <mergeCell ref="B782:B786"/>
    <mergeCell ref="D537:D541"/>
    <mergeCell ref="C172:C176"/>
    <mergeCell ref="A737:A741"/>
    <mergeCell ref="A712:A716"/>
    <mergeCell ref="D817:D821"/>
    <mergeCell ref="C737:C741"/>
    <mergeCell ref="C712:C716"/>
    <mergeCell ref="F537:F541"/>
    <mergeCell ref="F562:F566"/>
    <mergeCell ref="C147:C151"/>
    <mergeCell ref="F512:F516"/>
    <mergeCell ref="E147:E151"/>
    <mergeCell ref="F577:F581"/>
    <mergeCell ref="E442:E446"/>
    <mergeCell ref="B642:B646"/>
    <mergeCell ref="E432:E436"/>
    <mergeCell ref="F797:F801"/>
    <mergeCell ref="B362:B366"/>
    <mergeCell ref="F72:F76"/>
    <mergeCell ref="B337:B341"/>
    <mergeCell ref="C97:C101"/>
    <mergeCell ref="D777:D781"/>
    <mergeCell ref="B52:B56"/>
    <mergeCell ref="E417:E421"/>
    <mergeCell ref="D52:D56"/>
    <mergeCell ref="C382:C386"/>
    <mergeCell ref="B592:B596"/>
    <mergeCell ref="A2:A6"/>
    <mergeCell ref="F382:F386"/>
    <mergeCell ref="C757:C761"/>
    <mergeCell ref="B647:B651"/>
    <mergeCell ref="G472:G476"/>
    <mergeCell ref="E757:E761"/>
    <mergeCell ref="B712:B716"/>
    <mergeCell ref="C287:C291"/>
    <mergeCell ref="E287:E291"/>
    <mergeCell ref="C352:C356"/>
    <mergeCell ref="E452:E456"/>
    <mergeCell ref="B207:B211"/>
    <mergeCell ref="E572:E576"/>
    <mergeCell ref="G772:G776"/>
    <mergeCell ref="F657:F661"/>
    <mergeCell ref="E47:E51"/>
    <mergeCell ref="D42:D46"/>
    <mergeCell ref="B222:B226"/>
    <mergeCell ref="A112:A116"/>
    <mergeCell ref="G47:G51"/>
    <mergeCell ref="G612:G616"/>
    <mergeCell ref="E22:E26"/>
    <mergeCell ref="D542:D546"/>
    <mergeCell ref="B507:B511"/>
    <mergeCell ref="G22:G26"/>
    <mergeCell ref="B482:B486"/>
    <mergeCell ref="F517:F521"/>
    <mergeCell ref="D237:D241"/>
    <mergeCell ref="A412:A416"/>
    <mergeCell ref="F237:F241"/>
    <mergeCell ref="C437:C441"/>
    <mergeCell ref="A697:A701"/>
    <mergeCell ref="G17:G21"/>
    <mergeCell ref="G332:G336"/>
    <mergeCell ref="A462:A466"/>
    <mergeCell ref="E617:E621"/>
    <mergeCell ref="D827:D831"/>
    <mergeCell ref="B792:B796"/>
    <mergeCell ref="G617:G621"/>
    <mergeCell ref="B202:B206"/>
    <mergeCell ref="G27:G31"/>
    <mergeCell ref="B102:B106"/>
    <mergeCell ref="F572:F576"/>
    <mergeCell ref="G682:G686"/>
    <mergeCell ref="C432:C436"/>
    <mergeCell ref="E632:E636"/>
    <mergeCell ref="D522:D526"/>
    <mergeCell ref="G632:G636"/>
    <mergeCell ref="B387:B391"/>
    <mergeCell ref="G317:G321"/>
    <mergeCell ref="F522:F526"/>
    <mergeCell ref="D387:D391"/>
    <mergeCell ref="A762:A766"/>
    <mergeCell ref="D552:D556"/>
    <mergeCell ref="A317:A321"/>
    <mergeCell ref="F587:F591"/>
    <mergeCell ref="G327:G331"/>
    <mergeCell ref="B402:B406"/>
    <mergeCell ref="A292:A296"/>
    <mergeCell ref="A397:A401"/>
    <mergeCell ref="F527:F531"/>
    <mergeCell ref="A457:A461"/>
    <mergeCell ref="F282:F286"/>
    <mergeCell ref="D822:D826"/>
    <mergeCell ref="F832:F836"/>
    <mergeCell ref="C727:C731"/>
    <mergeCell ref="F732:F736"/>
    <mergeCell ref="A152:A156"/>
    <mergeCell ref="C32:C36"/>
    <mergeCell ref="E32:E36"/>
    <mergeCell ref="D682:D686"/>
    <mergeCell ref="C572:C576"/>
    <mergeCell ref="G32:G36"/>
    <mergeCell ref="E97:E101"/>
    <mergeCell ref="A437:A441"/>
    <mergeCell ref="C637:C641"/>
    <mergeCell ref="F367:F371"/>
    <mergeCell ref="F427:F431"/>
    <mergeCell ref="E637:E641"/>
    <mergeCell ref="F812:F816"/>
    <mergeCell ref="B557:B561"/>
    <mergeCell ref="G382:G386"/>
    <mergeCell ref="E272:E276"/>
    <mergeCell ref="E332:E336"/>
    <mergeCell ref="C197:C201"/>
    <mergeCell ref="G217:G221"/>
    <mergeCell ref="C457:C461"/>
    <mergeCell ref="F822:F826"/>
    <mergeCell ref="D32:D36"/>
    <mergeCell ref="F32:F36"/>
    <mergeCell ref="D97:D101"/>
    <mergeCell ref="C742:C746"/>
    <mergeCell ref="E742:E746"/>
    <mergeCell ref="F97:F101"/>
    <mergeCell ref="C52:C56"/>
    <mergeCell ref="D72:D76"/>
    <mergeCell ref="G42:G46"/>
    <mergeCell ref="F372:F376"/>
    <mergeCell ref="C507:C511"/>
    <mergeCell ref="D527:D531"/>
    <mergeCell ref="C482:C486"/>
    <mergeCell ref="E682:E686"/>
    <mergeCell ref="C142:C146"/>
    <mergeCell ref="E482:E486"/>
    <mergeCell ref="B412:B416"/>
    <mergeCell ref="B577:B581"/>
    <mergeCell ref="D577:D581"/>
    <mergeCell ref="C807:C811"/>
    <mergeCell ref="B697:B701"/>
    <mergeCell ref="G627:G631"/>
    <mergeCell ref="G377:G381"/>
    <mergeCell ref="G37:G41"/>
    <mergeCell ref="C782:C786"/>
    <mergeCell ref="B172:B176"/>
    <mergeCell ref="E782:E786"/>
    <mergeCell ref="G602:G606"/>
    <mergeCell ref="G662:G666"/>
    <mergeCell ref="B147:B151"/>
    <mergeCell ref="D147:D151"/>
    <mergeCell ref="B687:B691"/>
    <mergeCell ref="E477:E481"/>
    <mergeCell ref="G477:G481"/>
    <mergeCell ref="F567:F571"/>
    <mergeCell ref="D432:D436"/>
    <mergeCell ref="F432:F436"/>
    <mergeCell ref="C362:C366"/>
    <mergeCell ref="D67:D71"/>
    <mergeCell ref="F67:F71"/>
    <mergeCell ref="A612:A616"/>
    <mergeCell ref="F442:F446"/>
    <mergeCell ref="F502:F506"/>
    <mergeCell ref="B252:B256"/>
    <mergeCell ref="D452:D456"/>
    <mergeCell ref="D252:D256"/>
    <mergeCell ref="F477:F481"/>
    <mergeCell ref="F452:F456"/>
    <mergeCell ref="D677:D681"/>
    <mergeCell ref="E407:E411"/>
    <mergeCell ref="A747:A751"/>
    <mergeCell ref="F677:F681"/>
    <mergeCell ref="A157:A161"/>
    <mergeCell ref="A812:A816"/>
    <mergeCell ref="F87:F91"/>
    <mergeCell ref="C157:C161"/>
    <mergeCell ref="C42:C46"/>
    <mergeCell ref="A222:A226"/>
    <mergeCell ref="E382:E386"/>
    <mergeCell ref="E42:E46"/>
    <mergeCell ref="B552:B556"/>
    <mergeCell ref="E692:E696"/>
    <mergeCell ref="A602:A606"/>
    <mergeCell ref="A607:A611"/>
    <mergeCell ref="C337:C341"/>
    <mergeCell ref="D732:D736"/>
    <mergeCell ref="D382:D386"/>
    <mergeCell ref="A592:A596"/>
    <mergeCell ref="F582:F586"/>
    <mergeCell ref="B807:B811"/>
    <mergeCell ref="F212:F216"/>
    <mergeCell ref="C697:C701"/>
    <mergeCell ref="B457:B461"/>
    <mergeCell ref="B257:B261"/>
    <mergeCell ref="G527:G531"/>
    <mergeCell ref="D457:D461"/>
    <mergeCell ref="C347:C351"/>
    <mergeCell ref="G782:G786"/>
    <mergeCell ref="E787:E791"/>
    <mergeCell ref="B742:B746"/>
    <mergeCell ref="G672:G676"/>
    <mergeCell ref="B92:B96"/>
    <mergeCell ref="D742:D746"/>
    <mergeCell ref="G787:G791"/>
    <mergeCell ref="D92:D96"/>
    <mergeCell ref="D152:D156"/>
    <mergeCell ref="D807:D811"/>
    <mergeCell ref="B692:B696"/>
    <mergeCell ref="F92:F96"/>
    <mergeCell ref="F152:F156"/>
    <mergeCell ref="E487:E491"/>
    <mergeCell ref="B757:B761"/>
    <mergeCell ref="D757:D761"/>
    <mergeCell ref="C647:C651"/>
    <mergeCell ref="G752:G756"/>
    <mergeCell ref="G762:G766"/>
    <mergeCell ref="G417:G421"/>
    <mergeCell ref="G582:G586"/>
    <mergeCell ref="G797:G801"/>
    <mergeCell ref="G107:G111"/>
    <mergeCell ref="F752:F756"/>
    <mergeCell ref="D282:D286"/>
    <mergeCell ref="G822:G826"/>
    <mergeCell ref="B302:B306"/>
    <mergeCell ref="G232:G236"/>
    <mergeCell ref="D502:D506"/>
    <mergeCell ref="D302:D306"/>
    <mergeCell ref="E772:E776"/>
    <mergeCell ref="A257:A261"/>
    <mergeCell ref="G832:G836"/>
    <mergeCell ref="D727:D731"/>
    <mergeCell ref="G77:G81"/>
    <mergeCell ref="A797:A801"/>
    <mergeCell ref="F727:F731"/>
    <mergeCell ref="F787:F791"/>
    <mergeCell ref="A207:A211"/>
    <mergeCell ref="F137:F141"/>
    <mergeCell ref="E92:E96"/>
    <mergeCell ref="G532:G536"/>
    <mergeCell ref="F422:F426"/>
    <mergeCell ref="A557:A561"/>
    <mergeCell ref="F487:F491"/>
    <mergeCell ref="A507:A511"/>
    <mergeCell ref="A192:A196"/>
    <mergeCell ref="C192:C196"/>
    <mergeCell ref="C252:C256"/>
    <mergeCell ref="A792:A796"/>
    <mergeCell ref="E252:E256"/>
    <mergeCell ref="F722:F726"/>
    <mergeCell ref="C792:C796"/>
    <mergeCell ref="C202:C206"/>
    <mergeCell ref="E677:E681"/>
    <mergeCell ref="B747:B751"/>
    <mergeCell ref="G677:G681"/>
    <mergeCell ref="G817:G821"/>
    <mergeCell ref="A817:A821"/>
    <mergeCell ref="F492:F496"/>
    <mergeCell ref="D482:D486"/>
    <mergeCell ref="D307:D311"/>
    <mergeCell ref="A577:A581"/>
    <mergeCell ref="A377:A381"/>
    <mergeCell ref="E397:E401"/>
    <mergeCell ref="C577:C581"/>
    <mergeCell ref="G397:G401"/>
    <mergeCell ref="A802:A806"/>
    <mergeCell ref="C802:C806"/>
    <mergeCell ref="F37:F41"/>
    <mergeCell ref="F602:F606"/>
    <mergeCell ref="C497:C501"/>
    <mergeCell ref="E497:E501"/>
    <mergeCell ref="G522:G526"/>
    <mergeCell ref="D792:D796"/>
    <mergeCell ref="E472:E476"/>
    <mergeCell ref="B607:B611"/>
    <mergeCell ref="G62:G66"/>
    <mergeCell ref="E87:E91"/>
    <mergeCell ref="B157:B161"/>
    <mergeCell ref="A807:A811"/>
    <mergeCell ref="G87:G91"/>
    <mergeCell ref="E627:E631"/>
    <mergeCell ref="E687:E691"/>
    <mergeCell ref="C492:C496"/>
    <mergeCell ref="C552:C556"/>
    <mergeCell ref="E492:E496"/>
    <mergeCell ref="B762:B766"/>
    <mergeCell ref="E552:E556"/>
    <mergeCell ref="B802:B806"/>
    <mergeCell ref="B327:B331"/>
    <mergeCell ref="D802:D806"/>
    <mergeCell ref="B12:B16"/>
    <mergeCell ref="E542:E546"/>
    <mergeCell ref="B612:B616"/>
    <mergeCell ref="G542:G546"/>
    <mergeCell ref="D812:D816"/>
    <mergeCell ref="A252:A256"/>
    <mergeCell ref="A567:A571"/>
    <mergeCell ref="F497:F501"/>
    <mergeCell ref="G517:G521"/>
    <mergeCell ref="B247:B251"/>
    <mergeCell ref="D447:D451"/>
    <mergeCell ref="G452:G456"/>
    <mergeCell ref="A517:A521"/>
    <mergeCell ref="B312:B316"/>
    <mergeCell ref="F447:F451"/>
    <mergeCell ref="D312:D316"/>
    <mergeCell ref="A582:A586"/>
    <mergeCell ref="B262:B266"/>
    <mergeCell ref="A217:A221"/>
    <mergeCell ref="A277:A281"/>
    <mergeCell ref="B547:B551"/>
    <mergeCell ref="F42:F46"/>
    <mergeCell ref="C277:C281"/>
    <mergeCell ref="G372:G376"/>
    <mergeCell ref="A302:A306"/>
    <mergeCell ref="C502:C506"/>
    <mergeCell ref="B392:B396"/>
    <mergeCell ref="E527:E531"/>
    <mergeCell ref="G322:G326"/>
    <mergeCell ref="G827:G831"/>
    <mergeCell ref="E137:E141"/>
    <mergeCell ref="G137:G141"/>
    <mergeCell ref="B622:B626"/>
    <mergeCell ref="E422:E426"/>
    <mergeCell ref="B597:B601"/>
    <mergeCell ref="G422:G426"/>
    <mergeCell ref="D597:D601"/>
    <mergeCell ref="D657:D661"/>
    <mergeCell ref="G487:G491"/>
    <mergeCell ref="D292:D296"/>
    <mergeCell ref="D357:D361"/>
    <mergeCell ref="G722:G726"/>
    <mergeCell ref="F357:F361"/>
    <mergeCell ref="D202:D206"/>
    <mergeCell ref="A262:A266"/>
    <mergeCell ref="A62:A66"/>
    <mergeCell ref="A122:A126"/>
    <mergeCell ref="C262:C266"/>
    <mergeCell ref="C122:C126"/>
    <mergeCell ref="D592:D596"/>
    <mergeCell ref="A662:A666"/>
    <mergeCell ref="F627:F631"/>
    <mergeCell ref="C547:C551"/>
    <mergeCell ref="E547:E551"/>
    <mergeCell ref="D187:D191"/>
    <mergeCell ref="A362:A366"/>
    <mergeCell ref="F187:F191"/>
    <mergeCell ref="F352:F356"/>
    <mergeCell ref="E242:E246"/>
    <mergeCell ref="D787:D791"/>
    <mergeCell ref="G242:G246"/>
    <mergeCell ref="G2:G6"/>
    <mergeCell ref="A67:A71"/>
    <mergeCell ref="G567:G571"/>
    <mergeCell ref="A132:A136"/>
    <mergeCell ref="G732:G736"/>
    <mergeCell ref="D497:D501"/>
    <mergeCell ref="A672:A676"/>
    <mergeCell ref="A107:A111"/>
    <mergeCell ref="A82:A86"/>
    <mergeCell ref="D472:D476"/>
    <mergeCell ref="C107:C111"/>
    <mergeCell ref="A647:A651"/>
    <mergeCell ref="F472:F476"/>
    <mergeCell ref="A707:A711"/>
    <mergeCell ref="F637:F641"/>
    <mergeCell ref="A367:A371"/>
    <mergeCell ref="C707:C711"/>
    <mergeCell ref="C392:C396"/>
    <mergeCell ref="B662:B666"/>
    <mergeCell ref="G592:G596"/>
    <mergeCell ref="B322:B326"/>
    <mergeCell ref="F232:F236"/>
    <mergeCell ref="C302:C306"/>
    <mergeCell ref="C407:C411"/>
    <mergeCell ref="B297:B301"/>
    <mergeCell ref="B272:B276"/>
    <mergeCell ref="D297:D301"/>
    <mergeCell ref="C127:C131"/>
    <mergeCell ref="G187:G191"/>
    <mergeCell ref="A667:A671"/>
    <mergeCell ref="E727:E731"/>
    <mergeCell ref="C692:C696"/>
    <mergeCell ref="G447:G451"/>
    <mergeCell ref="G192:G196"/>
    <mergeCell ref="D367:D371"/>
    <mergeCell ref="F77:F81"/>
    <mergeCell ref="B217:B221"/>
    <mergeCell ref="E7:E11"/>
    <mergeCell ref="F27:F31"/>
    <mergeCell ref="E172:E176"/>
    <mergeCell ref="A272:A276"/>
    <mergeCell ref="F342:F346"/>
    <mergeCell ref="C272:C276"/>
    <mergeCell ref="E737:E741"/>
    <mergeCell ref="G182:G186"/>
    <mergeCell ref="B667:B671"/>
    <mergeCell ref="G492:G496"/>
    <mergeCell ref="G737:G741"/>
    <mergeCell ref="D667:D671"/>
    <mergeCell ref="F377:F381"/>
    <mergeCell ref="G467:G471"/>
    <mergeCell ref="D642:D646"/>
    <mergeCell ref="E307:E311"/>
    <mergeCell ref="F642:F646"/>
    <mergeCell ref="A372:A376"/>
    <mergeCell ref="E282:E286"/>
    <mergeCell ref="G282:G286"/>
    <mergeCell ref="A347:A351"/>
    <mergeCell ref="F52:F56"/>
    <mergeCell ref="C92:C96"/>
    <mergeCell ref="G307:G311"/>
    <mergeCell ref="D7:D11"/>
    <mergeCell ref="B397:B401"/>
    <mergeCell ref="E187:E191"/>
    <mergeCell ref="B817:B821"/>
    <mergeCell ref="E52:E56"/>
    <mergeCell ref="B62:B66"/>
    <mergeCell ref="B122:B126"/>
    <mergeCell ref="B227:B231"/>
    <mergeCell ref="D262:D266"/>
    <mergeCell ref="E592:E596"/>
    <mergeCell ref="G52:G56"/>
    <mergeCell ref="F7:F11"/>
    <mergeCell ref="D547:D551"/>
    <mergeCell ref="B512:B516"/>
    <mergeCell ref="F397:F401"/>
    <mergeCell ref="A722:A726"/>
    <mergeCell ref="F647:F651"/>
    <mergeCell ref="A782:A786"/>
    <mergeCell ref="G287:G291"/>
    <mergeCell ref="E352:E356"/>
    <mergeCell ref="D242:D246"/>
    <mergeCell ref="G352:G356"/>
    <mergeCell ref="A417:A421"/>
    <mergeCell ref="F242:F246"/>
    <mergeCell ref="C417:C421"/>
    <mergeCell ref="F307:F311"/>
    <mergeCell ref="B57:B61"/>
    <mergeCell ref="D57:D61"/>
    <mergeCell ref="C702:C706"/>
    <mergeCell ref="C112:C116"/>
    <mergeCell ref="G587:G591"/>
    <mergeCell ref="C12:C16"/>
    <mergeCell ref="A652:A656"/>
    <mergeCell ref="A717:A721"/>
    <mergeCell ref="E177:E181"/>
    <mergeCell ref="F2:F6"/>
    <mergeCell ref="G167:G171"/>
    <mergeCell ref="D342:D346"/>
    <mergeCell ref="F592:F596"/>
    <mergeCell ref="B407:B411"/>
    <mergeCell ref="A297:A301"/>
    <mergeCell ref="D407:D411"/>
    <mergeCell ref="C297:C301"/>
    <mergeCell ref="G197:G201"/>
    <mergeCell ref="D127:D131"/>
    <mergeCell ref="F827:F831"/>
    <mergeCell ref="A327:A331"/>
    <mergeCell ref="D692:D696"/>
    <mergeCell ref="A312:A316"/>
    <mergeCell ref="D102:D106"/>
    <mergeCell ref="F692:F696"/>
    <mergeCell ref="C622:C626"/>
    <mergeCell ref="F102:F106"/>
    <mergeCell ref="C57:C61"/>
    <mergeCell ref="G432:G436"/>
    <mergeCell ref="A597:A601"/>
    <mergeCell ref="E57:E61"/>
    <mergeCell ref="C597:C601"/>
    <mergeCell ref="F387:F391"/>
    <mergeCell ref="C762:C766"/>
    <mergeCell ref="C7:C11"/>
    <mergeCell ref="E657:E661"/>
    <mergeCell ref="E762:E766"/>
    <mergeCell ref="F337:F341"/>
    <mergeCell ref="C292:C296"/>
    <mergeCell ref="F402:F406"/>
    <mergeCell ref="E292:E296"/>
    <mergeCell ref="B797:B801"/>
    <mergeCell ref="E152:E156"/>
    <mergeCell ref="G687:G691"/>
    <mergeCell ref="B107:B111"/>
    <mergeCell ref="D107:D111"/>
    <mergeCell ref="G97:G101"/>
    <mergeCell ref="E437:E441"/>
    <mergeCell ref="A37:A41"/>
    <mergeCell ref="B707:B711"/>
    <mergeCell ref="A702:A706"/>
    <mergeCell ref="B367:B371"/>
    <mergeCell ref="E502:E506"/>
    <mergeCell ref="D392:D396"/>
    <mergeCell ref="D707:D711"/>
    <mergeCell ref="A767:A771"/>
    <mergeCell ref="A12:A16"/>
    <mergeCell ref="B812:B816"/>
    <mergeCell ref="C767:C771"/>
    <mergeCell ref="B342:B346"/>
    <mergeCell ref="C357:C361"/>
    <mergeCell ref="E357:E361"/>
    <mergeCell ref="D247:D251"/>
    <mergeCell ref="B527:B531"/>
    <mergeCell ref="F687:F691"/>
    <mergeCell ref="C307:C311"/>
    <mergeCell ref="G777:G781"/>
    <mergeCell ref="C612:C616"/>
    <mergeCell ref="C717:C721"/>
    <mergeCell ref="F542:F546"/>
    <mergeCell ref="B672:B676"/>
    <mergeCell ref="A247:A251"/>
    <mergeCell ref="B82:B86"/>
    <mergeCell ref="A17:A21"/>
    <mergeCell ref="G507:G511"/>
    <mergeCell ref="A637:A641"/>
    <mergeCell ref="G482:G486"/>
    <mergeCell ref="C82:C86"/>
    <mergeCell ref="B212:B216"/>
    <mergeCell ref="D437:D441"/>
    <mergeCell ref="D412:D416"/>
    <mergeCell ref="A622:A626"/>
    <mergeCell ref="F437:F441"/>
    <mergeCell ref="F412:F416"/>
    <mergeCell ref="C367:C371"/>
    <mergeCell ref="G807:G811"/>
    <mergeCell ref="F697:F701"/>
    <mergeCell ref="A117:A121"/>
    <mergeCell ref="C342:C346"/>
    <mergeCell ref="C317:C321"/>
    <mergeCell ref="E342:E346"/>
    <mergeCell ref="D172:D176"/>
    <mergeCell ref="C62:C66"/>
    <mergeCell ref="A182:A186"/>
    <mergeCell ref="F172:F176"/>
    <mergeCell ref="E62:E66"/>
    <mergeCell ref="D712:D716"/>
    <mergeCell ref="C602:C606"/>
    <mergeCell ref="B237:B241"/>
    <mergeCell ref="D737:D741"/>
    <mergeCell ref="G637:G641"/>
    <mergeCell ref="F712:F716"/>
    <mergeCell ref="C667:C671"/>
    <mergeCell ref="F147:F151"/>
    <mergeCell ref="F737:F741"/>
    <mergeCell ref="A27:A31"/>
    <mergeCell ref="C227:C231"/>
    <mergeCell ref="B117:B121"/>
    <mergeCell ref="G697:G701"/>
    <mergeCell ref="D557:D561"/>
    <mergeCell ref="F757:F761"/>
    <mergeCell ref="B182:B186"/>
    <mergeCell ref="E647:E651"/>
    <mergeCell ref="G647:G651"/>
    <mergeCell ref="E712:E716"/>
    <mergeCell ref="G712:G716"/>
    <mergeCell ref="F287:F291"/>
    <mergeCell ref="C462:C466"/>
    <mergeCell ref="E462:E466"/>
    <mergeCell ref="B417:B421"/>
    <mergeCell ref="C747:C751"/>
    <mergeCell ref="G207:G211"/>
    <mergeCell ref="G407:G411"/>
    <mergeCell ref="E747:E751"/>
    <mergeCell ref="C222:C226"/>
    <mergeCell ref="B112:B116"/>
    <mergeCell ref="D702:D706"/>
    <mergeCell ref="E222:E226"/>
    <mergeCell ref="D112:D116"/>
    <mergeCell ref="A322:A326"/>
    <mergeCell ref="B177:B181"/>
    <mergeCell ref="B652:B656"/>
    <mergeCell ref="G222:G226"/>
    <mergeCell ref="D177:D181"/>
    <mergeCell ref="C67:C71"/>
    <mergeCell ref="E197:E201"/>
    <mergeCell ref="D652:D656"/>
    <mergeCell ref="A832:A836"/>
    <mergeCell ref="E652:E656"/>
    <mergeCell ref="A492:A496"/>
    <mergeCell ref="G387:G391"/>
    <mergeCell ref="G552:G556"/>
    <mergeCell ref="F762:F766"/>
    <mergeCell ref="G502:G506"/>
    <mergeCell ref="D397:D401"/>
    <mergeCell ref="E127:E131"/>
    <mergeCell ref="D257:D261"/>
    <mergeCell ref="A467:A471"/>
    <mergeCell ref="A527:A531"/>
    <mergeCell ref="E347:E351"/>
    <mergeCell ref="C527:C531"/>
    <mergeCell ref="A532:A536"/>
    <mergeCell ref="A632:A636"/>
    <mergeCell ref="G347:G351"/>
    <mergeCell ref="E412:E416"/>
    <mergeCell ref="A752:A756"/>
    <mergeCell ref="F457:F461"/>
    <mergeCell ref="C752:C756"/>
    <mergeCell ref="A162:A166"/>
    <mergeCell ref="F742:F746"/>
    <mergeCell ref="C162:C166"/>
    <mergeCell ref="A227:A231"/>
    <mergeCell ref="E812:E816"/>
    <mergeCell ref="B717:B721"/>
    <mergeCell ref="D717:D721"/>
    <mergeCell ref="B127:B131"/>
    <mergeCell ref="E667:E671"/>
    <mergeCell ref="C642:C646"/>
    <mergeCell ref="E642:E646"/>
    <mergeCell ref="C812:C816"/>
    <mergeCell ref="B702:B706"/>
    <mergeCell ref="A22:A26"/>
    <mergeCell ref="E392:E396"/>
    <mergeCell ref="C557:C561"/>
    <mergeCell ref="B767:B771"/>
    <mergeCell ref="E557:E561"/>
    <mergeCell ref="G557:G561"/>
    <mergeCell ref="B487:B491"/>
    <mergeCell ref="D487:D491"/>
    <mergeCell ref="E507:E511"/>
    <mergeCell ref="E192:E196"/>
    <mergeCell ref="B462:B466"/>
    <mergeCell ref="D462:D466"/>
    <mergeCell ref="G252:G256"/>
    <mergeCell ref="E792:E796"/>
    <mergeCell ref="G792:G796"/>
    <mergeCell ref="E102:E106"/>
    <mergeCell ref="D747:D751"/>
    <mergeCell ref="G202:G206"/>
    <mergeCell ref="B277:B281"/>
    <mergeCell ref="A167:A171"/>
    <mergeCell ref="F747:F751"/>
    <mergeCell ref="F157:F161"/>
    <mergeCell ref="E807:E811"/>
    <mergeCell ref="A232:A236"/>
    <mergeCell ref="D22:D26"/>
    <mergeCell ref="D697:D701"/>
    <mergeCell ref="B562:B566"/>
    <mergeCell ref="F222:F226"/>
    <mergeCell ref="D762:D766"/>
    <mergeCell ref="D562:D566"/>
    <mergeCell ref="F807:F811"/>
    <mergeCell ref="A562:A566"/>
    <mergeCell ref="A537:A541"/>
    <mergeCell ref="F607:F611"/>
    <mergeCell ref="C562:C566"/>
    <mergeCell ref="C537:C541"/>
    <mergeCell ref="A512:A516"/>
    <mergeCell ref="C512:C516"/>
    <mergeCell ref="F302:F306"/>
    <mergeCell ref="B467:B471"/>
    <mergeCell ref="C797:C801"/>
    <mergeCell ref="B187:B191"/>
    <mergeCell ref="E797:E801"/>
    <mergeCell ref="C207:C211"/>
    <mergeCell ref="B752:B756"/>
    <mergeCell ref="A72:A76"/>
    <mergeCell ref="A47:A51"/>
    <mergeCell ref="E207:E211"/>
    <mergeCell ref="C72:C76"/>
    <mergeCell ref="B727:B731"/>
    <mergeCell ref="D162:D166"/>
    <mergeCell ref="C652:C656"/>
    <mergeCell ref="E362:E366"/>
    <mergeCell ref="B537:B541"/>
    <mergeCell ref="E337:E341"/>
    <mergeCell ref="A177:A181"/>
    <mergeCell ref="B347:B351"/>
    <mergeCell ref="C177:C181"/>
    <mergeCell ref="B67:B71"/>
    <mergeCell ref="E202:E206"/>
    <mergeCell ref="D267:D271"/>
    <mergeCell ref="E402:E406"/>
    <mergeCell ref="D12:D16"/>
    <mergeCell ref="D227:D231"/>
    <mergeCell ref="C282:C286"/>
    <mergeCell ref="G757:G761"/>
    <mergeCell ref="A822:A826"/>
    <mergeCell ref="C822:C826"/>
    <mergeCell ref="A32:A36"/>
    <mergeCell ref="A97:A101"/>
    <mergeCell ref="E567:E571"/>
    <mergeCell ref="A382:A386"/>
    <mergeCell ref="C582:C586"/>
    <mergeCell ref="E582:E586"/>
    <mergeCell ref="D157:D161"/>
    <mergeCell ref="A332:A336"/>
    <mergeCell ref="D222:D226"/>
    <mergeCell ref="A77:A81"/>
    <mergeCell ref="C217:C221"/>
    <mergeCell ref="E112:E116"/>
    <mergeCell ref="C77:C81"/>
    <mergeCell ref="E217:E221"/>
    <mergeCell ref="A617:A621"/>
    <mergeCell ref="F197:F201"/>
    <mergeCell ref="A682:A686"/>
    <mergeCell ref="C682:C686"/>
    <mergeCell ref="B572:B576"/>
    <mergeCell ref="B772:B776"/>
    <mergeCell ref="D772:D776"/>
    <mergeCell ref="F482:F486"/>
    <mergeCell ref="C657:C661"/>
    <mergeCell ref="B47:B51"/>
    <mergeCell ref="C377:C381"/>
    <mergeCell ref="G437:G441"/>
    <mergeCell ref="B17:B21"/>
    <mergeCell ref="C662:C666"/>
    <mergeCell ref="E697:E701"/>
    <mergeCell ref="D17:D21"/>
    <mergeCell ref="G122:G126"/>
    <mergeCell ref="G157:G161"/>
    <mergeCell ref="G262:G266"/>
    <mergeCell ref="B617:B621"/>
    <mergeCell ref="G547:G551"/>
    <mergeCell ref="D617:D621"/>
    <mergeCell ref="B682:B686"/>
    <mergeCell ref="F817:F821"/>
    <mergeCell ref="D27:D31"/>
    <mergeCell ref="C257:C261"/>
    <mergeCell ref="E257:E261"/>
    <mergeCell ref="B632:B636"/>
    <mergeCell ref="A522:A526"/>
    <mergeCell ref="B317:B321"/>
    <mergeCell ref="G457:G461"/>
    <mergeCell ref="D317:D321"/>
    <mergeCell ref="A587:A591"/>
    <mergeCell ref="B162:B166"/>
    <mergeCell ref="B267:B271"/>
    <mergeCell ref="G92:G96"/>
    <mergeCell ref="G152:G156"/>
    <mergeCell ref="D327:D331"/>
    <mergeCell ref="F802:F806"/>
    <mergeCell ref="B587:B591"/>
    <mergeCell ref="B22:B26"/>
    <mergeCell ref="E387:E391"/>
    <mergeCell ref="E802:E806"/>
    <mergeCell ref="F532:F536"/>
    <mergeCell ref="G7:G11"/>
    <mergeCell ref="A287:A291"/>
    <mergeCell ref="D77:D81"/>
    <mergeCell ref="F217:F221"/>
    <mergeCell ref="A452:A456"/>
    <mergeCell ref="F277:F281"/>
    <mergeCell ref="G572:G576"/>
    <mergeCell ref="C452:C456"/>
    <mergeCell ref="C137:C141"/>
    <mergeCell ref="A572:A576"/>
    <mergeCell ref="A677:A681"/>
    <mergeCell ref="G272:G276"/>
    <mergeCell ref="F667:F671"/>
    <mergeCell ref="A87:A91"/>
    <mergeCell ref="B657:B661"/>
    <mergeCell ref="C47:C51"/>
    <mergeCell ref="B42:B46"/>
    <mergeCell ref="D377:D381"/>
    <mergeCell ref="C22:C26"/>
    <mergeCell ref="F552:F556"/>
    <mergeCell ref="A282:A286"/>
    <mergeCell ref="G142:G146"/>
    <mergeCell ref="B627:B631"/>
    <mergeCell ref="D212:D216"/>
    <mergeCell ref="D627:D631"/>
    <mergeCell ref="B37:B41"/>
    <mergeCell ref="C607:C611"/>
    <mergeCell ref="D37:D41"/>
    <mergeCell ref="B602:B606"/>
    <mergeCell ref="E607:E611"/>
    <mergeCell ref="D602:D606"/>
    <mergeCell ref="D322:D326"/>
    <mergeCell ref="E12:E16"/>
    <mergeCell ref="G12:G16"/>
    <mergeCell ref="G72:G76"/>
    <mergeCell ref="E612:E616"/>
    <mergeCell ref="A142:A146"/>
    <mergeCell ref="B787:B791"/>
    <mergeCell ref="D672:D676"/>
    <mergeCell ref="B97:B101"/>
    <mergeCell ref="A742:A746"/>
    <mergeCell ref="A92:A96"/>
    <mergeCell ref="E247:E251"/>
    <mergeCell ref="F672:F676"/>
    <mergeCell ref="G247:G251"/>
    <mergeCell ref="D517:D521"/>
    <mergeCell ref="B382:B386"/>
    <mergeCell ref="G312:G316"/>
    <mergeCell ref="A757:A761"/>
    <mergeCell ref="A442:A446"/>
    <mergeCell ref="D217:D221"/>
    <mergeCell ref="F777:F781"/>
    <mergeCell ref="E707:E711"/>
    <mergeCell ref="G707:G711"/>
    <mergeCell ref="B502:B506"/>
    <mergeCell ref="A147:A151"/>
    <mergeCell ref="E302:E306"/>
    <mergeCell ref="D512:D516"/>
    <mergeCell ref="B477:B481"/>
    <mergeCell ref="G302:G306"/>
    <mergeCell ref="G442:G446"/>
    <mergeCell ref="D362:D366"/>
    <mergeCell ref="A432:A436"/>
    <mergeCell ref="A407:A411"/>
    <mergeCell ref="C17:C21"/>
    <mergeCell ref="D662:D666"/>
    <mergeCell ref="F262:F266"/>
    <mergeCell ref="F662:F666"/>
    <mergeCell ref="E77:E81"/>
    <mergeCell ref="F547:F551"/>
    <mergeCell ref="C617:C621"/>
    <mergeCell ref="C722:C726"/>
    <mergeCell ref="C27:C31"/>
    <mergeCell ref="C132:C136"/>
    <mergeCell ref="E27:E31"/>
    <mergeCell ref="B677:B681"/>
    <mergeCell ref="C632:C636"/>
    <mergeCell ref="E317:E321"/>
    <mergeCell ref="E377:E381"/>
    <mergeCell ref="F57:F61"/>
    <mergeCell ref="C327:C331"/>
    <mergeCell ref="E327:E331"/>
    <mergeCell ref="F257:F261"/>
    <mergeCell ref="F362:F366"/>
    <mergeCell ref="D207:D211"/>
    <mergeCell ref="D622:D626"/>
    <mergeCell ref="B72:B76"/>
    <mergeCell ref="F207:F211"/>
    <mergeCell ref="C267:C271"/>
    <mergeCell ref="E267:E271"/>
    <mergeCell ref="F557:F561"/>
    <mergeCell ref="D507:D511"/>
    <mergeCell ref="B32:B36"/>
    <mergeCell ref="F507:F511"/>
    <mergeCell ref="F192:F196"/>
    <mergeCell ref="F252:F256"/>
    <mergeCell ref="B832:B836"/>
    <mergeCell ref="B77:B81"/>
    <mergeCell ref="B732:B736"/>
    <mergeCell ref="D832:D836"/>
    <mergeCell ref="A727:A731"/>
    <mergeCell ref="G657:G661"/>
    <mergeCell ref="A137:A141"/>
    <mergeCell ref="G292:G296"/>
    <mergeCell ref="C447:C451"/>
    <mergeCell ref="B427:B431"/>
    <mergeCell ref="B532:B536"/>
    <mergeCell ref="A422:A426"/>
    <mergeCell ref="D427:D431"/>
    <mergeCell ref="F247:F251"/>
    <mergeCell ref="C422:C426"/>
    <mergeCell ref="G357:G361"/>
    <mergeCell ref="B377:B381"/>
    <mergeCell ref="C487:C491"/>
    <mergeCell ref="D122:D126"/>
    <mergeCell ref="C332:C336"/>
    <mergeCell ref="F122:F126"/>
    <mergeCell ref="G802:G806"/>
    <mergeCell ref="D797:D801"/>
    <mergeCell ref="G727:G731"/>
    <mergeCell ref="A732:A736"/>
    <mergeCell ref="A427:A431"/>
    <mergeCell ref="C427:C431"/>
    <mergeCell ref="F792:F796"/>
    <mergeCell ref="E427:E431"/>
    <mergeCell ref="F202:F206"/>
    <mergeCell ref="B167:B171"/>
    <mergeCell ref="E262:E266"/>
    <mergeCell ref="E767:E771"/>
    <mergeCell ref="E322:E326"/>
    <mergeCell ref="E72:E76"/>
    <mergeCell ref="A477:A481"/>
    <mergeCell ref="F407:F411"/>
    <mergeCell ref="E297:E301"/>
    <mergeCell ref="C477:C481"/>
    <mergeCell ref="G497:G501"/>
    <mergeCell ref="G297:G301"/>
    <mergeCell ref="B432:B436"/>
    <mergeCell ref="G362:G366"/>
    <mergeCell ref="E312:E316"/>
    <mergeCell ref="E622:E626"/>
    <mergeCell ref="B822:B826"/>
    <mergeCell ref="G622:G626"/>
    <mergeCell ref="B232:B236"/>
    <mergeCell ref="G57:G61"/>
    <mergeCell ref="E597:E601"/>
    <mergeCell ref="F267:F271"/>
    <mergeCell ref="G597:G601"/>
    <mergeCell ref="D62:D66"/>
    <mergeCell ref="F62:F66"/>
    <mergeCell ref="B332:B336"/>
    <mergeCell ref="E122:E126"/>
    <mergeCell ref="B282:B286"/>
    <mergeCell ref="G237:G241"/>
    <mergeCell ref="G172:G176"/>
    <mergeCell ref="A237:A241"/>
    <mergeCell ref="A777:A781"/>
    <mergeCell ref="G147:G151"/>
    <mergeCell ref="A212:A216"/>
    <mergeCell ref="F142:F146"/>
    <mergeCell ref="F347:F351"/>
    <mergeCell ref="A482:A486"/>
    <mergeCell ref="C442:C446"/>
    <mergeCell ref="G742:G746"/>
    <mergeCell ref="A202:A206"/>
    <mergeCell ref="F132:F136"/>
    <mergeCell ref="D82:D86"/>
    <mergeCell ref="C627:C631"/>
    <mergeCell ref="F82:F86"/>
    <mergeCell ref="D647:D651"/>
    <mergeCell ref="F107:F111"/>
    <mergeCell ref="C37:C41"/>
    <mergeCell ref="E37:E41"/>
    <mergeCell ref="F707:F711"/>
    <mergeCell ref="E602:E606"/>
    <mergeCell ref="E662:E666"/>
    <mergeCell ref="A502:A506"/>
    <mergeCell ref="C212:C216"/>
    <mergeCell ref="C522:C526"/>
    <mergeCell ref="D632:D636"/>
    <mergeCell ref="B582:B586"/>
    <mergeCell ref="D607:D611"/>
    <mergeCell ref="G102:G106"/>
    <mergeCell ref="G337:G341"/>
    <mergeCell ref="F292:F296"/>
    <mergeCell ref="B132:B136"/>
    <mergeCell ref="G402:G406"/>
    <mergeCell ref="C152:C156"/>
    <mergeCell ref="C247:C251"/>
    <mergeCell ref="E447:E451"/>
    <mergeCell ref="C412:C416"/>
    <mergeCell ref="C312:C316"/>
    <mergeCell ref="G67:G71"/>
    <mergeCell ref="F717:F721"/>
    <mergeCell ref="C787:C791"/>
    <mergeCell ref="A197:A201"/>
    <mergeCell ref="C672:C676"/>
    <mergeCell ref="E17:E21"/>
    <mergeCell ref="E672:E676"/>
    <mergeCell ref="F127:F131"/>
    <mergeCell ref="E82:E86"/>
    <mergeCell ref="B152:B156"/>
    <mergeCell ref="G82:G86"/>
    <mergeCell ref="A487:A491"/>
    <mergeCell ref="E367:E371"/>
    <mergeCell ref="B437:B441"/>
    <mergeCell ref="B542:B546"/>
    <mergeCell ref="G367:G371"/>
    <mergeCell ref="C117:C121"/>
    <mergeCell ref="G342:G346"/>
    <mergeCell ref="C182:C186"/>
    <mergeCell ref="E182:E186"/>
    <mergeCell ref="D272:D276"/>
    <mergeCell ref="B452:B456"/>
    <mergeCell ref="A447:A451"/>
    <mergeCell ref="D477:D481"/>
    <mergeCell ref="F272:F276"/>
    <mergeCell ref="D137:D141"/>
    <mergeCell ref="E157:E161"/>
    <mergeCell ref="B737:B741"/>
    <mergeCell ref="G667:G671"/>
    <mergeCell ref="B87:B91"/>
    <mergeCell ref="D87:D91"/>
    <mergeCell ref="A42:A46"/>
    <mergeCell ref="D117:D121"/>
    <mergeCell ref="G227:G231"/>
    <mergeCell ref="F117:F121"/>
    <mergeCell ref="D182:D186"/>
    <mergeCell ref="B722:B726"/>
    <mergeCell ref="A357:A361"/>
    <mergeCell ref="B522:B526"/>
    <mergeCell ref="D722:D726"/>
    <mergeCell ref="F182:F186"/>
    <mergeCell ref="D782:D786"/>
    <mergeCell ref="G512:G516"/>
    <mergeCell ref="D132:D136"/>
    <mergeCell ref="F782:F786"/>
    <mergeCell ref="C677:C681"/>
    <mergeCell ref="C87:C91"/>
    <mergeCell ref="A627:A631"/>
    <mergeCell ref="D417:D421"/>
    <mergeCell ref="F417:F421"/>
    <mergeCell ref="C372:C376"/>
    <mergeCell ref="A552:A556"/>
    <mergeCell ref="F312:F316"/>
    <mergeCell ref="E372:E376"/>
    <mergeCell ref="F392:F396"/>
    <mergeCell ref="C322:C326"/>
    <mergeCell ref="F112:F116"/>
    <mergeCell ref="A187:A191"/>
    <mergeCell ref="C187:C191"/>
    <mergeCell ref="A352:A356"/>
    <mergeCell ref="F177:F181"/>
    <mergeCell ref="F652:F656"/>
    <mergeCell ref="G642:G646"/>
    <mergeCell ref="B372:B376"/>
    <mergeCell ref="C167:C171"/>
    <mergeCell ref="E167:E171"/>
    <mergeCell ref="C232:C236"/>
    <mergeCell ref="A772:A776"/>
    <mergeCell ref="E232:E236"/>
    <mergeCell ref="C772:C776"/>
    <mergeCell ref="C832:C836"/>
    <mergeCell ref="B827:B831"/>
    <mergeCell ref="E832:E836"/>
    <mergeCell ref="E717:E721"/>
    <mergeCell ref="E517:E521"/>
    <mergeCell ref="G652:G656"/>
    <mergeCell ref="G717:G721"/>
    <mergeCell ref="B137:B141"/>
    <mergeCell ref="C467:C471"/>
    <mergeCell ref="D197:D201"/>
    <mergeCell ref="E467:E471"/>
    <mergeCell ref="C532:C536"/>
    <mergeCell ref="B422:B426"/>
    <mergeCell ref="E532:E536"/>
    <mergeCell ref="D422:D426"/>
    <mergeCell ref="G212:G216"/>
    <mergeCell ref="F622:F626"/>
    <mergeCell ref="E752:E756"/>
    <mergeCell ref="E162:E166"/>
    <mergeCell ref="G607:G611"/>
    <mergeCell ref="E227:E231"/>
    <mergeCell ref="A787:A791"/>
    <mergeCell ref="D372:D376"/>
    <mergeCell ref="F597:F601"/>
    <mergeCell ref="E457:E461"/>
    <mergeCell ref="D347:D351"/>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2025-12-02T10:22:38Z</dcterms:created>
  <dcterms:modified xsi:type="dcterms:W3CDTF">2025-12-02T10:25:37Z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DJUMTA6MjU6MzZaIiwicElEIjoxLCJwcm9jZXNzSWQiOjI0MDAwLCJwcm9jZXNzTmFtZSI6IkVYQ0VMLkVYRSIsInRyYWNlSWQiOiJEQTlDQkEwNUZDN0M0M0EwOTZDRjIzNERGNTBEQUEwOSIsInVzZXJDb2RlIjoibXVsdGlkeTE5ODUifSwibm9kZTIiOnsiZHNkIjoiMDEwMDAwMDAwMDAwMTQzMyIsImxvZ1RpbWUiOiIyMDI1LTEyLTAyVDEwOjI1OjM2WiIsInBJRCI6MSwicHJvY2Vzc0lkIjoyNDAwMCwicHJvY2Vzc05hbWUiOiJFWENFTC5FWEUiLCJ0cmFjZUlkIjoiREE5Q0JBMDVGQzdDNDNBMDk2Q0YyMzRERjUwREFBMDkiLCJ1c2VyQ29kZSI6Im11bHRpZHkxOTg1In0sIm5vZGUzIjp7ImRzZCI6IjAxMDAwMDAwMDAwMDE0MzMiLCJsb2dUaW1lIjoiMjAyNS0xMi0wMlQxMDoyNTozNloiLCJwSUQiOjEsInByb2Nlc3NJZCI6MjQwMDAsInByb2Nlc3NOYW1lIjoiRVhDRUwuRVhFIiwidHJhY2VJZCI6IkRBOUNCQTA1RkM3QzQzQTA5NkNGMjM0REY1MERBQTA5IiwidXNlckNvZGUiOiJtdWx0aWR5MTk4NSJ9LCJub2RlNCI6eyJkc2QiOiIwMTAwMDAwMDAwMDAxNDMzIiwibG9nVGltZSI6IjIwMjUtMTItMDJUMTA6MjU6MzZaIiwicElEIjoxLCJwcm9jZXNzSWQiOjI0MDAwLCJwcm9jZXNzTmFtZSI6IkVYQ0VMLkVYRSIsInRyYWNlSWQiOiJEQTlDQkEwNUZDN0M0M0EwOTZDRjIzNERGNTBEQUEwOSIsInVzZXJDb2RlIjoibXVsdGlkeTE5ODUifSwibm9kZTUiOnsiZHNkIjoiMDAwMDAwMDAwMDAwMDAwMCIsImxvZ1RpbWUiOiIyMDI1LTEyLTAyVDEwOjI2OjE1WiIsInBJRCI6MjA0OCwicHJvY2Vzc0lkIjoyNDAwMCwicHJvY2Vzc05hbWUiOiJFWENFTC5FWEUiLCJ0cmFjZUlkIjoiN0EyNTgwRjkzMUQwNDY5NzgwQzQ1NUFCMTU4NkNBNzgiLCJ1c2VyQ29kZSI6Im11bHRpZHkxOTg1In0sIm5vZGVDb3VudCI6Miwicm9vdFRyYWNlSWQiOiJEQTlDQkEwNUZDN0M0M0EwOTZDRjIzNERGNTBEQUEwOSJ9</vt:lpwstr>
  </property>
</Properties>
</file>