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부서FAQ_GoldenSet" sheetId="1" r:id="rId4"/>
    <sheet state="visible" name="작업완료질문" sheetId="2" r:id="rId5"/>
    <sheet state="visible" name="GoldenSet모아라(11.24-12.07)" sheetId="3" r:id="rId6"/>
  </sheets>
  <definedNames>
    <definedName hidden="1" localSheetId="0" name="_xlnm._FilterDatabase">'부서FAQ_GoldenSet'!$A$3:$O$442</definedName>
    <definedName hidden="1" localSheetId="2" name="_xlnm._FilterDatabase">'GoldenSet모아라(11.24-12.07)'!$A$3:$M$270</definedName>
    <definedName hidden="1" localSheetId="0" name="Z_07E635A6_5392_4118_A6DF_FD63271C90AA_.wvu.FilterData">'부서FAQ_GoldenSet'!$A$3:$O$442</definedName>
  </definedNames>
  <calcPr/>
  <customWorkbookViews>
    <customWorkbookView activeSheetId="0" maximized="1" windowHeight="0" windowWidth="0" guid="{07E635A6-5392-4118-A6DF-FD63271C90AA}" name="기본필터"/>
  </customWorkbookViews>
</workbook>
</file>

<file path=xl/sharedStrings.xml><?xml version="1.0" encoding="utf-8"?>
<sst xmlns="http://schemas.openxmlformats.org/spreadsheetml/2006/main" count="6350" uniqueCount="3544">
  <si>
    <t>부서별 질의응답 제출</t>
  </si>
  <si>
    <t>참조문서확정수 :</t>
  </si>
  <si>
    <t>노란색 - 문서명 재정리</t>
  </si>
  <si>
    <t>녹색 
 [페이지변경]</t>
  </si>
  <si>
    <t>주황색 - 부산시 추가 논의 필요 
 파란색 - 청크 데이터 확인 후 논의 필요</t>
  </si>
  <si>
    <t>작업청크수</t>
  </si>
  <si>
    <t>AI 부기주무관 답변</t>
  </si>
  <si>
    <t>부산시 의견</t>
  </si>
  <si>
    <t>답변 분류 및 체크 사항</t>
  </si>
  <si>
    <t>답변 참조 데이터</t>
  </si>
  <si>
    <t>검색작업</t>
  </si>
  <si>
    <t>RAG 문서 검토</t>
  </si>
  <si>
    <t>순번</t>
  </si>
  <si>
    <t>질의문</t>
  </si>
  <si>
    <t>질의문 확장</t>
  </si>
  <si>
    <t>답변</t>
  </si>
  <si>
    <t>관련문서명</t>
  </si>
  <si>
    <t>부기주무관 답변 확인 의견</t>
  </si>
  <si>
    <t>기대답변 (부산시 작성 필요)</t>
  </si>
  <si>
    <t>예상답변방안</t>
  </si>
  <si>
    <t>체크사항</t>
  </si>
  <si>
    <t>답변 참조 문서명</t>
  </si>
  <si>
    <t>참조 페이지</t>
  </si>
  <si>
    <t>참조 내용</t>
  </si>
  <si>
    <t>작업여부</t>
  </si>
  <si>
    <t>작업내역</t>
  </si>
  <si>
    <t>유사질문그룹
(Similar Query Group)</t>
  </si>
  <si>
    <t>검토자료 #1</t>
  </si>
  <si>
    <t>검토자료 #2</t>
  </si>
  <si>
    <t>검토자료 #3</t>
  </si>
  <si>
    <t>검토자료 #4</t>
  </si>
  <si>
    <t>검토자료 #5</t>
  </si>
  <si>
    <t>직원들(6급 이하)의 유연근무 등의 복무결재시 전결권자는 누구인가요?</t>
  </si>
  <si>
    <t>부산광역시 공무원(6급 이하, 7급, 8급, 9급 포함)의 유연근무 신청, 변경 등의 복무에 관한 결재를 진행할때 전결(시장으로부터 복무 결재에 대한 권한을 전달받은 자)을 수행하는 직급은 무엇인가요?</t>
  </si>
  <si>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</si>
  <si>
    <r>
      <rPr>
        <rFont val="Calibri"/>
        <color theme="1"/>
        <sz val="11.0"/>
      </rPr>
      <t>75233_</t>
    </r>
    <r>
      <rPr>
        <rFont val="맑은 고딕"/>
        <color theme="1"/>
        <sz val="11.0"/>
      </rPr>
      <t>부산광역시</t>
    </r>
    <r>
      <rPr>
        <rFont val="Calibri"/>
        <color theme="1"/>
        <sz val="11.0"/>
      </rPr>
      <t>_</t>
    </r>
    <r>
      <rPr>
        <rFont val="맑은 고딕"/>
        <color theme="1"/>
        <sz val="11.0"/>
      </rPr>
      <t>공무원</t>
    </r>
    <r>
      <rPr>
        <rFont val="Calibri"/>
        <color theme="1"/>
        <sz val="11.0"/>
      </rPr>
      <t>_</t>
    </r>
    <r>
      <rPr>
        <rFont val="맑은 고딕"/>
        <color theme="1"/>
        <sz val="11.0"/>
      </rPr>
      <t>복무</t>
    </r>
    <r>
      <rPr>
        <rFont val="Calibri"/>
        <color theme="1"/>
        <sz val="11.0"/>
      </rPr>
      <t>_</t>
    </r>
    <r>
      <rPr>
        <rFont val="맑은 고딕"/>
        <color theme="1"/>
        <sz val="11.0"/>
      </rPr>
      <t>조례</t>
    </r>
    <r>
      <rPr>
        <rFont val="Calibri"/>
        <color theme="1"/>
        <sz val="11.0"/>
      </rPr>
      <t>_</t>
    </r>
    <r>
      <rPr>
        <rFont val="맑은 고딕"/>
        <color theme="1"/>
        <sz val="11.0"/>
      </rPr>
      <t>일부개정</t>
    </r>
    <r>
      <rPr>
        <rFont val="Calibri"/>
        <color theme="1"/>
        <sz val="11.0"/>
      </rPr>
      <t>_</t>
    </r>
    <r>
      <rPr>
        <rFont val="맑은 고딕"/>
        <color theme="1"/>
        <sz val="11.0"/>
      </rPr>
      <t>입법예고문</t>
    </r>
    <r>
      <rPr>
        <rFont val="Calibri"/>
        <color theme="1"/>
        <sz val="11.0"/>
      </rPr>
      <t>-hwp.pdf (p.1)</t>
    </r>
  </si>
  <si>
    <t>관련 문서 확인이 필요할거 같습니다(근거 문서 다운로드가 안됨) 미제출이면 답변이 제대로 안나오는게 맞습니다. 만약 근거문서가 없다면 답변 자체는 괜찮은거 같습니다.</t>
  </si>
  <si>
    <t>문서가 엑셀파일로 되어 있어서 해당 문서를 참고로 답변이 잘 나올지 모르겠습니다. 
 기대답변 : 
 유연근무 등 근무명령에 대한 직원(6급이하)의 전결권자는 과장(담당관, 단장) 입니다.</t>
  </si>
  <si>
    <t>RAG문서정리</t>
  </si>
  <si>
    <t>참조문서확정</t>
  </si>
  <si>
    <t>45_페이지5_문서5_162146_부산광역시_사무_전결처리_규칙.pdf
1291_162355_부산광역시의회_공무원_복무_조례_별표_3_경조사별_휴가일수표제15조제1항_관련.pdf</t>
  </si>
  <si>
    <t>2
1</t>
  </si>
  <si>
    <r>
      <rPr>
        <rFont val="&quot;맑은 고딕&quot;"/>
        <color rgb="FF000000"/>
        <sz val="11.0"/>
      </rPr>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4. 시간외 및 공휴일 등 근무명령 ★ ○
</t>
    </r>
    <r>
      <rPr>
        <rFont val="&quot;맑은 고딕&quot;"/>
        <color rgb="FFFF0000"/>
        <sz val="11.0"/>
      </rPr>
      <t xml:space="preserve"> -&gt; [클라이온의견] 해당표를 임베딩할 수는 있으나 표에 있는 별표, 동그라미가 나타내는 사항을 하위 항목으로 인식할 수 없어서 해당 내용은 RAG로 추출하더라도 SLM에 답변에 활용되는 것은 어려울 것으로 예상됨 (오른쪽 이미지 참조)</t>
    </r>
    <r>
      <rPr>
        <rFont val="&quot;맑은 고딕&quot;"/>
        <color rgb="FF000000"/>
        <sz val="11.0"/>
      </rPr>
      <t xml:space="preserve">
</t>
    </r>
    <r>
      <rPr>
        <rFont val="&quot;맑은 고딕&quot;"/>
        <color rgb="FF00B050"/>
        <sz val="11.0"/>
      </rPr>
      <t>&gt;&gt; 자치법규 문서로 답변 및 별표 자료 추가 수집</t>
    </r>
  </si>
  <si>
    <t>질병휴직시 필요한 서류가 무엇인가요?</t>
  </si>
  <si>
    <t>부산광역시 공무원이 질병휴직을 신청할 때 필요한 서류가 무엇인가요?</t>
  </si>
  <si>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</si>
  <si>
    <t>ㆍ1117_압축규정25228.pdf (p.44)</t>
  </si>
  <si>
    <t xml:space="preserve">근거문서가 부산정보산업진흥원 문서입니다. </t>
  </si>
  <si>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</si>
  <si>
    <t>RAG검색답변</t>
  </si>
  <si>
    <t>293_2501_인사과_지침_행정안전부_지방공무원_인사제도_운영지침행정안전부예규제314호.pdf</t>
  </si>
  <si>
    <t>22</t>
  </si>
  <si>
    <t>제70조(질병휴직) ① 질병휴직은 신체ㆍ정신상의 장애, 불임 또는 난임 치료가 필요한 경우 가능하며, 진단서 또는
 휴직 사유를 증빙할 수 있는 자료를 통해 휴직여부를 판단한다.</t>
  </si>
  <si>
    <t>휴직 신청 절차, 휴직 신청 행정처리 방법 안내, 질병 휴직 신청 방법, 질병 휴직 신청 필요 서류</t>
  </si>
  <si>
    <r>
      <rPr>
        <rFont val="맑은 고딕"/>
        <b/>
        <color theme="1"/>
        <sz val="11.0"/>
      </rPr>
      <t xml:space="preserve">- 747_페이지75_문서7_163334_부산광역시_공무직_및_기간제노동자_인사관리_규정.pdf[7] </t>
    </r>
    <r>
      <rPr>
        <rFont val="맑은 고딕"/>
        <color theme="1"/>
        <sz val="11.0"/>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rFont val="맑은 고딕"/>
        <color rgb="FFFF0000"/>
        <sz val="11.0"/>
      </rPr>
      <t>③ 질병휴직을 청하는 공무직은 「의료법」 제17조에 의하여 교부된 진단서를 제출하여야 한다.</t>
    </r>
    <r>
      <rPr>
        <rFont val="맑은 고딕"/>
        <color theme="1"/>
        <sz val="11.0"/>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</si>
  <si>
    <r>
      <rPr>
        <rFont val="맑은 고딕"/>
        <b/>
        <color theme="1"/>
        <sz val="11.0"/>
      </rPr>
      <t xml:space="preserve">- 264_2401_인사과_법령_행정안전부_지방공무원_인사관계_법령집.pdf[893] : </t>
    </r>
    <r>
      <rPr>
        <rFont val="맑은 고딕"/>
        <color theme="1"/>
        <sz val="11.0"/>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</si>
  <si>
    <r>
      <rPr>
        <rFont val="맑은 고딕"/>
        <b/>
        <color theme="1"/>
        <sz val="11.0"/>
      </rPr>
      <t>- 291_2501_인사과_대통령령_인사혁신처_공무원임용령대통령령제35191호.pdf[37]</t>
    </r>
    <r>
      <rPr>
        <rFont val="맑은 고딕"/>
        <color theme="1"/>
        <sz val="11.0"/>
      </rPr>
      <t xml:space="preserve">
-----
</t>
    </r>
    <r>
      <rPr>
        <rFont val="맑은 고딕"/>
        <color theme="1"/>
        <sz val="11.0"/>
      </rPr>
      <t>제57조의7</t>
    </r>
    <r>
      <rPr>
        <rFont val="맑은 고딕"/>
        <b/>
        <color rgb="FFFF0000"/>
        <sz val="11.0"/>
      </rPr>
      <t>(</t>
    </r>
    <r>
      <rPr>
        <rFont val="맑은 고딕"/>
        <color theme="1"/>
        <sz val="11.0"/>
      </rPr>
      <t>질병휴직</t>
    </r>
    <r>
      <rPr>
        <rFont val="맑은 고딕"/>
        <b/>
        <color rgb="FFFF0000"/>
        <sz val="11.0"/>
      </rPr>
      <t>)</t>
    </r>
    <r>
      <rPr>
        <rFont val="맑은 고딕"/>
        <color theme="1"/>
        <sz val="11.0"/>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</si>
  <si>
    <t>육아휴직시 필요한 서류가 무엇인가요?</t>
  </si>
  <si>
    <t>부산광역시 공무원이 육아휴직을 신청할 때 필요한 서류가 무엇인가요?</t>
  </si>
  <si>
    <t>육아휴직 신청 시 필요한 서류는 신청인 신분증(확인용), 아빠 육아휴직 장려금 지원 신청서, 고용센터 육아휴직급여 지급결정통지서, 육아휴직확인서입니다.</t>
  </si>
  <si>
    <t>답변 근거 문서가 안나옵니다.</t>
  </si>
  <si>
    <t>미답변 처리
 검토자료의 경우 부부 두명 다 휴직을 한 다음 수당을 받을때의 자료이므로 해당 질문과는 좀 성격이 다릅니다.</t>
  </si>
  <si>
    <t>미답변</t>
  </si>
  <si>
    <t>미답변처리</t>
  </si>
  <si>
    <r>
      <rPr>
        <rFont val="맑은 고딕"/>
        <b/>
        <color theme="1"/>
        <sz val="11.0"/>
      </rPr>
      <t xml:space="preserve">- 214_2501_예산담당관_업무매뉴얼_행정안전부_지방공무원보수업무_등_처리지침.pdf[307] : 0.99 
</t>
    </r>
    <r>
      <rPr>
        <rFont val="맑은 고딕"/>
        <color theme="1"/>
        <sz val="11.0"/>
      </rPr>
      <t xml:space="preserve">---- 
</t>
    </r>
    <r>
      <rPr>
        <rFont val="맑은 고딕"/>
        <color theme="1"/>
        <sz val="11.0"/>
      </rPr>
      <t xml:space="preserve">
</t>
    </r>
    <r>
      <rPr>
        <rFont val="맑은 고딕"/>
        <color theme="1"/>
        <sz val="11.0"/>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rFont val="MS UI Gothic"/>
        <color theme="1"/>
        <sz val="11.0"/>
      </rPr>
      <t>․</t>
    </r>
    <r>
      <rPr>
        <rFont val="맑은 고딕"/>
        <color theme="1"/>
        <sz val="11.0"/>
      </rPr>
      <t xml:space="preserve"> 육아휴직 시작일부터 3개월째까지 : 250만원
 </t>
    </r>
    <r>
      <rPr>
        <rFont val="MS UI Gothic"/>
        <color theme="1"/>
        <sz val="11.0"/>
      </rPr>
      <t>․</t>
    </r>
    <r>
      <rPr>
        <rFont val="맑은 고딕"/>
        <color theme="1"/>
        <sz val="11.0"/>
      </rPr>
      <t xml:space="preserve"> 육아휴직 4개월째부터 6개월째까지 : 200만원
 </t>
    </r>
    <r>
      <rPr>
        <rFont val="MS UI Gothic"/>
        <color theme="1"/>
        <sz val="11.0"/>
      </rPr>
      <t>․</t>
    </r>
    <r>
      <rPr>
        <rFont val="맑은 고딕"/>
        <color theme="1"/>
        <sz val="11.0"/>
      </rPr>
      <t xml:space="preserve"> 육아휴직 7개월째 이후 : 160만원
나) 같은 자녀에 대하여 부모가 순차적으로 육아휴직을 하여 두 번째 육아휴직을 한
사람이 공무원인 경우 육아휴직수당은 다음의 구분에 따른다.
 </t>
    </r>
    <r>
      <rPr>
        <rFont val="MS UI Gothic"/>
        <color theme="1"/>
        <sz val="11.0"/>
      </rPr>
      <t>․</t>
    </r>
    <r>
      <rPr>
        <rFont val="맑은 고딕"/>
        <color theme="1"/>
        <sz val="11.0"/>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rFont val="MS UI Gothic"/>
        <color theme="1"/>
        <sz val="11.0"/>
      </rPr>
      <t>․</t>
    </r>
    <r>
      <rPr>
        <rFont val="맑은 고딕"/>
        <color theme="1"/>
        <sz val="11.0"/>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rFont val="맑은 고딕"/>
        <color rgb="FFFF0000"/>
        <sz val="11.0"/>
      </rPr>
      <t xml:space="preserve">증빙하여야 하므로, 배우자가 공무원인 경우 (육아)휴직증명서, 인사발령(휴직)통지서 등
공문, 공무원이 아닌 경우 「남녀고용평등과 일·가정 양립 지원에 관한 법률」에 따른
</t>
    </r>
    <r>
      <rPr>
        <rFont val="맑은 고딕"/>
        <color theme="1"/>
        <sz val="11.0"/>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</si>
  <si>
    <r>
      <rPr>
        <rFont val="맑은 고딕"/>
        <b/>
        <color theme="1"/>
        <sz val="11.0"/>
      </rPr>
      <t xml:space="preserve">- 214_2501_예산담당관_업무매뉴얼_행정안전부_지방공무원보수업무_등_처리지침.pdf[312] 
</t>
    </r>
    <r>
      <rPr>
        <rFont val="맑은 고딕"/>
        <color theme="1"/>
        <sz val="11.0"/>
      </rPr>
      <t xml:space="preserve">---- 
</t>
    </r>
    <r>
      <rPr>
        <rFont val="맑은 고딕"/>
        <color theme="1"/>
        <sz val="11.0"/>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rFont val="맑은 고딕"/>
        <color rgb="FFFF0000"/>
        <sz val="11.0"/>
      </rPr>
      <t xml:space="preserve">배우자가 공무원인 경우 (육아)휴직증명서,
인사발령(휴직)통지서 등 공문, 공무원이 아닌 경우 </t>
    </r>
    <r>
      <rPr>
        <rFont val="Noto Sans KR"/>
        <color rgb="FFFF0000"/>
        <sz val="11.0"/>
      </rPr>
      <t>｢</t>
    </r>
    <r>
      <rPr>
        <rFont val="맑은 고딕"/>
        <color rgb="FFFF0000"/>
        <sz val="11.0"/>
      </rPr>
      <t>남녀고용평등과 일·가정 양립
지원에 관한 법률</t>
    </r>
    <r>
      <rPr>
        <rFont val="Noto Sans KR"/>
        <color rgb="FFFF0000"/>
        <sz val="11.0"/>
      </rPr>
      <t>｣</t>
    </r>
    <r>
      <rPr>
        <rFont val="맑은 고딕"/>
        <color rgb="FFFF0000"/>
        <sz val="11.0"/>
      </rPr>
      <t>에 따른 육아휴직에 대하여 사업장에서 발행한 육아휴직확인서
또는 관할 고용복지센터에서 발급한 육아휴직을 입증하는 서류 등을 소속기관장
에게 제출하여 신청</t>
    </r>
    <r>
      <rPr>
        <rFont val="맑은 고딕"/>
        <color theme="1"/>
        <sz val="11.0"/>
      </rPr>
      <t>(육아휴직 기간 및 대상 자녀가 기재된 것이어야 함</t>
    </r>
  </si>
  <si>
    <t>수의계약시 필요한 서류가 무엇인가요?</t>
  </si>
  <si>
    <t>부산광역시의 물품, 공사, 용역 등의 수의계약을 진행할 때 필요한 서류가 무엇인가요?</t>
  </si>
  <si>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</si>
  <si>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</si>
  <si>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</si>
  <si>
    <t>미답변 처리
 수의계약 시 필요한 서류 목록을 정리해놓은 파일이 없고
 중구난방으로 흩어져 있는데 정확도 여부에 대한 판단이 안되므로 미답변 처리하는게 맞는거 같습니다.</t>
  </si>
  <si>
    <r>
      <rPr>
        <rFont val="맑은 고딕"/>
        <b/>
        <color theme="1"/>
        <sz val="11.0"/>
      </rPr>
      <t xml:space="preserve">- 478_2505_회계재산담당관_업무매뉴얼_회계재산담당관_계약업무_참고자료회계재산담당관외부용.pdf[14] : 0.99 
-----
</t>
    </r>
    <r>
      <rPr>
        <rFont val="맑은 고딕"/>
        <color rgb="FFFF0000"/>
        <sz val="11.0"/>
      </rPr>
      <t xml:space="preserve">5. 추정가격에 따른 계약방법
[표 내용에 공사,용역,물품에 대한 표가 제공됨] 
상세 서류 내용은 제공되지 않음 </t>
    </r>
  </si>
  <si>
    <r>
      <rPr>
        <rFont val="맑은 고딕"/>
        <b/>
        <color theme="1"/>
        <sz val="11.0"/>
      </rPr>
      <t>- 471_2411_회계재산담당관_업무매뉴얼_한국지방재정공제회_2024년_개정판_공사계약_길라잡이한국지방재정공제회.pdf[245] : 0.99.</t>
    </r>
    <r>
      <rPr>
        <rFont val="맑은 고딕"/>
        <color theme="1"/>
        <sz val="11.0"/>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rFont val="Yu Gothic"/>
        <color theme="1"/>
        <sz val="11.0"/>
      </rPr>
      <t>・</t>
    </r>
    <r>
      <rPr>
        <rFont val="맑은 고딕"/>
        <color theme="1"/>
        <sz val="11.0"/>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rFont val="Yu Gothic"/>
        <color theme="1"/>
        <sz val="11.0"/>
      </rPr>
      <t>・</t>
    </r>
    <r>
      <rPr>
        <rFont val="맑은 고딕"/>
        <color theme="1"/>
        <sz val="11.0"/>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rFont val="Segoe UI Symbol"/>
        <color theme="1"/>
        <sz val="11.0"/>
      </rPr>
      <t>❍</t>
    </r>
    <r>
      <rPr>
        <rFont val="맑은 고딕"/>
        <color theme="1"/>
        <sz val="11.0"/>
      </rPr>
      <t xml:space="preserve"> 계약문서는 상호보완의 효력을 가지며 계약당사자 간에 행한 통지문서 등은 계약문서의 효력을 가짐 제 6 장 계 약 및 이 행 </t>
    </r>
    <r>
      <rPr>
        <rFont val="Segoe UI Symbol"/>
        <color theme="1"/>
        <sz val="11.0"/>
      </rPr>
      <t>❍</t>
    </r>
    <r>
      <rPr>
        <rFont val="맑은 고딕"/>
        <color theme="1"/>
        <sz val="11.0"/>
      </rPr>
      <t xml:space="preserve"> 산출내역서는 계약금액의 조정과 기성부분에 대한 대가지급 시 단가산정에 적용할 기준 으로서 계약문서의 효력을 가짐(산출내역서는 간인) 제6장 계약 및 이행 237</t>
    </r>
  </si>
  <si>
    <r>
      <rPr>
        <rFont val="맑은 고딕"/>
        <b/>
        <color theme="1"/>
        <sz val="11.0"/>
      </rPr>
      <t xml:space="preserve">- 468_2404_회계재산담당관_법령_행정안전부_지방자치단체_입찰_및_계약집행기준_00.pdf[149] : 0.99 
-----
- 468_2404_회계재산담당관_법령_행정안전부_지방자치단체_입찰_및_계약집행기준_00.pdf[147] : 0.99 
-----
</t>
    </r>
    <r>
      <rPr>
        <rFont val="맑은 고딕"/>
        <color theme="1"/>
        <sz val="11.0"/>
      </rPr>
      <t xml:space="preserve">
</t>
    </r>
    <r>
      <rPr>
        <rFont val="맑은 고딕"/>
        <color rgb="FFFF0000"/>
        <sz val="11.0"/>
      </rPr>
      <t>[문서서식임] 
수의계약시 계약대상 업체 정보 입력란 + 첨부서류가 있어서 해당 문서가 가이드 되는 것으로 보임. 
유사도 높으나 답에서 걸러져야 하는 항목임</t>
    </r>
  </si>
  <si>
    <r>
      <rPr>
        <rFont val="맑은 고딕"/>
        <b/>
        <color theme="1"/>
        <sz val="11.0"/>
      </rPr>
      <t>- 473_2411_회계재산담당관_업무매뉴얼_한국지방재정공제회_2024년_개정판_용역계약_길라잡이한국지방재정공제회.pdf[280] : 0.99</t>
    </r>
    <r>
      <rPr>
        <rFont val="맑은 고딕"/>
        <color theme="1"/>
        <sz val="11.0"/>
      </rPr>
      <t xml:space="preserve">
-----
</t>
    </r>
    <r>
      <rPr>
        <rFont val="Segoe UI Symbol"/>
        <color theme="1"/>
        <sz val="11.0"/>
      </rPr>
      <t>❍</t>
    </r>
    <r>
      <rPr>
        <rFont val="맑은 고딕"/>
        <color theme="1"/>
        <sz val="11.0"/>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rFont val="Yu Gothic"/>
        <color theme="1"/>
        <sz val="11.0"/>
      </rPr>
      <t>・</t>
    </r>
    <r>
      <rPr>
        <rFont val="맑은 고딕"/>
        <color theme="1"/>
        <sz val="11.0"/>
      </rPr>
      <t>가스</t>
    </r>
    <r>
      <rPr>
        <rFont val="Yu Gothic"/>
        <color theme="1"/>
        <sz val="11.0"/>
      </rPr>
      <t>・</t>
    </r>
    <r>
      <rPr>
        <rFont val="맑은 고딕"/>
        <color theme="1"/>
        <sz val="11.0"/>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rFont val="Yu Gothic"/>
        <color theme="1"/>
        <sz val="11.0"/>
      </rPr>
      <t>・</t>
    </r>
    <r>
      <rPr>
        <rFont val="맑은 고딕"/>
        <color theme="1"/>
        <sz val="11.0"/>
      </rPr>
      <t>계획서 2 계약서(계약당사자간 상호 전자서명</t>
    </r>
    <r>
      <rPr>
        <rFont val="Yu Gothic"/>
        <color theme="1"/>
        <sz val="11.0"/>
      </rPr>
      <t>・</t>
    </r>
    <r>
      <rPr>
        <rFont val="맑은 고딕"/>
        <color theme="1"/>
        <sz val="11.0"/>
      </rPr>
      <t>날인</t>
    </r>
    <r>
      <rPr>
        <rFont val="Yu Gothic"/>
        <color theme="1"/>
        <sz val="11.0"/>
      </rPr>
      <t>・</t>
    </r>
    <r>
      <rPr>
        <rFont val="맑은 고딕"/>
        <color theme="1"/>
        <sz val="11.0"/>
      </rPr>
      <t>간인) ※ 산출내역서도 간인 3 입찰유의서, 계약 일반조건, 계약 특수조건(필요시) 4 과업내용서 및 산출내역서 5 착수</t>
    </r>
    <r>
      <rPr>
        <rFont val="Yu Gothic"/>
        <color theme="1"/>
        <sz val="11.0"/>
      </rPr>
      <t>・</t>
    </r>
    <r>
      <rPr>
        <rFont val="맑은 고딕"/>
        <color theme="1"/>
        <sz val="11.0"/>
      </rPr>
      <t>완료신고서, 과업수행일정표 등 6 감독관, 검사</t>
    </r>
    <r>
      <rPr>
        <rFont val="Yu Gothic"/>
        <color theme="1"/>
        <sz val="11.0"/>
      </rPr>
      <t>・</t>
    </r>
    <r>
      <rPr>
        <rFont val="맑은 고딕"/>
        <color theme="1"/>
        <sz val="11.0"/>
      </rPr>
      <t>검수공무원이 지정하는 서류, 감독조서, 검사</t>
    </r>
    <r>
      <rPr>
        <rFont val="Yu Gothic"/>
        <color theme="1"/>
        <sz val="11.0"/>
      </rPr>
      <t>・</t>
    </r>
    <r>
      <rPr>
        <rFont val="맑은 고딕"/>
        <color theme="1"/>
        <sz val="11.0"/>
      </rPr>
      <t>검수조서 등 7 입찰</t>
    </r>
    <r>
      <rPr>
        <rFont val="Yu Gothic"/>
        <color theme="1"/>
        <sz val="11.0"/>
      </rPr>
      <t>・</t>
    </r>
    <r>
      <rPr>
        <rFont val="맑은 고딕"/>
        <color theme="1"/>
        <sz val="11.0"/>
      </rPr>
      <t>계약</t>
    </r>
    <r>
      <rPr>
        <rFont val="Yu Gothic"/>
        <color theme="1"/>
        <sz val="11.0"/>
      </rPr>
      <t>・</t>
    </r>
    <r>
      <rPr>
        <rFont val="맑은 고딕"/>
        <color theme="1"/>
        <sz val="11.0"/>
      </rPr>
      <t>하자</t>
    </r>
    <r>
      <rPr>
        <rFont val="Yu Gothic"/>
        <color theme="1"/>
        <sz val="11.0"/>
      </rPr>
      <t>・</t>
    </r>
    <r>
      <rPr>
        <rFont val="맑은 고딕"/>
        <color theme="1"/>
        <sz val="11.0"/>
      </rPr>
      <t>선금 보증서(계약기간</t>
    </r>
    <r>
      <rPr>
        <rFont val="Yu Gothic"/>
        <color theme="1"/>
        <sz val="11.0"/>
      </rPr>
      <t>・</t>
    </r>
    <r>
      <rPr>
        <rFont val="맑은 고딕"/>
        <color theme="1"/>
        <sz val="11.0"/>
      </rPr>
      <t>보증기간</t>
    </r>
    <r>
      <rPr>
        <rFont val="Yu Gothic"/>
        <color theme="1"/>
        <sz val="11.0"/>
      </rPr>
      <t>・</t>
    </r>
    <r>
      <rPr>
        <rFont val="맑은 고딕"/>
        <color theme="1"/>
        <sz val="11.0"/>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rFont val="맑은 고딕"/>
        <color rgb="FFFF0000"/>
        <sz val="11.0"/>
      </rPr>
      <t xml:space="preserve"> (수의계약 시) 수의계약 체결제한여부 확인서, 수의계약 각서 ∙ 계약보증금 납부서 및 보증금 지급서류</t>
    </r>
    <r>
      <rPr>
        <rFont val="맑은 고딕"/>
        <color theme="1"/>
        <sz val="11.0"/>
      </rPr>
      <t xml:space="preserve"> - 계약보증서 : 계약금액의 10% 이상 - 계약보증금 지급각서 : 5천만 원 이하 계약 272 한국지방재정공제회</t>
    </r>
  </si>
  <si>
    <t>협상에 의한 계약을 진행할 시 절차가 어떻게 되나요?</t>
  </si>
  <si>
    <t>부산광역시 공무원이 협상에 의한 계약을 진행할 시 수행해야할 절차가 어떻게 되나요?</t>
  </si>
  <si>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</si>
  <si>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</si>
  <si>
    <t>1번, 2번은 잘못된 근거규정입니다. 2번 파일은 열리지 않습니다.
1번 파일을 참고할 경우 내용은 맞지만 계획서를 관련 근거로 할 수는 없습니다.
3번 파일은 근거 자료로 활용 가능합니다.</t>
  </si>
  <si>
    <t>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t>
  </si>
  <si>
    <t>478_2505_회계재산담당관_업무매뉴얼_회계재산담당관_계약업무_참고자료회계재산담당관외부용.pdf</t>
  </si>
  <si>
    <t>4, 17</t>
  </si>
  <si>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</si>
  <si>
    <t>협상에 의한 계약 절차 안내</t>
  </si>
  <si>
    <r>
      <rPr>
        <rFont val="맑은 고딕"/>
        <b/>
        <color theme="1"/>
        <sz val="11.0"/>
      </rPr>
      <t>472_2411_회계재산담당관_업무매뉴얼_한국지방재정공제회_2024년_개정판_물품계약_길라잡이한국지방재정공제회.pdf (p.174)" 
[11.14에 검색이 되지 않았음]</t>
    </r>
    <r>
      <rPr>
        <rFont val="맑은 고딕"/>
        <color theme="1"/>
        <sz val="11.0"/>
      </rPr>
      <t xml:space="preserve">
-----
</t>
    </r>
    <r>
      <rPr>
        <rFont val="맑은 고딕"/>
        <color rgb="FFFF0000"/>
        <sz val="11.0"/>
      </rPr>
      <t>2. 협상에 의한 계약절차
청크 내용 확인 필요 (페이지 잘림)</t>
    </r>
  </si>
  <si>
    <t>DRM 비밀번호 초기화 방법이 무엇인가요?</t>
  </si>
  <si>
    <t>DRM(자료유출방지시스템) 비밀번호 초기화 방법이 무엇인가요?</t>
  </si>
  <si>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</si>
  <si>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</si>
  <si>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</si>
  <si>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331_2112_정보화정책과_업무매뉴얼_정보화정책과_부서관리자_매뉴얼자료유출방지시스템_DRM_v50_비번초기화.pdf</t>
  </si>
  <si>
    <t>1, 2, 3</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</si>
  <si>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t>
  </si>
  <si>
    <t>SQG001</t>
  </si>
  <si>
    <r>
      <rPr>
        <rFont val="Arial"/>
        <b/>
        <color theme="1"/>
        <sz val="11.0"/>
      </rPr>
      <t>331_2112_정보화정책과_업무매뉴얼_정보화정책과_부서관리자_매뉴얼자료유출방지시스템_DRM_v50_비번초기화.pdf[1~4]</t>
    </r>
    <r>
      <rPr>
        <rFont val="Arial"/>
        <color theme="1"/>
        <sz val="11.0"/>
      </rPr>
      <t xml:space="preserve">
-----
</t>
    </r>
    <r>
      <rPr>
        <rFont val="Arial"/>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</si>
  <si>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장관표창 공적심사 의뢰 시 제출서류가 무엇인가요?</t>
  </si>
  <si>
    <t>장관표창을 수여받기 위한 공적심사를 의뢰하기 위해서 필요한 제출서류가 무엇인가요?</t>
  </si>
  <si>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</si>
  <si>
    <t>ㆍ2444_압축1_제출서류_목록표-hwp.pdf (p.1)</t>
  </si>
  <si>
    <t>근거자료는 시장 표창시 제출서류 목록입니다.</t>
  </si>
  <si>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</si>
  <si>
    <t>1282_2501_인사과_지침_인사과_부산광역시_시장포상_업무지침20230517_일부개정.pdf</t>
  </si>
  <si>
    <t>25</t>
  </si>
  <si>
    <t>&gt;&gt;&gt;   해당 내용의 경우 표에  O, X로 표기되어 있는 형태이며 답변생성 결과 확인 필요</t>
  </si>
  <si>
    <t>(2순위 - 정답 문서 찾아옴 / 추가작업 X)</t>
  </si>
  <si>
    <t>시장표창 공적심사 의뢰 시 제출서류가 무엇인가요?</t>
  </si>
  <si>
    <t>부산시장표창을 수여받기 위한 공적심사를 의뢰하기 위해서 필요한 제출서류가 무엇인가요?</t>
  </si>
  <si>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</si>
  <si>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</si>
  <si>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</si>
  <si>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</si>
  <si>
    <r>
      <rPr>
        <rFont val="맑은 고딕"/>
        <b/>
        <color theme="1"/>
        <sz val="11.0"/>
      </rPr>
      <t>[온나라] 771_압축붙임1_포상_공적심사_제출서류_안내-hwp.pdf[1]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</si>
  <si>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r>
      <rPr>
        <rFont val="맑은 고딕"/>
        <b/>
        <color theme="1"/>
        <sz val="11.0"/>
      </rPr>
      <t>[온나라] 4148_압축붙임1_포상_공적심사_제출서류_안내-hwp.pdf[1]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</si>
  <si>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t>일상경비 교부대상 통계목이 무엇인가요?</t>
  </si>
  <si>
    <t>일상경비로 교부가 가능한 대상에 대한 예산 통계항목이 무엇인가요?</t>
  </si>
  <si>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</si>
  <si>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</si>
  <si>
    <t>근거자료랑 답변 둘다 오류입니다.</t>
  </si>
  <si>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</si>
  <si>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t>1257_2412_회계재산담당관_공문_회계재산담당관_2025년도_일상경비_교부운영계획.pdf</t>
  </si>
  <si>
    <t>5</t>
  </si>
  <si>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</si>
  <si>
    <t>일상경비 교부대상 통계목 종류 안내, 일상경비 교부 범위, 행사실비지원금 지출 안내, 회계과 의뢰 및 부서내 일상경비 처리 구분 방법 안내</t>
  </si>
  <si>
    <r>
      <rPr>
        <rFont val="맑은 고딕"/>
        <b/>
        <color theme="1"/>
        <sz val="11.0"/>
      </rPr>
      <t>477_2505_회계재산담당관_업무매뉴얼_메타넷디지털_일반지출_절차_및_삭제_회계재산담당관_경리팀.pdf[10]</t>
    </r>
    <r>
      <rPr>
        <rFont val="맑은 고딕"/>
        <color theme="1"/>
        <sz val="11.0"/>
      </rPr>
      <t xml:space="preserve">
</t>
    </r>
    <r>
      <rPr>
        <rFont val="맑은 고딕"/>
        <color theme="1"/>
        <sz val="11.0"/>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rFont val="맑은 고딕"/>
        <color rgb="FFFF0000"/>
        <sz val="11.0"/>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rFont val="맑은 고딕"/>
        <color theme="1"/>
        <sz val="11.0"/>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</si>
  <si>
    <r>
      <rPr>
        <rFont val="맑은 고딕"/>
        <b/>
        <color theme="1"/>
        <sz val="11.0"/>
      </rPr>
      <t>469_2406_회계재산담당관_법령_행정안전부_지방자치단체_회계관리에_관한_훈령_00.pdf[250]</t>
    </r>
    <r>
      <rPr>
        <rFont val="맑은 고딕"/>
        <color theme="1"/>
        <sz val="11.0"/>
      </rPr>
      <t xml:space="preserve">
</t>
    </r>
    <r>
      <rPr>
        <rFont val="맑은 고딕"/>
        <color rgb="FFFF0000"/>
        <sz val="11.0"/>
      </rPr>
      <t>-----
[표형식임 - 실제 내용 없음/답변활용X]</t>
    </r>
  </si>
  <si>
    <t>일상경비 교부범위가 어떻게 되나요?</t>
  </si>
  <si>
    <t>일상경비로 교부가 가능한 예산 범위에 대해 알려주세요</t>
  </si>
  <si>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</si>
  <si>
    <t>ㆍ1120_압축부산글로벌도시재단_규정집20250409.pdf (p.193)
https://busanai.busan.go.kr/download/1120_압축부산글로벌도시재단_규정집20250409.pdf
ㆍ1115_압축규정집202544.pdf (p.487)
https://busanai.busan.go.kr/download/1115_압축규정집202544.pdf</t>
  </si>
  <si>
    <t>근거자료 오류, 답변 오류입니다.</t>
  </si>
  <si>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</si>
  <si>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r>
      <rPr>
        <rFont val="맑은 고딕"/>
        <b/>
        <color theme="1"/>
        <sz val="11.0"/>
      </rPr>
      <t xml:space="preserve">21_2501_공공기관담당관_법령_행정안전부_지방공기업법_시행령.pdf[7] </t>
    </r>
    <r>
      <rPr>
        <rFont val="맑은 고딕"/>
        <color theme="1"/>
        <sz val="11.0"/>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</si>
  <si>
    <r>
      <rPr>
        <rFont val="맑은 고딕"/>
        <b/>
        <color theme="1"/>
        <sz val="11.0"/>
      </rPr>
      <t>469_2406_회계재산담당관_법령_행정안전부_지방자치단체_회계관리에_관한_훈령_00.pdf[213, 214, 250]</t>
    </r>
    <r>
      <rPr>
        <rFont val="맑은 고딕"/>
        <color theme="1"/>
        <sz val="11.0"/>
      </rPr>
      <t xml:space="preserve">
</t>
    </r>
    <r>
      <rPr>
        <rFont val="맑은 고딕"/>
        <color rgb="FFFF0000"/>
        <sz val="11.0"/>
      </rPr>
      <t>-----
[표형식임 - 실제 내용 없음/답변활용X]</t>
    </r>
  </si>
  <si>
    <t>DRM 암호 초기화 어떻게 하나요?</t>
  </si>
  <si>
    <t>DRM(자료유출방지시스템) 암호(비밀번호) 초기화는 어떻게 하나요?</t>
  </si>
  <si>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</si>
  <si>
    <r>
      <rPr>
        <rFont val="맑은 고딕"/>
        <b/>
        <color theme="1"/>
        <sz val="11.0"/>
      </rPr>
      <t>331_2112_정보화정책과_업무매뉴얼_정보화정책과_부서관리자_매뉴얼자료유출방지시스템_DRM_v50_비번초기화.pdf[1~4]</t>
    </r>
    <r>
      <rPr>
        <rFont val="맑은 고딕"/>
        <color theme="1"/>
        <sz val="11.0"/>
      </rPr>
      <t xml:space="preserve">
-----
</t>
    </r>
    <r>
      <rPr>
        <rFont val="맑은 고딕"/>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</si>
  <si>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무료주차 신청 절차는?</t>
  </si>
  <si>
    <t>부산시청 주차장에 무료로 주차하기 위한 신청 절차에 대해 알려주세요</t>
  </si>
  <si>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</si>
  <si>
    <t>ㆍ912_압축벡스코_규정집202525.pdf (p.233)
https://busanai.busan.go.kr/download/912_압축벡스코_규정집202525.pdf</t>
  </si>
  <si>
    <t>잘못된 관련문서로 답변합니다. 답변 내용도 오류로 나옵니다.
제공된 자료 중에 직원주차장 이용 안내라는 문서가 있음에도 불구하고 
벡스코 자료로 답변을 합니다.</t>
  </si>
  <si>
    <t>해당 질문은 1일 무료주차에 좀 더 가까운 질의로 보여서
 해당 질문에 대한 답변은 미답변 처리 하시면 됩니다.
 직원 주차 등록 관련 질문이 아닐 것으로 판단됩니다.</t>
  </si>
  <si>
    <r>
      <rPr>
        <rFont val="맑은 고딕"/>
        <b/>
        <color theme="1"/>
        <sz val="11.0"/>
      </rPr>
      <t>409_2505_총무과_주요질문사항_직원주차장_이용_안내.pdf[1]</t>
    </r>
    <r>
      <rPr>
        <rFont val="맑은 고딕"/>
        <color theme="1"/>
        <sz val="11.0"/>
      </rPr>
      <t xml:space="preserve">
-----
</t>
    </r>
    <r>
      <rPr>
        <rFont val="맑은 고딕"/>
        <color rgb="FFFF0000"/>
        <sz val="11.0"/>
      </rPr>
      <t xml:space="preserve">[무료주차장 관련 정보 없음]
</t>
    </r>
    <r>
      <rPr>
        <rFont val="맑은 고딕"/>
        <color theme="1"/>
        <sz val="11.0"/>
      </rPr>
      <t xml:space="preserve">-----
총무과 주차장 등록 방법 및 이용요금, 요일제 안내 
1. 직원 정기권 등록 방법?
2. 승용차 요일제 신청방법?
3. 출입구 전광판에 "기간만료일"문구가 뜨면
4. 주차장 이용시간은? </t>
    </r>
  </si>
  <si>
    <t>보도자료 작성 기한은?</t>
  </si>
  <si>
    <t>보도자료를 배포하려고 하는데 작성 기한에 대해 알려주세요</t>
  </si>
  <si>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</si>
  <si>
    <t>제출 자료중에는 보도자료 작성 기한에 대한 내용이 없어서 
첫줄만 나오면 될 거 같습니다. 뒤에 내용은 오류로 보입니다.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</si>
  <si>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</si>
  <si>
    <t>1284_2512_부산시_업무관련_FAQ문서.pdf</t>
  </si>
  <si>
    <t>4</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</si>
  <si>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</si>
  <si>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보도자료 작성 기한 및 제출 기한 안내, 보도자료 배포 과정, 보도 자료 배포 프로세스</t>
  </si>
  <si>
    <t>인사고충 신청을 하려고 하는데 방법은?</t>
  </si>
  <si>
    <t>인사고충을 신청하려고 하는데 절차나 방법 등에 대해 알려주세요</t>
  </si>
  <si>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</si>
  <si>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</si>
  <si>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</si>
  <si>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</si>
  <si>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274_2501_인사과_기본계획_인사과_2025년도_부산광역시_인사운영_기본계획.pdf</t>
  </si>
  <si>
    <t>11</t>
  </si>
  <si>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</si>
  <si>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인사고충 신청 방법, 인사고충 신청 절차, 인사상담 신청 방법(쪽지, 담당자 연락 등)</t>
  </si>
  <si>
    <r>
      <rPr>
        <rFont val="맑은 고딕"/>
        <b/>
        <color theme="1"/>
        <sz val="11.0"/>
      </rPr>
      <t xml:space="preserve">264_2401_인사과_법령_행정안전부_지방공무원_인사관계_법령집.pdf [56]
-----
</t>
    </r>
    <r>
      <rPr>
        <rFont val="맑은 고딕"/>
        <color theme="1"/>
        <sz val="11.0"/>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</si>
  <si>
    <t>[인사과 자주찾는 질문 내역에 고충처리 관련 사항을 확인하지 못함. 부산시 확인 필요]</t>
  </si>
  <si>
    <t>인사랑이 열리지 않을때 조치방법은?</t>
  </si>
  <si>
    <t>인사랑 시스템에 접속이 되지 않는데 이럴때 조치방법에 대해 알려주세요</t>
  </si>
  <si>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</si>
  <si>
    <t xml:space="preserve">인사랑 관련 문서는 없어서 답변이 어려울 것으로 보입니다. </t>
  </si>
  <si>
    <t>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t>
  </si>
  <si>
    <t>1255_행정포털_오류조치_안내_정보화정책과_20251112.pdf</t>
  </si>
  <si>
    <t>1</t>
  </si>
  <si>
    <t>Q. [행정포털] 장애조치 Q3. 새 PC설치 시, 에러 발생 시</t>
  </si>
  <si>
    <t>인사랑 시스템 접속이 안 될 때 해결 방법, 행정포털 시스템 접속 장애 발생시 대처 방법, 새로운 PC 교체시 필요한 보안 등록 절차 및 에러 발생시 해결 방법</t>
  </si>
  <si>
    <t>SQG018</t>
  </si>
  <si>
    <r>
      <rPr>
        <rFont val="맑은 고딕"/>
        <b/>
        <color theme="1"/>
        <sz val="11.0"/>
      </rPr>
      <t>299_2502_인사과_업무매뉴얼_인사과_당직원근무자료.pdf[4]</t>
    </r>
    <r>
      <rPr>
        <rFont val="맑은 고딕"/>
        <color theme="1"/>
        <sz val="11.0"/>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</si>
  <si>
    <t>행정포털 접속 장애 시 조치 방법은?</t>
  </si>
  <si>
    <t>행정포털 시스템에 접속 시 장애가 발생하는데 조치 방법에 대해 알려주세요.</t>
  </si>
  <si>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</si>
  <si>
    <t>행종포털 관련 문서는 학습자료 중 URL 부분에 관련 자료를 작성해서 전달해드렸습니다.
아직 URL이 전부 반영이 되어 있지 않아서 기본적인 답변만 나온것으로 보입니다.</t>
  </si>
  <si>
    <t>기대답변 :
 아래의 링크(http://99.1.1.29/resources/xf/portal/table.html?)
 Q. [행정포털] 장애조치 Q3. 새 PC설치 시, 에러 발생 시 &gt; 해당 방법으로 조치하시기 바랍니다.</t>
  </si>
  <si>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</si>
  <si>
    <t>회의장 예약 방법은?</t>
  </si>
  <si>
    <t>부산광역시 공무원이 부산광역시청의 회의장을 예약하고 싶은데 예약 방법에 대해 알려주세요.</t>
  </si>
  <si>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</si>
  <si>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</si>
  <si>
    <t>해당 내용은 제출된 파일이 없지만 기본적인 내용이라 답변이 필요할 것으로 보입니다.
 기대답변 : 
 행정포털 - 개인서비스 - 회의장 클릭 후 원하는 날짜 예약</t>
  </si>
  <si>
    <t>1. 회의장 예약 방법 안내
 행정포털 - 개인서비스 - 회의장 클릭 후 원하는 날짜 예약</t>
  </si>
  <si>
    <t>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t>
  </si>
  <si>
    <t>SQG019</t>
  </si>
  <si>
    <t>PC 개인정보 삭제 방법은? </t>
  </si>
  <si>
    <t>컴퓨터에 있는 개인정보 파일을 삭제 할 수 있는 방법이 있나요?</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</si>
  <si>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</si>
  <si>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</si>
  <si>
    <t>이상없습니다.</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</si>
  <si>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</si>
  <si>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</si>
  <si>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</si>
  <si>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PC 개인정보 안전 삭제 방법  및 개인정보 파일 삭제 가이드</t>
  </si>
  <si>
    <r>
      <rPr>
        <rFont val="맑은 고딕"/>
        <b/>
        <color theme="1"/>
        <sz val="11.0"/>
      </rPr>
      <t xml:space="preserve">357_2412_정보화정책과_업무매뉴얼_정보화정책과_PC개인정보파일_정비방법간단매뉴얼_0310.pdf[1]
-----
</t>
    </r>
    <r>
      <rPr>
        <rFont val="맑은 고딕"/>
        <color theme="1"/>
        <sz val="11.0"/>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</si>
  <si>
    <t>부산시 관용차량을 운행하기 위해 배차 신청을 하려고 하는데 절차에 대해서 알려주세요</t>
  </si>
  <si>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</si>
  <si>
    <t xml:space="preserve">관련 근거문서는 없습니다. 이것 또한 앞의 질문과 관련이 없음에도 불구하고 앞 질문(행정포털 관련) 내용이 들어가 있어서 오류가 있습니다. </t>
  </si>
  <si>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</si>
  <si>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</si>
  <si>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r>
      <rPr>
        <rFont val="맑은 고딕"/>
        <b/>
        <color theme="1"/>
        <sz val="11.0"/>
      </rPr>
      <t>336_페이지34_문서6_162645_부산광역시_공용차량_관리_규정.pdf[3][자치법규]</t>
    </r>
    <r>
      <rPr>
        <rFont val="맑은 고딕"/>
        <color theme="1"/>
        <sz val="11.0"/>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rFont val="맑은 고딕"/>
        <color rgb="FFFF0000"/>
        <sz val="11.0"/>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rFont val="맑은 고딕"/>
        <color theme="1"/>
        <sz val="11.0"/>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</si>
  <si>
    <t>시 공무원 장례비 지원 및 사망조위금 신청방법은?</t>
  </si>
  <si>
    <t>부산광역시 지방공무원 또는 가족의 사망 시 관련 규정에서 정한 장례비와 사망조위금의 지원 기준, 지급 요건, 신청 절차는 각각 어떻게 되나요?</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</si>
  <si>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</si>
  <si>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 (p.2)
https://busanai.busan.go.kr/download/278_2501_인사과_기타_인사과_2025년_공무원_장례비_지원_추진계획.pdf</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</si>
  <si>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</si>
  <si>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t>
  </si>
  <si>
    <t>2</t>
  </si>
  <si>
    <t>2025년 공무원 장례비 지원 추진계획 친족의 부고 발생에 따른 대상자를 격려하고 소속감 고취를 위한 공무원 장례비 지원 추진계획임 I 추진개요 m 추진근거 - 「지방공무원법」,「부산광역시 공무원 후생복지에 관한 조례」 - 「공공기관 1회용품 등 사용 줄이기 실천지침」국무총리 훈령 - 「부산광역시 1회용품 사용 줄이기 조례」 m 지원목적: 친족 부고에 따른 직원 격려 및 소속감 고취 m 지원대상: 본청·직속기관·사업소·시의회(시의원 포함) 소속 공무원 ※ 상수도사업본부, 소방재난본부 별도 시행 m 지원범위: 배우자, 부모(배우자의 부모 포함), 자녀, 사위, 며느리 사망(조부모 제외) ※ 공무원 사망의 경우 유가족 위로금(5,000천원) 별도 지급 m 예 산 액: 170,000천원 (1,000천원 × 170명) m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m 지원금액: 1,000천 원 이내 실비 지원 (단, 재직 중 최대 2회) ※ 사망일기준 1년이내 미 청구시 소멸 m 신청방법: 장례비용 선결제 후 영수증 및 증빙자료* 복지지원시스템 등록 ※ 증빙자료: [제출자료] 참조</t>
  </si>
  <si>
    <t xml:space="preserve">시 공무원 사망 장례비 지원 절차 및 사망조위금 신청 방법 </t>
  </si>
  <si>
    <r>
      <rPr>
        <rFont val="맑은 고딕"/>
        <b/>
        <color theme="1"/>
        <sz val="11.0"/>
      </rPr>
      <t>278_2501_인사과_기타_인사과_2025년_공무원_장례비_지원_추진계획.pdf[2]</t>
    </r>
    <r>
      <rPr>
        <rFont val="맑은 고딕"/>
        <color theme="1"/>
        <sz val="11.0"/>
      </rPr>
      <t xml:space="preserve">
-----
2025년 공무원 장례비 지원 추진계획 친족의 부고 발생에 따른 대상자를 격려하고 소속감 고취를 위한 공무원 장례비 지원 추진계획임 I 추진개요 </t>
    </r>
    <r>
      <rPr>
        <rFont val="Wingdings"/>
        <color theme="1"/>
        <sz val="11.0"/>
      </rPr>
      <t></t>
    </r>
    <r>
      <rPr>
        <rFont val="맑은 고딕"/>
        <color theme="1"/>
        <sz val="11.0"/>
      </rPr>
      <t xml:space="preserve"> 추진근거 - 「지방공무원법」,「부산광역시 공무원 후생복지에 관한 조례」 - 「공공기관 1회용품 등 사용 줄이기 실천지침」국무총리 훈령 - 「부산광역시 1회용품 사용 줄이기 조례」 </t>
    </r>
    <r>
      <rPr>
        <rFont val="Wingdings"/>
        <color theme="1"/>
        <sz val="11.0"/>
      </rPr>
      <t></t>
    </r>
    <r>
      <rPr>
        <rFont val="맑은 고딕"/>
        <color theme="1"/>
        <sz val="11.0"/>
      </rPr>
      <t xml:space="preserve"> 지원목적: 친족 부고에 따른 직원 격려 및 소속감 고취 </t>
    </r>
    <r>
      <rPr>
        <rFont val="Wingdings"/>
        <color theme="1"/>
        <sz val="11.0"/>
      </rPr>
      <t></t>
    </r>
    <r>
      <rPr>
        <rFont val="맑은 고딕"/>
        <color theme="1"/>
        <sz val="11.0"/>
      </rPr>
      <t xml:space="preserve"> 지원대상: 본청·직속기관·사업소·시의회(시의원 포함) 소속 공무원 ※ 상수도사업본부, 소방재난본부 별도 시행 </t>
    </r>
    <r>
      <rPr>
        <rFont val="Wingdings"/>
        <color theme="1"/>
        <sz val="11.0"/>
      </rPr>
      <t></t>
    </r>
    <r>
      <rPr>
        <rFont val="맑은 고딕"/>
        <color theme="1"/>
        <sz val="11.0"/>
      </rPr>
      <t xml:space="preserve"> 지원범위: 배우자, 부모(배우자의 부모 포함), 자녀, 사위, 며느리 사망(조부모 제외) ※ 공무원 사망의 경우 유가족 위로금(5,000천원) 별도 지급 </t>
    </r>
    <r>
      <rPr>
        <rFont val="Wingdings"/>
        <color theme="1"/>
        <sz val="11.0"/>
      </rPr>
      <t></t>
    </r>
    <r>
      <rPr>
        <rFont val="맑은 고딕"/>
        <color theme="1"/>
        <sz val="11.0"/>
      </rPr>
      <t xml:space="preserve"> 예 산 액: 170,000천원 (1,000천원 × 170명) </t>
    </r>
    <r>
      <rPr>
        <rFont val="Wingdings"/>
        <color theme="1"/>
        <sz val="11.0"/>
      </rPr>
      <t></t>
    </r>
    <r>
      <rPr>
        <rFont val="맑은 고딕"/>
        <color theme="1"/>
        <sz val="11.0"/>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rFont val="Wingdings"/>
        <color theme="1"/>
        <sz val="11.0"/>
      </rPr>
      <t></t>
    </r>
    <r>
      <rPr>
        <rFont val="맑은 고딕"/>
        <color theme="1"/>
        <sz val="11.0"/>
      </rPr>
      <t xml:space="preserve"> 지원금액: 1,000천 원 이내 실비 지원 (단, 재직 중 최대 2회) ※ 사망일기준 1년이내 미 청구시 소멸 </t>
    </r>
    <r>
      <rPr>
        <rFont val="Wingdings"/>
        <color theme="1"/>
        <sz val="11.0"/>
      </rPr>
      <t></t>
    </r>
    <r>
      <rPr>
        <rFont val="맑은 고딕"/>
        <color theme="1"/>
        <sz val="11.0"/>
      </rPr>
      <t xml:space="preserve"> 신청방법: 장례비용 선결제 후 영수증 및 증빙자료* 복지지원시스템 등록 ※ 증빙자료: [제출자료] 참조</t>
    </r>
  </si>
  <si>
    <t>민원 전화시 민원내용 담당부서가 어디인지 알려줘</t>
  </si>
  <si>
    <t>부산시에 관한 민원(예: 주차 단속 문의, 도로시설물 파손, 버스나 택시 관련, 그 외 다양한 민원 포함)이 접수된 경우, 부산시에서 해당 민원을 담당하는 부서는 어디인가요?</t>
  </si>
  <si>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</si>
  <si>
    <t>ㆍ80_민원_1회방문처리제_부산민원120.pdf (p.1)</t>
  </si>
  <si>
    <t>첨부파일 확인 필요한데 다운로드가 안됩니다.</t>
  </si>
  <si>
    <t>미답변 처리
  &gt; 관련 내용이 너무 많고 통합민원과에서 업무편람 파일 미제공으로 미답변 처리</t>
  </si>
  <si>
    <t>회의실 예약은 어떻게 하나요?</t>
  </si>
  <si>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</si>
  <si>
    <t>근거문서가 없기 때문에 관련 내용이 없다고 나와야 할거 같습니다.
내용은 잘못된 내용으로 나옵니다.</t>
  </si>
  <si>
    <t>게시판(벼룩시장)에 등록하는 방법은?</t>
  </si>
  <si>
    <t>부산광역시 행정포털 내의 ‘벼룩시장’ 게시판에 글을 등록하려는 경우, 직원이 따라야 하는 작성 절차와 승인 여부는 어떻게 되나요?</t>
  </si>
  <si>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</si>
  <si>
    <t>이것도 근거문서가 없기 때문에 관련 내용이 없다고 나와야 할거 같습니다
내용도 잘못된 내용입니다</t>
  </si>
  <si>
    <t>미답변 처리</t>
  </si>
  <si>
    <t>임기제공무원은 어떻게 임용되나요?</t>
  </si>
  <si>
    <t>지방자치단체에서 임기제공무원을 신규로 채용·임용할 때 적용되는 절차(채용 공고, 선발 방식, 임용 결정 순서)는 어떻게 이루어지나요?</t>
  </si>
  <si>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</si>
  <si>
    <t>내용은 괜찮은데 관련 근거가 있음에도 불구하고 안나옵니다.
2501_인사과_대통령령_인사혁신처_공무원임용령(대통령령)(제35191호) 제22조4(임기제공무원의 임용 절차 등) 이라는 근거가 있습니다</t>
  </si>
  <si>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</si>
  <si>
    <t>291_2501_인사과_대통령령_인사혁신처_공무원임용령대통령령제35191호.pdf</t>
  </si>
  <si>
    <t>13</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</si>
  <si>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</si>
  <si>
    <t>임기제 공무원 임용 방법 안내</t>
  </si>
  <si>
    <r>
      <rPr>
        <rFont val="맑은 고딕"/>
        <b/>
        <color theme="1"/>
        <sz val="11.0"/>
      </rPr>
      <t xml:space="preserve">264_2401_인사과_법령_행정안전부_지방공무원_인사관계_법령집.pdf[107] 
-----
</t>
    </r>
    <r>
      <rPr>
        <rFont val="맑은 고딕"/>
        <color theme="1"/>
        <sz val="11.0"/>
      </rPr>
      <t>[제목개정 2021. 11. 30.]</t>
    </r>
    <r>
      <rPr>
        <rFont val="맑은 고딕"/>
        <color rgb="FFFF0000"/>
        <sz val="11.0"/>
      </rPr>
      <t xml:space="preserve"> 제21조의3(임기제공무원의 임용절차 등) </t>
    </r>
    <r>
      <rPr>
        <rFont val="맑은 고딕"/>
        <color theme="1"/>
        <sz val="11.0"/>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</si>
  <si>
    <r>
      <rPr>
        <rFont val="맑은 고딕"/>
        <b/>
        <color theme="1"/>
        <sz val="11.0"/>
      </rPr>
      <t xml:space="preserve">264_2401_인사과_법령_행정안전부_지방공무원_인사관계_법령집.pdf[863] 
-----
</t>
    </r>
    <r>
      <rPr>
        <rFont val="맑은 고딕"/>
        <color rgb="FFFF0000"/>
        <sz val="11.0"/>
      </rPr>
      <t>제 22조의4 (임기제공무원의 임용 절차 등)</t>
    </r>
    <r>
      <rPr>
        <rFont val="맑은 고딕"/>
        <color theme="1"/>
        <sz val="11.0"/>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</si>
  <si>
    <r>
      <rPr>
        <rFont val="맑은 고딕"/>
        <b/>
        <color theme="1"/>
        <sz val="11.0"/>
      </rPr>
      <t xml:space="preserve">264_2401_인사과_법령_행정안전부_지방공무원_인사관계_법령집.pdf[37] </t>
    </r>
    <r>
      <rPr>
        <rFont val="맑은 고딕"/>
        <color theme="1"/>
        <sz val="11.0"/>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rFont val="맑은 고딕"/>
        <color rgb="FFFF0000"/>
        <sz val="11.0"/>
      </rPr>
      <t xml:space="preserve">제27조(신규임용) 1 공무원의 신규임용은 공개경쟁임용시험으로 한다. </t>
    </r>
    <r>
      <rPr>
        <rFont val="맑은 고딕"/>
        <color theme="1"/>
        <sz val="11.0"/>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</si>
  <si>
    <t>부산시 도시관리계획 결정변경절차는 어떻게 되나요?</t>
  </si>
  <si>
    <t>부산광역시가 도시관리계획(용도지역·지구·구역 등)을 변경하고자 할 때, 행정청 자체 결정 변경에 적용되는 검토·입안·공고·결정 절차는 어떻게 진행되나요?</t>
  </si>
  <si>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</si>
  <si>
    <t>ㆍ9708_부산광역시고시_제2022-192호지형도면고시문-공중보행로_6번보도교.pdf (p.1)</t>
  </si>
  <si>
    <t>관련 근거 링크 오류, 내용도 오류인거 같습니다. 
동구청장이 변경, 결정을 하는 내용이 오류입니다.</t>
  </si>
  <si>
    <t>미답변 처리
  &gt; 조례로만 해당 절차에 대해 설명하기 어려움</t>
  </si>
  <si>
    <r>
      <rPr>
        <rFont val="맑은 고딕"/>
        <b/>
        <color theme="1"/>
        <sz val="11.0"/>
      </rPr>
      <t>580_페이지58_문서10_163054_부산광역시_도시균형발전_지원에_관한_조례.pdf[4] : 0.89</t>
    </r>
    <r>
      <rPr>
        <rFont val="맑은 고딕"/>
        <color theme="1"/>
        <sz val="11.0"/>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</si>
  <si>
    <r>
      <rPr>
        <rFont val="맑은 고딕"/>
        <b/>
        <color theme="1"/>
        <sz val="11.0"/>
      </rPr>
      <t xml:space="preserve">28_페이지3_문서8_162125_부산광역시_도시계획_조례.pdf[23]
-----
</t>
    </r>
    <r>
      <rPr>
        <rFont val="맑은 고딕"/>
        <color theme="1"/>
        <sz val="11.0"/>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</si>
  <si>
    <t>용도지역을 바꾸고 싶은데 어떻게 해야하나요?</t>
  </si>
  <si>
    <t>부산광역시에서 토지 소유자가 용도지역 변경을 신청하려는 경우 변경 절차는 어떻게 진행되나요?</t>
  </si>
  <si>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</si>
  <si>
    <t>관련 근거가 없어 내용 확인이 불가합니다. 기초적인 내용만 써있는걸로 보입니다.</t>
  </si>
  <si>
    <t>제 땅이 도시계획시설에 편입되어 있는데 보상받는 방법은 어떻게 되나요?</t>
  </si>
  <si>
    <t>부산광역시에서 도시계획시설 사업이 시행되어 제 토지가 편입된 경우, 토지 소유자가 받을 수 있는 보상 절차는 어떻게 진행되나요?</t>
  </si>
  <si>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</si>
  <si>
    <t>ㆍ502_압축보상업무규정20241231.pdf (p.3)</t>
  </si>
  <si>
    <t>관련 근거 오류입니다. 아마 해당 질문에 대한 관련 근거는 제출 자료에 없을것으로 보입니다. (자료 요청한 부서에 해당되지 않음)</t>
  </si>
  <si>
    <t>주택건설사업은 어떻게 하나요?</t>
  </si>
  <si>
    <t>부산광역시에서 민간 사업자가 공동주택을 건설하기 위해 주택건설사업 계획 승인을 받으려는 경우, 인허가 절차는 어떻게 진행되나요?</t>
  </si>
  <si>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</si>
  <si>
    <t xml:space="preserve">제출 자료 중에 근거자료가 없을것으로 보입니다. </t>
  </si>
  <si>
    <t>부산의 도시계획 고시는 어디서 확인할 수 있나요?</t>
  </si>
  <si>
    <t>부산광역시에서 도시관리계획이 고시된 경우, 시민이나 사업자가 해당 고시 내용을 확인할 수 있는 공식 열람 경로는 어디인가요?</t>
  </si>
  <si>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</si>
  <si>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</si>
  <si>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</si>
  <si>
    <t>부산의 도시계획현황에 대해서 자세하게 설명해주세요?</t>
  </si>
  <si>
    <t>부산광역시의 도시관리계획 현황(용도지역, 지구·구역, 지구단위계획 등)에 대해 자료와 열람 방법, 제공되는 정보 범위는 무엇인가요?</t>
  </si>
  <si>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</si>
  <si>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</si>
  <si>
    <t>미답변 처리
  &gt; 도시계획과 등 담당부서의 파일이 필요합니다.
  자치법규에 있는 자료로는 해당 내용을 답변하기 어렵습니다</t>
  </si>
  <si>
    <r>
      <rPr>
        <rFont val="맑은 고딕"/>
        <b/>
        <color theme="1"/>
        <sz val="11.0"/>
      </rPr>
      <t xml:space="preserve">69_2410_기획담당관_기타_기획담당관_2024년_하반기_시정현황24930기준_fn.pdf[108]
-----
</t>
    </r>
    <r>
      <rPr>
        <rFont val="맑은 고딕"/>
        <color theme="1"/>
        <sz val="11.0"/>
      </rPr>
      <t xml:space="preserve"> 도시계획·균형발전 □ 도시계획 현황 </t>
    </r>
    <r>
      <rPr>
        <rFont val="Segoe UI Symbol"/>
        <color theme="1"/>
        <sz val="11.0"/>
      </rPr>
      <t>▮</t>
    </r>
    <r>
      <rPr>
        <rFont val="맑은 고딕"/>
        <color theme="1"/>
        <sz val="11.0"/>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rFont val="Segoe UI Symbol"/>
        <color theme="1"/>
        <sz val="11.0"/>
      </rPr>
      <t>▮</t>
    </r>
    <r>
      <rPr>
        <rFont val="맑은 고딕"/>
        <color theme="1"/>
        <sz val="11.0"/>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rFont val="Segoe UI Symbol"/>
        <color theme="1"/>
        <sz val="11.0"/>
      </rPr>
      <t>▮</t>
    </r>
    <r>
      <rPr>
        <rFont val="맑은 고딕"/>
        <color theme="1"/>
        <sz val="11.0"/>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rFont val="Segoe UI Symbol"/>
        <color theme="1"/>
        <sz val="11.0"/>
      </rPr>
      <t>▮</t>
    </r>
    <r>
      <rPr>
        <rFont val="맑은 고딕"/>
        <color theme="1"/>
        <sz val="11.0"/>
      </rPr>
      <t xml:space="preserve"> 영도공업지역 활성화 시범사업 - KDI 예비타당성 조사 통과(’23.11.) - 실시설계 용역 발주 준비 중(’24.2. 발주예정) 104 부산광역시</t>
    </r>
  </si>
  <si>
    <r>
      <rPr>
        <rFont val="맑은 고딕"/>
        <b/>
        <color theme="1"/>
        <sz val="11.0"/>
      </rPr>
      <t>418_2203_탄소중립정책과_중장기기본계획_탄소중립정책과_제3차_부산광역시_기후변화_적응대책_세부시행계획.pdf[460]</t>
    </r>
    <r>
      <rPr>
        <rFont val="맑은 고딕"/>
        <color theme="1"/>
        <sz val="11.0"/>
      </rPr>
      <t xml:space="preserve">
-----
사. 2030년 부산도시기본계획(변경) 1) 계획의 개요 q 계획의 수립 배경 </t>
    </r>
    <r>
      <rPr>
        <rFont val="Segoe UI Symbol"/>
        <color theme="1"/>
        <sz val="11.0"/>
      </rPr>
      <t>❍</t>
    </r>
    <r>
      <rPr>
        <rFont val="맑은 고딕"/>
        <color theme="1"/>
        <sz val="11.0"/>
      </rPr>
      <t xml:space="preserve"> 시민의식 성숙과 삶의 질에 대한 욕구증가 등 주민의식 변화와 고령사회·저성장 시대 도래로 지속가능한 도시성장 관리로의 도시계획 패러다임 변화 </t>
    </r>
    <r>
      <rPr>
        <rFont val="Segoe UI Symbol"/>
        <color theme="1"/>
        <sz val="11.0"/>
      </rPr>
      <t>❍</t>
    </r>
    <r>
      <rPr>
        <rFont val="맑은 고딕"/>
        <color theme="1"/>
        <sz val="11.0"/>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rFont val="Segoe UI Symbol"/>
        <color theme="1"/>
        <sz val="11.0"/>
      </rPr>
      <t>❍</t>
    </r>
    <r>
      <rPr>
        <rFont val="맑은 고딕"/>
        <color theme="1"/>
        <sz val="11.0"/>
      </rPr>
      <t xml:space="preserve"> 「2030년 부산도시기본계획」에 대한 전반적 재검토를 통해 민선6기 정책사항 반영 및 부산광역시 현안문제의 대응(「국토의 계획 및 이용에 관한 법률」 23조에 따른 재검토) </t>
    </r>
    <r>
      <rPr>
        <rFont val="Segoe UI Symbol"/>
        <color theme="1"/>
        <sz val="11.0"/>
      </rPr>
      <t>❍</t>
    </r>
    <r>
      <rPr>
        <rFont val="맑은 고딕"/>
        <color theme="1"/>
        <sz val="11.0"/>
      </rPr>
      <t xml:space="preserve"> 미래지향적이고 지속가능한 도시발전전략을 수립하여 기존 계획과 차별화된 부산권 맞춤형 도시기본계획인 「2030년 도시기본계획(변경)」을 수립하고자 함 q 계획의 범위 </t>
    </r>
    <r>
      <rPr>
        <rFont val="Segoe UI Symbol"/>
        <color theme="1"/>
        <sz val="11.0"/>
      </rPr>
      <t>❍</t>
    </r>
    <r>
      <rPr>
        <rFont val="맑은 고딕"/>
        <color theme="1"/>
        <sz val="11.0"/>
      </rPr>
      <t xml:space="preserve"> 시간적 범위 - 기준년도: 2013년(기정 기보계획: 2008년) - 목표연도: 2030년 </t>
    </r>
    <r>
      <rPr>
        <rFont val="Segoe UI Symbol"/>
        <color theme="1"/>
        <sz val="11.0"/>
      </rPr>
      <t>❍</t>
    </r>
    <r>
      <rPr>
        <rFont val="맑은 고딕"/>
        <color theme="1"/>
        <sz val="11.0"/>
      </rPr>
      <t xml:space="preserve"> 공간적 범위 - 위치: 부산광역시 행정구역 및 항만·어항구역으로 설정 - 면적: 993.544km2(항만·어항구역 223.72km2 포함) 440 제3차 부산광역시 기후변화 적응대책 세부시행계획(2022-2026)</t>
    </r>
  </si>
  <si>
    <r>
      <rPr>
        <rFont val="맑은 고딕"/>
        <b/>
        <color theme="1"/>
        <sz val="11.0"/>
      </rPr>
      <t xml:space="preserve">75_2112_맑은물정책과_중장기기본계획_맑은물정책과_부산광역시_물_재이용_관리계획.pdf[102]
-----
</t>
    </r>
    <r>
      <rPr>
        <rFont val="맑은 고딕"/>
        <color theme="1"/>
        <sz val="11.0"/>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</si>
  <si>
    <t>부산의 용도지역, 용도지구, 용도구역 현황을 알려주세요.</t>
  </si>
  <si>
    <t>부산광역시의 용도지역, 용도지구, 용도구역 현황에 대해 확인할 수 있는 자료와 열람 방법, 제공되는 정보 범위는 무엇인가요?</t>
  </si>
  <si>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</si>
  <si>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</si>
  <si>
    <r>
      <rPr>
        <rFont val="맑은 고딕"/>
        <b/>
        <color theme="1"/>
        <sz val="11.0"/>
      </rPr>
      <t>460_2401_환경정책과_정책용역보고서_환경정책과_부산광역시_빛공해환경영향평가_종합보고서.pdf[37] : 0.98 (부산 용도지역 현황)</t>
    </r>
    <r>
      <rPr>
        <rFont val="맑은 고딕"/>
        <color theme="1"/>
        <sz val="11.0"/>
      </rPr>
      <t xml:space="preserve">
-----
II. 지역 환경 현황조사 2.2.2 구</t>
    </r>
    <r>
      <rPr>
        <rFont val="Noto Sans KR"/>
        <color theme="1"/>
        <sz val="11.0"/>
      </rPr>
      <t>‧</t>
    </r>
    <r>
      <rPr>
        <rFont val="Noto Sans KR"/>
        <color theme="1"/>
        <sz val="11.0"/>
      </rPr>
      <t>군별</t>
    </r>
    <r>
      <rPr>
        <rFont val="맑은 고딕"/>
        <color theme="1"/>
        <sz val="11.0"/>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rFont val="Noto Sans KR"/>
        <color theme="1"/>
        <sz val="11.0"/>
      </rPr>
      <t>‧</t>
    </r>
    <r>
      <rPr>
        <rFont val="Noto Sans KR"/>
        <color theme="1"/>
        <sz val="11.0"/>
      </rPr>
      <t>군별</t>
    </r>
    <r>
      <rPr>
        <rFont val="맑은 고딕"/>
        <color theme="1"/>
        <sz val="11.0"/>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</si>
  <si>
    <r>
      <rPr>
        <rFont val="맑은 고딕"/>
        <b/>
        <color theme="1"/>
        <sz val="11.0"/>
      </rPr>
      <t>75_2112_맑은물정책과_중장기기본계획_맑은물정책과_부산광역시_물_재이용_관리계획.pdf[86]  (부산 용도지역 현황)</t>
    </r>
    <r>
      <rPr>
        <rFont val="맑은 고딕"/>
        <color theme="1"/>
        <sz val="11.0"/>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</si>
  <si>
    <t>데이터산업 혁신생태계 조성 전략의 내용은?</t>
  </si>
  <si>
    <t>부산광역시에서 추진 중인 ‘데이터산업 혁신생태계 조성 전략’의 주요 내용과 목표, 추진 과제, 기대 효과는 무엇인가요?</t>
  </si>
  <si>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</si>
  <si>
    <r>
      <rPr>
        <rFont val="Malgun Gothic"/>
        <color theme="1"/>
        <sz val="11.0"/>
      </rP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rFont val="MS Mincho"/>
        <color theme="1"/>
        <sz val="11.0"/>
      </rPr>
      <t>․</t>
    </r>
    <r>
      <rPr>
        <rFont val="맑은 고딕"/>
        <color theme="1"/>
        <sz val="11.0"/>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rFont val="맑은 고딕"/>
        <color theme="1"/>
        <sz val="11.0"/>
      </rPr>
      <t xml:space="preserve">
링크 : 2503_빅데이터과_업무매뉴얼_빅데이터과_빅데이터과바인더.hwp</t>
    </r>
  </si>
  <si>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</si>
  <si>
    <t>170_2503_빅데이터과_업무매뉴얼_빅데이터과_빅데이터과바인더.pdf</t>
  </si>
  <si>
    <t>24</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</si>
  <si>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</si>
  <si>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(1순위 - 정답 문서 찾아옴 / 추가작업 X)</t>
  </si>
  <si>
    <r>
      <rPr>
        <rFont val="맑은 고딕"/>
        <b/>
        <color theme="1"/>
        <sz val="11.0"/>
      </rPr>
      <t>170_2503_빅데이터과_업무매뉴얼_빅데이터과_빅데이터과바인더.pdf[24]</t>
    </r>
    <r>
      <rPr>
        <rFont val="맑은 고딕"/>
        <color theme="1"/>
        <sz val="11.0"/>
      </rPr>
      <t xml:space="preserve">
-----
2. 데이터산업 혁신생태계 조성 전략 (데이터기획팀 정성숙 2342, </t>
    </r>
    <r>
      <rPr>
        <rFont val="Segoe UI"/>
        <color theme="1"/>
        <sz val="11.0"/>
      </rPr>
      <t>́</t>
    </r>
    <r>
      <rPr>
        <rFont val="맑은 고딕"/>
        <color theme="1"/>
        <sz val="11.0"/>
      </rPr>
      <t xml:space="preserve">25. 3 기준) </t>
    </r>
    <r>
      <rPr>
        <rFont val="Segoe UI Symbol"/>
        <color theme="1"/>
        <sz val="11.0"/>
      </rPr>
      <t>◦</t>
    </r>
    <r>
      <rPr>
        <rFont val="맑은 고딕"/>
        <color theme="1"/>
        <sz val="11.0"/>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rFont val="Segoe UI Symbol"/>
        <color theme="1"/>
        <sz val="11.0"/>
      </rPr>
      <t>◦</t>
    </r>
    <r>
      <rPr>
        <rFont val="맑은 고딕"/>
        <color theme="1"/>
        <sz val="11.0"/>
      </rPr>
      <t>데이터 생산에서 가공</t>
    </r>
    <r>
      <rPr>
        <rFont val="Noto Sans KR"/>
        <color theme="1"/>
        <sz val="11.0"/>
      </rPr>
      <t>‧</t>
    </r>
    <r>
      <rPr>
        <rFont val="Noto Sans KR"/>
        <color theme="1"/>
        <sz val="11.0"/>
      </rPr>
      <t>활용</t>
    </r>
    <r>
      <rPr>
        <rFont val="맑은 고딕"/>
        <color theme="1"/>
        <sz val="11.0"/>
      </rPr>
      <t xml:space="preserve"> 전주기를 지원하는 「부산형 데이터 통합플랫폼」 구축하여 도시현안 해결 등 데이터기반 행정실현과 데이터</t>
    </r>
    <r>
      <rPr>
        <rFont val="Noto Sans KR"/>
        <color theme="1"/>
        <sz val="11.0"/>
      </rPr>
      <t>‧</t>
    </r>
    <r>
      <rPr>
        <rFont val="맑은 고딕"/>
        <color theme="1"/>
        <sz val="11.0"/>
      </rPr>
      <t xml:space="preserve">AI 기업 육성을 위한 데이터통합관리체계 마련(`23~`25년) * 부산형 데이터 통합플랫폼 전략 수립 완료(`22년 3~9월) □ 2025년 추진계획 </t>
    </r>
    <r>
      <rPr>
        <rFont val="Segoe UI Symbol"/>
        <color theme="1"/>
        <sz val="11.0"/>
      </rPr>
      <t>▹</t>
    </r>
    <r>
      <rPr>
        <rFont val="맑은 고딕"/>
        <color theme="1"/>
        <sz val="11.0"/>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rFont val="Noto Sans KR"/>
        <color theme="1"/>
        <sz val="11.0"/>
      </rPr>
      <t>‧</t>
    </r>
    <r>
      <rPr>
        <rFont val="Noto Sans KR"/>
        <color theme="1"/>
        <sz val="11.0"/>
      </rPr>
      <t>성장</t>
    </r>
    <r>
      <rPr>
        <rFont val="맑은 고딕"/>
        <color theme="1"/>
        <sz val="11.0"/>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rFont val="Noto Sans KR"/>
        <color theme="1"/>
        <sz val="11.0"/>
      </rPr>
      <t>‧</t>
    </r>
    <r>
      <rPr>
        <rFont val="Noto Sans KR"/>
        <color theme="1"/>
        <sz val="11.0"/>
      </rPr>
      <t>단체</t>
    </r>
    <r>
      <rPr>
        <rFont val="맑은 고딕"/>
        <color theme="1"/>
        <sz val="11.0"/>
      </rPr>
      <t xml:space="preserve"> MOU 체결, 비예산 ‘21.12월~‘26. 12월) ※ 한국과학기술정보원(KISTI) 주도 - 데이터산업 생태계 조성 및 지학언 협력 시범사업 (지산언 MOU 체결, 시범사업, 비예산) - 24 -</t>
    </r>
  </si>
  <si>
    <t>데이터 활용 지원센터(빅데이터혁신센터)의 혁신성장 데이터 챌린지 프로그램은 어떤 것들이 있나요?</t>
  </si>
  <si>
    <t>부산광역시 데이터 활용 지원센터(빅데이터혁신센터)에서 운영하는 ‘혁신성장 데이터 챌린지’ 프로그램의 종류, 참여 대상, 주요 내용과 지원 방식은 무엇인가요?</t>
  </si>
  <si>
    <t>부산시 데이터 활용 지원센터(빅데이터혁신센터)에서 진행하는 혁신성장 데이터 챌린지 프로그램에는 스타트업 위크엔드, DX 스프린트, 부트캠프, 포럼, 코드포부산, 성과 보고회 등이 있습니다.</t>
  </si>
  <si>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</si>
  <si>
    <t>[프로그램1] Busan Data Week 
 [프로그램2] DX 부트캠프
 [프로그램3] DX 포럼
 [프로그램4] 글로벌 해커톤
 [프로그램5] 빅데이터 분석 해커톤
 [프로그램6] 코드포부산</t>
  </si>
  <si>
    <t>61, 62</t>
  </si>
  <si>
    <t>본문 전체 내용 참조</t>
  </si>
  <si>
    <t>데이터 활용 지원센터 혁신성장 데이터 챌린지 프로그램 운영 지원 안내</t>
  </si>
  <si>
    <r>
      <rPr>
        <rFont val="맑은 고딕"/>
        <b/>
        <color theme="1"/>
        <sz val="11.0"/>
      </rPr>
      <t>170_2503_빅데이터과_업무매뉴얼_빅데이터과_빅데이터과바인더.pdf[27]</t>
    </r>
    <r>
      <rPr>
        <rFont val="맑은 고딕"/>
        <color theme="1"/>
        <sz val="11.0"/>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rFont val="맑은 고딕"/>
        <color rgb="FFFF0000"/>
        <sz val="11.0"/>
      </rPr>
      <t>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t>
    </r>
    <r>
      <rPr>
        <rFont val="맑은 고딕"/>
        <color rgb="FFFF0000"/>
        <sz val="11.0"/>
      </rPr>
      <t>○ 혁신성장 데이터 챌린지 사업- 글로벌 해커톤(DIVE 2025), Big Data 분석 해커톤, DX Camp</t>
    </r>
    <r>
      <rPr>
        <rFont val="맑은 고딕"/>
        <color rgb="FFFF0000"/>
        <sz val="11.0"/>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</si>
  <si>
    <r>
      <rPr>
        <rFont val="맑은 고딕"/>
        <b/>
        <color theme="1"/>
        <sz val="11.0"/>
      </rPr>
      <t>139_2302_빅데이터과_중장기기본계획_빅데이터과_데이터기반행정_활성화_기본계획.pdf[22]</t>
    </r>
    <r>
      <rPr>
        <rFont val="맑은 고딕"/>
        <color theme="1"/>
        <sz val="11.0"/>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rFont val="Noto Sans KR"/>
        <color theme="1"/>
        <sz val="11.0"/>
      </rPr>
      <t>‧</t>
    </r>
    <r>
      <rPr>
        <rFont val="Noto Sans KR"/>
        <color theme="1"/>
        <sz val="11.0"/>
      </rPr>
      <t>운영</t>
    </r>
    <r>
      <rPr>
        <rFont val="맑은 고딕"/>
        <color theme="1"/>
        <sz val="11.0"/>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rFont val="맑은 고딕"/>
        <color rgb="FFFF0000"/>
        <sz val="11.0"/>
      </rPr>
      <t xml:space="preserve"> ※ 빅데이터혁신센터 데이터 챌린지 사업 </t>
    </r>
    <r>
      <rPr>
        <rFont val="Cambria Math"/>
        <color rgb="FFFF0000"/>
        <sz val="11.0"/>
      </rPr>
      <t>⦁</t>
    </r>
    <r>
      <rPr>
        <rFont val="맑은 고딕"/>
        <color rgb="FFFF0000"/>
        <sz val="11.0"/>
      </rPr>
      <t xml:space="preserve">(Busan Data Week) 부산 데이터산업 육성 컨퍼런스 개최 </t>
    </r>
    <r>
      <rPr>
        <rFont val="Cambria Math"/>
        <color rgb="FFFF0000"/>
        <sz val="11.0"/>
      </rPr>
      <t>⦁</t>
    </r>
    <r>
      <rPr>
        <rFont val="맑은 고딕"/>
        <color rgb="FFFF0000"/>
        <sz val="11.0"/>
      </rPr>
      <t>(DX 부트캠프) 데이터 미래인재 양성 및 스타트업 발굴</t>
    </r>
    <r>
      <rPr>
        <rFont val="Noto Sans KR"/>
        <color rgb="FFFF0000"/>
        <sz val="11.0"/>
      </rPr>
      <t>‧</t>
    </r>
    <r>
      <rPr>
        <rFont val="Noto Sans KR"/>
        <color rgb="FFFF0000"/>
        <sz val="11.0"/>
      </rPr>
      <t>지원</t>
    </r>
    <r>
      <rPr>
        <rFont val="맑은 고딕"/>
        <color rgb="FFFF0000"/>
        <sz val="11.0"/>
      </rPr>
      <t xml:space="preserve"> </t>
    </r>
    <r>
      <rPr>
        <rFont val="Cambria Math"/>
        <color rgb="FFFF0000"/>
        <sz val="11.0"/>
      </rPr>
      <t>⦁</t>
    </r>
    <r>
      <rPr>
        <rFont val="맑은 고딕"/>
        <color rgb="FFFF0000"/>
        <sz val="11.0"/>
      </rPr>
      <t xml:space="preserve">(DX 포럼) 데이터전환 성공사례 및 데이터 관련 최신 기술 동향 공유 </t>
    </r>
    <r>
      <rPr>
        <rFont val="Cambria Math"/>
        <color rgb="FFFF0000"/>
        <sz val="11.0"/>
      </rPr>
      <t>⦁</t>
    </r>
    <r>
      <rPr>
        <rFont val="맑은 고딕"/>
        <color rgb="FFFF0000"/>
        <sz val="11.0"/>
      </rPr>
      <t>(데이터 글로벌 해커톤) 데이터분석</t>
    </r>
    <r>
      <rPr>
        <rFont val="Noto Sans KR"/>
        <color rgb="FFFF0000"/>
        <sz val="11.0"/>
      </rPr>
      <t>‧</t>
    </r>
    <r>
      <rPr>
        <rFont val="Noto Sans KR"/>
        <color rgb="FFFF0000"/>
        <sz val="11.0"/>
      </rPr>
      <t>서비스개발</t>
    </r>
    <r>
      <rPr>
        <rFont val="맑은 고딕"/>
        <color rgb="FFFF0000"/>
        <sz val="11.0"/>
      </rPr>
      <t xml:space="preserve"> 글로벌 해커톤 대회 개최 </t>
    </r>
    <r>
      <rPr>
        <rFont val="Cambria Math"/>
        <color rgb="FFFF0000"/>
        <sz val="11.0"/>
      </rPr>
      <t>⦁</t>
    </r>
    <r>
      <rPr>
        <rFont val="맑은 고딕"/>
        <color rgb="FFFF0000"/>
        <sz val="11.0"/>
      </rPr>
      <t>(빅데이터 분석 해커톤) 데이터 활용</t>
    </r>
    <r>
      <rPr>
        <rFont val="Noto Sans KR"/>
        <color rgb="FFFF0000"/>
        <sz val="11.0"/>
      </rPr>
      <t>‧</t>
    </r>
    <r>
      <rPr>
        <rFont val="Noto Sans KR"/>
        <color rgb="FFFF0000"/>
        <sz val="11.0"/>
      </rPr>
      <t>분석하여</t>
    </r>
    <r>
      <rPr>
        <rFont val="맑은 고딕"/>
        <color rgb="FFFF0000"/>
        <sz val="11.0"/>
      </rPr>
      <t xml:space="preserve"> 현안발굴 및 해결솔루션 제안 </t>
    </r>
    <r>
      <rPr>
        <rFont val="Cambria Math"/>
        <color rgb="FFFF0000"/>
        <sz val="11.0"/>
      </rPr>
      <t>⦁</t>
    </r>
    <r>
      <rPr>
        <rFont val="맑은 고딕"/>
        <color rgb="FFFF0000"/>
        <sz val="11.0"/>
      </rPr>
      <t xml:space="preserve">(데이터 분석활용 인큐베이팅) 데이터산업 문제해결 서비스개발 및 정책제안 </t>
    </r>
    <r>
      <rPr>
        <rFont val="Cambria Math"/>
        <color rgb="FFFF0000"/>
        <sz val="11.0"/>
      </rPr>
      <t>⦁</t>
    </r>
    <r>
      <rPr>
        <rFont val="맑은 고딕"/>
        <color rgb="FFFF0000"/>
        <sz val="11.0"/>
      </rPr>
      <t>(코드포부산) 데이터분석가 등 전문가 네트워킹으로 현안문제 해결 서비스 개발</t>
    </r>
    <r>
      <rPr>
        <rFont val="맑은 고딕"/>
        <color theme="1"/>
        <sz val="11.0"/>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</si>
  <si>
    <r>
      <rPr>
        <rFont val="맑은 고딕"/>
        <b/>
        <color theme="1"/>
        <sz val="11.0"/>
      </rPr>
      <t>170_2503_빅데이터과_업무매뉴얼_빅데이터과_빅데이터과바인더.pdf[26]</t>
    </r>
    <r>
      <rPr>
        <rFont val="맑은 고딕"/>
        <color theme="1"/>
        <sz val="11.0"/>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rFont val="맑은 고딕"/>
        <color rgb="FFFF0000"/>
        <sz val="11.0"/>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rFont val="맑은 고딕"/>
        <color theme="1"/>
        <sz val="11.0"/>
      </rPr>
      <t>)(E)&lt;/td&gt;&lt;td&gt;17.39&lt;/td&gt;&lt;td&gt;부산테크노파크&lt;/td&gt;&lt;/tr&gt;&lt;tr&gt;&lt;td&gt;부산 가명정보 활용지원센터 운영(A)&lt;/td&gt;&lt;td&gt;4(국2)&lt;/td&gt;&lt;td&gt;&lt;/td&gt;&lt;/tr&gt;&lt;tr&gt;&lt;td&gt;공공</t>
    </r>
    <r>
      <rPr>
        <rFont val="Noto Sans KR"/>
        <color theme="1"/>
        <sz val="11.0"/>
      </rPr>
      <t>‧</t>
    </r>
    <r>
      <rPr>
        <rFont val="Noto Sans KR"/>
        <color theme="1"/>
        <sz val="11.0"/>
      </rPr>
      <t>빅데이터</t>
    </r>
    <r>
      <rPr>
        <rFont val="맑은 고딕"/>
        <color theme="1"/>
        <sz val="11.0"/>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rFont val="Noto Sans KR"/>
        <color theme="1"/>
        <sz val="11.0"/>
      </rPr>
      <t>‧</t>
    </r>
    <r>
      <rPr>
        <rFont val="Noto Sans KR"/>
        <color theme="1"/>
        <sz val="11.0"/>
      </rPr>
      <t>활용</t>
    </r>
    <r>
      <rPr>
        <rFont val="맑은 고딕"/>
        <color theme="1"/>
        <sz val="11.0"/>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</si>
  <si>
    <r>
      <rPr>
        <rFont val="맑은 고딕"/>
        <b/>
        <color theme="1"/>
        <sz val="11.0"/>
      </rPr>
      <t>170_2503_빅데이터과_업무매뉴얼_빅데이터과_빅데이터과바인더.pdf[25]</t>
    </r>
    <r>
      <rPr>
        <rFont val="맑은 고딕"/>
        <color theme="1"/>
        <sz val="11.0"/>
      </rPr>
      <t xml:space="preserve">
-----
</t>
    </r>
    <r>
      <rPr>
        <rFont val="맑은 고딕"/>
        <color rgb="FFFF0000"/>
        <sz val="11.0"/>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rFont val="맑은 고딕"/>
        <color theme="1"/>
        <sz val="11.0"/>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rFont val="Noto Sans KR"/>
        <color theme="1"/>
        <sz val="11.0"/>
      </rPr>
      <t>‧</t>
    </r>
    <r>
      <rPr>
        <rFont val="맑은 고딕"/>
        <color theme="1"/>
        <sz val="11.0"/>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rFont val="Noto Sans KR"/>
        <color theme="1"/>
        <sz val="11.0"/>
      </rPr>
      <t>‧</t>
    </r>
    <r>
      <rPr>
        <rFont val="Noto Sans KR"/>
        <color theme="1"/>
        <sz val="11.0"/>
      </rPr>
      <t>지속성장</t>
    </r>
    <r>
      <rPr>
        <rFont val="맑은 고딕"/>
        <color theme="1"/>
        <sz val="11.0"/>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rFont val="Noto Sans KR"/>
        <color theme="1"/>
        <sz val="11.0"/>
      </rPr>
      <t>‧</t>
    </r>
    <r>
      <rPr>
        <rFont val="Noto Sans KR"/>
        <color theme="1"/>
        <sz val="11.0"/>
      </rPr>
      <t>민간</t>
    </r>
    <r>
      <rPr>
        <rFont val="맑은 고딕"/>
        <color theme="1"/>
        <sz val="11.0"/>
      </rPr>
      <t xml:space="preserve"> 데이터 통합, 공유</t>
    </r>
    <r>
      <rPr>
        <rFont val="Noto Sans KR"/>
        <color theme="1"/>
        <sz val="11.0"/>
      </rPr>
      <t>‧</t>
    </r>
    <r>
      <rPr>
        <rFont val="Noto Sans KR"/>
        <color theme="1"/>
        <sz val="11.0"/>
      </rPr>
      <t>활용</t>
    </r>
    <r>
      <rPr>
        <rFont val="맑은 고딕"/>
        <color theme="1"/>
        <sz val="11.0"/>
      </rPr>
      <t xml:space="preserve"> 확산 등 데이터 선순환 생태계 조성을 위한 플랫폼 구축 및 데이터거버넌스 구성(’23.8.8.~’25.3.30.) - (1단계) ’23.8.~’24.6. 데이터 통합저장소, 민</t>
    </r>
    <r>
      <rPr>
        <rFont val="Noto Sans KR"/>
        <color theme="1"/>
        <sz val="11.0"/>
      </rPr>
      <t>‧</t>
    </r>
    <r>
      <rPr>
        <rFont val="Noto Sans KR"/>
        <color theme="1"/>
        <sz val="11.0"/>
      </rPr>
      <t>관</t>
    </r>
    <r>
      <rPr>
        <rFont val="맑은 고딕"/>
        <color theme="1"/>
        <sz val="11.0"/>
      </rPr>
      <t xml:space="preserve"> 공유활용 플랫폼#1, 데이터 통합지도#1 (2단계) ’24.6.~’25.3. 데이터 거래소, 민</t>
    </r>
    <r>
      <rPr>
        <rFont val="Noto Sans KR"/>
        <color theme="1"/>
        <sz val="11.0"/>
      </rPr>
      <t>‧</t>
    </r>
    <r>
      <rPr>
        <rFont val="Noto Sans KR"/>
        <color theme="1"/>
        <sz val="11.0"/>
      </rPr>
      <t>관</t>
    </r>
    <r>
      <rPr>
        <rFont val="맑은 고딕"/>
        <color theme="1"/>
        <sz val="11.0"/>
      </rPr>
      <t xml:space="preserve"> 공유활용 플랫폼#2, 데이터 통합지도#2 ※ 총사업비 : 110.6억원(’23년 60.2억원, ’24년 50.4억원) - 25 -</t>
    </r>
  </si>
  <si>
    <r>
      <rPr>
        <rFont val="맑은 고딕"/>
        <b/>
        <color theme="1"/>
        <sz val="11.0"/>
      </rPr>
      <t>170_2503_빅데이터과_업무매뉴얼_빅데이터과_빅데이터과바인더.pdf[74]</t>
    </r>
    <r>
      <rPr>
        <rFont val="맑은 고딕"/>
        <color theme="1"/>
        <sz val="11.0"/>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rFont val="맑은 고딕"/>
        <color rgb="FFFF0000"/>
        <sz val="11.0"/>
      </rPr>
      <t>&amp;lt; 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</si>
  <si>
    <t>부산광역시 데이터 활용 및 데이터산업 육성에 관한 조례에 따른 기본계획의 수립 내용은?</t>
  </si>
  <si>
    <t>부산광역시 ‘데이터 활용 및 데이터산업 육성에 관한 조례’에 따라 수립되는 기본계획의 주요 내용, 추진 목표, 세부 과제 및 시행 방법은 무엇인가요?</t>
  </si>
  <si>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</si>
  <si>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</si>
  <si>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</si>
  <si>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158_2408_빅데이터과_조례_빅데이터과_부산광역시_데이터_활용_및_데이터산업_육성에_관한_조례.pdf</t>
  </si>
  <si>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</si>
  <si>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(4순위 - 정답 문서 찾아옴 / 추가작업 X)</t>
  </si>
  <si>
    <r>
      <rPr>
        <rFont val="맑은 고딕"/>
        <b/>
        <color theme="1"/>
        <sz val="11.0"/>
      </rPr>
      <t>158_2408_빅데이터과_조례_빅데이터과_부산광역시_데이터_활용_및_데이터산업_육성에_관한_조례.pdf[1]</t>
    </r>
    <r>
      <rPr>
        <rFont val="맑은 고딕"/>
        <color theme="1"/>
        <sz val="11.0"/>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rFont val="맑은 고딕"/>
        <color rgb="FFFF0000"/>
        <sz val="11.0"/>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rFont val="맑은 고딕"/>
        <color theme="1"/>
        <sz val="11.0"/>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</si>
  <si>
    <r>
      <rPr>
        <rFont val="맑은 고딕"/>
        <b/>
        <color theme="1"/>
        <sz val="11.0"/>
      </rPr>
      <t>170_2503_빅데이터과_업무매뉴얼_빅데이터과_빅데이터과바인더.pdf[11]</t>
    </r>
    <r>
      <rPr>
        <rFont val="맑은 고딕"/>
        <color theme="1"/>
        <sz val="11.0"/>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rFont val="맑은 고딕"/>
        <color rgb="FFFF0000"/>
        <sz val="11.0"/>
      </rPr>
      <t xml:space="preserve">- 기본계획 및 시행계획 수립 등의 심의를 위한 데이터위원회의 설치를 규정함 (제8조) </t>
    </r>
    <r>
      <rPr>
        <rFont val="맑은 고딕"/>
        <color theme="1"/>
        <sz val="11.0"/>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</si>
  <si>
    <r>
      <rPr>
        <rFont val="맑은 고딕"/>
        <b/>
        <color theme="1"/>
        <sz val="11.0"/>
      </rPr>
      <t>170_2503_빅데이터과_업무매뉴얼_빅데이터과_빅데이터과바인더.pdf[14]</t>
    </r>
    <r>
      <rPr>
        <rFont val="맑은 고딕"/>
        <color theme="1"/>
        <sz val="11.0"/>
      </rPr>
      <t xml:space="preserve">
-----
1. 빅데이터 활용에 관한 기본계획 수립 용역 추진 (제2차) (데이터기획팀 정성숙 2342, </t>
    </r>
    <r>
      <rPr>
        <rFont val="Segoe UI"/>
        <color theme="1"/>
        <sz val="11.0"/>
      </rPr>
      <t>́</t>
    </r>
    <r>
      <rPr>
        <rFont val="맑은 고딕"/>
        <color theme="1"/>
        <sz val="11.0"/>
      </rPr>
      <t>25. 3 기준) □ 추진근거</t>
    </r>
    <r>
      <rPr>
        <rFont val="맑은 고딕"/>
        <color rgb="FFFF0000"/>
        <sz val="11.0"/>
      </rPr>
      <t xml:space="preserve"> ○ ‘부산광역시 빅데이터 활용 및 빅데이터산업 육성에 관한 조례' 제5조 - 부산광역시장은 빅데이터의 활용 및 빅데이터산업 육성에 관한 기본 계획을 3년마다 수립하여야 한다. </t>
    </r>
    <r>
      <rPr>
        <rFont val="맑은 고딕"/>
        <color theme="1"/>
        <sz val="11.0"/>
      </rPr>
      <t>□ 추진배경 ○ 민선 8기 공약과제인 ‘미래를 선도하는 디지털 혁신도시’ 구축을 목 표로 ‘빅데이터 활용 활성화 및 데이터 산업기반 조성’ 추진 필요 ○ 시정현안 해결의 실증적 정책지원과 과학</t>
    </r>
    <r>
      <rPr>
        <rFont val="Noto Sans KR"/>
        <color theme="1"/>
        <sz val="11.0"/>
      </rPr>
      <t>‧</t>
    </r>
    <r>
      <rPr>
        <rFont val="Noto Sans KR"/>
        <color theme="1"/>
        <sz val="11.0"/>
      </rPr>
      <t>지능적</t>
    </r>
    <r>
      <rPr>
        <rFont val="맑은 고딕"/>
        <color theme="1"/>
        <sz val="11.0"/>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</si>
  <si>
    <r>
      <rPr>
        <rFont val="맑은 고딕"/>
        <b/>
        <color theme="1"/>
        <sz val="11.0"/>
      </rPr>
      <t>170_2503_빅데이터과_업무매뉴얼_빅데이터과_빅데이터과바인더.pdf[10]</t>
    </r>
    <r>
      <rPr>
        <rFont val="맑은 고딕"/>
        <color theme="1"/>
        <sz val="11.0"/>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rFont val="맑은 고딕"/>
        <color rgb="FFFF0000"/>
        <sz val="11.0"/>
      </rPr>
      <t xml:space="preserve"> ○ 조례 제정 : 2016.12.3. 전봉민 의원 발의(2016.10.6.) ○ 주요내용 - 빅데이터의 활용 및 빅데이터산업 육성에 관한 기본계획의 수립 및 시행에 관 한 사항을 정함(제5조)</t>
    </r>
    <r>
      <rPr>
        <rFont val="맑은 고딕"/>
        <color theme="1"/>
        <sz val="11.0"/>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</si>
  <si>
    <t>공공데이터 포털에 공공데이터를 등록하는 절차가 무엇인가요?</t>
  </si>
  <si>
    <t>공공데이터를 공공데이터 포털에 등록하려는 경우, 관련 내부 규정과 절차에 따라 신청, 검토, 승인, 공개까지의 과정은 어떻게 진행되나요?</t>
  </si>
  <si>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</si>
  <si>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</si>
  <si>
    <t>공공데이터 등록은 '공공데이터목록등록관리시스템(all.data.go.kr)' 사이트를 통해 진행하며
 ① 등록대상 목록 구성 ② 공공데이터 목록·데이터 등록 ③ 현행화 관리
 절차를 통해 진행됩니다.</t>
  </si>
  <si>
    <t>141_2306_빅데이터과_업무매뉴얼_공공데이터_제공관리_실무매뉴얼.pdf</t>
  </si>
  <si>
    <t>30</t>
  </si>
  <si>
    <t>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① 등록대상 목록 구성 ② 공공데이터 목록·데이터 등록 ③ 현행화 관리공공데이터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</si>
  <si>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포털에 공공데이터를 등록하는 절차에 대한 설명</t>
  </si>
  <si>
    <r>
      <rPr>
        <rFont val="맑은 고딕"/>
        <b/>
        <color theme="1"/>
        <sz val="11.0"/>
      </rPr>
      <t>141_2306_빅데이터과_업무매뉴얼_공공데이터_제공관리_실무매뉴얼.pdf[41] : 0.99</t>
    </r>
    <r>
      <rPr>
        <rFont val="맑은 고딕"/>
        <color theme="1"/>
        <sz val="11.0"/>
      </rPr>
      <t xml:space="preserve">
-----</t>
    </r>
    <r>
      <rPr>
        <rFont val="맑은 고딕"/>
        <color theme="1"/>
        <sz val="11.0"/>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</si>
  <si>
    <r>
      <rPr>
        <rFont val="맑은 고딕"/>
        <b/>
        <color theme="1"/>
        <sz val="11.0"/>
      </rPr>
      <t>141_2306_빅데이터과_업무매뉴얼_공공데이터_제공관리_실무매뉴얼.pdf[126, 127] : 0.98</t>
    </r>
    <r>
      <rPr>
        <rFont val="맑은 고딕"/>
        <color theme="1"/>
        <sz val="11.0"/>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rFont val="맑은 고딕"/>
        <color rgb="FFFF0000"/>
        <sz val="11.0"/>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</si>
  <si>
    <r>
      <rPr>
        <rFont val="맑은 고딕"/>
        <b/>
        <color theme="1"/>
        <sz val="11.0"/>
      </rPr>
      <t>141_2306_빅데이터과_업무매뉴얼_공공데이터_제공관리_실무매뉴얼.pdf[31]</t>
    </r>
    <r>
      <rPr>
        <rFont val="맑은 고딕"/>
        <color theme="1"/>
        <sz val="11.0"/>
      </rPr>
      <t xml:space="preserve">
-----
</t>
    </r>
    <r>
      <rPr>
        <rFont val="맑은 고딕"/>
        <color theme="1"/>
        <sz val="11.0"/>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rFont val="맑은 고딕"/>
        <color rgb="FFFF0000"/>
        <sz val="11.0"/>
      </rPr>
      <t xml:space="preserve">▶ 공공데이터 목록 구성 및 등록 절차 1 공공데이터 목록 2 공공데이터 목록 단위 적합 여부 확인 3 공공데이터 목록 4 공공데이터 목록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</si>
  <si>
    <r>
      <rPr>
        <rFont val="맑은 고딕"/>
        <b/>
        <color theme="1"/>
        <sz val="11.0"/>
      </rPr>
      <t>141_2306_빅데이터과_업무매뉴얼_공공데이터_제공관리_실무매뉴얼.pdf[37]</t>
    </r>
    <r>
      <rPr>
        <rFont val="맑은 고딕"/>
        <color theme="1"/>
        <sz val="11.0"/>
      </rPr>
      <t xml:space="preserve">
-----
</t>
    </r>
    <r>
      <rPr>
        <rFont val="맑은 고딕"/>
        <color theme="1"/>
        <sz val="11.0"/>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</si>
  <si>
    <t>공공데이터 목록과 제공 대상 공공데이터의 차이는 무엇인가요?</t>
  </si>
  <si>
    <t>공공데이터와 관련하여, ‘공공데이터 목록’과 실제 시민이나 기관에 제공되는 ‘공공데이터 제공 대상’의 정의와 차이점은 무엇인가요?</t>
  </si>
  <si>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</si>
  <si>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</si>
  <si>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</si>
  <si>
    <t>7, 18, 23, 30</t>
  </si>
  <si>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</si>
  <si>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목록과 제공 대상 공공데이터의 차이</t>
  </si>
  <si>
    <r>
      <rPr>
        <rFont val="맑은 고딕"/>
        <b/>
        <color theme="1"/>
        <sz val="11.0"/>
      </rPr>
      <t>141_2306_빅데이터과_업무매뉴얼_공공데이터_제공관리_실무매뉴얼.pdf[34]</t>
    </r>
    <r>
      <rPr>
        <rFont val="맑은 고딕"/>
        <color theme="1"/>
        <sz val="11.0"/>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</si>
  <si>
    <r>
      <rPr>
        <rFont val="맑은 고딕"/>
        <b/>
        <color theme="1"/>
        <sz val="11.0"/>
      </rPr>
      <t>141_2306_빅데이터과_업무매뉴얼_공공데이터_제공관리_실무매뉴얼.pdf[7]</t>
    </r>
    <r>
      <rPr>
        <rFont val="맑은 고딕"/>
        <color theme="1"/>
        <sz val="11.0"/>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</si>
  <si>
    <r>
      <rPr>
        <rFont val="맑은 고딕"/>
        <b/>
        <color theme="1"/>
        <sz val="11.0"/>
      </rPr>
      <t>141_2306_빅데이터과_업무매뉴얼_공공데이터_제공관리_실무매뉴얼.pdf[39]</t>
    </r>
    <r>
      <rPr>
        <rFont val="맑은 고딕"/>
        <color theme="1"/>
        <sz val="11.0"/>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</si>
  <si>
    <t>공공데이터 제공 표준이 무엇인가요?</t>
  </si>
  <si>
    <t>부산광역시에서 공공데이터를 제공할 때 적용되는 ‘공공데이터 제공 표준’의 정의와 범위, 주요 기준과 지침은 무엇인가요?</t>
  </si>
  <si>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</si>
  <si>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</si>
  <si>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</si>
  <si>
    <t>72</t>
  </si>
  <si>
    <t>2 공공데이터 제공 표준 개요
 개 요
 ◈ 행정안전부 장관이 민간의 활용수요가 높은 공공데이터 중 동일한 항목과 형식으로
 제공해야 하는 데이터셋을 정하고, 데이터셋 제공시 적용해야 하는 표준
 �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</si>
  <si>
    <r>
      <rPr>
        <rFont val="맑은 고딕"/>
        <b/>
        <color theme="1"/>
        <sz val="11.0"/>
      </rPr>
      <t>141_2306_빅데이터과_업무매뉴얼_공공데이터_제공관리_실무매뉴얼.pdf[72]</t>
    </r>
    <r>
      <rPr>
        <rFont val="맑은 고딕"/>
        <color theme="1"/>
        <sz val="11.0"/>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</si>
  <si>
    <r>
      <rPr>
        <rFont val="맑은 고딕"/>
        <b/>
        <color theme="1"/>
        <sz val="11.0"/>
      </rPr>
      <t>141_2306_빅데이터과_업무매뉴얼_공공데이터_제공관리_실무매뉴얼.pdf[75]</t>
    </r>
    <r>
      <rPr>
        <rFont val="맑은 고딕"/>
        <color theme="1"/>
        <sz val="11.0"/>
      </rPr>
      <t xml:space="preserve">
-----</t>
    </r>
  </si>
  <si>
    <r>
      <rPr>
        <rFont val="맑은 고딕"/>
        <b/>
        <color theme="1"/>
        <sz val="11.0"/>
      </rPr>
      <t>141_2306_빅데이터과_업무매뉴얼_공공데이터_제공관리_실무매뉴얼.pdf[150]</t>
    </r>
    <r>
      <rPr>
        <rFont val="맑은 고딕"/>
        <color theme="1"/>
        <sz val="11.0"/>
      </rPr>
      <t xml:space="preserve">
-----</t>
    </r>
  </si>
  <si>
    <r>
      <rPr>
        <rFont val="맑은 고딕"/>
        <b/>
        <color theme="1"/>
        <sz val="11.0"/>
      </rPr>
      <t>141_2306_빅데이터과_업무매뉴얼_공공데이터_제공관리_실무매뉴얼.pdf[67]</t>
    </r>
    <r>
      <rPr>
        <rFont val="맑은 고딕"/>
        <color theme="1"/>
        <sz val="11.0"/>
      </rPr>
      <t xml:space="preserve">
-----</t>
    </r>
  </si>
  <si>
    <r>
      <rPr>
        <rFont val="맑은 고딕"/>
        <b/>
        <color theme="1"/>
        <sz val="11.0"/>
      </rPr>
      <t>141_2306_빅데이터과_업무매뉴얼_공공데이터_제공관리_실무매뉴얼.pdf[38]</t>
    </r>
    <r>
      <rPr>
        <rFont val="맑은 고딕"/>
        <color theme="1"/>
        <sz val="11.0"/>
      </rPr>
      <t xml:space="preserve">
-----</t>
    </r>
  </si>
  <si>
    <r>
      <rPr>
        <rFont val="Arial"/>
        <color rgb="FF000000"/>
        <sz val="11.0"/>
      </rPr>
      <t>가명정보</t>
    </r>
    <r>
      <rPr>
        <rFont val="MS Mincho"/>
        <color rgb="FF000000"/>
        <sz val="11.0"/>
      </rPr>
      <t> </t>
    </r>
    <r>
      <rPr>
        <rFont val="Arial"/>
        <color rgb="FF000000"/>
        <sz val="11.0"/>
      </rPr>
      <t>처리가</t>
    </r>
    <r>
      <rPr>
        <rFont val="MS Mincho"/>
        <color rgb="FF000000"/>
        <sz val="11.0"/>
      </rPr>
      <t> </t>
    </r>
    <r>
      <rPr>
        <rFont val="Arial"/>
        <color rgb="FF000000"/>
        <sz val="11.0"/>
      </rPr>
      <t>가능한</t>
    </r>
    <r>
      <rPr>
        <rFont val="MS Mincho"/>
        <color rgb="FF000000"/>
        <sz val="11.0"/>
      </rPr>
      <t> </t>
    </r>
    <r>
      <rPr>
        <rFont val="Arial"/>
        <color rgb="FF000000"/>
        <sz val="11.0"/>
      </rPr>
      <t>목적은</t>
    </r>
    <r>
      <rPr>
        <rFont val="MS Mincho"/>
        <color rgb="FF000000"/>
        <sz val="11.0"/>
      </rPr>
      <t> </t>
    </r>
    <r>
      <rPr>
        <rFont val="Arial"/>
        <color rgb="FF000000"/>
        <sz val="11.0"/>
      </rPr>
      <t>무엇인가요</t>
    </r>
    <r>
      <rPr>
        <rFont val="MS Mincho"/>
        <color rgb="FF000000"/>
        <sz val="11.0"/>
      </rPr>
      <t>?</t>
    </r>
  </si>
  <si>
    <t>개인정보를 가명정보로 처리할 수 있는 경우, 관련 법령과 내부 지침에서 정한 처리 목적과 허용 범위는 무엇인가요?</t>
  </si>
  <si>
    <r>
      <rPr>
        <rFont val="맑은 고딕"/>
        <color theme="1"/>
        <sz val="11.0"/>
      </rPr>
      <t>공공데이터</t>
    </r>
    <r>
      <rPr>
        <rFont val="Calibri"/>
        <color theme="1"/>
        <sz val="11.0"/>
      </rPr>
      <t xml:space="preserve"> </t>
    </r>
    <r>
      <rPr>
        <rFont val="맑은 고딕"/>
        <color theme="1"/>
        <sz val="11.0"/>
      </rPr>
      <t>제공과</t>
    </r>
    <r>
      <rPr>
        <rFont val="Calibri"/>
        <color theme="1"/>
        <sz val="11.0"/>
      </rPr>
      <t xml:space="preserve"> </t>
    </r>
    <r>
      <rPr>
        <rFont val="맑은 고딕"/>
        <color theme="1"/>
        <sz val="11.0"/>
      </rPr>
      <t>관련하여</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가능한</t>
    </r>
    <r>
      <rPr>
        <rFont val="Calibri"/>
        <color theme="1"/>
        <sz val="11.0"/>
      </rPr>
      <t xml:space="preserve"> </t>
    </r>
    <r>
      <rPr>
        <rFont val="맑은 고딕"/>
        <color theme="1"/>
        <sz val="11.0"/>
      </rPr>
      <t>목적은</t>
    </r>
    <r>
      <rPr>
        <rFont val="Calibri"/>
        <color theme="1"/>
        <sz val="11.0"/>
      </rPr>
      <t xml:space="preserve"> </t>
    </r>
    <r>
      <rPr>
        <rFont val="맑은 고딕"/>
        <color theme="1"/>
        <sz val="11.0"/>
      </rPr>
      <t>크게</t>
    </r>
    <r>
      <rPr>
        <rFont val="Calibri"/>
        <color theme="1"/>
        <sz val="11.0"/>
      </rPr>
      <t xml:space="preserve"> “</t>
    </r>
    <r>
      <rPr>
        <rFont val="맑은 고딕"/>
        <color theme="1"/>
        <sz val="11.0"/>
      </rPr>
      <t>통계작성”</t>
    </r>
    <r>
      <rPr>
        <rFont val="Calibri"/>
        <color theme="1"/>
        <sz val="11.0"/>
      </rPr>
      <t>, “</t>
    </r>
    <r>
      <rPr>
        <rFont val="맑은 고딕"/>
        <color theme="1"/>
        <sz val="11.0"/>
      </rPr>
      <t>공익적</t>
    </r>
    <r>
      <rPr>
        <rFont val="Calibri"/>
        <color theme="1"/>
        <sz val="11.0"/>
      </rPr>
      <t xml:space="preserve"> </t>
    </r>
    <r>
      <rPr>
        <rFont val="맑은 고딕"/>
        <color theme="1"/>
        <sz val="11.0"/>
      </rPr>
      <t>기록보존”</t>
    </r>
    <r>
      <rPr>
        <rFont val="Calibri"/>
        <color theme="1"/>
        <sz val="11.0"/>
      </rPr>
      <t>, "</t>
    </r>
    <r>
      <rPr>
        <rFont val="맑은 고딕"/>
        <color theme="1"/>
        <sz val="11.0"/>
      </rPr>
      <t>과학적</t>
    </r>
    <r>
      <rPr>
        <rFont val="Calibri"/>
        <color theme="1"/>
        <sz val="11.0"/>
      </rPr>
      <t xml:space="preserve"> </t>
    </r>
    <r>
      <rPr>
        <rFont val="맑은 고딕"/>
        <color theme="1"/>
        <sz val="11.0"/>
      </rPr>
      <t>연구</t>
    </r>
    <r>
      <rPr>
        <rFont val="Calibri"/>
        <color theme="1"/>
        <sz val="11.0"/>
      </rPr>
      <t>"</t>
    </r>
    <r>
      <rPr>
        <rFont val="맑은 고딕"/>
        <color theme="1"/>
        <sz val="11.0"/>
      </rPr>
      <t>로</t>
    </r>
    <r>
      <rPr>
        <rFont val="Calibri"/>
        <color theme="1"/>
        <sz val="11.0"/>
      </rPr>
      <t xml:space="preserve"> </t>
    </r>
    <r>
      <rPr>
        <rFont val="맑은 고딕"/>
        <color theme="1"/>
        <sz val="11.0"/>
      </rPr>
      <t>구분됩니다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통계작성</t>
    </r>
    <r>
      <rPr>
        <rFont val="Calibri"/>
        <color theme="1"/>
        <sz val="11.0"/>
      </rPr>
      <t xml:space="preserve">: </t>
    </r>
    <r>
      <rPr>
        <rFont val="맑은 고딕"/>
        <color theme="1"/>
        <sz val="11.0"/>
      </rPr>
      <t>특정</t>
    </r>
    <r>
      <rPr>
        <rFont val="Calibri"/>
        <color theme="1"/>
        <sz val="11.0"/>
      </rPr>
      <t xml:space="preserve"> </t>
    </r>
    <r>
      <rPr>
        <rFont val="맑은 고딕"/>
        <color theme="1"/>
        <sz val="11.0"/>
      </rPr>
      <t>집단이나</t>
    </r>
    <r>
      <rPr>
        <rFont val="Calibri"/>
        <color theme="1"/>
        <sz val="11.0"/>
      </rPr>
      <t xml:space="preserve"> </t>
    </r>
    <r>
      <rPr>
        <rFont val="맑은 고딕"/>
        <color theme="1"/>
        <sz val="11.0"/>
      </rPr>
      <t>대상</t>
    </r>
    <r>
      <rPr>
        <rFont val="Calibri"/>
        <color theme="1"/>
        <sz val="11.0"/>
      </rPr>
      <t xml:space="preserve"> </t>
    </r>
    <r>
      <rPr>
        <rFont val="맑은 고딕"/>
        <color theme="1"/>
        <sz val="11.0"/>
      </rPr>
      <t>등에</t>
    </r>
    <r>
      <rPr>
        <rFont val="Calibri"/>
        <color theme="1"/>
        <sz val="11.0"/>
      </rPr>
      <t xml:space="preserve"> </t>
    </r>
    <r>
      <rPr>
        <rFont val="맑은 고딕"/>
        <color theme="1"/>
        <sz val="11.0"/>
      </rPr>
      <t>관한</t>
    </r>
    <r>
      <rPr>
        <rFont val="Calibri"/>
        <color theme="1"/>
        <sz val="11.0"/>
      </rPr>
      <t xml:space="preserve"> </t>
    </r>
    <r>
      <rPr>
        <rFont val="맑은 고딕"/>
        <color theme="1"/>
        <sz val="11.0"/>
      </rPr>
      <t>수량적인</t>
    </r>
    <r>
      <rPr>
        <rFont val="Calibri"/>
        <color theme="1"/>
        <sz val="11.0"/>
      </rPr>
      <t xml:space="preserve"> </t>
    </r>
    <r>
      <rPr>
        <rFont val="맑은 고딕"/>
        <color theme="1"/>
        <sz val="11.0"/>
      </rPr>
      <t>정보를</t>
    </r>
    <r>
      <rPr>
        <rFont val="Calibri"/>
        <color theme="1"/>
        <sz val="11.0"/>
      </rPr>
      <t xml:space="preserve"> </t>
    </r>
    <r>
      <rPr>
        <rFont val="맑은 고딕"/>
        <color theme="1"/>
        <sz val="11.0"/>
      </rPr>
      <t>의미하는</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작성하기</t>
    </r>
    <r>
      <rPr>
        <rFont val="Calibri"/>
        <color theme="1"/>
        <sz val="11.0"/>
      </rPr>
      <t xml:space="preserve"> </t>
    </r>
    <r>
      <rPr>
        <rFont val="맑은 고딕"/>
        <color theme="1"/>
        <sz val="11.0"/>
      </rPr>
      <t>위해</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이용</t>
    </r>
    <r>
      <rPr>
        <rFont val="Calibri"/>
        <color theme="1"/>
        <sz val="11.0"/>
      </rPr>
      <t xml:space="preserve">, </t>
    </r>
    <r>
      <rPr>
        <rFont val="맑은 고딕"/>
        <color theme="1"/>
        <sz val="11.0"/>
      </rPr>
      <t>분석</t>
    </r>
    <r>
      <rPr>
        <rFont val="Calibri"/>
        <color theme="1"/>
        <sz val="11.0"/>
      </rPr>
      <t xml:space="preserve">, </t>
    </r>
    <r>
      <rPr>
        <rFont val="맑은 고딕"/>
        <color theme="1"/>
        <sz val="11.0"/>
      </rPr>
      <t>제공하는</t>
    </r>
    <r>
      <rPr>
        <rFont val="Calibri"/>
        <color theme="1"/>
        <sz val="11.0"/>
      </rPr>
      <t xml:space="preserve"> </t>
    </r>
    <r>
      <rPr>
        <rFont val="맑은 고딕"/>
        <color theme="1"/>
        <sz val="11.0"/>
      </rPr>
      <t>등의</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지방자치단체가</t>
    </r>
    <r>
      <rPr>
        <rFont val="Calibri"/>
        <color theme="1"/>
        <sz val="11.0"/>
      </rPr>
      <t xml:space="preserve"> </t>
    </r>
    <r>
      <rPr>
        <rFont val="맑은 고딕"/>
        <color theme="1"/>
        <sz val="11.0"/>
      </rPr>
      <t>연령에</t>
    </r>
    <r>
      <rPr>
        <rFont val="Calibri"/>
        <color theme="1"/>
        <sz val="11.0"/>
      </rPr>
      <t xml:space="preserve"> </t>
    </r>
    <r>
      <rPr>
        <rFont val="맑은 고딕"/>
        <color theme="1"/>
        <sz val="11.0"/>
      </rPr>
      <t>따른</t>
    </r>
    <r>
      <rPr>
        <rFont val="Calibri"/>
        <color theme="1"/>
        <sz val="11.0"/>
      </rPr>
      <t xml:space="preserve"> </t>
    </r>
    <r>
      <rPr>
        <rFont val="맑은 고딕"/>
        <color theme="1"/>
        <sz val="11.0"/>
      </rPr>
      <t>편의시설</t>
    </r>
    <r>
      <rPr>
        <rFont val="Calibri"/>
        <color theme="1"/>
        <sz val="11.0"/>
      </rPr>
      <t xml:space="preserve"> </t>
    </r>
    <r>
      <rPr>
        <rFont val="맑은 고딕"/>
        <color theme="1"/>
        <sz val="11.0"/>
      </rPr>
      <t>확대를</t>
    </r>
    <r>
      <rPr>
        <rFont val="Calibri"/>
        <color theme="1"/>
        <sz val="11.0"/>
      </rPr>
      <t xml:space="preserve"> </t>
    </r>
    <r>
      <rPr>
        <rFont val="맑은 고딕"/>
        <color theme="1"/>
        <sz val="11.0"/>
      </rPr>
      <t>위해</t>
    </r>
    <r>
      <rPr>
        <rFont val="Calibri"/>
        <color theme="1"/>
        <sz val="11.0"/>
      </rPr>
      <t xml:space="preserve"> </t>
    </r>
    <r>
      <rPr>
        <rFont val="맑은 고딕"/>
        <color theme="1"/>
        <sz val="11.0"/>
      </rPr>
      <t>편의시설의</t>
    </r>
    <r>
      <rPr>
        <rFont val="Calibri"/>
        <color theme="1"/>
        <sz val="11.0"/>
      </rPr>
      <t xml:space="preserve"> </t>
    </r>
    <r>
      <rPr>
        <rFont val="맑은 고딕"/>
        <color theme="1"/>
        <sz val="11.0"/>
      </rPr>
      <t>이용</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공익적</t>
    </r>
    <r>
      <rPr>
        <rFont val="Calibri"/>
        <color theme="1"/>
        <sz val="11.0"/>
      </rPr>
      <t xml:space="preserve"> </t>
    </r>
    <r>
      <rPr>
        <rFont val="맑은 고딕"/>
        <color theme="1"/>
        <sz val="11.0"/>
      </rPr>
      <t>기록보존</t>
    </r>
    <r>
      <rPr>
        <rFont val="Calibri"/>
        <color theme="1"/>
        <sz val="11.0"/>
      </rPr>
      <t xml:space="preserve">: </t>
    </r>
    <r>
      <rPr>
        <rFont val="맑은 고딕"/>
        <color theme="1"/>
        <sz val="11.0"/>
      </rPr>
      <t>공공의</t>
    </r>
    <r>
      <rPr>
        <rFont val="Calibri"/>
        <color theme="1"/>
        <sz val="11.0"/>
      </rPr>
      <t xml:space="preserve"> </t>
    </r>
    <r>
      <rPr>
        <rFont val="맑은 고딕"/>
        <color theme="1"/>
        <sz val="11.0"/>
      </rPr>
      <t>이익을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지속적으로</t>
    </r>
    <r>
      <rPr>
        <rFont val="Calibri"/>
        <color theme="1"/>
        <sz val="11.0"/>
      </rPr>
      <t xml:space="preserve"> </t>
    </r>
    <r>
      <rPr>
        <rFont val="맑은 고딕"/>
        <color theme="1"/>
        <sz val="11.0"/>
      </rPr>
      <t>열람할</t>
    </r>
    <r>
      <rPr>
        <rFont val="Calibri"/>
        <color theme="1"/>
        <sz val="11.0"/>
      </rPr>
      <t xml:space="preserve"> </t>
    </r>
    <r>
      <rPr>
        <rFont val="맑은 고딕"/>
        <color theme="1"/>
        <sz val="11.0"/>
      </rPr>
      <t>가치가</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기록하여</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것을</t>
    </r>
    <r>
      <rPr>
        <rFont val="Calibri"/>
        <color theme="1"/>
        <sz val="11.0"/>
      </rPr>
      <t xml:space="preserve"> </t>
    </r>
    <r>
      <rPr>
        <rFont val="맑은 고딕"/>
        <color theme="1"/>
        <sz val="11.0"/>
      </rPr>
      <t>의미하며</t>
    </r>
    <r>
      <rPr>
        <rFont val="Calibri"/>
        <color theme="1"/>
        <sz val="11.0"/>
      </rPr>
      <t xml:space="preserve">, </t>
    </r>
    <r>
      <rPr>
        <rFont val="맑은 고딕"/>
        <color theme="1"/>
        <sz val="11.0"/>
      </rPr>
      <t>공공기관이</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경우뿐만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기업</t>
    </r>
    <r>
      <rPr>
        <rFont val="Calibri"/>
        <color theme="1"/>
        <sz val="11.0"/>
      </rPr>
      <t xml:space="preserve">, </t>
    </r>
    <r>
      <rPr>
        <rFont val="맑은 고딕"/>
        <color theme="1"/>
        <sz val="11.0"/>
      </rPr>
      <t>단체</t>
    </r>
    <r>
      <rPr>
        <rFont val="Calibri"/>
        <color theme="1"/>
        <sz val="11.0"/>
      </rPr>
      <t xml:space="preserve"> </t>
    </r>
    <r>
      <rPr>
        <rFont val="맑은 고딕"/>
        <color theme="1"/>
        <sz val="11.0"/>
      </rPr>
      <t>등이</t>
    </r>
    <r>
      <rPr>
        <rFont val="Calibri"/>
        <color theme="1"/>
        <sz val="11.0"/>
      </rPr>
      <t xml:space="preserve"> </t>
    </r>
    <r>
      <rPr>
        <rFont val="맑은 고딕"/>
        <color theme="1"/>
        <sz val="11.0"/>
      </rPr>
      <t>일반적인</t>
    </r>
    <r>
      <rPr>
        <rFont val="Calibri"/>
        <color theme="1"/>
        <sz val="11.0"/>
      </rPr>
      <t xml:space="preserve"> </t>
    </r>
    <r>
      <rPr>
        <rFont val="맑은 고딕"/>
        <color theme="1"/>
        <sz val="11.0"/>
      </rPr>
      <t>공익을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기록을</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경우에도</t>
    </r>
    <r>
      <rPr>
        <rFont val="Calibri"/>
        <color theme="1"/>
        <sz val="11.0"/>
      </rPr>
      <t xml:space="preserve"> </t>
    </r>
    <r>
      <rPr>
        <rFont val="맑은 고딕"/>
        <color theme="1"/>
        <sz val="11.0"/>
      </rPr>
      <t>인정됩니다</t>
    </r>
    <r>
      <rPr>
        <rFont val="Calibri"/>
        <color theme="1"/>
        <sz val="11.0"/>
      </rPr>
      <t xml:space="preserve">.
</t>
    </r>
    <r>
      <rPr>
        <rFont val="맑은 고딕"/>
        <color theme="1"/>
        <sz val="11.0"/>
      </rPr>
      <t>과학적</t>
    </r>
    <r>
      <rPr>
        <rFont val="Calibri"/>
        <color theme="1"/>
        <sz val="11.0"/>
      </rPr>
      <t xml:space="preserve"> </t>
    </r>
    <r>
      <rPr>
        <rFont val="맑은 고딕"/>
        <color theme="1"/>
        <sz val="11.0"/>
      </rPr>
      <t>연구</t>
    </r>
    <r>
      <rPr>
        <rFont val="Calibri"/>
        <color theme="1"/>
        <sz val="11.0"/>
      </rPr>
      <t xml:space="preserve">: </t>
    </r>
    <r>
      <rPr>
        <rFont val="맑은 고딕"/>
        <color theme="1"/>
        <sz val="11.0"/>
      </rPr>
      <t>과학적</t>
    </r>
    <r>
      <rPr>
        <rFont val="Calibri"/>
        <color theme="1"/>
        <sz val="11.0"/>
      </rPr>
      <t xml:space="preserve"> </t>
    </r>
    <r>
      <rPr>
        <rFont val="맑은 고딕"/>
        <color theme="1"/>
        <sz val="11.0"/>
      </rPr>
      <t>방법을</t>
    </r>
    <r>
      <rPr>
        <rFont val="Calibri"/>
        <color theme="1"/>
        <sz val="11.0"/>
      </rPr>
      <t xml:space="preserve"> </t>
    </r>
    <r>
      <rPr>
        <rFont val="맑은 고딕"/>
        <color theme="1"/>
        <sz val="11.0"/>
      </rPr>
      <t>적용하는</t>
    </r>
    <r>
      <rPr>
        <rFont val="Calibri"/>
        <color theme="1"/>
        <sz val="11.0"/>
      </rPr>
      <t xml:space="preserve"> </t>
    </r>
    <r>
      <rPr>
        <rFont val="맑은 고딕"/>
        <color theme="1"/>
        <sz val="11.0"/>
      </rPr>
      <t>연구로서</t>
    </r>
    <r>
      <rPr>
        <rFont val="Calibri"/>
        <color theme="1"/>
        <sz val="11.0"/>
      </rPr>
      <t xml:space="preserve"> </t>
    </r>
    <r>
      <rPr>
        <rFont val="맑은 고딕"/>
        <color theme="1"/>
        <sz val="11.0"/>
      </rPr>
      <t>자연과학</t>
    </r>
    <r>
      <rPr>
        <rFont val="Calibri"/>
        <color theme="1"/>
        <sz val="11.0"/>
      </rPr>
      <t xml:space="preserve">, </t>
    </r>
    <r>
      <rPr>
        <rFont val="맑은 고딕"/>
        <color theme="1"/>
        <sz val="11.0"/>
      </rPr>
      <t>사회과학</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분야에서</t>
    </r>
    <r>
      <rPr>
        <rFont val="Calibri"/>
        <color theme="1"/>
        <sz val="11.0"/>
      </rPr>
      <t xml:space="preserve"> </t>
    </r>
    <r>
      <rPr>
        <rFont val="맑은 고딕"/>
        <color theme="1"/>
        <sz val="11.0"/>
      </rPr>
      <t>이루어질</t>
    </r>
    <r>
      <rPr>
        <rFont val="Calibri"/>
        <color theme="1"/>
        <sz val="11.0"/>
      </rPr>
      <t xml:space="preserve"> </t>
    </r>
    <r>
      <rPr>
        <rFont val="맑은 고딕"/>
        <color theme="1"/>
        <sz val="11.0"/>
      </rPr>
      <t>수</t>
    </r>
    <r>
      <rPr>
        <rFont val="Calibri"/>
        <color theme="1"/>
        <sz val="11.0"/>
      </rPr>
      <t xml:space="preserve"> </t>
    </r>
    <r>
      <rPr>
        <rFont val="맑은 고딕"/>
        <color theme="1"/>
        <sz val="11.0"/>
      </rPr>
      <t>있으며</t>
    </r>
    <r>
      <rPr>
        <rFont val="Calibri"/>
        <color theme="1"/>
        <sz val="11.0"/>
      </rPr>
      <t xml:space="preserve">, </t>
    </r>
    <r>
      <rPr>
        <rFont val="맑은 고딕"/>
        <color theme="1"/>
        <sz val="11.0"/>
      </rPr>
      <t>기초연구</t>
    </r>
    <r>
      <rPr>
        <rFont val="Calibri"/>
        <color theme="1"/>
        <sz val="11.0"/>
      </rPr>
      <t xml:space="preserve">, </t>
    </r>
    <r>
      <rPr>
        <rFont val="맑은 고딕"/>
        <color theme="1"/>
        <sz val="11.0"/>
      </rPr>
      <t>응용연구뿐만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새로운</t>
    </r>
    <r>
      <rPr>
        <rFont val="Calibri"/>
        <color theme="1"/>
        <sz val="11.0"/>
      </rPr>
      <t xml:space="preserve"> </t>
    </r>
    <r>
      <rPr>
        <rFont val="맑은 고딕"/>
        <color theme="1"/>
        <sz val="11.0"/>
      </rPr>
      <t>기술</t>
    </r>
    <r>
      <rPr>
        <rFont val="Calibri"/>
        <color theme="1"/>
        <sz val="11.0"/>
      </rPr>
      <t>·</t>
    </r>
    <r>
      <rPr>
        <rFont val="맑은 고딕"/>
        <color theme="1"/>
        <sz val="11.0"/>
      </rPr>
      <t>제품</t>
    </r>
    <r>
      <rPr>
        <rFont val="Calibri"/>
        <color theme="1"/>
        <sz val="11.0"/>
      </rPr>
      <t>·</t>
    </r>
    <r>
      <rPr>
        <rFont val="맑은 고딕"/>
        <color theme="1"/>
        <sz val="11.0"/>
      </rPr>
      <t>서비스</t>
    </r>
    <r>
      <rPr>
        <rFont val="Calibri"/>
        <color theme="1"/>
        <sz val="11.0"/>
      </rPr>
      <t xml:space="preserve"> </t>
    </r>
    <r>
      <rPr>
        <rFont val="맑은 고딕"/>
        <color theme="1"/>
        <sz val="11.0"/>
      </rPr>
      <t>개발</t>
    </r>
    <r>
      <rPr>
        <rFont val="Calibri"/>
        <color theme="1"/>
        <sz val="11.0"/>
      </rPr>
      <t xml:space="preserve"> </t>
    </r>
    <r>
      <rPr>
        <rFont val="맑은 고딕"/>
        <color theme="1"/>
        <sz val="11.0"/>
      </rPr>
      <t>및</t>
    </r>
    <r>
      <rPr>
        <rFont val="Calibri"/>
        <color theme="1"/>
        <sz val="11.0"/>
      </rPr>
      <t xml:space="preserve"> </t>
    </r>
    <r>
      <rPr>
        <rFont val="맑은 고딕"/>
        <color theme="1"/>
        <sz val="11.0"/>
      </rPr>
      <t>실증을</t>
    </r>
    <r>
      <rPr>
        <rFont val="Calibri"/>
        <color theme="1"/>
        <sz val="11.0"/>
      </rPr>
      <t xml:space="preserve"> </t>
    </r>
    <r>
      <rPr>
        <rFont val="맑은 고딕"/>
        <color theme="1"/>
        <sz val="11.0"/>
      </rPr>
      <t>위한</t>
    </r>
    <r>
      <rPr>
        <rFont val="Calibri"/>
        <color theme="1"/>
        <sz val="11.0"/>
      </rPr>
      <t xml:space="preserve"> </t>
    </r>
    <r>
      <rPr>
        <rFont val="맑은 고딕"/>
        <color theme="1"/>
        <sz val="11.0"/>
      </rPr>
      <t>산업적</t>
    </r>
    <r>
      <rPr>
        <rFont val="Calibri"/>
        <color theme="1"/>
        <sz val="11.0"/>
      </rPr>
      <t xml:space="preserve"> </t>
    </r>
    <r>
      <rPr>
        <rFont val="맑은 고딕"/>
        <color theme="1"/>
        <sz val="11.0"/>
      </rPr>
      <t>연구도</t>
    </r>
    <r>
      <rPr>
        <rFont val="Calibri"/>
        <color theme="1"/>
        <sz val="11.0"/>
      </rPr>
      <t xml:space="preserve"> </t>
    </r>
    <r>
      <rPr>
        <rFont val="맑은 고딕"/>
        <color theme="1"/>
        <sz val="11.0"/>
      </rPr>
      <t>포함됩니다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코로나</t>
    </r>
    <r>
      <rPr>
        <rFont val="Calibri"/>
        <color theme="1"/>
        <sz val="11.0"/>
      </rPr>
      <t xml:space="preserve">19 </t>
    </r>
    <r>
      <rPr>
        <rFont val="맑은 고딕"/>
        <color theme="1"/>
        <sz val="11.0"/>
      </rPr>
      <t>위험</t>
    </r>
    <r>
      <rPr>
        <rFont val="Calibri"/>
        <color theme="1"/>
        <sz val="11.0"/>
      </rPr>
      <t xml:space="preserve"> </t>
    </r>
    <r>
      <rPr>
        <rFont val="맑은 고딕"/>
        <color theme="1"/>
        <sz val="11.0"/>
      </rPr>
      <t>경고를</t>
    </r>
    <r>
      <rPr>
        <rFont val="Calibri"/>
        <color theme="1"/>
        <sz val="11.0"/>
      </rPr>
      <t xml:space="preserve"> </t>
    </r>
    <r>
      <rPr>
        <rFont val="맑은 고딕"/>
        <color theme="1"/>
        <sz val="11.0"/>
      </rPr>
      <t>위해</t>
    </r>
    <r>
      <rPr>
        <rFont val="Calibri"/>
        <color theme="1"/>
        <sz val="11.0"/>
      </rPr>
      <t xml:space="preserve"> </t>
    </r>
    <r>
      <rPr>
        <rFont val="맑은 고딕"/>
        <color theme="1"/>
        <sz val="11.0"/>
      </rPr>
      <t>생활패턴과</t>
    </r>
    <r>
      <rPr>
        <rFont val="Calibri"/>
        <color theme="1"/>
        <sz val="11.0"/>
      </rPr>
      <t xml:space="preserve"> </t>
    </r>
    <r>
      <rPr>
        <rFont val="맑은 고딕"/>
        <color theme="1"/>
        <sz val="11.0"/>
      </rPr>
      <t>감염률의</t>
    </r>
    <r>
      <rPr>
        <rFont val="Calibri"/>
        <color theme="1"/>
        <sz val="11.0"/>
      </rPr>
      <t xml:space="preserve"> </t>
    </r>
    <r>
      <rPr>
        <rFont val="맑은 고딕"/>
        <color theme="1"/>
        <sz val="11.0"/>
      </rPr>
      <t>상관성에</t>
    </r>
    <r>
      <rPr>
        <rFont val="Calibri"/>
        <color theme="1"/>
        <sz val="11.0"/>
      </rPr>
      <t xml:space="preserve"> </t>
    </r>
    <r>
      <rPr>
        <rFont val="맑은 고딕"/>
        <color theme="1"/>
        <sz val="11.0"/>
      </rPr>
      <t>대한</t>
    </r>
    <r>
      <rPr>
        <rFont val="Calibri"/>
        <color theme="1"/>
        <sz val="11.0"/>
      </rPr>
      <t xml:space="preserve"> </t>
    </r>
    <r>
      <rPr>
        <rFont val="맑은 고딕"/>
        <color theme="1"/>
        <sz val="11.0"/>
      </rPr>
      <t>연구를</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이러한</t>
    </r>
    <r>
      <rPr>
        <rFont val="Calibri"/>
        <color theme="1"/>
        <sz val="11.0"/>
      </rPr>
      <t xml:space="preserve"> </t>
    </r>
    <r>
      <rPr>
        <rFont val="맑은 고딕"/>
        <color theme="1"/>
        <sz val="11.0"/>
      </rPr>
      <t>목적의</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처리는</t>
    </r>
    <r>
      <rPr>
        <rFont val="Calibri"/>
        <color theme="1"/>
        <sz val="11.0"/>
      </rPr>
      <t xml:space="preserve"> </t>
    </r>
    <r>
      <rPr>
        <rFont val="맑은 고딕"/>
        <color theme="1"/>
        <sz val="11.0"/>
      </rPr>
      <t>공공데이터의</t>
    </r>
    <r>
      <rPr>
        <rFont val="Calibri"/>
        <color theme="1"/>
        <sz val="11.0"/>
      </rPr>
      <t xml:space="preserve"> </t>
    </r>
    <r>
      <rPr>
        <rFont val="맑은 고딕"/>
        <color theme="1"/>
        <sz val="11.0"/>
      </rPr>
      <t>개방과</t>
    </r>
    <r>
      <rPr>
        <rFont val="Calibri"/>
        <color theme="1"/>
        <sz val="11.0"/>
      </rPr>
      <t xml:space="preserve"> </t>
    </r>
    <r>
      <rPr>
        <rFont val="맑은 고딕"/>
        <color theme="1"/>
        <sz val="11.0"/>
      </rPr>
      <t>활성화를</t>
    </r>
    <r>
      <rPr>
        <rFont val="Calibri"/>
        <color theme="1"/>
        <sz val="11.0"/>
      </rPr>
      <t xml:space="preserve"> </t>
    </r>
    <r>
      <rPr>
        <rFont val="맑은 고딕"/>
        <color theme="1"/>
        <sz val="11.0"/>
      </rPr>
      <t>위해</t>
    </r>
    <r>
      <rPr>
        <rFont val="Calibri"/>
        <color theme="1"/>
        <sz val="11.0"/>
      </rPr>
      <t xml:space="preserve"> </t>
    </r>
    <r>
      <rPr>
        <rFont val="맑은 고딕"/>
        <color theme="1"/>
        <sz val="11.0"/>
      </rPr>
      <t>중요한</t>
    </r>
    <r>
      <rPr>
        <rFont val="Calibri"/>
        <color theme="1"/>
        <sz val="11.0"/>
      </rPr>
      <t xml:space="preserve"> </t>
    </r>
    <r>
      <rPr>
        <rFont val="맑은 고딕"/>
        <color theme="1"/>
        <sz val="11.0"/>
      </rPr>
      <t>역할을</t>
    </r>
    <r>
      <rPr>
        <rFont val="Calibri"/>
        <color theme="1"/>
        <sz val="11.0"/>
      </rPr>
      <t xml:space="preserve"> </t>
    </r>
    <r>
      <rPr>
        <rFont val="맑은 고딕"/>
        <color theme="1"/>
        <sz val="11.0"/>
      </rPr>
      <t>하며</t>
    </r>
    <r>
      <rPr>
        <rFont val="Calibri"/>
        <color theme="1"/>
        <sz val="11.0"/>
      </rPr>
      <t xml:space="preserve">, </t>
    </r>
    <r>
      <rPr>
        <rFont val="맑은 고딕"/>
        <color theme="1"/>
        <sz val="11.0"/>
      </rPr>
      <t>각</t>
    </r>
    <r>
      <rPr>
        <rFont val="Calibri"/>
        <color theme="1"/>
        <sz val="11.0"/>
      </rPr>
      <t xml:space="preserve"> </t>
    </r>
    <r>
      <rPr>
        <rFont val="맑은 고딕"/>
        <color theme="1"/>
        <sz val="11.0"/>
      </rPr>
      <t>목적에</t>
    </r>
    <r>
      <rPr>
        <rFont val="Calibri"/>
        <color theme="1"/>
        <sz val="11.0"/>
      </rPr>
      <t xml:space="preserve"> </t>
    </r>
    <r>
      <rPr>
        <rFont val="맑은 고딕"/>
        <color theme="1"/>
        <sz val="11.0"/>
      </rPr>
      <t>따라</t>
    </r>
    <r>
      <rPr>
        <rFont val="Calibri"/>
        <color theme="1"/>
        <sz val="11.0"/>
      </rPr>
      <t xml:space="preserve"> </t>
    </r>
    <r>
      <rPr>
        <rFont val="맑은 고딕"/>
        <color theme="1"/>
        <sz val="11.0"/>
      </rPr>
      <t>적절한</t>
    </r>
    <r>
      <rPr>
        <rFont val="Calibri"/>
        <color theme="1"/>
        <sz val="11.0"/>
      </rPr>
      <t xml:space="preserve"> </t>
    </r>
    <r>
      <rPr>
        <rFont val="맑은 고딕"/>
        <color theme="1"/>
        <sz val="11.0"/>
      </rPr>
      <t>절차와</t>
    </r>
    <r>
      <rPr>
        <rFont val="Calibri"/>
        <color theme="1"/>
        <sz val="11.0"/>
      </rPr>
      <t xml:space="preserve"> </t>
    </r>
    <r>
      <rPr>
        <rFont val="맑은 고딕"/>
        <color theme="1"/>
        <sz val="11.0"/>
      </rPr>
      <t>기준을</t>
    </r>
    <r>
      <rPr>
        <rFont val="Calibri"/>
        <color theme="1"/>
        <sz val="11.0"/>
      </rPr>
      <t xml:space="preserve"> </t>
    </r>
    <r>
      <rPr>
        <rFont val="맑은 고딕"/>
        <color theme="1"/>
        <sz val="11.0"/>
      </rPr>
      <t>준수해야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</si>
  <si>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t>
    </r>
    <r>
      <rPr>
        <rFont val="MS Mincho"/>
        <color theme="1"/>
        <sz val="11.0"/>
      </rPr>
      <t> </t>
    </r>
    <r>
      <rPr>
        <rFont val="맑은 고딕"/>
        <color theme="1"/>
        <sz val="11.0"/>
      </rPr>
      <t>처리는</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알아볼</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가명처리한</t>
    </r>
    <r>
      <rPr>
        <rFont val="MS Mincho"/>
        <color theme="1"/>
        <sz val="11.0"/>
      </rPr>
      <t> </t>
    </r>
    <r>
      <rPr>
        <rFont val="맑은 고딕"/>
        <color theme="1"/>
        <sz val="11.0"/>
      </rPr>
      <t>데이터를</t>
    </r>
    <r>
      <rPr>
        <rFont val="MS Mincho"/>
        <color theme="1"/>
        <sz val="11.0"/>
      </rPr>
      <t> </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등에서</t>
    </r>
    <r>
      <rPr>
        <rFont val="MS Mincho"/>
        <color theme="1"/>
        <sz val="11.0"/>
      </rPr>
      <t> </t>
    </r>
    <r>
      <rPr>
        <rFont val="맑은 고딕"/>
        <color theme="1"/>
        <sz val="11.0"/>
      </rPr>
      <t>폭넓게</t>
    </r>
    <r>
      <rPr>
        <rFont val="MS Mincho"/>
        <color theme="1"/>
        <sz val="11.0"/>
      </rPr>
      <t> </t>
    </r>
    <r>
      <rPr>
        <rFont val="맑은 고딕"/>
        <color theme="1"/>
        <sz val="11.0"/>
      </rPr>
      <t>활용하기</t>
    </r>
    <r>
      <rPr>
        <rFont val="MS Mincho"/>
        <color theme="1"/>
        <sz val="11.0"/>
      </rPr>
      <t> </t>
    </r>
    <r>
      <rPr>
        <rFont val="맑은 고딕"/>
        <color theme="1"/>
        <sz val="11.0"/>
      </rPr>
      <t>위한</t>
    </r>
    <r>
      <rPr>
        <rFont val="MS Mincho"/>
        <color theme="1"/>
        <sz val="11.0"/>
      </rPr>
      <t> </t>
    </r>
    <r>
      <rPr>
        <rFont val="맑은 고딕"/>
        <color theme="1"/>
        <sz val="11.0"/>
      </rPr>
      <t>것입니다</t>
    </r>
    <r>
      <rPr>
        <rFont val="MS Mincho"/>
        <color theme="1"/>
        <sz val="11.0"/>
      </rPr>
      <t>. </t>
    </r>
    <r>
      <rPr>
        <rFont val="맑은 고딕"/>
        <color theme="1"/>
        <sz val="11.0"/>
      </rPr>
      <t>가명정보는</t>
    </r>
    <r>
      <rPr>
        <rFont val="MS Mincho"/>
        <color theme="1"/>
        <sz val="11.0"/>
      </rPr>
      <t> </t>
    </r>
    <r>
      <rPr>
        <rFont val="맑은 고딕"/>
        <color theme="1"/>
        <sz val="11.0"/>
      </rPr>
      <t>원래의</t>
    </r>
    <r>
      <rPr>
        <rFont val="MS Mincho"/>
        <color theme="1"/>
        <sz val="11.0"/>
      </rPr>
      <t> </t>
    </r>
    <r>
      <rPr>
        <rFont val="맑은 고딕"/>
        <color theme="1"/>
        <sz val="11.0"/>
      </rPr>
      <t>개인을</t>
    </r>
    <r>
      <rPr>
        <rFont val="MS Mincho"/>
        <color theme="1"/>
        <sz val="11.0"/>
      </rPr>
      <t> </t>
    </r>
    <r>
      <rPr>
        <rFont val="맑은 고딕"/>
        <color theme="1"/>
        <sz val="11.0"/>
      </rPr>
      <t>재식별할</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처리된</t>
    </r>
    <r>
      <rPr>
        <rFont val="MS Mincho"/>
        <color theme="1"/>
        <sz val="11.0"/>
      </rPr>
      <t> </t>
    </r>
    <r>
      <rPr>
        <rFont val="맑은 고딕"/>
        <color theme="1"/>
        <sz val="11.0"/>
      </rPr>
      <t>정보로</t>
    </r>
    <r>
      <rPr>
        <rFont val="MS Mincho"/>
        <color theme="1"/>
        <sz val="11.0"/>
      </rPr>
      <t>, </t>
    </r>
    <r>
      <rPr>
        <rFont val="맑은 고딕"/>
        <color theme="1"/>
        <sz val="11.0"/>
      </rPr>
      <t>이를</t>
    </r>
    <r>
      <rPr>
        <rFont val="MS Mincho"/>
        <color theme="1"/>
        <sz val="11.0"/>
      </rPr>
      <t> </t>
    </r>
    <r>
      <rPr>
        <rFont val="맑은 고딕"/>
        <color theme="1"/>
        <sz val="11.0"/>
      </rPr>
      <t>활용하면</t>
    </r>
    <r>
      <rPr>
        <rFont val="MS Mincho"/>
        <color theme="1"/>
        <sz val="11.0"/>
      </rPr>
      <t> </t>
    </r>
    <r>
      <rPr>
        <rFont val="맑은 고딕"/>
        <color theme="1"/>
        <sz val="11.0"/>
      </rPr>
      <t>개인정보</t>
    </r>
    <r>
      <rPr>
        <rFont val="MS Mincho"/>
        <color theme="1"/>
        <sz val="11.0"/>
      </rPr>
      <t> </t>
    </r>
    <r>
      <rPr>
        <rFont val="맑은 고딕"/>
        <color theme="1"/>
        <sz val="11.0"/>
      </rPr>
      <t>보호를</t>
    </r>
    <r>
      <rPr>
        <rFont val="MS Mincho"/>
        <color theme="1"/>
        <sz val="11.0"/>
      </rPr>
      <t> </t>
    </r>
    <r>
      <rPr>
        <rFont val="맑은 고딕"/>
        <color theme="1"/>
        <sz val="11.0"/>
      </rPr>
      <t>강화하면서</t>
    </r>
    <r>
      <rPr>
        <rFont val="MS Mincho"/>
        <color theme="1"/>
        <sz val="11.0"/>
      </rPr>
      <t> </t>
    </r>
    <r>
      <rPr>
        <rFont val="맑은 고딕"/>
        <color theme="1"/>
        <sz val="11.0"/>
      </rPr>
      <t>데이터</t>
    </r>
    <r>
      <rPr>
        <rFont val="MS Mincho"/>
        <color theme="1"/>
        <sz val="11.0"/>
      </rPr>
      <t> </t>
    </r>
    <r>
      <rPr>
        <rFont val="맑은 고딕"/>
        <color theme="1"/>
        <sz val="11.0"/>
      </rPr>
      <t>활용성을</t>
    </r>
    <r>
      <rPr>
        <rFont val="MS Mincho"/>
        <color theme="1"/>
        <sz val="11.0"/>
      </rPr>
      <t> </t>
    </r>
    <r>
      <rPr>
        <rFont val="맑은 고딕"/>
        <color theme="1"/>
        <sz val="11.0"/>
      </rPr>
      <t>높일</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t>
    </r>
    <r>
      <rPr>
        <rFont val="맑은 고딕"/>
        <color theme="1"/>
        <sz val="11.0"/>
      </rPr>
      <t>개인정보처리자는</t>
    </r>
    <r>
      <rPr>
        <rFont val="MS Mincho"/>
        <color theme="1"/>
        <sz val="11.0"/>
      </rPr>
      <t> </t>
    </r>
    <r>
      <rPr>
        <rFont val="맑은 고딕"/>
        <color theme="1"/>
        <sz val="11.0"/>
      </rPr>
      <t>관련</t>
    </r>
    <r>
      <rPr>
        <rFont val="MS Mincho"/>
        <color theme="1"/>
        <sz val="11.0"/>
      </rPr>
      <t> </t>
    </r>
    <r>
      <rPr>
        <rFont val="맑은 고딕"/>
        <color theme="1"/>
        <sz val="11.0"/>
      </rPr>
      <t>법령에</t>
    </r>
    <r>
      <rPr>
        <rFont val="MS Mincho"/>
        <color theme="1"/>
        <sz val="11.0"/>
      </rPr>
      <t> </t>
    </r>
    <r>
      <rPr>
        <rFont val="맑은 고딕"/>
        <color theme="1"/>
        <sz val="11.0"/>
      </rPr>
      <t>명시된</t>
    </r>
    <r>
      <rPr>
        <rFont val="MS Mincho"/>
        <color theme="1"/>
        <sz val="11.0"/>
      </rPr>
      <t> </t>
    </r>
    <r>
      <rPr>
        <rFont val="맑은 고딕"/>
        <color theme="1"/>
        <sz val="11.0"/>
      </rPr>
      <t>목적과</t>
    </r>
    <r>
      <rPr>
        <rFont val="MS Mincho"/>
        <color theme="1"/>
        <sz val="11.0"/>
      </rPr>
      <t> </t>
    </r>
    <r>
      <rPr>
        <rFont val="맑은 고딕"/>
        <color theme="1"/>
        <sz val="11.0"/>
      </rPr>
      <t>기준을</t>
    </r>
    <r>
      <rPr>
        <rFont val="MS Mincho"/>
        <color theme="1"/>
        <sz val="11.0"/>
      </rPr>
      <t> </t>
    </r>
    <r>
      <rPr>
        <rFont val="맑은 고딕"/>
        <color theme="1"/>
        <sz val="11.0"/>
      </rPr>
      <t>준수하여</t>
    </r>
    <r>
      <rPr>
        <rFont val="MS Mincho"/>
        <color theme="1"/>
        <sz val="11.0"/>
      </rPr>
      <t> </t>
    </r>
    <r>
      <rPr>
        <rFont val="맑은 고딕"/>
        <color theme="1"/>
        <sz val="11.0"/>
      </rPr>
      <t>가명처리를</t>
    </r>
    <r>
      <rPr>
        <rFont val="MS Mincho"/>
        <color theme="1"/>
        <sz val="11.0"/>
      </rPr>
      <t> </t>
    </r>
    <r>
      <rPr>
        <rFont val="맑은 고딕"/>
        <color theme="1"/>
        <sz val="11.0"/>
      </rPr>
      <t>해야</t>
    </r>
    <r>
      <rPr>
        <rFont val="MS Mincho"/>
        <color theme="1"/>
        <sz val="11.0"/>
      </rPr>
      <t> </t>
    </r>
    <r>
      <rPr>
        <rFont val="맑은 고딕"/>
        <color theme="1"/>
        <sz val="11.0"/>
      </rPr>
      <t>하며</t>
    </r>
    <r>
      <rPr>
        <rFont val="MS Mincho"/>
        <color theme="1"/>
        <sz val="11.0"/>
      </rPr>
      <t>, </t>
    </r>
    <r>
      <rPr>
        <rFont val="맑은 고딕"/>
        <color theme="1"/>
        <sz val="11.0"/>
      </rPr>
      <t>안전한</t>
    </r>
    <r>
      <rPr>
        <rFont val="MS Mincho"/>
        <color theme="1"/>
        <sz val="11.0"/>
      </rPr>
      <t> </t>
    </r>
    <r>
      <rPr>
        <rFont val="맑은 고딕"/>
        <color theme="1"/>
        <sz val="11.0"/>
      </rPr>
      <t>관리</t>
    </r>
    <r>
      <rPr>
        <rFont val="MS Mincho"/>
        <color theme="1"/>
        <sz val="11.0"/>
      </rPr>
      <t> </t>
    </r>
    <r>
      <rPr>
        <rFont val="맑은 고딕"/>
        <color theme="1"/>
        <sz val="11.0"/>
      </rPr>
      <t>절차를</t>
    </r>
    <r>
      <rPr>
        <rFont val="MS Mincho"/>
        <color theme="1"/>
        <sz val="11.0"/>
      </rPr>
      <t> </t>
    </r>
    <r>
      <rPr>
        <rFont val="맑은 고딕"/>
        <color theme="1"/>
        <sz val="11.0"/>
      </rPr>
      <t>통해</t>
    </r>
    <r>
      <rPr>
        <rFont val="MS Mincho"/>
        <color theme="1"/>
        <sz val="11.0"/>
      </rPr>
      <t> </t>
    </r>
    <r>
      <rPr>
        <rFont val="맑은 고딕"/>
        <color theme="1"/>
        <sz val="11.0"/>
      </rPr>
      <t>데이터가</t>
    </r>
    <r>
      <rPr>
        <rFont val="MS Mincho"/>
        <color theme="1"/>
        <sz val="11.0"/>
      </rPr>
      <t> </t>
    </r>
    <r>
      <rPr>
        <rFont val="맑은 고딕"/>
        <color theme="1"/>
        <sz val="11.0"/>
      </rPr>
      <t>오남용되지</t>
    </r>
    <r>
      <rPr>
        <rFont val="MS Mincho"/>
        <color theme="1"/>
        <sz val="11.0"/>
      </rPr>
      <t> </t>
    </r>
    <r>
      <rPr>
        <rFont val="맑은 고딕"/>
        <color theme="1"/>
        <sz val="11.0"/>
      </rPr>
      <t>않도록</t>
    </r>
    <r>
      <rPr>
        <rFont val="MS Mincho"/>
        <color theme="1"/>
        <sz val="11.0"/>
      </rPr>
      <t> </t>
    </r>
    <r>
      <rPr>
        <rFont val="맑은 고딕"/>
        <color theme="1"/>
        <sz val="11.0"/>
      </rPr>
      <t>보호해야</t>
    </r>
    <r>
      <rPr>
        <rFont val="MS Mincho"/>
        <color theme="1"/>
        <sz val="11.0"/>
      </rPr>
      <t> </t>
    </r>
    <r>
      <rPr>
        <rFont val="맑은 고딕"/>
        <color theme="1"/>
        <sz val="11.0"/>
      </rPr>
      <t>합니다</t>
    </r>
    <r>
      <rPr>
        <rFont val="MS Mincho"/>
        <color theme="1"/>
        <sz val="11.0"/>
      </rPr>
      <t xml:space="preserve">.
</t>
    </r>
    <r>
      <rPr>
        <rFont val="맑은 고딕"/>
        <color theme="1"/>
        <sz val="11.0"/>
      </rPr>
      <t>링크 : 가명정보</t>
    </r>
    <r>
      <rPr>
        <rFont val="Calibri"/>
        <color theme="1"/>
        <sz val="11.0"/>
      </rPr>
      <t> </t>
    </r>
    <r>
      <rPr>
        <rFont val="맑은 고딕"/>
        <color theme="1"/>
        <sz val="11.0"/>
      </rPr>
      <t>처리</t>
    </r>
    <r>
      <rPr>
        <rFont val="Calibri"/>
        <color theme="1"/>
        <sz val="11.0"/>
      </rPr>
      <t> </t>
    </r>
    <r>
      <rPr>
        <rFont val="맑은 고딕"/>
        <color theme="1"/>
        <sz val="11.0"/>
      </rPr>
      <t>가이드라인</t>
    </r>
    <r>
      <rPr>
        <rFont val="Calibri"/>
        <color theme="1"/>
        <sz val="11.0"/>
      </rPr>
      <t>(2024.2)</t>
    </r>
  </si>
  <si>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</si>
  <si>
    <t>150_2402_빅데이터과_기타_개인정보보호위원회_가명정보_처리_가이드라인.pdf</t>
  </si>
  <si>
    <t>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</si>
  <si>
    <r>
      <rPr>
        <rFont val="맑은 고딕"/>
        <b/>
        <color theme="1"/>
        <sz val="11.0"/>
      </rPr>
      <t>150_2402_빅데이터과_기타_개인정보보호위원회_가명정보_처리_가이드라인.pdf[7]</t>
    </r>
    <r>
      <rPr>
        <rFont val="맑은 고딕"/>
        <color theme="1"/>
        <sz val="11.0"/>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</si>
  <si>
    <r>
      <rPr>
        <rFont val="맑은 고딕"/>
        <b/>
        <color theme="1"/>
        <sz val="11.0"/>
      </rPr>
      <t>150_2402_빅데이터과_기타_개인정보보호위원회_가명정보_처리_가이드라인.pdf[3]</t>
    </r>
    <r>
      <rPr>
        <rFont val="맑은 고딕"/>
        <color theme="1"/>
        <sz val="11.0"/>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rFont val="Yu Gothic"/>
        <color theme="1"/>
        <sz val="11.0"/>
      </rPr>
      <t>・</t>
    </r>
    <r>
      <rPr>
        <rFont val="맑은 고딕"/>
        <color theme="1"/>
        <sz val="11.0"/>
      </rPr>
      <t>개정 이력 개인정보보호 관련 법</t>
    </r>
    <r>
      <rPr>
        <rFont val="Yu Gothic"/>
        <color theme="1"/>
        <sz val="11.0"/>
      </rPr>
      <t>・</t>
    </r>
    <r>
      <rPr>
        <rFont val="맑은 고딕"/>
        <color theme="1"/>
        <sz val="11.0"/>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rFont val="Yu Gothic"/>
        <color theme="1"/>
        <sz val="11.0"/>
      </rPr>
      <t>・</t>
    </r>
    <r>
      <rPr>
        <rFont val="맑은 고딕"/>
        <color theme="1"/>
        <sz val="11.0"/>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</si>
  <si>
    <r>
      <rPr>
        <rFont val="맑은 고딕"/>
        <b/>
        <color theme="1"/>
        <sz val="11.0"/>
      </rPr>
      <t>150_2402_빅데이터과_기타_개인정보보호위원회_가명정보_처리_가이드라인.pdf[82]</t>
    </r>
    <r>
      <rPr>
        <rFont val="맑은 고딕"/>
        <color theme="1"/>
        <sz val="11.0"/>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</si>
  <si>
    <r>
      <rPr>
        <rFont val="Arial"/>
        <color rgb="FF000000"/>
        <sz val="11.0"/>
      </rPr>
      <t>가명정보</t>
    </r>
    <r>
      <rPr>
        <rFont val="MS Mincho"/>
        <color rgb="FF000000"/>
        <sz val="11.0"/>
      </rPr>
      <t> </t>
    </r>
    <r>
      <rPr>
        <rFont val="Arial"/>
        <color rgb="FF000000"/>
        <sz val="11.0"/>
      </rPr>
      <t>처리</t>
    </r>
    <r>
      <rPr>
        <rFont val="MS Mincho"/>
        <color rgb="FF000000"/>
        <sz val="11.0"/>
      </rPr>
      <t> </t>
    </r>
    <r>
      <rPr>
        <rFont val="Arial"/>
        <color rgb="FF000000"/>
        <sz val="11.0"/>
      </rPr>
      <t>시</t>
    </r>
    <r>
      <rPr>
        <rFont val="MS Mincho"/>
        <color rgb="FF000000"/>
        <sz val="11.0"/>
      </rPr>
      <t> </t>
    </r>
    <r>
      <rPr>
        <rFont val="Arial"/>
        <color rgb="FF000000"/>
        <sz val="11.0"/>
      </rPr>
      <t>개인정보</t>
    </r>
    <r>
      <rPr>
        <rFont val="MS Mincho"/>
        <color rgb="FF000000"/>
        <sz val="11.0"/>
      </rPr>
      <t> </t>
    </r>
    <r>
      <rPr>
        <rFont val="Arial"/>
        <color rgb="FF000000"/>
        <sz val="11.0"/>
      </rPr>
      <t>주체의</t>
    </r>
    <r>
      <rPr>
        <rFont val="MS Mincho"/>
        <color rgb="FF000000"/>
        <sz val="11.0"/>
      </rPr>
      <t> </t>
    </r>
    <r>
      <rPr>
        <rFont val="Arial"/>
        <color rgb="FF000000"/>
        <sz val="11.0"/>
      </rPr>
      <t>동의가</t>
    </r>
    <r>
      <rPr>
        <rFont val="MS Mincho"/>
        <color rgb="FF000000"/>
        <sz val="11.0"/>
      </rPr>
      <t> </t>
    </r>
    <r>
      <rPr>
        <rFont val="Arial"/>
        <color rgb="FF000000"/>
        <sz val="11.0"/>
      </rPr>
      <t>반드시</t>
    </r>
    <r>
      <rPr>
        <rFont val="MS Mincho"/>
        <color rgb="FF000000"/>
        <sz val="11.0"/>
      </rPr>
      <t> </t>
    </r>
    <r>
      <rPr>
        <rFont val="Arial"/>
        <color rgb="FF000000"/>
        <sz val="11.0"/>
      </rPr>
      <t>필요한가요</t>
    </r>
    <r>
      <rPr>
        <rFont val="MS Mincho"/>
        <color rgb="FF000000"/>
        <sz val="11.0"/>
      </rPr>
      <t>?</t>
    </r>
  </si>
  <si>
    <t>개인정보를 가명정보로 처리할 때, 관련 법령과 내부 지침에 따라 개인정보 주체의 동의가 반드시 필요한지, 필요하지 않은 경우 적용되는 조건과 절차는 무엇인가요?</t>
  </si>
  <si>
    <r>
      <rPr>
        <rFont val="맑은 고딕"/>
        <color theme="1"/>
        <sz val="11.0"/>
      </rPr>
      <t>가명정보</t>
    </r>
    <r>
      <rPr>
        <rFont val="Calibri"/>
        <color theme="1"/>
        <sz val="11.0"/>
      </rPr>
      <t xml:space="preserve"> </t>
    </r>
    <r>
      <rPr>
        <rFont val="맑은 고딕"/>
        <color theme="1"/>
        <sz val="11.0"/>
      </rPr>
      <t>처리</t>
    </r>
    <r>
      <rPr>
        <rFont val="Calibri"/>
        <color theme="1"/>
        <sz val="11.0"/>
      </rPr>
      <t xml:space="preserve"> </t>
    </r>
    <r>
      <rPr>
        <rFont val="맑은 고딕"/>
        <color theme="1"/>
        <sz val="11.0"/>
      </rPr>
      <t>시</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주체의</t>
    </r>
    <r>
      <rPr>
        <rFont val="Calibri"/>
        <color theme="1"/>
        <sz val="11.0"/>
      </rPr>
      <t xml:space="preserve"> </t>
    </r>
    <r>
      <rPr>
        <rFont val="맑은 고딕"/>
        <color theme="1"/>
        <sz val="11.0"/>
      </rPr>
      <t>동의가</t>
    </r>
    <r>
      <rPr>
        <rFont val="Calibri"/>
        <color theme="1"/>
        <sz val="11.0"/>
      </rPr>
      <t xml:space="preserve"> </t>
    </r>
    <r>
      <rPr>
        <rFont val="맑은 고딕"/>
        <color theme="1"/>
        <sz val="11.0"/>
      </rPr>
      <t>반드시</t>
    </r>
    <r>
      <rPr>
        <rFont val="Calibri"/>
        <color theme="1"/>
        <sz val="11.0"/>
      </rPr>
      <t xml:space="preserve"> </t>
    </r>
    <r>
      <rPr>
        <rFont val="맑은 고딕"/>
        <color theme="1"/>
        <sz val="11.0"/>
      </rPr>
      <t>필요한</t>
    </r>
    <r>
      <rPr>
        <rFont val="Calibri"/>
        <color theme="1"/>
        <sz val="11.0"/>
      </rPr>
      <t xml:space="preserve"> </t>
    </r>
    <r>
      <rPr>
        <rFont val="맑은 고딕"/>
        <color theme="1"/>
        <sz val="11.0"/>
      </rPr>
      <t>조건은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목적이</t>
    </r>
    <r>
      <rPr>
        <rFont val="Calibri"/>
        <color theme="1"/>
        <sz val="11.0"/>
      </rPr>
      <t xml:space="preserve"> </t>
    </r>
    <r>
      <rPr>
        <rFont val="맑은 고딕"/>
        <color theme="1"/>
        <sz val="11.0"/>
      </rPr>
      <t>법에서</t>
    </r>
    <r>
      <rPr>
        <rFont val="Calibri"/>
        <color theme="1"/>
        <sz val="11.0"/>
      </rPr>
      <t xml:space="preserve"> </t>
    </r>
    <r>
      <rPr>
        <rFont val="맑은 고딕"/>
        <color theme="1"/>
        <sz val="11.0"/>
      </rPr>
      <t>허용하는</t>
    </r>
    <r>
      <rPr>
        <rFont val="Calibri"/>
        <color theme="1"/>
        <sz val="11.0"/>
      </rPr>
      <t xml:space="preserve"> </t>
    </r>
    <r>
      <rPr>
        <rFont val="맑은 고딕"/>
        <color theme="1"/>
        <sz val="11.0"/>
      </rPr>
      <t>목적</t>
    </r>
    <r>
      <rPr>
        <rFont val="Calibri"/>
        <color theme="1"/>
        <sz val="11.0"/>
      </rPr>
      <t xml:space="preserve"> </t>
    </r>
    <r>
      <rPr>
        <rFont val="맑은 고딕"/>
        <color theme="1"/>
        <sz val="11.0"/>
      </rPr>
      <t>범위에</t>
    </r>
    <r>
      <rPr>
        <rFont val="Calibri"/>
        <color theme="1"/>
        <sz val="11.0"/>
      </rPr>
      <t xml:space="preserve"> </t>
    </r>
    <r>
      <rPr>
        <rFont val="맑은 고딕"/>
        <color theme="1"/>
        <sz val="11.0"/>
      </rPr>
      <t>해당하는</t>
    </r>
    <r>
      <rPr>
        <rFont val="Calibri"/>
        <color theme="1"/>
        <sz val="11.0"/>
      </rPr>
      <t xml:space="preserve"> </t>
    </r>
    <r>
      <rPr>
        <rFont val="맑은 고딕"/>
        <color theme="1"/>
        <sz val="11.0"/>
      </rPr>
      <t>경우입니다</t>
    </r>
    <r>
      <rPr>
        <rFont val="Calibri"/>
        <color theme="1"/>
        <sz val="11.0"/>
      </rPr>
      <t>.</t>
    </r>
  </si>
  <si>
    <r>
      <rPr>
        <rFont val="맑은 고딕"/>
        <color theme="1"/>
        <sz val="11.0"/>
      </rPr>
      <t>기대답변
원칙적으로</t>
    </r>
    <r>
      <rPr>
        <rFont val="MS Mincho"/>
        <color theme="1"/>
        <sz val="11.0"/>
      </rPr>
      <t> </t>
    </r>
    <r>
      <rPr>
        <rFont val="맑은 고딕"/>
        <color theme="1"/>
        <sz val="11.0"/>
      </rPr>
      <t>개인정보의</t>
    </r>
    <r>
      <rPr>
        <rFont val="MS Mincho"/>
        <color theme="1"/>
        <sz val="11.0"/>
      </rPr>
      <t> </t>
    </r>
    <r>
      <rPr>
        <rFont val="맑은 고딕"/>
        <color theme="1"/>
        <sz val="11.0"/>
      </rPr>
      <t>수집과</t>
    </r>
    <r>
      <rPr>
        <rFont val="MS Mincho"/>
        <color theme="1"/>
        <sz val="11.0"/>
      </rPr>
      <t> </t>
    </r>
    <r>
      <rPr>
        <rFont val="맑은 고딕"/>
        <color theme="1"/>
        <sz val="11.0"/>
      </rPr>
      <t>활용은</t>
    </r>
    <r>
      <rPr>
        <rFont val="MS Mincho"/>
        <color theme="1"/>
        <sz val="11.0"/>
      </rPr>
      <t> </t>
    </r>
    <r>
      <rPr>
        <rFont val="맑은 고딕"/>
        <color theme="1"/>
        <sz val="11.0"/>
      </rPr>
      <t>정보</t>
    </r>
    <r>
      <rPr>
        <rFont val="MS Mincho"/>
        <color theme="1"/>
        <sz val="11.0"/>
      </rPr>
      <t> </t>
    </r>
    <r>
      <rPr>
        <rFont val="맑은 고딕"/>
        <color theme="1"/>
        <sz val="11.0"/>
      </rPr>
      <t>주체의</t>
    </r>
    <r>
      <rPr>
        <rFont val="MS Mincho"/>
        <color theme="1"/>
        <sz val="11.0"/>
      </rPr>
      <t> </t>
    </r>
    <r>
      <rPr>
        <rFont val="맑은 고딕"/>
        <color theme="1"/>
        <sz val="11.0"/>
      </rPr>
      <t>동의를</t>
    </r>
    <r>
      <rPr>
        <rFont val="MS Mincho"/>
        <color theme="1"/>
        <sz val="11.0"/>
      </rPr>
      <t> </t>
    </r>
    <r>
      <rPr>
        <rFont val="맑은 고딕"/>
        <color theme="1"/>
        <sz val="11.0"/>
      </rPr>
      <t>받아야</t>
    </r>
    <r>
      <rPr>
        <rFont val="MS Mincho"/>
        <color theme="1"/>
        <sz val="11.0"/>
      </rPr>
      <t> </t>
    </r>
    <r>
      <rPr>
        <rFont val="맑은 고딕"/>
        <color theme="1"/>
        <sz val="11.0"/>
      </rPr>
      <t>하지만</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가명처리를</t>
    </r>
    <r>
      <rPr>
        <rFont val="MS Mincho"/>
        <color theme="1"/>
        <sz val="11.0"/>
      </rPr>
      <t> </t>
    </r>
    <r>
      <rPr>
        <rFont val="맑은 고딕"/>
        <color theme="1"/>
        <sz val="11.0"/>
      </rPr>
      <t>하는</t>
    </r>
    <r>
      <rPr>
        <rFont val="MS Mincho"/>
        <color theme="1"/>
        <sz val="11.0"/>
      </rPr>
      <t> </t>
    </r>
    <r>
      <rPr>
        <rFont val="맑은 고딕"/>
        <color theme="1"/>
        <sz val="11.0"/>
      </rPr>
      <t>경우에는</t>
    </r>
    <r>
      <rPr>
        <rFont val="MS Mincho"/>
        <color theme="1"/>
        <sz val="11.0"/>
      </rPr>
      <t> </t>
    </r>
    <r>
      <rPr>
        <rFont val="맑은 고딕"/>
        <color theme="1"/>
        <sz val="11.0"/>
      </rPr>
      <t>특정</t>
    </r>
    <r>
      <rPr>
        <rFont val="MS Mincho"/>
        <color theme="1"/>
        <sz val="11.0"/>
      </rPr>
      <t> </t>
    </r>
    <r>
      <rPr>
        <rFont val="맑은 고딕"/>
        <color theme="1"/>
        <sz val="11.0"/>
      </rPr>
      <t>목적</t>
    </r>
    <r>
      <rPr>
        <rFont val="MS Mincho"/>
        <color theme="1"/>
        <sz val="11.0"/>
      </rPr>
      <t>(</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t>
    </r>
    <r>
      <rPr>
        <rFont val="MS Mincho"/>
        <color theme="1"/>
        <sz val="11.0"/>
      </rPr>
      <t>)</t>
    </r>
    <r>
      <rPr>
        <rFont val="맑은 고딕"/>
        <color theme="1"/>
        <sz val="11.0"/>
      </rPr>
      <t>을</t>
    </r>
    <r>
      <rPr>
        <rFont val="MS Mincho"/>
        <color theme="1"/>
        <sz val="11.0"/>
      </rPr>
      <t> </t>
    </r>
    <r>
      <rPr>
        <rFont val="맑은 고딕"/>
        <color theme="1"/>
        <sz val="11.0"/>
      </rPr>
      <t>위해</t>
    </r>
    <r>
      <rPr>
        <rFont val="MS Mincho"/>
        <color theme="1"/>
        <sz val="11.0"/>
      </rPr>
      <t> </t>
    </r>
    <r>
      <rPr>
        <rFont val="맑은 고딕"/>
        <color theme="1"/>
        <sz val="11.0"/>
      </rPr>
      <t>개인정보</t>
    </r>
    <r>
      <rPr>
        <rFont val="MS Mincho"/>
        <color theme="1"/>
        <sz val="11.0"/>
      </rPr>
      <t> </t>
    </r>
    <r>
      <rPr>
        <rFont val="맑은 고딕"/>
        <color theme="1"/>
        <sz val="11.0"/>
      </rPr>
      <t>주체의</t>
    </r>
    <r>
      <rPr>
        <rFont val="MS Mincho"/>
        <color theme="1"/>
        <sz val="11.0"/>
      </rPr>
      <t> </t>
    </r>
    <r>
      <rPr>
        <rFont val="맑은 고딕"/>
        <color theme="1"/>
        <sz val="11.0"/>
      </rPr>
      <t>별도</t>
    </r>
    <r>
      <rPr>
        <rFont val="MS Mincho"/>
        <color theme="1"/>
        <sz val="11.0"/>
      </rPr>
      <t> </t>
    </r>
    <r>
      <rPr>
        <rFont val="맑은 고딕"/>
        <color theme="1"/>
        <sz val="11.0"/>
      </rPr>
      <t>동의</t>
    </r>
    <r>
      <rPr>
        <rFont val="MS Mincho"/>
        <color theme="1"/>
        <sz val="11.0"/>
      </rPr>
      <t> </t>
    </r>
    <r>
      <rPr>
        <rFont val="맑은 고딕"/>
        <color theme="1"/>
        <sz val="11.0"/>
      </rPr>
      <t>없이</t>
    </r>
    <r>
      <rPr>
        <rFont val="MS Mincho"/>
        <color theme="1"/>
        <sz val="11.0"/>
      </rPr>
      <t> </t>
    </r>
    <r>
      <rPr>
        <rFont val="맑은 고딕"/>
        <color theme="1"/>
        <sz val="11.0"/>
      </rPr>
      <t>가능합니다</t>
    </r>
    <r>
      <rPr>
        <rFont val="MS Mincho"/>
        <color theme="1"/>
        <sz val="11.0"/>
      </rPr>
      <t>. </t>
    </r>
    <r>
      <rPr>
        <rFont val="맑은 고딕"/>
        <color theme="1"/>
        <sz val="11.0"/>
      </rPr>
      <t>다만</t>
    </r>
    <r>
      <rPr>
        <rFont val="MS Mincho"/>
        <color theme="1"/>
        <sz val="11.0"/>
      </rPr>
      <t>, </t>
    </r>
    <r>
      <rPr>
        <rFont val="맑은 고딕"/>
        <color theme="1"/>
        <sz val="11.0"/>
      </rPr>
      <t>가명처리를</t>
    </r>
    <r>
      <rPr>
        <rFont val="MS Mincho"/>
        <color theme="1"/>
        <sz val="11.0"/>
      </rPr>
      <t> </t>
    </r>
    <r>
      <rPr>
        <rFont val="맑은 고딕"/>
        <color theme="1"/>
        <sz val="11.0"/>
      </rPr>
      <t>진행할</t>
    </r>
    <r>
      <rPr>
        <rFont val="MS Mincho"/>
        <color theme="1"/>
        <sz val="11.0"/>
      </rPr>
      <t> </t>
    </r>
    <r>
      <rPr>
        <rFont val="맑은 고딕"/>
        <color theme="1"/>
        <sz val="11.0"/>
      </rPr>
      <t>때는</t>
    </r>
    <r>
      <rPr>
        <rFont val="MS Mincho"/>
        <color theme="1"/>
        <sz val="11.0"/>
      </rPr>
      <t> </t>
    </r>
    <r>
      <rPr>
        <rFont val="맑은 고딕"/>
        <color theme="1"/>
        <sz val="11.0"/>
      </rPr>
      <t>개인정보</t>
    </r>
    <r>
      <rPr>
        <rFont val="MS Mincho"/>
        <color theme="1"/>
        <sz val="11.0"/>
      </rPr>
      <t> </t>
    </r>
    <r>
      <rPr>
        <rFont val="맑은 고딕"/>
        <color theme="1"/>
        <sz val="11.0"/>
      </rPr>
      <t>처리</t>
    </r>
    <r>
      <rPr>
        <rFont val="MS Mincho"/>
        <color theme="1"/>
        <sz val="11.0"/>
      </rPr>
      <t> </t>
    </r>
    <r>
      <rPr>
        <rFont val="맑은 고딕"/>
        <color theme="1"/>
        <sz val="11.0"/>
      </rPr>
      <t>과정이</t>
    </r>
    <r>
      <rPr>
        <rFont val="MS Mincho"/>
        <color theme="1"/>
        <sz val="11.0"/>
      </rPr>
      <t> </t>
    </r>
    <r>
      <rPr>
        <rFont val="맑은 고딕"/>
        <color theme="1"/>
        <sz val="11.0"/>
      </rPr>
      <t>명확하고</t>
    </r>
    <r>
      <rPr>
        <rFont val="MS Mincho"/>
        <color theme="1"/>
        <sz val="11.0"/>
      </rPr>
      <t> </t>
    </r>
    <r>
      <rPr>
        <rFont val="맑은 고딕"/>
        <color theme="1"/>
        <sz val="11.0"/>
      </rPr>
      <t>합법적인</t>
    </r>
    <r>
      <rPr>
        <rFont val="MS Mincho"/>
        <color theme="1"/>
        <sz val="11.0"/>
      </rPr>
      <t> </t>
    </r>
    <r>
      <rPr>
        <rFont val="맑은 고딕"/>
        <color theme="1"/>
        <sz val="11.0"/>
      </rPr>
      <t>목적에</t>
    </r>
    <r>
      <rPr>
        <rFont val="MS Mincho"/>
        <color theme="1"/>
        <sz val="11.0"/>
      </rPr>
      <t> </t>
    </r>
    <r>
      <rPr>
        <rFont val="맑은 고딕"/>
        <color theme="1"/>
        <sz val="11.0"/>
      </rPr>
      <t>부합하는지</t>
    </r>
    <r>
      <rPr>
        <rFont val="MS Mincho"/>
        <color theme="1"/>
        <sz val="11.0"/>
      </rPr>
      <t>, </t>
    </r>
    <r>
      <rPr>
        <rFont val="맑은 고딕"/>
        <color theme="1"/>
        <sz val="11.0"/>
      </rPr>
      <t>또한</t>
    </r>
    <r>
      <rPr>
        <rFont val="MS Mincho"/>
        <color theme="1"/>
        <sz val="11.0"/>
      </rPr>
      <t> </t>
    </r>
    <r>
      <rPr>
        <rFont val="맑은 고딕"/>
        <color theme="1"/>
        <sz val="11.0"/>
      </rPr>
      <t>안전성</t>
    </r>
    <r>
      <rPr>
        <rFont val="MS Mincho"/>
        <color theme="1"/>
        <sz val="11.0"/>
      </rPr>
      <t> </t>
    </r>
    <r>
      <rPr>
        <rFont val="맑은 고딕"/>
        <color theme="1"/>
        <sz val="11.0"/>
      </rPr>
      <t>확보를</t>
    </r>
    <r>
      <rPr>
        <rFont val="MS Mincho"/>
        <color theme="1"/>
        <sz val="11.0"/>
      </rPr>
      <t> </t>
    </r>
    <r>
      <rPr>
        <rFont val="맑은 고딕"/>
        <color theme="1"/>
        <sz val="11.0"/>
      </rPr>
      <t>위한</t>
    </r>
    <r>
      <rPr>
        <rFont val="MS Mincho"/>
        <color theme="1"/>
        <sz val="11.0"/>
      </rPr>
      <t> </t>
    </r>
    <r>
      <rPr>
        <rFont val="맑은 고딕"/>
        <color theme="1"/>
        <sz val="11.0"/>
      </rPr>
      <t>기술적</t>
    </r>
    <r>
      <rPr>
        <rFont val="MS Mincho"/>
        <color theme="1"/>
        <sz val="11.0"/>
      </rPr>
      <t>, </t>
    </r>
    <r>
      <rPr>
        <rFont val="맑은 고딕"/>
        <color theme="1"/>
        <sz val="11.0"/>
      </rPr>
      <t>관리적</t>
    </r>
    <r>
      <rPr>
        <rFont val="MS Mincho"/>
        <color theme="1"/>
        <sz val="11.0"/>
      </rPr>
      <t> </t>
    </r>
    <r>
      <rPr>
        <rFont val="맑은 고딕"/>
        <color theme="1"/>
        <sz val="11.0"/>
      </rPr>
      <t>조치가</t>
    </r>
    <r>
      <rPr>
        <rFont val="MS Mincho"/>
        <color theme="1"/>
        <sz val="11.0"/>
      </rPr>
      <t> </t>
    </r>
    <r>
      <rPr>
        <rFont val="맑은 고딕"/>
        <color theme="1"/>
        <sz val="11.0"/>
      </rPr>
      <t>충분히</t>
    </r>
    <r>
      <rPr>
        <rFont val="MS Mincho"/>
        <color theme="1"/>
        <sz val="11.0"/>
      </rPr>
      <t> </t>
    </r>
    <r>
      <rPr>
        <rFont val="맑은 고딕"/>
        <color theme="1"/>
        <sz val="11.0"/>
      </rPr>
      <t>마련되었는지</t>
    </r>
    <r>
      <rPr>
        <rFont val="MS Mincho"/>
        <color theme="1"/>
        <sz val="11.0"/>
      </rPr>
      <t> </t>
    </r>
    <r>
      <rPr>
        <rFont val="맑은 고딕"/>
        <color theme="1"/>
        <sz val="11.0"/>
      </rPr>
      <t>등의</t>
    </r>
    <r>
      <rPr>
        <rFont val="MS Mincho"/>
        <color theme="1"/>
        <sz val="11.0"/>
      </rPr>
      <t> </t>
    </r>
    <r>
      <rPr>
        <rFont val="맑은 고딕"/>
        <color theme="1"/>
        <sz val="11.0"/>
      </rPr>
      <t>조건을</t>
    </r>
    <r>
      <rPr>
        <rFont val="MS Mincho"/>
        <color theme="1"/>
        <sz val="11.0"/>
      </rPr>
      <t> </t>
    </r>
    <r>
      <rPr>
        <rFont val="맑은 고딕"/>
        <color theme="1"/>
        <sz val="11.0"/>
      </rPr>
      <t>충족해야</t>
    </r>
    <r>
      <rPr>
        <rFont val="MS Mincho"/>
        <color theme="1"/>
        <sz val="11.0"/>
      </rPr>
      <t> </t>
    </r>
    <r>
      <rPr>
        <rFont val="맑은 고딕"/>
        <color theme="1"/>
        <sz val="11.0"/>
      </rPr>
      <t>합니다</t>
    </r>
    <r>
      <rPr>
        <rFont val="MS Mincho"/>
        <color theme="1"/>
        <sz val="11.0"/>
      </rPr>
      <t xml:space="preserve">.
</t>
    </r>
    <r>
      <rPr>
        <rFont val="MS Mincho"/>
        <color theme="1"/>
        <sz val="11.0"/>
      </rPr>
      <t xml:space="preserve">
</t>
    </r>
    <r>
      <rPr>
        <rFont val="맑은 고딕"/>
        <color theme="1"/>
        <sz val="11.0"/>
      </rPr>
      <t>링크 : 가명정보</t>
    </r>
    <r>
      <rPr>
        <rFont val="MS Mincho"/>
        <color theme="1"/>
        <sz val="11.0"/>
      </rPr>
      <t> </t>
    </r>
    <r>
      <rPr>
        <rFont val="맑은 고딕"/>
        <color theme="1"/>
        <sz val="11.0"/>
      </rPr>
      <t>처리</t>
    </r>
    <r>
      <rPr>
        <rFont val="MS Mincho"/>
        <color theme="1"/>
        <sz val="11.0"/>
      </rPr>
      <t> </t>
    </r>
    <r>
      <rPr>
        <rFont val="맑은 고딕"/>
        <color theme="1"/>
        <sz val="11.0"/>
      </rPr>
      <t>가이드라인</t>
    </r>
    <r>
      <rPr>
        <rFont val="MS Mincho"/>
        <color theme="1"/>
        <sz val="11.0"/>
      </rPr>
      <t>(2024.2)</t>
    </r>
  </si>
  <si>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</si>
  <si>
    <r>
      <rPr>
        <rFont val="맑은 고딕"/>
        <b/>
        <color theme="1"/>
        <sz val="11.0"/>
      </rPr>
      <t>150_2402_빅데이터과_기타_개인정보보호위원회_가명정보_처리_가이드라인.pdf[11]</t>
    </r>
    <r>
      <rPr>
        <rFont val="맑은 고딕"/>
        <color theme="1"/>
        <sz val="11.0"/>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rFont val="맑은 고딕"/>
        <color rgb="FFFF0000"/>
        <sz val="11.0"/>
      </rPr>
      <t xml:space="preserve"> 개 인정보처리자는 통계작성, 과학적 연구, 공익적 기록보존 등을 위하여 정보주체의 동의 없 가명정보를 이용, 제공, 결합 등 처리 할 수 있음</t>
    </r>
    <r>
      <rPr>
        <rFont val="맑은 고딕"/>
        <color theme="1"/>
        <sz val="11.0"/>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</si>
  <si>
    <r>
      <rPr>
        <rFont val="맑은 고딕"/>
        <b/>
        <color theme="1"/>
        <sz val="11.0"/>
      </rPr>
      <t>150_2402_빅데이터과_기타_개인정보보호위원회_가명정보_처리_가이드라인.pdf[39]</t>
    </r>
    <r>
      <rPr>
        <rFont val="맑은 고딕"/>
        <color theme="1"/>
        <sz val="11.0"/>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</si>
  <si>
    <r>
      <rPr>
        <rFont val="맑은 고딕"/>
        <b/>
        <color theme="1"/>
        <sz val="11.0"/>
      </rPr>
      <t>150_2402_빅데이터과_기타_개인정보보호위원회_가명정보_처리_가이드라인.pdf[239]</t>
    </r>
    <r>
      <rPr>
        <rFont val="맑은 고딕"/>
        <color theme="1"/>
        <sz val="11.0"/>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rFont val="맑은 고딕"/>
        <color rgb="FFFF0000"/>
        <sz val="11.0"/>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rFont val="맑은 고딕"/>
        <color theme="1"/>
        <sz val="11.0"/>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</si>
  <si>
    <r>
      <rPr>
        <rFont val="맑은 고딕"/>
        <color rgb="FF000000"/>
        <sz val="11.0"/>
      </rPr>
      <t>가명정보를</t>
    </r>
    <r>
      <rPr>
        <rFont val="MS Mincho"/>
        <color rgb="FF000000"/>
        <sz val="11.0"/>
      </rPr>
      <t> </t>
    </r>
    <r>
      <rPr>
        <rFont val="맑은 고딕"/>
        <color rgb="FF000000"/>
        <sz val="11.0"/>
      </rPr>
      <t>제</t>
    </r>
    <r>
      <rPr>
        <rFont val="MS Mincho"/>
        <color rgb="FF000000"/>
        <sz val="11.0"/>
      </rPr>
      <t>3</t>
    </r>
    <r>
      <rPr>
        <rFont val="맑은 고딕"/>
        <color rgb="FF000000"/>
        <sz val="11.0"/>
      </rPr>
      <t>자에게</t>
    </r>
    <r>
      <rPr>
        <rFont val="MS Mincho"/>
        <color rgb="FF000000"/>
        <sz val="11.0"/>
      </rPr>
      <t> </t>
    </r>
    <r>
      <rPr>
        <rFont val="맑은 고딕"/>
        <color rgb="FF000000"/>
        <sz val="11.0"/>
      </rPr>
      <t>제공할</t>
    </r>
    <r>
      <rPr>
        <rFont val="MS Mincho"/>
        <color rgb="FF000000"/>
        <sz val="11.0"/>
      </rPr>
      <t> </t>
    </r>
    <r>
      <rPr>
        <rFont val="맑은 고딕"/>
        <color rgb="FF000000"/>
        <sz val="11.0"/>
      </rPr>
      <t>때</t>
    </r>
    <r>
      <rPr>
        <rFont val="MS Mincho"/>
        <color rgb="FF000000"/>
        <sz val="11.0"/>
      </rPr>
      <t> </t>
    </r>
    <r>
      <rPr>
        <rFont val="맑은 고딕"/>
        <color rgb="FF000000"/>
        <sz val="11.0"/>
      </rPr>
      <t>특별한</t>
    </r>
    <r>
      <rPr>
        <rFont val="MS Mincho"/>
        <color rgb="FF000000"/>
        <sz val="11.0"/>
      </rPr>
      <t> </t>
    </r>
    <r>
      <rPr>
        <rFont val="맑은 고딕"/>
        <color rgb="FF000000"/>
        <sz val="11.0"/>
      </rPr>
      <t>조치가</t>
    </r>
    <r>
      <rPr>
        <rFont val="MS Mincho"/>
        <color rgb="FF000000"/>
        <sz val="11.0"/>
      </rPr>
      <t> </t>
    </r>
    <r>
      <rPr>
        <rFont val="맑은 고딕"/>
        <color rgb="FF000000"/>
        <sz val="11.0"/>
      </rPr>
      <t>필요한가요</t>
    </r>
    <r>
      <rPr>
        <rFont val="MS Mincho"/>
        <color rgb="FF000000"/>
        <sz val="11.0"/>
      </rPr>
      <t>?</t>
    </r>
  </si>
  <si>
    <t>개인정보를 가명정보로 처리한 후 제3자에게 제공할 때, 관련 법령과 내부 지침에서 요구하는 안전조치, 계약 체결, 관리·감독 절차 등 특별한 조치는 무엇인가요?</t>
  </si>
  <si>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관리</t>
    </r>
    <r>
      <rPr>
        <rFont val="Calibri"/>
        <color theme="1"/>
        <sz val="11.0"/>
      </rPr>
      <t>·</t>
    </r>
    <r>
      <rPr>
        <rFont val="맑은 고딕"/>
        <color theme="1"/>
        <sz val="11.0"/>
      </rPr>
      <t>감독</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등의</t>
    </r>
    <r>
      <rPr>
        <rFont val="Calibri"/>
        <color theme="1"/>
        <sz val="11.0"/>
      </rPr>
      <t xml:space="preserve"> </t>
    </r>
    <r>
      <rPr>
        <rFont val="맑은 고딕"/>
        <color theme="1"/>
        <sz val="11.0"/>
      </rPr>
      <t>조치가</t>
    </r>
    <r>
      <rPr>
        <rFont val="Calibri"/>
        <color theme="1"/>
        <sz val="11.0"/>
      </rPr>
      <t xml:space="preserve"> </t>
    </r>
    <r>
      <rPr>
        <rFont val="맑은 고딕"/>
        <color theme="1"/>
        <sz val="11.0"/>
      </rPr>
      <t>필요합니다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처리하거나</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법</t>
    </r>
    <r>
      <rPr>
        <rFont val="Calibri"/>
        <color theme="1"/>
        <sz val="11.0"/>
      </rPr>
      <t xml:space="preserve"> </t>
    </r>
    <r>
      <rPr>
        <rFont val="맑은 고딕"/>
        <color theme="1"/>
        <sz val="11.0"/>
      </rPr>
      <t>시행령</t>
    </r>
    <r>
      <rPr>
        <rFont val="Calibri"/>
        <color theme="1"/>
        <sz val="11.0"/>
      </rPr>
      <t xml:space="preserve"> </t>
    </r>
    <r>
      <rPr>
        <rFont val="맑은 고딕"/>
        <color theme="1"/>
        <sz val="11.0"/>
      </rPr>
      <t>제</t>
    </r>
    <r>
      <rPr>
        <rFont val="Calibri"/>
        <color theme="1"/>
        <sz val="11.0"/>
      </rPr>
      <t>30</t>
    </r>
    <r>
      <rPr>
        <rFont val="맑은 고딕"/>
        <color theme="1"/>
        <sz val="11.0"/>
      </rPr>
      <t>조에</t>
    </r>
    <r>
      <rPr>
        <rFont val="Calibri"/>
        <color theme="1"/>
        <sz val="11.0"/>
      </rPr>
      <t xml:space="preserve"> </t>
    </r>
    <r>
      <rPr>
        <rFont val="맑은 고딕"/>
        <color theme="1"/>
        <sz val="11.0"/>
      </rPr>
      <t>따른</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조치를</t>
    </r>
    <r>
      <rPr>
        <rFont val="Calibri"/>
        <color theme="1"/>
        <sz val="11.0"/>
      </rPr>
      <t xml:space="preserve"> </t>
    </r>
    <r>
      <rPr>
        <rFont val="맑은 고딕"/>
        <color theme="1"/>
        <sz val="11.0"/>
      </rPr>
      <t>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특정</t>
    </r>
    <r>
      <rPr>
        <rFont val="Calibri"/>
        <color theme="1"/>
        <sz val="11.0"/>
      </rPr>
      <t xml:space="preserve"> </t>
    </r>
    <r>
      <rPr>
        <rFont val="맑은 고딕"/>
        <color theme="1"/>
        <sz val="11.0"/>
      </rPr>
      <t>개인을</t>
    </r>
    <r>
      <rPr>
        <rFont val="Calibri"/>
        <color theme="1"/>
        <sz val="11.0"/>
      </rPr>
      <t xml:space="preserve"> </t>
    </r>
    <r>
      <rPr>
        <rFont val="맑은 고딕"/>
        <color theme="1"/>
        <sz val="11.0"/>
      </rPr>
      <t>알아볼</t>
    </r>
    <r>
      <rPr>
        <rFont val="Calibri"/>
        <color theme="1"/>
        <sz val="11.0"/>
      </rPr>
      <t xml:space="preserve"> </t>
    </r>
    <r>
      <rPr>
        <rFont val="맑은 고딕"/>
        <color theme="1"/>
        <sz val="11.0"/>
      </rPr>
      <t>수</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포함해서는</t>
    </r>
    <r>
      <rPr>
        <rFont val="Calibri"/>
        <color theme="1"/>
        <sz val="11.0"/>
      </rPr>
      <t xml:space="preserve"> </t>
    </r>
    <r>
      <rPr>
        <rFont val="맑은 고딕"/>
        <color theme="1"/>
        <sz val="11.0"/>
      </rPr>
      <t>안</t>
    </r>
    <r>
      <rPr>
        <rFont val="Calibri"/>
        <color theme="1"/>
        <sz val="11.0"/>
      </rPr>
      <t xml:space="preserve"> </t>
    </r>
    <r>
      <rPr>
        <rFont val="맑은 고딕"/>
        <color theme="1"/>
        <sz val="11.0"/>
      </rPr>
      <t>됩니다</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필요에</t>
    </r>
    <r>
      <rPr>
        <rFont val="Calibri"/>
        <color theme="1"/>
        <sz val="11.0"/>
      </rPr>
      <t xml:space="preserve"> </t>
    </r>
    <r>
      <rPr>
        <rFont val="맑은 고딕"/>
        <color theme="1"/>
        <sz val="11.0"/>
      </rPr>
      <t>따라</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처리</t>
    </r>
    <r>
      <rPr>
        <rFont val="Calibri"/>
        <color theme="1"/>
        <sz val="11.0"/>
      </rPr>
      <t xml:space="preserve"> </t>
    </r>
    <r>
      <rPr>
        <rFont val="맑은 고딕"/>
        <color theme="1"/>
        <sz val="11.0"/>
      </rPr>
      <t>기록</t>
    </r>
    <r>
      <rPr>
        <rFont val="Calibri"/>
        <color theme="1"/>
        <sz val="11.0"/>
      </rPr>
      <t xml:space="preserve"> </t>
    </r>
    <r>
      <rPr>
        <rFont val="맑은 고딕"/>
        <color theme="1"/>
        <sz val="11.0"/>
      </rPr>
      <t>작성</t>
    </r>
    <r>
      <rPr>
        <rFont val="Calibri"/>
        <color theme="1"/>
        <sz val="11.0"/>
      </rPr>
      <t xml:space="preserve"> </t>
    </r>
    <r>
      <rPr>
        <rFont val="맑은 고딕"/>
        <color theme="1"/>
        <sz val="11.0"/>
      </rPr>
      <t>및</t>
    </r>
    <r>
      <rPr>
        <rFont val="Calibri"/>
        <color theme="1"/>
        <sz val="11.0"/>
      </rPr>
      <t xml:space="preserve"> </t>
    </r>
    <r>
      <rPr>
        <rFont val="맑은 고딕"/>
        <color theme="1"/>
        <sz val="11.0"/>
      </rPr>
      <t>보관</t>
    </r>
    <r>
      <rPr>
        <rFont val="Calibri"/>
        <color theme="1"/>
        <sz val="11.0"/>
      </rPr>
      <t xml:space="preserve">, </t>
    </r>
    <r>
      <rPr>
        <rFont val="맑은 고딕"/>
        <color theme="1"/>
        <sz val="11.0"/>
      </rPr>
      <t>파기</t>
    </r>
    <r>
      <rPr>
        <rFont val="Calibri"/>
        <color theme="1"/>
        <sz val="11.0"/>
      </rPr>
      <t xml:space="preserve">, </t>
    </r>
    <r>
      <rPr>
        <rFont val="맑은 고딕"/>
        <color theme="1"/>
        <sz val="11.0"/>
      </rPr>
      <t>재식별</t>
    </r>
    <r>
      <rPr>
        <rFont val="Calibri"/>
        <color theme="1"/>
        <sz val="11.0"/>
      </rPr>
      <t xml:space="preserve"> </t>
    </r>
    <r>
      <rPr>
        <rFont val="맑은 고딕"/>
        <color theme="1"/>
        <sz val="11.0"/>
      </rPr>
      <t>시</t>
    </r>
    <r>
      <rPr>
        <rFont val="Calibri"/>
        <color theme="1"/>
        <sz val="11.0"/>
      </rPr>
      <t xml:space="preserve"> </t>
    </r>
    <r>
      <rPr>
        <rFont val="맑은 고딕"/>
        <color theme="1"/>
        <sz val="11.0"/>
      </rPr>
      <t>책임</t>
    </r>
    <r>
      <rPr>
        <rFont val="Calibri"/>
        <color theme="1"/>
        <sz val="11.0"/>
      </rPr>
      <t xml:space="preserve"> </t>
    </r>
    <r>
      <rPr>
        <rFont val="맑은 고딕"/>
        <color theme="1"/>
        <sz val="11.0"/>
      </rPr>
      <t>및</t>
    </r>
    <r>
      <rPr>
        <rFont val="Calibri"/>
        <color theme="1"/>
        <sz val="11.0"/>
      </rPr>
      <t xml:space="preserve"> </t>
    </r>
    <r>
      <rPr>
        <rFont val="맑은 고딕"/>
        <color theme="1"/>
        <sz val="11.0"/>
      </rPr>
      <t>손해배상</t>
    </r>
    <r>
      <rPr>
        <rFont val="Calibri"/>
        <color theme="1"/>
        <sz val="11.0"/>
      </rPr>
      <t xml:space="preserve"> </t>
    </r>
    <r>
      <rPr>
        <rFont val="맑은 고딕"/>
        <color theme="1"/>
        <sz val="11.0"/>
      </rPr>
      <t>등을</t>
    </r>
    <r>
      <rPr>
        <rFont val="Calibri"/>
        <color theme="1"/>
        <sz val="11.0"/>
      </rPr>
      <t xml:space="preserve"> </t>
    </r>
    <r>
      <rPr>
        <rFont val="맑은 고딕"/>
        <color theme="1"/>
        <sz val="11.0"/>
      </rPr>
      <t>포함한</t>
    </r>
    <r>
      <rPr>
        <rFont val="Calibri"/>
        <color theme="1"/>
        <sz val="11.0"/>
      </rPr>
      <t xml:space="preserve"> </t>
    </r>
    <r>
      <rPr>
        <rFont val="맑은 고딕"/>
        <color theme="1"/>
        <sz val="11.0"/>
      </rPr>
      <t>계약서를</t>
    </r>
    <r>
      <rPr>
        <rFont val="Calibri"/>
        <color theme="1"/>
        <sz val="11.0"/>
      </rPr>
      <t xml:space="preserve"> </t>
    </r>
    <r>
      <rPr>
        <rFont val="맑은 고딕"/>
        <color theme="1"/>
        <sz val="11.0"/>
      </rPr>
      <t>작성할</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처리를</t>
    </r>
    <r>
      <rPr>
        <rFont val="Calibri"/>
        <color theme="1"/>
        <sz val="11.0"/>
      </rPr>
      <t xml:space="preserve"> </t>
    </r>
    <r>
      <rPr>
        <rFont val="맑은 고딕"/>
        <color theme="1"/>
        <sz val="11.0"/>
      </rPr>
      <t>위탁하는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업무</t>
    </r>
    <r>
      <rPr>
        <rFont val="Calibri"/>
        <color theme="1"/>
        <sz val="11.0"/>
      </rPr>
      <t xml:space="preserve"> </t>
    </r>
    <r>
      <rPr>
        <rFont val="맑은 고딕"/>
        <color theme="1"/>
        <sz val="11.0"/>
      </rPr>
      <t>공개</t>
    </r>
    <r>
      <rPr>
        <rFont val="Calibri"/>
        <color theme="1"/>
        <sz val="11.0"/>
      </rPr>
      <t xml:space="preserve">, </t>
    </r>
    <r>
      <rPr>
        <rFont val="맑은 고딕"/>
        <color theme="1"/>
        <sz val="11.0"/>
      </rPr>
      <t>수탁사에</t>
    </r>
    <r>
      <rPr>
        <rFont val="Calibri"/>
        <color theme="1"/>
        <sz val="11.0"/>
      </rPr>
      <t xml:space="preserve"> </t>
    </r>
    <r>
      <rPr>
        <rFont val="맑은 고딕"/>
        <color theme="1"/>
        <sz val="11.0"/>
      </rPr>
      <t>대한</t>
    </r>
    <r>
      <rPr>
        <rFont val="Calibri"/>
        <color theme="1"/>
        <sz val="11.0"/>
      </rPr>
      <t xml:space="preserve"> </t>
    </r>
    <r>
      <rPr>
        <rFont val="맑은 고딕"/>
        <color theme="1"/>
        <sz val="11.0"/>
      </rPr>
      <t>관리</t>
    </r>
    <r>
      <rPr>
        <rFont val="Calibri"/>
        <color theme="1"/>
        <sz val="11.0"/>
      </rPr>
      <t>·</t>
    </r>
    <r>
      <rPr>
        <rFont val="맑은 고딕"/>
        <color theme="1"/>
        <sz val="11.0"/>
      </rPr>
      <t>감독에</t>
    </r>
    <r>
      <rPr>
        <rFont val="Calibri"/>
        <color theme="1"/>
        <sz val="11.0"/>
      </rPr>
      <t xml:space="preserve"> </t>
    </r>
    <r>
      <rPr>
        <rFont val="맑은 고딕"/>
        <color theme="1"/>
        <sz val="11.0"/>
      </rPr>
      <t>관한</t>
    </r>
    <r>
      <rPr>
        <rFont val="Calibri"/>
        <color theme="1"/>
        <sz val="11.0"/>
      </rPr>
      <t xml:space="preserve"> </t>
    </r>
    <r>
      <rPr>
        <rFont val="맑은 고딕"/>
        <color theme="1"/>
        <sz val="11.0"/>
      </rPr>
      <t>사항</t>
    </r>
    <r>
      <rPr>
        <rFont val="Calibri"/>
        <color theme="1"/>
        <sz val="11.0"/>
      </rPr>
      <t xml:space="preserve"> </t>
    </r>
    <r>
      <rPr>
        <rFont val="맑은 고딕"/>
        <color theme="1"/>
        <sz val="11.0"/>
      </rPr>
      <t>등을</t>
    </r>
    <r>
      <rPr>
        <rFont val="Calibri"/>
        <color theme="1"/>
        <sz val="11.0"/>
      </rPr>
      <t xml:space="preserve"> </t>
    </r>
    <r>
      <rPr>
        <rFont val="맑은 고딕"/>
        <color theme="1"/>
        <sz val="11.0"/>
      </rPr>
      <t>확인하여야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활용</t>
    </r>
    <r>
      <rPr>
        <rFont val="Calibri"/>
        <color theme="1"/>
        <sz val="11.0"/>
      </rPr>
      <t xml:space="preserve"> </t>
    </r>
    <r>
      <rPr>
        <rFont val="맑은 고딕"/>
        <color theme="1"/>
        <sz val="11.0"/>
      </rPr>
      <t>및</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등에</t>
    </r>
    <r>
      <rPr>
        <rFont val="Calibri"/>
        <color theme="1"/>
        <sz val="11.0"/>
      </rPr>
      <t xml:space="preserve"> </t>
    </r>
    <r>
      <rPr>
        <rFont val="맑은 고딕"/>
        <color theme="1"/>
        <sz val="11.0"/>
      </rPr>
      <t>대해</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절차를</t>
    </r>
    <r>
      <rPr>
        <rFont val="Calibri"/>
        <color theme="1"/>
        <sz val="11.0"/>
      </rPr>
      <t xml:space="preserve"> </t>
    </r>
    <r>
      <rPr>
        <rFont val="맑은 고딕"/>
        <color theme="1"/>
        <sz val="11.0"/>
      </rPr>
      <t>별도로</t>
    </r>
    <r>
      <rPr>
        <rFont val="Calibri"/>
        <color theme="1"/>
        <sz val="11.0"/>
      </rPr>
      <t xml:space="preserve"> </t>
    </r>
    <r>
      <rPr>
        <rFont val="맑은 고딕"/>
        <color theme="1"/>
        <sz val="11.0"/>
      </rPr>
      <t>두고</t>
    </r>
    <r>
      <rPr>
        <rFont val="Calibri"/>
        <color theme="1"/>
        <sz val="11.0"/>
      </rPr>
      <t xml:space="preserve"> </t>
    </r>
    <r>
      <rPr>
        <rFont val="맑은 고딕"/>
        <color theme="1"/>
        <sz val="11.0"/>
      </rPr>
      <t>있는</t>
    </r>
    <r>
      <rPr>
        <rFont val="Calibri"/>
        <color theme="1"/>
        <sz val="11.0"/>
      </rPr>
      <t xml:space="preserve"> </t>
    </r>
    <r>
      <rPr>
        <rFont val="맑은 고딕"/>
        <color theme="1"/>
        <sz val="11.0"/>
      </rPr>
      <t>경우</t>
    </r>
    <r>
      <rPr>
        <rFont val="Calibri"/>
        <color theme="1"/>
        <sz val="11.0"/>
      </rPr>
      <t xml:space="preserve">, </t>
    </r>
    <r>
      <rPr>
        <rFont val="맑은 고딕"/>
        <color theme="1"/>
        <sz val="11.0"/>
      </rPr>
      <t>해당</t>
    </r>
    <r>
      <rPr>
        <rFont val="Calibri"/>
        <color theme="1"/>
        <sz val="11.0"/>
      </rPr>
      <t xml:space="preserve"> </t>
    </r>
    <r>
      <rPr>
        <rFont val="맑은 고딕"/>
        <color theme="1"/>
        <sz val="11.0"/>
      </rPr>
      <t>절차를</t>
    </r>
    <r>
      <rPr>
        <rFont val="Calibri"/>
        <color theme="1"/>
        <sz val="11.0"/>
      </rPr>
      <t xml:space="preserve"> </t>
    </r>
    <r>
      <rPr>
        <rFont val="맑은 고딕"/>
        <color theme="1"/>
        <sz val="11.0"/>
      </rPr>
      <t>진행하여야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</si>
  <si>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가명정보를</t>
    </r>
    <r>
      <rPr>
        <rFont val="MS Mincho"/>
        <color theme="1"/>
        <sz val="11.0"/>
      </rPr>
      <t> </t>
    </r>
    <r>
      <rPr>
        <rFont val="맑은 고딕"/>
        <color theme="1"/>
        <sz val="11.0"/>
      </rPr>
      <t>제</t>
    </r>
    <r>
      <rPr>
        <rFont val="MS Mincho"/>
        <color theme="1"/>
        <sz val="11.0"/>
      </rPr>
      <t>3</t>
    </r>
    <r>
      <rPr>
        <rFont val="맑은 고딕"/>
        <color theme="1"/>
        <sz val="11.0"/>
      </rPr>
      <t>자에게</t>
    </r>
    <r>
      <rPr>
        <rFont val="MS Mincho"/>
        <color theme="1"/>
        <sz val="11.0"/>
      </rPr>
      <t> </t>
    </r>
    <r>
      <rPr>
        <rFont val="맑은 고딕"/>
        <color theme="1"/>
        <sz val="11.0"/>
      </rPr>
      <t>제공할</t>
    </r>
    <r>
      <rPr>
        <rFont val="MS Mincho"/>
        <color theme="1"/>
        <sz val="11.0"/>
      </rPr>
      <t> </t>
    </r>
    <r>
      <rPr>
        <rFont val="맑은 고딕"/>
        <color theme="1"/>
        <sz val="11.0"/>
      </rPr>
      <t>때는</t>
    </r>
    <r>
      <rPr>
        <rFont val="MS Mincho"/>
        <color theme="1"/>
        <sz val="11.0"/>
      </rPr>
      <t> </t>
    </r>
    <r>
      <rPr>
        <rFont val="맑은 고딕"/>
        <color theme="1"/>
        <sz val="11.0"/>
      </rPr>
      <t>추가적인</t>
    </r>
    <r>
      <rPr>
        <rFont val="MS Mincho"/>
        <color theme="1"/>
        <sz val="11.0"/>
      </rPr>
      <t> </t>
    </r>
    <r>
      <rPr>
        <rFont val="맑은 고딕"/>
        <color theme="1"/>
        <sz val="11.0"/>
      </rPr>
      <t>가명처리를</t>
    </r>
    <r>
      <rPr>
        <rFont val="MS Mincho"/>
        <color theme="1"/>
        <sz val="11.0"/>
      </rPr>
      <t> </t>
    </r>
    <r>
      <rPr>
        <rFont val="맑은 고딕"/>
        <color theme="1"/>
        <sz val="11.0"/>
      </rPr>
      <t>통해</t>
    </r>
    <r>
      <rPr>
        <rFont val="MS Mincho"/>
        <color theme="1"/>
        <sz val="11.0"/>
      </rPr>
      <t> </t>
    </r>
    <r>
      <rPr>
        <rFont val="맑은 고딕"/>
        <color theme="1"/>
        <sz val="11.0"/>
      </rPr>
      <t>데이터에서</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식별할</t>
    </r>
    <r>
      <rPr>
        <rFont val="MS Mincho"/>
        <color theme="1"/>
        <sz val="11.0"/>
      </rPr>
      <t> </t>
    </r>
    <r>
      <rPr>
        <rFont val="맑은 고딕"/>
        <color theme="1"/>
        <sz val="11.0"/>
      </rPr>
      <t>가능성을</t>
    </r>
    <r>
      <rPr>
        <rFont val="MS Mincho"/>
        <color theme="1"/>
        <sz val="11.0"/>
      </rPr>
      <t> </t>
    </r>
    <r>
      <rPr>
        <rFont val="맑은 고딕"/>
        <color theme="1"/>
        <sz val="11.0"/>
      </rPr>
      <t>최소화하는</t>
    </r>
    <r>
      <rPr>
        <rFont val="MS Mincho"/>
        <color theme="1"/>
        <sz val="11.0"/>
      </rPr>
      <t> </t>
    </r>
    <r>
      <rPr>
        <rFont val="맑은 고딕"/>
        <color theme="1"/>
        <sz val="11.0"/>
      </rPr>
      <t>절차가</t>
    </r>
    <r>
      <rPr>
        <rFont val="MS Mincho"/>
        <color theme="1"/>
        <sz val="11.0"/>
      </rPr>
      <t> </t>
    </r>
    <r>
      <rPr>
        <rFont val="맑은 고딕"/>
        <color theme="1"/>
        <sz val="11.0"/>
      </rPr>
      <t>반드시</t>
    </r>
    <r>
      <rPr>
        <rFont val="MS Mincho"/>
        <color theme="1"/>
        <sz val="11.0"/>
      </rPr>
      <t> </t>
    </r>
    <r>
      <rPr>
        <rFont val="맑은 고딕"/>
        <color theme="1"/>
        <sz val="11.0"/>
      </rPr>
      <t>이루어져야</t>
    </r>
    <r>
      <rPr>
        <rFont val="MS Mincho"/>
        <color theme="1"/>
        <sz val="11.0"/>
      </rPr>
      <t> </t>
    </r>
    <r>
      <rPr>
        <rFont val="맑은 고딕"/>
        <color theme="1"/>
        <sz val="11.0"/>
      </rPr>
      <t>합니다</t>
    </r>
    <r>
      <rPr>
        <rFont val="MS Mincho"/>
        <color theme="1"/>
        <sz val="11.0"/>
      </rPr>
      <t>. </t>
    </r>
    <r>
      <rPr>
        <rFont val="맑은 고딕"/>
        <color theme="1"/>
        <sz val="11.0"/>
      </rPr>
      <t>이와</t>
    </r>
    <r>
      <rPr>
        <rFont val="MS Mincho"/>
        <color theme="1"/>
        <sz val="11.0"/>
      </rPr>
      <t> </t>
    </r>
    <r>
      <rPr>
        <rFont val="맑은 고딕"/>
        <color theme="1"/>
        <sz val="11.0"/>
      </rPr>
      <t>함께</t>
    </r>
    <r>
      <rPr>
        <rFont val="MS Mincho"/>
        <color theme="1"/>
        <sz val="11.0"/>
      </rPr>
      <t> </t>
    </r>
    <r>
      <rPr>
        <rFont val="맑은 고딕"/>
        <color theme="1"/>
        <sz val="11.0"/>
      </rPr>
      <t>가명정보의</t>
    </r>
    <r>
      <rPr>
        <rFont val="MS Mincho"/>
        <color theme="1"/>
        <sz val="11.0"/>
      </rPr>
      <t> </t>
    </r>
    <r>
      <rPr>
        <rFont val="맑은 고딕"/>
        <color theme="1"/>
        <sz val="11.0"/>
      </rPr>
      <t>제공</t>
    </r>
    <r>
      <rPr>
        <rFont val="MS Mincho"/>
        <color theme="1"/>
        <sz val="11.0"/>
      </rPr>
      <t> </t>
    </r>
    <r>
      <rPr>
        <rFont val="맑은 고딕"/>
        <color theme="1"/>
        <sz val="11.0"/>
      </rPr>
      <t>목적</t>
    </r>
    <r>
      <rPr>
        <rFont val="MS Mincho"/>
        <color theme="1"/>
        <sz val="11.0"/>
      </rPr>
      <t>, </t>
    </r>
    <r>
      <rPr>
        <rFont val="맑은 고딕"/>
        <color theme="1"/>
        <sz val="11.0"/>
      </rPr>
      <t>제공받는</t>
    </r>
    <r>
      <rPr>
        <rFont val="MS Mincho"/>
        <color theme="1"/>
        <sz val="11.0"/>
      </rPr>
      <t> </t>
    </r>
    <r>
      <rPr>
        <rFont val="맑은 고딕"/>
        <color theme="1"/>
        <sz val="11.0"/>
      </rPr>
      <t>자의</t>
    </r>
    <r>
      <rPr>
        <rFont val="MS Mincho"/>
        <color theme="1"/>
        <sz val="11.0"/>
      </rPr>
      <t> </t>
    </r>
    <r>
      <rPr>
        <rFont val="맑은 고딕"/>
        <color theme="1"/>
        <sz val="11.0"/>
      </rPr>
      <t>안전</t>
    </r>
    <r>
      <rPr>
        <rFont val="MS Mincho"/>
        <color theme="1"/>
        <sz val="11.0"/>
      </rPr>
      <t> </t>
    </r>
    <r>
      <rPr>
        <rFont val="맑은 고딕"/>
        <color theme="1"/>
        <sz val="11.0"/>
      </rPr>
      <t>관리</t>
    </r>
    <r>
      <rPr>
        <rFont val="MS Mincho"/>
        <color theme="1"/>
        <sz val="11.0"/>
      </rPr>
      <t> </t>
    </r>
    <r>
      <rPr>
        <rFont val="맑은 고딕"/>
        <color theme="1"/>
        <sz val="11.0"/>
      </rPr>
      <t>능력</t>
    </r>
    <r>
      <rPr>
        <rFont val="MS Mincho"/>
        <color theme="1"/>
        <sz val="11.0"/>
      </rPr>
      <t> </t>
    </r>
    <r>
      <rPr>
        <rFont val="맑은 고딕"/>
        <color theme="1"/>
        <sz val="11.0"/>
      </rPr>
      <t>확인</t>
    </r>
    <r>
      <rPr>
        <rFont val="MS Mincho"/>
        <color theme="1"/>
        <sz val="11.0"/>
      </rPr>
      <t>, </t>
    </r>
    <r>
      <rPr>
        <rFont val="맑은 고딕"/>
        <color theme="1"/>
        <sz val="11.0"/>
      </rPr>
      <t>추가적인</t>
    </r>
    <r>
      <rPr>
        <rFont val="MS Mincho"/>
        <color theme="1"/>
        <sz val="11.0"/>
      </rPr>
      <t> </t>
    </r>
    <r>
      <rPr>
        <rFont val="맑은 고딕"/>
        <color theme="1"/>
        <sz val="11.0"/>
      </rPr>
      <t>안전성</t>
    </r>
    <r>
      <rPr>
        <rFont val="MS Mincho"/>
        <color theme="1"/>
        <sz val="11.0"/>
      </rPr>
      <t> </t>
    </r>
    <r>
      <rPr>
        <rFont val="맑은 고딕"/>
        <color theme="1"/>
        <sz val="11.0"/>
      </rPr>
      <t>확보</t>
    </r>
    <r>
      <rPr>
        <rFont val="MS Mincho"/>
        <color theme="1"/>
        <sz val="11.0"/>
      </rPr>
      <t> </t>
    </r>
    <r>
      <rPr>
        <rFont val="맑은 고딕"/>
        <color theme="1"/>
        <sz val="11.0"/>
      </rPr>
      <t>조치</t>
    </r>
    <r>
      <rPr>
        <rFont val="MS Mincho"/>
        <color theme="1"/>
        <sz val="11.0"/>
      </rPr>
      <t>(</t>
    </r>
    <r>
      <rPr>
        <rFont val="맑은 고딕"/>
        <color theme="1"/>
        <sz val="11.0"/>
      </rPr>
      <t>암호화</t>
    </r>
    <r>
      <rPr>
        <rFont val="MS Mincho"/>
        <color theme="1"/>
        <sz val="11.0"/>
      </rPr>
      <t>, </t>
    </r>
    <r>
      <rPr>
        <rFont val="맑은 고딕"/>
        <color theme="1"/>
        <sz val="11.0"/>
      </rPr>
      <t>접근</t>
    </r>
    <r>
      <rPr>
        <rFont val="MS Mincho"/>
        <color theme="1"/>
        <sz val="11.0"/>
      </rPr>
      <t> </t>
    </r>
    <r>
      <rPr>
        <rFont val="맑은 고딕"/>
        <color theme="1"/>
        <sz val="11.0"/>
      </rPr>
      <t>제한</t>
    </r>
    <r>
      <rPr>
        <rFont val="MS Mincho"/>
        <color theme="1"/>
        <sz val="11.0"/>
      </rPr>
      <t>, </t>
    </r>
    <r>
      <rPr>
        <rFont val="맑은 고딕"/>
        <color theme="1"/>
        <sz val="11.0"/>
      </rPr>
      <t>관리적</t>
    </r>
    <r>
      <rPr>
        <rFont val="MS Mincho"/>
        <color theme="1"/>
        <sz val="11.0"/>
      </rPr>
      <t> </t>
    </r>
    <r>
      <rPr>
        <rFont val="맑은 고딕"/>
        <color theme="1"/>
        <sz val="11.0"/>
      </rPr>
      <t>통제</t>
    </r>
    <r>
      <rPr>
        <rFont val="MS Mincho"/>
        <color theme="1"/>
        <sz val="11.0"/>
      </rPr>
      <t> </t>
    </r>
    <r>
      <rPr>
        <rFont val="맑은 고딕"/>
        <color theme="1"/>
        <sz val="11.0"/>
      </rPr>
      <t>등</t>
    </r>
    <r>
      <rPr>
        <rFont val="MS Mincho"/>
        <color theme="1"/>
        <sz val="11.0"/>
      </rPr>
      <t>)</t>
    </r>
    <r>
      <rPr>
        <rFont val="맑은 고딕"/>
        <color theme="1"/>
        <sz val="11.0"/>
      </rPr>
      <t>를</t>
    </r>
    <r>
      <rPr>
        <rFont val="MS Mincho"/>
        <color theme="1"/>
        <sz val="11.0"/>
      </rPr>
      <t> </t>
    </r>
    <r>
      <rPr>
        <rFont val="맑은 고딕"/>
        <color theme="1"/>
        <sz val="11.0"/>
      </rPr>
      <t>반드시</t>
    </r>
    <r>
      <rPr>
        <rFont val="MS Mincho"/>
        <color theme="1"/>
        <sz val="11.0"/>
      </rPr>
      <t> </t>
    </r>
    <r>
      <rPr>
        <rFont val="맑은 고딕"/>
        <color theme="1"/>
        <sz val="11.0"/>
      </rPr>
      <t>이행해야</t>
    </r>
    <r>
      <rPr>
        <rFont val="MS Mincho"/>
        <color theme="1"/>
        <sz val="11.0"/>
      </rPr>
      <t> </t>
    </r>
    <r>
      <rPr>
        <rFont val="맑은 고딕"/>
        <color theme="1"/>
        <sz val="11.0"/>
      </rPr>
      <t>합니다</t>
    </r>
    <r>
      <rPr>
        <rFont val="MS Mincho"/>
        <color theme="1"/>
        <sz val="11.0"/>
      </rPr>
      <t>. </t>
    </r>
    <r>
      <rPr>
        <rFont val="맑은 고딕"/>
        <color theme="1"/>
        <sz val="11.0"/>
      </rPr>
      <t>이를</t>
    </r>
    <r>
      <rPr>
        <rFont val="MS Mincho"/>
        <color theme="1"/>
        <sz val="11.0"/>
      </rPr>
      <t> </t>
    </r>
    <r>
      <rPr>
        <rFont val="맑은 고딕"/>
        <color theme="1"/>
        <sz val="11.0"/>
      </rPr>
      <t>통해</t>
    </r>
    <r>
      <rPr>
        <rFont val="MS Mincho"/>
        <color theme="1"/>
        <sz val="11.0"/>
      </rPr>
      <t> </t>
    </r>
    <r>
      <rPr>
        <rFont val="맑은 고딕"/>
        <color theme="1"/>
        <sz val="11.0"/>
      </rPr>
      <t>데이터의</t>
    </r>
    <r>
      <rPr>
        <rFont val="MS Mincho"/>
        <color theme="1"/>
        <sz val="11.0"/>
      </rPr>
      <t> </t>
    </r>
    <r>
      <rPr>
        <rFont val="맑은 고딕"/>
        <color theme="1"/>
        <sz val="11.0"/>
      </rPr>
      <t>안전성을</t>
    </r>
    <r>
      <rPr>
        <rFont val="MS Mincho"/>
        <color theme="1"/>
        <sz val="11.0"/>
      </rPr>
      <t> </t>
    </r>
    <r>
      <rPr>
        <rFont val="맑은 고딕"/>
        <color theme="1"/>
        <sz val="11.0"/>
      </rPr>
      <t>보장하고</t>
    </r>
    <r>
      <rPr>
        <rFont val="MS Mincho"/>
        <color theme="1"/>
        <sz val="11.0"/>
      </rPr>
      <t> </t>
    </r>
    <r>
      <rPr>
        <rFont val="맑은 고딕"/>
        <color theme="1"/>
        <sz val="11.0"/>
      </rPr>
      <t>개인정보</t>
    </r>
    <r>
      <rPr>
        <rFont val="MS Mincho"/>
        <color theme="1"/>
        <sz val="11.0"/>
      </rPr>
      <t> </t>
    </r>
    <r>
      <rPr>
        <rFont val="맑은 고딕"/>
        <color theme="1"/>
        <sz val="11.0"/>
      </rPr>
      <t>유출</t>
    </r>
    <r>
      <rPr>
        <rFont val="MS Mincho"/>
        <color theme="1"/>
        <sz val="11.0"/>
      </rPr>
      <t> </t>
    </r>
    <r>
      <rPr>
        <rFont val="맑은 고딕"/>
        <color theme="1"/>
        <sz val="11.0"/>
      </rPr>
      <t>및</t>
    </r>
    <r>
      <rPr>
        <rFont val="MS Mincho"/>
        <color theme="1"/>
        <sz val="11.0"/>
      </rPr>
      <t> </t>
    </r>
    <r>
      <rPr>
        <rFont val="맑은 고딕"/>
        <color theme="1"/>
        <sz val="11.0"/>
      </rPr>
      <t>재식별의</t>
    </r>
    <r>
      <rPr>
        <rFont val="MS Mincho"/>
        <color theme="1"/>
        <sz val="11.0"/>
      </rPr>
      <t> </t>
    </r>
    <r>
      <rPr>
        <rFont val="맑은 고딕"/>
        <color theme="1"/>
        <sz val="11.0"/>
      </rPr>
      <t>위험을</t>
    </r>
    <r>
      <rPr>
        <rFont val="MS Mincho"/>
        <color theme="1"/>
        <sz val="11.0"/>
      </rPr>
      <t> </t>
    </r>
    <r>
      <rPr>
        <rFont val="맑은 고딕"/>
        <color theme="1"/>
        <sz val="11.0"/>
      </rPr>
      <t>효과적으로</t>
    </r>
    <r>
      <rPr>
        <rFont val="MS Mincho"/>
        <color theme="1"/>
        <sz val="11.0"/>
      </rPr>
      <t> </t>
    </r>
    <r>
      <rPr>
        <rFont val="맑은 고딕"/>
        <color theme="1"/>
        <sz val="11.0"/>
      </rPr>
      <t>방지할</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xml:space="preserve">.
</t>
    </r>
    <r>
      <rPr>
        <rFont val="돋움"/>
        <color theme="1"/>
        <sz val="11.0"/>
      </rPr>
      <t>링크 : 가명정보</t>
    </r>
    <r>
      <rPr>
        <rFont val="Calibri"/>
        <color theme="1"/>
        <sz val="11.0"/>
      </rPr>
      <t> </t>
    </r>
    <r>
      <rPr>
        <rFont val="돋움"/>
        <color theme="1"/>
        <sz val="11.0"/>
      </rPr>
      <t>처리</t>
    </r>
    <r>
      <rPr>
        <rFont val="Calibri"/>
        <color theme="1"/>
        <sz val="11.0"/>
      </rPr>
      <t> </t>
    </r>
    <r>
      <rPr>
        <rFont val="돋움"/>
        <color theme="1"/>
        <sz val="11.0"/>
      </rPr>
      <t>가이드라인</t>
    </r>
    <r>
      <rPr>
        <rFont val="Calibri"/>
        <color theme="1"/>
        <sz val="11.0"/>
      </rPr>
      <t>(2024.2)</t>
    </r>
  </si>
  <si>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</si>
  <si>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</si>
  <si>
    <t>개인정보 가명정보 처리 및 제3자 제공에 대해 관련 법령(안전조치, 계약체결, 관라감독 절차 등 필요한 특별 조치) 안내</t>
  </si>
  <si>
    <r>
      <rPr>
        <rFont val="맑은 고딕"/>
        <b/>
        <color theme="1"/>
        <sz val="11.0"/>
      </rPr>
      <t>150_2402_빅데이터과_기타_개인정보보호위원회_가명정보_처리_가이드라인.pdf[16]</t>
    </r>
    <r>
      <rPr>
        <rFont val="맑은 고딕"/>
        <color theme="1"/>
        <sz val="11.0"/>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rFont val="맑은 고딕"/>
        <color rgb="FFFF0000"/>
        <sz val="11.0"/>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rFont val="맑은 고딕"/>
        <color theme="1"/>
        <sz val="11.0"/>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</si>
  <si>
    <r>
      <rPr>
        <rFont val="맑은 고딕"/>
        <b/>
        <color theme="1"/>
        <sz val="11.0"/>
      </rPr>
      <t>150_2402_빅데이터과_기타_개인정보보호위원회_가명정보_처리_가이드라인.pdf[24]</t>
    </r>
    <r>
      <rPr>
        <rFont val="맑은 고딕"/>
        <color theme="1"/>
        <sz val="11.0"/>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</si>
  <si>
    <r>
      <rPr>
        <rFont val="Arial"/>
        <color rgb="FF000000"/>
        <sz val="11.0"/>
      </rPr>
      <t>비정형</t>
    </r>
    <r>
      <rPr>
        <rFont val="MS Mincho"/>
        <color rgb="FF000000"/>
        <sz val="11.0"/>
      </rPr>
      <t> </t>
    </r>
    <r>
      <rPr>
        <rFont val="Arial"/>
        <color rgb="FF000000"/>
        <sz val="11.0"/>
      </rPr>
      <t>데이터의</t>
    </r>
    <r>
      <rPr>
        <rFont val="MS Mincho"/>
        <color rgb="FF000000"/>
        <sz val="11.0"/>
      </rPr>
      <t> </t>
    </r>
    <r>
      <rPr>
        <rFont val="Arial"/>
        <color rgb="FF000000"/>
        <sz val="11.0"/>
      </rPr>
      <t>가명처리</t>
    </r>
    <r>
      <rPr>
        <rFont val="MS Mincho"/>
        <color rgb="FF000000"/>
        <sz val="11.0"/>
      </rPr>
      <t> </t>
    </r>
    <r>
      <rPr>
        <rFont val="Arial"/>
        <color rgb="FF000000"/>
        <sz val="11.0"/>
      </rPr>
      <t>시</t>
    </r>
    <r>
      <rPr>
        <rFont val="MS Mincho"/>
        <color rgb="FF000000"/>
        <sz val="11.0"/>
      </rPr>
      <t> </t>
    </r>
    <r>
      <rPr>
        <rFont val="Arial"/>
        <color rgb="FF000000"/>
        <sz val="11.0"/>
      </rPr>
      <t>유의할</t>
    </r>
    <r>
      <rPr>
        <rFont val="MS Mincho"/>
        <color rgb="FF000000"/>
        <sz val="11.0"/>
      </rPr>
      <t> </t>
    </r>
    <r>
      <rPr>
        <rFont val="Arial"/>
        <color rgb="FF000000"/>
        <sz val="11.0"/>
      </rPr>
      <t>사항은</t>
    </r>
    <r>
      <rPr>
        <rFont val="MS Mincho"/>
        <color rgb="FF000000"/>
        <sz val="11.0"/>
      </rPr>
      <t> </t>
    </r>
    <r>
      <rPr>
        <rFont val="Arial"/>
        <color rgb="FF000000"/>
        <sz val="11.0"/>
      </rPr>
      <t>무엇인가요</t>
    </r>
    <r>
      <rPr>
        <rFont val="MS Mincho"/>
        <color rgb="FF000000"/>
        <sz val="11.0"/>
      </rPr>
      <t>?</t>
    </r>
  </si>
  <si>
    <t>비정형 데이터(문서, 이미지, 로그 등)를 가명정보로 처리할 때, 관련 법령과 내부 지침상 유의해야 할 사항과 안전조치 기준은 무엇인가요?</t>
  </si>
  <si>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시</t>
    </r>
    <r>
      <rPr>
        <rFont val="Calibri"/>
        <color theme="1"/>
        <sz val="11.0"/>
      </rPr>
      <t xml:space="preserve"> </t>
    </r>
    <r>
      <rPr>
        <rFont val="맑은 고딕"/>
        <color theme="1"/>
        <sz val="11.0"/>
      </rPr>
      <t>유의할</t>
    </r>
    <r>
      <rPr>
        <rFont val="Calibri"/>
        <color theme="1"/>
        <sz val="11.0"/>
      </rPr>
      <t xml:space="preserve"> </t>
    </r>
    <r>
      <rPr>
        <rFont val="맑은 고딕"/>
        <color theme="1"/>
        <sz val="11.0"/>
      </rPr>
      <t>사항은</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고려사항입니다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데이터는</t>
    </r>
    <r>
      <rPr>
        <rFont val="Calibri"/>
        <color theme="1"/>
        <sz val="11.0"/>
      </rPr>
      <t xml:space="preserve"> </t>
    </r>
    <r>
      <rPr>
        <rFont val="맑은 고딕"/>
        <color theme="1"/>
        <sz val="11.0"/>
      </rPr>
      <t>텍스트</t>
    </r>
    <r>
      <rPr>
        <rFont val="Calibri"/>
        <color theme="1"/>
        <sz val="11.0"/>
      </rPr>
      <t xml:space="preserve">, </t>
    </r>
    <r>
      <rPr>
        <rFont val="맑은 고딕"/>
        <color theme="1"/>
        <sz val="11.0"/>
      </rPr>
      <t>이미지</t>
    </r>
    <r>
      <rPr>
        <rFont val="Calibri"/>
        <color theme="1"/>
        <sz val="11.0"/>
      </rPr>
      <t xml:space="preserve">, </t>
    </r>
    <r>
      <rPr>
        <rFont val="맑은 고딕"/>
        <color theme="1"/>
        <sz val="11.0"/>
      </rPr>
      <t>오디오</t>
    </r>
    <r>
      <rPr>
        <rFont val="Calibri"/>
        <color theme="1"/>
        <sz val="11.0"/>
      </rPr>
      <t xml:space="preserve">, </t>
    </r>
    <r>
      <rPr>
        <rFont val="맑은 고딕"/>
        <color theme="1"/>
        <sz val="11.0"/>
      </rPr>
      <t>비디오</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형태로</t>
    </r>
    <r>
      <rPr>
        <rFont val="Calibri"/>
        <color theme="1"/>
        <sz val="11.0"/>
      </rPr>
      <t xml:space="preserve"> </t>
    </r>
    <r>
      <rPr>
        <rFont val="맑은 고딕"/>
        <color theme="1"/>
        <sz val="11.0"/>
      </rPr>
      <t>존재하며</t>
    </r>
    <r>
      <rPr>
        <rFont val="Calibri"/>
        <color theme="1"/>
        <sz val="11.0"/>
      </rPr>
      <t xml:space="preserve">, </t>
    </r>
    <r>
      <rPr>
        <rFont val="맑은 고딕"/>
        <color theme="1"/>
        <sz val="11.0"/>
      </rPr>
      <t>각</t>
    </r>
    <r>
      <rPr>
        <rFont val="Calibri"/>
        <color theme="1"/>
        <sz val="11.0"/>
      </rPr>
      <t xml:space="preserve"> </t>
    </r>
    <r>
      <rPr>
        <rFont val="맑은 고딕"/>
        <color theme="1"/>
        <sz val="11.0"/>
      </rPr>
      <t>형태에</t>
    </r>
    <r>
      <rPr>
        <rFont val="Calibri"/>
        <color theme="1"/>
        <sz val="11.0"/>
      </rPr>
      <t xml:space="preserve"> </t>
    </r>
    <r>
      <rPr>
        <rFont val="맑은 고딕"/>
        <color theme="1"/>
        <sz val="11.0"/>
      </rPr>
      <t>따라</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방법이</t>
    </r>
    <r>
      <rPr>
        <rFont val="Calibri"/>
        <color theme="1"/>
        <sz val="11.0"/>
      </rPr>
      <t xml:space="preserve"> </t>
    </r>
    <r>
      <rPr>
        <rFont val="맑은 고딕"/>
        <color theme="1"/>
        <sz val="11.0"/>
      </rPr>
      <t>달라질</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따라서</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특성에</t>
    </r>
    <r>
      <rPr>
        <rFont val="Calibri"/>
        <color theme="1"/>
        <sz val="11.0"/>
      </rPr>
      <t xml:space="preserve"> </t>
    </r>
    <r>
      <rPr>
        <rFont val="맑은 고딕"/>
        <color theme="1"/>
        <sz val="11.0"/>
      </rPr>
      <t>맞는</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방법을</t>
    </r>
    <r>
      <rPr>
        <rFont val="Calibri"/>
        <color theme="1"/>
        <sz val="11.0"/>
      </rPr>
      <t xml:space="preserve"> </t>
    </r>
    <r>
      <rPr>
        <rFont val="맑은 고딕"/>
        <color theme="1"/>
        <sz val="11.0"/>
      </rPr>
      <t>선택해야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무결성</t>
    </r>
    <r>
      <rPr>
        <rFont val="Calibri"/>
        <color theme="1"/>
        <sz val="11.0"/>
      </rPr>
      <t xml:space="preserve">, integrity, </t>
    </r>
    <r>
      <rPr>
        <rFont val="맑은 고딕"/>
        <color theme="1"/>
        <sz val="11.0"/>
      </rPr>
      <t>가용성</t>
    </r>
    <r>
      <rPr>
        <rFont val="Calibri"/>
        <color theme="1"/>
        <sz val="11.0"/>
      </rPr>
      <t xml:space="preserve">, availability, </t>
    </r>
    <r>
      <rPr>
        <rFont val="맑은 고딕"/>
        <color theme="1"/>
        <sz val="11.0"/>
      </rPr>
      <t>보안성</t>
    </r>
    <r>
      <rPr>
        <rFont val="Calibri"/>
        <color theme="1"/>
        <sz val="11.0"/>
      </rPr>
      <t>, security</t>
    </r>
    <r>
      <rPr>
        <rFont val="맑은 고딕"/>
        <color theme="1"/>
        <sz val="11.0"/>
      </rPr>
      <t>을</t>
    </r>
    <r>
      <rPr>
        <rFont val="Calibri"/>
        <color theme="1"/>
        <sz val="11.0"/>
      </rPr>
      <t xml:space="preserve"> </t>
    </r>
    <r>
      <rPr>
        <rFont val="맑은 고딕"/>
        <color theme="1"/>
        <sz val="11.0"/>
      </rPr>
      <t>유지하면서</t>
    </r>
    <r>
      <rPr>
        <rFont val="Calibri"/>
        <color theme="1"/>
        <sz val="11.0"/>
      </rPr>
      <t xml:space="preserve"> </t>
    </r>
    <r>
      <rPr>
        <rFont val="맑은 고딕"/>
        <color theme="1"/>
        <sz val="11.0"/>
      </rPr>
      <t>수행해야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단계에서는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특성을</t>
    </r>
    <r>
      <rPr>
        <rFont val="Calibri"/>
        <color theme="1"/>
        <sz val="11.0"/>
      </rPr>
      <t xml:space="preserve"> </t>
    </r>
    <r>
      <rPr>
        <rFont val="맑은 고딕"/>
        <color theme="1"/>
        <sz val="11.0"/>
      </rPr>
      <t>고려한</t>
    </r>
    <r>
      <rPr>
        <rFont val="Calibri"/>
        <color theme="1"/>
        <sz val="11.0"/>
      </rPr>
      <t xml:space="preserve"> </t>
    </r>
    <r>
      <rPr>
        <rFont val="맑은 고딕"/>
        <color theme="1"/>
        <sz val="11.0"/>
      </rPr>
      <t>가명화</t>
    </r>
    <r>
      <rPr>
        <rFont val="Calibri"/>
        <color theme="1"/>
        <sz val="11.0"/>
      </rPr>
      <t xml:space="preserve"> </t>
    </r>
    <r>
      <rPr>
        <rFont val="맑은 고딕"/>
        <color theme="1"/>
        <sz val="11.0"/>
      </rPr>
      <t>방법</t>
    </r>
    <r>
      <rPr>
        <rFont val="Calibri"/>
        <color theme="1"/>
        <sz val="11.0"/>
      </rPr>
      <t xml:space="preserve"> </t>
    </r>
    <r>
      <rPr>
        <rFont val="맑은 고딕"/>
        <color theme="1"/>
        <sz val="11.0"/>
      </rPr>
      <t>선택</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안전한</t>
    </r>
    <r>
      <rPr>
        <rFont val="Calibri"/>
        <color theme="1"/>
        <sz val="11.0"/>
      </rPr>
      <t xml:space="preserve"> </t>
    </r>
    <r>
      <rPr>
        <rFont val="맑은 고딕"/>
        <color theme="1"/>
        <sz val="11.0"/>
      </rPr>
      <t>저장</t>
    </r>
    <r>
      <rPr>
        <rFont val="Calibri"/>
        <color theme="1"/>
        <sz val="11.0"/>
      </rPr>
      <t xml:space="preserve"> </t>
    </r>
    <r>
      <rPr>
        <rFont val="맑은 고딕"/>
        <color theme="1"/>
        <sz val="11.0"/>
      </rPr>
      <t>및</t>
    </r>
    <r>
      <rPr>
        <rFont val="Calibri"/>
        <color theme="1"/>
        <sz val="11.0"/>
      </rPr>
      <t xml:space="preserve"> </t>
    </r>
    <r>
      <rPr>
        <rFont val="맑은 고딕"/>
        <color theme="1"/>
        <sz val="11.0"/>
      </rPr>
      <t>관리</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t>
    </r>
    <r>
      <rPr>
        <rFont val="Calibri"/>
        <color theme="1"/>
        <sz val="11.0"/>
      </rPr>
      <t xml:space="preserve">, </t>
    </r>
    <r>
      <rPr>
        <rFont val="맑은 고딕"/>
        <color theme="1"/>
        <sz val="11.0"/>
      </rPr>
      <t>모니터링</t>
    </r>
    <r>
      <rPr>
        <rFont val="Calibri"/>
        <color theme="1"/>
        <sz val="11.0"/>
      </rPr>
      <t xml:space="preserve"> </t>
    </r>
    <r>
      <rPr>
        <rFont val="맑은 고딕"/>
        <color theme="1"/>
        <sz val="11.0"/>
      </rPr>
      <t>및</t>
    </r>
    <r>
      <rPr>
        <rFont val="Calibri"/>
        <color theme="1"/>
        <sz val="11.0"/>
      </rPr>
      <t xml:space="preserve"> audit log </t>
    </r>
    <r>
      <rPr>
        <rFont val="맑은 고딕"/>
        <color theme="1"/>
        <sz val="11.0"/>
      </rPr>
      <t>관리</t>
    </r>
    <r>
      <rPr>
        <rFont val="Calibri"/>
        <color theme="1"/>
        <sz val="11.0"/>
      </rPr>
      <t xml:space="preserve"> </t>
    </r>
    <r>
      <rPr>
        <rFont val="맑은 고딕"/>
        <color theme="1"/>
        <sz val="11.0"/>
      </rPr>
      <t>등이</t>
    </r>
    <r>
      <rPr>
        <rFont val="Calibri"/>
        <color theme="1"/>
        <sz val="11.0"/>
      </rPr>
      <t xml:space="preserve"> </t>
    </r>
    <r>
      <rPr>
        <rFont val="맑은 고딕"/>
        <color theme="1"/>
        <sz val="11.0"/>
      </rPr>
      <t>포함됩니다</t>
    </r>
    <r>
      <rPr>
        <rFont val="Calibri"/>
        <color theme="1"/>
        <sz val="11.0"/>
      </rPr>
      <t>.</t>
    </r>
  </si>
  <si>
    <r>
      <rPr>
        <rFont val="맑은 고딕"/>
        <color theme="1"/>
        <sz val="11.0"/>
      </rPr>
      <t>기대답변
비정형</t>
    </r>
    <r>
      <rPr>
        <rFont val="MS Mincho"/>
        <color theme="1"/>
        <sz val="11.0"/>
      </rPr>
      <t> </t>
    </r>
    <r>
      <rPr>
        <rFont val="맑은 고딕"/>
        <color theme="1"/>
        <sz val="11.0"/>
      </rPr>
      <t>데이터</t>
    </r>
    <r>
      <rPr>
        <rFont val="MS Mincho"/>
        <color theme="1"/>
        <sz val="11.0"/>
      </rPr>
      <t>(</t>
    </r>
    <r>
      <rPr>
        <rFont val="맑은 고딕"/>
        <color theme="1"/>
        <sz val="11.0"/>
      </rPr>
      <t>텍스트</t>
    </r>
    <r>
      <rPr>
        <rFont val="MS Mincho"/>
        <color theme="1"/>
        <sz val="11.0"/>
      </rPr>
      <t>, </t>
    </r>
    <r>
      <rPr>
        <rFont val="맑은 고딕"/>
        <color theme="1"/>
        <sz val="11.0"/>
      </rPr>
      <t>이미지</t>
    </r>
    <r>
      <rPr>
        <rFont val="MS Mincho"/>
        <color theme="1"/>
        <sz val="11.0"/>
      </rPr>
      <t>, </t>
    </r>
    <r>
      <rPr>
        <rFont val="맑은 고딕"/>
        <color theme="1"/>
        <sz val="11.0"/>
      </rPr>
      <t>음성</t>
    </r>
    <r>
      <rPr>
        <rFont val="MS Mincho"/>
        <color theme="1"/>
        <sz val="11.0"/>
      </rPr>
      <t> </t>
    </r>
    <r>
      <rPr>
        <rFont val="맑은 고딕"/>
        <color theme="1"/>
        <sz val="11.0"/>
      </rPr>
      <t>등</t>
    </r>
    <r>
      <rPr>
        <rFont val="MS Mincho"/>
        <color theme="1"/>
        <sz val="11.0"/>
      </rPr>
      <t>)</t>
    </r>
    <r>
      <rPr>
        <rFont val="맑은 고딕"/>
        <color theme="1"/>
        <sz val="11.0"/>
      </rPr>
      <t>는</t>
    </r>
    <r>
      <rPr>
        <rFont val="MS Mincho"/>
        <color theme="1"/>
        <sz val="11.0"/>
      </rPr>
      <t> </t>
    </r>
    <r>
      <rPr>
        <rFont val="맑은 고딕"/>
        <color theme="1"/>
        <sz val="11.0"/>
      </rPr>
      <t>정형</t>
    </r>
    <r>
      <rPr>
        <rFont val="MS Mincho"/>
        <color theme="1"/>
        <sz val="11.0"/>
      </rPr>
      <t> </t>
    </r>
    <r>
      <rPr>
        <rFont val="맑은 고딕"/>
        <color theme="1"/>
        <sz val="11.0"/>
      </rPr>
      <t>데이터와</t>
    </r>
    <r>
      <rPr>
        <rFont val="MS Mincho"/>
        <color theme="1"/>
        <sz val="11.0"/>
      </rPr>
      <t> </t>
    </r>
    <r>
      <rPr>
        <rFont val="맑은 고딕"/>
        <color theme="1"/>
        <sz val="11.0"/>
      </rPr>
      <t>달리</t>
    </r>
    <r>
      <rPr>
        <rFont val="MS Mincho"/>
        <color theme="1"/>
        <sz val="11.0"/>
      </rPr>
      <t> </t>
    </r>
    <r>
      <rPr>
        <rFont val="맑은 고딕"/>
        <color theme="1"/>
        <sz val="11.0"/>
      </rPr>
      <t>형식이</t>
    </r>
    <r>
      <rPr>
        <rFont val="MS Mincho"/>
        <color theme="1"/>
        <sz val="11.0"/>
      </rPr>
      <t> </t>
    </r>
    <r>
      <rPr>
        <rFont val="맑은 고딕"/>
        <color theme="1"/>
        <sz val="11.0"/>
      </rPr>
      <t>정해져</t>
    </r>
    <r>
      <rPr>
        <rFont val="MS Mincho"/>
        <color theme="1"/>
        <sz val="11.0"/>
      </rPr>
      <t> </t>
    </r>
    <r>
      <rPr>
        <rFont val="맑은 고딕"/>
        <color theme="1"/>
        <sz val="11.0"/>
      </rPr>
      <t>있지</t>
    </r>
    <r>
      <rPr>
        <rFont val="MS Mincho"/>
        <color theme="1"/>
        <sz val="11.0"/>
      </rPr>
      <t> </t>
    </r>
    <r>
      <rPr>
        <rFont val="맑은 고딕"/>
        <color theme="1"/>
        <sz val="11.0"/>
      </rPr>
      <t>않아</t>
    </r>
    <r>
      <rPr>
        <rFont val="MS Mincho"/>
        <color theme="1"/>
        <sz val="11.0"/>
      </rPr>
      <t> </t>
    </r>
    <r>
      <rPr>
        <rFont val="맑은 고딕"/>
        <color theme="1"/>
        <sz val="11.0"/>
      </rPr>
      <t>처리</t>
    </r>
    <r>
      <rPr>
        <rFont val="MS Mincho"/>
        <color theme="1"/>
        <sz val="11.0"/>
      </rPr>
      <t> </t>
    </r>
    <r>
      <rPr>
        <rFont val="맑은 고딕"/>
        <color theme="1"/>
        <sz val="11.0"/>
      </rPr>
      <t>과정에서</t>
    </r>
    <r>
      <rPr>
        <rFont val="MS Mincho"/>
        <color theme="1"/>
        <sz val="11.0"/>
      </rPr>
      <t> </t>
    </r>
    <r>
      <rPr>
        <rFont val="맑은 고딕"/>
        <color theme="1"/>
        <sz val="11.0"/>
      </rPr>
      <t>추가적인</t>
    </r>
    <r>
      <rPr>
        <rFont val="MS Mincho"/>
        <color theme="1"/>
        <sz val="11.0"/>
      </rPr>
      <t> </t>
    </r>
    <r>
      <rPr>
        <rFont val="맑은 고딕"/>
        <color theme="1"/>
        <sz val="11.0"/>
      </rPr>
      <t>주의가</t>
    </r>
    <r>
      <rPr>
        <rFont val="MS Mincho"/>
        <color theme="1"/>
        <sz val="11.0"/>
      </rPr>
      <t> </t>
    </r>
    <r>
      <rPr>
        <rFont val="맑은 고딕"/>
        <color theme="1"/>
        <sz val="11.0"/>
      </rPr>
      <t>필요합니다</t>
    </r>
    <r>
      <rPr>
        <rFont val="MS Mincho"/>
        <color theme="1"/>
        <sz val="11.0"/>
      </rPr>
      <t>. </t>
    </r>
    <r>
      <rPr>
        <rFont val="맑은 고딕"/>
        <color theme="1"/>
        <sz val="11.0"/>
      </rPr>
      <t>비정형</t>
    </r>
    <r>
      <rPr>
        <rFont val="MS Mincho"/>
        <color theme="1"/>
        <sz val="11.0"/>
      </rPr>
      <t> </t>
    </r>
    <r>
      <rPr>
        <rFont val="맑은 고딕"/>
        <color theme="1"/>
        <sz val="11.0"/>
      </rPr>
      <t>데이터를</t>
    </r>
    <r>
      <rPr>
        <rFont val="MS Mincho"/>
        <color theme="1"/>
        <sz val="11.0"/>
      </rPr>
      <t> </t>
    </r>
    <r>
      <rPr>
        <rFont val="맑은 고딕"/>
        <color theme="1"/>
        <sz val="11.0"/>
      </rPr>
      <t>가명처리할</t>
    </r>
    <r>
      <rPr>
        <rFont val="MS Mincho"/>
        <color theme="1"/>
        <sz val="11.0"/>
      </rPr>
      <t> </t>
    </r>
    <r>
      <rPr>
        <rFont val="맑은 고딕"/>
        <color theme="1"/>
        <sz val="11.0"/>
      </rPr>
      <t>때는</t>
    </r>
    <r>
      <rPr>
        <rFont val="MS Mincho"/>
        <color theme="1"/>
        <sz val="11.0"/>
      </rPr>
      <t> </t>
    </r>
    <r>
      <rPr>
        <rFont val="맑은 고딕"/>
        <color theme="1"/>
        <sz val="11.0"/>
      </rPr>
      <t>데이터의</t>
    </r>
    <r>
      <rPr>
        <rFont val="MS Mincho"/>
        <color theme="1"/>
        <sz val="11.0"/>
      </rPr>
      <t> </t>
    </r>
    <r>
      <rPr>
        <rFont val="맑은 고딕"/>
        <color theme="1"/>
        <sz val="11.0"/>
      </rPr>
      <t>특성과</t>
    </r>
    <r>
      <rPr>
        <rFont val="MS Mincho"/>
        <color theme="1"/>
        <sz val="11.0"/>
      </rPr>
      <t> </t>
    </r>
    <r>
      <rPr>
        <rFont val="맑은 고딕"/>
        <color theme="1"/>
        <sz val="11.0"/>
      </rPr>
      <t>처리</t>
    </r>
    <r>
      <rPr>
        <rFont val="MS Mincho"/>
        <color theme="1"/>
        <sz val="11.0"/>
      </rPr>
      <t> </t>
    </r>
    <r>
      <rPr>
        <rFont val="맑은 고딕"/>
        <color theme="1"/>
        <sz val="11.0"/>
      </rPr>
      <t>목적을</t>
    </r>
    <r>
      <rPr>
        <rFont val="MS Mincho"/>
        <color theme="1"/>
        <sz val="11.0"/>
      </rPr>
      <t> </t>
    </r>
    <r>
      <rPr>
        <rFont val="맑은 고딕"/>
        <color theme="1"/>
        <sz val="11.0"/>
      </rPr>
      <t>명확히</t>
    </r>
    <r>
      <rPr>
        <rFont val="MS Mincho"/>
        <color theme="1"/>
        <sz val="11.0"/>
      </rPr>
      <t> </t>
    </r>
    <r>
      <rPr>
        <rFont val="맑은 고딕"/>
        <color theme="1"/>
        <sz val="11.0"/>
      </rPr>
      <t>파악하고</t>
    </r>
    <r>
      <rPr>
        <rFont val="MS Mincho"/>
        <color theme="1"/>
        <sz val="11.0"/>
      </rPr>
      <t>, </t>
    </r>
    <r>
      <rPr>
        <rFont val="맑은 고딕"/>
        <color theme="1"/>
        <sz val="11.0"/>
      </rPr>
      <t>각</t>
    </r>
    <r>
      <rPr>
        <rFont val="MS Mincho"/>
        <color theme="1"/>
        <sz val="11.0"/>
      </rPr>
      <t> </t>
    </r>
    <r>
      <rPr>
        <rFont val="맑은 고딕"/>
        <color theme="1"/>
        <sz val="11.0"/>
      </rPr>
      <t>유형에</t>
    </r>
    <r>
      <rPr>
        <rFont val="MS Mincho"/>
        <color theme="1"/>
        <sz val="11.0"/>
      </rPr>
      <t> </t>
    </r>
    <r>
      <rPr>
        <rFont val="맑은 고딕"/>
        <color theme="1"/>
        <sz val="11.0"/>
      </rPr>
      <t>적합한</t>
    </r>
    <r>
      <rPr>
        <rFont val="MS Mincho"/>
        <color theme="1"/>
        <sz val="11.0"/>
      </rPr>
      <t> </t>
    </r>
    <r>
      <rPr>
        <rFont val="맑은 고딕"/>
        <color theme="1"/>
        <sz val="11.0"/>
      </rPr>
      <t>처리</t>
    </r>
    <r>
      <rPr>
        <rFont val="MS Mincho"/>
        <color theme="1"/>
        <sz val="11.0"/>
      </rPr>
      <t> </t>
    </r>
    <r>
      <rPr>
        <rFont val="맑은 고딕"/>
        <color theme="1"/>
        <sz val="11.0"/>
      </rPr>
      <t>기준과</t>
    </r>
    <r>
      <rPr>
        <rFont val="MS Mincho"/>
        <color theme="1"/>
        <sz val="11.0"/>
      </rPr>
      <t> </t>
    </r>
    <r>
      <rPr>
        <rFont val="맑은 고딕"/>
        <color theme="1"/>
        <sz val="11.0"/>
      </rPr>
      <t>방법을</t>
    </r>
    <r>
      <rPr>
        <rFont val="MS Mincho"/>
        <color theme="1"/>
        <sz val="11.0"/>
      </rPr>
      <t> </t>
    </r>
    <r>
      <rPr>
        <rFont val="맑은 고딕"/>
        <color theme="1"/>
        <sz val="11.0"/>
      </rPr>
      <t>개별적으로</t>
    </r>
    <r>
      <rPr>
        <rFont val="MS Mincho"/>
        <color theme="1"/>
        <sz val="11.0"/>
      </rPr>
      <t> </t>
    </r>
    <r>
      <rPr>
        <rFont val="맑은 고딕"/>
        <color theme="1"/>
        <sz val="11.0"/>
      </rPr>
      <t>수립해야</t>
    </r>
    <r>
      <rPr>
        <rFont val="MS Mincho"/>
        <color theme="1"/>
        <sz val="11.0"/>
      </rPr>
      <t> </t>
    </r>
    <r>
      <rPr>
        <rFont val="맑은 고딕"/>
        <color theme="1"/>
        <sz val="11.0"/>
      </rPr>
      <t>합니다</t>
    </r>
    <r>
      <rPr>
        <rFont val="MS Mincho"/>
        <color theme="1"/>
        <sz val="11.0"/>
      </rPr>
      <t>. </t>
    </r>
    <r>
      <rPr>
        <rFont val="맑은 고딕"/>
        <color theme="1"/>
        <sz val="11.0"/>
      </rPr>
      <t>특히</t>
    </r>
    <r>
      <rPr>
        <rFont val="MS Mincho"/>
        <color theme="1"/>
        <sz val="11.0"/>
      </rPr>
      <t>, </t>
    </r>
    <r>
      <rPr>
        <rFont val="맑은 고딕"/>
        <color theme="1"/>
        <sz val="11.0"/>
      </rPr>
      <t>처리</t>
    </r>
    <r>
      <rPr>
        <rFont val="MS Mincho"/>
        <color theme="1"/>
        <sz val="11.0"/>
      </rPr>
      <t> </t>
    </r>
    <r>
      <rPr>
        <rFont val="맑은 고딕"/>
        <color theme="1"/>
        <sz val="11.0"/>
      </rPr>
      <t>단계마다</t>
    </r>
    <r>
      <rPr>
        <rFont val="MS Mincho"/>
        <color theme="1"/>
        <sz val="11.0"/>
      </rPr>
      <t> </t>
    </r>
    <r>
      <rPr>
        <rFont val="맑은 고딕"/>
        <color theme="1"/>
        <sz val="11.0"/>
      </rPr>
      <t>재식별</t>
    </r>
    <r>
      <rPr>
        <rFont val="MS Mincho"/>
        <color theme="1"/>
        <sz val="11.0"/>
      </rPr>
      <t> </t>
    </r>
    <r>
      <rPr>
        <rFont val="맑은 고딕"/>
        <color theme="1"/>
        <sz val="11.0"/>
      </rPr>
      <t>가능성</t>
    </r>
    <r>
      <rPr>
        <rFont val="MS Mincho"/>
        <color theme="1"/>
        <sz val="11.0"/>
      </rPr>
      <t> </t>
    </r>
    <r>
      <rPr>
        <rFont val="맑은 고딕"/>
        <color theme="1"/>
        <sz val="11.0"/>
      </rPr>
      <t>평가를</t>
    </r>
    <r>
      <rPr>
        <rFont val="MS Mincho"/>
        <color theme="1"/>
        <sz val="11.0"/>
      </rPr>
      <t> </t>
    </r>
    <r>
      <rPr>
        <rFont val="맑은 고딕"/>
        <color theme="1"/>
        <sz val="11.0"/>
      </rPr>
      <t>실시하여</t>
    </r>
    <r>
      <rPr>
        <rFont val="MS Mincho"/>
        <color theme="1"/>
        <sz val="11.0"/>
      </rPr>
      <t> </t>
    </r>
    <r>
      <rPr>
        <rFont val="맑은 고딕"/>
        <color theme="1"/>
        <sz val="11.0"/>
      </rPr>
      <t>필요한</t>
    </r>
    <r>
      <rPr>
        <rFont val="MS Mincho"/>
        <color theme="1"/>
        <sz val="11.0"/>
      </rPr>
      <t> </t>
    </r>
    <r>
      <rPr>
        <rFont val="맑은 고딕"/>
        <color theme="1"/>
        <sz val="11.0"/>
      </rPr>
      <t>경우</t>
    </r>
    <r>
      <rPr>
        <rFont val="MS Mincho"/>
        <color theme="1"/>
        <sz val="11.0"/>
      </rPr>
      <t> </t>
    </r>
    <r>
      <rPr>
        <rFont val="맑은 고딕"/>
        <color theme="1"/>
        <sz val="11.0"/>
      </rPr>
      <t>추가적인</t>
    </r>
    <r>
      <rPr>
        <rFont val="MS Mincho"/>
        <color theme="1"/>
        <sz val="11.0"/>
      </rPr>
      <t> </t>
    </r>
    <r>
      <rPr>
        <rFont val="맑은 고딕"/>
        <color theme="1"/>
        <sz val="11.0"/>
      </rPr>
      <t>보호</t>
    </r>
    <r>
      <rPr>
        <rFont val="MS Mincho"/>
        <color theme="1"/>
        <sz val="11.0"/>
      </rPr>
      <t> </t>
    </r>
    <r>
      <rPr>
        <rFont val="맑은 고딕"/>
        <color theme="1"/>
        <sz val="11.0"/>
      </rPr>
      <t>조치를</t>
    </r>
    <r>
      <rPr>
        <rFont val="MS Mincho"/>
        <color theme="1"/>
        <sz val="11.0"/>
      </rPr>
      <t> </t>
    </r>
    <r>
      <rPr>
        <rFont val="맑은 고딕"/>
        <color theme="1"/>
        <sz val="11.0"/>
      </rPr>
      <t>적용해야</t>
    </r>
    <r>
      <rPr>
        <rFont val="MS Mincho"/>
        <color theme="1"/>
        <sz val="11.0"/>
      </rPr>
      <t> </t>
    </r>
    <r>
      <rPr>
        <rFont val="맑은 고딕"/>
        <color theme="1"/>
        <sz val="11.0"/>
      </rPr>
      <t>하며</t>
    </r>
    <r>
      <rPr>
        <rFont val="MS Mincho"/>
        <color theme="1"/>
        <sz val="11.0"/>
      </rPr>
      <t>, </t>
    </r>
    <r>
      <rPr>
        <rFont val="맑은 고딕"/>
        <color theme="1"/>
        <sz val="11.0"/>
      </rPr>
      <t>가명처리</t>
    </r>
    <r>
      <rPr>
        <rFont val="MS Mincho"/>
        <color theme="1"/>
        <sz val="11.0"/>
      </rPr>
      <t> </t>
    </r>
    <r>
      <rPr>
        <rFont val="맑은 고딕"/>
        <color theme="1"/>
        <sz val="11.0"/>
      </rPr>
      <t>이후에도</t>
    </r>
    <r>
      <rPr>
        <rFont val="MS Mincho"/>
        <color theme="1"/>
        <sz val="11.0"/>
      </rPr>
      <t> </t>
    </r>
    <r>
      <rPr>
        <rFont val="맑은 고딕"/>
        <color theme="1"/>
        <sz val="11.0"/>
      </rPr>
      <t>데이터</t>
    </r>
    <r>
      <rPr>
        <rFont val="MS Mincho"/>
        <color theme="1"/>
        <sz val="11.0"/>
      </rPr>
      <t> </t>
    </r>
    <r>
      <rPr>
        <rFont val="맑은 고딕"/>
        <color theme="1"/>
        <sz val="11.0"/>
      </rPr>
      <t>활용</t>
    </r>
    <r>
      <rPr>
        <rFont val="MS Mincho"/>
        <color theme="1"/>
        <sz val="11.0"/>
      </rPr>
      <t> </t>
    </r>
    <r>
      <rPr>
        <rFont val="맑은 고딕"/>
        <color theme="1"/>
        <sz val="11.0"/>
      </rPr>
      <t>과정</t>
    </r>
    <r>
      <rPr>
        <rFont val="MS Mincho"/>
        <color theme="1"/>
        <sz val="11.0"/>
      </rPr>
      <t> </t>
    </r>
    <r>
      <rPr>
        <rFont val="맑은 고딕"/>
        <color theme="1"/>
        <sz val="11.0"/>
      </rPr>
      <t>전반에</t>
    </r>
    <r>
      <rPr>
        <rFont val="MS Mincho"/>
        <color theme="1"/>
        <sz val="11.0"/>
      </rPr>
      <t> </t>
    </r>
    <r>
      <rPr>
        <rFont val="맑은 고딕"/>
        <color theme="1"/>
        <sz val="11.0"/>
      </rPr>
      <t>걸쳐</t>
    </r>
    <r>
      <rPr>
        <rFont val="MS Mincho"/>
        <color theme="1"/>
        <sz val="11.0"/>
      </rPr>
      <t> </t>
    </r>
    <r>
      <rPr>
        <rFont val="맑은 고딕"/>
        <color theme="1"/>
        <sz val="11.0"/>
      </rPr>
      <t>지속적인</t>
    </r>
    <r>
      <rPr>
        <rFont val="MS Mincho"/>
        <color theme="1"/>
        <sz val="11.0"/>
      </rPr>
      <t> </t>
    </r>
    <r>
      <rPr>
        <rFont val="맑은 고딕"/>
        <color theme="1"/>
        <sz val="11.0"/>
      </rPr>
      <t>관리와</t>
    </r>
    <r>
      <rPr>
        <rFont val="MS Mincho"/>
        <color theme="1"/>
        <sz val="11.0"/>
      </rPr>
      <t> </t>
    </r>
    <r>
      <rPr>
        <rFont val="맑은 고딕"/>
        <color theme="1"/>
        <sz val="11.0"/>
      </rPr>
      <t>모니터링이</t>
    </r>
    <r>
      <rPr>
        <rFont val="MS Mincho"/>
        <color theme="1"/>
        <sz val="11.0"/>
      </rPr>
      <t> </t>
    </r>
    <r>
      <rPr>
        <rFont val="맑은 고딕"/>
        <color theme="1"/>
        <sz val="11.0"/>
      </rPr>
      <t>필수입니다</t>
    </r>
    <r>
      <rPr>
        <rFont val="MS Mincho"/>
        <color theme="1"/>
        <sz val="11.0"/>
      </rPr>
      <t xml:space="preserve">.
</t>
    </r>
    <r>
      <rPr>
        <rFont val="맑은 고딕"/>
        <color theme="1"/>
        <sz val="11.0"/>
      </rPr>
      <t>링크 : 가명정보 처리 가이드라인(2024.2)</t>
    </r>
  </si>
  <si>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</si>
  <si>
    <t>42, 43</t>
  </si>
  <si>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</si>
  <si>
    <t>비정형 데이터 가명처리 시 유의사항 안내</t>
  </si>
  <si>
    <r>
      <rPr>
        <rFont val="맑은 고딕"/>
        <b/>
        <color theme="1"/>
        <sz val="11.0"/>
      </rPr>
      <t>150_2402_빅데이터과_기타_개인정보보호위원회_가명정보_처리_가이드라인.pdf[42]</t>
    </r>
    <r>
      <rPr>
        <rFont val="맑은 고딕"/>
        <color theme="1"/>
        <sz val="11.0"/>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rFont val="Segoe UI Symbol"/>
        <color theme="1"/>
        <sz val="11.0"/>
      </rPr>
      <t>▪</t>
    </r>
    <r>
      <rPr>
        <rFont val="맑은 고딕"/>
        <color theme="1"/>
        <sz val="11.0"/>
      </rPr>
      <t xml:space="preserve"> 얼굴 CT 사진 1장으로는 개인식별 위험성이 낮지만, 여러 위치·각도에서 촬영한 얼굴 </t>
    </r>
    <r>
      <rPr>
        <rFont val="Segoe UI Symbol"/>
        <color theme="1"/>
        <sz val="11.0"/>
      </rPr>
      <t>▪</t>
    </r>
    <r>
      <rPr>
        <rFont val="맑은 고딕"/>
        <color theme="1"/>
        <sz val="11.0"/>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rFont val="Segoe UI Symbol"/>
        <color theme="1"/>
        <sz val="11.0"/>
      </rPr>
      <t>▪</t>
    </r>
    <r>
      <rPr>
        <rFont val="맑은 고딕"/>
        <color theme="1"/>
        <sz val="11.0"/>
      </rPr>
      <t xml:space="preserve"> 눈·코·입을 알아볼 수 없는 거리에서 찍힌 CCTV 영상은 통상 개인식별 위험성이 낮지만, </t>
    </r>
    <r>
      <rPr>
        <rFont val="Segoe UI Symbol"/>
        <color theme="1"/>
        <sz val="11.0"/>
      </rPr>
      <t>▪</t>
    </r>
    <r>
      <rPr>
        <rFont val="맑은 고딕"/>
        <color theme="1"/>
        <sz val="11.0"/>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rFont val="Segoe UI Symbol"/>
        <color theme="1"/>
        <sz val="11.0"/>
      </rPr>
      <t>▪</t>
    </r>
    <r>
      <rPr>
        <rFont val="맑은 고딕"/>
        <color theme="1"/>
        <sz val="11.0"/>
      </rPr>
      <t xml:space="preserve"> 이미지·영상 데이터의 경우, 해상도, 조명 각도, 객체 크기 등에 따라 얼굴 등을 </t>
    </r>
    <r>
      <rPr>
        <rFont val="Segoe UI Symbol"/>
        <color theme="1"/>
        <sz val="11.0"/>
      </rPr>
      <t>▪</t>
    </r>
    <r>
      <rPr>
        <rFont val="맑은 고딕"/>
        <color theme="1"/>
        <sz val="11.0"/>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rFont val="Segoe UI Symbol"/>
        <color theme="1"/>
        <sz val="11.0"/>
      </rPr>
      <t>▪</t>
    </r>
    <r>
      <rPr>
        <rFont val="맑은 고딕"/>
        <color theme="1"/>
        <sz val="11.0"/>
      </rPr>
      <t xml:space="preserve"> ‘신뢰역 1번출구 앞 파란건물 1층 1호가 우리집’ 텍스트를 주소로 인식하지 않아 처리 </t>
    </r>
    <r>
      <rPr>
        <rFont val="Segoe UI Symbol"/>
        <color theme="1"/>
        <sz val="11.0"/>
      </rPr>
      <t>▪</t>
    </r>
    <r>
      <rPr>
        <rFont val="맑은 고딕"/>
        <color theme="1"/>
        <sz val="11.0"/>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</si>
  <si>
    <r>
      <rPr>
        <rFont val="맑은 고딕"/>
        <b/>
        <color theme="1"/>
        <sz val="11.0"/>
      </rPr>
      <t>150_2402_빅데이터과_기타_개인정보보호위원회_가명정보_처리_가이드라인.pdf[49</t>
    </r>
    <r>
      <rPr>
        <rFont val="맑은 고딕"/>
        <color theme="1"/>
        <sz val="11.0"/>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 </t>
    </r>
    <r>
      <rPr>
        <rFont val="Segoe UI Symbol"/>
        <color theme="1"/>
        <sz val="11.0"/>
      </rPr>
      <t>❸</t>
    </r>
    <r>
      <rPr>
        <rFont val="맑은 고딕"/>
        <color theme="1"/>
        <sz val="11.0"/>
      </rPr>
      <t xml:space="preserve">  개 인식별 가능성이 높은 정보( 식별정보, 식별가능정보), 특이정보, 데이터 특성만으로 개 인식별 가능성이 높은 정보( </t>
    </r>
    <r>
      <rPr>
        <rFont val="Segoe UI Symbol"/>
        <color theme="1"/>
        <sz val="11.0"/>
      </rPr>
      <t>❶</t>
    </r>
    <r>
      <rPr>
        <rFont val="맑은 고딕"/>
        <color theme="1"/>
        <sz val="11.0"/>
      </rPr>
      <t xml:space="preserve">식별정보, </t>
    </r>
    <r>
      <rPr>
        <rFont val="Segoe UI Symbol"/>
        <color theme="1"/>
        <sz val="11.0"/>
      </rPr>
      <t>❷</t>
    </r>
    <r>
      <rPr>
        <rFont val="맑은 고딕"/>
        <color theme="1"/>
        <sz val="11.0"/>
      </rPr>
      <t>식 재식별 시 영향도가 높은 항목이 있는지 검토 데이터 자체 개인식별 위험성 요소 식별 재식별 시 식별정보 특이정보 가능정보 영향도 47</t>
    </r>
  </si>
  <si>
    <r>
      <rPr>
        <rFont val="맑은 고딕"/>
        <b/>
        <color theme="1"/>
        <sz val="11.0"/>
      </rPr>
      <t>150_2402_빅데이터과_기타_개인정보보호위원회_가명정보_처리_가이드라인.pdf[43]</t>
    </r>
    <r>
      <rPr>
        <rFont val="맑은 고딕"/>
        <color theme="1"/>
        <sz val="11.0"/>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rFont val="Segoe UI Symbol"/>
        <color theme="1"/>
        <sz val="11.0"/>
      </rPr>
      <t>❶</t>
    </r>
    <r>
      <rPr>
        <rFont val="맑은 고딕"/>
        <color theme="1"/>
        <sz val="11.0"/>
      </rPr>
      <t xml:space="preserve"> 가명처리 기술의 적절성·신뢰성을 확인할 수 있는 근거 작성·보관 </t>
    </r>
    <r>
      <rPr>
        <rFont val="Segoe UI Symbol"/>
        <color theme="1"/>
        <sz val="11.0"/>
      </rPr>
      <t>❶</t>
    </r>
    <r>
      <rPr>
        <rFont val="맑은 고딕"/>
        <color theme="1"/>
        <sz val="11.0"/>
      </rPr>
      <t xml:space="preserve"> 가명처리 기술의 적절성·신뢰성을 확인할 수 있는 근거 작성·보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를 포함하여 점검(외부전문가 과반 이상 참여 바람직)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rFont val="Noto Sans KR"/>
        <color theme="1"/>
        <sz val="11.0"/>
      </rPr>
      <t>‧</t>
    </r>
    <r>
      <rPr>
        <rFont val="맑은 고딕"/>
        <color theme="1"/>
        <sz val="11.0"/>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</si>
  <si>
    <t>부산광역시에서 생산하는 통계는 어떤 것들이 있나요?</t>
  </si>
  <si>
    <t>부산광역시에서 생산·관리하는 공식 통계의 종류와 각 통계별 작성 주체, 수집 범위, 제공 방식 및 이용 가능한 대상은 무엇인가요?</t>
  </si>
  <si>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</si>
  <si>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</si>
  <si>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</si>
  <si>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</si>
  <si>
    <t>164_2502_빅데이터과_기타_빅데이터과_2025년도_통계_주요업무_시행계획.pdf</t>
  </si>
  <si>
    <t>50, 51</t>
  </si>
  <si>
    <t>해당 페이지 내용 전체</t>
  </si>
  <si>
    <t>부산광역시에서 생산하는 통계의 종류</t>
  </si>
  <si>
    <t>내부 지침 및 조례를 빠르게 찾고 싶은데 어떻게 하나요?</t>
  </si>
  <si>
    <t>부산광역시 소속 직원이 업무 관련 내부 지침이나 조례를 신속하게 검색·확인하려는 경우, 공식 포털, 내부 시스템, 검색 절차 및 접근 방법은 무엇인가요?</t>
  </si>
  <si>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</si>
  <si>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</si>
  <si>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</si>
  <si>
    <t>기대답변 :
 자치법규정보시스템(조례, 내부 지침)에서 확인 가능합니다.
 링크 : https://www.elis.go.kr/locgovalr/locgovClAlrList?ctpvSggCd=26000</t>
  </si>
  <si>
    <t>7</t>
  </si>
  <si>
    <t>자치법규 링크만 제공하면 될 것 같습니다.
 간단한 질문 대응 FAQ에 입력 완료
------
Q7. 자치법규정보시스템의 웹사이트 주소를 알려주세요.</t>
  </si>
  <si>
    <t>내부 지침 및 조례 찾는 방법, 자치법규정보시스템 사이트(URL, 링크) 정보</t>
  </si>
  <si>
    <t>시청 내부 직원교육 리스트 일정 및 내용을 보는 방법 있나요?</t>
  </si>
  <si>
    <t>내부 직원교육 프로그램의 전체 리스트, 일정, 교육 내용을 확인하려는 경우, 공식 시스템이나 포털에서 조회하는 방법과 접근 절차는 무엇인가요?</t>
  </si>
  <si>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</si>
  <si>
    <t>관련 근거 문서가 없어서 기초 답변이 나온거 같습니다. 다만 홈페이지내 공식 SNS에서는 확인이 불가능한데 잘못된 정보가 생성이 됩니다.</t>
  </si>
  <si>
    <t>문서 보존기간은 얼마인가요?</t>
  </si>
  <si>
    <t>행정문서 또는 기록물의 종류별 보존기간과 관련 법령·내부 지침상 보존 기간 산정 기준은 무엇인가요?</t>
  </si>
  <si>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</si>
  <si>
    <t>ㆍ587_압축사무관리규정_시행내규20130930.pdf (p.5)
https://busanai.busan.go.kr/download/587_압축사무관리규정_시행내규20130930.pdf</t>
  </si>
  <si>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</si>
  <si>
    <t>기대답변 :
 문서 보존기간은 기록물의 성격과 증명·관리 필요성에 따라 영구 → 준영구 → 30년 → 10년 → 5년 → 3년 → 1년으로 구분된다. 각 기간은 다음 기준에 따라 책정된다.
 1. 영구 보존 : 다음과 같이 국가·기관·국민의 권리‧의무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</si>
  <si>
    <t>438_2502_통합민원과_업무메뉴얼_통합민원과_기록관리_업무편람기정너.pdf</t>
  </si>
  <si>
    <t>85, 86, 87</t>
  </si>
  <si>
    <t>페이지 내용 전체</t>
  </si>
  <si>
    <r>
      <rPr>
        <rFont val="맑은 고딕"/>
        <b/>
        <color theme="1"/>
        <sz val="11.0"/>
      </rPr>
      <t xml:space="preserve">438_2502_통합민원과_업무메뉴얼_통합민원과_기록관리_업무편람기정너.pdf[29]
-----
</t>
    </r>
    <r>
      <rPr>
        <rFont val="맑은 고딕"/>
        <color theme="1"/>
        <sz val="11.0"/>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rFont val="맑은 고딕"/>
        <color rgb="FFFF0000"/>
        <sz val="11.0"/>
      </rPr>
      <t>4. 보존기간 기 록물의 보존ᆞ활용ᆞ폐기 등 등록 이후 기록물 관리의 핵심 • 구 분 : 1년, 3년, 5년, 10년, 30년, 준영구, 영구 • 관계 법령, 업무의 중요도, 활용여부, 역사적 가치 등을 종합적으로 검토하여 결정</t>
    </r>
    <r>
      <rPr>
        <rFont val="맑은 고딕"/>
        <color theme="1"/>
        <sz val="11.0"/>
      </rPr>
      <t xml:space="preserve"> 기 산일 : 기록물의 처리가 완결된 날이 속하는 다음 연도의 1월 1일 • [ 예] 2021.10.23 생산한 보존기간 3년인 문서의 보존기간→ 2022.1. 1 ~ 2024. 12. 3 </t>
    </r>
    <r>
      <rPr>
        <rFont val="Segoe UI Symbol"/>
        <color theme="1"/>
        <sz val="11.0"/>
      </rPr>
      <t>✽</t>
    </r>
    <r>
      <rPr>
        <rFont val="맑은 고딕"/>
        <color theme="1"/>
        <sz val="11.0"/>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rFont val="Segoe UI Symbol"/>
        <color theme="1"/>
        <sz val="11.0"/>
      </rPr>
      <t>✽</t>
    </r>
    <r>
      <rPr>
        <rFont val="맑은 고딕"/>
        <color theme="1"/>
        <sz val="11.0"/>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</si>
  <si>
    <r>
      <rPr>
        <rFont val="맑은 고딕"/>
        <b/>
        <color theme="1"/>
        <sz val="11.0"/>
      </rPr>
      <t xml:space="preserve">432_2412_통합민원과_업무메뉴얼_국가기록원_25년_기록물관리_지침.pdf[18] </t>
    </r>
    <r>
      <rPr>
        <rFont val="맑은 고딕"/>
        <color theme="1"/>
        <sz val="11.0"/>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</si>
  <si>
    <r>
      <rPr>
        <rFont val="맑은 고딕"/>
        <b/>
        <color theme="1"/>
        <sz val="11.0"/>
      </rPr>
      <t xml:space="preserve">432_2412_통합민원과_업무메뉴얼_국가기록원_25년_기록물관리_지침.pdf[22] </t>
    </r>
    <r>
      <rPr>
        <rFont val="맑은 고딕"/>
        <color theme="1"/>
        <sz val="11.0"/>
      </rPr>
      <t xml:space="preserve">
-----
</t>
    </r>
    <r>
      <rPr>
        <rFont val="맑은 고딕"/>
        <color rgb="FFFF0000"/>
        <sz val="11.0"/>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</si>
  <si>
    <t>직원대상 후생복지 내용을 보는 방법이 있나요?</t>
  </si>
  <si>
    <t>후생복지 제도의 종류와 상세 내용, 안내 자료를 확인하려는 경우, 공식 시스템이나 포털에서 조회하는 방법과 접근 절차는 무엇인가요?</t>
  </si>
  <si>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</si>
  <si>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</si>
  <si>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</si>
  <si>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</si>
  <si>
    <t>1283_2503_인사과_공문_인사과_2025년_공무원_후생복지_추진계획배포-hwp.pdf</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</si>
  <si>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</si>
  <si>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t>직원 대상 후생복지 내용 확인 방법, 부산시 공무원 복지지원 프로그램 전체 내용</t>
  </si>
  <si>
    <r>
      <rPr>
        <rFont val="맑은 고딕"/>
        <b/>
        <color theme="1"/>
        <sz val="11.0"/>
      </rPr>
      <t>128_페이지13_문서8_162323_부산광역시_공무원_후생복지에_관한_조례.pdf</t>
    </r>
    <r>
      <rPr>
        <rFont val="맑은 고딕"/>
        <color theme="1"/>
        <sz val="11.0"/>
      </rPr>
      <t xml:space="preserve">
-----
</t>
    </r>
    <r>
      <rPr>
        <rFont val="맑은 고딕"/>
        <color rgb="FFFF0000"/>
        <sz val="11.0"/>
      </rPr>
      <t xml:space="preserve">자치법규 조례에 위 파일이 있으나 실제 내용에 후생복지 내용에 대한 세부 사항이 정리되어 있지는 않음 </t>
    </r>
  </si>
  <si>
    <r>
      <rPr>
        <rFont val="맑은 고딕"/>
        <b/>
        <color theme="1"/>
        <sz val="11.0"/>
      </rPr>
      <t xml:space="preserve">300_2502_인사과_업무매뉴얼_인사과_직원복지지원시스템_사용방법_안내장례비.pdf
-----
301_2502_인사과_업무매뉴얼_인사과_직원복지지원시스템_신청방법휴양시설_이용_지원.pdf
-----
</t>
    </r>
    <r>
      <rPr>
        <rFont val="맑은 고딕"/>
        <color rgb="FFFF0000"/>
        <sz val="11.0"/>
      </rPr>
      <t>신청 방법에 대한 간단한 설명은 있으나 내용을 확인할 수 없음</t>
    </r>
  </si>
  <si>
    <t>공무직 업무 담당자를 위한 사례집이 있나요?</t>
  </si>
  <si>
    <t>공무직 업무 담당자가 참고할 수 있는 업무 사례집이나 가이드 자료가 존재하는지, 존재할 경우 확인 및 열람 방법은 무엇인가요?</t>
  </si>
  <si>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</si>
  <si>
    <t>제출된 자료 중에는 공무직 업무 담당자 사례집이 없으므로 이상없습니다.</t>
  </si>
  <si>
    <t>지방재정시스템 전체 매뉴얼이 있을까요?</t>
  </si>
  <si>
    <t>지방재정시스템(e호조, 이호조)과 관련하여, 전체 기능과 사용 절차를 안내하는 공식 매뉴얼이나 가이드 자료가 존재하는지, 존재할 경우 확인 및 열람 방법은 무엇인가요?</t>
  </si>
  <si>
    <t xml:space="preserve">지방재정시스템 전체 매뉴얼은 부산광역시에서 제공하고 있으며, 해당 매뉴얼을 확인할 수 있는 방법은 부산광역시 재정관리시스템 홈페이지에서 다운로드 받을 수 있습니다. </t>
  </si>
  <si>
    <t>제출된 자료 중에는 지방재정시스템 매뉴얼이 없습니다. 공무직 업무 담당자를 위한 사례집 답변처럼 되어야 할것으로 보입니다.</t>
  </si>
  <si>
    <t>세정정책담당관_e호조 예산결산 매뉴얼이 있긴 하나
 전체 매뉴얼은 아니므로 미답변 처리 바랍니다.</t>
  </si>
  <si>
    <t>금액별 수의, 조달, 계약 절차 매뉴얼을 찾고 싶어요</t>
  </si>
  <si>
    <t>금액 구간별(소액, 수의계약, 조달 계약 등) 계약 절차와 관련한 매뉴얼이나 안내 자료를 확인하려는 경우, 공식 자료의 존재 여부와 조회·열람 방법은 무엇인가요?</t>
  </si>
  <si>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</si>
  <si>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</si>
  <si>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</si>
  <si>
    <t>14</t>
  </si>
  <si>
    <t>페이지 내용 전체 
 ------
 [문서 해당 페이지가 질문에 대한 매뉴얼에 해당되는 문서임]</t>
  </si>
  <si>
    <t>금액별 수의계약, 조달계약 절차 관련 매뉴얼</t>
  </si>
  <si>
    <r>
      <rPr>
        <rFont val="맑은 고딕"/>
        <b/>
        <color theme="1"/>
        <sz val="11.0"/>
      </rPr>
      <t>478_2505_회계재산담당관_업무매뉴얼_회계재산담당관_계약업무_참고자료회계재산담당관외부용.pdf[14]</t>
    </r>
    <r>
      <rPr>
        <rFont val="맑은 고딕"/>
        <color theme="1"/>
        <sz val="11.0"/>
      </rPr>
      <t xml:space="preserve">
-----
5. 추정가격에 따른 계약방법
[표로 수의계약, 지역제한, 전국입찰 관련 사항이 정리되어 있음]</t>
    </r>
  </si>
  <si>
    <r>
      <rPr>
        <rFont val="맑은 고딕"/>
        <b/>
        <color theme="1"/>
        <sz val="11.0"/>
      </rPr>
      <t>475_2501_회계재산담당관_업무매뉴얼_회계재산담당관_2025년_계약업무_통합운영_매뉴얼2511_회계재산담당관_계약지원팀.pdf</t>
    </r>
    <r>
      <rPr>
        <rFont val="맑은 고딕"/>
        <color theme="1"/>
        <sz val="11.0"/>
      </rPr>
      <t xml:space="preserve">
-----
금액 별 수의계약, 조달 등의 계약 절차에 대한 내용을 찾을 수 없음</t>
    </r>
  </si>
  <si>
    <t>DRM, 네트워크접근제어 아이디, 패스워드 찾는 매뉴얼이 있나요?</t>
  </si>
  <si>
    <t>DRM(자료반출관리시스템, 문서암호화시스템) 및 네트워크접근제어(NAC) 계정·비밀번호 관련 매뉴얼이나 안내 자료를 확인하려는 경우, 공식 매뉴얼의 존재 여부와 조회·열람 방법은 무엇인가요?</t>
  </si>
  <si>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</si>
  <si>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</si>
  <si>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331_2112_정보화정책과_업무매뉴얼_정보화정책과_부서관리자_매뉴얼자료유출방지시스템_DRM_v50_비번초기화.pdf
1284_2512_부산시_업무관련_FAQ문서.pdf</t>
  </si>
  <si>
    <t>1, 2, 3
5</t>
  </si>
  <si>
    <t>본문 내용 일체
 5. 네트워크 인증 시스템(NAC)
  - 네트워크가 차단되셨다면 행정전화(5999)로 연락바랍니다
  - 네트워크 인증 시스템 비밀번호 분실 시 행정전화(5999)로 연락바랍니다</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</si>
  <si>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
---
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</si>
  <si>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온나라 2.0 이후 많이 발생하는 오류 사례집이 있나요?</t>
  </si>
  <si>
    <t>온나라(온나라 문서) 2.0 시스템을 사용하면서 자주 발생하는 오류 사례와 해결 방법을 정리한 공식 사례집이나 안내 자료가 존재하는지, 존재할 경우 조회·열람 방법은 무엇인가요?</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</si>
  <si>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</si>
  <si>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</si>
  <si>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</si>
  <si>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353_2412_정보화정책과_업무매뉴얼_KLID_온나라_20_달라지는_점PDF.pdf</t>
  </si>
  <si>
    <t>25, 26</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</si>
  <si>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</si>
  <si>
    <t>온나라 2.0 전환 이후 자주 발생하는 오류에 대한 사례집 및 질문과 답변, 온나라 2.0 FAQ</t>
  </si>
  <si>
    <r>
      <rPr>
        <rFont val="맑은 고딕"/>
        <b/>
        <color theme="1"/>
        <sz val="11.0"/>
      </rPr>
      <t xml:space="preserve">365_2412_정보화정책과_업무매뉴얼_정보화정책과_온나라20문서작성매뉴얼_NO2_본문내용_복사하기.pdf (p.6)
354_2412_정보화정책과_업무매뉴얼_KLID_온나라_20_전환기관_공통교안PDF.pdf (p.34)
</t>
    </r>
    <r>
      <rPr>
        <rFont val="맑은 고딕"/>
        <color theme="1"/>
        <sz val="11.0"/>
      </rPr>
      <t>-----
관련 있는 데이터가 없었음</t>
    </r>
  </si>
  <si>
    <t xml:space="preserve">전자적 인수인계 매뉴얼이 있나요? </t>
  </si>
  <si>
    <t>내부 업무에서 사용되는 전자적 인수인계 시스템 또는 절차에 대해, 공식 매뉴얼이나 표준 지침이 존재하는지와 이를 확인·열람하는 방법은 무엇인가요?</t>
  </si>
  <si>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</si>
  <si>
    <t>전자적 인수인계 매뉴얼은 없는데 있다고 내용이 나와서 오류입니다. 그리고 매뉴얼이 있다고 하는데 근거자료로 링크가 제공되지 않습니다.</t>
  </si>
  <si>
    <t>공용차량 신청방법</t>
  </si>
  <si>
    <t>공용차량(관용차, 관용차량)을 이용하려는 경우, 관련 내부 규정과 절차에 따라 신청, 승인, 배차까지 진행되는 방법은 무엇인가요?</t>
  </si>
  <si>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</si>
  <si>
    <t>관련 근거 문서가 없기 때문에 기본적인 답변이 나온것으로 보입니다.</t>
  </si>
  <si>
    <t>공용차랑 신청방법 안내, 공용 차량 신청 및 배차 방법 안내, 차량 배차 협조 요청 절차 및 처리 방법 안내, 공용차량을 신청하는 방법을 안내</t>
  </si>
  <si>
    <t>SQG020</t>
  </si>
  <si>
    <t>공무원증 재발급 방법</t>
  </si>
  <si>
    <t>공무원증을 분실하거나 훼손했을 때, 관련 내부 규정과 절차에 따라 재발급을 신청하고 수령하는 방법은 무엇인가요?</t>
  </si>
  <si>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</si>
  <si>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</si>
  <si>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</si>
  <si>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</si>
  <si>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1219_2510_인사과_매뉴얼_인사과_자주찾는_질문인사과_전체.pdf</t>
  </si>
  <si>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</si>
  <si>
    <t>공무원증 신청 및 승인처리 방법, 공무원증 재발급 받는 방법, 청사 공무원증 발급 방법, 청사 출입 방법, 모바일 공무원증 발급 방법, 공무원증 활용 방안</t>
  </si>
  <si>
    <t>SQG016</t>
  </si>
  <si>
    <t>네트워크 차단 시 조치방법</t>
  </si>
  <si>
    <t>내부 업무망 사용 중 네트워크 차단이 발생했을 때, 관련 보안·전산 운영 규정에 따라 수행해야 하는 확인 절차와 조치 방법은 무엇인가요?</t>
  </si>
  <si>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</si>
  <si>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</si>
  <si>
    <t>제출 문서가 없지만 기본적인 내용이라 답변이 필요할 것으로 보입니다.
 기대답변 :
 네트워크가 차단되셨다면 행정전화(5999)로 연락바랍니다.</t>
  </si>
  <si>
    <t>5. 네트워크 인증 시스템(NAC, PClient) 오류나 문제가 발생하였을 때 대처방법을 알려주세요.
  - 네트워크가 차단되셨다면 행정전화(5999)로 연락바랍니다
  - 네트워크 인증 시스템 비밀번호 분실 시 행정전화(5999)로 연락바랍니다</t>
  </si>
  <si>
    <t>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</si>
  <si>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도모헌공간 신청방법</t>
  </si>
  <si>
    <t>‘도모헌’ 공간을 사용하려는 경우, 관련 내부 규정과 절차에 따라 신청, 승인, 사용까지 진행되는 방법은 무엇인가요?</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</si>
  <si>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</si>
  <si>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ㆍ407_2505_총무과_주요질문사항_도모헌_이용범위_및_신청_절차.pdf (p.1)</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</si>
  <si>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</si>
  <si>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407_2505_총무과_주요질문사항_도모헌_이용범위_및_신청_절차.pdf</t>
  </si>
  <si>
    <t>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</si>
  <si>
    <t>도모헌 공간 신청 방법 및 절차에 대한 설명</t>
  </si>
  <si>
    <t xml:space="preserve">부산시 공무원 복지지원 프로그램 총괄 </t>
  </si>
  <si>
    <t>복지지원 프로그램 전체 현황과 종류, 지원 대상, 신청 절차 및 이용 방법을 총괄적으로 확인할 수 있는 방법은 무엇인가요?</t>
  </si>
  <si>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</si>
  <si>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</si>
  <si>
    <t>입법예고문이 근거자료로 활용되기에는 좀 어렵습니다.
그 외 복지프로그램 사용 방법에 대한 문서도 2개 있는데
해당 질의의 의도 분류가 좀 어려울 수도 있어서 답변 자체는 나쁘지 않은것 같습닏.</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</si>
  <si>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</si>
  <si>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r>
      <rPr>
        <rFont val="맑은 고딕"/>
        <b/>
        <color theme="1"/>
        <sz val="11.0"/>
      </rPr>
      <t>290_2501_인사과_기타_인사과_2025년도_부산광역시_맞춤형복지제도_운영계획.pdf[3]</t>
    </r>
    <r>
      <rPr>
        <rFont val="맑은 고딕"/>
        <color theme="1"/>
        <sz val="11.0"/>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rFont val="Segoe UI Symbol"/>
        <color theme="1"/>
        <sz val="11.0"/>
      </rPr>
      <t>▹</t>
    </r>
    <r>
      <rPr>
        <rFont val="맑은 고딕"/>
        <color theme="1"/>
        <sz val="11.0"/>
      </rPr>
      <t xml:space="preserve"> (복지포인트) 6,762,000천원, (단체보험) 906,500천원 - 공무직 등 </t>
    </r>
    <r>
      <rPr>
        <rFont val="Segoe UI Symbol"/>
        <color theme="1"/>
        <sz val="11.0"/>
      </rPr>
      <t>▹</t>
    </r>
    <r>
      <rPr>
        <rFont val="맑은 고딕"/>
        <color theme="1"/>
        <sz val="11.0"/>
      </rPr>
      <t xml:space="preserve"> (복지포인트) 1,758,120천원, (단체보험) 235,690천원</t>
    </r>
    <r>
      <rPr>
        <rFont val="맑은 고딕"/>
        <color rgb="FFFF0000"/>
        <sz val="11.0"/>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rFont val="Segoe UI Symbol"/>
        <color rgb="FFFF0000"/>
        <sz val="11.0"/>
      </rPr>
      <t>▹</t>
    </r>
    <r>
      <rPr>
        <rFont val="맑은 고딕"/>
        <color rgb="FFFF0000"/>
        <sz val="11.0"/>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</si>
  <si>
    <r>
      <rPr>
        <rFont val="맑은 고딕"/>
        <b/>
        <color theme="1"/>
        <sz val="11.0"/>
      </rPr>
      <t>290_2501_인사과_기타_인사과_2025년도_부산광역시_맞춤형복지제도_운영계획.pdf[1</t>
    </r>
    <r>
      <rPr>
        <rFont val="맑은 고딕"/>
        <color theme="1"/>
        <sz val="11.0"/>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rFont val="맑은 고딕"/>
        <color rgb="FFFF0000"/>
        <sz val="11.0"/>
      </rPr>
      <t xml:space="preserve">&lt;2025년도 달라지는 내용&gt; </t>
    </r>
    <r>
      <rPr>
        <rFont val="Segoe UI Symbol"/>
        <color rgb="FFFF0000"/>
        <sz val="11.0"/>
      </rPr>
      <t>❖</t>
    </r>
    <r>
      <rPr>
        <rFont val="맑은 고딕"/>
        <color rgb="FFFF0000"/>
        <sz val="11.0"/>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rFont val="Segoe UI Symbol"/>
        <color rgb="FFFF0000"/>
        <sz val="11.0"/>
      </rPr>
      <t>▹</t>
    </r>
    <r>
      <rPr>
        <rFont val="맑은 고딕"/>
        <color rgb="FFFF0000"/>
        <sz val="11.0"/>
      </rPr>
      <t xml:space="preserve">한시적 </t>
    </r>
    <r>
      <rPr>
        <rFont val="Segoe UI Symbol"/>
        <color rgb="FFFF0000"/>
        <sz val="11.0"/>
      </rPr>
      <t>❖</t>
    </r>
    <r>
      <rPr>
        <rFont val="맑은 고딕"/>
        <color rgb="FFFF0000"/>
        <sz val="11.0"/>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</si>
  <si>
    <r>
      <rPr>
        <rFont val="맑은 고딕"/>
        <b/>
        <color theme="1"/>
        <sz val="11.0"/>
      </rPr>
      <t>284_2501_인사과_기타_인사과_2025년_직원_장기재직휴가_지원_계획.pdf[2]</t>
    </r>
    <r>
      <rPr>
        <rFont val="맑은 고딕"/>
        <color theme="1"/>
        <sz val="11.0"/>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rFont val="Segoe UI Symbol"/>
        <color theme="1"/>
        <sz val="11.0"/>
      </rPr>
      <t>▹</t>
    </r>
    <r>
      <rPr>
        <rFont val="맑은 고딕"/>
        <color theme="1"/>
        <sz val="11.0"/>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</si>
  <si>
    <r>
      <rPr>
        <rFont val="맑은 고딕"/>
        <b/>
        <color theme="1"/>
        <sz val="11.0"/>
      </rPr>
      <t>278_2501_인사과_기타_인사과_2025년_공무원_장례비_지원_추진계획.pdf[1]</t>
    </r>
    <r>
      <rPr>
        <rFont val="맑은 고딕"/>
        <color theme="1"/>
        <sz val="11.0"/>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</si>
  <si>
    <t>사무실 물품 지원 절차 및 지원 목록</t>
  </si>
  <si>
    <t>사무실 물품을 지원받으려는 경우, 관련 내부 규정과 절차에 따라 신청, 승인, 수령까지 진행되는 방법과 제공되는 물품 목록은 무엇인가요?</t>
  </si>
  <si>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</si>
  <si>
    <t>근거문서가 아마 없을것으로 판단됩니다.
하지만 내부 직원의 문의나 신청등은 보통 시 홈페이지로 받지는 않습니다.
시 홈페이지는 대민서비스 위주로 보시면 됩니다</t>
  </si>
  <si>
    <t>사무실 가구 파손 시 수리 안내</t>
  </si>
  <si>
    <t>사무실 가구가 파손된 경우, 관련 절차에 따라 수리 요청, 처리 및 완료까지 진행되는 방법은 무엇인가요?</t>
  </si>
  <si>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</si>
  <si>
    <t>해당 질의도 근거 문서가 없는 질문입니다.
그래서 일반적인 기초 답변 정도로 생성된거 같습니다.</t>
  </si>
  <si>
    <t>보안 USB 반출 및 반입 절차는?</t>
  </si>
  <si>
    <t>보안 USB를 업무상 반출·반입하려는 경우, 매체제어시스템(보안USB 관리시스템)에서 어떻게 처리해야 하나요?</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</si>
  <si>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</si>
  <si>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</si>
  <si>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</si>
  <si>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369_2412_정보화정책과_업무매뉴얼_채울_휴대용저장매체관리시스템_사용자_매뉴얼.pdf</t>
  </si>
  <si>
    <t>23, 24, 26</t>
  </si>
  <si>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</si>
  <si>
    <t>보안 USB 외부 반출 절차, 보안 USB 내부 반입 절차, 유에스비 반입 반출 절차 안내</t>
  </si>
  <si>
    <r>
      <rPr>
        <rFont val="맑은 고딕"/>
        <b/>
        <color theme="1"/>
        <sz val="11.0"/>
      </rPr>
      <t xml:space="preserve">369_2412_정보화정책과_업무매뉴얼_채울_휴대용저장매체관리시스템_사용자_매뉴얼.pdf[23~24]
-----
</t>
    </r>
    <r>
      <rPr>
        <rFont val="맑은 고딕"/>
        <color theme="1"/>
        <sz val="11.0"/>
      </rPr>
      <t xml:space="preserve">[보안 USB 반출절차]
</t>
    </r>
  </si>
  <si>
    <r>
      <rPr>
        <rFont val="맑은 고딕"/>
        <b/>
        <color theme="1"/>
        <sz val="11.0"/>
      </rPr>
      <t xml:space="preserve">369_2412_정보화정책과_업무매뉴얼_채울_휴대용저장매체관리시스템_사용자_매뉴얼.pdf[26]
-----
</t>
    </r>
    <r>
      <rPr>
        <rFont val="맑은 고딕"/>
        <color theme="1"/>
        <sz val="11.0"/>
      </rPr>
      <t>[보안 USB 반입절차]</t>
    </r>
  </si>
  <si>
    <r>
      <rPr>
        <rFont val="맑은 고딕"/>
        <b/>
        <color theme="1"/>
        <sz val="11.0"/>
      </rPr>
      <t xml:space="preserve">368_2412_정보화정책과_업무매뉴얼_채울_휴대용저장매체관리시스템_부서관리자_매뉴얼.pdf [12~13]
-----
</t>
    </r>
    <r>
      <rPr>
        <rFont val="맑은 고딕"/>
        <color theme="1"/>
        <sz val="11.0"/>
      </rPr>
      <t>[보안 USB 반출 신청서 승인처리]</t>
    </r>
  </si>
  <si>
    <t>시청 방송 채널 번호를 모르겠어요</t>
  </si>
  <si>
    <t>내부 방송 또는 시정 방송을 시청하기 위해 필요한 채널 번호와 시청 방법을 확인할 수 있는 절차는 무엇인가요?</t>
  </si>
  <si>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</si>
  <si>
    <t>해당 자료는 관련 매뉴얼이 없습니다.
해당 채널 번호에 대해 확인이 어려워
정합성에 대한 여부 확인이 불가능하니
시청 방송 채널 번호에 대한 자료는 없다고 표출하는것이 맞는거 같습니다.</t>
  </si>
  <si>
    <t>구청에서 근무 중인 시직원도 장기재직 휴가 쓸 수 있나요?</t>
  </si>
  <si>
    <t>부산광역시 소속 공무원이 구청 등 산하기관에 파견·전출되어 근무하는 경우에도, 내부 인사 규정에서 정한 장기재직 휴가를 동일하게 신청·사용할 수 있는지와 그 적용 기준은 무엇인가요?</t>
  </si>
  <si>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</si>
  <si>
    <t>ㆍ284_2501_인사과_기타_인사과_2025년_직원_장기재직휴가_지원_계획.pdf (p.2)
https://busanai.busan.go.kr/download/284_2501_인사과_기타_인사과_2025년_직원_장기재직휴가_지원_계획.pdf</t>
  </si>
  <si>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</si>
  <si>
    <t>기대답변:
 &lt;자치구・군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</si>
  <si>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1227_2407_부산광역시_인사과_업무매뉴얼_인사과_장기재직휴가_시행지침_개정전문.pdf</t>
  </si>
  <si>
    <t>&lt;자치구・군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</si>
  <si>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장기재직휴가 등록 기준 및 사용 방법과 신청 절차, 장기재직휴가 기준 및 사용방법과 신청절차, 장기재직휴가 사용 요건 인사랑 자동 반영여부, 인사교류 파견자의 장기재직휴가 사용 안내, 구청 근무 시직원 장기재직휴가 사용 안내</t>
  </si>
  <si>
    <t>임기제 공무원 고용보험 가입 요청 시 어떻게 해야 하나요?</t>
  </si>
  <si>
    <t>임기제 공무원을 신규 임용하거나 계약 갱신할 때, 고용보험 가입이 필요한 경우 관련 규정에 따라 신청, 처리, 확인까지 진행되는 절차는 무엇인가요?</t>
  </si>
  <si>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</si>
  <si>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</si>
  <si>
    <r>
      <rPr>
        <rFont val="맑은 고딕"/>
        <b/>
        <color theme="1"/>
        <sz val="11.0"/>
      </rPr>
      <t xml:space="preserve">298_2502_인사과_업무매뉴얼_근로복지공단_2025_산재고용보험_가입_및_부과업무_실무편람.pdf[32]
-----
</t>
    </r>
    <r>
      <rPr>
        <rFont val="맑은 고딕"/>
        <b/>
        <color rgb="FFFF0000"/>
        <sz val="11.0"/>
      </rPr>
      <t>[아래 내용에 가이드해준 문구가 있으나 실제 내용은 고용보험 가입제외 대상 근로자 내용에 이 부분이 있어 조회가 되어도 답으로 활용할 수 있을지 검토 필요]</t>
    </r>
    <r>
      <rPr>
        <rFont val="맑은 고딕"/>
        <b/>
        <color theme="1"/>
        <sz val="11.0"/>
      </rPr>
      <t xml:space="preserve">
</t>
    </r>
    <r>
      <rPr>
        <rFont val="맑은 고딕"/>
        <color theme="1"/>
        <sz val="11.0"/>
      </rPr>
      <t xml:space="preserve">
제1장 보험 가입 근로자
1 보험 가입 대상 근로자
산재보험과 고용보험 가입 대상인 근로자는 </t>
    </r>
    <r>
      <rPr>
        <rFont val="Noto Sans KR"/>
        <color theme="1"/>
        <sz val="11.0"/>
      </rPr>
      <t>｢</t>
    </r>
    <r>
      <rPr>
        <rFont val="맑은 고딕"/>
        <color theme="1"/>
        <sz val="11.0"/>
      </rPr>
      <t>근로기준법</t>
    </r>
    <r>
      <rPr>
        <rFont val="Noto Sans KR"/>
        <color theme="1"/>
        <sz val="11.0"/>
      </rPr>
      <t>｣</t>
    </r>
    <r>
      <rPr>
        <rFont val="맑은 고딕"/>
        <color theme="1"/>
        <sz val="11.0"/>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rFont val="Noto Sans KR"/>
        <color theme="1"/>
        <sz val="11.0"/>
      </rPr>
      <t>｢</t>
    </r>
    <r>
      <rPr>
        <rFont val="맑은 고딕"/>
        <color theme="1"/>
        <sz val="11.0"/>
      </rPr>
      <t>공무원 재해보상법</t>
    </r>
    <r>
      <rPr>
        <rFont val="Noto Sans KR"/>
        <color theme="1"/>
        <sz val="11.0"/>
      </rPr>
      <t>｣</t>
    </r>
    <r>
      <rPr>
        <rFont val="맑은 고딕"/>
        <color theme="1"/>
        <sz val="11.0"/>
      </rPr>
      <t xml:space="preserve"> 또는 </t>
    </r>
    <r>
      <rPr>
        <rFont val="Noto Sans KR"/>
        <color theme="1"/>
        <sz val="11.0"/>
      </rPr>
      <t>｢</t>
    </r>
    <r>
      <rPr>
        <rFont val="맑은 고딕"/>
        <color theme="1"/>
        <sz val="11.0"/>
      </rPr>
      <t>군인 재해보상법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선원법</t>
    </r>
    <r>
      <rPr>
        <rFont val="Noto Sans KR"/>
        <color theme="1"/>
        <sz val="11.0"/>
      </rPr>
      <t>｣</t>
    </r>
    <r>
      <rPr>
        <rFont val="맑은 고딕"/>
        <color theme="1"/>
        <sz val="11.0"/>
      </rPr>
      <t xml:space="preserve"> 또는 </t>
    </r>
    <r>
      <rPr>
        <rFont val="Noto Sans KR"/>
        <color theme="1"/>
        <sz val="11.0"/>
      </rPr>
      <t>｢</t>
    </r>
    <r>
      <rPr>
        <rFont val="맑은 고딕"/>
        <color theme="1"/>
        <sz val="11.0"/>
      </rPr>
      <t>어선원 및 어선재해보상보험법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사립학교교직원연금법</t>
    </r>
    <r>
      <rPr>
        <rFont val="Noto Sans KR"/>
        <color theme="1"/>
        <sz val="11.0"/>
      </rPr>
      <t>｣</t>
    </r>
    <r>
      <rPr>
        <rFont val="맑은 고딕"/>
        <color theme="1"/>
        <sz val="11.0"/>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rFont val="Noto Sans KR"/>
        <color theme="1"/>
        <sz val="11.0"/>
      </rPr>
      <t>｢</t>
    </r>
    <r>
      <rPr>
        <rFont val="맑은 고딕"/>
        <color theme="1"/>
        <sz val="11.0"/>
      </rPr>
      <t>고용보험법</t>
    </r>
    <r>
      <rPr>
        <rFont val="Noto Sans KR"/>
        <color theme="1"/>
        <sz val="11.0"/>
      </rPr>
      <t>｣</t>
    </r>
    <r>
      <rPr>
        <rFont val="맑은 고딕"/>
        <color theme="1"/>
        <sz val="11.0"/>
      </rPr>
      <t xml:space="preserve"> 제2조제6호의 규정에 의한
1개월 미만의 기간 동안 고용된 일용근로자는 가입대상 근로자임
</t>
    </r>
    <r>
      <rPr>
        <rFont val="Noto Sans KR"/>
        <color rgb="FFFF0000"/>
        <sz val="11.0"/>
      </rPr>
      <t>｢</t>
    </r>
    <r>
      <rPr>
        <rFont val="맑은 고딕"/>
        <color rgb="FFFF0000"/>
        <sz val="11.0"/>
      </rPr>
      <t>국가공무원법</t>
    </r>
    <r>
      <rPr>
        <rFont val="Noto Sans KR"/>
        <color rgb="FFFF0000"/>
        <sz val="11.0"/>
      </rPr>
      <t>｣</t>
    </r>
    <r>
      <rPr>
        <rFont val="맑은 고딕"/>
        <color rgb="FFFF0000"/>
        <sz val="11.0"/>
      </rPr>
      <t xml:space="preserve">과 </t>
    </r>
    <r>
      <rPr>
        <rFont val="Noto Sans KR"/>
        <color rgb="FFFF0000"/>
        <sz val="11.0"/>
      </rPr>
      <t>｢</t>
    </r>
    <r>
      <rPr>
        <rFont val="맑은 고딕"/>
        <color rgb="FFFF0000"/>
        <sz val="11.0"/>
      </rPr>
      <t>지방공무원법</t>
    </r>
    <r>
      <rPr>
        <rFont val="Noto Sans KR"/>
        <color rgb="FFFF0000"/>
        <sz val="11.0"/>
      </rPr>
      <t>｣</t>
    </r>
    <r>
      <rPr>
        <rFont val="맑은 고딕"/>
        <color rgb="FFFF0000"/>
        <sz val="11.0"/>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</si>
  <si>
    <t>4시간 미만 관외출장의 경우 일비 및 식비 정액 지급하는지?</t>
  </si>
  <si>
    <t>4시간 미만의 관외출장을 실시한 경우, 내부 여비 규정에 따라 일비와 식비가 정액으로 지급되는지 여부와 그 적용 기준은 무엇인가요?</t>
  </si>
  <si>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</si>
  <si>
    <t>ㆍ84095_공개문_2023년_하반기_출연기관_종합감사_결과_보고서.pdf (p.70)
https://busanai.busan.go.kr/download/84095_공개문_2023년_하반기_출연기관_종합감사_결과_보고서.pdf</t>
  </si>
  <si>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</si>
  <si>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</si>
  <si>
    <t>1229_공무원_여비_규정대통령령제35811호20251001.pdf
 1226_2025_공무원보수_등의_업무지침인사혁신처_예규_제192호.pdf</t>
  </si>
  <si>
    <t>2,3,5
 594, 595</t>
  </si>
  <si>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</si>
  <si>
    <t>관외 출장 일비 및 식비 지급 안내, 4시간 미만 관외 출장 여비 지급 여부</t>
  </si>
  <si>
    <t>출장 시간 계산 시 18시 근무시간 이후 시간도 포함해야 하는지?</t>
  </si>
  <si>
    <t>관내·관외출장을 수행할 때, 출장 시간 산정 과정에서 18시 이후의 근무시간 외 시간이 포함되는지 여부와 그 적용 기준은 무엇인가요?</t>
  </si>
  <si>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</si>
  <si>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</si>
  <si>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</si>
  <si>
    <t>1249_지방공무원_복무규정대통령령제35666호20250722.pdf</t>
  </si>
  <si>
    <t>3, 4</t>
  </si>
  <si>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t>
  </si>
  <si>
    <t>SQG022</t>
  </si>
  <si>
    <t>세외수입 부과 후 해당 회계연도 내 미수납 된 모든 건들은 지난년도수입으로 관리되는 건지?</t>
  </si>
  <si>
    <t>세외수입을 부과했음에도 해당 회계연도 내에 미수납된 경우, 다음 연도에 이를 지난년도수입으로 처리해야 하는지 여부와 적용 기준은 무엇인가요?</t>
  </si>
  <si>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</si>
  <si>
    <t>해당 내용도 위와 같습니다.</t>
  </si>
  <si>
    <t>조례 제정 및 개정 절차는?</t>
  </si>
  <si>
    <t>조례를 새로 제정하거나 기존 조례를 개정할 때, 관련 법령과 내부 절차에 따라 입안부터 공포까지 진행되는 단계별 절차는 무엇인가요?</t>
  </si>
  <si>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</si>
  <si>
    <t>ㆍ76111_입법예고문부산광역시_시민제안제도_운영_조례-hwp.pdf (p.1)
https://busanai.busan.go.kr/download/76111_입법예고문부산광역시_시민제안제도_운영_조례-hwp.pdf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</si>
  <si>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</si>
  <si>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</si>
  <si>
    <t>92_2501_법무담당관_업무매뉴얼_법무담당관_자치법규_입법절차_등.pdf</t>
  </si>
  <si>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</si>
  <si>
    <r>
      <rPr>
        <rFont val="Malgun Gothic"/>
        <color rgb="FF000000"/>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제정 및 개정 입법 절차는?</t>
    </r>
  </si>
  <si>
    <t>SQG012</t>
  </si>
  <si>
    <t>[RAG 청크 내용 확인 필요]</t>
  </si>
  <si>
    <t>캐비닛 등 물품 파손 시 어디까지 수리해주시나요?</t>
  </si>
  <si>
    <t>사무실에서 캐비닛 등 집기류가 파손된 경우, 내부 물품관리 규정에 따라 지원받을 수 있는 수리 범위와 담당 부서의 처리 기준은 무엇인가요?</t>
  </si>
  <si>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</si>
  <si>
    <t>해당 내용도 세외수입 부과 후 질의와 동일합니다.</t>
  </si>
  <si>
    <t>행정전화기 사용방법을 모르겠습니다</t>
  </si>
  <si>
    <t>행정전화기의 기본 기능(걸기·받기·보류·호전환 등)과 사용 절차를 단계별로 설명해줄 수 있나요?</t>
  </si>
  <si>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</si>
  <si>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</si>
  <si>
    <t>e호조 (과장/팀장/지출담당자) 권한신청 어떻게 하면 되나요?</t>
  </si>
  <si>
    <t>e호조(지방재정시스템)시스템을 사용하기 위해 과장, 팀장, 지출담당자 권한을 신규로 신청하거나 변경할 때, 내부 승인 절차와 필요 서류는 무엇인가요?</t>
  </si>
  <si>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</si>
  <si>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</si>
  <si>
    <t>구군에서 전입오고 처음으로 정보공개청구포털에 로그인하려니 안되는데, 어떻게 해야 하나요?</t>
  </si>
  <si>
    <t>구·군에서 전입한 공무원이 정보공개청구 포털을 처음 이용하려고 로그인할 때, 로그인 실패가 발생하는 경우 계정 활성화 및 초기 접속을 정상화하는 방법은 무엇인가요?</t>
  </si>
  <si>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</si>
  <si>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</si>
  <si>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</si>
  <si>
    <t>424_2108_통합민원과_업무매뉴얼_행정안전부_정보공개운영안내서.pdf</t>
  </si>
  <si>
    <t>219, 220</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</si>
  <si>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</si>
  <si>
    <t>정보공개시스템 로그인 및 접속 불가시 대처 방법, 구군 전입 이후 정보공개청구포털 로그인 실패 상황에 대한 해결 방법 및 대처 방안</t>
  </si>
  <si>
    <t>인건비 편성할 때 정원, 현원 중 어떤 기준으로 산출해야 하는지 알려주세요</t>
  </si>
  <si>
    <t>인건비를 편성할 때, 내부 회계·인사 규정에 따라 정원 기준과 현원 기준 중 어느 기준을 적용하여 산출해야 하는지, 그리고 그 적용 기준과 산출 방법은 무엇인가요?</t>
  </si>
  <si>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</si>
  <si>
    <t>ㆍ41_2306_공공하수인프라과_업무매뉴얼_행정안전부_2024년도_지방공기업_예산편성기준.pdf (p.64)
https://busanai.busan.go.kr/download/41_2306_공공하수인프라과_업무매뉴얼_행정안전부_2024년도_지방공기업_예산편성기준.pdf</t>
  </si>
  <si>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</si>
  <si>
    <t>기대답변 :
 세출예산 성질별 분류에 따라 인건비 편성 시, 정원 또는 현원을 기준으로 산출해야 합니다.</t>
  </si>
  <si>
    <t>212_2407_예산담당관_업무매뉴얼_행정안전부_2025년도_지방자치단체_예산편성_운영기준_및_기금운용계획_수립기준.pdf</t>
  </si>
  <si>
    <t>99</t>
  </si>
  <si>
    <t>별표 11 세출예산 성질별 분류(목그룹 ․ 편성목 ․ 통계목)
 그룹 편 성 목 설 정 ( 통 계 목 포 함 ) 비고100 인건비
 101 인건비 01. 보수
 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</si>
  <si>
    <t>인건비 편성 시 정원, 현원 기준 산출 안내</t>
  </si>
  <si>
    <t xml:space="preserve">[범위가 명확하지 않아 질문에 대한 답변 이슈가 다양하게 해석될 수 있을 것으로 예상됨]
</t>
  </si>
  <si>
    <t>행정전화기 사용 매뉴얼 알려주세요</t>
  </si>
  <si>
    <t>행정전화기의 기능(발신, 수신, 보류, 전환 등)과 관련 내부 지침에 따른 올바른 사용 방법을 단계별로 안내하는 공식 매뉴얼이나 안내 자료는 무엇이며, 확인·열람 방법은 어떻게 되나요?</t>
  </si>
  <si>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</si>
  <si>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</si>
  <si>
    <t>120 콜센터와 행정전화는 연관이 없는데 잘못 나오고 있습니다.
120 콜센터는 외부 민원에 대한 콜센터이고 행정전화는 내부직원들이 사용하는 전화기입니다.</t>
  </si>
  <si>
    <t>30일 이상 장기 휴가 시 미지급해야할 수당이 뭐가 있나요?</t>
  </si>
  <si>
    <t>부산광역시 소속 공무원이 30일 이상 장기 휴가를 사용할 경우, 지방공무원 보수·수당 관련 내부 규정에서 지급되지 않거나 제한되는 수당 항목과 그 적용 기준은 무엇인가요?</t>
  </si>
  <si>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</si>
  <si>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</si>
  <si>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</si>
  <si>
    <t>(공사,용역,물품) 계약 시 필요한 서류가 뭐가 있는지 알려주세요</t>
  </si>
  <si>
    <t>공사, 용역, 물품 계약을 체결할 때, 관련 내부 규정과 절차에 따라 계약 신청·승인·체결을 위해 반드시 제출해야 하는 서류와 작성 요건은 무엇인가요?</t>
  </si>
  <si>
    <r>
      <rPr>
        <rFont val="Malgun Gothic"/>
        <color theme="1"/>
        <sz val="11.0"/>
      </rPr>
      <t>공사, 용역, 물품 계약 시 필요한 서류는 적격심사 신청서, 적격심사 자기평가와 심사표,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신용평가등급 확인서, 직접생산 확인서, 중소기업</t>
    </r>
    <r>
      <rPr>
        <rFont val="Yu Gothic"/>
        <color theme="1"/>
        <sz val="11.0"/>
      </rPr>
      <t>･</t>
    </r>
    <r>
      <rPr>
        <rFont val="맑은 고딕"/>
        <color theme="1"/>
        <sz val="11.0"/>
      </rPr>
      <t>소상공인 확인서, 여성기업 확인서, 장애인기업 확인서, 창업기업 확인서 등이 있습니다.
관련내용은 다음과 같습니다.
적격심사 신청서 1부
적격심사 자기평가와 심사표 1부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rFont val="Yu Gothic"/>
        <color theme="1"/>
        <sz val="11.0"/>
      </rPr>
      <t>･</t>
    </r>
    <r>
      <rPr>
        <rFont val="맑은 고딕"/>
        <color theme="1"/>
        <sz val="11.0"/>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</si>
  <si>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</si>
  <si>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</si>
  <si>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</si>
  <si>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10</t>
  </si>
  <si>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</si>
  <si>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온나라 접수 문서를 부서원들도 열람할 수 없도록 하는 방법을 알려주세요</t>
  </si>
  <si>
    <t>온나라 시스템에 접수된 문서를 특정 부서원들이 열람하지 못하도록 권한을 제한하려는 경우, 내부 규정과 시스템 설정에 따라 권한 관리·접근 제한을 적용하는 방법은 무엇인가요?</t>
  </si>
  <si>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</si>
  <si>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</si>
  <si>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</si>
  <si>
    <t>343_2405_정보화정책과_업무매뉴얼_행정안전부_온나라20_사용자교육자료배포용.pdf</t>
  </si>
  <si>
    <t>33</t>
  </si>
  <si>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</si>
  <si>
    <t>온나라 시스템을 통한 접수 문서에 접근을 제한하는 방법입니다.</t>
  </si>
  <si>
    <t>(공사,용역,물품) 계약 선금 신청 및 지급 절차를 알려주세요</t>
  </si>
  <si>
    <t>공사, 용역, 물품 계약과 관련하여 선금 지급을 신청할 경우, 내부 규정과 절차에 따라 신청서 제출, 승인, 지급까지 진행되는 단계별 방법과 주의사항은 무엇인가요?</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</si>
  <si>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</si>
  <si>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</si>
  <si>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</si>
  <si>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472_2411_회계재산담당관_업무매뉴얼_한국지방재정공제회_2024년_개정판_물품계약_길라잡이한국지방재정공제회.pdf</t>
  </si>
  <si>
    <t>268, 269</t>
  </si>
  <si>
    <t>제2절 선금의 지급
 ※ 관련규정 : ｢지방계약법｣ 제18조 및 같은 법 시행령 제67조, ｢지방회계법｣ 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</si>
  <si>
    <t>(문서 찾아옴, 추가 작업 X)</t>
  </si>
  <si>
    <t>(공사,용역,물품) 계약 시 지역제한임찰 대상 금액을 알려주세요</t>
  </si>
  <si>
    <t>공사, 용역, 물품 계약을 체결할 때, 내부 규정에 따라 지역제한 입찰을 적용해야 하는 금액 기준과 적용 범위는 무엇인가요?</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</si>
  <si>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</si>
  <si>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</si>
  <si>
    <t>2번째 파일은 오류건입니다
그 외 이상없습니다.</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</si>
  <si>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</si>
  <si>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10, 14</t>
  </si>
  <si>
    <t>[P.10]
  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</si>
  <si>
    <t>(1, 2순위 - 정답 문서 찾아옴 / 추가작업 X)</t>
  </si>
  <si>
    <t>[P.14 청크 수정 필요]</t>
  </si>
  <si>
    <t>온나라 지식행정에 접속하면 흰창만 나오는데, 어떻게 해결해야하나요?</t>
  </si>
  <si>
    <t>부산광역시 소속 직원이 온나라 지식행정 시스템에 접속할 때 화면이 흰창만 표시되는 경우, 시스템 관리 절차에 따라 문제 원인 확인, 조치 및 정상 접속 복구 방법은 무엇인가요?</t>
  </si>
  <si>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</si>
  <si>
    <t>온나라 지식 접속 오류 조치 방법에 관한 내용으로 답변이 되면 될 것으로 보입니다.
해당 자료는 정보화정책과 온톡, 온메일, 온나라 지식 사용재 매뉴얼에 있습니다.</t>
  </si>
  <si>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</si>
  <si>
    <t>371_2503_정보화정책과_업무매뉴얼_정보화정책과_온톡_온메일_온나라_지식_사용자_매뉴얼_v21.pdf</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</si>
  <si>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</si>
  <si>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온나라 지식행정 오류 해결 방법입니다.</t>
  </si>
  <si>
    <t>[Rerank 순위 낮음]</t>
  </si>
  <si>
    <t>장기재직휴가 신청 절차는?</t>
  </si>
  <si>
    <t>부산광역시 소속 공무원이 장기재직휴가를 신청하려는 경우, 내부 인사 규정과 절차에 따라 신청서 작성, 결재, 승인, 휴가 확정까지 진행되는 단계별 방법은 무엇인가요?</t>
  </si>
  <si>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</si>
  <si>
    <t>ㆍ1110_압축부산테크노파크_규정집정관_규정_규칙-20253.pdf (p.84)
https://busanai.busan.go.kr/download/1110_압축부산테크노파크_규정집정관_규정_규칙-20253.pdf</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</si>
  <si>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</si>
  <si>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</si>
  <si>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</si>
  <si>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장기재직휴가 등록 기준 및 사용 방법과 신청 절차, 장기재직휴가 기준 및 사용방법과 신청절차, 장기재직휴가 사용 요건 인사랑 자동 반영여부</t>
  </si>
  <si>
    <t>SQG005</t>
  </si>
  <si>
    <t>직원 단체보장보험 보장내용 및 실비 등 청구 방법은?</t>
  </si>
  <si>
    <t>직원 단체보장보험의 보장 범위와 실비 청구 절차 등 관련 내용에 대해 알려주세요</t>
  </si>
  <si>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</si>
  <si>
    <t>단체보장보험 관련 청구안내문, 가입내용 및 청구방법 안내 등의 관련 문서가 있음에도 불구하고
해당 내용이 검색되지 않습니다.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</si>
  <si>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</si>
  <si>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279_2501_인사과_기타_인사과_2025년_맞춤형복지_단체보장보험_가입내용_및_청구방법_안내.pdf
283_2501_인사과_기타_인사과_2025년_부산광역시_청구안내문단체보장보험.pdf</t>
  </si>
  <si>
    <t>1
 7</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</si>
  <si>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</si>
  <si>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단체보장보험의 세부 보장 내용과 보험금 청구 방법 안내
---
단체보장보험의 세부 보장 내용과 보험금 청구 방법 안내</t>
  </si>
  <si>
    <t>SQG024</t>
  </si>
  <si>
    <t>PC 네트워크 비밀번호 분실 시 해결방법은?</t>
  </si>
  <si>
    <t>PC 네트워크(네트워크 접근제어 시스템, NAC, 네트워크 인증 시스템, PClient) 로그인 비밀번호를 분실했을 때 초기화 또는 재설정을 위한 공식 절차는 어떻게 되나요?</t>
  </si>
  <si>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</si>
  <si>
    <t>ㆍ4122_부산광역시_연구용_지하연구시설_유치를_위한_결의문에_대한_답변.pdf (p.2)
https://busanai.busan.go.kr/download/4122_부산광역시_연구용_지하연구시설_유치를_위한_결의문에_대한_답변.pdf</t>
  </si>
  <si>
    <t>해당 매뉴얼은 없어서 관련 근거가 나오지 않고 일반적인 답변이 나와야 합니다.
내용의 IT 지원팀, 전화번호 등 다 잘못된 정보가 노출됩니다. 
관련 근거 또한 전혀 상관없는 내용이 첨부됩니다.</t>
  </si>
  <si>
    <t>기대답변 : 
 네트워크 인증 시스템 비밀번호 분실 시 행정전화(5999)로 연락바랍니다</t>
  </si>
  <si>
    <t>5. 네트워크 인증 시스템(NAC, PClinet)
  - 네트워크가 차단되셨다면 행정전화(5999)로 연락바랍니다
  - 네트워크 인증 시스템 비밀번호 분실 시 행정전화(5999)로 연락바랍니다</t>
  </si>
  <si>
    <t>일상경비 집행잔액은 조회 방법은?</t>
  </si>
  <si>
    <t>일상경비 집행 후 남은 잔액을 조회하기 위한 시스템별 절차와 확인 경로는 어떻게 되나요?</t>
  </si>
  <si>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</si>
  <si>
    <t>지방재정시스템에 관한 매뉴얼이 없습니다.
일반적으로 행정에 관한 질의일 경우 시 홈페이지에서 관련 내용을 찾을수는 없습니다.</t>
  </si>
  <si>
    <t>올해 포상휴가 몇 개 나왔고 몇 개 썼는지 조회하는 방법은?</t>
  </si>
  <si>
    <t>올해 부여된 포상휴가 일수와 사용 일수를 확인하기 위해 어느 시스템에서 어떤 메뉴를 통해 조회해야 하나요?</t>
  </si>
  <si>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</si>
  <si>
    <t>해당 질문에 대한 매뉴얼이 없습니다.
이 또한 일반적으로 행정에 관한 질의라 시 홈페이지에서 관련 내용을 찾을수는 없습니다.</t>
  </si>
  <si>
    <t>예산편성 관련 사전절차는 어떤게 있으며 이행여부 조회할 수 있는 방법은?</t>
  </si>
  <si>
    <t>예산편성 과정에서 요구되는 사전절차에는 어떤 항목들이 있으며, 각 사전절차의 이행 여부는 어디에서 확인할 수 있나요?</t>
  </si>
  <si>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</si>
  <si>
    <t>ㆍ83991_건설본부_종합감사_보고서_게시.pdf (p.80)
https://busanai.busan.go.kr/download/83991_건설본부_종합감사_보고서_게시.pdf</t>
  </si>
  <si>
    <t>잘못된 답변과 잘못된 근거자료가 활용되었습니다.
예산담당관 2025년 예산편성계획 30P에 주요목별 평성기준 및 사전절차가 안내되어 있습니다.</t>
  </si>
  <si>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</si>
  <si>
    <t>213_2408_예산담당관_예산편성계획_예산담당관_2025년_예산편성계획.pdf</t>
  </si>
  <si>
    <t>23</t>
  </si>
  <si>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t>
  </si>
  <si>
    <t>예산편성 시 주요목별 편성기준 및 사전절차와 해당 절차 이행 여부 확인 방법</t>
  </si>
  <si>
    <t>[RAG 검색 유사도 낮음]</t>
  </si>
  <si>
    <t>올해 필수교육은 뭐가 있는지?</t>
  </si>
  <si>
    <t>올해 이수해야 하는 필수교육의 종류와 이를 확인할 수 있는 시스템별 조회 경로는 무엇인가요?</t>
  </si>
  <si>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</si>
  <si>
    <t>필수 교육 관련 매뉴얼이 없기 때문에 세부적으로 확인이 필요하다는 메시지가 출력되어야 할 것 같습니다.</t>
  </si>
  <si>
    <t>차세대지방재정시스템에서 분기별 예산배정금액 확인방법은?</t>
  </si>
  <si>
    <t>차세대지방재정시스템(e호조, 이호조)에서 분기별 예산배정 금액을 확인하기 위해 어떤 메뉴 경로와 조회 절차를 따라야 하나요?</t>
  </si>
  <si>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</si>
  <si>
    <t>차세대 지방재정시스템 관련 매뉴얼이 없기 때문에
차세대 지방재정시스템 매뉴얼이 없으므로 관련 담당자에게 문의하시기 바랍니다.
라는 식의 메시지가 출력되어야 합니다.</t>
  </si>
  <si>
    <t>사무실 가구 등 비품 부족 또는 고장 시 청사 내 조달 및 수리 등 대응 방법은?</t>
  </si>
  <si>
    <t>사무실 내 비품이 부족하거나 가구가 고장났을 때, 청사에서 수행하는 비품 조달 요청 및 수리 의뢰 절차는 각각 어떻게 진행되나요?</t>
  </si>
  <si>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</si>
  <si>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</si>
  <si>
    <t>인사발령시 권한 이관 등 관련 발령 당사자와 서무가 해야하는 것은?</t>
  </si>
  <si>
    <t>인사발령 시 발령 대상자와 서무 담당자가 수행해야 하는 권한 이관, 시스템 접근 조정, 문서 및 업무 인수인계 절차는 무엇인가요?</t>
  </si>
  <si>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</si>
  <si>
    <t>사업예산 편성 시 총사업비와 국비사업비의 금액에 따라 거쳐야 될 사전절차에는 어떤 것이 있나요?</t>
  </si>
  <si>
    <t>사업예산을 편성할 때 총사업비와 국비사업비 금액 구간에 따라 반드시 거쳐야 하는 사전 승인·검토 절차는 무엇인가요?</t>
  </si>
  <si>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</si>
  <si>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</si>
  <si>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</si>
  <si>
    <t>36</t>
  </si>
  <si>
    <t>-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유지보수‧운영사업, 국비지원사업등은 제외)
  ∙ 검토시기 : 9월 중순(예산편성 전)∙제출기한 : 8월말(정보화정책과)
 11. 지방보조금사업 신규 행사‧축제사업
  ∙ 지방보조금 : 민간경상사업보조 등 15개 과목 ※ 28페이지 과목 참고
  ∙ 신규 행사‧축제사업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</si>
  <si>
    <t>예산 편성 절차 관련 사업비별 사전 이행 절차와 과정, 통계목별 필수 예산 심의 사전절차와 과정, 신규 사업 추진을 위한 사전 심의 절차 안내, 예산 편성시 총사업비와 국비사업비 금액에 따른 사전절차 안내</t>
  </si>
  <si>
    <t>용역사업의 과업지시서를 작성할 때 포함되어야 할 내용은 무엇인지 목차별로 정리해 주세요.</t>
  </si>
  <si>
    <t>용역사업의 과업지시서를 작성할 때, 필수 포함 항목은 무엇이며 목차는 어떻게 구성해야 하나요?</t>
  </si>
  <si>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</si>
  <si>
    <t>의도분류가 잘못된거 같습니다.
검색을 요구했는데
문서 초안 생성으로 분류가 되어서
문서 초안을 생성해줍니다.</t>
  </si>
  <si>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</si>
  <si>
    <t>초안생성</t>
  </si>
  <si>
    <t>정부 R&amp;D 지원 또는 공모사업을 한꺼번에 조회할 수 있는 온라인 사이트는 무엇인가요?</t>
  </si>
  <si>
    <t>정부 R&amp;D 지원사업과 공모사업을 통합 조회할 수 있는 온라인 플랫폼이나 포털은 무엇이며, 조회 방법과 제공 정보는 어떻게 되나요?</t>
  </si>
  <si>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</si>
  <si>
    <t>관련 매뉴얼이 없습니다.
그리고 해당 사이트는 NTIS 사이트(국가과학기술지식정보서비스)로 확인됩니다.</t>
  </si>
  <si>
    <t>부서에서 과장님, 팀장님(일상경비 출납원) 인사이동시 처리해야할 회계 절차는 어떤것들이 있나?</t>
  </si>
  <si>
    <t>부서에서 과장 또는 팀장(일상경비 출납원)의 인사이동 발생 시, 회계 담당자가 수행해야 하는 권한 이관, 계정 정리, 출납 기록 인수인계 등 관련 회계 절차는 무엇인가요?</t>
  </si>
  <si>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</si>
  <si>
    <t>ㆍ83926_2017감사사례집1장에서_5장까지.pdf (p.159)
https://busanai.busan.go.kr/download/83926_2017감사사례집1장에서_5장까지.pdf</t>
  </si>
  <si>
    <t>근거자료 오류입니다.
관련 매뉴얼이 없어서
해당 답변에서 자세한 내용은 회계 관련 업무 담당자에게 문의하라는 식의 답변이 추가되어야 할 것 같습니다.</t>
  </si>
  <si>
    <t>결재권자(원인행위 승인, 지급명령 승인) 부재 시 대직자 설정 등 지출 방법을 알려줘~</t>
  </si>
  <si>
    <t>결재권자(원인행위 승인, 지급명령 승인)가 부재한 경우, 내부 규정에 따라 대직자 지정 및 결재 권한 위임을 통해 지출을 처리하는 절차와 승인 기준은 무엇인가요?</t>
  </si>
  <si>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</si>
  <si>
    <t>관련 매뉴얼이 없습니다.
지출 관련 업무 담당자에게 문의하시기 바랍니다. 라는 식의 멘트가 필요합니다</t>
  </si>
  <si>
    <t>부산시 업무협약 체결할때, 의회 사전동의 유무, 협약서 검토 등 구체적인 절차를 알려줘~</t>
  </si>
  <si>
    <t>부산광역시에서 업무협약(MOU)을 체결할 때, 의회의 사전 동의가 필요한 경우, 협약서 검토 절차, 내부 결재 과정, 관련 부서 협의, 최종 체결까지의 구체적인 단계는 어떻게 되나요?</t>
  </si>
  <si>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</si>
  <si>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</si>
  <si>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</si>
  <si>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</si>
  <si>
    <t>376_2210_조직담당관_업무매뉴얼_조직담당관_업무협약_관리_매뉴얼.pdf</t>
  </si>
  <si>
    <t>6</t>
  </si>
  <si>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</si>
  <si>
    <t>업무협약 추진 절차, 업무협약 추진 과정, 업무협약서의 검토 과정, 업무협약 체결계획 수립,업무협약 체결 절차, 업무협약 체결 과정, 업무협약 시의회 의결</t>
  </si>
  <si>
    <t>[RAG 검색되었으나 유사도 낮음]
[청크 데이터 확인 필요]</t>
  </si>
  <si>
    <t>시청 각 회의장별 좌석배치도(안)을 검색해줘~</t>
  </si>
  <si>
    <t>부산광역시청 각 회의장별 좌석배치(안)를 확인하거나 열람할 수 있는 공식 자료와 접근 방법은 무엇인가요?</t>
  </si>
  <si>
    <t>부산시청 각 회의장별 좌석배치도(안)은 부산시청 홈페이지에서 확인하실 수 있습니다.
부산시청 홈페이지에 접속하여 "회의실" 메뉴를 선택하시면 각 회의장별 좌석배치도를 확인하실 수 있습니다</t>
  </si>
  <si>
    <t>시청 회의실 관련 좌석배치도가 시청 홈페이지에 확인이 안됩니다.
근거 문서도 없습니다.</t>
  </si>
  <si>
    <t>시차출퇴근제 신청 한 날 반가를 쓰면 퇴근을 지정해야하는지? 유연근무제 복무 유의사항은 무엇이 있을까?</t>
  </si>
  <si>
    <t>부산광역시청 시차출퇴근제를 신청한 날에는 퇴근 시간 지정이 필요한지, 유연근무제 적용 시 준수해야 할 복무 유의사항과 내부 규정 기준은 무엇인가요?</t>
  </si>
  <si>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</si>
  <si>
    <t>관련 내용에 대한 근거문서는 없습니다.
내용은 담당자에게 문의하라는 내용이 있어서 괜찮을거 같습니다.</t>
  </si>
  <si>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</si>
  <si>
    <t>1259_지방공무원_복무에_관한_예규_개정안전문_행정안전부_예규_제340호.pdf</t>
  </si>
  <si>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</si>
  <si>
    <t>장기재직휴가 관련해서 구군 전입 전출 직원은 인사랑에 기록이 안남아있나요?</t>
  </si>
  <si>
    <t>구·군 간 전입·전출 직원의 장기재직휴가 이력과 관련해서 인사랑 시스템에 누락되는 경우가 실제로 존재하는지, 그리고 이를 확인·정정하는절차는 무엇인가요?</t>
  </si>
  <si>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</si>
  <si>
    <t>ㆍ83926_2017감사사례집1장에서_5장까지.pdf (p.86)
https://busanai.busan.go.kr/download/83926_2017감사사례집1장에서_5장까지.pdf</t>
  </si>
  <si>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</si>
  <si>
    <t>인사랑 관련 매뉴얼이 없으므로
 미답변 처리 하시면 됩니다.</t>
  </si>
  <si>
    <t>탄력근무제 관련해서 자세한 매뉴얼이 있나요</t>
  </si>
  <si>
    <t>부산광역시에서 실시하는 탄력근무제 운영에 관한 공식 매뉴얼이나 지침서가 존재하는지, 존재할 경우 확인·열람하는 방법은 무엇인가요?</t>
  </si>
  <si>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</si>
  <si>
    <t>해당 근거문서가 없습니다. 
그리고 매뉴얼의 존재여부에 대해 질의를 했는데
매뉴얼의 필요성에 대한 답변이 나와서 질의 해석이 잘못된거 같습니다.</t>
  </si>
  <si>
    <t>기대답변 : 
 지방공무원 복무에 관한 예규에 탄력근무제 관련한 자세한 내용이 있습니다.
 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</si>
  <si>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12</t>
  </si>
  <si>
    <t>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</si>
  <si>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탄력근무제와 관련한 매뉴얼, 메뉴얼, 안내서</t>
  </si>
  <si>
    <t>DRM, 네트워크 인증 등 신규직원이 컴퓨터 사용에 알아야할 것들에 대해 정리해주세요.</t>
  </si>
  <si>
    <t>신규 직원이 컴퓨터 및 네트워크를 사용할 때 알아야 하는 DRM(자료반출관리시스템) 사용, 네트워크 접근 인증(NAC, 네트워크 접근제어) 등의 필수 사항을 알려주세요.</t>
  </si>
  <si>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</si>
  <si>
    <t>ㆍ10081_과업지시서-hwp.pdf (p.45)
https://busanai.busan.go.kr/download/10081_과업지시서-hwp.pdf</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</si>
  <si>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</si>
  <si>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부서에서 회계과로 계약요청을 하기 위한 절차는 어떻게 되나요</t>
  </si>
  <si>
    <t>부서에서 공사·용역·물품 계약을 위해 회계과에 계약 요청을 할 때, 신청 서류, 결재 단계, 검토 절차, 요청 방법 등 전체 과정을 단계별로 상세히 안내해 주세요.</t>
  </si>
  <si>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</si>
  <si>
    <t>회계재산담당관에서 제출한 계약업무 참고자료에 보면 계약집행 흐름도가 있는데
해당 페이지(9P)에 관련 내용이 있습니다.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</si>
  <si>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</si>
  <si>
    <t>9, 10</t>
  </si>
  <si>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</si>
  <si>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용역 계약 절차 상세 안내, 부서에서 회계과 계약요청 절차 안내</t>
  </si>
  <si>
    <r>
      <rPr>
        <rFont val="맑은 고딕"/>
        <b/>
        <color rgb="FFFF0000"/>
        <sz val="11.0"/>
      </rPr>
      <t>478_2505_회계재산담당관_업무매뉴얼_회계재산담당관_계약업무_참고자료회계재산담당관외부용.pdf[9]</t>
    </r>
    <r>
      <rPr>
        <rFont val="맑은 고딕"/>
        <color rgb="FFFF0000"/>
        <sz val="11.0"/>
      </rPr>
      <t xml:space="preserve">
-----
</t>
    </r>
    <r>
      <rPr>
        <rFont val="맑은 고딕"/>
        <color rgb="FFFF0000"/>
        <sz val="11.0"/>
      </rPr>
      <t xml:space="preserve">[계약을 요청하기 위한 절차는 "3. 계약 집행 흐름도 전체를 넘겨야 하는지 확인 필요]
</t>
    </r>
    <r>
      <rPr>
        <rFont val="맑은 고딕"/>
        <color rgb="FFFF0000"/>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rgb="FFFF0000"/>
        <sz val="11.0"/>
      </rPr>
      <t>․</t>
    </r>
    <r>
      <rPr>
        <rFont val="맑은 고딕"/>
        <color rgb="FFFF0000"/>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</si>
  <si>
    <t>인사상담은 쪽지로 담당자한테 연락하는 방법 외에는 없나요</t>
  </si>
  <si>
    <t>인사 관련 상담을 받을 때, 쪽지 외에 공식적으로 활용할 수 있는 상담 경로(시스템, 전화, 방문창구 등)가 무엇인지 전체 목록과 이용 조건을 포함해 알려주세요.</t>
  </si>
  <si>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</si>
  <si>
    <t>ㆍ19421_2023-2403_부산광역시청어린이집_민간위탁_성과평가_결과_공고.pdf (p.2)
https://busanai.busan.go.kr/download/19421_2023-2403_부산광역시청어린이집_민간위탁_성과평가_결과_공고.pdf</t>
  </si>
  <si>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</si>
  <si>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</si>
  <si>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263_2401_인사과_기본계획_인사과_2024년도_부산광역시_인사운영_기본계획.pdf[11]
-----
</t>
    </r>
    <r>
      <rPr>
        <rFont val="맑은 고딕"/>
        <color rgb="FFFF0000"/>
        <sz val="11.0"/>
      </rPr>
      <t xml:space="preserve">[2025년도 자료를 찾을 수 없음. 확인 필요함]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 인사상담 활성화
</t>
    </r>
    <r>
      <rPr>
        <rFont val="Segoe UI Symbol"/>
        <color theme="1"/>
        <sz val="11.0"/>
      </rPr>
      <t>❍</t>
    </r>
    <r>
      <rPr>
        <rFont val="맑은 고딕"/>
        <color theme="1"/>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theme="1"/>
        <sz val="11.0"/>
      </rPr>
      <t>❍</t>
    </r>
    <r>
      <rPr>
        <rFont val="맑은 고딕"/>
        <color theme="1"/>
        <sz val="11.0"/>
      </rPr>
      <t xml:space="preserve"> (찾아가는 인사상담) 직접 찾아가서 상담하는 적극적 인사 운영- (운영시기) 상</t>
    </r>
    <r>
      <rPr>
        <rFont val="MS UI Gothic"/>
        <color theme="1"/>
        <sz val="11.0"/>
      </rPr>
      <t>․</t>
    </r>
    <r>
      <rPr>
        <rFont val="맑은 고딕"/>
        <color theme="1"/>
        <sz val="11.0"/>
      </rPr>
      <t xml:space="preserve">하반기 연 2회 </t>
    </r>
    <r>
      <rPr>
        <rFont val="Tahoma"/>
        <color theme="1"/>
        <sz val="11.0"/>
      </rPr>
      <t>‣</t>
    </r>
    <r>
      <rPr>
        <rFont val="맑은 고딕"/>
        <color theme="1"/>
        <sz val="11.0"/>
      </rPr>
      <t xml:space="preserve"> 정기인사 전</t>
    </r>
    <r>
      <rPr>
        <rFont val="Noto Sans KR"/>
        <color theme="1"/>
        <sz val="11.0"/>
      </rPr>
      <t>‧</t>
    </r>
    <r>
      <rPr>
        <rFont val="Noto Sans KR"/>
        <color theme="1"/>
        <sz val="11.0"/>
      </rPr>
      <t>후</t>
    </r>
    <r>
      <rPr>
        <rFont val="맑은 고딕"/>
        <color theme="1"/>
        <sz val="11.0"/>
      </rPr>
      <t xml:space="preserve">
- (운영내용) 실</t>
    </r>
    <r>
      <rPr>
        <rFont val="Noto Sans KR"/>
        <color theme="1"/>
        <sz val="11.0"/>
      </rPr>
      <t>‧</t>
    </r>
    <r>
      <rPr>
        <rFont val="Noto Sans KR"/>
        <color theme="1"/>
        <sz val="11.0"/>
      </rPr>
      <t>국‧본부별</t>
    </r>
    <r>
      <rPr>
        <rFont val="맑은 고딕"/>
        <color theme="1"/>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</si>
  <si>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전화기 통화 녹음 하는 방법 및 매뉴얼 알려주세요</t>
  </si>
  <si>
    <t>행정전화기의 통화 녹음 기능은 어떤 방식으로 이용할 수 있으며, 녹음 절차와 관련 매뉴얼은 어디에서 확인할 수 있는지 알려주세요</t>
  </si>
  <si>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</si>
  <si>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</si>
  <si>
    <t>기대답변 :
 1. 통화상태에서 #11을 누른 후 LCD화면의 회의버튼을 누르면 녹취멘트가나오면서 녹취가 시작됩니다.
 2. 녹취 후 LCD화면의 회의종료 버튼을 누르면 녹취가 완료됩니다.</t>
  </si>
  <si>
    <t>410_2505_총무과_주요질문사항_행정전화_녹취방법.pdf</t>
  </si>
  <si>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</si>
  <si>
    <t>(별도 작업 없음. 문서 잘 나옴)</t>
  </si>
  <si>
    <r>
      <rPr>
        <rFont val="맑은 고딕"/>
        <b/>
        <color theme="1"/>
        <sz val="11.0"/>
      </rPr>
      <t xml:space="preserve">406_2505_총무과_매뉴얼_IP전화기_사용방법알카텔_전화기_사용기관.pdf[2] </t>
    </r>
    <r>
      <rPr>
        <rFont val="맑은 고딕"/>
        <color theme="1"/>
        <sz val="11.0"/>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rFont val="맑은 고딕"/>
        <color rgb="FFFF0000"/>
        <sz val="11.0"/>
      </rPr>
      <t>5 녹취☞ 통화 내용 녹음&lt;/td&gt;&lt;td&gt;1 통화 상태에서 #11을 누른 후 LCD 화면 오른쪽에 있는 해당 Soft key(회의)를 누른다.2 녹음이 완료되면 LCD 화면 오른쪽에 있는 해당 Soft key(회의 종료)를 누른다.</t>
    </r>
    <r>
      <rPr>
        <rFont val="맑은 고딕"/>
        <color theme="1"/>
        <sz val="11.0"/>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</si>
  <si>
    <t>의무교육이라고 공문이 오는게 많은데 의무교육 목록들이 정리되어있는것은 없나요</t>
  </si>
  <si>
    <t>부산광역시 공무원 대상 의무교육 공문이 다수 발송되는데, 모든 의무교육 목록과 세부 내용을 한눈에 확인할 수 있는 공식 자료나 시스템은 무엇인가요?</t>
  </si>
  <si>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</si>
  <si>
    <t>ㆍ82257_2025년_상반기_시의회_업무보고시민건강국-최종.pdf (p.41)
https://busanai.busan.go.kr/download/82257_2025년_상반기_시의회_업무보고시민건강국-최종.pdf</t>
  </si>
  <si>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</si>
  <si>
    <t>악성민원 응대 및 대응관련 매뉴얼 알려주세요.</t>
  </si>
  <si>
    <t>악성 민원 발생 시 공무원이 따라야 하는 대응 절차와 보호 매뉴얼은 어디에서 확인할 수 있으며, 단계별 조치 기준은 어떻게 되어 있는지 알려주세요</t>
  </si>
  <si>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</si>
  <si>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</si>
  <si>
    <t>관련 근거과 내용에 오류가 있습니다.
해당 내용은 통합민원과에서 제공한 민원인의 위법행위 및 반복민원 대응방안(지침)에 관련 내용이 있습니다.</t>
  </si>
  <si>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</si>
  <si>
    <t>431_2410_통합민원과_업무매뉴얼_행정안전부_민원인의_위법행위_및_반복민원_대응방안지침.pdf</t>
  </si>
  <si>
    <t>2P의 차례 부분 활용</t>
  </si>
  <si>
    <t>민원인의 특이 민원, 악성 민원, 반복 민원, 위법행위 등에 관한 응대 매뉴얼(메뉴얼, 가이드, 안내서, 지침)</t>
  </si>
  <si>
    <r>
      <rPr>
        <rFont val="맑은 고딕"/>
        <b/>
        <color theme="1"/>
        <sz val="11.0"/>
      </rPr>
      <t>431_2410_통합민원과_업무매뉴얼_행정안전부_민원인의_위법행위_및_반복민원_대응방안지침.pdf[23]</t>
    </r>
    <r>
      <rPr>
        <rFont val="맑은 고딕"/>
        <color theme="1"/>
        <sz val="11.0"/>
      </rPr>
      <t xml:space="preserve">
-----
 Ⅷ. 기본원칙 등
1 기본 원칙
□ 행정기관의 장은 민원처리법령에 따라, 민원인의 폭언</t>
    </r>
    <r>
      <rPr>
        <rFont val="Noto Sans KR"/>
        <color theme="1"/>
        <sz val="11.0"/>
      </rPr>
      <t>‧</t>
    </r>
    <r>
      <rPr>
        <rFont val="Noto Sans KR"/>
        <color theme="1"/>
        <sz val="11.0"/>
      </rPr>
      <t>폭행</t>
    </r>
    <r>
      <rPr>
        <rFont val="맑은 고딕"/>
        <color theme="1"/>
        <sz val="11.0"/>
      </rPr>
      <t xml:space="preserve"> 등 위법행위로부터 민원담당자를 의무적으로 보호해야 함
□ 민원인 위법행위에 대해 법적 대응 시 기관 차원 고발이 원칙으로,
고소</t>
    </r>
    <r>
      <rPr>
        <rFont val="Noto Sans KR"/>
        <color theme="1"/>
        <sz val="11.0"/>
      </rPr>
      <t>‧</t>
    </r>
    <r>
      <rPr>
        <rFont val="Noto Sans KR"/>
        <color theme="1"/>
        <sz val="11.0"/>
      </rPr>
      <t>고발</t>
    </r>
    <r>
      <rPr>
        <rFont val="맑은 고딕"/>
        <color theme="1"/>
        <sz val="11.0"/>
      </rPr>
      <t xml:space="preserve"> 등 법적 대응 全 과정을 법적 대응 전담부서가 총괄민원처리법 시행령 제4조(민원처리 담당자의 보호) ② 행정기관의 장은 민원인의 폭언</t>
    </r>
    <r>
      <rPr>
        <rFont val="Noto Sans KR"/>
        <color theme="1"/>
        <sz val="11.0"/>
      </rPr>
      <t>‧</t>
    </r>
    <r>
      <rPr>
        <rFont val="Noto Sans KR"/>
        <color theme="1"/>
        <sz val="11.0"/>
      </rPr>
      <t>폭행</t>
    </r>
    <r>
      <rPr>
        <rFont val="맑은 고딕"/>
        <color theme="1"/>
        <sz val="11.0"/>
      </rPr>
      <t xml:space="preserve"> 등에 대한 효과적인 대응, 재발 방지 또는 피해 최소화 등을 위해 필요한
경우에는 폭언</t>
    </r>
    <r>
      <rPr>
        <rFont val="Noto Sans KR"/>
        <color theme="1"/>
        <sz val="11.0"/>
      </rPr>
      <t>‧</t>
    </r>
    <r>
      <rPr>
        <rFont val="Noto Sans KR"/>
        <color theme="1"/>
        <sz val="11.0"/>
      </rPr>
      <t>폭행</t>
    </r>
    <r>
      <rPr>
        <rFont val="맑은 고딕"/>
        <color theme="1"/>
        <sz val="11.0"/>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rFont val="Noto Sans KR"/>
        <color theme="1"/>
        <sz val="11.0"/>
      </rPr>
      <t>‧</t>
    </r>
    <r>
      <rPr>
        <rFont val="Noto Sans KR"/>
        <color theme="1"/>
        <sz val="11.0"/>
      </rPr>
      <t>고발</t>
    </r>
    <r>
      <rPr>
        <rFont val="맑은 고딕"/>
        <color theme="1"/>
        <sz val="11.0"/>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rFont val="Segoe UI Symbol"/>
        <color theme="1"/>
        <sz val="11.0"/>
      </rPr>
      <t>▪</t>
    </r>
    <r>
      <rPr>
        <rFont val="맑은 고딕"/>
        <color theme="1"/>
        <sz val="11.0"/>
      </rPr>
      <t>현행범 신고 및 증거</t>
    </r>
    <r>
      <rPr>
        <rFont val="Noto Sans KR"/>
        <color theme="1"/>
        <sz val="11.0"/>
      </rPr>
      <t>‧</t>
    </r>
    <r>
      <rPr>
        <rFont val="Noto Sans KR"/>
        <color theme="1"/>
        <sz val="11.0"/>
      </rPr>
      <t>증인</t>
    </r>
    <r>
      <rPr>
        <rFont val="맑은 고딕"/>
        <color theme="1"/>
        <sz val="11.0"/>
      </rPr>
      <t xml:space="preserve"> 확보
</t>
    </r>
    <r>
      <rPr>
        <rFont val="Segoe UI Symbol"/>
        <color theme="1"/>
        <sz val="11.0"/>
      </rPr>
      <t>▪</t>
    </r>
    <r>
      <rPr>
        <rFont val="맑은 고딕"/>
        <color theme="1"/>
        <sz val="11.0"/>
      </rPr>
      <t xml:space="preserve">위법행위 관련 사건경위 등 부서장 보고
민원부서
(부서장,동료공무원)
</t>
    </r>
    <r>
      <rPr>
        <rFont val="Cambria Math"/>
        <color theme="1"/>
        <sz val="11.0"/>
      </rPr>
      <t>⇩</t>
    </r>
    <r>
      <rPr>
        <rFont val="맑은 고딕"/>
        <color theme="1"/>
        <sz val="11.0"/>
      </rPr>
      <t xml:space="preserve">
2단계
(특이민원 보고) </t>
    </r>
    <r>
      <rPr>
        <rFont val="Segoe UI Symbol"/>
        <color theme="1"/>
        <sz val="11.0"/>
      </rPr>
      <t>▪“</t>
    </r>
    <r>
      <rPr>
        <rFont val="맑은 고딕"/>
        <color theme="1"/>
        <sz val="11.0"/>
      </rPr>
      <t xml:space="preserve">특이민원 발생보고서” 작성 </t>
    </r>
    <r>
      <rPr>
        <rFont val="Noto Sans KR"/>
        <color theme="1"/>
        <sz val="11.0"/>
      </rPr>
      <t>‧</t>
    </r>
    <r>
      <rPr>
        <rFont val="맑은 고딕"/>
        <color theme="1"/>
        <sz val="11.0"/>
      </rPr>
      <t xml:space="preserve"> 제출
* 피해공무원 등 진술 및 근거자료를 바탕으로 작성
민원부서
→ 전담부서</t>
    </r>
    <r>
      <rPr>
        <rFont val="Cambria Math"/>
        <color theme="1"/>
        <sz val="11.0"/>
      </rPr>
      <t>⇩</t>
    </r>
    <r>
      <rPr>
        <rFont val="맑은 고딕"/>
        <color theme="1"/>
        <sz val="11.0"/>
      </rPr>
      <t xml:space="preserve">
3단계
(법적대응 여부
건의 및 결정)
</t>
    </r>
    <r>
      <rPr>
        <rFont val="Segoe UI Symbol"/>
        <color theme="1"/>
        <sz val="11.0"/>
      </rPr>
      <t>▪</t>
    </r>
    <r>
      <rPr>
        <rFont val="맑은 고딕"/>
        <color theme="1"/>
        <sz val="11.0"/>
      </rPr>
      <t xml:space="preserve">사건 발생경위 및 법적대응 계획을 기관장에 보고
</t>
    </r>
    <r>
      <rPr>
        <rFont val="Segoe UI Symbol"/>
        <color theme="1"/>
        <sz val="11.0"/>
      </rPr>
      <t>▪</t>
    </r>
    <r>
      <rPr>
        <rFont val="맑은 고딕"/>
        <color theme="1"/>
        <sz val="11.0"/>
      </rPr>
      <t>법적대응여부</t>
    </r>
    <r>
      <rPr>
        <rFont val="Noto Sans KR"/>
        <color theme="1"/>
        <sz val="11.0"/>
      </rPr>
      <t>‧</t>
    </r>
    <r>
      <rPr>
        <rFont val="Noto Sans KR"/>
        <color theme="1"/>
        <sz val="11.0"/>
      </rPr>
      <t>방안을</t>
    </r>
    <r>
      <rPr>
        <rFont val="맑은 고딕"/>
        <color theme="1"/>
        <sz val="11.0"/>
      </rPr>
      <t xml:space="preserve"> 기관장이 최종 결정
전담부서
→ 기관장
</t>
    </r>
    <r>
      <rPr>
        <rFont val="Cambria Math"/>
        <color theme="1"/>
        <sz val="11.0"/>
      </rPr>
      <t>⇩</t>
    </r>
    <r>
      <rPr>
        <rFont val="맑은 고딕"/>
        <color theme="1"/>
        <sz val="11.0"/>
      </rPr>
      <t xml:space="preserve">
4단계
(법적대응) </t>
    </r>
    <r>
      <rPr>
        <rFont val="Segoe UI Symbol"/>
        <color theme="1"/>
        <sz val="11.0"/>
      </rPr>
      <t>▪</t>
    </r>
    <r>
      <rPr>
        <rFont val="맑은 고딕"/>
        <color theme="1"/>
        <sz val="11.0"/>
      </rPr>
      <t>법적대응 시 전담부서를 중심으로 고소</t>
    </r>
    <r>
      <rPr>
        <rFont val="Noto Sans KR"/>
        <color theme="1"/>
        <sz val="11.0"/>
      </rPr>
      <t>‧</t>
    </r>
    <r>
      <rPr>
        <rFont val="Noto Sans KR"/>
        <color theme="1"/>
        <sz val="11.0"/>
      </rPr>
      <t>고발</t>
    </r>
    <r>
      <rPr>
        <rFont val="맑은 고딕"/>
        <color theme="1"/>
        <sz val="11.0"/>
      </rPr>
      <t xml:space="preserve"> 등
수사</t>
    </r>
    <r>
      <rPr>
        <rFont val="Noto Sans KR"/>
        <color theme="1"/>
        <sz val="11.0"/>
      </rPr>
      <t>‧</t>
    </r>
    <r>
      <rPr>
        <rFont val="Noto Sans KR"/>
        <color theme="1"/>
        <sz val="11.0"/>
      </rPr>
      <t>재판</t>
    </r>
    <r>
      <rPr>
        <rFont val="맑은 고딕"/>
        <color theme="1"/>
        <sz val="11.0"/>
      </rPr>
      <t xml:space="preserve"> 절차에 체계적으로 대응 전담부서</t>
    </r>
  </si>
  <si>
    <r>
      <rPr>
        <rFont val="맑은 고딕"/>
        <b/>
        <color theme="1"/>
        <sz val="11.0"/>
      </rPr>
      <t>431_2410_통합민원과_업무매뉴얼_행정안전부_민원인의_위법행위_및_반복민원_대응방안지침.pdf[24]</t>
    </r>
    <r>
      <rPr>
        <rFont val="맑은 고딕"/>
        <color theme="1"/>
        <sz val="11.0"/>
      </rPr>
      <t xml:space="preserve">
-----
Ⅸ. 위법행위 현장 대응요령
1 공통 사항
□ (안전한 업무환경 조성) 대면상담은 녹음</t>
    </r>
    <r>
      <rPr>
        <rFont val="Noto Sans KR"/>
        <color theme="1"/>
        <sz val="11.0"/>
      </rPr>
      <t>‧</t>
    </r>
    <r>
      <rPr>
        <rFont val="Noto Sans KR"/>
        <color theme="1"/>
        <sz val="11.0"/>
      </rPr>
      <t>녹화</t>
    </r>
    <r>
      <rPr>
        <rFont val="맑은 고딕"/>
        <color theme="1"/>
        <sz val="11.0"/>
      </rPr>
      <t xml:space="preserve"> 가능(민원 통화는 전체내용 녹음)하고 안전요원 협조가 용이한 곳에서 진행
 ※ 민원실 등에 상담내용이 녹화</t>
    </r>
    <r>
      <rPr>
        <rFont val="Noto Sans KR"/>
        <color theme="1"/>
        <sz val="11.0"/>
      </rPr>
      <t>‧</t>
    </r>
    <r>
      <rPr>
        <rFont val="Noto Sans KR"/>
        <color theme="1"/>
        <sz val="11.0"/>
      </rPr>
      <t>녹음될</t>
    </r>
    <r>
      <rPr>
        <rFont val="맑은 고딕"/>
        <color theme="1"/>
        <sz val="11.0"/>
      </rPr>
      <t xml:space="preserve"> 수 있음을 안내하는 고지문(안내문) 게시
○ 특히, 위법행위 전력이 있는 민원인을 면담해야 하는 경우, 준비된장소(CCTV, 휴대용 장비 확보)에서 청원경찰 등 입회 하 면담○ 민원인의 욕설</t>
    </r>
    <r>
      <rPr>
        <rFont val="Noto Sans KR"/>
        <color theme="1"/>
        <sz val="11.0"/>
      </rPr>
      <t>‧</t>
    </r>
    <r>
      <rPr>
        <rFont val="Noto Sans KR"/>
        <color theme="1"/>
        <sz val="11.0"/>
      </rPr>
      <t>협박‧성희롱으로</t>
    </r>
    <r>
      <rPr>
        <rFont val="맑은 고딕"/>
        <color theme="1"/>
        <sz val="11.0"/>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rFont val="Noto Sans KR"/>
        <color theme="1"/>
        <sz val="11.0"/>
      </rPr>
      <t>‧</t>
    </r>
    <r>
      <rPr>
        <rFont val="Noto Sans KR"/>
        <color theme="1"/>
        <sz val="11.0"/>
      </rPr>
      <t>민원센터</t>
    </r>
    <r>
      <rPr>
        <rFont val="맑은 고딕"/>
        <color theme="1"/>
        <sz val="11.0"/>
      </rPr>
      <t xml:space="preserve"> 등은비상대응팀을 조직하고 모의훈련을 철저하게 실시
○ 협박</t>
    </r>
    <r>
      <rPr>
        <rFont val="Noto Sans KR"/>
        <color theme="1"/>
        <sz val="11.0"/>
      </rPr>
      <t>‧</t>
    </r>
    <r>
      <rPr>
        <rFont val="Noto Sans KR"/>
        <color theme="1"/>
        <sz val="11.0"/>
      </rPr>
      <t>폭행‧위험물</t>
    </r>
    <r>
      <rPr>
        <rFont val="맑은 고딕"/>
        <color theme="1"/>
        <sz val="11.0"/>
      </rPr>
      <t xml:space="preserve"> 소지 등 심각한 위법행위를 억제</t>
    </r>
    <r>
      <rPr>
        <rFont val="Noto Sans KR"/>
        <color theme="1"/>
        <sz val="11.0"/>
      </rPr>
      <t>‧</t>
    </r>
    <r>
      <rPr>
        <rFont val="Noto Sans KR"/>
        <color theme="1"/>
        <sz val="11.0"/>
      </rPr>
      <t>제어할</t>
    </r>
    <r>
      <rPr>
        <rFont val="맑은 고딕"/>
        <color theme="1"/>
        <sz val="11.0"/>
      </rPr>
      <t xml:space="preserve"> 수 있는 안전요원</t>
    </r>
    <r>
      <rPr>
        <rFont val="Noto Sans KR"/>
        <color theme="1"/>
        <sz val="11.0"/>
      </rPr>
      <t>‧</t>
    </r>
    <r>
      <rPr>
        <rFont val="Noto Sans KR"/>
        <color theme="1"/>
        <sz val="11.0"/>
      </rPr>
      <t>청원경찰‧경찰</t>
    </r>
    <r>
      <rPr>
        <rFont val="맑은 고딕"/>
        <color theme="1"/>
        <sz val="11.0"/>
      </rPr>
      <t xml:space="preserve"> 등과 긴밀한 협조체계 마련
□ [위법행위 경고</t>
    </r>
    <r>
      <rPr>
        <rFont val="Noto Sans KR"/>
        <color theme="1"/>
        <sz val="11.0"/>
      </rPr>
      <t>‧</t>
    </r>
    <r>
      <rPr>
        <rFont val="Noto Sans KR"/>
        <color theme="1"/>
        <sz val="11.0"/>
      </rPr>
      <t>퇴거</t>
    </r>
    <r>
      <rPr>
        <rFont val="맑은 고딕"/>
        <color theme="1"/>
        <sz val="11.0"/>
      </rPr>
      <t>] 위법행위 발생 시 ①녹음</t>
    </r>
    <r>
      <rPr>
        <rFont val="Noto Sans KR"/>
        <color theme="1"/>
        <sz val="11.0"/>
      </rPr>
      <t>‧</t>
    </r>
    <r>
      <rPr>
        <rFont val="Noto Sans KR"/>
        <color theme="1"/>
        <sz val="11.0"/>
      </rPr>
      <t>녹화</t>
    </r>
    <r>
      <rPr>
        <rFont val="맑은 고딕"/>
        <color theme="1"/>
        <sz val="11.0"/>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rFont val="Noto Sans KR"/>
        <color theme="1"/>
        <sz val="11.0"/>
      </rPr>
      <t>‧</t>
    </r>
    <r>
      <rPr>
        <rFont val="Noto Sans KR"/>
        <color theme="1"/>
        <sz val="11.0"/>
      </rPr>
      <t>보고</t>
    </r>
  </si>
  <si>
    <r>
      <rPr>
        <rFont val="맑은 고딕"/>
        <b/>
        <color theme="1"/>
        <sz val="11.0"/>
      </rPr>
      <t>431_2410_통합민원과_업무매뉴얼_행정안전부_민원인의_위법행위_및_반복민원_대응방안지침.pdf[25~29]</t>
    </r>
    <r>
      <rPr>
        <rFont val="맑은 고딕"/>
        <color theme="1"/>
        <sz val="11.0"/>
      </rPr>
      <t xml:space="preserve">
-----
</t>
    </r>
    <r>
      <rPr>
        <rFont val="맑은 고딕"/>
        <b/>
        <color rgb="FFFF0000"/>
        <sz val="11.0"/>
      </rPr>
      <t>유형별 현장대응 가이드라인</t>
    </r>
  </si>
  <si>
    <t>근무시간 중 개인사정으로 연가(외출)사용 후 돌아와서 시간외근무를 하면 시간외근무가 인정이 되는지 여부가 궁금해요.</t>
  </si>
  <si>
    <t>근무시간 중 개인사정으로 연가나 외출을 사용한 뒤 복귀하여 근무를 계속하는 경우, 그날의 시간외근무 인정 가능 여부와 적용 기준은 무엇인가요?</t>
  </si>
  <si>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</si>
  <si>
    <t>ㆍ214_2501_예산담당관_업무매뉴얼_행정안전부_지방공무원보수업무_등_처리지침.pdf (p.343)
https://busanai.busan.go.kr/download/214_2501_예산담당관_업무매뉴얼_행정안전부_지방공무원보수업무_등_처리지침.pdf</t>
  </si>
  <si>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</si>
  <si>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</si>
  <si>
    <t>214_2501_예산담당관_업무매뉴얼_행정안전부_지방공무원보수업무_등_처리지침.pdf</t>
  </si>
  <si>
    <t>340</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</si>
  <si>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</si>
  <si>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근무시간 개인사정으로 인한 연가사용 후 시간외근무시 인정 여부 확인</t>
  </si>
  <si>
    <t>각종 시스템 사용권한 신청을 할수 있는 프로그램은 없나요</t>
  </si>
  <si>
    <t>부산광역시 소속 공무원이 다양한 내부 시스템 사용 권한을 신청하거나 변경할 수 있는 공식 프로그램이나 포털은 무엇이며, 신청 절차는 어떻게 되나요?</t>
  </si>
  <si>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</si>
  <si>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</si>
  <si>
    <t>시스템 사용자 권한을 총괄적으로 신청할 수 있는 프로그램은 없습니다.
대부분 온나라 문서 공문을 통해서 신청 받거나 담당자 연락을 통해 권한 신청을 하고 있습니다.
고로 첨부파일도 오류입니다.</t>
  </si>
  <si>
    <t>인사랑 접속이 안될 때 해결방안은?</t>
  </si>
  <si>
    <t>부산광역시 인사시스템(인사랑)에 접속이 불가할 때, 문제를 확인하고 정상 접속을 복구하는 방법은 무엇인가요?</t>
  </si>
  <si>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</si>
  <si>
    <t>관련 매뉴얼이 없습니다. 고로 해당 매뉴얼은 오류입니다.
인사랑 접속 관련 매뉴얼이 없어 인사랑 담당자에게 문의바랍니다. 라는 식의 답변에 되어야 할 것으로 보입니다.</t>
  </si>
  <si>
    <t>긴급출퇴근 링크는?</t>
  </si>
  <si>
    <t>긴급출퇴근 접속 링크는 어디에서 확인할 수 있나요?</t>
  </si>
  <si>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</si>
  <si>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</si>
  <si>
    <t>기대답변
 긴급출퇴근 링크는 아래와 같습니다.
 http://99.1.2.126:48080/intro.html</t>
  </si>
  <si>
    <t>1286_부산시_긴급_출퇴근_서비스_접속_매뉴얼_20251204.pdf</t>
  </si>
  <si>
    <t>8. 긴급출퇴근 링크(행정포털 오류, 인사랑 출퇴근)
  http://99.1.2.126:48080/intro.html 
 ------
 긴급 출퇴근 관련 별도 문서를 만들었음. 
 이를 참조하지 않고 간단 질문 대응으로 처리할지 논의 필요</t>
  </si>
  <si>
    <t>긴급출퇴근제를 사용하기 위해 사전에 필요한 절차 안내, 긴급출퇴근 링크(URL, 주소) 확인, 인사랑 출퇴근 주소(링크, URL) 안내</t>
  </si>
  <si>
    <t>SQG026</t>
  </si>
  <si>
    <t>컴퓨터 및 프린트 수리관련 연락처는?</t>
  </si>
  <si>
    <t>부산광역시청 내 컴퓨터 및 프린터 고장이나 수리 요청 시 연락할 수 있는 곳의 연락처, 요청 절차는 무엇인가요?</t>
  </si>
  <si>
    <t>부산시청에서 컴퓨터 및 프린트 수리 관련 연락처는 부산광역시 정보화정책과(051-888-2355)입니다.</t>
  </si>
  <si>
    <t xml:space="preserve">ㆍ36122_2025-803_2025년_장애인_집합정보화_교육기관_선정_결과_공고.pdf (p.2)
https://busanai.busan.go.kr/download/36122_2025-803_2025년_장애인_집합정보화_교육기관_선정_결과_공고.pdf </t>
  </si>
  <si>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</si>
  <si>
    <t>임기제 급여 지출 방법 상세하게 알려주세요</t>
  </si>
  <si>
    <t>부산광역시 소속 임기제 공무원의 급여를 지급할 때, 내부 규정과 회계 절차에 따라 신청, 승인, 지급까지 진행되는 단계별 방법과 관련 서류는 무엇인가요?</t>
  </si>
  <si>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</si>
  <si>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</si>
  <si>
    <t>ㅇㅇ 업무 담당 직원 내선번호 어떻게 되나요?</t>
  </si>
  <si>
    <t>부산광역시 예(행정포털) 업무 담당 직원의 내선번호를 확인할 수 있는 조회 방법은 무엇인가요?</t>
  </si>
  <si>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</si>
  <si>
    <t xml:space="preserve">업무분장 관련 자료가 없으므로 이상없습니다. </t>
  </si>
  <si>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</si>
  <si>
    <t>별도서비스처리</t>
  </si>
  <si>
    <t>행정포털 사용자 명단</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</si>
  <si>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</si>
  <si>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(질의문 구체적인 내용으로 변경 필요 / 해당 csv -&gt; pdf 변환 파일 오인식 확률 매우 높음)</t>
  </si>
  <si>
    <t>2025년 정례회 해도위 일정 상세하게 알려주세요</t>
  </si>
  <si>
    <t>부산광역시의 2025년 정례회 중 해양도시위원회 회의 일정과 회기별 세부 의사일정을 확인할 수 있는 방법은 무엇인가요?</t>
  </si>
  <si>
    <t>2025년 부산시의회 정례회 관련 일정은 2025년 6월 4일 10:00에 부산광역시의회 본회의장에서 진행됩니다.</t>
  </si>
  <si>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</si>
  <si>
    <t>일정에 관한 정보는 현재 실시간 업데이트가 불가능하기도 하고
관련 정보가 정리된 내용이 없기 때문에(미리 정해져있지 않음)
해당 내용은 없다고 표출하는게 맞을거 같습니다.</t>
  </si>
  <si>
    <t>용역 계약 절차가 어떻게 되나요</t>
  </si>
  <si>
    <t>용역 계약을 추진할 때, 사전절차, 계약요청, 계약체결 등 계약 추진 절차는 어떻게 되나요?</t>
  </si>
  <si>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</si>
  <si>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</si>
  <si>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</si>
  <si>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</si>
  <si>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</si>
  <si>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9~10P 참조
 용역에 대한 질문만 있기 때문에
 2번째 파일 14P 흐름도에 대한 링크도 제공되면 좋을거 같은데 확인 바랍니다.</t>
  </si>
  <si>
    <r>
      <rPr>
        <rFont val="맑은 고딕"/>
        <b/>
        <color theme="1"/>
        <sz val="11.0"/>
      </rPr>
      <t xml:space="preserve">478_2505_회계재산담당관_업무매뉴얼_회계재산담당관_계약업무_참고자료회계재산담당관외부용.pdf[9] 
</t>
    </r>
    <r>
      <rPr>
        <rFont val="맑은 고딕"/>
        <color theme="1"/>
        <sz val="11.0"/>
      </rPr>
      <t xml:space="preserve">-----
</t>
    </r>
    <r>
      <rPr>
        <rFont val="맑은 고딕"/>
        <color rgb="FFFF0000"/>
        <sz val="11.0"/>
      </rPr>
      <t>[P.9 ~ P.12까지가 전체 절차인데 이 내용을 모두 참고해야 하는지 확인 필요]</t>
    </r>
    <r>
      <rPr>
        <rFont val="맑은 고딕"/>
        <color theme="1"/>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theme="1"/>
        <sz val="11.0"/>
      </rPr>
      <t>․</t>
    </r>
    <r>
      <rPr>
        <rFont val="맑은 고딕"/>
        <color theme="1"/>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</si>
  <si>
    <t>일반지출 e호조 절차가 어떻게 되나요</t>
  </si>
  <si>
    <t>일반지출을 집행할 때 e호조(지방재정시스템)에서 어떤 단계로 처리해야 하는지 전체 절차를 알려주세요.</t>
  </si>
  <si>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</si>
  <si>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</si>
  <si>
    <r>
      <rPr>
        <rFont val="Malgun Gothic"/>
        <color theme="1"/>
        <sz val="11.0"/>
      </rP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rFont val="Segoe UI Symbol"/>
        <color theme="1"/>
        <sz val="11.0"/>
      </rPr>
      <t xml:space="preserve">
</t>
    </r>
    <r>
      <rPr>
        <rFont val="맑은 고딕"/>
        <color theme="1"/>
        <sz val="11.0"/>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</si>
  <si>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</si>
  <si>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477_2505_회계재산담당관_업무매뉴얼_메타넷디지털_일반지출_절차_및_삭제_회계재산담당관_경리팀.pdf</t>
  </si>
  <si>
    <t>8, 9</t>
  </si>
  <si>
    <r>
      <rPr>
        <rFont val="&quot;맑은 고딕&quot;"/>
        <color rgb="FF000000"/>
        <sz val="11.0"/>
      </rPr>
      <t xml:space="preserve">표 내용 제외 오른쪽 내용만 참고해서 
내용 작성해주시면 됩니다.
-----
</t>
    </r>
    <r>
      <rPr>
        <rFont val="&quot;맑은 고딕&quot;"/>
        <color rgb="FF0000FF"/>
        <sz val="11.0"/>
      </rPr>
      <t xml:space="preserve">[왼쪽 그림의 절차가 있어야 우측 텍스트 내용이 의미가 있는 것으로 보임. 표 내용만 봤을 때에는 각 내용들이 절차를 나타내는 것인지 확인이 어려움] </t>
    </r>
    <r>
      <rPr>
        <rFont val="&quot;맑은 고딕&quot;"/>
        <color rgb="FF000000"/>
        <sz val="11.0"/>
      </rPr>
      <t xml:space="preserve">
</t>
    </r>
    <r>
      <rPr>
        <rFont val="&quot;맑은 고딕&quot;"/>
        <color rgb="FF38761D"/>
        <sz val="11.0"/>
      </rPr>
      <t xml:space="preserve">&gt;&gt; 생성형 AI로 해당 내용으로 답변 생성해달라고 했을때의 기대답변입니다. 왼쪽 그림의 절차가 없어도 잘 나오는거 같은데 RAG 검색 유사도가 잘 안나와서 그런지 확인 바랍니다.
</t>
    </r>
    <r>
      <rPr>
        <rFont val="&quot;맑은 고딕&quot;"/>
        <color rgb="FF000000"/>
        <sz val="11.0"/>
      </rPr>
      <t xml:space="preserve">
</t>
    </r>
    <r>
      <rPr>
        <rFont val="&quot;맑은 고딕&quot;"/>
        <color rgb="FFFF0000"/>
        <sz val="11.0"/>
      </rPr>
      <t>-&gt; 데이터 넣어보고 답이 안 나올 경우 부산시 공유 요청 (12.16)</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</si>
  <si>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</si>
  <si>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청사 내 설비 관련 담당 문의는 어디에 하나요</t>
  </si>
  <si>
    <t>청사 내 시설·설비(전기, 냉난방, 배관 등) 이상이나 점검 필요 시, 담당자 문의는 어떻게 하나요?</t>
  </si>
  <si>
    <t xml:space="preserve">부산시청 청사 내 설비와 관련된 문의는 부산시청 시설관리과로 문의하시면 됩니다.
관련번호는 051-888-2515입니다. </t>
  </si>
  <si>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</si>
  <si>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</si>
  <si>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</si>
  <si>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(해당 csv -&gt; pdf 변환 파일 오인식 확률 매우 높음)</t>
  </si>
  <si>
    <t>시 청사 내 편의시설 정보 상세히 안내해주세요</t>
  </si>
  <si>
    <t>시 청사 내에 설치된 각종 편의시설(휴게공간, 모유수유실, 무인민원발급기, 카페·식당 등)의 위치, 이용 가능 시간, 이용 절차 등의 상세 정보를 알려주세요</t>
  </si>
  <si>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</si>
  <si>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</si>
  <si>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</si>
  <si>
    <t>408_2505_총무과_주요질문사항_시청사_층별_안내.pdf</t>
  </si>
  <si>
    <t>1, 2</t>
  </si>
  <si>
    <t>문서 전체 참조</t>
  </si>
  <si>
    <t>부산광역시청 시청사 내 층별 안내 및 편의시설 정보</t>
  </si>
  <si>
    <t>근무성적평정의 평정 순서는 어떻게 되나요?</t>
  </si>
  <si>
    <t>근무성적평정은 어떤 순서와 절차에 따라 진행되는지 알려주세요.</t>
  </si>
  <si>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</si>
  <si>
    <t>ㆍ84014_2022년_동래구_정기종합감사_결과보고서공개용.pdf (p.59)
https://busanai.busan.go.kr/download/84014_2022년_동래구_정기종합감사_결과보고서공개용.pdf</t>
  </si>
  <si>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</si>
  <si>
    <t>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t>
  </si>
  <si>
    <t>22, 23</t>
  </si>
  <si>
    <t xml:space="preserve">품질 3.0등급 자료로 정리해서 주신신 폴더 안에 
25년도 인사운영 기본계획 파일이 있습니다.
-----
</t>
  </si>
  <si>
    <t>평정시스템 운영 안내, 근무성적평정의 평정 순서 안내</t>
  </si>
  <si>
    <r>
      <rPr>
        <rFont val="맑은 고딕"/>
        <b/>
        <color theme="1"/>
        <sz val="11.0"/>
      </rPr>
      <t xml:space="preserve">263_2401_인사과_기본계획_인사과_2024년도_부산광역시_인사운영_기본계획.pdf[22] </t>
    </r>
    <r>
      <rPr>
        <rFont val="맑은 고딕"/>
        <color theme="1"/>
        <sz val="11.0"/>
      </rPr>
      <t xml:space="preserve">
-----
</t>
    </r>
    <r>
      <rPr>
        <rFont val="맑은 고딕"/>
        <b/>
        <color rgb="FFFF0000"/>
        <sz val="11.0"/>
      </rPr>
      <t xml:space="preserve">[2025년도 자료가 없음. 확인 필요] 
</t>
    </r>
    <r>
      <rPr>
        <rFont val="맑은 고딕"/>
        <color theme="1"/>
        <sz val="11.0"/>
      </rPr>
      <t xml:space="preserve">
□ 합리적인 가산점 부여
</t>
    </r>
    <r>
      <rPr>
        <rFont val="Segoe UI Symbol"/>
        <color theme="1"/>
        <sz val="11.0"/>
      </rPr>
      <t>❍</t>
    </r>
    <r>
      <rPr>
        <rFont val="맑은 고딕"/>
        <color theme="1"/>
        <sz val="11.0"/>
      </rPr>
      <t xml:space="preserve"> 운영개요
- (관련근거) 「지방공무원 평정규칙」제23조 ~ 제25조
- (부여가점) 최대 5점
- (부여방법) 가점항목별 부여기준에 따라 각 가산점 부여
</t>
    </r>
    <r>
      <rPr>
        <rFont val="Segoe UI Symbol"/>
        <color theme="1"/>
        <sz val="11.0"/>
      </rPr>
      <t>❍</t>
    </r>
    <r>
      <rPr>
        <rFont val="맑은 고딕"/>
        <color theme="1"/>
        <sz val="11.0"/>
      </rPr>
      <t xml:space="preserve"> 가산점 부여 기준
가점항목 부여기준 비고직무관련 자격증 가산점
(평정규칙제23조)
</t>
    </r>
    <r>
      <rPr>
        <rFont val="Cambria Math"/>
        <color theme="1"/>
        <sz val="11.0"/>
      </rPr>
      <t>∘</t>
    </r>
    <r>
      <rPr>
        <rFont val="맑은 고딕"/>
        <color theme="1"/>
        <sz val="11.0"/>
      </rPr>
      <t xml:space="preserve"> 직렬별 직무관련 자격증 소지자
▷ 해당계급 또는 상위계급 인정 자격증 : 0.50점
최대
0.50점인사교류 가산점
(평정규칙제24조제2항)
</t>
    </r>
    <r>
      <rPr>
        <rFont val="Cambria Math"/>
        <color theme="1"/>
        <sz val="11.0"/>
      </rPr>
      <t>∘</t>
    </r>
    <r>
      <rPr>
        <rFont val="맑은 고딕"/>
        <color theme="1"/>
        <sz val="11.0"/>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rFont val="Cambria Math"/>
        <color theme="1"/>
        <sz val="11.0"/>
      </rPr>
      <t>∘</t>
    </r>
    <r>
      <rPr>
        <rFont val="맑은 고딕"/>
        <color theme="1"/>
        <sz val="11.0"/>
      </rPr>
      <t xml:space="preserve"> 재난업무 담당자(시민안전실에서 대상자 추천) ▷ 2년 초과 후 1개월마다 0.05점 가산
 ☞ 근무성적평정위원회 심사결정
최대
0.75점전문직위 가산점
(평정규칙제24조제4항)
</t>
    </r>
    <r>
      <rPr>
        <rFont val="Cambria Math"/>
        <color theme="1"/>
        <sz val="11.0"/>
      </rPr>
      <t>∘</t>
    </r>
    <r>
      <rPr>
        <rFont val="맑은 고딕"/>
        <color theme="1"/>
        <sz val="11.0"/>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rFont val="Cambria Math"/>
        <color theme="1"/>
        <sz val="11.0"/>
      </rPr>
      <t>∘</t>
    </r>
    <r>
      <rPr>
        <rFont val="맑은 고딕"/>
        <color theme="1"/>
        <sz val="11.0"/>
      </rPr>
      <t xml:space="preserve"> 평정대상 기간 중 탁월한 근무실적이 있는 경우
▷ 7개 항목 부여기준에 따라 점수 부여
 ☞ 근무성적평정위원회 심사결정
최대 3점</t>
    </r>
    <r>
      <rPr>
        <rFont val="Segoe UI Symbol"/>
        <color theme="1"/>
        <sz val="11.0"/>
      </rPr>
      <t>◾</t>
    </r>
    <r>
      <rPr>
        <rFont val="맑은 고딕"/>
        <color theme="1"/>
        <sz val="11.0"/>
      </rPr>
      <t xml:space="preserve"> 2023년 대비 달라지는 점(인사규칙 2024. 11. 1. 시행) </t>
    </r>
    <r>
      <rPr>
        <rFont val="Segoe UI Symbol"/>
        <color theme="1"/>
        <sz val="11.0"/>
      </rPr>
      <t>◦</t>
    </r>
    <r>
      <rPr>
        <rFont val="맑은 고딕"/>
        <color theme="1"/>
        <sz val="11.0"/>
      </rPr>
      <t xml:space="preserve"> 전문분야 근무자 실적가산점 폐지(전문분야 근무자로 지정되어 연속하여 1년 이상 근무한 직원
</t>
    </r>
  </si>
  <si>
    <t>BSC 성과평가 내 주요요소들은 무엇이 있나요?</t>
  </si>
  <si>
    <t>BSC 성과평가를 구성하는 핵심 요소와 평가 관점은 무엇인지 구체적으로 알려주세요.</t>
  </si>
  <si>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</si>
  <si>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</si>
  <si>
    <t>시 본청 당직시 주의사항에 대해서 알려줘</t>
  </si>
  <si>
    <t>시 본청 당직 근무 시 준수해야 할 주요 의무사항과 근무 중 유의해야 할 점은 무엇인가요?</t>
  </si>
  <si>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</si>
  <si>
    <r>
      <rPr>
        <rFont val="Malgun Gothic"/>
        <color theme="1"/>
        <sz val="11.0"/>
      </rP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rFont val="MS Gothic"/>
        <color theme="1"/>
        <sz val="11.0"/>
      </rPr>
      <t>․</t>
    </r>
    <r>
      <rPr>
        <rFont val="맑은 고딕"/>
        <color theme="1"/>
        <sz val="11.0"/>
      </rPr>
      <t>인계, 당직민원처리 등
★ (시)근조기</t>
    </r>
    <r>
      <rPr>
        <rFont val="MS Gothic"/>
        <color theme="1"/>
        <sz val="11.0"/>
      </rPr>
      <t>‧</t>
    </r>
    <r>
      <rPr>
        <rFont val="맑은 고딕"/>
        <color theme="1"/>
        <sz val="11.0"/>
      </rPr>
      <t>근조화 및 (노조)근조기</t>
    </r>
    <r>
      <rPr>
        <rFont val="MS Gothic"/>
        <color theme="1"/>
        <sz val="11.0"/>
      </rPr>
      <t>‧</t>
    </r>
    <r>
      <rPr>
        <rFont val="맑은 고딕"/>
        <color theme="1"/>
        <sz val="11.0"/>
      </rPr>
      <t>근조화</t>
    </r>
    <r>
      <rPr>
        <rFont val="MS Gothic"/>
        <color theme="1"/>
        <sz val="11.0"/>
      </rPr>
      <t>‧</t>
    </r>
    <r>
      <rPr>
        <rFont val="맑은 고딕"/>
        <color theme="1"/>
        <sz val="11.0"/>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</si>
  <si>
    <t>1.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</si>
  <si>
    <t>306_2504_인사과_업무매뉴얼_인사과_당직원근무자료.pdf</t>
  </si>
  <si>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</si>
  <si>
    <t>시 본청 당직시 주의사항 안내</t>
  </si>
  <si>
    <r>
      <rPr>
        <rFont val="맑은 고딕"/>
        <b/>
        <color theme="1"/>
        <sz val="11.0"/>
      </rPr>
      <t>299_2502_인사과_업무매뉴얼_인사과_당직원근무자료.pdf[1]</t>
    </r>
    <r>
      <rPr>
        <rFont val="맑은 고딕"/>
        <color theme="1"/>
        <sz val="11.0"/>
      </rPr>
      <t xml:space="preserve">
-----
</t>
    </r>
    <r>
      <rPr>
        <rFont val="맑은 고딕"/>
        <color rgb="FFFF0000"/>
        <sz val="11.0"/>
      </rPr>
      <t>[306 문서와 동일 내용의 문서가 있음. 전화번호가 제외된 이전 버전의 문서로 보임]</t>
    </r>
  </si>
  <si>
    <t>시 본청 주차장 승용차 요일제에 대해서 알려줘</t>
  </si>
  <si>
    <t>시 본청 주차장에서 운영되는 승용차 요일제의 적용 대상, 운영 방식, 예외 기준, 단속·관리 절차를 포함한 전체 운영 규정을 상세히 설명해주세요.</t>
  </si>
  <si>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</si>
  <si>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</si>
  <si>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</si>
  <si>
    <t>409_2505_총무과_주요질문사항_직원주차장_이용_안내.pdf</t>
  </si>
  <si>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</si>
  <si>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직원 차량 등록 방법 및 절차, 시청사 내 직원 주차 등록 방법, 시청 청사 내 차량 등록 및 주차에 관한 설명, 본청 주차장 승용차 요일제에 대한 안내</t>
  </si>
  <si>
    <t>개인 사물함 및 케비닛 열쇠를 잃어버리면 어떻게 다시 받을 수 있나요?</t>
  </si>
  <si>
    <t>개인 사물함·캐비닛 열쇠를 분실했을 때 재발급이나 교체를 받기 위한 절차와 담당 부서는 어디인가요?</t>
  </si>
  <si>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</si>
  <si>
    <t>해당 질의에 대한 근거문서가 없습니다.
직원 관련 규정에 대한 근거문서가 존재하지 않습니다.
자세한 사항은 관련 부서 또는 업무 담당자에게 문의하시기 바랍니다.
라고 답변해주시면 될거 같습니다.</t>
  </si>
  <si>
    <t>사무관리비로 선풍기를 구입할 수 있나요?</t>
  </si>
  <si>
    <t>사무관리비 예산으로 선풍기 같은 사무용 비품을 구입할 수 있는지, 가능 여부와 제한 기준을 알려주세요.</t>
  </si>
  <si>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</si>
  <si>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</si>
  <si>
    <t>101, 102</t>
  </si>
  <si>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</si>
  <si>
    <t>사무관리비로 구매 가능한 물품 목록, 사무관리비로 구입 가능한 물품 목록, 사무관리비 사용방법, 선풍기(사무용품)</t>
  </si>
  <si>
    <t>보도자료가 배포되는 과정에 대해서 알고싶어요</t>
  </si>
  <si>
    <t>보도자료를 작성한 후 시청 내부 검토부터 언론사 배포까지 어떤 절차를 거치는지 단계별로 알려주세요.</t>
  </si>
  <si>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</si>
  <si>
    <t>보도자료도 관련 문서가 없습니다.
보도자료 배포에 대한 근거문서가 존재하지 않습니다.
자세한 사항은 관련 부서 또는 업무 담당자에게 문의하시기 바랍니다.
라고 답변해주시면 될거 같습니다.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</si>
  <si>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</si>
  <si>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</si>
  <si>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현재 비어있는 시청 내 회의실은 어디가 있나요?</t>
  </si>
  <si>
    <t>현재 시 청사 내에서 실시간으로 예약 가능하거나 비어 있는 회의실을 확인할 수 있는 시스템(또는 절차), 조회 방법, 이용 조건을 상세히 설명해주세요.</t>
  </si>
  <si>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</si>
  <si>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</si>
  <si>
    <t>기대답변 :
 다음 위치에서 확인 가능합니다.
 행정포털 - 개인서비스 - 회의장 클릭 후 원하는 날짜 예약</t>
  </si>
  <si>
    <t>옷걸이는 정수 물품인가요?</t>
  </si>
  <si>
    <t>사무실 비품 중 옷걸이는 정수에 해당하는지, 구입 가능 여부와 관련 기준은 무엇인가요?</t>
  </si>
  <si>
    <t>부산시청 물품 관리 규정에서는 옷걸이를 정수 물품으로 명시하지 않았습니다. 따라서 옷걸이는 정수 물품에 해당하지 않습니다.</t>
  </si>
  <si>
    <t xml:space="preserve">ㆍ1125_압축2025년_부산문화재단_규정집2025227.pdf (p.99)
https://busanai.busan.go.kr/download/1125_압축2025년_부산문화재단_규정집2025227.pdf </t>
  </si>
  <si>
    <t>근거자료 오류입니다.
정수 관련 근거자료가 없기 때문에 확인이 불가능하고 자세한 사항은 문의 하라는 식의 답변으로
표출되면 됩니다</t>
  </si>
  <si>
    <t>2024년과 2025년에 변경되는 주요 복지정책은 무엇이 있나요</t>
  </si>
  <si>
    <t>2024년과 2025년에 시행되거나 변경되는 복지정책 중 주요 항목과 적용 방식, 차이점 등을 알려주세요</t>
  </si>
  <si>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</si>
  <si>
    <t>ㆍ45798_2024년도_복지시책안내.pdf (p.5, 15)
https://busanai.busan.go.kr/download/45798_2024년도_복지시책안내.pdf</t>
  </si>
  <si>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</si>
  <si>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</si>
  <si>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290_2501_인사과_기타_인사과_2025년도_부산광역시_맞춤형복지제도_운영계획.pdf</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</si>
  <si>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</si>
  <si>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2025년에 변경되는 주요 복지정책</t>
  </si>
  <si>
    <t>장기재직휴가 기준 및 사용방법</t>
  </si>
  <si>
    <t>장기재직휴가를 부여받기 위한 기준과 산정 방법, 신청 절차 및 사용 방법을 단계별로 알려주세요.</t>
  </si>
  <si>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</si>
  <si>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2, 3, 4</t>
  </si>
  <si>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장(팀‧소장)
 농업기술센터 팀 장
 사업소 팀 장(5급 이상)
 - 휴가 시작일 기준 1주일 전 승인(차세대인사랑 복무 승인) 후 실시 * 과장급 이상은 직상, 국장급 및 3급 사업소장은 본청 지도‧감독부서 실‧국장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</si>
  <si>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SQG006</t>
  </si>
  <si>
    <t>DRM 암호 초기화 방법</t>
  </si>
  <si>
    <t>DRM(자료유출방지시스템, 문서암호화시스템) 암호가 잠기거나 분실된 경우, 초기화 방법을 알려주세요.</t>
  </si>
  <si>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</si>
  <si>
    <t>인사고충 신청 방법</t>
  </si>
  <si>
    <t>인사 관련 고충을 겪을 때, 인사고충을 공식적으로 신청하는 절차와 필요 서류, 처리 과정을 단계별로 알려주세요</t>
  </si>
  <si>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</si>
  <si>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</si>
  <si>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</si>
  <si>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 xml:space="preserve">24년도 자료랑 동일한 것으로 보임
저한테 6월에 보내주셨던 등급 분류 자료 중 등급 3.0에 관련 문서 있는것으로 나옵니다 
 </t>
  </si>
  <si>
    <r>
      <rPr>
        <rFont val="맑은 고딕"/>
        <b/>
        <color theme="1"/>
        <sz val="11.0"/>
      </rPr>
      <t>263_2401_인사과_기본계획_인사과_2024년도_부산광역시_인사운영_기본계획.pdf[11]</t>
    </r>
    <r>
      <rPr>
        <rFont val="맑은 고딕"/>
        <color theme="1"/>
        <sz val="11.0"/>
      </rPr>
      <t xml:space="preserve">
-----
</t>
    </r>
    <r>
      <rPr>
        <rFont val="맑은 고딕"/>
        <color rgb="FFFF0000"/>
        <sz val="11.0"/>
      </rPr>
      <t xml:space="preserve">[2025년도 자료가 없음. 확인 필요]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t>
    </r>
    <r>
      <rPr>
        <rFont val="맑은 고딕"/>
        <color rgb="FFFF0000"/>
        <sz val="11.0"/>
      </rPr>
      <t xml:space="preserve"> □ 인사상담 활성화
</t>
    </r>
    <r>
      <rPr>
        <rFont val="Segoe UI Symbol"/>
        <color rgb="FFFF0000"/>
        <sz val="11.0"/>
      </rPr>
      <t>❍</t>
    </r>
    <r>
      <rPr>
        <rFont val="맑은 고딕"/>
        <color rgb="FFFF0000"/>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rgb="FFFF0000"/>
        <sz val="11.0"/>
      </rPr>
      <t>❍</t>
    </r>
    <r>
      <rPr>
        <rFont val="맑은 고딕"/>
        <color rgb="FFFF0000"/>
        <sz val="11.0"/>
      </rPr>
      <t xml:space="preserve"> (찾아가는 인사상담) 직접 찾아가서 상담하는 적극적 인사 운영- (운영시기) 상</t>
    </r>
    <r>
      <rPr>
        <rFont val="MS UI Gothic"/>
        <color rgb="FFFF0000"/>
        <sz val="11.0"/>
      </rPr>
      <t>․</t>
    </r>
    <r>
      <rPr>
        <rFont val="맑은 고딕"/>
        <color rgb="FFFF0000"/>
        <sz val="11.0"/>
      </rPr>
      <t xml:space="preserve">하반기 연 2회 </t>
    </r>
    <r>
      <rPr>
        <rFont val="Tahoma"/>
        <color rgb="FFFF0000"/>
        <sz val="11.0"/>
      </rPr>
      <t>‣</t>
    </r>
    <r>
      <rPr>
        <rFont val="맑은 고딕"/>
        <color rgb="FFFF0000"/>
        <sz val="11.0"/>
      </rPr>
      <t xml:space="preserve"> 정기인사 전</t>
    </r>
    <r>
      <rPr>
        <rFont val="Noto Sans KR"/>
        <color rgb="FFFF0000"/>
        <sz val="11.0"/>
      </rPr>
      <t>‧</t>
    </r>
    <r>
      <rPr>
        <rFont val="Noto Sans KR"/>
        <color rgb="FFFF0000"/>
        <sz val="11.0"/>
      </rPr>
      <t>후</t>
    </r>
    <r>
      <rPr>
        <rFont val="맑은 고딕"/>
        <color rgb="FFFF0000"/>
        <sz val="11.0"/>
      </rPr>
      <t xml:space="preserve">
- (운영내용) 실</t>
    </r>
    <r>
      <rPr>
        <rFont val="Noto Sans KR"/>
        <color rgb="FFFF0000"/>
        <sz val="11.0"/>
      </rPr>
      <t>‧</t>
    </r>
    <r>
      <rPr>
        <rFont val="Noto Sans KR"/>
        <color rgb="FFFF0000"/>
        <sz val="11.0"/>
      </rPr>
      <t>국‧본부별</t>
    </r>
    <r>
      <rPr>
        <rFont val="맑은 고딕"/>
        <color rgb="FFFF0000"/>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</si>
  <si>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전자서명신청 방법</t>
  </si>
  <si>
    <t>행정전자서명(GPKI)을 발급받으려면 어떤 절차를 거쳐야 하며, 신청 방법과 필요 서류는 무엇인가요?</t>
  </si>
  <si>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</si>
  <si>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</si>
  <si>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</si>
  <si>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r>
      <rPr>
        <rFont val="&quot;맑은 고딕&quot;"/>
        <color rgb="FF000000"/>
        <sz val="11.0"/>
      </rPr>
      <t>1228_2511_부산광역시_업무매뉴얼_부산광역시_행정전자서명GPKI_발급_갱신_이동_안내.pdf</t>
    </r>
    <r>
      <rPr>
        <rFont val="&quot;맑은 고딕&quot;"/>
        <color rgb="FFFF0000"/>
        <sz val="11.0"/>
      </rPr>
      <t xml:space="preserve">
</t>
    </r>
  </si>
  <si>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</si>
  <si>
    <t>&gt;&gt;&gt; (질문 변경시 검색됨)
'행정 전자서명신청 방법'</t>
  </si>
  <si>
    <t>SQG008</t>
  </si>
  <si>
    <t>관내,외 출장 여비 정산 방법</t>
  </si>
  <si>
    <t>관내·관외 출장 시 여비 정산을 위한 처리 절차를 단계별로 명확히 설명해주세요.</t>
  </si>
  <si>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</si>
  <si>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</si>
  <si>
    <t>근거자료 오류입니다.
출장 관련 근거자료가 없으므로
일반적인 답변 및 관련 부서나 업무 담당자에게 문의 라는 멘트가 있으면 됩니다.</t>
  </si>
  <si>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</si>
  <si>
    <t>268_2405_인사과_업무매뉴얼_행정안전부_출장관리_매뉴얼.pdf</t>
  </si>
  <si>
    <t>12, 13, 14, 15, 16</t>
  </si>
  <si>
    <r>
      <rPr>
        <rFont val="Arial"/>
        <color rgb="FF00B050"/>
        <sz val="11.0"/>
      </rPr>
      <t xml:space="preserve">&gt;&gt; 질의문 172번과 동일하게 처리바랍니다.(해당 문서에 관내, 관외 출장 처리방법 명시되어 있음)
</t>
    </r>
    <r>
      <rPr>
        <rFont val="Arial"/>
        <color rgb="FF0000FF"/>
        <sz val="11.0"/>
      </rPr>
      <t xml:space="preserve">&gt;&gt; 문서명, 페이지 172번과 동기화 완료
</t>
    </r>
    <r>
      <rPr>
        <rFont val="Arial"/>
        <color rgb="FFFF0000"/>
        <sz val="11.0"/>
      </rPr>
      <t xml:space="preserve">&gt;&gt; [25.12.18] 해당 문서의 해당 페이지에서 유의미한 정보는 전부다 이미지로 되어 있어 FAQ 에서 해당 문서를 안내하도록 별도로 처리하는게 맞을것 같습니다.
</t>
    </r>
    <r>
      <rPr>
        <rFont val="Arial"/>
        <color rgb="FF00B050"/>
        <sz val="11.0"/>
      </rPr>
      <t>&gt;&gt; FAQ 처리</t>
    </r>
  </si>
  <si>
    <t>SQG023</t>
  </si>
  <si>
    <t>홈페이지 관리자 메뉴 변경 방법</t>
  </si>
  <si>
    <t>시청 홈페이지에서 관리자 메뉴를 추가, 수정, 삭제하려면 어떤 절차와 시스템을 이용해야 하는지 단계별로 알려주세요.</t>
  </si>
  <si>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</si>
  <si>
    <t>근거문서가 없기 때문에 일반적인 답변 및 자세한 사항은 관련 부서나 업무 담당자에게 문의바랍니다. 
라는 답변이 필요합니다.</t>
  </si>
  <si>
    <t>대한공제회비 변경 방법</t>
  </si>
  <si>
    <t>직원 개인별 대한공제회비를 변경하려면 어떤 절차와 신청 방법을 따라야 하는지 알려주세요</t>
  </si>
  <si>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</si>
  <si>
    <t>행정정보공동이용 권한 신청 방법</t>
  </si>
  <si>
    <t>행정정보 공동이용 시스템을 사용하기 위해 필요한 권한은 어떻게 신청하며, 신청 절차와 담당 부서는 어디인가요?</t>
  </si>
  <si>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</si>
  <si>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</si>
  <si>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</si>
  <si>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</si>
  <si>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1261_행정정보공동이용_권한관리_매뉴얼_250101.pdf</t>
  </si>
  <si>
    <t>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</si>
  <si>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행정정보공동이용 권한신청 방법 안내, 행정정보 공동이용 권한 신청 방법, 행정 정보 공동 이용 권한 신청 방법</t>
  </si>
  <si>
    <t>SQG021</t>
  </si>
  <si>
    <t>e호조+ 품의 등록 방법</t>
  </si>
  <si>
    <t>e호조 시스템(지방재정시스템) 사용 방법과 품의서를 등록하려면 어떤 절차를 거쳐야 하는지 알려주세요</t>
  </si>
  <si>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</si>
  <si>
    <t>ㆍ328_2503_재정협력담당관_업뮤매뉴얼_행정안전부_2025년_지방보조금_관리가이드.pdf (p.26)
https://busanai.busan.go.kr/download/328_2503_재정협력담당관_업뮤매뉴얼_행정안전부_2025년_지방보조금_관리가이드.pdf</t>
  </si>
  <si>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</si>
  <si>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r>
      <rPr>
        <rFont val="Malgun Gothic"/>
        <color theme="1"/>
        <sz val="11.0"/>
      </rPr>
      <t xml:space="preserve">표 내용 제외 오른쪽 내용만 참고해서 
내용 작성해주시면 됩니다.
-----
</t>
    </r>
    <r>
      <rPr>
        <rFont val="Arial"/>
        <color rgb="FF0432FF"/>
        <sz val="11.0"/>
      </rPr>
      <t>[답변 참조 문서명이 기입되어 있지 않았음. 이 문서가 맞는지 확인 필요 + 표 내용 우측 텍스트 인식으로 답변 요청을 하신 것인지도 확인 필요]</t>
    </r>
    <r>
      <rPr>
        <rFont val="Arial"/>
        <color theme="1"/>
        <sz val="11.0"/>
      </rPr>
      <t xml:space="preserve"> 
</t>
    </r>
    <r>
      <rPr>
        <rFont val="Arial"/>
        <color rgb="FF0432FF"/>
        <sz val="11.0"/>
      </rPr>
      <t>[왼쪽 그림의 절차가 있어야 우측 텍스트 내용이 의미가 있는 것으로 보임. 표 내용만 봤을 때에는 각 내용들이 절차를 나타내는 것인지 확인이 어려움 - 115번 동일]</t>
    </r>
    <r>
      <rPr>
        <rFont val="Arial"/>
        <color theme="1"/>
        <sz val="11.0"/>
      </rPr>
      <t xml:space="preserve">
</t>
    </r>
    <r>
      <rPr>
        <rFont val="Arial"/>
        <color rgb="FF00B050"/>
        <sz val="11.0"/>
      </rPr>
      <t>&gt;&gt; 115번과 동일, 제목에 일반지출 상세흐름도라고 명시되어 있는데도 불구하고 절차에 대한 확인이 어려운지 확인이 필요합니다. RAG 유사도 문제도 같이 확인 필요</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</si>
  <si>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</si>
  <si>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연가, 특별휴가 등 연가 수정, 취소 방법</t>
  </si>
  <si>
    <t>연가·특별휴가 등 각종 휴가의 신청 이후 변경·취소가 필요한 경우, 내부 인사시스템(인사랑)에서 수행해야 하는 절차에 대해 단계별로 설명해주세요.</t>
  </si>
  <si>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</si>
  <si>
    <t>급여 작업시 장기교육자 등에 대한 복리후생비, 수당 등 지급 계산식이 어떻게 되나요?</t>
  </si>
  <si>
    <t>급여 작업 시 장기교육자 등에게 지급되는 복리후생비와 수당의 산정 기준과 계산 방법, 적용 절차는 어떻게 되나요?</t>
  </si>
  <si>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</si>
  <si>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</si>
  <si>
    <t>기대답변 :
 정액급식비, 직급보조비는 매월 전액 지급합니다.
 대민활동비(특정업무경비)는 근무일수에 맞게 일할계산하여 지급(원단위 절사) 합니다.</t>
  </si>
  <si>
    <t>215_2501_예산담당관_업무매뉴얼_예산담당관_2025급여_및_수당_관련_FAQ.pdf</t>
  </si>
  <si>
    <t>급여 작업 시 장기 교육자에 대한 복리후생비와 수당 등의 지급 계산식에 대한 설명</t>
  </si>
  <si>
    <t>복무관련 인사랑에서 가족수당 신청은 어떻게 하나요?</t>
  </si>
  <si>
    <t>복무 관련 인사시스템(인사랑)을 통해 가족수당을 신규 신청, 변경, 또는 정산 신청할 때, 필요한 서류, 입력 항목, 승인 절차, 처리 단계, 그리고 신청 시 유의사항을 단계별로 상세히 설명해주세요.</t>
  </si>
  <si>
    <r>
      <rPr>
        <rFont val="Malgun Gothic"/>
        <color theme="1"/>
        <sz val="11.0"/>
      </rP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rFont val="Yu Gothic"/>
        <color theme="1"/>
        <sz val="11.0"/>
      </rPr>
      <t>・</t>
    </r>
    <r>
      <rPr>
        <rFont val="맑은 고딕"/>
        <color theme="1"/>
        <sz val="11.0"/>
      </rPr>
      <t>자매가 공무원인 경우에도 동일하게 적용됩니다. 다만, 형제</t>
    </r>
    <r>
      <rPr>
        <rFont val="Yu Gothic"/>
        <color theme="1"/>
        <sz val="11.0"/>
      </rPr>
      <t>・</t>
    </r>
    <r>
      <rPr>
        <rFont val="맑은 고딕"/>
        <color theme="1"/>
        <sz val="11.0"/>
      </rPr>
      <t>자매 등 당사자들이 합의한 경우에는 직계존속에 대한 가족수당 지급 대상을 변경할 수 있으며, 이 경우에도 부양가족신고서에 상대방의 동의서를 첨부하여 제출해야 합니다.</t>
    </r>
  </si>
  <si>
    <t>ㆍ214_2501_예산담당관_업무매뉴얼_행정안전부_지방공무원보수업무_등_처리지침.pdf (p.299, 300)
https://busanai.busan.go.kr/download/214_2501_예산담당관_업무매뉴얼_행정안전부_지방공무원보수업무_등_처리지침.pdf</t>
  </si>
  <si>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</si>
  <si>
    <t>일상경비 지출하고 은행에 돈이 입금됐는지 이호조로 확인할 수 있는 방법은?</t>
  </si>
  <si>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</si>
  <si>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</si>
  <si>
    <t>e호조(이호조, 지방재정시스템) 사용 매뉴얼에 대한 자료는 없습니다.
이 자료 또한 담당부서 또는 담당자에게 문의하라는 내용 위주로 나와야 할 것 같습니다</t>
  </si>
  <si>
    <t>일상경비 자금전도하는 법 알려주세요</t>
  </si>
  <si>
    <t>일상경비를 다른 계정이나 부서로 자금 전도(이체)할 경우, 지방재정시스템(e호조, 이호조)의 처리 단계를 단계별로 상세히 설명해주세요.</t>
  </si>
  <si>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</si>
  <si>
    <t>잘못된 근거자료입니다.
해당 관련 자료는 없으므로 바로 위의 답변과 동일하게 표출되어야 할 것입니다.</t>
  </si>
  <si>
    <t>행정포털 비밀번호 초기화하고 싶어요</t>
  </si>
  <si>
    <t>행정포털 비밀번호를 초기화하려면 어떤 절차를 거쳐야 하는지 알려주세요</t>
  </si>
  <si>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</si>
  <si>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</si>
  <si>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</si>
  <si>
    <r>
      <rPr>
        <rFont val="맑은 고딕"/>
        <b/>
        <color theme="1"/>
        <sz val="11.0"/>
      </rPr>
      <t>1255_행정포털_오류조치_안내_정보화정책과_20251112.pdf[1~2]</t>
    </r>
    <r>
      <rPr>
        <rFont val="맑은 고딕"/>
        <color theme="1"/>
        <sz val="11.0"/>
      </rPr>
      <t xml:space="preserve">
-----
</t>
    </r>
    <r>
      <rPr>
        <rFont val="맑은 고딕"/>
        <color rgb="FFFF0000"/>
        <sz val="11.0"/>
      </rPr>
      <t>[행정포털 오류조치 안내 페이지에서도 비밀번호 초기화 관련 사항이 없음. 매칭될 수 있도록 조치 필요]</t>
    </r>
    <r>
      <rPr>
        <rFont val="맑은 고딕"/>
        <color theme="1"/>
        <sz val="11.0"/>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</si>
  <si>
    <t>온톡 메신저에 부서원 순서를 바꾸고 싶어요</t>
  </si>
  <si>
    <t>온톡 메신저에서 부서원 목록의 순서를 변경하려면 어떤 절차와 권한이 필요하며, 구체적인 조작 방법은 무엇인가요?</t>
  </si>
  <si>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</si>
  <si>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</si>
  <si>
    <r>
      <rPr>
        <rFont val="Malgun Gothic"/>
        <color theme="1"/>
        <sz val="11.0"/>
      </rP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rFont val="Tahoma"/>
        <color theme="1"/>
        <sz val="11.0"/>
      </rPr>
      <t>‣</t>
    </r>
    <r>
      <rPr>
        <rFont val="맑은 고딕"/>
        <color theme="1"/>
        <sz val="11.0"/>
      </rPr>
      <t xml:space="preserve"> 개인별 “순서” 숫자대로 적용
   ● 순서에 “동일한 숫자” 가 2명 이상이면 랜덤 배치되니 주의 하세요 ●</t>
    </r>
  </si>
  <si>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</si>
  <si>
    <t>2, 3</t>
  </si>
  <si>
    <t>내용 작성해주시면 됩니다.</t>
  </si>
  <si>
    <t>온톡 메신저에 부서원 순서 변경 방법</t>
  </si>
  <si>
    <t>1인당 1년치 급식비(매식비) 계산은 어떻게 하나요</t>
  </si>
  <si>
    <t>직원 1인당 1년치 급식비(매식비)를 산정하려면 계산 기준과 적용 방식, 필요한 자료와 절차는 무엇인가요?</t>
  </si>
  <si>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</si>
  <si>
    <t xml:space="preserve">ㆍ83899_반복지적사례급량비지급_부적정.pdf (p.1)
https://busanai.busan.go.kr/download/83899_반복지적사례급량비지급_부적정.pdf </t>
  </si>
  <si>
    <r>
      <rPr>
        <rFont val="Malgun Gothic"/>
        <color theme="1"/>
        <sz val="11.0"/>
      </rP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rFont val="Yu Gothic"/>
        <color theme="1"/>
        <sz val="11.0"/>
      </rPr>
      <t>･</t>
    </r>
    <r>
      <rPr>
        <rFont val="맑은 고딕"/>
        <color theme="1"/>
        <sz val="11.0"/>
      </rPr>
      <t>직위해제 또는
휴직(공무상 질병으로 인한 휴직을 제외한다)중에 있는 공무원, 직제와 정원의 개편</t>
    </r>
    <r>
      <rPr>
        <rFont val="Yu Gothic"/>
        <color theme="1"/>
        <sz val="11.0"/>
      </rPr>
      <t>･</t>
    </r>
    <r>
      <rPr>
        <rFont val="맑은 고딕"/>
        <color theme="1"/>
        <sz val="11.0"/>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</si>
  <si>
    <t>기대답변:
 1. 정액급식비(영 제18조)
 가. 지급대상
 모든 공무원[다만, 영 제3조의 규정을 적용받는 국외파견공무원, 정직･직위해제 또는 휴직(공무상 질병으로 인한 휴직을 제외한다)중에 있는 공무원, 직제와 정원의 개편･폐지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</si>
  <si>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355</t>
  </si>
  <si>
    <t>공무원 1인당 연간 급식비 계산 방법 및 지급에 대한 설명</t>
  </si>
  <si>
    <t>온톡 메신저에 담당업무 입력은 어떻게 하나요</t>
  </si>
  <si>
    <t>온톡 메신저에서 직원별 담당업무를 입력하거나 수정하려면 어떤 절차와 권한이 필요하며, 구체적인 방법은 무엇인가요?</t>
  </si>
  <si>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</si>
  <si>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</si>
  <si>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</si>
  <si>
    <t>-----</t>
  </si>
  <si>
    <t>온톡 담당업무 입력 방법 안내, 온톡 담당 업무 입력방법 안내</t>
  </si>
  <si>
    <r>
      <rPr>
        <rFont val="맑은 고딕"/>
        <b/>
        <color theme="1"/>
        <sz val="11.0"/>
      </rPr>
      <t>371_2503_정보화정책과_업무매뉴얼_정보화정책과_온톡_온메일_온나라_지식_사용자_매뉴얼_v21.pdf[4, 5]</t>
    </r>
    <r>
      <rPr>
        <rFont val="맑은 고딕"/>
        <color theme="1"/>
        <sz val="11.0"/>
      </rPr>
      <t xml:space="preserve">
-----
</t>
    </r>
    <r>
      <rPr>
        <rFont val="맑은 고딕"/>
        <color rgb="FFFF0000"/>
        <sz val="11.0"/>
      </rPr>
      <t xml:space="preserve">[인사발령 시 조치방법에 대한 문서인데 온톡 메신저 담당업무 입력과는 유사도 차이가 있어 검색 확률이 낮음.]
</t>
    </r>
    <r>
      <rPr>
        <rFont val="맑은 고딕"/>
        <color theme="1"/>
        <sz val="11.0"/>
      </rPr>
      <t xml:space="preserve">
ü 인사발령 시 조치방법 ▲위로 ● 문의 하기 전 먼저 읽어 주세요
① 온톡 개인정보 변경 방법
 (부서이동, 직위, 직급 등)
● 시 행정포털 Ü (몇 시간 소요)온나라 Ü (1일 소요)온톡</t>
    </r>
    <r>
      <rPr>
        <rFont val="Tahoma"/>
        <color theme="1"/>
        <sz val="11.0"/>
      </rPr>
      <t>‣</t>
    </r>
    <r>
      <rPr>
        <rFont val="맑은 고딕"/>
        <color theme="1"/>
        <sz val="11.0"/>
      </rPr>
      <t xml:space="preserve"> 부서이동: 행정포털에서 이동하면 온나라 자동 반영
</t>
    </r>
    <r>
      <rPr>
        <rFont val="Tahoma"/>
        <color theme="1"/>
        <sz val="11.0"/>
      </rPr>
      <t>‣</t>
    </r>
    <r>
      <rPr>
        <rFont val="맑은 고딕"/>
        <color theme="1"/>
        <sz val="11.0"/>
      </rPr>
      <t xml:space="preserve"> 부서관리자가 정보변경 하는 방법: 온나라 Ü 개인정보설정 Ü 부서관리자 Ü 사용자 수정 √ 온나라시스템은 즉시 반영, 온톡은 익일 반영
</t>
    </r>
    <r>
      <rPr>
        <rFont val="Tahoma"/>
        <color theme="1"/>
        <sz val="11.0"/>
      </rPr>
      <t>‣</t>
    </r>
    <r>
      <rPr>
        <rFont val="맑은 고딕"/>
        <color theme="1"/>
        <sz val="11.0"/>
      </rPr>
      <t xml:space="preserve"> 개인이 직접 정보변경 하는 방법: 온나라 Ü 개인정보설정
 Ü 개인정보수정 Ü 기본정보, 개인정보 수정 후 저장
 √ 온나라시스템은 즉시 반영, 온톡은 익일 반영</t>
    </r>
  </si>
  <si>
    <t>BSC 성과관리지표 시스템에 입력하는 방법은?</t>
  </si>
  <si>
    <t>BSC 성과관리지표를 내부 시스템에 입력할 때, 시스템 접속 경로, 입력 화면 구성, 지표 유형별 입력 방법, 승인·검증 절차, 입력 완료 후 확인 방법을 포함하여 단계별로 상세히 설명해주세요.</t>
  </si>
  <si>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</si>
  <si>
    <t>관련근거 오류입니다.
해당 질의에 대한 관련 근거 파일이 없으므로
해당 파일이 없다고 말하고 관련 부서나 담당자에게 문의하라고 해야할듯 싶습니다</t>
  </si>
  <si>
    <t>보조금 교부를 위한 보탬이, 이나라도움 사용법은?</t>
  </si>
  <si>
    <t>보조금 교부를 위해 ‘보탬이’ 또는 ‘이나라도움’ 시스템을 사용할 때, 보조금 신청·접수·승인·정산 등 전체 처리 절차, 시스템 접속 및 입력 방법, 제출 서류, 검증 단계, 유의사항을 단계별로 상세히 설명해주세요.</t>
  </si>
  <si>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</si>
  <si>
    <t>해당 내용 중 이나라도움 사용법에 대한 내용은
관련 문서에 없으므로 해당 내용은 제외하는것이 좋을것 같습니다.
그 외는 이상없습니다.</t>
  </si>
  <si>
    <t>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</si>
  <si>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328_2503_재정협력담당관_업뮤매뉴얼_행정안전부_2025년_지방보조금_관리가이드.pdf</t>
  </si>
  <si>
    <t>26</t>
  </si>
  <si>
    <t>보조금 교부 절차 안내, 보탬이(보탬e) 사용 방법 안내, 이나라도움 사용 방법 안내</t>
  </si>
  <si>
    <t>온나라 시스템을 통해 공문을 생산하였는데, 기안 당시에는 비공개 사유가 있었으나, 현재에는 해당 비공개 사유가 소멸했습니다. 이에 따라, 공개문서로 전환하고 싶은데, 방법이 어떻게 되나요?</t>
  </si>
  <si>
    <t>온나라 시스템에서 기안 당시 비공개로 처리된 공문이 현재 비공개 사유가 소멸된 경우, 해당 문서를 공개문서로 전환하려면 어떻게 해야 하는지 알려주세요.</t>
  </si>
  <si>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</si>
  <si>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</si>
  <si>
    <t>기대답변
 온나라 문서대장에서 해당 공문의 문서관리카드를 열람하여, 하단 '관리정보 수정' 버튼을 클릭한 후 공개문서로 전환할 수 있습니다.</t>
  </si>
  <si>
    <t>[답변 참조 문서명이 기입되어 있지 않았음. 이 문서가 맞는지 확인 필요 + 표 내용 우측 텍스트 인식으로 답변 요청을 하신 것인지도 확인 필요]</t>
  </si>
  <si>
    <t>온나라 시스템을 통하여 비공개 공문을 공개로 전환하는 방법</t>
  </si>
  <si>
    <t xml:space="preserve">인사랑, 이호조, 세외수입시스템 등 시스템 종류가 많은데, 각각 매뉴얼은 어디서 찾을 수 있나요? </t>
  </si>
  <si>
    <t>인사랑시스템, 이호조시스템(e호조, 지방재정시스템), 세외수입시스템 등 주요 업무 시스템의 사용자 매뉴얼은 어디에서 조회할 수 있나요?</t>
  </si>
  <si>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</si>
  <si>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</si>
  <si>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</si>
  <si>
    <t>다음달에 시청 1층 대강당을 예약하고 싶은데, 방법을 알고싶어요.</t>
  </si>
  <si>
    <t>다음 달에 시청 1층 대강당을 예약하려면 예약 과정을 어떻게 진행해야 하는지 알려주세요.</t>
  </si>
  <si>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</si>
  <si>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</si>
  <si>
    <t>기대답변:
 행정포털의 개인서비스에서 회의장 클릭 후 원하는 날짜를 예약하시면 됩니다.</t>
  </si>
  <si>
    <t>담당업무 관련으로 시청 직원의 설문조사가 필요한데, 어디에 게시해야 많은 사람들이 참여할 수 있을까요</t>
  </si>
  <si>
    <t>담당업무 관련 설문조사를 시청 직원 대상으로 진행하려면, 어떤 곳에 게시하는 것이 직원 참여율을 최대화하는 데 가장 효과적인지 알려주세요.</t>
  </si>
  <si>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</si>
  <si>
    <t>해당 질문도 근거 자료가 없습니다.
내부 시스템 중 설문조사 관련 매뉴가 있습니다만 근거자료가 없기 때문에
관련 부서나 업무 담당자에게 문의~ 라는 내용이 추가되어야 할 것 같습니다.</t>
  </si>
  <si>
    <t>기대답변:
 설문조사 방법 안내
 행정포털 내 참여할 설문 클릭 후 설문 등록을 하시면 됩니다.</t>
  </si>
  <si>
    <t>3</t>
  </si>
  <si>
    <t>[왼쪽 그림의 절차가 있어야 우측 텍스트 내용이 의미가 있는 것으로 보임. 표 내용만 봤을 때에는 각 내용들이 절차를 나타내는 것인지 확인이 어려움 - 115번 동일]</t>
  </si>
  <si>
    <t>시청 직원 대상 설문조사 활성화를 위한 효과적인 게시 위치</t>
  </si>
  <si>
    <t>시 공식 SNS에 담당업무를 홍보하고자 게시했으면 하는데, 의뢰 절차가 어떻게 되나요?</t>
  </si>
  <si>
    <t>시 공식 SNS에 부서 또는 직원 담당업무를 홍보하기 위해 게시를 의뢰하려면 어떤 절차를 거쳐야 하는지 알려주세요</t>
  </si>
  <si>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</si>
  <si>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</si>
  <si>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</si>
  <si>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</si>
  <si>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88_2504_미디어담당관_업무매뉴얼_미디어담당관_콘텐츠기획팀_업무관련FAQ.pdf</t>
  </si>
  <si>
    <t>시 공식 SNS 담당업무 홍보 게시를 위한 의뢰 절차, 시청 홈페이지 엘리베이터 화면 기타 홍보게시판 등에 홍보자료를 게시하기 위한 방법, 시 주관 행사 추친 시 홍보 광고물 설치 절차 안내</t>
  </si>
  <si>
    <t>(박물관, 미술관) 부산의 박물관이나 미술관에서 하는 전시 정보를 한번에 얻고싶은데, 어디에서 찾을 수 있나요?</t>
  </si>
  <si>
    <t>부산 소재 박물관과 미술관에서 진행 중인 전시 정보를 한눈에 확인하려면 어떤 공식 사이트나 통합 플랫폼을 이용해야 하는지 알려주세요</t>
  </si>
  <si>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</si>
  <si>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</si>
  <si>
    <t>일반지출의 절차를 알고싶은데, 매뉴얼이나 교육자료를 어디에서 찾을 수 있나요?</t>
  </si>
  <si>
    <t>일반지출 절차를 정확히 이해하기 위한 관련 매뉴얼, 지침, 교육자료가 정리되어 있는 게시판이 어디에 위치해 있는지 알려주세요.</t>
  </si>
  <si>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</si>
  <si>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</si>
  <si>
    <t>기대답변 : 
 일반 지출에 관한 자료는 회계재산담당관에서 제출한 일반지출 절차 및 삭제 파일에서 확인하시면 됩니다.
 &gt;파일 링크 제공</t>
  </si>
  <si>
    <t>&gt;&gt; 115번과 동일, 제목에 일반지출 상세흐름도라고 명시되어 있는데도 불구하고 절차에 대한 확인이 어려운지 확인이 필요합니다. RAG 유사도 문제도 같이 확인 필요</t>
  </si>
  <si>
    <t>일반지출 처리 업무 흐름도, 일반지출 절차 매뉴얼(메뉴얼, 교육자료)</t>
  </si>
  <si>
    <t>한달동안만 유연근무제를 실시하고 싶은데, 일정기간만 유연근무제 신청할 수 있나요? 할 수 있다면 신청방법이 어떻게 되나요?</t>
  </si>
  <si>
    <t>한 달 등 일정 기간 동안만 유연근무제를 적용할 수 있는지, 가능하다면 해당 기간만 신청하는 방법과 절차는 무엇인가요?</t>
  </si>
  <si>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</si>
  <si>
    <t xml:space="preserve">ㆍ20684_2023-2982_부산광역시_사회공헌정보센터_수탁기관_모집_재공고.pdf (p.2)
https://busanai.busan.go.kr/download/20684_2023-2982_부산광역시_사회공헌정보센터_수탁기관_모집_재공고.pdf </t>
  </si>
  <si>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</si>
  <si>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</si>
  <si>
    <t>탄력근무제와 관련한 매뉴얼, 메뉴얼, 안내서, 유연근무제 신청 방법 안내, 유연근무제 매뉴얼(메뉴얼), 일정 기간 유연근무제 신청하는 방법</t>
  </si>
  <si>
    <r>
      <rPr>
        <rFont val="맑은 고딕"/>
        <b/>
        <color theme="1"/>
        <sz val="11.0"/>
      </rPr>
      <t>267_2405_인사과_업무매뉴얼_행정안전부_복무관리_매뉴얼.pdf[21]</t>
    </r>
    <r>
      <rPr>
        <rFont val="맑은 고딕"/>
        <color theme="1"/>
        <sz val="11.0"/>
      </rPr>
      <t xml:space="preserve">
-----
</t>
    </r>
    <r>
      <rPr>
        <rFont val="맑은 고딕"/>
        <color rgb="FFFF0000"/>
        <sz val="11.0"/>
      </rPr>
      <t>[문서가 이미지로 대부분 되어 있어 참조 불가함. 아래 내용이 확인해주신 내용같은데 질문 대비 유사도 떨어짐]</t>
    </r>
    <r>
      <rPr>
        <rFont val="맑은 고딕"/>
        <color theme="1"/>
        <sz val="11.0"/>
      </rPr>
      <t xml:space="preserve">
III-1 복무관리&gt; 유연근무제관리&gt; 유연근무신청 • 유연근무신청내역을조회하고 신규신청할 수있습니다. 1 ᄀ ᄂ 2 3 21</t>
    </r>
  </si>
  <si>
    <t xml:space="preserve">장기재직휴가는 재직기간 몇 년차부터 생기나요? 그리고 근속년수별로 정확한 휴가 부여 일수를 알고싶어요. </t>
  </si>
  <si>
    <t>장기재직휴가는 어떤 재직연차부터 부여되며, 근속기간 구간별로 부여되는 정확한 휴가 일수 기준은 무엇인가요?</t>
  </si>
  <si>
    <t>장기재직휴가는 재직 기간 10년 이상 20년 미만인 경우, 해당 재직 기간 중 10일이 부여됩니다.</t>
  </si>
  <si>
    <t xml:space="preserve">ㆍ1117_압축규정25228.pdf (p.65)
https://busanai.busan.go.kr/download/1117_압축규정25228.pdf </t>
  </si>
  <si>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</si>
  <si>
    <t>1. 장기재직휴가 대상 : 재직기간 5년 이상인 공무원부터
 2. 재직기간별 휴가 일수
  - 5년~9년 : 5일
  - 10년~19년 : 10일
  - 20년~29년 : 25일
  - 30년 이상 : 25일</t>
  </si>
  <si>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생산성‧창의성 또한 제고3. 시행대상: 재직기간 5년 이상인 공무원
 4. 실시방법: 재직기간에 따라 해당 기간 중 장기재직휴가 실시재직기간 5년 ~ 9년 10년 ~ 19년 20년 ~ 29년 30년 이상휴가일수 5일 10일 25일 25일</t>
  </si>
  <si>
    <t>장기재직휴가 등록 기준 및 사용 방법과 신청 절차, 장기재직휴가 기준 및 사용방법과 신청절차, 장기재직휴가 사용 요건 인사랑 자동 반영여부, 근속년수 별 장기재직휴가 사용 가능 여부 및 근속년수별 휴가 부여 일수</t>
  </si>
  <si>
    <t>공무원의 연차별로 연가일수가 다른 거 같던데, 재직기간별로 연가가 며칠씩 부여되나요?</t>
  </si>
  <si>
    <t>공무원의 재직기간 구간별 연가 부여 기준은 어떻게 구성되어 있으며, 연차에 따라 적용되는 정확한 연가일수는 얼마인가요?</t>
  </si>
  <si>
    <t>공무원의 재직기간별 연가일수는 1개월 이상 1년 미만: 11일, 1년 이상 3년 미만: 14일, 3년 이상 4년 미만: 15일, 4년 이상 5년 미만: 16일, 5년 이상 6년 미만: 17일, 6년 이상: 21일입니다.</t>
  </si>
  <si>
    <t xml:space="preserve">ㆍ214_2501_예산담당관_업무매뉴얼_행정안전부_지방공무원보수업무_등_처리지침.pdf (p.363)
https://busanai.busan.go.kr/download/214_2501_예산담당관_업무매뉴얼_행정안전부_지방공무원보수업무_등_처리지침.pdf </t>
  </si>
  <si>
    <t>관련 근거가 지방공무원 복무규정이면 제일 좋은데
해당 파일은 없는걸로 보입니다.
약간 근거규정이 애매한거 빼면 내용은 이상없습니다.</t>
  </si>
  <si>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</si>
  <si>
    <t>264_2401_인사과_법령_행정안전부_지방공무원_인사관계_법령집.pdf</t>
  </si>
  <si>
    <t>403, 404</t>
  </si>
  <si>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</si>
  <si>
    <t>공무원 재직기간 구간별 연가 부여 기준 안내, 공무원 연차별 연가 부여 일수 안내</t>
  </si>
  <si>
    <t>사전정보공표 정비 방법 알려주세요</t>
  </si>
  <si>
    <t>사전정보공표 정비 절차와 기준을 공식적으로 확인할 수 있는 내부 지침이나 시스템은 어디에 있나요?</t>
  </si>
  <si>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</si>
  <si>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</si>
  <si>
    <t>DRM, PC Client 아이디 및 비밀번호를 잊어버렸을 때 절차 알려주세요</t>
  </si>
  <si>
    <t>DRM(자료유출방지시스템)과 PC Client(네티워크 접근제어, NAC)의 아이디 또는 비밀번호를 분실했을 때, 초기화나 재발급을 위해 어떤 절차를 거쳐야 하나요?</t>
  </si>
  <si>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</si>
  <si>
    <t>SQG002</t>
  </si>
  <si>
    <t>온나라 문서 과제카드를 잘못 지정하였습니다. 변경 가능할까요?</t>
  </si>
  <si>
    <t>온나라 시스템에서 문서의 과제카드를 잘못 지정한 후 수정하거나 변경할 수 있는지, 가능하다면 어떤 절차로 처리해야 하나요?</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</si>
  <si>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</si>
  <si>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ㆍ438_2502_통합민원과_업무메뉴얼_통합민원과_기록관리_업무편람기정너.pdf (p.44)
https://busanai.busan.go.kr/download/438_2502_통합민원과_업무메뉴얼_통합민원과_기록관리_업무편람기정너.pdf</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</si>
  <si>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</si>
  <si>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44</t>
  </si>
  <si>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</si>
  <si>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SQG015</t>
  </si>
  <si>
    <t>차세대지방재정 업무그룹에 각각 어떤 권한이 부여되어 있는지 알려주세요</t>
  </si>
  <si>
    <t>차세대지방재정관리시스템(e호조, 이호조)에서 각 업무그룹별로 부여되는 권한은 어떻게 구성되어 있으며, 그룹별로 사용할 수 있는 기능 차이는 무엇인가요?</t>
  </si>
  <si>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</si>
  <si>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</si>
  <si>
    <t>장기재직휴가 기준과 사용 방법을 알려주세요. 장기재직휴가 사용 요건이 되면 인사랑에 자동 반영될까요?</t>
  </si>
  <si>
    <t>장기재직휴가의 부여 기준과 사용 방법은 어떻게 되나요? 또한 장기재직휴가 사용 요건 충족 시 인사랑 시스템에 자동으로 반영되는지 여부도 알려주세요</t>
  </si>
  <si>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</si>
  <si>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</si>
  <si>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</si>
  <si>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SQG007</t>
  </si>
  <si>
    <t>공무원 및 공무직 직원복지지원시스템 사용 방법을 알려주세요.</t>
  </si>
  <si>
    <t>공무원 및 공무직 직원복지지원시스템 접속 방법과 이용 절차에 대해 알려주세요.</t>
  </si>
  <si>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</si>
  <si>
    <t>ㆍ288_2501_인사과_기타_인사과_2025년_휴양시설_이용_지원_계획.pdf (p.2)
https://busanai.busan.go.kr/download/288_2501_인사과_기타_인사과_2025년_휴양시설_이용_지원_계획.pdf</t>
  </si>
  <si>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</si>
  <si>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</si>
  <si>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432FF"/>
        <sz val="11.0"/>
      </rPr>
      <t xml:space="preserve">&gt;&gt;&gt; 각 페이지별로 몇 글자가 많지 않으며, 최대 5개의 청크만 전달하는 점 등을 고려해 꼭 필요한 경우 별도로 정리한 문서의 형태를 새롭게 만들어야 할것 같습니다. 아래는 파일 하나의 내용을 가져왔습니다.
</t>
    </r>
    <r>
      <rPr>
        <rFont val="&quot;맑은 고딕&quot;"/>
        <color rgb="FF00FF00"/>
        <sz val="11.0"/>
      </rPr>
      <t xml:space="preserve"> 
 &gt;&gt; 간단한 질문 FAQ에 해당 내용 정리 요청
 </t>
    </r>
    <r>
      <rPr>
        <rFont val="&quot;맑은 고딕&quot;"/>
        <color rgb="FF000000"/>
        <sz val="11.0"/>
      </rPr>
      <t xml:space="preserve">
 본문 전체 내용 참조(글자만)
 (파일명)
 '300_2502_인사과_업무매뉴얼_인사과_직원복지지원시스템_사용방법_안내장례비.pdf'
 (1page)
 후생복지 프로그램 신청방법 안내
 □ 유의사항
 - 파견, 휴직자, 시의원 등 행정포털 미사용자(공무원)는 각 부서관리자(서무)가 신청
 □ 진행 절차
 ① 행정포털 하단 개인서비스→ ’직원복지지원’ 클릭
 (2page)
 ② 복지지원 프로그램 배너 → 프로그램 조회 → ‘신청’ 클릭
 (3page)
 ③ 상세지원 내역(유의사항) 및 첨부파일 확인 후 ‘신청’ 클릭
 (4page)
 ④ 해당서식 작성 및 첨부파일 업로드 후 등록 클릭
 (5page)
 ⑤ 신청처리 현황 목록에서 진행상태 확인
 ⑥ 인사과(담당자) 확인 후 지원금 지급(매월 초)</t>
    </r>
  </si>
  <si>
    <t>SQG025</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</si>
  <si>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</si>
  <si>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</si>
  <si>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 기준을 알려주세요</t>
  </si>
  <si>
    <t>업무추진비를 집행할 때 적용해야 하는 기준과 필수 증빙 요건은 무엇인가요?</t>
  </si>
  <si>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</si>
  <si>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</si>
  <si>
    <r>
      <rPr>
        <rFont val="Malgun Gothic"/>
        <color theme="1"/>
        <sz val="11.0"/>
      </rP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rFont val="Tahoma"/>
        <color theme="1"/>
        <sz val="11.0"/>
      </rPr>
      <t>‧</t>
    </r>
    <r>
      <rPr>
        <rFont val="맑은 고딕"/>
        <color theme="1"/>
        <sz val="11.0"/>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rFont val="Tahoma"/>
        <color theme="1"/>
        <sz val="11.0"/>
      </rPr>
      <t>‧</t>
    </r>
    <r>
      <rPr>
        <rFont val="맑은 고딕"/>
        <color theme="1"/>
        <sz val="11.0"/>
      </rPr>
      <t>식사 제공
- 의례적 행위: 기관장 취임·퇴임, 국경일 행사 시 화환·화분 등 의례적 제공
- 내방객 다과·음료, 축의</t>
    </r>
    <r>
      <rPr>
        <rFont val="Tahoma"/>
        <color theme="1"/>
        <sz val="11.0"/>
      </rPr>
      <t>‧</t>
    </r>
    <r>
      <rPr>
        <rFont val="맑은 고딕"/>
        <color theme="1"/>
        <sz val="11.0"/>
      </rPr>
      <t>부의금품(지자체장 한정) 등 직무수행 관련 통상적 경비</t>
    </r>
  </si>
  <si>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기념품‧식사 제공
 - 의례적 행위: 기관장 취임·퇴임, 국경일 행사 시 화환·화분 등 의례적 제공
 - 내방객 다과·음료, 축의‧부의금품(지자체장 한정) 등 직무수행 관련 통상적 경비</t>
  </si>
  <si>
    <t>127, 128</t>
  </si>
  <si>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</si>
  <si>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(정답이 아닌 문서 청크 5개가 0.99점 이상으로 높아서 정답이 아닌 문서를 끌어내리거나 검색이 안되게끔 하는 방법 필요)</t>
  </si>
  <si>
    <t>SQG013</t>
  </si>
  <si>
    <t>[청크 데이터 확인 필요]</t>
  </si>
  <si>
    <t>국민신문고 민원 처리 과정 알려주세요</t>
  </si>
  <si>
    <t>국민신문고로 접수된 민원이 어떤 절차와 기준에 따라 처리되는지 매뉴얼을 어디에서 확인할 수 있나요?</t>
  </si>
  <si>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</si>
  <si>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</si>
  <si>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</si>
  <si>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</si>
  <si>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1234_국민신문고_사용자지침서_민원_v17.pdf</t>
  </si>
  <si>
    <t>16, 17</t>
  </si>
  <si>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</si>
  <si>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국민신문고 민원 처리 과정 안내</t>
  </si>
  <si>
    <t>공무원이 이수해야 될 교육 과목 알려주세요</t>
  </si>
  <si>
    <t>공무원이 반드시 이수해야 하는 법정·필수 교육 과목은 무엇인가요?</t>
  </si>
  <si>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</si>
  <si>
    <t>ㆍ10879_부산시_소속_공무원_환경교육_추진계획.pdf (p.3)
https://busanai.busan.go.kr/download/10879_부산시_소속_공무원_환경교육_추진계획.pdf</t>
  </si>
  <si>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</si>
  <si>
    <t>전보 이후후 숙지해야할 직원 공통사항을 알려주세요.</t>
  </si>
  <si>
    <t>전보 후 새 부서에서 공통적으로 숙지해야 할 기본 업무·시스템·복무 사항은 무엇인가요?</t>
  </si>
  <si>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</si>
  <si>
    <t>해당 자료에 대한 근거자료가 없으므로
일반적인 답변 이후 관련 부서나 업무 담당자에게 문의~ 
써주시면 됩니다</t>
  </si>
  <si>
    <t>공무원증 신청 방법 알려줘</t>
  </si>
  <si>
    <t>공무원증을 신규 발급 또는 재발급 받으려면 어떤 절차를 거쳐야 하나요?</t>
  </si>
  <si>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</si>
  <si>
    <t>ㆍ12158_1_부산광역시의회_공무원증_규정-hwp.pdf (p.7)
https://busanai.busan.go.kr/download/12158_1_부산광역시의회_공무원증_규정-hwp.pdf</t>
  </si>
  <si>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</si>
  <si>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사전초과 신청 등록은 해놨으나 미결재 상태에서, 사후초과 등록 처리가 안되는데 해결방법이 어떻게 되나요?</t>
  </si>
  <si>
    <t>사전초과 신청을 등록했으나 결재가 완료되지 않은 상태에서 사후초과 등록이 불가능할 때, 이를 처리하거나 해결하는 방법은 무엇인가요?</t>
  </si>
  <si>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</si>
  <si>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</si>
  <si>
    <t>온나라에서 부재자 설정 및 기간은 어떻게 하나요?</t>
  </si>
  <si>
    <t>온나라 시스템에서 부재자 결재자를 설정하고, 설정 기간을 지정하는 방법은 무엇인가요?</t>
  </si>
  <si>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</si>
  <si>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</si>
  <si>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부재자 설정 방법
  - 본인이 부재자 설정하는 경우- [개인설정 &gt; 개인정보관리 &gt; 부재설정]에서 설정 가능
  - 서무담당자가 부재자 설정하는 경우- [개인설정 &gt; 부서관리자]에서 설정 가능</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</si>
  <si>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t>
  </si>
  <si>
    <t>온나라 2.0 전환 이후 자주 발생하는 오류에 대한 사례집 및 질문과 답변, 온나라 2.0 FAQ, 온나라 시스템 부재 설정 방법</t>
  </si>
  <si>
    <t>SQG004</t>
  </si>
  <si>
    <t>홈페이지 배너 어떻게 바꾸나요?</t>
  </si>
  <si>
    <t>시청 홈페이지의 배너를 변경하려면 어떤 절차와 권한을 통해 진행해야 하나요?</t>
  </si>
  <si>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</si>
  <si>
    <t>홈페이지 배너 관련 설명자료가 없습니다.
그래서 내용도 오류입니다. 
근거자료 없을때 멘트 생성해주시면 됩니다.</t>
  </si>
  <si>
    <t>관외출장 등록 및 여비 신청 방법이 어떻게 하나요?</t>
  </si>
  <si>
    <t>관외출장을 등록하고 여비를 신청하려면 어떤 시스템과 절차를 통해 진행해야 하나요?</t>
  </si>
  <si>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</si>
  <si>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</si>
  <si>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</si>
  <si>
    <t>기대답변 :
 출장신청에 관한 매뉴얼은 아래 첨부파일을 참고하시기 바립니다.
 링크 : 출장관리 매뉴얼</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</si>
  <si>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 xml:space="preserve">&gt;&gt; [25.12.18] 해당 문서의 해당 페이지에서 유의미한 정보는 전부다 이미지로 되어 있어 FAQ 에서 해당 문서를 안내하도록 별도로 처리하는게 맞을것 같습니다.
</t>
    </r>
    <r>
      <rPr>
        <rFont val="&quot;맑은 고딕&quot;"/>
        <color rgb="FF00B050"/>
        <sz val="11.0"/>
      </rPr>
      <t>&gt;&gt; FAQ 처리</t>
    </r>
  </si>
  <si>
    <t>관외출장 시 출장 신청 방법 및 여부 지급 방법에 대한 안내, 관외출장 등록 및 여비 신청 방법 안내</t>
  </si>
  <si>
    <r>
      <rPr>
        <rFont val="맑은 고딕"/>
        <b/>
        <color rgb="FFFF0000"/>
        <sz val="11.0"/>
      </rPr>
      <t xml:space="preserve">268_2405_인사과_업무매뉴얼_행정안전부_출장관리_매뉴얼.pdf[12]
-----
</t>
    </r>
    <r>
      <rPr>
        <rFont val="맑은 고딕"/>
        <color rgb="FFFF0000"/>
        <sz val="11.0"/>
      </rPr>
      <t xml:space="preserve">[문서가 대부분 그림이라 아래 내용 밖에 찾지 못하고 있으며 유사도 아주 낮음]
</t>
    </r>
    <r>
      <rPr>
        <rFont val="맑은 고딕"/>
        <color rgb="FFFF0000"/>
        <sz val="11.0"/>
      </rPr>
      <t xml:space="preserve">
Ⅲ-1-1) 출장관리 &gt; 관외출장 &gt; 출장신청(관외)
</t>
    </r>
  </si>
  <si>
    <t>행정절차에서 초일불산입의 원칙은 어떻게 적용하는 것인가요? 
산입일에는 주말, 공휴일도 포함되는 것인가요? 예시도 알려주세요.</t>
  </si>
  <si>
    <t>행정절차에서 ‘초일불산입 원칙’이 어떤 기준에 따라 적용되며, 기간 계산 시 주말·공휴일을 산입하거나 제외하는 구체적 기준과 대표적인 적용 사례는 무엇인가요?</t>
  </si>
  <si>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</si>
  <si>
    <t xml:space="preserve">관련 근거 문서가 없습니다
답변 내용 또한 모호하므로
근거자료가 없는 내용은 
관련 부서나 업무 담당자에게 문의바랍니다.
식의 멘트가 필요 할 것 같습니다.
</t>
  </si>
  <si>
    <t>DRM, PC Client 아이디 및 비밀번호를 잊어버렸을 때 해결 방법은?</t>
  </si>
  <si>
    <t>DRM 또는 PC Client 아이디와 비밀번호를 분실했을 때, 재설정이나 복구를 위해 어떤 절차를 따라야 하나요?</t>
  </si>
  <si>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</si>
  <si>
    <t>331_2112_정보화정책과_업무매뉴얼_정보화정책과_부서관리자_매뉴얼자료유출방지시스템_DRM_v50_비번초기화.pdf
1284_2512_부산시_업무관련_FAQ문서_20251209.pdf</t>
  </si>
  <si>
    <t>SQG003</t>
  </si>
  <si>
    <t>업무추진비 집행을 위해서 확인해야할 규정은 무엇인가요? 그리고 업추비별 특성 및 사용가능내역 알려주세요.</t>
  </si>
  <si>
    <t>업무추진비를 집행할 때 반드시 확인해야 하는 관련 규정은 무엇이며, 항목별 특성과 사용 가능 내역은 어떻게 되나요?</t>
  </si>
  <si>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</si>
  <si>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</si>
  <si>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</si>
  <si>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</si>
  <si>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관련 규정 안내, 업무추진비 항목별 특성과 사용 가능 내역 안내</t>
  </si>
  <si>
    <t>SQG014</t>
  </si>
  <si>
    <t>사업소 민원서류 접수 시 행정포털에서 등록하는 방법이 어떻게 되나요?</t>
  </si>
  <si>
    <t>사업소에서 민원서류를 접수할 때, 행정포털에서 접수등록·대장관리·배부까지 처리하는 절차와 화면별 입력 단계는 어떻게 구성되어 있나요?</t>
  </si>
  <si>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</si>
  <si>
    <t>관련 근거 문서가 없습니다.
기대답변 : 
사업소 민원서류를 행정포털에 등록하는 방법에 대한 관련 문서가 없습니다.
자세한 사항은 관련 부서나 업무 담당자에게 문의하시기 바랍니다.</t>
  </si>
  <si>
    <t>사전초과 신청 등록은 해놨으나 미결재 상태에서, 사후초과 등록 처리가 안되는데 조치방법이 어떻게 되나요?</t>
  </si>
  <si>
    <t>사전초과근무 신청이 미결재 상태로 남아 있을 때, 동일 일자에 대한 사후초과 등록이 안되는 문제에 대한 조치 절차는 무엇인가요?</t>
  </si>
  <si>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</si>
  <si>
    <t>온나라에서 부재자 설정은 어떻게 하나요?</t>
  </si>
  <si>
    <t>온나라 시스템에서 부재자 설정을 하는 방법과 설정 가능한 기간은 어떻게 되나요?</t>
  </si>
  <si>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</si>
  <si>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</si>
  <si>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시 홈페이지 고시공고 등록하는 방법이 어떻게 되나요?</t>
  </si>
  <si>
    <t>시 홈페이지에 고시·공고를 게시해야 할 때, 담당자가 어떤 시스템에서 어떤 절차로 등록을 완료할 수 있는지에 대한 관련 매뉴얼이 있나요?</t>
  </si>
  <si>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</si>
  <si>
    <t>관련 근거 문서가 없습니다.
기대답변 : 
OO 방법에 대한 관련 문서가 없습니다.
자세한 사항은 관련 부서나 업무 담당자에게 문의하시기 바랍니다.</t>
  </si>
  <si>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</si>
  <si>
    <t>87_2504_미디어담당관_업무매뉴얼_미디어담당관_매거진운영팀_홍보_요청_절차.pdf</t>
  </si>
  <si>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</si>
  <si>
    <t>복무상 특가,병가의 종류와 그에 따른 휴가일수, 챙겨야할 서류 목록 알려주세요</t>
  </si>
  <si>
    <t>지방공무원의 복무상 특가·병가 종류별 부여 일수와 신청 시 제출해야 하는 서류 목록은 무엇인가요?</t>
  </si>
  <si>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</si>
  <si>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</si>
  <si>
    <r>
      <rPr>
        <rFont val="Malgun Gothic"/>
        <color theme="1"/>
        <sz val="11.0"/>
      </rP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rFont val="맑은 고딕"/>
        <color rgb="FFFF0000"/>
        <sz val="11.0"/>
      </rPr>
      <t>지방공무원 복무규정 제7조의5(병가) 제7조의7(특별휴가), 지방공무원 복무에 관한 예규</t>
    </r>
    <r>
      <rPr>
        <rFont val="맑은 고딕"/>
        <color theme="1"/>
        <sz val="11.0"/>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</si>
  <si>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</si>
  <si>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1259_지방공무원_복무에_관한_예규_개정안전문_행정안전부_예규_제340호.pdf
1291_162355_부산광역시의회_공무원_복무_조례_별표_3_경조사별_휴가일수표제15조제1항_관련.pdf</t>
  </si>
  <si>
    <t>45, 48
1</t>
  </si>
  <si>
    <r>
      <rPr>
        <rFont val="&quot;맑은 고딕&quot;"/>
        <color rgb="FF0000FF"/>
        <sz val="11.0"/>
      </rPr>
      <t>45페이지 - (1) 병가의 종류별 내용
48페이지 - 라. 특별휴가</t>
    </r>
    <r>
      <rPr>
        <rFont val="&quot;맑은 고딕&quot;"/>
        <color rgb="FF000000"/>
        <sz val="11.0"/>
      </rPr>
      <t xml:space="preserve">
 표 내용 전체 참조 
 -------
 [Top5내 전달 가능한 내용으로 변경 수정 논의 필요]
</t>
    </r>
    <r>
      <rPr>
        <rFont val="&quot;맑은 고딕&quot;"/>
        <color rgb="FF0000FF"/>
        <sz val="11.0"/>
      </rPr>
      <t xml:space="preserve">-&gt; [논의사항 : 12.17] 
참조 조례를 다시 수집하고 하위에 있는 문서들도 추가 수집 진행할지 여부 논의 필요
</t>
    </r>
    <r>
      <rPr>
        <rFont val="&quot;맑은 고딕&quot;"/>
        <color rgb="FF38761D"/>
        <sz val="11.0"/>
      </rPr>
      <t>&gt;&gt; 두번째 문서는 자치법규안에 있는 별표 첨부파일입니다.</t>
    </r>
    <r>
      <rPr>
        <rFont val="&quot;맑은 고딕&quot;"/>
        <color rgb="FF0000FF"/>
        <sz val="11.0"/>
      </rPr>
      <t xml:space="preserve">
&gt;&gt; 자치법규정보시스템에서 해당 법규의 첨부파일들 전체를 수집하고 임베딩 처리</t>
    </r>
  </si>
  <si>
    <t>(45페이지)
특가(특별휴가)와 병가의 종류, 특별휴가와 병가 시 제출 서류 안내
(48페이지)
특가(특별휴가)와 병가의 종류, 특별휴가와 병가 시 제출 서류 안내, 특별휴가 일수 안내
---
특가(특별휴가)와 병가의 종류, 특별휴가와 병가 시 제출 서류 안내, 특별휴가 일수 안내</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</si>
  <si>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</si>
  <si>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</si>
  <si>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단체보장보험 세부 보장내용 및 청구방법은 무엇인가요?</t>
  </si>
  <si>
    <t>단체보장보험에서 제공되는 핵심 보장항목과 보험금 청구 절차는 무엇인가요?</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</si>
  <si>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</si>
  <si>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</si>
  <si>
    <t>내용 이상없음.
청구방법 안내에 붙임파일을 참고하라고 되어 있는데
붙임파일 2,3,4가 추가가 안되어서 확인이 안됩니다.
해당 파일의 내용이 워낙 많아 붙임파일로만 제공할지 고민이 필요해보입니다.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</si>
  <si>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</si>
  <si>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 xml:space="preserve">BSC 공통지표 점수를 올리기 위해 무엇을 해야할까요?(챙겨야 할게 무엇인지), BSC 청렴도 항목의 점수를 올리려면 어떤 활동을 해야하나요? </t>
  </si>
  <si>
    <t>BSC 공통지표 및 청렴도 항목의 실적을 개선하기 위해 점검 및 관리해야 할 필수 요소들은 무엇이며, 점수 향상을 위해 반드시 수행해야 하는 구체적 행동 기준은 무엇인가요?</t>
  </si>
  <si>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</si>
  <si>
    <t>오늘 구내식당 메뉴를 알 수 있나요?</t>
  </si>
  <si>
    <t>오늘 구내식당의 식단 정보는 어디에서 확인할 수 있으며, 조회 가능한 경로는 무엇인가요?</t>
  </si>
  <si>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</si>
  <si>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</si>
  <si>
    <t>구내식당 메뉴 링크 안내드립니다.
 http://99.1.1.29/brd/mywork/?brd_menu_div=1&amp;contsType=list&amp;brd_seq=1268#tabGroup=A#contsType=list#contsUrl=#tabIndex=0#isActive=true#page=1#brd_seq=1268#cate_seq=#brd_nm=%EC%A3%BC%EA%B0%84%EC%8B%9D%EB%8B%A8#brd_typ_cd=1#isRead=#</t>
  </si>
  <si>
    <t>고정답변처리</t>
  </si>
  <si>
    <t>1285_구내식당_운영가이드.pdf</t>
  </si>
  <si>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</si>
  <si>
    <t>(고정 답변 처리 완료)</t>
  </si>
  <si>
    <t>행정정보 공동이용 권한 신청은 어떻게 하는것인가요?</t>
  </si>
  <si>
    <t>행정정보공동이용 시스템 권한을 신규로 부여받거나 변경·갱신해야 할 때, 담당자가 따라야 하는 신청 절차는 어떻게 구성되어 있나요?</t>
  </si>
  <si>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</si>
  <si>
    <t>ㆍ430_2408_통합민원과_업무매뉴얼_행정안전부_행정정보공동이용.pdf (p.40)
https://busanai.busan.go.kr/download/430_2408_통합민원과_업무매뉴얼_행정안전부_행정정보공동이용.pdf</t>
  </si>
  <si>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</si>
  <si>
    <t>GPKI 재발급 및 인사이동시 이동은 어떻게 하는 것인가요?</t>
  </si>
  <si>
    <t>GPKI 인증서(행정전자서명)를 재발급해야 하거나 인사이동으로 인해 인증서를 다른 PC(컴퓨터)로 옮기는 방법은 무엇인가요?</t>
  </si>
  <si>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</si>
  <si>
    <r>
      <rPr>
        <rFont val="Malgun Gothic"/>
        <color theme="1"/>
        <sz val="11.0"/>
      </rPr>
      <t xml:space="preserve">관련 문서는 정보화정책과에서 제출한
행정전자서명 사용자 매뉴얼Ver1.4 입니다.
재발급과 인사이동 시 인증서 이동에 대한 내용은 없습니다.
해당 내용이 있는 파일은 </t>
    </r>
    <r>
      <rPr>
        <rFont val="맑은 고딕"/>
        <color rgb="FFFF0000"/>
        <sz val="11.0"/>
      </rPr>
      <t>행정전자서명(GPKI) 발급 갱신 이동 안내 파일</t>
    </r>
    <r>
      <rPr>
        <rFont val="맑은 고딕"/>
        <color theme="1"/>
        <sz val="11.0"/>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</si>
  <si>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</si>
  <si>
    <t>1228_2511_부산광역시_업무매뉴얼_부산광역시_행정전자서명GPKI_발급_갱신_이동_안내.pdf</t>
  </si>
  <si>
    <t>행정전자서명 가입 신청 및 재발급 방법, 행정 전자서명신청방법, GPKI 인사이동시 사용방법, GPKI 비밀번호 분실시 조치 방법, 행정 전자서명 비번 분실시 조치방법, pc 교체시 행정 전자서명 이동 방법, 신규 임용시 행정포털, 행정전사서명 발급 등에 관한 사용 가이드 및 매뉴얼</t>
  </si>
  <si>
    <t>SQG009</t>
  </si>
  <si>
    <t>장기재직 휴가 등록 및 사용 방법이 어떻게 되나요?</t>
  </si>
  <si>
    <t>장기재직 휴가를 인사랑시스템 등록하고 사용하는 절차는 어떻게 되나요?</t>
  </si>
  <si>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</si>
  <si>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</si>
  <si>
    <t>관외출장 시 신청 방법과 여비는 어떻게 받나요?</t>
  </si>
  <si>
    <t>관외출장을 진행할 때 인사랑시스템에서의 출장 신청 절차, 여비 신청 방법은 어떻게 되나요?</t>
  </si>
  <si>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</si>
  <si>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</si>
  <si>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 xml:space="preserve">&gt;&gt; [25.12.18] 해당 문서의 해당 페이지에서 유의미한 정보는 전부다 이미지로 되어 있어 FAQ 에서 해당 문서를 안내하도록 별도로 처리하는게 맞을것 같습니다.
</t>
    </r>
    <r>
      <rPr>
        <rFont val="&quot;맑은 고딕&quot;"/>
        <color rgb="FF00B050"/>
        <sz val="11.0"/>
      </rPr>
      <t>&gt;&gt; FAQ 처리</t>
    </r>
  </si>
  <si>
    <r>
      <rPr>
        <rFont val="맑은 고딕"/>
        <b/>
        <color rgb="FFFF0000"/>
        <sz val="11.0"/>
      </rPr>
      <t xml:space="preserve">268_2405_인사과_업무매뉴얼_행정안전부_출장관리_매뉴얼.pdf[16]
-----
</t>
    </r>
    <r>
      <rPr>
        <rFont val="맑은 고딕"/>
        <color rgb="FFFF0000"/>
        <sz val="11.0"/>
      </rPr>
      <t xml:space="preserve">[문서가 대부분 그림이라 아래 내용 밖에 찾지 못하고 있으며 유사도 아주 낮음]
</t>
    </r>
    <r>
      <rPr>
        <rFont val="맑은 고딕"/>
        <color rgb="FFFF0000"/>
        <sz val="11.0"/>
      </rPr>
      <t xml:space="preserve">
Ⅲ-2-1) 출장관리 &gt; 관외출장 &gt; 처리(관외)
</t>
    </r>
  </si>
  <si>
    <t>온나라 문서배부가 잘못되엇습니다 어떻게 수정하나요?</t>
  </si>
  <si>
    <t>온나라에서 문서가 잘못 배부된 경우, 담당자 변경·회수·재배부 등 정정 절차를 어떻게 처리해야 하나요?</t>
  </si>
  <si>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</si>
  <si>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</si>
  <si>
    <t>사용자 :
 재배부요청 : 배부 받은 문서를 문서과로 재배부 요청
 관리자 : 
 업무담당자가 재지정 요청한 문서를 확인하고 [담당지정] 버튼을 통해 담당자를 변경하여 재지정 가능</t>
  </si>
  <si>
    <t>343_2405_정보화정책과_업무매뉴얼_행정안전부_온나라20_사용자교육자료배포용.pdf
355_2412_정보화정책과_업무매뉴얼_KLID_온나라_20_부서관리자_교육자료PDF.pdf</t>
  </si>
  <si>
    <t>44
 31</t>
  </si>
  <si>
    <t>4.3 접수할 문서 &gt; 접수대기함 (처리과 문서담당자)
 • [재배부요청]
 배부 받은 문서를 문서과로 재배부 요청
 4.1 접수할 문서 &gt; 재지정함 
  업무담당자가 재지정 요청한 문서를 확인하고 [담당지정] 버튼을 통해 담당자를 변경하여 재지정 가능
 이미지 제외 본문 글과 제목으로만 해당 질의에 대한 답변이 나와야 할 것 같습니다.</t>
  </si>
  <si>
    <t>온나라 문서 배부 오류 수정 방법 안내</t>
  </si>
  <si>
    <r>
      <rPr>
        <rFont val="맑은 고딕"/>
        <b/>
        <color theme="1"/>
        <sz val="11.0"/>
      </rPr>
      <t>343_2405_정보화정책과_업무매뉴얼_행정안전부_온나라20_사용자교육자료배포용.pdf[44]</t>
    </r>
    <r>
      <rPr>
        <rFont val="맑은 고딕"/>
        <color theme="1"/>
        <sz val="11.0"/>
      </rPr>
      <t xml:space="preserve">
-----
</t>
    </r>
    <r>
      <rPr>
        <rFont val="맑은 고딕"/>
        <color rgb="FFFF0000"/>
        <sz val="11.0"/>
      </rPr>
      <t xml:space="preserve">[문서 내용이 대부분 이미지로 만들어져 있으며 문서 배부 오류에 대한 사항을 포함하고 있지 않아 유사도 낮게 확인됨] </t>
    </r>
    <r>
      <rPr>
        <rFont val="맑은 고딕"/>
        <color theme="1"/>
        <sz val="11.0"/>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</si>
  <si>
    <r>
      <rPr>
        <rFont val="맑은 고딕"/>
        <b/>
        <color theme="1"/>
        <sz val="11.0"/>
      </rPr>
      <t>355_2412_정보화정책과_업무매뉴얼_KLID_온나라_20_부서관리자_교육자료PDF.pdf[31]</t>
    </r>
    <r>
      <rPr>
        <rFont val="맑은 고딕"/>
        <color theme="1"/>
        <sz val="11.0"/>
      </rPr>
      <t xml:space="preserve">
-----
</t>
    </r>
    <r>
      <rPr>
        <rFont val="맑은 고딕"/>
        <color rgb="FFFF0000"/>
        <sz val="11.0"/>
      </rPr>
      <t>[문서 내용이 대부분 이미지로 만들어져 있어 내용 인식이 불가능함]</t>
    </r>
    <r>
      <rPr>
        <rFont val="맑은 고딕"/>
        <color theme="1"/>
        <sz val="11.0"/>
      </rPr>
      <t xml:space="preserve">
4.1 접수할 문서 &gt; 재지정함 
 업무담당자가 재지정 요청한 문서를
확인하고 [담당지정] 버튼을 통해
담당자를 변경하여 재지정 가능</t>
    </r>
  </si>
  <si>
    <t>온나라 팀장님 지정 및 부재시 부재설정은 어떻게 하나요?</t>
  </si>
  <si>
    <t>온나라에서 팀장 지정(변경) 절차와, 팀장 부재 시 부재자 설정·기간 지정은 어떻게 처리해야 하나요?</t>
  </si>
  <si>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</si>
  <si>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</si>
  <si>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</si>
  <si>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355_2412_정보화정책과_업무매뉴얼_KLID_온나라_20_부서관리자_교육자료PDF.pdf
353_2412_정보화정책과_업무매뉴얼_KLID_온나라_20_달라지는_점PDF.pdf</t>
  </si>
  <si>
    <t>11
 26</t>
  </si>
  <si>
    <t>이미지 제외하고 해당 글로만 관련 내용 검색되게끔 프롬프트 수정이 필요 할 것 같습니다.
 검토자료 2번의 경우는 이상없는것으로 보입니다.</t>
  </si>
  <si>
    <t>온나라 시스템 팀장 또는 특정 인원 지정 후 부재 설정하는 방법
----
온나라 시스템 팀장 또는 특정 인원 지정 후 부재 설정하는 방법</t>
  </si>
  <si>
    <r>
      <rPr>
        <rFont val="맑은 고딕"/>
        <b/>
        <color theme="1"/>
        <sz val="11.0"/>
      </rPr>
      <t>355_2412_정보화정책과_업무매뉴얼_KLID_온나라_20_부서관리자_교육자료PDF.pdf[11]</t>
    </r>
    <r>
      <rPr>
        <rFont val="맑은 고딕"/>
        <color theme="1"/>
        <sz val="11.0"/>
      </rPr>
      <t xml:space="preserve">
-----
</t>
    </r>
    <r>
      <rPr>
        <rFont val="맑은 고딕"/>
        <color rgb="FFFF0000"/>
        <sz val="11.0"/>
      </rPr>
      <t>[문서 내용이 대부분 이미지로 만들어져 있어 내용 인식이 잘 되지 않으며 유사도 떨어짐]</t>
    </r>
    <r>
      <rPr>
        <rFont val="맑은 고딕"/>
        <color theme="1"/>
        <sz val="11.0"/>
      </rPr>
      <t xml:space="preserve">
1.8 부서관리자 &gt; 사용자 수정 &gt; 권한정보 
부서 내 부서원들의 권한정보 확인 및 권한부여 
</t>
    </r>
    <r>
      <rPr>
        <rFont val="Segoe UI Symbol"/>
        <color theme="1"/>
        <sz val="11.0"/>
      </rPr>
      <t>➢</t>
    </r>
    <r>
      <rPr>
        <rFont val="맑은 고딕"/>
        <color theme="1"/>
        <sz val="11.0"/>
      </rPr>
      <t xml:space="preserve"> 부서관리자 목록에 나타난 부서원들의
권한 부여
① [지정할 부서원 선택]
지정 대상자를 선택 합니다.
② [권한정보]
부서의 일반사용자에게 권한 부여 가능
</t>
    </r>
  </si>
  <si>
    <r>
      <rPr>
        <rFont val="맑은 고딕"/>
        <b/>
        <color theme="1"/>
        <sz val="11.0"/>
      </rPr>
      <t>353_2412_정보화정책과_업무매뉴얼_KLID_온나라_20_달라지는_점PDF.pdf[26]</t>
    </r>
    <r>
      <rPr>
        <rFont val="맑은 고딕"/>
        <color theme="1"/>
        <sz val="11.0"/>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rFont val="맑은 고딕"/>
        <color rgb="FFFF0000"/>
        <sz val="11.0"/>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rFont val="맑은 고딕"/>
        <color theme="1"/>
        <sz val="11.0"/>
      </rPr>
      <t>(6) 질문: 결재대기함에서 문서처리 시 결재 비밀번호를 물어보는데 어디서 설정할 수 있습니까?
답변: [개인 환경설정 &gt; 결재 비밀번호] 메뉴에서 결재 비밀번호를 설정 할 수 있습니다</t>
    </r>
  </si>
  <si>
    <t>업무추진비 사용할 수 있는 항목이 구체적으로 어떻게 되나요?</t>
  </si>
  <si>
    <t>업무추진비 집행 시 사용할 수 있는 세부 항목은 무엇이며, 항목별 허용·제한 기준은 어떻게 구분되나요?</t>
  </si>
  <si>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</si>
  <si>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</si>
  <si>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</si>
  <si>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시 사용가능한 세부 항목 안내, 업무추진비 항목별 허용 및 제한 기준</t>
  </si>
  <si>
    <t>DRM 비밀번호 초기화는 어떻게 하나요?</t>
  </si>
  <si>
    <t>DRM(자료유출방지시스템) 비밀번호를 분실했을 때, 초기화 또는 재설정은 어떤 절차로 진행하나요?</t>
  </si>
  <si>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</si>
  <si>
    <t>행정포털 비밀번호 3회 이상 오류로 초기화 해야 하는데 어떻게 하나요?</t>
  </si>
  <si>
    <t>행정포털 로그인 비밀번호가 3회 이상 오류로 잠긴 경우, 초기화하거나 부서 담당자를 통해 재설정하기 위해 어떤 절차를 따라야 하나요?</t>
  </si>
  <si>
    <t>행정포털 비밀번호를 3회 이상 오류로 입력하여 초기화해야 하는 경우, 초기화 절차는 온나라 지식 접속 오류 조치 방법을 따릅니다.</t>
  </si>
  <si>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</si>
  <si>
    <t>건강검진비 및 휴양시설 지원 신청은 어디서 하나요?</t>
  </si>
  <si>
    <t>건강검진비 지원이나 휴양시설 이용 지원을 받기 위한 신청 방법은 무엇인가요?</t>
  </si>
  <si>
    <t>부산광역시에서 건강검진비 및 휴양시설 지원 신청은 지방보조금관리시스템 보탬e를 통해 신청할 수 있습니다.</t>
  </si>
  <si>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</si>
  <si>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</si>
  <si>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</si>
  <si>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 xml:space="preserve">289_2501_인사과_기타_인사과_2025년도_건강검진_대상자_및_검진실시_안내.pdf
1284_2512_부산시_업무관련_FAQ문서.pdf
</t>
  </si>
  <si>
    <t>1
10</t>
  </si>
  <si>
    <r>
      <rPr>
        <rFont val="&quot;맑은 고딕&quot;"/>
        <color rgb="FF000000"/>
        <sz val="11.0"/>
      </rPr>
      <t xml:space="preserve">검진비 지원신청: 본인부담 일반검진 및 종합검진비 &gt; 행정포털 / 개인서비스 / “직원복지지원”시스템
1~5P 이미지 제외 글자로만 생성
</t>
    </r>
    <r>
      <rPr>
        <rFont val="&quot;맑은 고딕&quot;"/>
        <color rgb="FFFF0000"/>
        <sz val="11.0"/>
      </rPr>
      <t xml:space="preserve">&gt;&gt;&gt; 두 번째 문서는 별도로 정리해서 새로운 문서를 만드는게 좋을것 같습니다. 
</t>
    </r>
    <r>
      <rPr>
        <rFont val="&quot;맑은 고딕&quot;"/>
        <color rgb="FF000000"/>
        <sz val="11.0"/>
      </rPr>
      <t xml:space="preserve">
</t>
    </r>
    <r>
      <rPr>
        <rFont val="&quot;맑은 고딕&quot;"/>
        <color rgb="FF00FF00"/>
        <sz val="11.0"/>
      </rPr>
      <t>&gt;&gt; 간단한 질문 FAQ 등에 정리 요청</t>
    </r>
  </si>
  <si>
    <t>단체보장보험의 세부 보장 내용과 보험금 청구 방법 안내</t>
  </si>
  <si>
    <r>
      <rPr>
        <rFont val="맑은 고딕"/>
        <b/>
        <color theme="1"/>
        <sz val="11.0"/>
      </rPr>
      <t xml:space="preserve">289_2501_인사과_기타_인사과_2025년도_건강검진_대상자_및_검진실시_안내.pdf[1] </t>
    </r>
    <r>
      <rPr>
        <rFont val="맑은 고딕"/>
        <color theme="1"/>
        <sz val="11.0"/>
      </rPr>
      <t xml:space="preserve">
-----</t>
    </r>
    <r>
      <rPr>
        <rFont val="맑은 고딕"/>
        <color theme="1"/>
        <sz val="11.0"/>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rFont val="맑은 고딕"/>
        <color rgb="FFFF0000"/>
        <sz val="11.0"/>
      </rPr>
      <t xml:space="preserve">【검진비용】 ○ 일반검진: 건강보험공단 전액부담 ○ 암 검 진: 공단 90%, 본인 10% (단, 자궁경부암, 대장암 검진은 공단 전액부담) ○ 종합검진: 본인부담(일반검진 외 개별종합검진) </t>
    </r>
    <r>
      <rPr>
        <rFont val="Segoe UI Symbol"/>
        <color rgb="FFFF0000"/>
        <sz val="11.0"/>
      </rPr>
      <t>✶</t>
    </r>
    <r>
      <rPr>
        <rFont val="맑은 고딕"/>
        <color rgb="FFFF0000"/>
        <sz val="11.0"/>
      </rPr>
      <t xml:space="preserve"> 검진비 지원신청: 본인부담 일반검진 및 종합검진비 </t>
    </r>
    <r>
      <rPr>
        <rFont val="Cambria Math"/>
        <color rgb="FFFF0000"/>
        <sz val="11.0"/>
      </rPr>
      <t>↳</t>
    </r>
    <r>
      <rPr>
        <rFont val="맑은 고딕"/>
        <color rgb="FFFF0000"/>
        <sz val="11.0"/>
      </rPr>
      <t xml:space="preserve"> 행정포털 / 개인서비스 / “직원복지지원”시스템 ※ 공가사용: 2025년 건강검진대상자(암검진 포함) 2차 검진(재검진) 및 25년 검진대상이 아닌 경우 연가 사용</t>
    </r>
    <r>
      <rPr>
        <rFont val="맑은 고딕"/>
        <color theme="1"/>
        <sz val="11.0"/>
      </rPr>
      <t xml:space="preserve"> ☞ [붙임 2] 공가 허가시 주의사항 참고 붙임: 1. 2025년도 건강검진 대상자 명단 1부. 2. 건강검진을 위한 공가 허가시 주의사항 1부. 3. 2025년 직원 종합건강검진 협약병원 현황 1부. 끝.</t>
    </r>
  </si>
  <si>
    <r>
      <rPr>
        <rFont val="맑은 고딕"/>
        <b/>
        <color theme="1"/>
        <sz val="11.0"/>
      </rPr>
      <t>301_2502_인사과_업무매뉴얼_인사과_직원복지지원시스템_신청방법휴양시설_이용_지원.pdf[1~5]</t>
    </r>
    <r>
      <rPr>
        <rFont val="맑은 고딕"/>
        <color theme="1"/>
        <sz val="11.0"/>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</si>
  <si>
    <t>차세대 지방재정 권한은 어떻게 받을수 있나요?</t>
  </si>
  <si>
    <t>차세대지방재정시스템(e호조, 이호조)에서 업무를 수행하기 위해 필요한 권한을 부여받기 위한 신청 절차는 무엇인가요?</t>
  </si>
  <si>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</si>
  <si>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</si>
  <si>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행정포털 신규 등록 방법 및 절차는 어떻게 되나요?</t>
  </si>
  <si>
    <t>행정포털 신규 사용자를 등록할 때, 필요한 신청 절차와 담당 부서, 구체적인 단계는 어떻게 되나요?</t>
  </si>
  <si>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</si>
  <si>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</si>
  <si>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</si>
  <si>
    <t>온나라시스템 부재 설정 방법은 어떻게 되나요?</t>
  </si>
  <si>
    <t>온나라시스템에서 부재자 설정을 하고자 할 때, 설정 방법, 기간 지정, 권한 위임 등 구체적인 절차는 어떻게 되나요?</t>
  </si>
  <si>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</si>
  <si>
    <t>지방재정관리시스템 권한 요청 방법은 어떻게 되나요?</t>
  </si>
  <si>
    <t>지방재정관리시스템(이호조, e호조) 사용 권한을 요청하고 승인받기 위해 따라야 하는 절차는 무엇인가요?</t>
  </si>
  <si>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</si>
  <si>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</si>
  <si>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일상경비 지출 절차는 어떻게 되나요?</t>
  </si>
  <si>
    <t>일상경비를 집행할 때, 지출 신청부터 승인, 집행, 정산까지의 구체적인 절차는 무엇인가요?</t>
  </si>
  <si>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</si>
  <si>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</si>
  <si>
    <r>
      <rPr>
        <rFont val="Malgun Gothic"/>
        <color theme="1"/>
        <sz val="11.0"/>
      </rP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rFont val="Segoe UI Symbol"/>
        <color theme="1"/>
        <sz val="11.0"/>
      </rPr>
      <t>❗❗</t>
    </r>
    <r>
      <rPr>
        <rFont val="맑은 고딕"/>
        <color theme="1"/>
        <sz val="11.0"/>
      </rPr>
      <t>주의</t>
    </r>
    <r>
      <rPr>
        <rFont val="Segoe UI Symbol"/>
        <color theme="1"/>
        <sz val="11.0"/>
      </rPr>
      <t>❗❗</t>
    </r>
    <r>
      <rPr>
        <rFont val="맑은 고딕"/>
        <color theme="1"/>
        <sz val="11.0"/>
      </rPr>
      <t xml:space="preserve">
▶ 품의승인내역 등록에서 카드연계 시
- 거래처명: 본인직급+성명 (예시)전산7급 홍길동
- 예금주명: 부산광역시 정보화정책과(부산광역시청</t>
    </r>
    <r>
      <rPr>
        <rFont val="Segoe UI Symbol"/>
        <color theme="1"/>
        <sz val="11.0"/>
      </rPr>
      <t>❌</t>
    </r>
    <r>
      <rPr>
        <rFont val="맑은 고딕"/>
        <color theme="1"/>
        <sz val="11.0"/>
      </rPr>
      <t>)
step4. 반드시 [계좌검증] 돌리시고 원인행위 결재요청
품의승인내역시 계좌검증 안하고 결재올라가면
과장님 결재로 반려해야하니 주의</t>
    </r>
  </si>
  <si>
    <t>[일상경비(법인카드사용시)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</si>
  <si>
    <t>1245_일상경비_사용방법-txt.pdf</t>
  </si>
  <si>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</si>
  <si>
    <t>일상경비 지출 절차 안내</t>
  </si>
  <si>
    <t>일상경비 반납 절차는 어떻게 되나요?</t>
  </si>
  <si>
    <t>일상경비 집행 후 발생한 잔액을 반납해야 할 때, e호조시스템(지방재정시스템) 입력부터 은행 송금 처리까지 어떤 절차와 증빙을 갖추어야 하나요?</t>
  </si>
  <si>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</si>
  <si>
    <t>ㆍ1122_압축최종부산시사회서비스원_규정집250226.pdf (p.133)
https://busanai.busan.go.kr/download/1122_압축최종부산시사회서비스원_규정집250226.pdf</t>
  </si>
  <si>
    <t>행정전자서명 가입 절차는 어떻게 되나요?</t>
  </si>
  <si>
    <t>행정전자서명을 신규로 가입하거나 갱신할 때, 신청 방법, 필요 서류, 승인 절차 등 전체 과정은 어떻게 되나요?</t>
  </si>
  <si>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</si>
  <si>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</si>
  <si>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</si>
  <si>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온나라시스템 과제카드 설정은 어떻게 되나요?</t>
  </si>
  <si>
    <t>온나라 시스템에서 문서 작성 시 과제카드를 설정하거나 변경하려면 어떻게 해야 하나요?</t>
  </si>
  <si>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</si>
  <si>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</si>
  <si>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</si>
  <si>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참조내용과 질문을 활용해 지피티로 생성한 답변을 기대답변으로 첨부합니다.
 기대답변 :
 1. 부서과제 과제카드 생성
  - 카드 등록 권한: 부서 단위과제 카드 관리자 또는 부서 관리과제 카드 관리자 권한이 있는 사용자만 가능
  - 카드 구성:
  &gt; 필수 항목: 표제부, 실적관리, 접수관리, 이력관리
  &gt; 선택 항목: 계획관리, 홍보관리, 고객관리(과제 특성에 따라 선택)
  - 과제 담당자 지정: 실제 과제를 수행할 담당자를 지정하며, 과제 담당자만 해당 과제의 전자문서, 과제일정, 메모보고 작성 가능
  - 내부 관계자 지정: 과제 관련 타 부서 관계자를 지정
 2. 과제카드 관리
  - 수정 권한: 부서 단위과제 카드 관리자 또는 부서 관리과제 카드 관리자
  - 과제카드 수정 및 담당자 변경:
  &gt; 수정할 과제카드 선택
  &gt; ‘변경’ 버튼 선택 후 과제 담당자 목록 수정 가능
 3. 과제카드 담당자 관리
  - 일괄 지정 기능:
  &gt; ‘담당자 관리’ 버튼 선택
  &gt; 원하는 과제카드 목록과 부서원 목록 선택
  &gt; 저장하여 일괄 지정 완료</t>
  </si>
  <si>
    <t>355_2412_정보화정책과_업무매뉴얼_KLID_온나라_20_부서관리자_교육자료PDF.pdf</t>
  </si>
  <si>
    <t>15, 16, 17</t>
  </si>
  <si>
    <t>이미지 제외하고 아래 내용으로만 답변 생성 바랍니다.
 2.2 부서과제 과제카드 생성
 - 과제카드 관리자는 부서 과제카드 등록
  Ø카드등록 : 부서 단위과제 카드 관리자 , 부서 관리과제 카드 관리자 권한이 있는 사용자에게 노출 됨
  • 카드구성
  표제부, 실적관리 접수관리 이력관리는 기본적으로 사용하고 특성에 따라 계획관리, 홍보관리, 고객관리를 선택
  • 과제 담당자
  실제 과제를 수행할 담당자를 지정
  * ‘과제담당자 만이 해당과제의 전자문서,과제일정, 메모보고 등의 작성이 가능함
  • 내부 관계자
  과제와 관련이 있는 타 부서 관계자를 지정
 2.3 과제카드 관리
 - 과제카드 수정 및 과제담당자 변경
  Ø 부서 단위과제 카드 관리자 , 부서관리과제 카드 관리자 권한이 있는 사용자는 부서과제카드를 선택하여 과제카드 수정 가능
  ① 변경 버튼을 선택하여 과제 담당자 목록 수정 가능
 2.4 과제카드 담당자 관리
 - 과제카드 담당자 일괄 지정
  Ø 과제카드 담당자 일괄 지정 기능
  ① 담당자 관리 버튼을 선택하여 원하는 카드 목록과 부서원목록을 선택 후 저장</t>
  </si>
  <si>
    <t>온나라시스템 과제카드 설정 방법 안내</t>
  </si>
  <si>
    <r>
      <rPr>
        <rFont val="Malgun Gothic"/>
        <color rgb="FF000000"/>
        <sz val="11.0"/>
      </rPr>
      <t xml:space="preserve">355_2412_정보화정책과_업무매뉴얼_KLID_온나라_20_부서관리자_교육자료PDF.pdf 
------
</t>
    </r>
    <r>
      <rPr>
        <rFont val="맑은 고딕"/>
        <color rgb="FFFF0000"/>
        <sz val="11.0"/>
      </rPr>
      <t xml:space="preserve">[문서 내용이 대부분 이미지로 만들어져 있어 내용 인식이 잘 되지 않으며 유사도 떨어짐]
</t>
    </r>
    <r>
      <rPr>
        <rFont val="맑은 고딕"/>
        <color rgb="FF000000"/>
        <sz val="11.0"/>
      </rPr>
      <t xml:space="preserve">
[p.14]
</t>
    </r>
    <r>
      <rPr>
        <rFont val="Segoe UI Symbol"/>
        <color rgb="FF000000"/>
        <sz val="11.0"/>
      </rPr>
      <t>➢</t>
    </r>
    <r>
      <rPr>
        <rFont val="맑은 고딕"/>
        <color rgb="FF000000"/>
        <sz val="11.0"/>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</si>
  <si>
    <t>지방재정관리시스템 대직 권한 설정 방법은?</t>
  </si>
  <si>
    <t>지방재정관리시스템에서 결재권자 부재 시 대직자 권한을 설정하려면, 필요한 절차와 권한, 설정 방법은 어떻게 되나요?</t>
  </si>
  <si>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</si>
  <si>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</si>
  <si>
    <t>지방재정관리시스템 결재선 입력 방법은?</t>
  </si>
  <si>
    <t>지방재정관리시스템에서 결재를 진행할 때, 결재선을 입력하거나 수정하려면 절차와 권한, 구체적인 입력 방법은 무엇인가요?</t>
  </si>
  <si>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</si>
  <si>
    <t>DRM 또는 PC Client 사용을 위해 필요한 아이디와 비밀번호를 분실했을 때, 복구 또는 재발급을 받는 절차와 담당 부서는 어떻게 되나요?</t>
  </si>
  <si>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</si>
  <si>
    <t>온나라 문서 과제카드를 잘못 지정하였습니다. 어떻게 수정하나요?</t>
  </si>
  <si>
    <t>온나라 시스템에서 문서 작성 시 과제카드를 잘못 지정한 경우, 이를 수정하거나 재지정하는 절차는 어떻게 되나요?</t>
  </si>
  <si>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</si>
  <si>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</si>
  <si>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</si>
  <si>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</si>
  <si>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차세대지방재정 업무그룹에 각각 어떤 권한이 부여되어 있나요?</t>
  </si>
  <si>
    <t>차세대지방재정시스템에서 각 업무그룹별로 부여된 권한 확인 및 변경 절차는 어떻게 되나요?</t>
  </si>
  <si>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</si>
  <si>
    <t>장기재직휴가 기준과 사용 방법을 알려주세요. 장기재직휴가 사용 요건이 되면 인사랑에 자동 반영되나요?</t>
  </si>
  <si>
    <t>장기재직휴가 부여 기준과 근속년수별 휴가 일수, 신청 및 사용 방법은 무엇이며, 사용 요건 충족 시 인사관리시스템(인사랑)에 자동으로 반영되나요?</t>
  </si>
  <si>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</si>
  <si>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</si>
  <si>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</si>
  <si>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직원복지지원시스템 사용 방법을 알려주세요. 행정포털 아이디가 없을 경우엔 어떻게 하나요?</t>
  </si>
  <si>
    <t>행정포털 계정이 없을 경우 직원복지지원시스템 사용 방법은 어떻게 되나요?</t>
  </si>
  <si>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</si>
  <si>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</si>
  <si>
    <r>
      <rPr>
        <rFont val="&quot;맑은 고딕&quot;"/>
        <color rgb="FF000000"/>
        <sz val="11.0"/>
      </rPr>
      <t xml:space="preserve">이미지 제외 본문 텍스트 활용으로
왼쪽 기대답변대로 생성되면 됩니다. 
-------
</t>
    </r>
    <r>
      <rPr>
        <rFont val="&quot;맑은 고딕&quot;"/>
        <color rgb="FF0000FF"/>
        <sz val="11.0"/>
      </rPr>
      <t>[Top5내로 검색될 수 있도록 페이지 정리 논의 필요]</t>
    </r>
    <r>
      <rPr>
        <rFont val="&quot;맑은 고딕&quot;"/>
        <color rgb="FF000000"/>
        <sz val="11.0"/>
      </rPr>
      <t xml:space="preserve">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</si>
  <si>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</si>
  <si>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</si>
  <si>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집행을 위해서 확인해야할 규정을 정리해주세요. 직원당 쓸 수 있는 단가도 상세히 알려주세요
(예시: 정원가산업무추진비 격려금 지급 상한금액 등)</t>
  </si>
  <si>
    <t>업무추진비 집행을 위해 확인해야 할 관련 규정과 지침은 무엇이며, 직원별로 사용할 수 있는 단가, 격려금 상한액 등 세부 기준은 어떻게 되나요?</t>
  </si>
  <si>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</si>
  <si>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</si>
  <si>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</si>
  <si>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1223_별표_1_지방자치단체의_장_등_업무추진비_집행대상_직무활동_범위제3조제1항_관련지방자치단체_업무추진비_집행에_관한_규칙.pdf</t>
  </si>
  <si>
    <t>1, 2, 3, 4</t>
  </si>
  <si>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</si>
  <si>
    <t>업무추진비 집행 규정, 직원별 업무 추진비 사용 한도, 업무추진비 지급 상한 금액, 직원 별 사용 가능 단가</t>
  </si>
  <si>
    <t>(ex.시청, 사업소 등)하루평균 민원인 방문자는 몇명인가요?</t>
  </si>
  <si>
    <t>시청 및 산하 사업소별로 일평균 민원 방문자 수를 정확히 파악하기 위해, 어떤 자료나 시스템을 조회해야 하나요?</t>
  </si>
  <si>
    <t xml:space="preserve">제공된 문서에는 부산광역시 시청, 사업소 등 각 기관의 하루 평균 민원인 방문자 수에 대한 정보가 없습니다. 따라서, 해당 정보를 제공할 수 없습니다. </t>
  </si>
  <si>
    <t>공무원 교육이수 가능한 방법에는 무엇이 있나요?(교육 가능한 사이트 목록, 
공무원 의무교육 과목이 몇 가지인지, 특정 자격증 취득 시 교육 이수 시간이 몇 시간이 되는지 등)</t>
  </si>
  <si>
    <t>공무원이 교육을 이수할 수 있는 방법과 경로는 무엇이며, 이를 위해 이용할 수 있는 교육 사이트 목록, 의무교육 과목 수, 특정 자격증 취득 시 인정되는 교육 시간 등 구체적인 기준은 어떻게 되나요?</t>
  </si>
  <si>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</si>
  <si>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</si>
  <si>
    <t>시청으로 인사발령 받고 나서 숙지해야할 직원 공통사항을 알려주세요.</t>
  </si>
  <si>
    <t>시청으로 인사발령을 받은 직원이 반드시 숙지해야 하는 공통 업무, 복무, 권한, 시스템 접근, 교육, 보안 사항 등 필수 확인 항목은 무엇인가요?</t>
  </si>
  <si>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</si>
  <si>
    <t>관련 근거 문서가 없습니다.
기대답변 : 
OO에 대한 관련 문서가 없습니다.
자세한 사항은 관련 부서나 업무 담당자에게 문의하시기 바랍니다.</t>
  </si>
  <si>
    <t>온나라 시스템에서 직원 부재 시 부재자 설정을 등록·변경하는 방법에 대해 알려주세요</t>
  </si>
  <si>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</si>
  <si>
    <t>비상출퇴근 사용하여 시간외 근무시 인사랑 반영 방법을 알려주세요</t>
  </si>
  <si>
    <t>비상출퇴근으로 근무한 시간 외 근무 실적을 인사랑에 반영하려면, 어떤 메뉴에서 어떤 방식으로 입력해야 하나요?</t>
  </si>
  <si>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</si>
  <si>
    <t>조례제정시 의회제출 전 법무담당관 협의 등 거쳐야 하는 내부 절차 및 기한에 대해 알려주세요</t>
  </si>
  <si>
    <t>조례를 제정하거나 개정할 때, 의회 제출 전에 법무담당관 협의, 관련 부서 검토 등 내부 승인 절차와 각 단계별 기한은 어떻게 되나요?</t>
  </si>
  <si>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</si>
  <si>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</si>
  <si>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</si>
  <si>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조례 입법 절차, 조례 제정 절차, 조례 개정 절차, 조례 제정 개정 행정 절차 가이드라인, 조례 제정 기한, 조례 제정 관련 의회 제출 전 법무담당관 협의 내용</t>
  </si>
  <si>
    <t>휴일 출장시 대체휴무 사용이 가능한가요?</t>
  </si>
  <si>
    <t>휴일에 출장을 나갈 경우, 대체휴무를 사용할 수 있는지 여부와 신청·사용 절차는 어떻게 되나요?</t>
  </si>
  <si>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</si>
  <si>
    <t>ㆍ84163_2025년_반여농산물도매시장관리사업소_종합감사_결과보고공개용.pdf (p.73)
https://busanai.busan.go.kr/download/84163_2025년_반여농산물도매시장관리사업소_종합감사_결과보고공개용.pdf</t>
  </si>
  <si>
    <r>
      <rPr>
        <rFont val="Malgun Gothic"/>
        <color theme="1"/>
        <sz val="11.0"/>
      </rP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</si>
  <si>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</si>
  <si>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</si>
  <si>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t>휴일 출장 시 초과근무수당 지급, 휴일 출장 시 대체휴무 사용 가능 여부 확인, 주말 관외 출장 시 초과근무수당 지급, 주말 관외 출장 시 대체휴무 사용 가능 여부 확인</t>
  </si>
  <si>
    <t>SQG017</t>
  </si>
  <si>
    <t>사후초과 익일결재를 못받은 경우 구제방법이 있나요?</t>
  </si>
  <si>
    <t>사전초과 결재를 등록했으나 익일에 결재를 받지 못한 경우, 사후초과 결재를 처리하거나 구제할 수 있는 방법과 절차는 무엇인가요?</t>
  </si>
  <si>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</si>
  <si>
    <t>ㆍ214_2501_예산담당관_업무매뉴얼_행정안전부_지방공무원보수업무_등_처리지침.pdf (p.349)
https://busanai.busan.go.kr/download/214_2501_예산담당관_업무매뉴얼_행정안전부_지방공무원보수업무_등_처리지침.pdf</t>
  </si>
  <si>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</si>
  <si>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</si>
  <si>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349</t>
  </si>
  <si>
    <t>[P.349]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
 [p.351]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</si>
  <si>
    <t>사후 초과근무에 대한 익일 미결재시 구제 방법</t>
  </si>
  <si>
    <t xml:space="preserve">공무직 명절 근무시 급식비 지급 기준은? </t>
  </si>
  <si>
    <t>공무직이 명절에 근무할 경우, 급식비 지급 여부와 지급 기준, 적용되는 근거 규정, 근무 형태(정상근무·휴일근무)에 따른 차이, 그리고 실제 지급 절차를 알려주세요.</t>
  </si>
  <si>
    <t>부산광역시 공무직원의 명절휴가비 지급 기준은 해당 명절 당일 재직 시, 1호봉 기준 기본급의 43%입니다.</t>
  </si>
  <si>
    <t xml:space="preserve">ㆍ76600_붙임1공고문-hwp.pdf (p.2)
https://busanai.busan.go.kr/download/76600_붙임1공고문-hwp.pdf </t>
  </si>
  <si>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</si>
  <si>
    <t>무료주차 당일 신청 가능한가요?</t>
  </si>
  <si>
    <t>시청 무료주차를 이용할 때, 당일 신청이 가능한지 여부, 신청 가능한 시간대, 신청 절차, 관련 시스템 또는 담당 부서 등에 대해 알려주세요</t>
  </si>
  <si>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</si>
  <si>
    <t xml:space="preserve">ㆍ56387_2025_설맞이_B-뷰티_데이_참가기업_모집_공고문-hwp.pdf (p.1)
https://busanai.busan.go.kr/download/56387_2025_설맞이_B-뷰티_데이_참가기업_모집_공고문-hwp.pdf </t>
  </si>
  <si>
    <t>근거자료, 내용 오류입니다.
관련 근거 문서가 없습니다.
기대답변 : 
OO에 대한 관련 문서가 없습니다.
자세한 사항은 관련 부서나 업무 담당자에게 문의하시기 바랍니다.</t>
  </si>
  <si>
    <t>회의실 신청 어떻게 하나요?</t>
  </si>
  <si>
    <t>시청 내 회의실을 사용하기 위한 방법을 단계별로 상세히 설명해주세요.</t>
  </si>
  <si>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</si>
  <si>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</si>
  <si>
    <t>기대답변:
 회의장 예약 방법은 행정포털 개인서비스 내 회의장 클릭 후 원하는 날짜를 예약하시면 됩니다.</t>
  </si>
  <si>
    <r>
      <rPr>
        <rFont val="Malgun Gothic"/>
        <color rgb="FF000000"/>
        <sz val="11.0"/>
      </rPr>
      <t xml:space="preserve">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
</t>
    </r>
    <r>
      <rPr>
        <rFont val="Malgun Gothic"/>
        <color rgb="FFFF0000"/>
        <sz val="11.0"/>
      </rPr>
      <t>&gt;&gt; 0.7로 2순위(추가 조치 필요)</t>
    </r>
  </si>
  <si>
    <t>국외출장시 며칠 전까지 허가신청 공문 보내야 하나요?</t>
  </si>
  <si>
    <t>국외출장을 가기 위해서는 며칠 전까지 허가신청 공문을 제출해야 하며, 제출 방법과 관련 절차는 어떻게 되나요?</t>
  </si>
  <si>
    <t>국외 출장 시 허가 신청 공문은 출국 예정일 20일 전까지 제출해야 합니다.</t>
  </si>
  <si>
    <t>ㆍ1125_압축2025년_부산문화재단_규정집2025227.pdf (p.428)
https://busanai.busan.go.kr/download/1125_압축2025년_부산문화재단_규정집2025227.pdf</t>
  </si>
  <si>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</si>
  <si>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</si>
  <si>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483_페이지49_문서3_162906_부산광역시_공무국외출장_조례.pdf</t>
  </si>
  <si>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</si>
  <si>
    <t>공무 국외 출장 시 필요한 절차에 대한 설명</t>
  </si>
  <si>
    <t>보존기간 만료 기록물 자체 폐기 가능한가요?</t>
  </si>
  <si>
    <t>보존기간이 만료된 기록물을 부서에서 자체적으로 폐기할 수 있는지, 가능하다면 절차와 관련 규정은 무엇인가요?</t>
  </si>
  <si>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</si>
  <si>
    <t>ㆍ432_2412_통합민원과_업무메뉴얼_국가기록원_25년_기록물관리_지침.pdf (p.264, 267)
https://busanai.busan.go.kr/download/432_2412_통합민원과_업무메뉴얼_국가기록원_25년_기록물관리_지침.pdf</t>
  </si>
  <si>
    <t>432_2412_통합민원과_업무메뉴얼_국가기록원_25년_기록물관리_지침.pdf</t>
  </si>
  <si>
    <t>264</t>
  </si>
  <si>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</si>
  <si>
    <t>보존기간 만료에 따른 기록물 자체 폐기에 대한 안내</t>
  </si>
  <si>
    <t>보직자 전원 부재시 사전초과 결재 어떻게 올려야 하나요?</t>
  </si>
  <si>
    <t>보직자 전원이 부재 중일 때 인사랑 시스템에 사전초과근무 신청을 하기위해 대체 결재자 지정 방법, 시스템 입력 절차, 처리 시 유의사항을 설명해주세요.</t>
  </si>
  <si>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</si>
  <si>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</si>
  <si>
    <t>윈도우 로그인 패스워드 오류시 어떻게 처리하나요?</t>
  </si>
  <si>
    <t>윈도우 로그인 시 패스워드 오류가 발생하면, 초기화나 재설정 등 문제를 해결하는 방법은 무엇인가요?</t>
  </si>
  <si>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</si>
  <si>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</si>
  <si>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</si>
  <si>
    <t>프린터기 ip주소는 어디서 확인하나요?</t>
  </si>
  <si>
    <t>사무실 프린터의 IP 주소를 확인하려면 어떤 방법으로 확인할 수 있나요?</t>
  </si>
  <si>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</si>
  <si>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</si>
  <si>
    <t>긴급출퇴근제를 사용하기 위한 사전절차는 무엇인가요?</t>
  </si>
  <si>
    <t>긴급출퇴근제를 사용하기 위한 사전절차(링크 즐겨찾기 추가 등)와 방법에 대해 알려주세요</t>
  </si>
  <si>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</si>
  <si>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</si>
  <si>
    <t>웍스 메신저 '출' 버튼 또는 아래 링크로 방문해 긴급출퇴근 처리가 가능합니다.
 긴급출퇴근 URL 주소 : http://99.1.2.126:48080/intro.html</t>
  </si>
  <si>
    <r>
      <rPr>
        <rFont val="&quot;맑은 고딕&quot;"/>
        <color rgb="FF000000"/>
        <sz val="11.0"/>
      </rPr>
      <t xml:space="preserve">8. 긴급출퇴근 링크(행정포털 오류, 인사랑 출퇴근)
 http://99.1.2.126:48080/intro.html 
------
</t>
    </r>
    <r>
      <rPr>
        <rFont val="&quot;맑은 고딕&quot;"/>
        <color rgb="FF0000FF"/>
        <sz val="11.0"/>
      </rPr>
      <t xml:space="preserve">긴급 출퇴근 관련 별도 문서를 만들었음. 
이를 참조하지 않고 간단 질문 대응으로 처리할지 논의 필요 
</t>
    </r>
    <r>
      <rPr>
        <rFont val="&quot;맑은 고딕&quot;"/>
        <color rgb="FF00FF00"/>
        <sz val="11.0"/>
      </rPr>
      <t>&gt;&gt; 별도 문서 참조로 처리 바랍니다.</t>
    </r>
  </si>
  <si>
    <t>행정포털 비밀번호 오류시 어떻게 하면 되나요?</t>
  </si>
  <si>
    <t>행정포털 로그인 비밀번호가 여러 번 틀려서 오류가 난 경우, 초기화 또는 재설정을 어떻게 진행해야 하나요?</t>
  </si>
  <si>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</si>
  <si>
    <t>일반지출 지출집행현황은 어디서 확인하나요?</t>
  </si>
  <si>
    <t>e호조(지방재정시스템)에서 일반지출의 지출 집행 현황을 확인하기위한 방법을 단계별로 상세히 설명해주세요.</t>
  </si>
  <si>
    <t>일반지출 지출집행현황을 확인할 수 있는 위치는 부산광역시 안전관리계획 상반기 추진실적 세부 점검표(상반기)입니다.</t>
  </si>
  <si>
    <t xml:space="preserve">ㆍ2504_2024년_안전관리계획_상반기_추진실적_세부_점검표부산시-xlsx.pdf (p.1)
https://busanai.busan.go.kr/download/2504_2024년_안전관리계획_상반기_추진실적_세부_점검표부산시-xlsx.pdf </t>
  </si>
  <si>
    <t>보안usb 매체점검은 어디서 하나요?</t>
  </si>
  <si>
    <t>보안 USB(매체제어시스템)를 사용하기 전에 매체점검을 진행해야 하는데, 해당 점검은 어디에서, 어떤 절차로 수행할 수 있나요?</t>
  </si>
  <si>
    <t xml:space="preserve">부산시청에서 보안 USB 매체 점검은 전산정보담당관실에서 진행하고 있습니다.
관련 문의는 부산시청 전산정보담당관실(051-888-2385)로 연락하시면 자세한 안내를 받으실 수 있습니다. </t>
  </si>
  <si>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</si>
  <si>
    <t>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t>
  </si>
  <si>
    <t>368_2412_정보화정책과_업무매뉴얼_채울_휴대용저장매체관리시스템_부서관리자_매뉴얼.pdf</t>
  </si>
  <si>
    <t>29, 30</t>
  </si>
  <si>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</si>
  <si>
    <t>보안 USB 매체 점검 방법</t>
  </si>
  <si>
    <t>신규 임용시 원활한 업무진행을 위해 행정포털, 행정전자서명 발급등 처리해야 할 사항 및 절차는 어떻게 되나요?</t>
  </si>
  <si>
    <t>신규 임용된 공무원이 원활하게 업무를 시작하기 위해, 행정포털 계정 등록, 행정전자서명 발급 등 필수 시스템 접근 권한 확보와 관련하여 처리해야 할 사항과 구체적인 절차는 무엇인가요?</t>
  </si>
  <si>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</si>
  <si>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t>
  </si>
  <si>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</si>
  <si>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직원차량 등록 절차는 어떻게 되나요?</t>
  </si>
  <si>
    <t>시청 주차장에 직원차량을 등록하려면, 등록 절차와 필요 서류는 어떻게 되나요?</t>
  </si>
  <si>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</si>
  <si>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</si>
  <si>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</si>
  <si>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</si>
  <si>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SQG011</t>
  </si>
  <si>
    <t>계좌이체로 지출시(소액) 필요한 서류는 어떻게 되나요?</t>
  </si>
  <si>
    <t>계좌이체 방식으로 소액 지출을 처리할 때, 지출 신청부터 승인·집행까지 필요한 서류를 알려주세요</t>
  </si>
  <si>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</si>
  <si>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</si>
  <si>
    <t>내용, 첨부파일 오류입니다.
계좌이체 관련 근거 문서가 없습니다.
기대답변 : 
OO에 대한 관련 문서가 없습니다.
자세한 사항은 관련 부서나 업무 담당자에게 문의하시기 바랍니다.</t>
  </si>
  <si>
    <t>조례 개정 절차는 어떻게 되나요?</t>
  </si>
  <si>
    <t>지방자치단체에서 조례를 개정할 때 전체 절차와 각 단계별 담당 부서, 소요 기한 및 제출서류는 어떻게 되나요?</t>
  </si>
  <si>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</si>
  <si>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</si>
  <si>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</si>
  <si>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r>
      <rPr>
        <rFont val="Malgun Gothic"/>
        <color theme="1"/>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개정 입법 절차는 어떻게 되나요?</t>
    </r>
  </si>
  <si>
    <t>상품권 구매 및 관리를 위한 구체적인 기준을 알려줘</t>
  </si>
  <si>
    <t>상품권을 구매하고 관리할 때, 구매 한도, 사용 대상, 보관·관리 방법, 회계 처리 절차 등 구체적인 기준과 관련 규정은 무엇인가요?</t>
  </si>
  <si>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</si>
  <si>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</si>
  <si>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</si>
  <si>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 xml:space="preserve">357_페이지36_문서7_162648_부산광역시_지역화폐_이용_활성화에_관한_조례.pdf[]
-----
[상품권 구매 및 관리를 위한 기준 정보는 조례 내용에 없음. 어떤 자료를 참고하여 답변을 해야 하는지 확인 필요] </t>
  </si>
  <si>
    <t>일시적인 강연, 자문, 고문료에 따른 원천세 신고 코드 종류와 지급명세서 종류를 알려줘</t>
  </si>
  <si>
    <t>일시적인 강연, 자문, 고문료 지급 시, 적용해야 하는 원천세 신고 코드와 종류, 해당 지급에 따른 지급명세서 유형, 작성 및 제출 절차, 유의사항을 알려주세요</t>
  </si>
  <si>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</si>
  <si>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</si>
  <si>
    <t>보통예금계좌 점검 주기 및 방법을 알려줘</t>
  </si>
  <si>
    <t>보통예금계좌를 점검할 때, 점검 주기와 점검 방법, 점검 시 확인해야 하는 항목은 무엇인가요?</t>
  </si>
  <si>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</si>
  <si>
    <t>ㆍ68506_20220930_회계재산담당관_보도자료부산시_공금_보통예금계좌_특별_관리한다-hwp.pdf (p.2)
https://busanai.busan.go.kr/download/68506_20220930_회계재산담당관_보도자료부산시_공금_보통예금계좌_특별_관리한다-hwp.pdf</t>
  </si>
  <si>
    <r>
      <rPr>
        <rFont val="Malgun Gothic"/>
        <color theme="1"/>
        <sz val="11.0"/>
      </rP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rFont val="Tahoma"/>
        <color theme="1"/>
        <sz val="11.0"/>
      </rPr>
      <t>‧</t>
    </r>
    <r>
      <rPr>
        <rFont val="맑은 고딕"/>
        <color theme="1"/>
        <sz val="11.0"/>
      </rPr>
      <t>폐합이 필요한 경우 즉시 계좌를 해지하거나 통</t>
    </r>
    <r>
      <rPr>
        <rFont val="Tahoma"/>
        <color theme="1"/>
        <sz val="11.0"/>
      </rPr>
      <t>‧</t>
    </r>
    <r>
      <rPr>
        <rFont val="맑은 고딕"/>
        <color theme="1"/>
        <sz val="11.0"/>
      </rPr>
      <t>폐합 한 후 회계부서장에게 통보해야 한다.
○ 회계부서장은 반기별 1회 이상 자치단체 보통예금계좌를 점검해야 한다. 이때, 자치단체 보통예금계좌 용도에 따라 예산</t>
    </r>
    <r>
      <rPr>
        <rFont val="Tahoma"/>
        <color theme="1"/>
        <sz val="11.0"/>
      </rPr>
      <t>‧</t>
    </r>
    <r>
      <rPr>
        <rFont val="맑은 고딕"/>
        <color theme="1"/>
        <sz val="11.0"/>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</si>
  <si>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통‧폐합이 필요한 경우 즉시 계좌를 해지하거나 통‧폐합 한 후 회계부서장에게 통보해야 한다.
 ○ 회계부서장은 반기별 1회 이상 자치단체 보통예금계좌를 점검해야 한다. 이때, 자치단체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</si>
  <si>
    <t>469_2406_회계재산담당관_법령_행정안전부_지방자치단체_회계관리에_관한_훈령_00.pdf</t>
  </si>
  <si>
    <t>131, 132</t>
  </si>
  <si>
    <t>[131p]
 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[132p]
 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t>
  </si>
  <si>
    <t>보통예금계좌 점검 주기 및 방법 안내</t>
  </si>
  <si>
    <t>국민신문고 민원 처리 절차를 알려줘</t>
  </si>
  <si>
    <t>국민신문고를 통해 접수된 민원을 처리할 때, 접수부터 처리 완료까지의 단계별 절차, 담당 부서, 처리 기준 및 기한은 어떻게 되나요?</t>
  </si>
  <si>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</si>
  <si>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</si>
  <si>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</si>
  <si>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t>다시 확인해보니 국민신문고 사용자지침서 민원 파일에 기대답변을 작성할 만한 내용이 없는거 같습니다.
 다른 매뉴얼이 있긴 하나 전체가 다 이미지라 활용 불가능하므로 미답변 처리 바랍니다.</t>
  </si>
  <si>
    <r>
      <rPr>
        <rFont val="맑은 고딕"/>
        <b/>
        <color theme="1"/>
        <sz val="11.0"/>
      </rPr>
      <t>1234_국민신문고_사용자지침서_민원_v17.pdf[15, 16]</t>
    </r>
    <r>
      <rPr>
        <rFont val="맑은 고딕"/>
        <color theme="1"/>
        <sz val="11.0"/>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</si>
  <si>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장기재직휴가 기준 및 사용 방법을 알려줘</t>
  </si>
  <si>
    <t>장기재직휴가는 몇 년차부터 부여되며, 근속년수별 휴가 일수는 어떻게 되나요? 장기재직휴가 신청과 승인, 사용 절차는 무엇인가요?</t>
  </si>
  <si>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</si>
  <si>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</si>
  <si>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공무원증 신청 및 승인처리 방법을 알려줘</t>
  </si>
  <si>
    <t>공무원증 신청은 어떤 절차로 진행되며, 신청 후 승인 처리 과정과 소요 기간, 필요한 서류는 어떻게 되나요?</t>
  </si>
  <si>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</si>
  <si>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</si>
  <si>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</si>
  <si>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직원후생복지지원시스템 사용 방법을 알려줘</t>
  </si>
  <si>
    <t>직원후생복지지원시스템은 어떤 절차와 방법으로 사용하는지 알려주세요</t>
  </si>
  <si>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</si>
  <si>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</si>
  <si>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이미지 제외 본문 텍스트 활용으로
왼쪽 기대답변대로 생성되면 됩니다. 
-------
</t>
    </r>
    <r>
      <rPr>
        <rFont val="&quot;맑은 고딕&quot;"/>
        <color rgb="FF0000FF"/>
        <sz val="11.0"/>
      </rPr>
      <t xml:space="preserve">[Top5내로 검색될 수 있도록 페이지 정리 논의 필요]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</si>
  <si>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</si>
  <si>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</si>
  <si>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비밀문서 접수 시 처리 절차를 알려줘</t>
  </si>
  <si>
    <t>비밀문서를 접수할 때 적용되는 처리 절차와 관련 규정에 대해 알려주세요</t>
  </si>
  <si>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</si>
  <si>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</si>
  <si>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</si>
  <si>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776_페이지78_문서6_163407_부산광역시_보안업무규정.pdf</t>
  </si>
  <si>
    <t>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
 제28조(비밀의 발송) ① 비밀은 다음 각 호의 절차에 따라 발송한다</t>
  </si>
  <si>
    <t>비밀문서 접수 시 처리 절차 안내</t>
  </si>
  <si>
    <t>공인 보관 방법을 알려줘</t>
  </si>
  <si>
    <t>공공기관에서 사용하는 공인 도장(직인)의 보관·관리 기준과 안전하게 사용하는 방법은 무엇인가요?</t>
  </si>
  <si>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</si>
  <si>
    <t>부산광역시 공인 조례가 있긴 하나 보관방법에 대해 따로 나와있는것은 없습니다.
기대답변 : 
OO에 대한 관련 문서가 없습니다.
자세한 사항은 관련 부서나 업무 담당자에게 문의하시기 바랍니다.</t>
  </si>
  <si>
    <t>사용할 수 없는 불용물품을 처리하는 절차는 어떻게 되나요?</t>
  </si>
  <si>
    <t>사용이 종료되어 더 이상 사용할 수 없는 불용물품을 처리하는 절차와 관련 규정은 무엇인가요?</t>
  </si>
  <si>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</si>
  <si>
    <t>ㆍ84042_2023년_상반기_출연기관_종합감사_결과보고서공개용.pdf (p.217)
https://busanai.busan.go.kr/download/84042_2023년_상반기_출연기관_종합감사_결과보고서공개용.pdf</t>
  </si>
  <si>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</si>
  <si>
    <t>정보공개 접수시 처리하는 절차는 어떻게 되나요?</t>
  </si>
  <si>
    <t>정보공개 청구가 접수되었을 때, 접수부터 처리, 통지까지의 구체적인 절차와 담당 부서 역할은 어떻게 되나요?</t>
  </si>
  <si>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</si>
  <si>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</si>
  <si>
    <r>
      <rPr>
        <rFont val="Malgun Gothic"/>
        <color theme="1"/>
        <sz val="11.0"/>
      </rP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</si>
  <si>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</si>
  <si>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
</t>
    </r>
    <r>
      <rPr>
        <rFont val="맑은 고딕"/>
        <color rgb="FF0432FF"/>
        <sz val="11.0"/>
      </rPr>
      <t xml:space="preserve">[Top5에 문서가 들어올 수 있도록 수량 조정 필요] </t>
    </r>
    <r>
      <rPr>
        <rFont val="맑은 고딕"/>
        <color rgb="FF000000"/>
        <sz val="11.0"/>
      </rPr>
      <t xml:space="preserve">
</t>
    </r>
    <r>
      <rPr>
        <rFont val="맑은 고딕"/>
        <color rgb="FF00B050"/>
        <sz val="11.0"/>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t>
    </r>
  </si>
  <si>
    <t>2page - 정보공개 접수 처리 절차 안내
3page - 정보공개 접수 처리 절차 안내, 국민신문고 정보공개 처리 기준 및 답변 예시</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</si>
  <si>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</si>
  <si>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Malgun Gothic"/>
        <color rgb="FF000000"/>
        <sz val="11.0"/>
      </rPr>
      <t xml:space="preserve">424_2108_통합민원과_업무매뉴얼_행정안전부_정보공개운영안내서.pdf (p.227)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</si>
  <si>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미등록기록물 등록 방법은 어떻게 되나요?</t>
  </si>
  <si>
    <t>미등록 기록물을 기록관리시스템에 등록하려면 어떤 절차를 거쳐야 하며, 담당 부서와 필요한 서류는 무엇인가요?</t>
  </si>
  <si>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</si>
  <si>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</si>
  <si>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</si>
  <si>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</si>
  <si>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19, 20, 21, 22, 23, 24</t>
  </si>
  <si>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</si>
  <si>
    <t>미등록 기록물 등록 방법, 미등록 기록물 추가 등록</t>
  </si>
  <si>
    <t>[문서가 Top5 수량을 넘음. 제공 방법 검토 필요]</t>
  </si>
  <si>
    <t>공무원, 공무직, 기간제가 각각 이수해야 하는 법정의무교육 리스트와 이수방법은 어떻게 되나요?</t>
  </si>
  <si>
    <t>공무원, 공무직, 기간제 직원이 반드시 이수해야 하는 법정 의무교육 목록과 각각의 교육 이수 방법(온라인, 집합, 외부교육 등)은 무엇인가요?</t>
  </si>
  <si>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</si>
  <si>
    <t>ㆍ54557_안전보건관리_추진체계_및_경영방침게시용-hwp.pdf (p.6)
https://busanai.busan.go.kr/download/54557_안전보건관리_추진체계_및_경영방침게시용-hwp.pdf</t>
  </si>
  <si>
    <t>기대답변 : 
OO에 대한 관련 문서가 없습니다.
자세한 사항은 관련 부서나 업무 담당자에게 문의하시기 바랍니다.</t>
  </si>
  <si>
    <t>예산 편성 절차와 관련하여 사업비별 사전 이행절차는 무엇인가요?</t>
  </si>
  <si>
    <t>예산 편성 시 사업비별로 거쳐야 하는 사전 이행 절차에는 어떤 것들이 있으며, 해당 절차 이행 여부는 어떻게 확인할 수 있나요?</t>
  </si>
  <si>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</si>
  <si>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</si>
  <si>
    <r>
      <rPr>
        <rFont val="Malgun Gothic"/>
        <color theme="1"/>
        <sz val="11.0"/>
      </rP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</si>
  <si>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기대답변 : 
 세출예산 절차별 이행사항 &gt; 미 이행시 편성 불가
  - 신규사업 사전심사 총사업비 관리제
  ∙ 신규사업 : 시비 3억원 이상 신규사업(월 1회, 수시)
  ※ 신규 센터 설치시 금액불문 사전심사 이행 필요
  ∙ 총사업비관리 : 총사업비 50억원이상, 사업기간 2년이상 건설․정보화사업
  - 지방재정영향평가(지방재정법 제27조의6)
  ∙ 심사대상 : 총사업비 30억원이상 경기대회, 공연・축제 등 행사성 사업, 총사업비 100억원 이상, 지방비 50억원 이상인 신규공모사업
  ∙ 심사시기 : 정기(2, 5, 8, 10월), 수시(필요시)
  - 중기지방재정계획(지방재정법제33조)
  ∙ 대 상 : 일반회계, 특별회계, 기금
  ∙ 심사시기 : 10월중(확정 10월말)
  ∙ 제출기한 : 예산요구서 제출시
  - 중기공유재산관리계획(공유재산 및 물품관리법 제10조)
  ∙ 대 상 : 공유재산관리계획 총괄계획(취득, 처분, 사용료 감면, 수입금 지출)
  ∙ 심사시기 : 10월(공유재산심의회)
  ∙ 제출기한 : 예산요구서 제출시
  - 예비타당성 조사(국가재정법 제38조), 타당성 조사(지방재정법 제37조)
  ∙ 대 상 : 총사업비 500억원 이상(예타 : 국비 300억원 이상) 건설사업, 정보화사업, 국가연구개발사업
  ∙ 심사시기 : 분기 1회
  ∙ 제출시기 : 매년 4회
  - 투자심사(지방재정법 제37조)
  ∙ 심사대상 : 40억이상 신규사업, 60억이상 구․군사업, 3억이상 행사성, 5억이상 홍보관 사업
  ∙ 심사시기 : 정기(3, 6, 9월), 수시(필요시)
  - 공유재산관리계획(공유재산 및 물품관리법 제10조2)
  ∙ 대상사업 : 예정가격 기준 1건당 취득(20억원), 처분(10억원) 이상 면적기준 1건당 취득(6,000㎡), 처분(5,000㎡) 이상
  ∙ 요청시기 : 예산편성 전 단계
  ∙ 제출기한 : 8월중
  - 정책연구용역심사(부산시 정책연구용역 관리 조례)
  ∙ 심사대상 : 건당 10백만원 초과
  ∙ 심사시기 : 9월 중순(예산편성 전) 
  ∙ 제출기한 : 8월중(기획담당관)
  - 기술용역 사전심의(부산시 기술용역 관리 조례)
  ∙ 심사대상 : 건당 100백만원 이상
  ∙ 심사시기 : 9월 중순(예산편성 전)
  ∙ 제출기한 : 8월중(기술심사과)
  - 정보화사업 예산타당성 검토(부산시 정보시스템 도입·운영 규정)
  ∙ 검토대상 : 정보화사업(단순 유지보수‧운영사업, 국비지원사업등은 제외)
  ∙ 검토시기 : 9월 중순(예산편성 전)
  ∙ 제출기한 : 8월중(정보화정책과)
  - 지방보조금사업 신규 행사‧축제사업
  ∙ 지방보조금 : 민간경상사업보조 등 15개 과목 ※ 26페이지 과목 참고
  ∙ 신규 행사‧축제사업 : 행사운영비 등 3개 과목 ※ 26페이지 과목 참고
  ▷ 사전심의 : 지방보조금심의위원회
  ▷ 제출기한 : 8월중(재정협력담당관)
  ※ 3억 이상 신규심사/3억 이상 행사축제, 40억 이상 투자심사 별도필요
  - 정수물품 취득승인(공유재산및물품관리법시행령 제58조)
  ∙ 대상물품 : 행정안전부 장관이 정하는 정수물품
  ∙ 책정시기 : 8월말
  ∙ 제출기한 : 8월중
  - 출자․출연금 승인(지방재정법 제18조, 지방출자출연법)
  ∙ 출자·출연금 신규사업은 예산편성 전 지원 근거 마련
  ∙ 시 재정지원 모든 출자·출연금 시의회 사전승인
  -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t>
  </si>
  <si>
    <t>예산안 편성 항목 전까지 활용 &gt; 예산 편성 절차와 관련하여 사전 이행절차에 대한 문의이므로 예산안 편성 전까지만 활용
 구분이 어려우면 예산안 편성 ~ 예산 의결내용 고시까지 나와도 무방
 3 세출예산 절차별 이행사항 미 이행시 편성 불가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유지보수‧운영사업, 국비지원사업등은 제외) ∙검토시기 : 9월 중순(예산편성 전)∙제출기한 : 8월말(정보화정책과)
 지방보조금사업
 신규 행사‧축제사업 ∙지방보조금 : 민간경상사업보조 등 15개 과목 ※ 28페이지 과목 참고∙신규 행사‧축제사업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</si>
  <si>
    <t>SQG010</t>
  </si>
  <si>
    <t>성인지예산서와 성별영향평가서 차이점은 무엇인가요?</t>
  </si>
  <si>
    <t>지방자치단체에서 작성하는 성인지예산서와 성별영향평가서의 작성내용, 제출시기, 관련 법령 등 차이점을 알려주세요</t>
  </si>
  <si>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</si>
  <si>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</si>
  <si>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</si>
  <si>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범정부 클로바 GOV로 참조내용과 질문으로 답변 생성한 기대답변입니다.
 기대답변 :
 성인지예산서 vs 성별영향평가서의 차이
 1. 성인지예산서
  - 목적: 예산 편성에 성평등 영향을 미리 분석
  - 내용: 성평등 기대효과, 성과목표, 성별 수혜분석 등 포함
  - 법적 근거: 지방재정법 제36조의2
  - 대상 사업: 양성평등정책 기본계획 추진사업, 성별영향평가사업, 자치단체 특화사업 등
  - 특징: 예산 분야에서 성별 영향이 발생하지 않도록 사전 작성한 보고서
 2. 성별영향평가서
  - 목적: 정책 전반에 대한 성별 영향 평가
  - 내용: 정책의 성별 영향 분석 결과 및 정책 반영 내용
  - 법적 근거: 성별영향평가법 제9조
  - 주요 제출처: 여성가족부 (평가 결과 + 영향 반영 정책 내용 포함)
  - 특징: 재정 집행이 수반되는 정책에 한하여 성인지예산서와 연동
 3. 핵심 차이
  - 성인지예산서 = 예산 편성에 초점을 맞춘 보고서
  - 성별영향평가서 = 정책 전체의 성별 영향 평가 보고서
  - 연계 관계: 성별영향평가서 결과는 다음 해 성인지예산서 반영</t>
  </si>
  <si>
    <r>
      <rPr>
        <rFont val="&quot;Malgun Gothic&quot;"/>
        <color rgb="FF000000"/>
        <sz val="11.0"/>
      </rPr>
      <t xml:space="preserve">전직원 골든셋 추가자료 중 2026년도 예산편성계획
</t>
    </r>
    <r>
      <rPr>
        <rFont val="&quot;Malgun Gothic&quot;"/>
        <color rgb="FFFF0000"/>
        <sz val="11.0"/>
      </rPr>
      <t>&gt;&gt;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r>
  </si>
  <si>
    <t>85, 86</t>
  </si>
  <si>
    <t>� 성인지예산제도의 개념
 1. 성인지예산제도(gender-responsive budgeting)
 ❍ 예산이 여성과 남성에게 미칠 영향을 미리 분석하여 이를 예산편성에
 반영함으로써 여성과 남성이 동등하게 예산의 수혜를 받도록 하는 제도
 2. 성인지예산서
 ❍ 예산이 여성과 남성에게 미칠 영향을 미리 분석한 보고서로 성평등
 기대효과, 성과목표, 성별 수혜분석 등을 포함하고 있음
 � 법적 근거
 ❍ 지방재정법 제36조의 2 및 동법 시행령 제40조의 2
 □ 지방재정법
 제36조의2(성인지 예산서의 작성·제출) ① 지방자치단체의 장은 예산이 여성과 남성에게 미칠
 영향을 미리 분석한 보고서[이하 "성인지 예산서"(性認知 豫算書)라 한다]를 작성하여야 한다.
 ② ｢지방자치법｣ 제142조에 따른 예산안에는 성인지 예산서가 첨부되어야 한다.
 ③ 그 밖에 성인지 예산서의 작성에 관한 구체적인 사항은 대통령령으로 정한다.
 □ 지방재정법 시행령
 제40조의2(성인지 예산서의 내용 및 작성기준) ① 법 제36조의2에 따른 성인지 예산서[이하 "
 성인지 예산서"(性認知 豫算書)라 한다]에는 다음 각 호의 내용이 포함되어야 한다.
 1. 성인지 예산의 개요 및 규모
 2. 성인지 예산의 성평등 기대효과, 성과목표 및 성별 수혜분석
 3. 그 밖에 행정안전부장관이 정하는 사항
 ② 성인지 예산서는 행정안전부장관이 여성가족부장관과 협의하여 정하는 작성기준 및 방식
 등에 따라 작성한다.
 �「2026년도 성인지예산서」작성개요
 1. 대상사업 선정기준
 □ 대상회계 : 일반회계, 기타특별회계, 기금회계
 □ 성인지예산서 작성 대상사업 : 세부사업을 기준으로 작성
 대상사업
  - 양성평등정책 기본계획 추진사업
  ✧ 제3차 양성평등정책 기본계획 (’23∼’27)에 따른 연도별 지방자치단체 시행계획 추진사업
  ※ 양성평등정책 기본계획은 양성평등기본법(§7)에따라 여성가족부장관이 5년마다 수립
  ✧ 자치단체에서 자체적으로 수립한 양성평등정책관련 기본계획 에 포함된 사업, 그 밖에 여성을 주대상으로 하며 여성의 사회 참여확대 및 권익증진 등을 도모하거나 여성의 돌봄부담 등 가족내 성불평등을 개선할 수 있는 사업
  - 성별영향평가사업
  ✧ 「성별영향평가법」에 따른 2025년 성별영향평가 대상 예산사업
  - 자치단체가 별도로 추진하는 사업
  ✧자치단체 특화사업: 자치단체장 공약 사업 및 주력사업
  ✧기타 사업: 이전 성별영향평가사업, 양성평등, 성별, 특화사업에 해당하지 않지만 재원배분을 통해 양성평등 실현에 기여하거나 기여할 것으로 기대되는 사업
 성별영향평가법 시행령 제6조(성별영향평가결과의 제출) 중앙행정기관의 장 및 지방자치단체의 장은 법 제9조제
 1항에 따라 전년도 성별영향평가의 결과 및 그 성별영향평가를 정책에 반영한 결과를 매년 2월 말일까지 여성가족
 부장관에게 제출하여야 한다. 이 경우 재정 집행이 수반되는 대상 정책에 관하여는 해당 회계연도의 성인지(性認知)
 예산서를 첨부하여야 한다.</t>
  </si>
  <si>
    <r>
      <rPr>
        <rFont val="맑은 고딕"/>
        <b/>
        <color theme="1"/>
        <sz val="11.0"/>
      </rPr>
      <t>212_2407_예산담당관_업무매뉴얼_행정안전부_2025년도_지방자치단체_예산편성_운영기준_및_기금운용계획_수립기준.pdf[185]</t>
    </r>
    <r>
      <rPr>
        <rFont val="맑은 고딕"/>
        <color theme="1"/>
        <sz val="11.0"/>
      </rPr>
      <t xml:space="preserve">
-----
</t>
    </r>
    <r>
      <rPr>
        <rFont val="맑은 고딕"/>
        <color rgb="FFFF0000"/>
        <sz val="11.0"/>
      </rPr>
      <t>[성인지예산제도에 대한 내용은 있으나 성별영향평가서와의 차이점 등 관련 자료가 없어 답변이 되지 않을 수 있음]</t>
    </r>
  </si>
  <si>
    <t>병가와 휴직에 대한 각종 수당 지급 여부는 무엇인가요?</t>
  </si>
  <si>
    <t>공무원이 병가 또는 휴직을 사용할 경우, 급여와 수당, 연가 등 각종 지급 여부는 어떻게 되나요?</t>
  </si>
  <si>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</si>
  <si>
    <t>ㆍ1133_압축2_재단법인_부산문화회관_규정집25417.pdf (p.112)
https://busanai.busan.go.kr/download/1133_압축2_재단법인_부산문화회관_규정집25417.pdf</t>
  </si>
  <si>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</si>
  <si>
    <t>미답변 처리
 해당 사항에 대해 정리된 내용을 찾기전까진
 미답변 처리 바랍니다.</t>
  </si>
  <si>
    <r>
      <rPr>
        <rFont val="맑은 고딕"/>
        <b/>
        <color theme="1"/>
        <sz val="11.0"/>
      </rPr>
      <t>215_2501_예산담당관_업무매뉴얼_예산담당관_2025급여_및_수당_관련_FAQ.pdf[1]</t>
    </r>
    <r>
      <rPr>
        <rFont val="맑은 고딕"/>
        <color theme="1"/>
        <sz val="11.0"/>
      </rPr>
      <t xml:space="preserve">
-----
</t>
    </r>
    <r>
      <rPr>
        <rFont val="맑은 고딕"/>
        <color rgb="FFFF0000"/>
        <sz val="11.0"/>
      </rPr>
      <t xml:space="preserve">[육아휴직과 관련된 내용이 다수이고 병가 관련 사항 및 질병휴직에 대한 내용이 없음]
</t>
    </r>
    <r>
      <rPr>
        <rFont val="맑은 고딕"/>
        <color theme="1"/>
        <sz val="11.0"/>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</si>
  <si>
    <r>
      <rPr>
        <rFont val="맑은 고딕"/>
        <b/>
        <color theme="1"/>
        <sz val="11.0"/>
      </rPr>
      <t>1248_지방공무원_보수규정대통령령제35183호20250103.pdf</t>
    </r>
    <r>
      <rPr>
        <rFont val="맑은 고딕"/>
        <color theme="1"/>
        <sz val="11.0"/>
      </rPr>
      <t xml:space="preserve">
-----
</t>
    </r>
    <r>
      <rPr>
        <rFont val="맑은 고딕"/>
        <color rgb="FFFF0000"/>
        <sz val="11.0"/>
      </rPr>
      <t>[휴직 수당에 대한 내용의 상세한 부분은 포함되어 있지 않음]</t>
    </r>
  </si>
  <si>
    <t>입찰시 지역제한이 불가할 때 이행해야할 절차와 검토항목에는 무엇이 있나요?</t>
  </si>
  <si>
    <t>입찰에서 지역제한을 설정할 수 없는 경우, 어떤 절차를 거쳐야 하며 지역제한 불가 여부를 판단하기 위해 검토해야 할 사항은 무엇인가요?</t>
  </si>
  <si>
    <r>
      <rPr>
        <rFont val="Malgun Gothic"/>
        <color theme="1"/>
        <sz val="11.0"/>
      </rP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rFont val="Yu Gothic"/>
        <color theme="1"/>
        <sz val="11.0"/>
      </rPr>
      <t>・</t>
    </r>
    <r>
      <rPr>
        <rFont val="맑은 고딕"/>
        <color theme="1"/>
        <sz val="11.0"/>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</si>
  <si>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</si>
  <si>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</si>
  <si>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</si>
  <si>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475_2501_회계재산담당관_업무매뉴얼_회계재산담당관_2025년_계약업무_통합운영_매뉴얼2511_회계재산담당관_계약지원팀.pdf</t>
  </si>
  <si>
    <t>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</si>
  <si>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지역 제한 불가 시 입찰 절차 및 검토 항목 안내</t>
  </si>
  <si>
    <t>반복특이(악성) 민원 응대 매뉴얼 및 민원처리 담당자의 보호지원에는 어떤 것이 있나요?</t>
  </si>
  <si>
    <t>반복적·악성 민원(반복특이 민원) 발생 시, 공무원이 따라야 하는 대응 매뉴얼은 무엇이며, 민원처리 담당자를 보호하기 위한 지원 제도에는 어떤 것들이 있나요?</t>
  </si>
  <si>
    <r>
      <rPr>
        <rFont val="Malgun Gothic"/>
        <color theme="1"/>
        <sz val="11.0"/>
      </rP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rFont val="Tahoma"/>
        <color theme="1"/>
        <sz val="11.0"/>
      </rPr>
      <t>‧</t>
    </r>
    <r>
      <rPr>
        <rFont val="맑은 고딕"/>
        <color theme="1"/>
        <sz val="11.0"/>
      </rPr>
      <t>운영, 녹음전화 설치, 민원창구 투명 가림막 설치, 휴대용 영상</t>
    </r>
    <r>
      <rPr>
        <rFont val="Tahoma"/>
        <color theme="1"/>
        <sz val="11.0"/>
      </rPr>
      <t>‧</t>
    </r>
    <r>
      <rPr>
        <rFont val="맑은 고딕"/>
        <color theme="1"/>
        <sz val="11.0"/>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</si>
  <si>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</si>
  <si>
    <r>
      <rPr>
        <rFont val="Malgun Gothic"/>
        <color theme="1"/>
        <sz val="11.0"/>
      </rPr>
      <t>근거 문서는 2번째 파일로 하면 됩니다.
아래 답변은 대제목, 소제목 위주로 그냥 복사해놓긴 했는데
AI 요약이 잘되면 더 간단하게라도 가능할거 같습니다.
기대답변 : 
1. 특이민원 예방</t>
    </r>
    <r>
      <rPr>
        <rFont val="Tahoma"/>
        <color theme="1"/>
        <sz val="11.0"/>
      </rPr>
      <t>‧</t>
    </r>
    <r>
      <rPr>
        <rFont val="맑은 고딕"/>
        <color theme="1"/>
        <sz val="11.0"/>
      </rPr>
      <t>차단 조치
 - 민원 통화, 면담 등 전체 녹음
  ▷ 민원 통화 전체 녹음
  ▷ 통화 연결음 보급  
  ▷ 방문 민원상담 내용 전체 녹음</t>
    </r>
    <r>
      <rPr>
        <rFont val="Tahoma"/>
        <color theme="1"/>
        <sz val="11.0"/>
      </rPr>
      <t>․</t>
    </r>
    <r>
      <rPr>
        <rFont val="맑은 고딕"/>
        <color theme="1"/>
        <sz val="11.0"/>
      </rPr>
      <t>녹화
  ▷ 전화</t>
    </r>
    <r>
      <rPr>
        <rFont val="Tahoma"/>
        <color theme="1"/>
        <sz val="11.0"/>
      </rPr>
      <t>‧</t>
    </r>
    <r>
      <rPr>
        <rFont val="맑은 고딕"/>
        <color theme="1"/>
        <sz val="11.0"/>
      </rPr>
      <t>구술은 기타 민원에 한해 가능
 - 민원 상담 종료 및 제한 조치
  ▷ 장시간</t>
    </r>
    <r>
      <rPr>
        <rFont val="Tahoma"/>
        <color theme="1"/>
        <sz val="11.0"/>
      </rPr>
      <t>‧</t>
    </r>
    <r>
      <rPr>
        <rFont val="맑은 고딕"/>
        <color theme="1"/>
        <sz val="11.0"/>
      </rPr>
      <t>반복</t>
    </r>
    <r>
      <rPr>
        <rFont val="Noto Sans KR"/>
        <color theme="1"/>
        <sz val="11.0"/>
      </rPr>
      <t>‧</t>
    </r>
    <r>
      <rPr>
        <rFont val="맑은 고딕"/>
        <color theme="1"/>
        <sz val="11.0"/>
      </rPr>
      <t>폭언 민원 상담 시 종료
  ▷ 출입 제한</t>
    </r>
    <r>
      <rPr>
        <rFont val="Tahoma"/>
        <color theme="1"/>
        <sz val="11.0"/>
      </rPr>
      <t>‧</t>
    </r>
    <r>
      <rPr>
        <rFont val="맑은 고딕"/>
        <color theme="1"/>
        <sz val="11.0"/>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rFont val="Tahoma"/>
        <color theme="1"/>
        <sz val="11.0"/>
      </rPr>
      <t>‧</t>
    </r>
    <r>
      <rPr>
        <rFont val="맑은 고딕"/>
        <color theme="1"/>
        <sz val="11.0"/>
      </rPr>
      <t>주민센터 등은 폭언</t>
    </r>
    <r>
      <rPr>
        <rFont val="Tahoma"/>
        <color theme="1"/>
        <sz val="11.0"/>
      </rPr>
      <t>․</t>
    </r>
    <r>
      <rPr>
        <rFont val="맑은 고딕"/>
        <color theme="1"/>
        <sz val="11.0"/>
      </rPr>
      <t>폭행 등 상황 대비 직원별 역할을 부여한 비상대응팀(반) 구성</t>
    </r>
    <r>
      <rPr>
        <rFont val="Tahoma"/>
        <color theme="1"/>
        <sz val="11.0"/>
      </rPr>
      <t>․</t>
    </r>
    <r>
      <rPr>
        <rFont val="맑은 고딕"/>
        <color theme="1"/>
        <sz val="11.0"/>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rFont val="Tahoma"/>
        <color theme="1"/>
        <sz val="11.0"/>
      </rPr>
      <t>‧</t>
    </r>
    <r>
      <rPr>
        <rFont val="맑은 고딕"/>
        <color theme="1"/>
        <sz val="11.0"/>
      </rPr>
      <t>보직 배려) 인사고충 상담을 정례화하고, 민원업무 순환 보직, 민원담당자 인사가점 부여, 희망보직 배려 등 인사 배려
  ▷ (휴식공간</t>
    </r>
    <r>
      <rPr>
        <rFont val="Tahoma"/>
        <color theme="1"/>
        <sz val="11.0"/>
      </rPr>
      <t>‧</t>
    </r>
    <r>
      <rPr>
        <rFont val="맑은 고딕"/>
        <color theme="1"/>
        <sz val="11.0"/>
      </rPr>
      <t>시간) 민원실(부서)과 분리된 장소에 휴식공간을 마련하고, 폭언</t>
    </r>
    <r>
      <rPr>
        <rFont val="Tahoma"/>
        <color theme="1"/>
        <sz val="11.0"/>
      </rPr>
      <t>‧</t>
    </r>
    <r>
      <rPr>
        <rFont val="맑은 고딕"/>
        <color theme="1"/>
        <sz val="11.0"/>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</si>
  <si>
    <t>1. 특이민원 예방‧차단 조치
  - 민원 통화, 면담 등 전체 녹음
  ▷ 민원 통화 전체 녹음
  ▷ 통화 연결음 보급 
  ▷ 방문 민원상담 내용 전체 녹음․녹화
  ▷ 전화‧구술은 기타 민원에 한해 가능
  - 민원 상담 종료 및 제한 조치
  ▷ 장시간‧반복‧폭언 민원 상담 시 종료
  ▷ 출입 제한‧퇴거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</si>
  <si>
    <t>19, 44</t>
  </si>
  <si>
    <t>[p.19]
 민원담당자 권익보호를 위해 필요한 사항에 대한 조례 제정ㆍ운영 &lt; 주요 내용 &gt;
 ▪(기관장의 책무) 민원담당자 보호를 위한 지원시책을 마련하여 적극 시행 ▪(지원사항) 민원인의 위법행위로 인한 신체적‧정신적 피해의 예방이나 치유에 대한 지원
 ※ 심리상담, 의료비, 휴식시간‧공간, 법적대응 지원, 교육‧연수, 업무조정, 전보 등 인사조치 ▪(안전한 근무환경 마련 등) 안전시설‧장비 등의 확충1), 근무여건 개선2) 방안 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[p.44]
 제7조(안전한 근무환경 마련 및 근무여건 개선 등) ① 시도지사(시장‧군수‧구청장)는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구성‧운영
 4. 녹음전화 설치
 5. 민원창구 투명 가림막(안전유리) 설치
 6. 민원 처리 담당자 보호 조치 ARS 음성안내(착신 전 폭언·폭행방지, 상호존중 문화 조성을 위한 안내멘트, 욕설‧협박‧성희롱 시 경고‧상담종료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시설‧장비 설치
 ② 시도지사(시장‧군수‧구청장)는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</si>
  <si>
    <t>반복특이(악성) 민원 대응 매뉴얼 내용, 민원처리 담당자 보호지원 제도 및 서비스</t>
  </si>
  <si>
    <t>업무 관련 소송에 발생하게 되면 부산시에서 법률 지원을 받을 수 있는 방법 및 절차가 어떻게 되나요?</t>
  </si>
  <si>
    <t>업무 수행 중 소송이 제기되었을 때, 부산시 공무원이 받을 수 있는 법률 지원의 종류는 무엇이며, 해당 지원을 신청하기 위한 절차는 어떻게 되나요?</t>
  </si>
  <si>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</si>
  <si>
    <t>ㆍ82200_2023_부산광역시_규제혁신_적극행정_우수사례집.pdf (p.36)
https://busanai.busan.go.kr/download/82200_2023_부산광역시_규제혁신_적극행정_우수사례집.pdf</t>
  </si>
  <si>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</si>
  <si>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</si>
  <si>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950_페이지95_문서10_163810_부산광역시_소송사무_처리_규칙.pdf</t>
  </si>
  <si>
    <t>4, 5</t>
  </si>
  <si>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</si>
  <si>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부산시 공무원 업무 관련 소송 시 법률 지원 제도 안내</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</si>
  <si>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</si>
  <si>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DRM 암호 초기화는 어떻게 하나요?</t>
  </si>
  <si>
    <t>DRM 시스템에서 암호를 분실하거나 로그인 오류가 반복될 때, 비밀번호 초기화를 요청하고 재설정하는 절차는 어떻게 되나요?</t>
  </si>
  <si>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</si>
  <si>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</si>
  <si>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</si>
  <si>
    <t>시청사 직원차량 주차등록은 어떻게 하나요?</t>
  </si>
  <si>
    <t>시청사 직원 차량을 주차 등록하려면 어떤 절차와 승인 과정을 거쳐야 하나요?</t>
  </si>
  <si>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</si>
  <si>
    <t>자차로 관외출장 나갔을 시 여비 지급은 어떻게 하나요?</t>
  </si>
  <si>
    <t>자차를 이용해 관외출장을 수행한 경우, 여비 산정 기준과 지급 절차는 어떻게 되나요?</t>
  </si>
  <si>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</si>
  <si>
    <t xml:space="preserve">ㆍ241_2025_인구정책담당관_업무매뉴얼_여성가족부_2025년_가족사업안내_1권.pdf (p.45)
https://busanai.busan.go.kr/download/241_2025_인구정책담당관_업무매뉴얼_여성가족부_2025년_가족사업안내_1권.pdf </t>
  </si>
  <si>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</si>
  <si>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</si>
  <si>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1226_2025_공무원보수_등의_업무지침인사혁신처_예규_제192호.pdf</t>
  </si>
  <si>
    <t>604, 605</t>
  </si>
  <si>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‘차량･선박 또는 항공기’ 등을 이용하여 여행하는 경우에는 운임을
 지급하지 아니한다. 단, 주차비, 고속도로 통행료, 항만 이용료, 공항 이용료 등은
 지급한다.</t>
  </si>
  <si>
    <t>자차 관외 출장 시 여비지급 안내</t>
  </si>
  <si>
    <t>휴직 신청 절차 및 행정처리 방법은?</t>
  </si>
  <si>
    <t>지방공무원이 휴직을 신청할 때 휴직 종류별로 신청 절차와 필요 서류, 처리 기간, 유의사항 등 행정 처리 방법에 대해 알려주세요</t>
  </si>
  <si>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</si>
  <si>
    <t>관련 내용에 대한 근거문서가 없습니다.
기대답변 : 
OO에 대한 관련 문서가 없습니다.
자세한 사항은 관련 부서나 업무 담당자에게 문의하시기 바랍니다.</t>
  </si>
  <si>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</si>
  <si>
    <t>22, 23, 24, 25</t>
  </si>
  <si>
    <t>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t>
  </si>
  <si>
    <t>휴직 신청 절차, 휴직 신청 행정처리 방법 안내</t>
  </si>
  <si>
    <t>올해 달라진 보수제도는 어떤게 있나요?</t>
  </si>
  <si>
    <t>작년과 비교해서 올해 달라진 지방공무원 보수제도(수당, 지급 기준, 근거 규정 등)에 대해 알려주세요</t>
  </si>
  <si>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</si>
  <si>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</si>
  <si>
    <t>위탁교육 관련 복무사항은 어떻게 처리하나요?</t>
  </si>
  <si>
    <t>지방공무원이 위탁교육에 참여할 경우, 출석, 근무시간 인정, 휴가 처리 등 복무사항은 처리해야 하나요?</t>
  </si>
  <si>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</si>
  <si>
    <t>ㆍ264_2401_인사과_법령_행정안전부_지방공무원_인사관계_법령집.pdf (p.397)
https://busanai.busan.go.kr/download/264_2401_인사과_법령_행정안전부_지방공무원_인사관계_법령집.pdf</t>
  </si>
  <si>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</si>
  <si>
    <t>미답변 처리
 문서상에서 확인 불가하므로 미답변 처리</t>
  </si>
  <si>
    <r>
      <rPr>
        <rFont val="맑은 고딕"/>
        <b/>
        <color theme="1"/>
        <sz val="11.0"/>
      </rPr>
      <t>1220_관내교육파견신청_매뉴얼.pdf</t>
    </r>
    <r>
      <rPr>
        <rFont val="맑은 고딕"/>
        <color theme="1"/>
        <sz val="11.0"/>
      </rPr>
      <t xml:space="preserve">
-----
</t>
    </r>
    <r>
      <rPr>
        <rFont val="맑은 고딕"/>
        <color rgb="FFFF0000"/>
        <sz val="11.0"/>
      </rPr>
      <t>[위탁교육관련 복무사항을 찾을 수 없으며 대부분 이미지로 되어 있어 문서 인식이 불가한 상황임]</t>
    </r>
  </si>
  <si>
    <t>비전자기록물 편철·정리 방법은?</t>
  </si>
  <si>
    <t>비전자기록물의 편철 기준, 정리 절차, 편철 시 유의해야 할 사항은 무엇인가요?</t>
  </si>
  <si>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</si>
  <si>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</si>
  <si>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</si>
  <si>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423_2012_통합민원과_업무메뉴얼_통합민원과_비전자기록물_편철정리_요령.pdf</t>
  </si>
  <si>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</si>
  <si>
    <t>비전자기록물 편철.정리 방법 안내</t>
  </si>
  <si>
    <t>차량배차 협조 요청 절차 및 처리 방법은?</t>
  </si>
  <si>
    <t>차량 배차를 요청할 때 필요한 절차와 신청 방법은 무엇인가요?</t>
  </si>
  <si>
    <t xml:space="preserve">질문하신 내용에 대해서는 참고할 만한 자료를 찾지 못했습니다. 관련 부서나 업무 담당자에게 문의해 주시기 바랍니다. </t>
  </si>
  <si>
    <t>해당 질문에 대한 근거문서가 없습니다.
기대답변 : 
OO에 대한 관련 문서가 없습니다.
자세한 사항은 관련 부서나 업무 담당자에게 문의하시기 바랍니다.</t>
  </si>
  <si>
    <t>공용차랑 신청방법 안내, 공용 차량 신청 및 배차 방법 안내, 차량 배차 협조 요청 절차 및 처리 방법 안내</t>
  </si>
  <si>
    <t>시청사 현수막 설치 요청 절차 및 처리 방법은?</t>
  </si>
  <si>
    <t>부산시청 청사에 현수막 설치를 요청할 때 필요한 신청 절차 등 처리 방식은 무엇인가요?</t>
  </si>
  <si>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</si>
  <si>
    <t>제가 못찾은건지 해당 질문에 대한 근거문서가 없습니다.
기대답변 : 
OO에 대한 관련 문서가 없습니다.
자세한 사항은 관련 부서나 업무 담당자에게 문의하시기 바랍니다.</t>
  </si>
  <si>
    <t>PC교체로 인한 행정전자서명 이동 방법은?</t>
  </si>
  <si>
    <t>PC 교체 시 행정전자서명 인증서를 새로운 PC로 이동하는 방법은 무엇인가요?</t>
  </si>
  <si>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</si>
  <si>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</si>
  <si>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문서 암호화 해제는 어떻게 하나요?</t>
  </si>
  <si>
    <t>문서가 DRM 또는 비밀번호로 암호화되어 열리지 않을 때, 암호 해제 방법과 담당 부서에 요청해야 하는 절차는 어떻게 되나요?</t>
  </si>
  <si>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</si>
  <si>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</si>
  <si>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</si>
  <si>
    <t>문서 암호화 해제 방법
 1. 컴퓨터 우측하단(시계 있는 부분) 트레이 아이콘(숨겨진 아이콘)에서 F 또는 자물쇠 표시 우클릭
 2. 자료반출관리시스템 클릭
 3. 신규 신청
 4. 암호화 해제 체크 후 확인
 5. 자료 업로드 후 신청
 6. 완료 탭 이동 후 암호화 해제된 문서 다운로드</t>
  </si>
  <si>
    <t>9</t>
  </si>
  <si>
    <r>
      <rPr>
        <rFont val="&quot;Malgun Gothic&quot;"/>
        <color rgb="FF000000"/>
        <sz val="11.0"/>
      </rPr>
      <t xml:space="preserve">9. 자료유출방지시스템(DRM) 문서 암호화 해제 방법
  컴퓨터 우측하단(시계 있는 부분) 트레이 아이콘(숨겨진 아이콘)에서 F 또는 자물쇠 표시 우클릭 - 자료반출관리시스템 클릭 - 신규 신청 - 암호화 해제 체크 후 확인 - 자료 업로드 후 신청 - 완료 탭 이동 후 암호화 해제된 문서 다운로드
</t>
    </r>
    <r>
      <rPr>
        <rFont val="&quot;Malgun Gothic&quot;"/>
        <color rgb="FF1155CC"/>
        <sz val="11.0"/>
        <u/>
      </rPr>
      <t>http://99.1.1.29/resources/xf/portal/table.html#question4-8</t>
    </r>
  </si>
  <si>
    <r>
      <rPr>
        <rFont val="맑은 고딕"/>
        <b/>
        <color theme="1"/>
        <sz val="11.0"/>
      </rPr>
      <t>370_2503_정보화정책과_업무매뉴얼_정보화정책과_사용자_매뉴얼자료유출방지시스템_고도화_버전_DRM_v50.pdf[10, 11, 12, 13]</t>
    </r>
    <r>
      <rPr>
        <rFont val="맑은 고딕"/>
        <color theme="1"/>
        <sz val="11.0"/>
      </rPr>
      <t xml:space="preserve">
-----
</t>
    </r>
    <r>
      <rPr>
        <rFont val="맑은 고딕"/>
        <color rgb="FFFF0000"/>
        <sz val="11.0"/>
      </rPr>
      <t>[파일 이미지화 - 제목 부분이 이미지화 되어 아래처럼 파악하기가 어려운 상태]</t>
    </r>
    <r>
      <rPr>
        <rFont val="맑은 고딕"/>
        <color theme="1"/>
        <sz val="11.0"/>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</si>
  <si>
    <t>관내출장 여비 지급기준은 어떻게 되나요?</t>
  </si>
  <si>
    <t>관내출장 시 여비는 어떤 기준에 따라 지급되며, 소요시간·이동거리·교통수단에 따른 지급 요건은 어떻게 되나요?</t>
  </si>
  <si>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</si>
  <si>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</si>
  <si>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</si>
  <si>
    <t>1. 4시간 미만 : 1만원
 2. 4시간 초과 : 2만원
  - 전용 차량 배정자 : 미지급
  - 공무용 차량 이용시 1만원 감액</t>
  </si>
  <si>
    <t>1229_공무원_여비_규정대통령령제35811호20251001.pdf</t>
  </si>
  <si>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</si>
  <si>
    <t>관내출장 여비 지급 기준 안내</t>
  </si>
  <si>
    <t>실물/모바일 공무원증은 어떻게 발급받나요?</t>
  </si>
  <si>
    <t>실물 공무원증과 모바일 공무원증은 각각 어떤 절차로 발급받을 수 있나요?</t>
  </si>
  <si>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</si>
  <si>
    <t>ㆍ1156_페이지116_문서6_164218_부산광역시_공무원증_규정.pdf (p.1)
https://busanai.busan.go.kr/download/1156_페이지116_문서6_164218_부산광역시_공무원증_규정.pdf</t>
  </si>
  <si>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</si>
  <si>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 xml:space="preserve">모바일 공무원증은 어떻게 활용할 수 있나요? </t>
  </si>
  <si>
    <t>모바일 공무원증으로 어떤 업무를 처리할 수 있으며, 활용 가능한 기능은 무엇인가요?</t>
  </si>
  <si>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</si>
  <si>
    <t>모바일 공무원증으로 청사출입은 현재 불가능합니다.
 자세한 사항은 관련부서나 업무 담당자에게 문의하시기 바랍니다.</t>
  </si>
  <si>
    <t>장기재직휴가는 어떻게 신청하나요?</t>
  </si>
  <si>
    <t>장기재직휴가의 휴가 등록 및 사용 신청 절차는 어떻게 진행되나요?</t>
  </si>
  <si>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</si>
  <si>
    <t>ㆍ284_2501_인사과_기타_인사과_2025년_직원_장기재직휴가_지원_계획.pdf (p.3)
https://busanai.busan.go.kr/download/284_2501_인사과_기타_인사과_2025년_직원_장기재직휴가_지원_계획.pdf</t>
  </si>
  <si>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</si>
  <si>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</si>
  <si>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경조사별 휴가일수를 알려주세요</t>
  </si>
  <si>
    <t>각 경조사 유형별로 부여되는 휴가 일수와 적용 기준은 어떻게 되나요?</t>
  </si>
  <si>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</si>
  <si>
    <t>ㆍ264_2401_인사과_법령_행정안전부_지방공무원_인사관계_법령집.pdf (p.418)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</si>
  <si>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</si>
  <si>
    <t>기대답변 수정했습니다.
 경조사별 휴가에 대한 문의였는데 특별휴가(경조사, 장기재작휴가, 임신휴가, 사산휴가 등)에 대한 답으로 나와서 내용이 너무 많은거 같아
 특별휴가 중에 경조사별 휴가에 대한 사항만 따로 답변 생성했습니다.
 경조사별 휴가의 경우 지방공무원_복무규정대통령령에도 나와있지만 부산시 조례에도 해당 내용이 있어서 답변 생성에 오류가 발생할 가능성이 높습니다.
 답변 근거는 예전에 말씀드렸다시피 부산시 규정 우선 &gt; 지방공무원 규정 &gt; 중앙부처(국가공무원) 순서입니다.
 기대답변 :
 경조사별 휴가일수표(제15조제1항 관련)
 1. 결 혼
  - 본인 : 5일
  - 자녀 : 1일
 2. 출 산
  - 배우자 : 10일(한 번에 둘 이상의 자녀를 출산한 경우에는 15일)
 3. 입 양
  - 본인 : 20일
  *비고 : 입양은 「입양촉진 및 절차에 관한 특례법」에 따른 입양에 한정하며, 입양 외의 경조사 휴가를 실시할 때 원격지일 경우에는 실제 필요한 왕복소요일수를 가산할 수 있다.
 4. 사 망
  - 배우자, 본인 및 배우자의 부모 : 5일
  - 본인 및 배우자의 조부모․외조부모 : 3일
  - 자녀와 그 자녀의 배우자 : 3일
  - 본인 및 배우자의 형제자매와 그 형제자매의 배우자 : 3일
  - 본인 및 배우자의 부모의 형제자매와 그 형제자매의 배우자 : 1일</t>
  </si>
  <si>
    <t>1291_162355_부산광역시의회_공무원_복무_조례_별표_3_경조사별_휴가일수표제15조제1항_관련.pdf</t>
  </si>
  <si>
    <t>경조사별 휴가 종류 및 휴가 일수 안내, 복무 규정에 따른 연가, 병가, 특별휴가 등의 종류 및 일수 안내, 공무원 경조사별 휴가 일수 안내</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</si>
  <si>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</si>
  <si>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</si>
  <si>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 xml:space="preserve">기록물은 어떻게 정리하나요? </t>
  </si>
  <si>
    <t>부서에서 생산·접수한 기록물을 보존기간별로 분류하고 편철·정리할 때 필요한 절차와 준수해야 할 기준은 무엇인가요?</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</si>
  <si>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</si>
  <si>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</si>
  <si>
    <t>공통업무 질문이기는 하지만
총괄담당자의 질문도 포함된다고 하면
해당 내용으로 답변이 괜찮을 것 같습니다.</t>
  </si>
  <si>
    <t>13~47P 본문 내용을 텍스트 파일로 변환 후 범정부 클로바 활용에 질의문+텍스트파일 포함해서 생성된 답변으로 기대답변 생성하면 될 거 같습니다
 기대답변 :
 기록물 정리 단계별 절차 안내
 1. 생산·등록
  - 관련 법령: 「공공기록물 관리에 관한 법률」 제16조, 제18조 등
  - 관리 대상: 공문서, 회의록, 행정박물 등 모든 형태의 기록물
  - 등록 시기:
  &gt; 결재문서: 결재 완료 후 즉시 등록
  &gt; 사진·필름: 선정된 보존 대상물만 등록
  &gt; 전자문서: 첨부파일 암호화 금지, 공개 여부 설정 필수
  - 등록번호 표기: 생산문서는 좌측 상단, 접수문서는 우측 상단에 표기
  - 분리등록: 본문과 첨부물이 다른 기록매체일 경우 분리해 관리 (예: 일반문서 + 도면)
 2. 분류·편철
  - 분류 기준:
  &gt; 공개여부: 공개/부분공개/비공개/열람불가로 구분
  &gt; 보존기간: 1년~30년, 준영구, 영구 중 법령·업무 중요도에 따라 책정
  - 기록관리기준표: 단위과제별 보존기간·공개여부를 체계화해 관리
  - 편철 방식:
  &gt; 기록물철 → 색인목록 → 문서 순으로 편철
  &gt; 1개 과제카드는 1개의 편철 묶음으로 관리
  &gt; 100매 이내 원칙 (초과 시 분철)
 3. 정리·이관
  - 정리 시기: 매년 2월 말까지 전년도 기록물 정리
  - 절차:
  &gt; 등록정보와 실제 기록물 일치 확인
  &gt; 보존상자에 연도별/보존기간별 분류
  &gt; 기록물철 표지·색인목록 첨부 후 편철용 집게로 고정
  - 이관 대상:
  &gt; 일반문서: 보존기간 기산일로부터 2년 내 이관
  &gt; 특수 기록물: 별도 계획에 따라 이관
 4. 평가·폐기
  - 평가 의미: 보존기간 경과 후 행정적·역사적 가치를 재검토해 보존기간 재책정 또는 폐기 결정
  - 폐기 절차:
  &gt; 처리과 의견 조회 → 기록관 심사 → 기록물평가심의회 심의
  &gt; 파쇄 등 방식으로 처리 (민간업체 위탁 시 공무원 입회 감독)
  - 주의사항:
  &gt; 처리과에서 임의 폐기 시 7년 이하 징역 또는 3,000만 원 이하 벌금
  &gt; 영구기록물은 평가 대상에서 제외
 5. 유의사항
  - 전자문서 관리: 온나라시스템에서 등록 후 기록관리시스템에도 이관
  - 보존기간 재책정: 평가 시 하향 조정은 불가
  - 기록물 철별 관리: 분철 시 권호수 표기 필수 (예: "기록물철 1-2")</t>
  </si>
  <si>
    <t>34</t>
  </si>
  <si>
    <t>2. 기록물 정리 및 이관 내용으로만 답변
전년도에 생산ㆍ접수가 완결된 기록물을 대상으로 생산현황보고에 앞서 등록사항과 실제 기록물 상태의
일치여부 확인 및 물리적인 정리 실시
• 각 처리과에서 전년도 기록물의 정리는 2월말까지 추진
• 등록정보와 실제 기록물 상태의 일치여부 확인 및 미비사항 보완
• 접근권한, 공개여부, 비밀여부 확인 후 변경이 필요한 경우 등록정보 수정
• 생산등록번호 또는 접수등록번호 표시여부 확인 및 누락된 경우 등록번호 표기
• 전자적 형태로 생산되지 않은 기록물의 경우 기록물철 단위 면표시 표기
• 기록물철을 생산연도별ㆍ보존기간별로 구분하여 보존상자 편성
이관계획에 따라 정리된 기록물 이관 처리
① 처리과 → 기록관 이관 [오프라인 이관]
• 비전자 일반문서 : 보존기간 기산일로부터 2년 이내 이관
• 일바문서 외 비전자기록물 : 별도 이관계획에 따라 이관
② 온나라시스템 → 기록관리시스템 이관 [온라인 이관]
• 온나라시스템으로 생산ㆍ접수한 전년도 기록물
- 전자기록물(등록정보+전자문서) 및 비전자기록물(등록정보)</t>
  </si>
  <si>
    <t>(정답 포함됨. 4순위)</t>
  </si>
  <si>
    <r>
      <rPr>
        <rFont val="맑은 고딕"/>
        <b/>
        <color rgb="FF000000"/>
        <sz val="11.0"/>
      </rPr>
      <t>ㆍ423_2012_통합민원과_업무메뉴얼_통합민원과_비전자기록물_편철정리_요령.pdf (p.1)</t>
    </r>
    <r>
      <rPr>
        <rFont val="맑은 고딕"/>
        <color rgb="FF000000"/>
        <sz val="11.0"/>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rFont val="Segoe UI Symbol"/>
        <color rgb="FF000000"/>
        <sz val="11.0"/>
      </rPr>
      <t>➡</t>
    </r>
    <r>
      <rPr>
        <rFont val="맑은 고딕"/>
        <color rgb="FF000000"/>
        <sz val="11.0"/>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rFont val="Segoe UI Symbol"/>
        <color rgb="FF000000"/>
        <sz val="11.0"/>
      </rPr>
      <t>▪</t>
    </r>
    <r>
      <rPr>
        <rFont val="맑은 고딕"/>
        <color rgb="FF000000"/>
        <sz val="11.0"/>
      </rPr>
      <t xml:space="preserve"> 기록물 건별 면표시 : 중앙 하단, 전체 쪽수 - 해당 쪽수
</t>
    </r>
    <r>
      <rPr>
        <rFont val="Segoe UI Symbol"/>
        <color rgb="FF000000"/>
        <sz val="11.0"/>
      </rPr>
      <t>▪</t>
    </r>
    <r>
      <rPr>
        <rFont val="맑은 고딕"/>
        <color rgb="FF000000"/>
        <sz val="11.0"/>
      </rPr>
      <t xml:space="preserve"> 기록물 철별 면표시 : 우측 하단(기록물을 보는 방향의 우측 하단)</t>
    </r>
  </si>
  <si>
    <r>
      <rPr>
        <rFont val="맑은 고딕"/>
        <b/>
        <color rgb="FF000000"/>
        <sz val="11.0"/>
      </rPr>
      <t>ㆍ432_2412_통합민원과_업무메뉴얼_국가기록원_25년_기록물관리_지침.pdf (p.37)</t>
    </r>
    <r>
      <rPr>
        <rFont val="맑은 고딕"/>
        <color rgb="FF000000"/>
        <sz val="11.0"/>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</si>
  <si>
    <t xml:space="preserve">기록물의 보존기간을 업무별로 알려주세요 </t>
  </si>
  <si>
    <t>기록물의 보존기간이 업무 유형별로 어떻게 구분되고, 각 업무별로 적용되는 보존기간은 얼마인가요?</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</si>
  <si>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</si>
  <si>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ㆍ432_2412_통합민원과_업무메뉴얼_국가기록원_25년_기록물관리_지침.pdf (p.18, 141, 238)
https://busanai.busan.go.kr/download/432_2412_통합민원과_업무메뉴얼_국가기록원_25년_기록물관리_지침.pdf</t>
  </si>
  <si>
    <t>이상없습니다</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</si>
  <si>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</si>
  <si>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236, 237, 238</t>
  </si>
  <si>
    <t>p.236 ~ p.238에 있는 표 데이터 사용</t>
  </si>
  <si>
    <t>업무별 기록물 보존기간에 대한 설명</t>
  </si>
  <si>
    <t>공무원이 의무로 이수하여야 하는 교육이 무엇인가요?</t>
  </si>
  <si>
    <t>공무원이 법령상 반드시 이수해야 하는 의무교육의 종류와 부서별로 적용되는 세부 교육 항목은 무엇인가요?</t>
  </si>
  <si>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</si>
  <si>
    <t>ㆍ463_2501_환경정책과_정책용역보고서_환경정책과_빛공해방지계획최종보고서.pdf (p.207, 209)
https://busanai.busan.go.kr/download/463_2501_환경정책과_정책용역보고서_환경정책과_빛공해방지계획최종보고서.pdf</t>
  </si>
  <si>
    <t>부산시청 내 회의장의 수용가능인원을 알려주세요</t>
  </si>
  <si>
    <t>부산시청에서 운영 중인 각 회의실별 정원(수용 가능 인원)을 확인할 수 있나요?</t>
  </si>
  <si>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</si>
  <si>
    <t>1281_게시판_시청사_회의장회의실_현황-hwp.pdf</t>
  </si>
  <si>
    <t>본문 표 내용 참조</t>
  </si>
  <si>
    <t>부산시청 회의장 수용가능인원 안내, 부산시청 회의장 예약방법 안내</t>
  </si>
  <si>
    <t>물품·용역 계약 시 일반적인 절차와 유의사항은 무엇인가요?</t>
  </si>
  <si>
    <t>물품·용역 계약을 추진할 때, 담당자가 반드시 따라야 하는 절차와 단계별로 확인해야 할 유의사항은 무엇인가요?</t>
  </si>
  <si>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</si>
  <si>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</si>
  <si>
    <r>
      <rPr>
        <rFont val="Malgun Gothic"/>
        <color theme="1"/>
        <sz val="11.0"/>
      </rP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rFont val="Tahoma"/>
        <color theme="1"/>
        <sz val="11.0"/>
      </rPr>
      <t>․</t>
    </r>
    <r>
      <rPr>
        <rFont val="맑은 고딕"/>
        <color theme="1"/>
        <sz val="11.0"/>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</si>
  <si>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</si>
  <si>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</si>
  <si>
    <t>9, 10, 11, 12
18~25
20~26</t>
  </si>
  <si>
    <r>
      <rPr>
        <rFont val="Malgun Gothic"/>
        <color theme="1"/>
        <sz val="11.0"/>
      </rPr>
      <t xml:space="preserve">계약절차 - 계약집행 흐름도 본문 전체
유의사항 - 계약 시 유의사항 본문 전체
유의사항 - 계약 시 유의사항 본문 전체 
----------
</t>
    </r>
    <r>
      <rPr>
        <rFont val="Arial"/>
        <color rgb="FF0432FF"/>
        <sz val="11.0"/>
      </rPr>
      <t>[Top5 내에 포함될 수 있도록 문서 수량 조정 필요]</t>
    </r>
    <r>
      <rPr>
        <rFont val="Arial"/>
        <color theme="1"/>
        <sz val="11.0"/>
      </rPr>
      <t xml:space="preserve">
</t>
    </r>
    <r>
      <rPr>
        <rFont val="Arial"/>
        <color rgb="FF00B050"/>
        <sz val="11.0"/>
      </rPr>
      <t xml:space="preserve">&gt;&gt; 계약 절차에 대한 내용은 전체 검색, 유의사항은 각 문서의 목록만 확인(예: 제1장 계약일반 제5절 계약 유의사항)해서 관련 페이지 전달 등으로 대체 가능한지 확인 바랍니다.
</t>
    </r>
    <r>
      <rPr>
        <rFont val="Malgun Gothic"/>
        <color rgb="FFFF0000"/>
        <sz val="11.0"/>
      </rPr>
      <t xml:space="preserve">&gt;&gt; 위의 내용을 반영해 파일과 링크를 안내하는 FAQ를 별도 작성하는게 좋을것 같습니다. 
</t>
    </r>
    <r>
      <rPr>
        <rFont val="Malgun Gothic"/>
        <color rgb="FF00B050"/>
        <sz val="11.0"/>
      </rPr>
      <t>&gt;&gt; FAQ 처리</t>
    </r>
  </si>
  <si>
    <r>
      <rPr>
        <rFont val="Malgun Gothic"/>
        <color rgb="FF000000"/>
        <sz val="11.0"/>
      </rPr>
      <t xml:space="preserve">473_2411_회계재산담당관_업무매뉴얼_한국지방재정공제회_2024년_개정판_용역계약_길라잡이한국지방재정공제회.pdf (p.19)
------
[p.19]
나. 분할발주를 하지 않는 경우 예정가격 작성 시 유의사항
</t>
    </r>
    <r>
      <rPr>
        <rFont val="Segoe UI Symbol"/>
        <color rgb="FF000000"/>
        <sz val="11.0"/>
      </rPr>
      <t>❍</t>
    </r>
    <r>
      <rPr>
        <rFont val="맑은 고딕"/>
        <color rgb="FF000000"/>
        <sz val="11.0"/>
      </rPr>
      <t xml:space="preserve"> 예정가격 산정 시 설치비용 등 부수적인 목적물에 대한 비용의 누락 여부 확인 </t>
    </r>
    <r>
      <rPr>
        <rFont val="Segoe UI Symbol"/>
        <color rgb="FF000000"/>
        <sz val="11.0"/>
      </rPr>
      <t>❍</t>
    </r>
    <r>
      <rPr>
        <rFont val="맑은 고딕"/>
        <color rgb="FF000000"/>
        <sz val="11.0"/>
      </rPr>
      <t xml:space="preserve"> 공사가 혼재된 계약의 예정가격 산정 시 의무가입이 요구되는 보험료 및 환경보전비, 
폐기물처리비, 산업안전보건관리비 등을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제22조 제7항 등 관련 법령에서 정한 바에 따라 계상하였는지 여부
</t>
    </r>
    <r>
      <rPr>
        <rFont val="Segoe UI Symbol"/>
        <color rgb="FF000000"/>
        <sz val="11.0"/>
      </rPr>
      <t>❍</t>
    </r>
    <r>
      <rPr>
        <rFont val="맑은 고딕"/>
        <color rgb="FF000000"/>
        <sz val="11.0"/>
      </rPr>
      <t xml:space="preserve">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 등 공사 관련 법령에 따라 계약 목적물이 공사가 명백함에도 물품</t>
    </r>
    <r>
      <rPr>
        <rFont val="Noto Sans KR"/>
        <color rgb="FF000000"/>
        <sz val="11.0"/>
      </rPr>
      <t>･</t>
    </r>
    <r>
      <rPr>
        <rFont val="맑은 고딕"/>
        <color rgb="FF000000"/>
        <sz val="11.0"/>
      </rPr>
      <t>공사 또는 용역</t>
    </r>
    <r>
      <rPr>
        <rFont val="Noto Sans KR"/>
        <color rgb="FF000000"/>
        <sz val="11.0"/>
      </rPr>
      <t>･</t>
    </r>
    <r>
      <rPr>
        <rFont val="맑은 고딕"/>
        <color rgb="FF000000"/>
        <sz val="11.0"/>
      </rPr>
      <t xml:space="preserve">공사의 혼재된 계약으로 판단하여 물품 또는 용역으로 발주하지 않도록 주의
※ </t>
    </r>
    <r>
      <rPr>
        <rFont val="Noto Sans KR"/>
        <color rgb="FF000000"/>
        <sz val="11.0"/>
      </rPr>
      <t>｢</t>
    </r>
    <r>
      <rPr>
        <rFont val="맑은 고딕"/>
        <color rgb="FF000000"/>
        <sz val="11.0"/>
      </rPr>
      <t>지방계약법 시행령</t>
    </r>
    <r>
      <rPr>
        <rFont val="Noto Sans KR"/>
        <color rgb="FF000000"/>
        <sz val="11.0"/>
      </rPr>
      <t>｣</t>
    </r>
    <r>
      <rPr>
        <rFont val="맑은 고딕"/>
        <color rgb="FF000000"/>
        <sz val="11.0"/>
      </rPr>
      <t xml:space="preserve"> 제16조 제3항
계약의 특성상 물품과 용역을 통합 발주하는 것이 효율적이라고 판단되는 경우에는 물품과 용역을 한꺼번에 입찰에 부칠 수 있다.</t>
    </r>
  </si>
  <si>
    <r>
      <rPr>
        <rFont val="Malgun Gothic"/>
        <color rgb="FF000000"/>
        <sz val="11.0"/>
      </rP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에 따른 전기공사,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에 따른 통신공사, 
</t>
    </r>
    <r>
      <rPr>
        <rFont val="Noto Sans KR"/>
        <color rgb="FF000000"/>
        <sz val="11.0"/>
      </rPr>
      <t>｢</t>
    </r>
    <r>
      <rPr>
        <rFont val="맑은 고딕"/>
        <color rgb="FF000000"/>
        <sz val="11.0"/>
      </rPr>
      <t>소방시설공사업법</t>
    </r>
    <r>
      <rPr>
        <rFont val="Noto Sans KR"/>
        <color rgb="FF000000"/>
        <sz val="11.0"/>
      </rPr>
      <t>｣</t>
    </r>
    <r>
      <rPr>
        <rFont val="맑은 고딕"/>
        <color rgb="FF000000"/>
        <sz val="11.0"/>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</si>
  <si>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</si>
  <si>
    <t>공고문 게시 기간과 게시 방법에 대한 법적 기준은 어떻게 되나요?</t>
  </si>
  <si>
    <t>입찰공고를 게시할 때, 법령에서 정한 게시 기간과 게시해야 하는 방법은 무엇인가요?
 공고의 종류가 다양하고 고시공고, 입법예고, 채용공고 등은 관련 법령이 너무 광대하므로 질문을 입찰 공고로 제약하겠습니다.</t>
  </si>
  <si>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</si>
  <si>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t>기대답변 :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t>
  </si>
  <si>
    <t>입찰공고의 공고기간 내용 일체</t>
  </si>
  <si>
    <r>
      <rPr>
        <rFont val="Malgun Gothic"/>
        <color theme="1"/>
        <sz val="11.0"/>
      </rPr>
      <t xml:space="preserve">용역 계약 절차 상세 안내, 부서에서 회계과 계약요청 절차 안내, 입찰 공고문 게시 기간에 대한 법적 기준 안내, 입찰 공고문에 게시하는 방법 및 절차 안내
</t>
    </r>
    <r>
      <rPr>
        <rFont val="Malgun Gothic"/>
        <color rgb="FFFF0000"/>
        <sz val="11.0"/>
      </rPr>
      <t>질의문 변경 고려 (시작시 "입찰" 단어 추가)
&gt;&gt;&gt; 입찰 공고문 게시 기간과 게시 방법에 대한 법적 기준은 어떻게 되나요?</t>
    </r>
  </si>
  <si>
    <r>
      <rPr>
        <rFont val="맑은 고딕"/>
        <b/>
        <color theme="1"/>
        <sz val="11.0"/>
      </rPr>
      <t>467_2402_회계재산담당관_법령_법제처_지방자치단체를_당사자로_하는_계약에_관한_법률법률제19634호20240217.pdf[2]</t>
    </r>
    <r>
      <rPr>
        <rFont val="맑은 고딕"/>
        <color theme="1"/>
        <sz val="11.0"/>
      </rPr>
      <t xml:space="preserve">
-----
</t>
    </r>
    <r>
      <rPr>
        <rFont val="맑은 고딕"/>
        <color rgb="FFFF0000"/>
        <sz val="11.0"/>
      </rPr>
      <t xml:space="preserve">[답변불가]
"입찰공고 또는 통지의 방법·내용·시기, 그 밖에 필요한 사항은 대통령령으로 정한다"
게시 기간에 대해서는 찾을수 없음.
</t>
    </r>
    <r>
      <rPr>
        <rFont val="맑은 고딕"/>
        <color theme="1"/>
        <sz val="11.0"/>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</si>
  <si>
    <t>공무원 복무규정에 따른 연가, 병가, 특별휴가 등은 며칠인가요?</t>
  </si>
  <si>
    <t>공무원에게 부여되는 연가·병가·특별휴가의 종류별 법정 기준일수와 적용 요건은 어떻게 되나요?</t>
  </si>
  <si>
    <r>
      <rPr>
        <rFont val="Malgun Gothic"/>
        <color theme="1"/>
        <sz val="11.0"/>
      </rP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</si>
  <si>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기대답변 : 
 연가
 1개월 이상 1년 미만: 연가 11일
 1년 이상 2년 미만: 연가 12일
 2년 이상 3년 미만: 연가 14일
 3년 이상 4년 미만: 연가 15일
 4년 이상 5년 미만: 연가 17일
 5년 이상 6년 미만: 연가 20일
 6년 이상: 연가 21일
 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</si>
  <si>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</si>
  <si>
    <t>403, 404
45, 48
1</t>
  </si>
  <si>
    <r>
      <rPr>
        <rFont val="Malgun Gothic"/>
        <color theme="1"/>
        <sz val="11.0"/>
      </rPr>
      <t xml:space="preserve">연가 - 페이지 내용 전체
</t>
    </r>
    <r>
      <rPr>
        <rFont val="Arial"/>
        <color rgb="FF00B050"/>
        <sz val="11.0"/>
      </rPr>
      <t xml:space="preserve">병가 - (1) 병가의 종류별 내용 까지만 참조
</t>
    </r>
    <r>
      <rPr>
        <rFont val="Arial"/>
        <color rgb="FF0000FF"/>
        <sz val="11.0"/>
      </rPr>
      <t>45페이지 - (1) 병가의 종류별 내용
48페이지 - 라. 특별휴가</t>
    </r>
    <r>
      <rPr>
        <rFont val="Arial"/>
        <color theme="1"/>
        <sz val="11.0"/>
      </rPr>
      <t xml:space="preserve">
 표 내용 전체 참조 
</t>
    </r>
    <r>
      <rPr>
        <rFont val="Arial"/>
        <color rgb="FF0432FF"/>
        <sz val="11.0"/>
      </rPr>
      <t xml:space="preserve">
특별휴가 - &gt;&gt; 문서를 찾을 수 없음
</t>
    </r>
    <r>
      <rPr>
        <rFont val="Arial"/>
        <color rgb="FF00B050"/>
        <sz val="11.0"/>
      </rPr>
      <t xml:space="preserve"> &gt;&gt; 자치법규 부산광역시 공무원 복무 조례 제15조
 &gt;&gt; 경조사 휴가의 경우 자치법규 내 별표3 첨부파일 참조해서 생성
 &gt;&gt; 그 외 특별휴가는 지방공무원 복무에 관한 예규 2P의 차례 참조해서 생성(라. 특별휴가 --- 91)
</t>
    </r>
    <r>
      <rPr>
        <rFont val="Arial"/>
        <color theme="1"/>
        <sz val="11.0"/>
      </rPr>
      <t xml:space="preserve">
----------
</t>
    </r>
    <r>
      <rPr>
        <rFont val="Arial"/>
        <color rgb="FF0432FF"/>
        <sz val="11.0"/>
      </rPr>
      <t xml:space="preserve">
[Top5 내에 포함될 수 있도록 문서 수량 조정 필요]</t>
    </r>
  </si>
  <si>
    <r>
      <rPr>
        <rFont val="Malgun Gothic"/>
        <color theme="1"/>
        <sz val="11.0"/>
      </rPr>
      <t xml:space="preserve">(403페이지)
</t>
    </r>
    <r>
      <rPr>
        <rFont val="Malgun Gothic"/>
        <color rgb="FF0000FF"/>
        <sz val="11.0"/>
      </rPr>
      <t>(2순위 - 정답 문서 찾아옴 / 추가작업 X)</t>
    </r>
    <r>
      <rPr>
        <rFont val="Malgun Gothic"/>
        <color theme="1"/>
        <sz val="11.0"/>
      </rPr>
      <t xml:space="preserve">
(404페이지)
복무 규정에 따른 연가, 병가, 특별휴가 등의 종류 및 일수 안내
---
(45페이지)
특가(특별휴가)와 병가의 종류, 특별휴가와 병가 시 제출 서류 안내
(48페이지)
복무 규정에 따른 연가, 병가, 특별휴가 등의 종류 및 일수 안내
---
(1페이지)
경조사별 휴가 종류 및 휴가 일수 안내, 복무 규정에 따른 연가, 병가, 특별휴가 등의 종류 및 일수 안내, 공무원 경조사별 휴가 일수 안내</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</si>
  <si>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</si>
  <si>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</si>
  <si>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업무추진비 집행 시 사용 가능한 항목과 제한 사항은 무엇이며, 지출 시 필요한 증빙 서류는 무엇인가요?</t>
  </si>
  <si>
    <t>업무추진비를 집행할 때 사용 가능한 세부 항목과 제한되는 지출 유형, 그리고 지출 승인을 위해 반드시 갖춰야 하는 증빙서류 종류는 무엇인가요?</t>
  </si>
  <si>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</si>
  <si>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</si>
  <si>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업무추진비 집행 시 사용 가능한 세부 항목, 업무추진비 제한 지출 유형 안내, 업무추진비 지출 승인 증빙서류 종류 안내</t>
  </si>
  <si>
    <t>출장 시 여비 정산 기준과 지급 절차는 어떻게 되나요?</t>
  </si>
  <si>
    <t>출장 시 여비를 지급·정산할 때 적용되는 기준과 증빙 요건은 무엇인가요?</t>
  </si>
  <si>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</si>
  <si>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t>이전 자료 수정했습니다. 정산방법이 너무 국가공무원 시스템 기준으로 되어 있는거 같고
 질문 의도가 아무래도 출장비 얼만지, 계산 어떻게 해야 하는지에 대한 질문으로 보여서
 아래 답변으로 수정합니다.
 기대답변은 질의문(관내외출장 여비 정산 방법), 업무지침 내용만을 기준으로 범정부AI를 활용해서 생성한 내용입니다.
 기대답변:
 1. 관내 출장 여비 정산 기준 및 처리 절차(근무지내 국내출장)
  - 적용 범위: 동일 시·군·섬(제주 제외) 내 출장 및 왕복 12km 미만 거리 출장. 단, 유료 도로 필수 이용 시 근무지내 출장으로 간주
  - 지급 기준:
  &gt; 시간 기준: 4시간 미만: 1만 원 (식비 1/3 추가 실비 가능), 4시간 이상: 2만 원 (운임·식비 추가 실비 가능)
  &gt; 증빙서류: 교통카드 영수증, 신용카드 매출전표 등으로 입증 필요
  - 운임·식비 실비 처리:
  &gt; 실비 상한액은 시간별로 1만 원/2만 원 (교통비+식비 1/3)
  &gt; 공무용 차량 이용 시 운임 지급 제외
 2. 관외 출장 여비 정산 기준 및 처리 절차(근무지외 국내출장)
  - 지급 항목: 운임, 숙박비, 식비, 일비 (세부 산정 방법 기준별)
  - 운임:
  &gt; 철도: 실비 (차량 발매표 기준, 할인 적용)
  &gt; 항공: 실비 (저비용 항공사 이용 권장, 공적·사적 마일리지 병용 가능)
  &gt; 자동차: 대중교통 기준 또는 연료비 (유가·연비 적용)
  - 숙박비:
  &gt; 실비 또는 지역별 상한액(서울 10만 원, 기타 지역 7만 원 등)
  &gt; 초과 기간 시 감액 적용 (장기 체재 시 10분의 1~3 감액)
  - 식비: 1일당 2만 5천 원 (출장 일자 기준)
  - 일비: 정액(일반 2만 5천 원) + 초과 체재 시 감액
 3. 공통 처리 절차:
  - 증빙서류(매출전표, 승차권 등) 제출
  - 중복 출장 시 최대 지급액(관외 숙박비·식비는 횟수별 누적 가능)
  - 공적 항공마일리지 활용 시 추가 일비 지급 가능 (절약액의 50% 한도)</t>
  </si>
  <si>
    <t>560</t>
  </si>
  <si>
    <r>
      <rPr>
        <rFont val="Malgun Gothic"/>
        <color theme="1"/>
        <sz val="11.0"/>
      </rPr>
      <t xml:space="preserve">페이지 내용 전체
예시 부분 제외 
----------
</t>
    </r>
    <r>
      <rPr>
        <rFont val="Arial"/>
        <color rgb="FF0432FF"/>
        <sz val="11.0"/>
      </rPr>
      <t xml:space="preserve">
[Top5 내에 포함될 수 있도록 문서 수량 조정 필요]
</t>
    </r>
    <r>
      <rPr>
        <rFont val="Arial"/>
        <color rgb="FF00B050"/>
        <sz val="11.0"/>
      </rPr>
      <t xml:space="preserve">&gt;&gt; 여비 정산 기준은 560P의 공무로 여행하는 때에 지급되는 여비항목으로 생성, 세부적인 사항은 링크 문서 참조로 처리
&gt;&gt; 지급 절차는 다음 문서 링크만 안내 : 268_2405_인사과_업무매뉴얼_행정안전부_출장관리_매뉴얼.pdf 
</t>
    </r>
    <r>
      <rPr>
        <rFont val="Arial"/>
        <color rgb="FFFF0000"/>
        <sz val="11.0"/>
      </rPr>
      <t>- 고정답변처리가 아니므로 링크만 제공하는 등의 답변처리가 힘듭니다. FAQ 등으로 해당 파일들의 페이지를 안내하도록 별도로 정리하는게 좋을것 같습니다.</t>
    </r>
    <r>
      <rPr>
        <rFont val="Arial"/>
        <color rgb="FF00B050"/>
        <sz val="11.0"/>
      </rPr>
      <t xml:space="preserve">
</t>
    </r>
    <r>
      <rPr>
        <rFont val="Arial"/>
        <color theme="1"/>
        <sz val="11.0"/>
      </rPr>
      <t xml:space="preserve">
</t>
    </r>
    <r>
      <rPr>
        <rFont val="Malgun Gothic"/>
        <color rgb="FF00B050"/>
        <sz val="11.0"/>
      </rPr>
      <t>&gt;&gt; FAQ 처리</t>
    </r>
  </si>
  <si>
    <r>
      <rPr>
        <rFont val="맑은 고딕"/>
        <b/>
        <color theme="1"/>
        <sz val="11.0"/>
      </rPr>
      <t>1229_공무원_여비_규정대통령령제35811호20251001.pdf[4]</t>
    </r>
    <r>
      <rPr>
        <rFont val="맑은 고딕"/>
        <color theme="1"/>
        <sz val="11.0"/>
      </rPr>
      <t xml:space="preserve">
-----
</t>
    </r>
    <r>
      <rPr>
        <rFont val="맑은 고딕"/>
        <color rgb="FFFF0000"/>
        <sz val="11.0"/>
      </rPr>
      <t>[국내여비만 있음]</t>
    </r>
    <r>
      <rPr>
        <rFont val="맑은 고딕"/>
        <color theme="1"/>
        <sz val="11.0"/>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</si>
  <si>
    <r>
      <rPr>
        <rFont val="맑은 고딕"/>
        <b/>
        <color theme="1"/>
        <sz val="11.0"/>
      </rPr>
      <t>1230_공무원여비100문100답.pdf[11]</t>
    </r>
    <r>
      <rPr>
        <rFont val="맑은 고딕"/>
        <color theme="1"/>
        <sz val="11.0"/>
      </rPr>
      <t xml:space="preserve">
-----
</t>
    </r>
    <r>
      <rPr>
        <rFont val="맑은 고딕"/>
        <color rgb="FFFF0000"/>
        <sz val="11.0"/>
      </rPr>
      <t>[여비지급액은 있으나 지급절차가 없음]</t>
    </r>
    <r>
      <rPr>
        <rFont val="맑은 고딕"/>
        <color theme="1"/>
        <sz val="11.0"/>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</si>
  <si>
    <t>각종 정보공개 청구가 들어왔을 때 처리 절차와 비공개 사유에 해당하는 기준은 무엇인가요?</t>
  </si>
  <si>
    <t>정보공개 청구가 접수되었을 때 어떤 순서로 처리해야 하며, 비공개 여부를 판단할 때 적용해야 하는 법적 기준은 무엇인가요?</t>
  </si>
  <si>
    <r>
      <rPr>
        <rFont val="Malgun Gothic"/>
        <color theme="1"/>
        <sz val="11.0"/>
      </rP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Gothic"/>
        <color theme="1"/>
        <sz val="11.0"/>
      </rPr>
      <t>｢</t>
    </r>
    <r>
      <rPr>
        <rFont val="맑은 고딕"/>
        <color theme="1"/>
        <sz val="11.0"/>
      </rPr>
      <t>연계기안함(예시 : 온나라시스템)</t>
    </r>
    <r>
      <rPr>
        <rFont val="MS Gothic"/>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</si>
  <si>
    <t>239. 240. 241. 242. 243. 244. 245. 246. 247. 248. 249. 250. 251. 252, 253</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</si>
  <si>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t>
    </r>
    <r>
      <rPr>
        <rFont val="Arial"/>
        <color rgb="FF0432FF"/>
        <sz val="11.0"/>
      </rPr>
      <t xml:space="preserve">----------
[Top5에 문서가 들어올 수 있도록 수량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&gt;&gt;비공개는 243P 참조해서 답변 생성
</t>
    </r>
    <r>
      <rPr>
        <rFont val="Malgun Gothic"/>
        <color rgb="FFFF0000"/>
        <sz val="11.0"/>
      </rPr>
      <t xml:space="preserve">-  이런 형태의 안내문은 전부다 FAQ를 별도로 만들어서 관리하는게 맞는것 같습니다. 해당 파일의 2, 3, 243 페이지 이외에 포함되어야할 내용을 알려주시면 해당 내용을 포함해 답변을 생성하겠습니다.
(순번 367 질문도 함께 처리)
</t>
    </r>
    <r>
      <rPr>
        <rFont val="Malgun Gothic"/>
        <color rgb="FF00B050"/>
        <sz val="11.0"/>
      </rPr>
      <t>&gt;&gt; FAQ 처리</t>
    </r>
  </si>
  <si>
    <r>
      <rPr>
        <rFont val="맑은 고딕"/>
        <b/>
        <color rgb="FF000000"/>
        <sz val="11.0"/>
      </rPr>
      <t xml:space="preserve">424_2108_통합민원과_업무매뉴얼_행정안전부_정보공개운영안내서.pdf (p.69)
</t>
    </r>
    <r>
      <rPr>
        <rFont val="맑은 고딕"/>
        <color rgb="FF000000"/>
        <sz val="11.0"/>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</si>
  <si>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</si>
  <si>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rgb="FF000000"/>
        <sz val="11.0"/>
      </rPr>
      <t xml:space="preserve">424_2108_통합민원과_업무매뉴얼_행정안전부_정보공개운영안내서.pdf (p.227)
----
</t>
    </r>
    <r>
      <rPr>
        <rFont val="맑은 고딕"/>
        <color rgb="FF000000"/>
        <sz val="11.0"/>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</si>
  <si>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정보공개법에 따른 정보공개 청구 처리 기한은 며칠인가요?</t>
  </si>
  <si>
    <t>정보공개법에 따라 정보공개 청구가 접수된 후, 기관이 결정·통지해야 하는 법정 처리 기한은 얼마인가요?</t>
  </si>
  <si>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</si>
  <si>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</si>
  <si>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100</t>
  </si>
  <si>
    <t>�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 청구관리 &gt; 부서청구관리 &gt; 청구제목 선택(상세조회) &gt; 정보부존재 선택</t>
  </si>
  <si>
    <t>「공직자윤리법」에 따라 재산등록 대상자에 해당하는 공무원의 신고 의무와 절차는 어떻게 되나요?</t>
  </si>
  <si>
    <t>「공직자윤리법」에 따른 재산등록 의무 대상 공무원은 어떤 기준으로 결정되며, 최초등록·정기등록·변동신고 등 각 신고 유형별 제출 대상 재산 범위와 처리 절차는 어떻게 구분되나요?</t>
  </si>
  <si>
    <t>청탁금지법상 공무원이 받을 수 없는 금품 등의 기준은 어떻게 되며, 예외 사항은 어떤 경우인가요?</t>
  </si>
  <si>
    <t>청탁금지법에 따라 공무원이 수수할 수 없는 금품의 금지 기준은 어떻게 정해지며, 법에서 허용하는 예외 유형은 어떤 경우에 해당하나요?</t>
  </si>
  <si>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</si>
  <si>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t>미답변 처리
  &gt; 감사담당관, 청렴담당관 제출자료 미해당으로 제외</t>
  </si>
  <si>
    <r>
      <rPr>
        <rFont val="맑은 고딕"/>
        <b/>
        <color theme="1"/>
        <sz val="11.0"/>
      </rPr>
      <t>1155_페이지116_문서5_164215_부산광역시_부정청탁_및_금품등_수수의_신고사무_처리_지침.pdf[]</t>
    </r>
    <r>
      <rPr>
        <rFont val="맑은 고딕"/>
        <color theme="1"/>
        <sz val="11.0"/>
      </rPr>
      <t xml:space="preserve">
-----
</t>
    </r>
    <r>
      <rPr>
        <rFont val="맑은 고딕"/>
        <color rgb="FFFF0000"/>
        <sz val="11.0"/>
      </rPr>
      <t>[답변불가]
신고사무 처리 절차에 관한 내용으로, 금품 수수 기준과 예외사항은 포함되어 있지 않습니다.</t>
    </r>
  </si>
  <si>
    <t>지방공무원법 및 내부 규정에 따라 겸직이나 외부강의 시 사전 신고가 필요한 경우는 어떤 때이며, 절차는 어떻게 되나요?</t>
  </si>
  <si>
    <t>「지방공무원법」 및 관련 내부 규정에 따라 공무원이 겸직 또는 외부강의를 수행할 때, 사전 신고가 필요한 구체적 요건과 신고 절차는 어떻게 되나요?</t>
  </si>
  <si>
    <r>
      <rPr>
        <rFont val="Malgun Gothic"/>
        <color theme="1"/>
        <sz val="11.0"/>
      </rP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rFont val="맑은 고딕"/>
        <b/>
        <color theme="1"/>
        <sz val="11.0"/>
      </rPr>
      <t xml:space="preserve">   &gt; </t>
    </r>
    <r>
      <rPr>
        <rFont val="맑은 고딕"/>
        <color theme="1"/>
        <sz val="11.0"/>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</si>
  <si>
    <t>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&gt; 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</si>
  <si>
    <t>1251_지방공무원의_영리업무_및_겸직_금지_의무_강조.pdf
1224_외부강의등_신고_중요사항_알림.pdf</t>
  </si>
  <si>
    <t>1
1</t>
  </si>
  <si>
    <t>지방공무원법 및 내부 규정에 따른 공무원 겸직, 외부강의 시 사전 신고에 대한 구체적인 요건과 신고 절차 안내
지방공무원법 및 내부 규정에 따른 공무원 겸직, 외부강의 시 사전 신고에 대한 구체적인 요건과 신고 절차 안내</t>
  </si>
  <si>
    <r>
      <rPr>
        <rFont val="맑은 고딕"/>
        <b/>
        <color theme="1"/>
        <sz val="11.0"/>
      </rPr>
      <t>1251_지방공무원의_영리업무_및_겸직_금지_의무_강조.pdf[1]</t>
    </r>
    <r>
      <rPr>
        <rFont val="맑은 고딕"/>
        <color theme="1"/>
        <sz val="11.0"/>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rFont val="Ebrima"/>
        <color theme="1"/>
        <sz val="11.0"/>
      </rPr>
      <t>ߵ</t>
    </r>
    <r>
      <rPr>
        <rFont val="맑은 고딕"/>
        <color theme="1"/>
        <sz val="11.0"/>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</si>
  <si>
    <r>
      <rPr>
        <rFont val="맑은 고딕"/>
        <b/>
        <color theme="1"/>
        <sz val="11.0"/>
      </rPr>
      <t>1224_외부강의등_신고_중요사항_알림.pdf[1]</t>
    </r>
    <r>
      <rPr>
        <rFont val="맑은 고딕"/>
        <color theme="1"/>
        <sz val="11.0"/>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rFont val="Yu Gothic"/>
        <color theme="1"/>
        <sz val="11.0"/>
      </rPr>
      <t>･</t>
    </r>
    <r>
      <rPr>
        <rFont val="맑은 고딕"/>
        <color theme="1"/>
        <sz val="11.0"/>
      </rPr>
      <t>직책 등에서 유래되는 사실상의 영향력을 통하여 요청받은
 교육</t>
    </r>
    <r>
      <rPr>
        <rFont val="Yu Gothic"/>
        <color theme="1"/>
        <sz val="11.0"/>
      </rPr>
      <t>･</t>
    </r>
    <r>
      <rPr>
        <rFont val="맑은 고딕"/>
        <color theme="1"/>
        <sz val="11.0"/>
      </rPr>
      <t>홍보</t>
    </r>
    <r>
      <rPr>
        <rFont val="Yu Gothic"/>
        <color theme="1"/>
        <sz val="11.0"/>
      </rPr>
      <t>･</t>
    </r>
    <r>
      <rPr>
        <rFont val="맑은 고딕"/>
        <color theme="1"/>
        <sz val="11.0"/>
      </rPr>
      <t>토론회</t>
    </r>
    <r>
      <rPr>
        <rFont val="Yu Gothic"/>
        <color theme="1"/>
        <sz val="11.0"/>
      </rPr>
      <t>･</t>
    </r>
    <r>
      <rPr>
        <rFont val="맑은 고딕"/>
        <color theme="1"/>
        <sz val="11.0"/>
      </rPr>
      <t>세미나</t>
    </r>
    <r>
      <rPr>
        <rFont val="Yu Gothic"/>
        <color theme="1"/>
        <sz val="11.0"/>
      </rPr>
      <t>･</t>
    </r>
    <r>
      <rPr>
        <rFont val="맑은 고딕"/>
        <color theme="1"/>
        <sz val="11.0"/>
      </rPr>
      <t>공청회 또는 그 밖의 회의 등에서 한 강의</t>
    </r>
    <r>
      <rPr>
        <rFont val="Yu Gothic"/>
        <color theme="1"/>
        <sz val="11.0"/>
      </rPr>
      <t>･</t>
    </r>
    <r>
      <rPr>
        <rFont val="맑은 고딕"/>
        <color theme="1"/>
        <sz val="11.0"/>
      </rPr>
      <t>강연</t>
    </r>
    <r>
      <rPr>
        <rFont val="Yu Gothic"/>
        <color theme="1"/>
        <sz val="11.0"/>
      </rPr>
      <t>･</t>
    </r>
    <r>
      <rPr>
        <rFont val="맑은 고딕"/>
        <color theme="1"/>
        <sz val="11.0"/>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</si>
  <si>
    <t>공식행사, 외교, 정부행사 추진시 의전방법은 어떻게 되나요?</t>
  </si>
  <si>
    <t>공식행사·외교행사·정부행사 추진 시 적용해야 하는 의전 기준과 절차는 무엇인가요?</t>
  </si>
  <si>
    <r>
      <rPr>
        <rFont val="Malgun Gothic"/>
        <color theme="1"/>
        <sz val="11.0"/>
      </rPr>
      <t xml:space="preserve">관련 근거 : 부산시 방문 주요 인사 의전 매뉴얼 수립 보고자료(공문)
 - 부산시 의전실무 매뉴얼은 참고만 했습니다
기대답변 :
행사 전(행사 주관부서)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전(의전부서 총무과)
</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영 접(행사 주관부서)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영 접(총무과)
</t>
    </r>
    <r>
      <rPr>
        <rFont val="Segoe UI Symbol"/>
        <color theme="1"/>
        <sz val="11.0"/>
      </rPr>
      <t>▸</t>
    </r>
    <r>
      <rPr>
        <rFont val="맑은 고딕"/>
        <color theme="1"/>
        <sz val="11.0"/>
      </rPr>
      <t xml:space="preserve"> 영접위치, 참석자 복장, 하차·주차 공간 등 확인
영 접(대변인실)
</t>
    </r>
    <r>
      <rPr>
        <rFont val="Segoe UI Symbol"/>
        <color theme="1"/>
        <sz val="11.0"/>
      </rPr>
      <t>▸</t>
    </r>
    <r>
      <rPr>
        <rFont val="맑은 고딕"/>
        <color theme="1"/>
        <sz val="11.0"/>
      </rPr>
      <t xml:space="preserve"> 방문 기념사진 촬영
이 동(의전부서 총무과)
 </t>
    </r>
    <r>
      <rPr>
        <rFont val="Segoe UI Symbol"/>
        <color theme="1"/>
        <sz val="11.0"/>
      </rPr>
      <t>▸</t>
    </r>
    <r>
      <rPr>
        <rFont val="맑은 고딕"/>
        <color theme="1"/>
        <sz val="11.0"/>
      </rPr>
      <t xml:space="preserve"> 지정 EV 담당 직원 소통, 동선 안내 등 지원
행사 진행(행사 주관부서)
</t>
    </r>
    <r>
      <rPr>
        <rFont val="Segoe UI Symbol"/>
        <color theme="1"/>
        <sz val="11.0"/>
      </rPr>
      <t>▸</t>
    </r>
    <r>
      <rPr>
        <rFont val="맑은 고딕"/>
        <color theme="1"/>
        <sz val="11.0"/>
      </rPr>
      <t xml:space="preserve"> 행사장 상황 공유를 통한 주요 인사 이동시간 공유
행사 진행(기획관실)
</t>
    </r>
    <r>
      <rPr>
        <rFont val="Segoe UI Symbol"/>
        <color theme="1"/>
        <sz val="11.0"/>
      </rPr>
      <t>▸</t>
    </r>
    <r>
      <rPr>
        <rFont val="맑은 고딕"/>
        <color theme="1"/>
        <sz val="11.0"/>
      </rPr>
      <t xml:space="preserve"> 시정 보고자료, 지역현안 건의사항 등 지원
행사 진행(총무과)
</t>
    </r>
    <r>
      <rPr>
        <rFont val="Segoe UI Symbol"/>
        <color theme="1"/>
        <sz val="11.0"/>
      </rPr>
      <t>▸</t>
    </r>
    <r>
      <rPr>
        <rFont val="맑은 고딕"/>
        <color theme="1"/>
        <sz val="11.0"/>
      </rPr>
      <t xml:space="preserve"> 퇴청 동선 지속 확인
환 송(행사 주관부서)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환 송(총무과)
</t>
    </r>
    <r>
      <rPr>
        <rFont val="Segoe UI Symbol"/>
        <color theme="1"/>
        <sz val="11.0"/>
      </rPr>
      <t>▸</t>
    </r>
    <r>
      <rPr>
        <rFont val="맑은 고딕"/>
        <color theme="1"/>
        <sz val="11.0"/>
      </rPr>
      <t xml:space="preserve"> 퇴청 및 차량 탑승 안내 등
환 송(대변인실)
</t>
    </r>
    <r>
      <rPr>
        <rFont val="Segoe UI Symbol"/>
        <color theme="1"/>
        <sz val="11.0"/>
      </rPr>
      <t>▸</t>
    </r>
    <r>
      <rPr>
        <rFont val="맑은 고딕"/>
        <color theme="1"/>
        <sz val="11.0"/>
      </rPr>
      <t xml:space="preserve"> 필요시 보도자료 배포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
</t>
    </r>
  </si>
  <si>
    <t>만약에 흐름도 인식이 제대로 안된다고 하면 
 아래와 같이 답변하고 링크 제공을 하는것으로 변경하면 될 것 같습니다.
 흐름도 인식이 된다고 해도 참조문서에 의전실무 매뉴얼도 같이 나왔으면 합니다.
 &gt; 공식행사, 외교, 정부행사 등 주요 의전에 관한 방법은 아래 링크 문서를 참고해서 진행하시면 됩니다.
 &gt; 참조문서 : 2505_총무과_공문_부산시 방문 주요 인사 의전 매뉴얼 수립 보고자료, 416_2505_총무과_매뉴얼_부산시 의전실무 매뉴얼
 기대답변:
 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t>
  </si>
  <si>
    <t>415_2505_총무과_공문_부산시_방문_주요_인사_의전_매뉴얼_수립_보고자료.pdf
416_2505_총무과_매뉴얼_부산시_의전실무_매뉴얼.pdf</t>
  </si>
  <si>
    <t>4
7</t>
  </si>
  <si>
    <r>
      <rPr>
        <rFont val="Malgun Gothic"/>
        <color theme="1"/>
        <sz val="11.0"/>
      </rPr>
      <t xml:space="preserve">전체 참고 
&gt; 문서 전체 (82페이지)
---------
</t>
    </r>
    <r>
      <rPr>
        <rFont val="Arial"/>
        <color rgb="FF0432FF"/>
        <sz val="11.0"/>
      </rPr>
      <t xml:space="preserve">
[문서 확인해서 Top5내 포함될 내용을 넘어서면 논의 필요]</t>
    </r>
    <r>
      <rPr>
        <rFont val="Arial"/>
        <color theme="1"/>
        <sz val="11.0"/>
      </rPr>
      <t xml:space="preserve">
</t>
    </r>
    <r>
      <rPr>
        <rFont val="Arial"/>
        <color rgb="FF00B050"/>
        <sz val="11.0"/>
      </rPr>
      <t xml:space="preserve">&gt;&gt; 수립 보고 자료는 4P 흐름도만 참조
- </t>
    </r>
    <r>
      <rPr>
        <rFont val="Arial"/>
        <color rgb="FFFF0000"/>
        <sz val="11.0"/>
      </rPr>
      <t>전처리된 내용도 그렇고 흐름도를 제대로 파악하지 못할 가능성이 매우 높습니다 &gt; 참고 청크 수정</t>
    </r>
    <r>
      <rPr>
        <rFont val="Arial"/>
        <color rgb="FF00B050"/>
        <sz val="11.0"/>
      </rPr>
      <t xml:space="preserve">
&gt;&gt; 의전 실무 매뉴얼은 7P의 PART 2: 행사 운영과 진행관리 1번(단계별 행사준비 및 일정관리)부터 10번(각종 인사말씀) 차례만 참조해서 생성
&gt;&gt; 세부적인 내용은 링크 참조</t>
    </r>
  </si>
  <si>
    <r>
      <rPr>
        <rFont val="맑은 고딕"/>
        <b/>
        <color theme="1"/>
        <sz val="11.0"/>
      </rPr>
      <t>415_2505_총무과_공문_부산시_방문_주요_인사_의전_매뉴얼_수립_보고자료.pdf[4]</t>
    </r>
    <r>
      <rPr>
        <rFont val="맑은 고딕"/>
        <color theme="1"/>
        <sz val="11.0"/>
      </rPr>
      <t xml:space="preserve">
-----
</t>
    </r>
    <r>
      <rPr>
        <rFont val="맑은 고딕"/>
        <color rgb="FFFF0000"/>
        <sz val="11.0"/>
      </rPr>
      <t xml:space="preserve">[연결된 표의 형태가 아니라 정상적인 흐름의 인식이 되지 않음]
</t>
    </r>
    <r>
      <rPr>
        <rFont val="맑은 고딕"/>
        <color theme="1"/>
        <sz val="11.0"/>
      </rPr>
      <t xml:space="preserve">
Ⅱ 의전 흐름도(매뉴얼)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주관부서</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의전부서(총무과)
</t>
    </r>
    <r>
      <rPr>
        <rFont val="Cambria Math"/>
        <color theme="1"/>
        <sz val="11.0"/>
      </rPr>
      <t>⇓</t>
    </r>
    <r>
      <rPr>
        <rFont val="맑은 고딕"/>
        <color theme="1"/>
        <sz val="11.0"/>
      </rPr>
      <t xml:space="preserve">
영 접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행사
주관부서</t>
    </r>
    <r>
      <rPr>
        <rFont val="Segoe UI Symbol"/>
        <color theme="1"/>
        <sz val="11.0"/>
      </rPr>
      <t>▸</t>
    </r>
    <r>
      <rPr>
        <rFont val="맑은 고딕"/>
        <color theme="1"/>
        <sz val="11.0"/>
      </rPr>
      <t xml:space="preserve"> 영접위치, 참석자 복장, 하차·주차 공간 등 확인 총무과</t>
    </r>
    <r>
      <rPr>
        <rFont val="Segoe UI Symbol"/>
        <color theme="1"/>
        <sz val="11.0"/>
      </rPr>
      <t>▸</t>
    </r>
    <r>
      <rPr>
        <rFont val="맑은 고딕"/>
        <color theme="1"/>
        <sz val="11.0"/>
      </rPr>
      <t xml:space="preserve"> 방문 기념사진 촬영 대변인실</t>
    </r>
    <r>
      <rPr>
        <rFont val="Cambria Math"/>
        <color theme="1"/>
        <sz val="11.0"/>
      </rPr>
      <t>⇓</t>
    </r>
    <r>
      <rPr>
        <rFont val="맑은 고딕"/>
        <color theme="1"/>
        <sz val="11.0"/>
      </rPr>
      <t xml:space="preserve">
이 동 </t>
    </r>
    <r>
      <rPr>
        <rFont val="Segoe UI Symbol"/>
        <color theme="1"/>
        <sz val="11.0"/>
      </rPr>
      <t>▸</t>
    </r>
    <r>
      <rPr>
        <rFont val="맑은 고딕"/>
        <color theme="1"/>
        <sz val="11.0"/>
      </rPr>
      <t xml:space="preserve"> 지정 EV 담당 직원 소통, 동선 안내 등 지원 의전부서(총무과)
</t>
    </r>
    <r>
      <rPr>
        <rFont val="Cambria Math"/>
        <color theme="1"/>
        <sz val="11.0"/>
      </rPr>
      <t>⇓</t>
    </r>
    <r>
      <rPr>
        <rFont val="맑은 고딕"/>
        <color theme="1"/>
        <sz val="11.0"/>
      </rPr>
      <t xml:space="preserve">
행사 진행
</t>
    </r>
    <r>
      <rPr>
        <rFont val="Segoe UI Symbol"/>
        <color theme="1"/>
        <sz val="11.0"/>
      </rPr>
      <t>▸</t>
    </r>
    <r>
      <rPr>
        <rFont val="맑은 고딕"/>
        <color theme="1"/>
        <sz val="11.0"/>
      </rPr>
      <t xml:space="preserve"> 행사장 상황 공유를 통한 주요 인사 이동시간 공유 행사
주관부서</t>
    </r>
    <r>
      <rPr>
        <rFont val="Segoe UI Symbol"/>
        <color theme="1"/>
        <sz val="11.0"/>
      </rPr>
      <t>▸</t>
    </r>
    <r>
      <rPr>
        <rFont val="맑은 고딕"/>
        <color theme="1"/>
        <sz val="11.0"/>
      </rPr>
      <t xml:space="preserve"> 시정 보고자료, 지역현안 건의사항 등 지원 기획관실</t>
    </r>
    <r>
      <rPr>
        <rFont val="Segoe UI Symbol"/>
        <color theme="1"/>
        <sz val="11.0"/>
      </rPr>
      <t>▸</t>
    </r>
    <r>
      <rPr>
        <rFont val="맑은 고딕"/>
        <color theme="1"/>
        <sz val="11.0"/>
      </rPr>
      <t xml:space="preserve"> 퇴청 동선 지속 확인 총무과</t>
    </r>
    <r>
      <rPr>
        <rFont val="Cambria Math"/>
        <color theme="1"/>
        <sz val="11.0"/>
      </rPr>
      <t>⇓</t>
    </r>
    <r>
      <rPr>
        <rFont val="맑은 고딕"/>
        <color theme="1"/>
        <sz val="11.0"/>
      </rPr>
      <t xml:space="preserve">
환 송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행사
주관부서</t>
    </r>
    <r>
      <rPr>
        <rFont val="Segoe UI Symbol"/>
        <color theme="1"/>
        <sz val="11.0"/>
      </rPr>
      <t>▸</t>
    </r>
    <r>
      <rPr>
        <rFont val="맑은 고딕"/>
        <color theme="1"/>
        <sz val="11.0"/>
      </rPr>
      <t xml:space="preserve"> 퇴청 및 차량 탑승 안내 등 총무과</t>
    </r>
    <r>
      <rPr>
        <rFont val="Segoe UI Symbol"/>
        <color theme="1"/>
        <sz val="11.0"/>
      </rPr>
      <t>▸</t>
    </r>
    <r>
      <rPr>
        <rFont val="맑은 고딕"/>
        <color theme="1"/>
        <sz val="11.0"/>
      </rPr>
      <t xml:space="preserve"> 필요시 보도자료 배포 대변인실</t>
    </r>
  </si>
  <si>
    <t>신규사업을 추진하고자 할때 사전에 심의받아야 하는 절차는 어떤것들이 있나요?</t>
  </si>
  <si>
    <t>신규 사업을 추진하려는 경우, 관련 법령 및 내부 규정에 따라 사전에 거쳐야 하는 각종 심의·협의·검토 절차는 어떻게 되나요?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</si>
  <si>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</si>
  <si>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r>
      <rPr>
        <rFont val="Malgun Gothic"/>
        <color rgb="FFFF0000"/>
        <sz val="11.0"/>
      </rPr>
      <t>(우선 아래와 같이 작업하였으나 질문을 똑같이 복사해서 붙여 넣어도 안걸림... 무슨짓을 해도 안걸림...)</t>
    </r>
    <r>
      <rPr>
        <rFont val="Malgun Gothic"/>
        <color theme="1"/>
        <sz val="11.0"/>
      </rPr>
      <t xml:space="preserve">
예산 편성 절차 관련 사업비별 사전 이행 절차와 과정, 통계목별 필수 예산 심의 사전절차와 과정, 신규 사업 추진을 위한 사전 심의 절차 안내, 예산 편성시 총사업비와 국비사업비 금액에 따른 사전절차 안내</t>
    </r>
  </si>
  <si>
    <t>시에서 주관하는 행사 등 추진 시 홍보 광고물 설치 절차는 어떻게 되나요?</t>
  </si>
  <si>
    <t>시에서 주관하는 행사를 진행할 때, 현수막·입간판 등 홍보‧광고물을 설치하기 위해 필요한 사전 승인 절차는 무엇인가요?</t>
  </si>
  <si>
    <r>
      <rPr>
        <rFont val="Malgun Gothic"/>
        <color theme="1"/>
        <sz val="11.0"/>
      </rPr>
      <t xml:space="preserve">관련 근거 : 미디어담당관 콘텐츠기획팀 업무관련FAQ, 미디어담당관 콘텐츠기획팀 홍보 요청 절차ver4
기대답변 :
</t>
    </r>
    <r>
      <rPr>
        <rFont val="맑은 고딕"/>
        <b/>
        <color theme="1"/>
        <sz val="11.0"/>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</si>
  <si>
    <t>표 흐름도 인식이 어려우면 아래 답변으로 변경 바랍니다.
 기대답변:
 SNS 외 다양한 매체 통합 홍보가 필요한 경우, SNS 매체에만 홍보가 필요한 경우 아래 첨부파일을 참고하시면 됩니다.
 링크 : 미디어담당관 콘텐츠기획팀 홍보 요청 절차ver4</t>
  </si>
  <si>
    <t>□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t>
  </si>
  <si>
    <r>
      <rPr>
        <rFont val="맑은 고딕"/>
        <b/>
        <color theme="1"/>
        <sz val="11.0"/>
      </rPr>
      <t>89_2504_미디어담당관_업무매뉴얼_미디어담당관_콘텐츠기획팀_홍보_요청_절차ver4.pdf[1]</t>
    </r>
    <r>
      <rPr>
        <rFont val="맑은 고딕"/>
        <color theme="1"/>
        <sz val="11.0"/>
      </rPr>
      <t xml:space="preserve">
-----</t>
    </r>
    <r>
      <rPr>
        <rFont val="맑은 고딕"/>
        <color rgb="FFFF0000"/>
        <sz val="11.0"/>
      </rPr>
      <t xml:space="preserve">
[그림 형태로 되어 있는 글을 인식하기는 어려움. 화살표 내용에 대한 인지가 되지 않음]</t>
    </r>
    <r>
      <rPr>
        <rFont val="맑은 고딕"/>
        <color theme="1"/>
        <sz val="11.0"/>
      </rPr>
      <t xml:space="preserve">
</t>
    </r>
    <r>
      <rPr>
        <rFont val="맑은 고딕"/>
        <color theme="1"/>
        <sz val="11.0"/>
      </rPr>
      <t xml:space="preserve">콘텐츠기획팀 홍보 요청 절차(매뉴얼)
□ SNS 홍보 업무 절차
SNS 외
다양한 매체
통합 홍보가
필요한 경우
정책 홍보 </t>
    </r>
    <r>
      <rPr>
        <rFont val="Cambria Math"/>
        <color theme="1"/>
        <sz val="11.0"/>
      </rPr>
      <t>⇘</t>
    </r>
    <r>
      <rPr>
        <rFont val="맑은 고딕"/>
        <color theme="1"/>
        <sz val="11.0"/>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rFont val="Cambria Math"/>
        <color theme="1"/>
        <sz val="11.0"/>
      </rPr>
      <t>⇑</t>
    </r>
    <r>
      <rPr>
        <rFont val="맑은 고딕"/>
        <color theme="1"/>
        <sz val="11.0"/>
      </rPr>
      <t xml:space="preserve">
콘텐츠(카드뉴스, 릴스 등) 제작
및 SNS 이벤트
⇒
콘텐츠 제작 계획
및 이벤트 내용·예산
선협의 </t>
    </r>
  </si>
  <si>
    <t>공사, 용역, 물품 등 구입시 조달청을 통한 계약 절차는 어떻게 되나요?</t>
  </si>
  <si>
    <t>공사·용역·물품을 조달청을 통해 구매할 때, 의뢰부터 계약 체결·검수·대금지급까지 단계별로 어떤 절차를 거치나요?</t>
  </si>
  <si>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</si>
  <si>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</si>
  <si>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</si>
  <si>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</si>
  <si>
    <t>19</t>
  </si>
  <si>
    <t>물품계약 길라잡이: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</si>
  <si>
    <t>조달청에서 공사, 용역, 물품 구입 절차 안내, e호조</t>
  </si>
  <si>
    <t>예산편성을 위한 신규사업 사전이행절차 안내(사업종류, 사업금액별)</t>
  </si>
  <si>
    <t>예산 편성을 위해 신규사업을 추진할 때, 사업 유형과 사업비 규모별로 요구되는 사전 절차(내부 심의·검토·승인 등)는 무엇인가요?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</si>
  <si>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</si>
  <si>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공유재산 신규 등록 및 관리 방법 안내</t>
  </si>
  <si>
    <t>지방자치단체에서 취득한 공유재산을 신규 등록할 때 방법은 무엇이며, 이후 정기적인 관리(대장 정비, 재물조사, 변동보고 등)는 어떤 기준과 일정에 따라 수행해야 하나요?</t>
  </si>
  <si>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</si>
  <si>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</si>
  <si>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</si>
  <si>
    <t>공유재산 위탁운영관리 절차 안내</t>
  </si>
  <si>
    <t>공유재산을 민간 등에 위탁하여 운영하고자 할 때, 사전에 준비해야 하는 내부 검토와 승인 절차, 그리고 위탁계약 체결 후 관리·감독 단계별 의무는 무엇인가요?</t>
  </si>
  <si>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</si>
  <si>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</si>
  <si>
    <t>프린터 드라이버 설치 및 오류조치방법</t>
  </si>
  <si>
    <t>프린터 드라이버 설치 과정과 오류 발생 시 단계별 조치 방법은 무엇인가요?</t>
  </si>
  <si>
    <t>스캐너 설정 및 사용방법</t>
  </si>
  <si>
    <t>스캐너 장비를 신규로 설치하거나 설정값을 변경해야 할 때, 드라이버 설치부터 프로그램 설정·스캔 오류 조치까지의 전체 절차는 어떻게 되나요?</t>
  </si>
  <si>
    <t>빅데이터과 보유데이터 중 부서활용가능한 데이터 종류</t>
  </si>
  <si>
    <t>부산광역시 빅데이터과에서 보유하고 있는 데이터 중, 부서별로 활용할 수 있는 데이터 종류에 대해 알려주세요.</t>
  </si>
  <si>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</si>
  <si>
    <t>ㆍ135_2212_빅데이터과_정책연구용역보고서_부산광역시_동백전_요약보고서.pdf (p.14)
https://busanai.busan.go.kr/download/135_2212_빅데이터과_정책연구용역보고서_부산광역시_동백전_요약보고서.pdf</t>
  </si>
  <si>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</si>
  <si>
    <t>표 내용을 제대로 인식할 수 있는지 확인 바랍니다.
 기대답변 :
 부산광역시 빅데이터과에서 보유하고 있는 데이터 중 부서별로 활용할 수 있는 데이터 종류는 다음과 같습니다:
 1. 부산시 및 유관기관 데이터 (16,323건)
  - 부산시, 직속, 사업소 (공공행정 등 15개 분야)
  &gt; 버스정보, 대기질, 제조업등록, 명소, 축제, 맛집, 인구 등 (6,826건)
  &gt; 내부수집, 분석 융합, 구매 데이터 (1,496건)
  - 구·군
  &gt; 숙박, 병의원, 빈집, 아동복지, 노인복지 시설 등 (1,998건)
  - 공사·공단
  &gt; 관광공사, 교통공사, 도시공사, 시설공단, 환경공단 등
  &gt; 숙박, 관광시설, 관광지 유동인구, 지하철 운행정보, 승하차 인원, 임대주택, 청년매입임대, 공영주차장, 수질 측정 등 (166건)
  - 부산연구원 연구보고서 (2,701건)
  - 통계청 부산 통계 데이터
  &gt; 주민등록인구, 일자리종합실태 등 (3,136건)
 2. 전국 지자체 및 행정안전부 메타데이터 (129,141건)
  - 전국 지자체 및 행정안전부 메타데이터
  - 21대 빅데이터 플랫폼
  - 개방표준 데이터
 이러한 데이터는 부서별로 다양한 분야에 활용될 수 있으며, 예를 들어 교통부서는 버스정보 및 지하철 운행정보를 활용할 수 있고, 환경부서는 대기질 및 수질 측정 데이터를 활용할 수 있습니다. 또한, 관광부서는 숙박 및 관광시설 데이터를 활용하여 관광 정책을 수립할 수 있습니다.</t>
  </si>
  <si>
    <t>135</t>
  </si>
  <si>
    <t>참고2 주요성과 중 데이터 수집 표 항목 참조
 m 데이터 수집(14만 5천여건) ‣ 부산시, 구․군, 유관기관 1만6천여건, 전국 메타데이터 등 13만여건
 구 분 주요 데이터 건 수
 합 계 145,464
 부산시 및 유관기관 소계 16,323
 부산시, 직속,사업소(공공행정 등 15개분야) 버스정보, 대기질, 제조업등록, 명소, 축제, 맛집, 인구 등 6,826
 내부수집, 분석 융합, 구매 데이터 1,496
 구˙군 숙박, 병의원, 빈집, 아동복지, 노인복지 시설 등 1,998
 공사
 ·
 공단
 관광공사, 교통공사,도시공사,
 시설공단, 환경공단 등
 숙박, 관광시설, 관광지 유동인구, 지하철 운행정보,
 승하차인원, 임대주택, 청년매입임대, 공영주차장, 수질 측정 등 166
 부산연구원 연구보고서 2,701
 통계청 부산 통계 데이터, 주민등록인구, 일자리종합실태 등 3,136
 전국 지자체, 행정안전부 메타데이터, 21대 빅데이터플랫폼, 개방표준 129,141</t>
  </si>
  <si>
    <t>빅데이터과 보유 데이터 중 부서 활용 가능한 데이터 종류</t>
  </si>
  <si>
    <r>
      <rPr>
        <rFont val="맑은 고딕"/>
        <b/>
        <color theme="1"/>
        <sz val="11.0"/>
      </rPr>
      <t>170_2503_빅데이터과_업무매뉴얼_빅데이터과_빅데이터과바인더</t>
    </r>
    <r>
      <rPr>
        <rFont val="맑은 고딕"/>
        <color theme="1"/>
        <sz val="11.0"/>
      </rPr>
      <t xml:space="preserve">
-----
</t>
    </r>
    <r>
      <rPr>
        <rFont val="맑은 고딕"/>
        <color rgb="FFFF0000"/>
        <sz val="11.0"/>
      </rPr>
      <t xml:space="preserve">[검토필요] 통계서비스 내용
별도로 문서 리스트를 제공해야 하는 것인지? 아니면 리스트 구성을 해서 전달하면 되는 것인지? 
</t>
    </r>
    <r>
      <rPr>
        <rFont val="맑은 고딕"/>
        <color theme="1"/>
        <sz val="11.0"/>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rFont val="MS Mincho"/>
        <color theme="1"/>
        <sz val="11.0"/>
      </rPr>
      <t>․</t>
    </r>
    <r>
      <rPr>
        <rFont val="맑은 고딕"/>
        <color theme="1"/>
        <sz val="11.0"/>
      </rPr>
      <t>복지(18), 교육</t>
    </r>
    <r>
      <rPr>
        <rFont val="MS Mincho"/>
        <color theme="1"/>
        <sz val="11.0"/>
      </rPr>
      <t>․</t>
    </r>
    <r>
      <rPr>
        <rFont val="맑은 고딕"/>
        <color theme="1"/>
        <sz val="11.0"/>
      </rPr>
      <t>노동(11), 여가(4), 주거</t>
    </r>
    <r>
      <rPr>
        <rFont val="MS Mincho"/>
        <color theme="1"/>
        <sz val="11.0"/>
      </rPr>
      <t>․</t>
    </r>
    <r>
      <rPr>
        <rFont val="맑은 고딕"/>
        <color theme="1"/>
        <sz val="11.0"/>
      </rPr>
      <t>교통(11),
범죄</t>
    </r>
    <r>
      <rPr>
        <rFont val="MS Mincho"/>
        <color theme="1"/>
        <sz val="11.0"/>
      </rPr>
      <t>․</t>
    </r>
    <r>
      <rPr>
        <rFont val="맑은 고딕"/>
        <color theme="1"/>
        <sz val="11.0"/>
      </rPr>
      <t>안전(6), 경제일반(14), 농림수산</t>
    </r>
    <r>
      <rPr>
        <rFont val="MS Mincho"/>
        <color theme="1"/>
        <sz val="11.0"/>
      </rPr>
      <t>․</t>
    </r>
    <r>
      <rPr>
        <rFont val="맑은 고딕"/>
        <color theme="1"/>
        <sz val="11.0"/>
      </rPr>
      <t>제조</t>
    </r>
    <r>
      <rPr>
        <rFont val="MS Mincho"/>
        <color theme="1"/>
        <sz val="11.0"/>
      </rPr>
      <t>․</t>
    </r>
    <r>
      <rPr>
        <rFont val="맑은 고딕"/>
        <color theme="1"/>
        <sz val="11.0"/>
      </rPr>
      <t>서비스(11),
환경</t>
    </r>
    <r>
      <rPr>
        <rFont val="MS Mincho"/>
        <color theme="1"/>
        <sz val="11.0"/>
      </rPr>
      <t>․</t>
    </r>
    <r>
      <rPr>
        <rFont val="맑은 고딕"/>
        <color theme="1"/>
        <sz val="11.0"/>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</si>
  <si>
    <t>휴직자 급여 보험료 납부여부를 알려주세요.(보수 전반에 관한 내용)</t>
  </si>
  <si>
    <t>휴직 기간 중 급여 지급과 관련하여 건강보험·연금 등 각종 보험료의 납부 기준은 어떻게 적용되나요?</t>
  </si>
  <si>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</si>
  <si>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휴직자 급여 보험료 납부 여부 확인 방법</t>
  </si>
  <si>
    <t>미답변처리로 변경됨 (12.5)</t>
  </si>
  <si>
    <t>e호조 반납 처리 절차를 알려주세요.(일반, 일상)</t>
  </si>
  <si>
    <t>e호조에서 예산 반납 처리 시, 항목별 반납 절차와 입력 방법은 어떻게 되나요?</t>
  </si>
  <si>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</si>
  <si>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</si>
  <si>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</si>
  <si>
    <t>e호조 과목경정 방법을 알려주세요</t>
  </si>
  <si>
    <t>e호조에서 세출예산의 과목경정을 해야 할 때, 단계별 처리 절차와 필요 승인사항은 무엇인가요?</t>
  </si>
  <si>
    <t>컴보이 설치방법을 알려주세요</t>
  </si>
  <si>
    <t>컴보이(내PC지키미, PC보안점검 프로그램) 프로그램 설치 절차에 대해 알려주세요</t>
  </si>
  <si>
    <t>일반 usb, 보안 usb 사용방법을 알려주세요</t>
  </si>
  <si>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</si>
  <si>
    <t>18~30P만 내용을 복사해서 질문에 대한 답을 생성했습니다.(범정부 AI 클로바 활용)
 기대답변 :
 1. 보안 USB 사용법
  - 로그인
  &gt; 작업표시줄의 uToken 아이콘 우클릭 → 로그인 선택
  &gt; 최초 사용 시 보안 USB 비밀번호 지정 후 등록
  &gt; 이후 로그인 시 지정된 비밀번호 입력
  - 안전한 로그아웃
  &gt; uToken 아이콘 우클릭 → 로그아웃(안전 제거) 선택
  &gt; 경고: 로그아웃 없이 제거 시 데이터 손상 위험
  - 사용 방법
  &gt; 로그인 후 활성화된 SecureDisk를 일반 USB처럼 사용 가능
  &gt; 작업표시줄에서 uToken 아이콘 우클릭 → 관리 탭 이용
  - 비밀번호 변경
  &gt; uToken 아이콘 &gt; 관리 → 비밀번호 변경 탭 선택
  &gt; 새 비밀번호 입력 후 저장
  - 반출·반입 절차
  &gt; 반출 신청: 관리 &gt; 반출 신청 탭 작성 후 부서 관리자/총괄자 승인 필요
  &gt; 반입 처리: 승인 완료 후 관리 &gt; 반입 신청으로 복귀 등록
  - 인증서 복사
  &gt; uToken 아이콘 &gt; 인증서 저장 → PC 내 인증서 검색 및 복사 선택
 2. 일반 USB 사용법 (인증서 복사 예시)
  - 작업표시줄 uToken 아이콘 우클릭 → 인증서 영역 열기 선택
  - 하드디스크 탐색으로 원하는 인증서 선택 후 복사하면 USB 저장 완료</t>
  </si>
  <si>
    <r>
      <rPr>
        <rFont val="&quot;Malgun Gothic&quot;"/>
        <color rgb="FF000000"/>
        <sz val="11.0"/>
      </rPr>
      <t xml:space="preserve">일반 USB는 인증서 복사만 참고(29~30P)
보안 USB관련은 18~28P
보안 USB는 사용방법에 대한 내용이 있는데 사용방법인지에 대한 여부 확인이 어렵다는게 어떤 의미인지 모르겠습니다.
그냥 18~30P 내용 메모장에 바로 붙여넣기 후 범정부로 생성한 내용 기대답변으로 첨부합니다. 
------
[Top 5로 정리 가능한지 문의 필요]
</t>
    </r>
    <r>
      <rPr>
        <rFont val="&quot;Malgun Gothic&quot;"/>
        <color rgb="FF00FF00"/>
        <sz val="11.0"/>
      </rPr>
      <t>&gt;&gt; 369_2412_정보화정책과_업무매뉴얼_채울_휴대용저장매체관리시스템 사용자 매뉴얼 2P의 Contents 내용만 활용, 자세한 답변은 링크 참조로 대체
&gt;&gt; 2P 텍스트 복사할 때 순서가 엉망이 되는데 확인 바랍니다.</t>
    </r>
  </si>
  <si>
    <t>(문서 찾아짐. 추가 작업 불필요)</t>
  </si>
  <si>
    <r>
      <rPr>
        <rFont val="맑은 고딕"/>
        <b/>
        <color theme="1"/>
        <sz val="11.0"/>
      </rPr>
      <t>368_2412_정보화정책과_업무매뉴얼_채울_휴대용저장매체관리시스템_부서관리자_매뉴얼.pdf[18~26]</t>
    </r>
    <r>
      <rPr>
        <rFont val="맑은 고딕"/>
        <color theme="1"/>
        <sz val="11.0"/>
      </rPr>
      <t xml:space="preserve">
----
</t>
    </r>
    <r>
      <rPr>
        <rFont val="맑은 고딕"/>
        <color rgb="FFFF0000"/>
        <sz val="11.0"/>
      </rPr>
      <t>[일반 USB 에 대한 정보는 없고 보안 USB의 경우도 사용 방법을 따로 작성하여 사용 방법인지 알기 어려운 문서임]</t>
    </r>
    <r>
      <rPr>
        <rFont val="맑은 고딕"/>
        <color theme="1"/>
        <sz val="11.0"/>
      </rPr>
      <t xml:space="preserve">
----</t>
    </r>
  </si>
  <si>
    <t>인사이동시 개인별/서무담당자 조치방법을 알려주세요</t>
  </si>
  <si>
    <t>인사이동 시 관련 자료로 정리된 내용이 없으므로 이상없습니다</t>
  </si>
  <si>
    <t>gpki 비밀번호 잃어버렸을 떄 조치방법을 알려주세요</t>
  </si>
  <si>
    <t>bsc 공통지표 목록과 점수 산정방식을 알려주세요</t>
  </si>
  <si>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</si>
  <si>
    <t>조직담당관에서 제출해야할 자료인데 미제출입니다.
해당 질문에 대한 근거문서가 없습니다.
기대답변 : 
OO에 대한 관련 문서가 없습니다.
자세한 사항은 관련 부서나 업무 담당자에게 문의하시기 바랍니다.</t>
  </si>
  <si>
    <t>필수교육 목록을 정리해주고 직원별 이수교육 목록을 알려주세요.</t>
  </si>
  <si>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</si>
  <si>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</si>
  <si>
    <t>의회 회기 일정을 알려주세요(상/하반기 업무보고, 결산, 본예산, 추경, 행정사무감사 시기 등)</t>
  </si>
  <si>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</si>
  <si>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</si>
  <si>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</si>
  <si>
    <t>수시인사교류의 절차는 어떻게 되나요</t>
  </si>
  <si>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</si>
  <si>
    <t>ㆍ211_페이지22_문서1_162433_부산광역시의회_지방공무원_인사교류_규칙.pdf (p.1)
https://busanai.busan.go.kr/download/211_페이지22_문서1_162433_부산광역시의회_지방공무원_인사교류_규칙.pdf</t>
  </si>
  <si>
    <r>
      <rPr>
        <rFont val="Malgun Gothic"/>
        <color theme="1"/>
        <sz val="11.0"/>
      </rP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rFont val="Tahoma"/>
        <color theme="1"/>
        <sz val="11.0"/>
      </rPr>
      <t>․</t>
    </r>
    <r>
      <rPr>
        <rFont val="맑은 고딕"/>
        <color theme="1"/>
        <sz val="11.0"/>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rFont val="Segoe UI Symbol"/>
        <color theme="1"/>
        <sz val="11.0"/>
      </rPr>
      <t>◦</t>
    </r>
    <r>
      <rPr>
        <rFont val="맑은 고딕"/>
        <color theme="1"/>
        <sz val="11.0"/>
      </rPr>
      <t xml:space="preserve"> 지방공무원 임용령 제27조
</t>
    </r>
  </si>
  <si>
    <t>-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</si>
  <si>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</si>
  <si>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 xml:space="preserve">전문직위 지정 및 전문관 임용은 어떻게 신청하면 되나요? </t>
  </si>
  <si>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</si>
  <si>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</si>
  <si>
    <r>
      <rPr>
        <rFont val="Malgun Gothic"/>
        <color theme="1"/>
        <sz val="11.0"/>
      </rP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rFont val="Tahoma"/>
        <color theme="1"/>
        <sz val="11.0"/>
      </rPr>
      <t>‧</t>
    </r>
    <r>
      <rPr>
        <rFont val="맑은 고딕"/>
        <color theme="1"/>
        <sz val="11.0"/>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rFont val="Tahoma"/>
        <color theme="1"/>
        <sz val="11.0"/>
      </rPr>
      <t>‧</t>
    </r>
    <r>
      <rPr>
        <rFont val="맑은 고딕"/>
        <color theme="1"/>
        <sz val="11.0"/>
      </rPr>
      <t>국</t>
    </r>
    <r>
      <rPr>
        <rFont val="Tahoma"/>
        <color theme="1"/>
        <sz val="11.0"/>
      </rPr>
      <t>‧</t>
    </r>
    <r>
      <rPr>
        <rFont val="맑은 고딕"/>
        <color theme="1"/>
        <sz val="11.0"/>
      </rPr>
      <t xml:space="preserve">본부별 선발심사위를 운영하여 적격자를 선발 후 전문관으로 임용하게 됩니다.
</t>
    </r>
    <r>
      <rPr>
        <rFont val="Segoe UI Symbol"/>
        <color theme="1"/>
        <sz val="11.0"/>
      </rPr>
      <t>◦</t>
    </r>
    <r>
      <rPr>
        <rFont val="맑은 고딕"/>
        <color theme="1"/>
        <sz val="11.0"/>
      </rPr>
      <t xml:space="preserve"> 지방공무원임용령 제7조의3, 지방공무원평정규칙 제24조제4항</t>
    </r>
  </si>
  <si>
    <t>-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</si>
  <si>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질 문
 ◦ 전문직위 지정 및 전문관 임용은 어떻게 신청하면 되나요?
 답 변
 �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</si>
  <si>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성과상여금 및 연봉결정에 대한 이의신청 방법은?</t>
  </si>
  <si>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</si>
  <si>
    <t>ㆍ214_2501_예산담당관_업무매뉴얼_행정안전부_지방공무원보수업무_등_처리지침.pdf (p.418, 437, 473)
https://busanai.busan.go.kr/download/214_2501_예산담당관_업무매뉴얼_행정안전부_지방공무원보수업무_등_처리지침.pdf</t>
  </si>
  <si>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</si>
  <si>
    <t>참조내용을 근거로 성과상여금과 연봉결정에 대해 질의문 확장된걸로 범정부 활용해서 생성함
 기대답변 : 
 성과상여금 및 연봉결정 이의신청 상세 안내
 1. 이의신청 가능한 사유
  - 공통 사유
  &gt; 평가 과정의 오류 (예: 근거 없는 등급 부여, 점수 계산 착오)
  &gt; 불공정한 기준 적용 또는 차별적 평가 (예: 보직 차별, 동료와의 형평성 문제)
  &gt; 절차적 하자 (예: 통보 일정 미준수, 신청 기회 미부여)
  &gt; 기타 합리적 이유로 증명 가능한 이익 침해 사항
 2. 이의신청 절차
  - 통보 확인
  &gt; 성과급심사위원회는 결과를 소속 부서장에 통보 → 부서장은 즉시 직원에게 알림
  &gt; 최하등급자는 구체적 사유 별도로 설명받음
  - 이의신청서 제출
  &gt; 성과의상여금: 소속 부서장/인사담당관에게 "별지 제2호 서식 이의신청서" 제출
  &gt; 연봉결정: "별지 3 이의신청서" 작성 후 동일한 경로로 제출
  - 타당성 판단 및 재심사 요청
  &gt; 소속 부서장/인사담당관은 이의 타당성을 검토 → 타당하다고 판단되면 성과급심사위원회에 재심사 요청
  - 재심사 및 결과 조정
  &gt; 성과급심사위원회는 요구 사항을 재검토하여 지급 순위/등급 재조정
  &gt; 재조정 원칙: 이의제기하지 않은 직원의 등급은 변동 없음
 3. 필요 서류
  - 공통
  &gt; 이의신청서 (별지 서식별 양식 준수)
  &gt; 증빙 자료: 점수 산출 근거, 비교 대상자 자료, 오류 증빙 서류 등
 4. 처리 기한
  - 성과상여금 이의신청: 3일 이상 7일 이내 (지급 전)
  - 연봉결정(성과연봉 평가) 이의신청: 7일 이내 (통보일 기준)
  - 재심사 결과 통보: 구체적 기한 미정이나, 성과상여금 지급 전 완료되어야 함
 5. 주의 사항
  - 이의신청은 서면 제출만 원칙 (전자문서 가능 여부 확인 필요)
  - 증빙 자료 미제출 시 검토 자체가 기각될 수 있음
  - 재심사 후에도 결과에 불복 시 행정심판 또는 소송으로 진행 가능</t>
  </si>
  <si>
    <t>230, 437</t>
  </si>
  <si>
    <t>성과연봉 평가 등급(230P)
 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성과상여금 이의제기(437P)
 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</si>
  <si>
    <t>성과상여금 및 연봉결정에 대한 이의신청 방법</t>
  </si>
  <si>
    <r>
      <rPr>
        <rFont val="맑은 고딕"/>
        <b/>
        <color theme="1"/>
        <sz val="11.0"/>
      </rPr>
      <t>214_2501_예산담당관_업무매뉴얼_행정안전부_지방공무원보수업무_등_처리지침.pdf[437]</t>
    </r>
    <r>
      <rPr>
        <rFont val="맑은 고딕"/>
        <color theme="1"/>
        <sz val="11.0"/>
      </rPr>
      <t xml:space="preserve">
-----
</t>
    </r>
    <r>
      <rPr>
        <rFont val="맑은 고딕"/>
        <color rgb="FFFF0000"/>
        <sz val="11.0"/>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rFont val="맑은 고딕"/>
        <color theme="1"/>
        <sz val="11.0"/>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</si>
  <si>
    <t>공무원증 신청방법? 발급되는데 얼마나 걸리나요?</t>
  </si>
  <si>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</si>
  <si>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</si>
  <si>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당직 등으로 인한 대체휴무 사용기간은 언제까지인가요?</t>
  </si>
  <si>
    <r>
      <rPr>
        <rFont val="Malgun Gothic"/>
        <color theme="1"/>
        <sz val="11.0"/>
      </rP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rFont val="Segoe UI Symbol"/>
        <color theme="1"/>
        <sz val="11.0"/>
      </rPr>
      <t>◦</t>
    </r>
    <r>
      <rPr>
        <rFont val="맑은 고딕"/>
        <color theme="1"/>
        <sz val="11.0"/>
      </rPr>
      <t xml:space="preserve"> 「지방공무원 복무규정」제4조</t>
    </r>
  </si>
  <si>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</si>
  <si>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</si>
  <si>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휴가 마지막 날 18시 이후 초과근무가 가능한지 ?</t>
  </si>
  <si>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</si>
  <si>
    <t>ㆍ264_2401_인사과_법령_행정안전부_지방공무원_인사관계_법령집.pdf (p.253, 397, 503)
https://busanai.busan.go.kr/download/264_2401_인사과_법령_행정안전부_지방공무원_인사관계_법령집.pdf</t>
  </si>
  <si>
    <r>
      <rPr>
        <rFont val="Malgun Gothic"/>
        <color theme="1"/>
        <sz val="11.0"/>
      </rP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rFont val="Segoe UI Symbol"/>
        <color theme="1"/>
        <sz val="11.0"/>
      </rPr>
      <t>◦</t>
    </r>
    <r>
      <rPr>
        <rFont val="맑은 고딕"/>
        <color theme="1"/>
        <sz val="11.0"/>
      </rPr>
      <t xml:space="preserve"> 「지방공무원 복무 예규」</t>
    </r>
  </si>
  <si>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</si>
  <si>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</si>
  <si>
    <t>육아휴직수당의 지급 금액은 얼마인가요?</t>
  </si>
  <si>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</si>
  <si>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</si>
  <si>
    <r>
      <rPr>
        <rFont val="Malgun Gothic"/>
        <color theme="1"/>
        <sz val="11.0"/>
      </rP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rFont val="Segoe UI Symbol"/>
        <color theme="1"/>
        <sz val="11.0"/>
      </rPr>
      <t>◦</t>
    </r>
    <r>
      <rPr>
        <rFont val="맑은 고딕"/>
        <color theme="1"/>
        <sz val="11.0"/>
      </rPr>
      <t xml:space="preserve"> 지방공무원 수당 등에 관한 규정 제11조의2</t>
    </r>
  </si>
  <si>
    <t>- 30일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</si>
  <si>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t>
  </si>
  <si>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</si>
  <si>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</si>
  <si>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가족수당의 지급 금액은 어떻게 되나요?</t>
  </si>
  <si>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</si>
  <si>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</si>
  <si>
    <r>
      <rPr>
        <rFont val="Malgun Gothic"/>
        <color theme="1"/>
        <sz val="11.0"/>
      </rPr>
      <t xml:space="preserve">해당 내용도 위와 마찬가지입니다
관련 근거 : 인사과 자주 찾는 질문
기대답변 : 
가족수당은 배우자는 월 4만원, 자녀는 5~12만원,
배우자와 자녀를 제외한 부양가족은 월 2만원입니다.
</t>
    </r>
    <r>
      <rPr>
        <rFont val="Segoe UI Symbol"/>
        <color theme="1"/>
        <sz val="11.0"/>
      </rPr>
      <t>◦</t>
    </r>
    <r>
      <rPr>
        <rFont val="맑은 고딕"/>
        <color theme="1"/>
        <sz val="11.0"/>
      </rPr>
      <t xml:space="preserve"> 지방공무원 수당 등에 관한 규정 제10조</t>
    </r>
  </si>
  <si>
    <t>가족수당은 배우자는 월 4만원, 자녀는 5~12만원,
 배우자와 자녀를 제외한 부양가족은 월 2만원입니다.
 ◦ 지방공무원 수당 등에 관한 규정 제10조</t>
  </si>
  <si>
    <t>질 문
 ◦ 가족수당의 지급 금액은 어떻게 되나요?
 답 변
 � 가족수당은 배우자는 월 4만원, 자녀는 5~12만원,
 배우자와 자녀를 제외한 부양가족은 월 2만원입니다.
 ◦ 지방공무원 수당 등에 관한 규정 제10조</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</si>
  <si>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</si>
  <si>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복지포인트 영수증 승인 건에 대한 처리(환급 포함) 시기는?</t>
  </si>
  <si>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</si>
  <si>
    <t>ㆍ290_2501_인사과_기타_인사과_2025년도_부산광역시_맞춤형복지제도_운영계획.pdf (p.1)
https://busanai.busan.go.kr/download/290_2501_인사과_기타_인사과_2025년도_부산광역시_맞춤형복지제도_운영계획.pdf</t>
  </si>
  <si>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</si>
  <si>
    <t>승인처리 후 익월 결제대금에서 차감되거나, 결제할 대금이 없으면
 환급되며, 카드결제대금일은 개인마다 다르기 때문에 추가 문의사항
 있으시면 베네피아 고객센터(☏1566-9955)로 문의해 주시기 바랍니다.</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</si>
  <si>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</si>
  <si>
    <t>공무직 직원이 휴직하였는데, 기간제 승인을 받을 수 있나요?</t>
  </si>
  <si>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</si>
  <si>
    <t>ㆍ747_페이지75_문서7_163334_부산광역시_공무직_및_기간제노동자_인사관리_규정.pdf (p.1)
https://busanai.busan.go.kr/download/747_페이지75_문서7_163334_부산광역시_공무직_및_기간제노동자_인사관리_규정.pdf</t>
  </si>
  <si>
    <r>
      <rPr>
        <rFont val="Malgun Gothic"/>
        <color theme="1"/>
        <sz val="11.0"/>
      </rP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rFont val="Segoe UI Symbol"/>
        <color theme="1"/>
        <sz val="11.0"/>
      </rPr>
      <t>◦</t>
    </r>
    <r>
      <rPr>
        <rFont val="맑은 고딕"/>
        <color theme="1"/>
        <sz val="11.0"/>
      </rPr>
      <t xml:space="preserve"> 「부산광역시 공무직 및 기간제노동자 인사관리 규정」 제11조</t>
    </r>
  </si>
  <si>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</si>
  <si>
    <t>747_페이지75_문서7_163334_부산광역시_공무직_및_기간제노동자_인사관리_규정.pdf</t>
  </si>
  <si>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</si>
  <si>
    <t>공무직 직원 휴직시 기간제 승인 확인 여부에 대한 설명</t>
  </si>
  <si>
    <t>예산 통계목별 꼭 거쳐야 하는 예산 사전절차는 어떤것들이 있으며, 그 사전절차 과정은 어떻게 되나요?</t>
  </si>
  <si>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</si>
  <si>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</si>
  <si>
    <r>
      <rPr>
        <rFont val="Malgun Gothic"/>
        <color theme="1"/>
        <sz val="11.0"/>
      </rP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</si>
  <si>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일상경비 감사에서 가장 많이 지적되는 사항은 어떤것들이 있으며, 해당 케이스는 어떻게 처리해야 원칙적으로 처리되는 것인가요?</t>
  </si>
  <si>
    <r>
      <rPr>
        <rFont val="Malgun Gothic"/>
        <color theme="1"/>
        <sz val="11.0"/>
      </rPr>
      <t xml:space="preserve">관련근거 : 미제출한 일상경비 감사 전달사항 파일로 기대답변 생성했습니다.
기대답변 :
1. 물품검수조서 미작성
 </t>
    </r>
    <r>
      <rPr>
        <rFont val="Segoe UI Symbol"/>
        <color theme="1"/>
        <sz val="11.0"/>
      </rPr>
      <t>▢</t>
    </r>
    <r>
      <rPr>
        <rFont val="맑은 고딕"/>
        <color theme="1"/>
        <sz val="11.0"/>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rFont val="Segoe UI Symbol"/>
        <color theme="1"/>
        <sz val="11.0"/>
      </rPr>
      <t>▢</t>
    </r>
    <r>
      <rPr>
        <rFont val="맑은 고딕"/>
        <color theme="1"/>
        <sz val="11.0"/>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rFont val="Segoe UI Symbol"/>
        <color theme="1"/>
        <sz val="11.0"/>
      </rPr>
      <t>▢</t>
    </r>
    <r>
      <rPr>
        <rFont val="맑은 고딕"/>
        <color theme="1"/>
        <sz val="11.0"/>
      </rPr>
      <t xml:space="preserve"> 관련 규정
  ▷ 업무추진비 구분
   ① 기관운영업무추진비, 시책업무추진비
    - 불우소외계층에 대한 봉사활동에 종사하는 자(개인</t>
    </r>
    <r>
      <rPr>
        <rFont val="Tahoma"/>
        <color theme="1"/>
        <sz val="11.0"/>
      </rPr>
      <t>‧</t>
    </r>
    <r>
      <rPr>
        <rFont val="맑은 고딕"/>
        <color theme="1"/>
        <sz val="11.0"/>
      </rPr>
      <t>단체</t>
    </r>
    <r>
      <rPr>
        <rFont val="Tahoma"/>
        <color theme="1"/>
        <sz val="11.0"/>
      </rPr>
      <t>‧</t>
    </r>
    <r>
      <rPr>
        <rFont val="맑은 고딕"/>
        <color theme="1"/>
        <sz val="11.0"/>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rFont val="Segoe UI Symbol"/>
        <color theme="1"/>
        <sz val="11.0"/>
      </rPr>
      <t>❶</t>
    </r>
    <r>
      <rPr>
        <rFont val="맑은 고딕"/>
        <color theme="1"/>
        <sz val="11.0"/>
      </rPr>
      <t xml:space="preserve"> 지방자치단체 회계관리에 관한 훈령 【별표2】세출예산 성질별 분류에 대한 집행기준  4. 업무추진비 / </t>
    </r>
    <r>
      <rPr>
        <rFont val="Segoe UI Symbol"/>
        <color theme="1"/>
        <sz val="11.0"/>
      </rPr>
      <t>❷</t>
    </r>
    <r>
      <rPr>
        <rFont val="맑은 고딕"/>
        <color theme="1"/>
        <sz val="11.0"/>
      </rPr>
      <t xml:space="preserve">지방자치단체 업무추진비 집행에 관한 규칙(행정안전부령 제381호, 2023. 3. 3. 일부개정 ) / </t>
    </r>
    <r>
      <rPr>
        <rFont val="Segoe UI Symbol"/>
        <color theme="1"/>
        <sz val="11.0"/>
      </rPr>
      <t>❸</t>
    </r>
    <r>
      <rPr>
        <rFont val="맑은 고딕"/>
        <color theme="1"/>
        <sz val="11.0"/>
      </rPr>
      <t xml:space="preserve">24년도 지방자치단체 예산편성기준 및 기금운용계획 수립 기준,  【별표11】세출예산 성질별 분류 중 업무추진비
 </t>
    </r>
    <r>
      <rPr>
        <rFont val="Segoe UI Symbol"/>
        <color theme="1"/>
        <sz val="11.0"/>
      </rPr>
      <t>▢</t>
    </r>
    <r>
      <rPr>
        <rFont val="맑은 고딕"/>
        <color theme="1"/>
        <sz val="11.0"/>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rFont val="Segoe UI Symbol"/>
        <color theme="1"/>
        <sz val="11.0"/>
      </rPr>
      <t>▢</t>
    </r>
    <r>
      <rPr>
        <rFont val="맑은 고딕"/>
        <color theme="1"/>
        <sz val="11.0"/>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rFont val="Segoe UI Symbol"/>
        <color theme="1"/>
        <sz val="11.0"/>
      </rPr>
      <t>▢</t>
    </r>
    <r>
      <rPr>
        <rFont val="맑은 고딕"/>
        <color theme="1"/>
        <sz val="11.0"/>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</si>
  <si>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</si>
  <si>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1244_일상경비_감사_전달사항.pdf</t>
  </si>
  <si>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</si>
  <si>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일상경비 감사 주요 지적 사항 및 원칙적인 처리 방법</t>
  </si>
  <si>
    <t>조달청에서 물품을 구입하려면 어떤 절차를 거쳐야 하며, e호조는 어떤식으로 진행되어야 하나요?</t>
  </si>
  <si>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</si>
  <si>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</si>
  <si>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</si>
  <si>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</si>
  <si>
    <r>
      <rPr>
        <rFont val="Malgun Gothic"/>
        <color theme="1"/>
        <sz val="11.0"/>
      </rPr>
      <t xml:space="preserve">조달청에서 공사, 용역, 물품 구입 절차 안내, e호조 
</t>
    </r>
    <r>
      <rPr>
        <rFont val="Malgun Gothic"/>
        <color rgb="FFFF0000"/>
        <sz val="11.0"/>
      </rPr>
      <t>(답을 선택하기 위해 e호조에 대한 내용을 넣었으나, 사실상 e호조에 대한 내용이 없음)</t>
    </r>
  </si>
  <si>
    <t>일상경비로 계약을 하는 경우, 필요한 서류는 어떤것들이 있으며, e호조는 어떻게 진행해야 하나요?</t>
  </si>
  <si>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</si>
  <si>
    <t>7, 8</t>
  </si>
  <si>
    <t>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t>
  </si>
  <si>
    <t>일상경비 계약 시 필요 서류 목록 안내, e호조를 이용한 일상경비 지출 절차 안내</t>
  </si>
  <si>
    <t>물품 RFID 재발급은 어떻게 해야 하나요?</t>
  </si>
  <si>
    <r>
      <rPr>
        <rFont val="Segoe UI Symbol"/>
        <color theme="1"/>
        <sz val="11.0"/>
      </rPr>
      <t>🚨</t>
    </r>
    <r>
      <rPr>
        <rFont val="Calibri"/>
        <color theme="1"/>
        <sz val="11.0"/>
      </rPr>
      <t xml:space="preserve"> </t>
    </r>
    <r>
      <rPr>
        <rFont val="맑은 고딕"/>
        <color theme="1"/>
        <sz val="11.0"/>
      </rPr>
      <t>답변</t>
    </r>
    <r>
      <rPr>
        <rFont val="Calibri"/>
        <color theme="1"/>
        <sz val="11.0"/>
      </rPr>
      <t xml:space="preserve"> </t>
    </r>
    <r>
      <rPr>
        <rFont val="맑은 고딕"/>
        <color theme="1"/>
        <sz val="11.0"/>
      </rPr>
      <t>생성중</t>
    </r>
    <r>
      <rPr>
        <rFont val="Calibri"/>
        <color theme="1"/>
        <sz val="11.0"/>
      </rPr>
      <t xml:space="preserve"> </t>
    </r>
    <r>
      <rPr>
        <rFont val="맑은 고딕"/>
        <color theme="1"/>
        <sz val="11.0"/>
      </rPr>
      <t>오류가</t>
    </r>
    <r>
      <rPr>
        <rFont val="Calibri"/>
        <color theme="1"/>
        <sz val="11.0"/>
      </rPr>
      <t xml:space="preserve"> </t>
    </r>
    <r>
      <rPr>
        <rFont val="맑은 고딕"/>
        <color theme="1"/>
        <sz val="11.0"/>
      </rPr>
      <t>발생했습니다</t>
    </r>
    <r>
      <rPr>
        <rFont val="Calibri"/>
        <color theme="1"/>
        <sz val="11.0"/>
      </rPr>
      <t xml:space="preserve">. </t>
    </r>
    <r>
      <rPr>
        <rFont val="맑은 고딕"/>
        <color theme="1"/>
        <sz val="11.0"/>
      </rPr>
      <t>관리자에게</t>
    </r>
    <r>
      <rPr>
        <rFont val="Calibri"/>
        <color theme="1"/>
        <sz val="11.0"/>
      </rPr>
      <t xml:space="preserve"> </t>
    </r>
    <r>
      <rPr>
        <rFont val="맑은 고딕"/>
        <color theme="1"/>
        <sz val="11.0"/>
      </rPr>
      <t>문의해주세요</t>
    </r>
    <r>
      <rPr>
        <rFont val="Calibri"/>
        <color theme="1"/>
        <sz val="11.0"/>
      </rPr>
      <t xml:space="preserve">. </t>
    </r>
  </si>
  <si>
    <t>부산시 캐릭터 부기를 사용한 홍보를 하고 싶은데 부기 캐릭터 사용 절차는 어떻게 되나요?</t>
  </si>
  <si>
    <t>이상없음</t>
  </si>
  <si>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</si>
  <si>
    <t>1265_2311_미디어담당관_공문_미디어담당관_부산광역시_소통_캐릭터_부기_디자인_활용시_사전_공문_협조_알림-odt.pdf</t>
  </si>
  <si>
    <t>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</si>
  <si>
    <t>부산시 공식 캐릭터 사용 승인 절차 안내, 캐릭터 사용 신청서 양식 및 제출 방법 안내, 부기 캐릭터 사용 안내</t>
  </si>
  <si>
    <t>인사랑 휴가결재승인이 되었는데 휴가 사용 후 추후 휴가 사유 변경을 하려면 어떻게 해야 하나요?</t>
  </si>
  <si>
    <t>해당 자료가 있긴 한데 이미지 파일로 되어 있습니다.
&gt; 인사과 복무관리 매뉴얼 40P keypoint 연가신청내역 수정 또는 삭제</t>
  </si>
  <si>
    <t>검사조서가 꼭 필요한 항목은 어떤것들이 있나요?</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</si>
  <si>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</si>
  <si>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</si>
  <si>
    <t>오른쪽 검토자료 참조내용 3개를 바탕으로 범정부 AI로 생성한 자료입니다.
 기대답변:
 검사조서가 반드시 필요한 항목 및 조건은 아래에 정리되었습니다.
 공사·물품·용역계약 길라잡이의 공통 및 계약별 예외 사항에 기반해 작성되었습니다.
 1. 모든 계약에서 검사조서 필요 조건
  - 계약금액이 3,000만 원 이상인 경우
  - 전기·가스·수도 공급 등의 계약이 아닌 경우
  &gt; 단, 계약금액 3,000만 원 미만이거나 "성질상 불필요한 경우"(전기·가스·수도 등)에만 생략 가능
 2. 계약 유형별 추가 조건
  - 공사계약 &amp; 용역계약
  &gt; 공통: 위 "1"에 해당하면 검사조서 필요
  &gt; 추가: 계약이행 내용이 당초 계약조건(시방서 등)과 불일치할 경우
  → 불합격 사항 및 조치 의견을 반드시 검사조서에 명시 후 계약담당자에게 제출
  - 물품계약
  &gt; 납품검사 시 다음 경우 불합격으로 처리
  계약조건에 적합하지 않은 신제품·신기술·특허 미적용
  계약된 원산지·우수제품 지정여부 위반,
  시험성적서·품질인증서·수입신고필증 위·변조
  → 불합격 제품 정보와 사유를 지정정보처리장치에 등록 후 검사조서에 반영
  &gt; 검사 결과 계약내용(규격·수량 등) 불일치 시
  → 불일치 사실과 조치 의견을 검사조서에 기재
 3. 예외적 생략 가능 조건
  - 계약금액 3,000만 원 미만
  - 전기·가스·수도의 공급 등 검사 자체가 불필요한 성격의 계약
  &gt; 단, 검사자 지정 후 검사는 필수 (검수란에 검사자 날인)
 ※ 주의사항
 검사조서 작성 시 **"보험료 등 사후정산 합의서"**를 계약상대방과 작성한 후 첨부
 계약 유형에 따라 불합격 처리 조건이 물품계약&gt;공사·용역계약 순으로 구체적임을 유의
 이 기준은 계약 유형별 길라잡이 예외 조항을 종합한 것으로, 실제 적용 시 소속 기관의 내부 규정과 세부 계약 조건을 반드시 확인하시기 바랍니다.</t>
  </si>
  <si>
    <t>473_2411_회계재산담당관_업무매뉴얼_한국지방재정공제회_2024년_개정판_용역계약_길라잡이한국지방재정공제회.pdf</t>
  </si>
  <si>
    <t>330</t>
  </si>
  <si>
    <t>다. 검사조서의 작성 및 제출
 ❍ 검사를 한 자는 검사조서를 작성･제출
 ※ 검사조서 작성 시 계약상대자로부터 보험료 등 사후정산에 따른 정산합의서 징구 후 계약담당자에게
 제출
 ❍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② 전기･가스･수도의 공급 등 검사조서의 작성이 성질상 불필요한 경우
 ※ 검사조서 작성을 생략하더라도 검사자를 임명하여 검사는 해야 하며, 지출결의서 검수란에 검사자가
 날인함</t>
  </si>
  <si>
    <t>검사조서 필수 항목</t>
  </si>
  <si>
    <r>
      <rPr>
        <rFont val="맑은 고딕"/>
        <b/>
        <color rgb="FF000000"/>
        <sz val="11.0"/>
      </rPr>
      <t>471_2411_회계재산담당관_업무매뉴얼_한국지방재정공제회_2024년_개정판_공사계약_길라잡이한국지방재정공제회.pdf (p.322)</t>
    </r>
    <r>
      <rPr>
        <rFont val="맑은 고딕"/>
        <color rgb="FF000000"/>
        <sz val="11.0"/>
      </rPr>
      <t xml:space="preserve">
-----
[p.322]
3)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수도의 공급 등 검사조서의 작성이 성질상 불필요한 경우
 ※ 검사조서 작성을 생략하더라도 검사자를 임명하여 검사는 해야 하며, 지출결의서 검수란에 검사자가 날인함</t>
    </r>
  </si>
  <si>
    <r>
      <rPr>
        <rFont val="맑은 고딕"/>
        <b/>
        <color rgb="FF000000"/>
        <sz val="11.0"/>
      </rPr>
      <t>472_2411_회계재산담당관_업무매뉴얼_한국지방재정공제회_2024년_개정판_물품계약_길라잡이한국지방재정공제회.pdf (p.296)</t>
    </r>
    <r>
      <rPr>
        <rFont val="맑은 고딕"/>
        <color rgb="FF000000"/>
        <sz val="11.0"/>
      </rPr>
      <t xml:space="preserve">
-----
[p.296]
다.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 xml:space="preserve">수도의 공급 등 검사조서의 작성이 성질상 불필요한 경우
 ※ 검사조서 작성을 생략하더라도 검사자를 임명하여 검사는 해야 하며, 지출결의서 검수란에 검사자가 날인함
</t>
    </r>
    <r>
      <rPr>
        <rFont val="Segoe UI Symbol"/>
        <color rgb="FF000000"/>
        <sz val="11.0"/>
      </rPr>
      <t>❍</t>
    </r>
    <r>
      <rPr>
        <rFont val="맑은 고딕"/>
        <color rgb="FF000000"/>
        <sz val="11.0"/>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rFont val="Noto Sans KR"/>
        <color rgb="FF000000"/>
        <sz val="11.0"/>
      </rPr>
      <t>‧</t>
    </r>
    <r>
      <rPr>
        <rFont val="맑은 고딕"/>
        <color rgb="FF000000"/>
        <sz val="11.0"/>
      </rPr>
      <t>품질인증서</t>
    </r>
    <r>
      <rPr>
        <rFont val="Noto Sans KR"/>
        <color rgb="FF000000"/>
        <sz val="11.0"/>
      </rPr>
      <t>‧</t>
    </r>
    <r>
      <rPr>
        <rFont val="맑은 고딕"/>
        <color rgb="FF000000"/>
        <sz val="11.0"/>
      </rPr>
      <t>수입신고필증을 위</t>
    </r>
    <r>
      <rPr>
        <rFont val="Noto Sans KR"/>
        <color rgb="FF000000"/>
        <sz val="11.0"/>
      </rPr>
      <t>‧</t>
    </r>
    <r>
      <rPr>
        <rFont val="맑은 고딕"/>
        <color rgb="FF000000"/>
        <sz val="11.0"/>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rFont val="Noto Sans KR"/>
        <color rgb="FF000000"/>
        <sz val="11.0"/>
      </rPr>
      <t>･</t>
    </r>
    <r>
      <rPr>
        <rFont val="맑은 고딕"/>
        <color rgb="FF000000"/>
        <sz val="11.0"/>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</si>
  <si>
    <t>관내출장을 갔다가 관외출장을 가는경우, 출장비는 어떻게 지급되어야 하나요?</t>
  </si>
  <si>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</si>
  <si>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</si>
  <si>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</si>
  <si>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</si>
  <si>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1230_공무원여비100문100답.pdf</t>
  </si>
  <si>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</si>
  <si>
    <t>관내출장 이후 관외출장 시 출장비 지급 여부에 대한 설명, 근무지 내 출장 후 동일한 날 근무지 외 출장을 다녀온 경우 출장비 및 여비지급 처리 사항</t>
  </si>
  <si>
    <t>주말에 관외출장을 가는경우 초과근무나 대체휴무 지급이 가능한가요?</t>
  </si>
  <si>
    <r>
      <rPr>
        <rFont val="Malgun Gothic"/>
        <color theme="1"/>
        <sz val="11.0"/>
      </rP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</si>
  <si>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</si>
  <si>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r>
      <rPr>
        <rFont val="Calibri"/>
        <color rgb="FFFF0000"/>
        <sz val="11.0"/>
      </rPr>
      <t>[</t>
    </r>
    <r>
      <rPr>
        <rFont val="맑은 고딕"/>
        <color rgb="FFFF0000"/>
        <sz val="11.0"/>
      </rPr>
      <t>미답변</t>
    </r>
    <r>
      <rPr>
        <rFont val="Calibri"/>
        <color rgb="FFFF0000"/>
        <sz val="11.0"/>
      </rPr>
      <t xml:space="preserve"> </t>
    </r>
    <r>
      <rPr>
        <rFont val="맑은 고딕"/>
        <color rgb="FFFF0000"/>
        <sz val="11.0"/>
      </rPr>
      <t>가능성</t>
    </r>
    <r>
      <rPr>
        <rFont val="Calibri"/>
        <color rgb="FFFF0000"/>
        <sz val="11.0"/>
      </rPr>
      <t xml:space="preserve"> </t>
    </r>
    <r>
      <rPr>
        <rFont val="맑은 고딕"/>
        <color rgb="FFFF0000"/>
        <sz val="11.0"/>
      </rPr>
      <t>있음</t>
    </r>
    <r>
      <rPr>
        <rFont val="Calibri"/>
        <color rgb="FFFF0000"/>
        <sz val="11.0"/>
      </rPr>
      <t xml:space="preserve">] </t>
    </r>
    <r>
      <rPr>
        <rFont val="맑은 고딕"/>
        <color rgb="FFFF0000"/>
        <sz val="11.0"/>
      </rPr>
      <t>관외출장이라는</t>
    </r>
    <r>
      <rPr>
        <rFont val="Calibri"/>
        <color rgb="FFFF0000"/>
        <sz val="11.0"/>
      </rPr>
      <t xml:space="preserve"> </t>
    </r>
    <r>
      <rPr>
        <rFont val="맑은 고딕"/>
        <color rgb="FFFF0000"/>
        <sz val="11.0"/>
      </rPr>
      <t xml:space="preserve">단어
</t>
    </r>
  </si>
  <si>
    <t>불용물품 처리는 어떤 프로세스를 거쳐서 해야하나요?</t>
  </si>
  <si>
    <t>위원회를 만들때 어떤 프로세스를 거쳐서 해야하나요?</t>
  </si>
  <si>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</si>
  <si>
    <t>ㆍ374_2203_조직담당관_업무매뉴얼_조직담당관_부산광역시_위원회_설치운영_지침.pdf (p.1, 15, 52)
https://busanai.busan.go.kr/download/374_2203_조직담당관_업무매뉴얼_조직담당관_부산광역시_위원회_설치운영_지침.pdf</t>
  </si>
  <si>
    <r>
      <rPr>
        <rFont val="Malgun Gothic"/>
        <color theme="1"/>
        <sz val="11.0"/>
      </rP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rFont val="Tahoma"/>
        <color theme="1"/>
        <sz val="11.0"/>
      </rPr>
      <t>․</t>
    </r>
    <r>
      <rPr>
        <rFont val="맑은 고딕"/>
        <color theme="1"/>
        <sz val="11.0"/>
      </rPr>
      <t>본부</t>
    </r>
    <r>
      <rPr>
        <rFont val="Tahoma"/>
        <color theme="1"/>
        <sz val="11.0"/>
      </rPr>
      <t>․</t>
    </r>
    <r>
      <rPr>
        <rFont val="맑은 고딕"/>
        <color theme="1"/>
        <sz val="11.0"/>
      </rPr>
      <t xml:space="preserve">국방침 수립 전
 </t>
    </r>
    <r>
      <rPr>
        <rFont val="Segoe UI Symbol"/>
        <color theme="1"/>
        <sz val="11.0"/>
      </rPr>
      <t>▸</t>
    </r>
    <r>
      <rPr>
        <rFont val="맑은 고딕"/>
        <color theme="1"/>
        <sz val="11.0"/>
      </rPr>
      <t xml:space="preserve">신설 검토의뢰(담당부서 →총괄부서)
 </t>
    </r>
    <r>
      <rPr>
        <rFont val="Segoe UI Symbol"/>
        <color theme="1"/>
        <sz val="11.0"/>
      </rPr>
      <t>▸</t>
    </r>
    <r>
      <rPr>
        <rFont val="맑은 고딕"/>
        <color theme="1"/>
        <sz val="11.0"/>
      </rPr>
      <t xml:space="preserve">검토결과 통보(총괄부서 →담당부서)
2. 기본입법 방침
</t>
    </r>
    <r>
      <rPr>
        <rFont val="Segoe UI Symbol"/>
        <color theme="1"/>
        <sz val="11.0"/>
      </rPr>
      <t>▸</t>
    </r>
    <r>
      <rPr>
        <rFont val="맑은 고딕"/>
        <color theme="1"/>
        <sz val="11.0"/>
      </rPr>
      <t xml:space="preserve">담당부서
</t>
    </r>
    <r>
      <rPr>
        <rFont val="Segoe UI Symbol"/>
        <color theme="1"/>
        <sz val="11.0"/>
      </rPr>
      <t>▸</t>
    </r>
    <r>
      <rPr>
        <rFont val="맑은 고딕"/>
        <color theme="1"/>
        <sz val="11.0"/>
      </rPr>
      <t xml:space="preserve">총괄부서 협조 결재
3. 법제심사
</t>
    </r>
    <r>
      <rPr>
        <rFont val="Segoe UI Symbol"/>
        <color theme="1"/>
        <sz val="11.0"/>
      </rPr>
      <t>▸</t>
    </r>
    <r>
      <rPr>
        <rFont val="맑은 고딕"/>
        <color theme="1"/>
        <sz val="11.0"/>
      </rPr>
      <t>총괄부서 검토결과 첨부 의뢰(담당부서 →법무담당관)
 ※ 신설검토 결과 반영여부 확인(법무담당관)
4. 조례 등 제</t>
    </r>
    <r>
      <rPr>
        <rFont val="Tahoma"/>
        <color theme="1"/>
        <sz val="11.0"/>
      </rPr>
      <t>․</t>
    </r>
    <r>
      <rPr>
        <rFont val="맑은 고딕"/>
        <color theme="1"/>
        <sz val="11.0"/>
      </rPr>
      <t xml:space="preserve">개정 후 위원회 설치(구성)
 </t>
    </r>
    <r>
      <rPr>
        <rFont val="Segoe UI Symbol"/>
        <color theme="1"/>
        <sz val="11.0"/>
      </rPr>
      <t>▸</t>
    </r>
    <r>
      <rPr>
        <rFont val="맑은 고딕"/>
        <color theme="1"/>
        <sz val="11.0"/>
      </rPr>
      <t xml:space="preserve"> 담당부서
※ 위원회 구성·운영계획 제출(담당부서 →총괄부서)</t>
    </r>
  </si>
  <si>
    <t>범정부 활용 답변 생성 내용
 기대답변:
 위원회 설치 프로세스 및 주요 고려사항
 1. 설치 시 고려사항
  - 설치 필요성
  &gt; 지방자치법 시행령 제77조·78조에 따라 설치 목적을 명확히 합니다 (예: "고도의 전문지식 요청", "공정한 집행 필요성", "주민 의사 반영")
  &gt; 기존 위원회로 대체 가능한지 사전 검토합니다
  - 설치 근거
  &gt; 지방자치법 제129조·130조에 따라 법률 또는 조례로 설치해야 합니다.
  &gt; 합격제 행정관청(의결 구속력 있는 위원회)은 조례로 운영 근거를 규정해야 하며, 자문위원회는 세부 사항은 규칙으로 정할 수 있습니다.
  - 소관사무 여부
  &gt; 자치사무 또는 단체위임사무에 한해 설치 가능합니다.
  &gt; 기관위임사무는 법적 근거가 명시된 경우에만 조례 제정 가능 (예: 상위 법령이 조례 규정을 허용한 경우).
  - 중복·유사 위원회 방지
  &gt; 신설회의체가 다른 기관 회의로 대체 가능한지 검토합니다.
  &gt; 기존 위원회와 기능 중복 시 폐지 건의 또는 일원화 방안 마련.
  - 필수 규정 명시사항
  &gt; 위원회 구성·임기, 위원장·부위원장 선출 방식, 회의 절차(소집·의사정족수·의결정족수), 위원의 결격사유 등을 명시해야 합니다.
  &gt; 공정성이 요구되는 업무의 경우 제척·기피·회피 규정 추가.
  - 존속기한 설정
  &gt; 조례에 5년 이내로 존속기한을 명시해야 합니다.
  &gt; 연장 필요 시 조례 개정 필수 (단, 평가 후 연장이 가능하도록 규정된 경우 방침으로 연장 가능).
  - 자문기관 운영 제한
  &gt; 자문기관에 상설 사무처 설치가 금지됩니다.
 2. 설치 절차
  - 사전 활동(권장)
  &gt; 1년 정도 T/F(특별팀)형 자문단 운영 후, 성과 평가 후 위원회 설치를 검토합니다.
  - 사전 협의
  &gt; 총괄부서(예: 기획부서)와 협의하여 입법 계획을 수립합니다.(유사 위원회 존재 여부, 소관사무 적합성 등 검토)
  - 조례 제정 단계
  &gt; 신규 합의체 행정기관은 시장(또는 도지사) 권한으로 설치합니다.
  &gt; 자문기관은 조례로 설치하되, 위촉 권한은 시장에게 있어 외부 개입이 불가능합니다.
  - 운영 규약 수립
  &gt; 위원회 운영 규칙(예: 서식,보고 의무 등)을 내부 규정으로 제정합니다.
 ⚠️ 주의사항
  - 합의체 행정기관 설치 시 지방의회의 독자적 조례 발의 불가 (법원 판결 기준).
  - 위원회 위촉 시 위원 과반수를 외부 전문가로 구성하는 조례는 위법입니다.
  - 기관위임사무와 자치사무를 구분하여 법적 권한 확인이 필수입니다.</t>
  </si>
  <si>
    <t>374_2203_조직담당관_업무매뉴얼_조직담당관_부산광역시_위원회_설치운영_지침.pdf</t>
  </si>
  <si>
    <t>6, 7, 8, 9</t>
  </si>
  <si>
    <t>참조 페이지 내용 전체</t>
  </si>
  <si>
    <r>
      <rPr>
        <rFont val="Malgun Gothic"/>
        <color rgb="FF000000"/>
        <sz val="11.0"/>
      </rPr>
      <t xml:space="preserve">위원회 설치 및 운영 절차와 방법 안내, 위원회 구성 방법 안내, 위원회 만들 때 필요한 절차 안내
</t>
    </r>
    <r>
      <rPr>
        <rFont val="Malgun Gothic"/>
        <color rgb="FFFF0000"/>
        <sz val="11.0"/>
      </rPr>
      <t>&gt;&gt; 6, 7, 8, 9 페이지 모두 부스트 키워드를 추가했지만 Top5에는 6페이지만 걸림(2순위)</t>
    </r>
  </si>
  <si>
    <r>
      <rPr>
        <rFont val="맑은 고딕"/>
        <b/>
        <color rgb="FFFF0000"/>
        <sz val="11.0"/>
      </rPr>
      <t>374_2203_조직담당관_업무매뉴얼_조직담당관_부산광역시_위원회_설치운영_지침.pdf[11]</t>
    </r>
    <r>
      <rPr>
        <rFont val="맑은 고딕"/>
        <color rgb="FFFF0000"/>
        <sz val="11.0"/>
      </rPr>
      <t xml:space="preserve">
-----
</t>
    </r>
    <r>
      <rPr>
        <rFont val="맑은 고딕"/>
        <color rgb="FFFF0000"/>
        <sz val="11.0"/>
      </rPr>
      <t xml:space="preserve">[글이 표 형태가 아니고 이미지 형태로 되어 있어 각 항목에 대한 하위 내용을 인지하지 못함]
</t>
    </r>
    <r>
      <rPr>
        <rFont val="맑은 고딕"/>
        <color rgb="FFFF0000"/>
        <sz val="11.0"/>
      </rPr>
      <t>-----
[p.11]
위원회 신설 검토 기본입법 방침 법제심사
※ 해당 실</t>
    </r>
    <r>
      <rPr>
        <rFont val="MS UI Gothic"/>
        <color rgb="FFFF0000"/>
        <sz val="11.0"/>
      </rPr>
      <t>․</t>
    </r>
    <r>
      <rPr>
        <rFont val="맑은 고딕"/>
        <color rgb="FFFF0000"/>
        <sz val="11.0"/>
      </rPr>
      <t>본부</t>
    </r>
    <r>
      <rPr>
        <rFont val="MS UI Gothic"/>
        <color rgb="FFFF0000"/>
        <sz val="11.0"/>
      </rPr>
      <t>․</t>
    </r>
    <r>
      <rPr>
        <rFont val="맑은 고딕"/>
        <color rgb="FFFF0000"/>
        <sz val="11.0"/>
      </rPr>
      <t xml:space="preserve">국 방침 수립 전
</t>
    </r>
    <r>
      <rPr>
        <rFont val="Segoe UI Symbol"/>
        <color rgb="FFFF0000"/>
        <sz val="11.0"/>
      </rPr>
      <t>▸</t>
    </r>
    <r>
      <rPr>
        <rFont val="맑은 고딕"/>
        <color rgb="FFFF0000"/>
        <sz val="11.0"/>
      </rPr>
      <t xml:space="preserve">신설 검토의뢰
(담당부서 →
총괄부서)
</t>
    </r>
    <r>
      <rPr>
        <rFont val="Segoe UI Symbol"/>
        <color rgb="FFFF0000"/>
        <sz val="11.0"/>
      </rPr>
      <t>▸</t>
    </r>
    <r>
      <rPr>
        <rFont val="맑은 고딕"/>
        <color rgb="FFFF0000"/>
        <sz val="11.0"/>
      </rPr>
      <t xml:space="preserve">검토결과 통보
(총괄부서 →
담당부서)
</t>
    </r>
    <r>
      <rPr>
        <rFont val="Segoe UI Symbol"/>
        <color rgb="FFFF0000"/>
        <sz val="11.0"/>
      </rPr>
      <t>▸</t>
    </r>
    <r>
      <rPr>
        <rFont val="맑은 고딕"/>
        <color rgb="FFFF0000"/>
        <sz val="11.0"/>
      </rPr>
      <t xml:space="preserve">담당부서
</t>
    </r>
    <r>
      <rPr>
        <rFont val="Segoe UI Symbol"/>
        <color rgb="FFFF0000"/>
        <sz val="11.0"/>
      </rPr>
      <t>▸</t>
    </r>
    <r>
      <rPr>
        <rFont val="맑은 고딕"/>
        <color rgb="FFFF0000"/>
        <sz val="11.0"/>
      </rPr>
      <t xml:space="preserve">총괄부서
협조 결재
</t>
    </r>
    <r>
      <rPr>
        <rFont val="Segoe UI Symbol"/>
        <color rgb="FFFF0000"/>
        <sz val="11.0"/>
      </rPr>
      <t>▸</t>
    </r>
    <r>
      <rPr>
        <rFont val="맑은 고딕"/>
        <color rgb="FFFF0000"/>
        <sz val="11.0"/>
      </rPr>
      <t>총괄부서 검토결과 첨부 의뢰
(담당부서 → 법무담당관)
※ 신설검토 결과 반영여부 확인 (법무담당관)
조례 등 제</t>
    </r>
    <r>
      <rPr>
        <rFont val="MS UI Gothic"/>
        <color rgb="FFFF0000"/>
        <sz val="11.0"/>
      </rPr>
      <t>․</t>
    </r>
    <r>
      <rPr>
        <rFont val="맑은 고딕"/>
        <color rgb="FFFF0000"/>
        <sz val="11.0"/>
      </rPr>
      <t xml:space="preserve">개정 후 위원회 설치(구성)
</t>
    </r>
    <r>
      <rPr>
        <rFont val="Segoe UI Symbol"/>
        <color rgb="FFFF0000"/>
        <sz val="11.0"/>
      </rPr>
      <t>▸</t>
    </r>
    <r>
      <rPr>
        <rFont val="맑은 고딕"/>
        <color rgb="FFFF0000"/>
        <sz val="11.0"/>
      </rPr>
      <t xml:space="preserve"> 담당부서 ※ 위원회 구성·
운영계획 제출 (담당부서 → 총괄부서)</t>
    </r>
  </si>
  <si>
    <t>민간위탁을 하려고 할때 어떤 조건을 만족시키고 어떤과정을 거쳐야 민간위탁이 가능하나요?</t>
  </si>
  <si>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</si>
  <si>
    <t>ㆍ326_2501_재정협력담당관_업무매뉴얼_재정협력담당관_민간위탁업무지침.pdf (p.3, 14, 30)
https://busanai.busan.go.kr/download/326_2501_재정협력담당관_업무매뉴얼_재정협력담당관_민간위탁업무지침.pdf</t>
  </si>
  <si>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</si>
  <si>
    <t>외부 공개 가능 자료라서 지피티 이용해서 생성한 답변입니다.
 기대답변 : 
 PDF 그대로 텍스트로 변환 후 질의를 던지면 범정부, 지피티 둘다 해당 내용을 제대로 요약해주지 못하는거 같습니다.
 신규(1~9번), 재위탁(1~7번) 순서에 대해 명시를 해주고 질의를 다시 할 경우 범정부는 계속 틀림, 지피티(무료버전)가 맞는 답을 줘서
 일단 해당 답변을 기대답변으로 보내드립니다.
 기대답변:
 ■ 신규 민간위탁 절차
 1. 민간위탁 사전조사 및 적정성 검토(주관부서)
  - 위탁 필요성, 공공성, 효율성, 민간 전문성 등 기초조사.
  - 중복 여부·타 지자체 사례·법적 근거 검토.
  - 적정성 판단(공공성·효율성·시장여건 등 기준 적용).
 2. 계획수립 및 방침결재(주관부서)
  - 위탁범위·내용·기간·비용·선정방식 결정.
  - 원가분석 실시(인건비·운영비 산정).
  - 필요 시 개별 조례 제·개정.
  - 시장 방침결재, 재정협력담당관 사전협의.
 3. 민간위탁 관리위원회 심의(재정협력담당관)
  - 위탁 근거·필요성·원가·선정방식·중복성 등 심의.
  - 결과: 적정 / 조건부적정 / 보류 / 부적정.
 4. 시의회 동의·보고(주관부서)
  - 신규 민간위탁은 원칙적으로 동의 대상.
  - 동의안: 위탁내용·근거·예산·기간·수탁방식 등 포함.
  - 동의 후 필요 시 시행규칙(별표) 반영.
  - 보고사항: 재위탁 등 특정 상황 발생 시 상임위 보고.
 5. 예산 편성(주관부서)
  - 관리위원회 심의 → 시의회 동의 후 예산 반영.
  - 민간위탁금(307-05), 민간위탁사업비(402-03) 편성.
  - 보조금 사무를 위탁금으로 편성하는 오류 금지.
 6. 수탁기관 선정(주관부서)
  - 원칙: 공개모집.
  - 절차: 공고 → 제안서 접수 → 선정위원회 평가 → 선정.
  - 수의계약은 법령 근거 있을 때만 가능(지방계약법·공유재산법 요건).
 7. 위·수탁계약 체결(주관부서)
  - 계약서 작성(노동조건 확약 포함), 법무·계약 심사 반영.
  - 시설형 1억 이상은 계약심사 필수.
  - 체결 후 7일 이내 재정협력담당관에 부본 제출.
 8. 인계·인수(주관부서, 수탁기관)
  - 시설·비품·자산 목록 인계·인수서 작성.
  - 사진·영상 기록 보관.
  - 기존 인력 고용승계 원칙적 권고.
  - 필요 시 시범운영(약 1개월).
 9. 기존 위탁사무를 신규 위탁으로 변경·처리하는 기준
  - 아래 발생 시 ‘기존 사무 종료 → 신규 절차로 다시 추진’:
  &gt; 위탁사무 중요내용 변경(범위 전면 변경, 추가, 분리 등).
  &gt; 예산지원 유무 변경.
  &gt; 사무 1년 이상 중단 후 재위탁.
  &gt; 국가·타 지자체에서 새로 이관된 사무.
 ■ 재위탁·재계약 절차
 1. 적정성 검토, 계획수립 및 방침결재(주관부서)
  - 기존 위탁사무가 민간위탁 방식에 적합한지 재검토(Zero-base).
  - 위탁내용·범위·기간·비용·선정방식 재정비.
  - 재위탁·재계약은 부시장 결재, 재정협력담당관 사전협의.
  - 재계약 제한사유(성과평가 70점 미만, 시정 불이행 등) 검토.
 2. 수탁기관의 관리능력 평가(재계약 시에만 적용, 주관부서)
  - 계약만료 90일 전 평가 실시.
  - 관리능력·성과·감사결과·시정이행·민원·만족도 등 종합평가.
  - 70점 미만이면 재계약 불가 → 재위탁(공모)로 전환.
 3. 민간위탁관리위원회 심의(재정협력담당관)
  - 재위탁·재계약의 적정성·필요성·비용·선정 방식 등 심의.
  - 심의 절차는 신규와 동일.
 4. 시의회 동의·보고(주관부서)
  - 재위탁·재계약은 원칙적으로 동의 대상.
  - 예외(동의 불요)
  &gt; 국가 전액 보조 사업
  &gt; 연간 위탁금 3억 이하
  - 보고 절차는 신규와 동일.
 5. 수탁기관 선정(공모 시에만 적용, 주관부서)
  - 재위탁 중 공모할 경우 신규와 동일 절차 적용.
  - 기존 수탁자 참여 시 기존 민원·감사·시정이행 여부를 평가에 반영.
 6. 위·수탁계약 체결(주관부서)
  - 신규와 동일한 방식으로 계약 체결.
  - 필요 시 위탁기간 90일 범위 내 1회 일시 연장 가능.
 7. 인계·인수(주관부서, 수탁기관)
  - 기존·신규 종사자 고용승계 검토.
  - 인계·인수서, 시설물 자산·비품 목록 정리.
  - 시험운영 등은 신규 절차와 동일.</t>
  </si>
  <si>
    <t>326_2501_재정협력담당관_업무매뉴얼_재정협력담당관_민간위탁업무지침.pdf</t>
  </si>
  <si>
    <t>3, 9</t>
  </si>
  <si>
    <t>&gt;&gt; 민간위탁 조건은 9P의 민간위탁의 대상 전체 활용
&gt;&gt; 3P 목차의 4번 신규 민간위탁 추진 절차부터 5번 재위탁 재계약 민간위탁 추진절차 안내</t>
  </si>
  <si>
    <t>3page - 민간위탁 추진 절차 안내
9page - 민간위탁 추진 조건 안내</t>
  </si>
  <si>
    <r>
      <rPr>
        <rFont val="맑은 고딕"/>
        <b/>
        <color rgb="FF000000"/>
        <sz val="11.0"/>
      </rPr>
      <t>ㆍ326_2501_재정협력담당관_업무매뉴얼_재정협력담당관_민간위탁업무지침.pdf (p.13, 14)</t>
    </r>
    <r>
      <rPr>
        <rFont val="맑은 고딕"/>
        <color rgb="FF000000"/>
        <sz val="11.0"/>
      </rPr>
      <t xml:space="preserve">
----
</t>
    </r>
    <r>
      <rPr>
        <rFont val="맑은 고딕"/>
        <color rgb="FFFF0000"/>
        <sz val="11.0"/>
      </rPr>
      <t>[형태가 표가 아닌 이미지의 형태를 가지고 있어 인식에 어려움이 있음]</t>
    </r>
    <r>
      <rPr>
        <rFont val="맑은 고딕"/>
        <color rgb="FF000000"/>
        <sz val="11.0"/>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</si>
  <si>
    <t>시청 내 과별로 각종 물품구입, 각종 용역, 각종 공사 등 각종 케이스별 업체리스트 및 연락처를 알 수 있나요?</t>
  </si>
  <si>
    <t>예산 이체, 변경, 전용, 이용은 어떤 경우에 해야하며, 어떤 프로세스를 거쳐야 하나요?</t>
  </si>
  <si>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</si>
  <si>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</si>
  <si>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</si>
  <si>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</si>
  <si>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401, 402, 403, 404, 405</t>
  </si>
  <si>
    <r>
      <rPr>
        <rFont val="&quot;맑은 고딕&quot;"/>
        <color rgb="FF000000"/>
        <sz val="11.0"/>
      </rPr>
      <t xml:space="preserve">나. 예산의 이・전용,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
---
</t>
    </r>
    <r>
      <rPr>
        <rFont val="&quot;맑은 고딕&quot;"/>
        <color rgb="FF0000FF"/>
        <sz val="11.0"/>
      </rPr>
      <t xml:space="preserve">[Top5 선정 필요]
</t>
    </r>
    <r>
      <rPr>
        <rFont val="&quot;맑은 고딕&quot;"/>
        <color rgb="FFFF0000"/>
        <sz val="11.0"/>
      </rPr>
      <t xml:space="preserve">&gt;&gt; 페이지 선정에 어려움이 있는 경우 문서와 페이지를 안내하도록 별도로 정리한 FAQ 질의로 따로 정리하겠습니다.
</t>
    </r>
    <r>
      <rPr>
        <rFont val="&quot;맑은 고딕&quot;"/>
        <color rgb="FF00B050"/>
        <sz val="11.0"/>
      </rPr>
      <t>&gt;&gt; 406페이지도 필요로하며 알고리즘에 의 405페이지 청크 뒤에 포함되서 전달됨</t>
    </r>
  </si>
  <si>
    <r>
      <rPr>
        <rFont val="맑은 고딕"/>
        <b/>
        <color rgb="FF000000"/>
        <sz val="11.0"/>
      </rPr>
      <t>212_2407_예산담당관_업무매뉴얼_행정안전부_2025년도_지방자치단체_예산편성_운영기준_및_기금운용계획_수립기준.pdf (p.401~406)</t>
    </r>
    <r>
      <rPr>
        <rFont val="맑은 고딕"/>
        <color rgb="FF000000"/>
        <sz val="11.0"/>
      </rPr>
      <t xml:space="preserve">
----
나. 예산의 이</t>
    </r>
    <r>
      <rPr>
        <rFont val="Yu Gothic"/>
        <color rgb="FF000000"/>
        <sz val="11.0"/>
      </rPr>
      <t>・</t>
    </r>
    <r>
      <rPr>
        <rFont val="맑은 고딕"/>
        <color rgb="FF000000"/>
        <sz val="11.0"/>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rFont val="Cambria Math"/>
        <color rgb="FF000000"/>
        <sz val="11.0"/>
      </rPr>
      <t>⋅</t>
    </r>
    <r>
      <rPr>
        <rFont val="맑은 고딕"/>
        <color rgb="FF000000"/>
        <sz val="11.0"/>
      </rPr>
      <t>금액</t>
    </r>
    <r>
      <rPr>
        <rFont val="Cambria Math"/>
        <color rgb="FF000000"/>
        <sz val="11.0"/>
      </rPr>
      <t>⋅</t>
    </r>
    <r>
      <rPr>
        <rFont val="맑은 고딕"/>
        <color rgb="FF000000"/>
        <sz val="11.0"/>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</si>
  <si>
    <t>ㆍ210_2307_예산담당관_업무매뉴얼_행정안전부_2024년도_지방자치단체_예산편성_운영기준_및_기금운용계획_수립기준.pdf (p.357, 415)
-----
[p.415] ~ [p.420]
데이터 길이 문제로 내용 생략</t>
  </si>
  <si>
    <t>각종 홍보자료를 시청 홈페이지, 엘리베이터 화면, 기타 홍보게시판 등 게시하려면 어떻게 해야하나요?</t>
  </si>
  <si>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</si>
  <si>
    <t>SNS에만 홍보하는 것이라면 홍보협업매뉴얼을 참고하시어 공문 보내주시면 되고, 부산시 홍보 매체를 전반적으로 활용하고 싶으시다면 홍보담당관으로 연락주시기 바랍니다.</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</si>
  <si>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</si>
  <si>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</si>
  <si>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</si>
  <si>
    <t>근거문서와 답변 내용 순서가 바뀐거 제외하고는 이상없습니다.
다만 이런 문서들(시기 적용이 중요한 문서)에 대한
추후 업데이트 관련 프로세스가 필요할 것으로 보입니다.</t>
  </si>
  <si>
    <r>
      <rPr>
        <rFont val="맑은 고딕"/>
        <b/>
        <color rgb="FF000000"/>
        <sz val="11.0"/>
      </rPr>
      <t>279_2501_인사과_기타_인사과_2025년_맞춤형복지_단체보장보험_가입내용_및_청구방법_안내.pdf (p.1)</t>
    </r>
    <r>
      <rPr>
        <rFont val="맑은 고딕"/>
        <color rgb="FF000000"/>
        <sz val="11.0"/>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</si>
  <si>
    <r>
      <rPr>
        <rFont val="맑은 고딕"/>
        <b/>
        <color rgb="FF000000"/>
        <sz val="11.0"/>
      </rPr>
      <t xml:space="preserve">283_2501_인사과_기타_인사과_2025년_부산광역시_청구안내문단체보장보험.pdf (p.1)
</t>
    </r>
    <r>
      <rPr>
        <rFont val="맑은 고딕"/>
        <color rgb="FF000000"/>
        <sz val="11.0"/>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</si>
  <si>
    <t>계약시 종류별 절차 및 구비서류는 무엇인가요?</t>
  </si>
  <si>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</si>
  <si>
    <r>
      <rPr>
        <rFont val="Malgun Gothic"/>
        <color theme="1"/>
        <sz val="11.0"/>
      </rP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</si>
  <si>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</si>
  <si>
    <t>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</si>
  <si>
    <t>계약으로 진행해야 하는 기준, 계약시 필요 서류 안내, 일반지출이 아닌 계약, 수의 계약이 아닌 입찰 진행할 때 선행 절차와 필요한 서류 안내, 계약 종류별 절차 와 구비서류 안내</t>
  </si>
  <si>
    <t>공무국외출장 절차는 무엇인가요?</t>
  </si>
  <si>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</si>
  <si>
    <t>ㆍ268_2405_인사과_업무매뉴얼_행정안전부_출장관리_매뉴얼.pdf (p.26, 27, 28)
https://busanai.busan.go.kr/download/268_2405_인사과_업무매뉴얼_행정안전부_출장관리_매뉴얼.pdf</t>
  </si>
  <si>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</si>
  <si>
    <t>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t>
  </si>
  <si>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</si>
  <si>
    <t>nac 로그인이 안돼요(아이디, 초기비밀번호 등)</t>
  </si>
  <si>
    <t>기대답변 :
 네트워크 인증 시스템(NAC)
  - 네트워크가 차단 또는 네트워크 인증 시스템 비밀번호 분실 시 행정전화(5999)로 연락바랍니다</t>
  </si>
  <si>
    <t>공무원증 분실시 청사 출입 방법과 재발급 방법은 무엇인가요?</t>
  </si>
  <si>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</si>
  <si>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</si>
  <si>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[미답변 가능]  재발급과, 분실햇을때 들어오는 방법에 대해서는 존재하지 않음</t>
  </si>
  <si>
    <t>시청 청사 내 주차 등록 방법은 무엇인가요?</t>
  </si>
  <si>
    <t>재배정 등 이호조 사용 방법을 알려줘</t>
  </si>
  <si>
    <t>공유재산 관리계획 수립 시 절차는 어떻게 되나요?</t>
  </si>
  <si>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</si>
  <si>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</si>
  <si>
    <r>
      <rPr>
        <rFont val="Malgun Gothic"/>
        <color theme="1"/>
        <sz val="11.0"/>
      </rP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rFont val="Tahoma"/>
        <color theme="1"/>
        <sz val="11.0"/>
      </rPr>
      <t>․</t>
    </r>
    <r>
      <rPr>
        <rFont val="맑은 고딕"/>
        <color theme="1"/>
        <sz val="11.0"/>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rFont val="Tahoma"/>
        <color theme="1"/>
        <sz val="11.0"/>
      </rPr>
      <t>․</t>
    </r>
    <r>
      <rPr>
        <rFont val="맑은 고딕"/>
        <color theme="1"/>
        <sz val="11.0"/>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rFont val="Yu Gothic"/>
        <color theme="1"/>
        <sz val="11.0"/>
      </rPr>
      <t>･</t>
    </r>
    <r>
      <rPr>
        <rFont val="맑은 고딕"/>
        <color theme="1"/>
        <sz val="11.0"/>
      </rPr>
      <t>예산부서)
11. 공유재산관리계획에 따른 사업 추진 - 중요재산 취득</t>
    </r>
    <r>
      <rPr>
        <rFont val="Tahoma"/>
        <color theme="1"/>
        <sz val="11.0"/>
      </rPr>
      <t>․</t>
    </r>
    <r>
      <rPr>
        <rFont val="맑은 고딕"/>
        <color theme="1"/>
        <sz val="11.0"/>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</si>
  <si>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</si>
  <si>
    <t>1256_공유재산관리계획_작성기준.pdf</t>
  </si>
  <si>
    <t>17</t>
  </si>
  <si>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</si>
  <si>
    <t>공유재산 관리계획 수립 절차</t>
  </si>
  <si>
    <t>경조사 종류별 휴가 일수를 알려줘</t>
  </si>
  <si>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</si>
  <si>
    <t>ㆍ264_2401_인사과_법령_행정안전부_지방공무원_인사관계_법령집.pdf (p.413, 419)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</si>
  <si>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</si>
  <si>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</si>
  <si>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</si>
  <si>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행정전자서명(GPKI) 재발급 방법을 알려주세요</t>
  </si>
  <si>
    <t>소속 직원이 전보,파견,전출,휴직,정직,직위해제,면직 등의 명령을 받았을 때 거쳐야 하는 절차를 알려주세요</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</si>
  <si>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</si>
  <si>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</si>
  <si>
    <t>시 의회 자료는 의회에 대해 알려달라는 질문이 있기 전에는 근거자료로 활용이 되면 안됩니다.
그 외는 이상없습니다</t>
  </si>
  <si>
    <t>미답변 처리
 질의문 의도가 부서나 서무담당자가 행정 처리를 어떻게 하는지에 대한 문의로 보입니다. 관련 질문에 대한 근거자료가 없으므로 미답변 처리 합니다.</t>
  </si>
  <si>
    <t>정산검사 결과 보고서에서 포함돼야 할 내용에 어떤 것들이 있나요?</t>
  </si>
  <si>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</si>
  <si>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</si>
  <si>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</si>
  <si>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169</t>
  </si>
  <si>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</si>
  <si>
    <t>정산검사 결과 보고서 포함 내용</t>
  </si>
  <si>
    <t>의도분석 결과 &gt;&gt; 생성쪽 의도로 분류됨</t>
  </si>
  <si>
    <t>추가경정예산안에 포함돼야 할 내용에 어떤 것들이 있나요?</t>
  </si>
  <si>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</si>
  <si>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</si>
  <si>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</si>
  <si>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</si>
  <si>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341, 342, 378, 379</t>
  </si>
  <si>
    <t>제2조(예산요구서) ① 제1조의 예산편성 방침을 통보받은 각 기관 주무자는 그
 소관에 속하는 다음 연도의 예산요구서를 2통 작성하여 소속실ㆍ국장 또는 관서의
 장의 결재를 받아 지정된 기일까지 예산업무담당과장에게 제출하되, 세입예산은
 반드시 세정업무담당과장과 세정업무담당국장의 합의를 받아야 한다.
 ② 제1항의 예산요구서 및 첨부서류의 서식은 「지방자치단체 예산편성 운영기준
 및 기금운용계획 수립기준」에 따른다.
 ③ 관재업무담당과장(담당관)은 제1항 및 제2항의 서류외에 공유재산조서를
 작성하여 제출하여야 한다.
 제7조(추가경정예산안) ① 예산성립 후에 생긴 사유로 인하여 이미 성립된 예산을
 변경할 필요가 있을 때에는 예산요구서를 제2조의 규정에 준하여 예산업무
 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
 및 제1관서의 장으로부터 추가경정예산 성립전 사업비 사용요구가 있을 때에는
 예산업무담당과장은 시ㆍ도지사의 결재(세출과목을 설정하여야 한다)를 얻어
 이를 주관 실ㆍ국장, 시ㆍ도의회사무처장 및 제1관서의 장과 재무관 및 지출원
 에게 통지함과 동시에 예산배정을 하여야 한다.
 ④ 재무관 및 지출원은 제3항의 통지를 받았을 때에는 집행절차를 취하여야 한다.
 ⑤ 제3항의 세출과목과 추가경정예산의 세출과목이 상이한 경우에는 추가
 경정예산과목에 정정 정리하여야 한다.
 &lt;378~379는 제목만 참조&gt;
 참고 예산편성(요구) 관련 주요서식 예시
 0000년도 세입예산요구서
 0000년도 세출예산요구서</t>
  </si>
  <si>
    <r>
      <rPr>
        <rFont val="Malgun Gothic"/>
        <color rgb="FF000000"/>
        <sz val="11.0"/>
      </rPr>
      <t xml:space="preserve">추가경정예산안에 포함되어야 할 주요 내용
</t>
    </r>
    <r>
      <rPr>
        <rFont val="Malgun Gothic"/>
        <color rgb="FF4A86E8"/>
        <sz val="11.0"/>
      </rPr>
      <t>(341, 342페이지만 작업함)</t>
    </r>
  </si>
  <si>
    <r>
      <rPr>
        <rFont val="맑은 고딕"/>
        <b/>
        <color rgb="FF000000"/>
        <sz val="11.0"/>
      </rPr>
      <t>212_2407_예산담당관_업무매뉴얼_행정안전부_2025년도_지방자치단체_예산편성_운영기준_및_기금운용계획_수립기준.pdf[p.342]</t>
    </r>
    <r>
      <rPr>
        <rFont val="맑은 고딕"/>
        <color rgb="FF000000"/>
        <sz val="11.0"/>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</si>
  <si>
    <t>고충민원이 들어왔을 때 처리절차를 알려주세요</t>
  </si>
  <si>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</si>
  <si>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</si>
  <si>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</si>
  <si>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</si>
  <si>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426_2307_통합민원과_업무매뉴얼_행정안전부_민원_처리에_관한_법령_해설집개정판.pdf</t>
  </si>
  <si>
    <t>139</t>
  </si>
  <si>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</si>
  <si>
    <t>취업연수생 연수수당 지급할 때 제출해야 하는 자료가 뭐에요?</t>
  </si>
  <si>
    <t>실무수습 직원이 입사했는데 부여할 수 있는 업무 권한이 어떤 게 있나요?</t>
  </si>
  <si>
    <t>계약입찰공고 시 공고기간은 초일을 산입하여 계산하여야 하나요?</t>
  </si>
  <si>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</si>
  <si>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</si>
  <si>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</si>
  <si>
    <t>미답변 처리
 앞 쪽에 초일 산입 관련 질문이 있는데 제출된 자료중에는
 초일 관련 내용이 따로 명시되어 있지 않은거 같아 미답변으로 처리합니다.</t>
  </si>
  <si>
    <t>예산변경의 절차에 대해서 알려주세요</t>
  </si>
  <si>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</si>
  <si>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</si>
  <si>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</si>
  <si>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</si>
  <si>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404</t>
  </si>
  <si>
    <t>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 및 회계부서에 통지
 ○ 변경사용제한：재변경사용 등은 불가하고, 전용제한 편성목은 변경도
 제한됨 ※ 단위사업 내에 세부사업이 없는 경우 변경사용 불가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</si>
  <si>
    <t>예산변경 절차, 예산변경 적용 범위, 예산변경 제한</t>
  </si>
  <si>
    <t>시 홈페이지 메뉴 신설 절차에 대해 알려주세요</t>
  </si>
  <si>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</si>
  <si>
    <t>ㆍ334_페이지34_문서4_162639_부산광역시_인터넷_홈페이지_설치_및_운영_규정.pdf (p.1)
https://busanai.busan.go.kr/download/334_페이지34_문서4_162639_부산광역시_인터넷_홈페이지_설치_및_운영_규정.pdf</t>
  </si>
  <si>
    <t>법률자문은 어떻게 진행되나요?</t>
  </si>
  <si>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</si>
  <si>
    <t>ㆍ92_2501_법무담당관_업무매뉴얼_법무담당관_자치법규_입법절차_등.pdf (p.3)
https://busanai.busan.go.kr/download/92_2501_법무담당관_업무매뉴얼_법무담당관_자치법규_입법절차_등.pdf</t>
  </si>
  <si>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</si>
  <si>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</si>
  <si>
    <t>본문 3P 전체 참조</t>
  </si>
  <si>
    <t>법률 자문 법률자문 진행 및 절차 안내</t>
  </si>
  <si>
    <t>정보공개시스템 공개, 비공개, 부존재 처리시 각각의 처리절차를 알려주세요.</t>
  </si>
  <si>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</si>
  <si>
    <t>ㆍ424_2108_통합민원과_업무매뉴얼_행정안전부_정보공개운영안내서.pdf (p.3, 100, 213)
https://busanai.busan.go.kr/download/424_2108_통합민원과_업무매뉴얼_행정안전부_정보공개운영안내서.pdf</t>
  </si>
  <si>
    <r>
      <rPr>
        <rFont val="Malgun Gothic"/>
        <color theme="1"/>
        <sz val="11.0"/>
      </rP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</si>
  <si>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오른쪽 내용을 참고로 범정부 AI로 생성한 내용입니다.
 정보 파편화가 되어 있지만 해당 질의에 대한 응답을 하기 위해서는 검토자료 #1,2,3 다 필요합니다.
 기대답변 :
 정보공개 처리 절차 설명
 1. 정보부존재/진정·질의 처리
  - 담당: 정보공개처리자
  - 메뉴: 청구관리 &gt; 부서청구관리 &gt; 청구제목선택 &gt; 정보부존재/진정·질의
  - 절차:
  &gt; 세부 페이지에서 "정보부존재" 또는 "진정·질의" 버튼 선택.
  &gt; 사유 선택(예: "보존기간 경과", "작성하지 않은 정보") 및 설명 입력.
  &gt; 결재 후 통지 (처리 기간: 7일 이내).
 2. 정보공개(부분공개) 결정
  - 담당: 정보공개처리자
  - 메뉴: 청구관리 &gt; 부서청구관리 &gt; 청구제목선택 &gt; 정보공개처리 업무화면
  - 절차:
  &gt; 수수료 있는 경우: 공개 내용 입력 → 결재 → 공개자료 첨부 → 청구인 확인 후 완료.
  &gt; 수수료 없는 경우: 공개 형태·일시 입력, 개인정보 포함 시 청구인 본인확인 요건.
  - 근거: 정보공개법 제11조, 제14조
 3. 정보 비공개 결정
  - 담당: 정보공개처리자
  - 메뉴: 청구관리 &gt; 부서청구관리 &gt; 청구제목선택 &gt; 비공개처리 업무화면
  - 절차:
  &gt; 정보공개법 제9조 제1항 각 호에 해당하는 사유 구체적 기재.
  &gt; 비공개 사유 예시: 국가안전·사생활 침해, 비공개 5호(의사결정 과정).
  - 유의사항: 단순 법조문 적시보다 구체적 설명 필요.
 4. 특이사항
  - 정보부존재 처리: 비공개로 간주되지 않아 이의신청 불가(행정심판·소송 가능).
  - 처리 통계: "기타처리현황(정보부존재 등)"에 포함.</t>
  </si>
  <si>
    <t>238, 240, 241, 243</t>
  </si>
  <si>
    <r>
      <rPr>
        <rFont val="Malgun Gothic"/>
        <color rgb="FF000000"/>
        <sz val="11.0"/>
      </rPr>
      <t xml:space="preserve">질문이 파편화 되어 있지만 해당 질의에 대한 응답을 하기 위해서는 검토자료 1, 2, 3, 모두 필요
</t>
    </r>
    <r>
      <rPr>
        <rFont val="맑은 고딕"/>
        <color rgb="FF0432FF"/>
        <sz val="11.0"/>
      </rPr>
      <t xml:space="preserve">-----
[Top5 문서 내에 들어갈 수 있도록 수량 조정 필요]
</t>
    </r>
    <r>
      <rPr>
        <rFont val="맑은 고딕"/>
        <color rgb="FF00B050"/>
        <sz val="11.0"/>
      </rPr>
      <t>&gt;&gt; 부존재 처리 절차는 238P 처리절차 참조</t>
    </r>
    <r>
      <rPr>
        <rFont val="맑은 고딕"/>
        <color rgb="FF00B050"/>
        <sz val="11.0"/>
      </rPr>
      <t xml:space="preserve">
&gt;&gt; 정보공개는 240p~241p 처리절차 참조
&gt;&gt; 비공개는 243P 처리절차 참조</t>
    </r>
  </si>
  <si>
    <r>
      <rPr>
        <rFont val="맑은 고딕"/>
        <b/>
        <color rgb="FF000000"/>
        <sz val="11.0"/>
      </rPr>
      <t>424_2108_통합민원과_업무매뉴얼_행정안전부_정보공개운영안내서.pdf[236~238]</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</si>
  <si>
    <r>
      <rPr>
        <rFont val="맑은 고딕"/>
        <b/>
        <color rgb="FF000000"/>
        <sz val="11.0"/>
      </rPr>
      <t>424_2108_통합민원과_업무매뉴얼_행정안전부_정보공개운영안내서.pdf[239~241]</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</si>
  <si>
    <r>
      <rPr>
        <rFont val="맑은 고딕"/>
        <b/>
        <color theme="1"/>
        <sz val="11.0"/>
      </rPr>
      <t>424_2108_통합민원과_업무매뉴얼_행정안전부_정보공개운영안내서.pdf[243~244]</t>
    </r>
    <r>
      <rPr>
        <rFont val="맑은 고딕"/>
        <color theme="1"/>
        <sz val="11.0"/>
      </rPr>
      <t xml:space="preserve">
-----
</t>
    </r>
    <r>
      <rPr>
        <rFont val="맑은 고딕"/>
        <color rgb="FFFF0000"/>
        <sz val="11.0"/>
      </rPr>
      <t xml:space="preserve">[질문에 포함된 정보가 파편화 되어 있어 수집이 어려움]
-----
</t>
    </r>
    <r>
      <rPr>
        <rFont val="맑은 고딕"/>
        <color theme="1"/>
        <sz val="11.0"/>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</si>
  <si>
    <t>해당 지출이 세출예산집행기준에 부합하는지?</t>
  </si>
  <si>
    <r>
      <rPr>
        <rFont val="Malgun Gothic"/>
        <color theme="1"/>
        <sz val="11.0"/>
      </rP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rFont val="Yu Gothic"/>
        <color theme="1"/>
        <sz val="11.0"/>
      </rPr>
      <t>・</t>
    </r>
    <r>
      <rPr>
        <rFont val="맑은 고딕"/>
        <color theme="1"/>
        <sz val="11.0"/>
      </rPr>
      <t>이장</t>
    </r>
    <r>
      <rPr>
        <rFont val="Yu Gothic"/>
        <color theme="1"/>
        <sz val="11.0"/>
      </rPr>
      <t>・</t>
    </r>
    <r>
      <rPr>
        <rFont val="맑은 고딕"/>
        <color theme="1"/>
        <sz val="11.0"/>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</si>
  <si>
    <t>ㆍ469_2406_회계재산담당관_법령_행정안전부_지방자치단체_회계관리에_관한_훈령_00.pdf (p.58, 93)
https://busanai.busan.go.kr/download/469_2406_회계재산담당관_법령_행정안전부_지방자치단체_회계관리에_관한_훈령_00.pdf</t>
  </si>
  <si>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</si>
  <si>
    <t>일반지출이 아닌 계약으로 진행해야 하는 기준과 필요 서류들이 무엇이 있는지?</t>
  </si>
  <si>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</si>
  <si>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</si>
  <si>
    <r>
      <rPr>
        <rFont val="Malgun Gothic"/>
        <color theme="1"/>
        <sz val="11.0"/>
      </rP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rFont val="MS UI Gothic"/>
        <color theme="1"/>
        <sz val="11.0"/>
      </rPr>
      <t>․</t>
    </r>
    <r>
      <rPr>
        <rFont val="맑은 고딕"/>
        <color theme="1"/>
        <sz val="11.0"/>
      </rPr>
      <t>일시</t>
    </r>
    <r>
      <rPr>
        <rFont val="MS UI Gothic"/>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</si>
  <si>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</si>
  <si>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</si>
  <si>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</si>
  <si>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2개 문서 참조 필요</t>
  </si>
  <si>
    <t>계약으로 진행해야 하는 기준, 계약시 필요 서류 안내, 일반지출이 아닌 계약
---
계약으로 진행해야 하는 기준, 계약시 필요 서류 안내, 일반지출이 아닌 계약, 수의 계약이 아닌 입찰 진행할 때 선행 절차와 필요한 서류 안내</t>
  </si>
  <si>
    <r>
      <rPr>
        <rFont val="맑은 고딕"/>
        <b/>
        <color theme="1"/>
        <sz val="11.0"/>
      </rPr>
      <t>467_2402_회계재산담당관_법령_법제처_지방자치단체를_당사자로_하는_계약에_관한_법률법률제19634호20240217.pdf[1]</t>
    </r>
    <r>
      <rPr>
        <rFont val="맑은 고딕"/>
        <color theme="1"/>
        <sz val="11.0"/>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rFont val="맑은 고딕"/>
        <color rgb="FFFF0000"/>
        <sz val="11.0"/>
      </rPr>
      <t>제2조(적용 범위) 이 법은 지방자치단체(「지방자치법」 제2조에 따른 지방자치단체를 말한다. 이하 같다)가 계약상대자
와 체결하는 수입 및 지출의 원인이 되는 계약 등에 대하여 적용한다.
[전문개정 2009. 2. 6.]</t>
    </r>
    <r>
      <rPr>
        <rFont val="맑은 고딕"/>
        <color theme="1"/>
        <sz val="11.0"/>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</si>
  <si>
    <r>
      <rPr>
        <rFont val="맑은 고딕"/>
        <b/>
        <color theme="1"/>
        <sz val="11.0"/>
      </rPr>
      <t>475_2501_회계재산담당관_업무매뉴얼_회계재산담당관_2025년_계약업무_통합운영_매뉴얼2511_회계재산담당관_계약지원팀.pdf[2]</t>
    </r>
    <r>
      <rPr>
        <rFont val="맑은 고딕"/>
        <color theme="1"/>
        <sz val="11.0"/>
      </rPr>
      <t xml:space="preserve">
-----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UI Gothic"/>
        <color theme="1"/>
        <sz val="11.0"/>
      </rPr>
      <t>․</t>
    </r>
    <r>
      <rPr>
        <rFont val="맑은 고딕"/>
        <color theme="1"/>
        <sz val="11.0"/>
      </rPr>
      <t>감독</t>
    </r>
    <r>
      <rPr>
        <rFont val="MS UI Gothic"/>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UI Gothic"/>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t>
    </r>
    <r>
      <rPr>
        <rFont val="맑은 고딕"/>
        <color rgb="FFFF0000"/>
        <sz val="11.0"/>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UI Gothic"/>
        <color rgb="FFFF0000"/>
        <sz val="11.0"/>
      </rPr>
      <t>․</t>
    </r>
    <r>
      <rPr>
        <rFont val="맑은 고딕"/>
        <color rgb="FFFF0000"/>
        <sz val="11.0"/>
      </rPr>
      <t>일시</t>
    </r>
    <r>
      <rPr>
        <rFont val="MS UI Gothic"/>
        <color rgb="FFFF0000"/>
        <sz val="11.0"/>
      </rPr>
      <t>․</t>
    </r>
    <r>
      <rPr>
        <rFont val="맑은 고딕"/>
        <color rgb="FFFF0000"/>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</si>
  <si>
    <t>조례를 제정,개정하기 위한 행정절차 가이드라인을 알려줄 수 있는지?</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</si>
  <si>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</si>
  <si>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[그림의 형태를 띄고 있어 식이 어려울 것으로 예상]</t>
  </si>
  <si>
    <t>PC를 새로 교체했을 때 해야하는 보안절차가 있는지?</t>
  </si>
  <si>
    <t>불용물품을 처리해야하는 절차를 알려줄 수 있는지?</t>
  </si>
  <si>
    <t>부서장, 팀장급 인사발령 시 처리해야하는 절차(회계절차 등)를 알기 쉽게 정리해줄 수 있는지?</t>
  </si>
  <si>
    <r>
      <rPr>
        <rFont val="Malgun Gothic"/>
        <color theme="1"/>
        <sz val="11.0"/>
      </rPr>
      <t xml:space="preserve">【 부서장·팀장급 인사발령 회계처리 요약 】
</t>
    </r>
    <r>
      <rPr>
        <rFont val="Segoe UI Symbol"/>
        <color theme="1"/>
        <sz val="11.0"/>
      </rPr>
      <t>▢</t>
    </r>
    <r>
      <rPr>
        <rFont val="맑은 고딕"/>
        <color theme="1"/>
        <sz val="11.0"/>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rFont val="Segoe UI Symbol"/>
        <color theme="1"/>
        <sz val="11.0"/>
      </rPr>
      <t>▢</t>
    </r>
    <r>
      <rPr>
        <rFont val="맑은 고딕"/>
        <color theme="1"/>
        <sz val="11.0"/>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rFont val="Segoe UI Symbol"/>
        <color theme="1"/>
        <sz val="11.0"/>
      </rPr>
      <t>▢</t>
    </r>
    <r>
      <rPr>
        <rFont val="맑은 고딕"/>
        <color theme="1"/>
        <sz val="11.0"/>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rFont val="Segoe UI Symbol"/>
        <color theme="1"/>
        <sz val="11.0"/>
      </rPr>
      <t>▢</t>
    </r>
    <r>
      <rPr>
        <rFont val="맑은 고딕"/>
        <color theme="1"/>
        <sz val="11.0"/>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</si>
  <si>
    <t>연간 들어야하는 필수교육 목록과 수강가능한 사이트를 정리해 줄 수 있는지?</t>
  </si>
  <si>
    <t>보안감사 대비하여 매월, 반기별 등 처리해야할 절차들이 있는지?</t>
  </si>
  <si>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</si>
  <si>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t>미답변처리
 정보보안 감사 대비 기간별 조치 방법에 대해 정리해놓은 파일이 없으므로 미답변 처리합니다.
 - 미제출된 정보보안 감사계획서 상에서도 해당 내용이 없음</t>
  </si>
  <si>
    <r>
      <rPr>
        <rFont val="맑은 고딕"/>
        <b/>
        <color theme="1"/>
        <sz val="11.0"/>
      </rPr>
      <t>337_2307_부산광역시_업무매뉴얼_부산광역시_부산광역시_정보보안업무지침.pdf[15p]</t>
    </r>
    <r>
      <rPr>
        <rFont val="맑은 고딕"/>
        <color theme="1"/>
        <sz val="11.0"/>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</si>
  <si>
    <r>
      <rPr>
        <rFont val="맑은 고딕"/>
        <b/>
        <color theme="1"/>
        <sz val="11.0"/>
      </rPr>
      <t>337_2307_부산광역시_업무매뉴얼_부산광역시_부산광역시_정보보안업무지침.pdf[67~72p]</t>
    </r>
    <r>
      <rPr>
        <rFont val="맑은 고딕"/>
        <color theme="1"/>
        <sz val="11.0"/>
      </rPr>
      <t xml:space="preserve">
-------
지침 체크리스트</t>
    </r>
  </si>
  <si>
    <r>
      <rPr>
        <rFont val="맑은 고딕"/>
        <b/>
        <color theme="1"/>
        <sz val="11.0"/>
      </rPr>
      <t>411_2505_총무과_지침_국가_정보보안_기본지침.pdf[]</t>
    </r>
    <r>
      <rPr>
        <rFont val="맑은 고딕"/>
        <color theme="1"/>
        <sz val="11.0"/>
      </rPr>
      <t xml:space="preserve">
-------
</t>
    </r>
    <r>
      <rPr>
        <rFont val="맑은 고딕"/>
        <color rgb="FFFF0000"/>
        <sz val="11.0"/>
      </rPr>
      <t xml:space="preserve">[정보가 너무 파편화되어 있음]
</t>
    </r>
    <r>
      <rPr>
        <rFont val="맑은 고딕"/>
        <color theme="1"/>
        <sz val="11.0"/>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</si>
  <si>
    <t>국민신문고, 정보공개 처리 기준 및 답변 예시들을 볼 수 있는지?</t>
  </si>
  <si>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</si>
  <si>
    <t>ㆍ826_페이지83_문서6_163527_부산광역시_정보공개_조례.pdf (p.1, 2)
https://busanai.busan.go.kr/download/826_페이지83_문서6_163527_부산광역시_정보공개_조례.pdf</t>
  </si>
  <si>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</si>
  <si>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처리 기준은 정보공개운영안내서 74~111참조
 처리 절차는 정보공개운영안내서 239번~253
 기대답변:
 국민신문고 민원 처리 기준 &gt; 관련 매뉴얼 없음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</si>
  <si>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3, 17, 18</t>
  </si>
  <si>
    <r>
      <rPr>
        <rFont val="Malgun Gothic"/>
        <color theme="1"/>
        <sz val="11.0"/>
      </rPr>
      <t xml:space="preserve">본문내용 일체
 - Q 숫자로 되어 있는 질문 답변은 제외 
----------
</t>
    </r>
    <r>
      <rPr>
        <rFont val="맑은 고딕"/>
        <color rgb="FF0432FF"/>
        <sz val="11.0"/>
      </rPr>
      <t xml:space="preserve">
[Top5 내로 답변이 나오도록 분량 조정 필요]</t>
    </r>
    <r>
      <rPr>
        <rFont val="맑은 고딕"/>
        <color theme="1"/>
        <sz val="11.0"/>
      </rPr>
      <t xml:space="preserve">
</t>
    </r>
    <r>
      <rPr>
        <rFont val="맑은 고딕"/>
        <color rgb="FF00B050"/>
        <sz val="11.0"/>
      </rPr>
      <t xml:space="preserve">&gt;&gt; 정보공개 처리 기준 17P~18P 내용으로만 요약 생성
&gt;&gt; 답변 예시는 목차 3P의 정보공개 관련 통지 예시 페이지만 안내
&gt;&gt; 국민신문고는 관련 매뉴얼 없음
</t>
    </r>
    <r>
      <rPr>
        <rFont val="맑은 고딕"/>
        <color theme="1"/>
        <sz val="11.0"/>
      </rPr>
      <t xml:space="preserve">
</t>
    </r>
  </si>
  <si>
    <t>3page - 정보공개 접수 처리 절차 안내, 국민신문고 정보공개 처리 기준 및 답변 예시
17, 18page - 국민신문고 정보공개 처리 기준 및 답변 예시</t>
  </si>
  <si>
    <r>
      <rPr>
        <rFont val="맑은 고딕"/>
        <b/>
        <color theme="1"/>
        <sz val="11.0"/>
      </rPr>
      <t>426_2307_통합민원과_업무매뉴얼_행정안전부_민원_처리에_관한_법령_해설집개정판.pdf[260]</t>
    </r>
    <r>
      <rPr>
        <rFont val="맑은 고딕"/>
        <color theme="1"/>
        <sz val="11.0"/>
      </rPr>
      <t xml:space="preserve">
----
</t>
    </r>
    <r>
      <rPr>
        <rFont val="맑은 고딕"/>
        <color rgb="FFFF0000"/>
        <sz val="11.0"/>
      </rPr>
      <t>[국민신문고, 정보공개처리의 문구와 유사도가 높지 않을 것으로 예상]</t>
    </r>
    <r>
      <rPr>
        <rFont val="맑은 고딕"/>
        <color theme="1"/>
        <sz val="11.0"/>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</si>
  <si>
    <r>
      <rPr>
        <rFont val="맑은 고딕"/>
        <b/>
        <color theme="1"/>
        <sz val="11.0"/>
      </rPr>
      <t>424_2108_통합민원과_업무매뉴얼_행정안전부_정보공개운영안내서.pdf[74]</t>
    </r>
    <r>
      <rPr>
        <rFont val="맑은 고딕"/>
        <color theme="1"/>
        <sz val="11.0"/>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</si>
  <si>
    <t>수의계약이 아닌 입찰로 진행할 때 선행해야할 절차들과 서류들을 정리해 줄 수 있는지?</t>
  </si>
  <si>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</si>
  <si>
    <r>
      <rPr>
        <rFont val="Malgun Gothic"/>
        <color theme="1"/>
        <sz val="11.0"/>
      </rP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</si>
  <si>
    <t>-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</si>
  <si>
    <t>2, 4</t>
  </si>
  <si>
    <t xml:space="preserve"> 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
 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</si>
  <si>
    <t>계약으로 진행해야 하는 기준, 계약시 필요 서류 안내, 일반지출이 아닌 계약, 수의 계약이 아닌 입찰 진행할 때 선행 절차와 필요한 서류 안내, 계약 종류별 절차 와 구비서류 안내
---
수의 계약이 아닌 입찰 진행할 때 선행 절차와 필요한 서류 안내</t>
  </si>
  <si>
    <r>
      <rPr>
        <rFont val="맑은 고딕"/>
        <b/>
        <color theme="1"/>
        <sz val="11.0"/>
      </rPr>
      <t xml:space="preserve">475_2501_회계재산담당관_업무매뉴얼_회계재산담당관_2025년_계약업무_통합운영_매뉴얼2511_회계재산담당관_계약지원팀.pdf[2]
</t>
    </r>
    <r>
      <rPr>
        <rFont val="맑은 고딕"/>
        <color theme="1"/>
        <sz val="11.0"/>
      </rPr>
      <t xml:space="preserve">-----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Mincho"/>
        <color theme="1"/>
        <sz val="11.0"/>
      </rPr>
      <t>․</t>
    </r>
    <r>
      <rPr>
        <rFont val="맑은 고딕"/>
        <color theme="1"/>
        <sz val="11.0"/>
      </rPr>
      <t>감독</t>
    </r>
    <r>
      <rPr>
        <rFont val="MS Mincho"/>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Mincho"/>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Mincho"/>
        <color theme="1"/>
        <sz val="11.0"/>
      </rPr>
      <t>․</t>
    </r>
    <r>
      <rPr>
        <rFont val="맑은 고딕"/>
        <color theme="1"/>
        <sz val="11.0"/>
      </rPr>
      <t>일시</t>
    </r>
    <r>
      <rPr>
        <rFont val="MS Mincho"/>
        <color theme="1"/>
        <sz val="11.0"/>
      </rPr>
      <t>․</t>
    </r>
    <r>
      <rPr>
        <rFont val="맑은 고딕"/>
        <color theme="1"/>
        <sz val="11.0"/>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</si>
  <si>
    <r>
      <rPr>
        <rFont val="맑은 고딕"/>
        <b/>
        <color theme="1"/>
        <sz val="11.0"/>
      </rPr>
      <t xml:space="preserve">475_2501_회계재산담당관_업무매뉴얼_회계재산담당관_2025년_계약업무_통합운영_매뉴얼2511_회계재산담당관_계약지원팀.pdf[4]
-----
</t>
    </r>
    <r>
      <rPr>
        <rFont val="맑은 고딕"/>
        <color theme="1"/>
        <sz val="11.0"/>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</si>
  <si>
    <t>부산광역시 해운대구 부동산중개 수수료를 알고 싶습니다.</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</si>
  <si>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네트워크 인증 시스템 비밀번호 분실 시 행정전화(5999)로 연락바랍니다</t>
  </si>
  <si>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</si>
  <si>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</si>
  <si>
    <t>재직증명서 발급 방법을 알려주세요</t>
  </si>
  <si>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</si>
  <si>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</si>
  <si>
    <t>장기재직휴가 부여방법을 알려주세요</t>
  </si>
  <si>
    <t>질문하신 내용에 대해서는 참고할 만한 자료를 찾지 못했습니다. 관련 부서나 업무 담당자에게 문의해 주시기 바랍니다</t>
  </si>
  <si>
    <t>부서 직원이 재직기간 충족으로 인해 장기재직휴가 대상이 되었을때 서무가 인사랑에 장기재직휴가를 부여할 수 있는지에 대한 질문으로 보입니다.
해당 질문의 경우 관련 답변이 없으므로 이상없습니다.</t>
  </si>
  <si>
    <t>페이지 나뉘어져 있는거 다 합쳐서 답변해야할것으로 보입니다.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</si>
  <si>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[문서 페이지 수가 많아서 Top 5 이내 전달할 수 있도록 수량 조정 필요]
</t>
    </r>
    <r>
      <rPr>
        <rFont val="&quot;맑은 고딕&quot;"/>
        <color rgb="FF00FF00"/>
        <sz val="11.0"/>
      </rPr>
      <t>&gt;&gt; 질의문 163번 동일 처리</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</si>
  <si>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</si>
  <si>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</si>
  <si>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지역홍보 언론관계자 지역특산품
 2. 시책 또는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간담회를 개최할 경우 식사 제공
 체육활동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</si>
  <si>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국민신문고와 정보공개청구 처리 과정 알려주세요</t>
  </si>
  <si>
    <r>
      <rPr>
        <rFont val="Malgun Gothic"/>
        <color theme="1"/>
        <sz val="11.0"/>
      </rP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</si>
  <si>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기대답변
 국민신문고 민원 처리 절차 요약 &gt; 이것만 미답변 처리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</si>
  <si>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t>239, 240, 241, 242, 243, 244, 245, 246, 247, 248, 249, 250, 251, 252, 253</t>
  </si>
  <si>
    <r>
      <rPr>
        <rFont val="Malgun Gothic"/>
        <color theme="1"/>
        <sz val="11.0"/>
      </rPr>
      <t xml:space="preserve">본문내용 일체
 - Q 숫자로 되어 있는 질문 답변은 제외 
----------
</t>
    </r>
    <r>
      <rPr>
        <rFont val="Arial"/>
        <color rgb="FF0432FF"/>
        <sz val="11.0"/>
      </rPr>
      <t xml:space="preserve">
[Top5 내로 답변이 나오도록 분량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 국민신문고 메뉴얼 없음
</t>
    </r>
    <r>
      <rPr>
        <rFont val="Arial"/>
        <color rgb="FFFF0000"/>
        <sz val="11.0"/>
      </rPr>
      <t xml:space="preserve">-  이런 형태의 안내문은 전부다 FAQ를 별도로 만들어서 관리하는게 맞는것 같습니다. 해당 파일의 2, 3 페이지 이외에 포함되어야할 내용을 알려주시면 해당 내용을 포함해 답변을 생성하겠습니다.
</t>
    </r>
    <r>
      <rPr>
        <rFont val="Malgun Gothic"/>
        <color rgb="FFFF0000"/>
        <sz val="11.0"/>
      </rPr>
      <t xml:space="preserve">(순번 278 질문도 함께 처리)
</t>
    </r>
    <r>
      <rPr>
        <rFont val="Malgun Gothic"/>
        <color rgb="FF00B050"/>
        <sz val="11.0"/>
      </rPr>
      <t>&gt;&gt; FAQ 처리</t>
    </r>
  </si>
  <si>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</si>
  <si>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(p.227)</t>
    </r>
    <r>
      <rPr>
        <rFont val="맑은 고딕"/>
        <color rgb="FF000000"/>
        <sz val="11.0"/>
      </rPr>
      <t xml:space="preserve">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</si>
  <si>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</si>
  <si>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theme="1"/>
        <sz val="11.0"/>
      </rPr>
      <t xml:space="preserve">1234_국민신문고_사용자지침서_민원_v17.pdf[16~17p]
-----
</t>
    </r>
    <r>
      <rPr>
        <rFont val="맑은 고딕"/>
        <color theme="1"/>
        <sz val="11.0"/>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</si>
  <si>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필수 이수 교육종류를 알려주세요</t>
  </si>
  <si>
    <t>엑셀, 한글 등 SW프로그램을 새로 다운받는 방법을 알려주세요</t>
  </si>
  <si>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</si>
  <si>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</si>
  <si>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</si>
  <si>
    <t>http://99.1.1.29/resources/xf/portal/table.html? 해당 링크에서 다운로드 가능합니다. 등의 메시지가 표출되면 될 것 같습니다</t>
  </si>
  <si>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</si>
  <si>
    <t>한글 다운로드 받는 방법, 엑셀 다운로드 받는 방법, 소프트웨어 프로그램 다운로드 받는 방법</t>
  </si>
  <si>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</si>
  <si>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행정포털 비밀번호 초기화 방법 알려주세요</t>
  </si>
  <si>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</si>
  <si>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</si>
  <si>
    <t>직원 전출, 휴직, 복직 시 처리해야 하는 행정 절차가 궁금합니다.</t>
  </si>
  <si>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</si>
  <si>
    <r>
      <rPr>
        <rFont val="맑은 고딕"/>
        <b/>
        <color rgb="FF000000"/>
        <sz val="11.0"/>
      </rPr>
      <t>1271_페이지128_문서1_164438_부산광역시_지방공무원_근무_규칙.pdf[1]</t>
    </r>
    <r>
      <rPr>
        <rFont val="맑은 고딕"/>
        <color rgb="FF000000"/>
        <sz val="11.0"/>
      </rPr>
      <t xml:space="preserve">
-----
</t>
    </r>
    <r>
      <rPr>
        <rFont val="맑은 고딕"/>
        <color rgb="FFFF0000"/>
        <sz val="11.0"/>
      </rPr>
      <t>[기대 답변에 대한 내용은 없는 것 같음. 확인 필요]</t>
    </r>
    <r>
      <rPr>
        <rFont val="맑은 고딕"/>
        <color rgb="FF000000"/>
        <sz val="11.0"/>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</si>
  <si>
    <t>윈도우10 기술지원 중단으로 컴퓨터 사양 확인을 위해 TPM 확인을 하려는데 조회가 안됩니다.</t>
  </si>
  <si>
    <t>장기 병가 사용 시 급여 및 수당, 연가 등에 대한 조정 사항이 궁금합니다.</t>
  </si>
  <si>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</si>
  <si>
    <t>관내출장 시 18:00 이후 복귀하여도 출장 시간 인정이 되는지 궁금합니다.</t>
  </si>
  <si>
    <t>관내출장 시 근무 시간(초과근무) 외 복귀할 때 출장시간 인정 여부에 대한 안내, 18시 출장 복귀 시 근무시간 포함(인정) 여부 안내</t>
  </si>
  <si>
    <t>교육 이수 관련하여 연간 충족해야하는 시간과 인정되는 시간이 궁금합니다.</t>
  </si>
  <si>
    <t>예산 수시 배정 절차가 궁금합니다.</t>
  </si>
  <si>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</si>
  <si>
    <r>
      <rPr>
        <rFont val="Malgun Gothic"/>
        <color theme="1"/>
        <sz val="11.0"/>
      </rPr>
      <t xml:space="preserve">근거문서 : 2025년도 지방자치단체 예산편성 운영기준 및 기금운용계획 수립기준 163P
기대답변 :
□ 예산수시배정
</t>
    </r>
    <r>
      <rPr>
        <rFont val="Segoe UI Symbol"/>
        <color theme="1"/>
        <sz val="11.0"/>
      </rPr>
      <t>❍</t>
    </r>
    <r>
      <rPr>
        <rFont val="맑은 고딕"/>
        <color theme="1"/>
        <sz val="11.0"/>
      </rPr>
      <t xml:space="preserve"> 운영절차 : 세출예산집행계획 수정 및 수시배정 요구(사업부서) ⇒ 세출 예산배정계획 조정(예산부서) ⇒ 수시배정 확정(예산부서) ⇒ 관계부서에 통지
</t>
    </r>
    <r>
      <rPr>
        <rFont val="Segoe UI Symbol"/>
        <color theme="1"/>
        <sz val="11.0"/>
      </rPr>
      <t>❍</t>
    </r>
    <r>
      <rPr>
        <rFont val="맑은 고딕"/>
        <color theme="1"/>
        <sz val="11.0"/>
      </rPr>
      <t xml:space="preserve"> 배정방법 : 예산부서는 편성목까지 확정하나, 회계처리 등을 고려하여 통계목까지를 내부적 관리
</t>
    </r>
    <r>
      <rPr>
        <rFont val="Segoe UI Symbol"/>
        <color theme="1"/>
        <sz val="11.0"/>
      </rPr>
      <t xml:space="preserve">
❖</t>
    </r>
    <r>
      <rPr>
        <rFont val="맑은 고딕"/>
        <color theme="1"/>
        <sz val="11.0"/>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rFont val="Segoe UI Symbol"/>
        <color theme="1"/>
        <sz val="11.0"/>
      </rPr>
      <t>❖</t>
    </r>
    <r>
      <rPr>
        <rFont val="맑은 고딕"/>
        <color theme="1"/>
        <sz val="11.0"/>
      </rPr>
      <t>배정 통보
사업부서로부터 세출예산수시배정요구서가 제출된 경우, 예산부서는 배정에 따른 결격사유가 없을 때에는 지체 없이 세출예산배정계획을 수정하고 수시 배정 확정 후 관련부서에 통보</t>
    </r>
  </si>
  <si>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</si>
  <si>
    <t>163</t>
  </si>
  <si>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</si>
  <si>
    <t>예산 수시 배정 절차 안내</t>
  </si>
  <si>
    <t>사무실 물품 고장 또는 파손 시 청사 내에서 자체적으로 수리를 해주실 수 있는지 궁금합니다.</t>
  </si>
  <si>
    <t>일상경비 교부대상 및 교부제외대상을 알고 싶어요</t>
  </si>
  <si>
    <t>일상경비 교부 대상 및 범위 
① 201일반운영비 -&gt;한도없음
- 01. 사무관리비: 건당 천만원 미만의 경비*임차료(건당300만원미만)
- 02. 공공운영비:공공요금및제세, 차량선박비
- 03. 행사운영비: 건당 천만원미만경비*임차료(건당300만원미만)
② 202여비 : 국내여비,원액여비 -&gt;한도 1천만원
③ 203업무추진비: 전체통계목 -&gt;한도없음
④ 301일반보전금: 행사실비(건당1천만원미만) -&gt;한도없음
   ★ 교부제외: 국외업무여비, 국제화여비, 공무원교육여비, 피복비, 연구개발비, 자산취득비</t>
  </si>
  <si>
    <t>일상경비 교부대산 및 범위(표) 및 [참고]교부 제외 대상</t>
  </si>
  <si>
    <t>유지관리 정보화사업을 추진하려고 해. 내 사업이 보안성검토 대상인지 알려줘</t>
  </si>
  <si>
    <t>정보화사업에 대한 정보보안 관련사항은 "부산광역시 정보보안업무 지침"에 근거함.
부산광역시 정보보안업무 지침 제14조(검토 생략)에 따라  "다년도에 걸쳐 계속되는 사업으로써 사업 착수 당시 보안성 검토를 완료한 후 사업 내용의 변동 없이 계속 추진하는 운영·유지사업" 으로 되어 있음.
사업 착수 당시 보안성 검토를 완료했는지 확인이 필요하며, 
사업 내용 역시 변동 없이 계속 추진 사업인지 확인이 필요함.</t>
  </si>
  <si>
    <t>337_2307_부산광역시_업무매뉴얼_부산광역시_부산광역시_정보보안업무지침.pdf</t>
  </si>
  <si>
    <t>17, 18, 19, 20</t>
  </si>
  <si>
    <t>제14조 (검토 생략) 정보화사업담당관은 다음 각 호에 해당하는 정보화사업에 대하여는
보안성 검토 절차의 이행을 생략할 수 있다. 이 경우 정보화사업담당관은 관련 매뉴
얼·가이드라인 등을 준수하는 등 자체 보안대책을 수립·시행하여야 한다.
1. 제12조 각 호의 정보화사업에 해당하지 아니하는 단순 장비·물품 도입
2. 제13조에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같은 보안 기능을 보유한 다른 정보보호시스
템으로 교체
3. 다년도에 걸쳐 계속되는 사업으로써 사업 착수 당시 보안성 검토를 완료한 후
사업 내용의 변동 없이 계속 추진하는 운영·유지사업
4. PC·프린터 및 상용 소프트웨어 등 단순제품 교체</t>
  </si>
  <si>
    <t>정보화사업 보안성 검토 대상인지 확인,  정보보안성 검토 대상 확인</t>
  </si>
  <si>
    <t>정보시스템을 도입했는데, 로그 기록해야 한다고 하는데, 저장 기간과 관련 근거 조항 알려줘</t>
  </si>
  <si>
    <t>부산광역시 정보보안업무 지침 제47조(로그기록 유지)에 따라, 정보시스템 정보시스템 관리자는 로그기록을 1년 이상 보관하여야 하며 로그기록의 위·변조 및
외부유출 방지대책을 수립·시행하여야 함.
따라서 1년 이상 보관하여야 하고, 관련 조항은 부산광역시 정보보안업무 지침 제47조임</t>
  </si>
  <si>
    <t>35, 36</t>
  </si>
  <si>
    <t>제47조 (로그기록 유지) ① 분임정보보안담당관은 정보시스템의 효율적인 통제·관리 및
사고 발생 시 추적 등을 위하여 로그기록을 유지·관리하여야 한다.
② 제1항에 따른 로그기록에는 다음 각 호의 사항이 포함되어야 한다.
1. 접속자, 정보시스템·응용프로그램 등 접속대상
2. 로그온·오프, 자료의 열람·출력 등 작업 종류 및 시간
3. 접속 성공·실패 등 작업 결과
4. 전자우편 사용 등 외부발송 정보 등
③ 정보시스템 관리자는 로그기록을 생성하는 정보시스템의 경우 시간 동기화 프로토
콜(NTP) 적용 등을 통해 정확한 기록을 유지하여야 한다.
④ 정보시스템 관리자는 로그기록을 정기적으로 점검하고 점검 결과 비(非)인가자의
접속 시도, 자료의 위·변조 및 삭제 등 의심스러운 정황이나 위반한 사실을 발견한 경
우 즉시 정보보안담당관에게 통보하여야 한다.
⑤ 정보시스템 관리자는 로그기록을 1년 이상 보관하여야 하며 로그기록의 위·변조 및
외부유출 방지대책을 수립·시행하여야 한다.</t>
  </si>
  <si>
    <t>정보시스템 로그 기록 저장 기간 관련 근거 조항, 정보시스템 도입 로그 기록 안내</t>
  </si>
  <si>
    <t>정보화사업을 추진하는데, 보안관련하여 착수단계 챙겨야 할 사항을 알려줘</t>
  </si>
  <si>
    <t>정보화사업 단계별 준수사항에 대해 "부산광역시 정보화용역사업 보안관리 매뉴얼"에서 안내하고 있음
"부산광역시 정보화용역사업 보안관리 매뉴얼" 제4장 사업수행 단계, 제1절 참여인원에 대한 보안관리 에 따라 다음 사항을 준수해야 함. 
1. 참여인원 신원확인
2. 보안서약서 징구
3. 보안교육 실시
4. 용역사업 참여인원 보안점검 실시</t>
  </si>
  <si>
    <t>2207_정보화정책과_업무매뉴얼_부산광역시_정보화용역사업_보안관리_매뉴얼.pdf</t>
  </si>
  <si>
    <t>15, 16</t>
  </si>
  <si>
    <t>제4장 사업수행 단계
4장에서는 정보화 용역사업 수행 단계에서 적용해야 하는 보안사항을 설명
한다. 참여인원, 사무실·장비, 내·외부망, 자료에 대한 보안관리 사항을 포
함한다.
제1절 참여인원에 대한 보안관리</t>
  </si>
  <si>
    <t>정보화사업 착수 시 보안 조치사항</t>
  </si>
  <si>
    <t xml:space="preserve">행사에 따른 행사실비지원금을 지출해야 하는데, 회계과 의뢰인지, 부서내 일상경비로 처리해야하는지 알려줘. </t>
  </si>
  <si>
    <t xml:space="preserve">회계재산담당관 "2025년도 일상경비 교부·운영계획"에서 2025년 일상경비 교부 대상을 정하고 있음.
행사실비지원금의 경우 "건당 천만원 미만의 경비"의 경우 교부 대상이므로 
건당 금액 상한을 확인해야 함.
건당 천만원 미만의 경우 일상경비로 처리하고,
건당 천만원이상의 경우 회계과로 의뢰해야 함. </t>
  </si>
  <si>
    <r>
      <rPr>
        <rFont val="Malgun Gothic"/>
        <strike/>
        <color theme="1"/>
        <sz val="12.0"/>
      </rPr>
      <t>1,</t>
    </r>
    <r>
      <rPr>
        <rFont val="Malgun Gothic"/>
        <color theme="1"/>
        <sz val="12.0"/>
      </rPr>
      <t xml:space="preserve"> 5</t>
    </r>
  </si>
  <si>
    <t>301일반보전금 &gt; 11.행사실비지원금 &gt; 건당 천만원 미만의 경비</t>
  </si>
  <si>
    <t>정기인사철에 휴대용 저장매체(usb) 사용방법에 대해 안내해줘</t>
  </si>
  <si>
    <t>국가정보원 국가 정보보안 기본지침 제66조(비공개 업무자료 처리)에 따라 업무용 PC 자료 반출은 부서 웹하드, 공직자통합메일, 온-나라메일, 보안USB등을 이용해야 합니다. 예외적으로 대용량 자료등 부득이하게 일반 USB 사용시 휴대용저장매체 해제는 공문에 의거하여 허용해야 하지만 인사철에 휴대용저장매체 사용은 신청자 증가로 인해 일시적으로 시스템으로 신청 받으며 반드시 정보화정책과에서 별도 공문 시행시(정기인사에 따른 휴대용 저장매체 사용 방법 안내 등)에만 가능합니다
정기인사 발령에 따른 휴대용 저장매체(USB 등) 사용 방법을 다음과 같이 안내하니 인계인수 등에 참고 하시기를 바랍니다.
※ 위반자는 「부산광역시 정보보안업무 지침」 정보보안 위반사항 처리기준(별표 3)에 따라 처벌할 수 있음
※ 비인가 휴대용 저장매체는 보안정책에 따라 사용 금지할 수 있으니 개인 자료는 업무용 PC에 저장 금지
나. 신청방법: 보안USB 사용자 매뉴얼(붙임1) 참고 ※신청 후 1시간 이후 확인
다. 주의사항: 비밀, 대외비, 비공개 업무자료*는 저장 금지
* 「공공기관의 정보공개에 관한 법률」 제9조 제1항에 따른 비공개 대상 정보 등</t>
  </si>
  <si>
    <t>2506_정기인사에_따른_휴대용_저장매체USB_등_사용_방법_안내.pdf</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</si>
  <si>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</si>
  <si>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부서에서 신규 보안USB를 배부 받고 싶어 어떻게 해야해?</t>
  </si>
  <si>
    <t>관련 근거와 처리 절차는 다음과 같음
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
정보화정책과로 휴대용저장매체 배부요청 공문을 보낸다.
포함되어야 할 내용은 휴대용저장매체 유형(일반 비밀I,II,III), 용량(일반, 대용량), 수량, 요청 사유 등이 포함되어야 한다.</t>
  </si>
  <si>
    <r>
      <rPr>
        <rFont val="Malgun Gothic"/>
        <color theme="1"/>
        <sz val="12.0"/>
      </rPr>
      <t xml:space="preserve">77, 78
</t>
    </r>
    <r>
      <rPr>
        <rFont val="Malgun Gothic"/>
        <strike/>
        <color theme="1"/>
        <sz val="12.0"/>
      </rPr>
      <t>79, 80, 81</t>
    </r>
  </si>
  <si>
    <t>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t>
  </si>
  <si>
    <t>부서내 신규 보안 USB 배부 안내, 휴대용 저장 매체 등록 안내</t>
  </si>
  <si>
    <t>산업단지의 유형(종류)에 대해 구체적으로 알려주세요</t>
  </si>
  <si>
    <t>□ 산업단지 유형
1. 국가산업단지
 · 국가기간산업, 첨단과학기술산업 등 육성
2. 일반산업단지
 · 산업의 적정한 지방 분산을 촉진, 지역경제 활성화
3. 도시첨단산업단지
 · 지식산업, 문화산업, 정보통신산업 등 첨단산업의 육성 및 집적
4. 농공단지
 · 농어촌지역에 농어민의 소득증대를 위한 산업을 유치, 육성</t>
  </si>
  <si>
    <t>산업단지_개발관리_업무편람_20210126.pdf</t>
  </si>
  <si>
    <r>
      <rPr>
        <rFont val="Malgun Gothic"/>
        <strike/>
        <color theme="1"/>
        <sz val="12.0"/>
      </rPr>
      <t>28,</t>
    </r>
    <r>
      <rPr>
        <rFont val="Malgun Gothic"/>
        <color theme="1"/>
        <sz val="12.0"/>
      </rPr>
      <t xml:space="preserve"> 43</t>
    </r>
  </si>
  <si>
    <t>산업입지 및 개발에 관한 법률 제2조 등 본문 내용 표 인용</t>
  </si>
  <si>
    <t>산업단지 개발에 필요한 공공녹지와 도로의 확보기준을 정리해서 알려주세요</t>
  </si>
  <si>
    <t>□ 산업단지 공공녹지·도로 확보기준
○ 산업단지 면적 300만㎡ 이상
1. 공공녹지(공원·녹지)율
 · 10~13% 미만
2. 도로율
 · 10% 이상
○ 산업단지 면적 100만㎡ 이상~300만㎡ 미만
1. 공공녹지(공원·녹지)율
 · 7.5~10% 미만
2. 도로율
 · 10% 이상
○ 산업단지 면적 100만㎡ 미만 
1. 공공녹지(공원·녹지)율
 · 5~7.5% 미만
2. 도로율
 · 8% 이상
 ※ 공공녹지의 최소규모는 500㎡ 이상</t>
  </si>
  <si>
    <r>
      <rPr>
        <rFont val="Malgun Gothic"/>
        <strike/>
        <color theme="1"/>
        <sz val="12.0"/>
      </rPr>
      <t>54, 55, 56, 57,</t>
    </r>
    <r>
      <rPr>
        <rFont val="Malgun Gothic"/>
        <color theme="1"/>
        <sz val="12.0"/>
      </rPr>
      <t xml:space="preserve"> 58</t>
    </r>
  </si>
  <si>
    <t>산업단지계획 통합기준 제14조 등 본문 내용 표 인용</t>
  </si>
  <si>
    <t>택시에 물건을 두고 내렸어요. 
어떻게 해야 돼요?</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</si>
  <si>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</si>
  <si>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t>당직원_근무자료.pdf</t>
  </si>
  <si>
    <t>잦은 당직민원 처리 안내</t>
  </si>
  <si>
    <t>버스에 물건을 두고 내렸어요
지하철에 물건을 두고 내렸어요
KTX에 물건을 두고 내렸어요
SRT에 물건을 두고 내렸어요
비행기에 물건을 두고 내렸어요</t>
  </si>
  <si>
    <t>★ 당직민원 접수하지 말고 민원인에게 바로 안내하세요
  ○ 시내버스 : 051-791-4500 부산시내버스운송사업조합(버스조합)
  ○ 시외버스
    - 부산종합버스터미널(노포동) : 1577-9956, 051-508-9207
    - 사상서부버스터미널 : 1577-8301, 051-559-1000
    - 해운대시외버스터미널 : 1688-0081, 051-743-0082
    - 해운대수도권정류소 : 1688-7645, 051-746-3550
  ○ 마을버스 : 051-868-9485~6 부산마을버스운송사업조합(마을버스조합) 
  ○ 도시철도 : 051-640-7339 부산교통공사
    - 위    치 : 부산도시철도 1·2호선 서면역 환승통로(지하2층)
    - 운영시간 : 평일 9시~18시
    - 전화번호 : (운영시간) 051-640-7339   (운영시간 外) 051-803-3431
  ○ 철    도 : 051-440-2641 부산역 유실물센터 직통번호(민원인에게 안내×)
    - 철도고객센터(1544-7788) 또는 각 역 유실물센터로 문의
    - 레츠코레일 홈페이지 → 고객센터 → 유실물에서 검색 조회 가능
  ○ 여 객 기 : 051-974-2403(국내선,경찰101호) 051-974-2432(국제선, 경찰100호)
  ○ 개인택시, 법인택시
    - 개인택시조합 051-500-8500   ※ 택시번호 알 경우
    - 가까운 경찰서 혹은 지구대, 경찰청민원실(☏182)
  ○ 경찰청유실물센터 : ☏182, 051-868-0899
    - 습득물(주민등록증 포함)은 아래 사이트에 등록되므로 전화 또는 온라인으로 확인 가능
    - 사이버경찰청(http://www.lost112.go.kr) 유실물마당에서 확인(24시간운영)</t>
  </si>
  <si>
    <t>23, 24</t>
  </si>
  <si>
    <t>23p
대중교통(버스, 지하철, KTX, SRT, 비행기) 분실물 찾는 방법
24p
대중교통(버스, 지하철, KTX, SRT, 비행기) 분실물 찾는 방법, 길거리 동물(고양이, 비둘기등) 사체 처리 방법</t>
  </si>
  <si>
    <t>고양이 사체가 있어요
비둘기 사체가 있어요</t>
  </si>
  <si>
    <t>고양이, 비둘기 등 동물 사체가 위치한 구군청 당직실로 전화/당직 근무자 메신저 이첩 또는 구군청 당직실 전화번호를 알려주세요
중구 당직실(600-4222), 
서구 당직실(240-4222),
동구 당직실(440-4222),
영도구 당직실(419-4222),
부산진구 당직실(605-4222),
동래구 당직실(550-4222),
남구 당직실(607-4222),
북구 당직실(309-4222)
해운대구 당직실(749-4222),
사하구 당직실(220-4222),
금정구 당직실(519-4222),
강서구 당직실(970-4222),
연제구 당직실(665-4222),
수영구 당직실(610-4222),
사상구 당직실(310-4222),
기장군 당직실(709-4222)</t>
  </si>
  <si>
    <t>대중교통(버스, 지하철, KTX, SRT, 비행기) 분실물 찾는 방법, 길거리 동물(고양이, 비둘기등) 사체 처리 방법</t>
  </si>
  <si>
    <t>가로등이 꺼졌어요
가로등이 깨졌어요</t>
  </si>
  <si>
    <t>★ 신고지역(도로/인도변) 관할 구·군청 당직실로 전화/당직 근무자 메신저 이첩 또는 구·군청 당직실 전화번호를 알려주세요</t>
  </si>
  <si>
    <t>가로등 고장 신고 방법 안내</t>
  </si>
  <si>
    <t>불법 주차 단속해 주세요</t>
  </si>
  <si>
    <t>★ 신고지역 관할 구·군청 당직실 전화번호를 알려주세요
구·군별로 단속반 운영시간과 점심시간 단속유예(조례) 등 차이가 있어요</t>
  </si>
  <si>
    <t>불법 주차 단속</t>
  </si>
  <si>
    <t>주거지 전용 주차장의 불법 주차 단속해 주세요</t>
  </si>
  <si>
    <t>★ 신고지역 관할 구·군청 당직실 전화번호를 알려주세요
주거지전용 주차장은 관할 구·군의 읍·면·동에서 관리해요</t>
  </si>
  <si>
    <t>공무원의 소속 단체장의 업적홍보 관련 위반사례는?</t>
  </si>
  <si>
    <t>공직선거법 제9조 제1항에 따르면, 공무원 및 정치적 중립을 지켜야 하는 자는 선거에 대한 부당한 영향력을 행사하거나 선거결과에 영향을 미치는 행위를 해서는 안 됩니다. 
또한 같은 법 제85조 제1항 및 제86조 제1항은 특정 정당 또는 후보자(후보자가 되고자 하는 자 포함)의 업적을 홍보하는 행위를 공무원이 하지 못하도록 규정하고 있습니다.
주요 위반 사례로는 다음과 같습니다:
- 공무원이 ‘지방자치대상 최우수상 수상’ 또는 ‘자랑스러운 인물대상 수상’ 등 수상실적을 단체장의 업적과 연계하여 보도자료로 제공한 경우
- 공무원이 여론조사기관에서 실시한 직무수행지지도 평가 결과를 단체장의 업적홍보 자료로 활용 · 제공한 경우
- 해당 단체장의 기여·공로를 직접 기술한 내용 및 수상실적 등이 담긴 보도자료를 작성하여 언론사에 제공한 경우</t>
  </si>
  <si>
    <t>2508_시의회사무처_홍보_부산광역시선거관리위원회_공무원의_소속_단체장_업적홍보_관련_공직선거법_안내.pdf</t>
  </si>
  <si>
    <r>
      <rPr>
        <rFont val="Malgun Gothic"/>
        <strike/>
        <color theme="1"/>
        <sz val="12.0"/>
      </rPr>
      <t>1,</t>
    </r>
    <r>
      <rPr>
        <rFont val="Malgun Gothic"/>
        <color theme="1"/>
        <sz val="12.0"/>
      </rPr>
      <t xml:space="preserve"> 2</t>
    </r>
  </si>
  <si>
    <t>본문 내용 그대로 인용</t>
  </si>
  <si>
    <t>공무원 단체장 업적 홍보 위반 사례</t>
  </si>
  <si>
    <t>민원인이 지방자치단체에서 보유하고 개인정보 수집에 대한 동의의 철회를 주장하며 그 파기를 요구하고 있는데 현재 보유하고 있는 개인정보를 파기하여야 하나요?</t>
  </si>
  <si>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</si>
  <si>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t>2310_시의회사무처_법령_개인정보보호위원회_개인정보_분쟁조정_사례_공공기관_교육과정.pdf</t>
  </si>
  <si>
    <t>개인정보란 무엇이며, 실무에서 혼동하기 쉬운 사례를 포함하여 개인정보의 예시를 설명해 줘</t>
  </si>
  <si>
    <t>1. 「개인정보 보호법」에 따르면 개인정보란, 살아 있는 개인에 관한 정보로서 해당 정보만으로 또는 다른 정보와 쉽게 결합하여 특정 개인을 알아볼 수 있는 정보를 말한다.
또한 정보의 형태가 전자문서인지, 종이문서인지와 관계없이 모두 개인정보에 해당할 수 있다.
즉, 실무에서는 다음 두 가지 기준으로 판단하면 된다.
이 정보로 “누구인지” 알 수 있는가?
다른 정보와 쉽게 결합하면 특정 개인이 되는가?
2. 혼동하기 쉬운 핵심 포인트
- 가명정보
개인정보를 가명처리하여 추가정보 없이는 특정 개인을 알아볼 수 없게 만든 정보이지만, 여전히 개인정보의 범주에 포함됨. 다만 추가정보 등이 결합될 가능성이 완전히 제거된 경우에는 익명정보가 될 수 있음.
- 법인 정보
법인 자체 정보는 개인정보가 아니나, 대표자 성명·담당자 연락처 등은 개인정보가 될 수 있음.
- 식별 가능성 기준
단독으로 식별 가능 → 개인정보
다른 정보와 쉽게 결합 → 개인정보
시간·비용·기술을 합리적으로 고려하여도 식별 불가 → 개인정보 아님
3. 개인정보 예시로는 
-일반정보(인적사항):성명, 주민등록번호, 주소, 연락처, 생년월일, 출생지, 성별
-신체정보:얼굴, 지문, 홍채, 음성, 키, 몸무게, 유전자정보
-의료·건강정보:진료기록, 병력, 장애등급, 혈액형, 건강검진 결과
-가족정보:가족관계, 가족구성원, 혼인 여부, 자녀 정보
-사회적 정보:도서·비디오 대여기록, 구매내역, 웹사이트 검색기록
-사상·신념정보:종교, 정치성향, 노조가입 여부, 가치관
-교육정보:학력, 성적, 출결상황, 생활기록부
-병역정보:군번, 계급, 복무부대, 제대유형
-근로정보:근무처, 직무평가, 인사기록, 징계내역
-법정정보:범죄경력, 재판기록, 과태료 이력
-소득정보:급여, 보너스, 사업소득, 이자수익
-신용정보:계좌번호, 카드번호, 신용등급, 대출내역
-부동산정보:소유주택, 토지, 자동차 등록정보</t>
  </si>
  <si>
    <t>2402_시의회사무처_법령_개인정보보호위원회_개인정보_보호법_주요내용.pdf</t>
  </si>
  <si>
    <t>7, 8, 9</t>
  </si>
  <si>
    <t>개인정보 정의 및 범위, 실무에서의 개인정보 취급 사례, 혼동되는 개인정보의 예시</t>
  </si>
  <si>
    <t>수의계약은 어떤 유형으로 구분되며, 유형별 적용 기준과 주요 내용을 설명해 주세요.</t>
  </si>
  <si>
    <t>수의계약은 「지방자치단체를 당사자로 하는 계약에 관한 법률 시행령」에 따라 계약 금액, 공사의 종류, 계약의 긴급성 및 특수성 등에 따라 다음과 같이 유형별로 구분된다.
- 1인 견적 제출 가능 수의계약
추정가격 2천만원 이하의 계약은 1인 견적 제출이 가능하며, 다음 기업·조합과 계약하는 경우에는 5천만원 이하까지 허용된다.
(단, 사회적기업 등 일부 유형은 취약계층 고용비율 30% 이상일 경우에 한함)
대상 기업 또는 조합: 여성기업, 장애인기업, 사회적기업, 사회적협동조합, 자활기업, 마을기업, 청년창업기업
이 경우 취약계층 고용비율은 관련 지방자치단체 입찰 및 계약집행기준 별표3 기준에 따라 확인한다.
- 2인 이상 견적제출 대상 수의계약
종합공사 : 4억원 이하
전문공사 : 2억원 이하
전기·정보통신·소방 등 공사 : 1억 6천만원 이하
그 밖의 공사 : 1억원 이하
용역·물품 : 1억원 이하</t>
  </si>
  <si>
    <t>2507_시의회사무처_예산회계_행정안전부_개정전문_지방자치단체_입찰_및_계약집행기준.pdf</t>
  </si>
  <si>
    <t>166, 167</t>
  </si>
  <si>
    <t>본문 표 내용 그대로 인용</t>
  </si>
  <si>
    <t>수의계약 유형 분류, 유형별 수의계약 적용 기준, 수의계약 주요 내용</t>
  </si>
  <si>
    <t>제한입찰의 범위와 계약 목적물별 제한 기준을 유형별로 설명해 주세요.</t>
  </si>
  <si>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</si>
  <si>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155, 156, 157</t>
  </si>
  <si>
    <t>제한입찰의 정의와 범위, 계약 목적물별 제한입찰 적용 기준, 제한입찰 유형별 특징 및 사례</t>
  </si>
  <si>
    <t>공무원 경조사 휴가 일수를 알고 싶어요</t>
  </si>
  <si>
    <t>●경조사별 휴가 일수
① 결혼:  본일(5일), 자녀(1일)
② 출산:  배우자(10일)*한번에 둘이상 자녀출산의 경우 15일)
③ 입양:  본인(20일)
④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t>
  </si>
  <si>
    <t>경조사별 휴가일수표</t>
  </si>
  <si>
    <t>시장님 행사를 진행해야 하는데 참석자들의 좌석배치를 어떻게 하면 좋을까?</t>
  </si>
  <si>
    <t>공식 서열에 관한 명문상 규정은 없지만 의전업무상 필요에 따라 정부조직법, 조례, 기관 순위 등 지금까지 시행해 온 주요행사를 통해 확립된 선례와 관행을 기준으로 행사의 성격을 감안하여 배치하여예 합니다.
- 직위에 의한 서열기준은 직급(계급) 순서, 헌법 및 정부조직법상 기관순서, 상급기관, 국가기관 순으로 예우합니다.
- 좌석배치는 원탁형의 경우 무대를 볼 수 있는 곳을 상석으로 하며, 주빈의 시야(바깥 경치 등)를 고려하여 상석을 검토합니다.
- 현판 제막식 등을 할 경우에는 현판을 바라보아 오른쪽이 상석입니다.</t>
  </si>
  <si>
    <t>416_2505_총무과_매뉴얼_부산시_의전실무_매뉴얼.pdf</t>
  </si>
  <si>
    <t>32, 33, 34, 35</t>
  </si>
  <si>
    <t>시장님 참석 의전 행사에서 참석자들의 효율적인 좌석 배치를 위한 가이드</t>
  </si>
  <si>
    <t>국민신문고 권한 신청은 누가, 어떤 권한을 신청하나요?</t>
  </si>
  <si>
    <t xml:space="preserve"> 1.부서 서무담당자 → "민원부서담당자", "제안부서담당자" 권한 신청
 2.사업소 하위기관 → "민원중간분류담당자" 권한 신청
 3.게시판 운영 담당자 → "웹프레임 분류담당자" 권한 신청</t>
  </si>
  <si>
    <t>2303_부산민원120_온라인민원_통합창구_운영_매뉴얼.pdf</t>
  </si>
  <si>
    <t>본문인용</t>
  </si>
  <si>
    <t>국민신문고 권한 신청 대상자</t>
  </si>
  <si>
    <t>국민신문고 사용자 정보확인 및 수정 하는법</t>
  </si>
  <si>
    <t>1. 국민신문고에 로그인
2. [나의권한] → [나의정보] 메뉴에서 부서 및 정보 확인
3. 필요 시 전화번호, 결재ID 등 수정 후 저장
4. 사업소 직원은 소속팀이 상이할 경우 통합민원과로 연락(☎1462, 1465)</t>
  </si>
  <si>
    <t>국민신문고 개인정보 확인 방법</t>
  </si>
  <si>
    <t>국민신문고민원 처리 결과는 어떻게 통보하나요? 서신통보를 요청한경우에는?</t>
  </si>
  <si>
    <t>1.처리 완료 후 "처리결과통보" 클릭
2.전자결재 시 본문 수정사항은 반영되지만 첨부파일은 별도 첨부 필요
3. 민원인이 "서신통보" 요청한 경우, "대내외 시행" 체크 후 e-그린우편 발송 기능 활용</t>
  </si>
  <si>
    <t>국민신문고 민원 처리 결과 통보 방식, 서신 통보 요청 시 민원 처리 절차</t>
  </si>
  <si>
    <t>국민신문고민원 처리 후 민원만족도 조사 확인하는법</t>
  </si>
  <si>
    <t>1 담당자가 한 달 이내에 "민원만족도 미확인" 건수를 확인
2. [민원] → [나의할일] 메뉴에서 만족도 확인 등록</t>
  </si>
  <si>
    <t>(3순위 - 정답 문서 찾아옴 / 추가작업 X)</t>
  </si>
  <si>
    <t>공공기관에 사무를 위탁하려고 하는데 위탁수수료는 얼마나 책정해야해?</t>
  </si>
  <si>
    <t>위탁·대행 수수료는 협약 체결시 사업의 특성 등을 감안하여 아래의 구간별 최고 비율 이하에서 협의하여야 합니다.
- 1억원 미만: 10% 이하
- 1억~5억원 미만: 7% 이하
- 5억원~10억원 미만: 5% 이하
- 10억원 이상: 3% 이하</t>
  </si>
  <si>
    <t>13_2407_공공기관담당관_업무매뉴얼_공공기관담당관_공공기관_위탁대행_업무처리_지침.pdf</t>
  </si>
  <si>
    <t>공공기관 위탁 대행 수수료 책정, 위탁 대행 수수료 안내, 위탁수수료 책정 방법, 공공기관 사무 위탁 대행 수수료</t>
  </si>
  <si>
    <t>공직자 재산등록 대상 및 고지거부 내용을 알려주세요</t>
  </si>
  <si>
    <t>1. 등록대상
 - 재산등록의무자
 국가･지방자치단체의 정무직 공무원, 4급 이상 공무원, 교육감, 법관･검사, 대령 이상 장교, 공기업의 장, 공직유관단체임원 등 ※ 경찰･소방･국세･관세 등 특정분야는 7급 이상
 ① 대통령, 국무총리, 국무위원, 국회의원 등 국가의 정무직공무원
 ② 지방자치단체의 장, 지방의회의원 등 지방자치단체의 정무직공무원
 ③ 4급 이상의 일반직 국가공무원(고위공무원단에 속하는 일반직공무원 포함) 및 지방공무원, 4급 이상에 상당하는 별정직공무원(고위공무원단에 속하는 별정직 공무원 포함), 연구관･지도관, 4급 이상의 일반직공무원에 상당하는 전문경력관
 및 지방전문경력관, ｢전문직공무원 인사규정｣ 제3조에 따른 수석전문관 
 ④ 대통령령으로 정하는 외무공무원과 4급 이상의 국가정보원 직원 및 대통령 경호처 경호공무원
 ⑤ 법관 및 검사
 ⑥ 헌법재판소 헌법연구관
 ⑦ 대령 이상의 장교 및 이에 상당하는 군무원
 ⑧ 교육공무원 중 총장･부총장･대학원장･학장(대학교의 학장을 포함) 및 전문대학의 장과 대학에 준하는 각종 학교의 장, 특별시･광역시･특별자치시･도･특별자치도의 교육감 및 교육장, 대통령령으로 정하는 교육공무원
 ⑨ 총경(자치총경포함) 이상의 경찰공무원과 소방정 이상의 소방공무원, 대통령령으로 정하는 경찰 및 소방공무원
 ⑩ ③부터 ⑦까지 및 ⑨의 공무원으로 임명할 수 있는 직위 또는 이에 상당하는 직위에 임용된 임기제 공무원
 ⑪ ｢공공기관의 운영에 관한 법률｣에 따른 공기업1)의 장･부기관장, 상임이사 및 상임감사, 한국은행의 총재･부총재･감사 및 금융통화위원회의 추천직 위원, 금융감독원의 원장･부원장･부원장보 및 감사, 농업협동조합중앙회･수산업협동
 조합중앙회의 회장 및 상임감사
 ⑫ 공직유관단체의 임원
 ⑬ ｢한국토지주택공사법｣에 따른 한국토지주택공사 등 부동산 관련 업무나 정보를 취급하는 대통령령으로 정하는 공직유관단체의 직원
 ⑭ 그 밖의 국회규칙, 대법원규칙, 헌법재판소규칙, 중앙선거관리위원회규칙 및 대통령령으로 정하는 특정분야의 공무원과 공직유관단체의 직원
 2. 고지거부
  - 등록의무자의 부양을 받지 아니하는 직계존비속이 공직자윤리위원회의 허가를 받아 자기 재산의 고지를 거부하고 재산등록을 하지 아니할 수 있는 제도임 (법 제12조제4항)</t>
  </si>
  <si>
    <t>인사혁신처_2021_공직윤리_업무편람.pdf</t>
  </si>
  <si>
    <t>40, 41, 42, 43, 79</t>
  </si>
  <si>
    <t>40~43P 본문 일체
 7. 고지거부제도
 가. 고지거부란?
 ○ 등록의무자의 부양을 받지 아니하는 직계존비속이 공직자윤리위원회의 허가를
 받아 자기 재산의 고지를 거부하고 재산등록을 하지 아니할 수 있는 제도임
 (법 제12조제4항)</t>
  </si>
  <si>
    <t>(40~43 페이지)
공직자 재산등록 대상과 고지거부 내용 안내, 부산시 재산등록 대상자 범위 안내
(79 페이지)
공직자 재산등록 대상과 고지거부 내용 안내</t>
  </si>
  <si>
    <t>사업계획서 사전검토 의견에 따른 설계공모 미적용 가능한가요?</t>
  </si>
  <si>
    <t>●「건축서비스산업 진흥법」 시행령 제17조 제2항에 따라 설계비 추정가격 1억원 이상의 건축물이라 할지라도, 사전검토를 통해 다른 발주방식 가능에 대한 의견을 제공받은 경우, 설계공모방식을 우선하여 적용하지 않을 수 있습니다.
 ●다만, 이 경우에는(설계비 5억원 이상) 중앙건축위원회의 심의를 받아야 합니다.</t>
  </si>
  <si>
    <t>공공건축_자문에_대한_응답_사례집_2022_2023.pdf</t>
  </si>
  <si>
    <t>45</t>
  </si>
  <si>
    <t>설비교체가 주인 리모델링 사업도 설계공모 방식을 적용해야 하나요?</t>
  </si>
  <si>
    <t>●리모델링(「건축법」에 따른 리모델링을 의미)은 「건축사법」 제2조 제3호에 따른 건축물의 건축, 대수선, 용도변경, 리모델링, 건축설비의 설치 또는 공작물 축조와 같은 설계 행위를 포함하므로, 설계비 추정가격이 1억원 이상이라면 설계공모방식 우선 적용대상에 해당합니다.
 ● 「건축법」에 따른 실내건축의 경우에도, 「건축사법」에 따른 설계 행위를 포함할 경우, 상기와 같이 적용을 받습니다.</t>
  </si>
  <si>
    <t>43</t>
  </si>
  <si>
    <t>인접하여 위치한 2개 필지에 각각 건축물 조성 시 설계공모 통합 발주가 가능한가요?</t>
  </si>
  <si>
    <t>●「공공부문 건축디자인 업무기준」 제10조에서는 지역의 개발 및 정비와 관 련한 사업에 건축물이 포함되는 경우, 개별 건축물의 설계를 별도로 발주 하여 우수한 건축 디자인이 조성될 수 있도록 명기하고 있습니다.
 ● 상기 기준을 비롯한 「건축서비스산업 진흥법」 및 「건축 설계공모 운영지 침」에 설계공모 통합발주에 대한 규정은 없습니다.
 ● 따라서, 건축물 간 연계 활용을 고려한 계획이 필요하다면 1건으로 통합하 여 추진할 수 있으나, 부지 특성 및 사업기간 등을 종합적으로 고려하여 신중히 결정하시기 바랍니다.</t>
  </si>
  <si>
    <t>47</t>
  </si>
  <si>
    <t>설계단계에서 사업 부지가 변경되어 설계변경이 필요한 경우 설계공모 절차를 다시 진행해야 하나요?</t>
  </si>
  <si>
    <t>●「건축서비스산업 진흥법」 및 「건축 설계공모 운영지침」에 설계변경 가능 기준 등을 명시한 규정은 없습니다.
 ● 설계변경을 통해 계약을 유지할 수 있으며, 「공공발주사업에 대한 건축사의 업무범위와 대가기준」 제9조에 의거 설계변경으로 인한 계약금액 조정이 가능합니다.
 ● 또는, 계약타절 후 수의계약을 통해 재진행할 수 있습니다. 다만, 상기 기준에 따라 기존에 건축사가 작성한 설계도서 저작권은 저작권법이 정하는 바에 따라야 하며, 기존 설계안의 저작권 및 성명표시권 침해에 유의하시기 바랍니다.
 ● 만약, 변경된 부지 여건상 기존의 설계안을 그대로 활용하기 어려운 경우 새로운 사업으로 간주하여 설계공모를 다시 추진하는 것이 바람직합니다.</t>
  </si>
  <si>
    <t>49</t>
  </si>
  <si>
    <t>기존 건축물이 있는 부지에 부속동을 증축할 경우, 신축사업과 공공건축 조성 절차가 동일한가요?</t>
  </si>
  <si>
    <t>●공공기관이 공공건축 사업을 하려는 경우, 신축이나 리모델링과 같은 방식 과 상관없이 「건축서비스산업 진흥법」에 적용을 받습니다.
 ● 공공기관이 하는 모든 공공건축 사업은 건축기획 업무 수행 대상이며, 사전검토 및 설계공모 우선 적용대상은 동법 제21조 및 동법 시행령 제17조에 따라 건축물 용도와 설계비를 근거로 결정됩니다. 공공건축심의 대상은 동법 제22조의2 및 동법 시행령 제19조의2에 의거 설계비에 따라 구분됩니다.
 ● 따라서, 설계비 추정가격을 바탕으로 상기 절차의 대상 여부를 검토하시기 바랍니다.</t>
  </si>
  <si>
    <t>56</t>
  </si>
  <si>
    <t>「지방재정법」에 따른 타당성 조사를 수행한 사업의 「건설기술 진흥법」에 따른 타당성 조사 절차를 이행하여야 하나요?</t>
  </si>
  <si>
    <t>●「지방재정법」 제37조의2에 따른 타당성 조사는 투자심사 전 사업의 타당성을 객관적 기준에 따라 검증하는 조사이며, 「건설기술 진흥법」 제47조에 따른 타당성 조사는 경제, 기술, 사회 및 환경 등 종합적인 측면에서 적정성을 검토하는 것으로, 각각은 관계 법령이 다른 별개의 절차입니다.
 ● 「지방재정법」 제37조의2 제1항에서는 타당성 조사에 갈음하는 경우에 대해 명시하나, 「건설기술 진흥법」 제47조에 따른 타당성 조사에 대한 사항은 없습니다.
 ● 따라서, 총공사비 500억원 이상의 해당 사업 추진을 위해 「지방재정법」에 따른 타당성 조사와 「건설기술 진흥법」에 따른 타당성 조사를 모두 이행하여야 합니다.</t>
  </si>
  <si>
    <t>58</t>
  </si>
  <si>
    <t>비영리민간단체 등록시 신청서류를 알려줘</t>
  </si>
  <si>
    <t>비영리민간단체 등록은 비영리민간단체지원법률에 의거, 등록 및 수리하여야 합니다.
 1.비영리민간단체 등록 신청 서류 - 등록신청서
 -단체의 회칙(또는 정관)
 -당해연도 및 전년도의 총회 회의록 각1부
 -당해연도 및 전년도의 사업계획,수지예산서, 전년도 결산서 각1부
 - 회원명부 1부(상시구성원수로 제출) 
 -최근 1년 이상의 공익활동실적을 증명할수 있는 서류</t>
  </si>
  <si>
    <t>비영리민간단체_등록업무편람.pdf</t>
  </si>
  <si>
    <t>○ 등록신청 서류(영 제3조제1항)
 - 등록신청서(영 별지 제1호서식)
 - 단체의 회칙(또는 정관)
 - 당해 연도 및 전년도의 총회회의록 각 1부
 - 당해 연도 및 전년도의 사업계획･수지예산서, 전년도 결산서 각 1부
 - 회원명부 1부(상시 구성원수로 제출)
 ※ 100인 이상인 경우에는 100인까지 기재 후 “ 외 ◦◦인”으로 표기
 - 최근 1년 이상의 공익활동실적을 증명할 수 있는 자료</t>
  </si>
  <si>
    <t>｢건축법 시행령｣ 별표 1에 따라 용도별 건축물의 종류를 분류할 때 지하층을 건축물의 층수에 산입하나요?</t>
  </si>
  <si>
    <t>건축법 시행령 별표 1 제2호에 따라 공동주택의 종류를 분류할 때, 주택으로 쓰는 지하층은 같은 영 제119조제1항제9호에 따라 건축물의 층수에 산입하지 아니함.</t>
  </si>
  <si>
    <t>법제처_건축법령_해석사례_20220103기준.pdf</t>
  </si>
  <si>
    <t>본문 내용 인용함</t>
  </si>
  <si>
    <t>물품의 제조·가공·수리 등을 위한 시설이 제2종 근린생활시설에 해당 함에도 해당 용도를 공장으로 하여 건축허가 할 수 있나요?</t>
  </si>
  <si>
    <t>제조업소, 수리점 등 물품의 제조·가공·수리 등을 위한 시설이 「건 축법 시행령」 별표 1 제4호너목에 따른 제 2종 근 린생활시설에 해당 하는 경우에는 해당 건축물의 용도를 같은 표 제17호에 따른 “공장”으로 하여 건축허가를 할 수 없음.</t>
  </si>
  <si>
    <t>27</t>
  </si>
  <si>
    <t>「건축법 시행령」 별표1 제15호다목에 따른 다중생활시설(숙박시설)에서 공부할 수 있는 시설을 갖추고 숙박 또는 숙식을 제공하는 고시원 영업이 「공중위생관리법」에 따른 숙박업에 해당 하나요?</t>
  </si>
  <si>
    <t>「건축법 시행령」 별표1 제15호다목에 따른 숙박시설에 해당하는 다중 생활시설에서 다중이용업소법 시행령 제2조제7호의2에 따라 학습자가 공부할 수 있는 시설을 갖추고 숙박 또는 숙식을 제공하는 형태로 이루어지는 고시원업 영업은 「 공중위생관리 법」제2조제 1항제2호에 따른 숙박업에 해당하지 않음.</t>
  </si>
  <si>
    <t>28</t>
  </si>
  <si>
    <t>민간어린이집이 제1종 근린생활시설에 해당하나요?</t>
  </si>
  <si>
    <t>○영유아보육법 제10조제7호에 따른 민간어린이집은 건축법 시행령 별표 1 제3호사목에 따른 “지역아동센터 등 주민이 공동으로 이용하는 시설” 에 해당하지 아니함.
 ○가정어린이집이 아닌 민간어린이 집은 「건축법 시 행령」 별표1 제 11호에 따른 노유 자시설에만 해당한다고 보아야함</t>
  </si>
  <si>
    <t>29</t>
  </si>
  <si>
    <t>「청소년복지 지원법」에 따른 청소년복지시설을 설치할 수 있는 건축물의 범위는 어떻게 되나요?</t>
  </si>
  <si>
    <t>○청소년쉼터는 공동생활가정에 해당하는 것으로 보아 「건축법 시행령」 별 표 1 제1호 또는 제2호에 따른 단독주택 또는 공동주택에 설치할 수 있음.
 ○청소년자립 지원관은 공동생활가정에 해당하는 것으로 보아 「건축법 시행령」 별표 1 제1호 또는 제2호에 따른 단독주택 또는 공동주택에 설치할 수 있음.</t>
  </si>
  <si>
    <t>32</t>
  </si>
  <si>
    <t>부설주차장 설치기준에 위반되는 기존 건축물을 재축하는 경우 건축허가가 가능한가요?</t>
  </si>
  <si>
    <t>건축허가 신청 내용은 주차장법 제19조에 따른 부설주차장 설치기준에 적합해야 하므로 이 사안의 경우 건축허가를 할 수 없음.</t>
  </si>
  <si>
    <t>54</t>
  </si>
  <si>
    <t>가정에 갑자기 물이 안나오면 어디로 연락하나요</t>
  </si>
  <si>
    <t>단수 관련 문의 : 상수도사업본부
 상수도사업본부 669-4020~4022
 동래구, 연제구, 금정구 동래통합사업소 669-5207~5208
 중구, 동구 중동부사업소 669-5007~5008
 서구 서부사업소 669-5057~5058
 영도구 영도사업소 669-5107~5108
 부산진구 부산진사업소 669-5157~5158
 남구, 수영구 남부사업소 669-5257~5258
 북구, 사상구 북부사업소 669-5307~5308
 해운대구 해운대사업소 669-5357~5358
 사하구 사하사업소 669-5407~5408
 강서구 강서사업소 669-5507~5508
 기장군 기장사업소 669-5557~5558</t>
  </si>
  <si>
    <t>단수 관련 문의 : 상수도 사업본부</t>
  </si>
  <si>
    <t>집에서 물이 나오지 않을때 연락처</t>
  </si>
  <si>
    <t>공동주택이나 공동상가에서 각 세대별로 수도요금 고지서를 따로 받고싶어요</t>
  </si>
  <si>
    <t>부산광역시 수도 급수 조례 제10조(세대별계량기의 설치) ① 시장은 50세대 미만의 공동주택 또는 단독주택(「건축법 시행령」 별표 1 제1호가목 및 다목에 해당하는 것을 말한다)으로서 세대별 급수가 가능하도록 배관이 분리되어 있고, 건축주의 신청이 있으면 세대별계량기를 설치할 수 있다. 이 경우 세대별계량기 설치세대는 공동사용량이나 누수 및 공동배관 수선 등으로 인한 비용에 대해서 미설치세대와 공동부담의 책임을 진다. &lt;개정 2018. 2. 7., 2022.2.16.&gt;
  ③ 제1항에도 불구하고 세대별 급수를 위한 배관분리를 할 수 없으면 주계량기와 연결된 세대별계량기를 설치할 수 있다.</t>
  </si>
  <si>
    <t>53_페이지6_문서3_162141_부산광역시_수도_급수_조례.pdf</t>
  </si>
  <si>
    <t>건축주의 신청이 있으면 조건에 따라서 세대별계량기를 설치할수 있다</t>
  </si>
  <si>
    <t>공동주택, 공동상가의 개별 수도요금 고지 방법</t>
  </si>
  <si>
    <t>공공기관 위탁·대행 갱신 절차</t>
  </si>
  <si>
    <t>공공기관에 사무 위탁시 시의회 동의 예외사항은 「부산광역시 사무의 공공기관 위탁·대행에 관한 조례」 제8조2 및 제18조의2의 규정에 따라야 합니다.
 - 위탁·대행기간 갱신 시 위탁·대행사업 성과평가위원회에서 사업성과 등을 평가한 후 갱신 가능하며,
 - 위탁·대행기간 갱신 시 공공기관 위탁·대행사업의 성과를 측정하기 위하여 위탁·대행기간 만료 180일 전까지 성과평가를 실시하여야 함
 - 단, 시의회 동의 예외 대상 사무는 성과평가에서 제외하며, 「부산광역시 공유재산 및 물품 관리 조례」제13조의2에 따라 부산광역시 공유재산심의회의 심의를 거친 경우에는 위탁·대행사업 성과평가위원회의 평가를 거친 것으로 봄</t>
  </si>
  <si>
    <t>지침 내용 인용</t>
  </si>
  <si>
    <t>공공기관 위탁 대행 갱신 절차</t>
  </si>
  <si>
    <t>공공기관 위탁·대행사업 성과평가위원회 구성 및 운영 방법</t>
  </si>
  <si>
    <t>공공기관 위탁·대행사업 성과평가위원회의 구성 등에 관한 사항은 「부산광역시 사무의 공공기관 위탁·대행에 관한 조례」 제18조의3에 규정되어 있으며, 상세 내용은 다음과 같습니다.
 - (목적) 위탁·대행사업에 대한 성과평가
 - (대상) 위탁·대행사업 중 기간 갱신 사업 
 - (구성) 위원장 1명을 포함하여 6명 이상 10명 이하, 위원장은 위촉위원 중에서 호선, 전체 위원 수의 과반을 공무원이 아닌 사람으로 구성
 - (자격) 조례 제18조의3(위탁·대행사업 성과평가위원회 구성 및 운영)에 따라 임명 또는 위촉(이하 성과평가위원회) 
 1. 시 소속 4급 이상 공무원 
 2. 시의회에서 추천하는 사람 
 3. 대학교수, 변호사, 공인회계사, 공인노무사, 기술사 등 전문가 
 4. 그 밖에 공공기관 위탁·대행업무에 관하여 학식과 경험이 풍부한 사람 
 단, 성과평가위원회 위원은 위탁·대행 심의위원회 위원과 중복 위촉 불가하니 이점에 유의하시기 바랍니다.
  - (의결) 재적의원 과반수 출석으로 개의, 출석의원 과반수의 찬성으로 의결</t>
  </si>
  <si>
    <t>지명입찰선정 선정기준이 뭐야?</t>
  </si>
  <si>
    <t>1. 시공능력평가액을 기준으로 지명하려는 경우 각 호에 따라 지명
 가. 시공능력평가액을 기준으로 지명하는 경우 시공능력평가액 순위에 따라 지명
 나. 특수기술공사는 전문적인 기술보유자 중에서 시공능력평가액 순위에 따라 지명
 다. 특수공사 시 동종공사 실적보유자 아니면 계약목적 달성이 어려운 경우 실적보유자 중에서 시공능력평가액 순위에 따라 지명
 라. 시설물 보수, 복구 단가계약의 경우 공사현장 접근이 용이한 자나 장비 보유 업체 지명</t>
  </si>
  <si>
    <t>본문 내용 요약</t>
  </si>
  <si>
    <t>지명입찰선정 선정기준, 지명경쟁 입찰 방식 선정 기준</t>
  </si>
  <si>
    <t>안전보건관리체계 구축을 위한 7가지 핵심요소는 뭐야?</t>
  </si>
  <si>
    <t>1. 경영자 리더쉽
 2. 근로자의 참여
 3. 위험요인 파악
 4. 위험요인 제거, 대처 및 통제
 5. 비상조치계획 수립
 6. 도급, 용역 위탁 시 안전보건 확보
 7. 평가 및 개선</t>
  </si>
  <si>
    <t>안전보건관리체계_가이드북.pdf</t>
  </si>
  <si>
    <t>본문 발췌</t>
  </si>
  <si>
    <t>불법어업 지도단속 절차를 알려줘
 &gt;&gt; 표 순서 인식 후 기대답변 생성되는지 확인 필요</t>
  </si>
  <si>
    <r>
      <rPr>
        <rFont val="Arial"/>
        <color theme="1"/>
        <sz val="11.0"/>
      </rPr>
      <t xml:space="preserve">◎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
</t>
    </r>
    <r>
      <rPr>
        <rFont val="Arial"/>
        <color rgb="FF0000FF"/>
        <sz val="11.0"/>
      </rPr>
      <t>&gt;&gt; [25.12.29 - 김상돈]
15페이지의 경우 이미지로 답변 불가</t>
    </r>
  </si>
  <si>
    <t>2512_수산정책과_업무매뉴얼_수산정책과_불법_어업_지도단속_표준.pdf</t>
  </si>
  <si>
    <r>
      <rPr>
        <rFont val="Arial"/>
        <color theme="1"/>
        <sz val="11.0"/>
      </rPr>
      <t xml:space="preserve">10, </t>
    </r>
    <r>
      <rPr>
        <rFont val="Arial"/>
        <strike/>
        <color rgb="FFFF0000"/>
        <sz val="11.0"/>
      </rPr>
      <t>15</t>
    </r>
  </si>
  <si>
    <t>어업감독공무원은 뭐하는 사람이야?</t>
  </si>
  <si>
    <t>◎ 어업감독공무원의 자격
  1. 지정 주체 및 담당 사무
  가. 『수산업법 시행령』제45조 제1항에 따라 어업감독업무를 담당하는 공무원은 다음과 같이 지정됨.
  (1) 수산에 관한 사무를 담당하는 국가공무원으로서 해양수산부 장관 또는 시·도지사가 지정하는 자
  (2) 수산에 관한 사무를 담당하는 지방공무원으로서 시·도지사 또는 시장·군수·구청장이 지정하는 자
  나. 지정 취지: 수산 분야에 대한 업무상 전문성이 요구되어 일반 사법경찰관의 효율적 수사가 어려운 점을 보완하고, 전문가가 어업감독 업무를 수행하도록 함.
 ◎ 어업감독공무원의 권한
  1. 어업감독공무원의 권한
  가. 검사·질문권 및 정선·회항 명령권 (행정조사 권한)
   (1) 『수산업법』제69조 제1항에 따라 어업감독공무원은 어업조정, 안전 조업, 불법 어업 방지 및 수산물의 유통 질서를 확립하기 위하여 필요하다고 인정되면 어장·어선·사업장·사무소·창고, 그 밖의 장소에 출입하여 장부·서류, 그 밖의 물건을 검사 또는 관계인에게 질문하거나 그 밖에 정선(停船)이나 회항 (回航)을 명할 수 있다.
  (2) 권한 규정의 취지: 검사·질문 및 정선·회항 명령권 행사에 관계자가 답변을 거부하거나 명령에 불응할 경우, 행정상 처벌 근거(『수산업법』제108조 벌칙 조항)를 마련하여 실효성을 확보하기 위함.
  (3) 따라서 정선·회항 명령과 관련하여 『수산업법』제69조에서 “....어선의 정선이나 회항을 명할 수 있다.”고 규정하고, 『수산업법 시행령』제44조에서 더욱 구체화하고 있다.
  2. 불법 어획물 방류 명령권
  가. 『수산자원관리법』제16조 제1항에 의거, 『수산업법』제69조에 따른 어업감독공무원 등은 법령을 위반하여 포획·채취한 수산자원을 방류함으로써 포획·채취 전의 상태로 회복 가능하고 수산자원의 번식·보호에 필요하다고 인정되면 그 포획 ·채취한 수산자원의 방류를 명할 수 있음.
  나. 명령 수령자의 의무: 방류 명령을 받은 자는 지체없이 이에 따라야 함.</t>
  </si>
  <si>
    <t>12, 13</t>
  </si>
  <si>
    <t>불법어업 신고는 어떻게 해?</t>
  </si>
  <si>
    <t>불법 어업 신고센터: 방문, 전화(1588-5119) 우편, 팩스, 인터넷(국민신문고)</t>
  </si>
  <si>
    <t>불법어업 단속할 때 무엇을 확인해야 해?</t>
  </si>
  <si>
    <t>▣ 관련 법령별 중점 위반 사항
  ◎ 다음은 어업감독공무원의 불법 어업지도·단속 업무에 있어 중점적으로 확인해야 할 위반행위 및 관련 법령 조문임.
  1. 『수산업법』 위반 사항
  가. 면허어업,허가어업 등록 여부: 제7조(면허어업),제40조(허가어업)
  나. 다른 사람에 의한 지배 금지,임대차 금지: 제32조(임대차의 금지)
  다. 그물코 규격 제한,어구의 규모 형태 등: 제60조(어구의 규모 등의 제한)
   2. 『수산자원관리법』 위반 사항
  가. 조업 금지구역 확인: 제15조(조업금지구역): 제23조(2중 이상 자망의 사용금지 등)
  나. 2중 이상 자망 사용금지 위반 여부
  다. 수산동식물의 포획 채취 금지 기간,체장 위반: 제14조(포획ㆍ채취 금지,기간ㆍ체장 등)
  라. 외포란 꽃게,어린 채취 및 치어 포획: 제14조(포획ㆍ채취 금지,기간ㆍ체장 등)
  3. 『수산업법』 및 하위법령, 『어선안전조업 및 어선원의 안전보건 증진 등에 관한 법률』 위반 사항
  가. 어선의 규모 장비 기준 위반: 수산업법 시행규칙 제41조(어업의 종류별 허가정수 등)[별표7]
  나. 어업허가 제한 및 조건 위반: 수산업법 제40조(허가어업), 수산업법 시행규칙 제43조(어업허가의 제한)
  다. 출입항 신고,출어 등록 여부: 어선안전조업법 제8조(출입항신고), 제12조(출어등록)
  라. 조업한계선 등의 금지 및 특정 해역에서의 조업제한: 어선안전조업법 제11조(조업한계선 이탈금지),제13조(특정해역에서의 조업 또는 항행제한)
  4. 『어선법』 위반 사항
  가. 무선설비를 갖추지 아니하고 어선을 항행 또는 조업에 사용한 자: 제5조제1항(무선설비)
  나. 어선 위치 발신장치를 작동하지 않는 경우: 제5조의2제1항(어선위치발신장치)
  다. 선박국적증서 등을 어선에 갖추어 두지 아니하고 어선을 항행하거나 조업에 사용한 자: 제15조(선박국적증서 등의 비치)
  라. 어선의 명칭 등을 표시하지 아니하거나 어선번호판을 붙이지 아니한 자: 제16조제1항(어선 명칭 등의 표시와 번호판의 부착)
  ◎ 외국 어선(EEZ) 및 육상·유통 위반 사항
  1. 『배타적경제수역에서의 외국인어업 등에 대한 주권적 권리의 행사에 관한 법률』: 외국 어선
  가. 우리EEZ內무허가 조업: 제5조 제1항(어업의 허가 등)
  나. 협정된 제한 조건 위반(조업 구역,어획량 등): 제10조(허가 등의 제한 또는 조건)
  2. 『수산자원관리법』: 육상 및 유통 관련
  가. 항·포구 불법 어구 단속: 제24조(특정어구의 소지와 선박의 개조 등의 금지)또는 지자체 조례
  나. 수산시장 대상 불법 어획물 유통·판매: 제17조(불법어획물의 판매 등의 금지)</t>
  </si>
  <si>
    <t>16, 17, 18</t>
  </si>
  <si>
    <t>부산시 재산등록 대상자의 범위를 알려줘</t>
  </si>
  <si>
    <t>부산시 재산등록 대상자는 
 공직자윤리법 제3조에 따라
 1) 4급 이상의 지방공무원, 4급 이상에 상당하는 별정직공무원(고위공무원단에 속하는 별정직 공무원 포함)
 2) 연구관･지도관, 4급 이상의 일반직공무원에 상당하는 지방전문경력관 ｢전문직공무원 인사규정｣ 제3조에 따른 수석전문관
 3) ｢공공기관의 운영에 관한 법률｣에 따른 공기업의 장･부기관장, 상임이사 및 상임감사
 4) 공직유관단체의 임원
 5) ｢한국토지주택공사법｣에 따른 한국토지주택공사 등 부동산 관련 업무나 정보를 
 취급하는 대통령령으로 정하는 공직유관단체의 직원
 6) 그밖의 대통령령으로 정하는 특정분야의 공무원과 공직윤관단체의 직원
 이 대상이 됨</t>
  </si>
  <si>
    <t>40, 41, 42, 43, 44</t>
  </si>
  <si>
    <t>(40~43 페이지)
공직자 재산등록 대상과 고지거부 내용 안내, 부산시 재산등록 대상자 범위 안내
(44 페이지)
부산시 재산등록 대상자 범위 안내</t>
  </si>
  <si>
    <t>정보제공동의서를 제출하는 이유와 제출 시기를 알려줘</t>
  </si>
  <si>
    <t>1) 정보제공동의서를 제출하는 이유는 등록의무자와 그 이해관계자의 재산신고를 편리하게 하기 위해 금융거래 및 부동산 정보 등을 명의인의 동의를 받아 공직자윤리위원회에 제출하면 재산신고 개시 전 동의한 정보를 제공해 함으로써 개별적으로 재산을 확인해야하는 절차를 줄여줌
 2) 정보제공동의서 제출 시기는 
  ① 정기변동신고 대상자는 개시일 1개월 전까지(매년 11월 말)
  ② 수시신고 의무자는 등록의무 또는 신고의무가 발생한 날이 속하는 달의 다음달 15일까지(단, 등록의무 또는 신고의무가 매우러 1일에 발생한 경우는 그달의 15일까지)</t>
  </si>
  <si>
    <t>90</t>
  </si>
  <si>
    <t>정보제공동의서 제출 이유 및 근거에 대한 설명, 정보제공동의서 제출 시기 안내</t>
  </si>
  <si>
    <t>부모 및 자녀의 고지거부 신청 기간을 알려줘</t>
  </si>
  <si>
    <t>1) 고지거부 신청 대상은 등록의무자의 부양을 받지 아니하는 직계존비속 중 자기 재산의 고지를 거부하려는 사람(기존 고지거부 허가 효력이 상실된 경우 포함)이 대상이 되며
 2)신청기간은
  ① 최초 재산등록신고자 : 등록의무자가 된 날부터 1개월 이내(재산등록 의무자 포함)
  ② 정기 재산변동신고자 : 신고기간 개시일부터 1개월 이내(매년 1월 31까지) 
  ③ 신고유예 사유 소멸자 : 그 유예사유가 소멸된 날부터 1개월 이내
  ④ 승진, 전보 등으로 공개대상자가 된 신고자 : 공개대상자가 된 날부터 1개월 이내
  ⑤ 퇴직자 : 퇴직일로부터 1개월 이내
  ⑥ 의무면제자 : 전보 등이 된 날부터 1개월 이내
 2) 고지거부 재삼사 신청은
  ① 신청대상 : 등록의무자의 부양을 받지 아니한 직계존비속 중 이전 고지거부 허가를 받은 지 3년째 되는 자로서 계속해서 자기재산 고지를 거부하려는 사람
  ② 신청기간 : 고지거부 허가 받은 지 3년째 되는 정기변동신고기간(1월~3월)</t>
  </si>
  <si>
    <t>80</t>
  </si>
  <si>
    <t>부모 및 자녀의 고지거부 신청 기간 안내</t>
  </si>
  <si>
    <t>주식백지신탁 제도 안내와 의무대상을 알려줘</t>
  </si>
  <si>
    <t>1) 주식백지신탁 제도는 재산공개대상자 등은 본인 및 그 이해관계자가(배우자 등)가 보유한 주식이 3천만원을 초과할 경우에는 2개월 이내 주식을 매각하거나 주식백지신탁 하고 그 행위를 한 사실을 등록기관에 신고해야하는 제도이며, 보유주식이 담당 직무와 관련성이 없다고 생각되어 매각 도는 백지신탁 의무를 면제받고자 하는 자는 기준일로부터 2개월 이내에 주식백지신탁 심사위원회에 직무관련성 심사를 청구하여야 함.
 2) 주식백지신탁 대상자는 재산공개대상자로 부산시의 경우 1급이상 공무원 및 (2025년 기준)10개의 공직유관단체 기관장이 해당됨</t>
  </si>
  <si>
    <t>240</t>
  </si>
  <si>
    <t>건물 분양권 및 상가, 오피스텔을 보유하고 있을 경우 가액산정 방법을 알려줘</t>
  </si>
  <si>
    <t>⚫ (가액산정방법) 신규 취득한 부동산과 종전에 신고한 부동산을 구분하여 신고
 - 신규 취득한 부동산 : 반드시 실거래가격*(실제매입･매도한 금액)으로 신고하되, 상속 등으로
 실거래가격을 알 수 없는 경우에는 ’24년도 공시지가, 공시가격 등 평가액으로신고(부동산
 공시가격 알리미 활용)하고 ‘변동사유’란에 해당내용 기재
 * 각종 포털 및 시장에서 형성된 시세가 아닌, 실제로 취득한 가격 또는 보상액을 의미
 - 기존 신고한 부동산 : ① 종전신고 시 실거래가격으로 신고한 부동산은 실거래가격과
 평가액(공시지가, 공시가격 등) 중 높은 금액으로 신고, ② 종전신고 시 평가액으로 신고한
 부동산은 ’24년도 평가액으로 신고
 - 공동소유 부동산 : 소유 지분만큼만 신고</t>
  </si>
  <si>
    <t>2025년_정기_재산변동신고_안내서.pdf</t>
  </si>
  <si>
    <t>27, 28</t>
  </si>
  <si>
    <t>퇴직 후 재취업 예정인데 취업심사대상기관은 어떻게 확인해야 하는지 알려줘</t>
  </si>
  <si>
    <t>퇴직 후 재취업 시 취업심사대상기관 여부를 확인하려면 다음과 같은 기준을 참고해야 합니다.
 기대답변 : 
 영리사기업체: 자본금이 10억원 이상이고 연간 외형거래액이 100억원 이상인 영리 목적 사기업체.
 협회: 영리사기업체의 공동이익과 상호협력을 위해 설립된 법인·단체, 또는 기타 사유로 설립된 비영리 법인·단체.
 법무법인 등: 연간 외형거래액이 100억원 이상인 법무법인, 법무법인(유한), 법무조합, 법률사무소.
 회계법인: 연간 외형거래액이 100억원 이상인 회계법인.
 세무법인: 연간 외형거래액이 50억원 이상인 세무법인.
 외국법자문법률사무소 및 합작법무법인: 연간 외형거래액이 100억원 이상인 외국법자문법률사무소 및 합작법무법인.
 시장형 공기업: 공공기관의 운영에 관한 법률에 따른 시장형 공기업.
 안전 감독 업무, 인·허가 규제 업무 또는 조달 업무 등을 수행하는 공직유관단체: 국민의 생명 또는 신체와 관련된 위험을 예방·감소시키는 안전관리·지도·단속 업무, 법령에서 정한 인가·허가·면허·특허·승인 등의 업무, 법령에서 정한 조달 업무 등을 수행하는 단체.
 사립학교와 그 설립학교법인: 초·중등교육법 및 고등교육법에 따른 사립학교 및 학교법인.
 종합병원과 그 설립법인: 의료법에 따른 종합병원 및 이를 개설한 의료법인 또는 비영리법인.
 사회복지법인 등: 기본재산이 100억원 이상인 사회복지법인 또는 사회복지시설을 운영하는 비영리법인.
 방산·식품·의약품 등 특정분야: 방위사업법에 따른 방산업체, 식품안전기본법에 따른 식품 등 및 식품·의약품 등과 관련하여 인증·검사·시험·평가·지정 등의 업무를 수행하는 사기업체 또는 법인·단체.
 이러한 취업심사대상기관은 인사혁신처 고시 등을 통해 확인할 수 있습니다.</t>
  </si>
  <si>
    <t>190, 191, 192, 193</t>
  </si>
  <si>
    <t>재취업 시 취업심사대상기관 여부 확인 방법 안내</t>
  </si>
  <si>
    <t>문서 보존기간은 어떻게 산정하나요?</t>
  </si>
  <si>
    <t>페이지 내용 전체 참조</t>
  </si>
  <si>
    <t>정당한 사유없는 장시간 통화 어떻게 대응</t>
  </si>
  <si>
    <t>○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</si>
  <si>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 장시간‧반복‧폭언 민원 상담 시 종료
 ○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</si>
  <si>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반복전화 어떻게 대응</t>
  </si>
  <si>
    <t>○ (반복전화‧면담 종료) 충분한 설명이 이루어졌음에도 정당한 사유 없이
 반복적으로 전화나 면담 요청을 하는 경우 민원처리 지연 등으로 추가
 상담이 어려움을 안내 후 종결 처리 권고
 - 동일․유사내용에 대한 상습적 반복 전화, 면담(요구)은 민원처리법 제5조
 제2항에 따른 다른 민원인에 대한 민원처리 지연 사유에 해당될 수 있음
 ※ 새로운 민원신청이 아닌 경우에는 충분한 설명이 이루어졌음을 안내하고 전화 종결
 (법정 지침 또는 민원처리법령에 법적 근거 마련 예정)
 ․답변 예시) 말씀하시는 내용에 대해서는 충분히 설명 드렸습니다. 다른 분들의 민원
 처리가 지연되고 있으므로 통화를 종료하겠습니다. 반복적으로 전화하시거나 면담을
 요구하시는 행위는 민원처리법 제5조에 따른 공무방해행위에 해당될 수 있습니다.
 *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t>
  </si>
  <si>
    <t>11, 12</t>
  </si>
  <si>
    <t>(11p)
반복 전화 민원 대응 지침
(12p)
반복 전화 민원 대응 지침, 전화 응대 시 폭언, 욕설, 협박 등에 대한 대응 지침</t>
  </si>
  <si>
    <t>폭언(욕설, 협박 등) 전화응대 어떻게 해야돼</t>
  </si>
  <si>
    <t>○ (폭언 종료) 상담 시간과 관계 없이, 욕설·협박·성희롱 등 폭언 시
 전화‧면담 종료 가능 (※「민원처리법 시행령」개정)
 - 폭언이 있을 경우 전화․면담 종료를 안내하고 즉시 종료 가능
 민원처리법 시행령 제4조(민원 처리 담당자의 보호) ①
 8. 다음 각 목의 경우 전화나 면담의 종료 조치. 이 경우 그 조치 전에 해당 사유를 민
 원인에게 고지해야 한다.
 가. 전화 또는 면담 중 민원인이 반복적ㆍ지속적으로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t>
  </si>
  <si>
    <t>반복 전화 민원 대응 지침, 전화 응대 시 폭언, 욕설, 협박 등에 대한 대응 지침</t>
  </si>
  <si>
    <t>일상대화</t>
  </si>
  <si>
    <t>골든셋 질의답변(서식)</t>
  </si>
  <si>
    <t>문서명작업수</t>
  </si>
  <si>
    <t>반영수</t>
  </si>
  <si>
    <t>키워드작업</t>
  </si>
  <si>
    <t>분류</t>
  </si>
  <si>
    <t>AI기대답변</t>
  </si>
  <si>
    <t>출처 문서명</t>
  </si>
  <si>
    <t>출처 페이지</t>
  </si>
  <si>
    <t>출처 문서 중 관련내용</t>
  </si>
  <si>
    <t>문서명
맞추기</t>
  </si>
  <si>
    <t>일자</t>
  </si>
  <si>
    <t>GoldenSet 반영여부</t>
  </si>
  <si>
    <t>예산회계</t>
  </si>
  <si>
    <t>반영</t>
  </si>
  <si>
    <r>
      <rPr>
        <rFont val="Malgun Gothic"/>
        <color theme="1"/>
        <sz val="12.0"/>
      </rPr>
      <t xml:space="preserve">조달로 물품 구매하려고 해. 올해 며칠까지 회계과에 의뢰하면 될까?
</t>
    </r>
    <r>
      <rPr>
        <rFont val="Arial"/>
        <color rgb="FFFF0000"/>
        <sz val="12.0"/>
      </rPr>
      <t>&gt;&gt; 12월 31일 이후 쓸모없는 자료가 되므로 미반영</t>
    </r>
  </si>
  <si>
    <t xml:space="preserve">「지방회계법」제7조에 따른 출납폐쇄기한은 당해 연도 12.31.까지임
2025년 기준 회계과에서 정한 구분별 업무처리기한은 다음과 같음
  가. 2025년도 계약체결 요청 마감기한
    1) 경쟁입찰 대상 : 2025. 11. 14.한
    2) 수의계약 및 조달3자 단가물품 구매 요청 : 2025. 11. 21.한
      ※ 조달3자단가 물품 구매 요청 시, G2B 종합쇼핑몰에서 최소납품기한 반드시 확인 후 요청
  나. 2025년도 일반지출 요청 마감기한
    1) 우선적으로 지출 가능한 경비 지급요청 : 2025. 12. 2.한
    2) 부서 신용카드 사용기한 : 2025. 12. 18.한
    3) 일반지출 요청 최종 마감기한 : 2025. 12. 19.한
따라서 조달3자단가 물품 구매는 2025.11.21.까지 회계과로 요청해야 함. </t>
  </si>
  <si>
    <t>2511_회계재산담당관_기타_2025년도 출납폐쇄기한 내 계약 및 일반지출 업무처리기준 안내.pdf
2511_회계재산담당관_업무매뉴얼_[계약업무] 출납폐쇄기한 내 계약업무 처리기준 안내(2025 기준).hwp</t>
  </si>
  <si>
    <t>1
1, 2</t>
  </si>
  <si>
    <r>
      <rPr>
        <rFont val="Calibri"/>
        <color theme="1"/>
        <sz val="12.0"/>
      </rPr>
      <t xml:space="preserve"> </t>
    </r>
    <r>
      <rPr>
        <rFont val="맑은 고딕"/>
        <color theme="1"/>
        <sz val="12.0"/>
      </rPr>
      <t>조달</t>
    </r>
    <r>
      <rPr>
        <rFont val="Calibri"/>
        <color theme="1"/>
        <sz val="12.0"/>
      </rPr>
      <t>3</t>
    </r>
    <r>
      <rPr>
        <rFont val="맑은 고딕"/>
        <color theme="1"/>
        <sz val="12.0"/>
      </rPr>
      <t>자</t>
    </r>
    <r>
      <rPr>
        <rFont val="Calibri"/>
        <color theme="1"/>
        <sz val="12.0"/>
      </rPr>
      <t xml:space="preserve"> </t>
    </r>
    <r>
      <rPr>
        <rFont val="맑은 고딕"/>
        <color theme="1"/>
        <sz val="12.0"/>
      </rPr>
      <t>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구매요청할</t>
    </r>
    <r>
      <rPr>
        <rFont val="Calibri"/>
        <color theme="1"/>
        <sz val="12.0"/>
      </rPr>
      <t xml:space="preserve"> </t>
    </r>
    <r>
      <rPr>
        <rFont val="맑은 고딕"/>
        <color theme="1"/>
        <sz val="12.0"/>
      </rPr>
      <t>경우</t>
    </r>
    <r>
      <rPr>
        <rFont val="Calibri"/>
        <color theme="1"/>
        <sz val="12.0"/>
      </rPr>
      <t>(</t>
    </r>
    <r>
      <rPr>
        <rFont val="맑은 고딕"/>
        <color theme="1"/>
        <sz val="12.0"/>
      </rPr>
      <t>나라장터</t>
    </r>
    <r>
      <rPr>
        <rFont val="Calibri"/>
        <color theme="1"/>
        <sz val="12.0"/>
      </rPr>
      <t xml:space="preserve"> </t>
    </r>
    <r>
      <rPr>
        <rFont val="맑은 고딕"/>
        <color theme="1"/>
        <sz val="12.0"/>
      </rPr>
      <t>종합쇼핑몰</t>
    </r>
    <r>
      <rPr>
        <rFont val="Calibri"/>
        <color theme="1"/>
        <sz val="12.0"/>
      </rPr>
      <t xml:space="preserve"> </t>
    </r>
    <r>
      <rPr>
        <rFont val="맑은 고딕"/>
        <color theme="1"/>
        <sz val="12.0"/>
      </rPr>
      <t>등록물품</t>
    </r>
    <r>
      <rPr>
        <rFont val="Calibri"/>
        <color theme="1"/>
        <sz val="12.0"/>
      </rPr>
      <t xml:space="preserve">)
   </t>
    </r>
    <r>
      <rPr>
        <rFont val="맑은 고딕"/>
        <color theme="1"/>
        <sz val="12.0"/>
      </rPr>
      <t>먼저</t>
    </r>
    <r>
      <rPr>
        <rFont val="Calibri"/>
        <color theme="1"/>
        <sz val="12.0"/>
      </rPr>
      <t xml:space="preserve">, </t>
    </r>
    <r>
      <rPr>
        <rFont val="맑은 고딕"/>
        <color theme="1"/>
        <sz val="12.0"/>
      </rPr>
      <t>나라장터종합쇼핑몰에서</t>
    </r>
    <r>
      <rPr>
        <rFont val="Calibri"/>
        <color theme="1"/>
        <sz val="12.0"/>
      </rPr>
      <t xml:space="preserve"> </t>
    </r>
    <r>
      <rPr>
        <rFont val="맑은 고딕"/>
        <color theme="1"/>
        <sz val="12.0"/>
      </rPr>
      <t>해당물품</t>
    </r>
    <r>
      <rPr>
        <rFont val="Calibri"/>
        <color theme="1"/>
        <sz val="12.0"/>
      </rPr>
      <t xml:space="preserve"> </t>
    </r>
    <r>
      <rPr>
        <rFont val="맑은 고딕"/>
        <color theme="1"/>
        <sz val="12.0"/>
      </rPr>
      <t>최소</t>
    </r>
    <r>
      <rPr>
        <rFont val="Calibri"/>
        <color theme="1"/>
        <sz val="12.0"/>
      </rPr>
      <t xml:space="preserve"> </t>
    </r>
    <r>
      <rPr>
        <rFont val="맑은 고딕"/>
        <color theme="1"/>
        <sz val="12.0"/>
      </rPr>
      <t>납품기한</t>
    </r>
    <r>
      <rPr>
        <rFont val="Calibri"/>
        <color theme="1"/>
        <sz val="12.0"/>
      </rPr>
      <t xml:space="preserve"> </t>
    </r>
    <r>
      <rPr>
        <rFont val="맑은 고딕"/>
        <color theme="1"/>
        <sz val="12.0"/>
      </rPr>
      <t>확인</t>
    </r>
    <r>
      <rPr>
        <rFont val="Calibri"/>
        <color theme="1"/>
        <sz val="12.0"/>
      </rPr>
      <t xml:space="preserve"> </t>
    </r>
    <r>
      <rPr>
        <rFont val="맑은 고딕"/>
        <color theme="1"/>
        <sz val="12.0"/>
      </rPr>
      <t>후</t>
    </r>
    <r>
      <rPr>
        <rFont val="Calibri"/>
        <color theme="1"/>
        <sz val="12.0"/>
      </rPr>
      <t xml:space="preserve"> 
   </t>
    </r>
    <r>
      <rPr>
        <rFont val="맑은 고딕"/>
        <color theme="1"/>
        <sz val="12.0"/>
      </rPr>
      <t>해당업체</t>
    </r>
    <r>
      <rPr>
        <rFont val="Calibri"/>
        <color theme="1"/>
        <sz val="12.0"/>
      </rPr>
      <t xml:space="preserve"> </t>
    </r>
    <r>
      <rPr>
        <rFont val="맑은 고딕"/>
        <color theme="1"/>
        <sz val="12.0"/>
      </rPr>
      <t>및</t>
    </r>
    <r>
      <rPr>
        <rFont val="Calibri"/>
        <color theme="1"/>
        <sz val="12.0"/>
      </rPr>
      <t xml:space="preserve"> </t>
    </r>
    <r>
      <rPr>
        <rFont val="맑은 고딕"/>
        <color theme="1"/>
        <sz val="12.0"/>
      </rPr>
      <t>계약담당자와</t>
    </r>
    <r>
      <rPr>
        <rFont val="Calibri"/>
        <color theme="1"/>
        <sz val="12.0"/>
      </rPr>
      <t xml:space="preserve"> </t>
    </r>
    <r>
      <rPr>
        <rFont val="맑은 고딕"/>
        <color theme="1"/>
        <sz val="12.0"/>
      </rPr>
      <t>사전협의</t>
    </r>
    <r>
      <rPr>
        <rFont val="Calibri"/>
        <color theme="1"/>
        <sz val="12.0"/>
      </rPr>
      <t xml:space="preserve"> </t>
    </r>
    <r>
      <rPr>
        <rFont val="맑은 고딕"/>
        <color theme="1"/>
        <sz val="12.0"/>
      </rPr>
      <t>후</t>
    </r>
    <r>
      <rPr>
        <rFont val="Calibri"/>
        <color theme="1"/>
        <sz val="12.0"/>
      </rPr>
      <t xml:space="preserve"> </t>
    </r>
    <r>
      <rPr>
        <rFont val="맑은 고딕"/>
        <color theme="1"/>
        <sz val="12.0"/>
      </rPr>
      <t>계약요청</t>
    </r>
    <r>
      <rPr>
        <rFont val="Calibri"/>
        <color theme="1"/>
        <sz val="12.0"/>
      </rPr>
      <t xml:space="preserve">
    </t>
    </r>
    <r>
      <rPr>
        <rFont val="Wingdings"/>
        <color theme="1"/>
        <sz val="12.0"/>
      </rPr>
      <t></t>
    </r>
    <r>
      <rPr>
        <rFont val="Calibri"/>
        <color theme="1"/>
        <sz val="12.0"/>
      </rPr>
      <t xml:space="preserve"> </t>
    </r>
    <r>
      <rPr>
        <rFont val="맑은 고딕"/>
        <color theme="1"/>
        <sz val="12.0"/>
      </rPr>
      <t>조달</t>
    </r>
    <r>
      <rPr>
        <rFont val="Calibri"/>
        <color theme="1"/>
        <sz val="12.0"/>
      </rPr>
      <t>3</t>
    </r>
    <r>
      <rPr>
        <rFont val="맑은 고딕"/>
        <color theme="1"/>
        <sz val="12.0"/>
      </rPr>
      <t>자단가물품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t>
    </r>
    <r>
      <rPr>
        <rFont val="Calibri"/>
        <color theme="1"/>
        <sz val="12.0"/>
      </rPr>
      <t xml:space="preserve"> : ‘25. 11. 21.</t>
    </r>
    <r>
      <rPr>
        <rFont val="맑은 고딕"/>
        <color theme="1"/>
        <sz val="12.0"/>
      </rPr>
      <t>한</t>
    </r>
    <r>
      <rPr>
        <rFont val="Calibri"/>
        <color theme="1"/>
        <sz val="12.0"/>
      </rPr>
      <t xml:space="preserve"> </t>
    </r>
  </si>
  <si>
    <t>미반영</t>
  </si>
  <si>
    <t>정보보안</t>
  </si>
  <si>
    <r>
      <rPr>
        <rFont val="Malgun Gothic"/>
        <strike/>
        <color theme="1"/>
        <sz val="12.0"/>
      </rPr>
      <t>1,</t>
    </r>
    <r>
      <rPr>
        <rFont val="Malgun Gothic"/>
        <color theme="1"/>
        <sz val="12.0"/>
      </rPr>
      <t xml:space="preserve"> 5</t>
    </r>
  </si>
  <si>
    <t>부서에서 사용하는 보안USB를 분실했어. 이후 절차 안내해줘</t>
  </si>
  <si>
    <r>
      <rPr>
        <rFont val="Malgun Gothic"/>
        <color theme="1"/>
        <sz val="12.0"/>
      </rPr>
      <t xml:space="preserve">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
</t>
    </r>
    <r>
      <rPr>
        <rFont val="Malgun Gothic"/>
        <color rgb="FF0000FF"/>
        <sz val="12.0"/>
      </rPr>
      <t>&gt;&gt; [25.12.26 - 김상돈] '여기에서...' 로 시작하는 중간 이하의 부분은 정상 답변에 포함된 용어를 설명하는 부분으로
 - 실제 질문과 전혀 상관없는 내용으로 LLM(언어모델)의 파인튜닝을 통해 모델이 알아서 부연 설명을 하거나,
 - USB 분실시 조치 방법에 해당 내용에 정보보안암당관의 설명이 포함되어 있다거나,
 - 온톨로지 또는 Knowledge Database를 구축해 연관성을 부여해주는 방식
을 선택하는게 맞는 방법인것 같으며
현재 RAG구조에서 해당 내용(8page)을 억지로 검색해서 답변 참조문서로 포함시키는 것은 유사한 다른 케이스들에 대해서도 왜 같은 방식으로 동작하지 않는지 문의가 많이 생길 것 같아 억지로 검색되게 하는건 맞지 않다고 생각됩니다.</t>
    </r>
  </si>
  <si>
    <r>
      <rPr>
        <rFont val="Malgun Gothic"/>
        <strike/>
        <color theme="1"/>
        <sz val="12.0"/>
      </rPr>
      <t xml:space="preserve">8, 76, 77
</t>
    </r>
    <r>
      <rPr>
        <rFont val="Malgun Gothic"/>
        <color theme="1"/>
        <sz val="12.0"/>
      </rPr>
      <t>80, 81</t>
    </r>
  </si>
  <si>
    <t>제2조 (정의) 이 지침에서 사용하는 용어의 정의는 다음과 같다.
2. “정보보안담당관”이란 시본청, 직속기관, 사업소(이하 “시”라 한다)등의
정보보안업무를 총괄하는 사람으로 정보보안 전담조직을 담당하는 부서의 장을
말한다.
3. “분임정보보안담당관”이란 정보보안담당관이 직무를 효율적으로 수행할 수 있도록
부서의 정보보안업무를 수행하는 사람으로 부서의 장을 말한다.
제10조(휴대용 저장매체의 분실, 소각시 대처방안) ① 취급자는 휴대용 저장매
체의 분실 또는 소각 등의 사유가 발생한 즉시 관리자에게 그 사실을 보고하여야 한다.
② 관리자는 휴대용 저장매체의 분실 또는 소각사실을 보고받은 즉시 분임
정보보안담당관을 경유하여 정보보안담당관에게 통지하여야 한다.
③ 정보보안담당관은 일반용의 분실 또는 소각 사실을 통지받거나 인지한
경우에는 자체 조사를 실시하고 재발방지 대책을 강구하여야 한다. 다만「국가
정보보안 기본지침」제141조제2항에 따른 사안일 경우에는 지체 없이 국가
정보원장에게 그 사실을 통보하여야 한다.</t>
  </si>
  <si>
    <t>홍보</t>
  </si>
  <si>
    <t>육교현판 게시하려고 하는데 신청방법을 알려줘</t>
  </si>
  <si>
    <t xml:space="preserve">1. 육교현판 신청 절차
 - 미래디자인본부 도시공공디자인담당관 광고물팀 육교현판허가 담당자에게 육교게시할 위치, 기간을 사전에 협의 후 공문으로 신청합니다.
 - 허가기간은 14일(예시 1일~13일) , 허가 당 3개소, 현판세로규격 1.1m 이내가능하고 1회 기간연장 가능합니다.
 - 사전협의 완료되어 공문으로 신청하실때는 최소 3일전에는 신청하여주시고, 육교현판 제작·설치 업체의 재해배상 책임보험 가입증명서, 현수막 시안(규격 포함)을 첨부하셔야 합니다.
- 육교 게시가능한 육교 현판 위치가 궁금하시면 육교현판허가 담당자에게 연락하시면 쪽지로 송부하여 드립니다. </t>
  </si>
  <si>
    <t>도시공공디자인담당관-10513(2025.11.13.)호
육교 광고물(현판) 사용 승인조건</t>
  </si>
  <si>
    <t>본문그대로 인용</t>
  </si>
  <si>
    <t>행사 홍보를 위한 현수막 게시방법을 알려줘</t>
  </si>
  <si>
    <t>1. 현수막 게시 신청 절차
- 게시대에 게시하지 않는 (행정용)현수막은 정당현수막 일부를 제외하고 모두 불법현수막입니다.
- 현수막 게시를 위해서 https://bsbanner.co.kr/ 사이트에서 지정게시대 신청을 통합적으로 편리하게 할 수 있습니다. 
- 또한, 현수막게시대 신고 등의 경우 구(군)의 허가권이 있음으로, 구(군) 광고물팀에 상세한 내용을 질의하여 주시기 바랍니다.</t>
  </si>
  <si>
    <t>https://bsbanner.co.kr/'
옥외광고물 등의 관리와 옥외광고산업 진흥에 관한 법률 시행령 제5조</t>
  </si>
  <si>
    <t>유해사이트 차단해제 방법 알려줘</t>
  </si>
  <si>
    <t>아래와 같은 내용을 포함하여 관련공문 혹은 관련계획서등의 증빙자료를 첨부해서 정보화정책과로 공문을 보내면 됩니다 단 업무와 무관한 개인적인 용도는 해제 불가합니다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t>
  </si>
  <si>
    <t>인터넷유해사이트차단해제요청 공문 예시</t>
  </si>
  <si>
    <r>
      <rPr>
        <rFont val="Calibri"/>
        <color theme="1"/>
        <sz val="12.0"/>
      </rPr>
      <t xml:space="preserve"> 000</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갱신을</t>
    </r>
    <r>
      <rPr>
        <rFont val="Calibri"/>
        <color theme="1"/>
        <sz val="12.0"/>
      </rPr>
      <t xml:space="preserve"> </t>
    </r>
    <r>
      <rPr>
        <rFont val="맑은 고딕"/>
        <color theme="1"/>
        <sz val="12.0"/>
      </rPr>
      <t>위해</t>
    </r>
    <r>
      <rPr>
        <rFont val="Calibri"/>
        <color theme="1"/>
        <sz val="12.0"/>
      </rPr>
      <t xml:space="preserve"> </t>
    </r>
    <r>
      <rPr>
        <rFont val="맑은 고딕"/>
        <color theme="1"/>
        <sz val="12.0"/>
      </rPr>
      <t>다음과</t>
    </r>
    <r>
      <rPr>
        <rFont val="Calibri"/>
        <color theme="1"/>
        <sz val="12.0"/>
      </rPr>
      <t xml:space="preserve"> </t>
    </r>
    <r>
      <rPr>
        <rFont val="맑은 고딕"/>
        <color theme="1"/>
        <sz val="12.0"/>
      </rPr>
      <t>같이</t>
    </r>
    <r>
      <rPr>
        <rFont val="Calibri"/>
        <color theme="1"/>
        <sz val="12.0"/>
      </rPr>
      <t xml:space="preserve"> </t>
    </r>
    <r>
      <rPr>
        <rFont val="맑은 고딕"/>
        <color theme="1"/>
        <sz val="12.0"/>
      </rPr>
      <t>인터넷</t>
    </r>
    <r>
      <rPr>
        <rFont val="Calibri"/>
        <color theme="1"/>
        <sz val="12.0"/>
      </rPr>
      <t xml:space="preserve"> </t>
    </r>
    <r>
      <rPr>
        <rFont val="맑은 고딕"/>
        <color theme="1"/>
        <sz val="12.0"/>
      </rPr>
      <t>유해사이트</t>
    </r>
    <r>
      <rPr>
        <rFont val="Calibri"/>
        <color theme="1"/>
        <sz val="12.0"/>
      </rPr>
      <t xml:space="preserve"> </t>
    </r>
    <r>
      <rPr>
        <rFont val="맑은 고딕"/>
        <color theme="1"/>
        <sz val="12.0"/>
      </rPr>
      <t>차단</t>
    </r>
    <r>
      <rPr>
        <rFont val="Calibri"/>
        <color theme="1"/>
        <sz val="12.0"/>
      </rPr>
      <t xml:space="preserve"> </t>
    </r>
    <r>
      <rPr>
        <rFont val="맑은 고딕"/>
        <color theme="1"/>
        <sz val="12.0"/>
      </rPr>
      <t>해제를</t>
    </r>
    <r>
      <rPr>
        <rFont val="Calibri"/>
        <color theme="1"/>
        <sz val="12.0"/>
      </rPr>
      <t xml:space="preserve"> </t>
    </r>
    <r>
      <rPr>
        <rFont val="맑은 고딕"/>
        <color theme="1"/>
        <sz val="12.0"/>
      </rPr>
      <t>요청하오니</t>
    </r>
    <r>
      <rPr>
        <rFont val="Calibri"/>
        <color theme="1"/>
        <sz val="12.0"/>
      </rPr>
      <t xml:space="preserve"> </t>
    </r>
    <r>
      <rPr>
        <rFont val="맑은 고딕"/>
        <color theme="1"/>
        <sz val="12.0"/>
      </rPr>
      <t>조치하여</t>
    </r>
    <r>
      <rPr>
        <rFont val="Calibri"/>
        <color theme="1"/>
        <sz val="12.0"/>
      </rPr>
      <t xml:space="preserve"> </t>
    </r>
    <r>
      <rPr>
        <rFont val="맑은 고딕"/>
        <color theme="1"/>
        <sz val="12.0"/>
      </rPr>
      <t>주시기</t>
    </r>
    <r>
      <rPr>
        <rFont val="Calibri"/>
        <color theme="1"/>
        <sz val="12.0"/>
      </rPr>
      <t xml:space="preserve"> </t>
    </r>
    <r>
      <rPr>
        <rFont val="맑은 고딕"/>
        <color theme="1"/>
        <sz val="12.0"/>
      </rPr>
      <t>바랍니다</t>
    </r>
    <r>
      <rPr>
        <rFont val="Calibri"/>
        <color theme="1"/>
        <sz val="12.0"/>
      </rPr>
      <t xml:space="preserve">. 
1. </t>
    </r>
    <r>
      <rPr>
        <rFont val="맑은 고딕"/>
        <color theme="1"/>
        <sz val="12.0"/>
      </rPr>
      <t>담당자</t>
    </r>
    <r>
      <rPr>
        <rFont val="Calibri"/>
        <color theme="1"/>
        <sz val="12.0"/>
      </rPr>
      <t xml:space="preserve"> : </t>
    </r>
    <r>
      <rPr>
        <rFont val="맑은 고딕"/>
        <color theme="1"/>
        <sz val="12.0"/>
      </rPr>
      <t>소속</t>
    </r>
    <r>
      <rPr>
        <rFont val="Calibri"/>
        <color theme="1"/>
        <sz val="12.0"/>
      </rPr>
      <t xml:space="preserve">/ </t>
    </r>
    <r>
      <rPr>
        <rFont val="맑은 고딕"/>
        <color theme="1"/>
        <sz val="12.0"/>
      </rPr>
      <t>직급</t>
    </r>
    <r>
      <rPr>
        <rFont val="Calibri"/>
        <color theme="1"/>
        <sz val="12.0"/>
      </rPr>
      <t xml:space="preserve">/ </t>
    </r>
    <r>
      <rPr>
        <rFont val="맑은 고딕"/>
        <color theme="1"/>
        <sz val="12.0"/>
      </rPr>
      <t>성명</t>
    </r>
    <r>
      <rPr>
        <rFont val="Calibri"/>
        <color theme="1"/>
        <sz val="12.0"/>
      </rPr>
      <t>(</t>
    </r>
    <r>
      <rPr>
        <rFont val="맑은 고딕"/>
        <color theme="1"/>
        <sz val="12.0"/>
      </rPr>
      <t>홍길동</t>
    </r>
    <r>
      <rPr>
        <rFont val="Calibri"/>
        <color theme="1"/>
        <sz val="12.0"/>
      </rPr>
      <t xml:space="preserve">)
2. </t>
    </r>
    <r>
      <rPr>
        <rFont val="맑은 고딕"/>
        <color theme="1"/>
        <sz val="12.0"/>
      </rPr>
      <t>접속</t>
    </r>
    <r>
      <rPr>
        <rFont val="Calibri"/>
        <color theme="1"/>
        <sz val="12.0"/>
      </rPr>
      <t xml:space="preserve"> IP</t>
    </r>
    <r>
      <rPr>
        <rFont val="맑은 고딕"/>
        <color theme="1"/>
        <sz val="12.0"/>
      </rPr>
      <t>주소</t>
    </r>
    <r>
      <rPr>
        <rFont val="Calibri"/>
        <color theme="1"/>
        <sz val="12.0"/>
      </rPr>
      <t xml:space="preserve"> : 99.00.00.00
3. </t>
    </r>
    <r>
      <rPr>
        <rFont val="맑은 고딕"/>
        <color theme="1"/>
        <sz val="12.0"/>
      </rPr>
      <t>해제</t>
    </r>
    <r>
      <rPr>
        <rFont val="Calibri"/>
        <color theme="1"/>
        <sz val="12.0"/>
      </rPr>
      <t xml:space="preserve"> </t>
    </r>
    <r>
      <rPr>
        <rFont val="맑은 고딕"/>
        <color theme="1"/>
        <sz val="12.0"/>
      </rPr>
      <t>기간</t>
    </r>
    <r>
      <rPr>
        <rFont val="Calibri"/>
        <color theme="1"/>
        <sz val="12.0"/>
      </rPr>
      <t xml:space="preserve"> : 2025.1.1. ~ 1. 5 (</t>
    </r>
    <r>
      <rPr>
        <rFont val="맑은 고딕"/>
        <color theme="1"/>
        <sz val="12.0"/>
      </rPr>
      <t>최대</t>
    </r>
    <r>
      <rPr>
        <rFont val="Calibri"/>
        <color theme="1"/>
        <sz val="12.0"/>
      </rPr>
      <t>1</t>
    </r>
    <r>
      <rPr>
        <rFont val="맑은 고딕"/>
        <color theme="1"/>
        <sz val="12.0"/>
      </rPr>
      <t>년까지만</t>
    </r>
    <r>
      <rPr>
        <rFont val="Calibri"/>
        <color theme="1"/>
        <sz val="12.0"/>
      </rPr>
      <t xml:space="preserve">)
4. </t>
    </r>
    <r>
      <rPr>
        <rFont val="맑은 고딕"/>
        <color theme="1"/>
        <sz val="12.0"/>
      </rPr>
      <t>해제</t>
    </r>
    <r>
      <rPr>
        <rFont val="Calibri"/>
        <color theme="1"/>
        <sz val="12.0"/>
      </rPr>
      <t xml:space="preserve"> </t>
    </r>
    <r>
      <rPr>
        <rFont val="맑은 고딕"/>
        <color theme="1"/>
        <sz val="12.0"/>
      </rPr>
      <t>사이트</t>
    </r>
    <r>
      <rPr>
        <rFont val="Calibri"/>
        <color theme="1"/>
        <sz val="12.0"/>
      </rPr>
      <t xml:space="preserve"> : https://abc.co.kr (</t>
    </r>
    <r>
      <rPr>
        <rFont val="맑은 고딕"/>
        <color theme="1"/>
        <sz val="12.0"/>
      </rPr>
      <t>해당</t>
    </r>
    <r>
      <rPr>
        <rFont val="Calibri"/>
        <color theme="1"/>
        <sz val="12.0"/>
      </rPr>
      <t xml:space="preserve"> </t>
    </r>
    <r>
      <rPr>
        <rFont val="맑은 고딕"/>
        <color theme="1"/>
        <sz val="12.0"/>
      </rPr>
      <t>서비스를</t>
    </r>
    <r>
      <rPr>
        <rFont val="Calibri"/>
        <color theme="1"/>
        <sz val="12.0"/>
      </rPr>
      <t xml:space="preserve"> </t>
    </r>
    <r>
      <rPr>
        <rFont val="맑은 고딕"/>
        <color theme="1"/>
        <sz val="12.0"/>
      </rPr>
      <t>제공하는</t>
    </r>
    <r>
      <rPr>
        <rFont val="Calibri"/>
        <color theme="1"/>
        <sz val="12.0"/>
      </rPr>
      <t xml:space="preserve"> </t>
    </r>
    <r>
      <rPr>
        <rFont val="맑은 고딕"/>
        <color theme="1"/>
        <sz val="12.0"/>
      </rPr>
      <t>정확한</t>
    </r>
    <r>
      <rPr>
        <rFont val="Calibri"/>
        <color theme="1"/>
        <sz val="12.0"/>
      </rPr>
      <t xml:space="preserve"> </t>
    </r>
    <r>
      <rPr>
        <rFont val="맑은 고딕"/>
        <color theme="1"/>
        <sz val="12.0"/>
      </rPr>
      <t>사이트</t>
    </r>
    <r>
      <rPr>
        <rFont val="Calibri"/>
        <color theme="1"/>
        <sz val="12.0"/>
      </rPr>
      <t xml:space="preserve"> </t>
    </r>
    <r>
      <rPr>
        <rFont val="맑은 고딕"/>
        <color theme="1"/>
        <sz val="12.0"/>
      </rPr>
      <t>주소</t>
    </r>
    <r>
      <rPr>
        <rFont val="Calibri"/>
        <color theme="1"/>
        <sz val="12.0"/>
      </rPr>
      <t xml:space="preserve">)
5. </t>
    </r>
    <r>
      <rPr>
        <rFont val="맑은 고딕"/>
        <color theme="1"/>
        <sz val="12.0"/>
      </rPr>
      <t>해제</t>
    </r>
    <r>
      <rPr>
        <rFont val="Calibri"/>
        <color theme="1"/>
        <sz val="12.0"/>
      </rPr>
      <t xml:space="preserve"> </t>
    </r>
    <r>
      <rPr>
        <rFont val="맑은 고딕"/>
        <color theme="1"/>
        <sz val="12.0"/>
      </rPr>
      <t>목적</t>
    </r>
    <r>
      <rPr>
        <rFont val="Calibri"/>
        <color theme="1"/>
        <sz val="12.0"/>
      </rPr>
      <t xml:space="preserve"> : </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t>
    </r>
    <r>
      <rPr>
        <rFont val="Calibri"/>
        <color theme="1"/>
        <sz val="12.0"/>
      </rPr>
      <t xml:space="preserve"> </t>
    </r>
    <r>
      <rPr>
        <rFont val="맑은 고딕"/>
        <color theme="1"/>
        <sz val="12.0"/>
      </rPr>
      <t>작업</t>
    </r>
    <r>
      <rPr>
        <rFont val="Calibri"/>
        <color theme="1"/>
        <sz val="12.0"/>
      </rPr>
      <t xml:space="preserve">.  </t>
    </r>
    <r>
      <rPr>
        <rFont val="맑은 고딕"/>
        <color theme="1"/>
        <sz val="12.0"/>
      </rPr>
      <t>끝</t>
    </r>
    <r>
      <rPr>
        <rFont val="Calibri"/>
        <color theme="1"/>
        <sz val="12.0"/>
      </rPr>
      <t xml:space="preserve">.
</t>
    </r>
    <r>
      <rPr>
        <rFont val="맑은 고딕"/>
        <color theme="1"/>
        <sz val="12.0"/>
      </rPr>
      <t>붙임</t>
    </r>
    <r>
      <rPr>
        <rFont val="Calibri"/>
        <color theme="1"/>
        <sz val="12.0"/>
      </rPr>
      <t xml:space="preserve"> : </t>
    </r>
    <r>
      <rPr>
        <rFont val="맑은 고딕"/>
        <color theme="1"/>
        <sz val="12.0"/>
      </rPr>
      <t>증빙자료</t>
    </r>
    <r>
      <rPr>
        <rFont val="Calibri"/>
        <color theme="1"/>
        <sz val="12.0"/>
      </rPr>
      <t xml:space="preserve"> </t>
    </r>
    <r>
      <rPr>
        <rFont val="맑은 고딕"/>
        <color theme="1"/>
        <sz val="12.0"/>
      </rPr>
      <t>첨부</t>
    </r>
    <r>
      <rPr>
        <rFont val="Calibri"/>
        <color theme="1"/>
        <sz val="12.0"/>
      </rPr>
      <t>(</t>
    </r>
    <r>
      <rPr>
        <rFont val="맑은 고딕"/>
        <color theme="1"/>
        <sz val="12.0"/>
      </rPr>
      <t>관련공문</t>
    </r>
    <r>
      <rPr>
        <rFont val="Calibri"/>
        <color theme="1"/>
        <sz val="12.0"/>
      </rPr>
      <t xml:space="preserve">, </t>
    </r>
    <r>
      <rPr>
        <rFont val="맑은 고딕"/>
        <color theme="1"/>
        <sz val="12.0"/>
      </rPr>
      <t>혹은</t>
    </r>
    <r>
      <rPr>
        <rFont val="Calibri"/>
        <color theme="1"/>
        <sz val="12.0"/>
      </rPr>
      <t xml:space="preserve"> </t>
    </r>
    <r>
      <rPr>
        <rFont val="맑은 고딕"/>
        <color theme="1"/>
        <sz val="12.0"/>
      </rPr>
      <t>관련계획서</t>
    </r>
    <r>
      <rPr>
        <rFont val="Calibri"/>
        <color theme="1"/>
        <sz val="12.0"/>
      </rPr>
      <t xml:space="preserve"> </t>
    </r>
    <r>
      <rPr>
        <rFont val="맑은 고딕"/>
        <color theme="1"/>
        <sz val="12.0"/>
      </rPr>
      <t>등</t>
    </r>
    <r>
      <rPr>
        <rFont val="Calibri"/>
        <color theme="1"/>
        <sz val="12.0"/>
      </rPr>
      <t>)</t>
    </r>
  </si>
  <si>
    <t>행정전자서명(GPKI) 이동 절차 알려줘</t>
  </si>
  <si>
    <t>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t>
  </si>
  <si>
    <t>스마트행정게시판 공지사항</t>
  </si>
  <si>
    <t>스마트행정게시판 공지사항(연번500001)</t>
  </si>
  <si>
    <t>행정전자서명(GPKI) 갱신 절차 알려줘</t>
  </si>
  <si>
    <t>○ 별도 공문 신청 없이 가능한 기간: 인증서 유효기간 100일전부터 만료일시까지 갱신가능(유효기간 만료시 공문 신청)
○ 인증서 유효기간: 2년 3개월
○ 방법: gpki.go.kr 접속 → 인증서관리/갱신 (구분: 개인용, 행정기관)</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</si>
  <si>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</si>
  <si>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행정전자서명(gpki) 신규 및 재발급절차를 알려줘</t>
  </si>
  <si>
    <t xml:space="preserve">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</si>
  <si>
    <r>
      <rPr>
        <rFont val="Malgun Gothic"/>
        <color theme="1"/>
        <sz val="12.0"/>
      </rPr>
      <t xml:space="preserve">77, 78
</t>
    </r>
    <r>
      <rPr>
        <rFont val="Malgun Gothic"/>
        <strike/>
        <color theme="1"/>
        <sz val="12.0"/>
      </rPr>
      <t>79, 80, 81</t>
    </r>
  </si>
  <si>
    <t>법령</t>
  </si>
  <si>
    <r>
      <rPr>
        <rFont val="Malgun Gothic"/>
        <strike/>
        <color theme="1"/>
        <sz val="12.0"/>
      </rPr>
      <t>28,</t>
    </r>
    <r>
      <rPr>
        <rFont val="Malgun Gothic"/>
        <color theme="1"/>
        <sz val="12.0"/>
      </rPr>
      <t xml:space="preserve"> 43</t>
    </r>
  </si>
  <si>
    <t>산업단지 개발에 대한 절차에 대해 구체적으로 알려주세요</t>
  </si>
  <si>
    <r>
      <rPr>
        <rFont val="Malgun Gothic"/>
        <color theme="1"/>
        <sz val="12.0"/>
      </rPr>
      <t xml:space="preserve">□ 산업단지 개발절차
○ 국가산업단지
1. 국가산업단지 개발계획(안)수립
2. 관할 시, 도지사 의견청취
3. 주민, 관계기관 등 의견청취
4. 중앙토지수용위원회 협의
5. 관계중앙행정기고나 협의
6. 국가산업단지 지정, 승인신청
7. 산업입지정책심의회 심의
8. 산업단지지정, 고시
9. 고시내용 송부
10. 일반인 열람
11. 실시계획 작성
12. 실시계획 승인 신청
13. 관할시, 도지사의견 중앙행정기관 협의
14. 실시계획 승인
15. 실시계획 고시
16. 시, 군, 구에 송부
17. 일반인열람
18. 지형도면고시
19. 사업시행
20. 준공인가 신청
21. 준공검사
22. 준공인가, 공고
23. 준공인가통지
24. 산업단지관리기관에 통보
25. 분양
○ 일반산업단지(도시첨단산업단지 포함)
1. 지정계획안 수립
2. 산업단지 지정승인 요청
3. 관할시장, 군수, 구청장 의견 청취
4. 중앙토지수용위원회 협의
5. 주민, 관계전문가 등 의견 청취
6. 관계 행정기관 협의
7. 산업단지계획심의위원회
8. 산업단지 지정, 고시
9. 고시내용 송부
10. 일반인 열람
11. 실시계획 작성
12. 실시계획 승인신청
13. 관계기관 협의
14. 실시계획 승인
15. 실시계획 고시
16. 시, 군, 구에 송부
17. 일반인 열람
18. 지형도면 고시
19. 사업시행
20. 준공인가 신청
21. 준공검사
22. 준공 인가, 공고
23. 준공인가 통지
24. 산업단지관리기관에 통보
25. 분양
</t>
    </r>
    <r>
      <rPr>
        <rFont val="Malgun Gothic"/>
        <color rgb="FF0000FF"/>
        <sz val="12.0"/>
      </rPr>
      <t>&gt;&gt; [25.12.26 - 김상돈]
여덟 페이지를 참고하라고 되어 있는데 전달해야하는 페이지가 너무 많습니다.
해당 페이지의 실제 내용을 보면 일반적이지 않은 표 형태로 글자가 많은 이미지와 같은 형태이며, 기대답변과 같이 명확하게 그 의미를 파악해서 답변하기 힘들것으로 판단됩니다.</t>
    </r>
  </si>
  <si>
    <t>산업단지_개발관리_업무편람_20210126.pdf</t>
  </si>
  <si>
    <t>32, 33, 34, 35, 36, 37, 38, 39</t>
  </si>
  <si>
    <t>본문 내용 표 인용</t>
  </si>
  <si>
    <r>
      <rPr>
        <rFont val="Malgun Gothic"/>
        <strike/>
        <color theme="1"/>
        <sz val="12.0"/>
      </rPr>
      <t>54, 55, 56, 57,</t>
    </r>
    <r>
      <rPr>
        <rFont val="Malgun Gothic"/>
        <color theme="1"/>
        <sz val="12.0"/>
      </rPr>
      <t xml:space="preserve"> 58</t>
    </r>
  </si>
  <si>
    <t>훼손지 복구사업의 대상지 부족과 사업의 실행에 있어 여러 어려움을 개선하기 위한 방안이 있는지 알려주세요</t>
  </si>
  <si>
    <r>
      <rPr>
        <rFont val="Malgun Gothic"/>
        <color theme="1"/>
        <sz val="12.0"/>
      </rPr>
      <t xml:space="preserve">□ 훼손지 복구제도 개선방안
○ 훼손지 복구사업의 성격 재규정
1. 훼손지 및 훼손지 복구사업 명칭 변경
 · (예시) '훼손지' 를 '녹지확충우선지역'으로, '훼손지 복구사업'은 '개발제한구역 내 녹지확충사업'으로 명칭 변경
2. 복구사업 대상지 확대 및 검토 우선순위 부여
 · 개발가능 지목, 녹지축 등 환경·생태 보전지역, 검토 우선순위 부여(1~4순위)
3. 복구사업 대상지 확대 및 검토 우선순위 부여
 · 개발제한구역 신규 지정
○ 복구사업 대상지의 특성에 따른 복구기준 차등화
1. 복구사업 대상지 입지에 따른 복구사업 유형 차등화
 · 보전가치가 높은지역=원형보전, 이용성 높은지역=공원조성
2. 복구사업비가 상대적으로 낮은 지역의 복구면적 합리화
3. 공원시설율 차등화 및 불부합 시설의 설치 불허
○ 복구사업의 실행력 제고
1. 복구면적 산정기준을 합리적으로 조정
2. 복구사업비보다 낮은 보전부담금 납부액 현실화
3. 공공주택사업의 복구사업 대상지 승인 시기 조정
4. 복구사업 내 이축권에도 해제사업 내 대토보상 자격 부여
</t>
    </r>
    <r>
      <rPr>
        <rFont val="Malgun Gothic"/>
        <color rgb="FF0000FF"/>
        <sz val="12.0"/>
      </rPr>
      <t>&gt;&gt; [25.12.26 - 김상돈]
해당 파일의 확장자는 pdf 이지만 내용 전체가 이미지로 인식이 불가합니다</t>
    </r>
  </si>
  <si>
    <r>
      <rPr>
        <rFont val="Malgun Gothic"/>
        <color theme="1"/>
        <sz val="12.0"/>
      </rPr>
      <t xml:space="preserve">2109_국토연구원_국토정책Brief_개발제한구역 훼손지 복구제도 개선방안
</t>
    </r>
    <r>
      <rPr>
        <rFont val="Malgun Gothic"/>
        <color rgb="FF0000FF"/>
        <sz val="12.0"/>
      </rPr>
      <t>&gt;&gt; 01.국토정책 brief  개발제한구역 훼손지 복구제도 개선방안.pdf</t>
    </r>
  </si>
  <si>
    <t>6, 7, 8</t>
  </si>
  <si>
    <t>개발제한구역 훼손지 복구 및 정비사업 업무처리규정</t>
  </si>
  <si>
    <t>당직민원</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</si>
  <si>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</si>
  <si>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r>
      <rPr>
        <rFont val="Malgun Gothic"/>
        <color theme="1"/>
        <sz val="12.0"/>
      </rPr>
      <t xml:space="preserve">20억 미만 조달청 협상에 의한 계약 추진시 사업부서 업무 흐름도를 알려주세요
</t>
    </r>
    <r>
      <rPr>
        <rFont val="맑은 고딕"/>
        <color rgb="FFFF0000"/>
        <sz val="12.0"/>
      </rPr>
      <t>&gt;&gt;몇P에서 참고해야 하는지에 대한 세부적인 내용 부족으로 미반영</t>
    </r>
  </si>
  <si>
    <t>1. (사업부서) 내부계획서 수립
(3억미만 계약팀장 협조, 3억이상 과장님 협조)
 ※ 조달 의뢰계약은 계약심사, 일상감사 제외
2. (사업부서) 계약 의뢰(수신:계약부서)
3. (사업부서) 조달청 e-발주시스템 등록
 - 발주정보, 제안요청서, 평가표, 평가위원 배정요청,첨부파일 등록
  ※ 긴급입찰사유서, 국제입찰제외사유서 필요시 등록
4. (조달청) 사전규격 공개(5일) 후 등록의견 답변 요청(수신:사업부서)
 ※ 5일: 초일 불산입/휴일 포함
5. (사업부서) 사전규격공개 의견 검토(내부결재) 후 의견답변서 회신(수신:조달청)
6. (조달청) 입찰 공고 및 개찰 후 정량평가 요청(수신:사업부서)
7. (사업부서) 정량평가(내부결재) 후 결과 회신(수신:조달청)
8. (조달청) 조달청 정성평가 후 [협상순위 통보 및 기술협상 안내](수신:사업부서)
9. (사업부서) 우선협상대상자와 기술협상(내부결재) 후 회신(수신:조달청)
10. (조달청) [낙찰자 선정 및 계약체결 안내](수신: 시 계약부서, 사업부서, 계약업체)
11. (계약부서) 조달 계약체결 알림 및 감독원 임명 요청(수신:사업부서)
12. (사업부서) 감독원 알림(수신:계약부서)
13. (사업부서) 착수계 수령 및 착수보고회 개최, 사업진행</t>
  </si>
  <si>
    <t>1.입찰(협상에의한 계약 포함)안내[부서]
2.국제입찰제외 사유서_양식
3.긴급입찰사유서 양식
4.제안요청서 등록 수요기관 매뉴얼(e-발주시스템)
5.협상에 의한 계약 불공정사례집</t>
  </si>
  <si>
    <r>
      <rPr>
        <rFont val="Malgun Gothic"/>
        <strike/>
        <color theme="1"/>
        <sz val="12.0"/>
      </rPr>
      <t>1,</t>
    </r>
    <r>
      <rPr>
        <rFont val="Malgun Gothic"/>
        <color theme="1"/>
        <sz val="12.0"/>
      </rPr>
      <t xml:space="preserve"> 2</t>
    </r>
  </si>
  <si>
    <t>홈페이지 초기화면에 단체장의 인사문·약력·동영상물 등을 게시하는 경우 가능한가요?</t>
  </si>
  <si>
    <r>
      <rPr>
        <rFont val="Malgun Gothic"/>
        <color theme="1"/>
        <sz val="12.0"/>
      </rPr>
      <t xml:space="preserve">선관위가 2023년 2월 20일 의결한 ‘지방자치단체 홈페이지 초기화면에 인사문 등 게시 관련 운용기준 변경 결정’에 따라 페이지 초기화면 등에 통상적인 범위 내에서 게시된 경우라면, 그 자체만으로 선거에 영향을 미치는 행위 또는 업적홍보로 보기는 어렵다고 판단하여 「공직선거법」 제85조 제1항 또는 제86조 제1항 제1호에 위반되지 않는 것으로 운용하도록 하였습니다. 다만 게시 시기·내용·목적·형태 등 전체 상황을 고려해야 하며, 이 중 하나라도 선거에 영향을 미칠 우려가 있다고 판단되면 공직선거법상 문제될 수 있습니다.
</t>
    </r>
    <r>
      <rPr>
        <rFont val="Malgun Gothic"/>
        <color rgb="FF0000FF"/>
        <sz val="12.0"/>
      </rPr>
      <t>&gt;&gt; [25.12.30 - 김상돈]
한 페이지짜리 문서이며 딱 한줄을 제외한 나머지 주요내용은 전부다 이미지로 되어 있어 임베딩하는 의미가 없습니다.</t>
    </r>
  </si>
  <si>
    <t>2302_시의회사무처_홍보_중앙선거관리위원회_지방자치단체_홈페이지_초기화면에_인사문_등_게시_관련_운용기준_변경_결정.pdf</t>
  </si>
  <si>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</si>
  <si>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</si>
  <si>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직원복지</t>
  </si>
  <si>
    <t>직장 내 괴롭힘을 상담 및 신고하고 싶습니다</t>
  </si>
  <si>
    <t>1. 행정포털 우측 하단 [직장 내 괴롭힘 고충상담] 배너 클릭
2. 유선상담: 888-1775, 1777, 1778
3. 메일: bwithu@korea.kr
4. 대면상담: 별도 고충상담실(사전예약)</t>
  </si>
  <si>
    <t>2504_권익보호담당관_업무매뉴얼_권익보호담당관_2025년부산광역시직장내괴롭힘사건처리매뉴얼.pdf</t>
  </si>
  <si>
    <t>16, 17, 18, 19, 20, 21</t>
  </si>
  <si>
    <t>본문 내용 인용</t>
  </si>
  <si>
    <t>직장 내 성희롱, 스토킹, 성폭력 고충상담 및 신고하고 싶습니다.</t>
  </si>
  <si>
    <t>1. 행정포털 우측 하단 [직장 내 성희롱스토킹고충상담] 배너 클릭
2. 유선상담: 888-1775, 1777, 1778
3. 메일: bwithu@korea.kr
4. 대면상담: 별도 고충상담실(사전예약)</t>
  </si>
  <si>
    <t>2504_권익보호담당관_업무매뉴얼_권익보호담당관_2025년부산광역시직장내성희롱·성폭력·스토킹사건처리매뉴얼.pdf</t>
  </si>
  <si>
    <t>33, 34, 35, 36, 37, 38, 39, 40, 41, 42, 43, 44, 45, 46, 47, 48, 49, 50</t>
  </si>
  <si>
    <t>정보공개청구 처리기한을 알고 싶어요</t>
  </si>
  <si>
    <r>
      <rPr>
        <rFont val="Malgun Gothic"/>
        <color theme="1"/>
        <sz val="12.0"/>
      </rPr>
      <t xml:space="preserve">● 정보공개(공개/부분공개/비공개) ▷ 처리기한(10일)
● 정보부존재/진정·질의/종결통지 ▷ 처리기한(7일)
</t>
    </r>
    <r>
      <rPr>
        <rFont val="Malgun Gothic"/>
        <color rgb="FF0000FF"/>
        <sz val="12.0"/>
      </rPr>
      <t>&gt;&gt; [25.12.26 - 김상돈]
추가로 전달준 자료의 경우 파일내 주요 내용이 이미지로 처리된 부분이 많아 해당 파일을 임베딩하는 것이 다른 문제를 야기시킬 수 있다고 판단되어
기존에 임베딩 자료중 질문에 대한 답변이 가능한 참조 문서로 대체</t>
    </r>
  </si>
  <si>
    <r>
      <rPr>
        <rFont val="Malgun Gothic"/>
        <strike/>
        <color theme="1"/>
        <sz val="12.0"/>
      </rPr>
      <t>③ 2501_정보화정책과_업무매뉴얼_통합민원과_정보공개 처리절차안내문 및 유의사항(v_2025.1)</t>
    </r>
    <r>
      <rPr>
        <rFont val="Malgun Gothic"/>
        <color theme="1"/>
        <sz val="12.0"/>
      </rPr>
      <t xml:space="preserve">
424_2108_통합민원과_업무매뉴얼_행정안전부_정보공개운영안내서.pdf</t>
    </r>
  </si>
  <si>
    <r>
      <rPr>
        <rFont val="Malgun Gothic"/>
        <strike/>
        <color theme="1"/>
        <sz val="12.0"/>
      </rPr>
      <t xml:space="preserve">39
</t>
    </r>
    <r>
      <rPr>
        <rFont val="Malgun Gothic"/>
        <color theme="1"/>
        <sz val="12.0"/>
      </rPr>
      <t>100</t>
    </r>
  </si>
  <si>
    <t>정보공개여부 결정기간</t>
  </si>
  <si>
    <t>국민신문고 민원 처리 방법을 알고 싶어</t>
  </si>
  <si>
    <r>
      <rPr>
        <rFont val="Malgun Gothic"/>
        <color theme="1"/>
        <sz val="12.0"/>
      </rPr>
      <t xml:space="preserve"> ● 민원처리방법
※ 민원답변: 7일 이내 답변
① 전자결재와 연계하여 결재 처리 (부서장 결재)
  ▶가급적 '대내외시행' 으로 결재(시행문으로 통보(직인))
②  답변 시 ‘서신 통보문’ 형식 준수
  ▶민원답변서 기본양식(공개용, 비공개용) 활용
  ▶답변 시 도입부, 전개부(민원요지 요약, 답변), 종결부
      ※ 비공개민원은 민원번호 기재
  ▶종결부: '민원행정의 개선을 위해 민원처리에 대한 만족도 평가에 참여 부탁드립니다.' (문구 추가)
※ 민원처리담당자의 소속, 성명, 전화번호 or 이메일 3가지 모두 공개!
</t>
    </r>
    <r>
      <rPr>
        <rFont val="Malgun Gothic"/>
        <color rgb="FF0000FF"/>
        <sz val="12.0"/>
      </rPr>
      <t>&gt;&gt; [25.12.26 - 김상돈]
참조 해야 할 페이지가 너무 많습니다.</t>
    </r>
  </si>
  <si>
    <t>2508_정보화정책과_업무매뉴얼_통합민원과_부산민원120(온라인민원 통합창구) 운영 매뉴얼</t>
  </si>
  <si>
    <t>4, 5, 6, 7, 8, 9, 10, 11, 12, 13, 14, 15, 16, 17, 18, 19, 20, 21, 22</t>
  </si>
  <si>
    <t>민원처리 절차(처리절차 ~ 만족도 결과 확인까지)</t>
  </si>
  <si>
    <t>관외 출장 시 숙박비, 교통비 지급기준을 알고 싶어요</t>
  </si>
  <si>
    <t>● 제1호(3급(국장급)이상) 
① 실비처리: 철도(특실)/선박(1등급)/항공/자동차 운임비 및 숙박비일체
② 일비(25,000), 식비(25,000)
● 제2호(4급이하) 
① 실비처리: 철도(일반실)/선박(2등급)/항공/자동차 운임비 및 숙박비(서울100,000/광역시80,000,그외70,000)일체
② 일비(25,000), 식비(25,000)</t>
  </si>
  <si>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</si>
  <si>
    <t>여비 지급표</t>
  </si>
  <si>
    <t>IT</t>
  </si>
  <si>
    <t>정보화사업 추진 시 발주단계에서 고려해야 할 협의나 심의는 어떤 것이 있는지 알고 싶어요</t>
  </si>
  <si>
    <r>
      <rPr>
        <rFont val="Malgun Gothic"/>
        <color theme="1"/>
        <sz val="12.0"/>
      </rPr>
      <t xml:space="preserve">●사업 발주 단계 심의내역
① 과업심의위원회: 인력풀요청(정보화정책과에서 인력풀제공)
② 사전협의 :검토의뢰(정보화정책과에서 검토, 결과통보)
③ 보안성 검토 :검토의뢰(정보화정책과에서 검토, 결과통보)
④ 일상감사 및 계약심사(청렴담당관실 의뢰 ※조달청 의뢰시 생략)
</t>
    </r>
    <r>
      <rPr>
        <rFont val="Malgun Gothic"/>
        <color rgb="FF0000FF"/>
        <sz val="12.0"/>
      </rPr>
      <t>&gt;&gt; [25.12.26 - 김상돈]
참조 문서의 내용중 담당자의 이름과 내선번호과 그대로 적혀 있습니다.
어떻게 처리할 것인지 논의가 필요할것 같습니다.</t>
    </r>
  </si>
  <si>
    <t>2508_정보화정책과_업무매뉴얼_정보화정책과_정보화사업 추진절차 및 분야별 컨설턴트(20250801)</t>
  </si>
  <si>
    <t>정보화사업 추진절차(SW개발) 사업발주단계</t>
  </si>
  <si>
    <t>해킹메일 구별하는 방법은 무엇인가요?</t>
  </si>
  <si>
    <t>해킹메일 구별법
  - 내용이 의심스럽다면 열람 전 보낸사람 메일주소 확인(예시: notice@navver.com, notice@googlee.com 등 변형된 메일주소사용)</t>
  </si>
  <si>
    <t>2508_정보화정책과_2025년 상반기 행정안전부 해킹메일 대응 훈련 결과 알림</t>
  </si>
  <si>
    <t>의심스러운 메일을 수신한 경우 열람하지 말고, 즉시 삭제하여 해킹메일 수신 시 대응 바랍니다.
* 의심스러운 메일 확인방법: 발신자 이메일 주소 확인 후 열람
예시)  notice@mois.g-o.kr, notice@navver.com 등 변형된 이메일주소사용</t>
  </si>
  <si>
    <t>해킹메일 수신 시 대응방법은 무엇인가요?</t>
  </si>
  <si>
    <t xml:space="preserve">해킹메일 대응방법
  - 수상한 발신자가 보낸 전자우편은 읽지 않고, 삭제 또는 신고
  - 메일을 열람했다면 절대 링크주소 클릭 및 첨부파일 다운로드 및 실행 금지 </t>
  </si>
  <si>
    <t>2511_정보화정책과_2025년 하반기 행정안전부 해킹메일 대응훈련 대상자 알림
2308_정보화정책과_부산광역시 랜섬웨어 대응 매뉴얼</t>
  </si>
  <si>
    <t>1
5</t>
  </si>
  <si>
    <t>해킹메일 대응훈련 협조사항
- 의심스러운 메일은 열람 전 보낸사람 메일주소 확인, 메일내용 중 링크클릭 금지
출처가 불명확한 이메일과 URL 링크는 실행하지 않기
- 수상한 발신자가 보낸 전자우편은 읽지않고, 첨부파일은 내려받기 금지
- 첨부된 오피스, 스크립트 등 파일의 매크로 기능을 허용 및 실행 금지</t>
  </si>
  <si>
    <t>사이버침해사고 발생 시 대응방법은 무엇인가요?</t>
  </si>
  <si>
    <t>사이버침해사고 대응 방법
1. 침해사고 신고
즉시 통보: 각급기관의 장은 정보시스템의 비인가된 접근, 정보자산의 유출 등 침해사고 발생 시 즉시 영역별 보안담당자 및 침해사고담당자에게 문서 또는 구두로 통보해야 합니다.
증거 보존: 침해사고 발생 또는 징후 발견 시, 발견자는 임의로 문제 해결을 시도하지 않고 증거를 보존해야 합니다.
2. 신고 및 접수
신속한 신고: 침해사고 발생 즉시 신고자는 가장 빠른 방법으로 신고해야 합니다.
기록 관리: 침해사고담당자는 [별지 제1호 서식] "침해사고 발견 및 조치 대장"에 기록하여 문서상으로 보관 관리해야 합니다.
3. 침해대응 공통 처리 절차
사고 유형 파악: 침해사고의 유형을 파악합니다.
초동 조치 수행: 초기 대응 조치를 수행합니다.
기본 정보 수집: 관련 기본 정보를 수집합니다.
사고 조사: 피해 시스템을 조사하여 사고 원인을 분석합니다.
재발방지 조치: 사고 재발 방지를 위한 조치를 시행합니다.
이러한 절차를 통해 사이버침해사고에 효과적으로 대응하고, 재발 방지를 위한 체계를 구축할 수 있습니다.</t>
  </si>
  <si>
    <t>2306_정보화정책과_부산광역시 사이버침해대응 지침
2306_정보화정책과_부산광역시 사이버침해대응 매뉴얼</t>
  </si>
  <si>
    <t>5
11, 12</t>
  </si>
  <si>
    <t>제9조(침해사고의 신고) ①각급기관의 장은 정보시스템의 비인가된 접근, 정보자산의 유출 등 침해사고 발생 즉시 영역별 보안담당자 및 침해사고담당자에게 문서 또는 구두로 통보하여야 한다.
  ②침해사고 발생 또는 징후 발견 시 증거인멸을 방지하기 위해서 발견자가 임의로 문제해결을 하려고 시도해서는 안 된다.
제10조(신고 및 접수) 침해사고 발생 즉시 신고자는 가장 빠른 방법을 통해 신고해야 하며 침해사고담당자는 [별지 제1호 서식] “침해사고 발견 및 조치 대장”에 기록하여 문서상으로 보관 관리해야 한다.
제7조(침해대응 공통 처리 절차)
사이버침해사고가 발생할 경우 기본적으로 탐지기관에서 해당 기관 조사 요청이 접수되면 해당 요청 문서를 기반으로 관련 피해 시스템을 조사 한다. 일반적인 사고 처리 절차는 다음과 같다.
1. 사고 유형 파악 : 세부설명자료 제외
2. 초동 조치 수행 : 세부설명자료 제외
3. 기본 정보 수집 : 세부설명자료 제외
4. 사고 조사 : 세부설명자료 제외
5. 재발방지 조치 : 세부설명자료 제외</t>
  </si>
  <si>
    <t>사무실 PC에서 원격접속하는 방법은 무엇인가요?</t>
  </si>
  <si>
    <t>사무실 PC에서 외부 PC로 또는 외부 PC에서 사무실 PC로 원격접속하는 행위는 금지되어 있습니다.
원격접속 시도만으로도 보안관제에서 탐지되어 보안위반사항으로 적발되오니 유의하시기 바랍니다.</t>
  </si>
  <si>
    <t>2510_정보화정책과_국가 사이버 위기경보 '주의' 단계 발령 알림</t>
  </si>
  <si>
    <t>&lt; 사이버 침해사고 예방을 위한 정보보호 준수사항 &gt;
 ○ 확인되지 않은 발신자 및 의심스러운 메일은 열람하지 않고 삭제, 열람 시 신고
 ○ 구글 원격접속 데스크톱 등 원격접속 금지(시도할 경우 보안관제에서 자동 탐지됨)
 ○ 백신 최신 업데이트, PC 보안 취약점 점검 프로그램 상시 100점 유지</t>
  </si>
  <si>
    <t>기록물</t>
  </si>
  <si>
    <t xml:space="preserve">회의록 작성시 반드시 포함되어야 할 내용을 알려줘. </t>
  </si>
  <si>
    <t>공공기관은 「공공기록물 관리에 관한 법률」에 따라 아래 사항이 포함된 회의록을 작성하여야 합니다.
- 회의명(회의의 명칭)
- 개최기관(어떤 기관에서 개최했는지)
- 일시 및 장소
- 참석자·배석자 명단(직위 포함)
- 진행 순서(안건 진행 방식)
- 상정 안건(회의에 올린 안건 목록)
- 발언 요지(주요 발언의 요약)
- 결정·의결 사항(결정된 내용)
- 표결 내용(표결이 있었던 경우 표결 결과)
- (전자관리) 전자기록생산시스템을 통한 등록·관리 의무</t>
  </si>
  <si>
    <t>「공공기록물 관리에 관한 법률」 제17조 및 동법 시행령 제18조</t>
  </si>
  <si>
    <t>https://www.law.go.kr/lsSc.do?section=&amp;menuId=1&amp;subMenuId=15&amp;tabMenuId=81&amp;eventGubun=060101&amp;query=%EA%B3%B5%EA%B3%B5%EA%B8%B0%EB%A1%9D%EB%AC%BC+%EA%B4%80%EB%A6%AC%EC%97%90+%EA%B4%80%ED%95%9C+%EB%B2%95%EB%A5%A0+%EC%8B%9C%ED%96%89%EB%A0%B9#J25:0</t>
  </si>
  <si>
    <t>공공기록물 관리에 관한 법률 시행령 제18조(회의록의 작성·관리)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t>
  </si>
  <si>
    <r>
      <rPr>
        <rFont val="Malgun Gothic"/>
        <color theme="1"/>
        <sz val="12.0"/>
      </rPr>
      <t xml:space="preserve">외부강사료 지급 시 원천징수 기준은 어떻게 되지?
</t>
    </r>
    <r>
      <rPr>
        <rFont val="맑은 고딕"/>
        <color rgb="FFFF0000"/>
        <sz val="12.0"/>
      </rPr>
      <t>&gt;&gt; 근거문서로 기대답변 생상 불가</t>
    </r>
  </si>
  <si>
    <t xml:space="preserve">기관이  외부강사에게 강사료를 지급할 경우 다음과 같은 사항을 확인하여야 합니다. 
- 해당 강사와 고용관계 없고, 출퇴근·지휘감독 없이 단발성 행사 또는 교육으로 고용한 경우 대부분 기타소득(8.8%) 원천징수 처리가 정답입니다.
- 다만, “강의가 그 사람의 본업이고 강의용 사업자등록이 있는 경우, 계속적·반복적 강의인 경우”에는 사업소득(3.3% 또는 세금계산서) 고려가 필요합니다.
- “기타소득(강연료·원고료 등)”으로 분류되는 인적용역 대가의 경우, 지급금액이 건별 125,000원을 초과하면 원천징수 대상이 됩니다.
</t>
  </si>
  <si>
    <t>국세청 국세신고안내 원천세 중 기타소득</t>
  </si>
  <si>
    <t>https://www.nts.go.kr/nts/cm/cntnts/cntntsView.do?mi=6457&amp;cntntsId=7893</t>
  </si>
  <si>
    <t>【사례】 강연료 등 일시적인 인적용역의 제공 대가로 125,000원을 지급하였다. 기타소득금액과 원천징수세액은 얼마인가?
기타소득금액：50,000원
50,000원 = 125,000(기타소득 지급액) - 75,000원(필요경비 60%)
원천징수세액：0원(∴ 건별 기타소득금액이 5만원 이하로 과세최저한에 해당함)
기타소득이 125,000원을 초과하는 경우 “기타소득 지급액 × 8.8%”를 원천징수(지방소득세 포함)</t>
  </si>
  <si>
    <t>3층 직원 의원 물리치료 예약방법은?</t>
  </si>
  <si>
    <t>3층 의원 물리치료 및 도수치료 예약은 온나라 메모보고를 통해 아래와 같이 진행합니다.
① 온나라 메모보고 → ② 메모작성 → ③ 서식선택 → ④ 서식(기관용) → ⑤ "물리치료 및 도수치료 예약 신청서" 체크 → ⑥ 선택 → ⑦ 과제카드명(본인 과제카드에서 아무거나 선택) → ⑧ 수신자(건강정책과 윤예슬) → ⑨ 신청서 작성 → ⑩ 보고
진료 후 물리·도수치료 처방받은 경우에만 예약신청이 가능하며(초진자 예약 불가), 치료 희망일 전일 09:00~10:00 예약 신청, 사전 연락없이 미방문시 1회 치료한 것으로 간주하니 주의해 주세요.</t>
  </si>
  <si>
    <t>물리치료 및 도수치료 예약 신청 매뉴얼</t>
  </si>
  <si>
    <t>문서 전체 내용 인용</t>
  </si>
  <si>
    <t>부산시정</t>
  </si>
  <si>
    <t xml:space="preserve">지방재정영향평가 심사대상을 알려줘 </t>
  </si>
  <si>
    <t>지방재정영향평가지침 제2조(평가대상)
① 국내·국제경기대회 및 공연·축제 등의 행사성사업으로서, (시·도 기준) 총사업비 30억원 이상 사업
② 공모사업 등 유치를 신청하거나 응모하는 사업으로서 총사업비 100억 이상이면서, 지방재정 부담 50억원 이상 사업
단, 제3조(평가면제사업)에 해당할 경우 면제
①매년 또는 격년으로 개최하는 반복적 공연·축제 등 행사성 사업으로서, 전년도 또는 전전년도에 이미 평가를 실시한 사업(단, 전년대비 20% 이상 증액된 사업은 심사대상)
②공모사업 등 유치를 신청하거나 응모하는 사업으로서 법령에 따라 의무적으로 시행하는 사업 중 행정안부장관이 정하여 고시하는 사업</t>
  </si>
  <si>
    <t>2401_예산담당관실_지침_행정안전부_지방재정영향평가지침(행정안전부훈령)(제324호)</t>
  </si>
  <si>
    <t>본문 내용(지침) 편집하여 부분인용</t>
  </si>
  <si>
    <t>지방재정영향평가 신청시기는?</t>
  </si>
  <si>
    <t>지방재정영향평가지침 제7조(지방자치단체의 지방재정영향평가 절차)
①지방재정영향평가는 다음 회계연도부터 시행하는 사업을 대상으로 하되, 다음 각 호의 시기를 준수하여야 한다. 다만, 연도 중에 사업을 시행하여야할 특별한 사유가 있는 때에는 당해 회계연도 사업에 대하여 실시할 수 있다.
1. 중기지방재정계획 반영 전
2. 공모사업 등 유치를 신청하거나 응모하기 전
②정기적으로 실시하되 필요하다고 인정되는 경우 수시심사를 추가로 실시할 수 있다.</t>
  </si>
  <si>
    <t>본본문 내용(지침) 편집하여 부분인용</t>
  </si>
  <si>
    <r>
      <rPr>
        <rFont val="Malgun Gothic"/>
        <color theme="1"/>
        <sz val="12.0"/>
      </rPr>
      <t xml:space="preserve">신규사업 사전심사 대상 또는 면제 대상은?
</t>
    </r>
    <r>
      <rPr>
        <rFont val="맑은 고딕"/>
        <color rgb="FFFF0000"/>
        <sz val="12.0"/>
      </rPr>
      <t>&gt;&gt; 자료 미제출</t>
    </r>
  </si>
  <si>
    <t>1. 신규사업 사전심사 대상은 시비 3억원 이상 신규사업(단, 센터 신설계획 및 재정법 제37조의2에 따른 타당성조사 용역은 금액무관)
2. 면제 대상은 ①법령·지침 등에 따라 의무적으로 시행하는 사업 ②단순 소모품 교체사업 또는 단순 물품 구입 ③타 위원회 심의 대상 사업(주민참여예산, 정책연구용역 심의대상 사업, 기술용역 심의대상 사업, 연구개발조정회의 대상 R&amp;D사업, 정보화사업 예산타당성검토 이행 사업 등 ④공공운영비 및 유지보수비 등 유지관리비용 ⑤투자심사 재심사 대상 사업, 재난·안전 관련 시설물 등의 보수·보강 등 기타 사전심사의 실익이 없는 사업 등</t>
  </si>
  <si>
    <t>2412_예산담당관실_내부지침_예산담당관실_신규사업 사전심사제 개선방안 검토보고
2511_예산담당관실_내부지침_예산담당관실_2025년 제9차 신규사업 사전심사 대상사업 제출
2511_예산담당관실_내부지침_예산담당관실_붙임3. 사전심사 기준 및 면제대상</t>
  </si>
  <si>
    <t>1~2P
1p
3p</t>
  </si>
  <si>
    <t>본문 내용(지침) 편집하여 인용</t>
  </si>
  <si>
    <t>사업을 예산에 편성하기 전 시행해야할 선행(법정)절차는 무엇이 있는지 알려줘</t>
  </si>
  <si>
    <t>-(중기재정계획반영)
-(신규사업) 신청 전 철저한 사전 검증(재정영향평가, 사전심사제, 투자심사 등)
-(공유재산관리계획) 예산편성 전에 공유재산관리계획 수립, 시의회 의결
-(출자·출연금) 출자 또는 출연금 편성전 시의회 사전 동의
-(민간위탁금) 신규, 재위탁, 기간 갱신시 시의회 동의
-(지방보조금, 행사·축제사업) 지방보조금 및 신규 행사·축제 사전심사
-(용역심의) 정책연구용역 및 기술용역 사전 심사
-(공기관위탁 대행사업비) 신규, 재위탁, 기간 갱신시 시의회 동의 등</t>
  </si>
  <si>
    <t>2508_예산담당실_매뉴얼_예산담당관실_부산시_2026년도_예산편성계획.pdf</t>
  </si>
  <si>
    <t>본문 내용 편집하여 인용</t>
  </si>
  <si>
    <t>정수를 받아야하는 물품은 무엇이 있는지?</t>
  </si>
  <si>
    <t>1. 정수물품 ex)차량, 비디오프로젝터, 디지털비디오레코더, 노트북 컴퓨터, 비디오카메라, 냉난방기
2. 비정수 물품 ex)전자복사기, 레이저프린터, 업무용컴퓨터, 문서세단기, 텔레비전, 공기청정기, 냉장고</t>
  </si>
  <si>
    <t>경상사업설명서와 주요 투자사업 설명서 작성 기준은(구분은 어떻게 할까)?</t>
  </si>
  <si>
    <t>1. 주요 경상사업 설명서
-작성대상 : 당해연도에 2천만원 이상 예산이 반영되는 사업
※ 인건비성 경비는 101-01~03에 해당하는 통계목이 3억원 이상인 경우에만 작성, 그 외 인건비성 경비는 작성 제외
※ 부서운영기본경비(기본수용비, 기본급식비, 공공요금, 기본업무수행여비, 월액여비, 시설장비유지비 등) 제외
2. 주요 투자사업 설명서
-작성대상 : 총사업비가 20억원 이상이거나 당해 연도 시비 예산요구액이 3억원 이상인 사업 중 자본형성적인 사업과, 경상적 사업이지만 투자사업으로 관리할 필요가 있는 사업(법정경비 제외), 정부지원사업 중 시비부담규모가 5억원 이상인 사업과 5억원 미만이라도 시비지원 여부를 판단할 필요가 있는 사업</t>
  </si>
  <si>
    <t>70, 71</t>
  </si>
  <si>
    <t>교육</t>
  </si>
  <si>
    <r>
      <rPr>
        <rFont val="Malgun Gothic"/>
        <color theme="1"/>
        <sz val="12.0"/>
      </rPr>
      <t xml:space="preserve">공원내 프로그램 예약방법 알려줘
</t>
    </r>
    <r>
      <rPr>
        <rFont val="맑은 고딕"/>
        <color rgb="FFFF0000"/>
        <sz val="12.0"/>
      </rPr>
      <t>&gt;&gt; 근거로 기대답변 생성 불가</t>
    </r>
  </si>
  <si>
    <t>1.https://reserve.busan.go.kr/index 접속(부산광역시 통합예약시스템)
예약하려면 회원가입 → 로그인 → 원하는 프로그램 선택 → 예약 정보 입력 → 결제(필요 시) → 마이페이지에서 확인</t>
  </si>
  <si>
    <t>.</t>
  </si>
  <si>
    <t>https://reserve.busan.go.kr/index</t>
  </si>
  <si>
    <t>빅데이터</t>
  </si>
  <si>
    <r>
      <rPr>
        <rFont val="Malgun Gothic"/>
        <color theme="1"/>
        <sz val="12.0"/>
      </rPr>
      <t xml:space="preserve">과오납금 반환결의서 날인 방법?
</t>
    </r>
    <r>
      <rPr>
        <rFont val="맑은 고딕"/>
        <color rgb="FFFF0000"/>
        <sz val="12.0"/>
      </rPr>
      <t>&gt;&gt; 근거문서 페이지 이미지파일이라 인식불가</t>
    </r>
  </si>
  <si>
    <t>1. 담당자, 팀장, 과장, 분임징수관 순으로 결재란 날인
2. 전자결재 등록 시 자동 인쇄, 미등록 시 수기 날인 필요
3. 결의서 출력 → 결재란 입력 → 날인
4. 은행 제출</t>
  </si>
  <si>
    <t>2312부과오류 주요 세입과목 및 처리 매뉴얼</t>
  </si>
  <si>
    <t>7, 8,</t>
  </si>
  <si>
    <t>공공기관</t>
  </si>
  <si>
    <t>출연기관에 사무 위탁을 위한 예산을 편성하려고 하는데 비목 관련 기준을 알려줘
 &gt;&gt; 첨부파일 없음</t>
  </si>
  <si>
    <t>출연기관에 사무 위탁시 예산편성을 위한 구조 및 내역은 행정안전부의 2025년도 지방출자·출연기관 예산편성 지침에 따라 아래와 같이 주요 비목 설정하고 편성할 수 있습니다.
 - 101 인건비
 - 107 퇴직급여
 - 201 일반운영비(-01 사무관리비, -03 행사운영비, -14 회의비, -15 복리후생비 등)
 - 202 여비
 - 207 연구개발비
 - 771 기타영업외비용(위탁수수료)</t>
  </si>
  <si>
    <t>2025년도 지방출자·출연기관 예산편성 지침(행정안전부)</t>
  </si>
  <si>
    <t>p61~88</t>
  </si>
  <si>
    <t>101 인건비 : 기관의 성격 또는 기관 내부적 필요성 등에 따라 ‘보수’ 등의 세목에 대한 추가적인 분류가 필요한 경우 기관 자체적으로 ‘세세목’을 신설하여 사용 및 관리
 107 퇴직급여: 
  1. 퇴직급여 지급액
  2. 근로자 퇴직급여 충당금 전입액
  3. 근로자 퇴직보험료
  4. 근로자에 대하여 확정기여형(DC형) 퇴직연금 운영 시 연금운용사에 납부할 사용자 부담금
  5. 근로자에 대하여 확정급여형(DB형) 퇴직연금 운영 시 연금운용사에 납부할 사용자 부담금
 201 일반운영비:
  1. 일반운영비는 사업추진을 위해 기본적으로 필요한 경비이면서 경상적 소모적 경비로 기관의 운영과 관련한 경비만을 편성하여야 하며, 일체의 자본적 지출항목은 편성할 수 없음
  2. 자산을 형성하는 자본적 지출 항목은 자본적 지출 해당과목에 계상</t>
  </si>
  <si>
    <t>경조사 및 특별 휴가일수를 알려주세요
 &gt;&gt; 해당 질의문은 의회 대상, 본청 대상 질의문은 기존 골든셋에 있어서 제외시킴</t>
  </si>
  <si>
    <t>1. 행정포털하단 행정서비스→ ’자치법규’ 클릭
 2. 자치법규정보시스템 →자치단체별 자치법규 → 소관업무별 자치법규 클릭
 3. 제1편 의회 클릭
 4, 부산광역시의회 공무원 복무조례 클릭
  - 제15조(특별휴가) 및 별표4(경조사별 휴가일
  수)내용 확인</t>
  </si>
  <si>
    <t>부산광역시의회 공무원 복무 조례 [제·개정일 2025-10-01] [조례 제7762호, 공포일 2025-10-01] 의회사무처 의정담당관</t>
  </si>
  <si>
    <t>제15조 및 별표4
  2~4P</t>
  </si>
  <si>
    <t>본문내용 그대로 인용</t>
  </si>
  <si>
    <t>공직자 재산등록 대상 및 고지거부
 내용을 알려주세요</t>
  </si>
  <si>
    <t>청사안내</t>
  </si>
  <si>
    <t>청사 내 회의실 예약 방법을 알려주세요 
 &gt;&gt; 기존 골든셋 질문으로 대체가능</t>
  </si>
  <si>
    <t>1. 예약 시스템 접속: 부산시청 내부 행정포털 접속 → 개인서비스 → 회의장 → 행정지원 → 예약관리
 2. 회의실 선택: 페이지 내 구분에서 1층 대강당~22층 회의실 중 원하는 회의실 선택
 3. 예약 신청: 회의실 선택 후 신청(노란색) 클릭
 4. 예약 승인/반려 확인: 승인(초록색), 반려(빨간색) 상태로 확인 가능
 5. 변경 및 취소: 필요 시 예약 변경 가능, 취소는 시스템 규정에 따라 처리</t>
  </si>
  <si>
    <t>부산광역시 행정포털</t>
  </si>
  <si>
    <t>부산광역시 행정포털 회의장 예약 관리 페이지</t>
  </si>
  <si>
    <t>◆ 회의실 예약은 해당 메뉴 접속 후 원하는 회의실 선택, 신청(노란색), 승인(초록색), 반려(빨간색) 상태 확인 가능
 ◆ 예약 후 필요 시 변경·취소 가능</t>
  </si>
  <si>
    <t>지원사업</t>
  </si>
  <si>
    <t>소상공인 지원사업 신청 절차와 제출서류 안내 요청합니다.</t>
  </si>
  <si>
    <t>검토 결과 링크만 제공 하는게 맞을것 같습니다.
 다음해가 되면 지원내용, 절차 등이 변경될 수도 있으므로 해당 질문에 대한 답변이 가능하면 링크 제공까지만 해야 할 것 같습니다.</t>
  </si>
  <si>
    <t>부산광역시 홈페이지(https://www.busan.go.kr/depart/ecnmsmileproject2024?utm_source=chatgpt.com)</t>
  </si>
  <si>
    <t>홈페이지 본문 내용 일체</t>
  </si>
  <si>
    <t>문서작성</t>
  </si>
  <si>
    <t>주민 대상 안내문 작성 시 필수 포함 항목과 작성 순서를 알려주세요
 &gt;&gt; 기대답변 관련 내용 정리되어 있는게 없고 참조 페이지 양이 너무 많아서 제외</t>
  </si>
  <si>
    <t>1. 제목 작성
 안내 목적과 내용을 한눈에 알 수 있게 간결하게 작성 (“OOO 행사 안내”, “OOO 제도 시행 안내”)
 2. 본문 작성
 ① 안내 내용 요약: 핵심 사항 간단히 기술
 ② 세부 내용: 날짜, 장소, 대상, 방법, 신청 절차 등
 ③ 유의사항: 필수 지침, 참여 조건, 안전 안내 등
 3. 문의처
 담당 부서, 전화번호, 이메일 등 안내
 4. 첨부자료
 지도, 신청서, 참여 안내 자료 등 필요 시 첨부</t>
  </si>
  <si>
    <t>한눈에 알아보는 공공언어 바로 쓰기(개정판)_국립국어원
 행정업무의 운영 및 혁신에 관한 규정(대통령령)(제34518호)(20240521)</t>
  </si>
  <si>
    <t>페이지 96~117</t>
  </si>
  <si>
    <t>◆공문서 작성의 실제 - 안내문</t>
  </si>
  <si>
    <t>조례를 제정하거나 개정하려면 어떤 절차를 따라야 하나요
 &gt;&gt; 기존 골든셋에 관련 내용 있음</t>
  </si>
  <si>
    <t>1. 입법계획 수립
 - 제정·개정이 필요한 사항 정리
 - 추진 일정, 효과, 필요성 등 포함
 2. 입법예고
 - 시민 의견 수렴 (예고 20일 이상)
 - 공고 방식: 부산시 홈페이지, 시보 등
 3. 입법안 심사
 - 법적합치성, 표현 명확성, 중복 여부 등 검토
 4. 조례규칙심의회 심의·의결
 - 주관 부서 작성안 내부 심의
 - 수정·보완 후 심의·의결
 -
 5. 의회 제출 및 의결 (조례의 경우)
 - 상임위원회 심의 → 본회의 의결
 6. 공포 또는 재의 요구
 - 의결된 조례 공포, 필요시 재의 요구 가능
 - 시보(공보) 게재 후 효력 발생</t>
  </si>
  <si>
    <t>「부산광역시 자치법규의 입법예고에 관한 조례」 (https://www.law.go.kr/LSW/ordinInfoP.do?ordinSeq=833664&amp;utm_source=chatgpt.com)
 부산광역시 공식 홈페이지 – 자치법규 절차 안내 페이지 
 (https://www.busan.go.kr/depart/ahllprocess?utm_source=chatgpt.com)
 「부산광역시 법제업무 운영 규칙」(https://law.go.kr/LSW/ordinLinkProc.do?chrClsCd=&amp;mode=20&amp;ordinNm=%EB%B6%80%EC%82%B0%EA%B4%91%EC%97%AD%EC%8B%9C+%EB%B2%95%EC%A0%9C%EC%97%85%EB%AC%B4+%EC%9A%B4%EC%98%81+%EA%B7%9C%EC%B9%99&amp;utm_source=chatgpt.com)</t>
  </si>
  <si>
    <t>자치법규 절차 안내 (부산시 홈페이지)
 조례 관련 입법예고 규정 (법제처)
 법제업무 운영 규칙 본문</t>
  </si>
  <si>
    <t>◆ 자치법규 절차: 입법계획 → 입법예고 → 심사 → 심의 → 의결 → 공포
 ◆ 입법예고 규정: 시민 의견 수렴 기회 보장, 예고 기간 등 규정 
 ◆ 법제업무 운영 규칙: 자치입법 절차 운영 부서, 심사·보고 체계 명시</t>
  </si>
  <si>
    <t>부산시에서 개최하는 시민 대상 교육 또는 행사를 신청하려면 어떻게 해야 하나요?</t>
  </si>
  <si>
    <t>○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</si>
  <si>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r>
      <rPr>
        <rFont val="&quot;맑은 고딕&quot;"/>
        <color rgb="FF1155CC"/>
        <sz val="11.0"/>
        <u/>
      </rPr>
      <t>https://reserve.busan.go.kr/notice/1578585?curPage=&amp;%20%20srchBeginDt=&amp;%20%20srchEndDt=&amp;%20%20srchKey=&amp;%20%20searchText=</t>
    </r>
  </si>
  <si>
    <t>통합예약 시스템 안내 (온라인 신청 방법, 회원가입 조건 등)</t>
  </si>
  <si>
    <t>○ 부산광역시(산하기관 포함) 통합회원 가입 후 이용 가능합니다.
 통합회원 가입하기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</si>
  <si>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t>안전지키미</t>
  </si>
  <si>
    <t>행사를 계획할 때 안전관리 계획서 작성 시 반드시 포함해야 하는 항목과 절차는 무엇인가요?</t>
  </si>
  <si>
    <t>&gt;&gt; 직원 제공 기대답변
 1. 행사 기본 정보
  1) 행사명, 주최 / 주관 부서 또는 단체, 일시, 장소, 예상 참석자 수(최대 / 예상), 행사 형태(실내/실외, 공연/전시/집회/축제 등)
  2) 행사 개요 및 목적, 주요 프로그램
 2. 조직 및 역할 분담
 1) 안전관리 책임자 지정 (총괄 책임자), 각 분야별 안전 담당자 및 역할 명시 (무대, 전기/전기설비, 응급 및 의료, 동선관리, 출입통제 등)
 2) 유관기관 연락처 목록 (소방서, 경찰, 의료기관, 응급구조, 재난안전 부서 등)
 3. 위험요인 및 안전대책 분석
 1) 장소 구조, 시설물(무대, 가설시설, 조명/음향/전기설비), 전기·소방 점검 계획
 2) 군중 밀집 대비 — 수용인원, 입출구 및 비상구 확보, 통로 및 동선 계획, 안전선(Safety Line) 설정 여부
 장애인, 노약자, 어린이, 외국인 등 취약계층에 대한 안전배려 대책 포함 여부 
 4. 비상대응 및 응급의료 계획
 1) 응급환자 발생, 화재, 재해, 군중사고 등에 대한 대응 매뉴얼
 2) 현장 응급의료팀 구성 또는 인근 병원/의료기관 연결망 확보
 3) 비상연락망, 경보체계, 대피절차, 유도체계, 방송 또는 안내 수단 계획
 5. 시설 및 설비 안전 확보
 1) 무대/조명/음향/전시 부스 등 가설구조물 안전성 확인, 설치 및 해체 계획 포함
 2) 전기, 조명, 통신, 발전기 등 설비 점검 계획
 3) 위생, 화장실, 급수, 소방설비, 피난/대피시설 확보 여부
 6. 출입 통제 및 관람 질서 관리
 1) 입장권·출입증 관리, 출입구 및 통로 통제 계획
 2) 인파 밀집 시간대 대비 질서유지 요원 배치 계획
 3) 주차 및 교통통제, 교통혼잡 대비 계획
 7. 보험 및 법적 절차 준수
 1) 행사보험 가입 여부 (행사 규모 및 내용에 따라 필요)
 2) 필요한 신고 및 허가 여부 확인 (가설건축물 사용 신고, 소음, 위생, 전기, 무대·설비 인허가 등)
 8. 사전 점검 및 승인 절차
 1) 행사 일정 확정 후 안전관리 계획서 작성 → 내부 결재(주관부서 및 안전관리 부서) → 필요시 유관기관(소방, 경찰, 보건) 사전 협의 또는 신고
 2) 행사 전 현장 점검 및 안전관리 요원 배치, 안전보안장비 확보
 9. 행사 중 모니터링 및 관리
 1) 출입통제, 동선 유지, 군중 통제, 질서 유지
 2) 안전요원 및 응급요원 비상대응 체계 운영
 3) 실시간 위험요소 점검 및 대응 절차
 10. 사후 대응 및 평가
 1) 행사 종료 후 사고 유무 확인, 사고 발생 시 원인 분석 및 보고
 2) 유관기관(경찰, 소방, 보건 등) 결과 공유 및 사후 조치 계획
 3) 다음 행사 대비 개선사항 기록 및 반영
  - 표준안의 목차, 체크리스트 표 내용 활용 범정부 AI로 생성한 내용, 표준안 전체를 포함하기엔 내용이 많음 - 
 기대답변 :
 - 핵심 포함 항목 - 
 1. 행사 개요
  - 일정, 장소, 주최/주관, 예상 관람객 수(최대 순간인원)
  - 주요 프로그램 및 일정, 시설물 배치도
 2. 안전관리 조직 및 계획
  - 종합상황실 운영, 안전관리 총괄책임자 지정
  - 안전요원 인력 배치 및 역할 분장 (특히 혼잡구간·놀이시설 집중 배치)
  - 유관기관(경찰, 소방) 협의 및 비상연락망
 3. 시설물·장비 안전
  - 무대·가설물 구조검토서, 사용전검사(전기설비), 액화석유가스 완성검사
  - 유원시설·임시화장실 설치 허가 및 화재 대비책
 4. 인파·교통 관리
  - 행사장 수용능력 산정, 관람객 동선 계획
  - 주차공간 확보 및 인파 분산 퇴장 계획
 5. 비상대응
  - 응급의료 인력/구급차 배치, 대피 경로 및 재난 상황 매뉴얼
  - 화재/정전/폭염 등 기상상황별 대응 방안
 6. 법적·위생 준수
  - 재난보험 가입, 식음료 영업신고, 불꽃쇼 화약류 허가
  - 사전검토 체크리스트 -
 1. 기본 사항: 보험 가입 여부, 가설건축물 축조신고, 식음료 위생 관리
 2. 교통: 주차장·진출입로 계획, 교통안전요원 배치
 3. 비상시 대응: 비상연락망과 소방차·구급차 이동동선
  - 절차 가이드 - 
 1. 유관기관(소방, 경찰)과 협의 후 보험 가입 및 허가(화약류 등) 획득
 2. 안전요원 교육 및 시뮬레이션 훈련 실시
 3. 시설물 안전성 검토 및 설치
 4. 관람객 동선에 따른 경비/의료 인력 예측 배치
 5. 비상 방송 시나리오 및 대피로 사전 점검</t>
  </si>
  <si>
    <t>부산형 행사 안전관리계획서 표준안
 부산형 행사 안전관리계획서 사전검토 체크리스트</t>
  </si>
  <si>
    <t>2
 1, 2</t>
  </si>
  <si>
    <t>목차
 표 전체</t>
  </si>
  <si>
    <t>연간 위탁사업비 3억원 미만인 사업은 시의회 동의 안 받아도 되지?</t>
  </si>
  <si>
    <r>
      <rPr>
        <rFont val="&quot;맑은 고딕&quot;"/>
        <color rgb="FF000000"/>
        <sz val="12.0"/>
      </rPr>
      <t xml:space="preserve">연간 위탁·대행 금액 1억원 초과인 사무는 시의회 동의를 받아야 합니다.
 다만 재계약일 경우 3억원 이하의 사업은 시의회 동의 없이 가능합니다.
</t>
    </r>
    <r>
      <rPr>
        <rFont val="&quot;맑은 고딕&quot;"/>
        <color rgb="FF0000FF"/>
        <sz val="12.0"/>
      </rPr>
      <t>&gt;&gt; [25.12.30 - 김상돈 선임]
전달 받은 파일 '03.부산광역시 사무의 공공기관 위탁·대행에 관한 조례(부산광역시조례)(제7733호)(20260101).pdf'는
'(외부자료)자치법규정보시스템' 에서 '91_페이지10_문서1_162235_부산광역시_사무의_공공기관_위탁대행에_관한_조례.pdf' 의 최신 개정버전 문서로
기존의 문서명을 그대로 사용하되 내용만 최신으로 바꿀것인지, 아니면 두 문서 모두 임베딩을 할 것인지, 임베딩 이후에는 이력관리 등은 어떻게 할 것인지에 대한 논의가 필요합니다.</t>
    </r>
  </si>
  <si>
    <t>부산광역시 사무의 공공기관 위탁·대행에 관한 조례(2025. 10. 1. 일부개정)</t>
  </si>
  <si>
    <t>-</t>
  </si>
  <si>
    <t>제7조(시의회 동의) ① 시장의 사무를 공공기관에 위탁·대행(재계약을 포함한다)하려는 때에는 미리 부산광역시의회(이하 “시의회”라 한다)의 동의를 받아야 한다. 다만, 다음 각 호의 어느 하나에 해당하는 경우에는 그러하지 아니하다.
 5. 연간 위탁·대행금액(수탁·대행기관이 수탁·대행사무 처리에 드는 관리·운영비를 포함한다. 이하 같다)이 1억원 이하인 사무 
 6. 연간 위탁·대행금액이 3억원 이하인 재계약 사무</t>
  </si>
  <si>
    <t>대체휴무는 어디서 등록하니?
 &gt;&gt; 자료 미제공 및 해당 자료 확인 결과 표 인식 제대로 되어야 해당 답변 표출 가능할 것으로 보여 제외</t>
  </si>
  <si>
    <t>기존 '연가외휴가관리'에서 등록하던 게 2025. 6. 24. 20시 이후 시스템이 변경되었습니다.
 1. 서무 등 복무 권한 부여받은 자
 인사랑&gt;근무상황관리&gt;초과근무관리&gt;대체휴무관리
 2. 그외 일반 직원
 인사랑&gt;복무관리&gt;초과근무&gt;대체휴무관리</t>
  </si>
  <si>
    <t>인사랑 공지사항([복무] 대체휴무관리 메뉴 위치 변경 안내)</t>
  </si>
  <si>
    <t>① 대체휴무관리 메뉴 위치 변경
 「2025년 차세대 표준지방인사정보시스템 등 유지관리」 제안요청서 요구사항에 의해 대체휴무관리 메뉴의 위치가 변경되었습니다.</t>
  </si>
  <si>
    <t>공공기관 위탁으로 사업을 추진할때 시의회 동의 제외대상의 경우는 언제야?</t>
  </si>
  <si>
    <t>시장의 사무를 공공기관에 위탁·대행(재계약을 포함한다)하려는 때에는 미리 부산광역시의회(이하 “시의회”라 한다)의 동의를 받아야 한다. 다만, 다음 각 호의 어느 하나에 해당하는 경우에는 그러하지 아니하다.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</si>
  <si>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제7조(시의회 동의) 전체
 공공기관 위탁,대행 업무처리 지침의 경우 조례 개정 전 자료라서 연간 위탁 대행금액 3억원 이하는 시의회 동의 가능하다고 나와있음 &gt; 개정된 자료에는 1억이하(재계약시 3억 이하)</t>
  </si>
  <si>
    <t>총 연가일수를 다 사용하지 못했을때 연가보상비는 얼마나 받을 수 있어?</t>
  </si>
  <si>
    <t>공무원 연가보상비는 예산의 범위 안에서 미사용 연가 중 최대 20일을 지급하며, 8시간 미만의 잔여분은 이월저〮축합니다.
 -연가보상비 계산법:
 1. 6월 30일 기준 연가보상비: 6월 30일 현재의 월봉급액의 86퍼센트 × 1/30 × 5일
 *6월 30일 기준 연가보상비는 6월 30일 현재 연가잔여일수가 10일 이상인 사람에 대하여 지급
 2. 12월 31일 기준 연가보상비: [12월 31일 현재의 월봉급액의 86퍼센트 × 1/30 × 연가보상일수] - 제1호에 따라 이미 지급한 연가보상비</t>
  </si>
  <si>
    <t>「지방공무원 복무규정」 제7조, 「지방공무원 수당 등에 관한 규정」 제18조의5</t>
  </si>
  <si>
    <t>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
 서는 연가보상비를 지급하지 않고 이월ㆍ저축한다.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 &lt;개정 2012. 1. 6., 2016. 1. 12.&gt;
 ③ 제1항 및 제2항에 따른 연가보상비는 다음 각 호의 구분에 따라 지급하되, 6월 30일 기준 연가보상비는 6월 30일 현재 연가잔여일수가 10일 이상인 사람에 대하여 지급한다. &lt;신설 2012. 1. 6., 2013. 1. 9.&gt;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 1. 6., 2013. 1. 9.&gt;
 1. 6월 30일 이전에 퇴직하는 경우: 퇴직일 전일 현재의 월 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t>
  </si>
  <si>
    <t>민간단체</t>
  </si>
  <si>
    <t>부산시 비영리민간단체 현황은 어디서 볼수 있지</t>
  </si>
  <si>
    <t>비영리민간단체 현황은 비영리민간단체공익활동 지원사업 관리정보시스템에서
 확인 가능합니다.</t>
  </si>
  <si>
    <r>
      <rPr>
        <rFont val="&quot;맑은 고딕&quot;"/>
        <color rgb="FF1155CC"/>
        <sz val="11.0"/>
        <u/>
      </rPr>
      <t>https://npas.mois.go.kr/nsbms/hmp/nfvnzBsisStat/nfvnzRegSituStat/asscInfoListM.do</t>
    </r>
  </si>
  <si>
    <t>해당 링크 간단한 질문 FAQ에 추가해서 정리</t>
  </si>
  <si>
    <t>여성회관 교육강좌 예약방법을 알려줘</t>
  </si>
  <si>
    <t>위에 답변보다는 링크 주소 내 내용으로 범정부AI활용한 기대답변 첨부합니다.
 기대답변 :
 여성회관 교육강좌 예약 방법 안내
 1. 모집 대상
  - 만 18세 이상 부산시민 (가족특강은 아동 포함 가능)
 2. 모집 방법
  - 온라인 접수만 가능
  - 1인 2강좌까지 신청 가능 (단기강좌·심화강좌 별도 제한 없음)
  - 동일 강좌 4회 연속 수강생은 일반모집 기간에 신청 불가 (추가 모집 시 가능)
 3. 신청 절차
  - 회원가입 &amp; 로그인
  &gt; 여성회관 홈페이지 or 부산시 통합예약 접속
  &gt; 반드시 실명으로 회원가입
  - 강좌 선택
  &gt; 여성회관 홈페이지 → 좌측 하단 "수강신청" 클릭
  &gt; 또는 [강좌안내 &gt; 강좌소개 및 수강신청] 메뉴 선택
  &gt; 기관명(여성회관) 확인 필수
  - 결제 &amp; 완료
  &gt; 한도 1인 2강좌까지 선택
  &gt; 신용카드 또는 실시간 계좌이체로 결제 (결제 미완료 시 신청 무효)
  &gt; 주의: 교재비·재료비는 별도 부담
  - 확인
  &gt; 마이페이지에서 수강 신청 내역 최종 확인 가능
 4. 유의사항
  - 타인 명의로 등록 불가
  - 심화강좌는 기수료자/자격증 소지자만 신청 가능</t>
  </si>
  <si>
    <t>부산광역시 여성회관 홈페이지
 -강좌안내&gt;수강신청안내 페이지</t>
  </si>
  <si>
    <r>
      <rPr>
        <rFont val="&quot;맑은 고딕&quot;"/>
        <color rgb="FF1155CC"/>
        <sz val="11.0"/>
        <u/>
      </rPr>
      <t>https://www.busan.go.kr/woman/whguideonline</t>
    </r>
  </si>
  <si>
    <t>출처 내용 바탕으로 작성</t>
  </si>
  <si>
    <t>부산여성새로일하기센터 직업교육훈련 참여방법을 알려줘</t>
  </si>
  <si>
    <t>링크만 제공해야할 것 같습니다. 위 답변 생성할만한 내용이 해당 링크에는 없습니다.</t>
  </si>
  <si>
    <t>부산광역시 여성회관 홈페이지
 -여성새로일하기센터&gt;직업교육훈련</t>
  </si>
  <si>
    <r>
      <rPr>
        <rFont val="&quot;맑은 고딕&quot;"/>
        <color rgb="FF1155CC"/>
        <sz val="11.0"/>
        <u/>
      </rPr>
      <t>https://www.busan.go.kr/woman/whjobtrain</t>
    </r>
  </si>
  <si>
    <t>수의계약이 가능한 금액 기준이 알고 싶어요.</t>
  </si>
  <si>
    <t>범정부로 생성한 AI 답변:
 수의계약이 가능한 계약 금액 기준
 1. 일반적 기준
  - 제25조 1호: 추정가격 2,000만원 이하인 물품 제조·구매/용역 계약은 수의계약 가능
  - 제30조 1항 2호
  &gt; 특정 기업·조합과 계약 시: 추정가격 5,000만원 이하인 경우에도 가능 조건(청년창업기업, 여성기업, 장애인기업, 사회적기업, 마을기업 등)
 2. 특정 분야별 금액 기준
  - 제25조 5호 가목:
  &gt; 건설공사: 일반공사 4억원 이하, 전문공사 2억원 이하, 다른 법령 공사 1억6천만원 이하
  - 제25조 5호 나목:
  &gt; 청년창업기업과의 계약: 5,000만원 이하 (제30조 1항 2호)
  - 제25조 5호 다~라목:
  &gt; 소기업/소상공인, 사회적협동조합, 자활기업 등: 1억원 이하(취약계층 고용 비율 충족 조건 있는 경우 포함)
  - 제25조 5호 마목:
  &gt; 특수 지식·기술 요구 계약 (학술연구, 원가계산 등): 1억원 이하
  - 임대차 계약 등:
  &gt; 연간 또는 총액 기준 추정가격 5,000만원 이하 (공사·제조·용역 외 계약)
 중요 참고 사항
 1. 수의계약 체결 절차: 2인 이상 견적서 필수 (단, 일부 예외 존재, 예: 2,000만원 이하 계약은 1인 견적 가능).
 2. 특정 계층 우대: 여성기업, 장애인기업 등 취약계층 경영 기업은 금액 한도가 상향 적용될 수 있음.</t>
  </si>
  <si>
    <t>지방계약법 시행령</t>
  </si>
  <si>
    <t>제25조, 제30조</t>
  </si>
  <si>
    <t>제25조(수의계약에 의할 수 있는 경우)
 5. 다음 각 목의 어느 하나에 해당하는 계약
 가.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나. 추정가격이 2천만원 이하인 물품의 제조ㆍ구매계약 또는 용역계약
 다. 추정가격이 2천만원 초과 5천만원 이하인 계약으로서 「중소기업창업 지원법」 제2조제11호에 따른 청년창업기업과 체결하는 물품의 제조ㆍ구매계약 또는 용역계약
 라. 추정가격이 2천만원 초과 1억원 이하인 계약으로서 「중소기업기본법」 제2조제2항에 따른 소기업 또는 「소상공인기본법」 제2조에 따른 소상공인과 체결하는 물품의 제조ㆍ구매계약 또는 용역계약. 다만, 제30조제1항제3호 및 같은 조 제2항 단서에 해당하는 경우에는 소기업 또는 소상공인 외의 자와 체결하는 물품의 제조ㆍ구매계약 또는 용역계약을 포함한다.
 마. 추정가격이 2천만원 초과 1억원 이하인 계약 중 학술연구ㆍ원가계산ㆍ건설기술 등과 관련된 계약으로서 특수한 지식ㆍ기술 또는 자격을 요구하는 물품의 제조ㆍ구매계약 또는 용역계약
 바. 추정가격이 2천만원 초과 1억원 이하인 계약으로서 다음의 어느 하나에 해당하는 기업 또는 조합과 체결하는 물품의 제조ㆍ구매계약 또는 용역계약. 다만, 3)부터 6)까지에 해당하는 기업 또는 조합의 경우에는 행정안전부장관이 정하여 고시하는 취약계층 고용비율을 충족하여야 한다.
 1) 「여성기업지원에 관한 법률」 제2조제1호에 따른 여성기업
 2) 「장애인기업활동 촉진법」 제2조제2호에 따른 장애인기업
 3) 「사회적기업 육성법」 제2조제1호에 따른 사회적기업
 4) 「협동조합 기본법」 제2조제3호에 따른 사회적협동조합
 5) 「국민기초생활 보장법」 제18조에 따른 자활기업
 6) 「도시재생 활성화 및 지원에 관한 특별법」 제2조제1항제9호에 따른 마을기업으로서 행정안전부장관이 정하는 기준에 적합한 기업
 사. 추정가격이 5천만원 이하인 임대차 계약(연액 또는 총액을 기준으로 추정가격을 산정한다) 등으로서 공사계약 또는 물품의 제조ㆍ구매계약이나 용역계약이 아닌 계약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「중소기업창업 지원법」 제2조제11호에 따른 청년창업기업, 「여성기업지원에 관한 법률」 제2조제1호에 따른 여성기업 또는 「장애인기업활동 촉진법」 제2조제2호에 따른 장애인기업
 나.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마을기업으로서 행정안전부장관이 정하는 기준에 적합한 기업. 이 경우에는 행정안전부장관이 정하여 고시하는 취약계층 고용비율을 충족하여야 한다.
 3. 제2항에 따라 지정정보처리장치를 이용하여 견적서를 제출받았으나 견적서 제출자가 1인뿐인 경우로서 다시 견적서를 제출받더라도 견적서 제출자가 1인뿐일 것으로 명백히 예상되는 경우
 ② 제1항 본문에 따라 2인 이상으로부터 견적서를 제출받는 경우 및 제26조제2항에 따라 재공고 입찰을 실시하지 않고 수의계약을 체결할 수 있는 경우에는 지정정보처리장치를 이용해야 한다. 다만, 품질확인 및 예산절감의 필요성이 큰 경우 등 행정안전부장관이 정한 경우에는 지정정보처리장치를 이용하지 아니할 수 있다. 
 ③ 제1항과 제2항에 따라 제출받은 견적서에 적힌 견적가격이 예정가격(제8조제2항에 따라 예정가격 작성을 생략한 경우에는 추정가격에 부가가치세를 포함한 금액을 말한다)의 범위에 들지 아니하는 경우 등 계약상대자를 결정할 수 없을 때에는 다시 견적서를 제출받아 제5항에 따라 수의계약대상자를 결정한다.
 ④ 제1항부터 제3항까지의 규정에도 불구하고 행정안전부령으로 정하는 경우에는 견적서 제출을 생략하게 할 수 있다. 
 ⑤ 지방자치단체의 장 또는 계약담당자는 견적제출자의 견적가격과 계약이행능력 등 행정안전부장관이 정하는 기준에 따라 수의계약대상자를 결정한다.</t>
  </si>
  <si>
    <t>민원인이 반복적으로 같은 내용으로 민원을 제기할 때 어떻게 처리하나요</t>
  </si>
  <si>
    <t>기대답변 : 
 &lt; 반복민원 등 3단계 처리절차 &gt;
 1. 3회 이상 반복민원
  - (일반적 반복민원) 처리주무부서장 결재로 종결
  - (다수인관련 반복민원등 심의 필요 민원) 민원조정위원회 심의 후 종결 처리
 2. 1단계를 거쳐 종결 처리 후 다시 접수된 반복민원 중 처리주무부서장이 신중한 처리가 필요하다고 판단하는 반복민원
  - 기관별 「민원조정위원회」 심의 
  - 다수인 관련 반복민원은 기관별 민원조정위원회 심의생략하고 3단계 직행 가능
 3. 「민원조정위원회」 심의결과 통보 후 민원인의 재차 반복 민원 중 처리주무부서장이 신중한 처리가 필요하다고 판단하는 반복민원
  - (지도·감독기관 有) 지도·감독기관에 의견제시 요청
  - (지도·감독기관 無) 위원장 직급 상향 「민원 조정위원회」 재심의
 ※ 다수인관련민원 : 5세대 이상의 공동이해와 관련되고 5명 이상이 연명으로 제출하는 민원</t>
  </si>
  <si>
    <t>통합민원과_업무매뉴얼_행정안전부_민원인의 위법행위 및 반복민원 대응방안(지침)</t>
  </si>
  <si>
    <t>58, 59, 60, 61, 62, 63, 64, 65</t>
  </si>
  <si>
    <t>58P 표로 답변 생성 가능 여부 확인 필요
 안되면 58p~65P 요약해서 기대답변 생성</t>
  </si>
  <si>
    <t>부산시청역 도시철도 연결통로 전시 신청절차를 알려줘</t>
  </si>
  <si>
    <t>1. 행정포털→행정지원→예약관리→현수막 예약 메뉴
 (또는 행정포털 하단 개인서비스→현수막*홍보예약 클릭)
 2. 구분 항목에 "홍보 및 전시→도시철도 연결통"로 선택 후 검색 및 등록(예약기간 최대 2주)</t>
  </si>
  <si>
    <t>총무과-11892(2021.05.14.)호 지식관리시스템 자원공유(외벽 현수막·홍보) 예약서비스 운영 알림</t>
  </si>
  <si>
    <t>본문 일부 인용 및 편집</t>
  </si>
  <si>
    <t>국내외 뉴스 및 사진·인물 등 각종 정보를 실시간으로 검색할 수 있는 방법을 알려줘</t>
  </si>
  <si>
    <t>1) 행정포털 
  - 지식행정 → 외부지식 바로가기 → 연합뉴스, 뉴시스, 뉴스1 
  ※ ID / PW : 공보담당관-336(2025.1.9.) 붙임파일 참고
  2) 접속주소 
  - 연합뉴스 : https://new.premiumnews.co.kr
  - 뉴 시 스 : https://prime.newsis.com
  - 뉴 스 1 : https://connect.news1.kr
  - 뉴 스 핌 : https://plus.newspim.com
  - e내일신문: https://www.naeil.com</t>
  </si>
  <si>
    <t>공보담당관-336(2025.1.9.)호 2025년 뉴스통신사 등 ID구독 서비스 이용 안내</t>
  </si>
  <si>
    <t>본문 일부 인용</t>
  </si>
  <si>
    <t>데이터 제공 시, 개인정보는 어떻게 처리하는거야?
 &gt;&gt;참고 데이터 범위, 문서 양이 너무 많아서 제외, 질문 또한 광범위함. 데이터 제공 시 제3자제공인지, 목적외 이용인지, 또는 가명정보 처리 후 제공인지에 대한 질문 내용 부족</t>
  </si>
  <si>
    <t>데이터 제공 시에는 「개인정보보호법」, 행정안전부 지침, 부산시 개인정보처리방침에 따라 비식별화·가명처리·접근통제·파기관리 등 안전조치를 반드시 준수해야 합니다. 핵심 기준은 다음과 같습니다.
 ✔ 1. 직접식별자 삭제
 이름, 주민번호, 전화번호 등은 반드시 삭제(부산시 개인정보처리방침)
 ✔ 2. 준식별자 최소화·범주화
  - 나이 → 연령대
  - 주소 → 시·군·구 단위
  - 날짜 → 월 단위 등(행정안전부 개인정보보호 지침)
 ✔ 3. 총계처리·마스킹(소규모 그룹 비공개)
  - 5명 미만 통계는 숨김 또는 비공개 처리(행정안전부 지침)
 ✔ 4. 가명처리(필요 시)
  - 분석 목적 일 때 난수·해시로 대체
  - 원본 키는 별도 보관(부산시 개인정보처리방침 제16조, 가명정보 처리 가이드라인)
 ✔ 5. 재식별 위험 평가
  - 다른 데이터와 결합해도 특정 개인을 알아볼 수 없는지 검증(가명정보 처리 가이드라인)
 ✔ 6. 제공 후 관리
  - 목적 외 사용 금지
  - 파기 기한 명시
  - 사고 발생 시 즉시 보고(행정안전부 지침 + 부산시 방침)
 ✔ 7. 비정형 데이터(영상·이미지·음성)
  - 모자이크 처리, 변형 등 비식별 조치 필요(가명정보 처리 가이드라인)</t>
  </si>
  <si>
    <t>2508_정보화정책과_업무지침_정보화정책과_부산광역시 개인정보처리방침
 * 행정안전부 개인정보보호 지침 (2025.7.4.)
 * 가명정보 처리 가이드라인 (2024.2.)</t>
  </si>
  <si>
    <t>① 부산광역시 개인정보처리방침https://www.busan.go.kr/vprivacy1
 ② 행정안전부 개인정보보호 지침(2025.7.4.), P1~20
 ③ 가명정보 처리 가이드라인(2024.2.) P7~84</t>
  </si>
  <si>
    <t>① 부산광역시 개인정보처리방침
  - 접근권한 부여·변경·말소 기록을 3년 이상 보관함”
  - 암호화·접근통제 등 기술적 보호조치 적용
  - 가명정보는 분리 보관하고 재식별 방지 조치 시행
  - 파기 시 관리대장을 작성하고 복구 불가능하게 삭제
 ② 행정안전부 개인정보보호 지침 (2025.7.4.)
  - 개인정보 최소 수집 원칙에 따라 목적 범위 내에서만 처리
  - 제3자 제공 시 법적 근거 검토 및 제한조치 적용
  - 파기 방법·책임자 확인 및 기록 보관
 ③ 가명정보 처리 가이드라인 (2024.2.)
  - 나이·주소·성별 등은 조합 시 식별 가능성이 있어 범주화 필요
  - 가명정보 제공 시 계약에 재제공 금지·삭제 의무 포함
  - 가명정보는 별도 저장 공간에서 분리 보관</t>
  </si>
  <si>
    <t>부산시 공무원 필수직무교육은 어떤 과정이 있나요?
 &gt;&gt; 오른쪽 내용이 명시적으로 정리된 내용을 찾을 수 없음</t>
  </si>
  <si>
    <t>부산시 공무원은 매년 나라배움터에서 제공되는 법정의무교육 + 필수직무교육을 반드시 이수해야 합니다.
 2025년 11월 기준 나라배움터 화면에 표시된 주요 필수교육 과정은 다음과 같습니다.
 2025년 부산시 공무원 주요 필수 직무교육 목록(나라배움터, 2025년 11월)
  - 감염병 교육 심화과정
  - 탄소중립 시민들과 함께
  - [4대폭력] 평등한 일상 폭력예방(고위직·일반)
  - 2050 탄소중립교육
  - 통일 미래비전과 과제
  - 아동학대 신고의무자 및 공공부문 예방교육
  - 고용·산업 정책과 데이터 기반 통계 활용 교육
  - 공직자 안보교육
  - 개인정보 안전성 확보조치
  - 개인정보 기본교육
  - 긴급복지 신고의무자 교육
  - 아동학대 예방 및 신고의무자 교육
  - 적극행정 법제 가이드라인
  - 공무원이 알아야 할 정보공개 제도
  - 회계학·법학 기초 과정
  - 감염병 대응 교육
  - 개인정보 처리자 실무과정 
  - 개인정보 처리자 고급 교육
  - 공무원이 알아야 할 정보공개 기초
  - 공직자 윤리 및 청렴교육
  - 데이터 리터러시 / 데이터 마인드 / 데이터 분석 기초
  - 이용자 보호 및 공직자 책임
  - 사회복지 종사자 법정의무교육
  - 생명지킴이 자살예방 교육
  - 직무역량 강화 교육(정책기획, 재정운영 등)
  - 직장 내 괴롭힘 예방·대응 교육
  - 성인지 교육(예산·통계 등)</t>
  </si>
  <si>
    <t>나라배움터 필수과정</t>
  </si>
  <si>
    <t>본문 내용 그래도 인용</t>
  </si>
  <si>
    <t>공익사업에 적용되는 손실보상 절차는?
 &gt;&gt; 자료 미제출</t>
  </si>
  <si>
    <t>부산시의 공익사업에서 적용되는 손실보상 절차는 총 8단계로 진행됩니다.아래 내용은 「공익사업을 위한 토지 등의 취득 및 보상에 관한 법률(토지보상법)」 및 부산광역시 건설본부 「2024 손실보상 실무안내서(240531 최종)」 기준입니다.
 1단계. 사업인정 및 보상계획 수립
 - 사업인정고시 또는 도시계획 결정 후 보상 절차 준비
 - 토지·물건 조사 계획 수립
 2단계. 현장조사(토지·지장물 조사)
 - 지목·면적·지장물 확인
 - 공부(토지·건축물)와 현황 대조
 - 권리관계 확인(소유자, 점유자, 지상권 등)
 3단계. 보상계획 공고 및 열람(14일 이상)
 - 토지보상법 제15조에 따라 열람 기간 부여
 -소유자 의견 제출 가능
 4단계. 감정평가(2~3개 업체)
 -감정평가업자 2인(또는 3인) 선정
 -평가 금액의 산술평균으로 보상금 산정
 5단계. 보상금 산정 및 협의요청
 -산정된 보상금 + 내역서 통지
 -협의 기간 부여(통상 30일)
 6단계. 협의취득(계약체결 후 지급)
 -협의 성립 시 계약 체결
 -보상금 지급 → 소유권 이전 등기 진행
 7단계. 협의 불성립 시 수용재결
 -토지수용위원회 재결 신청
 -보상금 공탁 → 재결서 송달 → 소유권 이전
 8단계. 재결 불복 시(이의재결·행정소송)
 -중앙토지수용위원회 이의재결
 -필요 시 행정소송 가능
 (요약) “조사 → 공고·열람 → 감정평가 → 협의 ⇒ (불성립 시) 수용재결 → 이의재결·소송” 순으로 진행됩니다.</t>
  </si>
  <si>
    <t>2405_부산광역시건설본부_안내매뉴얼_부산광역시건설본부_2024 손실보상 실무안내서</t>
  </si>
  <si>
    <t>2024 손실보상 실무안내서
 - 보상 절차도 P6~8
 - 의뢰/조사/조서 작성 P12~20
 - 보상계획 공고/열람 P21~23
 - 감정평가 절차 P24~55
 - 협의 요청 및 협의취득 P56~67
 - 수용재결, 이의재결 및 종료 P68~79</t>
  </si>
  <si>
    <t>2024 손실보상 실무안내서 
 - 부산시 공익사업에서 사용하는 표준 손실보상 절차 P6~8
 - 보상의뢰, 토지·지장물 조사 방법, 조사표 작성 기준 P12~20
 - 보상계획 공고 시기·방법·열람 기간(14일 이상) 규정 P21~23 
 - 감정평가업자 선정 및 평가 절차, 보상금 산정 방식(산술평균) P24~55 
 - 협의요청 문서 구성, 협의 기간, 계약 절차 P56~67 
 - 협의 불성립 시 수용재결 신청 요건, 공탁, 재결서 송달, 이의재결 절차 P68~79</t>
  </si>
  <si>
    <t>부산지역 고등교육기관 통계자료를 찾고 싶어, 데이터가 잘 정리된 사이트를 알려줘</t>
  </si>
  <si>
    <t>국가교육통계센터(https://kess.kedi.re.kr)**는 부산지역 고등교육기관 통계 자료를 포함해 국내 교육기관의 데이터를 체계적으로 제공하는 플랫폼입니다. 아래는 이 사이트에서 관련 정보를 찾는 방법입니다.
 부산지역 고등교육기관 통계 확인 절차
 1. 사이트 접속
  - 국가교육통계센터 메인 페이지로 이동합니다.
  - (한국교육개발원 산하의 공식 통계 조사·서비스 플랫폼입니다.)
 2. 조사사업 메뉴 탐색
  - 조사사업 페이지에서 고등교육통계를 선택합니다.
  - 주요 제공 데이터:
  &gt; 고등교육기관 기본 현황 (학교별, 지역별)
  &gt; 졸업자 취업 통계
  &gt; 학생 수, 교원 현황 등 세부 지표
 3. 지역별 필터 적용
  - 데이터 조회 시 "지역" 필터를 부산으로 설정해 해당 지역의 대학·전문대학 통계를 추출합니다.
  - 부산시 내 세부 구군별 통계는 메뉴별 세부 항목을 통해 확인 가능합니다.
 4. 서비스 특징
  - 신뢰성: 국가 승인 통계로, 공식 데이터를 기반으로 합니다.
  - 접근성: 온라인 데이터베이스(DB)로 제공되며, PDF 보고서 및 엑셀 다운로드 가능.
  - 분석 지원: DB분석 서비스나 콜센터(☎ 000-000-0000)를 통해 맞춤형 데이터 가공을 요청할 수 있습니다.
 5. 유의사항
  - 최신 데이터는 보통 연간 갱신되므로, 조회 시 조사 연도(표기된 연차)를 확인해야 합니다.
  - 부산 소재 일부 대학(분교 포함)은 통계상 타 시·도와 중복 표시될 수 있습니다.
 이 사이트를 통해 부산지역 고등교육기관의 입학생 수, 졸업률, 교원 확보율 등 구체적 통계를 확인하실 수 있습니다.</t>
  </si>
  <si>
    <t>교육통계서비스(KESS) https://kess.kedi.re.kr/index</t>
  </si>
  <si>
    <t>국가교육통계센터소개 - 소개</t>
  </si>
  <si>
    <t>국가교육통계센터는
 국무총리 산하 정부출연 연구기관인 한국교육개발원 소속 국가 교육통계사업 수행을 전담하는 조직으로,
 1962년부터 시행되어온 교육통계 사업은 1000여종의 국가 승인 통계 중 사회분야의 핵심적인 통계사업입니다.
 우리나라 교육 전반의 과학적·종합적 진단 및 정책 수립을 비롯한 제반 교육 기획·시행·평가·연구 등을 위한 핵심 인프라 정보로
 활용되는 교육통계는 국가경쟁력 제고의 필수적 요소로 그 중요성이 날로 부각되고 있습니다.
 국가교육통계센터는 이와 같은 대국민적 통계 수요에 부응하고 관련 정책의 올바른 설정과 시행에 필요한 방대한 인적자원 정보를
 수집·분석·서비스를 위해 지속적으로 노력하고 있습니다.
 2017년 국가교육통계센터 로 지정되었으며, 2018년 부터 교육통계센터와 교육지표연구실로 나누어 운영되고 있습니다.
 기초연구사업
 교육통계체제 혁신에 관한 연구 / 교육통계 조사의 신뢰성ㆍ정확성ㆍ시의성 제고에 관한 연구
 교육통계 조사 결과 분석에 관한 연구 / 교육통계정보 서비스에 관한 연구
 조사사업
 유·초·중등교육통계, 고등교육통계, 고등교육기관 졸업자 취업통계, 직업계고 졸업자 취업통계,
 평생교육통계, 국제교육통계 /OECD 교육재정조사 / 각 조사 별 조사체제 구축 및 운영 /
 조사 결과 데이터 DB구축 /각종 위원회 운영(교육통계위원회 등)
 분석/서비스사업
 교육통계자료집 발간 (교육통계연보 등) / 교육통계서비스 콜센터 운영 / DB분석 서비스 운영 /
 교육통계서비스 홈페이지, 블로그 및 모바일 서비스 시스템 운영 / 교육 데이터 오픈랩 운영
 시스템개발사업
 조사 시스템 업그레이드 및 신규 개발 / 교육통계서비스시스템 업그레이드 및 신규 개발
 유관기관 DB 연동 및 공유 시스템 개발 / 전산자원 유지보수 관리
 국제교류사업
 OECD 교육지표사업 참여 / OECD 교육지표 편역본 발간 / UIS 협력 업무수행 /
 SDG4-교육-2030 협력 업무수행 / 교육경쟁력 지표 및 각종 세계대학평가 모니터링</t>
  </si>
  <si>
    <t>공무원 병가를 사용가능한 경우와 사용일수 및 제출서류를 알고싶어요</t>
  </si>
  <si>
    <t>●병가사용가능한 경우: 질병 또는 부상으로 직무를 수행할 수 없는 경우 또는 감염병에 걸려 다른 공무원의 건강에 영향을 미칠 우려가 있을 때
 ●병가사용일수
 ①일반병가: 연60일 이내
 ②공무상병가: 연180일이내, 공무상 요양승인 결정 필요
 ●제출서류
  ▶연간 누계 6일까지 진단서의 제출 없이도 병가 사용 가능
  ▶7일 이상 연속되는 병가와 병가의 연간 누계가 6일을 초과하게 되는 경우에는 「의료법」제17조에 의하여 교부된 진단서를 제출</t>
  </si>
  <si>
    <t>● 지방공무원 복무규정</t>
  </si>
  <si>
    <t>●지방공무원 복무규정 제7조의5(병가) https://www.law.go.kr/법령/지방공무원복무규정</t>
  </si>
  <si>
    <t>● 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&lt;개정 2021. 11. 30.&gt;
 ③ 병가 일수가 연 6일을 초과하는 경우에는 의사의 진단서를 첨부해야 한다.</t>
  </si>
  <si>
    <t>부산시 공무직 병가를 사용가능한 경우와 사용일수 및 제출서류를 알고싶어요
 &gt;&gt; 단체협약서 이미지 파일이라 인식 불가</t>
  </si>
  <si>
    <t>●병가사용가능한 경우: 질병 또는 부상으로 직무를 수행할 수 없는 경우 또는 감염병에 걸려 다른 공무원의 건강에 영향을 미칠 우려가 있을 때
 ●병가사용일수: 연60일 이내
 ●제출서류
  ▶연간 누계 6일까지 증빙자료 제출
  ▶연간 누계 7일 이상의 경우에는 「의료법」제17조에 의하여 교부된 진단서를 제출
  ▶동일한 사유의 병가는 최초 제출한 증빙자료로 상병명 및 요양기간을 확인할 수 있는 경우 추가 제출을 생략가능</t>
  </si>
  <si>
    <t>●2025년 부산광역시-부산시청공무직노동조합 단체협약서(★단체협약서(251022).pdf)</t>
  </si>
  <si>
    <t>●2025년 부산광역시-부산시청공무직노동조합 단체협약서 제27조(병가), 9~10p</t>
  </si>
  <si>
    <t>●제27조(병가) ① 시는 조합원이 업무 외 부상 또는 질병 치료를 위해 요청하는 경우, 또는 전염병 감염자로서 전파 우려가 있는 경우, 연 60일의 범위 내에서 병가를 줄 수 있다.
 ② 병가를 신청하고자 하는 조합원은 연간 누계 7일 미만의 경우 증빙자료를, 누계 7일 이상의 경우는 「의료법」 제17조에 의한 진단서를 제출하여야 한다.
 ③ 동일한 사유의 병가는 최초 제출한 증빙자료로 상병명 및 요양기간을 확인할 수 있는 경우 추가 제출을 생략할 수 있다.
 ④병가는 반일 또는 일 단위로 사용할 수 있고, 같은 연도 내 병가일수를 합한 기간이 30일 이상인 경우, 휴가 사용일수에 휴일 또는 휴무일을 산입한다
 ⑤ 병가는 사용일수 1일당 통상임금 일급(8시간)의 30%를 감액하여 지급하되, 제4항에 따라 산입된 휴일 또는 휴무일이 무급인 경우에는, 해당일을 감액하지 아니한다.
 ⑥ 제5항의 규정에도 불구하고, 코로나19의 확진으로 인한 병가는 감액하지 아니하고 유급으로 한다.</t>
  </si>
  <si>
    <t>업무추진비를 사용한 간담회 집행가액이 얼마인지 알고싶어요</t>
  </si>
  <si>
    <t>●간담회 등 접대비는 특별한 사유가 없는 한 1인 1회당 5만원 이하 범위에서 집행
 ●불가피한 경우에는 증빙서류 등에 사유를 병시하고 5만원을 초과하여 집행가능
 ● 「청탁금지법」 적용대상인 경우에는 「청탁금지법」을 따른다
  ▶음식물 가액 범위: 5만원</t>
  </si>
  <si>
    <t>●지방자치단체 회계관리에 관한 훈령(24. 9. 23. 시행)
 ●2025 부정청탁 및 금품등 수수의 금지에 관한 법률 행정기관 및 공직유관단체 메뉴얼</t>
  </si>
  <si>
    <t>46 
 86</t>
  </si>
  <si>
    <t>● 각종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가액 범위
 l 원활한 직무수행, 사교·의례, 부조 목적으로 제공되는 5만원 이하 음식물·5만원 이하 선물
 (농수산물·농수산가공품은 설날·추석 전 24일부터 설날·추석 후 5일까지는 30만원 이하,
 그 외 기간에는 15만원 이하)·5만원 이하 축의금·조의금(화환·조화는 10만원 이하)은 예외
 사유에 해당(법 제8조제3항제2호, 시행령 제17조 및 별표 1)
 l 음식물 : 5만원 이하
 - 제공자와 공직자등이 함께 하는 식사, 다과, 주류, 음료, 그 밖에 이에 준하는 것
 ※ 제공자와 공직자등이 함께 하지 않고 제공자가 특정 식당에서 먼저 또는 나중에 결제하고 공직자등만
 식사를 하게 하는 경우는 가액한도 내라도 제2호의 음식물에 해당될 수 없음</t>
  </si>
  <si>
    <t>지방재정(e호조+) 사용자 권한신청 방법을 알고싶어요
 &gt;&gt; 매뉴얼 미제공</t>
  </si>
  <si>
    <t>●사용자권한신청메뉴얼
 1. 시 행정포털 접속 – 지방재정(e호조+) 접속
 2. 사용자권한신청(81211) 선택
 3. 오른쪽 밑 신규선택 – 아래로 스크롤 내리기 - 업무그룹 부여 – 행추가 – 돋보기 - 필요한 권한 신청
 4. 담당자는 팀장님까지 결재
 5. 사용자권한결재(81212)</t>
  </si>
  <si>
    <t>●이호조사용자권한신청 매뉴얼(이호조 사용자 권한 신청(본청,사업소).hwp)</t>
  </si>
  <si>
    <t>●이호조사용자권한신청 매뉴얼(이호조 사용자 권한 신청(본청,사업소).hwp)1~3p</t>
  </si>
  <si>
    <t>신용카드로 물품 구입시 얼마부터 2인 이상 견적서 제출 필요할까?</t>
  </si>
  <si>
    <t>지방자치단체를 당사자로 하는 계약에 관한 법률 시행령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「여성기업지원에 관한 법률」 제2조제1호에 따른 여성기업 또는 「장애인기업활동 촉진법」 제2조제2호에 따
 른 장애인기업
 나. 「사회적기업 육성법」 제2조제1호에 따른 사회적기업, 「협동조합 기본법」 제2조제3호에 따른 사회적협동조합
 , 「국민기초생활 보장법」 제18조에 따른 자활기업 또는 「도시재생 활성화 및 지원에 관한 특별법」 제2조제
 1항제9호에 따른 마을기업으로서 행정안전부장관이 정하는 기준에 적합한 기업. 이 경우에는 행정안전부장관
 이 정하여 고시하는 취약계층 고용비율을 충족하여야 한다.
 3. 제2항에 따라 지정정보처리장치를 이용하여 견적서를 제출받았으나 견적서 제출자가 1인뿐인 경우로서 다시 견
 적서를 제출받더라도 견적서 제출자가 1인뿐일 것으로 명백히 예상되는 경우
 지방자치단체를당사자로하는계약에관한법률시행규칙 제33조(수의계약 체결 시 견적서 제출 생략의 대상) 영 제30조제4항에 따라 수의계약 체결 시 견적서 제출을 생략할 수 있는 경우는 다음 각 호의 경우로 한다. &lt;개정 2019. 6. 25.&gt;
  1. 전기, 가스, 수도 등의 공급계약을 체결하는 경우
  2. 추정가격이 200만원 미만인 물품의 제조ㆍ구매ㆍ임차 및 용역 계약을 체결하는 경우
  3. 추정가격이 200만원 미만인 물품을 「여신전문금융업법」에 따른 신용카드로 구매하는 경우
  4. 국가 및 다른 지방자치단체와 수의계약을 체결하는 경우
 따라서 200만원을 초과하는경우는 비교견적서를 첨부해서 구매해야함.</t>
  </si>
  <si>
    <t>지방자치단체를당사자로하는계약에관한법률시행령 및 시행규칙</t>
  </si>
  <si>
    <t>시행령 제30조, 시행규칙 제33조</t>
  </si>
  <si>
    <t>시행령 제30조 일체
 시행규칙 제 33조 일체</t>
  </si>
  <si>
    <t>추정가격이랑 추정금액의 차이가 뭘까?</t>
  </si>
  <si>
    <t>기대답변 :
 1. 추정가격
  - 정의: 법령에 따라 예정가격이 결정되기 전, 국제입찰 대상 여부 판단이나 입찰 기준 설정을 위해 산정된 가격입니다.
  - 목적: 계약 체결 전 기본적인 금액 기준으로 활용됩니다.
  - 포함 항목: 부가가치세나 관급자재 비용 등은 제외됩니다.
 2. 추정금액
  - 정의: 추정가격에 부가가치세와 관급자재 비용을 포함해 산출된 총액입니다.
  - 목적: 실제 계약에서 지급될 최종 예상 금액을 계산하는 데 사용됩니다.
 3. 예시
  - 추정가격: 1억 원
  - 부가가치세 (10%): 1,000만 원
  - 관급자재 비용: 500만 원
  → 추정금액 = 1억 + 1,000만 + 500만 = 1억 1,500만 원
 4. 핵심 차이:
  - 추정가격은 세금과 관급자재를 포함하지 않은 기초 가격이며, 추정금액은 이에 추가 비용이 반영된 총액입니다.</t>
  </si>
  <si>
    <t>지방자치단체를 당사자로 하는 계약에 관한 법률 시행규칙
 지방자치단체를 당사자로 하는 계약에 관한 법률 시행규칙</t>
  </si>
  <si>
    <t>제2조(정의)
 제2조(정의)</t>
  </si>
  <si>
    <t>1. “추정가격”이란 물품ㆍ공사ㆍ용역 등의 조달계약을 체결할 때 「지방자치단체를 당사자로 하는 계약에 관한 법률
 」(이하 “법”이라 한다) 제5조에 따른 국제입찰의 대상인지를 판단하는 기준 등으로 삼기 위하여 예정가격이 결정
 되기 전에 제7조에 따라 산정된 가격을 말한다.
 2. “추정금액”이란 「지방자치단체를 당사자로 하는 계약에 관한 법률 시행령」(이하 “영”이라 한다) 제2조제1호에 따
 른 추정가격에 「부가가치세법」에 따른 부가가치세와 관급자재(계약상대자가 설치하는 관급자재로 한정한다)로
 공급될 부분의 가격을 합한 금액을 말한다.</t>
  </si>
  <si>
    <t>건설공사 안전관리비 지급 가능한 영역은?
 &gt;&gt; 근거자료 미제출</t>
  </si>
  <si>
    <t>건설공사 안전관리 업무수행 지침 별표7(안전관리비 계상 및 사용기준에 따라서 안전관리계획서의 작성 및 검토비, 안전점검비, 굴착 등의 공사로 인한 주변 건축물 피해방지대책비, 공사장 주변 통행안전 및 교통소통을 위한 안전시설의 설치 및 유지관리 비, 신호수 배치운용 등에 사용이 가능함</t>
  </si>
  <si>
    <t>건설공사 안전관리 업무수행 지침</t>
  </si>
  <si>
    <t>별표 7</t>
  </si>
  <si>
    <t>안전관리비 계상 및 사용기준</t>
  </si>
  <si>
    <t>보행을 위한 보도폭은 얼마정도로 해야 적당한가?
 &gt;&gt; 근거자료 미제출</t>
  </si>
  <si>
    <t>도로의 구조•시설 기준에 관한 규칙 제16조(보도) ① 보행자의 안전과 자동차 등의 원활한 통행을 위하여 필요하다고 인정되는 경우에는 도로에 보도를 설치해야 한다. 이 경우 보도는 연석(緣石)이나 방호울타리 등의 시설물을 이용하여 차도와 물리적으로 분리해야 하고, 필요하다고 인정되는 지역에는 이동편의시설을 설치해야 한다. &lt;개정 2020. 3. 6.&gt;
  ③ 보도의 유효폭은 보행자의 통행량과 주변 토지 이용 상황을 고려하여 결정하되, 최소 2미터 이상으로 하여야 한다. 다만, 지방지역의 도로와 도시지역의 국지도로는 지형상 불가능하거나 기존 도로의 증설ㆍ개설 시 불가피하다고 인정되는 경우에는 1.5미터 이상으로 할 수 있다.</t>
  </si>
  <si>
    <t>도로의 구조•시설 기준에 관한 규칙</t>
  </si>
  <si>
    <t>제16조</t>
  </si>
  <si>
    <t>최소 2미터이상, 불가피시 1.5미터이상</t>
  </si>
  <si>
    <t>공항소음대책지역은 어떤 기준으로 지정되나요?</t>
  </si>
  <si>
    <t>공항소음대책지역은 국토교통부장관이 장래 항공수요를 감안한 예상 소음영향도(Lden, 가중등가소음도)를 기준으로 지정·고시합니다. 소음도에 따라 제1종(79 이상), 제2종(75 이상 79 미만), 제3종(61 이상 75 미만) 구역으로 구분됩니다.</t>
  </si>
  <si>
    <t>1. 공항소음 방지 및 소음대책지역 지원에 관한 법률 
 2. 공항소음 방지 및 소음대책지역 지원에 관한 법률 시행령</t>
  </si>
  <si>
    <t>1. 법 제5조 제1항 
 2. 시행령 제2조 제1항</t>
  </si>
  <si>
    <t>공항소음 방지 및 소음대책지역 지원에 관한 법률 제5조(소음대책지역의 지정ㆍ고시 등) ① 국토교통부장관은 장래의 항공수요를 고려한 예상 소음영향도를 기준으로 공항주변의 소음대책지역을 대통령령으로 정하는 바에 따라 제1종 구역, 제2종 구역 및 제3종 구역으로 지정ㆍ고시하여야 한다.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</si>
  <si>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 피해를 측정하는 기준인 Lden은 무엇을 의미하며, 구분 기준은 어떻게 되나요?
 &gt;&gt; Lden에 관한 내용이 없어서 답변 불가</t>
  </si>
  <si>
    <t>Lden(Lden)은 가중등가소음도로, 하루 24시간 동안의 평균 소음도를 주간, 저녁, 야간 시간대별로 가중치를 두어 산정한 값입니다. 공항소음대책지역은 Lden에 따라 제1종(79 이상), 제2종(75 이상 79 미만), 제3종(61 이상 75 미만) 구역으로 구분됩니다.</t>
  </si>
  <si>
    <t>공항소음 방지 및 소음대책지역 지원에 관한 법률 시행령</t>
  </si>
  <si>
    <t>시행령 제2조 제1항</t>
  </si>
  <si>
    <t>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</si>
  <si>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공항소음으로 피해를 입은 주민은 어떤 지원을 받을 수 있나요?</t>
  </si>
  <si>
    <t>공항소음대책지역(Lden 61 이상) 주민은 법률에 근거하여 크게 두 가지 유형의 지원을 받습니다. 
 1. 소음대책사업 : 방음시설 및 냉방시설 설치, 공영방송 수신료 지원, 주거용 시설 등의 냉방전기료 지원, 손실보상 및 토지 등의 매수
 2. 주민지원사업 : 지역주민의 복지향상 및 소득증대에 기여할 수 있는 사업으로 일정 기준에 따라 해당 지방자치단체의 조례로 정하는 사업
 근거자료로는 Lden 61 이상 주민이 두 가지 유형의 지원을 받는 다는 내용을 찾기 어렵습니다.
 법률 제19조제1항으로만 답변 생성해야할 것으로 보입니다.
 기대답변 :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</si>
  <si>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공항소음 방지 및 소음대책지역 지원에 관한 법률</t>
  </si>
  <si>
    <t>법 제8조 제1항, 법 제19조 제1항</t>
  </si>
  <si>
    <t>공항소음 방지 및 소음대책지역 지원에 관한 법률 제8조(공항소음대책사업의 계획수립 등) ① 시설관리자 또는 사업시행자는 중기계획에 따라 다음 각 호의 사항을 포함하는 연차별 공항소음대책사업계획(이하 “소음대책사업계획”이라 한다)을 수립ㆍ시행하여야 한다.
 1. 방음시설 및 냉방시설 설치사업
 2. 공영방송 수신료 지원사업(시설관리자로 한정한다)
 3. 다음 각 목의 어느 하나에 해당하는 시설에 설치된 냉방시설의 전기료 일부 지원사업(시설관리자로 한정한다)
 가. 「교육기본법」 제9조에 따른 학교
 나. 「건축법」 제2조제2항제1호부터 제4호까지 및 제14호에 따른 시설 중 국토교통부령으로 정하는 주민 주거용 시설 및 주민 공동이용시설
 다. 「건축법」 제2조제2항제11호에 따른 노유자(老幼者)시설
 4. 자동소음측정망 설치사업
 5. 삭제 &lt;2015. 12. 31.&gt;
 6. 손실보상 및 토지 등의 매수
 7. 그 밖에 공항소음을 줄이고 쾌적한 생활환경을 조성하기 위하여 국토교통부장관이 필요하다고 인정하는 사항
 공항소음 방지 및 소음대책지역 지원에 관한 법률 제19조(주민지원사업의 종류 등) ①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</si>
  <si>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우리 집이 소음대책지역인데, 한국공항공사(시설관리자)에 땅을 팔고 이사할 수 있나요?</t>
  </si>
  <si>
    <t>제1종 구역(Lden 79 이상), 제2종 구역(Lden 75 이상 79 미만), 그리고 국토교통부령으로 정하는 제3종 구역 일부(Lden 70 이상 75 미만)에 있는 토지 소유자는 시설관리자(한국공항공사 등)에게 해당 토지의 매수를 청구할 수 있습니다. 청구를 받은 시설관리자는 2개월 이내에 매수 여부와 예상가격을 통보해야 합니다. (매수대상토지로 통보하면 통보일부터 3년 이내에 해당 토지 매수)</t>
  </si>
  <si>
    <t>1. 공항소음 방지 및 소음대책지역 지원에 관한 법률 
 2. 공항소음 방지 및 소음대책지역 지원에 관한 법률 시행규칙</t>
  </si>
  <si>
    <t>법 제12조 제1항, 법 제13조, 시행령 제2조, 시행규칙 제7조의2</t>
  </si>
  <si>
    <t>공항소음 방지 및 소음대책지역 지원에 관한 법률 제12조(토지매수의 청구 등) ① 제5조제1항에 따른 제1종 구역, 제2종 구역 또는 국토교통부령으로 정하는 제3종 구역에 있는 토지(이하 “매수대상토지”라 한다)의 소유자는 시설관리자 또는 사업시행자에게 해당 토지의 매수를 청구할 수 있다.
 제13조(토지매수의 절차 등) ① 시설관리자 또는 사업시행자는 제12조제1항에 따라 토지의 매수청구를 받은 날부터 2개월 이내에 해당 토지가 매수대상토지인지 여부 및 대통령령으로 정하는 바에 따라 산정한 매수예상가격 등을 매수청구인에게 통보하여야 한다. ② 시설관리자 또는 사업시행자는 제1항에 따라 매수대상토지로 통보한 때에는 통보일부터 3년 이내에 해당 매수 대상토지를 매수하여야 한다.
 공항소음 방지 및 소음대책지역 지원에 관한 법률 시행규칙 제7조의2(손실보상 및 토지매수 청구지역) 법 제11조제1항ㆍ제2항 및 제12조제1항에서 “국토교통부령으로 정하는 제3종 구역”이란 각각 제3조제1호에 따른 가 지구를 말한다.
 공항소음 방지 및 소음대책지역 지원에 관한 법률 시행령
 제2조(소음대책지역의 지정ㆍ고시) ① 「공항소음 방지 및 소음대책지역 지원에 관한 법률」(이하 “법”이라 한다) 제5조
 제1항에 따른 소음대책지역의 구역별 예상 소음영향도 기준은 다음 각 호와 같다. 다만, 제3종 구역의 경우 국토교통
 부령으로 정하는 바에 따라 지구별로 세분할 수 있다. &lt;개정 2013. 3. 23., 2021. 11. 16.&gt;
 1. 제1종 구역: 가중등가소음도[Lden㏈(A)] 79 이상
 2. 제2종 구역: 가중등가소음도[Lden㏈(A)] 75 이상 79 미만
 3. 제3종 구역: 가중등가소음도[Lden㏈(A)] 61 이상 75 미만</t>
  </si>
  <si>
    <t>공항소음대책지역에서 주택 방음시설이나 냉방시설 지원을 받으려면 어떤 절차로 신청해야 하나요?</t>
  </si>
  <si>
    <t>1. 신청대상 : 금년도 소음대책사업에 해당하는가옥으로서 공항공사로부터 신청안내서를 통보 받은 가옥
 2. 신청방법 : 해당사업 신청서를 작성한 후 첨부서류(세대별 주민등록등본, 건축물관리대장)와 함께 제출
 3. 문의사항 : 한국공항공사(김해공항) T. 1661-2626</t>
  </si>
  <si>
    <t>공항소음포털 홈페이지</t>
  </si>
  <si>
    <r>
      <rPr>
        <rFont val="&quot;맑은 고딕&quot;"/>
        <color rgb="FF1155CC"/>
        <sz val="12.0"/>
        <u/>
      </rPr>
      <t>https://www.airportnoise.kr/anps/reqst/SdfclInfo</t>
    </r>
    <r>
      <rPr>
        <rFont val="&quot;맑은 고딕&quot;"/>
        <sz val="12.0"/>
      </rPr>
      <t xml:space="preserve">
 https://www.airportnoise.kr/anps/reqst/ArclngInfo</t>
    </r>
  </si>
  <si>
    <t>1. 방음시설 설치 신청
 신청대상 : 금년도 소음대책사업에 해당하는 가옥으로서 공항공사로부터 신청안내서를 통보 받은 가옥
 신청방법 : 주택방음시설 설치 신청 페이지에서 내용을 작성한 후 첨부서류와 함께 온라인 접수하시면 됩니다
 필수 첨부서류 : 건축물관리대장
 2. 주택냉방시설 설치 신청
 신청대상 : 금년도 소음대책사업에 해당하는 가옥으로서 공항공사로부터 신청안내서를 통보 받은 가옥
 신청방법 : 주택냉방시설 설치 신청 페이지에서 내용을 작성한 후 첨부서류와 함께 온라인 접수하시면 됩니다
 필수 첨부서류 : 세대별 주민등록등본, 건축물관리대장</t>
  </si>
  <si>
    <t>소음대책지역 지정은 얼마나 자주 바뀌나요? 소음이 줄어들어 지원 대상에서 제외될 수도 있나요?</t>
  </si>
  <si>
    <t>국토교통부장관은 소음대책지역 지정 후 5년마다 소음영향도 조사를 실시하고 지정의 타당성을 재검토해야 합니다. 재검토 결과 지역에서 제외되더라도, 해당 시설물(주택)의 소유자가 신청하면 제외된 날부터 5년 이내에 방음시설 설치 등 기존 지원 사업을 계속 시행하도록 법에 규정되어 있습니다.</t>
  </si>
  <si>
    <t>법 제5조 제2항, 법 제5조 제4항, 법 제8조 제3항, 시행령 제2조 제11항</t>
  </si>
  <si>
    <t>공항소음 방지 및 소음대책지역 지원에 관한 법률 제5조(소음대책지역의 지정ㆍ고시 등) ② 국토교통부장관은 제1항에 따라 소음대책지역을 지정ㆍ고시하기 위하여 공항소음으로 인한 공항주변의 소음영향도를 조사하여야 한다.
 ④ 제2항 및 제3항에 따른 소음영향도 조사의 주기ㆍ방법 및 기준 등에 관하여 필요한 사항은 대통령령으로 정한다.
 공항소음 방지 및 소음대책지역 지원에 관한 법률 제8조(공항소음대책사업의 계획수립 등) ③ 시설관리자 또는 사업시행자는 소음대책지역의 변경으로 인하여 제외되는 지역 안의 제2항에 따른 시설물에 대하여 소음대책지역에서 제외된 날부터 5년 이내에 해당 시설물의 소유자가 신청하면 다음 각 호의 사업을 시행하여야 한다. 
 1. 방음시설 설치사업
 2. 텔레비전 수신 장애 방지사업
 3. 학교 냉방시설 설치사업
 공항소음 방지 및 소음대책지역 지원에 관한 법률 시행령 제2조(소음대책지역의 지정ㆍ고시) ⑪ 국토교통부장관은 법 제5조제2항에 따라 제4항에 따른 소음대책지역 지정ㆍ고시 후 5년마다 소음영향도 조사를 실시해야 하며, 그 결과 등을 고려하여 그 지정ㆍ고시의 타당성을 검토해야 한다.</t>
  </si>
  <si>
    <t>소음대책지역으로 지정되면 주택을 신축하거나 기존 건물을 다른 용도로 바꾸는 것에 제한이 따르나요?</t>
  </si>
  <si>
    <t>네, 제한이 따를 수 있습니다. 소음피해 확산을 방지하기 위해 시·도지사 또는 시장·군수·구청장은 소음대책지역에 주거용, 교육용, 의료용 등 소음에 민감한 특정 시설물의 신축(설치)를 제한하거나 기존 시설의 용도 변경을 제한할 수 있습니다. 다만, 방음시설 설치 등 일정한 조건을 붙여 시설물의 설치를 허용할 수 있습니다.</t>
  </si>
  <si>
    <t>법 제6조, 시행규칙 제4조 제1항, 시행규칙 별표1 및 별표2</t>
  </si>
  <si>
    <t>공항소음 방지 및 소음대책지역 지원에 관한 법률 제6조(소음대책지역에서의 시설물의 설치 제한 등) ① 특별시장ㆍ광역시장ㆍ도지사(이하 “시ㆍ도지사”라 한다) 또는 특별자치도지사ㆍ시장ㆍ군수ㆍ구청장은 공항소음피해 확산을 방지하기 위하여 소음대책지역에서의 시설물의 설치 및 용도를 제한하여야 한다. 다만, 방음시설 설치 등 일정한 조건을 붙여 시설물의 설치를 허용할 수 있다.
 ② 시ㆍ도지사 또는 시장ㆍ군수ㆍ구청장은 제1항에 따른 조건을 이행하지 아니한 자에게 다음 각 호의 사항을 명할 수 있다.
 1. 시설물의 용도변경
 2. 소음피해 방지시설의 보완
 ③ 시ㆍ도지사 또는 시장ㆍ군수ㆍ구청장은 소음대책지역에 「건축법」에 따라 시설물 설치를 허가하였을 때에는 그 허가내용(조건을 붙인 경우에는 그 내용을 포함한다)을 시설관리자 또는 사업시행자에게 통보하여야 한다.
 ④ 제1항에 따른 설치 및 용도 제한 대상시설물의 종류와 제한조건 등에 관하여 필요한 사항은 국토교통부령으로 정한다.
 공항소음 방지 및 소음대책지역 지원에 관한 법률 시행규칙 제4조(소음영향도에 따른 시설물의 설치제한 등) ① 법 제6조제4항에 따른 소음대책지역 안의 설치 및 용도 제한 대상시설물의 종류와 제한조건은 각각 별표 1 및 별표 2와 같다.</t>
  </si>
  <si>
    <t>해외에서 입국 시 담배 면세 기준이 어떻게 되나요?
 &gt;&gt; 자료 미제출</t>
  </si>
  <si>
    <t>○입국자가 반입하는 담배의 면세범위
 1. 궐련 : 200개비
 2. 엽궐련 : 50개비
 3. 전자담배 : 
  ㉠니코틴용액 20ml
  ㉡궐련형 200개비
  ㉢기타유형 110그램
 4. 그 밖의 담배 : 250그램</t>
  </si>
  <si>
    <t>재정업무편람_세정운영담당관_담배소비세.pdf</t>
  </si>
  <si>
    <t>440p</t>
  </si>
  <si>
    <t>본문 표 내용 인용</t>
  </si>
  <si>
    <t>담배 반출신고는 어떻게 하나요?</t>
  </si>
  <si>
    <t>제조자 또는 수입판매업자가 담배를 제조장 또는 보세구역세 반출 시 지자체에 신고
 1. 신고기한 : 반출한 날이 속하는 달의 다음달 5일까지
 2. 신고방법 : 담배 반출신고서(지방세법 시행규칙 별지 제23호 서식)를 작성하여 제조장 또는 주사무소 소재지 관할 시장, 군수에게 신고
  ※ 전 월 각 지역별 판매량을 적은 자료 첨부</t>
  </si>
  <si>
    <t>「지방세법」 제55조, 같은 법 시행령 제65조, 같은 법 시행규칙 제24조</t>
  </si>
  <si>
    <r>
      <rPr>
        <rFont val="&quot;맑은 고딕&quot;"/>
        <color rgb="FF1155CC"/>
        <sz val="12.0"/>
        <u/>
      </rPr>
      <t>https://www.law.go.kr/lsSc.do?section=&amp;menuId=1&amp;subMenuId=15&amp;tabMenuId=81&amp;eventGubun=060101&amp;query=%EC%A7%80%EB%B0%A9%EC%84%B8%EB%B2%95#searchId1</t>
    </r>
  </si>
  <si>
    <t>○지방세법 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○지방세법 시행령 제65조(담배의 반출신고) ① 법 제55조에 따른 반출신고는 반출한 날이 속하는 달의 다음 달 5일까지 행정안전부령으로 정하는 신고서에 지난 달 특별시ㆍ광역시ㆍ특별자치시ㆍ특별자치도ㆍ시 및 군(이하 이 장에서 “시ㆍ군”이라 한다)별 판매량을 적은 자료를 첨부하여 제조장 또는 주사무소 소재지를 관할하는 시장ㆍ군수에게 해야 한다. 다만, 제68조제2항 각 호 외의 부분 단서에 따른 수입판매업자의 경우에는 지난 달 시ㆍ군별 판매량을 적은 자료를 첨부하지 않을 수 있다.
 ○지방세법 시행규칙 제24조(반출신고) ① 영 제65조제1항에 따라 담배의 반출신고를 하려는 자는 별지 제23호서식의 담배 반출신고서에 담배 수불(受拂)상황표 및 담배의 반출사실을 증명하는 전표 또는 수입신고필증을 첨부하여 제조장 또는 주사무소 소재지를 관할하는 특별시장ㆍ광역시장ㆍ특별자치시장ㆍ특별자치도지사ㆍ시장 또는 군수(이하 이 장에서 “시장ㆍ군수”라 한다)에게 제출해야 한다.</t>
  </si>
  <si>
    <t>특이(폭언 및 반복) 민원에 대한 대응방법을 알려주세요
 &gt;&gt; 근거자료 이미지 파일이라 인식 불가</t>
  </si>
  <si>
    <t>1. 지동녹음이 되지 않는 부서의 경우, 전화기를 들어 바로 수동녹음을 실시합니다.
 *수동녹음 순서 : # ▸ 11 ▸ 회의(액정화면)
 2. [폭언 지속시] 통화곤란 안내 후 전화를 종료합니다.
 - 선생님, 폭언을 계속하시면 더 이상의 상담이 어렵습니다. 혹은 관련법령에 따라 처벌 받을 수 있습니다. 다른 민원 처리를 위해 이만 통화를 마치겠습니다. 양해해주시기 바랍니다.
 3. [반복민원 응대시]
  - 선생님, 말씀하신 민원은 설명드린대로 정해진 규정과 절차에 따라 정상적으로 처리된 사항입니다. 동일한 답변 외에는 더 드릴 말씀이 없습니다. 반복적으로 전화를 하시면 공무방해 행위에 해당됩니다. 죄송합니다. 다른 민원 처리를 위해 많은 시간을 할애할 수 없는 점 양해부탁드리며, 이만 통화를 종료하겠습니다.</t>
  </si>
  <si>
    <t>부산형 민원응대 매뉴얼</t>
  </si>
  <si>
    <t>19P</t>
  </si>
  <si>
    <t>인재개발원 교육신청은 어떻게 하나요?
 &gt;&gt; 자료 미제출 및 검색안됨</t>
  </si>
  <si>
    <t>① 통합교육관리시스템(http://bs.lms.go.kr) 가입
 ② 행정포털 차세대 인사 → ’교육훈련’ → '교육훈련부서주관' → '교육부서주관교육신청' 클릭
 ③ 원하는 교육 클릭 후 은행계좌 기입 → ‘신청’ 클릭 → 부서장 승인
 ④ "부산광역시 인재개발원 교육생 선발 결과알림" 공문확인
 ⑤ 선발된 경우 → 차세대 인사 → 교육훈련파견관리 → 근무지 내 교육훈련 파견신청 → 신규 신청 및 결재
 *여비내역 미입력 후 결재진행
 *비대면 교육의 경우(출장지: 재택, 출장목적: 교육명 입력)</t>
  </si>
  <si>
    <t>(관내)교육훈련파견신청 매뉴얼</t>
  </si>
  <si>
    <t>1~4P</t>
  </si>
  <si>
    <t>10년 이상 재직했는데 장기재직휴가는 며칠이나 갈 수 있어?</t>
  </si>
  <si>
    <t>「부산광역시 공무원 복무 조례」 개정(2024.12.25.)에 따라 장기재직휴가 일수가 확대되었습니다.
 1. 5년~10년 미만: 5일
 2. 10년~20년 미만: 15일 (기존 10일에서 확대)
 3. 20년~30년 미만: 25일 (기존 20일에서 확대)
 4. 30년 이상: 25일 (기존 20일에서 확대)
 따라서 10년 이상 20년 미만 재직자의 경우 15일의 휴가를 사용할 수 있습니다.</t>
  </si>
  <si>
    <t>부산광역시 공무원 복무 조례</t>
  </si>
  <si>
    <t>제15조(특별휴가) ⑥항</t>
  </si>
  <si>
    <t>제15조(특별휴가) ⑥ 소속기관장은 재직기간이 5년 이상 10년 미만인 공무원에게 해당 재직기간 중 5일, 10년 이상 20년 미만인 공무원에게 해당 재직기간 중 15일, 20년 이상 30년 미만 및 30년 이상 재직한 공무원에게는 해당 재직기간 중 각각 25일의 휴가를 허가할 수 있으며, 운영에 필요한 사항은 시장이 따로 정한다.</t>
  </si>
  <si>
    <t>초등학교 3학년 자녀가 있는데 학습지도시간을 쓸 수 있어?</t>
  </si>
  <si>
    <t>네, 조례에 '학습지도시간'이 신설되었습니다.
 9세 이상 10세 이하(초등학교 3~4학년) 자녀를 둔 공무원은 자녀의 학습 적응 및 지도를 위해 1일 최대 2시간의 학습지도시간을 12개월 범위 내에서 사용할 수 있습니다.</t>
  </si>
  <si>
    <t>제15조(특별휴가) ⑨항</t>
  </si>
  <si>
    <t>제15조(특별휴가) ⑨9세 이상 10세 이하 또는 초등학교 3학년 이상 초등학교 4학년 이하의 자녀를 가진 공무원은 12개월의 범위에서 초등학교 학습 적응 및 지도 등을 위한 1일 최대 2시간의 학습지도시간을 사용할 수 있다.</t>
  </si>
  <si>
    <t>남성 공무원인데 배우자 임신 검진에 같이 가고 싶어.</t>
  </si>
  <si>
    <t>조례에 따라 '임신검진동행휴가'를 사용할 수 있습니다.
 남성 공무원은 배우자의 임신검진에 동행하기 위해 10일의 범위에서 특별휴가를 사용할 수 있습니다.</t>
  </si>
  <si>
    <t>제15조(특별휴가) ⑧항</t>
  </si>
  <si>
    <t>제15조(특별휴가) ⑧ 남성공무원은 배우자의 임신검진에 동행하기 위하여 10일의 범위에서 임신검진동행휴가를 사용할 수 있다.</t>
  </si>
  <si>
    <t>자녀가 3명인데 자녀돌봄휴가는 며칠 쓸 수 있어?</t>
  </si>
  <si>
    <t>「지방공무원 복무규정」 제7조의7 제10항에 따라 자녀돌봄휴가(가족돌봄휴가 중 자녀 관련)의 유급 일수는 "자녀 수 + 1일"입니다.
 따라서 자녀가 3명인 경우 4일을 유급으로 사용할 수 있습니다</t>
  </si>
  <si>
    <t>지방공무원 복무규정</t>
  </si>
  <si>
    <t>제7조의7(특별휴가) ⑩항</t>
  </si>
  <si>
    <t>제7조의7(특별휴가)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t>
  </si>
  <si>
    <t>공공기관 위탁시 시의회 동의 예외사항</t>
  </si>
  <si>
    <t>공공기관에 사무 위탁시 시의회 동의 예외사항은 「부산광역시 사무의 공공기관 위탁·대행에 관한 조례」 제7조제1항 각 호에 규정되어 있습니다. 특히 최근(2025. 10. 1.) 개정사항이 있으므로 변경사항에 대한 확인이 필요합니다.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</si>
  <si>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「부산광역시 사무의 공공기관 위탁·대행에 관한 조례」 제7조제1항 각 호</t>
  </si>
  <si>
    <t>「부산광역시 사무의 공공기관 위탁·대행에 관한 조례」</t>
  </si>
  <si>
    <t>조례 내용 인용</t>
  </si>
  <si>
    <t>공공기관 위탁사업비 정산보고 및 반납에 대한 절차 규정</t>
  </si>
  <si>
    <t>공공기관 위탁사업비 정산보고 및 반납에 관해서는 「부산광역시 공공기관의 출연금, 전출금 및 위탁사업비 정산에 관한 조례」 제8조에 규정되어 있습니다.
 - 공공기관의 장은 회계연도가 끝났거나, 위탁사업비 교부 목적사업을 완료한 경우 그 사유가 발생한 날부터 2개월 이내에 위탁사업비 정산보고서를 제출하여야 하며,
 - 정산 결과 집행잔액이 발생한 경우 집행잔액과 발생이자를 시에 반납하여야 합니다.</t>
  </si>
  <si>
    <t>「부산광역시 공공기관의 출연금, 전출금 및 위탁사업비 정산에 관한 조례」</t>
  </si>
  <si>
    <t>조례 내용 인용 8조(출연금 등의 정산보고 및 반납)</t>
  </si>
  <si>
    <t>개인정보 보호책임자와 관리책임자의 범위와 역할</t>
  </si>
  <si>
    <t>개인정보 보호책임자 및 관리책임자는 다음과 같습니다.
 - 개인정보 보호법 제31조와 같은 법 시행령 제32조에 따라 개인정보의 처리에 관한 업무를 총괄해서 책임질 개인정보 보호책임자는 행정자치국장입니다.
 - 개인정보처리자는 제1항에 따른 개인정보 보호책임자를 보좌하기 위하여 분야별 개인정보 관리책임자(이하 “분야별 관리책임자”이라 한다)를 지정․운영하여야 하며, 분야별 관리책임자는 다음 각 호와 같습니다.
  1. 시정 통합홈페이지 분야 : 홍보담당관
  2. 지방 재정관리 분야 : 예산담당관
  3. 지방 세정관리 분야 : 세정정책담당관
  4. 영상정보 분야 : 자연재난과장
  5. 가명정보 및 추가정보 분야 : 빅데이터과장
  6. 상수도 분야 : 상수도사업본부 경영지원부장
  7. 소방 분야 : 소방재난본부 119종합상황실장
  8. 그 외 : 소관업무 부서장
 _ 분야별 관리책임자는 개인정보 보호책임자의 업무를 보좌하여 소관 부서의 개인정보보호 업무를 총괄합니다.</t>
  </si>
  <si>
    <t>2508_정보화정책과_업무매뉴얼_정보화정책과_부산광역시_개인정보_내부_관리계획.pdf</t>
  </si>
  <si>
    <t>본문 내용 인용 제6조(개인정보 보호책임자의 지정)</t>
  </si>
  <si>
    <t>개인정보의 안전한 파기를 위해 개인정보처리자가 지켜야할 절차</t>
  </si>
  <si>
    <t>개인정보처리자는 개인정보의 안전한 파기를 위하여 개인정보 파기계획을 수립하여야 합니다. 다만, 내부관리 계획이 수립되어 있으므로 별도의 파기계획 수립없이 아래의 계획에 따라 개인정보 파기를 계획·시행할 수 있습니다.
 - 개인정보의 보유기간의 종료일과 처리 목적 달성, 해당 서비스의 폐지, 사업의 종료 등으로 그 개인정보의 처리가 불필요하게 된 경우에는 정당한 사유가 없는 한 5일 이내에 개인정보를 파기 (단, 『공공기록물 관리에 관한 법률』등 다른 법령에서 보존해야 하는 경우에는 예외로 하며, 예외로 보존해야하는 개인정보는 다른 개인정보와 분리하여 저장․관리)
 - 개인정보처리자는 파기 사유가 발생한 개인정보파일을 선정하고 개인정보보호 책임자의 승인을 득한 뒤 개인정보를 파기(단, 개인정보파일 파기가 아닌 개인정보파일 내 일부 개인정보는 개별 사유(인사 이동, 회원 탈퇴 등)에 의해 시스템을 통해 자동 삭제되므로 별도 파기계획을 수립하지 않음)
 - 개인정보파일 일제정비 시 보유하고 있는 업무용 단말 내 개인정보파일을 점검하고 파기
 - 개인정보 위탁 용역사업의 경우, 용역사업 종료와 동시에 용역업체가 별도관리하는 개인정보파일을 파기하고 그 현황을 관리</t>
  </si>
  <si>
    <t>22, 23, 24</t>
  </si>
  <si>
    <t>본문 내용 일부 인용</t>
  </si>
  <si>
    <t>실내정원을 조성하는 필수적인 환경요인은 뭐야?</t>
  </si>
  <si>
    <t>1. 광(빛) : 최소광도 150lux 이상, 생장광도 500lux 이상
 2. 관수: 여름철 1회/10일, 겨울철 2회/20일
 3. 온도: 여름철 30도 이하, 겨울철 10도 이하
 4. 수분: 관엽식물류 60~65%
  수분과다(70% 이상) 회색 곰팡이 잎 썩음
  발생 주의</t>
  </si>
  <si>
    <t>2025년 생활정원 조성사업 매뉴얼(산림청)</t>
  </si>
  <si>
    <t>본문 그대로 인용</t>
  </si>
  <si>
    <t>작년 예산서 보는 방법 알려줘
 &gt;&gt; 근거자료 미제출</t>
  </si>
  <si>
    <t>특정년도 예산서 확인하는 방법
 - 접속경로 : 행정포털-지방재정(e호조+)-예산관리-예산편성-예산서관리-합본예산서(15100)
 - 회계연도 선택 가능, 타부서 예산서도 확인 가능</t>
  </si>
  <si>
    <t>차세대 지방재정 관리시스템 
 예산편성(예산부서) 매뉴얼</t>
  </si>
  <si>
    <t>98, 99</t>
  </si>
  <si>
    <t>○ 작업절차
 ① 합본예산서를 출력할 조회 조건 선택- “회계유형선택” 항목에서 회계유형을 선택하면 일반회계, 기타특별회계, 등의 유
 형별 출력이 가능하고 회계구분을 선택하면 개별 회계를 선택해 출력할 수 있다.- 예산구분선택에 ☑체크하면 가장 최근 미확정된 차수가 기본으로 설정되며 예산구분, 금액구분 별로 출력할 수 있다.</t>
  </si>
  <si>
    <t>입법진행현황 확인하는 방법 알려줘</t>
  </si>
  <si>
    <t>국민참여입법센터(https://opinion.lawmaking.go.kr/) 접속
 - 입법진행현황에서 정부 입법현황과 국회입법현황 확인 가능</t>
  </si>
  <si>
    <r>
      <rPr>
        <rFont val="&quot;맑은 고딕&quot;"/>
        <color rgb="FF1155CC"/>
        <sz val="11.0"/>
        <u/>
      </rPr>
      <t>https://opinion.lawmaking.go.kr/</t>
    </r>
  </si>
  <si>
    <t>본문(홈페이지) 내용 인용
 &gt;&gt; 이 내용은 간단한 질문 FAQ 등에 정리되어 있어야 답변 가능할거 같은데 확인 바랍니다.</t>
  </si>
  <si>
    <t>시의회 회의록 찾는 법 알려줘</t>
  </si>
  <si>
    <t>부산광역시의회(https://council.busan.go.kr/) 접속
 - 회의록-전체회의록 접속 시, 제1대(1991.7.8.~1995.6.30.)부터 회기별 회의록 확인 가능</t>
  </si>
  <si>
    <r>
      <rPr>
        <rFont val="&quot;맑은 고딕&quot;"/>
        <color rgb="FF1155CC"/>
        <sz val="11.0"/>
        <u/>
      </rPr>
      <t>https://council.busan.go.kr/</t>
    </r>
  </si>
  <si>
    <t>한글 배포용 문서 편집해서 쓰는 법 알려줘</t>
  </si>
  <si>
    <t>한글 배포용 문서 변환기 사용
 (https://openhwp.azurewebsites.net/)
 - 파일 변환하여 편집 가능상태로 사용가능</t>
  </si>
  <si>
    <r>
      <rPr>
        <rFont val="&quot;맑은 고딕&quot;"/>
        <color rgb="FF1155CC"/>
        <sz val="11.0"/>
        <u/>
      </rPr>
      <t>https://openhwp.azurewebsites.net/</t>
    </r>
  </si>
  <si>
    <t>저번달 초과근무 몇시간 했는지 알려줘</t>
  </si>
  <si>
    <t>행정포털-차세대인사-복무관리-초과근무현황에서 기간 설정하여 월별 초과근무현황 확인가능</t>
  </si>
  <si>
    <t>없음</t>
  </si>
  <si>
    <t>저작권 걱정 없는 무료 폰트(글꼴) 쓸 수 있는 방법 알려줘</t>
  </si>
  <si>
    <t>공유마당(https://gongu.copyright.or.kr/) 접속
 - 안심 글꼴파일 서비스에서 민간 및 공공 안심글꼴 사용가능</t>
  </si>
  <si>
    <r>
      <rPr>
        <rFont val="&quot;맑은 고딕&quot;"/>
        <color rgb="FF1155CC"/>
        <sz val="11.0"/>
        <u/>
      </rPr>
      <t>https://gongu.copyright.or.kr/</t>
    </r>
  </si>
  <si>
    <t>2026년 의회 회기 일정 알려주세요</t>
  </si>
  <si>
    <t>제333회 임시회 : 1.26.(월)～2.6.(금)
 제334회 임시회 : 3.11.(수)～3.24.(화)
 제335회 임시회 : 4.23.(목)～4.29.(수)
 제336회 정례회 : 6. 9.(화)～6.23.(화)
 제337회 임시회 : 7. 6.(월) - 제10대 의회 전반기 원구성
 제338회 임시회 : 7.14.(화)～7.28.(화)
 제339회 임시회 : 8.28.(금)～9.11.(금)
 제338회 정례회 : 11. 3.(화) ～12.15.(화)</t>
  </si>
  <si>
    <t>2511_기획담당관_업무매뉴얼_기획담당관_2026년_회기운영_계획.pdf</t>
  </si>
  <si>
    <t>2026년 부산광역시의회 회기운영 계획</t>
  </si>
  <si>
    <t>오늘이 자동차세 납부기한인데 고지서가 없어요. 납부할 수 있는 방법이 있나요?</t>
  </si>
  <si>
    <t>위택스(www.wetax.go.kr) 및 스마트위택스(앱)
 은행 인터넷뱅킹(앱) : 세금/공과금 메뉴
 은행 ATM기 : (본인) 카드, 통장 등</t>
  </si>
  <si>
    <r>
      <rPr>
        <rFont val="&quot;맑은 고딕&quot;"/>
        <color rgb="FF1155CC"/>
        <sz val="11.0"/>
        <u/>
      </rPr>
      <t>https://www.wetax.go.kr/tcp/wtg/J040104M01.do</t>
    </r>
  </si>
  <si>
    <t>다양한 지방세 납부방법</t>
  </si>
  <si>
    <t>우리 시에서 시행하고 있는 끼인세대를 위한 지원 사업에 대해서 알려줘</t>
  </si>
  <si>
    <t>일자리
 ❶ 인생 2막을 위한 자격증 취득 지원
 ❷ 끼인세대 인생 제2막 컨설팅 지원사업
 ❸ 스마트 돌봄 인력양성
 ❹ 일하는 엄마·아빠 찾아가는 상담 지원
 ❺ 경력단절여성 구직활동 지원금
 ❻ 4050 채용 촉진 지원사업
 역량개발·교육
 ❶ 직장인 직업역량 강화 프로그램
 ❷ 끼인세대 경력단절여성 특화 취·창업 프로그램
 ❸ 끼인세대 자기개발 프로그램 운영
 ❹ 교육 설계 지원 서비스
 주거안정·금융
 ❶ 부산주거포털: 맞춤형 주거지원 서비스 플랫폼 운영
 ❷ 끼인세대를 위한 희망더함주택 입주 기회 확대
 ❸ 전세보증금 반환보증 보증료 지원사업
 ❹ 끼인세대 이사비용 지원
 ➎ 폐업소상공인 대상 희망두배통장 지원사업
 문화·여가
 ❶ 부산형 어린이 패스트트랙
 ❷ 공연예술관람 시 영유아 돌봄서비스 제공
 ❸ 소상공인 및 중소기업 종사자 공연예술 관람 지원
 ❹ 끼인세대 대상 문화예술교육 프로그램 운영
 ❺ 끼인세대 문화·여가 동아리 활동 지원
 ❻ 가족이 함께하는 공연 관람 운영
 ➐ 끼인세대(50+) 맞춤형 자원봉사 교육 및 프로그램 운영
 출산·양육
 ❶ 가족친화인증기업 확대
 ❷ 부산형 산후조리비 지원
 ❸ 어린이 대중교통요금 무료 지원
 ❹ 출산·양육 정보 한눈에, 양육 포털 통합 및 개선
 ❺ 부모 방과후 돌봄 공동체 지원
 ❻ 바람솔솔 놀이터 조성
 노후준비·건강
 ❶ 건강생활 실천 통합건강증진 프로그램
 ❷ 마음돌봄 디지털 플랫폼 홍보 및 활성화
 ❸ 노후준비를 위한 자산관리 교육프로그램 운영
 ❹ 생애재설계 및 노후 준비 교육: 인생 리모델링 프로젝트</t>
  </si>
  <si>
    <t>2510_일자리노동과_업무매뉴얼_일자리노동과_제1차_부산광역시_끼인세대_지원_종합계획_2025_2028_-배포용.pdf</t>
  </si>
  <si>
    <t>본문 내용 그대로 인용
 13P 표 내용 참조</t>
  </si>
  <si>
    <t>난임부부 시술비 지원사업에 대해서 알려줘</t>
  </si>
  <si>
    <t>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t>
  </si>
  <si>
    <t>부산광역시 홈페이지-분야별 정보-건강-건강지원사업-난임부부 지원</t>
  </si>
  <si>
    <r>
      <rPr>
        <rFont val="&quot;맑은 고딕&quot;"/>
        <color rgb="FF1155CC"/>
        <sz val="11.0"/>
        <u/>
      </rPr>
      <t>https://www.busan.go.kr/depart/health02</t>
    </r>
  </si>
  <si>
    <t>페이지 내용 그대로 인용</t>
  </si>
  <si>
    <t>시청사 견학을 하려면 어떻게 신청을 해야하는지 알려줘</t>
  </si>
  <si>
    <t>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t>
  </si>
  <si>
    <t>부산광역시 홈페이지-부산소개-부산시청 안내-시청사 견학</t>
  </si>
  <si>
    <r>
      <rPr>
        <rFont val="&quot;맑은 고딕&quot;"/>
        <color rgb="FF1155CC"/>
        <sz val="11.0"/>
        <u/>
      </rPr>
      <t>https://www.busan.go.kr/bhvisit</t>
    </r>
  </si>
  <si>
    <t>각 아파트 별로 화재시 대피요령과 대피장소가 자세히 나와있는 사이트 알려줘</t>
  </si>
  <si>
    <t>119부산광역시소방재난본부 홈페이지에서는 아파트 이름을 검색하면, 아파트 화재안전 정보를 한눈에 볼 수 있는 사이트를 운영하고 있다.</t>
  </si>
  <si>
    <t>119부산광역시소방재난본부-우리 아파트 화재안전 한누에 보기</t>
  </si>
  <si>
    <r>
      <rPr>
        <rFont val="&quot;맑은 고딕&quot;"/>
        <color rgb="FF1155CC"/>
        <sz val="11.0"/>
        <u/>
      </rPr>
      <t>https://119.busan.go.kr/safeapt/safeapt01</t>
    </r>
  </si>
  <si>
    <t>페이지 내용 요약</t>
  </si>
  <si>
    <t>우리집 가정 수돗물이 깨끗한지 알고 싶은데 무료 점검을 받을 수 있는 방법 알려줘</t>
  </si>
  <si>
    <t>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t>
  </si>
  <si>
    <t>부산광역시 상수도사업본부-요금/민원서비스-무료점검-무료점검소개</t>
  </si>
  <si>
    <r>
      <rPr>
        <rFont val="&quot;맑은 고딕&quot;"/>
        <color rgb="FF1155CC"/>
        <sz val="11.0"/>
        <u/>
      </rPr>
      <t>https://www.busan.go.kr/water/hdocoverview</t>
    </r>
  </si>
  <si>
    <t>개인정보 보호를 위한 매뉴얼이 있으면 알려줘</t>
  </si>
  <si>
    <t>개인정보 유출 등 사고대응 매뉴얼, 개인정보 처리방침, 개인정보 내부 관리계획, 개인정보 처리 위탁관리 업무 매뉴얼, 개인정보의 목적 외 이용 및 제3자 제공 지침 등이 있습니다.</t>
  </si>
  <si>
    <t>개인정보 유출 등 사고대응 매뉴얼
 개인정보 처리방침
 개인정보 내부 관리계획
 개인정보 처리 위탁관리 업무 매뉴얼
 개인정보의 목적 외 이용 및 제3자 제공 지침</t>
  </si>
  <si>
    <t>관련 매뉴얼 제목만 인용
 &gt;&gt; 관련 매뉴얼이 많은데 부기 주무관 답변으로는 매뉴얼이 없다고 나옴</t>
  </si>
  <si>
    <t>워크숍을 개최하면서 초청인사 식비, 기념품, 발대식 민간인 물품을 행사운영비로 집행가능해?
 &gt;&gt; 자료 미제출</t>
  </si>
  <si>
    <t>1. 행사운영비는 행사운영을 위한 초청장, 홍보유인물, 현수막 등 구입만 가능
 가. 초청인사 식비는 행사실비보상금 또는 업무추진비로 집행
 나. 기념품은 공직선거법 위배로 사전검토필요
 다. 민간인 물품은 대여하는 조건을 집행</t>
  </si>
  <si>
    <t>알기쉬운 2024년 회계실무</t>
  </si>
  <si>
    <t>p4</t>
  </si>
  <si>
    <t>정원용 자생식물 추천해 줄 수 있어?
 &gt;&gt; 행정업무랑 상관없는 질문, 답변에 대한 정리된 내용이 해당 파일에 없음</t>
  </si>
  <si>
    <t>정원용 자생식물은 식물의 특성 및 생육환경에 따라 다른데 수형, 향기, 개화시가, 광조건, 습도, 배수, 내한성이 중요함
 1. 한국수목정원관리원에서 추천하는 정원용 자생식물 200선을 지역에 맞추어 선정가능</t>
  </si>
  <si>
    <t>한수정이 추천하는 정원용 자생식물 200선</t>
  </si>
  <si>
    <t>p5</t>
  </si>
  <si>
    <t>민원인의 위법행위에 대한 법적대응 방안 중 입건 전 조사는 어떻게 진행하는 거야?</t>
  </si>
  <si>
    <t>경찰관이 현장에 출동하여 범죄를 의심할 만한 정황이 있는지 확인하고 필요한 경우 사건관계인 등의 진술을 받고, 증거물을 조사함
 ※ 경찰관은 가해자가 떨어뜨리거나, 소유자, 보관자 등이 제출하는 데 동의한 물건을 임의 압수 
 ※ cctv, 웨어러블캠, 녹음전화의 영상, 녹음자료 등 영장이 필요한 증거자료는 추후 공문으로 증거제출을 요구하게 됨</t>
  </si>
  <si>
    <t>민원인의 위법행위에 대한 법적 대응 방안</t>
  </si>
  <si>
    <t>국외출장 시 식비지급은 어떻게 되나요?
 &gt;&gt; 근거자료 미흡, 기존 골든셋에 관련 내용 포함으로 제외</t>
  </si>
  <si>
    <t>공무원 여비규정에 따라 지역별/직급별로 $186~$37까지 지급가능.
 다만 부산광역시 공무국외 기본계획에 의거 출국일 탑승 전 식수와 귀국일 도착 후 식수는 제외</t>
  </si>
  <si>
    <t>748_국제협력과 '2025년공무국외출장 기본계획'</t>
  </si>
  <si>
    <t>10p</t>
  </si>
  <si>
    <t>○ 출장경비 절감을 위한 노력 고려
  - 식비 계산 시 식수(1일 3식) 계산, 출국일 탑승 전 식수, 
  귀국일 도착 후 식수 제외</t>
  </si>
  <si>
    <t>산에서 조난시 내 위치를 119에 어떻게 알려줘야 하나요?
 &gt;&gt; 근거자료 미흡</t>
  </si>
  <si>
    <t>1.정의 
  - 국토 및 이와 인접한 해양을 격자형으로 일정하게 구획한 지점마다 부여한 번호(도로명주소법 제2조 제9호)
  ※ 국가지점번호는 전 국토의 위치안내 및 표시방식을 통일하여 재난재해 등 긴급상황에서 신속한 대응 및 대국민 위치안내서비스 제공 등 국가안전망 구축
 2. 표기 
  - 100km 단위는 문자를 사용하고 이하부터는 가로와 세로를 각각 10,000으로 나눈 정수를 연결하여 사용(도로명주소법 시행령 제37조 제2항)
  ※ 설악산대청봉 : 라아 8485 1333(기준점에서 동쪽 384.85km, 북쪽 713.33km지점)</t>
  </si>
  <si>
    <t>도로명주소법 제8조의5 참조
  (국가지점번호판 규격 등 고시 참조)</t>
  </si>
  <si>
    <t>산악·해안 등 건물 및 도로 등이 없는 지역의 위치표시로써 재난·사고 등 응급상황 발생시 신속한 위치안내와 인명구조 등 관계기관 공동 활용</t>
  </si>
  <si>
    <t>산업단지계획 수립 시 환경영향평가 협의를 해야하는데 관련 절차가 어떻게 되는지 알려주세요
 &gt;&gt;근거자료 미제출</t>
  </si>
  <si>
    <t>□ 환경영향평가 협의절차
 ○ 전략환경영향평가
 1. 평가협의회 구성·운영
 2. 평가서 초안 작성
 3. 주민 등 의견수렴(초안협의)
 4. 전략평가서 작성·협의
 ○ 환경영향평가
 1. 평가협의회 구성·운영(전략환경평가시 평가관련 Scoping한 경우 생략가능)
 2. 평가서 초안 작성
 3. 주민 등 의견수렴(초안협의)
 4. 평가서 작성·협의
 5. 협의내용 관리</t>
  </si>
  <si>
    <t>2101_산업입지과_부산산업단지 지원시스템_산업단지 개발·관리 업무편람</t>
  </si>
  <si>
    <t>51p</t>
  </si>
  <si>
    <t>본문 내용 표 인용(환경영향평가법)</t>
  </si>
  <si>
    <t>산업단지계획 수립 완료 후 토지 등에 대한 보상을 해야 공사시행을 할 수 있는데 보상절차에 대해 알려주세요
 &gt;&gt; 근거자료 미제출</t>
  </si>
  <si>
    <t>□ 토지수용 절차
 1. 토지조서 및 물건조서 작성(사업시행자)
 2. 보상계획 공고, 통지열람, 이의제기
 3. 보상협의회 설치
 4. 협의(계약체결 시 종료, 협의불성립 시 아래 계속)
 5. 재결신청
 6. 재결신청서 공고, 열람, 의견제출
 7. 심리, 재결
 8. 보상금 지급 또는 공탁
 9. 이의신청
 10. 이의신청에 대한 재결
 11. 행정소송 제기</t>
  </si>
  <si>
    <t>74P</t>
  </si>
  <si>
    <t>본문 내용 표 인용(공익사업을 위한 토지 등의 취득 및 보상에 관한 법률)</t>
  </si>
  <si>
    <t>사법경찰</t>
  </si>
  <si>
    <r>
      <rPr>
        <rFont val="&quot;맑은 고딕&quot;"/>
        <color rgb="FF000000"/>
        <sz val="11.0"/>
      </rPr>
      <t xml:space="preserve">◎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
</t>
    </r>
    <r>
      <rPr>
        <rFont val="&quot;맑은 고딕&quot;"/>
        <color rgb="FF0000FF"/>
        <sz val="11.0"/>
      </rPr>
      <t>&gt;&gt; [25.12.29 - 김상돈]
15페이지의 경우 이미지로 답변 불가</t>
    </r>
  </si>
  <si>
    <r>
      <rPr>
        <rFont val="&quot;맑은 고딕&quot;"/>
        <color rgb="FF000000"/>
        <sz val="11.0"/>
      </rPr>
      <t xml:space="preserve">10, </t>
    </r>
    <r>
      <rPr>
        <rFont val="&quot;맑은 고딕&quot;"/>
        <strike/>
        <color rgb="FFFF0000"/>
        <sz val="11.0"/>
      </rPr>
      <t>15</t>
    </r>
  </si>
  <si>
    <t>코리아메일(korea.kr)로 수신된 대용량 파일이 다운로드 되지않아요. 어떻게 해야하나요?</t>
  </si>
  <si>
    <t>업무용 자료는 국외에서 제공하는 서비스를 이용한 수발신이 불가하여, 국내에서 제공하는 서비스를 이용하여야 합니다.
 따라서 발신자는 네이버, 다음, 네이트의 메일로 대용량 파일을 전송하면 코리아메일로 수신 시 파일다운로드가 가능합니다.</t>
  </si>
  <si>
    <t>2412_사이트 접속차단 관련 안내(시도행정포털(업무게시판) 게시물)</t>
  </si>
  <si>
    <t>상용메일, 클라우드, 웹오피스등의 사이트는 비공개 업무자료의 외부 유출의 위험성이 있어, 국가정보보안 기본지침 제66조 및 제74조에 따라 해당 사이트의 접속을 차단하게 되었으며, 또한 개인정보의 안전성 확보를 위한 기술적 관리적 조치 의무사항에 따라, 인터넷 파일 공유 기능을 통한 직원의 실수 또는 고의로 개인정보가 유출될 수 있는 위험성이 있는 사이트를 차단하게 되었으니, 업무에 참고하시기 바랍니다.</t>
  </si>
  <si>
    <t>이호조 지출품의 시 온나라 연계기안 안하고 지출품의 결재가 완료되었을때 이호조 연계방법이 있나요?
 &gt;&gt; 근거 조례로 기대답변 생성 불가능</t>
  </si>
  <si>
    <t>연계기안을 누락하고 온나라 결재가 완료되었을때 이호조에 수동으로 결재문서를 등록하여 지출품의하는 방법이 있습니다.
 1. 이호조에서 지출품의결재요청(21101)에서 결재요청을 하여 온나라 문서연계를 한다.
 2. 온나라에서 연계문서로 넘어온 문서를 반송처리한다.
 3. 지출품의결재목록(21102)에서 지출품의한 해당건을 더블클릭한다.
 4. 해당건이 열리면 하단 [수기등록]을 클릭하여 온나라에서 결재완료된 문서(공문, 붙임)파일을 첨부문서에 추가한다.
 5. 문서대호를 입력하고 결재요청한다.
 6. 지출품의승인내역등록(21103)에서 원인행위등록요청한다.
 7. 회계과의 승인 후 지출결의요청목록(21401)에서 해당건을 클릭하여 지출결의요청등록한다.</t>
  </si>
  <si>
    <t>2507_부산광역시 회계관리에 관한 규칙</t>
  </si>
  <si>
    <t>본문내</t>
  </si>
  <si>
    <t>제4조(예산집행품의) ① 시장은 다음 각 호의 사항을 부시장, 실·국장, 과장·담당관 및 팀장으로 하여금 각각 위임전결하게 할 수 있다.</t>
  </si>
  <si>
    <t>인사랑 접속 안되는데, 출퇴근 입력방법 알려주세요</t>
  </si>
  <si>
    <t>(출퇴근 입력자 본인) 중앙 시스템 접속 및 긴급 출·퇴근 기록 처리
  - 접속 URL : https://insarang.go.kr:7443
  - 비상출퇴근 → 소속, 부서, 성명 등 정보를 입력 → 출·퇴근 기록([출근확인] 또는 [퇴근확인] 버튼 클릭)</t>
  </si>
  <si>
    <t>2501_인사과_표준지방인사정보시스템(차세대인사랑) 일시 중단 안내</t>
  </si>
  <si>
    <t>복무 긴급 출퇴근 처리 이용방법</t>
  </si>
  <si>
    <t>2026년 조례규칙심의회 개최예정일 알려주세요</t>
  </si>
  <si>
    <t>2월 12일(목), 3월 30일(월), 5월 4일(월), 6월 29일(월), 8월 3일(월), 10월 19일(월), 12월 21일(월) * 부산광역시의회 회기운영 계획 변경, 그 밖의 사정에 따라 변경 가능</t>
  </si>
  <si>
    <t>2512_법무담당관실_2026년 조례규칙심의회 개최 연간계획 알림</t>
  </si>
  <si>
    <t>2026년 조례규칙심의회 연간계획</t>
  </si>
  <si>
    <t>낙동강 생태공원에서 행사를 하고 싶은데 공원 이용하려면 어떻게 해야 돼?
 &gt;&gt; 관련 근거로 답변(전화번호 등) 생성 불가</t>
  </si>
  <si>
    <t>우리 시 관할 낙동강변 공원에서 행사에 이용할 수 있는 생태공원은 총 4곳이야. 화명생태공원, 삼락생태공원, 대저생태공원, 맥도생태공원이 그곳이지. 이들 생태공원을 관리하는 부서가 부산광역시낙동강관리본부이고.
 이곳 생태공원의 축구장 등 체육시설이나 다목적광장 등 광장을 이용하고 싶으면 우선 각 시설의 담당자에게 사용하고자 하는 날짜에 사용하고자 하는 시설이 비어 있는지 확인부터 하는 게 좋아.
 먼저 각 담당자의 연락처를 알려줄게. 부서는 낙동강관리본부 공원관리부 공원관리팀 소관이야.
 4개 공원의 축구장 등 유료체육시설은 051-310-6022 
 그 밖에 광장 등 무료시설은 각 공원별 관리소장에게 전화하면 돼. 
 각 공원의 전화번호는 다음과 같아.
 화명생태공원 051-310-6029 
 삼락생태공원 051-310-6027
 대저생태공원과 맥도생태공원 051-310-6026
 해당 날짜에 해당 장소가 사용이 가능하면, 공문으로 신청하면 돼.
 공문에는 다음의 서류가 첨부되어야 해.
 1. 이용시설 이용허가 신청서
 2. 하천점용허가 신청서
 3. 행사 계획서
 4. 안전관리계획서(필요시)
 다음으로 각 서류에 대해서 설명해 줄게.
 1. 이용시설 이용허가 신청서는 「부산광역시 낙동강 생태공원 보전 및 운영에 관한 조례 시행규칙」 제2조의 별지 제1호서식
 2. 하천점용허가 신청서는 「하천법 시행규칙」 제17조의 별지 제29호서식
 하천점용허가 신청서는 왜 필요하냐구? 여기가 사실 하천구역이잖아. 그래서 행사를 위해 천막이나 무대 등을 설치하게 되면 하천구역을 점용하는 것이기 때문에 허가를 받아야 하는 거야. 하천점용허가의 일부 업무가 우리 시로 위임이 되어 있어서 낙동강유역환경청이 아닌 낙동강관리본부로 신청하면 돼.
 3. 행사 계획서는 기본이겠지. 행사계획 결재 받은 보고서를 첨부하면 돼.
 4. 안전관리계획서는 「재난 및 안전관리 기본법」 제66조의11 및 같은 법 시행령 제73조의9에 따라 순간 최대관람객이 1천명 이상이 될 것으로 예상될 때 등의 경우에 수립해야 해.
 위의 서류를 제출하면 낙동강관리본부에서는 공원 이용시설 이용허가와 하천점용허가를 해 주게 돼. 단, 허가를 해 줄 때는 조건이 있겠지? 
 허가조건을 잘 준수해서 행사를 진행하면 돼.
 참, 이용료는 무료야. 「부산광역시 낙동강 생태공원 보전 및 운영에 관한 조례」 제12조에 따라 지방자치단체가 주관하는 행사는 이용료가 면제되니까 이용료 걱정 없이 이용하면 돼.</t>
  </si>
  <si>
    <t>법령 및 자치법규
 「재난 및 안전관리 기본법」 
 「하천법 」
 「부산광역시 낙동강 생태공원 보전 및 운영에 관한 조례」</t>
  </si>
  <si>
    <t>「하천법」 제33조(하천의 점용허가 등) ①하천구역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「하천법 시행령」 제34조(점용허가의 신청 등) ① 법 제33조제1항에 따른 허가(이하 “하천점용허가”라 한다)를 받으려는 자는 기후에너지환경부령으로 정하는 하천점용허가신청서를 하천관리청에 제출(전자문서를 통한 제출을 포함한다)하여야 한다.
 「하천법 시행규칙」 제17조(하천점용허가의 신청 등) ① 영 제34조제1항에 따른 하천점용허가신청서는 별지 제29호서식의 하천점용허가 신청서에 따르되, 별표 4의 서류를 첨부하여야 한다.
 「재난 및 안전관리 기본법」 제66조의11(지역축제 개최 시 안전관리조치) ① 중앙행정기관의 장 또는 지방자치단체의 장은 대통령령으로 정하는 지역축제를 개최하려면 해당 지역축제가 안전하게 진행될 수 있도록 지역축제 안전관리계획을 수립하고, 그 밖에 안전관리에 필요한 조치를 하여야 한다. 다만, 다중의 참여가 예상되는 지역축제로서 개최자가 없거나 불분명한 경우에는 참여 예상 인원의 규모와 장소 등을 고려하여 대통령령으로 정하는 바에 따라 관할 지방자치단체의 장이 지역축제 안전관리계획을 수립하고 그 밖에 안전관리에 필요한 조치를 하여야 한다.
 「재난 및 안전관리 기본법 시행령」 제73조의9(지역축제 개최 시 안전관리조치) ① 법 제66조의11제1항 본문 및 같은 조 제3항에서 “대통령령으로 정하는 지역축제”란 각각 다음 각 호의 어느 하나에 해당하는 지역축제를 말한다. &lt;개정 2018. 1. 18., 2020. 6. 2., 2024. 3. 26.&gt;
 1. 축제기간 중 순간 최대 관람객이 1천명 이상이 될 것으로 예상되는 지역축제
 2. 축제장소나 축제에 사용하는 재료 등에 사고 위험이 있는 지역축제로서 다음 각 목의 어느 하나에 해당하는 지역축제
 가. 산 또는 수면에서 개최하는 지역축제
 나. 불, 폭죽, 석유류 또는 가연성 가스 등의 폭발성 물질을 사용하는 지역축제
 ② 법 제66조의11제1항 및 제3항에 따른 지역축제 안전관리계획(이하 “지역축제 안전관리계획”이라 한다)에는 각각 다음 각 호의 사항이 포함되어야 한다. &lt;개정 2018. 1. 18., 2020. 6. 2., 2024. 3. 26.&gt;
 1. 지역축제의 개요
 2. 해당 지역축제의 안전관리업무를 담당하는 사람 및 관리조직과 임무에 관한 사항
 3. 화재예방 및 다중운집 등에 따른 인명피해 방지조치에 관한 사항
 4. 안전관리인력의 확보 및 배치계획
 5. 비상시 대응요령, 담당 기관과 담당자 연락처
 ③ 법 제66조의11제1항 및 제3항에 따라 지역축제를 개최하려는 자가 지역축제 안전관리계획을 수립하려면 개최지를 관할하는 지방자치단체, 소방관서 및 경찰관서 등 안전관리 유관기관의 의견을 미리 들어야 한다.
 「부산광역시 낙동강 생태공원 보전 및 운영에 관한 조례」 제8조(이용허가) ① 낙동강 생태공원의 이용시설을 각종 경기 또는 체육행사나 그 밖의 행사 등의 목적으로 이용하려는 자는 시장의 이용허가를 받아야 한다. 허가받은 내용을 변경하는 경우에도 또한 같다.
 ② 제1항에 따라 이용허가를 받은 자가 임시 시설물 등을 설치하려면 시장의 승인을 받아야 하며, 이용기간이 종료한 때에는 임시 시설물 등을 철거하고 원상복구를 하여야 한다. 
 제12조(이용료의 감면 등) ① 시장은 다음 각 호의 어느 하나에 해당하는 경우에는 이용료를 면제할 수 있다.
 1. 국가 또는 지방자치단체가 주관하는 경기 또는 체육행사나 이에 준하는 행사 
 제14조(원상복구 등) ① 이용자의 책임 있는 사유로 이용시설이 파손되었을 경우에는 이용자가 원상복구하거나 그 손해를 즉시 배상하여야 한다.
 ② 이용시설의 이용자가 주관하는 행사 및 경기로 인하여 시설 내에서 사고가 발생하는 경우 그 책임은 이용자가 진다. 
 ③ 이용시설 이용자는 환경오염사고 및 안전사고 예방에 노력하여야 하며 이용기간중 이용자의 부주의로 인한 사건·사고 발생에 대하여는 이용자가 책임을 진다. 
 「부산광역시 낙동강 생태공원 보전 및 운영에 관한 조례 시행규칙」
 제2조(이용허가 신청) 「부산광역시 낙동강 생태공원 보전 및 운영에 관한 조례」(이하 “조례”라 한다) 제8조제1항에 따라 이용시설을 이용하려는 자는 별지 제1호서식의 이용시설 이용허가 신청서를 부산광역시낙동강관리본부장(이하 “본부장”이라 한다)에게 제출하여야 한다.</t>
  </si>
  <si>
    <t>안전지킴이</t>
  </si>
  <si>
    <t>출근하는 길인데 이 앞 터널에서 교통사고가 나서 정체가 매우 심해. 막히지 않는 빠른 길을 알고 싶어. 그리고 이걸 시민들에게도 알리고 싶은데 어디로 전화하면 돼?
 &gt;&gt; 근거자료 미제출</t>
  </si>
  <si>
    <t>출근길인데 교통사고라니, 마음이 많이 조급하겠다. 지각하면 안 되는데 말야. 어디로 가면 덜 막힐지 그리고 무슨 사고인지도 알고 싶을 테고. 그리고 다른 사람들도 이 사실을 빨리 알고 다른 길로 돌아갔으면 좋겠다는 그 마음 잘 알겠어.
 내가 만능 전화번호를 알려줄게.
 바로 부산광역시교통정보서비스센터 교통상황실의 051-600-0200이야.
 편하게 6000에 200콜이라고 부르기도 해.
 교통상황실에서는 주요도로와 터널, 교량에 설치되어 있는 1500여 대의 CCTV를 모니터링하면서 교통사고나 고장 차량, 공사 등의 돌발상황을 발견하게 되면 홈페이지, 모바일 앱, 트위터, 버스정보안내기, 교통정보전광판 등을 통해 그 정보를 시민들에게 제공하고 있어.
 교통상황실은 부산시 재난상황실, 경찰청 교통상황실, 부산소방본부, TBN교통방송, 부산시설공단, 그리고 각 터널, 지하차도, 교량의 상황실과 협력체계를 구축하여 서로 사고 등의 상황을 실시간으로 소통하고 있으니까 부산의 도로상의 돌발상황에 대해서는 가장 빠르고 정확하게 파악하고 또 여러 매체를 통해 시민들에게 서비스를 하고 있지.
 600-0200으로 전화하면 CCTV를 모니터링해서 실시간으로 우회도로를 안내해 주니까 편리하게 이용하도록 해.
 그리고 ‘부산교통정보’ 모바일 앱을 설치하면 주요도로 지정체 현황, 버스노선안내, 사고 등 돌발상황에 대해서 편리하게 알 수 있으니까 휴대전화에 설치하고 사용해 봐.
 마지막으로 버스정보안내기 고장신고나 신호등과 같은 교통안전시설물 고장신고도 600-0200으로 하면 돼.
 정말 만능 전화번호지?</t>
  </si>
  <si>
    <t>교통혁신국 행정사무감사자료</t>
  </si>
  <si>
    <t>229쪽</t>
  </si>
  <si>
    <t>□ 교통상황실 운영
  ○ 운영기간 : 연중무휴(운영개시일 : ’10.9.28.) 
  ○ 근무인원 : 상황실 전담 직원 7명(일반1, 시간선택제임기제 6)
  ○ 근무여건
  ­ (평 일) 07시~22시, 2교대 근무 ▹ 조별 3~4명
  ­ (토·공휴일) 10시~19시, 종일 근무 ▹ 2명
  ○ 담당업무
  ­ 부산지역 내 교통소통 상황, 돌발 상황, 반복 지·정체 상황 전파
  ­ 종합 교통정보 안내(600-0200) 및 민원 처리
 □ 교통정보 제공 서비스
  ○ 제공매체 : 홈페이지, 모바일 앱, ARS, 트위터, 120 콜센터, 버스정보안내기, 교통정보전광판 등
  ○ 제공정보 : 도로 소통 정보, 돌발사고정보, 버스 도착 정보, CCTV 영상정보 등</t>
  </si>
  <si>
    <t>심화 데이터 분석을 요청하고 싶은데 어떤 방식으로 추진되나요?
 &gt;&gt; 질문 관련 내용이 근거자료에 나와 있지 않아 유사도 낮을것으로 판단됩니다.</t>
  </si>
  <si>
    <t>빅데이터과 데이터 분석팀에서는 「부산광역시 데이터기반행정 활성화에 관한 조례」 제10조·제11조에 따라 데이터 기반의 의사결정 지원을 위해 데이터 분석사업 용역을 운영하고 있습니다.
 데이터 분석사업 용역은 연례 반복 추진되며, 매년 초에 신규 과제를 발굴하고 데이터 수급 및 규모에 따라 약 6개월 내외로 수행됩니다. 부서별 정책결정에 필요한 데이터 분석, 시각화 대시보드 개발, 데이터 현행화 체계 구축을 통해 과학적 행정을 구현하는 데 목적이 있습니다.</t>
  </si>
  <si>
    <t>2025년 데이터 분석사업 추진 계획</t>
  </si>
  <si>
    <t>2p</t>
  </si>
  <si>
    <t>- 2025년 기준 분석사업 추진 내용</t>
  </si>
  <si>
    <t>보고서 작성 시, 근거자료를 요청하고 싶은데 어떤 방식으로 추진되나요?</t>
  </si>
  <si>
    <t>빅데이터과 데이터 분석팀에서는 「부산광역시 데이터기반행정 활성화에 관한 조례」 제10조·제11조에 따라 정책 수립 시 근거 지원을 위해 데이터 분석 컨설팅 제도를 운영하고 있습니다.
 데이터 분석 컨설팅 제도의 경우에는 내부 분석 인력을 통해서 연중 수시로 비교적 간단한 분석의 경우에는 자체적으로 비예산으로 추진하고 있습니다. 부서 보유 데이터 또는 민간데이터의 활용 가능성 및 분석 방향 검토, 정책기획·현안 대응을 위한 수요 맞춤형 분석 자문을 제공하고 있습니다.</t>
  </si>
  <si>
    <t>2025년 데이터 분석 컨설팅 제도 운영 알림</t>
  </si>
  <si>
    <t>- 2025년 기준 분석 컨설팅 제도 추진 내용</t>
  </si>
  <si>
    <t>위원회</t>
  </si>
  <si>
    <t>위원회 정비기준을 알려줘</t>
  </si>
  <si>
    <t>행정안전부 지침상 위원회 정비기준은 다음과 같습니다.
 1. 미개최위원회
  가. 3년간 미개최 : 폐지
  나. 1년간 미개최 : 정비계획 수립 또는 활성화(연 3회이상 개최)
 2. 비효율위원회(연 3회미만 개최)
  가. 기능 유사, 중복 : 통폐합
  나. 기능 독립 : 폐지, 존속기한 설정, 비상설화, 협의체 전환(위원이 전부 내부공무원일 경우)</t>
  </si>
  <si>
    <t>행정안전부 위원회 정비 지침</t>
  </si>
  <si>
    <t>1, 2, 3, 4, 5</t>
  </si>
  <si>
    <t>행정안전부 위원회 정비 지침 본문 내용 인용</t>
  </si>
  <si>
    <t>위원회 정비방법을 알려줘
 &gt;&gt; 2P의 기본 방향 표 활용, 또는 전체 내용으로 해당 내용 생성 가능한지 판단 필요</t>
  </si>
  <si>
    <t>행정안전부 지침상 위원회 정비방법은 다음과 같습니다.
 1. 비상설화(권장) : 위원회 근거 조례에 비상설화 관련 문구 명시(ex. 위원회는 안건이 발생하면 구성하고, 심의∙의결 후 자동 해산한다.)
 2. 폐지 : 위원회 근거조례의 위원회 관련 조항 삭제를 통해 자체적으로 폐지
 3. 통폐합 : 통합하는 위원회의 근거 조례에 통합 관련 규정 신설 또는 폐지하는 위원회를 규정한 조례에 통합하는 위원회가 폐지되는 위원회의 기능을 대행한다는 조항 신설(ex. A위원회가 심의 또는 자문에 응할 사항에 대해서는 OOO조례에 따른 B위원회가 대신한다.)
 4. 존속기한 설정 : 위원회의 존속기한(최대 5년)을 조례에 명시(ex. 위원회의 존속기한은 2026년 12월 31일까지로 한다)
 5. 내부협의체 전환 : 위원회 근거 조례에 내부 공무원만 위원이 가능하도록 방법을 명시(ex. 위원은 부산광역시 소속 공무원 중에서 시장이 임명한다.)</t>
  </si>
  <si>
    <t>위원회 수당 및 여비 지급 기준을 알려줘</t>
  </si>
  <si>
    <t>부산광역시 소속 위원회 수당 및 여비 지급에 관한 조례에 따라 지급할 수 있는 수당 및 여비의 기준은 다음과 같습니다.
 1. 참석수당(직접 출석)
  가. 기본료(1일 2시간) 10만원
  나. 초과(2시간 이상시) 5만원 - 1일 1회만 지급 가능
 2. 참석수당(사이버위원회)
  가. 기본료(1일 2시간) 5만원
  나. 초과(2시간 이상시) 2만원 - 1일 1회만 지급 가능
 3. 심사수당(서면회의) : 건당 1만원
 4. 여비(위원회의 의결 또는 위원장에 명에 따라 출장하는 경우)
  가. 행정심판위원회, 소청심사위원회, 지방세심의위원회, 공직자윤리위원회, 인사위원회의 위원 : 3급 공무원에 상당하는 여비
  나. 그 밖의 위원회 위원 : 4급 공무원에 상당하는 여비
 단, 부산광역시 소속공무원인 위원이나 부산광역시의회 의원인 위원이 의원의 자격으로 참여하는 경우 지급하지 않음. 의원의 경우 회기가 아닌 경우 교통비, 식비를 실비 범위에서 지급 가능. 실비의 범위에서 지급하는 경우에는 반드시 증명자료를 받아서 첨부하여야 함</t>
  </si>
  <si>
    <t>부산광역시 소속 위원회 위원 수당 및 여비 지급에 관한 조례
 2026년도 예산편성계획</t>
  </si>
  <si>
    <t>제5조~제8조 및 별표
 44P</t>
  </si>
  <si>
    <t>제5조(수당) ① 위원회의 위원에게 지급하는 수당의 종류는 다음 각 호와 같고, 수당의 지급기준은 별표와 같다.
 1. 참석수당 : 위원회에 위원이 출석하여 심의·의결·자문 등을 하는 경우에 지급하는 수당
 2. 심사수당 : 서면심사 및 위원회의 위원장으로부터 의뢰를 받아 미리 자료를 수집하거나 회의 안건을 검토하여 위원회에 보고하는 경우에 지급하는 수당
 3. 그 밖에 운영에 필요한 수당
 ② 원거리에 거주하는 등 특별한 사유가 있는 경우 제1항제1호에 따른 참석수당 지급 시 교통비, 식비(급량비 기준 단가 적용), 숙박비를 실비의 범위에서 별도 지급할 수 있다.
 제6조(지급제외 등) 제5조에도 불구하고 다음 각 호의 어느 하나에 해당하는 경우에는 수당을 지급하지 아니한다.
 1. 부산광역시 소속 공무원인 위원이 위원회에 출석하거나 안건을 심사하는 경우
 2. 부산광역시의회의원인 위원이 의원의 자격으로 위원회에 출석하거나 안건을 심사하는 경우. 단, 부산광역시의회 회기가 아닌 경우에는 교통비 및 식비를 실비 범위에서 지급할 수 있다.
 제7조(여비) 부산광역시의회의원 또는 부산광역시 소속 공무원이 아닌 위원이 위원회의 의결 또는 위원장의 명에 따라 출장할 때에는 다음 각 호의 어느 하나에 해당하는 여비를 지급할 수 있다.
 1. 행정심판위원회·소청심사위원회·지방세심의위원회·공직자윤리위원회 및 인사위원회 위원 : 3급 공무원에 상당하는 여비
 2. 그 밖의 위원회 위원 : 4급 공무원에 상당하는 여비
 제8조(실비 등의 증명) 수당의 실비 및 그 밖에 운영에 필요한 수당을 지급하는 경우에는 이를 확인할 수 있는 증명자료를 위원으로부터 받아 첨부하여야 한다.
 4 운영수당(표) 내용 일체</t>
  </si>
  <si>
    <t>우리 부서에서 운영하는 심의회, 협의체 등도 부산광역시 소속 위원회 설치 및 운영에 관한 조례의 적용을 받는지 알려줘.</t>
  </si>
  <si>
    <t>부산광역시 소속 위원회 설치 및 운영에 관한 조례 제2조(정의) 및 제4조(적용대상)에 따라 조례를 적용받는 위원회는 다음과 같습니다.
 1. "위원회"란 위원회, 심의회, 협의회 등 명칭에 관계없이 시 소관 사무의 심의∙의결∙자문 등을 위해 복수의 구성원으로 이루어진 합의제 기관
 2. 법령이나 조례에 근거하여 시와 직속기관, 사업소에 설치 및 운영
 이 두가지를 만족하는 경우에는 부산광역시 소속 위원회 설치 및 운영에 관한 조례 및 부산광역시 소속 위원회 위원 수당 및 여비 지급에 관한 조례의 적용을 받습니다.</t>
  </si>
  <si>
    <t>부산광역시 소속 위원회 설치 및 운여에 관한 조례</t>
  </si>
  <si>
    <t>제2조, 제4조</t>
  </si>
  <si>
    <t>제2조(정의) 이 조례에서 사용하는 용어의 뜻은 다음과 같다.
 1. “위원회”란 위원회, 심의회, 협의회 등 명칭에 관계없이 부산광역시(이하 “시”라 한다) 소관 사무의 심의·의결·자문 등을 위해 복수의 구성원으로 이루어진 합의제 기관을 말한다.
 제4조(적용대상) 이 조례는 법령이나 조례에 근거하여 시와 직속기관 및 사업소에 설치 및 운영되는 위원회를 대상으로 한다.</t>
  </si>
  <si>
    <t>위원회의 위원을 모집할 떄 주의할 점을 알려줘.</t>
  </si>
  <si>
    <t>위원회의 위원은 당연직 위원과 위촉직 위원으로 나누어집니다. 당연직 위원이란 법령, 조례에 따라 해당 직위가 위원으로 지정된 위원을 말하며, 위촉직 위원이란 당연직 위원 외에 부산광역시장이 위촉하는 위원을 말합니다.
 또한 위촉직 위원을 모집하는 경우 아래사항을 주의해야합니다.
 1. 위촉직 위원은 3개 위원회를 초과하여 중복 참여할 수 없으며, 동일 위원회에서 6년을 초과하여 연임할 수는 없습니다. 위원 후보자의 위원회 참여 현황은 총괄부서(조직담당관)에 확인을 할 수 있습니다.
 2. 위촉직 위원에 대해서는 인원, 자격요건, 선전기준 등을 부산광역시보 및 시 홈페이지에 7일 이상 공고하고 공개모집의 방법으로 위촉하여야 합니다. 다만, 공개모집에 응모하는 사람이 없는경우, 위원회 특성 상 참여할 수 있는 사람이 한정되어 공개모집이 곤란한 경우, 비상설위원회의 경우, 그 밖의 공개모집이 불가능한 사유가 인정되는 경우에는 다른 방법(추천 등)으로 위촉을 할 수가 있습니다.
 3. 위촉직 위원을 구성할 시 특정 성별이 위원의 수의 100분의 60을 초과하지 않도록 구성하여야 하며, 청년 위촉 대상위원회 지정 현황에 따라 일정 비율 이상의 청년을 위원으로 위촉하여야 합니다.</t>
  </si>
  <si>
    <t>제2조, 제8조, 제10조</t>
  </si>
  <si>
    <t>제2조(정의) 이 조례에서 사용하는 용어의 뜻은 다음과 같다.
 2. “당연직 위원”이란 법령, 조례에 따라 해당 직위가 위원으로 지정된 위원을 말하며, “위촉직 위원”이란 당연직 위원 외에 부산광역시장(이하 “시장”이라 한다)이 위촉하는 위원을 말한다.
 제8조(위원회의 구성 등) ① 위원회는 설치목적을 효율적으로 달성하는데 필요한 전문성, 공익성, 윤리성을 갖춘 당연직 및 위촉직 위원으로 구성하되, 비상임으로 한다.
 ② 시장은 관계 법령 또는 조례에 특별한 규정이 없는 한 다음 각 호에 해당하는 사람 중에서 위원회의 목적 및 기능과 관련 있는 위원을 임명 또는 위촉한다.
 1. 부산광역시 소속 공무원
 2. 부산광역시의회가 추천하는 사람
 3. 위원회의 목적 및 기능과 관련 있는 비영리민간단체(부산광역시에 등록된 단체로 한정한다)가 추천하는 사람
 4. 위원회의 목적 및 기능에 관한 학식과 경험이 풍부한 사람
 5. 위원회의 목적 및 기능과 관련 있는 법인, 단체 및 연구기관에 소속된 사람
 6. 위원회 참여를 희망하는 부산시민
 ③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④ 시장은 필요하다고 판단되면 제3항에 따른 자격요건, 선정기준에 적합한 사람이 모집정원을 초과하는 경우 추첨을 통하여 선정할 수 있다. 다만, 제3항 단서가 적용되는 경우에는 예외로 한다.
 ⑤ 시장은 위촉직 위원을 구성할 경우 시민참여를 확대하여야 한다.
 ⑥ 시장은 위촉직 위원 구성 시 특정 성별이 위원 수의 100분의 60을 초과하지 아니하도록 하여야 한다. 다만, 해당 분야 특정 성별의 전문인력 부족 등 부득이한 사유가 있다고 인정되는 경우에는 예외로 한다.
 제10조(위원의 중복참여 제한 등) ① 위촉직 위원은 3개 위원회를 초과하여 중복 참여(위촉 해제 후 비위촉 기간이 1년이 경과하지 아니한 경우를 포함한다)할 수 없고, 동일 위원회에서 6년을 초과하여 연임할 수 없다. 다만, 다음 각 호의 어느 하나에 해당하는 경우에는 예외로 한다.
 1. 부산광역시의회의 추천을 받은 시의원을 위원으로 위촉하는 경우
 2. 특수 전문 분야로서 위원회에 참여할 수 있는 사람이 한정되어 있는 경우
 3. 특정한 안건을 처리한 후 해산되는 위원회의 경우
 ② 담당부서는 위원회 위원을 위촉할 경우 위원회 총괄부서와 미리 협의하여야 한다.
 ③ 위원은 해당 위원회의 자문, 심의, 의결의 내용과 관련된 용역을 수행해서는 아니된다.</t>
  </si>
  <si>
    <t>비상설위원회에 대해서 알려줘</t>
  </si>
  <si>
    <t>비상설위원회는 평소에는 위원이 존재하지 않지만, 안건일 발생할 경우 회의 개최시 마다 위원을 위촉하고 회의 종료 후에는 자동적으로 해촉이 되며, 다음과 같은 장점이 있습니다.
 1. 위원회 모집 방법 완화 : 일반적인 위원회의 경우 부산광역시 소속 위원회 조례에 따라 시보 및 시홈페이지에 7일 이상 공고를 하여 의무적으로 공개모집을 하여야 하지만 비상설 위원회는 예외 조항에 따라 공개모집을 거치지 않을 수 있습니다.
 2. 위원 위촉요건 완화 : 위촉직 위원은 부산광역시 소속 위원회 조례에 따라 3개를 초과하여 위원회의 위촉직 위원으로 참여할수 없고 동일 위원회에서 6년을 초과하여 연임할 수 없지만, 비상설 위원회의 경우 조례의 예외 조항에 따라 위 제한사항을 적용받지 않고 위촉이 가능합니다.
 다만, 비상설위원회는 조례에 비상설위원회로 명시를 한 경우에만 인정이 되며 조례에 명시없이 부서 자체적으로 비상설위원회로 운영할 수는 없습니다.
 기대답변 : (비상설 위원회 관련 내용이 별로 없어서 있는 자료로 답변 생성)
 비효율위원회(연3회미만 개최, 구성 및 운영 개선 필요 위원회 등) 중 존속필요 및 안건이 적을때 위원회를 비상설 위원회로 전환</t>
  </si>
  <si>
    <t>부산광역시 소속 위원회 설치 및 운영에 관한 조례 및 행정안전부 위원회 정비 지침</t>
  </si>
  <si>
    <t>제8조, 제10조, 지침 
 1, 2, 3, 4, 5</t>
  </si>
  <si>
    <t>조례 및 정비 지침 본문 내용 인용
 지침 2p 기본 방향 표 안 내용
 지침 5p ④ (비상설화) 안건 발생 빈도가 적은 경우, 비상설 위원회로 전환</t>
  </si>
  <si>
    <t>서면회의도 회의록을 작성해야하는지 알려줘.</t>
  </si>
  <si>
    <t>공공기록물 관리에 관한 법률 및 부산광역시 소속 위원회 설치 및 운영에 관한 조례에 따라 서면회의 경우에도 회의록을 작성하여야 합니다.
 회의록의 서식은 부산광역시 위원회 설치∙운영 지침 44~45p을 사용하여 추후 서면회의 결과보고에 첨부를 하면 됩니다.
 또한 서면회의 역시 대면회의와 마찬가지로 행정포털 - 행정업무 - 기획관리 - 행정위원회관리 - 위원회 운영관리 - 회의결과등록관리에서 회의결과와 회의록을 등록하여야 합니다.</t>
  </si>
  <si>
    <t>부산광역시 위원회 설치∙운영 지침</t>
  </si>
  <si>
    <t>25, 44, 45</t>
  </si>
  <si>
    <t>행정포털에서 위원회관리를 하는 방법을 알려줘.
 &gt;&gt; 참조 페이지가 너무 많음.
 해당 근거자료 파일 확인이 안되는데 실제 파일 있는지 확인 필요</t>
  </si>
  <si>
    <t>행정포털 위원회 메뉴를 사용하기 위해서는 먼저 정보화정책과에서 위원회 권한을 받아야 하며, 위원회 메뉴는 행정포털 - 행정업무 - 기획관리 - 행정위원회관리에서 확인하실 수 있습니다.
 1. 위원회설치관리
  가. 위원회등록관리 : 부서의 위원회 기본현황을 볼 수 있으며, 추가 버튼을 통해 새로운 위원회를 추가할 수 있습니다. 다만, 위원회의 관리범위 설정을 부서가 아닌 담당자로 할 경우에는 담당자 외에는 보이지 않습니다. 
  나. 전문가등록관리 : 당연직 및 위촉직 위원의 정보를 확인할 수 있습니 다. 새로운 위원을 모집하였을 경우에 해당메뉴에서 최초로 등록을 하여야 하며, 이미 등록이 되어있을 경우에는 등록을 하지 않으셔도 됩니다.
  다. 위원위촉관리 : 기존 등록된 위원회와 전문가를 매칭함으로써 해당위원회의 위원으로 등록을 할 수 있습니다. 위원회나 전문가가 검색이 되지 않는 경우에는 위원회등록관리 메뉴와 전문가등록관리 메뉴에서 새롭게 추가를 하셔야합니다.
 라. 위원활동현황 : 부서에서 위촉한 위원의 현황을 확인할 수 있습니다.
 2. 위원회현황관리
  가. 예산편성관리 : 연도별 위원회의 예산편성액과 집행액, 예산잔액을 입력 및 확인하실 수 있습니다.
  나. 정비실적관리 : 위원회의 정비실적을 입력 및 확인할 수 있습니다.
  다. 회의결과등록관리 : 위원회 개최 후 회의결과 및 회의록을 등록하실 수 있으며, 등록한 회의록은 별도 절차없이 시 홈페이지와 연동되어 외부에 공개가 됩니다. 비공개를 해야할 회의록은 회의록 등록시 비공개란을 체크하시고 등록을 하면 됩니다.</t>
  </si>
  <si>
    <t>시도 행정포털 행정위원회 사용자메뉴얼</t>
  </si>
  <si>
    <t>1p~61p</t>
  </si>
  <si>
    <t>시청사 내 AED(자동 심장충격기) 위치를 알려줘.</t>
  </si>
  <si>
    <t>부산시청 종합안내에 따르면 아래 5곳에 AED(자동 심장충격기)가 있습니다.
 26층 체력단련실 앞
 6층 6층 쉼터 옆
 3층 국민은행 앞
 2층 민원실옆 계단입구
 1층 고층용E/V앞</t>
  </si>
  <si>
    <t>2505_총무과_주요질문사항_시청사 층별 안내</t>
  </si>
  <si>
    <t>페이지 내용에 안내된 내용</t>
  </si>
  <si>
    <t>수영구에 공공심야약국 정보를 안내해줘</t>
  </si>
  <si>
    <t>수영구 공공심야약국은 세종약국 한곳 있습니다. 
 약국 정보는 아래와 같습니다.
 세종약국 
 소재지: 수영구 광안해변로277번길3 ※민락회센터 도로 건너 
 연락처: 051)758-4915 
 운영시간: 22시~25시
 링크 제공만 해야할거 같습니다
 기대답변 :
 부산광역시 약국운영시간, 공공심야약국 현황에 관련된 내용은 아래의 링크에서 확인 가능합니다.
 링크 : https://www.busan.go.kr/depart/ahpharmacy</t>
  </si>
  <si>
    <t>부산광역시 홈페이지-보건·건강-보건보건소/병원/약국-약국안내</t>
  </si>
  <si>
    <r>
      <rPr>
        <rFont val="&quot;맑은 고딕&quot;"/>
        <color rgb="FF1155CC"/>
        <sz val="11.0"/>
        <u/>
      </rPr>
      <t>https://www.busan.go.kr/depart/ahpharmacy</t>
    </r>
  </si>
  <si>
    <t>부산시 대표 영문 뉴스레터 구독 주소를 알려줘</t>
  </si>
  <si>
    <t>부산시 대표 영문홈페이지 구독신청 주소는 아래와 같습니다.
 https://www.busan.go.kr/eng/e-newsletter 
 신청폼에서 이메일주소(필수)와 이름을 입력하면 됩니다.
 매월 15일 신청한 이메일로 시정뉴스, 행사정보를 e-Newsletter로 발송합니다. 
 일본어, 중국어간체, 중국어번체 뉴스레터도 아래 주소에서 신청이 가능합니다.
 일본어 https://www.busan.go.kr/jpn/e-newsletter
 중국어간체 https://www.busan.go.kr/zhs/e-newsletter
 중국어번체 https://www.busan.go.kr/zht/e-newsletter</t>
  </si>
  <si>
    <t>부산시 대표 영문, 일본어, 중국어간체, 중국어번체 홈페이지</t>
  </si>
  <si>
    <r>
      <rPr>
        <rFont val="&quot;맑은 고딕&quot;"/>
        <color rgb="FF1155CC"/>
        <sz val="11.0"/>
        <u/>
      </rPr>
      <t xml:space="preserve">영어 https://www.busan.go.kr/eng/e-newsletter </t>
    </r>
    <r>
      <rPr>
        <rFont val="&quot;맑은 고딕&quot;"/>
        <sz val="11.0"/>
      </rPr>
      <t xml:space="preserve">
 일본어 https://www.busan.go.kr/jpn/e-newsletter
 중국어간체 https://www.busan.go.kr/zhs/e-newsletter
 중국어번체 https://www.busan.go.kr/zht/e-newsletter</t>
    </r>
  </si>
  <si>
    <t>부산시정 홍보 사진을 이용하고 싶은데 부산시에서 제공하는 사진 갤러리가 있으면 찾아줘</t>
  </si>
  <si>
    <t>부산시홈페이지 시정홍보 사진 메뉴에서 시정홍보 사진을 제공하고 있습니다. 
 https://www.busan.go.kr/promophoto
 사진별로 게시된 공공누리 조건에 따라 사용하시면 됩니다.</t>
  </si>
  <si>
    <t>부산시홈페이지 -부산소식-시정사진-시정홍보 사진</t>
  </si>
  <si>
    <r>
      <rPr>
        <rFont val="&quot;맑은 고딕&quot;"/>
        <color rgb="FF1155CC"/>
        <sz val="11.0"/>
        <u/>
      </rPr>
      <t>https://www.busan.go.kr/promophoto</t>
    </r>
  </si>
  <si>
    <t>부산에 '들락날락'이 뭐하는 곳인가요?</t>
  </si>
  <si>
    <t>들락날락은 부산 어린이복합문화공간이며 15분 생활권 내 아동친화적 도서관, 실감형 체험, 미디어아트 전시등 아날로그와 디지털 콘텐츠를 융합한 새로운 개념의 놀이형 학습공간입니다.
 부산 어린이복합문화공간 들락날락 홈페이지(https://www.busan.go.kr/bschild/index.nm)에서 자세한 정보를 확인할 수 있습니다.</t>
  </si>
  <si>
    <t>부산 어린이복합문화공간 들락날락 홈페이지</t>
  </si>
  <si>
    <r>
      <rPr>
        <rFont val="&quot;맑은 고딕&quot;"/>
        <color rgb="FF1155CC"/>
        <sz val="11.0"/>
        <u/>
      </rPr>
      <t>https://www.busan.go.kr/bschild/index.nm?menuCd=1</t>
    </r>
  </si>
  <si>
    <t>11살 어린이는 부산에서 대중교통 이용요금이 무료인지 확인해주세요.</t>
  </si>
  <si>
    <t>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 편의점 or 앱 (이즐충전소)에서 등록
 (이용수단) 부산 등록 시내·마을버스, 도시철도(2000번 버스, 동해선 제외)
 *어린이 교통카드 이용시 적용, 현금 승차시 무료대상이 아님
 *동해선, 2000번 시외구간은 무료화 제외 입니다.</t>
  </si>
  <si>
    <t>부산시홈페이지&gt; 교통·물류- 부산교통-교통 지원사업-어린이 대중교통 요금 무료화</t>
  </si>
  <si>
    <r>
      <rPr>
        <rFont val="&quot;맑은 고딕&quot;"/>
        <color rgb="FF1155CC"/>
        <sz val="11.0"/>
        <u/>
      </rPr>
      <t>https://www.busan.go.kr/depart/childtransport</t>
    </r>
  </si>
  <si>
    <t>개명을 했는데요. 부산시홈페이지에서 회원 개명처리는 어떻게 하나요?</t>
  </si>
  <si>
    <t>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t>
  </si>
  <si>
    <t>부산시홈페이지&gt; 이용안내 &gt;자주묻는 질문·답변</t>
  </si>
  <si>
    <r>
      <rPr>
        <rFont val="&quot;맑은 고딕&quot;"/>
        <color rgb="FF1155CC"/>
        <sz val="11.0"/>
        <u/>
      </rPr>
      <t>https://www.busan.go.kr/opgfaq</t>
    </r>
  </si>
  <si>
    <t>감사결과 처분의 종류와 의미를 알려줘</t>
  </si>
  <si>
    <t>자체감사에서 적용되는 감사결과 처분요구는 총칭하여 '처분요구 등'이라 하며, 여기에는 변상명령, 징계(문책)요구, 시정요구, 주의요구(경고·훈계), 개선요구, 권고, 통보, 고발 등이 있습니다
 - 변상명령: 「회계관계직원 등의 책임에 관한 법률」에 따라, 회계관계직원 등이 고의나 중대한 과실로 의무를 위반하여 국가·지자체·공공기관에 손해를 끼친 경우 그 손해액을 변상하도록 명령하는 것입니다. 감사원만이 변상판정을 할 수 있으며, 자체감사기구는 변상명령을 할 수 있습니다.
 - 징계(문책) 요구: 「지방(국가)공무원법」 및 그 밖의 관계 법령에 규정된 의무를 위반하여 징계 또는 문책 사유에 해당하는 경우, 징계 처분을 하도록 요구하는 것입니다. 공무원에게는 '징계'를, 공공기관 임직원 등에게는 '문책'이라는 용어를 사용합니다.
 - 시정요구: 업무와 관련된 규정을 잘못 적용하거나 적시에 적용하지 않아 법률상·사실상 시정이 가능하고, 요구를 받는 자가 조치할 권한이 있는 경우에 합니다. 위법·부당한 사항에 대해 그 내용을 바로잡아 재발을 방지하도록 하는 데 목적이 있습니다.
 - 주의요구 (경고·훈계): 위법 또는 부당하다고 인정되는 사실이 있으나, 그 정도가 징계 또는 문책 사유에 이르지 않을 정도로 경미하거나, 감사대상기관 또는 부서에 대한 제재가 필요할 때 주의 각성을 촉구하기 위해 내립니다. 위법성 또는 부당성의 경중에 따라 훈계, 경고 등으로 세분화될 수 있습니다.
 - 개선요구: 감사 결과 법령상, 제도상 또는 행정상 모순이 있거나 그 밖에 개선할 사항이 있다고 인정되는 경우, 관계 규정의 신설·폐지·개정 등을 요구하는 것입니다. 이는 '위법 부당한 사항'이 아닌 '불합리한 사항'에 대한 처분요구입니다.
 - 권고:감사 결과 나타난 문제점에 대하여 징계·시정·개선을 요구하기에 부적절하거나, 감사대상기관으로 하여금 자율적으로 처리하도록 할 필요가 있는 경우에 개선 방안을 마련하도록 대안을 제시하는 것입니다.
 - 통보: 감사 결과 비위 사실이나 위법 또는 부당하다고 인정되는 사실이 있으나 다른 처분요구를 하기에 부적합하여 각 기관 또는 부서가 자율적으로 처리할 필요가 있다고 인정되는 경우에 활용됩니다. 일반적 통보, 시정완료 통보, 인사자료 통보, 비위 통보, 모범사례 통보 등이 있습니다.
 - 고발·수사요청: 감사 결과 인지한 사항이 「형법」 기타 개별 법률의 범죄 구성요건에 해당되는지 여부를 검토하여 범죄혐의사실이 확실하다고 인정되는 사항에 대해 수사기관에 조치를 요구하는 것입니다.</t>
  </si>
  <si>
    <t>2023년 부산광역시 감사업무편람</t>
  </si>
  <si>
    <t>99
 100, 101, 102, 103, 104, 105, 106, 107, 108, 109, 110, 111, 112</t>
  </si>
  <si>
    <t>본문 내용 그대로 인용
 본문 내용이 너무 많으면 99페이지
 8. 감사결과 처분의 종류 &lt;&lt; 이것만 활용 해서 기대답변 생성
 감사실시 결과 수감기관 또는 업무담당자들의 업무처리 등이 위법 또는 부당하다고 인정되거나 불합리한
 사실이 있을 때에 그에 대한 적정한 처분 또는 조치를 하게 되는데 「감사원법」 제31조 내지 제35조과 「공
 공감사에 관한 법률」 제23조에서는 이러한 감사결과 처분의 종류와 방법 등을 규정하고 있다.
 자체감사에서 적용되는 처분요구 종류는 「공공감사에 관한 법률」에 따라 ‘변상명령’, ‘징계(문책)요구’, ‘시
 정요구’, ‘주의요구(경고·훈계)’, ‘개선요구’, ‘권고’, ‘통보3)’, ‘고발’ 등이 있으며, 이를 통칭하여 ‘처분요구 등’
 이라 한다.
 ‘처분요구’에는 처분의 종류를 나타내는 명칭에 ‘요구’라는 말이 들어가는 것을 이르는데 이에는 징계요구,
 시정요구, 주의요구, 개선요구를 의미하며, ‘등’에 해당하는 처분 또는 조치는 변상명령과 권고, 통보, 고발
 이다.
 이하 감사결과 처분의 세부내용을 살펴보면 다음과 같다.</t>
  </si>
  <si>
    <t>김지훈(1669)</t>
  </si>
  <si>
    <t>공무원 징계의 종류 및 효력에 대해 알려줘
 &gt;&gt; 표 처리 가능한지 여부 확인 필요</t>
  </si>
  <si>
    <t>징계는 공무원 관계의 질서를 유지하고 기강을 바로잡아 공무원으로서의 의무를 다하게 하기 위하여 국가 또는 지방자치단체가 사용자의 지위에서 과하는 행정상 제재를 의미합니다
 1. 징계의 종류
 「지방공무원법」 또는 관계 법령의 적용을 받는 공무원에게는 **징계(懲戒)**라는 용어를 사용하며, 「국가공무원법」이나 「지방공무원법」의 적용을 받지 않는 공공기관 임직원 등에게는 **문책(問責)**이라는 용어를 사용합니다.
 징계는 비위의 정도 및 과실 여부에 따라 중징계와 경징계로 구분되며, 구체적인 징계의 종류와 효력은 다음과 같습니다.
 징계 종류별 세부 내용
 • 파면 및 해임: 공무원 신분 관계를 박탈하는 처분입니다.
 • 강등: 3개월간 직무에 종사하지 못하며, 계급이 1계급 아래로 내려갑니다.
 • 정직: 1개월 이상 3개월 이하의 기간 동안 직무에 종사하지 못하는 처분입니다.
 • 감봉: 1개월 이상 3개월 이하의 기간 동안 보수(봉급)의 3분의 1이 감액되는 처분입니다.
 • 견책: 잘못을 뉘우치게 하고 앞으로 재발하지 않도록 하는 처분으로, 처분일이 징계 기간이 됩니다.
 2. 징계의 효력 및 주요 불이익
 징계 처분은 공무원에게 신분상, 재정상, 인사상 광범위한 불이익을 초래합니다.
 가. 인사 및 신분상의 불이익
 (1). 승진 임용 제한
  ◦ 징계 처분을 받으면 「지방공무원 임용령」에 따라 일정 기간 승진 임용이 제한됩니다. 파면은 5년, 해임은 3년의 제한 기간이 적용됩니다.
  ◦ 징계처분을 받고 그 집행이 끝난 날부터 승진 제한 기간이 계산되며, 이 기간 중에 다시 징계처분을 받으면 직전 처분의 제한 기간이 끝난 날부터 새로운 제한 기간을 합산하여 계산합니다.
 (2). 호봉 승급 제한
  ◦ 징계 처분 기간은 호봉 승급 기간에 산입되지 않아 승급이 제한됩니다.
 (3). 퇴직 후 임용 제한
  ◦ 파면 처분을 받은 경우 5년간, 해임 처분을 받은 경우 3년간 공무원 임용이 제한됩니다.
 (4). 징계의결의 구속력
  ◦ 징계 처분권자(임용권자)는 인사위원회의 징계의결 결과에 기속되어 징계 의결된 양정을 임의로 변경할 수 없습니다.
 나. 재정상의 불이익 (징계부가금)
 • 징계부가금 부과: 공금 횡령·유용, 금품 및 향응 수수 등 특정 비위로 징계를 받는 경우, 징계 외에 공금 횡령액의 5배 내의 징계부가금을 추가로 부과할 수 있습니다.
  ◦ 징계부가금 납부고지서를 받은 날부터 60일 이내에 납부하지 않으면 지방세 체납처분의 예에 따라 징수될 수 있습니다.
 다. 기록 관리 및 말소
 (1). 징계 기록 말소 제도
  ◦ 징계 처분 기록은 공무원의 긍지 회복과 사기 진작을 위해 일정 기간 성실히 근무한 경우 말소될 수 있습니다.
  ◦ 각 징계 종류별로 정해진 기간 동안 더 이상의 징계 또는 직위해제 처분을 받지 않으면 기록이 말소됩니다. (예: 정직 7년, 감봉 5년, 견책 3년).
  ◦ 기록이 말소된 이후에는 근무성적평정, 승진 임용 심의, 전보 등에서 해당 기록을 이유로 불리한 대우를 할 수 없습니다.
 (2). 불문 경고의 효력
  ◦ 불문경고는 법률상의 징계 처분은 아니지만, 징계 감경 사유로 사용될 수 있는 표창 공적의 사용 가능성을 소멸시키는 효과가 있으며, 1년 동안 인사기록카드에 등재되어 장관 표창이나 도지사 표창 대상자에서 제외되는 효과가 있어 항고소송의 대상이 되는 행정처분에 해당합니다.
 라. 직위해제 및 형사벌과의 관계
 (1). 직위해제와의 구별
  ◦ 직위해제는 징벌적 제재인 징계와는 성질을 달리하는 처분이지만, 직무에 종사하지 못하게 하고 승급이나 보수 등에서 불이익한 처우를 받게 되므로 인사상 불이익한 처분에 해당합니다.
 (2). 형사처벌과의 병과
  ◦ 동일한 비위 행위에 대해 징계벌과 형사벌은 그 목적과 권력의 기초가 다르므로, 두 처벌을 병과하더라도 일사부재리(一事不再理) 원칙에 저촉되지 않습니다.
  ◦ 공무원이 형사사건에서 벌금 이하의 형을 받거나 무죄 판결을 받았다 하더라도, 그 비위 행위가 징계 사유에 해당하는 한 별도로 징계 절차를 진행할 수 있으며 징계 사유의 인정에는 영향이 없습니다
  ◦ 만약 감봉 처분 기간 중에 다시 감봉 처분을 받은 경우, 중복된 기간 동안은 이미 감액된 봉급을 기준으로 다시 3분의 1을 감액하여 지급합니다.</t>
  </si>
  <si>
    <t>101, 128, 129</t>
  </si>
  <si>
    <t>본문 내용 그대로 인용
 본문 표 내용 그대로 인용</t>
  </si>
  <si>
    <t>감사 보고서나 처리안 등 문서 작성을 위해 알아야하는 기본 원칙 및 요건에 대해 알려줘
 &gt;&gt; 보안 PDF라 벡터DB 변환 가능한지 여부 확인 필요</t>
  </si>
  <si>
    <t>&lt;감사문장 작성의 기본 원칙 및 요건&gt;
 1. 바른 글: 어휘의 선택과 문장의 서술이 글쓰기의 기본 바탕을 갖추어야 합니다.
 2. 쉬운 글: 이해관계인이나 일반 국민이 이해할 수 있도록 쉽게 써야 합니다.
 3. 명확성: 내용에 모호함이 없도록 구체적으로 분명하게 서술해야 합니다.
 또한, 감사문장을 작성할 때 유념해야 할 주요 지침은 다음과 같습니다:
 • 용어 사용: 일상생활에서 잘 쓰이지 않는 어려운 한자말은 쉬운 말로 순화해서 써야 하며, 외래어는 가능한 한 쓰지 않아야 합니다. 다만, 학술용어, 전문용어 등 적절한 우리말 용어가 없는 경우는 그대로 씁니다.
 • 표현 방식: 일본말 투를 비롯한 외국어 번역 투의 표현은 우리말답게 바꾸어 써야 합니다.
 • 문장 구조: 길고 복잡한 문장은 내용별로 문단을 나누고, 각 문단은 여러 개의 짧은 문장으로 써야 합니다.
 • 객관성: 감사문장은 주관적인 표현을 삼가고 객관적으로 표현해야 하며, 문장의 표현은 뜻이 분명한 용어를 사용하여 구체적으로 표현해야 합니다.
 &lt;처분요구별 감사문장 구성 원칙&gt;
 감사문장은 일반적으로 전제사실, 정당론, 비난사실, 결론으로 구분되어 작성됩니다.
 • 전제사실: 비난사실에 대한 전제와 기초사실로 구성됩니다. 기초사실은 처분요구 등의 대상이 되는 업무와 관련된 이해관계인의 행위로서 필요한 경우 전제와 함께 서술하거나 비난사실의 앞부분에 함께 서술할 수 있습니다.
 • 정당론: 관계 법령, 업무 처리의 기준, 정당한 업무 처리 절차와 근거 등을 명시합니다. 다만, 금품수수, 횡령·유용, 문서 허위작성 등과 같이 위법·부당 행위임이 명백한 경우에는 생략할 수 있습니다.
 • 비난사실: 위법·부당하게 처리한 행위와 그 원인, 이유와 결과를 서술합니다.
 • 결론: 지적내용이 위법·부당하다는 결론을 내리고, 대안, 즉 시정 등의 방향을 제시합니다.
 &lt;감사문서 작성 시 개인정보 기재 기준&gt;
 처리안을 작성할 때 생년월일, 주민등록번호 등 개인정보는 관련자 특정을 위해 필요한 경우에 한정하여 최소한으로 기재해야 합니다
 - 고발, 수사요청사항: 주민등록번호 기재
 - 판정, 징계 및 문책요구, 통보(인사자료), 통보(비위): 소속, 직급, 성명, 생년월일만 기재(주민등록번호 기재 X)
 - 시정요구, 주의요구: 소속, 직급, 성명만 기재(생년월일, 주민등록번호 기재 X)</t>
  </si>
  <si>
    <t>2022 감사원 감사문장 바로쓰기 편람</t>
  </si>
  <si>
    <t>2007, 8, 9</t>
  </si>
  <si>
    <t>본문 내용 그대로 인용
 본문 내용 그대로 인용</t>
  </si>
  <si>
    <t>감사 결과에 대한 후속 조치 기한에 대해 알려줘
 &gt;&gt; 보안 PDF라 벡터DB 변환 가능한지 여부 확인 필요</t>
  </si>
  <si>
    <t>• 징계(문책)요구사항: 1개월 안에 징계의결을 요구하고, 그 의결 결과를 의결이 있었던 날로부터 15일 안에 감사원에 회보해야 합니다. 다만, 파면 요구사항은 10일 안에 징계의결을 요구해야 합니다.
 • 시정요구사항: 2개월 안에 처리하고 그 결과를 바로 회보해야 합니다.
 • 개선요구, 권고·통보사항 (인사자료 포함): 2개월 안에 집행이 가능한 사항은 그 기간 내에 적정한 조치를 하고 그 결과를 바로 회보해야 합니다. 집행에 2개월 이상이 소요되는 사항은 2개월 안에 추진일정·계획 등이 포함된 집행계획을 우선 회보한 후 집행계획에 따라 조치한 결과를 바로 회보해야 합니다</t>
  </si>
  <si>
    <t>62, 63</t>
  </si>
  <si>
    <t>부산시에서 실시한 감사 결과에 대해 알려 줘</t>
  </si>
  <si>
    <t>홈페이지 감사실시 결과란 참조 (https://www.busan.go.kr/gbinspec02) 
 - 2008년 이후 감사결과보고서 수록</t>
  </si>
  <si>
    <r>
      <rPr>
        <rFont val="&quot;맑은 고딕&quot;"/>
        <color rgb="FF1155CC"/>
        <sz val="11.0"/>
        <u/>
      </rPr>
      <t>https://www.busan.go.kr/gbinspec02</t>
    </r>
  </si>
  <si>
    <t>링크 내 각 감사건별 결과보고서(PDF) DB 추출</t>
  </si>
  <si>
    <t>우금향(1211)</t>
  </si>
  <si>
    <t>부모 및 자녀의 고지거부 신청 기간 을 알려줘</t>
  </si>
  <si>
    <t>사전 컨설팅감사는 누가 신청할 수 있는지, 그리고 사전 컨설팅감사는 무슨 효과를 갖고 있는 지 알려줘</t>
  </si>
  <si>
    <t>사전 컨설팅감사는 부산시 본청, 직속기관, 사업소, 16개 구.군, 공사.공단, 출자출연기관이 신청할 수 있으며, 부산시장 또는 구청장.군수에게 인허가 등을 신청한 민원인이 신청할 수 있음.
 감사위원장은 신청기관의 장이 사전 컨설팅감사 의견대로 업무를 처리한 경우에는 그 사안에 대하여 감사를 면제할 수 있음.</t>
  </si>
  <si>
    <t>부산광역시 사전 컨설팅감사 운영 조례 제3조 및 제6조, 제11조</t>
  </si>
  <si>
    <t>사전 컨설팅감사의 신청대상은 어떤 것이 있는지 알려줘</t>
  </si>
  <si>
    <t>1) 인·허가등 규제 관련 능동적 업무 처리 곤란시
 2) 관련 법령등이 불명확하여 적용이 어려울 시
 3) 업무추진시 절차 위반 등 논란 소지 예상시
 4) 환경 및 여건 변화로 예산낭비 등이 예상시
 5) 그 밖에 적극행정을 위해 필요할 시</t>
  </si>
  <si>
    <t>부산광역시 사전 컨설팅감사 운영 조례 제4조 제1항</t>
  </si>
  <si>
    <t>정성수(1212)</t>
  </si>
  <si>
    <t>사전 컨설팅감사 대상에서 제외되는 경우는 어떤 것이 있는지 알려줘</t>
  </si>
  <si>
    <t>1) 단순 민원해소, 책임회피 수단 등으로 이용시
 2) 신청기관이 충분한 검토를 거치지 않은 경우
 3) 신청기관 자체적으로 해결이 가능한 경우
 4) 이미 행해진 처분의 위법.부당여부 확인시
 5) 수사.소송.행정심판 또는 감사 진행(확정) 시
 6) 행정청 내부문제로 시민과 직접적 관계 없을시
 7) 단순 법령해석 또는 제도개선 건의와 관련시
 8) 정책적 결정이 요구되는 경우</t>
  </si>
  <si>
    <t>사전 컨설팅감사의 일반적인 처리절차와 패스트트랙 처리절차의 차이점에 대해 알려줘
 &gt;&gt; 근거자료에 패스트트랙(상담창구) 관련 내용이 없어서 답벼 ㄴ불가</t>
  </si>
  <si>
    <t>시본청, 직속기관, 사업소는 신청부서의 장이 신청서를 작성하여 부산시 감사위원회에 제출하여야 하며, 구.군, 공사공단, 출자출연기관, 인허가 등을 신청한 민원인은 신청기관 감사부서의 장을 통해 부산시 감사위원회에 신청서를 제출하여야 함.
 사전 컨설팅감사 신청건에 대하여 부산시 감사위원회는 30일 이내 감사 결과를 통보하여야 하며, 부득이한 사유가 있을시 1회 연장 가능함.
 또한 부산시 행정포털 내 사전 컨설팅감사 상담창구(패스트트랙)를 통해 신청시 5~7일 이내 감사결과를 통보 받을수 있음.(자유로운 서식으로 신청이 가능하며, 감사 면책은 해당없음.)</t>
  </si>
  <si>
    <t>부산광역시 사전 컨설팅감사 운영 조례 제5조 및 제6조</t>
  </si>
  <si>
    <t>부산시의 사전 컨설팅감사 사례를 열람할 수 있는 방법을 알려줘</t>
  </si>
  <si>
    <t>부산시 홈페이지의 정보공개 페이지의 감사정보란에 사전 컨설팅감사 결과(사례)와 사례집이 등록되어 있어 열람이 가능함.</t>
  </si>
  <si>
    <t>부산시 홈페이지-정보공개-감사정보-사전 컨설팅감사-사전 컨설팅감사 사례</t>
  </si>
  <si>
    <t>외부강의등 신고는 어디에서 하나요?</t>
  </si>
  <si>
    <t>행정포털-행정업무-감사관리-외부강의등-외부강의등 신고 목록 - 추가버튼 클릭 - 서식란 입력 - 외부강의등 요청기관 공문 붙임 - 온나라 연계기안 후 청렴담당관 송부</t>
  </si>
  <si>
    <t>2503_부산광역시_외부강의등_신고_업무처리_지침.pdf</t>
  </si>
  <si>
    <t>외부강의등 서면신고 방법(행정포털 연계기안)</t>
  </si>
  <si>
    <t>예효선(1671)</t>
  </si>
  <si>
    <t>외부강의등 대상 및 형태는 어떤 것이 있나요?</t>
  </si>
  <si>
    <r>
      <rPr>
        <rFont val="&quot;맑은 고딕&quot;"/>
        <color rgb="FF000000"/>
        <sz val="12.0"/>
      </rPr>
      <t xml:space="preserve">공직자 자신의 직무와 관련되거나 그 지위ㆍ직책 등에서 유래되는 사실상의 영향력을 통하여 요청받은 교육ㆍ홍보ㆍ토론회ㆍ세미나ㆍ공청회 또는 그 밖의 회의 등에서 한 강의ㆍ강연ㆍ기고 등입니다.
</t>
    </r>
    <r>
      <rPr>
        <rFont val="&quot;맑은 고딕&quot;"/>
        <color rgb="FF0000FF"/>
        <sz val="12.0"/>
      </rPr>
      <t>&gt;&gt; [25.12.30 - 김상돈]
해당 파일 6페이지도 정답 참조 문서에 해당 된다고 판단해 추가했습니다.</t>
    </r>
  </si>
  <si>
    <t>6, 9</t>
  </si>
  <si>
    <r>
      <rPr>
        <rFont val="&quot;맑은 고딕&quot;"/>
        <color rgb="FF0000FF"/>
        <sz val="12.0"/>
      </rPr>
      <t>&gt;&gt; 6페이지
3 1 외부강의등 형태 ▶충분조건
※ 필요조건 중 어느 하나에 반드시 해당하면서 + 충분조건 중 어느 하나라도 포함되어야 외부강의등에 해당됨
(충분조건) 다수인을 대상으로 의견 지식을 전달하는 경우
대상 강의 강연 온라인 포함 기고 신문 잡지 등
(→지역신문, 잡지 등에 기고하는 경우는 외부강의에 포함됨, 다만, TV·라디오 등 방송토론·인터뷰는 미포함)
(→개인의 역량으로 책을 집필·출간하는 것은 미포함, 수익이 발생 시는 인사과에 겸직허가대상 문의 필요)
(충분조건) 다수인을 대상으로 의견 정보 등을 제시 토론에 참여하는 회의 형태의 경우
대상 토론회 세미나 공청회 등에서 발제 발표
(→토론회 좌장으로 사회와 토론에 참여하면 포함, 다만, 경진대회 성과발표하거나 토론회 등에 단순참여는 미포함)
대상 회의 형태를 갖춘 자문 평가 심사 등에 직접 참여하여 개별의견 교환 토의
(→자문·평가·심사에 직접(현장) 참여한 평가위원이 개별 의견교환·토론 후 평가결과 도출 시는 포함)
(→서면 자문·평가는 미포함, 그 이유는 다수인 대상으로 한 의견·지식 전달 또는 회의 형태가 아니기 때문임)
비대상 회의 형태가 아닌 경우는 외부강의에 미포함
(→TV·라디오 등 방송토론·인터뷰, 채용면접평가, 제안서평가, 서면자문, 연주회, 전시회 등은 미포함)
비대상 의견 정보의 제시 교환 토론이 없는 경우는 외부강의에 미포함
(→채용면접심사, 시험감독, 제안서평가위원, 용역사업평가위원, 서면자문 등은 토론없는 개별적 단독평가이기 때문)
(충분조건) 소속기관의 기능수행 및 정책수행 목적상 필요한 경우
정책 시책을 원활히 집행 추진하기 위한 공청회 홍보 교육 등은 외부강의에 포함
(→별정직보좌관, 실국장, 부서장 등이 소속기관의 정책을 적극 추진, 널리 알리기 위한 목적·필요성이 있는지 확인)</t>
    </r>
    <r>
      <rPr>
        <rFont val="&quot;맑은 고딕&quot;"/>
        <color rgb="FF000000"/>
        <sz val="12.0"/>
      </rPr>
      <t xml:space="preserve">
&gt;&gt; 9페이지
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t>
    </r>
  </si>
  <si>
    <r>
      <rPr>
        <rFont val="&quot;맑은 고딕&quot;"/>
        <color rgb="FF000000"/>
        <sz val="12.0"/>
      </rPr>
      <t xml:space="preserve">외부강의등 신고 대상 및 신고 기한은 어떻게 되나요?
</t>
    </r>
    <r>
      <rPr>
        <rFont val="&quot;맑은 고딕&quot;"/>
        <color rgb="FFFF0000"/>
        <sz val="12.0"/>
      </rPr>
      <t xml:space="preserve"> &gt;&gt; 10일 이내에서 숫자가 복사가 안되는데 확인바랍니다.</t>
    </r>
  </si>
  <si>
    <t>공직자는 사례금을 받는 외부강의등을 할 때에는 외부강의등의 요청 명세 등을 외부강의등을 마친 날부터 10일 이내에 서면으로 신고하여야 합니다.</t>
  </si>
  <si>
    <t>8 1 외부강의등 서면신고
 신고기한 외부강의등을 마친 날로부터 10일 이내(→강의 당일·초일 불산입)
 외부강의를 한 다음날 익일 부터 계산함(→토·일요일 및 공휴일을 포함하여 계산함)
 (→다만, 신고기간 만료일이 토·일 또는 공휴일인 경우 그 익일을 신고 기간 만료일로 봄)
 - 5 -
 신고기한 기준일은 외부강의등을 마친 날임(→사례금을 받은 날 기준이 아님)
 신문 잡지 등에 기고한 경우는 해당 원고의 최종본을 송부한 날을 마친 날로 봄
 (→기고문 원고료·사례금을 실제 받은 날이 아닌 최종 원고를 송부한 날을 기준으로 하여 익일부터 계산함)
 동일 기관 특정 기간에 계속된 강의는 일괄신고 가능하나 신고기한은 최초 강의를 마친
 날로부터 일 이내에 신고함
 (→통합하여 1회 일괄 신고할 수 있음. 요청기관이 다르거나 강의일이 월간 상이·다른 경우는 구분하여 신고함)</t>
  </si>
  <si>
    <r>
      <rPr>
        <rFont val="&quot;맑은 고딕&quot;"/>
        <color rgb="FF000000"/>
        <sz val="12.0"/>
      </rPr>
      <t xml:space="preserve">외부강의등 신고 기간(외부강의등을 마친 날부터 10일 이내)은 토요일 및 공휴일을 포함하나요?
</t>
    </r>
    <r>
      <rPr>
        <rFont val="&quot;맑은 고딕&quot;"/>
        <color rgb="FFFF0000"/>
        <sz val="12.0"/>
      </rPr>
      <t xml:space="preserve"> &gt;&gt; 10일 이내에서 숫자가 복사가 안되는데 확인바랍니다.</t>
    </r>
  </si>
  <si>
    <t>포함입니다. 만료일이 토요일 또는 공휴일인 경우 그 익일을 신고 기간 만료일로 봅니다.</t>
  </si>
  <si>
    <r>
      <rPr>
        <rFont val="&quot;맑은 고딕&quot;"/>
        <color rgb="FF000000"/>
        <sz val="12.0"/>
      </rPr>
      <t xml:space="preserve">외부강의등 사례금 상한액과 예외는 어떻게 되나요?
</t>
    </r>
    <r>
      <rPr>
        <rFont val="&quot;맑은 고딕&quot;"/>
        <color rgb="FFFF0000"/>
        <sz val="12.0"/>
      </rPr>
      <t xml:space="preserve"> &gt;&gt; 10일 이내에서 숫자가 복사가 안되는데 확인바랍니다.</t>
    </r>
  </si>
  <si>
    <t>6 1 외부강의등 사례금(대가) 상한액
 사례금 한도 1회 총 60만원 1시간 40만원 한도 1시간 초과시 50% 가산
 사례금 한도를 초과하여 수령 시는 그 사실을 안 날로부터 일 이내에 신고해야 함
 그 초과금액은 지체없이 외부강의 요청기관에 반환해야 함
 (→ 강의시간이 1시간 이내, 사례금이 50만원인 경우 : 초과금액 10만원을 신고·반환해야 함)
 (→ 강의시간 2시간, 사례금 60만원, 요청기관에서 교통비를 받은 경우 : 초과금액&lt;교통비&gt;을 신고·반환해야 함)
 사례금 포함 내역 세전으로 계산(→세후 금액이 아님)
 요청기관에서 지급한 강의료 원고료 교통비 실비 등 명목 관계없이 수령액 일체
 부서장이 공무출장으로 인정한 경우 소속기관에서 지급한 출장여비는 미포함 별도
 사례금 한도 예외 외국기관이 요청한 경우(→사례금 기준·한도 없음)
 국제기구 국제학술단체 외국 대학 등은 당해 기관에서 정한 기준에 따름
 사례금 한도 예외일 뿐 외부강의등에 대한 부서장의 사전검토와 신고의무가 있음
 국제기구 행사를 유치하여 국내에서 개최하는 경우 주관을 국내기관이 담당하고 외부
 강의등 요청 공문을 국내기관이 보내온 경우라면 국내기관의 국내행사로 봄
 → (권익위 청탁금지제도과, 2022.10.14.) 외부강의등 신고의 명확성, 일관성 및 법적 안정성 도모를 위해, 외부강의등
 을 요청한 자에 대한 판단은 형식적으로 강의를 요청(공문)한 기관으로 봄이 상당하다고 할 것임.</t>
  </si>
  <si>
    <t>외부강의등 신고 사항은 어떻게 되나요?</t>
  </si>
  <si>
    <t>신고 내용 : 일시, 장소, 강의 제목, 주제, 사례금 총액(상세 명세), 요청기관, 요청공문 등
 (→외부강의등을 요청한 기관으로부터 발송·접수된 공문 반드시 첨부, 이메일 내용은 불가함)</t>
  </si>
  <si>
    <t>신고방법 온라인 서면신고 행정포털 연계기안 및 공문발송 청렴담당관
 절차 행정포털 외부강의등 신고등록(→세부 신고방법 예시는 [붙임 1] 참조)
 내용 일시 장소 강의 제목 주제 사례금총액 상세명세 요청기관 요청공문 등
 (→외부강의등을 요청한 기관으로부터 발송·접수된 공문 반드시 첨부, 이메일 내용은 불가함)</t>
  </si>
  <si>
    <t>외부강의등 사례금 상한액에 초과하여 수령하였을 때에는 어떻게 해야하나요?</t>
  </si>
  <si>
    <t>사례금 한도를 초과하여 수령하였을 때에는 그 사실을 안 날로부터 2일 이내에 신고하여야 하고, 초과금액은 지체없이 외부강의등 요청기관에 반환하여야 합니다.</t>
  </si>
  <si>
    <t>임은정(1672)</t>
  </si>
  <si>
    <t>외부강의등에 대상이 아닌 것은 어떤 것들이 있나요?</t>
  </si>
  <si>
    <t>외부강의 비대상 사례 (붙임 2 기반 정리):
 1. 채용 관련
  - 채용 면접관 참여 시 개인별 점수 평가만 하는 경우 (다수인 대상 의견·지식 전달이 아닌 경우)
 2. 창작 활동
  - 책 저술·출판 (단, 신문·잡지 기고 시 외부강의 해당)
 3. 발표 형태 제한
  - 업무개선 경연, 성과보고회 등 직무 관련 내부 발표
  - 방송 출연 시 1:1 인터뷰 형식
  - 행사 축사·기조연설 (환영 인사 수준)
 4. 문화 행사
  - 동호회 주관 연주회·전시회
 5. 평가 위원 활동
  - 제안서 평가·협상 계약 시 개인 평가만 참여하는 경우(단, 대형공사 계약 시 집단토의 평가라면 해당)
  - 조달청 평가위원 (겸직허가 대상, 외부강의 아님)
 6. 자문·심의 활동
  - 서면 자문 (회의 없는 개인 의견 제시)
  - 법령에 따른 위원회 활동
 7. 기타 비영리 법인 활동
  - 법령조례 근거 비영리법인 이사
  - 위원회 당연직 위원 활동 (별도 용역 수행 시 제외).
 📌 핵심 구분 기준: 다수인 대상 지식 전달·회의 형태 X, 개인 평가/의견만 해당 경우 O.
 ※ 세부 확인이 필요한 경우 인사팀 문의 권장</t>
  </si>
  <si>
    <t>붙임 2 외부강의등 비대상 사례
 채용 서면심사 면접관으로 참여하는 경우
 다수인을 대상으로 하는 의견 지식 전달 및 회의 형태가 아니며 채용심사를 (→ · , 위한 개인 의견·점수만 판정하는 경우)
 책을 저술 출판하는 경우(→다만, 신문·잡지에의 기고는 외부강의등에 해당됨)
 (→출판에 따른 수익이 발생하는 경우는 겸직허가대상 여부 판단, 인사과 문의)
 (→권익위 청탁금지제도과, 2021.12.15., 인문사회 책의 한 챕터를 담당, 집필하는 것은 외부강의등에 해당되지 아니함)
 업무개선 경연 경진대회 성과보고회 등에서 발표하는 경우
 공직자가 직무와 관련하여 방송에 출연하여 1:1 문답 등 의견을 전달하는 경우
 행사 축사 기조연설은 단순 축하 환영인사를 하는 경우
 (→권익위 청탁금지제도과, 2019.9.23., 강의·강연은 일정한 주제에 대해 설명하여 가르치는 것으로 교육·홍보·토론회·세미나·
 공청회와 같이 ‘다수인을 대상으로 의견·지식을 전달하는 형태’이거나, 여럿이 모여 의견·정보 등을 교환하는 ‘회의형태’
 인 경우이므로 환영 축사 및 기조연설 등은 외부강의등에 해당되지 아니함)
 동호회 등에서 개최하는 연주회 전시회 등에 참여하는 경우
 (→다수인을 대상으로 하더라도 문화예술행위는 외부강의등에 미포함)
 제안서평가 또는 협상에 의한 계약 등에서 평가위원으로 참여하는 경우
 (→다수인을 대상으로 하는 의견·지식 전달 및 회의 형태가 아니며, 평가위원 개인별 의견·점수만 판정하는 경우)
 (※ 다만, 대형공사계약 또는 공모사업 등의 계약자·공모자 선정 평가위원으로 참여하여 집단토의·논의를 하면서 평가위원
 간 의견·정보 등을 교환하는 회의 형태의 평가라면 외부강의에 포함됨)
 서면 자문하는 경우(→의견·지식을 전달하는 회의 형태가 아님, 개별 의견만 작성하는 것에 불과함)
 (→자문위원회에 직접 참석하여 자문위원 간 의견·지식을 전달하는 회의형태인 경우에는 외부강의에 해당됨)
 조달청 심사 심의 평가 위원으로 참여하는 경우(→겸직허가 대상)
 (→조달청 심사·심의·평가위원 풀(Pool) 명단으로 위촉되어 계약심의·평가에 참여하는 경우는 겸직허가 대상)
 법령조례에 따라 비영리법인의 당연직 이사로 활동하는 경우(→겸직허가 대상)
 (→비영리법인의 당연직 이사로서 법인 내 활동은 조례에 따른 법적 업무수행이므로 외부강의등에 미포함)
 법령조례에 따라 설치된 위원회 당연위촉직 위원으로 회의에 참석하는 경우(→겸직허가대상)
 (→회의에 참석하는 것은 법령·조례에 따른 법적 업무수행이므로 외부강의등에 미포함)
 (→위원회 위원으로서의 법적 업무수행이 아닌 다른 형태(용역사업 수행)인 경우는 외부강의등 여부 추가판단 필요)
 비영리법인 단체의 정관에 따라 위원으로 위촉되어 회의에 참석하는 경우(→겸직허가대상)
 (→겸직허가대상으로 겸직허가 후 관련 회의에 참석하는 경우는 외부강의등에 미포함)
 대학교 등에 출강하는 경우(→겸직허가대상)
 (→대학교, 학원 등에 출강하는 경우는 겸직허가대상으로 인사과 별도 문의)</t>
  </si>
  <si>
    <t>외부강의등 신고의무 제외 대상은 어떤 것들이 있나요?</t>
  </si>
  <si>
    <t>신고의무 제외 외부강의등에는 해당되나 신고의무가 면제되는 경우
 1.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2. 교통비 숙박비 등 일체의 사례금을 받지 아니한 경우(→‘20.5.27.시행)
  (→사례금을 받지 아니한 경우는 외부강의등에는 해당되나 신고의무를 면제하는 것임)</t>
  </si>
  <si>
    <t>신고의무 제외 외부강의등에는 해당되나 신고의무가 면제되는 경우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교통비 숙박비 등 일체의 사례금을 받지 아니한 경우(→‘20.5.27.시행)
 (→사례금을 받지 아니한 경우는 외부강의등에는 해당되나 신고의무를 면제하는 것임)</t>
  </si>
  <si>
    <t>외부강의등 복무는 어떻게 처리하여야 하나요?</t>
  </si>
  <si>
    <t>사전 복무 결재를 받아야 합니다. 원칙은 개인 연가를 사용하고, 예외적으로 출장 처리가 가능할 것입니다.</t>
  </si>
  <si>
    <t>7. 외부강의등 복무관리
  ① 원칙 : 개인 연가(조퇴·외출) 사용
  - 자신의 現직무와의 관련성을 막연하게 광의·확대하여 공무출장 가능하다는 것은 불인정됨 (→시립박물관·미술관 학예사·직원이 문화예술발전이라는 광의의 개념을 주장하는 경우 불인정, 개인연가 사용 원칙)
  ② 예외 : 공무출장 및 출장여비지급 가능
  - 공직자 자신의 현 직무(분장사무)와 직접 관련성이 명시적으로 있는 경우 (→현 직무와 관련성이 없거나, 직전 또는 과거에 담당했던 직무인 경우에는 개인연가를 사용해야 함)
  - 소속기관의 기능수행 및 정책수행 목적상 필요한 경우 (→별정직보좌관 또는 실국장 등 직원이 기관의 정책을 널리 홍보하기 위한 특강이라면 공무출장 가능함)
  - 소속 기관장(부서장)이 특별히 필요하다고 인정하는 경우
  ③ 참고사항[권익위, 공무원의 외부강의등에 관한 관리 지침, 시행 2022.4.14.]
  - 제3조, 외부강의등은 강의 요청 공문서와 결재권자의 허가를 받아야 함(→제2항, 결재권자는 직무관련성, 업무형편, 업무수행 지장 초래 등을 엄격히 확인한 후 외부강의등을 허가해야 함)
  - 제6조, 외부강의등이 직무수행 관련성, 소속기관(부서)의 기능·정책 수행 목적상 필요한 경우는 공무출장 처리하고, 이외의 외부강의등은 연가를 활용해야 함.
  - 제8조, 결재권자는 특정 직원의 과도한 외부강의, 업무수행에 지장 초래없도록 관리해야 함</t>
  </si>
  <si>
    <t>신고 없이 외부강의를 한 경우 과태료 부과 대상인가요?</t>
  </si>
  <si>
    <t>사례금을 받는 외부강의등을 신고하지 않은 경우 징계대상에 해당합니다.</t>
  </si>
  <si>
    <t>2111_정보화정책과_업무매뉴얼_청렴담당관_외부강의등 관련 주요 안내사항</t>
  </si>
  <si>
    <t>⑤ 위반에 대한 제재(청탁금지법 제21조, 제23조제4항) 
 구분
 외부강의등
 초과 사례금
 공직자등의 의무
 신고 의무
 신고 의무
 반환 의무
 위반 시 제재
 징계대상
 어느 하나라도 이행하지 않은 경우, 징계대상
 모두 이행하지 않은 경우 과태료 부과 대상(500만원 이하)</t>
  </si>
  <si>
    <t>휴직자가 외부강의등을 할 때에도 신고를 해야하나요?</t>
  </si>
  <si>
    <t>휴직자의 경우도 사례금을 받는 외부강의등을 할 경우 외부강의등을 마친 날부터 10일 이내에 신고해야 하며, 초과사례금 수수 시에도 신고 및 반환해야 함</t>
  </si>
  <si>
    <t>2025 부정청탁 및 금품등 수수의 금지에 관한 법률 행정기관 및 공직유관단체 매뉴얼</t>
  </si>
  <si>
    <t>154</t>
  </si>
  <si>
    <t>FAQ 외부강의등 사례금 수수 제한 관련
 Q. 휴직자가 외부강의등을 할 경우에도 신고를 해야 하는지?
 A. 휴직자의 경우도 사례금을 받는 외부강의등을 할 경우 외부강의등을 마친 날부터 10일 이내에 신고해야 하며, 초과사례금 수수 시에도 신고 및 반환해야 함</t>
  </si>
  <si>
    <t>사례금을 받지 않는 외부강의등을 하는 경우에도 신고를 해야하나요?</t>
  </si>
  <si>
    <t>사례금을 받지 않고 외부강의등을 하는 경우에 별도로 신고의무는 없습니다. 다만 향후 사례금이 지급된 경우에는 반드시 신고하여야 합니다.</t>
  </si>
  <si>
    <t>FAQ 외부강의등 사례금 수수 제한 관련
 Q. 사례금을 받지 않고 외부강의등을 하는 경우에도 신고해야 하는지?
 A. 사례금을 받지 않는 외부강의등은 신고의무 없음</t>
  </si>
  <si>
    <t>이은숙(1676)</t>
  </si>
  <si>
    <t>외부강의등 사례금에 어떤 것이 포함되나요?</t>
  </si>
  <si>
    <t>강의료, 원고료, 출연료 등 명목에 관계 없이 외부강의등과 관련하여 제공받은 일체의 사례금을 포함합니다.</t>
  </si>
  <si>
    <t>156</t>
  </si>
  <si>
    <t>FAQ 외부강의등 사례금 수수 제한 관련
 Q. 외부강의등 사례금에 원고료도 포함되는지?
 A. 외부강의등 사례금에는 강의료, 원고료, 출연료 등 명목에 관계 없이 외부강의등과 관련하여 공직자등에게 제공되는 일체의 사례금을 포함</t>
  </si>
  <si>
    <t>회의에서 사회자 등의 역할을 맡아 회의를 진행하는 경우에도 외부강의등에 해당한다고 볼 수 있나요?</t>
  </si>
  <si>
    <t>다수인을 대상으로 의견·지식을 전달하는 형태이거나 회의형태이므로 외부강의등에 해당할 수 있습니다.</t>
  </si>
  <si>
    <t>157</t>
  </si>
  <si>
    <t>FAQ 외부강의등 사례금 수수 제한 관련
 Q. 공청회, 간담회 등의 회의에서 사회자 등의 역할을 맡아 회의를 진행하는 경우에는 외부강의등에 해당하나요?
 A. 공청회, 간담회 등의 회의에서 사회자 등의 역할을 맡아 회의를 진행하는 경우는 다수인을 대상으로 의견·지식을 전달하는 형태이거나 회의형태이므로 외부강의등에 해당함</t>
  </si>
  <si>
    <t>시험출제업무를 하는 경우에도 외부강의등에 해당한다고 볼 수 있나요?</t>
  </si>
  <si>
    <t>시험출제는 응시자의 능력을 평가하기 위한 문제를 내는 행위로서, 다수인을 대상으로 의견·지식을 전달하는 형태라거나 회의형태라고 보기 어려우므로 외부강의등에 해당하지 않습니다.</t>
  </si>
  <si>
    <t>FAQ 외부강의등 사례금 수수 제한 관련
 Q. 공직자등이 시험출제위원으로 위촉되어 시험출제업무를 하는 경우 출제위원으로 참석하는 행위가 외부강의등에 해당하나요? 
 A. 시험출제는 응시자의 능력을 평가하기 위한 문제를 내는 행위로서, 다수인을 대상으로 의견·지식을 전달하는 형태라거나 회의형태라고 보기 어려우므로 외부강의등에 해당하지 아니함</t>
  </si>
  <si>
    <t>온라인으로 강의를 하는 경우에도 외부강의등에 해당하나요?</t>
  </si>
  <si>
    <t>온라인 강의의 경우 전달매체가 온라인 형식일 뿐 다수인을 대상으로 의견·지식을 전달하는 형태이므로 외부강의등에 해당합니다.</t>
  </si>
  <si>
    <t>FAQ 외부강의등 사례금 수수 제한 관련
 Q. 온라인으로 동영상 강의를 하는 경우도 외부강의등에 해당하나요?
 A. 온라인 강의의 경우 전달매체가 온라인 형식일 뿐 다수인을 대상으로 의견·지식을 전달하는 형태이므로 외부강의등에 해당함</t>
  </si>
  <si>
    <t>외부강의등을 사전신고하는 것도 괜찮나요?</t>
  </si>
  <si>
    <t>가능합니다. 신고항목(요청자, 요청사유, 날짜, 시간, 장소, 사례금 등)이 모두 기재된 공문을 첨부하여 신고하면 됩니다.</t>
  </si>
  <si>
    <t>FAQ 외부강의등 사례금 수수 제한 관련
 Q. 사례금을 받는 외부강의등의 경우 사전에 신고해도 되나요?
 A. 2020.5.27. 이후 실시하는 외부강의등은 마친 날부터 10일 이내에 신고하면 되고, 신고자가 요청자, 요청 사유, 일시, 장소, 사례금 액수, 강의 주제 등을 미리 알고 있는 경우에는 사전에 신고하는 것도 가능함</t>
  </si>
  <si>
    <t>상위법이 개정되면 조례는 언제까지 정비해야 하나요?
 &gt;&gt; 제출 자료에서 기대답변에 대한 내용이 명시적으로 나와 있지 않음</t>
  </si>
  <si>
    <t>상위법이 개정되면 조례는 상위법 시행일까지 정비하는 것이 실무 원칙입니다. 
 조례는 상위법에 위반될 수 없으며, 상위법 시행과 동시에 정합성이 확보되어야 합니다. 
 부칙에 조례 정비기한이 명시된 경우에는 부칙 기한을 우선 적용합니다.</t>
  </si>
  <si>
    <t>자치법규업무매뉴얼(2022, 행안부)</t>
  </si>
  <si>
    <t>행정안전부 자치법규업무매뉴얼(2022)
 P16~17, P34~37</t>
  </si>
  <si>
    <t>자치법규업무매뉴얼(2022, 행안부)
 P16~17 상위법 정합성 반영 의무
 P34–35 상위법과 저촉되는 조례는 유지할 수 없으며 즉시 개정해야 함 
 P36–37 상위법령의 시행과 관련하여 조례의 시행이 시급히 요청되는 경우</t>
  </si>
  <si>
    <t>고시, 공고(입법예고) 시보, 홈페이지 게재 방법
 &gt;&gt; 매월 업데이트 되는 내용으로 추후 데이터 자동화 수집 이후 적용</t>
  </si>
  <si>
    <t>**&lt;시보 게재&gt;**
 1. 발행주기 : 매주 수요일
  ▶ 2024년 12월 발행일자 : 4일, 11일, 18일, 25일
  ▶ 2025년 1월 발행일자 : 1일, 8일, 15일, 22일, 29일
 2. 발행방법 : 책자 발행(구·군 배부), 부산시보 홈페이지 게시(PDF파일)
 3. 게재의뢰 : 발행일 3일전(**매주 금요일**)까지 공문 의뢰 ※ 화요일 편집·인쇄 완료
 * 고시공고 번호 채번 후 붙임파일 첨부하여 반드시 “뉴미디어담당관”으로 공문 요청
 * 공문 본문에 게재대상, **게재일시 반드시 명시**
 * 붙임 파일명 : 구분+번호+제목 (예시) 공고 제2024-1호 ○○○ 공고
 * 붙임 첨부자료 파일명 : 구분+번호+제목 (예시) 공고 제2024-1호 01.시행도면
  ※ 본청 및 산하기관 : 행정포털 시스템 이용 / 구·군 : 자체 시스템 이용
 4. 게재경로 : 부산시보 &gt; 시정·경제 &gt; 고시공고(시보 게재 후 개별 확인 요망)
 5. 업무문의 : 미디어운영팀 박성준 (☎888-1292)
 **&lt;홈페이지 게재&gt;**
 1. 등록요청 : 행정포털 &gt; 행정업무 &gt; 공보관리 &gt; 고시/공고(입법예고) 등록
 2. 등록일자 : 홈페이지 채번 시 자동 등록(지정일시)
  ※ 시보 게재 없이 홈페이지에만 게재 시에는 공문 불필요
 3. 업무문의 : 미디어운영팀 조현경 (☎888-1297) ▶ 파일 수정/삭제 요청</t>
  </si>
  <si>
    <t>고시공고 등록 매뉴얼, 고시공고등 부산시보 게재 의뢰 유의사항</t>
  </si>
  <si>
    <t>첨렴퀴즈, 청렴교육 이수 후 청렴마일리지 실적 입력방법
 &gt;&gt; 26년 자료 나오면 업데이트 필요</t>
  </si>
  <si>
    <t>청렴퀴즈, 직원설문에 참여하셨나요
 공직자자기관리시스템에 청렴마일리지 실적을 입력해주세요.
 ● 참여자 확인 : 지식행정 → 커뮤니티 → 청렴사랑방 &gt; 청렴퀴즈 종료 후 참여자 게시
 ● 입력 방법 : 행정포털 – 행정업무 – 감사관리 – 공직자자기관리
 ☑ 본인 이수 실적 입력 : 실적관리 ⇒ 개인별 실적관리 ⇒ 추가
 마감년도 : 2025년
 실적일자 : 청렴퀴즈 종료일
 성명 : 검색으로 선택
 실적동향항목 : 0월 청렴퀴즈
 입력실적 : 1
 청렴교육을 이수하셨나요
 공직자자기관리시스템에 청렴마일리지 실적을 입력해주세요.
 ● 입력 방법 : 행정포털 – 행정업무 – 감사관리 – 공직자자기관리
 ☑ 본인 이수 실적 입력 : 실적관리 ⇒ 개인별 실적관리 ⇒ 추가
 마감년도 : 2025년
 실적일자 : 교육 수료일
 성명 : 검색으로 선택
 실적항목등록 : 수료한 교육명 기재
 예) 사이버교육(나라배움터), 집합교육, 사이버 교육
 입력실적 : 이수한 시간 입력
 첨부내역 : 수료증 등 이수 확인할 수 있는 자료(사이버교육)</t>
  </si>
  <si>
    <t>공직자자기관리시스템 입력방법(2025)</t>
  </si>
  <si>
    <t>관인 날인 어떻게 해야해</t>
  </si>
  <si>
    <t>[관인 날인 관련 협조사항 안내]
 모든 문서는 관련 결재문서가 있어야 날인 가능합니다관련된 내부결재 문서 지참관련 결재문서가 없는 경우에는 '관인 날인 의뢰' 공문 발송 후, 지참'표창장, 상장, 감사장'은내부결재 공문 (명단 포함)(또는) '행정포털-자치행정-포상관리-포상대상자명단' 출력 지참(번호, 대상자명, 유공명 필요) 명단 순서대로 / 케이스 끼워오지 X / 포스트잇 지참(번짐 방지) 
 '위촉장, 비영리법인(허가증, 정관)'은내부결재 공문(명단 포함)다량 인쇄(20매 이상) 및 감사패 제작은날인 의뢰가 아닌, '공인 인영 인쇄' 방법으로 진행하여 주십시오
 ※ 인영 사용 협조 요청 공문 발송 통합민원과 승인 인영 수령 인쇄각종 실적증명서(공사·용역·물품)는날인대상이 아니며, 통합민원과 8번 창구 방문(수수료 1천원)</t>
  </si>
  <si>
    <t>2410_정보화정책과_업무매뉴얼_통합민원과_관인 날인 프로세스</t>
  </si>
  <si>
    <t>시장님 말씀자료 검토 의뢰 방법</t>
  </si>
  <si>
    <t>**가. 대상 : 시장님 일정 관련 비서실 협의의 완료된 행사 말씀자료**
 **나. 의뢰기한 : 행사 개최일(영상축사의 경우 촬영일) 7일 이전**
 * **부서 작성 초안(반드시 부서장 확인)** 및 업무보고 첨부하여 메시지 기획팀 제출
 * **제출 방법 : 온톡 메신저 쪽지 송부 (메시지기획팀 주무관, ☎ 1282)**
 **다. 말씀자료 검토 절차**
 * **① 일정 확정**
  * 시장님 참석 일정 조율 및 확정 (담당부서 $\rightarrow$ 비서실)
 * **② 말씀자료 의뢰 [D-7]**
  * 메시지팀 검토 의뢰 (초안 첨부) (담당부서 $\rightarrow$ 메시지기획팀)
 * **③ 말씀자료 회신 [D-3]**
  * 수정 후 부서에 회신 (메시지기획팀 $\rightarrow$ 담당부서)
 * **④ 최종자료 제출 [D-3]**
  * 부서 최종 확인 후 비서실 송부 (담당부서 $\rightarrow$ 비서실)
 **라. 협조사항 : 말씀자료 의뢰는 반드시 행사일 7일 이전 시행, 기일 엄수**
 * **의뢰 늦어질 시, 다른 행사 말씀자료 작성 일정에 차질 발생**</t>
  </si>
  <si>
    <t>2505_정보화정책과_업무매뉴얼_공보담당관_시장님 말씀 자료 검토 의뢰 관련 협조 사항 알림</t>
  </si>
  <si>
    <t>시장님 인터뷰 요청 시 처리 방법</t>
  </si>
  <si>
    <t>2. 각 언론사 등 시장님 인터뷰 요청 관련 진행사항을 아래와 같이 알려드리니, 부서에서는 인터뷰 진행 시 **공보담당관(메시지기획팀)**과 협의하여 주시기 바랍니다.
 **가. 대상 :** 각 언론사 등 **시장님 인터뷰(서면 답변 포함)** 요청
 **나. 필수사항 :** 인터뷰 진행 시 **반드시 공보담당관(메시지기획팀)과 협의**
 **다. 인터뷰 진행 절차**
 * **① 인터뷰 진행 협의**
  * 부서 통화 인터뷰 요청 시 **공보담당관과 인터뷰 진행 협의** (담당부서 $\rightarrow$ 공보담당관)
 * **② 일정 조율 등**
  * 시장님 인터뷰 방법 및 일정 조율 (비서실 $\rightarrow$ 공보담당관)
  * 질문지 검토 (언론사 $\rightarrow$ 공보담당관)
 * **③ 답변 작성**
  * 질문에 따른 **답변자료 작성 제출** (담당부서 $\rightarrow$ 공보담당관)
 * **④ 인터뷰 진행**
  * 답변자료 검토 및 작성 **최종 답변자료 공유** (공보담당관 $\rightarrow$ 비서실/부서)
  * 인터뷰 진행 (공보담당관)
 **※ 협의 및 답변자료 제출 방법 :** **온톡 메신저 쪽지 송부 또는 유선( 주무관, 행1282)**</t>
  </si>
  <si>
    <t>2508_정보화정책과_공문_언론다당관_시장님 인터뷰 진행 관련 협조사항 알림</t>
  </si>
  <si>
    <t>간행물 발간등록번호 신청 어떻게 하지</t>
  </si>
  <si>
    <t>1. 간행물 발간등록번호 신청은 어떻게 합니까?국가기록원 홈페이지(http://www.archives.go.kr) 참여·민원 간행물 발간등록 발간등록신청을 클릭하여 신청양식에 따라 작성 후 등록 신청하시면 됩니다.</t>
  </si>
  <si>
    <t>2024년도 간행물 발간등록 및 송부지침</t>
  </si>
  <si>
    <t>신용카드 사용으로 계약서 작성을 생략하는 지출 금액기준?</t>
  </si>
  <si>
    <t>□ 대상 : 물품구매 및 제조, 소규모 용역(100만원이상 500만원 이하)
 □ 근거 : 부산광역시 회계 및 계약사무 처리지침 개정(회계재산담당관-14369(2022.03.23.)호)</t>
  </si>
  <si>
    <t>2211_정보화정책과_업무매뉴얼_회계재산담당관_소규모 물품, 용역 신용카드 사용 지출 안내</t>
  </si>
  <si>
    <t>신용카드 사용으로 계약서 작성을 생략하는 지출 처리안내
 □ 근거 : 부산광역시 회계 및 계약사무 처리지침 개정(회계재산담당관-14369(2022.03.23.)호)
 □ 대상 : 물품구매 및 제조, 소규모 용역(100만원이상 500만원 이하)</t>
  </si>
  <si>
    <t>외부강의 신고대상, 방법 등 절차는?
 &gt;&gt; 앞 쪽에 동일 질문이 있으므로 제외</t>
  </si>
  <si>
    <t>① 외부강의등의 신고대상
  □ 직무와 관련되거나 그 지위·직책등에서 유래되는 사실상 영향력을 통하여 요청받은 교육·홍보·토론회·세미나·공청회 또는 그 밖의 회의 등에서 한 강의·강연·기고·발표·토론·심사·평가·자문·의결 등의 대가로서 사례금을 받는 경우
  □ 단, 사례금을 받더라도 요청자가 국가나 지방자치단체인 경우는 신고대상 아님
  ▸ 국가 : 국회, 법원, 헌법재판소, 선거관리위원회, 감사원, 국가인권위원회, 중앙행정기관 및 소속기관
  ▸ 지방자치단체 : 지방자치단체(지방의회 포함), 시도 교육청 및 해당 지방자치단체의 행정기구의 조례에 
  포함된 직속기관, 사업소 등
  ※ 요청자가 공직유관단체, 공기업, 공사·공단, 사립학교, 언론사 등인 경우는 외부강의등 신고대상임 
  ② 외부강의등의 신고방법ˑ신고부서
  □ 신고방법 : 사례금 받는 외부강의등을 할 때 마친 날부터 10일 이내 서면으로 신고
  ○ 행정포털-감사관리-외부강의등 신고등록-온나라 연계기안-신고부서로 공문발송
  ▷ 증빙서류(외부강의등 요청 외부기관 공문서) 첨부
  ▷ 문서전결권자 준수 
  - 주무관ˑ팀장 신고(부서장 전결), 부서장 신고(국장 전결) 
  - 국장 신고(부시장 또는 실장 전결)
  □ 신고부서 
  ○ 본청 및 소속기관(소방재난본부, 상수도사업본부 제외) : 청렴감사담당관
  ※ 시의회사무처 : 총무담당관, 소방재난본부 : 소방감사담당관, 상수도사업본부 : 경영지원부(요금감사팀)
  ③ 외부강의등 사례금 상한액 ▷ 세전금액으로 신고
  □ 직급 구분 없이 시간당 40만원, 총액은 시간 상한액의 100분의 150 초과 불가
  ○ 1시간 : 최대 40만원, 1시간 초과 : 최대 60만원까지 수령 가능 
  ※ 사례금 상한액에는 강의료, 원고료, 출연료 등 명목에 관계없이 제공하는 일체의 사례금 포함
  ※ 단, 교통비, 숙박비, 식비는 사례금에 포함되지 아니하되, 소속기관과 중복하여 수령 불가
  □ 초과사례금을 받은 경우, 2일 이내에 서면신고 후 제공자에게 지체없이 반환
  ④ 외부강의등 횟수기준
  □ 대가를 받고 수행하는 외부강의등은 월3회를 초과할 수 없음
  □ 월3회를 초과하여 대가를 받고 외부강의등을 할 경우, 미리 행동강령책임관의 승인을 받아야 함</t>
  </si>
  <si>
    <t>민간 클라우드를 활용하여 정보화사업을 추진시 보안대책은 무엇인가요?</t>
  </si>
  <si>
    <t>ㅇ 클라우드 보안인증(CSAP) 획득한 민간 클라우드 서비스 이용
 ㅇ 공공 전용 영역과 민간영역이 물리적으로 분리된 공공 전용 클라우드 이용
 ㅇ 이용기관 內 인가받은 관리자(IP)만 클라우드 관리자 서비스에 접근
 ㅇ 클라우드 서비스 접속시 인증서, OTP, MAC 등 다중요소 인증방식 적용
 ㅇ 클라우드 시스템 보안점검 리스트를 참고하여 정기적으로 보안점검 수행
 ㅇ 해킹·장애 대응에 필요한 조치를 위한 사업자의 협조 의무사항 계약서에 명시
 ㅇ 민간 클라우드 컴퓨팅 서비스에 대한 이용기관의 보안관제 수행
 ㅇ 정보화사업 보안성검토 확행(시스템 중요도 분류 체크리스트</t>
  </si>
  <si>
    <t>2507_정보화정책과_2025년 국가정보원 「사이버보안 실태 평가」 대비 민간 클라우드 컴퓨팅 서비스 관련 자료 제출</t>
  </si>
  <si>
    <t>본문</t>
  </si>
  <si>
    <t>본문내용 인용</t>
  </si>
  <si>
    <t>정보화용역사업 추진시 사업 단계별 담당자가 준수해야할 절차는 무엇인가요?</t>
  </si>
  <si>
    <t>정보화용역사업 추진 단계별 준수 절차
 제1절 참여인원 보안관리
 1. 신원확인
  - 부적격자 배제, 국가공무원법/국가를 당사자로 하는 계약에 관한 법률 위반 시 교체 요구
  - 비밀사업 시 비밀취급 인가 등 보안조치 필수
 2. 보안서약서 &amp; 교육
  - 전원에 보안서약서 서약 (정보 유출 금지 조항 포함)
  - 법적·내부 규정에 따른 비밀유지 의무 교육 실시
 3. 정기·수시 보안점검
  - 누출금지 대상정보 관리 실태 확인
  - 위반 시 내부 처리기준에 따른 조치 + 재발방지 대책 마련
 제2절 사무실·장비 보안관리
 1. 수행 장소
  - 비인가자 출입통제(CCTV, 잠금장치 필수) + 정기적 보안점검
 2. 장비 관리
  - 발주기관 제공 장비 사용 원칙 (PC, 노트북 등 장비등록 대장 관리)
  - 개인장비 반입 금지 (적발 시 계약 조건에 따른 불이익)
 3. 장비 점검
  - 백신 설치, 비밀번호 설정, 매체제어 시스템 적용
  - 개인 모바일기기는 카메라·충전포트 스티커 부착 후 반입 허용
 제3절 내·외부망 접근 보안
 1. 망 분리 구성
  - 용역업체 망을 발주기관 내부·외부망과 분리 (별도 전용 통신망 구성)
 2. 내부망 접근 최소화
  - 지정 단말기로 제한적 접근, 사용자 계정 별도 그룹화 및 권한 차등 부여
  - 시스템 관리자(root) 권한 부여 금지
 3. 외부망 보안 강화
  - 인터넷 연결 전용 기기 지정, P2P/웹하드/클라우드 차단
  - 무선 통신(무선랜, 휴대폰 모뎀) 사용 통제
 제4절 자료에 대한 보안관리
 1. 인계·인수 대장 관리
  - 계약서 명시 자료는 자필 서명하여 대장 관리
 2. 자료 접근 및 회수
  - 잠금장치 보관함/비인터넷 PC에 저장
  - 비밀문서 열람 후 즉시 회수
 3. 점검 확인
  - 체크리스트 활용, 미회수 자료 유무 일일 점검</t>
  </si>
  <si>
    <t>2503_정보화정책과_정보화용역사업 보안관리 철저_붙임_국가·공공기관 용역업체 보안관리 가이드라인</t>
  </si>
  <si>
    <t>9, 10, 11, 12, 13, 14, 15</t>
  </si>
  <si>
    <t>가이드라인 편집 요약</t>
  </si>
  <si>
    <t>사무실 PC에 지켜야할 보안 점검 항목은 무엇인가요?</t>
  </si>
  <si>
    <t>ㅇ CMOS 및 윈도우 비밀번호 설정, 정기적 변경(유추하기 어려운 비밀번호 설정)
 ㅇ 작업 일정 시간 중단 시 비밀번호를 적용한 화면보호기 설정(10분 권고)
 ㅇ 최신 백신SW 설치, 운영체제 및 응용프로그램 최신 보안패치
 ㅇ 출처, 유통경로 및 제작자가 불분명한 응용프로그램 사용 금지
 ㅇ 업무와 무관한 소프트웨어 설치 금지(카카오톡, 게임, 증권, 재테크 등)
 ㅇ 업무용 PC 내 불필요한 개인정보 파기 등 보호 조치
 ㅇ 매월 사이버보안 진단의 날 PC보안 취약점 점검 및 조치(100점)</t>
  </si>
  <si>
    <t>2301_부산광역시_업무매뉴얼_국가정보원_국가 정보보안 기본지침</t>
  </si>
  <si>
    <t>66, 67</t>
  </si>
  <si>
    <t>제74조(단말기 보안) 내용 전문</t>
  </si>
  <si>
    <t>서버 운용시 취약한 서비스 포트는 무엇인가요?</t>
  </si>
  <si>
    <t>ㅇ 기본포트 변경 대상
  - ssh(22), rdp(3389), vnc(5800, 5900) 등
 ㅇ 보안 취약 서비스로 사용 금지 대상
  - ftp(20,21), telnet(23), SMTP(23), rpc(135), NetBios(139), SMB(445), rlogin(513), rsh(514), MS SQL(1433/1434)</t>
  </si>
  <si>
    <t>2510_정보화정책과_2025년 사이버보안 관리실태 평가 현장실사에 따른 협조 요청</t>
  </si>
  <si>
    <t>붙임3_정보시스템 보안 체크리스트</t>
  </si>
  <si>
    <t>체크리스트 일부 내용 발췌</t>
  </si>
  <si>
    <t>방화벽 등 IT보안제품 도입시 안정성 검증된 제품은 어디에서 확인할 수 있나요?
 &gt;&gt; 근거자료에 관련 내용 없음</t>
  </si>
  <si>
    <t>ㅇ 안정성 검증필 제품이란 
  - 국가정보원법 제4조 등에 따라 국가정보원장이 정한 보안기준을 만족한 제품으로
  '보안기능 확인서', '국내용 CC인증서' 등이 발급된 제품
 ㅇ 제품 확인 방법은
  - 사이트명 : 국가정보원 '국가사이버안보센터'
  - 메뉴명 : 보안적합성검증 - 안정성 검증필 제품목록
  - URL : www.ncsc.go.kr</t>
  </si>
  <si>
    <t>국가정보원법 제4조
 전자정부법 제56조
 사이버안보업무규정 제9조</t>
  </si>
  <si>
    <t>기술지원 중단 된 소프트웨어 대상은 무엇이 있나요? (25.12월 기준)</t>
  </si>
  <si>
    <t>◦(기술지원 종료 SW) 정보화정책과-17848(‘25.9.23) 공문 참고
  - MS오피스 2019 이하 삭제(2019, 2016, 2013 등) ⇒ 2021 이상 버전 설치
  - 한컴오피스 NEO 이하 삭제(NEO, 2014, 2010 등) ⇒ 2022 이상 버전 설치
  - 기타 Adobe Flash Player, 알캡쳐·알PDF·알집 구버전 등</t>
  </si>
  <si>
    <t>2510_2025년 사이버보안 관리실태 평가 현장실사에 따른 협조 요청</t>
  </si>
  <si>
    <t>외부인사가 부산시 회의 참석시 수당은 얼마인가요?</t>
  </si>
  <si>
    <t>지급 수준과 실비 보전
  - 위원회: 1일(2시간) 기준 기본료는 100,000원이며, 초과 시간당 50,000원을 추가로 지급(단, 초과는 2시간 이상 시 1일 1회만 지급)
  ※ 사이버위원회: 1회(2시간) 기준 기본료는 50,000원이고, 초과 시간당 20,000원을 추가로 지급</t>
  </si>
  <si>
    <t>부산광역시 소속 위원회 위원 수당 및 여비 지급에 관한 조례</t>
  </si>
  <si>
    <t>[별표]수당의 지급기준</t>
  </si>
  <si>
    <t>2006년 2월 입사했는데 20년차 장기재직 휴가를 언제까지 사용해야 하나요?
 또는
 재직기간별 장기재직휴가 사용 마감기한은 언제까지 인가요?</t>
  </si>
  <si>
    <t>1. 재직기간 별 해당 기간 내 반드시 사용
 2.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</si>
  <si>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부산광역시 공무원 장기재직휴가 시행지침 개정전문</t>
  </si>
  <si>
    <t>2, 5</t>
  </si>
  <si>
    <t>나. 재직기간 별 해당 기간 내 반드시 사용
 - ’23.10.11. 「부산광역시 공무원 복무 조례」개정으로 확대된 장기재직
 휴가 일수가 6개월 내 소멸 예정인 자는 신설·확대된 장기재직
 휴가 5일에 한하여 소멸유예기간을 적용하여 ’24. 4. 1.한 사용 가능
 * 대상자 : ’23.10.2. 기준 재직기간이 9년 6월 ~ 11월 또는, 재직기간이 29년 6월 ~ 11월인 자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</si>
  <si>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1996년 10월 입사했는데 장기재직휴가 일수는 며칠이야?</t>
  </si>
  <si>
    <t>재직기간 별 휴가기간
 1. 5년 ~ 9년 : 5일
 2. 10년 ~ 19년 : 15일
 3. 20년 ~ 29년 : 25일
 4. 30년 이상 :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</si>
  <si>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4. 실시방법 : 재직기간에 따라 해당 기간 중 장기재직휴가 실시
 재직기간 5년 ~ 9년 10년 ~ 19년 20년 ~ 29년 30년 이상
 휴가일수 5일 10일 25일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</si>
  <si>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공유재산 사용허가/대부의 경우 수의계약 대상 관련 근거는 무엇인가요?</t>
  </si>
  <si>
    <t>○ (행정재산) ｢공유재산 및 물품 관리법｣ 제20조제2항, 같은 법 시행령 제13조제3항
 ○  (일반재산) ｢공유재산 및 물품 관리법｣ 제29조제1항, 같은 법 시행령 제29조제1항
 ○  다른 법률에서 공유재산에 대한 수의계약 등을 규정하고 있는 경우</t>
  </si>
  <si>
    <t>2024 공유재산 업무편람</t>
  </si>
  <si>
    <t>84</t>
  </si>
  <si>
    <t>김헌호(2263)</t>
  </si>
  <si>
    <t>연간 사용(대부)료 산출방법은?</t>
  </si>
  <si>
    <t>○ 연간 사용료(대부료) = 재산가격(시행령 제31조에 따라 산출한 재산가격) × 사용료율(대부료율)
  ○ 사용(대부)료 부과, 징수 기준은 다음과 같습니다
  1) 건물 전체인 경우: 건물평가액과 부지평가액을 합산하여 재산의 평가액을 산정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합계)÷해당 부지 내 건물의 연면적)</t>
  </si>
  <si>
    <t>97, 98, 99, 100, 101, 102, 103, 104, 105, 106, 107</t>
  </si>
  <si>
    <t>98P 
 ○ 연간 사용료(대부료) = 재산가격(시행령 제31조에 따라 산출한 재산가격) × 사용료율(대부료율)
 102P
 ○ 사용, 대부료 부과, 징수 기준
  1) 건물 전체인 경우: 건물평가액+부지평가액 = 재산의 평가액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 해당 부지 내 건물의 연면적</t>
  </si>
  <si>
    <t>행정재산에 대해 사용허가를 연장하는 경우, 「공유재산 및 물품관리법」과 「상가임대차법」 중 어느 법을 적용해야하는 가요?</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</si>
  <si>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</si>
  <si>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2023 공유재산 질의회신 및 감사 사례집</t>
  </si>
  <si>
    <t>106</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</si>
  <si>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</si>
  <si>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박창범(2262)</t>
  </si>
  <si>
    <t>「공유재산 및 물품 관리법 시행령」제29조제1항제2호에서의 '해당 지방자치단체에 거주하는' 에서의 거주의 의미는 무엇인가요?
 &gt;&gt; 근거자료 미제출</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</si>
  <si>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규정하고 있습니다. 
 ○ 이와 같이 대통령령 제29324호에서 '농업인'을 '해당 지방자치단체에 거주하는 농업인'으로 개정한 취지는 
 • 당해 자치단체에 주소를 두고 생활하면서 
 • 세금을 납부하고 있는 주민 중 
 • 농업을 경영하거나 이에 종사하는 자에게 
  자치단체 경작용재산을 수의계약으로 대부할 수 있도록 혜택을 부여하여 그 주민의 경제적 혜택과 복리를 증진하기 위한 입법 목적일 것이므로 
 ○ 시행령에서 말하는 '거주'는 해당 자치단체에 주민등록을 두고 있는 자로 보는 것이 타당합니다.</t>
  </si>
  <si>
    <t>2024 공유재산 실무과정 1기 책자</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</si>
  <si>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
 ○ 이와 같이 대통령령 제29324호에서 '농업인'을 '해당 지방자치단체에 거주하는 농업인'으로 개정한 취지는 당해 자치단체에 주소를 두고 생활하면서 세금을 납부하고 있는 주민 중 농업을 경영하거나 이에 종사하는 자에게 자치단체 경작용재산을 수의계약으로 대부할 수 있도록 혜택을 부여하여 그 주민의 경제적 혜택과 복리를 증진하기 위한 입법 목적일 것이므로 해당 자치단체에 주민등록을 두고 있는 자로 보는 것이 타당</t>
  </si>
  <si>
    <t>공유재산 변상금이란 무엇인가요?</t>
  </si>
  <si>
    <t>○ 공유재산 변상금은 「공유재산 및 물품 관리법」 제81조 및 같은 법 시행령 제81조에 근거하여 부과되는 금액으로
 ○ 공유재산을 대부 또는 사용허가 등을 받지 아니하고 점유･사용하였을 경우, 또는 대부･사용허가 기간이 끝난 후 다시 대부 또는 사용허가 등을 받지 아니하고 공유재산을 계속 점유하거나 사용･수익한 자를 포함한 경우 부과하는 일종의 징벌적 행정처분으로 
 ○ 부과기준은 해당 재산의 사용료나 대부료의 100분의 120에 상당하는 금액입니다.</t>
  </si>
  <si>
    <t>250</t>
  </si>
  <si>
    <t>가. 근 거
 ❍ ｢공유재산 및 물품 관리법｣ 제81조, 같은 법 시행령 제81조
 나. 의 의
 ❍ 공유재산을 대부 또는 사용허가 등을 받지 아니하고 점유･사용하였을 경우 해당 재산의
 사용료나 대부료의 100분의 120에 상당하는 금액을 부과하는 일종의 징벌적 행정처분임
 ❍ 대부 또는 사용허가 기간이 끝난 후 다시 대부 또는 사용허가 등을 받지 아니하고
 공유재산을 계속 점유하거나 사용･수익한 자를 포함함</t>
  </si>
  <si>
    <t>김태영(2268)</t>
  </si>
  <si>
    <t>변상금 분할납부가 가능한가요?</t>
  </si>
  <si>
    <t>○ 「공유재산 및 물품 관리법 시행령」 제81조에 따라, 변상금이 50만 원을 초과하는 경우, 시중은행 1년 만기 정기예금의 평균 수신금리를 고려하여 행정안전부장관이 고시한 이자율을 적용한 이자를 붙여 최대 3년 범위 내에서 분할납부를 허용할 수 있습니다.
 ○ 이 경우 최초로 변상금을 부과·고지할 때에는 분할납부 대상 금액, 납부기한 및 산출근거를 명시한 문서로 통지하여야 합니다.
 ○ 변상금은 납부기한 경과 시 연체료가 발생하므로, 기한 경과 후에는 분할납부 신청이 불가합니다.
 ○ 분할납부를 허용한 경우에도, 분납기한 도래 전 잔여 변상금을 일시 납부하면 잔여 기간에 대한 분납이자는 면제됩니다.</t>
  </si>
  <si>
    <t>259, 260</t>
  </si>
  <si>
    <t>6. 분할 납부
 가. 변상금은 대통령령으로 정하는 바에 따라 나누어 내게 할 수 있음(법 제81조제2항)
 나. 분할납부 대상(시행령 제81조)
 ❍ 변상금이 50만원을 초과하는 경우에는 시중은행의 1년만기 정기예금의 평균 수신금리를
 고려하여 행정안전부 장관이 정하여 고시하는 이자율을 적용한 이자를 붙여 3년 이내의
 기간에 걸쳐 분할납부하게 할 수 있음
 _x0002_ 변상금을 징수할 때에는 그 금액, 납부기한, 납부 장소 및 변상금의 산출 근거를 분명하게
 적은 문서로 알려야 하며, 납부기한은 변상금 납부 통지일로 부터 60일 이내로 함
 다. 분할납부 방법
 ❍ 변상금 잔액에 대하여 시중은행의 1년만기 정기예금의 평균 수신금리를 고려하여 행정안
 전부 장관이 정하여 고시하는 이자율을 적용한 이자를 붙여 3년 이내의 기간으로 해당
 시중은행의 1년 만기 정기예금의 평균 수신금리를 고려하여 분할납부
 ❍ 이 경우에 최초로 변상금을 부과 고지하는 때에는 분할납부할 변상금, 납부기한 및
 산출근거를 기재한 문서로 통지하여야 함
 ❍ 변상금이 납부기한이 경과된 이후에는 연체료가 발생하므로 납부기한 경과 이후에는
 분할납부 신청 불가
 ❍ 변상금 분할납부 허용 후 분납기일 도래 전 잔여 분납 변상금을 모두 납부한 경우
 잔여기간에 대한 분납이자 납부를 면제함
 라. 분할납부시 각 분납금에 대한 소멸시효
 ❍ 변상금 분납의 경우 각 기한이 도래하는 때부터 소멸시효가 진행</t>
  </si>
  <si>
    <t>공유재산 매수신청 절차가 어떻게 되나요?</t>
  </si>
  <si>
    <t>매각 계약 절차에 관련된 링크만 제공</t>
  </si>
  <si>
    <t>200</t>
  </si>
  <si>
    <t>200P 3. 계약절차의 가. 매각 흐름도(예시)
 매각 계약 절차에 관련된 링크만 제공</t>
  </si>
  <si>
    <t>김수연(2264)</t>
  </si>
  <si>
    <t>공유재산 일반재산의 처분시 수의계약 요건은 어떻게 되나요?</t>
  </si>
  <si>
    <t>○ 「공유재산 및 물품 관리법」 제29조제1항 및 같은 법 시행령 제38조제1항에 따라, 아래에 어느 하나에 해당하는 경우 수의계약으로 매각할 수 있습니다. 세부 적용대상은 다음과 같습니다.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t>
  </si>
  <si>
    <t>「공유재산 및 물품 관리법 시행령」 제38조제1항</t>
  </si>
  <si>
    <t>제29조(계약의 방법) ① 일반재산을 대부하거나 매각하는 계약을 체결할 때에는 일반입찰에 부쳐야 한다. 다만, 대통령령으로 정하는 경우에는 제한경쟁 또는 지명경쟁에 부치거나 수의계약으로 할 수 있으며, 증권의 경우에는 「자본시장과 금융투자업에 관한 법률」 제9조제9항에 따른 증권매출의 방법으로 하며, 이 법 제4조제1항제2호 및 제3호의 일반재산을 매각하는 경우에는 제76조제3항을 준용한다.&lt;개정 2010. 2. 4., 2015. 1. 20., 2021. 4. 20.&gt;
 제38조(수의계약으로 매각할 수 있는 경우 등) ① 지방자치단체의 장은 일반재산이 다음 각 호의 어느 하나에 해당하는 경우에는 법 제29조제1항 단서에 따라 수의계약으로 매각할 수 있다.&lt;개정 2009. 12. 15., 2010. 6. 28., 2010. 8. 4., 2012. 4. 10., 2013. 3. 23., 2014. 7. 7., 2014. 11. 19., 2015. 2. 16., 2015. 7. 20., 2016. 7. 12., 2017. 7. 26., 2018. 1. 9., 2018. 9. 18., 2023. 4. 11., 2025. 1. 7.&gt;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삭제&lt;2018. 1. 9.&gt;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한다.&lt;개정 2010. 8. 4., 2015. 7. 20.&gt;
 [전문개정 2009. 4. 24.]</t>
  </si>
  <si>
    <t>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&gt;&gt; 자료 미제출</t>
  </si>
  <si>
    <t>「공유재산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</si>
  <si>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Q. 기부채납 재산의 반환 가능여부
 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A. 「공유재산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</si>
  <si>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김세영(2269)</t>
  </si>
  <si>
    <t>행정재산의 사용허가 시, 해당 건물의 일부가 출입통제구역인 경우 공용면적에서 제외할 수 있는지와 설비공간 등이 공용면적에 해당하는지 여부</t>
  </si>
  <si>
    <t>○참조조항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</si>
  <si>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113</t>
  </si>
  <si>
    <t>Q. 행정재산의 사용허가 시, 해당 건물의 일부가 출입통제구역인 경우 공용면적에서 제외할 수 있는지와 설비공간 등이 공용면적에 해당하는지 여부
 A. ○참조조항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</si>
  <si>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공유재산 관리계획 수립대상은?
 &gt;&gt; 자료 미제출</t>
  </si>
  <si>
    <t>○ 수립개요: 공유재산 관리계획은 지방자치단체가 공유재산의 취득과 처분을 결정하기 전에 지방의회의 의결을 받는 것을 의미
  ○ 다음 기준에 해당하는 토지와 건물 및 그 부대시설은 관리계획 수립대상입니다
  - (가격기준) 1건당 취득의 경우 20억 이상, 처분의 경우 10억 이상
  - (면적기준) 1건당 취득의 경우 6천㎡ 이상, 처분의 경우 5천㎡이상
  ○ 관리계획 수립 후 내용이 취소되거나 일부를 변경하는 경우에도 대상이 됩니다.
  - 사업목적 또는 용도가 변경된 경우, 공유재산 위치변경, 토지의 면적이나토지·건물가격이 30% 초과하여 증감 등</t>
  </si>
  <si>
    <t>공유재산심의 및 공유재산 관리계획 설명자료</t>
  </si>
  <si>
    <t>p2</t>
  </si>
  <si>
    <t>○ 수립개요: 공유재산 관리계획은 지방자치단체가 공유재산의 취득과 처분을 결정하기 전에 지방의회의 의결을 받는 것을 의미
  ○ 범 위: 토지와 건물 및 그 부대시설의 기준가격과 토지면적
  - (가격기준) 1건당 취득의 경우 20억 이상, 처분의 경우 10억 이상
  - (면적기준) 1건당 취득의 경우 6천㎡ 이상, 처분의 경우 5천㎡이상
  ○ 관리계획 수립 후 내용이 취소되거나 일부를 변경할 때
  - 사업목적 또는 용도가 변경된 경우, 공유재산 위치변경, 토지의 면적이나토지·건물가격이 30% 초과하여 증감 등</t>
  </si>
  <si>
    <t>이주영(2267)</t>
  </si>
  <si>
    <t>공유재산 관리계획 반영 시기
 &gt;&gt; 자료 미제출</t>
  </si>
  <si>
    <t>○ 반영시기: 기본계획 확정 후 예산의결前 시의회 의결(「공유재산 및 물품 관리법」\ 제10조)
  - 예산사업: 기본·실시설계 용역 예산의결 전
  - 비예산사업(기부채납 등) : 방침결정 후 사업추진 전</t>
  </si>
  <si>
    <t>p3</t>
  </si>
  <si>
    <t>○ 반영시기: 기본계획 확정 후 예산의결前 시의회 의결(공유재산법 제10조)
  - 예산사업: 기본·실시설계 용역 예산의결 전
  - 비예산사업(기부채납 등) : 방침결정 후 사업추진 전</t>
  </si>
  <si>
    <t>공유재산심의회 심의 대상은?
 &gt;&gt; 자료 미제출</t>
  </si>
  <si>
    <t>○ 기준가격 1억원 초과 공유재산의 취득․처분
  - 취 득: 매입, 기부채납, 무상귀속, 환지,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 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</si>
  <si>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p1-p2</t>
  </si>
  <si>
    <t>기준가격 1억원 초과 공유재산의 취득․처분
  - 취 득: 매입, 기부채납, 무상귀속, 환지, 무상귀속,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</si>
  <si>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전경환(2265)</t>
  </si>
  <si>
    <t>공유재산심의회 절차 이행사항
 &gt;&gt; 자료 미제출</t>
  </si>
  <si>
    <t>○ 예산수반사업 ▷ 시의회 예산의결前 절차이행
  - 계획수립단계 : 예산담당관, 회계재산담당관 협의
  ▷ 예산담당관(사업비 예산편성), 회계재산담당관(공유재산심의, 관리계획)
  - 예산편성단계 : 공유재산심의 절차이행 여부 확인
  ▷ 공유재산심의 미 이행시 예산편성 배제, 사업추진 원천차단
 ○비예산사업/기부채납 * 기부채납은 기부신청서 접수 → 내부방침 확정후
  - 소관부서 : 재산가치, 조건수반등 검토 → 수락여부 결정
  ▷ 내부방침 확정 전 회계재산담당관 협조 이행
  ▷ 1억원 초과 시 공유재산심의 대상(소관부서→회계재산담당관)</t>
  </si>
  <si>
    <t>용도변경과 그 대상은 어떤것인가요?</t>
  </si>
  <si>
    <t>○ 공유재산의 용도변경은 일반재산을 행정재산으로 전환하거나 행정재산을 다른 행정목적으로 바꾸는 경우를 말합니다
 ○ 대상예시: 일반재산→행정재산(공용재산), 공용재산→공공용 재산, 공공용 재산→보존용재산 전환 등</t>
  </si>
  <si>
    <t>○ 일반재산을 행정재산으로 전환하거나 행정재산을 다른 행정목적으로 바꾸
 는 경우를 말함.
  ○ 일반재산을 행정재산(공용재산)으로, 공용재산을 공공용 재산으로, 공공용 재산을 보존용재산으로의 전환 등</t>
  </si>
  <si>
    <t>김여정(2266)</t>
  </si>
  <si>
    <t>「공유재산 및 물품 관리법」 제11조의 행정재산의 용도변경은 행정재산 대분류간 변경에만 해당되나요? 공용재산 또는 공공용 재산 내에서라도 관리부서변경 또는 사업 목적 등이 변경되었다면 행정목적의 용도변경으로 볼 수 있나요?
 &gt;&gt; 근거자료 미제출</t>
  </si>
  <si>
    <t>○ 「공유재산 및 물품 관리법」 제5조는 공유재산을 행정재산과 일반재산으로 구분하고, 행정재산은 다시 공용재산·공공용재산·기업용재산·보존용재산으로 세분하고 있습니다.
 ○ 법 제11조는 행정재산의 용도변경 또는 폐지가 가능한 경우를 다음과 같이 규정하고 있습니다.
  - 행정재산이 사실상 행정목적으로 사용되지 아니하게 된 경우
  - 체육시설·회의시설·전시장 등 공공시설의 일부를 원래 용도로 사용하지 아니하기로 한 경우
  - 법 제43조의3에 따른 위탁개발이 필요한 경우
  - 일반재산을 행정재산으로 용도 변경하려는 경우
 ○ 또한, 법 제16조제2항은 공유재산심의회의 심의대상으로 행정재산의 용도변경, 일반재산을 행정재산으로 변경하는 경우를 명시하고 있습니다.
 ○ 위 규정과 입법취지를 종합적으로 고려하면, 법 제11조의 ‘용도변경’은 행정재산의 대분류(공용·공공용·기업용·보존용) 간 변경을 의미하는 것으로 해석하는 것이 타당합니다.
 ○ 따라서 같은 행정재산 대분류 내에서 관리부서가 변경되거나 사업 목적이 일부 조정되는 것만으로는 법 제11조상의 ‘용도변경’에 해당한다고 보기 어렵습니다.
 이는 내부적 관리관계의 변경에 불과하며, 행정재산의 법적 성격(공용·공공용 등) 자체가 변경되는 경우에만 법 제11조의 용도변경 절차가 적용됩니다.</t>
  </si>
  <si>
    <t>○ 「공유재산 및 물품 관리법」 제5조에서 공유재산은 그 용도에 따라 행정재산과 일반재산으로 구분 행정재산은 공용재산, 공공용재산, 기업용재산, 보존용재산으로 구분 ○ 법 제11조에서 용도를 변경하거나 폐지하는 경우로서 1. 행정재산이 사실상 행정목적으로 사용하지 아니하게 된 경우 2. 행정재산인 국제경기장 등 체육시설, 국제회의장 등 회의시설, 국제전시장 등 전시장, 그 밖의 공공시설로서 그 일부를 원래 용도로 사용하지 아니하기로 한 경우 3. 법 제43조의3에 따른 위탁개발을 하기 위하여 필요한 경우 4. 일반재산을 행정재산으로 용도 변경하려는 경우를 규정 법 제16조제2항에서 공유재산심의회 심의대상으로 행정재산을 용도변경하는 경우와 일반재산을 행정재산으로 변경하는 경우를 규정 ○ 위와 같은 입법 취지를 고려할 때 행정재산의 용도변경이라 함은 법 제5조제2항 각 호의 용도 간 변경으로 보는 것이 타당함</t>
  </si>
  <si>
    <t>용도폐지와 그 대상은 어떤 것인가요?</t>
  </si>
  <si>
    <t>○ 공유재산의 용도폐지는 행정목적 본래의 기능을 상실한 공용재산, 공공용재산 등 행정재산에 대하여 기존 용도를 폐지하여 일반재산으로 전환하는 것을 말합니다.
 ○ 대상예시
  ① 청사･도로･공원 등 공용･공공용 재산 등의 행정재산이 사실상 사용되지 않게 된 경우
  ② 행정 목적으로 사용할 필요가 없게 된 경우</t>
  </si>
  <si>
    <t>○ 행정목적 본래의 기능을 상실한 공용재산, 공공용재산 등 행정재산에 대하
 여 기존 용도를 폐지하여 일반재산으로 전환하는 것을 말함
 ○ 청사･도로･공원 등 공용･공공용 재산 등의 행정재산이 사실상 사용되지 아니하거나 
 행정 목적으로 사용할 필요가 없게 된 경우</t>
  </si>
  <si>
    <t>김주홍(2261)</t>
  </si>
  <si>
    <t>현금이나 물품을 기부채납 할 수있나요?</t>
  </si>
  <si>
    <t>○ ｢공유재산 및 물품 관리법｣ 제2조제3호에 따른 기부채납이란 해당 지방자치단체 외의 자가 공유재산으로 편입되는 재산의 소유권을 무상으로 지방자치단체에 이전하여 지방자치단체가 이를 취득하는 것을 말합니다.
 ○ 지방자치단체는 법 제7조 및 시행령 제5조에 따라 행정재산 또는 일반재산으로 편입(증가) 가능한 재산을 기부채납 형태로 받을 수 있습니다.
 ○ 즉, 기부채납은 공유재산으로 편입(증가)되는 재산이어야 합니다. 따라서, 현금은 ｢공유재산 및 물품 관리법｣제4조에 의한 공유재산에 해당하지 않으므로, 금전의 투자를 기부채납 대상으로 보는 것은 인정하기는 어렵습니다.</t>
  </si>
  <si>
    <t>20</t>
  </si>
  <si>
    <t>○ 기부채납이란 해당 지방자치단체 외의 자가 공유재산으로 편입되는 재산의 소유권을 무상으로 지방자치단체에 이전하여 지방자치단체가 이를 취득하는 것을 말함(법 제2조제3호) 
 ○ 지방자치단체는 행정재산 또는 일반재산으로 기부받을 수 있음 
 ○ 공유재산으로 편입(증가)되는 재산이어야 함 
 - 현금은 ｢공유재산 및 물품 관리법｣제4조에 의한 공유재산에 해당하지 않으므로 금전의 투자를 기부채납 대상으로 보는 것은 곤란함</t>
  </si>
  <si>
    <t>공유재산심의 및 관리계획을 생략할 수 있나요?
 &gt;&gt; 근거자료 미제출</t>
  </si>
  <si>
    <t>다음 내용에 해당하는 경우에는 공유재산심의 및 관리계획 수립 절차를 생략할 수 있습니다
 ○ 「공유재산 및 물품 관리법 시행령」제7조제3항각호에 해당하는 취득․처분
  1. 「공유재산 및 물품 관리법」이 아닌 다른 법률에 따른 무상귀속
  2. 「도시개발법」 등 다른 법률에 따른 환지
  3. 법원의 판결에 의한 소유권 등의 취득 또는 상실
  4. 「공익사업을 위한 토지 등의 취득 및 보상에 관한 법률」에 따른 취득(「국토의 계획 및 이용에 관한 법률」제2조제6호가목 나목 또는 마목의 기반시설을 설치·정비 또는 개량하는 경우만 해당한다)·처분
  5. 「도시 및 주거환경정비법」제68조에 따른 무상양여
  6. 「기업활동 규제완화에 관한 특별조치법」제14조에 따른 중소기업자에 대한 공장용지 매각 
  7. 지방의회의 의결 또는 동의를 받은 재산의 취득․처분 
  8. 「지방세법」제117조에 따른 물납
  9. 다른 법률에 따라 관리계획의 적용이 배제된 재산의 취득․처분
  10. 다른 법률에 따라 해당 지방자치단체의 취득․처분이 의무화된 재산 취득·처분
  11. 다른 법률에 따라 인가․허가 또는 사업승인 시 조건에 의하여 주된사업대상물에 딸린 공공시설의 취득
  12. 공유재산을 종전과 동일한 목적과 규모로 대체하는 재산의 취득(재산 위치가 변경되지 않는 경우를 전제로 함)
 ○ 「건축법」제57조 제1항에 따른 최소 분할면적에 미달하는 토지의 취득․처분
 ○ 기준가격 1억원 이하인 재산의 취득․처분</t>
  </si>
  <si>
    <t>하은지(2482)</t>
  </si>
  <si>
    <t>건물의 리모델링은 관리계획 수립대상인가요?</t>
  </si>
  <si>
    <t>○ 건물의 리모델링이 단순 구조변경, 보수 등으로 물건의 증감 또는 소유권의 변동이 없는 경우는 관리계획 수립대상에 해당하지 않음</t>
  </si>
  <si>
    <t>참조조항 : 「공유재산 및 물품 관리법」 제4조제1항, 제10조제1항
 ‌ ‌ 「공유재산법」 제10조제1항에 따라 자치단체의 장은 예산을 지방의회에 의결
 하기 전에 매년 공유재산의 취득과 처분에 관한 계획(관리계획)을 수립하여
 그 지방의회의 의결을 받도록 규정하고 있습니다.
 ‌ ‌ 부동산과 그 종물 등 같은 법 제4조제1항 각 호의 어느 하나에 해당하는 공
 유재산의 취득 또는 처분인 경우에는 관리계획을 수립하여야 할 것이나, 물건
 의 증감 또는 소유권의 변동이 없는 단순 리모델링은 관리계획 수립 대상에
 해당하지 않을 것으로 사료됩니다.</t>
  </si>
  <si>
    <t>다른 법률에서 규정하고 있는 공유재산 '사용료 등의 감면' 특례 조항은 어디에 있나요?</t>
  </si>
  <si>
    <t>공유재산 사용료 등의 감면 특례는 타 개별 법률에 규정되어 있으며, 현행 기준으로 총 158개의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「국제경기대회 지원법」 제13조, 제22조
 ○ 「국제과학비즈니스벨트 조성 및 지원에 관한 특별법」 제23조, 제29조, 제31조
 ○ 「국토의 계획 및 이용에 관한 법률」 제65조
 ○ 「국회사무처법」 제10조
 ○ 「규제자유특구 및 지역특화발전특구에 관한 규제특례법」 제54조, 제127조, 제131조
 ○ 「금융중심지의 조성과 발전에 관한 법률」 제12조의2
 ○ 「금융혁신지원 특별법」 제26조
 ○ 「기업도시개발 특별법」 제26조
 ○ 「노인복지법」 제54조
 ○ 「녹색융합클러스터 조성 및 육성에 관한 법률」 제16조
 ○ 「녹색제품 구매촉진에 관한 법률」 제17조의3
 ○ 「농어촌마을 주거환경 개선 및 리모델링 촉진을 위한 특별법」 제17조, 제37조
 ○ 「농업인등의 농외소득 활동 지원에 관한 법률」 제14조
 ○ 「농촌진흥법」 제34조
 ○ 「대한노인회 지원에 관한 법률」 제4조
 ○ 「대한민국헌정회 육성법」 제3조
 ○ 「대한적십자사 조직법」 제23조
 ○ 「도서관법」 제35조
 ○ 「도시개발법」 제66조, 제69조
 ○ 「도시 및 주거환경정비법」 제57조, 제61조, 제97조, 제99조, 제100조, 101조(양여)
 ○ 「도시재생 활성화 및 지원에 관한 특별법」 제30조, 제30조의2, 제49조, 제54조
 ○ 「도시재정비 촉진을 위한 특별법」 제25조
 ○ 「도청이전을 위한 도시건설 및 지원에 관한 특별법」 제34조
 ○ 「독도의용수비대 지원법」 제15조
 ○ 「독립기념관법」 제14조
 ○ 「동북아역사재단 설립･운영에 관한 법률」 제15조
 ○ 「무역거래기반 조성에 관한 법률」 제12조
 ○ 「무형유산의 보전 및 진흥에 관한 법률」 제25조, 제47조
 ○ 「국가유산기본법」 제32조
 ○ 「물류시설의 개발 및 운영에 관한 법률」 제30조
 ○ 「민주화운동기념사업회법」 제15조
 ○ 「바르게살기운동조직 육성법」 제4조
 ○ 「법률구조법」 제28조
 ○ 「벤처기업육성에 관한 특별조치법」 제17조의4, 제19조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 「여성기업지원에 관한 법률」 제16조
 ○ 「여수세계박람회 기념 및 사후활용에 관한 특별법」 제6조
 ○ 「영유아보육법」 제39조의2
 ○ 「외국인투자 촉진법」 제13조, 제13조의2
 ○ 「용산공원 조성 특별법」 제38조
 ○ 「울산과학기술원법」 제15조
 ○ 「일제하 일본군위안부 피해자에 대한 보호･지원 및 기념사업
 ○ 「임업 및 산촌 진흥촉진에 관한 법률」 제29조의3
 ○ 「자원봉사활동 기본법」 제16조
 ○ 「자유무역지역의 지정 및 운영에 관한 법률」 제18조, 제20조,
 ○ 「작은도서관 진흥법」 제9조
 ○ 「장애인기업활동 촉진법」 제15조
 ○ 「장애인복지법」 제48조
 ○ 「재해위험 개선사업 및 이주대책에 관한 특별법」 제17조
 ○ 「전통시장 및 상점가 육성을 위한 특별법」 제11조의2, 제17조의2, 제18조, 제19조, 제21조, 제40조
 ○ 「정보통신산업 진흥법」 제28조
 ○ 「제주특별자치도 설치 및 국제자유도시 조성을 위한 특별법」 제152조, 제165조, 제183조, 제222조, 제261조
 ○ 「중소기업창업 지원법」 제53조
 ○ 「중소기업협동조합법」 제9조
 ○ 「중･저준위 방사성폐기물 처분시설의 유치지역지원에 관한 특별법」 제11조
 ○ 「중증장애인생산품 우선구매 특별법」 제17조
 ○ 「지방공무원 교육훈련법」 제23조
 ○ 「지방문화원진흥법」 제15조
 ○ 「지방자치단체출연 연구원의 설립 및 운영에 관한 법률」 제15조
 ○ 「지역 개발 및 지원에 관한 법률」 제52조
 ○ 「지역 산업위기 대응 및 지역경제 회복을 위한 특별법」 제21조
 ○ 「지역중소기업 육성 및 혁신촉진 등에 관한 법률」 제18조, 제28조
 ○ 「참전유공자 예우 및 단체설립에 관한 법률」 제28조
 ○ 「첨단의료복합단지 육성에 관한 특별법」 제18조
 ○ 「청소년 기본법」 제55조, 제57조
 ○ 「체육시설의 설치･이용에 관한 법률」 제5조, 제6조
 ○ 「초지법」 제17조, 제18조
 ○ 「크루즈산업의 육성 및 지원에 관한 법률」 제8조
 ○ 「태권도 진흥 및 태권도공원 조성 등에 관한 법률」 제17조
 ○ 「특수임무유공자 예우 및 단체설립에 관한 법률」 제65조의2
 ○ 「폐광지역 개발 지원에 관한 특별법」 제11조의2, 제11조의3
 ○ 「폐교재산의 활용촉진을 위한 특별법」 제5조, 제6조
 ○ 「한국4에이치활동 지원법」 제5조의2
 ○ 「한국대학교육협의회법」 제10조
 ○ 「한국사학진흥재단법」 제16조
 ○ 「한국연구재단법」 제12조
 ○ 「한국자유총연맹 육성에 관한 법률」 제2조
 ○ 「한국장학재단 설립 등에 관한 법률」 제19조
 ○ 「한국전문대학교육협의회법」 제10조
 ○ 「한국청소년연맹 육성에 관한 법률」 제4조
 ○ 「한국학중앙연구원 육성법」 제3조
 ○ 「한국해양과학기술원법」 제11조
 ○ 「한국해양소년단연맹 육성에 관한 법률」 제3조
 ○ 「한국환경공단법」 제22조
 ○ 「항만공사법」 제27조
 ○ 「해양산업클러스터의 지정 및 육성 등에 관한 특별법」 제20조
 ○ 「해양치유자원의 관리 및 활용에 관한 법률」 제18조
 ○ 「해양환경관리법」 제105조
 ○ 「해외진출기업의 국내복귀 지원에 관한 법률」 제13조의2, 제13조의3
 ○ 「혁신도시 조성 및 발전에 관한 특별법」 제14조, 제46조
 ○ 「환경기술 및 환경산업 지원법」 제10조
 ○ 「환경친화적 자동차의 개발 및 보급 촉진에 관한 법률」 제11조의3
 ○ 「한국과학기술원법」 제11조
 ○ 「대구경북과학기술원법」 제9조
 ○ 「광주과학기술원법」 제9조
 ○ 「소비자생활협동조합법」 제9조
 ○ 「국가첨단전략산업 경쟁력 강화 및 보호에 관한 특별조치법」 제21조
 ○ 「박물관 및 미술관 진흥법」 제19조
 ○ 「지역문화진흥법」 제8조
 ○ 「광주 군 공항 이전 및 종전부지 개발 등에 관한 특별법」 제11조
 ○ 「국민기초생활 보장법」 제16조
 ○ 「농촌공간 재구조화 및 재생지원에 관한 법률」 제41조
 ○ 「대구경북통합신공항 건설을 위한 특별법」 제17조
 ○ 「도심융합특구 조성 및 육성에 관한 특별법」 제22조, 제35조, 제36조
 ○ 「도심항공교통 활용 촉진 및 지원에 관한 법률」 제16조
 ○ 「스마트농업 육성 및 지원에 관한 법률」 제22조
 ○ 「자연유산의 보존 및 활용에 관한 법률」 제47조
 ○ 「한국도로교통공단법」 제14조
 ○ 「해양재난구조대의 설치 및 운영에 관한 법률」 제16조</t>
  </si>
  <si>
    <t>2024 공유재산 업무편람
 '다른 법률 상의 공유재산 특례 목록'</t>
  </si>
  <si>
    <t>361, 362, 363, 364, 365, 366</t>
  </si>
  <si>
    <t>편람 내 참고자료 
 &gt;&gt; 해당 자료도 참조페이지가 많으면 361P만 참고하고 추가 자료는 링크 제공으로 변경</t>
  </si>
  <si>
    <t>류연희(2481)</t>
  </si>
  <si>
    <t>다른 법률에서 규정하고 있는 공유재산 '영구시설물 축조' 특례 조항은 어디에 있나요?</t>
  </si>
  <si>
    <t>공유재산 '영구시설물 축조' 특례는 타 개별 법률에 규정되어 있으며, 현행 기준으로 총 47개의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「공공보건의료에 관한 법률」 제10조
 ○ 「공공주택 특별법」 제18조, 제40조의3
 ○ 「과학기술분야 정부출연연구기관등의 설립･운영 및 육성에 관한 법률」 제7조
 ○ 「국립묘지의 설치 및 운영에 관한 법률」 제11조의4, 제11조의9
 ○ 「국민 평생 직업능력 개발법」 제48조
 ○ 「국방과학연구소법」 제21조
 ○ 「국제과학비즈니스벨트 조성 및 지원에 관한 특별법」 제23조, 제29조, 제31조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「사회기반시설에 대한 민간투자법」 제19조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「새만금사업 추진 및 지원에 관한 특별법」 제17조, 제46조, 제58조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「중･저준위 방사성폐기물 처분시설의 유치지역지원에 관한 특별법」 제11조
 ○ 「지역 개발 및 지원에 관한 법률」 제52조
 ○ 「첨단의료복합단지 육성에 관한 특별법」 제18조
 ○ 「초지법」 제17조, 제18조
 ○ 「태권도 진흥 및 태권도공원 조성 등에 관한 법률」 제17조
 ○ 「폐교재산의 활용촉진을 위한 특별법」 제5조, 제6조
 ○ 「한국해양과학기술원법」 제11조
 ○ 「항만공사법」 제27조
 ○ 「해양산업클러스터의 지정 및 육성 등에 관한 특별법」 제20조
 ○ 「해외진출기업의 국내복귀 지원에 관한 법률」 제13조의2, 제13조의3
 ○ 「혁신도시 조성 및 발전에 관한 특별법」 제14조, 제46조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</si>
  <si>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다른 법률에서 규정하고 있는 공유재산 '양여' 특례 조항은 어디에 있나요?</t>
  </si>
  <si>
    <t>공유재산 '양여' 특례는 타 개별 법률에 규정되어 있으며, 현행 기준으로 총 37개의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「공익법인의 설립･운영에 관한 법률」 제13조
 ○ 「국립대학법인 서울대학교 설립･운영에 관한 법률」 제22조
 ○ 「국립대학법인 인천대학교 설립･운영에 관한 법률」 제21조
 ○ 「국방과학연구소법」 제21조
 ○ 「국방･군사시설 사업에 관한 법률」 제12조
 ○ 「국제경기대회 지원법」 제13조, 제22조
 ○ 「국토의 계획 및 이용에 관한 법률」 제65조
 ○ 「농어촌마을 주거환경 개선 및 리모델링 촉진을 위한 특별법」 제17조, 제37조
 ○ 「농촌진흥법」 제34조
 ○ 「도시 및 주거환경정비법」 제57조, 제61조, 제97조, 제99조, 제100조, 101조
 ○ 「도시철도법」 제11조
 ○ 「독립기념관법」 제14조
 ○ 「동학농민혁명 참여자 등의 명예회복에 관한 특별법」 제9조
 ○ 「사립학교법」 제35조
 ○ 「새마을운동조직 육성법」 제4조
 ○ 「소재･부품･장비산업 경쟁력 강화 및 공급망 안정화를 위한 특별조치법」 제31조
 ○ 「수산자원관리법」 제55조의2
 ○ 「신행정수도 후속대책을 위한 연기･공주지역 행정중심복합도시 건설을 위한 특별법」 제22조, 제46조의3
 ○ 「여수세계박람회 기념 및 사후활용에 관한 특별법」 제6조
 ○ 「연근해어업의 구조개선 및 지원에 관한 법률」 제19조
 ○ 「울산과학기술원법」 제15조
 ○ 「임업 및 산촌 진흥촉진에 관한 법률」 제29조의3
 ○ 「제주특별자치도 설치 및 국제자유도시 조성을 위한 특별법」 제152조, 제165조, 제183조, 제222조, 제261조
 ○ 「주한미군기지 이전에 따른 평택시 등의 지원 등에 관한 특별법」 제33조의2
 ○ 「중소기업진흥에 관한 법률」 제68조
 ○ 「폐광지역 개발 지원에 관한 특별법」 제11조의2, 제11조의3
 ○ 「학교용지 확보 등에 관한 특례법」 제7조
 ○ 「한국지방행정연구원 육성법」 제4조
 ○ 「한국청소년연맹 육성에 관한 법률」 제4조
 ○ 「한국학중앙연구원 육성법」 제3조
 ○ 「한국해양소년단연맹 육성에 관한 법률」 제3조
 ○ 「한국과학기술원법」 제11조
 ○ 「대구경북과학기술원법」 제9조
 ○ 「광주과학기술원법」 제9조
 ○ 「군사기지 및 군사시설 보호법」 제13조
 ○ 「농어촌정비법」 제112조
 ○ 「농촌공간 재구조화 및 재생지원에 관한 법률」 제41조</t>
  </si>
  <si>
    <t>다른 법률에서 규정하고 있는 공유재산 '장기 사용허가등'의 특례 조항은 어디에 있나요?</t>
  </si>
  <si>
    <t>공유재산 '장기 사용허가등' 특례는 타 개별 법률에 규정되어 있으며, 현행 기준으로 총 45개의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「공공주택 특별법」 제18조, 제40조의3
 ○ 「과학기술분야 정부출연연구기관등의 설립･운영 및 육성에 관한 법률」 제7조
 ○ 「교육국제화특구의 지정･운영 및 육성에 관한 특별법」 제19조
 ○ 「국립농업박물관법」 제12조
 ○ 「국방과학연구소법」 제21조
 ○ 「국제과학비즈니스벨트 조성 및 지원에 관한 특별법」 제23조, 제29조, 제31조
 ○ 「규제자유특구 및 지역특화발전특구에 관한 규제특례법」 제54조, 제127조, 제131조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「북한이탈주민의 보호 및 정착지원에 관한 법률」 제15조의2, 제24조의3
 ○ 「산업입지 및 개발에 관한 법률」 제21조, 제23조, 제38조, 제38조의6, 제46조의6, 제46조의7, 제46조의8
 ○ 「새만금사업 추진 및 지원에 관한 특별법」 제17조, 제46조, 제58조
 ○ 「스포츠산업 진흥법」 제17조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「지역 개발 및 지원에 관한 법률」 제52조
 ○ 「지역중소기업 육성 및 혁신촉진 등에 관한 법률」 제18조, 제28조
 ○ 「첨단의료복합단지 육성에 관한 특별법」 제18조
 ○ 「태권도 진흥 및 태권도공원 조성 등에 관한 법률」 제17조
 ○ 「폐광지역 개발 지원에 관한 특별법」 제11조의2, 제11조의3
 ○ 「폐교재산의 활용촉진을 위한 특별법」 제5조, 제6조
 ○ 「한국4에이치활동 지원법」 제5조의2
 ○ 「한국사학진흥재단법」 제16조
 ○ 「한국해양과학기술원법」 제11조
 ○ 「해양산업클러스터의 지정 및 육성 등에 관한 특별법」 제20조
 ○ 「해외진출기업의 국내복귀 지원에 관한 법률」 제13조의2, 제13조의3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</si>
  <si>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감정평가 시 감정평가법인은 어떻게 선정하나요?
 &gt;&gt;관련근거 미확인</t>
  </si>
  <si>
    <t>○ 감정평가의 공정성·중립성 확보를 위해 한국감정평가사협회에 감정평가법인 등을 추천 의뢰하고, 협회가 추천한 감정평가법인을 선정하여 감정평가를 수행합니다.</t>
  </si>
  <si>
    <t>감정평가 시 예산은 어떤 것을 사용하여야 하나요?
 &gt;&gt;관련근거 미확인</t>
  </si>
  <si>
    <t>○ 감정평가 비용은 회계재산담당관의 '효율적인 재산관리' 세부사업 내 편성된 '공유재산 감정평가 수수료' 예산을 사용합니다 ※ 예산사용 전 재산관리팀 사전협의 필수</t>
  </si>
  <si>
    <t>대부(사용)료 요율 기준은 어떤 법령을 참고해야하나요?</t>
  </si>
  <si>
    <t>○ 대부(사용)료율은 다음의 규정에 따릅니다.
  - 「공유재산 및 물품 관리법 시행령」 제31조(대부료율과 대부재산의 평가)
  - 「부산광역시 공유재산 및 물품 관리 조례」 제19조(대부료율)</t>
  </si>
  <si>
    <t>「공유재산 및 물품 관리법 시행령」 , 「부산광역시 공유재산 및 물품 관리 조례</t>
  </si>
  <si>
    <t>최지혜(2483)</t>
  </si>
  <si>
    <t>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&gt;&gt;자료 미제출</t>
  </si>
  <si>
    <t>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</si>
  <si>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Q. 사용수익허가 갱신기간 관련
 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A. 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</si>
  <si>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우리 시의 공유재산 무상 사용허가(대부) 기간은 어떻게 되나요?</t>
  </si>
  <si>
    <t>○ 행정재산의 무상 사용허가기간은 최대 3년이며 
 ○ 일반재산의 무상 대부기간은 1년을 원칙으로 합니다.</t>
  </si>
  <si>
    <t>2025년도 공유재산 무상 사용허가(대부) 기준 수립, 회계재산담당관-55414(2024.12.10)</t>
  </si>
  <si>
    <t>○ 행정재산: 3년 
 ○ 일반재산: 1년</t>
  </si>
  <si>
    <t>개인정보가 유출이 된 경우 어떻게 해야 하나요?</t>
  </si>
  <si>
    <t>1. 유출 등 사고 인지, 신고·접수
  m 개인정보취급자 등이 유출, 노출 등 유출사고를 인지할 경우 개인정보 보호담당자에게 신고 등 처리
 2. 개인정보 유출사고 대응센터 구성
  m 개인정보 보호책임자는 유출사고의 정도에 따라 유출사고 발생부서(기관)의 적의장소에 「유출사고 대응센터」 설치 등 처리
 3. 개인정보 유출 통지·조회 절차
  m 유출사고 대응센터는 개인정보가 유출등이 어되었음을 알게 된 때에는 72시간 이내에 유출 인원 등을 확인하여 [붙임2] 서식의 [유출통지 방법]에 따라 정보주체에게 유출 통지 등 처리
  - 통지 항목 : ①유출등이 된 개인정보의 항목, ②유출등이 된 시점과 및 그 경위, ③피해 최소화를 위한 정보주체의 조치방법, ④기관의 대응조치 및 피해구제 절차, ⑤피해 신고 접수 담당부서 및 연락처
 4. 침해유형별 확산방지 조치
  m 해킹의 경우
  - (긴급조치) 해킹 등 침해사고 발생으로 인해 개인정보가 유출된 경우 개인정보 추가 유출 방지를 위한 대책을 마련하고 피해를 최소화할 수 있는 조치를 강구 등 처리
  m 내부자 유출의 경우
  - 개인정보 유출자가 개인정보처리시스템에 접속한 이력 및 개인정보 열람·다운로드 등 내역을 확인 등 처리
  m 이메일 오발송의 경우
  - 이메일 회수가 가능한 경우에는 즉시 회수 조치하고, 불가능한 경우에는 이메일 수신자에게 오발송 메일의 삭제를 요청 등 처리
  m 개인정보가 외부에 노출된 경우
  - (외부 검색엔진을 통한 노출의 경우) 노출된 웹페이지 삭제를 검토하고, 검색엔진에 노출된 개인정보 삭제를 요청하여야 하며, 필요시 로봇배제 규칙을 적용하여 외부 검색엔진의 접근을 차단하여야 함
  - (관리자 페이지에 접속하여 노출된 경우) 관리자의 접속 IP를 제한하고, 소스코드를 수정하여 사용자 인증 절차를 추가하여야 함
  - (개인정보취급자 부주의로 인한 노출의 경우) 게시글 및 첨부파일 내 개인정보 노출 부분을 마스킹(* 처리)하여 다시 게시하여야 함
 5. 유출 등 사고 경위조사
  m 유출사고 대응센터는 유출사실 여부를 확인하고 사실로 확인될 경우 유출의 규모, 경위, 방법, 원인 및 관련자를 조사 등 처리
 6. 유출통지 신고 절차
  m (1천명 이상 유출, 민감정보 또는 고유식별정보 유출, 불법적인 접근에 의한 유출) 인지 시점으로부터 72시간 이내 개인정보보호위원회 또는 한국인터넷진흥원에 유출 신고 등 처리
  ※ 신고방법 : 개인정보 포털(www.privacy.go.kr) &gt; 기업·공공서비스 &gt; 유출신고
  ※ 단, 유출 경로 확인 등 해당 개인정보를 회수·삭제하는 등의 조치를 통해 정보주체의 권익 침해 가능성이 현저히 낮아진 경우에는 미신고
 7. 현장 혼잡 최소화 조치
  m 총괄대응본부는 사고기관(부서) 상황실에 오프라인 창구를 개설
  - 전화, 메일, 홈페이지, SNS 등 한 가지 이상의 채널을 선택하여 단일화된 민원대응 창구를 구축 등 처리
 8. 고객민원 대응조치
  m 민원대응반은 유관부서(총괄대응본부, 법무담당관)과 협의하여 피해자 구제방안, 수사 진행상황 등에 대한 외부 질의 답변 방향 결정 등 처리
 9. 고객 불안 해소조치
  m 부산광역시 홈페이지(www.busan.go.kr)에 유출 피해 최소화를 위해 실시하고 있는 노력에 대한 사항 공지(1일 1회 업데이트) 등 처리
 10. 피해자 구제 조치
  m (개인정보 유출사고 전파) 한국인터넷진흥원과 협의하여 “사업자 핫라인”을 통해 사고 사실을 전파 등 처리
 11. 유출 등 사고 종료 
  m 유출사고 대응센터는 개인정보 유출사고 처리보고서를 작성하여 개인정보 보호책임자(CPO)에게 보고 등 처리</t>
  </si>
  <si>
    <t>개인정보 보호법 제34조(개인정보 유출 등의 통지.신고)
 개인정보 보호법 시행령 제39조(개인정보 유출 등의 통지), 제40조(개인정보 유출 등의 신고)
 개인정보 유출 등 사고 대응 매뉴얼(개인정보보호위원회, 24.3.)
 부산광역시 개인정보 유출 등 사고대응 매뉴얼(24.10.)</t>
  </si>
  <si>
    <t>4, 5, 6, 7, 8, 9,</t>
  </si>
  <si>
    <t>4P ~ 9P 내용으로 요약 답변 생성
 안되면 2P 단계별 프로세스 요약 가능한지 여부 확인 필요</t>
  </si>
  <si>
    <t>부산시 개인정보 손해배상 책임보험의 보장 범위는 어떻게 되나요?</t>
  </si>
  <si>
    <t>• 보험기간: 2025.3.20. ~ 2026.3.19.(1년간)
  • 피보험자: 시 소속 전직원(공무원, 공무직, 기간제 등) ※ 본청 및 직속기간, 사업소, 의회
  • 보 험 사: DB손해보험
  • 보장내용
  - 업무수행 중 보유,수집,관리하는 개인정보 유출 등 사고 시 제3자에 대한 손해배상
  - 법률에 따른 손해배상 및 관련 소송비용 지원(변호비, 과징금, 과태료 등)
  • 보장범위: 총 한도 20억(공제금액 100만원)
 개인정보 배상책임 : 20억원
 정보통신보안 배상책임 : 20억원
 미디어 배상책임 : 20억원
 사이버 갈취 : 7,500만원
 데이터 자산 손실 : 2억원
 * 특별약관
  - 사고대응비용(2억원)
  - 방어비용 선지급(5억원)
  - 지방자치단체 특별약관
  (5천만원 보상/50만원 공제)
  ※ 고의적인 행위나 범죄로 인한 사고는 보장 제외</t>
  </si>
  <si>
    <t>개인정보보호 손해배상 책임보험 가입내용 및 처리방법 안내</t>
  </si>
  <si>
    <t>개인정보 수집.이용.제공 동의서 작성시 고려해야 할 점은 무엇인가요?</t>
  </si>
  <si>
    <t>1. 동의서 작성 전 필수 검토사항
 ① 업무에 필요한 개인정보의 최소성
  - 해당 업무 수행에 반드시 필요한 최소한의 개인정보만 수집해야 함.
  - 업무와 직접 관련 없는 개인정보 추가 수집은 최소수집 원칙 위반.
  - 고유식별정보(주민등록번호 등) 및 민감정보 포함 여부를 사전에 점검.
  &gt; 원칙적으로 수집·처리 지양.
  &gt; 법령 근거 또는 별도 동의가 있는 경우에만 허용.
  &gt; 주민등록번호는 법률·대통령령 등 명시적 근거가 있을 때만 가능.
 ② 동의 필요 여부의 명확한 판단
  - 개인정보 수집·이용에 동의가 필요한지 먼저 판단해야 함.
  - 법령 근거가 있는 경우 등 동의 없이 가능한 경우에는:
  &gt; 동의서를 받지 말고,
  &gt; 해당 수집·이용의 법적 근거를 명확히 안내해야 함.
  - 동의가 필요한 경우에만 동의서 작성.
 ※ 만 14세 미만 아동의 경우 법정대리인 동의 필수.
 ③ 개인정보 보유기간의 적정성
  - 수집·이용하는 개인정보에 대해 보유기간을 반드시 설정해야 함.
  - 관련 법령 또는 개인정보 처리방침이 있으면 이를 따름.
  - 별도 규정이 없다면, 업무 특성을 고려한 최소한의 보유기간으로 설정.
 2. 동의서에 포함 여부를 판단해야 할 사항
 ④ 개인정보 제3자 제공 여부
  - 제3자 제공 필요성이 있는지 먼저 검토.
  - 제공이 필요한 경우, 동의서에 다음 사항을 모두 명시해야 함:
  &gt; 제공받는 자
  &gt; 제공 목적
  &gt; 제공 항목
  &gt; 제공받는 자의 보유·이용 기간
  &gt; 동의 거부권 및 거부 시 불이익(있는 경우)
  - 원칙적으로 제3자 제공은 동의 필요.
  - 국외 제3자 제공은 반드시 동의 필요.
  - 만 14세 미만 아동은 법정대리인 동의 필요.
 ⑤ 개인정보 처리업무 위탁 여부
  - 개인정보 처리 위탁의 경우 정보주체 동의는 불필요.
  - 다만,
  &gt; 위탁 사실,
  &gt; 위탁 내용,
  &gt; 수탁자 정보는 홈페이지 등으로 공개해야 함.
  - 위탁과 제3자 제공을 혼동하면 안 됨.
 ⑥ 목적 외 이용·제공 여부
  - 동의받은 항목·목적·보유기간을 변경하는 경우:
  &gt; 반드시 사전 고지 후 추가 동의 필요.
  - 수집 목적 외 이용 또는 제3자 제공은 원칙적으로 금지.
  - 법령상 예외에 해당하거나 별도 동의를 받은 경우에만 가능.
 ⑦ 동의 거부 시 불이익의 적정성
  - 동의 시 제공되는 편익과 내용을 명확히 구분하여 안내해야 함.
  - 동의 거부를 이유로:
  &gt; 개인정보 처리와 직접 관련 없는 재화·서비스 제공을 거부하는 등
  &gt; 부당한 불이익을 주는 행위는 허용되지 않음.</t>
  </si>
  <si>
    <t>2203_정보화정책과_업무매뉴얼_개인정보보호위원회_알기쉬운 개인정보 처리 동의 안내서</t>
  </si>
  <si>
    <t>27, 28, 29, 30</t>
  </si>
  <si>
    <t>본문내용 일체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</si>
</sst>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quot;월&quot;\ dd&quot;일&quot;"/>
  </numFmts>
  <fonts count="70">
    <font>
      <sz val="11.0"/>
      <color theme="1"/>
      <name val="Calibri"/>
      <scheme val="minor"/>
    </font>
    <font>
      <sz val="20.0"/>
      <color theme="1"/>
      <name val="Malgun Gothic"/>
    </font>
    <font>
      <sz val="11.0"/>
      <color theme="1"/>
      <name val="Malgun Gothic"/>
    </font>
    <font>
      <b/>
      <sz val="13.0"/>
      <color theme="1"/>
      <name val="Malgun Gothic"/>
    </font>
    <font>
      <b/>
      <sz val="12.0"/>
      <color rgb="FF000000"/>
      <name val="&quot;맑은 고딕&quot;"/>
    </font>
    <font>
      <b/>
      <sz val="10.0"/>
      <color rgb="FF000000"/>
      <name val="&quot;맑은 고딕&quot;"/>
    </font>
    <font>
      <b/>
      <sz val="11.0"/>
      <color theme="1"/>
      <name val="Malgun Gothic"/>
    </font>
    <font/>
    <font>
      <b/>
      <sz val="10.0"/>
      <color theme="1"/>
      <name val="Malgun Gothic"/>
    </font>
    <font>
      <sz val="11.0"/>
      <color rgb="FF000000"/>
      <name val="&quot;맑은 고딕&quot;"/>
    </font>
    <font>
      <sz val="11.0"/>
      <color rgb="FF6AA84F"/>
      <name val="Malgun Gothic"/>
    </font>
    <font>
      <sz val="11.0"/>
      <color rgb="FFFF0000"/>
      <name val="Malgun Gothic"/>
    </font>
    <font>
      <sz val="11.0"/>
      <color theme="1"/>
      <name val="&quot;맑은 고딕&quot;"/>
    </font>
    <font>
      <sz val="11.0"/>
      <color rgb="FFFF0000"/>
      <name val="&quot;맑은 고딕&quot;"/>
    </font>
    <font>
      <sz val="11.0"/>
      <color rgb="FF0000FF"/>
      <name val="Malgun Gothic"/>
    </font>
    <font>
      <sz val="11.0"/>
      <color rgb="FF000000"/>
      <name val="Malgun Gothic"/>
    </font>
    <font>
      <sz val="11.0"/>
      <color rgb="FF000000"/>
      <name val="MS Mincho"/>
    </font>
    <font>
      <sz val="11.0"/>
      <color theme="1"/>
      <name val="MS Mincho"/>
    </font>
    <font>
      <sz val="11.0"/>
      <color theme="1"/>
      <name val="&quot;Malgun Gothic&quot;"/>
    </font>
    <font>
      <sz val="11.0"/>
      <color rgb="FF000000"/>
      <name val="&quot;Malgun Gothic&quot;"/>
    </font>
    <font>
      <sz val="11.0"/>
      <color rgb="FF1155CC"/>
      <name val="Malgun Gothic"/>
    </font>
    <font>
      <sz val="11.0"/>
      <color rgb="FF0432FF"/>
      <name val="&quot;맑은 고딕&quot;"/>
    </font>
    <font>
      <sz val="11.0"/>
      <color rgb="FF00B050"/>
      <name val="Arial"/>
    </font>
    <font>
      <sz val="11.0"/>
      <color rgb="FF000000"/>
      <name val="&quot;Segoe UI Symbol&quot;"/>
    </font>
    <font>
      <sz val="11.0"/>
      <color rgb="FFFF0000"/>
      <name val="&quot;Malgun Gothic&quot;"/>
    </font>
    <font>
      <u/>
      <sz val="11.0"/>
      <color rgb="FF000000"/>
      <name val="&quot;Malgun Gothic&quot;"/>
    </font>
    <font>
      <sz val="11.0"/>
      <color theme="1"/>
      <name val="Arial"/>
    </font>
    <font>
      <sz val="11.0"/>
      <color rgb="FF4A86E8"/>
      <name val="Malgun Gothic"/>
    </font>
    <font>
      <sz val="11.0"/>
      <color rgb="FF000000"/>
      <name val="Arial"/>
    </font>
    <font>
      <strike/>
      <sz val="11.0"/>
      <color rgb="FFFF0000"/>
      <name val="Malgun Gothic"/>
    </font>
    <font>
      <b/>
      <sz val="11.0"/>
      <color rgb="FF000000"/>
      <name val="Malgun Gothic"/>
    </font>
    <font>
      <sz val="12.0"/>
      <color theme="1"/>
      <name val="Malgun Gothic"/>
    </font>
    <font>
      <sz val="12.0"/>
      <color theme="1"/>
      <name val="Arial"/>
    </font>
    <font>
      <sz val="12.0"/>
      <color theme="1"/>
      <name val="ＭＳ ゴシック"/>
    </font>
    <font>
      <sz val="12.0"/>
      <color rgb="FF000000"/>
      <name val="&quot;맑은 고딕&quot;"/>
    </font>
    <font>
      <sz val="11.0"/>
      <color theme="1"/>
      <name val="Calibri"/>
    </font>
    <font>
      <sz val="12.0"/>
      <color theme="1"/>
      <name val="Segoe UI Symbol"/>
    </font>
    <font>
      <color theme="1"/>
      <name val="Calibri"/>
      <scheme val="minor"/>
    </font>
    <font>
      <sz val="10.0"/>
      <color theme="1"/>
      <name val="Malgun Gothic"/>
    </font>
    <font>
      <sz val="14.0"/>
      <color theme="1"/>
      <name val="Malgun Gothic"/>
    </font>
    <font>
      <b/>
      <sz val="15.0"/>
      <color rgb="FF9900FF"/>
      <name val="Malgun Gothic"/>
    </font>
    <font>
      <b/>
      <sz val="15.0"/>
      <color rgb="FF6AA84F"/>
      <name val="Malgun Gothic"/>
    </font>
    <font>
      <b/>
      <sz val="14.0"/>
      <color rgb="FFFF9900"/>
      <name val="Malgun Gothic"/>
    </font>
    <font>
      <b/>
      <sz val="14.0"/>
      <color theme="1"/>
      <name val="Malgun Gothic"/>
    </font>
    <font>
      <b/>
      <sz val="12.0"/>
      <color theme="1"/>
      <name val="Malgun Gothic"/>
    </font>
    <font>
      <b/>
      <sz val="12.0"/>
      <color theme="1"/>
      <name val="Arial"/>
    </font>
    <font>
      <b/>
      <sz val="8.0"/>
      <color theme="1"/>
      <name val="Malgun Gothic"/>
    </font>
    <font>
      <b/>
      <sz val="9.0"/>
      <color theme="1"/>
      <name val="Malgun Gothic"/>
    </font>
    <font>
      <sz val="12.0"/>
      <color rgb="FF9900FF"/>
      <name val="Malgun Gothic"/>
    </font>
    <font>
      <sz val="12.0"/>
      <color theme="1"/>
      <name val="Calibri"/>
    </font>
    <font>
      <sz val="12.0"/>
      <color rgb="FF000000"/>
      <name val="Malgun Gothic"/>
    </font>
    <font>
      <u/>
      <sz val="12.0"/>
      <color theme="10"/>
      <name val="Malgun Gothic"/>
    </font>
    <font>
      <u/>
      <sz val="12.0"/>
      <color theme="10"/>
      <name val="Malgun Gothic"/>
    </font>
    <font>
      <u/>
      <sz val="12.0"/>
      <color theme="1"/>
      <name val="Malgun Gothic"/>
    </font>
    <font>
      <sz val="12.0"/>
      <color rgb="FF9900FF"/>
      <name val="&quot;맑은 고딕&quot;"/>
    </font>
    <font>
      <sz val="12.0"/>
      <color rgb="FFFF0000"/>
      <name val="&quot;맑은 고딕&quot;"/>
    </font>
    <font>
      <u/>
      <sz val="11.0"/>
      <color rgb="FF0000FF"/>
      <name val="&quot;맑은 고딕&quot;"/>
    </font>
    <font>
      <u/>
      <sz val="11.0"/>
      <color rgb="FF0000FF"/>
      <name val="&quot;맑은 고딕&quot;"/>
    </font>
    <font>
      <sz val="12.0"/>
      <color theme="1"/>
      <name val="&quot;맑은 고딕&quot;"/>
    </font>
    <font>
      <sz val="12.0"/>
      <color rgb="FF000000"/>
      <name val="&quot;MS Gothic&quot;"/>
    </font>
    <font>
      <strike/>
      <sz val="12.0"/>
      <color rgb="FF000000"/>
      <name val="&quot;맑은 고딕&quot;"/>
    </font>
    <font>
      <u/>
      <sz val="12.0"/>
      <color rgb="FF0000FF"/>
      <name val="&quot;맑은 고딕&quot;"/>
    </font>
    <font>
      <u/>
      <sz val="11.0"/>
      <color rgb="FF0000FF"/>
      <name val="&quot;맑은 고딕&quot;"/>
    </font>
    <font>
      <u/>
      <sz val="11.0"/>
      <color rgb="FF0000FF"/>
      <name val="&quot;맑은 고딕&quot;"/>
    </font>
    <font>
      <sz val="11.0"/>
      <color rgb="FF9900FF"/>
      <name val="&quot;맑은 고딕&quot;"/>
    </font>
    <font>
      <sz val="12.0"/>
      <color rgb="FF0070C0"/>
      <name val="&quot;맑은 고딕&quot;"/>
    </font>
    <font>
      <sz val="13.0"/>
      <color rgb="FF000000"/>
      <name val="함초롬바탕"/>
    </font>
    <font>
      <u/>
      <sz val="11.0"/>
      <color rgb="FF0000FF"/>
      <name val="&quot;맑은 고딕&quot;"/>
    </font>
    <font>
      <sz val="12.0"/>
      <color rgb="FF000000"/>
      <name val="&quot;Segoe UI Symbol&quot;"/>
    </font>
    <font>
      <sz val="11.0"/>
      <color rgb="FF6AA84F"/>
      <name val="&quot;맑은 고딕&quot;"/>
    </font>
  </fonts>
  <fills count="28">
    <fill>
      <patternFill patternType="none"/>
    </fill>
    <fill>
      <patternFill patternType="lightGray"/>
    </fill>
    <fill>
      <patternFill patternType="solid">
        <fgColor rgb="FFC6D9F0"/>
        <bgColor rgb="FFC6D9F0"/>
      </patternFill>
    </fill>
    <fill>
      <patternFill patternType="solid">
        <fgColor rgb="FFEAF1DD"/>
        <bgColor rgb="FFEAF1DD"/>
      </patternFill>
    </fill>
    <fill>
      <patternFill patternType="solid">
        <fgColor rgb="FFDDD9C3"/>
        <bgColor rgb="FFDDD9C3"/>
      </patternFill>
    </fill>
    <fill>
      <patternFill patternType="solid">
        <fgColor rgb="FFFDE9D9"/>
        <bgColor rgb="FFFDE9D9"/>
      </patternFill>
    </fill>
    <fill>
      <patternFill patternType="solid">
        <fgColor rgb="FFF4CCCC"/>
        <bgColor rgb="FFF4CCCC"/>
      </patternFill>
    </fill>
    <fill>
      <patternFill patternType="solid">
        <fgColor rgb="FFE5DFEC"/>
        <bgColor rgb="FFE5DFEC"/>
      </patternFill>
    </fill>
    <fill>
      <patternFill patternType="solid">
        <fgColor rgb="FF8DB3E2"/>
        <bgColor rgb="FF8DB3E2"/>
      </patternFill>
    </fill>
    <fill>
      <patternFill patternType="solid">
        <fgColor rgb="FFD6E3BC"/>
        <bgColor rgb="FFD6E3BC"/>
      </patternFill>
    </fill>
    <fill>
      <patternFill patternType="solid">
        <fgColor rgb="FF92D050"/>
        <bgColor rgb="FF92D050"/>
      </patternFill>
    </fill>
    <fill>
      <patternFill patternType="solid">
        <fgColor rgb="FFFBD4B4"/>
        <bgColor rgb="FFFBD4B4"/>
      </patternFill>
    </fill>
    <fill>
      <patternFill patternType="solid">
        <fgColor rgb="FFEA9999"/>
        <bgColor rgb="FFEA9999"/>
      </patternFill>
    </fill>
    <fill>
      <patternFill patternType="solid">
        <fgColor rgb="FFCCC0D9"/>
        <bgColor rgb="FFCCC0D9"/>
      </patternFill>
    </fill>
    <fill>
      <patternFill patternType="solid">
        <fgColor rgb="FFD8E4BC"/>
        <bgColor rgb="FFD8E4BC"/>
      </patternFill>
    </fill>
    <fill>
      <patternFill patternType="solid">
        <fgColor rgb="FFD8D8D8"/>
        <bgColor rgb="FFD8D8D8"/>
      </patternFill>
    </fill>
    <fill>
      <patternFill patternType="solid">
        <fgColor rgb="FFFCE5CD"/>
        <bgColor rgb="FFFCE5CD"/>
      </patternFill>
    </fill>
    <fill>
      <patternFill patternType="solid">
        <fgColor theme="0"/>
        <bgColor theme="0"/>
      </patternFill>
    </fill>
    <fill>
      <patternFill patternType="solid">
        <fgColor rgb="FFFFFFFF"/>
        <bgColor rgb="FFFFFFFF"/>
      </patternFill>
    </fill>
    <fill>
      <patternFill patternType="solid">
        <fgColor rgb="FFFFFFCC"/>
        <bgColor rgb="FFFFFFCC"/>
      </patternFill>
    </fill>
    <fill>
      <patternFill patternType="solid">
        <fgColor rgb="FF00FF00"/>
        <bgColor rgb="FF00FF00"/>
      </patternFill>
    </fill>
    <fill>
      <patternFill patternType="solid">
        <fgColor rgb="FFFFC000"/>
        <bgColor rgb="FFFFC000"/>
      </patternFill>
    </fill>
    <fill>
      <patternFill patternType="solid">
        <fgColor rgb="FFFFFF00"/>
        <bgColor rgb="FFFFFF00"/>
      </patternFill>
    </fill>
    <fill>
      <patternFill patternType="solid">
        <fgColor rgb="FFF9CB9C"/>
        <bgColor rgb="FFF9CB9C"/>
      </patternFill>
    </fill>
    <fill>
      <patternFill patternType="solid">
        <fgColor rgb="FFEBF1DE"/>
        <bgColor rgb="FFEBF1DE"/>
      </patternFill>
    </fill>
    <fill>
      <patternFill patternType="solid">
        <fgColor rgb="FFFABF8F"/>
        <bgColor rgb="FFFABF8F"/>
      </patternFill>
    </fill>
    <fill>
      <patternFill patternType="solid">
        <fgColor rgb="FFD9D2E9"/>
        <bgColor rgb="FFD9D2E9"/>
      </patternFill>
    </fill>
    <fill>
      <patternFill patternType="solid">
        <fgColor rgb="FFD7E4BC"/>
        <bgColor rgb="FFD7E4BC"/>
      </patternFill>
    </fill>
  </fills>
  <borders count="13">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left" shrinkToFit="0" vertical="bottom" wrapText="1"/>
    </xf>
    <xf borderId="0" fillId="0" fontId="4" numFmtId="0" xfId="0" applyAlignment="1" applyFont="1">
      <alignment horizontal="center" readingOrder="0"/>
    </xf>
    <xf borderId="0" fillId="0" fontId="5" numFmtId="49" xfId="0" applyAlignment="1" applyFont="1" applyNumberFormat="1">
      <alignment horizontal="center" readingOrder="0"/>
    </xf>
    <xf borderId="1" fillId="0" fontId="4" numFmtId="0" xfId="0" applyAlignment="1" applyBorder="1" applyFont="1">
      <alignment horizontal="center" readingOrder="0"/>
    </xf>
    <xf borderId="0" fillId="0" fontId="6" numFmtId="0" xfId="0" applyAlignment="1" applyFont="1">
      <alignment horizontal="center" readingOrder="0" shrinkToFit="0" vertical="center" wrapText="1"/>
    </xf>
    <xf borderId="0" fillId="0" fontId="6" numFmtId="0" xfId="0" applyAlignment="1" applyFont="1">
      <alignment horizontal="left"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left" shrinkToFit="0" vertical="top" wrapText="1"/>
    </xf>
    <xf borderId="4" fillId="0" fontId="2" numFmtId="0" xfId="0" applyAlignment="1" applyBorder="1" applyFont="1">
      <alignment shrinkToFit="0" vertical="center" wrapText="1"/>
    </xf>
    <xf borderId="4" fillId="0" fontId="2" numFmtId="0" xfId="0" applyAlignment="1" applyBorder="1" applyFont="1">
      <alignment shrinkToFit="0" vertical="top" wrapText="1"/>
    </xf>
    <xf borderId="2" fillId="2" fontId="6" numFmtId="0" xfId="0" applyAlignment="1" applyBorder="1" applyFill="1" applyFont="1">
      <alignment horizontal="center" shrinkToFit="0" vertical="center" wrapText="1"/>
    </xf>
    <xf borderId="5" fillId="0" fontId="7" numFmtId="0" xfId="0" applyBorder="1" applyFont="1"/>
    <xf borderId="2" fillId="3" fontId="6"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6" fillId="0" fontId="7" numFmtId="0" xfId="0" applyBorder="1" applyFont="1"/>
    <xf borderId="6" fillId="6" fontId="6" numFmtId="0" xfId="0" applyAlignment="1" applyBorder="1" applyFill="1" applyFont="1">
      <alignment horizontal="center" readingOrder="0" shrinkToFit="0" vertical="top" wrapText="1"/>
    </xf>
    <xf borderId="7" fillId="7" fontId="6" numFmtId="0" xfId="0" applyAlignment="1" applyBorder="1" applyFill="1" applyFont="1">
      <alignment horizontal="center" shrinkToFit="0" vertical="center" wrapText="1"/>
    </xf>
    <xf borderId="3" fillId="8" fontId="6" numFmtId="0" xfId="0" applyAlignment="1" applyBorder="1" applyFill="1" applyFont="1">
      <alignment horizontal="center" shrinkToFit="0" vertical="center" wrapText="1"/>
    </xf>
    <xf borderId="3" fillId="9" fontId="6" numFmtId="0" xfId="0" applyAlignment="1" applyBorder="1" applyFill="1" applyFont="1">
      <alignment horizontal="center" shrinkToFit="0" vertical="center" wrapText="1"/>
    </xf>
    <xf borderId="3" fillId="10" fontId="6"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3" fillId="11" fontId="6" numFmtId="0" xfId="0" applyAlignment="1" applyBorder="1" applyFill="1" applyFont="1">
      <alignment horizontal="center" shrinkToFit="0" vertical="center" wrapText="1"/>
    </xf>
    <xf borderId="3" fillId="11" fontId="8" numFmtId="49" xfId="0" applyAlignment="1" applyBorder="1" applyFont="1" applyNumberFormat="1">
      <alignment horizontal="center" shrinkToFit="0" vertical="center" wrapText="1"/>
    </xf>
    <xf borderId="3" fillId="12" fontId="6" numFmtId="0" xfId="0" applyAlignment="1" applyBorder="1" applyFill="1" applyFont="1">
      <alignment horizontal="center" readingOrder="0" shrinkToFit="0" vertical="top" wrapText="1"/>
    </xf>
    <xf borderId="3" fillId="12" fontId="6" numFmtId="0" xfId="0" applyAlignment="1" applyBorder="1" applyFont="1">
      <alignment horizontal="center" readingOrder="0" shrinkToFit="0" vertical="center" wrapText="1"/>
    </xf>
    <xf borderId="3" fillId="12" fontId="6" numFmtId="49" xfId="0" applyAlignment="1" applyBorder="1" applyFont="1" applyNumberFormat="1">
      <alignment horizontal="center" readingOrder="0" shrinkToFit="0" vertical="center" wrapText="1"/>
    </xf>
    <xf borderId="3" fillId="13" fontId="6" numFmtId="0" xfId="0" applyAlignment="1" applyBorder="1" applyFill="1" applyFont="1">
      <alignment horizontal="center" shrinkToFit="0" vertical="center" wrapText="1"/>
    </xf>
    <xf borderId="8" fillId="13" fontId="6" numFmtId="0" xfId="0" applyAlignment="1" applyBorder="1" applyFont="1">
      <alignment horizontal="center" shrinkToFit="0" vertical="center" wrapText="1"/>
    </xf>
    <xf borderId="3" fillId="0" fontId="2" numFmtId="0" xfId="0" applyAlignment="1" applyBorder="1" applyFont="1">
      <alignment horizontal="left" shrinkToFit="0" vertical="top" wrapText="1"/>
    </xf>
    <xf borderId="3" fillId="9" fontId="2" numFmtId="0" xfId="0" applyAlignment="1" applyBorder="1" applyFont="1">
      <alignment horizontal="left" shrinkToFit="0" vertical="top" wrapText="1"/>
    </xf>
    <xf borderId="3" fillId="14" fontId="9" numFmtId="0" xfId="0" applyAlignment="1" applyBorder="1" applyFill="1" applyFont="1">
      <alignment horizontal="left" readingOrder="0" shrinkToFit="0" vertical="top" wrapText="1"/>
    </xf>
    <xf borderId="3" fillId="15" fontId="2" numFmtId="0" xfId="0" applyAlignment="1" applyBorder="1" applyFill="1" applyFont="1">
      <alignment horizontal="left" shrinkToFit="0" vertical="top" wrapText="1"/>
    </xf>
    <xf borderId="3" fillId="0" fontId="9" numFmtId="0" xfId="0" applyAlignment="1" applyBorder="1" applyFont="1">
      <alignment horizontal="left" readingOrder="0" shrinkToFit="0" vertical="top" wrapText="1"/>
    </xf>
    <xf borderId="5" fillId="0" fontId="9" numFmtId="0" xfId="0" applyAlignment="1" applyBorder="1" applyFon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16" fontId="9" numFmtId="0" xfId="0" applyAlignment="1" applyBorder="1" applyFill="1" applyFont="1">
      <alignment horizontal="left" readingOrder="0" shrinkToFit="0" vertical="top" wrapText="1"/>
    </xf>
    <xf borderId="3" fillId="0" fontId="10" numFmtId="0" xfId="0" applyAlignment="1" applyBorder="1" applyFont="1">
      <alignment horizontal="center" readingOrder="0" shrinkToFit="0" vertical="top" wrapText="1"/>
    </xf>
    <xf borderId="3" fillId="17" fontId="11" numFmtId="0" xfId="0" applyAlignment="1" applyBorder="1" applyFill="1" applyFont="1">
      <alignment horizontal="left" readingOrder="0" shrinkToFit="0" vertical="top" wrapText="1"/>
    </xf>
    <xf borderId="3" fillId="17" fontId="2" numFmtId="49" xfId="0" applyAlignment="1" applyBorder="1" applyFont="1" applyNumberFormat="1">
      <alignment horizontal="left" readingOrder="0" shrinkToFit="0" vertical="top" wrapText="1"/>
    </xf>
    <xf borderId="3" fillId="17" fontId="2" numFmtId="0" xfId="0" applyAlignment="1" applyBorder="1" applyFont="1">
      <alignment horizontal="left" shrinkToFit="0" vertical="top" wrapText="1"/>
    </xf>
    <xf borderId="8" fillId="17" fontId="2" numFmtId="0" xfId="0" applyAlignment="1" applyBorder="1" applyFont="1">
      <alignment horizontal="left" shrinkToFit="0" vertical="top" wrapText="1"/>
    </xf>
    <xf borderId="9" fillId="0" fontId="9" numFmtId="0" xfId="0" applyAlignment="1" applyBorder="1" applyFont="1">
      <alignment horizontal="left" readingOrder="0" shrinkToFit="0" vertical="top" wrapText="1"/>
    </xf>
    <xf borderId="10" fillId="0" fontId="9"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3" fillId="17" fontId="10" numFmtId="0" xfId="0" applyAlignment="1" applyBorder="1" applyFont="1">
      <alignment horizontal="center" readingOrder="0" shrinkToFit="0" vertical="top" wrapText="1"/>
    </xf>
    <xf borderId="0" fillId="17" fontId="2" numFmtId="0" xfId="0" applyAlignment="1" applyFont="1">
      <alignment horizontal="left" readingOrder="0" shrinkToFit="0" vertical="top" wrapText="1"/>
    </xf>
    <xf borderId="2" fillId="17" fontId="2" numFmtId="0" xfId="0" applyAlignment="1" applyBorder="1" applyFont="1">
      <alignment horizontal="left" shrinkToFit="0" vertical="top" wrapText="1"/>
    </xf>
    <xf borderId="0" fillId="17" fontId="2" numFmtId="0" xfId="0" applyAlignment="1" applyFont="1">
      <alignment horizontal="left" shrinkToFit="0" vertical="top" wrapText="1"/>
    </xf>
    <xf borderId="3" fillId="0" fontId="9" numFmtId="0" xfId="0" applyAlignment="1" applyBorder="1" applyFont="1">
      <alignment horizontal="left" shrinkToFit="0" vertical="top" wrapText="1"/>
    </xf>
    <xf borderId="3" fillId="0" fontId="9" numFmtId="49" xfId="0" applyAlignment="1" applyBorder="1" applyFont="1" applyNumberFormat="1">
      <alignment horizontal="left" shrinkToFit="0" vertical="top" wrapText="1"/>
    </xf>
    <xf borderId="3" fillId="17" fontId="2"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3" fillId="18" fontId="9" numFmtId="0" xfId="0" applyAlignment="1" applyBorder="1" applyFill="1" applyFont="1">
      <alignment horizontal="left" readingOrder="0" shrinkToFit="0" vertical="top" wrapText="1"/>
    </xf>
    <xf borderId="3" fillId="0" fontId="13" numFmtId="0" xfId="0" applyAlignment="1" applyBorder="1" applyFont="1">
      <alignment horizontal="left" readingOrder="0" shrinkToFit="0" vertical="top" wrapText="1"/>
    </xf>
    <xf borderId="3" fillId="0" fontId="14" numFmtId="0" xfId="0" applyAlignment="1" applyBorder="1" applyFont="1">
      <alignment horizontal="left" readingOrder="0" shrinkToFit="0" vertical="top" wrapText="1"/>
    </xf>
    <xf borderId="3" fillId="0" fontId="15" numFmtId="0" xfId="0" applyAlignment="1" applyBorder="1" applyFont="1">
      <alignment horizontal="left" shrinkToFit="0" vertical="top" wrapText="1"/>
    </xf>
    <xf borderId="3" fillId="19" fontId="2" numFmtId="0" xfId="0" applyAlignment="1" applyBorder="1" applyFill="1" applyFont="1">
      <alignment horizontal="left" shrinkToFit="0" vertical="top" wrapText="1"/>
    </xf>
    <xf borderId="3" fillId="0" fontId="2" numFmtId="0" xfId="0" applyAlignment="1" applyBorder="1" applyFont="1">
      <alignment horizontal="left" readingOrder="0" shrinkToFit="0" vertical="top" wrapText="1"/>
    </xf>
    <xf borderId="3" fillId="0" fontId="9" numFmtId="0" xfId="0" applyAlignment="1" applyBorder="1" applyFont="1">
      <alignment horizontal="left" shrinkToFit="0" vertical="top" wrapText="1"/>
    </xf>
    <xf borderId="3" fillId="20" fontId="9" numFmtId="0" xfId="0" applyAlignment="1" applyBorder="1" applyFill="1" applyFont="1">
      <alignment horizontal="left" readingOrder="0" shrinkToFit="0" vertical="top" wrapText="1"/>
    </xf>
    <xf borderId="3" fillId="18" fontId="9" numFmtId="49" xfId="0" applyAlignment="1" applyBorder="1" applyFont="1" applyNumberFormat="1">
      <alignment horizontal="left" readingOrder="0" shrinkToFit="0" vertical="top" wrapText="1"/>
    </xf>
    <xf borderId="3" fillId="17" fontId="15" numFmtId="0" xfId="0" applyAlignment="1" applyBorder="1" applyFont="1">
      <alignment horizontal="left" readingOrder="0" shrinkToFit="0" vertical="top" wrapText="1"/>
    </xf>
    <xf borderId="3" fillId="17" fontId="2" numFmtId="49" xfId="0" applyAlignment="1" applyBorder="1" applyFont="1" applyNumberFormat="1">
      <alignment horizontal="left" shrinkToFit="0" vertical="top" wrapText="1"/>
    </xf>
    <xf borderId="3" fillId="0" fontId="15" numFmtId="0" xfId="0" applyAlignment="1" applyBorder="1" applyFont="1">
      <alignment horizontal="left" readingOrder="0" shrinkToFit="0" vertical="top" wrapText="1"/>
    </xf>
    <xf borderId="8" fillId="21" fontId="11" numFmtId="0" xfId="0" applyAlignment="1" applyBorder="1" applyFill="1" applyFont="1">
      <alignment horizontal="left" shrinkToFit="0" vertical="top" wrapText="1"/>
    </xf>
    <xf borderId="2" fillId="17" fontId="2" numFmtId="0" xfId="0" applyAlignment="1" applyBorder="1" applyFont="1">
      <alignment horizontal="left" readingOrder="0" shrinkToFit="0" vertical="top" wrapText="1"/>
    </xf>
    <xf borderId="2" fillId="17" fontId="2" numFmtId="49" xfId="0" applyAlignment="1" applyBorder="1" applyFont="1" applyNumberFormat="1">
      <alignment horizontal="left" readingOrder="0" shrinkToFit="0" vertical="top" wrapText="1"/>
    </xf>
    <xf borderId="3" fillId="9" fontId="2" numFmtId="0" xfId="0" applyAlignment="1" applyBorder="1" applyFont="1">
      <alignment horizontal="left" readingOrder="0" shrinkToFit="0" vertical="top" wrapText="1"/>
    </xf>
    <xf borderId="8" fillId="19" fontId="2"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0" fillId="17" fontId="14" numFmtId="0" xfId="0" applyAlignment="1" applyFont="1">
      <alignment horizontal="left" readingOrder="0" shrinkToFit="0" vertical="top" wrapText="1"/>
    </xf>
    <xf borderId="0" fillId="17" fontId="11"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0" fontId="2" numFmtId="0" xfId="0" applyAlignment="1" applyFont="1">
      <alignment shrinkToFit="0" vertical="top" wrapText="1"/>
    </xf>
    <xf borderId="3" fillId="0" fontId="2" numFmtId="49" xfId="0" applyAlignment="1" applyBorder="1" applyFont="1" applyNumberFormat="1">
      <alignment horizontal="left" shrinkToFit="0" vertical="top" wrapText="1"/>
    </xf>
    <xf borderId="3" fillId="9" fontId="16" numFmtId="0" xfId="0" applyAlignment="1" applyBorder="1" applyFont="1">
      <alignment readingOrder="0" shrinkToFit="0" vertical="top" wrapText="1"/>
    </xf>
    <xf borderId="3" fillId="15" fontId="17" numFmtId="0" xfId="0" applyAlignment="1" applyBorder="1" applyFont="1">
      <alignment shrinkToFit="0" vertical="center" wrapText="1"/>
    </xf>
    <xf borderId="3" fillId="15" fontId="17" numFmtId="0" xfId="0" applyAlignment="1" applyBorder="1" applyFont="1">
      <alignment shrinkToFit="0" vertical="top" wrapText="1"/>
    </xf>
    <xf borderId="3" fillId="0" fontId="18" numFmtId="0" xfId="0" applyAlignment="1" applyBorder="1" applyFont="1">
      <alignment horizontal="left" readingOrder="0" shrinkToFit="0" vertical="top" wrapText="1"/>
    </xf>
    <xf borderId="3" fillId="17" fontId="14" numFmtId="0" xfId="0" applyAlignment="1" applyBorder="1" applyFont="1">
      <alignment horizontal="left" readingOrder="0" shrinkToFit="0" vertical="top" wrapText="1"/>
    </xf>
    <xf borderId="3" fillId="9" fontId="16" numFmtId="0" xfId="0" applyAlignment="1" applyBorder="1" applyFont="1">
      <alignment shrinkToFit="0" vertical="top" wrapText="1"/>
    </xf>
    <xf borderId="3" fillId="0" fontId="12" numFmtId="49" xfId="0" applyAlignment="1" applyBorder="1" applyFont="1" applyNumberFormat="1">
      <alignment horizontal="left" readingOrder="0" shrinkToFit="0" vertical="top" wrapText="1"/>
    </xf>
    <xf borderId="3" fillId="0" fontId="12" numFmtId="0" xfId="0" applyAlignment="1" applyBorder="1" applyFont="1">
      <alignment horizontal="left" readingOrder="0" shrinkToFit="0" wrapText="1"/>
    </xf>
    <xf borderId="3" fillId="20" fontId="19" numFmtId="0" xfId="0" applyAlignment="1" applyBorder="1" applyFont="1">
      <alignment horizontal="left" readingOrder="0" shrinkToFit="0" vertical="top" wrapText="1"/>
    </xf>
    <xf borderId="3" fillId="18" fontId="19" numFmtId="49" xfId="0" applyAlignment="1" applyBorder="1" applyFont="1" applyNumberFormat="1">
      <alignment horizontal="left" readingOrder="0" shrinkToFit="0" vertical="top" wrapText="1"/>
    </xf>
    <xf borderId="3" fillId="18" fontId="19"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3" fillId="0" fontId="19" numFmtId="49" xfId="0" applyAlignment="1" applyBorder="1" applyFont="1" applyNumberFormat="1">
      <alignment horizontal="left" readingOrder="0" shrinkToFit="0" vertical="top" wrapText="1"/>
    </xf>
    <xf borderId="3" fillId="17" fontId="15" numFmtId="49" xfId="0" applyAlignment="1" applyBorder="1" applyFont="1" applyNumberFormat="1">
      <alignment horizontal="left" readingOrder="0" shrinkToFit="0" vertical="top" wrapText="1"/>
    </xf>
    <xf borderId="3" fillId="17" fontId="11"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3" fillId="17" fontId="11" numFmtId="49" xfId="0" applyAlignment="1" applyBorder="1" applyFont="1" applyNumberFormat="1">
      <alignment horizontal="left" shrinkToFit="0" vertical="top" wrapText="1"/>
    </xf>
    <xf borderId="3" fillId="17" fontId="20" numFmtId="0" xfId="0" applyAlignment="1" applyBorder="1" applyFont="1">
      <alignment horizontal="left" readingOrder="0" shrinkToFit="0" vertical="top" wrapText="1"/>
    </xf>
    <xf borderId="3" fillId="9" fontId="2" numFmtId="0" xfId="0" applyAlignment="1" applyBorder="1" applyFont="1">
      <alignment horizontal="left" shrinkToFit="0" vertical="center" wrapText="1"/>
    </xf>
    <xf borderId="3" fillId="20" fontId="12" numFmtId="0" xfId="0" applyAlignment="1" applyBorder="1" applyFont="1">
      <alignment horizontal="left" readingOrder="0" shrinkToFit="0" vertical="top" wrapText="1"/>
    </xf>
    <xf borderId="3" fillId="20" fontId="12" numFmtId="0" xfId="0" applyAlignment="1" applyBorder="1" applyFont="1">
      <alignment horizontal="left" readingOrder="0" shrinkToFit="0" vertical="top" wrapText="1"/>
    </xf>
    <xf borderId="3" fillId="0" fontId="21" numFmtId="0" xfId="0" applyAlignment="1" applyBorder="1" applyFont="1">
      <alignment horizontal="left" readingOrder="0" shrinkToFit="0" vertical="top" wrapText="1"/>
    </xf>
    <xf borderId="3" fillId="16" fontId="12" numFmtId="0" xfId="0" applyAlignment="1" applyBorder="1" applyFont="1">
      <alignment horizontal="left" readingOrder="0" shrinkToFit="0" vertical="top" wrapText="1"/>
    </xf>
    <xf borderId="3" fillId="5" fontId="9" numFmtId="0" xfId="0" applyAlignment="1" applyBorder="1" applyFont="1">
      <alignment horizontal="left" readingOrder="0" shrinkToFit="0" vertical="top" wrapText="1"/>
    </xf>
    <xf borderId="3" fillId="20" fontId="9" numFmtId="49" xfId="0" applyAlignment="1" applyBorder="1" applyFont="1" applyNumberFormat="1">
      <alignment horizontal="left" readingOrder="0" shrinkToFit="0" vertical="top" wrapText="1"/>
    </xf>
    <xf borderId="3" fillId="5" fontId="9" numFmtId="0" xfId="0" applyAlignment="1" applyBorder="1" applyFont="1">
      <alignment horizontal="left" readingOrder="0" vertical="top"/>
    </xf>
    <xf borderId="3" fillId="22" fontId="9" numFmtId="0" xfId="0" applyAlignment="1" applyBorder="1" applyFill="1" applyFont="1">
      <alignment horizontal="left" readingOrder="0" shrinkToFit="0" vertical="top" wrapText="1"/>
    </xf>
    <xf borderId="3" fillId="22" fontId="9" numFmtId="49" xfId="0" applyAlignment="1" applyBorder="1" applyFont="1" applyNumberFormat="1">
      <alignment horizontal="left" readingOrder="0" shrinkToFit="0" vertical="top" wrapText="1"/>
    </xf>
    <xf borderId="3" fillId="16" fontId="22" numFmtId="0" xfId="0" applyAlignment="1" applyBorder="1" applyFont="1">
      <alignment horizontal="left" readingOrder="0" shrinkToFit="0" vertical="top" wrapText="1"/>
    </xf>
    <xf borderId="3" fillId="5" fontId="2" numFmtId="0" xfId="0" applyAlignment="1" applyBorder="1" applyFont="1">
      <alignment horizontal="left" readingOrder="0" shrinkToFit="0" vertical="top" wrapText="1"/>
    </xf>
    <xf borderId="3" fillId="0" fontId="13" numFmtId="0" xfId="0" applyAlignment="1" applyBorder="1" applyFont="1">
      <alignment horizontal="left" shrinkToFit="0" vertical="top" wrapText="1"/>
    </xf>
    <xf borderId="3" fillId="14" fontId="12" numFmtId="0" xfId="0" applyAlignment="1" applyBorder="1" applyFont="1">
      <alignment horizontal="left" readingOrder="0" shrinkToFit="0" vertical="top" wrapText="1"/>
    </xf>
    <xf borderId="8" fillId="17" fontId="11" numFmtId="0" xfId="0" applyAlignment="1" applyBorder="1" applyFont="1">
      <alignment horizontal="left" shrinkToFit="0" vertical="top" wrapText="1"/>
    </xf>
    <xf borderId="3" fillId="5" fontId="21" numFmtId="0" xfId="0" applyAlignment="1" applyBorder="1" applyFont="1">
      <alignment horizontal="left" readingOrder="0" vertical="top"/>
    </xf>
    <xf borderId="0" fillId="0" fontId="11" numFmtId="0" xfId="0" applyAlignment="1" applyFont="1">
      <alignment horizontal="left" readingOrder="0" shrinkToFit="0" vertical="top" wrapText="1"/>
    </xf>
    <xf borderId="3" fillId="18" fontId="2" numFmtId="0" xfId="0" applyAlignment="1" applyBorder="1" applyFont="1">
      <alignment readingOrder="0" shrinkToFit="0" vertical="top" wrapText="1"/>
    </xf>
    <xf borderId="3" fillId="18" fontId="2" numFmtId="0" xfId="0" applyAlignment="1" applyBorder="1" applyFont="1">
      <alignment shrinkToFit="0" vertical="top" wrapText="1"/>
    </xf>
    <xf borderId="0" fillId="18" fontId="15" numFmtId="0" xfId="0" applyAlignment="1" applyFont="1">
      <alignment horizontal="left" readingOrder="0" shrinkToFit="0" vertical="top" wrapText="1"/>
    </xf>
    <xf borderId="0" fillId="18" fontId="15" numFmtId="0" xfId="0" applyAlignment="1" applyFont="1">
      <alignment horizontal="left" shrinkToFit="0" vertical="top" wrapText="1"/>
    </xf>
    <xf borderId="11" fillId="18" fontId="15" numFmtId="0" xfId="0" applyAlignment="1" applyBorder="1" applyFont="1">
      <alignment horizontal="left" shrinkToFit="0" vertical="top" wrapText="1"/>
    </xf>
    <xf borderId="3" fillId="0" fontId="19" numFmtId="49" xfId="0" applyAlignment="1" applyBorder="1" applyFont="1" applyNumberFormat="1">
      <alignment horizontal="left" shrinkToFit="0" vertical="top" wrapText="1"/>
    </xf>
    <xf borderId="3" fillId="0" fontId="19" numFmtId="0" xfId="0" applyAlignment="1" applyBorder="1" applyFont="1">
      <alignment horizontal="left" shrinkToFit="0" vertical="top" wrapText="1"/>
    </xf>
    <xf borderId="3" fillId="18" fontId="15" numFmtId="49" xfId="0" applyAlignment="1" applyBorder="1" applyFont="1" applyNumberFormat="1">
      <alignment horizontal="left" readingOrder="0" shrinkToFit="0" vertical="top" wrapText="1"/>
    </xf>
    <xf borderId="3" fillId="18" fontId="15" numFmtId="0" xfId="0" applyAlignment="1" applyBorder="1" applyFont="1">
      <alignment horizontal="left" shrinkToFit="0" vertical="top" wrapText="1"/>
    </xf>
    <xf borderId="3" fillId="18" fontId="23" numFmtId="0" xfId="0" applyAlignment="1" applyBorder="1" applyFont="1">
      <alignment horizontal="left" readingOrder="0" shrinkToFit="0" vertical="top" wrapText="1"/>
    </xf>
    <xf borderId="3" fillId="18" fontId="14" numFmtId="0" xfId="0" applyAlignment="1" applyBorder="1" applyFont="1">
      <alignment horizontal="left" readingOrder="0" shrinkToFit="0" vertical="top" wrapText="1"/>
    </xf>
    <xf borderId="3" fillId="18" fontId="2" numFmtId="49" xfId="0" applyAlignment="1" applyBorder="1" applyFont="1" applyNumberFormat="1">
      <alignment readingOrder="0" shrinkToFit="0" vertical="top" wrapText="1"/>
    </xf>
    <xf borderId="3" fillId="18" fontId="2" numFmtId="49" xfId="0" applyAlignment="1" applyBorder="1" applyFont="1" applyNumberFormat="1">
      <alignment shrinkToFit="0" vertical="top" wrapText="1"/>
    </xf>
    <xf borderId="3" fillId="18" fontId="15" numFmtId="0" xfId="0" applyAlignment="1" applyBorder="1" applyFont="1">
      <alignment readingOrder="0" shrinkToFit="0" vertical="top" wrapText="1"/>
    </xf>
    <xf borderId="3" fillId="18" fontId="15" numFmtId="0" xfId="0" applyAlignment="1" applyBorder="1" applyFont="1">
      <alignment horizontal="left" readingOrder="0" shrinkToFit="0" vertical="top" wrapText="1"/>
    </xf>
    <xf borderId="3" fillId="18" fontId="15" numFmtId="49" xfId="0" applyAlignment="1" applyBorder="1" applyFont="1" applyNumberFormat="1">
      <alignment horizontal="left" shrinkToFit="0" vertical="top" wrapText="1"/>
    </xf>
    <xf borderId="3" fillId="20" fontId="19" numFmtId="49" xfId="0" applyAlignment="1" applyBorder="1" applyFont="1" applyNumberFormat="1">
      <alignment horizontal="left" readingOrder="0" shrinkToFit="0" vertical="top" wrapText="1"/>
    </xf>
    <xf borderId="3" fillId="0" fontId="24" numFmtId="0" xfId="0" applyAlignment="1" applyBorder="1" applyFont="1">
      <alignment horizontal="left" readingOrder="0" shrinkToFit="0" vertical="top" wrapText="1"/>
    </xf>
    <xf borderId="10" fillId="0" fontId="19" numFmtId="0" xfId="0" applyAlignment="1" applyBorder="1" applyFont="1">
      <alignment horizontal="left" readingOrder="0" shrinkToFit="0" vertical="top" wrapText="1"/>
    </xf>
    <xf borderId="3" fillId="18" fontId="11" numFmtId="49" xfId="0" applyAlignment="1" applyBorder="1" applyFont="1" applyNumberFormat="1">
      <alignment horizontal="left" shrinkToFit="0" vertical="top" wrapText="1"/>
    </xf>
    <xf borderId="3" fillId="18" fontId="11" numFmtId="0" xfId="0" applyAlignment="1" applyBorder="1" applyFont="1">
      <alignment horizontal="left" shrinkToFit="0" vertical="top" wrapText="1"/>
    </xf>
    <xf borderId="3" fillId="22" fontId="19" numFmtId="0" xfId="0" applyAlignment="1" applyBorder="1" applyFont="1">
      <alignment horizontal="left" readingOrder="0" shrinkToFit="0" vertical="top" wrapText="1"/>
    </xf>
    <xf borderId="10" fillId="0" fontId="19" numFmtId="49" xfId="0" applyAlignment="1" applyBorder="1" applyFont="1" applyNumberFormat="1">
      <alignment horizontal="left" readingOrder="0" shrinkToFit="0" vertical="top" wrapText="1"/>
    </xf>
    <xf borderId="3" fillId="0" fontId="25" numFmtId="0" xfId="0" applyAlignment="1" applyBorder="1" applyFont="1">
      <alignment horizontal="left" readingOrder="0" shrinkToFit="0" vertical="top" wrapText="1"/>
    </xf>
    <xf borderId="3" fillId="18" fontId="14" numFmtId="0" xfId="0" applyAlignment="1" applyBorder="1" applyFont="1">
      <alignment readingOrder="0" shrinkToFit="0" vertical="top" wrapText="1"/>
    </xf>
    <xf borderId="3" fillId="0" fontId="26" numFmtId="0" xfId="0" applyAlignment="1" applyBorder="1" applyFont="1">
      <alignment horizontal="left" readingOrder="0" shrinkToFit="0" vertical="top" wrapText="1"/>
    </xf>
    <xf borderId="3" fillId="18" fontId="27" numFmtId="0" xfId="0" applyAlignment="1" applyBorder="1" applyFont="1">
      <alignment horizontal="left" readingOrder="0" shrinkToFit="0" vertical="top" wrapText="1"/>
    </xf>
    <xf borderId="3" fillId="22" fontId="19" numFmtId="49" xfId="0" applyAlignment="1" applyBorder="1" applyFont="1" applyNumberFormat="1">
      <alignment horizontal="left" readingOrder="0" shrinkToFit="0" vertical="top" wrapText="1"/>
    </xf>
    <xf borderId="3" fillId="16" fontId="2" numFmtId="0" xfId="0" applyAlignment="1" applyBorder="1" applyFont="1">
      <alignment horizontal="left" readingOrder="0" shrinkToFit="0" vertical="top" wrapText="1"/>
    </xf>
    <xf borderId="3" fillId="23" fontId="2" numFmtId="0" xfId="0" applyAlignment="1" applyBorder="1" applyFill="1" applyFont="1">
      <alignment readingOrder="0" shrinkToFit="0" vertical="top" wrapText="1"/>
    </xf>
    <xf borderId="3" fillId="0" fontId="2" numFmtId="0" xfId="0" applyAlignment="1" applyBorder="1" applyFont="1">
      <alignment readingOrder="0" shrinkToFit="0" vertical="top" wrapText="1"/>
    </xf>
    <xf borderId="3" fillId="20" fontId="2" numFmtId="49" xfId="0" applyAlignment="1" applyBorder="1" applyFont="1" applyNumberFormat="1">
      <alignment readingOrder="0" shrinkToFit="0" vertical="top" wrapText="1"/>
    </xf>
    <xf borderId="3" fillId="5" fontId="2" numFmtId="0" xfId="0" applyAlignment="1" applyBorder="1" applyFont="1">
      <alignment readingOrder="0" shrinkToFit="0" vertical="top" wrapText="1"/>
    </xf>
    <xf borderId="3" fillId="22" fontId="2" numFmtId="0" xfId="0" applyAlignment="1" applyBorder="1" applyFont="1">
      <alignment shrinkToFit="0" vertical="top" wrapText="1"/>
    </xf>
    <xf borderId="3" fillId="22" fontId="2" numFmtId="49" xfId="0" applyAlignment="1" applyBorder="1" applyFont="1" applyNumberFormat="1">
      <alignment readingOrder="0" shrinkToFit="0" vertical="top" wrapText="1"/>
    </xf>
    <xf borderId="3" fillId="16" fontId="15" numFmtId="0" xfId="0" applyAlignment="1" applyBorder="1" applyFont="1">
      <alignment horizontal="left" readingOrder="0" shrinkToFit="0" vertical="top" wrapText="1"/>
    </xf>
    <xf borderId="3" fillId="0" fontId="28" numFmtId="0" xfId="0" applyAlignment="1" applyBorder="1" applyFont="1">
      <alignment readingOrder="0" shrinkToFit="0" vertical="top" wrapText="1"/>
    </xf>
    <xf borderId="3" fillId="0" fontId="19" numFmtId="0" xfId="0" applyAlignment="1" applyBorder="1" applyFont="1">
      <alignment horizontal="left" shrinkToFit="0" vertical="top" wrapText="1"/>
    </xf>
    <xf borderId="3" fillId="18" fontId="10" numFmtId="0" xfId="0" applyAlignment="1" applyBorder="1" applyFont="1">
      <alignment horizontal="center" readingOrder="0" shrinkToFit="0" vertical="top" wrapText="1"/>
    </xf>
    <xf borderId="3" fillId="18" fontId="29" numFmtId="0" xfId="0" applyAlignment="1" applyBorder="1" applyFont="1">
      <alignment readingOrder="0" shrinkToFit="0" vertical="top" wrapText="1"/>
    </xf>
    <xf borderId="3" fillId="18" fontId="11" numFmtId="49" xfId="0" applyAlignment="1" applyBorder="1" applyFont="1" applyNumberFormat="1">
      <alignment readingOrder="0" shrinkToFit="0" vertical="top" wrapText="1"/>
    </xf>
    <xf borderId="3" fillId="0" fontId="11" numFmtId="0" xfId="0" applyAlignment="1" applyBorder="1" applyFont="1">
      <alignment horizontal="left" shrinkToFit="0" vertical="top" wrapText="1"/>
    </xf>
    <xf borderId="3" fillId="9" fontId="11" numFmtId="0" xfId="0" applyAlignment="1" applyBorder="1" applyFont="1">
      <alignment horizontal="left" shrinkToFit="0" vertical="top" wrapText="1"/>
    </xf>
    <xf borderId="3" fillId="14" fontId="13" numFmtId="0" xfId="0" applyAlignment="1" applyBorder="1" applyFont="1">
      <alignment horizontal="left" readingOrder="0" shrinkToFit="0" vertical="top" wrapText="1"/>
    </xf>
    <xf borderId="3" fillId="15" fontId="11" numFmtId="0" xfId="0" applyAlignment="1" applyBorder="1" applyFont="1">
      <alignment horizontal="left" shrinkToFit="0" vertical="top" wrapText="1"/>
    </xf>
    <xf borderId="3" fillId="18" fontId="27" numFmtId="0" xfId="0" applyAlignment="1" applyBorder="1" applyFont="1">
      <alignment readingOrder="0" shrinkToFit="0" vertical="top" wrapText="1"/>
    </xf>
    <xf borderId="3" fillId="18" fontId="15" numFmtId="49" xfId="0" applyAlignment="1" applyBorder="1" applyFont="1" applyNumberFormat="1">
      <alignment readingOrder="0" shrinkToFit="0" vertical="top" wrapText="1"/>
    </xf>
    <xf borderId="3" fillId="18" fontId="11" numFmtId="0" xfId="0" applyAlignment="1" applyBorder="1" applyFont="1">
      <alignment shrinkToFit="0" vertical="top" wrapText="1"/>
    </xf>
    <xf borderId="3" fillId="23" fontId="15" numFmtId="0" xfId="0" applyAlignment="1" applyBorder="1" applyFont="1">
      <alignment horizontal="left" readingOrder="0" shrinkToFit="0" vertical="top" wrapText="1"/>
    </xf>
    <xf borderId="3" fillId="24" fontId="19" numFmtId="49" xfId="0" applyAlignment="1" applyBorder="1" applyFill="1" applyFont="1" applyNumberFormat="1">
      <alignment horizontal="left" shrinkToFit="0" vertical="top" wrapText="1"/>
    </xf>
    <xf borderId="3" fillId="18" fontId="30" numFmtId="0" xfId="0" applyAlignment="1" applyBorder="1" applyFont="1">
      <alignment horizontal="left" shrinkToFit="0" vertical="top" wrapText="1"/>
    </xf>
    <xf borderId="3" fillId="0" fontId="23" numFmtId="0" xfId="0" applyAlignment="1" applyBorder="1" applyFont="1">
      <alignment horizontal="left" readingOrder="0" shrinkToFit="0" vertical="top" wrapText="1"/>
    </xf>
    <xf borderId="3" fillId="18" fontId="11" numFmtId="0" xfId="0" applyAlignment="1" applyBorder="1" applyFont="1">
      <alignment readingOrder="0" shrinkToFit="0" vertical="top" wrapText="1"/>
    </xf>
    <xf borderId="3" fillId="18" fontId="9" numFmtId="0" xfId="0" applyAlignment="1" applyBorder="1" applyFont="1">
      <alignment horizontal="left" shrinkToFit="0" vertical="top" wrapText="1"/>
    </xf>
    <xf borderId="0" fillId="25" fontId="2" numFmtId="0" xfId="0" applyAlignment="1" applyFill="1" applyFont="1">
      <alignment horizontal="left" shrinkToFit="0" vertical="top" wrapText="1"/>
    </xf>
    <xf borderId="3" fillId="9" fontId="31" numFmtId="0" xfId="0" applyAlignment="1" applyBorder="1" applyFont="1">
      <alignment shrinkToFit="0" vertical="top" wrapText="1"/>
    </xf>
    <xf borderId="3" fillId="0" fontId="31" numFmtId="0" xfId="0" applyAlignment="1" applyBorder="1" applyFont="1">
      <alignment shrinkToFit="0" vertical="top" wrapText="1"/>
    </xf>
    <xf borderId="3" fillId="0" fontId="2" numFmtId="0" xfId="0" applyAlignment="1" applyBorder="1" applyFont="1">
      <alignment shrinkToFit="0" vertical="top" wrapText="1"/>
    </xf>
    <xf borderId="3" fillId="0" fontId="2" numFmtId="49" xfId="0" applyAlignment="1" applyBorder="1" applyFont="1" applyNumberFormat="1">
      <alignment shrinkToFit="0" vertical="top" wrapText="1"/>
    </xf>
    <xf borderId="2" fillId="0" fontId="2" numFmtId="0" xfId="0" applyAlignment="1" applyBorder="1" applyFont="1">
      <alignment horizontal="left" shrinkToFit="0" vertical="top" wrapText="1"/>
    </xf>
    <xf borderId="3" fillId="20" fontId="31" numFmtId="49" xfId="0" applyAlignment="1" applyBorder="1" applyFont="1" applyNumberFormat="1">
      <alignment shrinkToFit="0" vertical="top" wrapText="1"/>
    </xf>
    <xf borderId="3" fillId="0" fontId="31" numFmtId="0" xfId="0" applyAlignment="1" applyBorder="1" applyFont="1">
      <alignment shrinkToFit="0" vertical="top" wrapText="1"/>
    </xf>
    <xf borderId="3" fillId="0" fontId="31" numFmtId="49" xfId="0" applyAlignment="1" applyBorder="1" applyFont="1" applyNumberFormat="1">
      <alignment shrinkToFit="0" vertical="top" wrapText="1"/>
    </xf>
    <xf borderId="3" fillId="18" fontId="31" numFmtId="0" xfId="0" applyAlignment="1" applyBorder="1" applyFont="1">
      <alignment shrinkToFit="0" vertical="top" wrapText="1"/>
    </xf>
    <xf borderId="3" fillId="20" fontId="31" numFmtId="49" xfId="0" applyAlignment="1" applyBorder="1" applyFont="1" applyNumberFormat="1">
      <alignment horizontal="left" readingOrder="0" shrinkToFit="0" vertical="top" wrapText="1"/>
    </xf>
    <xf borderId="3" fillId="20" fontId="31" numFmtId="0" xfId="0" applyAlignment="1" applyBorder="1" applyFont="1">
      <alignment shrinkToFit="0" vertical="top" wrapText="1"/>
    </xf>
    <xf borderId="3" fillId="18" fontId="31" numFmtId="0" xfId="0" applyAlignment="1" applyBorder="1" applyFont="1">
      <alignment readingOrder="0" shrinkToFit="0" vertical="top" wrapText="1"/>
    </xf>
    <xf borderId="3" fillId="14" fontId="32" numFmtId="0" xfId="0" applyAlignment="1" applyBorder="1" applyFont="1">
      <alignment readingOrder="0" shrinkToFit="0" vertical="top" wrapText="1"/>
    </xf>
    <xf borderId="3" fillId="0" fontId="32" numFmtId="0" xfId="0" applyAlignment="1" applyBorder="1" applyFont="1">
      <alignment shrinkToFit="0" vertical="top" wrapText="1"/>
    </xf>
    <xf borderId="3" fillId="0" fontId="32" numFmtId="49" xfId="0" applyAlignment="1" applyBorder="1" applyFont="1" applyNumberFormat="1">
      <alignment shrinkToFit="0" vertical="top" wrapText="1"/>
    </xf>
    <xf borderId="3" fillId="14" fontId="32" numFmtId="0" xfId="0" applyAlignment="1" applyBorder="1" applyFont="1">
      <alignment shrinkToFit="0" vertical="top" wrapText="1"/>
    </xf>
    <xf borderId="3" fillId="18" fontId="32" numFmtId="0" xfId="0" applyAlignment="1" applyBorder="1" applyFont="1">
      <alignment shrinkToFit="0" vertical="top" wrapText="1"/>
    </xf>
    <xf borderId="3" fillId="18" fontId="32" numFmtId="0" xfId="0" applyAlignment="1" applyBorder="1" applyFont="1">
      <alignment shrinkToFit="0" vertical="top" wrapText="1"/>
    </xf>
    <xf borderId="0" fillId="25" fontId="2" numFmtId="0" xfId="0" applyAlignment="1" applyFont="1">
      <alignment horizontal="left" shrinkToFit="0" vertical="top" wrapText="1"/>
    </xf>
    <xf borderId="3" fillId="20" fontId="32" numFmtId="0" xfId="0" applyAlignment="1" applyBorder="1" applyFont="1">
      <alignment shrinkToFit="0" vertical="top" wrapText="1"/>
    </xf>
    <xf borderId="3" fillId="20" fontId="32" numFmtId="49" xfId="0" applyAlignment="1" applyBorder="1" applyFont="1" applyNumberFormat="1">
      <alignment shrinkToFit="0" vertical="top" wrapText="1"/>
    </xf>
    <xf borderId="3" fillId="14" fontId="33" numFmtId="0" xfId="0" applyAlignment="1" applyBorder="1" applyFont="1">
      <alignment shrinkToFit="0" vertical="top" wrapText="1"/>
    </xf>
    <xf borderId="0" fillId="25" fontId="2" numFmtId="0" xfId="0" applyAlignment="1" applyFont="1">
      <alignment horizontal="left" readingOrder="0" shrinkToFit="0" vertical="top" wrapText="1"/>
    </xf>
    <xf borderId="3" fillId="14" fontId="34" numFmtId="0" xfId="0" applyAlignment="1" applyBorder="1" applyFont="1">
      <alignment horizontal="left" readingOrder="0" shrinkToFit="0" vertical="top" wrapText="1"/>
    </xf>
    <xf borderId="3" fillId="0" fontId="34" numFmtId="0" xfId="0" applyAlignment="1" applyBorder="1" applyFont="1">
      <alignment horizontal="left" readingOrder="0" shrinkToFit="0" vertical="top" wrapText="1"/>
    </xf>
    <xf borderId="3" fillId="0" fontId="34" numFmtId="49" xfId="0" applyAlignment="1" applyBorder="1" applyFont="1" applyNumberFormat="1">
      <alignment horizontal="left" readingOrder="0" shrinkToFit="0" vertical="top" wrapText="1"/>
    </xf>
    <xf borderId="3" fillId="14" fontId="26" numFmtId="0" xfId="0" applyAlignment="1" applyBorder="1" applyFont="1">
      <alignment shrinkToFit="0" vertical="top" wrapText="1"/>
    </xf>
    <xf borderId="3" fillId="0" fontId="26" numFmtId="0" xfId="0" applyAlignment="1" applyBorder="1" applyFont="1">
      <alignment shrinkToFit="0" vertical="top" wrapText="1"/>
    </xf>
    <xf borderId="3" fillId="20" fontId="26" numFmtId="0" xfId="0" applyAlignment="1" applyBorder="1" applyFont="1">
      <alignment shrinkToFit="0" vertical="top" wrapText="1"/>
    </xf>
    <xf borderId="3" fillId="20" fontId="26" numFmtId="49" xfId="0" applyAlignment="1" applyBorder="1" applyFont="1" applyNumberFormat="1">
      <alignment shrinkToFit="0" vertical="top" wrapText="1"/>
    </xf>
    <xf borderId="3" fillId="0" fontId="35" numFmtId="0" xfId="0" applyAlignment="1" applyBorder="1" applyFont="1">
      <alignment vertical="top"/>
    </xf>
    <xf borderId="3" fillId="0" fontId="36" numFmtId="0" xfId="0" applyAlignment="1" applyBorder="1" applyFont="1">
      <alignment shrinkToFit="0" vertical="top" wrapText="1"/>
    </xf>
    <xf borderId="0" fillId="0" fontId="2" numFmtId="49" xfId="0" applyAlignment="1" applyFont="1" applyNumberFormat="1">
      <alignment horizontal="left" shrinkToFit="0" vertical="top" wrapText="1"/>
    </xf>
    <xf borderId="0" fillId="0" fontId="37" numFmtId="0" xfId="0" applyAlignment="1" applyFont="1">
      <alignment readingOrder="0"/>
    </xf>
    <xf borderId="0" fillId="0" fontId="37" numFmtId="0" xfId="0" applyFont="1"/>
    <xf borderId="0" fillId="0" fontId="38" numFmtId="0" xfId="0" applyAlignment="1" applyFont="1">
      <alignment horizontal="center" readingOrder="0" shrinkToFit="0" vertical="bottom" wrapText="1"/>
    </xf>
    <xf borderId="0" fillId="0" fontId="39" numFmtId="0" xfId="0" applyAlignment="1" applyFont="1">
      <alignment horizontal="center" readingOrder="0" shrinkToFit="0" vertical="bottom" wrapText="1"/>
    </xf>
    <xf borderId="0" fillId="0" fontId="2" numFmtId="0" xfId="0" applyAlignment="1" applyFont="1">
      <alignment horizontal="center" readingOrder="0" shrinkToFit="0" vertical="top" wrapText="1"/>
    </xf>
    <xf borderId="0" fillId="0" fontId="40" numFmtId="0" xfId="0" applyAlignment="1" applyFont="1">
      <alignment horizontal="center" readingOrder="0" shrinkToFit="0" vertical="bottom" wrapText="1"/>
    </xf>
    <xf borderId="0" fillId="0" fontId="41" numFmtId="0" xfId="0" applyAlignment="1" applyFont="1">
      <alignment horizontal="center" shrinkToFit="0" vertical="bottom" wrapText="1"/>
    </xf>
    <xf borderId="2" fillId="16" fontId="42" numFmtId="0" xfId="0" applyAlignment="1" applyBorder="1" applyFont="1">
      <alignment horizontal="center" shrinkToFit="0" vertical="bottom" wrapText="1"/>
    </xf>
    <xf borderId="6" fillId="11" fontId="43" numFmtId="0" xfId="0" applyAlignment="1" applyBorder="1" applyFont="1">
      <alignment horizontal="center" readingOrder="0" shrinkToFit="0" vertical="center" wrapText="1"/>
    </xf>
    <xf borderId="3" fillId="8" fontId="44" numFmtId="0" xfId="0" applyAlignment="1" applyBorder="1" applyFont="1">
      <alignment horizontal="center" shrinkToFit="0" vertical="center" wrapText="1"/>
    </xf>
    <xf borderId="3" fillId="8" fontId="45" numFmtId="0" xfId="0" applyAlignment="1" applyBorder="1" applyFont="1">
      <alignment horizontal="center" shrinkToFit="0" vertical="center" wrapText="1"/>
    </xf>
    <xf borderId="3" fillId="8" fontId="44" numFmtId="49" xfId="0" applyAlignment="1" applyBorder="1" applyFont="1" applyNumberFormat="1">
      <alignment horizontal="center" shrinkToFit="0" vertical="center" wrapText="1"/>
    </xf>
    <xf borderId="3" fillId="26" fontId="44" numFmtId="0" xfId="0" applyAlignment="1" applyBorder="1" applyFill="1" applyFont="1">
      <alignment horizontal="center" readingOrder="0" shrinkToFit="0" vertical="center" wrapText="1"/>
    </xf>
    <xf borderId="3" fillId="21" fontId="44" numFmtId="0" xfId="0" applyAlignment="1" applyBorder="1" applyFont="1">
      <alignment horizontal="center" shrinkToFit="0" vertical="center" wrapText="1"/>
    </xf>
    <xf borderId="3" fillId="10" fontId="46" numFmtId="0" xfId="0" applyAlignment="1" applyBorder="1" applyFont="1">
      <alignment horizontal="center" shrinkToFit="0" vertical="center" wrapText="1"/>
    </xf>
    <xf borderId="3" fillId="25" fontId="47" numFmtId="0" xfId="0" applyAlignment="1" applyBorder="1" applyFont="1">
      <alignment horizontal="center" shrinkToFit="0" vertical="center" wrapText="1"/>
    </xf>
    <xf borderId="3" fillId="25" fontId="6" numFmtId="0" xfId="0" applyAlignment="1" applyBorder="1" applyFont="1">
      <alignment horizontal="center" shrinkToFit="0" vertical="center" wrapText="1"/>
    </xf>
    <xf borderId="3" fillId="25" fontId="31" numFmtId="0" xfId="0" applyAlignment="1" applyBorder="1" applyFont="1">
      <alignment horizontal="center" readingOrder="0" shrinkToFit="0" vertical="center" wrapText="1"/>
    </xf>
    <xf borderId="3" fillId="10" fontId="31" numFmtId="0" xfId="0" applyAlignment="1" applyBorder="1" applyFont="1">
      <alignment horizontal="center" shrinkToFit="0" vertical="center" wrapText="1"/>
    </xf>
    <xf borderId="3" fillId="9" fontId="31" numFmtId="0" xfId="0" applyAlignment="1" applyBorder="1" applyFont="1">
      <alignment horizontal="left" shrinkToFit="0" vertical="top" wrapText="1"/>
    </xf>
    <xf borderId="3" fillId="0" fontId="31" numFmtId="0" xfId="0" applyAlignment="1" applyBorder="1" applyFont="1">
      <alignment horizontal="left" shrinkToFit="0" vertical="top" wrapText="1"/>
    </xf>
    <xf borderId="3" fillId="0" fontId="48" numFmtId="0" xfId="0" applyAlignment="1" applyBorder="1" applyFont="1">
      <alignment horizontal="center" readingOrder="0" shrinkToFit="0" vertical="top" wrapText="1"/>
    </xf>
    <xf borderId="3" fillId="0" fontId="31" numFmtId="164" xfId="0" applyAlignment="1" applyBorder="1" applyFont="1" applyNumberFormat="1">
      <alignment horizontal="center" shrinkToFit="0" vertical="top" wrapText="1"/>
    </xf>
    <xf borderId="3" fillId="0" fontId="10" numFmtId="0" xfId="0" applyAlignment="1" applyBorder="1" applyFont="1">
      <alignment readingOrder="0" vertical="top"/>
    </xf>
    <xf borderId="3" fillId="0" fontId="31" numFmtId="0" xfId="0" applyAlignment="1" applyBorder="1" applyFont="1">
      <alignment horizontal="center" readingOrder="0" shrinkToFit="0" vertical="center" wrapText="1"/>
    </xf>
    <xf borderId="3" fillId="9" fontId="31" numFmtId="0" xfId="0" applyAlignment="1" applyBorder="1" applyFont="1">
      <alignment horizontal="left" readingOrder="0" shrinkToFit="0" vertical="top" wrapText="1"/>
    </xf>
    <xf borderId="3" fillId="0" fontId="2" numFmtId="0" xfId="0" applyAlignment="1" applyBorder="1" applyFont="1">
      <alignment vertical="top"/>
    </xf>
    <xf borderId="3" fillId="20" fontId="31" numFmtId="0" xfId="0" applyAlignment="1" applyBorder="1" applyFont="1">
      <alignment readingOrder="0" shrinkToFit="0" vertical="top" wrapText="1"/>
    </xf>
    <xf borderId="3" fillId="0" fontId="31" numFmtId="49" xfId="0" applyAlignment="1" applyBorder="1" applyFont="1" applyNumberFormat="1">
      <alignment horizontal="left" shrinkToFit="0" vertical="top" wrapText="1"/>
    </xf>
    <xf borderId="3" fillId="0" fontId="10" numFmtId="0" xfId="0" applyAlignment="1" applyBorder="1" applyFont="1">
      <alignment vertical="top"/>
    </xf>
    <xf borderId="3" fillId="16" fontId="31" numFmtId="0" xfId="0" applyAlignment="1" applyBorder="1" applyFont="1">
      <alignment horizontal="left" readingOrder="0" shrinkToFit="0" vertical="top" wrapText="1"/>
    </xf>
    <xf borderId="3" fillId="0" fontId="31" numFmtId="0" xfId="0" applyAlignment="1" applyBorder="1" applyFont="1">
      <alignment horizontal="left" readingOrder="0" shrinkToFit="0" vertical="top" wrapText="1"/>
    </xf>
    <xf borderId="3" fillId="22" fontId="31" numFmtId="0" xfId="0" applyAlignment="1" applyBorder="1" applyFont="1">
      <alignment horizontal="left" shrinkToFit="0" vertical="top" wrapText="1"/>
    </xf>
    <xf borderId="3" fillId="0" fontId="48" numFmtId="164" xfId="0" applyAlignment="1" applyBorder="1" applyFont="1" applyNumberFormat="1">
      <alignment horizontal="center" shrinkToFit="0" vertical="top" wrapText="1"/>
    </xf>
    <xf quotePrefix="1" borderId="3" fillId="22" fontId="2" numFmtId="0" xfId="0" applyAlignment="1" applyBorder="1" applyFont="1">
      <alignment horizontal="center" shrinkToFit="0" vertical="top" wrapText="1"/>
    </xf>
    <xf borderId="3" fillId="0" fontId="49" numFmtId="0" xfId="0" applyAlignment="1" applyBorder="1" applyFont="1">
      <alignment horizontal="left" shrinkToFit="0" vertical="top" wrapText="1"/>
    </xf>
    <xf borderId="3" fillId="20" fontId="31" numFmtId="0" xfId="0" applyAlignment="1" applyBorder="1" applyFont="1">
      <alignment horizontal="left" readingOrder="0" shrinkToFit="0" vertical="top" wrapText="1"/>
    </xf>
    <xf borderId="3" fillId="12" fontId="31" numFmtId="0" xfId="0" applyAlignment="1" applyBorder="1" applyFont="1">
      <alignment horizontal="left" readingOrder="0" shrinkToFit="0" vertical="top" wrapText="1"/>
    </xf>
    <xf borderId="3" fillId="12" fontId="31" numFmtId="49" xfId="0" applyAlignment="1" applyBorder="1" applyFont="1" applyNumberFormat="1">
      <alignment horizontal="left" shrinkToFit="0" vertical="top" wrapText="1"/>
    </xf>
    <xf borderId="3" fillId="0" fontId="50" numFmtId="0" xfId="0" applyAlignment="1" applyBorder="1" applyFont="1">
      <alignment horizontal="left" shrinkToFit="0" vertical="top" wrapText="1"/>
    </xf>
    <xf borderId="3" fillId="0" fontId="31" numFmtId="0" xfId="0" applyAlignment="1" applyBorder="1" applyFont="1">
      <alignment horizontal="center" shrinkToFit="0" vertical="center" wrapText="1"/>
    </xf>
    <xf borderId="3" fillId="12" fontId="31" numFmtId="0" xfId="0" applyAlignment="1" applyBorder="1" applyFont="1">
      <alignment readingOrder="0" shrinkToFit="0" vertical="top" wrapText="1"/>
    </xf>
    <xf borderId="3" fillId="0" fontId="51" numFmtId="49" xfId="0" applyAlignment="1" applyBorder="1" applyFont="1" applyNumberFormat="1">
      <alignment horizontal="left" shrinkToFit="0" vertical="top" wrapText="1"/>
    </xf>
    <xf borderId="3" fillId="0" fontId="52" numFmtId="0" xfId="0" applyAlignment="1" applyBorder="1" applyFont="1">
      <alignment horizontal="left" shrinkToFit="0" vertical="top" wrapText="1"/>
    </xf>
    <xf quotePrefix="1" borderId="3" fillId="0" fontId="31" numFmtId="0" xfId="0" applyAlignment="1" applyBorder="1" applyFont="1">
      <alignment horizontal="left" shrinkToFit="0" vertical="top" wrapText="1"/>
    </xf>
    <xf borderId="3" fillId="0" fontId="53" numFmtId="0" xfId="0" applyAlignment="1" applyBorder="1" applyFont="1">
      <alignment horizontal="left" shrinkToFit="0" vertical="top" wrapText="1"/>
    </xf>
    <xf borderId="3" fillId="20" fontId="31" numFmtId="0" xfId="0" applyAlignment="1" applyBorder="1" applyFont="1">
      <alignment shrinkToFit="0" vertical="top" wrapText="1"/>
    </xf>
    <xf borderId="3" fillId="0" fontId="50" numFmtId="0" xfId="0" applyAlignment="1" applyBorder="1" applyFont="1">
      <alignment horizontal="center" shrinkToFit="0" vertical="center" wrapText="1"/>
    </xf>
    <xf borderId="3" fillId="0" fontId="34" numFmtId="0" xfId="0" applyAlignment="1" applyBorder="1" applyFont="1">
      <alignment horizontal="center" readingOrder="0" vertical="center"/>
    </xf>
    <xf borderId="3" fillId="0" fontId="34" numFmtId="164" xfId="0" applyAlignment="1" applyBorder="1" applyFont="1" applyNumberFormat="1">
      <alignment horizontal="center" readingOrder="0" shrinkToFit="0" vertical="top" wrapText="1"/>
    </xf>
    <xf borderId="3" fillId="0" fontId="34" numFmtId="0" xfId="0" applyAlignment="1" applyBorder="1" applyFont="1">
      <alignment horizontal="center" readingOrder="0" shrinkToFit="0" vertical="top" wrapText="1"/>
    </xf>
    <xf borderId="3" fillId="20" fontId="34" numFmtId="0" xfId="0" applyAlignment="1" applyBorder="1" applyFont="1">
      <alignment horizontal="left" readingOrder="0" shrinkToFit="0" vertical="top" wrapText="1"/>
    </xf>
    <xf borderId="3" fillId="0" fontId="54" numFmtId="0" xfId="0" applyAlignment="1" applyBorder="1" applyFont="1">
      <alignment horizontal="center" readingOrder="0" shrinkToFit="0" vertical="top" wrapText="1"/>
    </xf>
    <xf borderId="3" fillId="18" fontId="34" numFmtId="0" xfId="0" applyAlignment="1" applyBorder="1" applyFont="1">
      <alignment horizontal="left" readingOrder="0" shrinkToFit="0" vertical="top" wrapText="1"/>
    </xf>
    <xf borderId="3" fillId="0" fontId="55" numFmtId="0" xfId="0" applyAlignment="1" applyBorder="1" applyFont="1">
      <alignment horizontal="left" readingOrder="0" shrinkToFit="0" vertical="top" wrapText="1"/>
    </xf>
    <xf borderId="3" fillId="22" fontId="34" numFmtId="0" xfId="0" applyAlignment="1" applyBorder="1" applyFont="1">
      <alignment horizontal="left" readingOrder="0" shrinkToFit="0" vertical="top" wrapText="1"/>
    </xf>
    <xf borderId="3" fillId="0" fontId="34" numFmtId="49" xfId="0" applyAlignment="1" applyBorder="1" applyFont="1" applyNumberFormat="1">
      <alignment horizontal="left" shrinkToFit="0" vertical="top" wrapText="1"/>
    </xf>
    <xf borderId="3" fillId="0" fontId="54" numFmtId="164" xfId="0" applyAlignment="1" applyBorder="1" applyFont="1" applyNumberFormat="1">
      <alignment horizontal="center" readingOrder="0" shrinkToFit="0" vertical="top" wrapText="1"/>
    </xf>
    <xf borderId="3" fillId="0" fontId="56" numFmtId="0" xfId="0" applyAlignment="1" applyBorder="1" applyFont="1">
      <alignment horizontal="left" readingOrder="0" shrinkToFit="0" vertical="top" wrapText="1"/>
    </xf>
    <xf borderId="3" fillId="16" fontId="34" numFmtId="0" xfId="0" applyAlignment="1" applyBorder="1" applyFont="1">
      <alignment horizontal="left" readingOrder="0" shrinkToFit="0" vertical="top" wrapText="1"/>
    </xf>
    <xf borderId="3" fillId="20" fontId="34" numFmtId="49" xfId="0" applyAlignment="1" applyBorder="1" applyFont="1" applyNumberFormat="1">
      <alignment horizontal="left" readingOrder="0" shrinkToFit="0" vertical="top" wrapText="1"/>
    </xf>
    <xf borderId="3" fillId="0" fontId="57" numFmtId="49" xfId="0" applyAlignment="1" applyBorder="1" applyFont="1" applyNumberFormat="1">
      <alignment horizontal="left" readingOrder="0" shrinkToFit="0" vertical="top" wrapText="1"/>
    </xf>
    <xf borderId="3" fillId="22" fontId="58" numFmtId="0" xfId="0" applyAlignment="1" applyBorder="1" applyFont="1">
      <alignment horizontal="left" readingOrder="0" shrinkToFit="0" vertical="top" wrapText="1"/>
    </xf>
    <xf borderId="3" fillId="0" fontId="58" numFmtId="49" xfId="0" applyAlignment="1" applyBorder="1" applyFont="1" applyNumberFormat="1">
      <alignment horizontal="left" readingOrder="0" shrinkToFit="0" vertical="top" wrapText="1"/>
    </xf>
    <xf borderId="3" fillId="0" fontId="58" numFmtId="0" xfId="0" applyAlignment="1" applyBorder="1" applyFont="1">
      <alignment horizontal="left" readingOrder="0" shrinkToFit="0" vertical="top" wrapText="1"/>
    </xf>
    <xf borderId="3" fillId="14" fontId="59" numFmtId="0" xfId="0" applyAlignment="1" applyBorder="1" applyFont="1">
      <alignment horizontal="left" readingOrder="0" shrinkToFit="0" vertical="top" wrapText="1"/>
    </xf>
    <xf borderId="3" fillId="0" fontId="34" numFmtId="0" xfId="0" applyAlignment="1" applyBorder="1" applyFont="1">
      <alignment horizontal="center" readingOrder="0" shrinkToFit="0" vertical="center" wrapText="1"/>
    </xf>
    <xf borderId="3" fillId="0" fontId="60" numFmtId="0" xfId="0" applyAlignment="1" applyBorder="1" applyFont="1">
      <alignment horizontal="left" readingOrder="0" shrinkToFit="0" vertical="top" wrapText="1"/>
    </xf>
    <xf borderId="3" fillId="0" fontId="61" numFmtId="49" xfId="0" applyAlignment="1" applyBorder="1" applyFont="1" applyNumberFormat="1">
      <alignment horizontal="left" readingOrder="0" shrinkToFit="0" vertical="top" wrapText="1"/>
    </xf>
    <xf borderId="12" fillId="0" fontId="34" numFmtId="0" xfId="0" applyAlignment="1" applyBorder="1" applyFont="1">
      <alignment horizontal="center" readingOrder="0" shrinkToFit="0" vertical="top" wrapText="1"/>
    </xf>
    <xf borderId="9" fillId="0" fontId="54" numFmtId="164" xfId="0" applyAlignment="1" applyBorder="1" applyFont="1" applyNumberFormat="1">
      <alignment horizontal="center" readingOrder="0" shrinkToFit="0" vertical="top" wrapText="1"/>
    </xf>
    <xf borderId="12" fillId="0" fontId="7" numFmtId="0" xfId="0" applyBorder="1" applyFont="1"/>
    <xf borderId="9" fillId="0" fontId="7" numFmtId="0" xfId="0" applyBorder="1" applyFont="1"/>
    <xf borderId="3" fillId="27" fontId="34" numFmtId="0" xfId="0" applyAlignment="1" applyBorder="1" applyFill="1" applyFont="1">
      <alignment horizontal="left" readingOrder="0" shrinkToFit="0" vertical="top" wrapText="1"/>
    </xf>
    <xf borderId="3" fillId="20" fontId="9" numFmtId="49" xfId="0" applyAlignment="1" applyBorder="1" applyFont="1" applyNumberFormat="1">
      <alignment horizontal="left" readingOrder="0" shrinkToFit="0" vertical="top" wrapText="1"/>
    </xf>
    <xf borderId="3" fillId="0" fontId="62" numFmtId="49" xfId="0" applyAlignment="1" applyBorder="1" applyFont="1" applyNumberFormat="1">
      <alignment horizontal="left" readingOrder="0" shrinkToFit="0" vertical="top" wrapText="1"/>
    </xf>
    <xf borderId="3" fillId="0" fontId="63" numFmtId="49" xfId="0" applyAlignment="1" applyBorder="1" applyFont="1" applyNumberFormat="1">
      <alignment horizontal="left" shrinkToFit="0" vertical="top" wrapText="1"/>
    </xf>
    <xf borderId="3" fillId="18" fontId="60" numFmtId="0" xfId="0" applyAlignment="1" applyBorder="1" applyFont="1">
      <alignment horizontal="left" readingOrder="0" shrinkToFit="0" vertical="top" wrapText="1"/>
    </xf>
    <xf borderId="3" fillId="0" fontId="9" numFmtId="0" xfId="0" applyAlignment="1" applyBorder="1" applyFont="1">
      <alignment readingOrder="0" shrinkToFit="0" vertical="top" wrapText="1"/>
    </xf>
    <xf borderId="3" fillId="0" fontId="9" numFmtId="164" xfId="0" applyAlignment="1" applyBorder="1" applyFont="1" applyNumberFormat="1">
      <alignment horizontal="center" readingOrder="0" shrinkToFit="0" vertical="top" wrapText="1"/>
    </xf>
    <xf borderId="0" fillId="18" fontId="12" numFmtId="0" xfId="0" applyAlignment="1" applyFont="1">
      <alignment horizontal="left" readingOrder="0" shrinkToFit="0" vertical="top" wrapText="1"/>
    </xf>
    <xf borderId="3" fillId="0" fontId="34" numFmtId="0" xfId="0" applyAlignment="1" applyBorder="1" applyFont="1">
      <alignment horizontal="left" shrinkToFit="0" vertical="top" wrapText="1"/>
    </xf>
    <xf borderId="0" fillId="0" fontId="9" numFmtId="0" xfId="0" applyAlignment="1" applyFont="1">
      <alignment readingOrder="0" shrinkToFit="0" vertical="top" wrapText="1"/>
    </xf>
    <xf borderId="0" fillId="0" fontId="9" numFmtId="164" xfId="0" applyAlignment="1" applyFont="1" applyNumberFormat="1">
      <alignment horizontal="center" readingOrder="0" shrinkToFit="0" vertical="top" wrapText="1"/>
    </xf>
    <xf borderId="6" fillId="0" fontId="34" numFmtId="0" xfId="0" applyAlignment="1" applyBorder="1" applyFont="1">
      <alignment horizontal="left" readingOrder="0" shrinkToFit="0" vertical="top" wrapText="1"/>
    </xf>
    <xf borderId="6" fillId="0" fontId="9" numFmtId="164" xfId="0" applyAlignment="1" applyBorder="1" applyFont="1" applyNumberFormat="1">
      <alignment horizontal="center" readingOrder="0" shrinkToFit="0" vertical="top" wrapText="1"/>
    </xf>
    <xf borderId="4" fillId="0" fontId="34" numFmtId="0" xfId="0" applyAlignment="1" applyBorder="1" applyFont="1">
      <alignment horizontal="left" readingOrder="0" shrinkToFit="0" vertical="top" wrapText="1"/>
    </xf>
    <xf borderId="4" fillId="0" fontId="9" numFmtId="164" xfId="0" applyAlignment="1" applyBorder="1" applyFont="1" applyNumberFormat="1">
      <alignment horizontal="center" readingOrder="0" shrinkToFit="0" vertical="top" wrapText="1"/>
    </xf>
    <xf borderId="3" fillId="0" fontId="9" numFmtId="0" xfId="0" applyAlignment="1" applyBorder="1" applyFont="1">
      <alignment horizontal="center" readingOrder="0" shrinkToFit="0" vertical="center" wrapText="1"/>
    </xf>
    <xf borderId="3" fillId="0" fontId="64" numFmtId="0" xfId="0" applyAlignment="1" applyBorder="1" applyFont="1">
      <alignment horizontal="center" readingOrder="0" shrinkToFit="0" vertical="top" wrapText="1"/>
    </xf>
    <xf borderId="3" fillId="0" fontId="9" numFmtId="0" xfId="0" applyAlignment="1" applyBorder="1" applyFont="1">
      <alignment shrinkToFit="0" vertical="top" wrapText="1"/>
    </xf>
    <xf borderId="3" fillId="0" fontId="64" numFmtId="164" xfId="0" applyAlignment="1" applyBorder="1" applyFont="1" applyNumberFormat="1">
      <alignment horizontal="center" readingOrder="0" shrinkToFit="0" vertical="top" wrapText="1"/>
    </xf>
    <xf borderId="3" fillId="0" fontId="65" numFmtId="0" xfId="0" applyAlignment="1" applyBorder="1" applyFont="1">
      <alignment horizontal="left" readingOrder="0" shrinkToFit="0" vertical="top" wrapText="1"/>
    </xf>
    <xf borderId="3" fillId="18" fontId="66" numFmtId="0" xfId="0" applyAlignment="1" applyBorder="1" applyFont="1">
      <alignment readingOrder="0" shrinkToFit="0" vertical="top" wrapText="1"/>
    </xf>
    <xf borderId="0" fillId="0" fontId="67" numFmtId="0" xfId="0" applyAlignment="1" applyFont="1">
      <alignment horizontal="left" readingOrder="0" shrinkToFit="0" vertical="top" wrapText="1"/>
    </xf>
    <xf borderId="3" fillId="0" fontId="68" numFmtId="0" xfId="0" applyAlignment="1" applyBorder="1" applyFont="1">
      <alignment horizontal="left" readingOrder="0" shrinkToFit="0" vertical="top" wrapText="1"/>
    </xf>
    <xf borderId="3" fillId="0" fontId="69" numFmtId="0" xfId="0" applyAlignment="1" applyBorder="1" applyFont="1">
      <alignment horizontal="center" readingOrder="0" shrinkToFit="0" vertical="top" wrapText="1"/>
    </xf>
    <xf borderId="0" fillId="0" fontId="9" numFmtId="0" xfId="0" applyAlignment="1" applyFont="1">
      <alignment horizontal="left" shrinkToFit="0" vertical="top" wrapText="1"/>
    </xf>
    <xf borderId="3" fillId="0" fontId="9" numFmtId="0" xfId="0" applyAlignment="1" applyBorder="1" applyFont="1">
      <alignment horizontal="center" readingOrder="0" shrinkToFit="0" vertical="top" wrapText="1"/>
    </xf>
    <xf borderId="3" fillId="0" fontId="58" numFmtId="0" xfId="0" applyAlignment="1" applyBorder="1" applyFont="1">
      <alignment horizontal="center" readingOrder="0" vertical="center"/>
    </xf>
    <xf borderId="3" fillId="14" fontId="58" numFmtId="0" xfId="0" applyAlignment="1" applyBorder="1" applyFont="1">
      <alignment horizontal="left" readingOrder="0" shrinkToFit="0" vertical="top" wrapText="1"/>
    </xf>
    <xf borderId="3" fillId="0" fontId="58" numFmtId="164" xfId="0" applyAlignment="1" applyBorder="1" applyFont="1" applyNumberFormat="1">
      <alignment horizontal="center" readingOrder="0" shrinkToFit="0" vertical="top" wrapText="1"/>
    </xf>
    <xf borderId="3" fillId="0" fontId="64" numFmtId="0" xfId="0" applyAlignment="1" applyBorder="1" applyFont="1">
      <alignment horizontal="center" shrinkToFit="0" vertical="top" wrapText="1"/>
    </xf>
    <xf borderId="3" fillId="0" fontId="9" numFmtId="0" xfId="0" applyAlignment="1" applyBorder="1" applyFont="1">
      <alignment horizontal="center" readingOrder="0" vertical="center"/>
    </xf>
    <xf borderId="3" fillId="0" fontId="58" numFmtId="0" xfId="0" applyAlignment="1" applyBorder="1" applyFont="1">
      <alignment horizontal="left" shrinkToFit="0" vertical="top" wrapText="1"/>
    </xf>
    <xf borderId="3" fillId="0" fontId="49" numFmtId="0" xfId="0" applyAlignment="1" applyBorder="1" applyFont="1">
      <alignment horizontal="left" readingOrder="0" shrinkToFit="0" vertical="top" wrapText="1"/>
    </xf>
    <xf borderId="3" fillId="0" fontId="58" numFmtId="49" xfId="0" applyAlignment="1" applyBorder="1" applyFont="1" applyNumberForma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99.1.1.29/resources/xf/portal/table.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busan.go.kr/eng/e-newsletter" TargetMode="External"/><Relationship Id="rId22" Type="http://schemas.openxmlformats.org/officeDocument/2006/relationships/hyperlink" Target="https://www.busan.go.kr/bschild/index.nm?menuCd=1" TargetMode="External"/><Relationship Id="rId21" Type="http://schemas.openxmlformats.org/officeDocument/2006/relationships/hyperlink" Target="https://www.busan.go.kr/promophoto" TargetMode="External"/><Relationship Id="rId24" Type="http://schemas.openxmlformats.org/officeDocument/2006/relationships/hyperlink" Target="https://www.busan.go.kr/opgfaq" TargetMode="External"/><Relationship Id="rId23" Type="http://schemas.openxmlformats.org/officeDocument/2006/relationships/hyperlink" Target="https://www.busan.go.kr/depart/childtransport" TargetMode="External"/><Relationship Id="rId1" Type="http://schemas.openxmlformats.org/officeDocument/2006/relationships/hyperlink" Target="https://www.law.go.kr/lsSc.do?section=&amp;menuId=1&amp;subMenuId=15&amp;tabMenuId=81&amp;eventGubun=060101&amp;query=%EA%B3%B5%EA%B3%B5%EA%B8%B0%EB%A1%9D%EB%AC%BC+%EA%B4%80%EB%A6%AC%EC%97%90+%EA%B4%80%ED%95%9C+%EB%B2%95%EB%A5%A0+%EC%8B%9C%ED%96%89%EB%A0%B9" TargetMode="External"/><Relationship Id="rId2" Type="http://schemas.openxmlformats.org/officeDocument/2006/relationships/hyperlink" Target="https://www.nts.go.kr/nts/cm/cntnts/cntntsView.do?mi=6457&amp;cntntsId=7893" TargetMode="External"/><Relationship Id="rId3" Type="http://schemas.openxmlformats.org/officeDocument/2006/relationships/hyperlink" Target="https://reserve.busan.go.kr/index" TargetMode="External"/><Relationship Id="rId4" Type="http://schemas.openxmlformats.org/officeDocument/2006/relationships/hyperlink" Target="https://reserve.busan.go.kr/notice/1578585?curPage=&amp;%20%20srchBeginDt=&amp;%20%20srchEndDt=&amp;%20%20srchKey=&amp;%20%20searchText=" TargetMode="External"/><Relationship Id="rId9" Type="http://schemas.openxmlformats.org/officeDocument/2006/relationships/hyperlink" Target="https://www.law.go.kr/lsSc.do?section=&amp;menuId=1&amp;subMenuId=15&amp;tabMenuId=81&amp;eventGubun=060101&amp;query=%EC%A7%80%EB%B0%A9%EC%84%B8%EB%B2%95" TargetMode="External"/><Relationship Id="rId26" Type="http://schemas.openxmlformats.org/officeDocument/2006/relationships/drawing" Target="../drawings/drawing3.xml"/><Relationship Id="rId25" Type="http://schemas.openxmlformats.org/officeDocument/2006/relationships/hyperlink" Target="https://www.busan.go.kr/gbinspec02" TargetMode="External"/><Relationship Id="rId5" Type="http://schemas.openxmlformats.org/officeDocument/2006/relationships/hyperlink" Target="https://npas.mois.go.kr/nsbms/hmp/nfvnzBsisStat/nfvnzRegSituStat/asscInfoListM.do" TargetMode="External"/><Relationship Id="rId6" Type="http://schemas.openxmlformats.org/officeDocument/2006/relationships/hyperlink" Target="https://www.busan.go.kr/woman/whguideonline" TargetMode="External"/><Relationship Id="rId7" Type="http://schemas.openxmlformats.org/officeDocument/2006/relationships/hyperlink" Target="https://www.busan.go.kr/woman/whjobtrain" TargetMode="External"/><Relationship Id="rId8" Type="http://schemas.openxmlformats.org/officeDocument/2006/relationships/hyperlink" Target="https://www.airportnoise.kr/anps/reqst/SdfclInfo" TargetMode="External"/><Relationship Id="rId11" Type="http://schemas.openxmlformats.org/officeDocument/2006/relationships/hyperlink" Target="https://council.busan.go.kr/" TargetMode="External"/><Relationship Id="rId10" Type="http://schemas.openxmlformats.org/officeDocument/2006/relationships/hyperlink" Target="https://opinion.lawmaking.go.kr/" TargetMode="External"/><Relationship Id="rId13" Type="http://schemas.openxmlformats.org/officeDocument/2006/relationships/hyperlink" Target="https://gongu.copyright.or.kr/" TargetMode="External"/><Relationship Id="rId12" Type="http://schemas.openxmlformats.org/officeDocument/2006/relationships/hyperlink" Target="https://openhwp.azurewebsites.net/" TargetMode="External"/><Relationship Id="rId15" Type="http://schemas.openxmlformats.org/officeDocument/2006/relationships/hyperlink" Target="https://www.busan.go.kr/depart/health02" TargetMode="External"/><Relationship Id="rId14" Type="http://schemas.openxmlformats.org/officeDocument/2006/relationships/hyperlink" Target="https://www.wetax.go.kr/tcp/wtg/J040104M01.do" TargetMode="External"/><Relationship Id="rId17" Type="http://schemas.openxmlformats.org/officeDocument/2006/relationships/hyperlink" Target="https://119.busan.go.kr/safeapt/safeapt01" TargetMode="External"/><Relationship Id="rId16" Type="http://schemas.openxmlformats.org/officeDocument/2006/relationships/hyperlink" Target="https://www.busan.go.kr/bhvisit" TargetMode="External"/><Relationship Id="rId19" Type="http://schemas.openxmlformats.org/officeDocument/2006/relationships/hyperlink" Target="https://www.busan.go.kr/depart/ahpharmacy" TargetMode="External"/><Relationship Id="rId18" Type="http://schemas.openxmlformats.org/officeDocument/2006/relationships/hyperlink" Target="https://www.busan.go.kr/water/hdocovervie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30.71"/>
    <col customWidth="1" hidden="1" min="3" max="4" width="30.71"/>
    <col customWidth="1" hidden="1" min="5" max="5" width="20.71"/>
    <col customWidth="1" hidden="1" min="6" max="6" width="50.71"/>
    <col customWidth="1" min="7" max="7" width="50.71"/>
    <col customWidth="1" min="8" max="8" width="15.86"/>
    <col customWidth="1" min="9" max="9" width="12.71"/>
    <col customWidth="1" min="10" max="10" width="30.71"/>
    <col customWidth="1" min="11" max="11" width="10.71"/>
    <col customWidth="1" min="12" max="12" width="50.71"/>
    <col customWidth="1" min="13" max="13" width="14.86"/>
    <col customWidth="1" min="14" max="14" width="48.71"/>
    <col customWidth="1" min="15" max="15" width="29.14"/>
    <col customWidth="1" hidden="1" min="16" max="20" width="40.71"/>
    <col customWidth="1" min="21" max="21" width="15.71"/>
    <col customWidth="1" min="22" max="29" width="8.71"/>
  </cols>
  <sheetData>
    <row r="1" ht="30.0" customHeight="1">
      <c r="A1" s="1" t="s">
        <v>0</v>
      </c>
      <c r="G1" s="1"/>
      <c r="H1" s="2" t="s">
        <v>1</v>
      </c>
      <c r="I1" s="3">
        <f>COUNTIF(I4:I442,"참조문서확정")</f>
        <v>300</v>
      </c>
      <c r="J1" s="4" t="s">
        <v>2</v>
      </c>
      <c r="K1" s="5" t="s">
        <v>3</v>
      </c>
      <c r="L1" s="6" t="s">
        <v>4</v>
      </c>
      <c r="M1" s="7" t="s">
        <v>5</v>
      </c>
      <c r="N1" s="8">
        <f>COUNTIF(M4:M1000, TRUE)</f>
        <v>263</v>
      </c>
      <c r="O1" s="9"/>
      <c r="P1" s="10"/>
      <c r="Q1" s="10"/>
      <c r="R1" s="11"/>
      <c r="S1" s="12"/>
      <c r="T1" s="12"/>
      <c r="U1" s="13"/>
      <c r="V1" s="13"/>
      <c r="W1" s="13"/>
      <c r="X1" s="13"/>
      <c r="Y1" s="13"/>
      <c r="Z1" s="13"/>
      <c r="AA1" s="13"/>
      <c r="AB1" s="13"/>
      <c r="AC1" s="13"/>
    </row>
    <row r="2" ht="19.5" customHeight="1">
      <c r="A2" s="14"/>
      <c r="B2" s="15"/>
      <c r="C2" s="14"/>
      <c r="D2" s="16" t="s">
        <v>6</v>
      </c>
      <c r="E2" s="17"/>
      <c r="F2" s="18" t="s">
        <v>7</v>
      </c>
      <c r="G2" s="17"/>
      <c r="H2" s="19" t="s">
        <v>8</v>
      </c>
      <c r="I2" s="17"/>
      <c r="J2" s="20" t="s">
        <v>9</v>
      </c>
      <c r="K2" s="21"/>
      <c r="L2" s="17"/>
      <c r="M2" s="22" t="s">
        <v>10</v>
      </c>
      <c r="N2" s="21"/>
      <c r="O2" s="17"/>
      <c r="P2" s="23" t="s">
        <v>11</v>
      </c>
      <c r="Q2" s="21"/>
      <c r="R2" s="21"/>
      <c r="S2" s="21"/>
      <c r="T2" s="17"/>
      <c r="U2" s="13"/>
      <c r="V2" s="13"/>
      <c r="W2" s="13"/>
      <c r="X2" s="13"/>
      <c r="Y2" s="13"/>
      <c r="Z2" s="13"/>
      <c r="AA2" s="13"/>
      <c r="AB2" s="13"/>
      <c r="AC2" s="13"/>
    </row>
    <row r="3" ht="19.5" customHeight="1">
      <c r="A3" s="24" t="s">
        <v>12</v>
      </c>
      <c r="B3" s="24" t="s">
        <v>13</v>
      </c>
      <c r="C3" s="24" t="s">
        <v>14</v>
      </c>
      <c r="D3" s="24" t="s">
        <v>15</v>
      </c>
      <c r="E3" s="24" t="s">
        <v>16</v>
      </c>
      <c r="F3" s="25" t="s">
        <v>17</v>
      </c>
      <c r="G3" s="26" t="s">
        <v>18</v>
      </c>
      <c r="H3" s="27" t="s">
        <v>19</v>
      </c>
      <c r="I3" s="27" t="s">
        <v>20</v>
      </c>
      <c r="J3" s="28" t="s">
        <v>21</v>
      </c>
      <c r="K3" s="29" t="s">
        <v>22</v>
      </c>
      <c r="L3" s="28" t="s">
        <v>23</v>
      </c>
      <c r="M3" s="30" t="s">
        <v>24</v>
      </c>
      <c r="N3" s="31" t="s">
        <v>25</v>
      </c>
      <c r="O3" s="32" t="s">
        <v>26</v>
      </c>
      <c r="P3" s="33" t="s">
        <v>27</v>
      </c>
      <c r="Q3" s="34" t="s">
        <v>28</v>
      </c>
      <c r="R3" s="34" t="s">
        <v>29</v>
      </c>
      <c r="S3" s="34" t="s">
        <v>30</v>
      </c>
      <c r="T3" s="34" t="s">
        <v>31</v>
      </c>
      <c r="U3" s="10"/>
      <c r="V3" s="10"/>
      <c r="W3" s="10"/>
      <c r="X3" s="10"/>
      <c r="Y3" s="10"/>
      <c r="Z3" s="10"/>
      <c r="AA3" s="10"/>
      <c r="AB3" s="10"/>
      <c r="AC3" s="10"/>
    </row>
    <row r="4" ht="16.5" customHeight="1">
      <c r="A4" s="35">
        <v>1.0</v>
      </c>
      <c r="B4" s="36" t="s">
        <v>32</v>
      </c>
      <c r="C4" s="37" t="s">
        <v>33</v>
      </c>
      <c r="D4" s="38" t="s">
        <v>34</v>
      </c>
      <c r="E4" s="38" t="s">
        <v>35</v>
      </c>
      <c r="F4" s="38" t="s">
        <v>36</v>
      </c>
      <c r="G4" s="39" t="s">
        <v>37</v>
      </c>
      <c r="H4" s="40" t="s">
        <v>38</v>
      </c>
      <c r="I4" s="39" t="s">
        <v>39</v>
      </c>
      <c r="J4" s="39" t="s">
        <v>40</v>
      </c>
      <c r="K4" s="41" t="s">
        <v>41</v>
      </c>
      <c r="L4" s="42" t="s">
        <v>42</v>
      </c>
      <c r="M4" s="43" t="b">
        <v>0</v>
      </c>
      <c r="N4" s="44"/>
      <c r="O4" s="45"/>
      <c r="P4" s="46"/>
      <c r="Q4" s="47"/>
      <c r="R4" s="47"/>
      <c r="S4" s="46"/>
      <c r="T4" s="46"/>
      <c r="U4" s="13"/>
      <c r="V4" s="13"/>
      <c r="W4" s="13"/>
      <c r="X4" s="13"/>
      <c r="Y4" s="13"/>
      <c r="Z4" s="13"/>
      <c r="AA4" s="13"/>
      <c r="AB4" s="13"/>
      <c r="AC4" s="13"/>
    </row>
    <row r="5" ht="16.5" customHeight="1">
      <c r="A5" s="35">
        <v>2.0</v>
      </c>
      <c r="B5" s="36" t="s">
        <v>43</v>
      </c>
      <c r="C5" s="37" t="s">
        <v>44</v>
      </c>
      <c r="D5" s="38" t="s">
        <v>45</v>
      </c>
      <c r="E5" s="38" t="s">
        <v>46</v>
      </c>
      <c r="F5" s="38" t="s">
        <v>47</v>
      </c>
      <c r="G5" s="48" t="s">
        <v>48</v>
      </c>
      <c r="H5" s="49" t="s">
        <v>49</v>
      </c>
      <c r="I5" s="39" t="s">
        <v>39</v>
      </c>
      <c r="J5" s="39" t="s">
        <v>50</v>
      </c>
      <c r="K5" s="41" t="s">
        <v>51</v>
      </c>
      <c r="L5" s="50" t="s">
        <v>52</v>
      </c>
      <c r="M5" s="51" t="b">
        <v>1</v>
      </c>
      <c r="N5" s="52" t="s">
        <v>53</v>
      </c>
      <c r="O5" s="46"/>
      <c r="P5" s="47" t="s">
        <v>54</v>
      </c>
      <c r="Q5" s="46" t="s">
        <v>55</v>
      </c>
      <c r="R5" s="47" t="s">
        <v>56</v>
      </c>
      <c r="S5" s="46"/>
      <c r="T5" s="53"/>
      <c r="U5" s="54"/>
      <c r="V5" s="13"/>
      <c r="W5" s="13"/>
      <c r="X5" s="13"/>
      <c r="Y5" s="13"/>
      <c r="Z5" s="13"/>
      <c r="AA5" s="13"/>
      <c r="AB5" s="13"/>
      <c r="AC5" s="13"/>
    </row>
    <row r="6" ht="16.5" hidden="1" customHeight="1">
      <c r="A6" s="35">
        <v>3.0</v>
      </c>
      <c r="B6" s="36" t="s">
        <v>57</v>
      </c>
      <c r="C6" s="37" t="s">
        <v>58</v>
      </c>
      <c r="D6" s="38" t="s">
        <v>59</v>
      </c>
      <c r="E6" s="38"/>
      <c r="F6" s="38" t="s">
        <v>60</v>
      </c>
      <c r="G6" s="39" t="s">
        <v>61</v>
      </c>
      <c r="H6" s="49" t="s">
        <v>62</v>
      </c>
      <c r="I6" s="39" t="s">
        <v>63</v>
      </c>
      <c r="J6" s="55"/>
      <c r="K6" s="56"/>
      <c r="L6" s="55"/>
      <c r="M6" s="51" t="b">
        <v>0</v>
      </c>
      <c r="N6" s="46"/>
      <c r="O6" s="46"/>
      <c r="P6" s="46" t="s">
        <v>64</v>
      </c>
      <c r="Q6" s="46" t="s">
        <v>65</v>
      </c>
      <c r="R6" s="47"/>
      <c r="S6" s="46"/>
      <c r="T6" s="46"/>
      <c r="U6" s="13"/>
      <c r="V6" s="13"/>
      <c r="W6" s="13"/>
      <c r="X6" s="13"/>
      <c r="Y6" s="13"/>
      <c r="Z6" s="13"/>
      <c r="AA6" s="13"/>
      <c r="AB6" s="13"/>
      <c r="AC6" s="13"/>
    </row>
    <row r="7" ht="16.5" hidden="1" customHeight="1">
      <c r="A7" s="35">
        <v>4.0</v>
      </c>
      <c r="B7" s="36" t="s">
        <v>66</v>
      </c>
      <c r="C7" s="37" t="s">
        <v>67</v>
      </c>
      <c r="D7" s="38" t="s">
        <v>68</v>
      </c>
      <c r="E7" s="38" t="s">
        <v>69</v>
      </c>
      <c r="F7" s="38" t="s">
        <v>70</v>
      </c>
      <c r="G7" s="39" t="s">
        <v>71</v>
      </c>
      <c r="H7" s="49" t="s">
        <v>62</v>
      </c>
      <c r="I7" s="39" t="s">
        <v>63</v>
      </c>
      <c r="J7" s="55"/>
      <c r="K7" s="56"/>
      <c r="L7" s="55"/>
      <c r="M7" s="51" t="b">
        <v>0</v>
      </c>
      <c r="N7" s="46"/>
      <c r="O7" s="46"/>
      <c r="P7" s="46" t="s">
        <v>72</v>
      </c>
      <c r="Q7" s="47" t="s">
        <v>73</v>
      </c>
      <c r="R7" s="47" t="s">
        <v>74</v>
      </c>
      <c r="S7" s="35" t="s">
        <v>75</v>
      </c>
      <c r="T7" s="46"/>
      <c r="U7" s="13"/>
      <c r="V7" s="13"/>
      <c r="W7" s="13"/>
      <c r="X7" s="13"/>
      <c r="Y7" s="13"/>
      <c r="Z7" s="13"/>
      <c r="AA7" s="13"/>
      <c r="AB7" s="13"/>
      <c r="AC7" s="13"/>
    </row>
    <row r="8" ht="16.5" customHeight="1">
      <c r="A8" s="35">
        <v>5.0</v>
      </c>
      <c r="B8" s="36" t="s">
        <v>76</v>
      </c>
      <c r="C8" s="37" t="s">
        <v>77</v>
      </c>
      <c r="D8" s="38" t="s">
        <v>78</v>
      </c>
      <c r="E8" s="38" t="s">
        <v>79</v>
      </c>
      <c r="F8" s="38" t="s">
        <v>80</v>
      </c>
      <c r="G8" s="39" t="s">
        <v>81</v>
      </c>
      <c r="H8" s="49" t="s">
        <v>49</v>
      </c>
      <c r="I8" s="39" t="s">
        <v>39</v>
      </c>
      <c r="J8" s="39" t="s">
        <v>82</v>
      </c>
      <c r="K8" s="41" t="s">
        <v>83</v>
      </c>
      <c r="L8" s="39" t="s">
        <v>84</v>
      </c>
      <c r="M8" s="51" t="b">
        <v>1</v>
      </c>
      <c r="N8" s="57" t="s">
        <v>85</v>
      </c>
      <c r="O8" s="46"/>
      <c r="P8" s="46" t="s">
        <v>86</v>
      </c>
      <c r="Q8" s="47"/>
      <c r="R8" s="46"/>
      <c r="S8" s="46"/>
      <c r="T8" s="46"/>
      <c r="U8" s="13"/>
      <c r="V8" s="13"/>
      <c r="W8" s="13"/>
      <c r="X8" s="13"/>
      <c r="Y8" s="13"/>
      <c r="Z8" s="13"/>
      <c r="AA8" s="13"/>
      <c r="AB8" s="13"/>
      <c r="AC8" s="13"/>
    </row>
    <row r="9" ht="16.5" customHeight="1">
      <c r="A9" s="35">
        <v>6.0</v>
      </c>
      <c r="B9" s="36" t="s">
        <v>87</v>
      </c>
      <c r="C9" s="37" t="s">
        <v>88</v>
      </c>
      <c r="D9" s="38" t="s">
        <v>89</v>
      </c>
      <c r="E9" s="38"/>
      <c r="F9" s="38" t="s">
        <v>90</v>
      </c>
      <c r="G9" s="39" t="s">
        <v>91</v>
      </c>
      <c r="H9" s="49" t="s">
        <v>49</v>
      </c>
      <c r="I9" s="39" t="s">
        <v>39</v>
      </c>
      <c r="J9" s="39" t="s">
        <v>92</v>
      </c>
      <c r="K9" s="41" t="s">
        <v>93</v>
      </c>
      <c r="L9" s="55"/>
      <c r="M9" s="51" t="b">
        <v>1</v>
      </c>
      <c r="N9" s="57" t="s">
        <v>94</v>
      </c>
      <c r="O9" s="45" t="s">
        <v>95</v>
      </c>
      <c r="P9" s="57" t="s">
        <v>96</v>
      </c>
      <c r="Q9" s="47"/>
      <c r="R9" s="47"/>
      <c r="S9" s="46"/>
      <c r="T9" s="46"/>
      <c r="U9" s="13"/>
      <c r="V9" s="13"/>
      <c r="W9" s="13"/>
      <c r="X9" s="13"/>
      <c r="Y9" s="13"/>
      <c r="Z9" s="13"/>
      <c r="AA9" s="13"/>
      <c r="AB9" s="13"/>
      <c r="AC9" s="13"/>
    </row>
    <row r="10" ht="16.5" customHeight="1">
      <c r="A10" s="35">
        <v>7.0</v>
      </c>
      <c r="B10" s="36" t="s">
        <v>97</v>
      </c>
      <c r="C10" s="37" t="s">
        <v>98</v>
      </c>
      <c r="D10" s="38" t="s">
        <v>99</v>
      </c>
      <c r="E10" s="38" t="s">
        <v>100</v>
      </c>
      <c r="F10" s="38" t="s">
        <v>101</v>
      </c>
      <c r="G10" s="39" t="s">
        <v>102</v>
      </c>
      <c r="H10" s="49" t="s">
        <v>38</v>
      </c>
      <c r="I10" s="58" t="s">
        <v>39</v>
      </c>
      <c r="J10" s="59" t="s">
        <v>103</v>
      </c>
      <c r="K10" s="41" t="s">
        <v>104</v>
      </c>
      <c r="L10" s="60" t="s">
        <v>105</v>
      </c>
      <c r="M10" s="43" t="b">
        <v>1</v>
      </c>
      <c r="N10" s="61" t="s">
        <v>106</v>
      </c>
      <c r="O10" s="62"/>
      <c r="P10" s="46"/>
      <c r="Q10" s="47"/>
      <c r="R10" s="47"/>
      <c r="S10" s="46"/>
      <c r="T10" s="46"/>
      <c r="U10" s="13"/>
      <c r="V10" s="13"/>
      <c r="W10" s="13"/>
      <c r="X10" s="13"/>
      <c r="Y10" s="13"/>
      <c r="Z10" s="13"/>
      <c r="AA10" s="13"/>
      <c r="AB10" s="13"/>
      <c r="AC10" s="13"/>
    </row>
    <row r="11" ht="16.5" customHeight="1">
      <c r="A11" s="35">
        <v>8.0</v>
      </c>
      <c r="B11" s="36" t="s">
        <v>107</v>
      </c>
      <c r="C11" s="37" t="s">
        <v>108</v>
      </c>
      <c r="D11" s="38" t="s">
        <v>109</v>
      </c>
      <c r="E11" s="38" t="s">
        <v>110</v>
      </c>
      <c r="F11" s="38" t="s">
        <v>111</v>
      </c>
      <c r="G11" s="39" t="s">
        <v>112</v>
      </c>
      <c r="H11" s="49" t="s">
        <v>38</v>
      </c>
      <c r="I11" s="58" t="s">
        <v>39</v>
      </c>
      <c r="J11" s="59" t="s">
        <v>103</v>
      </c>
      <c r="K11" s="41" t="s">
        <v>104</v>
      </c>
      <c r="L11" s="60" t="s">
        <v>105</v>
      </c>
      <c r="M11" s="43" t="b">
        <v>1</v>
      </c>
      <c r="N11" s="61" t="s">
        <v>106</v>
      </c>
      <c r="O11" s="62"/>
      <c r="P11" s="63" t="s">
        <v>113</v>
      </c>
      <c r="Q11" s="63" t="s">
        <v>114</v>
      </c>
      <c r="R11" s="47"/>
      <c r="S11" s="46"/>
      <c r="T11" s="46"/>
      <c r="U11" s="13"/>
      <c r="V11" s="13"/>
      <c r="W11" s="13"/>
      <c r="X11" s="13"/>
      <c r="Y11" s="13"/>
      <c r="Z11" s="13"/>
      <c r="AA11" s="13"/>
      <c r="AB11" s="13"/>
      <c r="AC11" s="13"/>
    </row>
    <row r="12" ht="16.5" customHeight="1">
      <c r="A12" s="35">
        <v>9.0</v>
      </c>
      <c r="B12" s="36" t="s">
        <v>115</v>
      </c>
      <c r="C12" s="37" t="s">
        <v>116</v>
      </c>
      <c r="D12" s="38" t="s">
        <v>117</v>
      </c>
      <c r="E12" s="38" t="s">
        <v>118</v>
      </c>
      <c r="F12" s="38" t="s">
        <v>119</v>
      </c>
      <c r="G12" s="39" t="s">
        <v>120</v>
      </c>
      <c r="H12" s="49" t="s">
        <v>49</v>
      </c>
      <c r="I12" s="39" t="s">
        <v>39</v>
      </c>
      <c r="J12" s="39" t="s">
        <v>121</v>
      </c>
      <c r="K12" s="41" t="s">
        <v>122</v>
      </c>
      <c r="L12" s="39" t="s">
        <v>123</v>
      </c>
      <c r="M12" s="51" t="b">
        <v>1</v>
      </c>
      <c r="N12" s="57" t="s">
        <v>124</v>
      </c>
      <c r="O12" s="46"/>
      <c r="P12" s="46" t="s">
        <v>125</v>
      </c>
      <c r="Q12" s="46" t="s">
        <v>126</v>
      </c>
      <c r="R12" s="46"/>
      <c r="S12" s="46"/>
      <c r="T12" s="46"/>
      <c r="U12" s="13"/>
      <c r="V12" s="13"/>
      <c r="W12" s="13"/>
      <c r="X12" s="13"/>
      <c r="Y12" s="13"/>
      <c r="Z12" s="13"/>
      <c r="AA12" s="13"/>
      <c r="AB12" s="13"/>
      <c r="AC12" s="13"/>
    </row>
    <row r="13" ht="16.5" customHeight="1">
      <c r="A13" s="35">
        <v>10.0</v>
      </c>
      <c r="B13" s="36" t="s">
        <v>127</v>
      </c>
      <c r="C13" s="37" t="s">
        <v>128</v>
      </c>
      <c r="D13" s="38" t="s">
        <v>129</v>
      </c>
      <c r="E13" s="38" t="s">
        <v>130</v>
      </c>
      <c r="F13" s="38" t="s">
        <v>131</v>
      </c>
      <c r="G13" s="39" t="s">
        <v>132</v>
      </c>
      <c r="H13" s="49" t="s">
        <v>49</v>
      </c>
      <c r="I13" s="39" t="s">
        <v>39</v>
      </c>
      <c r="J13" s="39" t="s">
        <v>121</v>
      </c>
      <c r="K13" s="41" t="s">
        <v>122</v>
      </c>
      <c r="L13" s="39" t="s">
        <v>123</v>
      </c>
      <c r="M13" s="51" t="b">
        <v>1</v>
      </c>
      <c r="N13" s="64" t="s">
        <v>124</v>
      </c>
      <c r="O13" s="35"/>
      <c r="P13" s="63" t="s">
        <v>133</v>
      </c>
      <c r="Q13" s="63" t="s">
        <v>134</v>
      </c>
      <c r="R13" s="47"/>
      <c r="S13" s="46"/>
      <c r="T13" s="46"/>
      <c r="U13" s="13"/>
      <c r="V13" s="13"/>
      <c r="W13" s="13"/>
      <c r="X13" s="13"/>
      <c r="Y13" s="13"/>
      <c r="Z13" s="13"/>
      <c r="AA13" s="13"/>
      <c r="AB13" s="13"/>
      <c r="AC13" s="13"/>
    </row>
    <row r="14" ht="16.5" customHeight="1">
      <c r="A14" s="35">
        <v>11.0</v>
      </c>
      <c r="B14" s="36" t="s">
        <v>135</v>
      </c>
      <c r="C14" s="37" t="s">
        <v>136</v>
      </c>
      <c r="D14" s="38" t="s">
        <v>137</v>
      </c>
      <c r="E14" s="38"/>
      <c r="F14" s="38" t="s">
        <v>90</v>
      </c>
      <c r="G14" s="39" t="s">
        <v>91</v>
      </c>
      <c r="H14" s="49" t="s">
        <v>49</v>
      </c>
      <c r="I14" s="39" t="s">
        <v>39</v>
      </c>
      <c r="J14" s="39" t="s">
        <v>92</v>
      </c>
      <c r="K14" s="41" t="s">
        <v>93</v>
      </c>
      <c r="L14" s="65"/>
      <c r="M14" s="51" t="b">
        <v>1</v>
      </c>
      <c r="N14" s="57" t="s">
        <v>94</v>
      </c>
      <c r="O14" s="45" t="s">
        <v>95</v>
      </c>
      <c r="P14" s="46" t="s">
        <v>138</v>
      </c>
      <c r="Q14" s="47"/>
      <c r="R14" s="47"/>
      <c r="S14" s="46"/>
      <c r="T14" s="46"/>
      <c r="U14" s="13"/>
      <c r="V14" s="13"/>
      <c r="W14" s="13"/>
      <c r="X14" s="13"/>
      <c r="Y14" s="13"/>
      <c r="Z14" s="13"/>
      <c r="AA14" s="13"/>
      <c r="AB14" s="13"/>
      <c r="AC14" s="13"/>
    </row>
    <row r="15" ht="16.5" hidden="1" customHeight="1">
      <c r="A15" s="35">
        <v>12.0</v>
      </c>
      <c r="B15" s="36" t="s">
        <v>139</v>
      </c>
      <c r="C15" s="37" t="s">
        <v>140</v>
      </c>
      <c r="D15" s="38" t="s">
        <v>141</v>
      </c>
      <c r="E15" s="38" t="s">
        <v>142</v>
      </c>
      <c r="F15" s="38" t="s">
        <v>143</v>
      </c>
      <c r="G15" s="39" t="s">
        <v>144</v>
      </c>
      <c r="H15" s="49" t="s">
        <v>62</v>
      </c>
      <c r="I15" s="39" t="s">
        <v>63</v>
      </c>
      <c r="J15" s="55"/>
      <c r="K15" s="56"/>
      <c r="L15" s="55"/>
      <c r="M15" s="51" t="b">
        <v>0</v>
      </c>
      <c r="N15" s="63"/>
      <c r="O15" s="63"/>
      <c r="P15" s="63" t="s">
        <v>145</v>
      </c>
      <c r="Q15" s="47"/>
      <c r="R15" s="47"/>
      <c r="S15" s="46"/>
      <c r="T15" s="46"/>
      <c r="U15" s="13"/>
      <c r="V15" s="13"/>
      <c r="W15" s="13"/>
      <c r="X15" s="13"/>
      <c r="Y15" s="13"/>
      <c r="Z15" s="13"/>
      <c r="AA15" s="13"/>
      <c r="AB15" s="13"/>
      <c r="AC15" s="13"/>
    </row>
    <row r="16" ht="16.5" customHeight="1">
      <c r="A16" s="35">
        <v>13.0</v>
      </c>
      <c r="B16" s="36" t="s">
        <v>146</v>
      </c>
      <c r="C16" s="37" t="s">
        <v>147</v>
      </c>
      <c r="D16" s="38" t="s">
        <v>148</v>
      </c>
      <c r="E16" s="38"/>
      <c r="F16" s="38" t="s">
        <v>149</v>
      </c>
      <c r="G16" s="39" t="s">
        <v>150</v>
      </c>
      <c r="H16" s="49" t="s">
        <v>38</v>
      </c>
      <c r="I16" s="39" t="s">
        <v>39</v>
      </c>
      <c r="J16" s="66" t="s">
        <v>151</v>
      </c>
      <c r="K16" s="67" t="s">
        <v>152</v>
      </c>
      <c r="L16" s="39" t="s">
        <v>153</v>
      </c>
      <c r="M16" s="51" t="b">
        <v>1</v>
      </c>
      <c r="N16" s="68" t="s">
        <v>154</v>
      </c>
      <c r="O16" s="69"/>
      <c r="P16" s="46"/>
      <c r="Q16" s="47"/>
      <c r="R16" s="47"/>
      <c r="S16" s="46"/>
      <c r="T16" s="46"/>
      <c r="U16" s="13"/>
      <c r="V16" s="13"/>
      <c r="W16" s="13"/>
      <c r="X16" s="13"/>
      <c r="Y16" s="13"/>
      <c r="Z16" s="13"/>
      <c r="AA16" s="13"/>
      <c r="AB16" s="13"/>
      <c r="AC16" s="13"/>
    </row>
    <row r="17" ht="16.5" customHeight="1">
      <c r="A17" s="35">
        <v>14.0</v>
      </c>
      <c r="B17" s="36" t="s">
        <v>155</v>
      </c>
      <c r="C17" s="37" t="s">
        <v>156</v>
      </c>
      <c r="D17" s="38" t="s">
        <v>157</v>
      </c>
      <c r="E17" s="38" t="s">
        <v>158</v>
      </c>
      <c r="F17" s="38" t="s">
        <v>159</v>
      </c>
      <c r="G17" s="48" t="s">
        <v>160</v>
      </c>
      <c r="H17" s="49" t="s">
        <v>38</v>
      </c>
      <c r="I17" s="58" t="s">
        <v>39</v>
      </c>
      <c r="J17" s="39" t="s">
        <v>161</v>
      </c>
      <c r="K17" s="41" t="s">
        <v>162</v>
      </c>
      <c r="L17" s="39" t="s">
        <v>163</v>
      </c>
      <c r="M17" s="51" t="b">
        <v>1</v>
      </c>
      <c r="N17" s="70" t="s">
        <v>164</v>
      </c>
      <c r="O17" s="35"/>
      <c r="P17" s="63" t="s">
        <v>165</v>
      </c>
      <c r="Q17" s="71" t="s">
        <v>166</v>
      </c>
      <c r="R17" s="47"/>
      <c r="S17" s="46"/>
      <c r="T17" s="46"/>
      <c r="U17" s="13"/>
      <c r="V17" s="13"/>
      <c r="W17" s="13"/>
      <c r="X17" s="13"/>
      <c r="Y17" s="13"/>
      <c r="Z17" s="13"/>
      <c r="AA17" s="13"/>
      <c r="AB17" s="13"/>
      <c r="AC17" s="13"/>
    </row>
    <row r="18" ht="16.5" customHeight="1">
      <c r="A18" s="35">
        <v>15.0</v>
      </c>
      <c r="B18" s="36" t="s">
        <v>167</v>
      </c>
      <c r="C18" s="37" t="s">
        <v>168</v>
      </c>
      <c r="D18" s="38" t="s">
        <v>169</v>
      </c>
      <c r="E18" s="38"/>
      <c r="F18" s="38" t="s">
        <v>170</v>
      </c>
      <c r="G18" s="39" t="s">
        <v>171</v>
      </c>
      <c r="H18" s="49" t="s">
        <v>49</v>
      </c>
      <c r="I18" s="39" t="s">
        <v>39</v>
      </c>
      <c r="J18" s="39" t="s">
        <v>172</v>
      </c>
      <c r="K18" s="41" t="s">
        <v>173</v>
      </c>
      <c r="L18" s="39" t="s">
        <v>174</v>
      </c>
      <c r="M18" s="51" t="b">
        <v>1</v>
      </c>
      <c r="N18" s="57" t="s">
        <v>175</v>
      </c>
      <c r="O18" s="45" t="s">
        <v>176</v>
      </c>
      <c r="P18" s="46" t="s">
        <v>177</v>
      </c>
      <c r="Q18" s="47"/>
      <c r="R18" s="47"/>
      <c r="S18" s="46"/>
      <c r="T18" s="46"/>
      <c r="U18" s="13"/>
      <c r="V18" s="13"/>
      <c r="W18" s="13"/>
      <c r="X18" s="13"/>
      <c r="Y18" s="13"/>
      <c r="Z18" s="13"/>
      <c r="AA18" s="13"/>
      <c r="AB18" s="13"/>
      <c r="AC18" s="13"/>
    </row>
    <row r="19" ht="16.5" customHeight="1">
      <c r="A19" s="35">
        <v>16.0</v>
      </c>
      <c r="B19" s="36" t="s">
        <v>178</v>
      </c>
      <c r="C19" s="37" t="s">
        <v>179</v>
      </c>
      <c r="D19" s="38" t="s">
        <v>180</v>
      </c>
      <c r="E19" s="38"/>
      <c r="F19" s="38" t="s">
        <v>181</v>
      </c>
      <c r="G19" s="48" t="s">
        <v>182</v>
      </c>
      <c r="H19" s="49" t="s">
        <v>49</v>
      </c>
      <c r="I19" s="39" t="s">
        <v>39</v>
      </c>
      <c r="J19" s="39" t="s">
        <v>172</v>
      </c>
      <c r="K19" s="41" t="s">
        <v>173</v>
      </c>
      <c r="L19" s="39" t="s">
        <v>183</v>
      </c>
      <c r="M19" s="51" t="b">
        <v>1</v>
      </c>
      <c r="N19" s="72" t="s">
        <v>175</v>
      </c>
      <c r="O19" s="73"/>
      <c r="P19" s="47"/>
      <c r="Q19" s="47"/>
      <c r="R19" s="47"/>
      <c r="S19" s="46"/>
      <c r="T19" s="46"/>
      <c r="U19" s="13"/>
      <c r="V19" s="13"/>
      <c r="W19" s="13"/>
      <c r="X19" s="13"/>
      <c r="Y19" s="13"/>
      <c r="Z19" s="13"/>
      <c r="AA19" s="13"/>
      <c r="AB19" s="13"/>
      <c r="AC19" s="13"/>
    </row>
    <row r="20" ht="16.5" customHeight="1">
      <c r="A20" s="35">
        <v>17.0</v>
      </c>
      <c r="B20" s="36" t="s">
        <v>184</v>
      </c>
      <c r="C20" s="37" t="s">
        <v>185</v>
      </c>
      <c r="D20" s="38" t="s">
        <v>186</v>
      </c>
      <c r="E20" s="38"/>
      <c r="F20" s="38" t="s">
        <v>187</v>
      </c>
      <c r="G20" s="39" t="s">
        <v>188</v>
      </c>
      <c r="H20" s="49" t="s">
        <v>38</v>
      </c>
      <c r="I20" s="39" t="s">
        <v>39</v>
      </c>
      <c r="J20" s="66" t="s">
        <v>151</v>
      </c>
      <c r="K20" s="41" t="s">
        <v>173</v>
      </c>
      <c r="L20" s="39" t="s">
        <v>189</v>
      </c>
      <c r="M20" s="51" t="b">
        <v>1</v>
      </c>
      <c r="N20" s="68" t="s">
        <v>190</v>
      </c>
      <c r="O20" s="45" t="s">
        <v>191</v>
      </c>
      <c r="P20" s="46"/>
      <c r="Q20" s="47"/>
      <c r="R20" s="47"/>
      <c r="S20" s="46"/>
      <c r="T20" s="46"/>
      <c r="U20" s="13"/>
      <c r="V20" s="13"/>
      <c r="W20" s="13"/>
      <c r="X20" s="13"/>
      <c r="Y20" s="13"/>
      <c r="Z20" s="13"/>
      <c r="AA20" s="13"/>
      <c r="AB20" s="13"/>
      <c r="AC20" s="13"/>
    </row>
    <row r="21" ht="16.5" customHeight="1">
      <c r="A21" s="35">
        <v>18.0</v>
      </c>
      <c r="B21" s="36" t="s">
        <v>192</v>
      </c>
      <c r="C21" s="37" t="s">
        <v>193</v>
      </c>
      <c r="D21" s="38" t="s">
        <v>194</v>
      </c>
      <c r="E21" s="38" t="s">
        <v>195</v>
      </c>
      <c r="F21" s="38" t="s">
        <v>196</v>
      </c>
      <c r="G21" s="48" t="s">
        <v>197</v>
      </c>
      <c r="H21" s="49" t="s">
        <v>49</v>
      </c>
      <c r="I21" s="39" t="s">
        <v>39</v>
      </c>
      <c r="J21" s="39" t="s">
        <v>198</v>
      </c>
      <c r="K21" s="41" t="s">
        <v>173</v>
      </c>
      <c r="L21" s="39" t="s">
        <v>199</v>
      </c>
      <c r="M21" s="51" t="b">
        <v>1</v>
      </c>
      <c r="N21" s="57" t="s">
        <v>200</v>
      </c>
      <c r="O21" s="45"/>
      <c r="P21" s="46" t="s">
        <v>201</v>
      </c>
      <c r="Q21" s="47"/>
      <c r="R21" s="47"/>
      <c r="S21" s="46"/>
      <c r="T21" s="46"/>
      <c r="U21" s="13"/>
      <c r="V21" s="13"/>
      <c r="W21" s="13"/>
      <c r="X21" s="13"/>
      <c r="Y21" s="13"/>
      <c r="Z21" s="13"/>
      <c r="AA21" s="13"/>
      <c r="AB21" s="13"/>
      <c r="AC21" s="13"/>
    </row>
    <row r="22" ht="16.5" customHeight="1">
      <c r="A22" s="35">
        <v>19.0</v>
      </c>
      <c r="B22" s="74" t="s">
        <v>184</v>
      </c>
      <c r="C22" s="37" t="s">
        <v>202</v>
      </c>
      <c r="D22" s="38" t="s">
        <v>203</v>
      </c>
      <c r="E22" s="38"/>
      <c r="F22" s="38" t="s">
        <v>204</v>
      </c>
      <c r="G22" s="39" t="s">
        <v>205</v>
      </c>
      <c r="H22" s="49" t="s">
        <v>38</v>
      </c>
      <c r="I22" s="39" t="s">
        <v>39</v>
      </c>
      <c r="J22" s="66" t="s">
        <v>151</v>
      </c>
      <c r="K22" s="41" t="s">
        <v>173</v>
      </c>
      <c r="L22" s="39" t="s">
        <v>206</v>
      </c>
      <c r="M22" s="51" t="b">
        <v>1</v>
      </c>
      <c r="N22" s="68" t="s">
        <v>190</v>
      </c>
      <c r="O22" s="45" t="s">
        <v>191</v>
      </c>
      <c r="P22" s="46" t="s">
        <v>207</v>
      </c>
      <c r="Q22" s="47"/>
      <c r="R22" s="47"/>
      <c r="S22" s="46"/>
      <c r="T22" s="46"/>
      <c r="U22" s="13"/>
      <c r="V22" s="13"/>
      <c r="W22" s="13"/>
      <c r="X22" s="13"/>
      <c r="Y22" s="13"/>
      <c r="Z22" s="13"/>
      <c r="AA22" s="13"/>
      <c r="AB22" s="13"/>
      <c r="AC22" s="13"/>
    </row>
    <row r="23" ht="16.5" customHeight="1">
      <c r="A23" s="35">
        <v>20.0</v>
      </c>
      <c r="B23" s="36" t="s">
        <v>208</v>
      </c>
      <c r="C23" s="37" t="s">
        <v>209</v>
      </c>
      <c r="D23" s="38" t="s">
        <v>210</v>
      </c>
      <c r="E23" s="38" t="s">
        <v>211</v>
      </c>
      <c r="F23" s="38" t="s">
        <v>196</v>
      </c>
      <c r="G23" s="48" t="s">
        <v>212</v>
      </c>
      <c r="H23" s="49" t="s">
        <v>49</v>
      </c>
      <c r="I23" s="39" t="s">
        <v>39</v>
      </c>
      <c r="J23" s="39" t="s">
        <v>213</v>
      </c>
      <c r="K23" s="41" t="s">
        <v>214</v>
      </c>
      <c r="L23" s="39" t="s">
        <v>215</v>
      </c>
      <c r="M23" s="51" t="b">
        <v>1</v>
      </c>
      <c r="N23" s="57" t="s">
        <v>216</v>
      </c>
      <c r="O23" s="45"/>
      <c r="P23" s="46" t="s">
        <v>217</v>
      </c>
      <c r="Q23" s="47"/>
      <c r="R23" s="47"/>
      <c r="S23" s="46"/>
      <c r="T23" s="46"/>
      <c r="U23" s="13"/>
      <c r="V23" s="13"/>
      <c r="W23" s="13"/>
      <c r="X23" s="13"/>
      <c r="Y23" s="13"/>
      <c r="Z23" s="13"/>
      <c r="AA23" s="13"/>
      <c r="AB23" s="13"/>
      <c r="AC23" s="13"/>
    </row>
    <row r="24" ht="16.5" hidden="1" customHeight="1">
      <c r="A24" s="35">
        <v>21.0</v>
      </c>
      <c r="B24" s="36" t="s">
        <v>218</v>
      </c>
      <c r="C24" s="37" t="s">
        <v>219</v>
      </c>
      <c r="D24" s="38" t="s">
        <v>220</v>
      </c>
      <c r="E24" s="38" t="s">
        <v>221</v>
      </c>
      <c r="F24" s="38" t="s">
        <v>222</v>
      </c>
      <c r="G24" s="39" t="s">
        <v>223</v>
      </c>
      <c r="H24" s="49" t="s">
        <v>62</v>
      </c>
      <c r="I24" s="58" t="s">
        <v>63</v>
      </c>
      <c r="J24" s="55"/>
      <c r="K24" s="56"/>
      <c r="L24" s="55"/>
      <c r="M24" s="51" t="b">
        <v>0</v>
      </c>
      <c r="N24" s="46"/>
      <c r="O24" s="46"/>
      <c r="P24" s="46"/>
      <c r="Q24" s="47"/>
      <c r="R24" s="47"/>
      <c r="S24" s="46"/>
      <c r="T24" s="46"/>
      <c r="U24" s="13"/>
      <c r="V24" s="13"/>
      <c r="W24" s="13"/>
      <c r="X24" s="13"/>
      <c r="Y24" s="13"/>
      <c r="Z24" s="13"/>
      <c r="AA24" s="13"/>
      <c r="AB24" s="13"/>
      <c r="AC24" s="13"/>
    </row>
    <row r="25" ht="16.5" customHeight="1">
      <c r="A25" s="35">
        <v>22.0</v>
      </c>
      <c r="B25" s="36" t="s">
        <v>224</v>
      </c>
      <c r="C25" s="37" t="s">
        <v>185</v>
      </c>
      <c r="D25" s="38" t="s">
        <v>225</v>
      </c>
      <c r="E25" s="38"/>
      <c r="F25" s="38" t="s">
        <v>226</v>
      </c>
      <c r="G25" s="39" t="s">
        <v>188</v>
      </c>
      <c r="H25" s="49" t="s">
        <v>38</v>
      </c>
      <c r="I25" s="39" t="s">
        <v>39</v>
      </c>
      <c r="J25" s="66" t="s">
        <v>151</v>
      </c>
      <c r="K25" s="41" t="s">
        <v>173</v>
      </c>
      <c r="L25" s="39" t="s">
        <v>189</v>
      </c>
      <c r="M25" s="51" t="b">
        <v>1</v>
      </c>
      <c r="N25" s="68" t="s">
        <v>190</v>
      </c>
      <c r="O25" s="45" t="s">
        <v>191</v>
      </c>
      <c r="P25" s="46"/>
      <c r="Q25" s="47"/>
      <c r="R25" s="47"/>
      <c r="S25" s="46"/>
      <c r="T25" s="46"/>
      <c r="U25" s="13"/>
      <c r="V25" s="13"/>
      <c r="W25" s="13"/>
      <c r="X25" s="13"/>
      <c r="Y25" s="13"/>
      <c r="Z25" s="13"/>
      <c r="AA25" s="13"/>
      <c r="AB25" s="13"/>
      <c r="AC25" s="13"/>
    </row>
    <row r="26" ht="16.5" hidden="1" customHeight="1">
      <c r="A26" s="35">
        <v>23.0</v>
      </c>
      <c r="B26" s="36" t="s">
        <v>227</v>
      </c>
      <c r="C26" s="37" t="s">
        <v>228</v>
      </c>
      <c r="D26" s="38" t="s">
        <v>229</v>
      </c>
      <c r="E26" s="38"/>
      <c r="F26" s="38" t="s">
        <v>230</v>
      </c>
      <c r="G26" s="39" t="s">
        <v>231</v>
      </c>
      <c r="H26" s="49" t="s">
        <v>62</v>
      </c>
      <c r="I26" s="39" t="s">
        <v>63</v>
      </c>
      <c r="J26" s="55"/>
      <c r="K26" s="56"/>
      <c r="L26" s="55"/>
      <c r="M26" s="51" t="b">
        <v>0</v>
      </c>
      <c r="N26" s="46"/>
      <c r="O26" s="46"/>
      <c r="P26" s="46"/>
      <c r="Q26" s="47"/>
      <c r="R26" s="47"/>
      <c r="S26" s="46"/>
      <c r="T26" s="46"/>
      <c r="U26" s="13"/>
      <c r="V26" s="13"/>
      <c r="W26" s="13"/>
      <c r="X26" s="13"/>
      <c r="Y26" s="13"/>
      <c r="Z26" s="13"/>
      <c r="AA26" s="13"/>
      <c r="AB26" s="13"/>
      <c r="AC26" s="13"/>
    </row>
    <row r="27" ht="16.5" customHeight="1">
      <c r="A27" s="35">
        <v>24.0</v>
      </c>
      <c r="B27" s="36" t="s">
        <v>232</v>
      </c>
      <c r="C27" s="37" t="s">
        <v>233</v>
      </c>
      <c r="D27" s="38" t="s">
        <v>234</v>
      </c>
      <c r="E27" s="38"/>
      <c r="F27" s="38" t="s">
        <v>235</v>
      </c>
      <c r="G27" s="48" t="s">
        <v>236</v>
      </c>
      <c r="H27" s="49" t="s">
        <v>49</v>
      </c>
      <c r="I27" s="39" t="s">
        <v>39</v>
      </c>
      <c r="J27" s="39" t="s">
        <v>237</v>
      </c>
      <c r="K27" s="41" t="s">
        <v>238</v>
      </c>
      <c r="L27" s="39" t="s">
        <v>239</v>
      </c>
      <c r="M27" s="51" t="b">
        <v>1</v>
      </c>
      <c r="N27" s="68" t="s">
        <v>240</v>
      </c>
      <c r="O27" s="45"/>
      <c r="P27" s="46" t="s">
        <v>241</v>
      </c>
      <c r="Q27" s="47" t="s">
        <v>242</v>
      </c>
      <c r="R27" s="47" t="s">
        <v>243</v>
      </c>
      <c r="S27" s="46"/>
      <c r="T27" s="46"/>
      <c r="U27" s="13"/>
      <c r="V27" s="13"/>
      <c r="W27" s="13"/>
      <c r="X27" s="13"/>
      <c r="Y27" s="13"/>
      <c r="Z27" s="13"/>
      <c r="AA27" s="13"/>
      <c r="AB27" s="13"/>
      <c r="AC27" s="13"/>
    </row>
    <row r="28" ht="16.5" hidden="1" customHeight="1">
      <c r="A28" s="35">
        <v>25.0</v>
      </c>
      <c r="B28" s="36" t="s">
        <v>244</v>
      </c>
      <c r="C28" s="37" t="s">
        <v>245</v>
      </c>
      <c r="D28" s="38" t="s">
        <v>246</v>
      </c>
      <c r="E28" s="38" t="s">
        <v>247</v>
      </c>
      <c r="F28" s="38" t="s">
        <v>248</v>
      </c>
      <c r="G28" s="39" t="s">
        <v>249</v>
      </c>
      <c r="H28" s="49" t="s">
        <v>62</v>
      </c>
      <c r="I28" s="58" t="s">
        <v>63</v>
      </c>
      <c r="J28" s="55"/>
      <c r="K28" s="56"/>
      <c r="L28" s="55"/>
      <c r="M28" s="51" t="b">
        <v>0</v>
      </c>
      <c r="N28" s="63"/>
      <c r="O28" s="63"/>
      <c r="P28" s="63" t="s">
        <v>250</v>
      </c>
      <c r="Q28" s="75" t="s">
        <v>251</v>
      </c>
      <c r="R28" s="47"/>
      <c r="S28" s="46"/>
      <c r="T28" s="46"/>
      <c r="U28" s="13"/>
      <c r="V28" s="13"/>
      <c r="W28" s="13"/>
      <c r="X28" s="13"/>
      <c r="Y28" s="13"/>
      <c r="Z28" s="13"/>
      <c r="AA28" s="13"/>
      <c r="AB28" s="13"/>
      <c r="AC28" s="13"/>
    </row>
    <row r="29" ht="16.5" hidden="1" customHeight="1">
      <c r="A29" s="35">
        <v>26.0</v>
      </c>
      <c r="B29" s="36" t="s">
        <v>252</v>
      </c>
      <c r="C29" s="37" t="s">
        <v>253</v>
      </c>
      <c r="D29" s="38" t="s">
        <v>254</v>
      </c>
      <c r="E29" s="38"/>
      <c r="F29" s="38" t="s">
        <v>255</v>
      </c>
      <c r="G29" s="39" t="s">
        <v>231</v>
      </c>
      <c r="H29" s="49" t="s">
        <v>62</v>
      </c>
      <c r="I29" s="39" t="s">
        <v>63</v>
      </c>
      <c r="J29" s="55"/>
      <c r="K29" s="56"/>
      <c r="L29" s="55"/>
      <c r="M29" s="51" t="b">
        <v>0</v>
      </c>
      <c r="N29" s="46"/>
      <c r="O29" s="46"/>
      <c r="P29" s="46"/>
      <c r="Q29" s="47"/>
      <c r="R29" s="46"/>
      <c r="S29" s="46"/>
      <c r="T29" s="46"/>
      <c r="U29" s="13"/>
      <c r="V29" s="13"/>
      <c r="W29" s="13"/>
      <c r="X29" s="13"/>
      <c r="Y29" s="13"/>
      <c r="Z29" s="13"/>
      <c r="AA29" s="13"/>
      <c r="AB29" s="13"/>
      <c r="AC29" s="13"/>
    </row>
    <row r="30" ht="16.5" hidden="1" customHeight="1">
      <c r="A30" s="35">
        <v>27.0</v>
      </c>
      <c r="B30" s="36" t="s">
        <v>256</v>
      </c>
      <c r="C30" s="37" t="s">
        <v>257</v>
      </c>
      <c r="D30" s="38" t="s">
        <v>258</v>
      </c>
      <c r="E30" s="38" t="s">
        <v>259</v>
      </c>
      <c r="F30" s="38" t="s">
        <v>260</v>
      </c>
      <c r="G30" s="39" t="s">
        <v>231</v>
      </c>
      <c r="H30" s="49" t="s">
        <v>62</v>
      </c>
      <c r="I30" s="39" t="s">
        <v>63</v>
      </c>
      <c r="J30" s="55"/>
      <c r="K30" s="56"/>
      <c r="L30" s="55"/>
      <c r="M30" s="51" t="b">
        <v>0</v>
      </c>
      <c r="N30" s="46"/>
      <c r="O30" s="46"/>
      <c r="P30" s="46"/>
      <c r="Q30" s="47"/>
      <c r="R30" s="47"/>
      <c r="S30" s="46"/>
      <c r="T30" s="46"/>
      <c r="U30" s="13"/>
      <c r="V30" s="13"/>
      <c r="W30" s="13"/>
      <c r="X30" s="13"/>
      <c r="Y30" s="13"/>
      <c r="Z30" s="13"/>
      <c r="AA30" s="13"/>
      <c r="AB30" s="13"/>
      <c r="AC30" s="13"/>
    </row>
    <row r="31" ht="16.5" hidden="1" customHeight="1">
      <c r="A31" s="35">
        <v>28.0</v>
      </c>
      <c r="B31" s="36" t="s">
        <v>261</v>
      </c>
      <c r="C31" s="37" t="s">
        <v>262</v>
      </c>
      <c r="D31" s="38" t="s">
        <v>263</v>
      </c>
      <c r="E31" s="38"/>
      <c r="F31" s="38" t="s">
        <v>264</v>
      </c>
      <c r="G31" s="39" t="s">
        <v>231</v>
      </c>
      <c r="H31" s="49" t="s">
        <v>62</v>
      </c>
      <c r="I31" s="39" t="s">
        <v>63</v>
      </c>
      <c r="J31" s="55"/>
      <c r="K31" s="56"/>
      <c r="L31" s="55"/>
      <c r="M31" s="51" t="b">
        <v>0</v>
      </c>
      <c r="N31" s="46"/>
      <c r="O31" s="46"/>
      <c r="P31" s="46"/>
      <c r="Q31" s="47"/>
      <c r="R31" s="47"/>
      <c r="S31" s="46"/>
      <c r="T31" s="46"/>
      <c r="U31" s="13"/>
      <c r="V31" s="13"/>
      <c r="W31" s="13"/>
      <c r="X31" s="13"/>
      <c r="Y31" s="13"/>
      <c r="Z31" s="13"/>
      <c r="AA31" s="13"/>
      <c r="AB31" s="13"/>
      <c r="AC31" s="13"/>
    </row>
    <row r="32" ht="16.5" hidden="1" customHeight="1">
      <c r="A32" s="35">
        <v>29.0</v>
      </c>
      <c r="B32" s="36" t="s">
        <v>265</v>
      </c>
      <c r="C32" s="37" t="s">
        <v>266</v>
      </c>
      <c r="D32" s="38" t="s">
        <v>267</v>
      </c>
      <c r="E32" s="38" t="s">
        <v>268</v>
      </c>
      <c r="F32" s="38" t="s">
        <v>269</v>
      </c>
      <c r="G32" s="39" t="s">
        <v>231</v>
      </c>
      <c r="H32" s="49" t="s">
        <v>62</v>
      </c>
      <c r="I32" s="58" t="s">
        <v>63</v>
      </c>
      <c r="J32" s="55"/>
      <c r="K32" s="56"/>
      <c r="L32" s="55"/>
      <c r="M32" s="51" t="b">
        <v>0</v>
      </c>
      <c r="N32" s="46"/>
      <c r="O32" s="46"/>
      <c r="P32" s="46"/>
      <c r="Q32" s="47"/>
      <c r="R32" s="47"/>
      <c r="S32" s="46"/>
      <c r="T32" s="46"/>
      <c r="U32" s="13"/>
      <c r="V32" s="13"/>
      <c r="W32" s="13"/>
      <c r="X32" s="13"/>
      <c r="Y32" s="13"/>
      <c r="Z32" s="13"/>
      <c r="AA32" s="13"/>
      <c r="AB32" s="13"/>
      <c r="AC32" s="13"/>
    </row>
    <row r="33" ht="264.0" hidden="1" customHeight="1">
      <c r="A33" s="35">
        <v>30.0</v>
      </c>
      <c r="B33" s="36" t="s">
        <v>270</v>
      </c>
      <c r="C33" s="37" t="s">
        <v>271</v>
      </c>
      <c r="D33" s="38" t="s">
        <v>272</v>
      </c>
      <c r="E33" s="38" t="s">
        <v>273</v>
      </c>
      <c r="F33" s="38" t="s">
        <v>222</v>
      </c>
      <c r="G33" s="39" t="s">
        <v>274</v>
      </c>
      <c r="H33" s="49" t="s">
        <v>62</v>
      </c>
      <c r="I33" s="58" t="s">
        <v>63</v>
      </c>
      <c r="J33" s="55"/>
      <c r="K33" s="56"/>
      <c r="L33" s="55"/>
      <c r="M33" s="51" t="b">
        <v>0</v>
      </c>
      <c r="N33" s="46"/>
      <c r="O33" s="46"/>
      <c r="P33" s="46" t="s">
        <v>275</v>
      </c>
      <c r="Q33" s="75" t="s">
        <v>276</v>
      </c>
      <c r="R33" s="75" t="s">
        <v>277</v>
      </c>
      <c r="S33" s="46"/>
      <c r="T33" s="46"/>
      <c r="U33" s="13"/>
      <c r="V33" s="13"/>
      <c r="W33" s="13"/>
      <c r="X33" s="13"/>
      <c r="Y33" s="13"/>
      <c r="Z33" s="13"/>
      <c r="AA33" s="13"/>
      <c r="AB33" s="13"/>
      <c r="AC33" s="13"/>
    </row>
    <row r="34" ht="16.5" hidden="1" customHeight="1">
      <c r="A34" s="35">
        <v>31.0</v>
      </c>
      <c r="B34" s="36" t="s">
        <v>278</v>
      </c>
      <c r="C34" s="37" t="s">
        <v>279</v>
      </c>
      <c r="D34" s="38" t="s">
        <v>280</v>
      </c>
      <c r="E34" s="38" t="s">
        <v>281</v>
      </c>
      <c r="F34" s="38" t="s">
        <v>222</v>
      </c>
      <c r="G34" s="39" t="s">
        <v>274</v>
      </c>
      <c r="H34" s="49" t="s">
        <v>62</v>
      </c>
      <c r="I34" s="58" t="s">
        <v>63</v>
      </c>
      <c r="J34" s="55"/>
      <c r="K34" s="56"/>
      <c r="L34" s="55"/>
      <c r="M34" s="51" t="b">
        <v>0</v>
      </c>
      <c r="N34" s="46"/>
      <c r="O34" s="46"/>
      <c r="P34" s="46" t="s">
        <v>282</v>
      </c>
      <c r="Q34" s="47" t="s">
        <v>283</v>
      </c>
      <c r="R34" s="47"/>
      <c r="S34" s="46"/>
      <c r="T34" s="46"/>
      <c r="U34" s="13"/>
      <c r="V34" s="13"/>
      <c r="W34" s="13"/>
      <c r="X34" s="13"/>
      <c r="Y34" s="13"/>
      <c r="Z34" s="13"/>
      <c r="AA34" s="13"/>
      <c r="AB34" s="13"/>
      <c r="AC34" s="13"/>
    </row>
    <row r="35" ht="16.5" customHeight="1">
      <c r="A35" s="35">
        <v>32.0</v>
      </c>
      <c r="B35" s="36" t="s">
        <v>284</v>
      </c>
      <c r="C35" s="37" t="s">
        <v>285</v>
      </c>
      <c r="D35" s="38" t="s">
        <v>286</v>
      </c>
      <c r="E35" s="38"/>
      <c r="F35" s="38" t="s">
        <v>287</v>
      </c>
      <c r="G35" s="39" t="s">
        <v>288</v>
      </c>
      <c r="H35" s="49" t="s">
        <v>49</v>
      </c>
      <c r="I35" s="39" t="s">
        <v>39</v>
      </c>
      <c r="J35" s="59" t="s">
        <v>289</v>
      </c>
      <c r="K35" s="41" t="s">
        <v>290</v>
      </c>
      <c r="L35" s="76" t="s">
        <v>291</v>
      </c>
      <c r="M35" s="51" t="b">
        <v>1</v>
      </c>
      <c r="N35" s="77" t="s">
        <v>292</v>
      </c>
      <c r="O35" s="78"/>
      <c r="P35" s="46" t="s">
        <v>293</v>
      </c>
      <c r="Q35" s="47"/>
      <c r="R35" s="47"/>
      <c r="S35" s="46"/>
      <c r="T35" s="46"/>
      <c r="U35" s="13"/>
      <c r="V35" s="13"/>
      <c r="W35" s="13"/>
      <c r="X35" s="13"/>
      <c r="Y35" s="13"/>
      <c r="Z35" s="13"/>
      <c r="AA35" s="13"/>
      <c r="AB35" s="13"/>
      <c r="AC35" s="13"/>
    </row>
    <row r="36" ht="16.5" customHeight="1">
      <c r="A36" s="35">
        <v>33.0</v>
      </c>
      <c r="B36" s="36" t="s">
        <v>294</v>
      </c>
      <c r="C36" s="37" t="s">
        <v>295</v>
      </c>
      <c r="D36" s="38" t="s">
        <v>296</v>
      </c>
      <c r="E36" s="38"/>
      <c r="F36" s="38" t="s">
        <v>297</v>
      </c>
      <c r="G36" s="39" t="s">
        <v>298</v>
      </c>
      <c r="H36" s="49" t="s">
        <v>49</v>
      </c>
      <c r="I36" s="39" t="s">
        <v>39</v>
      </c>
      <c r="J36" s="59" t="s">
        <v>289</v>
      </c>
      <c r="K36" s="41" t="s">
        <v>299</v>
      </c>
      <c r="L36" s="39" t="s">
        <v>300</v>
      </c>
      <c r="M36" s="51" t="b">
        <v>1</v>
      </c>
      <c r="N36" s="57" t="s">
        <v>301</v>
      </c>
      <c r="O36" s="46"/>
      <c r="P36" s="46" t="s">
        <v>302</v>
      </c>
      <c r="Q36" s="47" t="s">
        <v>303</v>
      </c>
      <c r="R36" s="47" t="s">
        <v>304</v>
      </c>
      <c r="S36" s="46" t="s">
        <v>305</v>
      </c>
      <c r="T36" s="46" t="s">
        <v>306</v>
      </c>
      <c r="U36" s="13"/>
      <c r="V36" s="13"/>
      <c r="W36" s="13"/>
      <c r="X36" s="13"/>
      <c r="Y36" s="13"/>
      <c r="Z36" s="13"/>
      <c r="AA36" s="13"/>
      <c r="AB36" s="13"/>
      <c r="AC36" s="13"/>
    </row>
    <row r="37" ht="16.5" customHeight="1">
      <c r="A37" s="35">
        <v>34.0</v>
      </c>
      <c r="B37" s="74" t="s">
        <v>307</v>
      </c>
      <c r="C37" s="37" t="s">
        <v>308</v>
      </c>
      <c r="D37" s="38" t="s">
        <v>309</v>
      </c>
      <c r="E37" s="38"/>
      <c r="F37" s="38" t="s">
        <v>310</v>
      </c>
      <c r="G37" s="39" t="s">
        <v>311</v>
      </c>
      <c r="H37" s="49" t="s">
        <v>49</v>
      </c>
      <c r="I37" s="39" t="s">
        <v>39</v>
      </c>
      <c r="J37" s="39" t="s">
        <v>312</v>
      </c>
      <c r="K37" s="41" t="s">
        <v>173</v>
      </c>
      <c r="L37" s="39" t="s">
        <v>313</v>
      </c>
      <c r="M37" s="51" t="b">
        <v>1</v>
      </c>
      <c r="N37" s="79" t="s">
        <v>314</v>
      </c>
      <c r="O37" s="80"/>
      <c r="P37" s="81" t="s">
        <v>315</v>
      </c>
      <c r="Q37" s="47" t="s">
        <v>316</v>
      </c>
      <c r="R37" s="47" t="s">
        <v>317</v>
      </c>
      <c r="S37" s="46" t="s">
        <v>318</v>
      </c>
      <c r="T37" s="46"/>
      <c r="U37" s="13"/>
      <c r="V37" s="13"/>
      <c r="W37" s="13"/>
      <c r="X37" s="13"/>
      <c r="Y37" s="13"/>
      <c r="Z37" s="13"/>
      <c r="AA37" s="13"/>
      <c r="AB37" s="13"/>
      <c r="AC37" s="13"/>
    </row>
    <row r="38" ht="16.5" customHeight="1">
      <c r="A38" s="35">
        <v>35.0</v>
      </c>
      <c r="B38" s="36" t="s">
        <v>319</v>
      </c>
      <c r="C38" s="37" t="s">
        <v>320</v>
      </c>
      <c r="D38" s="38" t="s">
        <v>321</v>
      </c>
      <c r="E38" s="38"/>
      <c r="F38" s="38" t="s">
        <v>322</v>
      </c>
      <c r="G38" s="39" t="s">
        <v>323</v>
      </c>
      <c r="H38" s="49" t="s">
        <v>49</v>
      </c>
      <c r="I38" s="39" t="s">
        <v>39</v>
      </c>
      <c r="J38" s="39" t="s">
        <v>324</v>
      </c>
      <c r="K38" s="41" t="s">
        <v>325</v>
      </c>
      <c r="L38" s="39" t="s">
        <v>326</v>
      </c>
      <c r="M38" s="51" t="b">
        <v>1</v>
      </c>
      <c r="N38" s="64" t="s">
        <v>327</v>
      </c>
      <c r="O38" s="82"/>
      <c r="P38" s="63" t="s">
        <v>328</v>
      </c>
      <c r="Q38" s="47" t="s">
        <v>329</v>
      </c>
      <c r="R38" s="47" t="s">
        <v>330</v>
      </c>
      <c r="S38" s="47" t="s">
        <v>331</v>
      </c>
      <c r="T38" s="46"/>
      <c r="U38" s="13"/>
      <c r="V38" s="13"/>
      <c r="W38" s="13"/>
      <c r="X38" s="13"/>
      <c r="Y38" s="13"/>
      <c r="Z38" s="13"/>
      <c r="AA38" s="13"/>
      <c r="AB38" s="13"/>
      <c r="AC38" s="13"/>
    </row>
    <row r="39" ht="16.5" customHeight="1">
      <c r="A39" s="35">
        <v>36.0</v>
      </c>
      <c r="B39" s="36" t="s">
        <v>332</v>
      </c>
      <c r="C39" s="37" t="s">
        <v>333</v>
      </c>
      <c r="D39" s="38" t="s">
        <v>334</v>
      </c>
      <c r="E39" s="38"/>
      <c r="F39" s="38" t="s">
        <v>335</v>
      </c>
      <c r="G39" s="39" t="s">
        <v>336</v>
      </c>
      <c r="H39" s="49" t="s">
        <v>49</v>
      </c>
      <c r="I39" s="39" t="s">
        <v>39</v>
      </c>
      <c r="J39" s="39" t="s">
        <v>324</v>
      </c>
      <c r="K39" s="41" t="s">
        <v>337</v>
      </c>
      <c r="L39" s="39" t="s">
        <v>338</v>
      </c>
      <c r="M39" s="51" t="b">
        <v>1</v>
      </c>
      <c r="N39" s="57" t="s">
        <v>339</v>
      </c>
      <c r="O39" s="46"/>
      <c r="P39" s="46" t="s">
        <v>340</v>
      </c>
      <c r="Q39" s="47" t="s">
        <v>341</v>
      </c>
      <c r="R39" s="47" t="s">
        <v>342</v>
      </c>
      <c r="S39" s="46"/>
      <c r="T39" s="46"/>
      <c r="U39" s="13"/>
      <c r="V39" s="13"/>
      <c r="W39" s="13"/>
      <c r="X39" s="13"/>
      <c r="Y39" s="13"/>
      <c r="Z39" s="13"/>
      <c r="AA39" s="13"/>
      <c r="AB39" s="13"/>
      <c r="AC39" s="13"/>
    </row>
    <row r="40" ht="16.5" customHeight="1">
      <c r="A40" s="35">
        <v>37.0</v>
      </c>
      <c r="B40" s="36" t="s">
        <v>343</v>
      </c>
      <c r="C40" s="37" t="s">
        <v>344</v>
      </c>
      <c r="D40" s="38" t="s">
        <v>345</v>
      </c>
      <c r="E40" s="38"/>
      <c r="F40" s="38" t="s">
        <v>346</v>
      </c>
      <c r="G40" s="39" t="s">
        <v>347</v>
      </c>
      <c r="H40" s="49" t="s">
        <v>49</v>
      </c>
      <c r="I40" s="39" t="s">
        <v>39</v>
      </c>
      <c r="J40" s="39" t="s">
        <v>324</v>
      </c>
      <c r="K40" s="41" t="s">
        <v>348</v>
      </c>
      <c r="L40" s="39" t="s">
        <v>349</v>
      </c>
      <c r="M40" s="51" t="b">
        <v>1</v>
      </c>
      <c r="N40" s="79" t="s">
        <v>106</v>
      </c>
      <c r="O40" s="80"/>
      <c r="P40" s="46" t="s">
        <v>350</v>
      </c>
      <c r="Q40" s="47" t="s">
        <v>351</v>
      </c>
      <c r="R40" s="47" t="s">
        <v>352</v>
      </c>
      <c r="S40" s="47" t="s">
        <v>353</v>
      </c>
      <c r="T40" s="47" t="s">
        <v>354</v>
      </c>
      <c r="U40" s="13"/>
      <c r="V40" s="13"/>
      <c r="W40" s="13"/>
      <c r="X40" s="13"/>
      <c r="Y40" s="13"/>
      <c r="Z40" s="13"/>
      <c r="AA40" s="13"/>
      <c r="AB40" s="13"/>
      <c r="AC40" s="13"/>
    </row>
    <row r="41" ht="16.5" customHeight="1">
      <c r="A41" s="35">
        <v>38.0</v>
      </c>
      <c r="B41" s="83" t="s">
        <v>355</v>
      </c>
      <c r="C41" s="37" t="s">
        <v>356</v>
      </c>
      <c r="D41" s="84" t="s">
        <v>357</v>
      </c>
      <c r="E41" s="84"/>
      <c r="F41" s="85" t="s">
        <v>358</v>
      </c>
      <c r="G41" s="86" t="s">
        <v>359</v>
      </c>
      <c r="H41" s="49" t="s">
        <v>49</v>
      </c>
      <c r="I41" s="39" t="s">
        <v>39</v>
      </c>
      <c r="J41" s="39" t="s">
        <v>360</v>
      </c>
      <c r="K41" s="41" t="s">
        <v>162</v>
      </c>
      <c r="L41" s="39" t="s">
        <v>361</v>
      </c>
      <c r="M41" s="51" t="b">
        <v>1</v>
      </c>
      <c r="N41" s="87" t="s">
        <v>314</v>
      </c>
      <c r="O41" s="46"/>
      <c r="P41" s="46" t="s">
        <v>362</v>
      </c>
      <c r="Q41" s="46" t="s">
        <v>363</v>
      </c>
      <c r="R41" s="46" t="s">
        <v>364</v>
      </c>
      <c r="S41" s="46"/>
      <c r="T41" s="46"/>
      <c r="U41" s="13"/>
      <c r="V41" s="13"/>
      <c r="W41" s="13"/>
      <c r="X41" s="13"/>
      <c r="Y41" s="13"/>
      <c r="Z41" s="13"/>
      <c r="AA41" s="13"/>
      <c r="AB41" s="13"/>
      <c r="AC41" s="13"/>
    </row>
    <row r="42" ht="16.5" customHeight="1">
      <c r="A42" s="35">
        <v>39.0</v>
      </c>
      <c r="B42" s="83" t="s">
        <v>365</v>
      </c>
      <c r="C42" s="37" t="s">
        <v>366</v>
      </c>
      <c r="D42" s="85" t="s">
        <v>367</v>
      </c>
      <c r="E42" s="85"/>
      <c r="F42" s="85" t="s">
        <v>368</v>
      </c>
      <c r="G42" s="86" t="s">
        <v>369</v>
      </c>
      <c r="H42" s="49" t="s">
        <v>49</v>
      </c>
      <c r="I42" s="39" t="s">
        <v>39</v>
      </c>
      <c r="J42" s="39" t="s">
        <v>360</v>
      </c>
      <c r="K42" s="41" t="s">
        <v>162</v>
      </c>
      <c r="L42" s="39" t="s">
        <v>361</v>
      </c>
      <c r="M42" s="51" t="b">
        <v>1</v>
      </c>
      <c r="N42" s="87" t="s">
        <v>292</v>
      </c>
      <c r="O42" s="46"/>
      <c r="P42" s="46" t="s">
        <v>370</v>
      </c>
      <c r="Q42" s="46" t="s">
        <v>371</v>
      </c>
      <c r="R42" s="46" t="s">
        <v>372</v>
      </c>
      <c r="S42" s="46"/>
      <c r="T42" s="46"/>
      <c r="U42" s="13"/>
      <c r="V42" s="13"/>
      <c r="W42" s="13"/>
      <c r="X42" s="13"/>
      <c r="Y42" s="13"/>
      <c r="Z42" s="13"/>
      <c r="AA42" s="13"/>
      <c r="AB42" s="13"/>
      <c r="AC42" s="13"/>
    </row>
    <row r="43" ht="16.5" customHeight="1">
      <c r="A43" s="35">
        <v>40.0</v>
      </c>
      <c r="B43" s="88" t="s">
        <v>373</v>
      </c>
      <c r="C43" s="37" t="s">
        <v>374</v>
      </c>
      <c r="D43" s="85" t="s">
        <v>375</v>
      </c>
      <c r="E43" s="85"/>
      <c r="F43" s="85" t="s">
        <v>376</v>
      </c>
      <c r="G43" s="86" t="s">
        <v>377</v>
      </c>
      <c r="H43" s="49" t="s">
        <v>49</v>
      </c>
      <c r="I43" s="39" t="s">
        <v>39</v>
      </c>
      <c r="J43" s="39" t="s">
        <v>360</v>
      </c>
      <c r="K43" s="89" t="s">
        <v>290</v>
      </c>
      <c r="L43" s="58" t="s">
        <v>378</v>
      </c>
      <c r="M43" s="51" t="b">
        <v>1</v>
      </c>
      <c r="N43" s="57" t="s">
        <v>379</v>
      </c>
      <c r="O43" s="46"/>
      <c r="P43" s="46" t="s">
        <v>380</v>
      </c>
      <c r="Q43" s="46" t="s">
        <v>381</v>
      </c>
      <c r="R43" s="46"/>
      <c r="S43" s="46"/>
      <c r="T43" s="46"/>
      <c r="U43" s="13"/>
      <c r="V43" s="13"/>
      <c r="W43" s="13"/>
      <c r="X43" s="13"/>
      <c r="Y43" s="13"/>
      <c r="Z43" s="13"/>
      <c r="AA43" s="13"/>
      <c r="AB43" s="13"/>
      <c r="AC43" s="13"/>
    </row>
    <row r="44" ht="16.5" customHeight="1">
      <c r="A44" s="35">
        <v>41.0</v>
      </c>
      <c r="B44" s="83" t="s">
        <v>382</v>
      </c>
      <c r="C44" s="37" t="s">
        <v>383</v>
      </c>
      <c r="D44" s="85" t="s">
        <v>384</v>
      </c>
      <c r="E44" s="85"/>
      <c r="F44" s="85" t="s">
        <v>385</v>
      </c>
      <c r="G44" s="86" t="s">
        <v>386</v>
      </c>
      <c r="H44" s="49" t="s">
        <v>49</v>
      </c>
      <c r="I44" s="39" t="s">
        <v>39</v>
      </c>
      <c r="J44" s="39" t="s">
        <v>360</v>
      </c>
      <c r="K44" s="89" t="s">
        <v>387</v>
      </c>
      <c r="L44" s="90" t="s">
        <v>388</v>
      </c>
      <c r="M44" s="51" t="b">
        <v>1</v>
      </c>
      <c r="N44" s="68" t="s">
        <v>389</v>
      </c>
      <c r="O44" s="46"/>
      <c r="P44" s="46" t="s">
        <v>390</v>
      </c>
      <c r="Q44" s="46" t="s">
        <v>391</v>
      </c>
      <c r="R44" s="46" t="s">
        <v>392</v>
      </c>
      <c r="S44" s="46"/>
      <c r="T44" s="46"/>
      <c r="U44" s="13"/>
      <c r="V44" s="13"/>
      <c r="W44" s="13"/>
      <c r="X44" s="13"/>
      <c r="Y44" s="13"/>
      <c r="Z44" s="13"/>
      <c r="AA44" s="13"/>
      <c r="AB44" s="13"/>
      <c r="AC44" s="13"/>
    </row>
    <row r="45" ht="16.5" customHeight="1">
      <c r="A45" s="35">
        <v>42.0</v>
      </c>
      <c r="B45" s="36" t="s">
        <v>393</v>
      </c>
      <c r="C45" s="37" t="s">
        <v>394</v>
      </c>
      <c r="D45" s="38" t="s">
        <v>395</v>
      </c>
      <c r="E45" s="38" t="s">
        <v>396</v>
      </c>
      <c r="F45" s="38" t="s">
        <v>397</v>
      </c>
      <c r="G45" s="39" t="s">
        <v>398</v>
      </c>
      <c r="H45" s="49" t="s">
        <v>49</v>
      </c>
      <c r="I45" s="39" t="s">
        <v>39</v>
      </c>
      <c r="J45" s="39" t="s">
        <v>399</v>
      </c>
      <c r="K45" s="41" t="s">
        <v>400</v>
      </c>
      <c r="L45" s="39" t="s">
        <v>401</v>
      </c>
      <c r="M45" s="51" t="b">
        <v>1</v>
      </c>
      <c r="N45" s="57" t="s">
        <v>402</v>
      </c>
      <c r="O45" s="46"/>
      <c r="P45" s="46"/>
      <c r="Q45" s="46"/>
      <c r="R45" s="46"/>
      <c r="S45" s="46"/>
      <c r="T45" s="46"/>
      <c r="U45" s="13"/>
      <c r="V45" s="13"/>
      <c r="W45" s="13"/>
      <c r="X45" s="13"/>
      <c r="Y45" s="13"/>
      <c r="Z45" s="13"/>
      <c r="AA45" s="13"/>
      <c r="AB45" s="13"/>
      <c r="AC45" s="13"/>
    </row>
    <row r="46" ht="16.5" customHeight="1">
      <c r="A46" s="35">
        <v>43.0</v>
      </c>
      <c r="B46" s="36" t="s">
        <v>403</v>
      </c>
      <c r="C46" s="37" t="s">
        <v>404</v>
      </c>
      <c r="D46" s="38" t="s">
        <v>405</v>
      </c>
      <c r="E46" s="38" t="s">
        <v>406</v>
      </c>
      <c r="F46" s="38" t="s">
        <v>407</v>
      </c>
      <c r="G46" s="39" t="s">
        <v>408</v>
      </c>
      <c r="H46" s="49" t="s">
        <v>38</v>
      </c>
      <c r="I46" s="58" t="s">
        <v>39</v>
      </c>
      <c r="J46" s="66" t="s">
        <v>151</v>
      </c>
      <c r="K46" s="67" t="s">
        <v>409</v>
      </c>
      <c r="L46" s="59" t="s">
        <v>410</v>
      </c>
      <c r="M46" s="51" t="b">
        <v>1</v>
      </c>
      <c r="N46" s="68" t="s">
        <v>411</v>
      </c>
      <c r="O46" s="46"/>
      <c r="P46" s="46"/>
      <c r="Q46" s="47"/>
      <c r="R46" s="47"/>
      <c r="S46" s="46"/>
      <c r="T46" s="46"/>
      <c r="U46" s="13"/>
      <c r="V46" s="13"/>
      <c r="W46" s="13"/>
      <c r="X46" s="13"/>
      <c r="Y46" s="13"/>
      <c r="Z46" s="13"/>
      <c r="AA46" s="13"/>
      <c r="AB46" s="13"/>
      <c r="AC46" s="13"/>
    </row>
    <row r="47" ht="16.5" hidden="1" customHeight="1">
      <c r="A47" s="35">
        <v>44.0</v>
      </c>
      <c r="B47" s="36" t="s">
        <v>412</v>
      </c>
      <c r="C47" s="37" t="s">
        <v>413</v>
      </c>
      <c r="D47" s="38" t="s">
        <v>414</v>
      </c>
      <c r="E47" s="38"/>
      <c r="F47" s="38" t="s">
        <v>415</v>
      </c>
      <c r="G47" s="39" t="s">
        <v>231</v>
      </c>
      <c r="H47" s="49" t="s">
        <v>62</v>
      </c>
      <c r="I47" s="39" t="s">
        <v>63</v>
      </c>
      <c r="J47" s="55"/>
      <c r="K47" s="56"/>
      <c r="L47" s="55"/>
      <c r="M47" s="51" t="b">
        <v>0</v>
      </c>
      <c r="N47" s="46"/>
      <c r="O47" s="46"/>
      <c r="P47" s="46"/>
      <c r="Q47" s="47"/>
      <c r="R47" s="47"/>
      <c r="S47" s="46"/>
      <c r="T47" s="46"/>
      <c r="U47" s="13"/>
      <c r="V47" s="13"/>
      <c r="W47" s="13"/>
      <c r="X47" s="13"/>
      <c r="Y47" s="13"/>
      <c r="Z47" s="13"/>
      <c r="AA47" s="13"/>
      <c r="AB47" s="13"/>
      <c r="AC47" s="13"/>
    </row>
    <row r="48" ht="16.5" customHeight="1">
      <c r="A48" s="35">
        <v>45.0</v>
      </c>
      <c r="B48" s="36" t="s">
        <v>416</v>
      </c>
      <c r="C48" s="37" t="s">
        <v>417</v>
      </c>
      <c r="D48" s="38" t="s">
        <v>418</v>
      </c>
      <c r="E48" s="38" t="s">
        <v>419</v>
      </c>
      <c r="F48" s="38" t="s">
        <v>420</v>
      </c>
      <c r="G48" s="48" t="s">
        <v>421</v>
      </c>
      <c r="H48" s="49" t="s">
        <v>49</v>
      </c>
      <c r="I48" s="39" t="s">
        <v>39</v>
      </c>
      <c r="J48" s="39" t="s">
        <v>422</v>
      </c>
      <c r="K48" s="41" t="s">
        <v>423</v>
      </c>
      <c r="L48" s="39" t="s">
        <v>424</v>
      </c>
      <c r="M48" s="51" t="b">
        <v>1</v>
      </c>
      <c r="N48" s="57" t="s">
        <v>416</v>
      </c>
      <c r="O48" s="46"/>
      <c r="P48" s="46" t="s">
        <v>425</v>
      </c>
      <c r="Q48" s="47" t="s">
        <v>426</v>
      </c>
      <c r="R48" s="47" t="s">
        <v>427</v>
      </c>
      <c r="S48" s="46"/>
      <c r="T48" s="46"/>
      <c r="U48" s="13"/>
      <c r="V48" s="13"/>
      <c r="W48" s="13"/>
      <c r="X48" s="13"/>
      <c r="Y48" s="13"/>
      <c r="Z48" s="13"/>
      <c r="AA48" s="13"/>
      <c r="AB48" s="13"/>
      <c r="AC48" s="13"/>
    </row>
    <row r="49" ht="16.5" customHeight="1">
      <c r="A49" s="35">
        <v>46.0</v>
      </c>
      <c r="B49" s="36" t="s">
        <v>428</v>
      </c>
      <c r="C49" s="37" t="s">
        <v>429</v>
      </c>
      <c r="D49" s="38" t="s">
        <v>430</v>
      </c>
      <c r="E49" s="38" t="s">
        <v>431</v>
      </c>
      <c r="F49" s="38" t="s">
        <v>432</v>
      </c>
      <c r="G49" s="39" t="s">
        <v>433</v>
      </c>
      <c r="H49" s="49" t="s">
        <v>38</v>
      </c>
      <c r="I49" s="58" t="s">
        <v>39</v>
      </c>
      <c r="J49" s="39" t="s">
        <v>434</v>
      </c>
      <c r="K49" s="67" t="s">
        <v>173</v>
      </c>
      <c r="L49" s="59" t="s">
        <v>435</v>
      </c>
      <c r="M49" s="51" t="b">
        <v>1</v>
      </c>
      <c r="N49" s="57" t="s">
        <v>436</v>
      </c>
      <c r="O49" s="46"/>
      <c r="P49" s="46" t="s">
        <v>437</v>
      </c>
      <c r="Q49" s="47" t="s">
        <v>438</v>
      </c>
      <c r="R49" s="47"/>
      <c r="S49" s="46"/>
      <c r="T49" s="46"/>
      <c r="U49" s="13"/>
      <c r="V49" s="13"/>
      <c r="W49" s="13"/>
      <c r="X49" s="13"/>
      <c r="Y49" s="13"/>
      <c r="Z49" s="13"/>
      <c r="AA49" s="13"/>
      <c r="AB49" s="13"/>
      <c r="AC49" s="13"/>
    </row>
    <row r="50" ht="16.5" hidden="1" customHeight="1">
      <c r="A50" s="35">
        <v>47.0</v>
      </c>
      <c r="B50" s="36" t="s">
        <v>439</v>
      </c>
      <c r="C50" s="37" t="s">
        <v>440</v>
      </c>
      <c r="D50" s="38" t="s">
        <v>441</v>
      </c>
      <c r="E50" s="38"/>
      <c r="F50" s="38" t="s">
        <v>442</v>
      </c>
      <c r="G50" s="39" t="s">
        <v>231</v>
      </c>
      <c r="H50" s="49" t="s">
        <v>62</v>
      </c>
      <c r="I50" s="39" t="s">
        <v>63</v>
      </c>
      <c r="J50" s="55"/>
      <c r="K50" s="56"/>
      <c r="L50" s="55"/>
      <c r="M50" s="51" t="b">
        <v>0</v>
      </c>
      <c r="N50" s="46"/>
      <c r="O50" s="46"/>
      <c r="P50" s="46"/>
      <c r="Q50" s="47"/>
      <c r="R50" s="47"/>
      <c r="S50" s="46"/>
      <c r="T50" s="46"/>
      <c r="U50" s="13"/>
      <c r="V50" s="13"/>
      <c r="W50" s="13"/>
      <c r="X50" s="13"/>
      <c r="Y50" s="13"/>
      <c r="Z50" s="13"/>
      <c r="AA50" s="13"/>
      <c r="AB50" s="13"/>
      <c r="AC50" s="13"/>
    </row>
    <row r="51" ht="16.5" hidden="1" customHeight="1">
      <c r="A51" s="35">
        <v>48.0</v>
      </c>
      <c r="B51" s="36" t="s">
        <v>443</v>
      </c>
      <c r="C51" s="37" t="s">
        <v>444</v>
      </c>
      <c r="D51" s="38" t="s">
        <v>445</v>
      </c>
      <c r="E51" s="38"/>
      <c r="F51" s="38" t="s">
        <v>446</v>
      </c>
      <c r="G51" s="39" t="s">
        <v>447</v>
      </c>
      <c r="H51" s="49" t="s">
        <v>62</v>
      </c>
      <c r="I51" s="39" t="s">
        <v>63</v>
      </c>
      <c r="J51" s="55"/>
      <c r="K51" s="56"/>
      <c r="L51" s="55"/>
      <c r="M51" s="51" t="b">
        <v>0</v>
      </c>
      <c r="N51" s="46"/>
      <c r="O51" s="46"/>
      <c r="P51" s="46"/>
      <c r="Q51" s="47"/>
      <c r="R51" s="47"/>
      <c r="S51" s="46"/>
      <c r="T51" s="46"/>
      <c r="U51" s="13"/>
      <c r="V51" s="13"/>
      <c r="W51" s="13"/>
      <c r="X51" s="13"/>
      <c r="Y51" s="13"/>
      <c r="Z51" s="13"/>
      <c r="AA51" s="13"/>
      <c r="AB51" s="13"/>
      <c r="AC51" s="13"/>
    </row>
    <row r="52" ht="16.5" customHeight="1">
      <c r="A52" s="35">
        <v>49.0</v>
      </c>
      <c r="B52" s="36" t="s">
        <v>448</v>
      </c>
      <c r="C52" s="37" t="s">
        <v>449</v>
      </c>
      <c r="D52" s="38" t="s">
        <v>450</v>
      </c>
      <c r="E52" s="38"/>
      <c r="F52" s="38" t="s">
        <v>451</v>
      </c>
      <c r="G52" s="48" t="s">
        <v>452</v>
      </c>
      <c r="H52" s="49" t="s">
        <v>38</v>
      </c>
      <c r="I52" s="39" t="s">
        <v>39</v>
      </c>
      <c r="J52" s="39" t="s">
        <v>82</v>
      </c>
      <c r="K52" s="41" t="s">
        <v>453</v>
      </c>
      <c r="L52" s="39" t="s">
        <v>454</v>
      </c>
      <c r="M52" s="51" t="b">
        <v>1</v>
      </c>
      <c r="N52" s="57" t="s">
        <v>455</v>
      </c>
      <c r="O52" s="46"/>
      <c r="P52" s="46" t="s">
        <v>456</v>
      </c>
      <c r="Q52" s="47" t="s">
        <v>457</v>
      </c>
      <c r="R52" s="47"/>
      <c r="S52" s="46"/>
      <c r="T52" s="46"/>
      <c r="U52" s="13"/>
      <c r="V52" s="13"/>
      <c r="W52" s="13"/>
      <c r="X52" s="13"/>
      <c r="Y52" s="13"/>
      <c r="Z52" s="13"/>
      <c r="AA52" s="13"/>
      <c r="AB52" s="13"/>
      <c r="AC52" s="13"/>
    </row>
    <row r="53" ht="16.5" customHeight="1">
      <c r="A53" s="35">
        <v>50.0</v>
      </c>
      <c r="B53" s="36" t="s">
        <v>458</v>
      </c>
      <c r="C53" s="37" t="s">
        <v>459</v>
      </c>
      <c r="D53" s="38" t="s">
        <v>460</v>
      </c>
      <c r="E53" s="38"/>
      <c r="F53" s="38" t="s">
        <v>461</v>
      </c>
      <c r="G53" s="39" t="s">
        <v>398</v>
      </c>
      <c r="H53" s="49" t="s">
        <v>49</v>
      </c>
      <c r="I53" s="39" t="s">
        <v>39</v>
      </c>
      <c r="J53" s="91" t="s">
        <v>462</v>
      </c>
      <c r="K53" s="92" t="s">
        <v>463</v>
      </c>
      <c r="L53" s="93" t="s">
        <v>464</v>
      </c>
      <c r="M53" s="51" t="b">
        <v>1</v>
      </c>
      <c r="N53" s="57" t="s">
        <v>465</v>
      </c>
      <c r="O53" s="69"/>
      <c r="P53" s="46"/>
      <c r="Q53" s="47"/>
      <c r="R53" s="47"/>
      <c r="S53" s="46"/>
      <c r="T53" s="46"/>
      <c r="U53" s="13"/>
      <c r="V53" s="13"/>
      <c r="W53" s="13"/>
      <c r="X53" s="13"/>
      <c r="Y53" s="13"/>
      <c r="Z53" s="13"/>
      <c r="AA53" s="13"/>
      <c r="AB53" s="13"/>
      <c r="AC53" s="13"/>
    </row>
    <row r="54" ht="16.5" customHeight="1">
      <c r="A54" s="35">
        <v>51.0</v>
      </c>
      <c r="B54" s="36" t="s">
        <v>466</v>
      </c>
      <c r="C54" s="37" t="s">
        <v>467</v>
      </c>
      <c r="D54" s="38" t="s">
        <v>468</v>
      </c>
      <c r="E54" s="38" t="s">
        <v>469</v>
      </c>
      <c r="F54" s="38" t="s">
        <v>196</v>
      </c>
      <c r="G54" s="39" t="s">
        <v>470</v>
      </c>
      <c r="H54" s="49" t="s">
        <v>49</v>
      </c>
      <c r="I54" s="39" t="s">
        <v>39</v>
      </c>
      <c r="J54" s="39" t="s">
        <v>471</v>
      </c>
      <c r="K54" s="41" t="s">
        <v>472</v>
      </c>
      <c r="L54" s="39" t="s">
        <v>473</v>
      </c>
      <c r="M54" s="51" t="b">
        <v>1</v>
      </c>
      <c r="N54" s="57" t="s">
        <v>474</v>
      </c>
      <c r="O54" s="69"/>
      <c r="P54" s="46" t="s">
        <v>475</v>
      </c>
      <c r="Q54" s="47"/>
      <c r="R54" s="47"/>
      <c r="S54" s="46"/>
      <c r="T54" s="46"/>
      <c r="U54" s="13"/>
      <c r="V54" s="13"/>
      <c r="W54" s="13"/>
      <c r="X54" s="13"/>
      <c r="Y54" s="13"/>
      <c r="Z54" s="13"/>
      <c r="AA54" s="13"/>
      <c r="AB54" s="13"/>
      <c r="AC54" s="13"/>
    </row>
    <row r="55" ht="16.5" hidden="1" customHeight="1">
      <c r="A55" s="35">
        <v>52.0</v>
      </c>
      <c r="B55" s="36" t="s">
        <v>476</v>
      </c>
      <c r="C55" s="37" t="s">
        <v>477</v>
      </c>
      <c r="D55" s="38" t="s">
        <v>478</v>
      </c>
      <c r="E55" s="38"/>
      <c r="F55" s="38" t="s">
        <v>479</v>
      </c>
      <c r="G55" s="39" t="s">
        <v>231</v>
      </c>
      <c r="H55" s="49" t="s">
        <v>62</v>
      </c>
      <c r="I55" s="39" t="s">
        <v>63</v>
      </c>
      <c r="J55" s="55"/>
      <c r="K55" s="56"/>
      <c r="L55" s="55"/>
      <c r="M55" s="51" t="b">
        <v>0</v>
      </c>
      <c r="N55" s="46"/>
      <c r="O55" s="46"/>
      <c r="P55" s="46"/>
      <c r="Q55" s="47"/>
      <c r="R55" s="47"/>
      <c r="S55" s="46"/>
      <c r="T55" s="46"/>
      <c r="U55" s="13"/>
      <c r="V55" s="13"/>
      <c r="W55" s="13"/>
      <c r="X55" s="13"/>
      <c r="Y55" s="13"/>
      <c r="Z55" s="13"/>
      <c r="AA55" s="13"/>
      <c r="AB55" s="13"/>
      <c r="AC55" s="13"/>
    </row>
    <row r="56" ht="16.5" customHeight="1">
      <c r="A56" s="35">
        <v>53.0</v>
      </c>
      <c r="B56" s="36" t="s">
        <v>480</v>
      </c>
      <c r="C56" s="37" t="s">
        <v>481</v>
      </c>
      <c r="D56" s="38" t="s">
        <v>482</v>
      </c>
      <c r="E56" s="38"/>
      <c r="F56" s="38" t="s">
        <v>483</v>
      </c>
      <c r="G56" s="39" t="s">
        <v>205</v>
      </c>
      <c r="H56" s="49" t="s">
        <v>38</v>
      </c>
      <c r="I56" s="39" t="s">
        <v>39</v>
      </c>
      <c r="J56" s="66" t="s">
        <v>151</v>
      </c>
      <c r="K56" s="67" t="s">
        <v>214</v>
      </c>
      <c r="L56" s="39" t="s">
        <v>206</v>
      </c>
      <c r="M56" s="51" t="b">
        <v>1</v>
      </c>
      <c r="N56" s="68" t="s">
        <v>484</v>
      </c>
      <c r="O56" s="45" t="s">
        <v>485</v>
      </c>
      <c r="P56" s="46"/>
      <c r="Q56" s="47"/>
      <c r="R56" s="47"/>
      <c r="S56" s="46"/>
      <c r="T56" s="46"/>
      <c r="U56" s="13"/>
      <c r="V56" s="13"/>
      <c r="W56" s="13"/>
      <c r="X56" s="13"/>
      <c r="Y56" s="13"/>
      <c r="Z56" s="13"/>
      <c r="AA56" s="13"/>
      <c r="AB56" s="13"/>
      <c r="AC56" s="13"/>
    </row>
    <row r="57" ht="16.5" customHeight="1">
      <c r="A57" s="35">
        <v>54.0</v>
      </c>
      <c r="B57" s="36" t="s">
        <v>486</v>
      </c>
      <c r="C57" s="37" t="s">
        <v>487</v>
      </c>
      <c r="D57" s="38" t="s">
        <v>488</v>
      </c>
      <c r="E57" s="38" t="s">
        <v>489</v>
      </c>
      <c r="F57" s="38" t="s">
        <v>490</v>
      </c>
      <c r="G57" s="48" t="s">
        <v>491</v>
      </c>
      <c r="H57" s="49" t="s">
        <v>49</v>
      </c>
      <c r="I57" s="94" t="s">
        <v>39</v>
      </c>
      <c r="J57" s="39" t="s">
        <v>492</v>
      </c>
      <c r="K57" s="41" t="s">
        <v>409</v>
      </c>
      <c r="L57" s="39" t="s">
        <v>493</v>
      </c>
      <c r="M57" s="51" t="b">
        <v>1</v>
      </c>
      <c r="N57" s="68" t="s">
        <v>494</v>
      </c>
      <c r="O57" s="45" t="s">
        <v>495</v>
      </c>
      <c r="P57" s="46"/>
      <c r="Q57" s="47"/>
      <c r="R57" s="47"/>
      <c r="S57" s="46"/>
      <c r="T57" s="46"/>
      <c r="U57" s="13"/>
      <c r="V57" s="13"/>
      <c r="W57" s="13"/>
      <c r="X57" s="13"/>
      <c r="Y57" s="13"/>
      <c r="Z57" s="13"/>
      <c r="AA57" s="13"/>
      <c r="AB57" s="13"/>
      <c r="AC57" s="13"/>
    </row>
    <row r="58" ht="16.5" customHeight="1">
      <c r="A58" s="35">
        <v>55.0</v>
      </c>
      <c r="B58" s="36" t="s">
        <v>496</v>
      </c>
      <c r="C58" s="37" t="s">
        <v>497</v>
      </c>
      <c r="D58" s="38" t="s">
        <v>498</v>
      </c>
      <c r="E58" s="38"/>
      <c r="F58" s="38" t="s">
        <v>499</v>
      </c>
      <c r="G58" s="39" t="s">
        <v>500</v>
      </c>
      <c r="H58" s="49" t="s">
        <v>38</v>
      </c>
      <c r="I58" s="39" t="s">
        <v>39</v>
      </c>
      <c r="J58" s="66" t="s">
        <v>151</v>
      </c>
      <c r="K58" s="67" t="s">
        <v>122</v>
      </c>
      <c r="L58" s="59" t="s">
        <v>501</v>
      </c>
      <c r="M58" s="51" t="b">
        <v>1</v>
      </c>
      <c r="N58" s="68" t="s">
        <v>502</v>
      </c>
      <c r="O58" s="69"/>
      <c r="P58" s="46"/>
      <c r="Q58" s="47"/>
      <c r="R58" s="47"/>
      <c r="S58" s="46"/>
      <c r="T58" s="46"/>
      <c r="U58" s="13"/>
      <c r="V58" s="13"/>
      <c r="W58" s="13"/>
      <c r="X58" s="13"/>
      <c r="Y58" s="13"/>
      <c r="Z58" s="13"/>
      <c r="AA58" s="13"/>
      <c r="AB58" s="13"/>
      <c r="AC58" s="13"/>
    </row>
    <row r="59" ht="16.5" customHeight="1">
      <c r="A59" s="35">
        <v>56.0</v>
      </c>
      <c r="B59" s="36" t="s">
        <v>503</v>
      </c>
      <c r="C59" s="37" t="s">
        <v>504</v>
      </c>
      <c r="D59" s="38" t="s">
        <v>505</v>
      </c>
      <c r="E59" s="38" t="s">
        <v>506</v>
      </c>
      <c r="F59" s="38" t="s">
        <v>196</v>
      </c>
      <c r="G59" s="48" t="s">
        <v>507</v>
      </c>
      <c r="H59" s="49" t="s">
        <v>49</v>
      </c>
      <c r="I59" s="39" t="s">
        <v>39</v>
      </c>
      <c r="J59" s="39" t="s">
        <v>508</v>
      </c>
      <c r="K59" s="41" t="s">
        <v>173</v>
      </c>
      <c r="L59" s="39" t="s">
        <v>509</v>
      </c>
      <c r="M59" s="51" t="b">
        <v>1</v>
      </c>
      <c r="N59" s="57" t="s">
        <v>510</v>
      </c>
      <c r="O59" s="69"/>
      <c r="P59" s="46"/>
      <c r="Q59" s="47"/>
      <c r="R59" s="47"/>
      <c r="S59" s="46"/>
      <c r="T59" s="46"/>
      <c r="U59" s="13"/>
      <c r="V59" s="13"/>
      <c r="W59" s="13"/>
      <c r="X59" s="13"/>
      <c r="Y59" s="13"/>
      <c r="Z59" s="13"/>
      <c r="AA59" s="13"/>
      <c r="AB59" s="13"/>
      <c r="AC59" s="13"/>
    </row>
    <row r="60" ht="16.5" customHeight="1">
      <c r="A60" s="35">
        <v>57.0</v>
      </c>
      <c r="B60" s="36" t="s">
        <v>511</v>
      </c>
      <c r="C60" s="37" t="s">
        <v>512</v>
      </c>
      <c r="D60" s="38" t="s">
        <v>513</v>
      </c>
      <c r="E60" s="38" t="s">
        <v>514</v>
      </c>
      <c r="F60" s="38" t="s">
        <v>515</v>
      </c>
      <c r="G60" s="39" t="s">
        <v>433</v>
      </c>
      <c r="H60" s="49" t="s">
        <v>38</v>
      </c>
      <c r="I60" s="58" t="s">
        <v>39</v>
      </c>
      <c r="J60" s="39" t="s">
        <v>434</v>
      </c>
      <c r="K60" s="67" t="s">
        <v>173</v>
      </c>
      <c r="L60" s="59" t="s">
        <v>516</v>
      </c>
      <c r="M60" s="51" t="b">
        <v>1</v>
      </c>
      <c r="N60" s="57" t="s">
        <v>436</v>
      </c>
      <c r="O60" s="46"/>
      <c r="P60" s="46" t="s">
        <v>517</v>
      </c>
      <c r="Q60" s="46" t="s">
        <v>518</v>
      </c>
      <c r="R60" s="47" t="s">
        <v>519</v>
      </c>
      <c r="S60" s="46" t="s">
        <v>520</v>
      </c>
      <c r="T60" s="46"/>
      <c r="U60" s="13"/>
      <c r="V60" s="13"/>
      <c r="W60" s="13"/>
      <c r="X60" s="13"/>
      <c r="Y60" s="13"/>
      <c r="Z60" s="13"/>
      <c r="AA60" s="13"/>
      <c r="AB60" s="13"/>
      <c r="AC60" s="13"/>
    </row>
    <row r="61" ht="16.5" hidden="1" customHeight="1">
      <c r="A61" s="35">
        <v>58.0</v>
      </c>
      <c r="B61" s="36" t="s">
        <v>521</v>
      </c>
      <c r="C61" s="37" t="s">
        <v>522</v>
      </c>
      <c r="D61" s="38" t="s">
        <v>523</v>
      </c>
      <c r="E61" s="38"/>
      <c r="F61" s="38" t="s">
        <v>524</v>
      </c>
      <c r="G61" s="39" t="s">
        <v>231</v>
      </c>
      <c r="H61" s="49" t="s">
        <v>62</v>
      </c>
      <c r="I61" s="39" t="s">
        <v>63</v>
      </c>
      <c r="J61" s="55"/>
      <c r="K61" s="56"/>
      <c r="L61" s="55"/>
      <c r="M61" s="51" t="b">
        <v>0</v>
      </c>
      <c r="N61" s="46"/>
      <c r="O61" s="46"/>
      <c r="P61" s="46"/>
      <c r="Q61" s="47"/>
      <c r="R61" s="47"/>
      <c r="S61" s="46"/>
      <c r="T61" s="46"/>
      <c r="U61" s="13"/>
      <c r="V61" s="13"/>
      <c r="W61" s="13"/>
      <c r="X61" s="13"/>
      <c r="Y61" s="13"/>
      <c r="Z61" s="13"/>
      <c r="AA61" s="13"/>
      <c r="AB61" s="13"/>
      <c r="AC61" s="13"/>
    </row>
    <row r="62" ht="16.5" hidden="1" customHeight="1">
      <c r="A62" s="35">
        <v>59.0</v>
      </c>
      <c r="B62" s="36" t="s">
        <v>525</v>
      </c>
      <c r="C62" s="37" t="s">
        <v>526</v>
      </c>
      <c r="D62" s="38" t="s">
        <v>527</v>
      </c>
      <c r="E62" s="38"/>
      <c r="F62" s="38" t="s">
        <v>528</v>
      </c>
      <c r="G62" s="39" t="s">
        <v>231</v>
      </c>
      <c r="H62" s="49" t="s">
        <v>62</v>
      </c>
      <c r="I62" s="39" t="s">
        <v>63</v>
      </c>
      <c r="J62" s="55"/>
      <c r="K62" s="56"/>
      <c r="L62" s="55"/>
      <c r="M62" s="51" t="b">
        <v>0</v>
      </c>
      <c r="N62" s="46"/>
      <c r="O62" s="46"/>
      <c r="P62" s="46"/>
      <c r="Q62" s="47"/>
      <c r="R62" s="47"/>
      <c r="S62" s="46"/>
      <c r="T62" s="46"/>
      <c r="U62" s="13"/>
      <c r="V62" s="13"/>
      <c r="W62" s="13"/>
      <c r="X62" s="13"/>
      <c r="Y62" s="13"/>
      <c r="Z62" s="13"/>
      <c r="AA62" s="13"/>
      <c r="AB62" s="13"/>
      <c r="AC62" s="13"/>
    </row>
    <row r="63" ht="16.5" customHeight="1">
      <c r="A63" s="35">
        <v>60.0</v>
      </c>
      <c r="B63" s="36" t="s">
        <v>529</v>
      </c>
      <c r="C63" s="37" t="s">
        <v>530</v>
      </c>
      <c r="D63" s="38" t="s">
        <v>531</v>
      </c>
      <c r="E63" s="38" t="s">
        <v>532</v>
      </c>
      <c r="F63" s="38" t="s">
        <v>196</v>
      </c>
      <c r="G63" s="48" t="s">
        <v>533</v>
      </c>
      <c r="H63" s="49" t="s">
        <v>49</v>
      </c>
      <c r="I63" s="39" t="s">
        <v>39</v>
      </c>
      <c r="J63" s="39" t="s">
        <v>534</v>
      </c>
      <c r="K63" s="41" t="s">
        <v>535</v>
      </c>
      <c r="L63" s="39" t="s">
        <v>536</v>
      </c>
      <c r="M63" s="51" t="b">
        <v>1</v>
      </c>
      <c r="N63" s="57" t="s">
        <v>537</v>
      </c>
      <c r="O63" s="46"/>
      <c r="P63" s="46" t="s">
        <v>538</v>
      </c>
      <c r="Q63" s="47" t="s">
        <v>539</v>
      </c>
      <c r="R63" s="47" t="s">
        <v>540</v>
      </c>
      <c r="S63" s="46"/>
      <c r="T63" s="46"/>
      <c r="U63" s="13"/>
      <c r="V63" s="13"/>
      <c r="W63" s="13"/>
      <c r="X63" s="13"/>
      <c r="Y63" s="13"/>
      <c r="Z63" s="13"/>
      <c r="AA63" s="13"/>
      <c r="AB63" s="13"/>
      <c r="AC63" s="13"/>
    </row>
    <row r="64" ht="16.5" hidden="1" customHeight="1">
      <c r="A64" s="35">
        <v>61.0</v>
      </c>
      <c r="B64" s="36" t="s">
        <v>541</v>
      </c>
      <c r="C64" s="37" t="s">
        <v>542</v>
      </c>
      <c r="D64" s="38" t="s">
        <v>543</v>
      </c>
      <c r="E64" s="38"/>
      <c r="F64" s="38" t="s">
        <v>544</v>
      </c>
      <c r="G64" s="39" t="s">
        <v>231</v>
      </c>
      <c r="H64" s="49" t="s">
        <v>62</v>
      </c>
      <c r="I64" s="39" t="s">
        <v>63</v>
      </c>
      <c r="J64" s="55"/>
      <c r="K64" s="56"/>
      <c r="L64" s="55"/>
      <c r="M64" s="51" t="b">
        <v>0</v>
      </c>
      <c r="N64" s="46"/>
      <c r="O64" s="46"/>
      <c r="P64" s="46"/>
      <c r="Q64" s="47"/>
      <c r="R64" s="47"/>
      <c r="S64" s="46"/>
      <c r="T64" s="46"/>
      <c r="U64" s="13"/>
      <c r="V64" s="13"/>
      <c r="W64" s="13"/>
      <c r="X64" s="13"/>
      <c r="Y64" s="13"/>
      <c r="Z64" s="13"/>
      <c r="AA64" s="13"/>
      <c r="AB64" s="13"/>
      <c r="AC64" s="13"/>
    </row>
    <row r="65" ht="16.5" customHeight="1">
      <c r="A65" s="35">
        <v>62.0</v>
      </c>
      <c r="B65" s="36" t="s">
        <v>545</v>
      </c>
      <c r="C65" s="37" t="s">
        <v>546</v>
      </c>
      <c r="D65" s="38" t="s">
        <v>547</v>
      </c>
      <c r="E65" s="38" t="s">
        <v>548</v>
      </c>
      <c r="F65" s="38" t="s">
        <v>549</v>
      </c>
      <c r="G65" s="48" t="s">
        <v>550</v>
      </c>
      <c r="H65" s="49" t="s">
        <v>49</v>
      </c>
      <c r="I65" s="58" t="s">
        <v>39</v>
      </c>
      <c r="J65" s="39" t="s">
        <v>551</v>
      </c>
      <c r="K65" s="41" t="s">
        <v>152</v>
      </c>
      <c r="L65" s="39" t="s">
        <v>552</v>
      </c>
      <c r="M65" s="51" t="b">
        <v>1</v>
      </c>
      <c r="N65" s="57" t="s">
        <v>553</v>
      </c>
      <c r="O65" s="46"/>
      <c r="P65" s="46"/>
      <c r="Q65" s="47"/>
      <c r="R65" s="47"/>
      <c r="S65" s="46"/>
      <c r="T65" s="46"/>
      <c r="U65" s="13"/>
      <c r="V65" s="13"/>
      <c r="W65" s="13"/>
      <c r="X65" s="13"/>
      <c r="Y65" s="13"/>
      <c r="Z65" s="13"/>
      <c r="AA65" s="13"/>
      <c r="AB65" s="13"/>
      <c r="AC65" s="13"/>
    </row>
    <row r="66" ht="16.5" hidden="1" customHeight="1">
      <c r="A66" s="35">
        <v>63.0</v>
      </c>
      <c r="B66" s="36" t="s">
        <v>554</v>
      </c>
      <c r="C66" s="37" t="s">
        <v>555</v>
      </c>
      <c r="D66" s="38" t="s">
        <v>556</v>
      </c>
      <c r="E66" s="38"/>
      <c r="F66" s="38" t="s">
        <v>557</v>
      </c>
      <c r="G66" s="39" t="s">
        <v>231</v>
      </c>
      <c r="H66" s="49" t="s">
        <v>62</v>
      </c>
      <c r="I66" s="39" t="s">
        <v>63</v>
      </c>
      <c r="J66" s="55"/>
      <c r="K66" s="56"/>
      <c r="L66" s="55"/>
      <c r="M66" s="51" t="b">
        <v>0</v>
      </c>
      <c r="N66" s="46"/>
      <c r="O66" s="46"/>
      <c r="P66" s="46" t="s">
        <v>558</v>
      </c>
      <c r="Q66" s="47"/>
      <c r="R66" s="47"/>
      <c r="S66" s="46"/>
      <c r="T66" s="46"/>
      <c r="U66" s="13"/>
      <c r="V66" s="13"/>
      <c r="W66" s="13"/>
      <c r="X66" s="13"/>
      <c r="Y66" s="13"/>
      <c r="Z66" s="13"/>
      <c r="AA66" s="13"/>
      <c r="AB66" s="13"/>
      <c r="AC66" s="13"/>
    </row>
    <row r="67" ht="16.5" customHeight="1">
      <c r="A67" s="35">
        <v>64.0</v>
      </c>
      <c r="B67" s="36" t="s">
        <v>559</v>
      </c>
      <c r="C67" s="37" t="s">
        <v>560</v>
      </c>
      <c r="D67" s="38" t="s">
        <v>561</v>
      </c>
      <c r="E67" s="38" t="s">
        <v>562</v>
      </c>
      <c r="F67" s="38" t="s">
        <v>563</v>
      </c>
      <c r="G67" s="39" t="s">
        <v>564</v>
      </c>
      <c r="H67" s="49" t="s">
        <v>49</v>
      </c>
      <c r="I67" s="58" t="s">
        <v>39</v>
      </c>
      <c r="J67" s="39" t="s">
        <v>565</v>
      </c>
      <c r="K67" s="41" t="s">
        <v>566</v>
      </c>
      <c r="L67" s="39" t="s">
        <v>567</v>
      </c>
      <c r="M67" s="51" t="b">
        <v>1</v>
      </c>
      <c r="N67" s="57" t="s">
        <v>568</v>
      </c>
      <c r="O67" s="46"/>
      <c r="P67" s="46"/>
      <c r="Q67" s="47"/>
      <c r="R67" s="47"/>
      <c r="S67" s="46"/>
      <c r="T67" s="46"/>
      <c r="U67" s="13"/>
      <c r="V67" s="13"/>
      <c r="W67" s="13"/>
      <c r="X67" s="13"/>
      <c r="Y67" s="13"/>
      <c r="Z67" s="13"/>
      <c r="AA67" s="13"/>
      <c r="AB67" s="13"/>
      <c r="AC67" s="13"/>
    </row>
    <row r="68" ht="16.5" customHeight="1">
      <c r="A68" s="35">
        <v>65.0</v>
      </c>
      <c r="B68" s="36" t="s">
        <v>569</v>
      </c>
      <c r="C68" s="37" t="s">
        <v>570</v>
      </c>
      <c r="D68" s="38" t="s">
        <v>571</v>
      </c>
      <c r="E68" s="38"/>
      <c r="F68" s="38" t="s">
        <v>572</v>
      </c>
      <c r="G68" s="39" t="s">
        <v>573</v>
      </c>
      <c r="H68" s="49" t="s">
        <v>49</v>
      </c>
      <c r="I68" s="94" t="s">
        <v>39</v>
      </c>
      <c r="J68" s="39" t="s">
        <v>574</v>
      </c>
      <c r="K68" s="95" t="s">
        <v>575</v>
      </c>
      <c r="L68" s="94" t="s">
        <v>576</v>
      </c>
      <c r="M68" s="51" t="b">
        <v>1</v>
      </c>
      <c r="N68" s="57" t="s">
        <v>569</v>
      </c>
      <c r="O68" s="57" t="s">
        <v>577</v>
      </c>
      <c r="P68" s="46"/>
      <c r="Q68" s="47"/>
      <c r="R68" s="47"/>
      <c r="S68" s="46"/>
      <c r="T68" s="46"/>
      <c r="U68" s="13"/>
      <c r="V68" s="13"/>
      <c r="W68" s="13"/>
      <c r="X68" s="13"/>
      <c r="Y68" s="13"/>
      <c r="Z68" s="13"/>
      <c r="AA68" s="13"/>
      <c r="AB68" s="13"/>
      <c r="AC68" s="13"/>
    </row>
    <row r="69" ht="16.5" hidden="1" customHeight="1">
      <c r="A69" s="35">
        <v>66.0</v>
      </c>
      <c r="B69" s="36" t="s">
        <v>578</v>
      </c>
      <c r="C69" s="37" t="s">
        <v>579</v>
      </c>
      <c r="D69" s="38" t="s">
        <v>580</v>
      </c>
      <c r="E69" s="38"/>
      <c r="F69" s="38" t="s">
        <v>581</v>
      </c>
      <c r="G69" s="39" t="s">
        <v>231</v>
      </c>
      <c r="H69" s="49" t="s">
        <v>62</v>
      </c>
      <c r="I69" s="39" t="s">
        <v>63</v>
      </c>
      <c r="J69" s="55"/>
      <c r="K69" s="56"/>
      <c r="L69" s="55"/>
      <c r="M69" s="51" t="b">
        <v>0</v>
      </c>
      <c r="N69" s="46"/>
      <c r="O69" s="46"/>
      <c r="P69" s="46"/>
      <c r="Q69" s="47"/>
      <c r="R69" s="47"/>
      <c r="S69" s="46"/>
      <c r="T69" s="46"/>
      <c r="U69" s="13"/>
      <c r="V69" s="13"/>
      <c r="W69" s="13"/>
      <c r="X69" s="13"/>
      <c r="Y69" s="13"/>
      <c r="Z69" s="13"/>
      <c r="AA69" s="13"/>
      <c r="AB69" s="13"/>
      <c r="AC69" s="13"/>
    </row>
    <row r="70" ht="16.5" customHeight="1">
      <c r="A70" s="35">
        <v>67.0</v>
      </c>
      <c r="B70" s="36" t="s">
        <v>582</v>
      </c>
      <c r="C70" s="37" t="s">
        <v>583</v>
      </c>
      <c r="D70" s="38" t="s">
        <v>584</v>
      </c>
      <c r="E70" s="38" t="s">
        <v>585</v>
      </c>
      <c r="F70" s="38" t="s">
        <v>586</v>
      </c>
      <c r="G70" s="48" t="s">
        <v>587</v>
      </c>
      <c r="H70" s="49" t="s">
        <v>49</v>
      </c>
      <c r="I70" s="39" t="s">
        <v>39</v>
      </c>
      <c r="J70" s="39" t="s">
        <v>588</v>
      </c>
      <c r="K70" s="41" t="s">
        <v>173</v>
      </c>
      <c r="L70" s="39" t="s">
        <v>589</v>
      </c>
      <c r="M70" s="51" t="b">
        <v>0</v>
      </c>
      <c r="N70" s="44" t="s">
        <v>590</v>
      </c>
      <c r="O70" s="96" t="s">
        <v>591</v>
      </c>
      <c r="P70" s="97" t="s">
        <v>592</v>
      </c>
      <c r="Q70" s="47"/>
      <c r="R70" s="47"/>
      <c r="S70" s="46"/>
      <c r="T70" s="46"/>
      <c r="U70" s="98"/>
      <c r="V70" s="13"/>
      <c r="W70" s="13"/>
      <c r="X70" s="13"/>
      <c r="Y70" s="13"/>
      <c r="Z70" s="13"/>
      <c r="AA70" s="13"/>
      <c r="AB70" s="13"/>
      <c r="AC70" s="13"/>
    </row>
    <row r="71" ht="16.5" hidden="1" customHeight="1">
      <c r="A71" s="35">
        <v>68.0</v>
      </c>
      <c r="B71" s="36" t="s">
        <v>593</v>
      </c>
      <c r="C71" s="37" t="s">
        <v>594</v>
      </c>
      <c r="D71" s="38" t="s">
        <v>595</v>
      </c>
      <c r="E71" s="38"/>
      <c r="F71" s="38" t="s">
        <v>596</v>
      </c>
      <c r="G71" s="39" t="s">
        <v>231</v>
      </c>
      <c r="H71" s="49" t="s">
        <v>62</v>
      </c>
      <c r="I71" s="39" t="s">
        <v>63</v>
      </c>
      <c r="J71" s="55"/>
      <c r="K71" s="56"/>
      <c r="L71" s="55"/>
      <c r="M71" s="51" t="b">
        <v>0</v>
      </c>
      <c r="N71" s="46"/>
      <c r="O71" s="46"/>
      <c r="P71" s="46"/>
      <c r="Q71" s="47"/>
      <c r="R71" s="47"/>
      <c r="S71" s="46"/>
      <c r="T71" s="46"/>
      <c r="U71" s="13"/>
      <c r="V71" s="13"/>
      <c r="W71" s="13"/>
      <c r="X71" s="13"/>
      <c r="Y71" s="13"/>
      <c r="Z71" s="13"/>
      <c r="AA71" s="13"/>
      <c r="AB71" s="13"/>
      <c r="AC71" s="13"/>
    </row>
    <row r="72" ht="16.5" hidden="1" customHeight="1">
      <c r="A72" s="35">
        <v>69.0</v>
      </c>
      <c r="B72" s="36" t="s">
        <v>597</v>
      </c>
      <c r="C72" s="37" t="s">
        <v>598</v>
      </c>
      <c r="D72" s="38" t="s">
        <v>599</v>
      </c>
      <c r="E72" s="38"/>
      <c r="F72" s="38" t="s">
        <v>600</v>
      </c>
      <c r="G72" s="39" t="s">
        <v>231</v>
      </c>
      <c r="H72" s="49" t="s">
        <v>62</v>
      </c>
      <c r="I72" s="39" t="s">
        <v>63</v>
      </c>
      <c r="J72" s="55"/>
      <c r="K72" s="56"/>
      <c r="L72" s="55"/>
      <c r="M72" s="51" t="b">
        <v>0</v>
      </c>
      <c r="N72" s="46"/>
      <c r="O72" s="46"/>
      <c r="P72" s="46"/>
      <c r="Q72" s="47"/>
      <c r="R72" s="47"/>
      <c r="S72" s="46"/>
      <c r="T72" s="46"/>
      <c r="U72" s="13"/>
      <c r="V72" s="13"/>
      <c r="W72" s="13"/>
      <c r="X72" s="13"/>
      <c r="Y72" s="13"/>
      <c r="Z72" s="13"/>
      <c r="AA72" s="13"/>
      <c r="AB72" s="13"/>
      <c r="AC72" s="13"/>
    </row>
    <row r="73" ht="16.5" hidden="1" customHeight="1">
      <c r="A73" s="35">
        <v>70.0</v>
      </c>
      <c r="B73" s="36" t="s">
        <v>601</v>
      </c>
      <c r="C73" s="37" t="s">
        <v>602</v>
      </c>
      <c r="D73" s="38" t="s">
        <v>603</v>
      </c>
      <c r="E73" s="38"/>
      <c r="F73" s="38" t="s">
        <v>604</v>
      </c>
      <c r="G73" s="39" t="s">
        <v>231</v>
      </c>
      <c r="H73" s="49" t="s">
        <v>62</v>
      </c>
      <c r="I73" s="39" t="s">
        <v>63</v>
      </c>
      <c r="J73" s="55"/>
      <c r="K73" s="56"/>
      <c r="L73" s="55"/>
      <c r="M73" s="51" t="b">
        <v>0</v>
      </c>
      <c r="N73" s="46"/>
      <c r="O73" s="46"/>
      <c r="P73" s="46"/>
      <c r="Q73" s="47"/>
      <c r="R73" s="47"/>
      <c r="S73" s="46"/>
      <c r="T73" s="46"/>
      <c r="U73" s="13"/>
      <c r="V73" s="13"/>
      <c r="W73" s="13"/>
      <c r="X73" s="13"/>
      <c r="Y73" s="13"/>
      <c r="Z73" s="13"/>
      <c r="AA73" s="13"/>
      <c r="AB73" s="13"/>
      <c r="AC73" s="13"/>
    </row>
    <row r="74" ht="16.5" customHeight="1">
      <c r="A74" s="35">
        <v>71.0</v>
      </c>
      <c r="B74" s="36" t="s">
        <v>605</v>
      </c>
      <c r="C74" s="37" t="s">
        <v>606</v>
      </c>
      <c r="D74" s="38" t="s">
        <v>607</v>
      </c>
      <c r="E74" s="38"/>
      <c r="F74" s="38" t="s">
        <v>608</v>
      </c>
      <c r="G74" s="48" t="s">
        <v>609</v>
      </c>
      <c r="H74" s="49" t="s">
        <v>49</v>
      </c>
      <c r="I74" s="39" t="s">
        <v>39</v>
      </c>
      <c r="J74" s="39" t="s">
        <v>610</v>
      </c>
      <c r="K74" s="41" t="s">
        <v>611</v>
      </c>
      <c r="L74" s="39" t="s">
        <v>612</v>
      </c>
      <c r="M74" s="51" t="b">
        <v>1</v>
      </c>
      <c r="N74" s="57" t="s">
        <v>613</v>
      </c>
      <c r="O74" s="69"/>
      <c r="P74" s="46"/>
      <c r="Q74" s="47"/>
      <c r="R74" s="47"/>
      <c r="S74" s="46"/>
      <c r="T74" s="46"/>
      <c r="U74" s="13"/>
      <c r="V74" s="13"/>
      <c r="W74" s="13"/>
      <c r="X74" s="13"/>
      <c r="Y74" s="13"/>
      <c r="Z74" s="13"/>
      <c r="AA74" s="13"/>
      <c r="AB74" s="13"/>
      <c r="AC74" s="13"/>
    </row>
    <row r="75" ht="16.5" customHeight="1">
      <c r="A75" s="35">
        <v>72.0</v>
      </c>
      <c r="B75" s="36" t="s">
        <v>614</v>
      </c>
      <c r="C75" s="37" t="s">
        <v>615</v>
      </c>
      <c r="D75" s="38" t="s">
        <v>616</v>
      </c>
      <c r="E75" s="38" t="s">
        <v>617</v>
      </c>
      <c r="F75" s="38" t="s">
        <v>618</v>
      </c>
      <c r="G75" s="39" t="s">
        <v>619</v>
      </c>
      <c r="H75" s="49" t="s">
        <v>49</v>
      </c>
      <c r="I75" s="39" t="s">
        <v>39</v>
      </c>
      <c r="J75" s="39" t="s">
        <v>620</v>
      </c>
      <c r="K75" s="41" t="s">
        <v>621</v>
      </c>
      <c r="L75" s="39" t="s">
        <v>622</v>
      </c>
      <c r="M75" s="51" t="b">
        <v>1</v>
      </c>
      <c r="N75" s="68" t="s">
        <v>623</v>
      </c>
      <c r="O75" s="99"/>
      <c r="P75" s="97" t="s">
        <v>624</v>
      </c>
      <c r="Q75" s="47"/>
      <c r="R75" s="47"/>
      <c r="S75" s="46"/>
      <c r="T75" s="46"/>
      <c r="U75" s="13"/>
      <c r="V75" s="13"/>
      <c r="W75" s="13"/>
      <c r="X75" s="13"/>
      <c r="Y75" s="13"/>
      <c r="Z75" s="13"/>
      <c r="AA75" s="13"/>
      <c r="AB75" s="13"/>
      <c r="AC75" s="13"/>
    </row>
    <row r="76" ht="16.5" hidden="1" customHeight="1">
      <c r="A76" s="35">
        <v>73.0</v>
      </c>
      <c r="B76" s="36" t="s">
        <v>625</v>
      </c>
      <c r="C76" s="37" t="s">
        <v>626</v>
      </c>
      <c r="D76" s="38" t="s">
        <v>627</v>
      </c>
      <c r="E76" s="38" t="s">
        <v>628</v>
      </c>
      <c r="F76" s="38" t="s">
        <v>629</v>
      </c>
      <c r="G76" s="39" t="s">
        <v>231</v>
      </c>
      <c r="H76" s="49" t="s">
        <v>49</v>
      </c>
      <c r="I76" s="58" t="s">
        <v>63</v>
      </c>
      <c r="J76" s="55"/>
      <c r="K76" s="56"/>
      <c r="L76" s="55"/>
      <c r="M76" s="51" t="b">
        <v>0</v>
      </c>
      <c r="N76" s="46"/>
      <c r="O76" s="46"/>
      <c r="P76" s="46"/>
      <c r="Q76" s="47"/>
      <c r="R76" s="47"/>
      <c r="S76" s="46"/>
      <c r="T76" s="46"/>
      <c r="U76" s="13"/>
      <c r="V76" s="13"/>
      <c r="W76" s="13"/>
      <c r="X76" s="13"/>
      <c r="Y76" s="13"/>
      <c r="Z76" s="13"/>
      <c r="AA76" s="13"/>
      <c r="AB76" s="13"/>
      <c r="AC76" s="13"/>
    </row>
    <row r="77" ht="16.5" hidden="1" customHeight="1">
      <c r="A77" s="35">
        <v>74.0</v>
      </c>
      <c r="B77" s="36" t="s">
        <v>630</v>
      </c>
      <c r="C77" s="37" t="s">
        <v>631</v>
      </c>
      <c r="D77" s="38" t="s">
        <v>632</v>
      </c>
      <c r="E77" s="38" t="s">
        <v>633</v>
      </c>
      <c r="F77" s="38" t="s">
        <v>634</v>
      </c>
      <c r="G77" s="39" t="s">
        <v>231</v>
      </c>
      <c r="H77" s="49" t="s">
        <v>49</v>
      </c>
      <c r="I77" s="58" t="s">
        <v>63</v>
      </c>
      <c r="J77" s="55"/>
      <c r="K77" s="56"/>
      <c r="L77" s="55"/>
      <c r="M77" s="51" t="b">
        <v>0</v>
      </c>
      <c r="N77" s="46"/>
      <c r="O77" s="46"/>
      <c r="P77" s="46"/>
      <c r="Q77" s="47"/>
      <c r="R77" s="47"/>
      <c r="S77" s="46"/>
      <c r="T77" s="46"/>
      <c r="U77" s="13"/>
      <c r="V77" s="13"/>
      <c r="W77" s="13"/>
      <c r="X77" s="13"/>
      <c r="Y77" s="13"/>
      <c r="Z77" s="13"/>
      <c r="AA77" s="13"/>
      <c r="AB77" s="13"/>
      <c r="AC77" s="13"/>
    </row>
    <row r="78" ht="16.5" customHeight="1">
      <c r="A78" s="35">
        <v>75.0</v>
      </c>
      <c r="B78" s="36" t="s">
        <v>635</v>
      </c>
      <c r="C78" s="37" t="s">
        <v>636</v>
      </c>
      <c r="D78" s="38" t="s">
        <v>637</v>
      </c>
      <c r="E78" s="38" t="s">
        <v>638</v>
      </c>
      <c r="F78" s="38" t="s">
        <v>639</v>
      </c>
      <c r="G78" s="39" t="s">
        <v>640</v>
      </c>
      <c r="H78" s="49" t="s">
        <v>49</v>
      </c>
      <c r="I78" s="39" t="s">
        <v>39</v>
      </c>
      <c r="J78" s="39" t="s">
        <v>82</v>
      </c>
      <c r="K78" s="41" t="s">
        <v>641</v>
      </c>
      <c r="L78" s="39" t="s">
        <v>642</v>
      </c>
      <c r="M78" s="51" t="b">
        <v>1</v>
      </c>
      <c r="N78" s="100" t="s">
        <v>106</v>
      </c>
      <c r="O78" s="69"/>
      <c r="P78" s="46"/>
      <c r="Q78" s="47"/>
      <c r="R78" s="47"/>
      <c r="S78" s="46"/>
      <c r="T78" s="46"/>
      <c r="U78" s="13"/>
      <c r="V78" s="13"/>
      <c r="W78" s="13"/>
      <c r="X78" s="13"/>
      <c r="Y78" s="13"/>
      <c r="Z78" s="13"/>
      <c r="AA78" s="13"/>
      <c r="AB78" s="13"/>
      <c r="AC78" s="13"/>
    </row>
    <row r="79" ht="16.5" customHeight="1">
      <c r="A79" s="35">
        <v>76.0</v>
      </c>
      <c r="B79" s="36" t="s">
        <v>643</v>
      </c>
      <c r="C79" s="37" t="s">
        <v>644</v>
      </c>
      <c r="D79" s="38" t="s">
        <v>645</v>
      </c>
      <c r="E79" s="38"/>
      <c r="F79" s="38" t="s">
        <v>646</v>
      </c>
      <c r="G79" s="39" t="s">
        <v>647</v>
      </c>
      <c r="H79" s="49" t="s">
        <v>49</v>
      </c>
      <c r="I79" s="39" t="s">
        <v>39</v>
      </c>
      <c r="J79" s="39" t="s">
        <v>648</v>
      </c>
      <c r="K79" s="41" t="s">
        <v>649</v>
      </c>
      <c r="L79" s="39" t="s">
        <v>650</v>
      </c>
      <c r="M79" s="51" t="b">
        <v>1</v>
      </c>
      <c r="N79" s="57" t="s">
        <v>651</v>
      </c>
      <c r="O79" s="69"/>
      <c r="P79" s="46"/>
      <c r="Q79" s="47"/>
      <c r="R79" s="47"/>
      <c r="S79" s="46"/>
      <c r="T79" s="46"/>
      <c r="U79" s="13"/>
      <c r="V79" s="13"/>
      <c r="W79" s="13"/>
      <c r="X79" s="13"/>
      <c r="Y79" s="13"/>
      <c r="Z79" s="13"/>
      <c r="AA79" s="13"/>
      <c r="AB79" s="13"/>
      <c r="AC79" s="13"/>
    </row>
    <row r="80" ht="16.5" customHeight="1">
      <c r="A80" s="35">
        <v>77.0</v>
      </c>
      <c r="B80" s="36" t="s">
        <v>652</v>
      </c>
      <c r="C80" s="37" t="s">
        <v>653</v>
      </c>
      <c r="D80" s="38" t="s">
        <v>654</v>
      </c>
      <c r="E80" s="38" t="s">
        <v>655</v>
      </c>
      <c r="F80" s="38" t="s">
        <v>196</v>
      </c>
      <c r="G80" s="48" t="s">
        <v>656</v>
      </c>
      <c r="H80" s="49" t="s">
        <v>49</v>
      </c>
      <c r="I80" s="39" t="s">
        <v>39</v>
      </c>
      <c r="J80" s="39" t="s">
        <v>657</v>
      </c>
      <c r="K80" s="41" t="s">
        <v>658</v>
      </c>
      <c r="L80" s="39" t="s">
        <v>659</v>
      </c>
      <c r="M80" s="51" t="b">
        <v>1</v>
      </c>
      <c r="N80" s="100" t="s">
        <v>660</v>
      </c>
      <c r="O80" s="69"/>
      <c r="P80" s="46"/>
      <c r="Q80" s="47"/>
      <c r="R80" s="47"/>
      <c r="S80" s="46"/>
      <c r="T80" s="46"/>
      <c r="U80" s="13"/>
      <c r="V80" s="13"/>
      <c r="W80" s="13"/>
      <c r="X80" s="13"/>
      <c r="Y80" s="13"/>
      <c r="Z80" s="13"/>
      <c r="AA80" s="13"/>
      <c r="AB80" s="13"/>
      <c r="AC80" s="13"/>
    </row>
    <row r="81" ht="16.5" customHeight="1">
      <c r="A81" s="35">
        <v>78.0</v>
      </c>
      <c r="B81" s="36" t="s">
        <v>661</v>
      </c>
      <c r="C81" s="37" t="s">
        <v>662</v>
      </c>
      <c r="D81" s="38" t="s">
        <v>663</v>
      </c>
      <c r="E81" s="38" t="s">
        <v>664</v>
      </c>
      <c r="F81" s="38" t="s">
        <v>665</v>
      </c>
      <c r="G81" s="39" t="s">
        <v>666</v>
      </c>
      <c r="H81" s="49" t="s">
        <v>49</v>
      </c>
      <c r="I81" s="39" t="s">
        <v>39</v>
      </c>
      <c r="J81" s="39" t="s">
        <v>82</v>
      </c>
      <c r="K81" s="41" t="s">
        <v>667</v>
      </c>
      <c r="L81" s="39" t="s">
        <v>668</v>
      </c>
      <c r="M81" s="51" t="b">
        <v>1</v>
      </c>
      <c r="N81" s="87" t="s">
        <v>669</v>
      </c>
      <c r="O81" s="99"/>
      <c r="P81" s="97" t="s">
        <v>670</v>
      </c>
      <c r="Q81" s="47"/>
      <c r="R81" s="47"/>
      <c r="S81" s="46"/>
      <c r="T81" s="46"/>
      <c r="U81" s="13"/>
      <c r="V81" s="13"/>
      <c r="W81" s="13"/>
      <c r="X81" s="13"/>
      <c r="Y81" s="13"/>
      <c r="Z81" s="13"/>
      <c r="AA81" s="13"/>
      <c r="AB81" s="13"/>
      <c r="AC81" s="13"/>
    </row>
    <row r="82" ht="16.5" customHeight="1">
      <c r="A82" s="35">
        <v>79.0</v>
      </c>
      <c r="B82" s="36" t="s">
        <v>671</v>
      </c>
      <c r="C82" s="37" t="s">
        <v>672</v>
      </c>
      <c r="D82" s="38" t="s">
        <v>673</v>
      </c>
      <c r="E82" s="38"/>
      <c r="F82" s="38" t="s">
        <v>674</v>
      </c>
      <c r="G82" s="39" t="s">
        <v>675</v>
      </c>
      <c r="H82" s="49" t="s">
        <v>49</v>
      </c>
      <c r="I82" s="39" t="s">
        <v>39</v>
      </c>
      <c r="J82" s="39" t="s">
        <v>676</v>
      </c>
      <c r="K82" s="41" t="s">
        <v>641</v>
      </c>
      <c r="L82" s="39" t="s">
        <v>677</v>
      </c>
      <c r="M82" s="51" t="b">
        <v>1</v>
      </c>
      <c r="N82" s="57" t="s">
        <v>678</v>
      </c>
      <c r="O82" s="69"/>
      <c r="P82" s="46" t="s">
        <v>679</v>
      </c>
      <c r="Q82" s="47"/>
      <c r="R82" s="47"/>
      <c r="S82" s="46"/>
      <c r="T82" s="46"/>
      <c r="U82" s="13"/>
      <c r="V82" s="13"/>
      <c r="W82" s="13"/>
      <c r="X82" s="13"/>
      <c r="Y82" s="13"/>
      <c r="Z82" s="13"/>
      <c r="AA82" s="13"/>
      <c r="AB82" s="13"/>
      <c r="AC82" s="13"/>
    </row>
    <row r="83" ht="16.5" customHeight="1">
      <c r="A83" s="35">
        <v>80.0</v>
      </c>
      <c r="B83" s="36" t="s">
        <v>680</v>
      </c>
      <c r="C83" s="37" t="s">
        <v>681</v>
      </c>
      <c r="D83" s="38" t="s">
        <v>682</v>
      </c>
      <c r="E83" s="38" t="s">
        <v>683</v>
      </c>
      <c r="F83" s="38" t="s">
        <v>684</v>
      </c>
      <c r="G83" s="39" t="s">
        <v>685</v>
      </c>
      <c r="H83" s="49" t="s">
        <v>49</v>
      </c>
      <c r="I83" s="86" t="s">
        <v>39</v>
      </c>
      <c r="J83" s="39" t="s">
        <v>551</v>
      </c>
      <c r="K83" s="95" t="s">
        <v>575</v>
      </c>
      <c r="L83" s="94" t="s">
        <v>686</v>
      </c>
      <c r="M83" s="51" t="b">
        <v>1</v>
      </c>
      <c r="N83" s="57" t="s">
        <v>687</v>
      </c>
      <c r="O83" s="45" t="s">
        <v>688</v>
      </c>
      <c r="P83" s="46"/>
      <c r="Q83" s="47"/>
      <c r="R83" s="47"/>
      <c r="S83" s="46"/>
      <c r="T83" s="46"/>
      <c r="U83" s="13"/>
      <c r="V83" s="13"/>
      <c r="W83" s="13"/>
      <c r="X83" s="13"/>
      <c r="Y83" s="13"/>
      <c r="Z83" s="13"/>
      <c r="AA83" s="13"/>
      <c r="AB83" s="13"/>
      <c r="AC83" s="13"/>
    </row>
    <row r="84" ht="16.5" customHeight="1">
      <c r="A84" s="35">
        <v>81.0</v>
      </c>
      <c r="B84" s="36" t="s">
        <v>689</v>
      </c>
      <c r="C84" s="37" t="s">
        <v>690</v>
      </c>
      <c r="D84" s="38" t="s">
        <v>691</v>
      </c>
      <c r="E84" s="38"/>
      <c r="F84" s="38" t="s">
        <v>692</v>
      </c>
      <c r="G84" s="39" t="s">
        <v>693</v>
      </c>
      <c r="H84" s="49" t="s">
        <v>38</v>
      </c>
      <c r="I84" s="58" t="s">
        <v>39</v>
      </c>
      <c r="J84" s="59" t="s">
        <v>694</v>
      </c>
      <c r="K84" s="67" t="s">
        <v>695</v>
      </c>
      <c r="L84" s="59" t="s">
        <v>696</v>
      </c>
      <c r="M84" s="51" t="b">
        <v>1</v>
      </c>
      <c r="N84" s="68" t="s">
        <v>697</v>
      </c>
      <c r="O84" s="57" t="s">
        <v>698</v>
      </c>
      <c r="P84" s="46"/>
      <c r="Q84" s="47"/>
      <c r="R84" s="47"/>
      <c r="S84" s="46"/>
      <c r="T84" s="46"/>
      <c r="U84" s="13"/>
      <c r="V84" s="13"/>
      <c r="W84" s="13"/>
      <c r="X84" s="13"/>
      <c r="Y84" s="13"/>
      <c r="Z84" s="13"/>
      <c r="AA84" s="13"/>
      <c r="AB84" s="13"/>
      <c r="AC84" s="13"/>
    </row>
    <row r="85" ht="16.5" customHeight="1">
      <c r="A85" s="35">
        <v>82.0</v>
      </c>
      <c r="B85" s="36" t="s">
        <v>699</v>
      </c>
      <c r="C85" s="37" t="s">
        <v>700</v>
      </c>
      <c r="D85" s="38" t="s">
        <v>701</v>
      </c>
      <c r="E85" s="38" t="s">
        <v>702</v>
      </c>
      <c r="F85" s="38" t="s">
        <v>703</v>
      </c>
      <c r="G85" s="39" t="s">
        <v>704</v>
      </c>
      <c r="H85" s="49" t="s">
        <v>38</v>
      </c>
      <c r="I85" s="39" t="s">
        <v>39</v>
      </c>
      <c r="J85" s="66" t="s">
        <v>151</v>
      </c>
      <c r="K85" s="67" t="s">
        <v>122</v>
      </c>
      <c r="L85" s="59" t="s">
        <v>705</v>
      </c>
      <c r="M85" s="51" t="b">
        <v>1</v>
      </c>
      <c r="N85" s="68" t="s">
        <v>502</v>
      </c>
      <c r="O85" s="69"/>
      <c r="P85" s="46"/>
      <c r="Q85" s="47"/>
      <c r="R85" s="47"/>
      <c r="S85" s="46"/>
      <c r="T85" s="46"/>
      <c r="U85" s="13"/>
      <c r="V85" s="13"/>
      <c r="W85" s="13"/>
      <c r="X85" s="13"/>
      <c r="Y85" s="13"/>
      <c r="Z85" s="13"/>
      <c r="AA85" s="13"/>
      <c r="AB85" s="13"/>
      <c r="AC85" s="13"/>
    </row>
    <row r="86" ht="16.5" hidden="1" customHeight="1">
      <c r="A86" s="35">
        <v>83.0</v>
      </c>
      <c r="B86" s="36" t="s">
        <v>706</v>
      </c>
      <c r="C86" s="37" t="s">
        <v>707</v>
      </c>
      <c r="D86" s="38" t="s">
        <v>708</v>
      </c>
      <c r="E86" s="38"/>
      <c r="F86" s="38" t="s">
        <v>709</v>
      </c>
      <c r="G86" s="39" t="s">
        <v>231</v>
      </c>
      <c r="H86" s="49" t="s">
        <v>62</v>
      </c>
      <c r="I86" s="39" t="s">
        <v>63</v>
      </c>
      <c r="J86" s="55"/>
      <c r="K86" s="56"/>
      <c r="L86" s="55"/>
      <c r="M86" s="51" t="b">
        <v>0</v>
      </c>
      <c r="N86" s="46"/>
      <c r="O86" s="46"/>
      <c r="P86" s="46"/>
      <c r="Q86" s="47"/>
      <c r="R86" s="47"/>
      <c r="S86" s="46"/>
      <c r="T86" s="46"/>
      <c r="U86" s="13"/>
      <c r="V86" s="13"/>
      <c r="W86" s="13"/>
      <c r="X86" s="13"/>
      <c r="Y86" s="13"/>
      <c r="Z86" s="13"/>
      <c r="AA86" s="13"/>
      <c r="AB86" s="13"/>
      <c r="AC86" s="13"/>
    </row>
    <row r="87" ht="16.5" hidden="1" customHeight="1">
      <c r="A87" s="35">
        <v>84.0</v>
      </c>
      <c r="B87" s="36" t="s">
        <v>710</v>
      </c>
      <c r="C87" s="37" t="s">
        <v>711</v>
      </c>
      <c r="D87" s="38" t="s">
        <v>712</v>
      </c>
      <c r="E87" s="38"/>
      <c r="F87" s="38" t="s">
        <v>713</v>
      </c>
      <c r="G87" s="39" t="s">
        <v>231</v>
      </c>
      <c r="H87" s="49" t="s">
        <v>62</v>
      </c>
      <c r="I87" s="39" t="s">
        <v>63</v>
      </c>
      <c r="J87" s="55"/>
      <c r="K87" s="56"/>
      <c r="L87" s="55"/>
      <c r="M87" s="51" t="b">
        <v>0</v>
      </c>
      <c r="N87" s="46"/>
      <c r="O87" s="46"/>
      <c r="P87" s="46"/>
      <c r="Q87" s="47"/>
      <c r="R87" s="47"/>
      <c r="S87" s="46"/>
      <c r="T87" s="46"/>
      <c r="U87" s="13"/>
      <c r="V87" s="13"/>
      <c r="W87" s="13"/>
      <c r="X87" s="13"/>
      <c r="Y87" s="13"/>
      <c r="Z87" s="13"/>
      <c r="AA87" s="13"/>
      <c r="AB87" s="13"/>
      <c r="AC87" s="13"/>
    </row>
    <row r="88" ht="16.5" customHeight="1">
      <c r="A88" s="35">
        <v>85.0</v>
      </c>
      <c r="B88" s="36" t="s">
        <v>714</v>
      </c>
      <c r="C88" s="37" t="s">
        <v>715</v>
      </c>
      <c r="D88" s="38" t="s">
        <v>716</v>
      </c>
      <c r="E88" s="38" t="s">
        <v>717</v>
      </c>
      <c r="F88" s="38" t="s">
        <v>718</v>
      </c>
      <c r="G88" s="48" t="s">
        <v>719</v>
      </c>
      <c r="H88" s="49" t="s">
        <v>49</v>
      </c>
      <c r="I88" s="39" t="s">
        <v>39</v>
      </c>
      <c r="J88" s="39" t="s">
        <v>720</v>
      </c>
      <c r="K88" s="41" t="s">
        <v>721</v>
      </c>
      <c r="L88" s="39" t="s">
        <v>722</v>
      </c>
      <c r="M88" s="51" t="b">
        <v>1</v>
      </c>
      <c r="N88" s="68" t="s">
        <v>723</v>
      </c>
      <c r="O88" s="99"/>
      <c r="P88" s="97" t="s">
        <v>724</v>
      </c>
      <c r="Q88" s="47"/>
      <c r="R88" s="47"/>
      <c r="S88" s="46"/>
      <c r="T88" s="46"/>
      <c r="U88" s="13"/>
      <c r="V88" s="13"/>
      <c r="W88" s="13"/>
      <c r="X88" s="13"/>
      <c r="Y88" s="13"/>
      <c r="Z88" s="13"/>
      <c r="AA88" s="13"/>
      <c r="AB88" s="13"/>
      <c r="AC88" s="13"/>
    </row>
    <row r="89" ht="16.5" hidden="1" customHeight="1">
      <c r="A89" s="35">
        <v>86.0</v>
      </c>
      <c r="B89" s="36" t="s">
        <v>725</v>
      </c>
      <c r="C89" s="37" t="s">
        <v>726</v>
      </c>
      <c r="D89" s="38" t="s">
        <v>727</v>
      </c>
      <c r="E89" s="38"/>
      <c r="F89" s="38" t="s">
        <v>728</v>
      </c>
      <c r="G89" s="39" t="s">
        <v>231</v>
      </c>
      <c r="H89" s="49" t="s">
        <v>62</v>
      </c>
      <c r="I89" s="39" t="s">
        <v>63</v>
      </c>
      <c r="J89" s="55"/>
      <c r="K89" s="56"/>
      <c r="L89" s="55"/>
      <c r="M89" s="51" t="b">
        <v>0</v>
      </c>
      <c r="N89" s="46"/>
      <c r="O89" s="46"/>
      <c r="P89" s="46"/>
      <c r="Q89" s="47"/>
      <c r="R89" s="47"/>
      <c r="S89" s="46"/>
      <c r="T89" s="46"/>
      <c r="U89" s="13"/>
      <c r="V89" s="13"/>
      <c r="W89" s="13"/>
      <c r="X89" s="13"/>
      <c r="Y89" s="13"/>
      <c r="Z89" s="13"/>
      <c r="AA89" s="13"/>
      <c r="AB89" s="13"/>
      <c r="AC89" s="13"/>
    </row>
    <row r="90" ht="16.5" hidden="1" customHeight="1">
      <c r="A90" s="35">
        <v>87.0</v>
      </c>
      <c r="B90" s="36" t="s">
        <v>729</v>
      </c>
      <c r="C90" s="37" t="s">
        <v>730</v>
      </c>
      <c r="D90" s="38" t="s">
        <v>731</v>
      </c>
      <c r="E90" s="38"/>
      <c r="F90" s="38" t="s">
        <v>732</v>
      </c>
      <c r="G90" s="39" t="s">
        <v>231</v>
      </c>
      <c r="H90" s="49" t="s">
        <v>62</v>
      </c>
      <c r="I90" s="39" t="s">
        <v>63</v>
      </c>
      <c r="J90" s="55"/>
      <c r="K90" s="56"/>
      <c r="L90" s="55"/>
      <c r="M90" s="51" t="b">
        <v>0</v>
      </c>
      <c r="N90" s="46"/>
      <c r="O90" s="46"/>
      <c r="P90" s="46"/>
      <c r="Q90" s="47"/>
      <c r="R90" s="47"/>
      <c r="S90" s="46"/>
      <c r="T90" s="46"/>
      <c r="U90" s="13"/>
      <c r="V90" s="13"/>
      <c r="W90" s="13"/>
      <c r="X90" s="13"/>
      <c r="Y90" s="13"/>
      <c r="Z90" s="13"/>
      <c r="AA90" s="13"/>
      <c r="AB90" s="13"/>
      <c r="AC90" s="13"/>
    </row>
    <row r="91" ht="16.5" hidden="1" customHeight="1">
      <c r="A91" s="35">
        <v>88.0</v>
      </c>
      <c r="B91" s="36" t="s">
        <v>733</v>
      </c>
      <c r="C91" s="37" t="s">
        <v>734</v>
      </c>
      <c r="D91" s="38" t="s">
        <v>735</v>
      </c>
      <c r="E91" s="38"/>
      <c r="F91" s="38" t="s">
        <v>736</v>
      </c>
      <c r="G91" s="39" t="s">
        <v>231</v>
      </c>
      <c r="H91" s="49" t="s">
        <v>62</v>
      </c>
      <c r="I91" s="39" t="s">
        <v>63</v>
      </c>
      <c r="J91" s="55"/>
      <c r="K91" s="56"/>
      <c r="L91" s="55"/>
      <c r="M91" s="51" t="b">
        <v>0</v>
      </c>
      <c r="N91" s="46"/>
      <c r="O91" s="46"/>
      <c r="P91" s="46"/>
      <c r="Q91" s="47"/>
      <c r="R91" s="47"/>
      <c r="S91" s="46"/>
      <c r="T91" s="46"/>
      <c r="U91" s="13"/>
      <c r="V91" s="13"/>
      <c r="W91" s="13"/>
      <c r="X91" s="13"/>
      <c r="Y91" s="13"/>
      <c r="Z91" s="13"/>
      <c r="AA91" s="13"/>
      <c r="AB91" s="13"/>
      <c r="AC91" s="13"/>
    </row>
    <row r="92" ht="16.5" hidden="1" customHeight="1">
      <c r="A92" s="35">
        <v>89.0</v>
      </c>
      <c r="B92" s="36" t="s">
        <v>737</v>
      </c>
      <c r="C92" s="37" t="s">
        <v>738</v>
      </c>
      <c r="D92" s="38" t="s">
        <v>739</v>
      </c>
      <c r="E92" s="38"/>
      <c r="F92" s="38" t="s">
        <v>736</v>
      </c>
      <c r="G92" s="39" t="s">
        <v>231</v>
      </c>
      <c r="H92" s="49" t="s">
        <v>62</v>
      </c>
      <c r="I92" s="39" t="s">
        <v>63</v>
      </c>
      <c r="J92" s="55"/>
      <c r="K92" s="56"/>
      <c r="L92" s="55"/>
      <c r="M92" s="51" t="b">
        <v>0</v>
      </c>
      <c r="N92" s="46"/>
      <c r="O92" s="46"/>
      <c r="P92" s="46"/>
      <c r="Q92" s="47"/>
      <c r="R92" s="47"/>
      <c r="S92" s="46"/>
      <c r="T92" s="46"/>
      <c r="U92" s="13"/>
      <c r="V92" s="13"/>
      <c r="W92" s="13"/>
      <c r="X92" s="13"/>
      <c r="Y92" s="13"/>
      <c r="Z92" s="13"/>
      <c r="AA92" s="13"/>
      <c r="AB92" s="13"/>
      <c r="AC92" s="13"/>
    </row>
    <row r="93" ht="16.5" customHeight="1">
      <c r="A93" s="35">
        <v>90.0</v>
      </c>
      <c r="B93" s="36" t="s">
        <v>740</v>
      </c>
      <c r="C93" s="37" t="s">
        <v>741</v>
      </c>
      <c r="D93" s="38" t="s">
        <v>742</v>
      </c>
      <c r="E93" s="38"/>
      <c r="F93" s="38" t="s">
        <v>743</v>
      </c>
      <c r="G93" s="39" t="s">
        <v>744</v>
      </c>
      <c r="H93" s="49" t="s">
        <v>49</v>
      </c>
      <c r="I93" s="39" t="s">
        <v>39</v>
      </c>
      <c r="J93" s="39" t="s">
        <v>720</v>
      </c>
      <c r="K93" s="41" t="s">
        <v>745</v>
      </c>
      <c r="L93" s="39" t="s">
        <v>746</v>
      </c>
      <c r="M93" s="51" t="b">
        <v>1</v>
      </c>
      <c r="N93" s="57" t="s">
        <v>747</v>
      </c>
      <c r="O93" s="45" t="s">
        <v>740</v>
      </c>
      <c r="P93" s="46"/>
      <c r="Q93" s="47"/>
      <c r="R93" s="47"/>
      <c r="S93" s="46"/>
      <c r="T93" s="46"/>
      <c r="U93" s="13"/>
      <c r="V93" s="13"/>
      <c r="W93" s="13"/>
      <c r="X93" s="13"/>
      <c r="Y93" s="13"/>
      <c r="Z93" s="13"/>
      <c r="AA93" s="13"/>
      <c r="AB93" s="13"/>
      <c r="AC93" s="13"/>
    </row>
    <row r="94" ht="16.5" hidden="1" customHeight="1">
      <c r="A94" s="35">
        <v>91.0</v>
      </c>
      <c r="B94" s="101" t="s">
        <v>748</v>
      </c>
      <c r="C94" s="37" t="s">
        <v>749</v>
      </c>
      <c r="D94" s="38" t="s">
        <v>750</v>
      </c>
      <c r="E94" s="38"/>
      <c r="F94" s="38" t="s">
        <v>751</v>
      </c>
      <c r="G94" s="48" t="s">
        <v>752</v>
      </c>
      <c r="H94" s="49" t="s">
        <v>753</v>
      </c>
      <c r="I94" s="58" t="s">
        <v>753</v>
      </c>
      <c r="J94" s="55"/>
      <c r="K94" s="56"/>
      <c r="L94" s="55"/>
      <c r="M94" s="51" t="b">
        <v>0</v>
      </c>
      <c r="N94" s="46"/>
      <c r="O94" s="46"/>
      <c r="P94" s="46"/>
      <c r="Q94" s="47"/>
      <c r="R94" s="47"/>
      <c r="S94" s="46"/>
      <c r="T94" s="46"/>
      <c r="U94" s="13"/>
      <c r="V94" s="13"/>
      <c r="W94" s="13"/>
      <c r="X94" s="13"/>
      <c r="Y94" s="13"/>
      <c r="Z94" s="13"/>
      <c r="AA94" s="13"/>
      <c r="AB94" s="13"/>
      <c r="AC94" s="13"/>
    </row>
    <row r="95" ht="16.5" hidden="1" customHeight="1">
      <c r="A95" s="35">
        <v>92.0</v>
      </c>
      <c r="B95" s="101" t="s">
        <v>754</v>
      </c>
      <c r="C95" s="37" t="s">
        <v>755</v>
      </c>
      <c r="D95" s="38" t="s">
        <v>756</v>
      </c>
      <c r="E95" s="38"/>
      <c r="F95" s="38" t="s">
        <v>757</v>
      </c>
      <c r="G95" s="39" t="s">
        <v>231</v>
      </c>
      <c r="H95" s="49" t="s">
        <v>62</v>
      </c>
      <c r="I95" s="39" t="s">
        <v>63</v>
      </c>
      <c r="J95" s="55"/>
      <c r="K95" s="56"/>
      <c r="L95" s="55"/>
      <c r="M95" s="51" t="b">
        <v>0</v>
      </c>
      <c r="N95" s="46"/>
      <c r="O95" s="46"/>
      <c r="P95" s="46"/>
      <c r="Q95" s="47"/>
      <c r="R95" s="47"/>
      <c r="S95" s="46"/>
      <c r="T95" s="46"/>
      <c r="U95" s="13"/>
      <c r="V95" s="13"/>
      <c r="W95" s="13"/>
      <c r="X95" s="13"/>
      <c r="Y95" s="13"/>
      <c r="Z95" s="13"/>
      <c r="AA95" s="13"/>
      <c r="AB95" s="13"/>
      <c r="AC95" s="13"/>
    </row>
    <row r="96" ht="16.5" hidden="1" customHeight="1">
      <c r="A96" s="35">
        <v>93.0</v>
      </c>
      <c r="B96" s="101" t="s">
        <v>758</v>
      </c>
      <c r="C96" s="37" t="s">
        <v>759</v>
      </c>
      <c r="D96" s="38" t="s">
        <v>760</v>
      </c>
      <c r="E96" s="38" t="s">
        <v>761</v>
      </c>
      <c r="F96" s="38" t="s">
        <v>762</v>
      </c>
      <c r="G96" s="39" t="s">
        <v>231</v>
      </c>
      <c r="H96" s="49" t="s">
        <v>62</v>
      </c>
      <c r="I96" s="39" t="s">
        <v>63</v>
      </c>
      <c r="J96" s="55"/>
      <c r="K96" s="56"/>
      <c r="L96" s="55"/>
      <c r="M96" s="51" t="b">
        <v>0</v>
      </c>
      <c r="N96" s="46"/>
      <c r="O96" s="46"/>
      <c r="P96" s="46"/>
      <c r="Q96" s="47"/>
      <c r="R96" s="47"/>
      <c r="S96" s="46"/>
      <c r="T96" s="46"/>
      <c r="U96" s="13"/>
      <c r="V96" s="13"/>
      <c r="W96" s="13"/>
      <c r="X96" s="13"/>
      <c r="Y96" s="13"/>
      <c r="Z96" s="13"/>
      <c r="AA96" s="13"/>
      <c r="AB96" s="13"/>
      <c r="AC96" s="13"/>
    </row>
    <row r="97" ht="16.5" hidden="1" customHeight="1">
      <c r="A97" s="35">
        <v>94.0</v>
      </c>
      <c r="B97" s="101" t="s">
        <v>763</v>
      </c>
      <c r="C97" s="37" t="s">
        <v>764</v>
      </c>
      <c r="D97" s="38" t="s">
        <v>765</v>
      </c>
      <c r="E97" s="38"/>
      <c r="F97" s="38" t="s">
        <v>766</v>
      </c>
      <c r="G97" s="39" t="s">
        <v>231</v>
      </c>
      <c r="H97" s="49" t="s">
        <v>62</v>
      </c>
      <c r="I97" s="39" t="s">
        <v>63</v>
      </c>
      <c r="J97" s="55"/>
      <c r="K97" s="56"/>
      <c r="L97" s="55"/>
      <c r="M97" s="51" t="b">
        <v>0</v>
      </c>
      <c r="N97" s="46"/>
      <c r="O97" s="46"/>
      <c r="P97" s="46"/>
      <c r="Q97" s="47"/>
      <c r="R97" s="47"/>
      <c r="S97" s="46"/>
      <c r="T97" s="46"/>
      <c r="U97" s="13"/>
      <c r="V97" s="13"/>
      <c r="W97" s="13"/>
      <c r="X97" s="13"/>
      <c r="Y97" s="13"/>
      <c r="Z97" s="13"/>
      <c r="AA97" s="13"/>
      <c r="AB97" s="13"/>
      <c r="AC97" s="13"/>
    </row>
    <row r="98" ht="16.5" customHeight="1">
      <c r="A98" s="35">
        <v>95.0</v>
      </c>
      <c r="B98" s="36" t="s">
        <v>767</v>
      </c>
      <c r="C98" s="37" t="s">
        <v>768</v>
      </c>
      <c r="D98" s="38" t="s">
        <v>769</v>
      </c>
      <c r="E98" s="38" t="s">
        <v>770</v>
      </c>
      <c r="F98" s="38" t="s">
        <v>771</v>
      </c>
      <c r="G98" s="48" t="s">
        <v>772</v>
      </c>
      <c r="H98" s="49" t="s">
        <v>49</v>
      </c>
      <c r="I98" s="39" t="s">
        <v>39</v>
      </c>
      <c r="J98" s="39" t="s">
        <v>773</v>
      </c>
      <c r="K98" s="41" t="s">
        <v>774</v>
      </c>
      <c r="L98" s="39" t="s">
        <v>775</v>
      </c>
      <c r="M98" s="51" t="b">
        <v>1</v>
      </c>
      <c r="N98" s="68" t="s">
        <v>776</v>
      </c>
      <c r="O98" s="99"/>
      <c r="P98" s="97" t="s">
        <v>777</v>
      </c>
      <c r="Q98" s="47"/>
      <c r="R98" s="47"/>
      <c r="S98" s="46"/>
      <c r="T98" s="46"/>
      <c r="U98" s="13"/>
      <c r="V98" s="13"/>
      <c r="W98" s="13"/>
      <c r="X98" s="13"/>
      <c r="Y98" s="13"/>
      <c r="Z98" s="13"/>
      <c r="AA98" s="13"/>
      <c r="AB98" s="13"/>
      <c r="AC98" s="13"/>
    </row>
    <row r="99" ht="16.5" hidden="1" customHeight="1">
      <c r="A99" s="35">
        <v>96.0</v>
      </c>
      <c r="B99" s="101" t="s">
        <v>778</v>
      </c>
      <c r="C99" s="37" t="s">
        <v>779</v>
      </c>
      <c r="D99" s="38" t="s">
        <v>780</v>
      </c>
      <c r="E99" s="38"/>
      <c r="F99" s="38" t="s">
        <v>781</v>
      </c>
      <c r="G99" s="39" t="s">
        <v>231</v>
      </c>
      <c r="H99" s="49" t="s">
        <v>62</v>
      </c>
      <c r="I99" s="39" t="s">
        <v>63</v>
      </c>
      <c r="J99" s="55"/>
      <c r="K99" s="56"/>
      <c r="L99" s="55"/>
      <c r="M99" s="51" t="b">
        <v>0</v>
      </c>
      <c r="N99" s="46"/>
      <c r="O99" s="46"/>
      <c r="P99" s="46"/>
      <c r="Q99" s="47"/>
      <c r="R99" s="47"/>
      <c r="S99" s="46"/>
      <c r="T99" s="46"/>
      <c r="U99" s="13"/>
      <c r="V99" s="13"/>
      <c r="W99" s="13"/>
      <c r="X99" s="13"/>
      <c r="Y99" s="13"/>
      <c r="Z99" s="13"/>
      <c r="AA99" s="13"/>
      <c r="AB99" s="13"/>
      <c r="AC99" s="13"/>
    </row>
    <row r="100" ht="16.5" customHeight="1">
      <c r="A100" s="35">
        <v>97.0</v>
      </c>
      <c r="B100" s="36" t="s">
        <v>782</v>
      </c>
      <c r="C100" s="37" t="s">
        <v>783</v>
      </c>
      <c r="D100" s="38" t="s">
        <v>784</v>
      </c>
      <c r="E100" s="38"/>
      <c r="F100" s="38" t="s">
        <v>785</v>
      </c>
      <c r="G100" s="39" t="s">
        <v>786</v>
      </c>
      <c r="H100" s="49" t="s">
        <v>49</v>
      </c>
      <c r="I100" s="39" t="s">
        <v>39</v>
      </c>
      <c r="J100" s="39" t="s">
        <v>787</v>
      </c>
      <c r="K100" s="67" t="s">
        <v>238</v>
      </c>
      <c r="L100" s="39" t="s">
        <v>788</v>
      </c>
      <c r="M100" s="51" t="b">
        <v>1</v>
      </c>
      <c r="N100" s="87" t="s">
        <v>292</v>
      </c>
      <c r="O100" s="69"/>
      <c r="P100" s="46"/>
      <c r="Q100" s="47"/>
      <c r="R100" s="47"/>
      <c r="S100" s="46"/>
      <c r="T100" s="46"/>
      <c r="U100" s="13"/>
      <c r="V100" s="13"/>
      <c r="W100" s="13"/>
      <c r="X100" s="13"/>
      <c r="Y100" s="13"/>
      <c r="Z100" s="13"/>
      <c r="AA100" s="13"/>
      <c r="AB100" s="13"/>
      <c r="AC100" s="13"/>
    </row>
    <row r="101" ht="16.5" hidden="1" customHeight="1">
      <c r="A101" s="35">
        <v>98.0</v>
      </c>
      <c r="B101" s="36" t="s">
        <v>789</v>
      </c>
      <c r="C101" s="37" t="s">
        <v>790</v>
      </c>
      <c r="D101" s="38" t="s">
        <v>791</v>
      </c>
      <c r="E101" s="38" t="s">
        <v>792</v>
      </c>
      <c r="F101" s="38" t="s">
        <v>793</v>
      </c>
      <c r="G101" s="48" t="s">
        <v>794</v>
      </c>
      <c r="H101" s="49" t="s">
        <v>62</v>
      </c>
      <c r="I101" s="58" t="s">
        <v>63</v>
      </c>
      <c r="J101" s="55"/>
      <c r="K101" s="56"/>
      <c r="L101" s="55"/>
      <c r="M101" s="51" t="b">
        <v>0</v>
      </c>
      <c r="N101" s="46"/>
      <c r="O101" s="46"/>
      <c r="P101" s="46"/>
      <c r="Q101" s="47"/>
      <c r="R101" s="47"/>
      <c r="S101" s="46"/>
      <c r="T101" s="46"/>
      <c r="U101" s="13"/>
      <c r="V101" s="13"/>
      <c r="W101" s="13"/>
      <c r="X101" s="13"/>
      <c r="Y101" s="13"/>
      <c r="Z101" s="13"/>
      <c r="AA101" s="13"/>
      <c r="AB101" s="13"/>
      <c r="AC101" s="13"/>
    </row>
    <row r="102" ht="16.5" customHeight="1">
      <c r="A102" s="35">
        <v>99.0</v>
      </c>
      <c r="B102" s="36" t="s">
        <v>795</v>
      </c>
      <c r="C102" s="37" t="s">
        <v>796</v>
      </c>
      <c r="D102" s="38" t="s">
        <v>797</v>
      </c>
      <c r="E102" s="38"/>
      <c r="F102" s="38" t="s">
        <v>798</v>
      </c>
      <c r="G102" s="39" t="s">
        <v>799</v>
      </c>
      <c r="H102" s="49" t="s">
        <v>49</v>
      </c>
      <c r="I102" s="39" t="s">
        <v>39</v>
      </c>
      <c r="J102" s="39" t="s">
        <v>787</v>
      </c>
      <c r="K102" s="67" t="s">
        <v>800</v>
      </c>
      <c r="L102" s="59" t="s">
        <v>801</v>
      </c>
      <c r="M102" s="51" t="b">
        <v>1</v>
      </c>
      <c r="N102" s="57" t="s">
        <v>802</v>
      </c>
      <c r="O102" s="69"/>
      <c r="P102" s="46"/>
      <c r="Q102" s="47"/>
      <c r="R102" s="47"/>
      <c r="S102" s="46"/>
      <c r="T102" s="46"/>
      <c r="U102" s="13"/>
      <c r="V102" s="13"/>
      <c r="W102" s="13"/>
      <c r="X102" s="13"/>
      <c r="Y102" s="13"/>
      <c r="Z102" s="13"/>
      <c r="AA102" s="13"/>
      <c r="AB102" s="13"/>
      <c r="AC102" s="13"/>
    </row>
    <row r="103" ht="16.5" customHeight="1">
      <c r="A103" s="35">
        <v>100.0</v>
      </c>
      <c r="B103" s="36" t="s">
        <v>803</v>
      </c>
      <c r="C103" s="37" t="s">
        <v>804</v>
      </c>
      <c r="D103" s="38" t="s">
        <v>805</v>
      </c>
      <c r="E103" s="38" t="s">
        <v>806</v>
      </c>
      <c r="F103" s="38" t="s">
        <v>461</v>
      </c>
      <c r="G103" s="48" t="s">
        <v>807</v>
      </c>
      <c r="H103" s="49" t="s">
        <v>49</v>
      </c>
      <c r="I103" s="39" t="s">
        <v>39</v>
      </c>
      <c r="J103" s="91" t="s">
        <v>462</v>
      </c>
      <c r="K103" s="92" t="s">
        <v>463</v>
      </c>
      <c r="L103" s="93" t="s">
        <v>464</v>
      </c>
      <c r="M103" s="51" t="b">
        <v>1</v>
      </c>
      <c r="N103" s="57" t="s">
        <v>465</v>
      </c>
      <c r="O103" s="69"/>
      <c r="P103" s="46"/>
      <c r="Q103" s="47"/>
      <c r="R103" s="47"/>
      <c r="S103" s="46"/>
      <c r="T103" s="46"/>
      <c r="U103" s="13"/>
      <c r="V103" s="13"/>
      <c r="W103" s="13"/>
      <c r="X103" s="13"/>
      <c r="Y103" s="13"/>
      <c r="Z103" s="13"/>
      <c r="AA103" s="13"/>
      <c r="AB103" s="13"/>
      <c r="AC103" s="13"/>
    </row>
    <row r="104" ht="16.5" customHeight="1">
      <c r="A104" s="35">
        <v>101.0</v>
      </c>
      <c r="B104" s="36" t="s">
        <v>808</v>
      </c>
      <c r="C104" s="37" t="s">
        <v>809</v>
      </c>
      <c r="D104" s="38" t="s">
        <v>810</v>
      </c>
      <c r="E104" s="38"/>
      <c r="F104" s="38" t="s">
        <v>811</v>
      </c>
      <c r="G104" s="58" t="s">
        <v>812</v>
      </c>
      <c r="H104" s="49" t="s">
        <v>49</v>
      </c>
      <c r="I104" s="39" t="s">
        <v>39</v>
      </c>
      <c r="J104" s="39" t="s">
        <v>82</v>
      </c>
      <c r="K104" s="41" t="s">
        <v>813</v>
      </c>
      <c r="L104" s="39" t="s">
        <v>814</v>
      </c>
      <c r="M104" s="51" t="b">
        <v>1</v>
      </c>
      <c r="N104" s="68" t="s">
        <v>815</v>
      </c>
      <c r="O104" s="97"/>
      <c r="P104" s="97" t="s">
        <v>816</v>
      </c>
      <c r="Q104" s="47"/>
      <c r="R104" s="47"/>
      <c r="S104" s="46"/>
      <c r="T104" s="46"/>
      <c r="U104" s="13"/>
      <c r="V104" s="13"/>
      <c r="W104" s="13"/>
      <c r="X104" s="13"/>
      <c r="Y104" s="13"/>
      <c r="Z104" s="13"/>
      <c r="AA104" s="13"/>
      <c r="AB104" s="13"/>
      <c r="AC104" s="13"/>
    </row>
    <row r="105" ht="16.5" customHeight="1">
      <c r="A105" s="35">
        <v>102.0</v>
      </c>
      <c r="B105" s="36" t="s">
        <v>817</v>
      </c>
      <c r="C105" s="37" t="s">
        <v>818</v>
      </c>
      <c r="D105" s="38" t="s">
        <v>819</v>
      </c>
      <c r="E105" s="38" t="s">
        <v>820</v>
      </c>
      <c r="F105" s="38" t="s">
        <v>821</v>
      </c>
      <c r="G105" s="58" t="s">
        <v>822</v>
      </c>
      <c r="H105" s="49" t="s">
        <v>38</v>
      </c>
      <c r="I105" s="58" t="s">
        <v>39</v>
      </c>
      <c r="J105" s="39" t="s">
        <v>161</v>
      </c>
      <c r="K105" s="41" t="s">
        <v>162</v>
      </c>
      <c r="L105" s="39" t="s">
        <v>163</v>
      </c>
      <c r="M105" s="51" t="b">
        <v>1</v>
      </c>
      <c r="N105" s="68" t="s">
        <v>164</v>
      </c>
      <c r="O105" s="97"/>
      <c r="P105" s="97" t="s">
        <v>823</v>
      </c>
      <c r="Q105" s="47"/>
      <c r="R105" s="47"/>
      <c r="S105" s="46"/>
      <c r="T105" s="46"/>
      <c r="U105" s="13"/>
      <c r="V105" s="13"/>
      <c r="W105" s="13"/>
      <c r="X105" s="13"/>
      <c r="Y105" s="13"/>
      <c r="Z105" s="13"/>
      <c r="AA105" s="13"/>
      <c r="AB105" s="13"/>
      <c r="AC105" s="13"/>
    </row>
    <row r="106" ht="16.5" customHeight="1">
      <c r="A106" s="35">
        <v>103.0</v>
      </c>
      <c r="B106" s="36" t="s">
        <v>824</v>
      </c>
      <c r="C106" s="37" t="s">
        <v>825</v>
      </c>
      <c r="D106" s="38" t="s">
        <v>826</v>
      </c>
      <c r="E106" s="38"/>
      <c r="F106" s="38" t="s">
        <v>827</v>
      </c>
      <c r="G106" s="39" t="s">
        <v>828</v>
      </c>
      <c r="H106" s="49" t="s">
        <v>49</v>
      </c>
      <c r="I106" s="39" t="s">
        <v>39</v>
      </c>
      <c r="J106" s="39" t="s">
        <v>829</v>
      </c>
      <c r="K106" s="41" t="s">
        <v>173</v>
      </c>
      <c r="L106" s="39" t="s">
        <v>830</v>
      </c>
      <c r="M106" s="51" t="b">
        <v>1</v>
      </c>
      <c r="N106" s="87" t="s">
        <v>831</v>
      </c>
      <c r="O106" s="46"/>
      <c r="P106" s="46" t="s">
        <v>832</v>
      </c>
      <c r="Q106" s="47"/>
      <c r="R106" s="47"/>
      <c r="S106" s="46"/>
      <c r="T106" s="46"/>
      <c r="U106" s="13"/>
      <c r="V106" s="13"/>
      <c r="W106" s="13"/>
      <c r="X106" s="13"/>
      <c r="Y106" s="13"/>
      <c r="Z106" s="13"/>
      <c r="AA106" s="13"/>
      <c r="AB106" s="13"/>
      <c r="AC106" s="13"/>
    </row>
    <row r="107" ht="16.5" hidden="1" customHeight="1">
      <c r="A107" s="35">
        <v>104.0</v>
      </c>
      <c r="B107" s="36" t="s">
        <v>833</v>
      </c>
      <c r="C107" s="37" t="s">
        <v>834</v>
      </c>
      <c r="D107" s="38" t="s">
        <v>835</v>
      </c>
      <c r="E107" s="38" t="s">
        <v>836</v>
      </c>
      <c r="F107" s="38" t="s">
        <v>837</v>
      </c>
      <c r="G107" s="39" t="s">
        <v>231</v>
      </c>
      <c r="H107" s="49" t="s">
        <v>62</v>
      </c>
      <c r="I107" s="39" t="s">
        <v>63</v>
      </c>
      <c r="J107" s="55"/>
      <c r="K107" s="56"/>
      <c r="L107" s="55"/>
      <c r="M107" s="51" t="b">
        <v>0</v>
      </c>
      <c r="N107" s="46"/>
      <c r="O107" s="46"/>
      <c r="P107" s="46"/>
      <c r="Q107" s="47"/>
      <c r="R107" s="47"/>
      <c r="S107" s="46"/>
      <c r="T107" s="46"/>
      <c r="U107" s="13"/>
      <c r="V107" s="13"/>
      <c r="W107" s="13"/>
      <c r="X107" s="13"/>
      <c r="Y107" s="13"/>
      <c r="Z107" s="13"/>
      <c r="AA107" s="13"/>
      <c r="AB107" s="13"/>
      <c r="AC107" s="13"/>
    </row>
    <row r="108" ht="16.5" customHeight="1">
      <c r="A108" s="35">
        <v>105.0</v>
      </c>
      <c r="B108" s="36" t="s">
        <v>838</v>
      </c>
      <c r="C108" s="37" t="s">
        <v>839</v>
      </c>
      <c r="D108" s="38" t="s">
        <v>840</v>
      </c>
      <c r="E108" s="38" t="s">
        <v>841</v>
      </c>
      <c r="F108" s="38" t="s">
        <v>842</v>
      </c>
      <c r="G108" s="48" t="s">
        <v>843</v>
      </c>
      <c r="H108" s="49" t="s">
        <v>49</v>
      </c>
      <c r="I108" s="39" t="s">
        <v>39</v>
      </c>
      <c r="J108" s="39" t="s">
        <v>844</v>
      </c>
      <c r="K108" s="41" t="s">
        <v>214</v>
      </c>
      <c r="L108" s="39" t="s">
        <v>845</v>
      </c>
      <c r="M108" s="51" t="b">
        <v>1</v>
      </c>
      <c r="N108" s="57" t="s">
        <v>846</v>
      </c>
      <c r="O108" s="46"/>
      <c r="P108" s="46" t="s">
        <v>847</v>
      </c>
      <c r="Q108" s="47" t="s">
        <v>848</v>
      </c>
      <c r="R108" s="47" t="s">
        <v>849</v>
      </c>
      <c r="S108" s="46"/>
      <c r="T108" s="46"/>
      <c r="U108" s="13"/>
      <c r="V108" s="13"/>
      <c r="W108" s="13"/>
      <c r="X108" s="13"/>
      <c r="Y108" s="13"/>
      <c r="Z108" s="13"/>
      <c r="AA108" s="13"/>
      <c r="AB108" s="13"/>
      <c r="AC108" s="13"/>
    </row>
    <row r="109" ht="16.5" customHeight="1">
      <c r="A109" s="35">
        <v>106.0</v>
      </c>
      <c r="B109" s="36" t="s">
        <v>850</v>
      </c>
      <c r="C109" s="37" t="s">
        <v>851</v>
      </c>
      <c r="D109" s="38" t="s">
        <v>852</v>
      </c>
      <c r="E109" s="38" t="s">
        <v>853</v>
      </c>
      <c r="F109" s="38" t="s">
        <v>854</v>
      </c>
      <c r="G109" s="39" t="s">
        <v>855</v>
      </c>
      <c r="H109" s="49" t="s">
        <v>49</v>
      </c>
      <c r="I109" s="39" t="s">
        <v>39</v>
      </c>
      <c r="J109" s="39" t="s">
        <v>856</v>
      </c>
      <c r="K109" s="41" t="s">
        <v>857</v>
      </c>
      <c r="L109" s="39" t="s">
        <v>858</v>
      </c>
      <c r="M109" s="51" t="b">
        <v>1</v>
      </c>
      <c r="N109" s="57" t="s">
        <v>859</v>
      </c>
      <c r="O109" s="69"/>
      <c r="P109" s="46"/>
      <c r="Q109" s="47"/>
      <c r="R109" s="47"/>
      <c r="S109" s="46"/>
      <c r="T109" s="46"/>
      <c r="U109" s="13"/>
      <c r="V109" s="13"/>
      <c r="W109" s="13"/>
      <c r="X109" s="13"/>
      <c r="Y109" s="13"/>
      <c r="Z109" s="13"/>
      <c r="AA109" s="13"/>
      <c r="AB109" s="13"/>
      <c r="AC109" s="13"/>
    </row>
    <row r="110" ht="16.5" hidden="1" customHeight="1">
      <c r="A110" s="35">
        <v>107.0</v>
      </c>
      <c r="B110" s="36" t="s">
        <v>860</v>
      </c>
      <c r="C110" s="37" t="s">
        <v>861</v>
      </c>
      <c r="D110" s="38" t="s">
        <v>862</v>
      </c>
      <c r="E110" s="38" t="s">
        <v>863</v>
      </c>
      <c r="F110" s="38" t="s">
        <v>864</v>
      </c>
      <c r="G110" s="39" t="s">
        <v>231</v>
      </c>
      <c r="H110" s="49" t="s">
        <v>62</v>
      </c>
      <c r="I110" s="39" t="s">
        <v>63</v>
      </c>
      <c r="J110" s="55"/>
      <c r="K110" s="56"/>
      <c r="L110" s="55"/>
      <c r="M110" s="51" t="b">
        <v>0</v>
      </c>
      <c r="N110" s="46"/>
      <c r="O110" s="46"/>
      <c r="P110" s="46"/>
      <c r="Q110" s="47"/>
      <c r="R110" s="47"/>
      <c r="S110" s="46"/>
      <c r="T110" s="46"/>
      <c r="U110" s="13"/>
      <c r="V110" s="13"/>
      <c r="W110" s="13"/>
      <c r="X110" s="13"/>
      <c r="Y110" s="13"/>
      <c r="Z110" s="13"/>
      <c r="AA110" s="13"/>
      <c r="AB110" s="13"/>
      <c r="AC110" s="13"/>
    </row>
    <row r="111" ht="16.5" customHeight="1">
      <c r="A111" s="35">
        <v>108.0</v>
      </c>
      <c r="B111" s="36" t="s">
        <v>865</v>
      </c>
      <c r="C111" s="37" t="s">
        <v>866</v>
      </c>
      <c r="D111" s="38" t="s">
        <v>867</v>
      </c>
      <c r="E111" s="38" t="s">
        <v>863</v>
      </c>
      <c r="F111" s="38" t="s">
        <v>868</v>
      </c>
      <c r="G111" s="39" t="s">
        <v>171</v>
      </c>
      <c r="H111" s="49" t="s">
        <v>49</v>
      </c>
      <c r="I111" s="39" t="s">
        <v>39</v>
      </c>
      <c r="J111" s="39" t="s">
        <v>172</v>
      </c>
      <c r="K111" s="41" t="s">
        <v>173</v>
      </c>
      <c r="L111" s="39" t="s">
        <v>174</v>
      </c>
      <c r="M111" s="51" t="b">
        <v>1</v>
      </c>
      <c r="N111" s="57" t="s">
        <v>175</v>
      </c>
      <c r="O111" s="45" t="s">
        <v>176</v>
      </c>
      <c r="P111" s="46"/>
      <c r="Q111" s="47"/>
      <c r="R111" s="47"/>
      <c r="S111" s="46"/>
      <c r="T111" s="46"/>
      <c r="U111" s="13"/>
      <c r="V111" s="13"/>
      <c r="W111" s="13"/>
      <c r="X111" s="13"/>
      <c r="Y111" s="13"/>
      <c r="Z111" s="13"/>
      <c r="AA111" s="13"/>
      <c r="AB111" s="13"/>
      <c r="AC111" s="13"/>
    </row>
    <row r="112" ht="16.5" customHeight="1">
      <c r="A112" s="35">
        <v>109.0</v>
      </c>
      <c r="B112" s="36" t="s">
        <v>869</v>
      </c>
      <c r="C112" s="37" t="s">
        <v>870</v>
      </c>
      <c r="D112" s="38" t="s">
        <v>871</v>
      </c>
      <c r="E112" s="38"/>
      <c r="F112" s="38" t="s">
        <v>872</v>
      </c>
      <c r="G112" s="48" t="s">
        <v>873</v>
      </c>
      <c r="H112" s="49" t="s">
        <v>38</v>
      </c>
      <c r="I112" s="58" t="s">
        <v>39</v>
      </c>
      <c r="J112" s="102" t="s">
        <v>874</v>
      </c>
      <c r="K112" s="67" t="s">
        <v>173</v>
      </c>
      <c r="L112" s="59" t="s">
        <v>875</v>
      </c>
      <c r="M112" s="51" t="b">
        <v>1</v>
      </c>
      <c r="N112" s="57" t="s">
        <v>876</v>
      </c>
      <c r="O112" s="57" t="s">
        <v>877</v>
      </c>
      <c r="P112" s="46"/>
      <c r="Q112" s="47"/>
      <c r="R112" s="47"/>
      <c r="S112" s="46"/>
      <c r="T112" s="46"/>
      <c r="U112" s="13"/>
      <c r="V112" s="13"/>
      <c r="W112" s="13"/>
      <c r="X112" s="13"/>
      <c r="Y112" s="13"/>
      <c r="Z112" s="13"/>
      <c r="AA112" s="13"/>
      <c r="AB112" s="13"/>
      <c r="AC112" s="13"/>
    </row>
    <row r="113" ht="108.0" hidden="1" customHeight="1">
      <c r="A113" s="35">
        <v>110.0</v>
      </c>
      <c r="B113" s="36" t="s">
        <v>878</v>
      </c>
      <c r="C113" s="37" t="s">
        <v>879</v>
      </c>
      <c r="D113" s="38" t="s">
        <v>880</v>
      </c>
      <c r="E113" s="38" t="s">
        <v>881</v>
      </c>
      <c r="F113" s="38" t="s">
        <v>882</v>
      </c>
      <c r="G113" s="39" t="s">
        <v>231</v>
      </c>
      <c r="H113" s="49" t="s">
        <v>62</v>
      </c>
      <c r="I113" s="39" t="s">
        <v>63</v>
      </c>
      <c r="J113" s="55"/>
      <c r="K113" s="56"/>
      <c r="L113" s="55"/>
      <c r="M113" s="51" t="b">
        <v>0</v>
      </c>
      <c r="N113" s="46"/>
      <c r="O113" s="46"/>
      <c r="P113" s="46"/>
      <c r="Q113" s="47"/>
      <c r="R113" s="47"/>
      <c r="S113" s="46"/>
      <c r="T113" s="46"/>
      <c r="U113" s="13"/>
      <c r="V113" s="13"/>
      <c r="W113" s="13"/>
      <c r="X113" s="13"/>
      <c r="Y113" s="13"/>
      <c r="Z113" s="13"/>
      <c r="AA113" s="13"/>
      <c r="AB113" s="13"/>
      <c r="AC113" s="13"/>
    </row>
    <row r="114" ht="16.5" hidden="1" customHeight="1">
      <c r="A114" s="35">
        <v>111.0</v>
      </c>
      <c r="B114" s="36" t="s">
        <v>883</v>
      </c>
      <c r="C114" s="37" t="s">
        <v>884</v>
      </c>
      <c r="D114" s="38" t="s">
        <v>885</v>
      </c>
      <c r="E114" s="38"/>
      <c r="F114" s="38" t="s">
        <v>886</v>
      </c>
      <c r="G114" s="39" t="s">
        <v>231</v>
      </c>
      <c r="H114" s="49" t="s">
        <v>62</v>
      </c>
      <c r="I114" s="39" t="s">
        <v>63</v>
      </c>
      <c r="J114" s="55"/>
      <c r="K114" s="56"/>
      <c r="L114" s="55"/>
      <c r="M114" s="51" t="b">
        <v>0</v>
      </c>
      <c r="N114" s="46"/>
      <c r="O114" s="46"/>
      <c r="P114" s="46"/>
      <c r="Q114" s="47"/>
      <c r="R114" s="47"/>
      <c r="S114" s="46"/>
      <c r="T114" s="46"/>
      <c r="U114" s="13"/>
      <c r="V114" s="13"/>
      <c r="W114" s="13"/>
      <c r="X114" s="13"/>
      <c r="Y114" s="13"/>
      <c r="Z114" s="13"/>
      <c r="AA114" s="13"/>
      <c r="AB114" s="13"/>
      <c r="AC114" s="13"/>
    </row>
    <row r="115" hidden="1">
      <c r="A115" s="35">
        <v>112.0</v>
      </c>
      <c r="B115" s="36" t="s">
        <v>887</v>
      </c>
      <c r="C115" s="37" t="s">
        <v>888</v>
      </c>
      <c r="D115" s="38" t="s">
        <v>889</v>
      </c>
      <c r="E115" s="38"/>
      <c r="F115" s="38" t="s">
        <v>890</v>
      </c>
      <c r="G115" s="39" t="s">
        <v>891</v>
      </c>
      <c r="H115" s="49" t="s">
        <v>38</v>
      </c>
      <c r="I115" s="103" t="s">
        <v>892</v>
      </c>
      <c r="J115" s="39" t="s">
        <v>893</v>
      </c>
      <c r="K115" s="56"/>
      <c r="L115" s="104" t="s">
        <v>894</v>
      </c>
      <c r="M115" s="51" t="b">
        <v>0</v>
      </c>
      <c r="N115" s="44" t="s">
        <v>895</v>
      </c>
      <c r="O115" s="69"/>
      <c r="P115" s="46"/>
      <c r="Q115" s="47"/>
      <c r="R115" s="47"/>
      <c r="S115" s="46"/>
      <c r="T115" s="46"/>
      <c r="U115" s="13"/>
      <c r="V115" s="13"/>
      <c r="W115" s="13"/>
      <c r="X115" s="13"/>
      <c r="Y115" s="13"/>
      <c r="Z115" s="13"/>
      <c r="AA115" s="13"/>
      <c r="AB115" s="13"/>
      <c r="AC115" s="13"/>
    </row>
    <row r="116" ht="16.5" hidden="1" customHeight="1">
      <c r="A116" s="35">
        <v>113.0</v>
      </c>
      <c r="B116" s="36" t="s">
        <v>896</v>
      </c>
      <c r="C116" s="37" t="s">
        <v>897</v>
      </c>
      <c r="D116" s="38" t="s">
        <v>898</v>
      </c>
      <c r="E116" s="38" t="s">
        <v>899</v>
      </c>
      <c r="F116" s="38" t="s">
        <v>900</v>
      </c>
      <c r="G116" s="39" t="s">
        <v>231</v>
      </c>
      <c r="H116" s="49" t="s">
        <v>62</v>
      </c>
      <c r="I116" s="39" t="s">
        <v>63</v>
      </c>
      <c r="J116" s="55"/>
      <c r="K116" s="56"/>
      <c r="L116" s="55"/>
      <c r="M116" s="51" t="b">
        <v>0</v>
      </c>
      <c r="N116" s="46"/>
      <c r="O116" s="46"/>
      <c r="P116" s="46"/>
      <c r="Q116" s="47"/>
      <c r="R116" s="47"/>
      <c r="S116" s="46"/>
      <c r="T116" s="46"/>
      <c r="U116" s="13"/>
      <c r="V116" s="13"/>
      <c r="W116" s="13"/>
      <c r="X116" s="13"/>
      <c r="Y116" s="13"/>
      <c r="Z116" s="13"/>
      <c r="AA116" s="13"/>
      <c r="AB116" s="13"/>
      <c r="AC116" s="13"/>
    </row>
    <row r="117" ht="16.5" customHeight="1">
      <c r="A117" s="35">
        <v>114.0</v>
      </c>
      <c r="B117" s="36" t="s">
        <v>901</v>
      </c>
      <c r="C117" s="37" t="s">
        <v>902</v>
      </c>
      <c r="D117" s="38" t="s">
        <v>903</v>
      </c>
      <c r="E117" s="38"/>
      <c r="F117" s="38" t="s">
        <v>904</v>
      </c>
      <c r="G117" s="48" t="s">
        <v>905</v>
      </c>
      <c r="H117" s="49" t="s">
        <v>49</v>
      </c>
      <c r="I117" s="39" t="s">
        <v>39</v>
      </c>
      <c r="J117" s="39" t="s">
        <v>906</v>
      </c>
      <c r="K117" s="41" t="s">
        <v>907</v>
      </c>
      <c r="L117" s="39" t="s">
        <v>908</v>
      </c>
      <c r="M117" s="51" t="b">
        <v>1</v>
      </c>
      <c r="N117" s="57" t="s">
        <v>815</v>
      </c>
      <c r="O117" s="46"/>
      <c r="P117" s="46" t="s">
        <v>909</v>
      </c>
      <c r="Q117" s="47"/>
      <c r="R117" s="47"/>
      <c r="S117" s="46"/>
      <c r="T117" s="46"/>
      <c r="U117" s="13"/>
      <c r="V117" s="13"/>
      <c r="W117" s="13"/>
      <c r="X117" s="13"/>
      <c r="Y117" s="13"/>
      <c r="Z117" s="13"/>
      <c r="AA117" s="13"/>
      <c r="AB117" s="13"/>
      <c r="AC117" s="13"/>
    </row>
    <row r="118" ht="16.5" customHeight="1">
      <c r="A118" s="35">
        <v>115.0</v>
      </c>
      <c r="B118" s="36" t="s">
        <v>910</v>
      </c>
      <c r="C118" s="37" t="s">
        <v>911</v>
      </c>
      <c r="D118" s="38" t="s">
        <v>912</v>
      </c>
      <c r="E118" s="38" t="s">
        <v>913</v>
      </c>
      <c r="F118" s="38" t="s">
        <v>914</v>
      </c>
      <c r="G118" s="39" t="s">
        <v>915</v>
      </c>
      <c r="H118" s="49" t="s">
        <v>49</v>
      </c>
      <c r="I118" s="105" t="s">
        <v>39</v>
      </c>
      <c r="J118" s="39" t="s">
        <v>916</v>
      </c>
      <c r="K118" s="41" t="s">
        <v>917</v>
      </c>
      <c r="L118" s="106" t="s">
        <v>918</v>
      </c>
      <c r="M118" s="51" t="b">
        <v>0</v>
      </c>
      <c r="N118" s="97"/>
      <c r="O118" s="97"/>
      <c r="P118" s="97" t="s">
        <v>919</v>
      </c>
      <c r="Q118" s="47"/>
      <c r="R118" s="47"/>
      <c r="S118" s="46"/>
      <c r="T118" s="46"/>
      <c r="U118" s="13"/>
      <c r="V118" s="13"/>
      <c r="W118" s="13"/>
      <c r="X118" s="13"/>
      <c r="Y118" s="13"/>
      <c r="Z118" s="13"/>
      <c r="AA118" s="13"/>
      <c r="AB118" s="13"/>
      <c r="AC118" s="13"/>
    </row>
    <row r="119" hidden="1">
      <c r="A119" s="35">
        <v>116.0</v>
      </c>
      <c r="B119" s="36" t="s">
        <v>920</v>
      </c>
      <c r="C119" s="37" t="s">
        <v>921</v>
      </c>
      <c r="D119" s="38" t="s">
        <v>922</v>
      </c>
      <c r="E119" s="38"/>
      <c r="F119" s="38" t="s">
        <v>923</v>
      </c>
      <c r="G119" s="39" t="s">
        <v>924</v>
      </c>
      <c r="H119" s="49" t="s">
        <v>38</v>
      </c>
      <c r="I119" s="103" t="s">
        <v>892</v>
      </c>
      <c r="J119" s="39" t="s">
        <v>893</v>
      </c>
      <c r="K119" s="56"/>
      <c r="L119" s="104" t="s">
        <v>925</v>
      </c>
      <c r="M119" s="51" t="b">
        <v>0</v>
      </c>
      <c r="N119" s="44" t="s">
        <v>926</v>
      </c>
      <c r="O119" s="69"/>
      <c r="P119" s="46"/>
      <c r="Q119" s="47"/>
      <c r="R119" s="47"/>
      <c r="S119" s="46"/>
      <c r="T119" s="46"/>
      <c r="U119" s="13"/>
      <c r="V119" s="13"/>
      <c r="W119" s="13"/>
      <c r="X119" s="13"/>
      <c r="Y119" s="13"/>
      <c r="Z119" s="13"/>
      <c r="AA119" s="13"/>
      <c r="AB119" s="13"/>
      <c r="AC119" s="13"/>
    </row>
    <row r="120" ht="16.5" customHeight="1">
      <c r="A120" s="35">
        <v>117.0</v>
      </c>
      <c r="B120" s="36" t="s">
        <v>927</v>
      </c>
      <c r="C120" s="37" t="s">
        <v>928</v>
      </c>
      <c r="D120" s="38" t="s">
        <v>929</v>
      </c>
      <c r="E120" s="38"/>
      <c r="F120" s="38" t="s">
        <v>930</v>
      </c>
      <c r="G120" s="39" t="s">
        <v>931</v>
      </c>
      <c r="H120" s="49" t="s">
        <v>49</v>
      </c>
      <c r="I120" s="39" t="s">
        <v>39</v>
      </c>
      <c r="J120" s="39" t="s">
        <v>932</v>
      </c>
      <c r="K120" s="41" t="s">
        <v>933</v>
      </c>
      <c r="L120" s="39" t="s">
        <v>934</v>
      </c>
      <c r="M120" s="51" t="b">
        <v>1</v>
      </c>
      <c r="N120" s="57" t="s">
        <v>935</v>
      </c>
      <c r="O120" s="69"/>
      <c r="P120" s="46"/>
      <c r="Q120" s="47"/>
      <c r="R120" s="47"/>
      <c r="S120" s="46"/>
      <c r="T120" s="46"/>
      <c r="U120" s="13"/>
      <c r="V120" s="13"/>
      <c r="W120" s="13"/>
      <c r="X120" s="13"/>
      <c r="Y120" s="13"/>
      <c r="Z120" s="13"/>
      <c r="AA120" s="13"/>
      <c r="AB120" s="13"/>
      <c r="AC120" s="13"/>
    </row>
    <row r="121" ht="16.5" customHeight="1">
      <c r="A121" s="35">
        <v>118.0</v>
      </c>
      <c r="B121" s="36" t="s">
        <v>936</v>
      </c>
      <c r="C121" s="37" t="s">
        <v>937</v>
      </c>
      <c r="D121" s="38" t="s">
        <v>938</v>
      </c>
      <c r="E121" s="38" t="s">
        <v>939</v>
      </c>
      <c r="F121" s="38" t="s">
        <v>940</v>
      </c>
      <c r="G121" s="48" t="s">
        <v>941</v>
      </c>
      <c r="H121" s="49" t="s">
        <v>38</v>
      </c>
      <c r="I121" s="58" t="s">
        <v>39</v>
      </c>
      <c r="J121" s="39" t="s">
        <v>161</v>
      </c>
      <c r="K121" s="107" t="s">
        <v>942</v>
      </c>
      <c r="L121" s="108" t="s">
        <v>943</v>
      </c>
      <c r="M121" s="51" t="b">
        <v>1</v>
      </c>
      <c r="N121" s="68" t="s">
        <v>944</v>
      </c>
      <c r="O121" s="46"/>
      <c r="P121" s="46" t="s">
        <v>945</v>
      </c>
      <c r="Q121" s="47"/>
      <c r="R121" s="47"/>
      <c r="S121" s="46"/>
      <c r="T121" s="46"/>
      <c r="U121" s="13"/>
      <c r="V121" s="13"/>
      <c r="W121" s="13"/>
      <c r="X121" s="13"/>
      <c r="Y121" s="13"/>
      <c r="Z121" s="13"/>
      <c r="AA121" s="13"/>
      <c r="AB121" s="13"/>
      <c r="AC121" s="13"/>
    </row>
    <row r="122" ht="16.5" hidden="1" customHeight="1">
      <c r="A122" s="35">
        <v>119.0</v>
      </c>
      <c r="B122" s="36" t="s">
        <v>946</v>
      </c>
      <c r="C122" s="37" t="s">
        <v>947</v>
      </c>
      <c r="D122" s="38" t="s">
        <v>948</v>
      </c>
      <c r="E122" s="38"/>
      <c r="F122" s="38" t="s">
        <v>949</v>
      </c>
      <c r="G122" s="39" t="s">
        <v>231</v>
      </c>
      <c r="H122" s="49" t="s">
        <v>62</v>
      </c>
      <c r="I122" s="39" t="s">
        <v>63</v>
      </c>
      <c r="J122" s="55"/>
      <c r="K122" s="56"/>
      <c r="L122" s="55"/>
      <c r="M122" s="51" t="b">
        <v>0</v>
      </c>
      <c r="N122" s="46"/>
      <c r="O122" s="46"/>
      <c r="P122" s="46"/>
      <c r="Q122" s="47"/>
      <c r="R122" s="47"/>
      <c r="S122" s="46"/>
      <c r="T122" s="46"/>
      <c r="U122" s="13"/>
      <c r="V122" s="13"/>
      <c r="W122" s="13"/>
      <c r="X122" s="13"/>
      <c r="Y122" s="13"/>
      <c r="Z122" s="13"/>
      <c r="AA122" s="13"/>
      <c r="AB122" s="13"/>
      <c r="AC122" s="13"/>
    </row>
    <row r="123" ht="16.5" customHeight="1">
      <c r="A123" s="35">
        <v>120.0</v>
      </c>
      <c r="B123" s="36" t="s">
        <v>950</v>
      </c>
      <c r="C123" s="37" t="s">
        <v>951</v>
      </c>
      <c r="D123" s="38" t="s">
        <v>952</v>
      </c>
      <c r="E123" s="38"/>
      <c r="F123" s="38" t="s">
        <v>953</v>
      </c>
      <c r="G123" s="48" t="s">
        <v>954</v>
      </c>
      <c r="H123" s="49" t="s">
        <v>49</v>
      </c>
      <c r="I123" s="39" t="s">
        <v>39</v>
      </c>
      <c r="J123" s="39" t="s">
        <v>955</v>
      </c>
      <c r="K123" s="41" t="s">
        <v>173</v>
      </c>
      <c r="L123" s="39" t="s">
        <v>956</v>
      </c>
      <c r="M123" s="51" t="b">
        <v>1</v>
      </c>
      <c r="N123" s="57" t="s">
        <v>957</v>
      </c>
      <c r="O123" s="69"/>
      <c r="P123" s="46" t="s">
        <v>958</v>
      </c>
      <c r="Q123" s="47"/>
      <c r="R123" s="47"/>
      <c r="S123" s="46"/>
      <c r="T123" s="46"/>
      <c r="U123" s="13"/>
      <c r="V123" s="13"/>
      <c r="W123" s="13"/>
      <c r="X123" s="13"/>
      <c r="Y123" s="13"/>
      <c r="Z123" s="13"/>
      <c r="AA123" s="13"/>
      <c r="AB123" s="13"/>
      <c r="AC123" s="13"/>
    </row>
    <row r="124" ht="409.5" customHeight="1">
      <c r="A124" s="35">
        <v>121.0</v>
      </c>
      <c r="B124" s="36" t="s">
        <v>959</v>
      </c>
      <c r="C124" s="37" t="s">
        <v>960</v>
      </c>
      <c r="D124" s="38" t="s">
        <v>961</v>
      </c>
      <c r="E124" s="38"/>
      <c r="F124" s="38" t="s">
        <v>962</v>
      </c>
      <c r="G124" s="39" t="s">
        <v>963</v>
      </c>
      <c r="H124" s="49" t="s">
        <v>49</v>
      </c>
      <c r="I124" s="39" t="s">
        <v>39</v>
      </c>
      <c r="J124" s="39" t="s">
        <v>964</v>
      </c>
      <c r="K124" s="41" t="s">
        <v>173</v>
      </c>
      <c r="L124" s="39" t="s">
        <v>965</v>
      </c>
      <c r="M124" s="51" t="b">
        <v>1</v>
      </c>
      <c r="N124" s="57" t="s">
        <v>966</v>
      </c>
      <c r="O124" s="45"/>
      <c r="P124" s="46"/>
      <c r="Q124" s="47"/>
      <c r="R124" s="47"/>
      <c r="S124" s="46"/>
      <c r="T124" s="46"/>
      <c r="U124" s="13"/>
      <c r="V124" s="13"/>
      <c r="W124" s="13"/>
      <c r="X124" s="13"/>
      <c r="Y124" s="13"/>
      <c r="Z124" s="13"/>
      <c r="AA124" s="13"/>
      <c r="AB124" s="13"/>
      <c r="AC124" s="13"/>
    </row>
    <row r="125" ht="393.75" hidden="1" customHeight="1">
      <c r="A125" s="35">
        <v>122.0</v>
      </c>
      <c r="B125" s="36" t="s">
        <v>967</v>
      </c>
      <c r="C125" s="37" t="s">
        <v>968</v>
      </c>
      <c r="D125" s="38" t="s">
        <v>969</v>
      </c>
      <c r="E125" s="38"/>
      <c r="F125" s="38" t="s">
        <v>970</v>
      </c>
      <c r="G125" s="39" t="s">
        <v>231</v>
      </c>
      <c r="H125" s="49" t="s">
        <v>62</v>
      </c>
      <c r="I125" s="39" t="s">
        <v>63</v>
      </c>
      <c r="J125" s="55"/>
      <c r="K125" s="56"/>
      <c r="L125" s="55"/>
      <c r="M125" s="51" t="b">
        <v>0</v>
      </c>
      <c r="N125" s="46"/>
      <c r="O125" s="46"/>
      <c r="P125" s="46"/>
      <c r="Q125" s="47"/>
      <c r="R125" s="47"/>
      <c r="S125" s="46"/>
      <c r="T125" s="46"/>
      <c r="U125" s="13"/>
      <c r="V125" s="13"/>
      <c r="W125" s="13"/>
      <c r="X125" s="13"/>
      <c r="Y125" s="13"/>
      <c r="Z125" s="13"/>
      <c r="AA125" s="13"/>
      <c r="AB125" s="13"/>
      <c r="AC125" s="13"/>
    </row>
    <row r="126" ht="16.5" customHeight="1">
      <c r="A126" s="35">
        <v>123.0</v>
      </c>
      <c r="B126" s="36" t="s">
        <v>971</v>
      </c>
      <c r="C126" s="37" t="s">
        <v>972</v>
      </c>
      <c r="D126" s="38" t="s">
        <v>973</v>
      </c>
      <c r="E126" s="38"/>
      <c r="F126" s="38" t="s">
        <v>974</v>
      </c>
      <c r="G126" s="48" t="s">
        <v>973</v>
      </c>
      <c r="H126" s="49" t="s">
        <v>49</v>
      </c>
      <c r="I126" s="39" t="s">
        <v>39</v>
      </c>
      <c r="J126" s="39" t="s">
        <v>620</v>
      </c>
      <c r="K126" s="41" t="s">
        <v>975</v>
      </c>
      <c r="L126" s="39" t="s">
        <v>976</v>
      </c>
      <c r="M126" s="51" t="b">
        <v>1</v>
      </c>
      <c r="N126" s="57" t="s">
        <v>977</v>
      </c>
      <c r="O126" s="69"/>
      <c r="P126" s="46"/>
      <c r="Q126" s="47"/>
      <c r="R126" s="47"/>
      <c r="S126" s="46"/>
      <c r="T126" s="46"/>
      <c r="U126" s="13"/>
      <c r="V126" s="13"/>
      <c r="W126" s="13"/>
      <c r="X126" s="13"/>
      <c r="Y126" s="13"/>
      <c r="Z126" s="13"/>
      <c r="AA126" s="13"/>
      <c r="AB126" s="13"/>
      <c r="AC126" s="13"/>
    </row>
    <row r="127" ht="409.5" customHeight="1">
      <c r="A127" s="35">
        <v>124.0</v>
      </c>
      <c r="B127" s="36" t="s">
        <v>978</v>
      </c>
      <c r="C127" s="37" t="s">
        <v>979</v>
      </c>
      <c r="D127" s="38" t="s">
        <v>980</v>
      </c>
      <c r="E127" s="38"/>
      <c r="F127" s="38" t="s">
        <v>981</v>
      </c>
      <c r="G127" s="39" t="s">
        <v>982</v>
      </c>
      <c r="H127" s="49" t="s">
        <v>38</v>
      </c>
      <c r="I127" s="39" t="s">
        <v>39</v>
      </c>
      <c r="J127" s="66" t="s">
        <v>151</v>
      </c>
      <c r="K127" s="67" t="s">
        <v>152</v>
      </c>
      <c r="L127" s="39" t="s">
        <v>983</v>
      </c>
      <c r="M127" s="51" t="b">
        <v>1</v>
      </c>
      <c r="N127" s="68" t="s">
        <v>154</v>
      </c>
      <c r="O127" s="69"/>
      <c r="P127" s="46"/>
      <c r="Q127" s="47"/>
      <c r="R127" s="47"/>
      <c r="S127" s="46"/>
      <c r="T127" s="46"/>
      <c r="U127" s="13"/>
      <c r="V127" s="13"/>
      <c r="W127" s="13"/>
      <c r="X127" s="13"/>
      <c r="Y127" s="13"/>
      <c r="Z127" s="13"/>
      <c r="AA127" s="13"/>
      <c r="AB127" s="13"/>
      <c r="AC127" s="13"/>
    </row>
    <row r="128" ht="234.0" customHeight="1">
      <c r="A128" s="35">
        <v>125.0</v>
      </c>
      <c r="B128" s="36" t="s">
        <v>984</v>
      </c>
      <c r="C128" s="37" t="s">
        <v>985</v>
      </c>
      <c r="D128" s="38" t="s">
        <v>986</v>
      </c>
      <c r="E128" s="38"/>
      <c r="F128" s="38" t="s">
        <v>987</v>
      </c>
      <c r="G128" s="39" t="s">
        <v>988</v>
      </c>
      <c r="H128" s="49" t="s">
        <v>38</v>
      </c>
      <c r="I128" s="39" t="s">
        <v>39</v>
      </c>
      <c r="J128" s="66" t="s">
        <v>151</v>
      </c>
      <c r="K128" s="67" t="s">
        <v>173</v>
      </c>
      <c r="L128" s="39" t="s">
        <v>189</v>
      </c>
      <c r="M128" s="51" t="b">
        <v>1</v>
      </c>
      <c r="N128" s="68" t="s">
        <v>190</v>
      </c>
      <c r="O128" s="69"/>
      <c r="P128" s="46"/>
      <c r="Q128" s="47"/>
      <c r="R128" s="47"/>
      <c r="S128" s="46"/>
      <c r="T128" s="46"/>
      <c r="U128" s="13"/>
      <c r="V128" s="13"/>
      <c r="W128" s="13"/>
      <c r="X128" s="13"/>
      <c r="Y128" s="13"/>
      <c r="Z128" s="13"/>
      <c r="AA128" s="13"/>
      <c r="AB128" s="13"/>
      <c r="AC128" s="13"/>
    </row>
    <row r="129" ht="126.0" hidden="1" customHeight="1">
      <c r="A129" s="35">
        <v>126.0</v>
      </c>
      <c r="B129" s="36" t="s">
        <v>989</v>
      </c>
      <c r="C129" s="37" t="s">
        <v>990</v>
      </c>
      <c r="D129" s="38" t="s">
        <v>991</v>
      </c>
      <c r="E129" s="38" t="s">
        <v>992</v>
      </c>
      <c r="F129" s="38" t="s">
        <v>993</v>
      </c>
      <c r="G129" s="39" t="s">
        <v>231</v>
      </c>
      <c r="H129" s="49" t="s">
        <v>62</v>
      </c>
      <c r="I129" s="39" t="s">
        <v>63</v>
      </c>
      <c r="J129" s="55"/>
      <c r="K129" s="56"/>
      <c r="L129" s="55"/>
      <c r="M129" s="51" t="b">
        <v>0</v>
      </c>
      <c r="N129" s="46"/>
      <c r="O129" s="46"/>
      <c r="P129" s="46"/>
      <c r="Q129" s="47"/>
      <c r="R129" s="47"/>
      <c r="S129" s="46"/>
      <c r="T129" s="46"/>
      <c r="U129" s="13"/>
      <c r="V129" s="13"/>
      <c r="W129" s="13"/>
      <c r="X129" s="13"/>
      <c r="Y129" s="13"/>
      <c r="Z129" s="13"/>
      <c r="AA129" s="13"/>
      <c r="AB129" s="13"/>
      <c r="AC129" s="13"/>
    </row>
    <row r="130" ht="16.5" customHeight="1">
      <c r="A130" s="35">
        <v>127.0</v>
      </c>
      <c r="B130" s="36" t="s">
        <v>994</v>
      </c>
      <c r="C130" s="37" t="s">
        <v>995</v>
      </c>
      <c r="D130" s="38" t="s">
        <v>996</v>
      </c>
      <c r="E130" s="38" t="s">
        <v>997</v>
      </c>
      <c r="F130" s="38" t="s">
        <v>998</v>
      </c>
      <c r="G130" s="48" t="s">
        <v>999</v>
      </c>
      <c r="H130" s="49" t="s">
        <v>49</v>
      </c>
      <c r="I130" s="39" t="s">
        <v>39</v>
      </c>
      <c r="J130" s="39" t="s">
        <v>1000</v>
      </c>
      <c r="K130" s="41" t="s">
        <v>173</v>
      </c>
      <c r="L130" s="39" t="s">
        <v>1001</v>
      </c>
      <c r="M130" s="51" t="b">
        <v>1</v>
      </c>
      <c r="N130" s="57" t="s">
        <v>1002</v>
      </c>
      <c r="O130" s="69"/>
      <c r="P130" s="46"/>
      <c r="Q130" s="47"/>
      <c r="R130" s="47"/>
      <c r="S130" s="46"/>
      <c r="T130" s="46"/>
      <c r="U130" s="13"/>
      <c r="V130" s="13"/>
      <c r="W130" s="13"/>
      <c r="X130" s="13"/>
      <c r="Y130" s="13"/>
      <c r="Z130" s="13"/>
      <c r="AA130" s="13"/>
      <c r="AB130" s="13"/>
      <c r="AC130" s="13"/>
    </row>
    <row r="131" ht="16.5" customHeight="1">
      <c r="A131" s="35">
        <v>128.0</v>
      </c>
      <c r="B131" s="36" t="s">
        <v>1003</v>
      </c>
      <c r="C131" s="37" t="s">
        <v>1004</v>
      </c>
      <c r="D131" s="38" t="s">
        <v>1005</v>
      </c>
      <c r="E131" s="38" t="s">
        <v>548</v>
      </c>
      <c r="F131" s="38" t="s">
        <v>684</v>
      </c>
      <c r="G131" s="39" t="s">
        <v>685</v>
      </c>
      <c r="H131" s="49" t="s">
        <v>49</v>
      </c>
      <c r="I131" s="86" t="s">
        <v>39</v>
      </c>
      <c r="J131" s="39" t="s">
        <v>551</v>
      </c>
      <c r="K131" s="95" t="s">
        <v>1006</v>
      </c>
      <c r="L131" s="94" t="s">
        <v>1007</v>
      </c>
      <c r="M131" s="51" t="b">
        <v>1</v>
      </c>
      <c r="N131" s="57" t="s">
        <v>687</v>
      </c>
      <c r="O131" s="45" t="s">
        <v>1008</v>
      </c>
      <c r="P131" s="46"/>
      <c r="Q131" s="47"/>
      <c r="R131" s="47"/>
      <c r="S131" s="46"/>
      <c r="T131" s="46"/>
      <c r="U131" s="13"/>
      <c r="V131" s="13"/>
      <c r="W131" s="13"/>
      <c r="X131" s="13"/>
      <c r="Y131" s="13"/>
      <c r="Z131" s="13"/>
      <c r="AA131" s="13"/>
      <c r="AB131" s="13"/>
      <c r="AC131" s="13"/>
    </row>
    <row r="132" ht="16.5" customHeight="1">
      <c r="A132" s="35">
        <v>129.0</v>
      </c>
      <c r="B132" s="36" t="s">
        <v>1009</v>
      </c>
      <c r="C132" s="37" t="s">
        <v>1010</v>
      </c>
      <c r="D132" s="38" t="s">
        <v>1011</v>
      </c>
      <c r="E132" s="38"/>
      <c r="F132" s="38" t="s">
        <v>90</v>
      </c>
      <c r="G132" s="39" t="s">
        <v>91</v>
      </c>
      <c r="H132" s="49" t="s">
        <v>49</v>
      </c>
      <c r="I132" s="39" t="s">
        <v>39</v>
      </c>
      <c r="J132" s="39" t="s">
        <v>92</v>
      </c>
      <c r="K132" s="41" t="s">
        <v>93</v>
      </c>
      <c r="L132" s="55"/>
      <c r="M132" s="51" t="b">
        <v>1</v>
      </c>
      <c r="N132" s="57" t="s">
        <v>94</v>
      </c>
      <c r="O132" s="45" t="s">
        <v>95</v>
      </c>
      <c r="P132" s="46"/>
      <c r="Q132" s="47"/>
      <c r="R132" s="47"/>
      <c r="S132" s="46"/>
      <c r="T132" s="46"/>
      <c r="U132" s="13"/>
      <c r="V132" s="13"/>
      <c r="W132" s="13"/>
      <c r="X132" s="13"/>
      <c r="Y132" s="13"/>
      <c r="Z132" s="13"/>
      <c r="AA132" s="13"/>
      <c r="AB132" s="13"/>
      <c r="AC132" s="13"/>
    </row>
    <row r="133" ht="16.5" customHeight="1">
      <c r="A133" s="35">
        <v>130.0</v>
      </c>
      <c r="B133" s="36" t="s">
        <v>1012</v>
      </c>
      <c r="C133" s="37" t="s">
        <v>1013</v>
      </c>
      <c r="D133" s="38" t="s">
        <v>1014</v>
      </c>
      <c r="E133" s="38"/>
      <c r="F133" s="38" t="s">
        <v>1015</v>
      </c>
      <c r="G133" s="39" t="s">
        <v>1016</v>
      </c>
      <c r="H133" s="49" t="s">
        <v>38</v>
      </c>
      <c r="I133" s="58" t="s">
        <v>39</v>
      </c>
      <c r="J133" s="39" t="s">
        <v>161</v>
      </c>
      <c r="K133" s="107" t="s">
        <v>162</v>
      </c>
      <c r="L133" s="59" t="s">
        <v>1017</v>
      </c>
      <c r="M133" s="51" t="b">
        <v>1</v>
      </c>
      <c r="N133" s="68" t="s">
        <v>164</v>
      </c>
      <c r="O133" s="46"/>
      <c r="P133" s="46" t="s">
        <v>1018</v>
      </c>
      <c r="Q133" s="47"/>
      <c r="R133" s="47"/>
      <c r="S133" s="46"/>
      <c r="T133" s="46"/>
      <c r="U133" s="13"/>
      <c r="V133" s="13"/>
      <c r="W133" s="13"/>
      <c r="X133" s="13"/>
      <c r="Y133" s="13"/>
      <c r="Z133" s="13"/>
      <c r="AA133" s="13"/>
      <c r="AB133" s="13"/>
      <c r="AC133" s="13"/>
    </row>
    <row r="134" ht="16.5" customHeight="1">
      <c r="A134" s="35">
        <v>131.0</v>
      </c>
      <c r="B134" s="36" t="s">
        <v>1019</v>
      </c>
      <c r="C134" s="37" t="s">
        <v>1020</v>
      </c>
      <c r="D134" s="38" t="s">
        <v>1021</v>
      </c>
      <c r="E134" s="38"/>
      <c r="F134" s="38" t="s">
        <v>1022</v>
      </c>
      <c r="G134" s="39" t="s">
        <v>1023</v>
      </c>
      <c r="H134" s="49" t="s">
        <v>49</v>
      </c>
      <c r="I134" s="86" t="s">
        <v>39</v>
      </c>
      <c r="J134" s="39" t="s">
        <v>1024</v>
      </c>
      <c r="K134" s="95" t="s">
        <v>173</v>
      </c>
      <c r="L134" s="94" t="s">
        <v>1025</v>
      </c>
      <c r="M134" s="51" t="b">
        <v>0</v>
      </c>
      <c r="N134" s="44" t="s">
        <v>1026</v>
      </c>
      <c r="O134" s="45" t="s">
        <v>1027</v>
      </c>
      <c r="P134" s="46"/>
      <c r="Q134" s="47"/>
      <c r="R134" s="47"/>
      <c r="S134" s="46"/>
      <c r="T134" s="46"/>
      <c r="U134" s="13"/>
      <c r="V134" s="13"/>
      <c r="W134" s="13"/>
      <c r="X134" s="13"/>
      <c r="Y134" s="13"/>
      <c r="Z134" s="13"/>
      <c r="AA134" s="13"/>
      <c r="AB134" s="13"/>
      <c r="AC134" s="13"/>
    </row>
    <row r="135" ht="409.5" customHeight="1">
      <c r="A135" s="35">
        <v>132.0</v>
      </c>
      <c r="B135" s="36" t="s">
        <v>1028</v>
      </c>
      <c r="C135" s="37" t="s">
        <v>1029</v>
      </c>
      <c r="D135" s="38" t="s">
        <v>1030</v>
      </c>
      <c r="E135" s="38" t="s">
        <v>1031</v>
      </c>
      <c r="F135" s="38" t="s">
        <v>1032</v>
      </c>
      <c r="G135" s="39" t="s">
        <v>1033</v>
      </c>
      <c r="H135" s="49" t="s">
        <v>38</v>
      </c>
      <c r="I135" s="39" t="s">
        <v>39</v>
      </c>
      <c r="J135" s="109" t="s">
        <v>1034</v>
      </c>
      <c r="K135" s="110" t="s">
        <v>1035</v>
      </c>
      <c r="L135" s="111" t="s">
        <v>1036</v>
      </c>
      <c r="M135" s="51" t="b">
        <v>0</v>
      </c>
      <c r="N135" s="46"/>
      <c r="O135" s="57" t="s">
        <v>1037</v>
      </c>
      <c r="P135" s="46"/>
      <c r="Q135" s="47"/>
      <c r="R135" s="47"/>
      <c r="S135" s="46"/>
      <c r="T135" s="46"/>
      <c r="U135" s="13"/>
      <c r="V135" s="13"/>
      <c r="W135" s="13"/>
      <c r="X135" s="13"/>
      <c r="Y135" s="13"/>
      <c r="Z135" s="13"/>
      <c r="AA135" s="13"/>
      <c r="AB135" s="13"/>
      <c r="AC135" s="13"/>
    </row>
    <row r="136" ht="409.5" hidden="1" customHeight="1">
      <c r="A136" s="35">
        <v>133.0</v>
      </c>
      <c r="B136" s="36" t="s">
        <v>1038</v>
      </c>
      <c r="C136" s="37" t="s">
        <v>1039</v>
      </c>
      <c r="D136" s="38" t="s">
        <v>1040</v>
      </c>
      <c r="E136" s="38"/>
      <c r="F136" s="38" t="s">
        <v>1041</v>
      </c>
      <c r="G136" s="39" t="s">
        <v>231</v>
      </c>
      <c r="H136" s="49" t="s">
        <v>62</v>
      </c>
      <c r="I136" s="39" t="s">
        <v>63</v>
      </c>
      <c r="J136" s="55"/>
      <c r="K136" s="56"/>
      <c r="L136" s="55"/>
      <c r="M136" s="51" t="b">
        <v>0</v>
      </c>
      <c r="N136" s="46"/>
      <c r="O136" s="46"/>
      <c r="P136" s="46"/>
      <c r="Q136" s="47"/>
      <c r="R136" s="47"/>
      <c r="S136" s="46"/>
      <c r="T136" s="46"/>
      <c r="U136" s="13"/>
      <c r="V136" s="13"/>
      <c r="W136" s="13"/>
      <c r="X136" s="13"/>
      <c r="Y136" s="13"/>
      <c r="Z136" s="13"/>
      <c r="AA136" s="13"/>
      <c r="AB136" s="13"/>
      <c r="AC136" s="13"/>
    </row>
    <row r="137" ht="409.5" hidden="1" customHeight="1">
      <c r="A137" s="35">
        <v>134.0</v>
      </c>
      <c r="B137" s="36" t="s">
        <v>1042</v>
      </c>
      <c r="C137" s="37" t="s">
        <v>1043</v>
      </c>
      <c r="D137" s="38" t="s">
        <v>1044</v>
      </c>
      <c r="E137" s="38"/>
      <c r="F137" s="38" t="s">
        <v>1041</v>
      </c>
      <c r="G137" s="39" t="s">
        <v>231</v>
      </c>
      <c r="H137" s="49" t="s">
        <v>62</v>
      </c>
      <c r="I137" s="39" t="s">
        <v>63</v>
      </c>
      <c r="J137" s="55"/>
      <c r="K137" s="56"/>
      <c r="L137" s="55"/>
      <c r="M137" s="51" t="b">
        <v>0</v>
      </c>
      <c r="N137" s="46"/>
      <c r="O137" s="46"/>
      <c r="P137" s="46"/>
      <c r="Q137" s="47"/>
      <c r="R137" s="47"/>
      <c r="S137" s="46"/>
      <c r="T137" s="46"/>
      <c r="U137" s="13"/>
      <c r="V137" s="13"/>
      <c r="W137" s="13"/>
      <c r="X137" s="13"/>
      <c r="Y137" s="13"/>
      <c r="Z137" s="13"/>
      <c r="AA137" s="13"/>
      <c r="AB137" s="13"/>
      <c r="AC137" s="13"/>
    </row>
    <row r="138" ht="376.5" customHeight="1">
      <c r="A138" s="35">
        <v>135.0</v>
      </c>
      <c r="B138" s="36" t="s">
        <v>1045</v>
      </c>
      <c r="C138" s="37" t="s">
        <v>1046</v>
      </c>
      <c r="D138" s="38" t="s">
        <v>1047</v>
      </c>
      <c r="E138" s="38" t="s">
        <v>1048</v>
      </c>
      <c r="F138" s="38" t="s">
        <v>1049</v>
      </c>
      <c r="G138" s="39" t="s">
        <v>1050</v>
      </c>
      <c r="H138" s="49" t="s">
        <v>49</v>
      </c>
      <c r="I138" s="39" t="s">
        <v>39</v>
      </c>
      <c r="J138" s="39" t="s">
        <v>1051</v>
      </c>
      <c r="K138" s="41" t="s">
        <v>933</v>
      </c>
      <c r="L138" s="39" t="s">
        <v>1052</v>
      </c>
      <c r="M138" s="51" t="b">
        <v>1</v>
      </c>
      <c r="N138" s="57" t="s">
        <v>1053</v>
      </c>
      <c r="O138" s="45" t="s">
        <v>1054</v>
      </c>
      <c r="P138" s="46"/>
      <c r="Q138" s="47"/>
      <c r="R138" s="47"/>
      <c r="S138" s="46"/>
      <c r="T138" s="46"/>
      <c r="U138" s="13"/>
      <c r="V138" s="13"/>
      <c r="W138" s="13"/>
      <c r="X138" s="13"/>
      <c r="Y138" s="13"/>
      <c r="Z138" s="13"/>
      <c r="AA138" s="13"/>
      <c r="AB138" s="13"/>
      <c r="AC138" s="13"/>
    </row>
    <row r="139" ht="16.5" customHeight="1">
      <c r="A139" s="35">
        <v>136.0</v>
      </c>
      <c r="B139" s="36" t="s">
        <v>1055</v>
      </c>
      <c r="C139" s="37" t="s">
        <v>1056</v>
      </c>
      <c r="D139" s="38" t="s">
        <v>1057</v>
      </c>
      <c r="E139" s="38" t="s">
        <v>1058</v>
      </c>
      <c r="F139" s="38" t="s">
        <v>1059</v>
      </c>
      <c r="G139" s="39" t="s">
        <v>915</v>
      </c>
      <c r="H139" s="49" t="s">
        <v>49</v>
      </c>
      <c r="I139" s="39" t="s">
        <v>39</v>
      </c>
      <c r="J139" s="39" t="s">
        <v>916</v>
      </c>
      <c r="K139" s="41" t="s">
        <v>917</v>
      </c>
      <c r="L139" s="112" t="s">
        <v>1060</v>
      </c>
      <c r="M139" s="51" t="b">
        <v>0</v>
      </c>
      <c r="N139" s="97"/>
      <c r="O139" s="97"/>
      <c r="P139" s="97" t="s">
        <v>1061</v>
      </c>
      <c r="Q139" s="47"/>
      <c r="R139" s="47"/>
      <c r="S139" s="46"/>
      <c r="T139" s="46"/>
      <c r="U139" s="13"/>
      <c r="V139" s="13"/>
      <c r="W139" s="13"/>
      <c r="X139" s="13"/>
      <c r="Y139" s="13"/>
      <c r="Z139" s="13"/>
      <c r="AA139" s="13"/>
      <c r="AB139" s="13"/>
      <c r="AC139" s="13"/>
    </row>
    <row r="140" ht="409.5" hidden="1" customHeight="1">
      <c r="A140" s="35">
        <v>137.0</v>
      </c>
      <c r="B140" s="36" t="s">
        <v>1062</v>
      </c>
      <c r="C140" s="37" t="s">
        <v>1063</v>
      </c>
      <c r="D140" s="38" t="s">
        <v>1064</v>
      </c>
      <c r="E140" s="38"/>
      <c r="F140" s="38" t="s">
        <v>1041</v>
      </c>
      <c r="G140" s="39" t="s">
        <v>231</v>
      </c>
      <c r="H140" s="49" t="s">
        <v>62</v>
      </c>
      <c r="I140" s="39" t="s">
        <v>63</v>
      </c>
      <c r="J140" s="55"/>
      <c r="K140" s="56"/>
      <c r="L140" s="55"/>
      <c r="M140" s="51" t="b">
        <v>0</v>
      </c>
      <c r="N140" s="46"/>
      <c r="O140" s="46"/>
      <c r="P140" s="46"/>
      <c r="Q140" s="47"/>
      <c r="R140" s="47"/>
      <c r="S140" s="46"/>
      <c r="T140" s="46"/>
      <c r="U140" s="13"/>
      <c r="V140" s="13"/>
      <c r="W140" s="13"/>
      <c r="X140" s="13"/>
      <c r="Y140" s="13"/>
      <c r="Z140" s="13"/>
      <c r="AA140" s="13"/>
      <c r="AB140" s="13"/>
      <c r="AC140" s="13"/>
    </row>
    <row r="141" ht="16.5" customHeight="1">
      <c r="A141" s="35">
        <v>138.0</v>
      </c>
      <c r="B141" s="36" t="s">
        <v>1065</v>
      </c>
      <c r="C141" s="37" t="s">
        <v>1066</v>
      </c>
      <c r="D141" s="38" t="s">
        <v>1067</v>
      </c>
      <c r="E141" s="38"/>
      <c r="F141" s="38" t="s">
        <v>1068</v>
      </c>
      <c r="G141" s="48" t="s">
        <v>1069</v>
      </c>
      <c r="H141" s="49" t="s">
        <v>49</v>
      </c>
      <c r="I141" s="39" t="s">
        <v>39</v>
      </c>
      <c r="J141" s="39" t="s">
        <v>1070</v>
      </c>
      <c r="K141" s="41" t="s">
        <v>162</v>
      </c>
      <c r="L141" s="39"/>
      <c r="M141" s="51" t="b">
        <v>1</v>
      </c>
      <c r="N141" s="57" t="s">
        <v>1071</v>
      </c>
      <c r="O141" s="69"/>
      <c r="P141" s="46"/>
      <c r="Q141" s="47"/>
      <c r="R141" s="47"/>
      <c r="S141" s="46"/>
      <c r="T141" s="46"/>
      <c r="U141" s="13"/>
      <c r="V141" s="13"/>
      <c r="W141" s="13"/>
      <c r="X141" s="13"/>
      <c r="Y141" s="13"/>
      <c r="Z141" s="13"/>
      <c r="AA141" s="13"/>
      <c r="AB141" s="13"/>
      <c r="AC141" s="13"/>
    </row>
    <row r="142" ht="409.5" hidden="1" customHeight="1">
      <c r="A142" s="35">
        <v>139.0</v>
      </c>
      <c r="B142" s="36" t="s">
        <v>1072</v>
      </c>
      <c r="C142" s="37" t="s">
        <v>1073</v>
      </c>
      <c r="D142" s="38" t="s">
        <v>1074</v>
      </c>
      <c r="E142" s="38" t="s">
        <v>1075</v>
      </c>
      <c r="F142" s="38" t="s">
        <v>1076</v>
      </c>
      <c r="G142" s="39" t="s">
        <v>231</v>
      </c>
      <c r="H142" s="49" t="s">
        <v>62</v>
      </c>
      <c r="I142" s="39" t="s">
        <v>63</v>
      </c>
      <c r="J142" s="55"/>
      <c r="K142" s="56"/>
      <c r="L142" s="55"/>
      <c r="M142" s="51" t="b">
        <v>0</v>
      </c>
      <c r="N142" s="46"/>
      <c r="O142" s="46"/>
      <c r="P142" s="46"/>
      <c r="Q142" s="47"/>
      <c r="R142" s="47"/>
      <c r="S142" s="46"/>
      <c r="T142" s="46"/>
      <c r="U142" s="13"/>
      <c r="V142" s="13"/>
      <c r="W142" s="13"/>
      <c r="X142" s="13"/>
      <c r="Y142" s="13"/>
      <c r="Z142" s="13"/>
      <c r="AA142" s="13"/>
      <c r="AB142" s="13"/>
      <c r="AC142" s="13"/>
    </row>
    <row r="143" ht="409.5" hidden="1" customHeight="1">
      <c r="A143" s="35">
        <v>140.0</v>
      </c>
      <c r="B143" s="36" t="s">
        <v>1077</v>
      </c>
      <c r="C143" s="37" t="s">
        <v>1078</v>
      </c>
      <c r="D143" s="38" t="s">
        <v>1079</v>
      </c>
      <c r="E143" s="38"/>
      <c r="F143" s="38" t="s">
        <v>1080</v>
      </c>
      <c r="G143" s="39" t="s">
        <v>231</v>
      </c>
      <c r="H143" s="49" t="s">
        <v>62</v>
      </c>
      <c r="I143" s="39" t="s">
        <v>63</v>
      </c>
      <c r="J143" s="55"/>
      <c r="K143" s="56"/>
      <c r="L143" s="55"/>
      <c r="M143" s="51" t="b">
        <v>0</v>
      </c>
      <c r="N143" s="46"/>
      <c r="O143" s="46"/>
      <c r="P143" s="46"/>
      <c r="Q143" s="47"/>
      <c r="R143" s="47"/>
      <c r="S143" s="46"/>
      <c r="T143" s="46"/>
      <c r="U143" s="13"/>
      <c r="V143" s="13"/>
      <c r="W143" s="13"/>
      <c r="X143" s="13"/>
      <c r="Y143" s="13"/>
      <c r="Z143" s="13"/>
      <c r="AA143" s="13"/>
      <c r="AB143" s="13"/>
      <c r="AC143" s="13"/>
    </row>
    <row r="144" ht="409.5" hidden="1" customHeight="1">
      <c r="A144" s="35">
        <v>141.0</v>
      </c>
      <c r="B144" s="36" t="s">
        <v>1081</v>
      </c>
      <c r="C144" s="37" t="s">
        <v>1082</v>
      </c>
      <c r="D144" s="38" t="s">
        <v>1083</v>
      </c>
      <c r="E144" s="38" t="s">
        <v>761</v>
      </c>
      <c r="F144" s="38" t="s">
        <v>1084</v>
      </c>
      <c r="G144" s="39" t="s">
        <v>231</v>
      </c>
      <c r="H144" s="49" t="s">
        <v>62</v>
      </c>
      <c r="I144" s="39" t="s">
        <v>63</v>
      </c>
      <c r="J144" s="55"/>
      <c r="K144" s="56"/>
      <c r="L144" s="55"/>
      <c r="M144" s="51" t="b">
        <v>0</v>
      </c>
      <c r="N144" s="46"/>
      <c r="O144" s="46"/>
      <c r="P144" s="46"/>
      <c r="Q144" s="47"/>
      <c r="R144" s="47"/>
      <c r="S144" s="46"/>
      <c r="T144" s="46"/>
      <c r="U144" s="13"/>
      <c r="V144" s="13"/>
      <c r="W144" s="13"/>
      <c r="X144" s="13"/>
      <c r="Y144" s="13"/>
      <c r="Z144" s="13"/>
      <c r="AA144" s="13"/>
      <c r="AB144" s="13"/>
      <c r="AC144" s="13"/>
    </row>
    <row r="145" ht="16.5" hidden="1" customHeight="1">
      <c r="A145" s="35">
        <v>142.0</v>
      </c>
      <c r="B145" s="36" t="s">
        <v>1085</v>
      </c>
      <c r="C145" s="37" t="s">
        <v>1086</v>
      </c>
      <c r="D145" s="38" t="s">
        <v>1087</v>
      </c>
      <c r="E145" s="38" t="s">
        <v>1088</v>
      </c>
      <c r="F145" s="38" t="s">
        <v>1089</v>
      </c>
      <c r="G145" s="48" t="s">
        <v>231</v>
      </c>
      <c r="H145" s="49" t="s">
        <v>62</v>
      </c>
      <c r="I145" s="58" t="s">
        <v>63</v>
      </c>
      <c r="J145" s="113"/>
      <c r="K145" s="56"/>
      <c r="L145" s="55"/>
      <c r="M145" s="51" t="b">
        <v>0</v>
      </c>
      <c r="N145" s="46"/>
      <c r="O145" s="46"/>
      <c r="P145" s="46" t="s">
        <v>1090</v>
      </c>
      <c r="Q145" s="47"/>
      <c r="R145" s="47"/>
      <c r="S145" s="46"/>
      <c r="T145" s="46"/>
      <c r="U145" s="13"/>
      <c r="V145" s="13"/>
      <c r="W145" s="13"/>
      <c r="X145" s="13"/>
      <c r="Y145" s="13"/>
      <c r="Z145" s="13"/>
      <c r="AA145" s="13"/>
      <c r="AB145" s="13"/>
      <c r="AC145" s="13"/>
    </row>
    <row r="146" ht="16.5" customHeight="1">
      <c r="A146" s="35">
        <v>143.0</v>
      </c>
      <c r="B146" s="36" t="s">
        <v>1091</v>
      </c>
      <c r="C146" s="37" t="s">
        <v>1092</v>
      </c>
      <c r="D146" s="38" t="s">
        <v>1093</v>
      </c>
      <c r="E146" s="38" t="s">
        <v>1094</v>
      </c>
      <c r="F146" s="38" t="s">
        <v>1095</v>
      </c>
      <c r="G146" s="39" t="s">
        <v>1096</v>
      </c>
      <c r="H146" s="49" t="s">
        <v>49</v>
      </c>
      <c r="I146" s="39" t="s">
        <v>39</v>
      </c>
      <c r="J146" s="39" t="s">
        <v>676</v>
      </c>
      <c r="K146" s="41" t="s">
        <v>1097</v>
      </c>
      <c r="L146" s="39" t="s">
        <v>1098</v>
      </c>
      <c r="M146" s="51" t="b">
        <v>1</v>
      </c>
      <c r="N146" s="57" t="s">
        <v>1099</v>
      </c>
      <c r="O146" s="69"/>
      <c r="P146" s="46"/>
      <c r="Q146" s="47"/>
      <c r="R146" s="47"/>
      <c r="S146" s="46"/>
      <c r="T146" s="46"/>
      <c r="U146" s="13"/>
      <c r="V146" s="13"/>
      <c r="W146" s="13"/>
      <c r="X146" s="13"/>
      <c r="Y146" s="13"/>
      <c r="Z146" s="13"/>
      <c r="AA146" s="13"/>
      <c r="AB146" s="13"/>
      <c r="AC146" s="13"/>
    </row>
    <row r="147" ht="16.5" customHeight="1">
      <c r="A147" s="35">
        <v>144.0</v>
      </c>
      <c r="B147" s="36" t="s">
        <v>1100</v>
      </c>
      <c r="C147" s="37" t="s">
        <v>1101</v>
      </c>
      <c r="D147" s="38" t="s">
        <v>1102</v>
      </c>
      <c r="E147" s="38" t="s">
        <v>1103</v>
      </c>
      <c r="F147" s="38" t="s">
        <v>1104</v>
      </c>
      <c r="G147" s="39" t="s">
        <v>1105</v>
      </c>
      <c r="H147" s="49" t="s">
        <v>49</v>
      </c>
      <c r="I147" s="39" t="s">
        <v>39</v>
      </c>
      <c r="J147" s="39" t="s">
        <v>856</v>
      </c>
      <c r="K147" s="41" t="s">
        <v>1106</v>
      </c>
      <c r="L147" s="39"/>
      <c r="M147" s="51" t="b">
        <v>1</v>
      </c>
      <c r="N147" s="57" t="s">
        <v>1107</v>
      </c>
      <c r="O147" s="69"/>
      <c r="P147" s="46"/>
      <c r="Q147" s="47"/>
      <c r="R147" s="47"/>
      <c r="S147" s="46"/>
      <c r="T147" s="46"/>
      <c r="U147" s="13"/>
      <c r="V147" s="13"/>
      <c r="W147" s="13"/>
      <c r="X147" s="13"/>
      <c r="Y147" s="13"/>
      <c r="Z147" s="13"/>
      <c r="AA147" s="13"/>
      <c r="AB147" s="13"/>
      <c r="AC147" s="13"/>
    </row>
    <row r="148" ht="16.5" customHeight="1">
      <c r="A148" s="35">
        <v>145.0</v>
      </c>
      <c r="B148" s="36" t="s">
        <v>1108</v>
      </c>
      <c r="C148" s="37" t="s">
        <v>1109</v>
      </c>
      <c r="D148" s="38" t="s">
        <v>1110</v>
      </c>
      <c r="E148" s="38"/>
      <c r="F148" s="38" t="s">
        <v>1111</v>
      </c>
      <c r="G148" s="39" t="s">
        <v>1112</v>
      </c>
      <c r="H148" s="49" t="s">
        <v>49</v>
      </c>
      <c r="I148" s="39" t="s">
        <v>39</v>
      </c>
      <c r="J148" s="39" t="s">
        <v>676</v>
      </c>
      <c r="K148" s="41" t="s">
        <v>152</v>
      </c>
      <c r="L148" s="39" t="s">
        <v>1113</v>
      </c>
      <c r="M148" s="51" t="b">
        <v>1</v>
      </c>
      <c r="N148" s="57" t="s">
        <v>1114</v>
      </c>
      <c r="O148" s="46"/>
      <c r="P148" s="46" t="s">
        <v>1115</v>
      </c>
      <c r="Q148" s="47"/>
      <c r="R148" s="47"/>
      <c r="S148" s="46"/>
      <c r="T148" s="46"/>
      <c r="U148" s="13"/>
      <c r="V148" s="13"/>
      <c r="W148" s="13"/>
      <c r="X148" s="13"/>
      <c r="Y148" s="13"/>
      <c r="Z148" s="13"/>
      <c r="AA148" s="13"/>
      <c r="AB148" s="13"/>
      <c r="AC148" s="13"/>
    </row>
    <row r="149" ht="409.5" hidden="1" customHeight="1">
      <c r="A149" s="35">
        <v>146.0</v>
      </c>
      <c r="B149" s="36" t="s">
        <v>1116</v>
      </c>
      <c r="C149" s="37" t="s">
        <v>1117</v>
      </c>
      <c r="D149" s="38" t="s">
        <v>1118</v>
      </c>
      <c r="E149" s="38"/>
      <c r="F149" s="38" t="s">
        <v>1119</v>
      </c>
      <c r="G149" s="39" t="s">
        <v>231</v>
      </c>
      <c r="H149" s="49" t="s">
        <v>62</v>
      </c>
      <c r="I149" s="39" t="s">
        <v>63</v>
      </c>
      <c r="J149" s="55"/>
      <c r="K149" s="56"/>
      <c r="L149" s="55"/>
      <c r="M149" s="51" t="b">
        <v>0</v>
      </c>
      <c r="N149" s="46"/>
      <c r="O149" s="46"/>
      <c r="P149" s="46"/>
      <c r="Q149" s="47"/>
      <c r="R149" s="47"/>
      <c r="S149" s="46"/>
      <c r="T149" s="46"/>
      <c r="U149" s="13"/>
      <c r="V149" s="13"/>
      <c r="W149" s="13"/>
      <c r="X149" s="13"/>
      <c r="Y149" s="13"/>
      <c r="Z149" s="13"/>
      <c r="AA149" s="13"/>
      <c r="AB149" s="13"/>
      <c r="AC149" s="13"/>
    </row>
    <row r="150" ht="16.5" customHeight="1">
      <c r="A150" s="35">
        <v>147.0</v>
      </c>
      <c r="B150" s="36" t="s">
        <v>1120</v>
      </c>
      <c r="C150" s="37" t="s">
        <v>1121</v>
      </c>
      <c r="D150" s="38" t="s">
        <v>1122</v>
      </c>
      <c r="E150" s="38" t="s">
        <v>1058</v>
      </c>
      <c r="F150" s="38" t="s">
        <v>1123</v>
      </c>
      <c r="G150" s="39" t="s">
        <v>1124</v>
      </c>
      <c r="H150" s="49" t="s">
        <v>49</v>
      </c>
      <c r="I150" s="39" t="s">
        <v>39</v>
      </c>
      <c r="J150" s="39" t="s">
        <v>1125</v>
      </c>
      <c r="K150" s="41" t="s">
        <v>1126</v>
      </c>
      <c r="L150" s="39"/>
      <c r="M150" s="51" t="b">
        <v>1</v>
      </c>
      <c r="N150" s="57" t="s">
        <v>1127</v>
      </c>
      <c r="O150" s="69"/>
      <c r="P150" s="46"/>
      <c r="Q150" s="47"/>
      <c r="R150" s="47"/>
      <c r="S150" s="46"/>
      <c r="T150" s="46"/>
      <c r="U150" s="13"/>
      <c r="V150" s="13"/>
      <c r="W150" s="13"/>
      <c r="X150" s="13"/>
      <c r="Y150" s="13"/>
      <c r="Z150" s="13"/>
      <c r="AA150" s="13"/>
      <c r="AB150" s="13"/>
      <c r="AC150" s="13"/>
    </row>
    <row r="151" ht="16.5" customHeight="1">
      <c r="A151" s="35">
        <v>148.0</v>
      </c>
      <c r="B151" s="36" t="s">
        <v>1128</v>
      </c>
      <c r="C151" s="37" t="s">
        <v>1129</v>
      </c>
      <c r="D151" s="38" t="s">
        <v>1130</v>
      </c>
      <c r="E151" s="38"/>
      <c r="F151" s="38" t="s">
        <v>1131</v>
      </c>
      <c r="G151" s="39" t="s">
        <v>1132</v>
      </c>
      <c r="H151" s="49" t="s">
        <v>38</v>
      </c>
      <c r="I151" s="39" t="s">
        <v>39</v>
      </c>
      <c r="J151" s="66" t="s">
        <v>151</v>
      </c>
      <c r="K151" s="67" t="s">
        <v>774</v>
      </c>
      <c r="L151" s="59" t="s">
        <v>1133</v>
      </c>
      <c r="M151" s="51" t="b">
        <v>1</v>
      </c>
      <c r="N151" s="68" t="s">
        <v>1134</v>
      </c>
      <c r="O151" s="69"/>
      <c r="P151" s="46"/>
      <c r="Q151" s="47"/>
      <c r="R151" s="47"/>
      <c r="S151" s="46"/>
      <c r="T151" s="46"/>
      <c r="U151" s="13"/>
      <c r="V151" s="13"/>
      <c r="W151" s="13"/>
      <c r="X151" s="13"/>
      <c r="Y151" s="13"/>
      <c r="Z151" s="13"/>
      <c r="AA151" s="13"/>
      <c r="AB151" s="13"/>
      <c r="AC151" s="13"/>
    </row>
    <row r="152" ht="16.5" hidden="1" customHeight="1">
      <c r="A152" s="35">
        <v>149.0</v>
      </c>
      <c r="B152" s="36" t="s">
        <v>1135</v>
      </c>
      <c r="C152" s="37" t="s">
        <v>1136</v>
      </c>
      <c r="D152" s="38" t="s">
        <v>1137</v>
      </c>
      <c r="E152" s="38"/>
      <c r="F152" s="38" t="s">
        <v>1138</v>
      </c>
      <c r="G152" s="48" t="s">
        <v>1139</v>
      </c>
      <c r="H152" s="49" t="s">
        <v>62</v>
      </c>
      <c r="I152" s="39" t="s">
        <v>63</v>
      </c>
      <c r="J152" s="55"/>
      <c r="K152" s="56"/>
      <c r="L152" s="55"/>
      <c r="M152" s="51" t="b">
        <v>0</v>
      </c>
      <c r="N152" s="46"/>
      <c r="O152" s="46"/>
      <c r="P152" s="46"/>
      <c r="Q152" s="47"/>
      <c r="R152" s="47"/>
      <c r="S152" s="46"/>
      <c r="T152" s="46"/>
      <c r="U152" s="13"/>
      <c r="V152" s="13"/>
      <c r="W152" s="13"/>
      <c r="X152" s="13"/>
      <c r="Y152" s="13"/>
      <c r="Z152" s="13"/>
      <c r="AA152" s="13"/>
      <c r="AB152" s="13"/>
      <c r="AC152" s="13"/>
    </row>
    <row r="153" ht="16.5" customHeight="1">
      <c r="A153" s="35">
        <v>150.0</v>
      </c>
      <c r="B153" s="36" t="s">
        <v>1140</v>
      </c>
      <c r="C153" s="37" t="s">
        <v>1141</v>
      </c>
      <c r="D153" s="38" t="s">
        <v>1142</v>
      </c>
      <c r="E153" s="38"/>
      <c r="F153" s="38" t="s">
        <v>1143</v>
      </c>
      <c r="G153" s="39" t="s">
        <v>1144</v>
      </c>
      <c r="H153" s="49" t="s">
        <v>38</v>
      </c>
      <c r="I153" s="39" t="s">
        <v>39</v>
      </c>
      <c r="J153" s="66" t="s">
        <v>151</v>
      </c>
      <c r="K153" s="67" t="s">
        <v>173</v>
      </c>
      <c r="L153" s="59"/>
      <c r="M153" s="51" t="b">
        <v>1</v>
      </c>
      <c r="N153" s="68" t="s">
        <v>190</v>
      </c>
      <c r="O153" s="69"/>
      <c r="P153" s="46"/>
      <c r="Q153" s="47"/>
      <c r="R153" s="47"/>
      <c r="S153" s="46"/>
      <c r="T153" s="46"/>
      <c r="U153" s="13"/>
      <c r="V153" s="13"/>
      <c r="W153" s="13"/>
      <c r="X153" s="13"/>
      <c r="Y153" s="13"/>
      <c r="Z153" s="13"/>
      <c r="AA153" s="13"/>
      <c r="AB153" s="13"/>
      <c r="AC153" s="13"/>
    </row>
    <row r="154" ht="16.5" customHeight="1">
      <c r="A154" s="35">
        <v>151.0</v>
      </c>
      <c r="B154" s="36" t="s">
        <v>1145</v>
      </c>
      <c r="C154" s="37" t="s">
        <v>1146</v>
      </c>
      <c r="D154" s="38" t="s">
        <v>1147</v>
      </c>
      <c r="E154" s="38"/>
      <c r="F154" s="38" t="s">
        <v>1148</v>
      </c>
      <c r="G154" s="39" t="s">
        <v>1149</v>
      </c>
      <c r="H154" s="49" t="s">
        <v>38</v>
      </c>
      <c r="I154" s="39" t="s">
        <v>39</v>
      </c>
      <c r="J154" s="66" t="s">
        <v>151</v>
      </c>
      <c r="K154" s="67" t="s">
        <v>1150</v>
      </c>
      <c r="L154" s="59" t="s">
        <v>1151</v>
      </c>
      <c r="M154" s="51" t="b">
        <v>1</v>
      </c>
      <c r="N154" s="68" t="s">
        <v>1152</v>
      </c>
      <c r="O154" s="69"/>
      <c r="P154" s="46"/>
      <c r="Q154" s="47"/>
      <c r="R154" s="47"/>
      <c r="S154" s="46"/>
      <c r="T154" s="46"/>
      <c r="U154" s="13"/>
      <c r="V154" s="13"/>
      <c r="W154" s="13"/>
      <c r="X154" s="13"/>
      <c r="Y154" s="13"/>
      <c r="Z154" s="13"/>
      <c r="AA154" s="13"/>
      <c r="AB154" s="13"/>
      <c r="AC154" s="13"/>
    </row>
    <row r="155" ht="376.5" customHeight="1">
      <c r="A155" s="35">
        <v>152.0</v>
      </c>
      <c r="B155" s="36" t="s">
        <v>1153</v>
      </c>
      <c r="C155" s="114" t="s">
        <v>1154</v>
      </c>
      <c r="D155" s="38" t="s">
        <v>1155</v>
      </c>
      <c r="E155" s="38" t="s">
        <v>1156</v>
      </c>
      <c r="F155" s="38" t="s">
        <v>1157</v>
      </c>
      <c r="G155" s="58" t="s">
        <v>1158</v>
      </c>
      <c r="H155" s="49" t="s">
        <v>49</v>
      </c>
      <c r="I155" s="58" t="s">
        <v>39</v>
      </c>
      <c r="J155" s="39" t="s">
        <v>1159</v>
      </c>
      <c r="K155" s="89" t="s">
        <v>173</v>
      </c>
      <c r="L155" s="60"/>
      <c r="M155" s="51" t="b">
        <v>1</v>
      </c>
      <c r="N155" s="68" t="s">
        <v>1160</v>
      </c>
      <c r="O155" s="99"/>
      <c r="P155" s="97"/>
      <c r="Q155" s="115"/>
      <c r="R155" s="115"/>
      <c r="S155" s="97"/>
      <c r="T155" s="97"/>
      <c r="U155" s="13"/>
      <c r="V155" s="13"/>
      <c r="W155" s="13"/>
      <c r="X155" s="13"/>
      <c r="Y155" s="13"/>
      <c r="Z155" s="13"/>
      <c r="AA155" s="13"/>
      <c r="AB155" s="13"/>
      <c r="AC155" s="13"/>
    </row>
    <row r="156" ht="288.0" hidden="1" customHeight="1">
      <c r="A156" s="35">
        <v>153.0</v>
      </c>
      <c r="B156" s="36" t="s">
        <v>1161</v>
      </c>
      <c r="C156" s="37" t="s">
        <v>1162</v>
      </c>
      <c r="D156" s="38" t="s">
        <v>1163</v>
      </c>
      <c r="E156" s="38"/>
      <c r="F156" s="38" t="s">
        <v>1164</v>
      </c>
      <c r="G156" s="39" t="s">
        <v>231</v>
      </c>
      <c r="H156" s="49" t="s">
        <v>62</v>
      </c>
      <c r="I156" s="39" t="s">
        <v>63</v>
      </c>
      <c r="J156" s="55"/>
      <c r="K156" s="56"/>
      <c r="L156" s="55"/>
      <c r="M156" s="51" t="b">
        <v>0</v>
      </c>
      <c r="N156" s="46"/>
      <c r="O156" s="46"/>
      <c r="P156" s="46"/>
      <c r="Q156" s="47"/>
      <c r="R156" s="47"/>
      <c r="S156" s="46"/>
      <c r="T156" s="46"/>
      <c r="U156" s="13"/>
      <c r="V156" s="13"/>
      <c r="W156" s="13"/>
      <c r="X156" s="13"/>
      <c r="Y156" s="13"/>
      <c r="Z156" s="13"/>
      <c r="AA156" s="13"/>
      <c r="AB156" s="13"/>
      <c r="AC156" s="13"/>
    </row>
    <row r="157" ht="16.5" customHeight="1">
      <c r="A157" s="35">
        <v>154.0</v>
      </c>
      <c r="B157" s="36" t="s">
        <v>1165</v>
      </c>
      <c r="C157" s="37" t="s">
        <v>1166</v>
      </c>
      <c r="D157" s="38" t="s">
        <v>1167</v>
      </c>
      <c r="E157" s="38"/>
      <c r="F157" s="38" t="s">
        <v>1168</v>
      </c>
      <c r="G157" s="39" t="s">
        <v>1169</v>
      </c>
      <c r="H157" s="49" t="s">
        <v>49</v>
      </c>
      <c r="I157" s="39" t="s">
        <v>39</v>
      </c>
      <c r="J157" s="39" t="s">
        <v>916</v>
      </c>
      <c r="K157" s="41" t="s">
        <v>1150</v>
      </c>
      <c r="L157" s="39" t="s">
        <v>1170</v>
      </c>
      <c r="M157" s="51" t="b">
        <v>1</v>
      </c>
      <c r="N157" s="57" t="s">
        <v>1171</v>
      </c>
      <c r="O157" s="69"/>
      <c r="P157" s="46"/>
      <c r="Q157" s="47"/>
      <c r="R157" s="47"/>
      <c r="S157" s="46"/>
      <c r="T157" s="46"/>
      <c r="U157" s="98"/>
      <c r="V157" s="13"/>
      <c r="W157" s="13"/>
      <c r="X157" s="13"/>
      <c r="Y157" s="13"/>
      <c r="Z157" s="13"/>
      <c r="AA157" s="13"/>
      <c r="AB157" s="13"/>
      <c r="AC157" s="13"/>
    </row>
    <row r="158" ht="16.5" customHeight="1">
      <c r="A158" s="35">
        <v>155.0</v>
      </c>
      <c r="B158" s="36" t="s">
        <v>1172</v>
      </c>
      <c r="C158" s="37" t="s">
        <v>1173</v>
      </c>
      <c r="D158" s="38" t="s">
        <v>1174</v>
      </c>
      <c r="E158" s="38" t="s">
        <v>1175</v>
      </c>
      <c r="F158" s="38" t="s">
        <v>1176</v>
      </c>
      <c r="G158" s="48" t="s">
        <v>1177</v>
      </c>
      <c r="H158" s="49" t="s">
        <v>38</v>
      </c>
      <c r="I158" s="39" t="s">
        <v>39</v>
      </c>
      <c r="J158" s="39" t="s">
        <v>787</v>
      </c>
      <c r="K158" s="41" t="s">
        <v>800</v>
      </c>
      <c r="L158" s="39"/>
      <c r="M158" s="51" t="b">
        <v>1</v>
      </c>
      <c r="N158" s="57" t="s">
        <v>1178</v>
      </c>
      <c r="O158" s="46"/>
      <c r="P158" s="46" t="s">
        <v>1179</v>
      </c>
      <c r="Q158" s="47"/>
      <c r="R158" s="47"/>
      <c r="S158" s="46"/>
      <c r="T158" s="46"/>
      <c r="U158" s="13"/>
      <c r="V158" s="13"/>
      <c r="W158" s="13"/>
      <c r="X158" s="13"/>
      <c r="Y158" s="13"/>
      <c r="Z158" s="13"/>
      <c r="AA158" s="13"/>
      <c r="AB158" s="13"/>
      <c r="AC158" s="13"/>
    </row>
    <row r="159" ht="16.5" customHeight="1">
      <c r="A159" s="35">
        <v>156.0</v>
      </c>
      <c r="B159" s="36" t="s">
        <v>1180</v>
      </c>
      <c r="C159" s="37" t="s">
        <v>1181</v>
      </c>
      <c r="D159" s="38" t="s">
        <v>1182</v>
      </c>
      <c r="E159" s="38" t="s">
        <v>1183</v>
      </c>
      <c r="F159" s="38" t="s">
        <v>1184</v>
      </c>
      <c r="G159" s="39" t="s">
        <v>1185</v>
      </c>
      <c r="H159" s="49" t="s">
        <v>49</v>
      </c>
      <c r="I159" s="86" t="s">
        <v>39</v>
      </c>
      <c r="J159" s="39" t="s">
        <v>551</v>
      </c>
      <c r="K159" s="95" t="s">
        <v>214</v>
      </c>
      <c r="L159" s="94" t="s">
        <v>1186</v>
      </c>
      <c r="M159" s="51" t="b">
        <v>1</v>
      </c>
      <c r="N159" s="57" t="s">
        <v>1187</v>
      </c>
      <c r="O159" s="45"/>
      <c r="P159" s="46"/>
      <c r="Q159" s="47"/>
      <c r="R159" s="47"/>
      <c r="S159" s="46"/>
      <c r="T159" s="46"/>
      <c r="U159" s="13"/>
      <c r="V159" s="13"/>
      <c r="W159" s="13"/>
      <c r="X159" s="13"/>
      <c r="Y159" s="13"/>
      <c r="Z159" s="13"/>
      <c r="AA159" s="13"/>
      <c r="AB159" s="13"/>
      <c r="AC159" s="13"/>
    </row>
    <row r="160" ht="16.5" customHeight="1">
      <c r="A160" s="35">
        <v>157.0</v>
      </c>
      <c r="B160" s="36" t="s">
        <v>1188</v>
      </c>
      <c r="C160" s="37" t="s">
        <v>1189</v>
      </c>
      <c r="D160" s="38" t="s">
        <v>1190</v>
      </c>
      <c r="E160" s="38" t="s">
        <v>1191</v>
      </c>
      <c r="F160" s="38" t="s">
        <v>1192</v>
      </c>
      <c r="G160" s="39" t="s">
        <v>1193</v>
      </c>
      <c r="H160" s="49" t="s">
        <v>49</v>
      </c>
      <c r="I160" s="39" t="s">
        <v>39</v>
      </c>
      <c r="J160" s="39" t="s">
        <v>1194</v>
      </c>
      <c r="K160" s="41" t="s">
        <v>1195</v>
      </c>
      <c r="L160" s="39" t="s">
        <v>1196</v>
      </c>
      <c r="M160" s="51" t="b">
        <v>1</v>
      </c>
      <c r="N160" s="57" t="s">
        <v>1197</v>
      </c>
      <c r="O160" s="69"/>
      <c r="P160" s="46"/>
      <c r="Q160" s="47"/>
      <c r="R160" s="47"/>
      <c r="S160" s="46"/>
      <c r="T160" s="46"/>
      <c r="U160" s="13"/>
      <c r="V160" s="13"/>
      <c r="W160" s="13"/>
      <c r="X160" s="13"/>
      <c r="Y160" s="13"/>
      <c r="Z160" s="13"/>
      <c r="AA160" s="13"/>
      <c r="AB160" s="13"/>
      <c r="AC160" s="13"/>
    </row>
    <row r="161" ht="16.5" hidden="1" customHeight="1">
      <c r="A161" s="35">
        <v>158.0</v>
      </c>
      <c r="B161" s="101" t="s">
        <v>1198</v>
      </c>
      <c r="C161" s="37" t="s">
        <v>1199</v>
      </c>
      <c r="D161" s="38" t="s">
        <v>1200</v>
      </c>
      <c r="E161" s="38"/>
      <c r="F161" s="38" t="s">
        <v>1201</v>
      </c>
      <c r="G161" s="39" t="s">
        <v>231</v>
      </c>
      <c r="H161" s="49" t="s">
        <v>62</v>
      </c>
      <c r="I161" s="39" t="s">
        <v>63</v>
      </c>
      <c r="J161" s="55"/>
      <c r="K161" s="56"/>
      <c r="L161" s="55"/>
      <c r="M161" s="51" t="b">
        <v>0</v>
      </c>
      <c r="N161" s="46"/>
      <c r="O161" s="46"/>
      <c r="P161" s="46"/>
      <c r="Q161" s="47"/>
      <c r="R161" s="47"/>
      <c r="S161" s="46"/>
      <c r="T161" s="46"/>
      <c r="U161" s="13"/>
      <c r="V161" s="13"/>
      <c r="W161" s="13"/>
      <c r="X161" s="13"/>
      <c r="Y161" s="13"/>
      <c r="Z161" s="13"/>
      <c r="AA161" s="13"/>
      <c r="AB161" s="13"/>
      <c r="AC161" s="13"/>
    </row>
    <row r="162" ht="16.5" customHeight="1">
      <c r="A162" s="35">
        <v>159.0</v>
      </c>
      <c r="B162" s="36" t="s">
        <v>1202</v>
      </c>
      <c r="C162" s="37" t="s">
        <v>1203</v>
      </c>
      <c r="D162" s="38" t="s">
        <v>1204</v>
      </c>
      <c r="E162" s="38"/>
      <c r="F162" s="38" t="s">
        <v>461</v>
      </c>
      <c r="G162" s="48" t="s">
        <v>807</v>
      </c>
      <c r="H162" s="49" t="s">
        <v>49</v>
      </c>
      <c r="I162" s="39" t="s">
        <v>39</v>
      </c>
      <c r="J162" s="91" t="s">
        <v>462</v>
      </c>
      <c r="K162" s="92" t="s">
        <v>463</v>
      </c>
      <c r="L162" s="93" t="s">
        <v>464</v>
      </c>
      <c r="M162" s="51" t="b">
        <v>1</v>
      </c>
      <c r="N162" s="57" t="s">
        <v>465</v>
      </c>
      <c r="O162" s="45" t="s">
        <v>1205</v>
      </c>
      <c r="P162" s="46"/>
      <c r="Q162" s="47"/>
      <c r="R162" s="47"/>
      <c r="S162" s="46"/>
      <c r="T162" s="46"/>
      <c r="U162" s="13"/>
      <c r="V162" s="13"/>
      <c r="W162" s="13"/>
      <c r="X162" s="13"/>
      <c r="Y162" s="13"/>
      <c r="Z162" s="13"/>
      <c r="AA162" s="13"/>
      <c r="AB162" s="13"/>
      <c r="AC162" s="13"/>
    </row>
    <row r="163" ht="16.5" customHeight="1">
      <c r="A163" s="35">
        <v>160.0</v>
      </c>
      <c r="B163" s="36" t="s">
        <v>1206</v>
      </c>
      <c r="C163" s="37" t="s">
        <v>1207</v>
      </c>
      <c r="D163" s="38" t="s">
        <v>1208</v>
      </c>
      <c r="E163" s="38" t="s">
        <v>1209</v>
      </c>
      <c r="F163" s="38" t="s">
        <v>196</v>
      </c>
      <c r="G163" s="39" t="s">
        <v>1210</v>
      </c>
      <c r="H163" s="49" t="s">
        <v>49</v>
      </c>
      <c r="I163" s="39" t="s">
        <v>39</v>
      </c>
      <c r="J163" s="39" t="s">
        <v>422</v>
      </c>
      <c r="K163" s="41" t="s">
        <v>1211</v>
      </c>
      <c r="L163" s="39" t="s">
        <v>1212</v>
      </c>
      <c r="M163" s="51" t="b">
        <v>1</v>
      </c>
      <c r="N163" s="87" t="s">
        <v>292</v>
      </c>
      <c r="O163" s="45" t="s">
        <v>1213</v>
      </c>
      <c r="P163" s="46"/>
      <c r="Q163" s="47"/>
      <c r="R163" s="47"/>
      <c r="S163" s="46"/>
      <c r="T163" s="46"/>
      <c r="U163" s="13"/>
      <c r="V163" s="13"/>
      <c r="W163" s="13"/>
      <c r="X163" s="13"/>
      <c r="Y163" s="13"/>
      <c r="Z163" s="13"/>
      <c r="AA163" s="13"/>
      <c r="AB163" s="13"/>
      <c r="AC163" s="13"/>
    </row>
    <row r="164" ht="409.5" hidden="1" customHeight="1">
      <c r="A164" s="35">
        <v>161.0</v>
      </c>
      <c r="B164" s="36" t="s">
        <v>1214</v>
      </c>
      <c r="C164" s="37" t="s">
        <v>1215</v>
      </c>
      <c r="D164" s="38" t="s">
        <v>1216</v>
      </c>
      <c r="E164" s="38"/>
      <c r="F164" s="38" t="s">
        <v>1217</v>
      </c>
      <c r="G164" s="39" t="s">
        <v>231</v>
      </c>
      <c r="H164" s="49" t="s">
        <v>62</v>
      </c>
      <c r="I164" s="39" t="s">
        <v>63</v>
      </c>
      <c r="J164" s="55"/>
      <c r="K164" s="56"/>
      <c r="L164" s="55"/>
      <c r="M164" s="51" t="b">
        <v>0</v>
      </c>
      <c r="N164" s="46"/>
      <c r="O164" s="46"/>
      <c r="P164" s="46"/>
      <c r="Q164" s="47"/>
      <c r="R164" s="47"/>
      <c r="S164" s="46"/>
      <c r="T164" s="46"/>
      <c r="U164" s="13"/>
      <c r="V164" s="13"/>
      <c r="W164" s="13"/>
      <c r="X164" s="13"/>
      <c r="Y164" s="13"/>
      <c r="Z164" s="13"/>
      <c r="AA164" s="13"/>
      <c r="AB164" s="13"/>
      <c r="AC164" s="13"/>
    </row>
    <row r="165" ht="16.5" customHeight="1">
      <c r="A165" s="35">
        <v>162.0</v>
      </c>
      <c r="B165" s="36" t="s">
        <v>1218</v>
      </c>
      <c r="C165" s="37" t="s">
        <v>1219</v>
      </c>
      <c r="D165" s="38" t="s">
        <v>1220</v>
      </c>
      <c r="E165" s="38" t="s">
        <v>683</v>
      </c>
      <c r="F165" s="38" t="s">
        <v>1221</v>
      </c>
      <c r="G165" s="39" t="s">
        <v>1222</v>
      </c>
      <c r="H165" s="49" t="s">
        <v>49</v>
      </c>
      <c r="I165" s="86" t="s">
        <v>39</v>
      </c>
      <c r="J165" s="39" t="s">
        <v>551</v>
      </c>
      <c r="K165" s="95" t="s">
        <v>1006</v>
      </c>
      <c r="L165" s="94" t="s">
        <v>1007</v>
      </c>
      <c r="M165" s="51" t="b">
        <v>1</v>
      </c>
      <c r="N165" s="57" t="s">
        <v>687</v>
      </c>
      <c r="O165" s="45" t="s">
        <v>1223</v>
      </c>
      <c r="P165" s="46"/>
      <c r="Q165" s="47"/>
      <c r="R165" s="47"/>
      <c r="S165" s="46"/>
      <c r="T165" s="46"/>
      <c r="U165" s="13"/>
      <c r="V165" s="13"/>
      <c r="W165" s="13"/>
      <c r="X165" s="13"/>
      <c r="Y165" s="13"/>
      <c r="Z165" s="13"/>
      <c r="AA165" s="13"/>
      <c r="AB165" s="13"/>
      <c r="AC165" s="13"/>
    </row>
    <row r="166" ht="16.5" customHeight="1">
      <c r="A166" s="35">
        <v>163.0</v>
      </c>
      <c r="B166" s="74" t="s">
        <v>1224</v>
      </c>
      <c r="C166" s="37" t="s">
        <v>1225</v>
      </c>
      <c r="D166" s="38" t="s">
        <v>1226</v>
      </c>
      <c r="E166" s="38" t="s">
        <v>1227</v>
      </c>
      <c r="F166" s="38" t="s">
        <v>1228</v>
      </c>
      <c r="G166" s="39" t="s">
        <v>1229</v>
      </c>
      <c r="H166" s="49" t="s">
        <v>49</v>
      </c>
      <c r="I166" s="39" t="s">
        <v>39</v>
      </c>
      <c r="J166" s="66" t="s">
        <v>151</v>
      </c>
      <c r="K166" s="107" t="s">
        <v>641</v>
      </c>
      <c r="L166" s="116" t="s">
        <v>1230</v>
      </c>
      <c r="M166" s="51" t="b">
        <v>1</v>
      </c>
      <c r="N166" s="61" t="s">
        <v>292</v>
      </c>
      <c r="O166" s="64" t="s">
        <v>1231</v>
      </c>
      <c r="P166" s="35" t="s">
        <v>1232</v>
      </c>
      <c r="Q166" s="35" t="s">
        <v>1233</v>
      </c>
      <c r="R166" s="47"/>
      <c r="S166" s="46"/>
      <c r="T166" s="46"/>
      <c r="U166" s="13"/>
      <c r="V166" s="13"/>
      <c r="W166" s="13"/>
      <c r="X166" s="13"/>
      <c r="Y166" s="13"/>
      <c r="Z166" s="13"/>
      <c r="AA166" s="13"/>
      <c r="AB166" s="13"/>
      <c r="AC166" s="13"/>
    </row>
    <row r="167" ht="16.5" customHeight="1">
      <c r="A167" s="35">
        <v>164.0</v>
      </c>
      <c r="B167" s="36" t="s">
        <v>1234</v>
      </c>
      <c r="C167" s="37" t="s">
        <v>1235</v>
      </c>
      <c r="D167" s="38" t="s">
        <v>1236</v>
      </c>
      <c r="E167" s="38" t="s">
        <v>1237</v>
      </c>
      <c r="F167" s="38" t="s">
        <v>1238</v>
      </c>
      <c r="G167" s="39" t="s">
        <v>1239</v>
      </c>
      <c r="H167" s="49" t="s">
        <v>49</v>
      </c>
      <c r="I167" s="39" t="s">
        <v>39</v>
      </c>
      <c r="J167" s="39" t="s">
        <v>916</v>
      </c>
      <c r="K167" s="41" t="s">
        <v>1240</v>
      </c>
      <c r="L167" s="39" t="s">
        <v>1241</v>
      </c>
      <c r="M167" s="51" t="b">
        <v>0</v>
      </c>
      <c r="N167" s="44" t="s">
        <v>1242</v>
      </c>
      <c r="O167" s="96" t="s">
        <v>1243</v>
      </c>
      <c r="P167" s="97" t="s">
        <v>1244</v>
      </c>
      <c r="Q167" s="47"/>
      <c r="R167" s="47"/>
      <c r="S167" s="46"/>
      <c r="T167" s="46"/>
      <c r="U167" s="13"/>
      <c r="V167" s="13"/>
      <c r="W167" s="13"/>
      <c r="X167" s="13"/>
      <c r="Y167" s="13"/>
      <c r="Z167" s="13"/>
      <c r="AA167" s="13"/>
      <c r="AB167" s="13"/>
      <c r="AC167" s="13"/>
    </row>
    <row r="168" ht="409.5" customHeight="1">
      <c r="A168" s="35">
        <v>165.0</v>
      </c>
      <c r="B168" s="36" t="s">
        <v>1245</v>
      </c>
      <c r="C168" s="37" t="s">
        <v>1246</v>
      </c>
      <c r="D168" s="38" t="s">
        <v>1247</v>
      </c>
      <c r="E168" s="38" t="s">
        <v>1248</v>
      </c>
      <c r="F168" s="38" t="s">
        <v>1249</v>
      </c>
      <c r="G168" s="39" t="s">
        <v>1250</v>
      </c>
      <c r="H168" s="49" t="s">
        <v>49</v>
      </c>
      <c r="I168" s="39" t="s">
        <v>39</v>
      </c>
      <c r="J168" s="39" t="s">
        <v>1251</v>
      </c>
      <c r="K168" s="41" t="s">
        <v>1252</v>
      </c>
      <c r="L168" s="39" t="s">
        <v>1253</v>
      </c>
      <c r="M168" s="51" t="b">
        <v>1</v>
      </c>
      <c r="N168" s="57" t="s">
        <v>1254</v>
      </c>
      <c r="O168" s="69"/>
      <c r="P168" s="46"/>
      <c r="Q168" s="47"/>
      <c r="R168" s="47"/>
      <c r="S168" s="46"/>
      <c r="T168" s="46"/>
      <c r="U168" s="13"/>
      <c r="V168" s="13"/>
      <c r="W168" s="13"/>
      <c r="X168" s="13"/>
      <c r="Y168" s="13"/>
      <c r="Z168" s="13"/>
      <c r="AA168" s="13"/>
      <c r="AB168" s="13"/>
      <c r="AC168" s="13"/>
    </row>
    <row r="169" ht="342.0" hidden="1" customHeight="1">
      <c r="A169" s="35">
        <v>166.0</v>
      </c>
      <c r="B169" s="36" t="s">
        <v>1255</v>
      </c>
      <c r="C169" s="37" t="s">
        <v>1256</v>
      </c>
      <c r="D169" s="38" t="s">
        <v>1257</v>
      </c>
      <c r="E169" s="38" t="s">
        <v>1258</v>
      </c>
      <c r="F169" s="38" t="s">
        <v>1259</v>
      </c>
      <c r="G169" s="39" t="s">
        <v>231</v>
      </c>
      <c r="H169" s="49" t="s">
        <v>62</v>
      </c>
      <c r="I169" s="39" t="s">
        <v>63</v>
      </c>
      <c r="J169" s="55"/>
      <c r="K169" s="56"/>
      <c r="L169" s="55"/>
      <c r="M169" s="51" t="b">
        <v>0</v>
      </c>
      <c r="N169" s="46"/>
      <c r="O169" s="46"/>
      <c r="P169" s="46"/>
      <c r="Q169" s="47"/>
      <c r="R169" s="47"/>
      <c r="S169" s="46"/>
      <c r="T169" s="46"/>
      <c r="U169" s="13"/>
      <c r="V169" s="13"/>
      <c r="W169" s="13"/>
      <c r="X169" s="13"/>
      <c r="Y169" s="13"/>
      <c r="Z169" s="13"/>
      <c r="AA169" s="13"/>
      <c r="AB169" s="13"/>
      <c r="AC169" s="13"/>
    </row>
    <row r="170" ht="409.5" hidden="1" customHeight="1">
      <c r="A170" s="35">
        <v>167.0</v>
      </c>
      <c r="B170" s="101" t="s">
        <v>1260</v>
      </c>
      <c r="C170" s="37" t="s">
        <v>1261</v>
      </c>
      <c r="D170" s="38" t="s">
        <v>1262</v>
      </c>
      <c r="E170" s="38"/>
      <c r="F170" s="38" t="s">
        <v>1263</v>
      </c>
      <c r="G170" s="39" t="s">
        <v>231</v>
      </c>
      <c r="H170" s="49" t="s">
        <v>62</v>
      </c>
      <c r="I170" s="39" t="s">
        <v>63</v>
      </c>
      <c r="J170" s="55"/>
      <c r="K170" s="56"/>
      <c r="L170" s="55"/>
      <c r="M170" s="51" t="b">
        <v>0</v>
      </c>
      <c r="N170" s="46"/>
      <c r="O170" s="46"/>
      <c r="P170" s="46"/>
      <c r="Q170" s="47"/>
      <c r="R170" s="47"/>
      <c r="S170" s="46"/>
      <c r="T170" s="46"/>
      <c r="U170" s="13"/>
      <c r="V170" s="13"/>
      <c r="W170" s="13"/>
      <c r="X170" s="13"/>
      <c r="Y170" s="13"/>
      <c r="Z170" s="13"/>
      <c r="AA170" s="13"/>
      <c r="AB170" s="13"/>
      <c r="AC170" s="13"/>
    </row>
    <row r="171" ht="16.5" customHeight="1">
      <c r="A171" s="35">
        <v>168.0</v>
      </c>
      <c r="B171" s="36" t="s">
        <v>1264</v>
      </c>
      <c r="C171" s="37" t="s">
        <v>1265</v>
      </c>
      <c r="D171" s="38" t="s">
        <v>1266</v>
      </c>
      <c r="E171" s="38" t="s">
        <v>1267</v>
      </c>
      <c r="F171" s="38" t="s">
        <v>1268</v>
      </c>
      <c r="G171" s="39" t="s">
        <v>491</v>
      </c>
      <c r="H171" s="49" t="s">
        <v>49</v>
      </c>
      <c r="I171" s="94" t="s">
        <v>39</v>
      </c>
      <c r="J171" s="39" t="s">
        <v>492</v>
      </c>
      <c r="K171" s="41" t="s">
        <v>409</v>
      </c>
      <c r="L171" s="39" t="s">
        <v>493</v>
      </c>
      <c r="M171" s="51" t="b">
        <v>1</v>
      </c>
      <c r="N171" s="68" t="s">
        <v>494</v>
      </c>
      <c r="O171" s="45" t="s">
        <v>495</v>
      </c>
      <c r="P171" s="46"/>
      <c r="Q171" s="47"/>
      <c r="R171" s="47"/>
      <c r="S171" s="46"/>
      <c r="T171" s="46"/>
      <c r="U171" s="13"/>
      <c r="V171" s="13"/>
      <c r="W171" s="13"/>
      <c r="X171" s="13"/>
      <c r="Y171" s="13"/>
      <c r="Z171" s="13"/>
      <c r="AA171" s="13"/>
      <c r="AB171" s="13"/>
      <c r="AC171" s="13"/>
    </row>
    <row r="172" ht="16.5" hidden="1" customHeight="1">
      <c r="A172" s="35">
        <v>169.0</v>
      </c>
      <c r="B172" s="101" t="s">
        <v>1269</v>
      </c>
      <c r="C172" s="37" t="s">
        <v>1270</v>
      </c>
      <c r="D172" s="38" t="s">
        <v>1271</v>
      </c>
      <c r="E172" s="38"/>
      <c r="F172" s="38" t="s">
        <v>1272</v>
      </c>
      <c r="G172" s="39" t="s">
        <v>231</v>
      </c>
      <c r="H172" s="49" t="s">
        <v>62</v>
      </c>
      <c r="I172" s="39" t="s">
        <v>63</v>
      </c>
      <c r="J172" s="55"/>
      <c r="K172" s="56"/>
      <c r="L172" s="55"/>
      <c r="M172" s="51" t="b">
        <v>0</v>
      </c>
      <c r="N172" s="46"/>
      <c r="O172" s="46"/>
      <c r="P172" s="46"/>
      <c r="Q172" s="47"/>
      <c r="R172" s="47"/>
      <c r="S172" s="46"/>
      <c r="T172" s="46"/>
      <c r="U172" s="13"/>
      <c r="V172" s="13"/>
      <c r="W172" s="13"/>
      <c r="X172" s="13"/>
      <c r="Y172" s="13"/>
      <c r="Z172" s="13"/>
      <c r="AA172" s="13"/>
      <c r="AB172" s="13"/>
      <c r="AC172" s="13"/>
    </row>
    <row r="173" ht="16.5" customHeight="1">
      <c r="A173" s="35">
        <v>170.0</v>
      </c>
      <c r="B173" s="36" t="s">
        <v>1273</v>
      </c>
      <c r="C173" s="37" t="s">
        <v>1274</v>
      </c>
      <c r="D173" s="38" t="s">
        <v>1275</v>
      </c>
      <c r="E173" s="38"/>
      <c r="F173" s="38" t="s">
        <v>1276</v>
      </c>
      <c r="G173" s="39" t="s">
        <v>1277</v>
      </c>
      <c r="H173" s="49" t="s">
        <v>49</v>
      </c>
      <c r="I173" s="39" t="s">
        <v>39</v>
      </c>
      <c r="J173" s="39" t="s">
        <v>471</v>
      </c>
      <c r="K173" s="41" t="s">
        <v>1126</v>
      </c>
      <c r="L173" s="39" t="s">
        <v>1278</v>
      </c>
      <c r="M173" s="51" t="b">
        <v>1</v>
      </c>
      <c r="N173" s="57" t="s">
        <v>1279</v>
      </c>
      <c r="O173" s="45" t="s">
        <v>1280</v>
      </c>
      <c r="P173" s="46"/>
      <c r="Q173" s="47"/>
      <c r="R173" s="47"/>
      <c r="S173" s="46"/>
      <c r="T173" s="46"/>
      <c r="U173" s="117"/>
      <c r="V173" s="13"/>
      <c r="W173" s="13"/>
      <c r="X173" s="13"/>
      <c r="Y173" s="13"/>
      <c r="Z173" s="13"/>
      <c r="AA173" s="13"/>
      <c r="AB173" s="13"/>
      <c r="AC173" s="13"/>
    </row>
    <row r="174" ht="16.5" hidden="1" customHeight="1">
      <c r="A174" s="35">
        <v>171.0</v>
      </c>
      <c r="B174" s="36" t="s">
        <v>1281</v>
      </c>
      <c r="C174" s="37" t="s">
        <v>1282</v>
      </c>
      <c r="D174" s="38" t="s">
        <v>1283</v>
      </c>
      <c r="E174" s="38"/>
      <c r="F174" s="38" t="s">
        <v>1284</v>
      </c>
      <c r="G174" s="39" t="s">
        <v>231</v>
      </c>
      <c r="H174" s="49" t="s">
        <v>62</v>
      </c>
      <c r="I174" s="39" t="s">
        <v>63</v>
      </c>
      <c r="J174" s="55"/>
      <c r="K174" s="56"/>
      <c r="L174" s="55"/>
      <c r="M174" s="51" t="b">
        <v>0</v>
      </c>
      <c r="N174" s="46"/>
      <c r="O174" s="46"/>
      <c r="P174" s="46"/>
      <c r="Q174" s="47"/>
      <c r="R174" s="47"/>
      <c r="S174" s="46"/>
      <c r="T174" s="46"/>
      <c r="U174" s="13"/>
      <c r="V174" s="13"/>
      <c r="W174" s="13"/>
      <c r="X174" s="13"/>
      <c r="Y174" s="13"/>
      <c r="Z174" s="13"/>
      <c r="AA174" s="13"/>
      <c r="AB174" s="13"/>
      <c r="AC174" s="13"/>
    </row>
    <row r="175" ht="16.5" customHeight="1">
      <c r="A175" s="35">
        <v>172.0</v>
      </c>
      <c r="B175" s="36" t="s">
        <v>1285</v>
      </c>
      <c r="C175" s="37" t="s">
        <v>1286</v>
      </c>
      <c r="D175" s="38" t="s">
        <v>1287</v>
      </c>
      <c r="E175" s="38" t="s">
        <v>1288</v>
      </c>
      <c r="F175" s="38" t="s">
        <v>1289</v>
      </c>
      <c r="G175" s="48" t="s">
        <v>1290</v>
      </c>
      <c r="H175" s="49" t="s">
        <v>49</v>
      </c>
      <c r="I175" s="39" t="s">
        <v>39</v>
      </c>
      <c r="J175" s="39" t="s">
        <v>1034</v>
      </c>
      <c r="K175" s="41" t="s">
        <v>1035</v>
      </c>
      <c r="L175" s="42" t="s">
        <v>1291</v>
      </c>
      <c r="M175" s="51" t="b">
        <v>0</v>
      </c>
      <c r="N175" s="68" t="s">
        <v>1292</v>
      </c>
      <c r="O175" s="45" t="s">
        <v>1037</v>
      </c>
      <c r="P175" s="97" t="s">
        <v>1293</v>
      </c>
      <c r="Q175" s="47"/>
      <c r="R175" s="47"/>
      <c r="S175" s="46"/>
      <c r="T175" s="46"/>
      <c r="U175" s="13"/>
      <c r="V175" s="13"/>
      <c r="W175" s="13"/>
      <c r="X175" s="13"/>
      <c r="Y175" s="13"/>
      <c r="Z175" s="13"/>
      <c r="AA175" s="13"/>
      <c r="AB175" s="13"/>
      <c r="AC175" s="13"/>
    </row>
    <row r="176" ht="16.5" hidden="1" customHeight="1">
      <c r="A176" s="35">
        <v>173.0</v>
      </c>
      <c r="B176" s="101" t="s">
        <v>1294</v>
      </c>
      <c r="C176" s="37" t="s">
        <v>1295</v>
      </c>
      <c r="D176" s="38" t="s">
        <v>1296</v>
      </c>
      <c r="E176" s="38"/>
      <c r="F176" s="38" t="s">
        <v>1297</v>
      </c>
      <c r="G176" s="39" t="s">
        <v>231</v>
      </c>
      <c r="H176" s="49" t="s">
        <v>62</v>
      </c>
      <c r="I176" s="39" t="s">
        <v>63</v>
      </c>
      <c r="J176" s="55"/>
      <c r="K176" s="56"/>
      <c r="L176" s="55"/>
      <c r="M176" s="51" t="b">
        <v>0</v>
      </c>
      <c r="N176" s="46"/>
      <c r="O176" s="46"/>
      <c r="P176" s="46"/>
      <c r="Q176" s="47"/>
      <c r="R176" s="47"/>
      <c r="S176" s="46"/>
      <c r="T176" s="46"/>
      <c r="U176" s="13"/>
      <c r="V176" s="13"/>
      <c r="W176" s="13"/>
      <c r="X176" s="13"/>
      <c r="Y176" s="13"/>
      <c r="Z176" s="13"/>
      <c r="AA176" s="13"/>
      <c r="AB176" s="13"/>
      <c r="AC176" s="13"/>
    </row>
    <row r="177" ht="342.0" customHeight="1">
      <c r="A177" s="35">
        <v>174.0</v>
      </c>
      <c r="B177" s="36" t="s">
        <v>1298</v>
      </c>
      <c r="C177" s="37" t="s">
        <v>1299</v>
      </c>
      <c r="D177" s="38" t="s">
        <v>1300</v>
      </c>
      <c r="E177" s="38"/>
      <c r="F177" s="38" t="s">
        <v>461</v>
      </c>
      <c r="G177" s="39" t="s">
        <v>807</v>
      </c>
      <c r="H177" s="49" t="s">
        <v>49</v>
      </c>
      <c r="I177" s="39" t="s">
        <v>39</v>
      </c>
      <c r="J177" s="91" t="s">
        <v>1301</v>
      </c>
      <c r="K177" s="92" t="s">
        <v>463</v>
      </c>
      <c r="L177" s="93" t="s">
        <v>464</v>
      </c>
      <c r="M177" s="51" t="b">
        <v>1</v>
      </c>
      <c r="N177" s="57" t="s">
        <v>465</v>
      </c>
      <c r="O177" s="45" t="s">
        <v>1302</v>
      </c>
      <c r="P177" s="46"/>
      <c r="Q177" s="47"/>
      <c r="R177" s="47"/>
      <c r="S177" s="46"/>
      <c r="T177" s="46"/>
      <c r="U177" s="13"/>
      <c r="V177" s="13"/>
      <c r="W177" s="13"/>
      <c r="X177" s="13"/>
      <c r="Y177" s="13"/>
      <c r="Z177" s="13"/>
      <c r="AA177" s="13"/>
      <c r="AB177" s="13"/>
      <c r="AC177" s="13"/>
    </row>
    <row r="178" ht="16.5" customHeight="1">
      <c r="A178" s="35">
        <v>175.0</v>
      </c>
      <c r="B178" s="36" t="s">
        <v>1303</v>
      </c>
      <c r="C178" s="37" t="s">
        <v>1304</v>
      </c>
      <c r="D178" s="38" t="s">
        <v>1305</v>
      </c>
      <c r="E178" s="38" t="s">
        <v>1306</v>
      </c>
      <c r="F178" s="38" t="s">
        <v>1307</v>
      </c>
      <c r="G178" s="39" t="s">
        <v>1308</v>
      </c>
      <c r="H178" s="49" t="s">
        <v>49</v>
      </c>
      <c r="I178" s="39" t="s">
        <v>39</v>
      </c>
      <c r="J178" s="39" t="s">
        <v>916</v>
      </c>
      <c r="K178" s="41" t="s">
        <v>1240</v>
      </c>
      <c r="L178" s="39" t="s">
        <v>1241</v>
      </c>
      <c r="M178" s="51" t="b">
        <v>1</v>
      </c>
      <c r="N178" s="68" t="s">
        <v>1309</v>
      </c>
      <c r="O178" s="96" t="s">
        <v>1310</v>
      </c>
      <c r="P178" s="97" t="s">
        <v>1244</v>
      </c>
      <c r="Q178" s="47"/>
      <c r="R178" s="47"/>
      <c r="S178" s="46"/>
      <c r="T178" s="46"/>
      <c r="U178" s="13"/>
      <c r="V178" s="13"/>
      <c r="W178" s="13"/>
      <c r="X178" s="13"/>
      <c r="Y178" s="13"/>
      <c r="Z178" s="13"/>
      <c r="AA178" s="13"/>
      <c r="AB178" s="13"/>
      <c r="AC178" s="13"/>
    </row>
    <row r="179" ht="16.5" hidden="1" customHeight="1">
      <c r="A179" s="35">
        <v>176.0</v>
      </c>
      <c r="B179" s="36" t="s">
        <v>1311</v>
      </c>
      <c r="C179" s="37" t="s">
        <v>1312</v>
      </c>
      <c r="D179" s="38" t="s">
        <v>1313</v>
      </c>
      <c r="E179" s="38"/>
      <c r="F179" s="38" t="s">
        <v>1314</v>
      </c>
      <c r="G179" s="39" t="s">
        <v>231</v>
      </c>
      <c r="H179" s="49" t="s">
        <v>62</v>
      </c>
      <c r="I179" s="39" t="s">
        <v>63</v>
      </c>
      <c r="J179" s="55"/>
      <c r="K179" s="56"/>
      <c r="L179" s="55"/>
      <c r="M179" s="51" t="b">
        <v>0</v>
      </c>
      <c r="N179" s="46"/>
      <c r="O179" s="46"/>
      <c r="P179" s="46"/>
      <c r="Q179" s="47"/>
      <c r="R179" s="47"/>
      <c r="S179" s="46"/>
      <c r="T179" s="46"/>
      <c r="U179" s="13"/>
      <c r="V179" s="13"/>
      <c r="W179" s="13"/>
      <c r="X179" s="13"/>
      <c r="Y179" s="13"/>
      <c r="Z179" s="13"/>
      <c r="AA179" s="13"/>
      <c r="AB179" s="13"/>
      <c r="AC179" s="13"/>
    </row>
    <row r="180" ht="16.5" hidden="1" customHeight="1">
      <c r="A180" s="35">
        <v>177.0</v>
      </c>
      <c r="B180" s="101" t="s">
        <v>1315</v>
      </c>
      <c r="C180" s="37" t="s">
        <v>1316</v>
      </c>
      <c r="D180" s="38" t="s">
        <v>1317</v>
      </c>
      <c r="E180" s="38"/>
      <c r="F180" s="38" t="s">
        <v>1272</v>
      </c>
      <c r="G180" s="39" t="s">
        <v>231</v>
      </c>
      <c r="H180" s="49" t="s">
        <v>62</v>
      </c>
      <c r="I180" s="39" t="s">
        <v>63</v>
      </c>
      <c r="J180" s="55"/>
      <c r="K180" s="56"/>
      <c r="L180" s="55"/>
      <c r="M180" s="51" t="b">
        <v>0</v>
      </c>
      <c r="N180" s="46"/>
      <c r="O180" s="46"/>
      <c r="P180" s="46"/>
      <c r="Q180" s="47"/>
      <c r="R180" s="47"/>
      <c r="S180" s="46"/>
      <c r="T180" s="46"/>
      <c r="U180" s="13"/>
      <c r="V180" s="13"/>
      <c r="W180" s="13"/>
      <c r="X180" s="13"/>
      <c r="Y180" s="13"/>
      <c r="Z180" s="13"/>
      <c r="AA180" s="13"/>
      <c r="AB180" s="13"/>
      <c r="AC180" s="13"/>
    </row>
    <row r="181" ht="16.5" customHeight="1">
      <c r="A181" s="35">
        <v>178.0</v>
      </c>
      <c r="B181" s="36" t="s">
        <v>1318</v>
      </c>
      <c r="C181" s="37" t="s">
        <v>1319</v>
      </c>
      <c r="D181" s="38" t="s">
        <v>1320</v>
      </c>
      <c r="E181" s="38"/>
      <c r="F181" s="38" t="s">
        <v>1321</v>
      </c>
      <c r="G181" s="39" t="s">
        <v>1277</v>
      </c>
      <c r="H181" s="49" t="s">
        <v>49</v>
      </c>
      <c r="I181" s="39" t="s">
        <v>39</v>
      </c>
      <c r="J181" s="39" t="s">
        <v>471</v>
      </c>
      <c r="K181" s="41" t="s">
        <v>1126</v>
      </c>
      <c r="L181" s="39" t="s">
        <v>1278</v>
      </c>
      <c r="M181" s="51" t="b">
        <v>1</v>
      </c>
      <c r="N181" s="57" t="s">
        <v>1279</v>
      </c>
      <c r="O181" s="45" t="s">
        <v>1280</v>
      </c>
      <c r="P181" s="46"/>
      <c r="Q181" s="47"/>
      <c r="R181" s="47"/>
      <c r="S181" s="46"/>
      <c r="T181" s="46"/>
      <c r="U181" s="13"/>
      <c r="V181" s="13"/>
      <c r="W181" s="13"/>
      <c r="X181" s="13"/>
      <c r="Y181" s="13"/>
      <c r="Z181" s="13"/>
      <c r="AA181" s="13"/>
      <c r="AB181" s="13"/>
      <c r="AC181" s="13"/>
    </row>
    <row r="182" ht="16.5" customHeight="1">
      <c r="A182" s="35">
        <v>179.0</v>
      </c>
      <c r="B182" s="36" t="s">
        <v>1322</v>
      </c>
      <c r="C182" s="37" t="s">
        <v>1323</v>
      </c>
      <c r="D182" s="38" t="s">
        <v>1324</v>
      </c>
      <c r="E182" s="38"/>
      <c r="F182" s="38" t="s">
        <v>1325</v>
      </c>
      <c r="G182" s="39" t="s">
        <v>1326</v>
      </c>
      <c r="H182" s="49" t="s">
        <v>49</v>
      </c>
      <c r="I182" s="39" t="s">
        <v>39</v>
      </c>
      <c r="J182" s="39" t="s">
        <v>1327</v>
      </c>
      <c r="K182" s="41" t="s">
        <v>1150</v>
      </c>
      <c r="L182" s="39" t="s">
        <v>1328</v>
      </c>
      <c r="M182" s="51" t="b">
        <v>1</v>
      </c>
      <c r="N182" s="87" t="s">
        <v>292</v>
      </c>
      <c r="O182" s="69"/>
      <c r="P182" s="46"/>
      <c r="Q182" s="47"/>
      <c r="R182" s="47"/>
      <c r="S182" s="46"/>
      <c r="T182" s="46"/>
      <c r="U182" s="13"/>
      <c r="V182" s="13"/>
      <c r="W182" s="13"/>
      <c r="X182" s="13"/>
      <c r="Y182" s="13"/>
      <c r="Z182" s="13"/>
      <c r="AA182" s="13"/>
      <c r="AB182" s="13"/>
      <c r="AC182" s="13"/>
    </row>
    <row r="183" ht="16.5" customHeight="1">
      <c r="A183" s="35">
        <v>180.0</v>
      </c>
      <c r="B183" s="36" t="s">
        <v>1329</v>
      </c>
      <c r="C183" s="37" t="s">
        <v>1330</v>
      </c>
      <c r="D183" s="38" t="s">
        <v>1331</v>
      </c>
      <c r="E183" s="38" t="s">
        <v>1332</v>
      </c>
      <c r="F183" s="38" t="s">
        <v>1333</v>
      </c>
      <c r="G183" s="39" t="s">
        <v>1334</v>
      </c>
      <c r="H183" s="49" t="s">
        <v>49</v>
      </c>
      <c r="I183" s="39" t="s">
        <v>39</v>
      </c>
      <c r="J183" s="64" t="s">
        <v>1335</v>
      </c>
      <c r="K183" s="41" t="s">
        <v>1336</v>
      </c>
      <c r="L183" s="106" t="s">
        <v>1337</v>
      </c>
      <c r="M183" s="51" t="b">
        <v>1</v>
      </c>
      <c r="N183" s="118" t="s">
        <v>1338</v>
      </c>
      <c r="O183" s="119"/>
      <c r="P183" s="119" t="s">
        <v>1339</v>
      </c>
      <c r="Q183" s="119" t="s">
        <v>1340</v>
      </c>
      <c r="R183" s="47"/>
      <c r="S183" s="46"/>
      <c r="T183" s="46"/>
      <c r="U183" s="13"/>
      <c r="V183" s="13"/>
      <c r="W183" s="13"/>
      <c r="X183" s="13"/>
      <c r="Y183" s="13"/>
      <c r="Z183" s="13"/>
      <c r="AA183" s="13"/>
      <c r="AB183" s="13"/>
      <c r="AC183" s="13"/>
    </row>
    <row r="184" ht="16.5" customHeight="1">
      <c r="A184" s="35">
        <v>181.0</v>
      </c>
      <c r="B184" s="36" t="s">
        <v>1341</v>
      </c>
      <c r="C184" s="37" t="s">
        <v>1342</v>
      </c>
      <c r="D184" s="38" t="s">
        <v>1343</v>
      </c>
      <c r="E184" s="38" t="s">
        <v>1344</v>
      </c>
      <c r="F184" s="38" t="s">
        <v>1345</v>
      </c>
      <c r="G184" s="39" t="s">
        <v>1346</v>
      </c>
      <c r="H184" s="49" t="s">
        <v>49</v>
      </c>
      <c r="I184" s="39" t="s">
        <v>39</v>
      </c>
      <c r="J184" s="59" t="s">
        <v>694</v>
      </c>
      <c r="K184" s="67" t="s">
        <v>695</v>
      </c>
      <c r="L184" s="59" t="s">
        <v>696</v>
      </c>
      <c r="M184" s="51" t="b">
        <v>1</v>
      </c>
      <c r="N184" s="57" t="s">
        <v>697</v>
      </c>
      <c r="O184" s="45" t="s">
        <v>698</v>
      </c>
      <c r="P184" s="46"/>
      <c r="Q184" s="47"/>
      <c r="R184" s="47"/>
      <c r="S184" s="46"/>
      <c r="T184" s="46"/>
      <c r="U184" s="13"/>
      <c r="V184" s="13"/>
      <c r="W184" s="13"/>
      <c r="X184" s="13"/>
      <c r="Y184" s="13"/>
      <c r="Z184" s="13"/>
      <c r="AA184" s="13"/>
      <c r="AB184" s="13"/>
      <c r="AC184" s="13"/>
    </row>
    <row r="185" ht="16.5" hidden="1" customHeight="1">
      <c r="A185" s="35">
        <v>182.0</v>
      </c>
      <c r="B185" s="36" t="s">
        <v>1347</v>
      </c>
      <c r="C185" s="37" t="s">
        <v>1348</v>
      </c>
      <c r="D185" s="38" t="s">
        <v>1349</v>
      </c>
      <c r="E185" s="38"/>
      <c r="F185" s="38" t="s">
        <v>1325</v>
      </c>
      <c r="G185" s="39" t="s">
        <v>231</v>
      </c>
      <c r="H185" s="49" t="s">
        <v>62</v>
      </c>
      <c r="I185" s="39" t="s">
        <v>63</v>
      </c>
      <c r="J185" s="55"/>
      <c r="K185" s="56"/>
      <c r="L185" s="55"/>
      <c r="M185" s="51" t="b">
        <v>0</v>
      </c>
      <c r="N185" s="46"/>
      <c r="O185" s="46"/>
      <c r="P185" s="46"/>
      <c r="Q185" s="47"/>
      <c r="R185" s="47"/>
      <c r="S185" s="46"/>
      <c r="T185" s="46"/>
      <c r="U185" s="13"/>
      <c r="V185" s="13"/>
      <c r="W185" s="13"/>
      <c r="X185" s="13"/>
      <c r="Y185" s="13"/>
      <c r="Z185" s="13"/>
      <c r="AA185" s="13"/>
      <c r="AB185" s="13"/>
      <c r="AC185" s="13"/>
    </row>
    <row r="186" ht="162.0" hidden="1" customHeight="1">
      <c r="A186" s="35">
        <v>183.0</v>
      </c>
      <c r="B186" s="36" t="s">
        <v>1350</v>
      </c>
      <c r="C186" s="37" t="s">
        <v>1351</v>
      </c>
      <c r="D186" s="38" t="s">
        <v>1352</v>
      </c>
      <c r="E186" s="38"/>
      <c r="F186" s="38" t="s">
        <v>1353</v>
      </c>
      <c r="G186" s="48" t="s">
        <v>1354</v>
      </c>
      <c r="H186" s="49" t="s">
        <v>49</v>
      </c>
      <c r="I186" s="86" t="s">
        <v>1355</v>
      </c>
      <c r="J186" s="66" t="s">
        <v>1356</v>
      </c>
      <c r="K186" s="89" t="s">
        <v>173</v>
      </c>
      <c r="L186" s="58" t="s">
        <v>1357</v>
      </c>
      <c r="M186" s="51" t="b">
        <v>0</v>
      </c>
      <c r="N186" s="87" t="s">
        <v>1358</v>
      </c>
      <c r="O186" s="69"/>
      <c r="P186" s="46"/>
      <c r="Q186" s="47"/>
      <c r="R186" s="47"/>
      <c r="S186" s="46"/>
      <c r="T186" s="46"/>
      <c r="U186" s="13"/>
      <c r="V186" s="13"/>
      <c r="W186" s="13"/>
      <c r="X186" s="13"/>
      <c r="Y186" s="13"/>
      <c r="Z186" s="13"/>
      <c r="AA186" s="13"/>
      <c r="AB186" s="13"/>
      <c r="AC186" s="13"/>
    </row>
    <row r="187" ht="16.5" customHeight="1">
      <c r="A187" s="35">
        <v>184.0</v>
      </c>
      <c r="B187" s="36" t="s">
        <v>1359</v>
      </c>
      <c r="C187" s="37" t="s">
        <v>1360</v>
      </c>
      <c r="D187" s="38" t="s">
        <v>1361</v>
      </c>
      <c r="E187" s="38" t="s">
        <v>1362</v>
      </c>
      <c r="F187" s="38" t="s">
        <v>1363</v>
      </c>
      <c r="G187" s="39" t="s">
        <v>1050</v>
      </c>
      <c r="H187" s="49" t="s">
        <v>49</v>
      </c>
      <c r="I187" s="39" t="s">
        <v>39</v>
      </c>
      <c r="J187" s="39" t="s">
        <v>1051</v>
      </c>
      <c r="K187" s="41" t="s">
        <v>933</v>
      </c>
      <c r="L187" s="39" t="s">
        <v>1052</v>
      </c>
      <c r="M187" s="51" t="b">
        <v>1</v>
      </c>
      <c r="N187" s="57" t="s">
        <v>1053</v>
      </c>
      <c r="O187" s="45" t="s">
        <v>1054</v>
      </c>
      <c r="P187" s="46"/>
      <c r="Q187" s="47"/>
      <c r="R187" s="47"/>
      <c r="S187" s="46"/>
      <c r="T187" s="46"/>
      <c r="U187" s="13"/>
      <c r="V187" s="13"/>
      <c r="W187" s="13"/>
      <c r="X187" s="13"/>
      <c r="Y187" s="13"/>
      <c r="Z187" s="13"/>
      <c r="AA187" s="13"/>
      <c r="AB187" s="13"/>
      <c r="AC187" s="13"/>
    </row>
    <row r="188" ht="16.5" customHeight="1">
      <c r="A188" s="35">
        <v>185.0</v>
      </c>
      <c r="B188" s="36" t="s">
        <v>1364</v>
      </c>
      <c r="C188" s="37" t="s">
        <v>1365</v>
      </c>
      <c r="D188" s="38" t="s">
        <v>1366</v>
      </c>
      <c r="E188" s="38"/>
      <c r="F188" s="38" t="s">
        <v>1367</v>
      </c>
      <c r="G188" s="39" t="s">
        <v>1368</v>
      </c>
      <c r="H188" s="49" t="s">
        <v>49</v>
      </c>
      <c r="I188" s="86" t="s">
        <v>39</v>
      </c>
      <c r="J188" s="39" t="s">
        <v>1369</v>
      </c>
      <c r="K188" s="95" t="s">
        <v>173</v>
      </c>
      <c r="L188" s="94" t="s">
        <v>1025</v>
      </c>
      <c r="M188" s="51" t="b">
        <v>1</v>
      </c>
      <c r="N188" s="57" t="s">
        <v>1370</v>
      </c>
      <c r="O188" s="45" t="s">
        <v>1371</v>
      </c>
      <c r="P188" s="46"/>
      <c r="Q188" s="47"/>
      <c r="R188" s="47"/>
      <c r="S188" s="46"/>
      <c r="T188" s="46"/>
      <c r="U188" s="13"/>
      <c r="V188" s="13"/>
      <c r="W188" s="13"/>
      <c r="X188" s="13"/>
      <c r="Y188" s="13"/>
      <c r="Z188" s="13"/>
      <c r="AA188" s="13"/>
      <c r="AB188" s="13"/>
      <c r="AC188" s="13"/>
    </row>
    <row r="189" ht="16.5" customHeight="1">
      <c r="A189" s="35">
        <v>186.0</v>
      </c>
      <c r="B189" s="36" t="s">
        <v>1372</v>
      </c>
      <c r="C189" s="37" t="s">
        <v>1373</v>
      </c>
      <c r="D189" s="38" t="s">
        <v>1374</v>
      </c>
      <c r="E189" s="38" t="s">
        <v>1375</v>
      </c>
      <c r="F189" s="38" t="s">
        <v>684</v>
      </c>
      <c r="G189" s="39" t="s">
        <v>685</v>
      </c>
      <c r="H189" s="49" t="s">
        <v>49</v>
      </c>
      <c r="I189" s="86" t="s">
        <v>39</v>
      </c>
      <c r="J189" s="39" t="s">
        <v>551</v>
      </c>
      <c r="K189" s="95" t="s">
        <v>1006</v>
      </c>
      <c r="L189" s="94" t="s">
        <v>1007</v>
      </c>
      <c r="M189" s="51" t="b">
        <v>1</v>
      </c>
      <c r="N189" s="57" t="s">
        <v>687</v>
      </c>
      <c r="O189" s="45" t="s">
        <v>1008</v>
      </c>
      <c r="P189" s="46"/>
      <c r="Q189" s="47"/>
      <c r="R189" s="47"/>
      <c r="S189" s="46"/>
      <c r="T189" s="46"/>
      <c r="U189" s="13"/>
      <c r="V189" s="13"/>
      <c r="W189" s="13"/>
      <c r="X189" s="13"/>
      <c r="Y189" s="13"/>
      <c r="Z189" s="13"/>
      <c r="AA189" s="13"/>
      <c r="AB189" s="13"/>
      <c r="AC189" s="13"/>
    </row>
    <row r="190" ht="16.5" customHeight="1">
      <c r="A190" s="35">
        <v>187.0</v>
      </c>
      <c r="B190" s="36" t="s">
        <v>1376</v>
      </c>
      <c r="C190" s="37" t="s">
        <v>1377</v>
      </c>
      <c r="D190" s="38" t="s">
        <v>1378</v>
      </c>
      <c r="E190" s="38"/>
      <c r="F190" s="38" t="s">
        <v>1379</v>
      </c>
      <c r="G190" s="48" t="s">
        <v>1290</v>
      </c>
      <c r="H190" s="49" t="s">
        <v>49</v>
      </c>
      <c r="I190" s="39" t="s">
        <v>39</v>
      </c>
      <c r="J190" s="109" t="s">
        <v>1034</v>
      </c>
      <c r="K190" s="110" t="s">
        <v>1035</v>
      </c>
      <c r="L190" s="42" t="s">
        <v>1380</v>
      </c>
      <c r="M190" s="51" t="b">
        <v>0</v>
      </c>
      <c r="N190" s="68" t="s">
        <v>1292</v>
      </c>
      <c r="O190" s="68" t="s">
        <v>1037</v>
      </c>
      <c r="P190" s="97" t="s">
        <v>1381</v>
      </c>
      <c r="Q190" s="47"/>
      <c r="R190" s="47"/>
      <c r="S190" s="46"/>
      <c r="T190" s="46"/>
      <c r="U190" s="13"/>
      <c r="V190" s="13"/>
      <c r="W190" s="13"/>
      <c r="X190" s="13"/>
      <c r="Y190" s="13"/>
      <c r="Z190" s="13"/>
      <c r="AA190" s="13"/>
      <c r="AB190" s="13"/>
      <c r="AC190" s="13"/>
    </row>
    <row r="191" ht="16.5" customHeight="1">
      <c r="A191" s="35">
        <v>188.0</v>
      </c>
      <c r="B191" s="36" t="s">
        <v>1382</v>
      </c>
      <c r="C191" s="37" t="s">
        <v>1383</v>
      </c>
      <c r="D191" s="38" t="s">
        <v>1384</v>
      </c>
      <c r="E191" s="38"/>
      <c r="F191" s="38" t="s">
        <v>1385</v>
      </c>
      <c r="G191" s="39" t="s">
        <v>1386</v>
      </c>
      <c r="H191" s="49" t="s">
        <v>49</v>
      </c>
      <c r="I191" s="39" t="s">
        <v>39</v>
      </c>
      <c r="J191" s="59" t="s">
        <v>1387</v>
      </c>
      <c r="K191" s="41" t="s">
        <v>1388</v>
      </c>
      <c r="L191" s="39" t="s">
        <v>1389</v>
      </c>
      <c r="M191" s="51" t="b">
        <v>1</v>
      </c>
      <c r="N191" s="72" t="s">
        <v>1390</v>
      </c>
      <c r="O191" s="68"/>
      <c r="P191" s="47" t="s">
        <v>1391</v>
      </c>
      <c r="Q191" s="46" t="s">
        <v>1392</v>
      </c>
      <c r="R191" s="46"/>
      <c r="S191" s="46"/>
      <c r="T191" s="46"/>
      <c r="U191" s="13"/>
      <c r="V191" s="13"/>
      <c r="W191" s="13"/>
      <c r="X191" s="13"/>
      <c r="Y191" s="13"/>
      <c r="Z191" s="13"/>
      <c r="AA191" s="13"/>
      <c r="AB191" s="13"/>
      <c r="AC191" s="13"/>
    </row>
    <row r="192" ht="270.0" customHeight="1">
      <c r="A192" s="35">
        <v>189.0</v>
      </c>
      <c r="B192" s="36" t="s">
        <v>1393</v>
      </c>
      <c r="C192" s="37" t="s">
        <v>1394</v>
      </c>
      <c r="D192" s="38" t="s">
        <v>1395</v>
      </c>
      <c r="E192" s="38"/>
      <c r="F192" s="38" t="s">
        <v>1396</v>
      </c>
      <c r="G192" s="39" t="s">
        <v>1397</v>
      </c>
      <c r="H192" s="49" t="s">
        <v>49</v>
      </c>
      <c r="I192" s="39" t="s">
        <v>39</v>
      </c>
      <c r="J192" s="59" t="s">
        <v>1398</v>
      </c>
      <c r="K192" s="41" t="s">
        <v>1399</v>
      </c>
      <c r="L192" s="39" t="s">
        <v>1400</v>
      </c>
      <c r="M192" s="51" t="b">
        <v>1</v>
      </c>
      <c r="N192" s="57" t="s">
        <v>1401</v>
      </c>
      <c r="O192" s="46"/>
      <c r="P192" s="46" t="s">
        <v>1402</v>
      </c>
      <c r="Q192" s="47" t="s">
        <v>1403</v>
      </c>
      <c r="R192" s="47"/>
      <c r="S192" s="46"/>
      <c r="T192" s="46"/>
      <c r="U192" s="13"/>
      <c r="V192" s="13"/>
      <c r="W192" s="13"/>
      <c r="X192" s="13"/>
      <c r="Y192" s="13"/>
      <c r="Z192" s="13"/>
      <c r="AA192" s="13"/>
      <c r="AB192" s="13"/>
      <c r="AC192" s="13"/>
    </row>
    <row r="193" ht="16.5" customHeight="1">
      <c r="A193" s="35">
        <v>190.0</v>
      </c>
      <c r="B193" s="36" t="s">
        <v>1404</v>
      </c>
      <c r="C193" s="37" t="s">
        <v>1405</v>
      </c>
      <c r="D193" s="38" t="s">
        <v>1406</v>
      </c>
      <c r="E193" s="38" t="s">
        <v>1407</v>
      </c>
      <c r="F193" s="38" t="s">
        <v>1408</v>
      </c>
      <c r="G193" s="39" t="s">
        <v>1308</v>
      </c>
      <c r="H193" s="49" t="s">
        <v>49</v>
      </c>
      <c r="I193" s="39" t="s">
        <v>39</v>
      </c>
      <c r="J193" s="39" t="s">
        <v>916</v>
      </c>
      <c r="K193" s="41" t="s">
        <v>1240</v>
      </c>
      <c r="L193" s="39" t="s">
        <v>1241</v>
      </c>
      <c r="M193" s="51" t="b">
        <v>1</v>
      </c>
      <c r="N193" s="68" t="s">
        <v>1409</v>
      </c>
      <c r="O193" s="96" t="s">
        <v>1310</v>
      </c>
      <c r="P193" s="97" t="s">
        <v>1244</v>
      </c>
      <c r="Q193" s="47"/>
      <c r="R193" s="47"/>
      <c r="S193" s="46"/>
      <c r="T193" s="46"/>
      <c r="U193" s="13"/>
      <c r="V193" s="13"/>
      <c r="W193" s="13"/>
      <c r="X193" s="13"/>
      <c r="Y193" s="13"/>
      <c r="Z193" s="13"/>
      <c r="AA193" s="13"/>
      <c r="AB193" s="13"/>
      <c r="AC193" s="13"/>
    </row>
    <row r="194" ht="270.0" customHeight="1">
      <c r="A194" s="35">
        <v>191.0</v>
      </c>
      <c r="B194" s="36" t="s">
        <v>1410</v>
      </c>
      <c r="C194" s="37" t="s">
        <v>1411</v>
      </c>
      <c r="D194" s="38" t="s">
        <v>1412</v>
      </c>
      <c r="E194" s="38"/>
      <c r="F194" s="38" t="s">
        <v>90</v>
      </c>
      <c r="G194" s="39" t="s">
        <v>91</v>
      </c>
      <c r="H194" s="49" t="s">
        <v>49</v>
      </c>
      <c r="I194" s="39" t="s">
        <v>39</v>
      </c>
      <c r="J194" s="39" t="s">
        <v>92</v>
      </c>
      <c r="K194" s="41" t="s">
        <v>93</v>
      </c>
      <c r="L194" s="55"/>
      <c r="M194" s="51" t="b">
        <v>1</v>
      </c>
      <c r="N194" s="57" t="s">
        <v>94</v>
      </c>
      <c r="O194" s="45" t="s">
        <v>95</v>
      </c>
      <c r="P194" s="46"/>
      <c r="Q194" s="47"/>
      <c r="R194" s="47"/>
      <c r="S194" s="46"/>
      <c r="T194" s="46"/>
      <c r="U194" s="13"/>
      <c r="V194" s="13"/>
      <c r="W194" s="13"/>
      <c r="X194" s="13"/>
      <c r="Y194" s="13"/>
      <c r="Z194" s="13"/>
      <c r="AA194" s="13"/>
      <c r="AB194" s="13"/>
      <c r="AC194" s="13"/>
    </row>
    <row r="195" ht="16.5" hidden="1" customHeight="1">
      <c r="A195" s="35">
        <v>192.0</v>
      </c>
      <c r="B195" s="36" t="s">
        <v>1413</v>
      </c>
      <c r="C195" s="37" t="s">
        <v>1414</v>
      </c>
      <c r="D195" s="38" t="s">
        <v>1415</v>
      </c>
      <c r="E195" s="38" t="s">
        <v>1416</v>
      </c>
      <c r="F195" s="38" t="s">
        <v>1325</v>
      </c>
      <c r="G195" s="39" t="s">
        <v>231</v>
      </c>
      <c r="H195" s="49" t="s">
        <v>62</v>
      </c>
      <c r="I195" s="39" t="s">
        <v>63</v>
      </c>
      <c r="J195" s="55"/>
      <c r="K195" s="56"/>
      <c r="L195" s="55"/>
      <c r="M195" s="51" t="b">
        <v>0</v>
      </c>
      <c r="N195" s="46"/>
      <c r="O195" s="46"/>
      <c r="P195" s="46"/>
      <c r="Q195" s="47"/>
      <c r="R195" s="47"/>
      <c r="S195" s="46"/>
      <c r="T195" s="46"/>
      <c r="U195" s="13"/>
      <c r="V195" s="13"/>
      <c r="W195" s="13"/>
      <c r="X195" s="13"/>
      <c r="Y195" s="13"/>
      <c r="Z195" s="13"/>
      <c r="AA195" s="13"/>
      <c r="AB195" s="13"/>
      <c r="AC195" s="13"/>
    </row>
    <row r="196" ht="16.5" customHeight="1">
      <c r="A196" s="35">
        <v>193.0</v>
      </c>
      <c r="B196" s="36" t="s">
        <v>1417</v>
      </c>
      <c r="C196" s="37" t="s">
        <v>1418</v>
      </c>
      <c r="D196" s="38" t="s">
        <v>1419</v>
      </c>
      <c r="E196" s="38" t="s">
        <v>1420</v>
      </c>
      <c r="F196" s="38" t="s">
        <v>1421</v>
      </c>
      <c r="G196" s="39" t="s">
        <v>1422</v>
      </c>
      <c r="H196" s="49" t="s">
        <v>49</v>
      </c>
      <c r="I196" s="39" t="s">
        <v>39</v>
      </c>
      <c r="J196" s="66" t="s">
        <v>1423</v>
      </c>
      <c r="K196" s="107" t="s">
        <v>1424</v>
      </c>
      <c r="L196" s="42" t="s">
        <v>1425</v>
      </c>
      <c r="M196" s="51" t="b">
        <v>0</v>
      </c>
      <c r="N196" s="64" t="s">
        <v>1426</v>
      </c>
      <c r="O196" s="35"/>
      <c r="P196" s="35" t="s">
        <v>1427</v>
      </c>
      <c r="Q196" s="47" t="s">
        <v>1428</v>
      </c>
      <c r="R196" s="47"/>
      <c r="S196" s="46"/>
      <c r="T196" s="46"/>
      <c r="U196" s="13"/>
      <c r="V196" s="13"/>
      <c r="W196" s="13"/>
      <c r="X196" s="13"/>
      <c r="Y196" s="13"/>
      <c r="Z196" s="13"/>
      <c r="AA196" s="13"/>
      <c r="AB196" s="13"/>
      <c r="AC196" s="13"/>
    </row>
    <row r="197" ht="16.5" hidden="1" customHeight="1">
      <c r="A197" s="35">
        <v>194.0</v>
      </c>
      <c r="B197" s="36" t="s">
        <v>1429</v>
      </c>
      <c r="C197" s="37" t="s">
        <v>1430</v>
      </c>
      <c r="D197" s="38" t="s">
        <v>1431</v>
      </c>
      <c r="E197" s="38"/>
      <c r="F197" s="38" t="s">
        <v>1432</v>
      </c>
      <c r="G197" s="39" t="s">
        <v>231</v>
      </c>
      <c r="H197" s="49" t="s">
        <v>62</v>
      </c>
      <c r="I197" s="39" t="s">
        <v>63</v>
      </c>
      <c r="J197" s="55"/>
      <c r="K197" s="56"/>
      <c r="L197" s="55"/>
      <c r="M197" s="51" t="b">
        <v>0</v>
      </c>
      <c r="N197" s="46"/>
      <c r="O197" s="46"/>
      <c r="P197" s="46"/>
      <c r="Q197" s="47"/>
      <c r="R197" s="47"/>
      <c r="S197" s="46"/>
      <c r="T197" s="46"/>
      <c r="U197" s="13"/>
      <c r="V197" s="13"/>
      <c r="W197" s="13"/>
      <c r="X197" s="13"/>
      <c r="Y197" s="13"/>
      <c r="Z197" s="13"/>
      <c r="AA197" s="13"/>
      <c r="AB197" s="13"/>
      <c r="AC197" s="13"/>
    </row>
    <row r="198" ht="16.5" hidden="1" customHeight="1">
      <c r="A198" s="35">
        <v>195.0</v>
      </c>
      <c r="B198" s="101" t="s">
        <v>1433</v>
      </c>
      <c r="C198" s="37" t="s">
        <v>1434</v>
      </c>
      <c r="D198" s="38" t="s">
        <v>1435</v>
      </c>
      <c r="E198" s="38" t="s">
        <v>1436</v>
      </c>
      <c r="F198" s="38" t="s">
        <v>1437</v>
      </c>
      <c r="G198" s="39" t="s">
        <v>231</v>
      </c>
      <c r="H198" s="49" t="s">
        <v>62</v>
      </c>
      <c r="I198" s="39" t="s">
        <v>63</v>
      </c>
      <c r="J198" s="55"/>
      <c r="K198" s="56"/>
      <c r="L198" s="55"/>
      <c r="M198" s="51" t="b">
        <v>0</v>
      </c>
      <c r="N198" s="46"/>
      <c r="O198" s="46"/>
      <c r="P198" s="46"/>
      <c r="Q198" s="47"/>
      <c r="R198" s="47"/>
      <c r="S198" s="46"/>
      <c r="T198" s="46"/>
      <c r="U198" s="13"/>
      <c r="V198" s="13"/>
      <c r="W198" s="13"/>
      <c r="X198" s="13"/>
      <c r="Y198" s="13"/>
      <c r="Z198" s="13"/>
      <c r="AA198" s="13"/>
      <c r="AB198" s="13"/>
      <c r="AC198" s="13"/>
    </row>
    <row r="199" ht="16.5" customHeight="1">
      <c r="A199" s="35">
        <v>196.0</v>
      </c>
      <c r="B199" s="36" t="s">
        <v>1438</v>
      </c>
      <c r="C199" s="37" t="s">
        <v>1439</v>
      </c>
      <c r="D199" s="38" t="s">
        <v>1440</v>
      </c>
      <c r="E199" s="38"/>
      <c r="F199" s="38" t="s">
        <v>1321</v>
      </c>
      <c r="G199" s="39" t="s">
        <v>1277</v>
      </c>
      <c r="H199" s="49" t="s">
        <v>49</v>
      </c>
      <c r="I199" s="39" t="s">
        <v>39</v>
      </c>
      <c r="J199" s="39" t="s">
        <v>471</v>
      </c>
      <c r="K199" s="41" t="s">
        <v>1126</v>
      </c>
      <c r="L199" s="39" t="s">
        <v>1278</v>
      </c>
      <c r="M199" s="51" t="b">
        <v>1</v>
      </c>
      <c r="N199" s="57" t="s">
        <v>1279</v>
      </c>
      <c r="O199" s="45" t="s">
        <v>1280</v>
      </c>
      <c r="P199" s="46"/>
      <c r="Q199" s="47"/>
      <c r="R199" s="47"/>
      <c r="S199" s="46"/>
      <c r="T199" s="46"/>
      <c r="U199" s="13"/>
      <c r="V199" s="13"/>
      <c r="W199" s="13"/>
      <c r="X199" s="13"/>
      <c r="Y199" s="13"/>
      <c r="Z199" s="13"/>
      <c r="AA199" s="13"/>
      <c r="AB199" s="13"/>
      <c r="AC199" s="13"/>
    </row>
    <row r="200" ht="216.0" hidden="1" customHeight="1">
      <c r="A200" s="35">
        <v>197.0</v>
      </c>
      <c r="B200" s="101" t="s">
        <v>1441</v>
      </c>
      <c r="C200" s="37" t="s">
        <v>1442</v>
      </c>
      <c r="D200" s="38" t="s">
        <v>1443</v>
      </c>
      <c r="E200" s="38"/>
      <c r="F200" s="38" t="s">
        <v>1444</v>
      </c>
      <c r="G200" s="39" t="s">
        <v>231</v>
      </c>
      <c r="H200" s="49" t="s">
        <v>62</v>
      </c>
      <c r="I200" s="39" t="s">
        <v>63</v>
      </c>
      <c r="J200" s="55"/>
      <c r="K200" s="56"/>
      <c r="L200" s="55"/>
      <c r="M200" s="51" t="b">
        <v>0</v>
      </c>
      <c r="N200" s="46"/>
      <c r="O200" s="46"/>
      <c r="P200" s="46"/>
      <c r="Q200" s="47"/>
      <c r="R200" s="47"/>
      <c r="S200" s="46"/>
      <c r="T200" s="46"/>
      <c r="U200" s="13"/>
      <c r="V200" s="13"/>
      <c r="W200" s="13"/>
      <c r="X200" s="13"/>
      <c r="Y200" s="13"/>
      <c r="Z200" s="13"/>
      <c r="AA200" s="13"/>
      <c r="AB200" s="13"/>
      <c r="AC200" s="13"/>
    </row>
    <row r="201" ht="16.5" customHeight="1">
      <c r="A201" s="35">
        <v>198.0</v>
      </c>
      <c r="B201" s="36" t="s">
        <v>1445</v>
      </c>
      <c r="C201" s="37" t="s">
        <v>1446</v>
      </c>
      <c r="D201" s="38" t="s">
        <v>1447</v>
      </c>
      <c r="E201" s="38" t="s">
        <v>1448</v>
      </c>
      <c r="F201" s="38" t="s">
        <v>1449</v>
      </c>
      <c r="G201" s="39" t="s">
        <v>1450</v>
      </c>
      <c r="H201" s="49" t="s">
        <v>49</v>
      </c>
      <c r="I201" s="58" t="s">
        <v>39</v>
      </c>
      <c r="J201" s="39" t="s">
        <v>1451</v>
      </c>
      <c r="K201" s="41" t="s">
        <v>173</v>
      </c>
      <c r="L201" s="39" t="s">
        <v>1452</v>
      </c>
      <c r="M201" s="51" t="b">
        <v>1</v>
      </c>
      <c r="N201" s="57" t="s">
        <v>1453</v>
      </c>
      <c r="O201" s="69"/>
      <c r="P201" s="46"/>
      <c r="Q201" s="47"/>
      <c r="R201" s="47"/>
      <c r="S201" s="46"/>
      <c r="T201" s="46"/>
      <c r="U201" s="13"/>
      <c r="V201" s="13"/>
      <c r="W201" s="13"/>
      <c r="X201" s="13"/>
      <c r="Y201" s="13"/>
      <c r="Z201" s="13"/>
      <c r="AA201" s="13"/>
      <c r="AB201" s="13"/>
      <c r="AC201" s="13"/>
    </row>
    <row r="202" ht="16.5" hidden="1" customHeight="1">
      <c r="A202" s="35">
        <v>199.0</v>
      </c>
      <c r="B202" s="101" t="s">
        <v>1454</v>
      </c>
      <c r="C202" s="37" t="s">
        <v>1455</v>
      </c>
      <c r="D202" s="38" t="s">
        <v>1456</v>
      </c>
      <c r="E202" s="38" t="s">
        <v>1457</v>
      </c>
      <c r="F202" s="38" t="s">
        <v>1325</v>
      </c>
      <c r="G202" s="39" t="s">
        <v>231</v>
      </c>
      <c r="H202" s="49" t="s">
        <v>62</v>
      </c>
      <c r="I202" s="39" t="s">
        <v>63</v>
      </c>
      <c r="J202" s="55"/>
      <c r="K202" s="56"/>
      <c r="L202" s="55"/>
      <c r="M202" s="51" t="b">
        <v>0</v>
      </c>
      <c r="N202" s="46"/>
      <c r="O202" s="46"/>
      <c r="P202" s="46"/>
      <c r="Q202" s="47"/>
      <c r="R202" s="47"/>
      <c r="S202" s="46"/>
      <c r="T202" s="46"/>
      <c r="U202" s="13"/>
      <c r="V202" s="13"/>
      <c r="W202" s="13"/>
      <c r="X202" s="13"/>
      <c r="Y202" s="13"/>
      <c r="Z202" s="13"/>
      <c r="AA202" s="13"/>
      <c r="AB202" s="13"/>
      <c r="AC202" s="13"/>
    </row>
    <row r="203" ht="393.75" customHeight="1">
      <c r="A203" s="35">
        <v>200.0</v>
      </c>
      <c r="B203" s="36" t="s">
        <v>1458</v>
      </c>
      <c r="C203" s="37" t="s">
        <v>1459</v>
      </c>
      <c r="D203" s="38" t="s">
        <v>1460</v>
      </c>
      <c r="E203" s="38" t="s">
        <v>1461</v>
      </c>
      <c r="F203" s="38" t="s">
        <v>1462</v>
      </c>
      <c r="G203" s="39" t="s">
        <v>1023</v>
      </c>
      <c r="H203" s="49" t="s">
        <v>49</v>
      </c>
      <c r="I203" s="86" t="s">
        <v>39</v>
      </c>
      <c r="J203" s="39" t="s">
        <v>1369</v>
      </c>
      <c r="K203" s="95" t="s">
        <v>173</v>
      </c>
      <c r="L203" s="94" t="s">
        <v>1025</v>
      </c>
      <c r="M203" s="51" t="b">
        <v>1</v>
      </c>
      <c r="N203" s="57" t="s">
        <v>1370</v>
      </c>
      <c r="O203" s="45" t="s">
        <v>1027</v>
      </c>
      <c r="P203" s="46"/>
      <c r="Q203" s="47"/>
      <c r="R203" s="47"/>
      <c r="S203" s="46"/>
      <c r="T203" s="46"/>
      <c r="U203" s="13"/>
      <c r="V203" s="13"/>
      <c r="W203" s="13"/>
      <c r="X203" s="13"/>
      <c r="Y203" s="13"/>
      <c r="Z203" s="13"/>
      <c r="AA203" s="13"/>
      <c r="AB203" s="13"/>
      <c r="AC203" s="13"/>
    </row>
    <row r="204" ht="16.5" customHeight="1">
      <c r="A204" s="35">
        <v>201.0</v>
      </c>
      <c r="B204" s="36" t="s">
        <v>1463</v>
      </c>
      <c r="C204" s="37" t="s">
        <v>1464</v>
      </c>
      <c r="D204" s="38" t="s">
        <v>1465</v>
      </c>
      <c r="E204" s="38" t="s">
        <v>1466</v>
      </c>
      <c r="F204" s="38" t="s">
        <v>1467</v>
      </c>
      <c r="G204" s="39" t="s">
        <v>1468</v>
      </c>
      <c r="H204" s="49" t="s">
        <v>49</v>
      </c>
      <c r="I204" s="94" t="s">
        <v>39</v>
      </c>
      <c r="J204" s="94" t="s">
        <v>1469</v>
      </c>
      <c r="K204" s="95" t="s">
        <v>1470</v>
      </c>
      <c r="L204" s="94" t="s">
        <v>1471</v>
      </c>
      <c r="M204" s="51" t="b">
        <v>1</v>
      </c>
      <c r="N204" s="120" t="s">
        <v>1472</v>
      </c>
      <c r="O204" s="121"/>
      <c r="P204" s="122" t="s">
        <v>1473</v>
      </c>
      <c r="Q204" s="47"/>
      <c r="R204" s="47"/>
      <c r="S204" s="46"/>
      <c r="T204" s="46"/>
      <c r="U204" s="13"/>
      <c r="V204" s="13"/>
      <c r="W204" s="13"/>
      <c r="X204" s="13"/>
      <c r="Y204" s="13"/>
      <c r="Z204" s="13"/>
      <c r="AA204" s="13"/>
      <c r="AB204" s="13"/>
      <c r="AC204" s="13"/>
    </row>
    <row r="205" ht="16.5" hidden="1" customHeight="1">
      <c r="A205" s="35">
        <v>202.0</v>
      </c>
      <c r="B205" s="101" t="s">
        <v>1474</v>
      </c>
      <c r="C205" s="37" t="s">
        <v>1475</v>
      </c>
      <c r="D205" s="38" t="s">
        <v>1476</v>
      </c>
      <c r="E205" s="38"/>
      <c r="F205" s="38" t="s">
        <v>1477</v>
      </c>
      <c r="G205" s="39" t="s">
        <v>231</v>
      </c>
      <c r="H205" s="49" t="s">
        <v>62</v>
      </c>
      <c r="I205" s="94" t="s">
        <v>63</v>
      </c>
      <c r="J205" s="55"/>
      <c r="K205" s="123"/>
      <c r="L205" s="124"/>
      <c r="M205" s="51" t="b">
        <v>0</v>
      </c>
      <c r="N205" s="46"/>
      <c r="O205" s="46"/>
      <c r="P205" s="46"/>
      <c r="Q205" s="47"/>
      <c r="R205" s="47"/>
      <c r="S205" s="46"/>
      <c r="T205" s="46"/>
      <c r="U205" s="13"/>
      <c r="V205" s="13"/>
      <c r="W205" s="13"/>
      <c r="X205" s="13"/>
      <c r="Y205" s="13"/>
      <c r="Z205" s="13"/>
      <c r="AA205" s="13"/>
      <c r="AB205" s="13"/>
      <c r="AC205" s="13"/>
    </row>
    <row r="206" ht="16.5" hidden="1" customHeight="1">
      <c r="A206" s="35">
        <v>203.0</v>
      </c>
      <c r="B206" s="101" t="s">
        <v>1478</v>
      </c>
      <c r="C206" s="37" t="s">
        <v>1479</v>
      </c>
      <c r="D206" s="38" t="s">
        <v>1480</v>
      </c>
      <c r="E206" s="38"/>
      <c r="F206" s="38" t="s">
        <v>1477</v>
      </c>
      <c r="G206" s="39" t="s">
        <v>231</v>
      </c>
      <c r="H206" s="49" t="s">
        <v>62</v>
      </c>
      <c r="I206" s="94" t="s">
        <v>63</v>
      </c>
      <c r="J206" s="55"/>
      <c r="K206" s="123"/>
      <c r="L206" s="124"/>
      <c r="M206" s="51" t="b">
        <v>0</v>
      </c>
      <c r="N206" s="46"/>
      <c r="O206" s="46"/>
      <c r="P206" s="46"/>
      <c r="Q206" s="47"/>
      <c r="R206" s="47"/>
      <c r="S206" s="46"/>
      <c r="T206" s="46"/>
      <c r="U206" s="13"/>
      <c r="V206" s="13"/>
      <c r="W206" s="13"/>
      <c r="X206" s="13"/>
      <c r="Y206" s="13"/>
      <c r="Z206" s="13"/>
      <c r="AA206" s="13"/>
      <c r="AB206" s="13"/>
      <c r="AC206" s="13"/>
    </row>
    <row r="207" ht="342.0" customHeight="1">
      <c r="A207" s="35">
        <v>204.0</v>
      </c>
      <c r="B207" s="36" t="s">
        <v>1298</v>
      </c>
      <c r="C207" s="37" t="s">
        <v>1481</v>
      </c>
      <c r="D207" s="38" t="s">
        <v>1482</v>
      </c>
      <c r="E207" s="38"/>
      <c r="F207" s="38" t="s">
        <v>461</v>
      </c>
      <c r="G207" s="39" t="s">
        <v>807</v>
      </c>
      <c r="H207" s="49" t="s">
        <v>49</v>
      </c>
      <c r="I207" s="94" t="s">
        <v>39</v>
      </c>
      <c r="J207" s="91" t="s">
        <v>462</v>
      </c>
      <c r="K207" s="92" t="s">
        <v>463</v>
      </c>
      <c r="L207" s="93" t="s">
        <v>464</v>
      </c>
      <c r="M207" s="51" t="b">
        <v>1</v>
      </c>
      <c r="N207" s="57" t="s">
        <v>465</v>
      </c>
      <c r="O207" s="125" t="s">
        <v>1302</v>
      </c>
      <c r="P207" s="126"/>
      <c r="Q207" s="119"/>
      <c r="R207" s="119"/>
      <c r="S207" s="119"/>
      <c r="T207" s="46"/>
      <c r="U207" s="13"/>
      <c r="V207" s="13"/>
      <c r="W207" s="13"/>
      <c r="X207" s="13"/>
      <c r="Y207" s="13"/>
      <c r="Z207" s="13"/>
      <c r="AA207" s="13"/>
      <c r="AB207" s="13"/>
      <c r="AC207" s="13"/>
    </row>
    <row r="208" ht="16.5" customHeight="1">
      <c r="A208" s="35">
        <v>205.0</v>
      </c>
      <c r="B208" s="36" t="s">
        <v>1483</v>
      </c>
      <c r="C208" s="37" t="s">
        <v>1484</v>
      </c>
      <c r="D208" s="38" t="s">
        <v>1485</v>
      </c>
      <c r="E208" s="38" t="s">
        <v>1209</v>
      </c>
      <c r="F208" s="38" t="s">
        <v>1486</v>
      </c>
      <c r="G208" s="39" t="s">
        <v>1487</v>
      </c>
      <c r="H208" s="49" t="s">
        <v>49</v>
      </c>
      <c r="I208" s="94" t="s">
        <v>39</v>
      </c>
      <c r="J208" s="39" t="s">
        <v>422</v>
      </c>
      <c r="K208" s="95" t="s">
        <v>1211</v>
      </c>
      <c r="L208" s="127" t="s">
        <v>1488</v>
      </c>
      <c r="M208" s="51" t="b">
        <v>1</v>
      </c>
      <c r="N208" s="128" t="s">
        <v>292</v>
      </c>
      <c r="O208" s="125" t="s">
        <v>1213</v>
      </c>
      <c r="P208" s="126"/>
      <c r="Q208" s="119"/>
      <c r="R208" s="119"/>
      <c r="S208" s="119"/>
      <c r="T208" s="46"/>
      <c r="U208" s="13"/>
      <c r="V208" s="13"/>
      <c r="W208" s="13"/>
      <c r="X208" s="13"/>
      <c r="Y208" s="13"/>
      <c r="Z208" s="13"/>
      <c r="AA208" s="13"/>
      <c r="AB208" s="13"/>
      <c r="AC208" s="13"/>
    </row>
    <row r="209" ht="16.5" hidden="1" customHeight="1">
      <c r="A209" s="35">
        <v>206.0</v>
      </c>
      <c r="B209" s="36" t="s">
        <v>1489</v>
      </c>
      <c r="C209" s="37" t="s">
        <v>1490</v>
      </c>
      <c r="D209" s="38" t="s">
        <v>1491</v>
      </c>
      <c r="E209" s="38"/>
      <c r="F209" s="38" t="s">
        <v>1477</v>
      </c>
      <c r="G209" s="39" t="s">
        <v>231</v>
      </c>
      <c r="H209" s="49" t="s">
        <v>62</v>
      </c>
      <c r="I209" s="94" t="s">
        <v>63</v>
      </c>
      <c r="J209" s="55"/>
      <c r="K209" s="123"/>
      <c r="L209" s="124"/>
      <c r="M209" s="51" t="b">
        <v>0</v>
      </c>
      <c r="N209" s="119"/>
      <c r="O209" s="119"/>
      <c r="P209" s="119"/>
      <c r="Q209" s="119"/>
      <c r="R209" s="119"/>
      <c r="S209" s="119"/>
      <c r="T209" s="46"/>
      <c r="U209" s="13"/>
      <c r="V209" s="13"/>
      <c r="W209" s="13"/>
      <c r="X209" s="13"/>
      <c r="Y209" s="13"/>
      <c r="Z209" s="13"/>
      <c r="AA209" s="13"/>
      <c r="AB209" s="13"/>
      <c r="AC209" s="13"/>
    </row>
    <row r="210" ht="16.5" customHeight="1">
      <c r="A210" s="35">
        <v>207.0</v>
      </c>
      <c r="B210" s="36" t="s">
        <v>1492</v>
      </c>
      <c r="C210" s="37" t="s">
        <v>1493</v>
      </c>
      <c r="D210" s="38" t="s">
        <v>1494</v>
      </c>
      <c r="E210" s="38"/>
      <c r="F210" s="38" t="s">
        <v>1495</v>
      </c>
      <c r="G210" s="39" t="s">
        <v>1496</v>
      </c>
      <c r="H210" s="49" t="s">
        <v>49</v>
      </c>
      <c r="I210" s="86" t="s">
        <v>39</v>
      </c>
      <c r="J210" s="39" t="s">
        <v>551</v>
      </c>
      <c r="K210" s="95" t="s">
        <v>1006</v>
      </c>
      <c r="L210" s="94" t="s">
        <v>1007</v>
      </c>
      <c r="M210" s="51" t="b">
        <v>1</v>
      </c>
      <c r="N210" s="118" t="s">
        <v>687</v>
      </c>
      <c r="O210" s="129" t="s">
        <v>1223</v>
      </c>
      <c r="P210" s="119"/>
      <c r="Q210" s="119"/>
      <c r="R210" s="119"/>
      <c r="S210" s="119"/>
      <c r="T210" s="46"/>
      <c r="U210" s="13"/>
      <c r="V210" s="13"/>
      <c r="W210" s="13"/>
      <c r="X210" s="13"/>
      <c r="Y210" s="13"/>
      <c r="Z210" s="13"/>
      <c r="AA210" s="13"/>
      <c r="AB210" s="13"/>
      <c r="AC210" s="13"/>
    </row>
    <row r="211" ht="16.5" customHeight="1">
      <c r="A211" s="35">
        <v>208.0</v>
      </c>
      <c r="B211" s="36" t="s">
        <v>1497</v>
      </c>
      <c r="C211" s="37" t="s">
        <v>1498</v>
      </c>
      <c r="D211" s="38" t="s">
        <v>1499</v>
      </c>
      <c r="E211" s="38" t="s">
        <v>1500</v>
      </c>
      <c r="F211" s="38" t="s">
        <v>1228</v>
      </c>
      <c r="G211" s="39" t="s">
        <v>1229</v>
      </c>
      <c r="H211" s="49" t="s">
        <v>49</v>
      </c>
      <c r="I211" s="39" t="s">
        <v>39</v>
      </c>
      <c r="J211" s="66" t="s">
        <v>151</v>
      </c>
      <c r="K211" s="107" t="s">
        <v>641</v>
      </c>
      <c r="L211" s="42" t="s">
        <v>1501</v>
      </c>
      <c r="M211" s="51" t="b">
        <v>1</v>
      </c>
      <c r="N211" s="61" t="s">
        <v>292</v>
      </c>
      <c r="O211" s="64" t="s">
        <v>1231</v>
      </c>
      <c r="P211" s="35" t="s">
        <v>1502</v>
      </c>
      <c r="Q211" s="35" t="s">
        <v>1503</v>
      </c>
      <c r="R211" s="119"/>
      <c r="S211" s="119"/>
      <c r="T211" s="46"/>
      <c r="U211" s="13"/>
      <c r="V211" s="13"/>
      <c r="W211" s="13"/>
      <c r="X211" s="13"/>
      <c r="Y211" s="13"/>
      <c r="Z211" s="13"/>
      <c r="AA211" s="13"/>
      <c r="AB211" s="13"/>
      <c r="AC211" s="13"/>
    </row>
    <row r="212" ht="16.5" customHeight="1">
      <c r="A212" s="35">
        <v>209.0</v>
      </c>
      <c r="B212" s="36" t="s">
        <v>1504</v>
      </c>
      <c r="C212" s="37" t="s">
        <v>1505</v>
      </c>
      <c r="D212" s="38" t="s">
        <v>1506</v>
      </c>
      <c r="E212" s="38"/>
      <c r="F212" s="38" t="s">
        <v>1507</v>
      </c>
      <c r="G212" s="39" t="s">
        <v>1508</v>
      </c>
      <c r="H212" s="49" t="s">
        <v>49</v>
      </c>
      <c r="I212" s="94" t="s">
        <v>39</v>
      </c>
      <c r="J212" s="39" t="s">
        <v>1509</v>
      </c>
      <c r="K212" s="95" t="s">
        <v>1510</v>
      </c>
      <c r="L212" s="94" t="s">
        <v>1511</v>
      </c>
      <c r="M212" s="51" t="b">
        <v>1</v>
      </c>
      <c r="N212" s="118" t="s">
        <v>1512</v>
      </c>
      <c r="O212" s="130"/>
      <c r="P212" s="119"/>
      <c r="Q212" s="119"/>
      <c r="R212" s="119"/>
      <c r="S212" s="119"/>
      <c r="T212" s="46"/>
      <c r="U212" s="13"/>
      <c r="V212" s="13"/>
      <c r="W212" s="13"/>
      <c r="X212" s="13"/>
      <c r="Y212" s="13"/>
      <c r="Z212" s="13"/>
      <c r="AA212" s="13"/>
      <c r="AB212" s="13"/>
      <c r="AC212" s="13"/>
    </row>
    <row r="213" ht="16.5" hidden="1" customHeight="1">
      <c r="A213" s="35">
        <v>210.0</v>
      </c>
      <c r="B213" s="36" t="s">
        <v>1513</v>
      </c>
      <c r="C213" s="37" t="s">
        <v>1514</v>
      </c>
      <c r="D213" s="38" t="s">
        <v>1515</v>
      </c>
      <c r="E213" s="38"/>
      <c r="F213" s="38" t="s">
        <v>196</v>
      </c>
      <c r="G213" s="39" t="s">
        <v>231</v>
      </c>
      <c r="H213" s="49" t="s">
        <v>62</v>
      </c>
      <c r="I213" s="94" t="s">
        <v>63</v>
      </c>
      <c r="J213" s="55"/>
      <c r="K213" s="123"/>
      <c r="L213" s="124"/>
      <c r="M213" s="51" t="b">
        <v>0</v>
      </c>
      <c r="N213" s="119"/>
      <c r="O213" s="119"/>
      <c r="P213" s="119"/>
      <c r="Q213" s="119"/>
      <c r="R213" s="119"/>
      <c r="S213" s="119"/>
      <c r="T213" s="46"/>
      <c r="U213" s="13"/>
      <c r="V213" s="13"/>
      <c r="W213" s="13"/>
      <c r="X213" s="13"/>
      <c r="Y213" s="13"/>
      <c r="Z213" s="13"/>
      <c r="AA213" s="13"/>
      <c r="AB213" s="13"/>
      <c r="AC213" s="13"/>
    </row>
    <row r="214" ht="16.5" hidden="1" customHeight="1">
      <c r="A214" s="35">
        <v>211.0</v>
      </c>
      <c r="B214" s="36" t="s">
        <v>1516</v>
      </c>
      <c r="C214" s="37" t="s">
        <v>1517</v>
      </c>
      <c r="D214" s="38" t="s">
        <v>1518</v>
      </c>
      <c r="E214" s="38" t="s">
        <v>1519</v>
      </c>
      <c r="F214" s="38" t="s">
        <v>1325</v>
      </c>
      <c r="G214" s="39" t="s">
        <v>231</v>
      </c>
      <c r="H214" s="49" t="s">
        <v>62</v>
      </c>
      <c r="I214" s="94" t="s">
        <v>63</v>
      </c>
      <c r="J214" s="55"/>
      <c r="K214" s="123"/>
      <c r="L214" s="124"/>
      <c r="M214" s="51" t="b">
        <v>0</v>
      </c>
      <c r="N214" s="119"/>
      <c r="O214" s="119"/>
      <c r="P214" s="119"/>
      <c r="Q214" s="119"/>
      <c r="R214" s="119"/>
      <c r="S214" s="119"/>
      <c r="T214" s="46"/>
      <c r="U214" s="13"/>
      <c r="V214" s="13"/>
      <c r="W214" s="13"/>
      <c r="X214" s="13"/>
      <c r="Y214" s="13"/>
      <c r="Z214" s="13"/>
      <c r="AA214" s="13"/>
      <c r="AB214" s="13"/>
      <c r="AC214" s="13"/>
    </row>
    <row r="215" ht="16.5" hidden="1" customHeight="1">
      <c r="A215" s="35">
        <v>212.0</v>
      </c>
      <c r="B215" s="101" t="s">
        <v>1520</v>
      </c>
      <c r="C215" s="37" t="s">
        <v>1521</v>
      </c>
      <c r="D215" s="38" t="s">
        <v>1522</v>
      </c>
      <c r="E215" s="38"/>
      <c r="F215" s="38" t="s">
        <v>1523</v>
      </c>
      <c r="G215" s="39" t="s">
        <v>231</v>
      </c>
      <c r="H215" s="49" t="s">
        <v>62</v>
      </c>
      <c r="I215" s="94" t="s">
        <v>63</v>
      </c>
      <c r="J215" s="55"/>
      <c r="K215" s="123"/>
      <c r="L215" s="124"/>
      <c r="M215" s="51" t="b">
        <v>0</v>
      </c>
      <c r="N215" s="119"/>
      <c r="O215" s="119"/>
      <c r="P215" s="119"/>
      <c r="Q215" s="119"/>
      <c r="R215" s="119"/>
      <c r="S215" s="119"/>
      <c r="T215" s="46"/>
      <c r="U215" s="13"/>
      <c r="V215" s="13"/>
      <c r="W215" s="13"/>
      <c r="X215" s="13"/>
      <c r="Y215" s="13"/>
      <c r="Z215" s="13"/>
      <c r="AA215" s="13"/>
      <c r="AB215" s="13"/>
      <c r="AC215" s="13"/>
    </row>
    <row r="216" ht="16.5" customHeight="1">
      <c r="A216" s="35">
        <v>213.0</v>
      </c>
      <c r="B216" s="36" t="s">
        <v>1318</v>
      </c>
      <c r="C216" s="37" t="s">
        <v>1524</v>
      </c>
      <c r="D216" s="38" t="s">
        <v>1525</v>
      </c>
      <c r="E216" s="38"/>
      <c r="F216" s="38" t="s">
        <v>1321</v>
      </c>
      <c r="G216" s="39" t="s">
        <v>1277</v>
      </c>
      <c r="H216" s="49" t="s">
        <v>49</v>
      </c>
      <c r="I216" s="39" t="s">
        <v>39</v>
      </c>
      <c r="J216" s="39" t="s">
        <v>471</v>
      </c>
      <c r="K216" s="41" t="s">
        <v>1126</v>
      </c>
      <c r="L216" s="39" t="s">
        <v>1278</v>
      </c>
      <c r="M216" s="51" t="b">
        <v>1</v>
      </c>
      <c r="N216" s="118" t="s">
        <v>1279</v>
      </c>
      <c r="O216" s="129" t="s">
        <v>1280</v>
      </c>
      <c r="P216" s="119"/>
      <c r="Q216" s="119"/>
      <c r="R216" s="119"/>
      <c r="S216" s="119"/>
      <c r="T216" s="46"/>
      <c r="U216" s="13"/>
      <c r="V216" s="13"/>
      <c r="W216" s="13"/>
      <c r="X216" s="13"/>
      <c r="Y216" s="13"/>
      <c r="Z216" s="13"/>
      <c r="AA216" s="13"/>
      <c r="AB216" s="13"/>
      <c r="AC216" s="13"/>
    </row>
    <row r="217" ht="16.5" hidden="1" customHeight="1">
      <c r="A217" s="35">
        <v>214.0</v>
      </c>
      <c r="B217" s="36" t="s">
        <v>1526</v>
      </c>
      <c r="C217" s="37" t="s">
        <v>1527</v>
      </c>
      <c r="D217" s="38" t="s">
        <v>1528</v>
      </c>
      <c r="E217" s="38"/>
      <c r="F217" s="38" t="s">
        <v>1523</v>
      </c>
      <c r="G217" s="39" t="s">
        <v>231</v>
      </c>
      <c r="H217" s="49" t="s">
        <v>62</v>
      </c>
      <c r="I217" s="94" t="s">
        <v>63</v>
      </c>
      <c r="J217" s="55"/>
      <c r="K217" s="123"/>
      <c r="L217" s="124"/>
      <c r="M217" s="51" t="b">
        <v>0</v>
      </c>
      <c r="N217" s="119"/>
      <c r="O217" s="119"/>
      <c r="P217" s="119"/>
      <c r="Q217" s="119"/>
      <c r="R217" s="119"/>
      <c r="S217" s="119"/>
      <c r="T217" s="46"/>
      <c r="U217" s="13"/>
      <c r="V217" s="13"/>
      <c r="W217" s="13"/>
      <c r="X217" s="13"/>
      <c r="Y217" s="13"/>
      <c r="Z217" s="13"/>
      <c r="AA217" s="13"/>
      <c r="AB217" s="13"/>
      <c r="AC217" s="13"/>
    </row>
    <row r="218" ht="16.5" customHeight="1">
      <c r="A218" s="35">
        <v>215.0</v>
      </c>
      <c r="B218" s="36" t="s">
        <v>1529</v>
      </c>
      <c r="C218" s="37" t="s">
        <v>1530</v>
      </c>
      <c r="D218" s="38" t="s">
        <v>1531</v>
      </c>
      <c r="E218" s="38" t="s">
        <v>1532</v>
      </c>
      <c r="F218" s="38" t="s">
        <v>1533</v>
      </c>
      <c r="G218" s="39" t="s">
        <v>587</v>
      </c>
      <c r="H218" s="49" t="s">
        <v>49</v>
      </c>
      <c r="I218" s="39" t="s">
        <v>39</v>
      </c>
      <c r="J218" s="39" t="s">
        <v>588</v>
      </c>
      <c r="K218" s="41" t="s">
        <v>173</v>
      </c>
      <c r="L218" s="39" t="s">
        <v>589</v>
      </c>
      <c r="M218" s="51" t="b">
        <v>1</v>
      </c>
      <c r="N218" s="118" t="s">
        <v>1534</v>
      </c>
      <c r="O218" s="129" t="s">
        <v>591</v>
      </c>
      <c r="P218" s="119"/>
      <c r="Q218" s="119"/>
      <c r="R218" s="119"/>
      <c r="S218" s="119"/>
      <c r="T218" s="46"/>
      <c r="U218" s="13"/>
      <c r="V218" s="13"/>
      <c r="W218" s="13"/>
      <c r="X218" s="13"/>
      <c r="Y218" s="13"/>
      <c r="Z218" s="13"/>
      <c r="AA218" s="13"/>
      <c r="AB218" s="13"/>
      <c r="AC218" s="13"/>
    </row>
    <row r="219" ht="342.0" customHeight="1">
      <c r="A219" s="35">
        <v>216.0</v>
      </c>
      <c r="B219" s="36" t="s">
        <v>1535</v>
      </c>
      <c r="C219" s="37" t="s">
        <v>1536</v>
      </c>
      <c r="D219" s="38" t="s">
        <v>1537</v>
      </c>
      <c r="E219" s="38" t="s">
        <v>1538</v>
      </c>
      <c r="F219" s="38" t="s">
        <v>1539</v>
      </c>
      <c r="G219" s="39" t="s">
        <v>1540</v>
      </c>
      <c r="H219" s="49" t="s">
        <v>49</v>
      </c>
      <c r="I219" s="94" t="s">
        <v>39</v>
      </c>
      <c r="J219" s="39" t="s">
        <v>492</v>
      </c>
      <c r="K219" s="67" t="s">
        <v>238</v>
      </c>
      <c r="L219" s="39" t="s">
        <v>1541</v>
      </c>
      <c r="M219" s="51" t="b">
        <v>1</v>
      </c>
      <c r="N219" s="131" t="s">
        <v>1542</v>
      </c>
      <c r="O219" s="129" t="s">
        <v>1543</v>
      </c>
      <c r="P219" s="119"/>
      <c r="Q219" s="119"/>
      <c r="R219" s="119"/>
      <c r="S219" s="119"/>
      <c r="T219" s="46"/>
      <c r="U219" s="98"/>
      <c r="V219" s="13"/>
      <c r="W219" s="13"/>
      <c r="X219" s="13"/>
      <c r="Y219" s="13"/>
      <c r="Z219" s="13"/>
      <c r="AA219" s="13"/>
      <c r="AB219" s="13"/>
      <c r="AC219" s="13"/>
    </row>
    <row r="220" ht="16.5" customHeight="1">
      <c r="A220" s="35">
        <v>217.0</v>
      </c>
      <c r="B220" s="36" t="s">
        <v>1544</v>
      </c>
      <c r="C220" s="37" t="s">
        <v>1545</v>
      </c>
      <c r="D220" s="38" t="s">
        <v>1546</v>
      </c>
      <c r="E220" s="38" t="s">
        <v>1547</v>
      </c>
      <c r="F220" s="38" t="s">
        <v>1548</v>
      </c>
      <c r="G220" s="39" t="s">
        <v>1549</v>
      </c>
      <c r="H220" s="49" t="s">
        <v>49</v>
      </c>
      <c r="I220" s="94" t="s">
        <v>39</v>
      </c>
      <c r="J220" s="39" t="s">
        <v>856</v>
      </c>
      <c r="K220" s="95" t="s">
        <v>1550</v>
      </c>
      <c r="L220" s="94" t="s">
        <v>1551</v>
      </c>
      <c r="M220" s="51" t="b">
        <v>1</v>
      </c>
      <c r="N220" s="132" t="s">
        <v>1552</v>
      </c>
      <c r="O220" s="133"/>
      <c r="P220" s="126"/>
      <c r="Q220" s="126"/>
      <c r="R220" s="119"/>
      <c r="S220" s="119"/>
      <c r="T220" s="46"/>
      <c r="U220" s="13"/>
      <c r="V220" s="13"/>
      <c r="W220" s="13"/>
      <c r="X220" s="13"/>
      <c r="Y220" s="13"/>
      <c r="Z220" s="13"/>
      <c r="AA220" s="13"/>
      <c r="AB220" s="13"/>
      <c r="AC220" s="13"/>
    </row>
    <row r="221" ht="216.0" hidden="1" customHeight="1">
      <c r="A221" s="35">
        <v>218.0</v>
      </c>
      <c r="B221" s="36" t="s">
        <v>1553</v>
      </c>
      <c r="C221" s="37" t="s">
        <v>1554</v>
      </c>
      <c r="D221" s="38" t="s">
        <v>1555</v>
      </c>
      <c r="E221" s="38" t="s">
        <v>1556</v>
      </c>
      <c r="F221" s="38" t="s">
        <v>1557</v>
      </c>
      <c r="G221" s="39" t="s">
        <v>231</v>
      </c>
      <c r="H221" s="49" t="s">
        <v>62</v>
      </c>
      <c r="I221" s="94" t="s">
        <v>63</v>
      </c>
      <c r="J221" s="55"/>
      <c r="K221" s="123"/>
      <c r="L221" s="124"/>
      <c r="M221" s="51" t="b">
        <v>0</v>
      </c>
      <c r="N221" s="119"/>
      <c r="O221" s="119"/>
      <c r="P221" s="119"/>
      <c r="Q221" s="119"/>
      <c r="R221" s="119"/>
      <c r="S221" s="119"/>
      <c r="T221" s="46"/>
      <c r="U221" s="13"/>
      <c r="V221" s="13"/>
      <c r="W221" s="13"/>
      <c r="X221" s="13"/>
      <c r="Y221" s="13"/>
      <c r="Z221" s="13"/>
      <c r="AA221" s="13"/>
      <c r="AB221" s="13"/>
      <c r="AC221" s="13"/>
    </row>
    <row r="222" ht="162.0" hidden="1" customHeight="1">
      <c r="A222" s="35">
        <v>219.0</v>
      </c>
      <c r="B222" s="36" t="s">
        <v>1558</v>
      </c>
      <c r="C222" s="37" t="s">
        <v>1559</v>
      </c>
      <c r="D222" s="38" t="s">
        <v>1560</v>
      </c>
      <c r="E222" s="38" t="s">
        <v>1561</v>
      </c>
      <c r="F222" s="38" t="s">
        <v>1562</v>
      </c>
      <c r="G222" s="39" t="s">
        <v>231</v>
      </c>
      <c r="H222" s="49" t="s">
        <v>62</v>
      </c>
      <c r="I222" s="94" t="s">
        <v>63</v>
      </c>
      <c r="J222" s="55"/>
      <c r="K222" s="123"/>
      <c r="L222" s="124"/>
      <c r="M222" s="51" t="b">
        <v>0</v>
      </c>
      <c r="N222" s="119"/>
      <c r="O222" s="119"/>
      <c r="P222" s="119"/>
      <c r="Q222" s="119"/>
      <c r="R222" s="119"/>
      <c r="S222" s="119"/>
      <c r="T222" s="46"/>
      <c r="U222" s="13"/>
      <c r="V222" s="13"/>
      <c r="W222" s="13"/>
      <c r="X222" s="13"/>
      <c r="Y222" s="13"/>
      <c r="Z222" s="13"/>
      <c r="AA222" s="13"/>
      <c r="AB222" s="13"/>
      <c r="AC222" s="13"/>
    </row>
    <row r="223" ht="16.5" customHeight="1">
      <c r="A223" s="35">
        <v>220.0</v>
      </c>
      <c r="B223" s="36" t="s">
        <v>1563</v>
      </c>
      <c r="C223" s="37" t="s">
        <v>1564</v>
      </c>
      <c r="D223" s="38" t="s">
        <v>1565</v>
      </c>
      <c r="E223" s="38" t="s">
        <v>1566</v>
      </c>
      <c r="F223" s="38" t="s">
        <v>1562</v>
      </c>
      <c r="G223" s="39" t="s">
        <v>1567</v>
      </c>
      <c r="H223" s="49" t="s">
        <v>38</v>
      </c>
      <c r="I223" s="94" t="s">
        <v>39</v>
      </c>
      <c r="J223" s="66" t="s">
        <v>151</v>
      </c>
      <c r="K223" s="134" t="s">
        <v>173</v>
      </c>
      <c r="L223" s="94" t="s">
        <v>189</v>
      </c>
      <c r="M223" s="51" t="b">
        <v>1</v>
      </c>
      <c r="N223" s="131" t="s">
        <v>1568</v>
      </c>
      <c r="O223" s="129" t="s">
        <v>191</v>
      </c>
      <c r="P223" s="119"/>
      <c r="Q223" s="119"/>
      <c r="R223" s="119"/>
      <c r="S223" s="119"/>
      <c r="T223" s="46"/>
      <c r="U223" s="13"/>
      <c r="V223" s="13"/>
      <c r="W223" s="13"/>
      <c r="X223" s="13"/>
      <c r="Y223" s="13"/>
      <c r="Z223" s="13"/>
      <c r="AA223" s="13"/>
      <c r="AB223" s="13"/>
      <c r="AC223" s="13"/>
    </row>
    <row r="224" ht="16.5" customHeight="1">
      <c r="A224" s="35">
        <v>221.0</v>
      </c>
      <c r="B224" s="36" t="s">
        <v>1569</v>
      </c>
      <c r="C224" s="37" t="s">
        <v>1570</v>
      </c>
      <c r="D224" s="38" t="s">
        <v>1571</v>
      </c>
      <c r="E224" s="38" t="s">
        <v>1572</v>
      </c>
      <c r="F224" s="38" t="s">
        <v>1573</v>
      </c>
      <c r="G224" s="39" t="s">
        <v>1574</v>
      </c>
      <c r="H224" s="49" t="s">
        <v>49</v>
      </c>
      <c r="I224" s="94" t="s">
        <v>39</v>
      </c>
      <c r="J224" s="39" t="s">
        <v>1575</v>
      </c>
      <c r="K224" s="95" t="s">
        <v>173</v>
      </c>
      <c r="L224" s="59" t="s">
        <v>1576</v>
      </c>
      <c r="M224" s="51" t="b">
        <v>1</v>
      </c>
      <c r="N224" s="132" t="s">
        <v>1577</v>
      </c>
      <c r="O224" s="130"/>
      <c r="P224" s="119"/>
      <c r="Q224" s="119"/>
      <c r="R224" s="119"/>
      <c r="S224" s="119"/>
      <c r="T224" s="46"/>
      <c r="U224" s="13"/>
      <c r="V224" s="13"/>
      <c r="W224" s="13"/>
      <c r="X224" s="13"/>
      <c r="Y224" s="13"/>
      <c r="Z224" s="13"/>
      <c r="AA224" s="13"/>
      <c r="AB224" s="13"/>
      <c r="AC224" s="13"/>
    </row>
    <row r="225" ht="16.5" customHeight="1">
      <c r="A225" s="35">
        <v>222.0</v>
      </c>
      <c r="B225" s="36" t="s">
        <v>1578</v>
      </c>
      <c r="C225" s="37" t="s">
        <v>1579</v>
      </c>
      <c r="D225" s="38" t="s">
        <v>1580</v>
      </c>
      <c r="E225" s="38" t="s">
        <v>1581</v>
      </c>
      <c r="F225" s="38" t="s">
        <v>196</v>
      </c>
      <c r="G225" s="39" t="s">
        <v>1580</v>
      </c>
      <c r="H225" s="49" t="s">
        <v>49</v>
      </c>
      <c r="I225" s="94" t="s">
        <v>39</v>
      </c>
      <c r="J225" s="39" t="s">
        <v>1582</v>
      </c>
      <c r="K225" s="95" t="s">
        <v>1583</v>
      </c>
      <c r="L225" s="94" t="s">
        <v>1584</v>
      </c>
      <c r="M225" s="51" t="b">
        <v>1</v>
      </c>
      <c r="N225" s="132" t="s">
        <v>1585</v>
      </c>
      <c r="O225" s="133"/>
      <c r="P225" s="126"/>
      <c r="Q225" s="126"/>
      <c r="R225" s="119"/>
      <c r="S225" s="119"/>
      <c r="T225" s="46"/>
      <c r="U225" s="13"/>
      <c r="V225" s="13"/>
      <c r="W225" s="13"/>
      <c r="X225" s="13"/>
      <c r="Y225" s="13"/>
      <c r="Z225" s="13"/>
      <c r="AA225" s="13"/>
      <c r="AB225" s="13"/>
      <c r="AC225" s="13"/>
    </row>
    <row r="226" ht="16.5" hidden="1" customHeight="1">
      <c r="A226" s="35">
        <v>223.0</v>
      </c>
      <c r="B226" s="36" t="s">
        <v>1586</v>
      </c>
      <c r="C226" s="37" t="s">
        <v>1587</v>
      </c>
      <c r="D226" s="38" t="s">
        <v>1588</v>
      </c>
      <c r="E226" s="38"/>
      <c r="F226" s="38" t="s">
        <v>1589</v>
      </c>
      <c r="G226" s="39" t="s">
        <v>231</v>
      </c>
      <c r="H226" s="49" t="s">
        <v>62</v>
      </c>
      <c r="I226" s="94" t="s">
        <v>63</v>
      </c>
      <c r="J226" s="55"/>
      <c r="K226" s="123"/>
      <c r="L226" s="124"/>
      <c r="M226" s="51" t="b">
        <v>0</v>
      </c>
      <c r="N226" s="119"/>
      <c r="O226" s="119"/>
      <c r="P226" s="119"/>
      <c r="Q226" s="119"/>
      <c r="R226" s="119"/>
      <c r="S226" s="119"/>
      <c r="T226" s="46"/>
      <c r="U226" s="13"/>
      <c r="V226" s="13"/>
      <c r="W226" s="13"/>
      <c r="X226" s="13"/>
      <c r="Y226" s="13"/>
      <c r="Z226" s="13"/>
      <c r="AA226" s="13"/>
      <c r="AB226" s="13"/>
      <c r="AC226" s="13"/>
    </row>
    <row r="227" ht="264.0" hidden="1" customHeight="1">
      <c r="A227" s="35">
        <v>224.0</v>
      </c>
      <c r="B227" s="101" t="s">
        <v>1590</v>
      </c>
      <c r="C227" s="37" t="s">
        <v>1591</v>
      </c>
      <c r="D227" s="38" t="s">
        <v>1592</v>
      </c>
      <c r="E227" s="38" t="s">
        <v>1593</v>
      </c>
      <c r="F227" s="38" t="s">
        <v>1594</v>
      </c>
      <c r="G227" s="39" t="s">
        <v>231</v>
      </c>
      <c r="H227" s="49" t="s">
        <v>62</v>
      </c>
      <c r="I227" s="94" t="s">
        <v>63</v>
      </c>
      <c r="J227" s="55"/>
      <c r="K227" s="123"/>
      <c r="L227" s="124"/>
      <c r="M227" s="51" t="b">
        <v>0</v>
      </c>
      <c r="N227" s="119"/>
      <c r="O227" s="119"/>
      <c r="P227" s="119"/>
      <c r="Q227" s="119"/>
      <c r="R227" s="119"/>
      <c r="S227" s="119"/>
      <c r="T227" s="46"/>
      <c r="U227" s="13"/>
      <c r="V227" s="13"/>
      <c r="W227" s="13"/>
      <c r="X227" s="13"/>
      <c r="Y227" s="13"/>
      <c r="Z227" s="13"/>
      <c r="AA227" s="13"/>
      <c r="AB227" s="13"/>
      <c r="AC227" s="13"/>
    </row>
    <row r="228" ht="330.0" hidden="1" customHeight="1">
      <c r="A228" s="35">
        <v>225.0</v>
      </c>
      <c r="B228" s="101" t="s">
        <v>1595</v>
      </c>
      <c r="C228" s="37" t="s">
        <v>1596</v>
      </c>
      <c r="D228" s="38" t="s">
        <v>1597</v>
      </c>
      <c r="E228" s="38"/>
      <c r="F228" s="38" t="s">
        <v>1598</v>
      </c>
      <c r="G228" s="39" t="s">
        <v>231</v>
      </c>
      <c r="H228" s="49" t="s">
        <v>62</v>
      </c>
      <c r="I228" s="94" t="s">
        <v>63</v>
      </c>
      <c r="J228" s="55"/>
      <c r="K228" s="123"/>
      <c r="L228" s="124"/>
      <c r="M228" s="51" t="b">
        <v>0</v>
      </c>
      <c r="N228" s="119"/>
      <c r="O228" s="119"/>
      <c r="P228" s="119"/>
      <c r="Q228" s="119"/>
      <c r="R228" s="119"/>
      <c r="S228" s="119"/>
      <c r="T228" s="46"/>
      <c r="U228" s="13"/>
      <c r="V228" s="13"/>
      <c r="W228" s="13"/>
      <c r="X228" s="13"/>
      <c r="Y228" s="13"/>
      <c r="Z228" s="13"/>
      <c r="AA228" s="13"/>
      <c r="AB228" s="13"/>
      <c r="AC228" s="13"/>
    </row>
    <row r="229" ht="16.5" customHeight="1">
      <c r="A229" s="35">
        <v>226.0</v>
      </c>
      <c r="B229" s="36" t="s">
        <v>1599</v>
      </c>
      <c r="C229" s="37" t="s">
        <v>1600</v>
      </c>
      <c r="D229" s="38" t="s">
        <v>1601</v>
      </c>
      <c r="E229" s="38"/>
      <c r="F229" s="38" t="s">
        <v>1602</v>
      </c>
      <c r="G229" s="39" t="s">
        <v>1603</v>
      </c>
      <c r="H229" s="49" t="s">
        <v>38</v>
      </c>
      <c r="I229" s="39" t="s">
        <v>39</v>
      </c>
      <c r="J229" s="39" t="s">
        <v>874</v>
      </c>
      <c r="K229" s="95" t="s">
        <v>173</v>
      </c>
      <c r="L229" s="39" t="s">
        <v>1604</v>
      </c>
      <c r="M229" s="51" t="b">
        <v>1</v>
      </c>
      <c r="N229" s="118" t="s">
        <v>876</v>
      </c>
      <c r="O229" s="118" t="s">
        <v>877</v>
      </c>
      <c r="P229" s="119"/>
      <c r="Q229" s="119"/>
      <c r="R229" s="119"/>
      <c r="S229" s="119"/>
      <c r="T229" s="46"/>
      <c r="U229" s="13"/>
      <c r="V229" s="13"/>
      <c r="W229" s="13"/>
      <c r="X229" s="13"/>
      <c r="Y229" s="13"/>
      <c r="Z229" s="13"/>
      <c r="AA229" s="13"/>
      <c r="AB229" s="13"/>
      <c r="AC229" s="13"/>
    </row>
    <row r="230" ht="409.5" hidden="1" customHeight="1">
      <c r="A230" s="35">
        <v>227.0</v>
      </c>
      <c r="B230" s="101" t="s">
        <v>1605</v>
      </c>
      <c r="C230" s="37" t="s">
        <v>1606</v>
      </c>
      <c r="D230" s="38" t="s">
        <v>1607</v>
      </c>
      <c r="E230" s="38" t="s">
        <v>1088</v>
      </c>
      <c r="F230" s="38" t="s">
        <v>1562</v>
      </c>
      <c r="G230" s="39" t="s">
        <v>231</v>
      </c>
      <c r="H230" s="49" t="s">
        <v>62</v>
      </c>
      <c r="I230" s="94" t="s">
        <v>63</v>
      </c>
      <c r="J230" s="55"/>
      <c r="K230" s="123"/>
      <c r="L230" s="124"/>
      <c r="M230" s="51" t="b">
        <v>0</v>
      </c>
      <c r="N230" s="119"/>
      <c r="O230" s="119"/>
      <c r="P230" s="119"/>
      <c r="Q230" s="119"/>
      <c r="R230" s="119"/>
      <c r="S230" s="119"/>
      <c r="T230" s="46"/>
      <c r="U230" s="13"/>
      <c r="V230" s="13"/>
      <c r="W230" s="13"/>
      <c r="X230" s="13"/>
      <c r="Y230" s="13"/>
      <c r="Z230" s="13"/>
      <c r="AA230" s="13"/>
      <c r="AB230" s="13"/>
      <c r="AC230" s="13"/>
    </row>
    <row r="231" ht="162.0" hidden="1" customHeight="1">
      <c r="A231" s="35">
        <v>228.0</v>
      </c>
      <c r="B231" s="101" t="s">
        <v>1608</v>
      </c>
      <c r="C231" s="37" t="s">
        <v>1609</v>
      </c>
      <c r="D231" s="38" t="s">
        <v>1610</v>
      </c>
      <c r="E231" s="38" t="s">
        <v>1611</v>
      </c>
      <c r="F231" s="38" t="s">
        <v>1562</v>
      </c>
      <c r="G231" s="39" t="s">
        <v>231</v>
      </c>
      <c r="H231" s="49" t="s">
        <v>62</v>
      </c>
      <c r="I231" s="94" t="s">
        <v>63</v>
      </c>
      <c r="J231" s="55"/>
      <c r="K231" s="123"/>
      <c r="L231" s="124"/>
      <c r="M231" s="51" t="b">
        <v>0</v>
      </c>
      <c r="N231" s="119"/>
      <c r="O231" s="119"/>
      <c r="P231" s="119"/>
      <c r="Q231" s="119"/>
      <c r="R231" s="119"/>
      <c r="S231" s="119"/>
      <c r="T231" s="46"/>
      <c r="U231" s="13"/>
      <c r="V231" s="13"/>
      <c r="W231" s="13"/>
      <c r="X231" s="13"/>
      <c r="Y231" s="13"/>
      <c r="Z231" s="13"/>
      <c r="AA231" s="13"/>
      <c r="AB231" s="13"/>
      <c r="AC231" s="13"/>
    </row>
    <row r="232" ht="16.5" customHeight="1">
      <c r="A232" s="35">
        <v>229.0</v>
      </c>
      <c r="B232" s="36" t="s">
        <v>1612</v>
      </c>
      <c r="C232" s="37" t="s">
        <v>1613</v>
      </c>
      <c r="D232" s="38" t="s">
        <v>1614</v>
      </c>
      <c r="E232" s="38"/>
      <c r="F232" s="38" t="s">
        <v>1615</v>
      </c>
      <c r="G232" s="39" t="s">
        <v>1616</v>
      </c>
      <c r="H232" s="49" t="s">
        <v>49</v>
      </c>
      <c r="I232" s="94" t="s">
        <v>39</v>
      </c>
      <c r="J232" s="39" t="s">
        <v>1617</v>
      </c>
      <c r="K232" s="95" t="s">
        <v>1618</v>
      </c>
      <c r="L232" s="94" t="s">
        <v>1619</v>
      </c>
      <c r="M232" s="51" t="b">
        <v>1</v>
      </c>
      <c r="N232" s="118" t="s">
        <v>1620</v>
      </c>
      <c r="O232" s="130"/>
      <c r="P232" s="119"/>
      <c r="Q232" s="119"/>
      <c r="R232" s="119"/>
      <c r="S232" s="119"/>
      <c r="T232" s="46"/>
      <c r="U232" s="13"/>
      <c r="V232" s="13"/>
      <c r="W232" s="13"/>
      <c r="X232" s="13"/>
      <c r="Y232" s="13"/>
      <c r="Z232" s="13"/>
      <c r="AA232" s="13"/>
      <c r="AB232" s="13"/>
      <c r="AC232" s="13"/>
    </row>
    <row r="233" ht="16.5" customHeight="1">
      <c r="A233" s="35">
        <v>230.0</v>
      </c>
      <c r="B233" s="36" t="s">
        <v>1621</v>
      </c>
      <c r="C233" s="37" t="s">
        <v>1622</v>
      </c>
      <c r="D233" s="38" t="s">
        <v>1623</v>
      </c>
      <c r="E233" s="38" t="s">
        <v>1624</v>
      </c>
      <c r="F233" s="38" t="s">
        <v>1625</v>
      </c>
      <c r="G233" s="39" t="s">
        <v>1023</v>
      </c>
      <c r="H233" s="49" t="s">
        <v>49</v>
      </c>
      <c r="I233" s="86" t="s">
        <v>39</v>
      </c>
      <c r="J233" s="39" t="s">
        <v>1369</v>
      </c>
      <c r="K233" s="95" t="s">
        <v>173</v>
      </c>
      <c r="L233" s="135" t="s">
        <v>1025</v>
      </c>
      <c r="M233" s="51" t="b">
        <v>1</v>
      </c>
      <c r="N233" s="118" t="s">
        <v>1370</v>
      </c>
      <c r="O233" s="130"/>
      <c r="P233" s="119"/>
      <c r="Q233" s="119"/>
      <c r="R233" s="119"/>
      <c r="S233" s="119"/>
      <c r="T233" s="46"/>
      <c r="U233" s="13"/>
      <c r="V233" s="13"/>
      <c r="W233" s="13"/>
      <c r="X233" s="13"/>
      <c r="Y233" s="13"/>
      <c r="Z233" s="13"/>
      <c r="AA233" s="13"/>
      <c r="AB233" s="13"/>
      <c r="AC233" s="13"/>
    </row>
    <row r="234" ht="16.5" customHeight="1">
      <c r="A234" s="35">
        <v>231.0</v>
      </c>
      <c r="B234" s="36" t="s">
        <v>1626</v>
      </c>
      <c r="C234" s="37" t="s">
        <v>1627</v>
      </c>
      <c r="D234" s="38" t="s">
        <v>1628</v>
      </c>
      <c r="E234" s="38"/>
      <c r="F234" s="38" t="s">
        <v>1629</v>
      </c>
      <c r="G234" s="39" t="s">
        <v>1630</v>
      </c>
      <c r="H234" s="49" t="s">
        <v>49</v>
      </c>
      <c r="I234" s="94" t="s">
        <v>39</v>
      </c>
      <c r="J234" s="39" t="s">
        <v>964</v>
      </c>
      <c r="K234" s="95" t="s">
        <v>173</v>
      </c>
      <c r="L234" s="59" t="s">
        <v>1631</v>
      </c>
      <c r="M234" s="51" t="b">
        <v>1</v>
      </c>
      <c r="N234" s="118" t="s">
        <v>966</v>
      </c>
      <c r="O234" s="129" t="s">
        <v>1632</v>
      </c>
      <c r="P234" s="119"/>
      <c r="Q234" s="119"/>
      <c r="R234" s="119"/>
      <c r="S234" s="119"/>
      <c r="T234" s="46"/>
      <c r="U234" s="13"/>
      <c r="V234" s="13"/>
      <c r="W234" s="13"/>
      <c r="X234" s="13"/>
      <c r="Y234" s="13"/>
      <c r="Z234" s="13"/>
      <c r="AA234" s="13"/>
      <c r="AB234" s="13"/>
      <c r="AC234" s="13"/>
    </row>
    <row r="235" ht="214.5" hidden="1" customHeight="1">
      <c r="A235" s="35">
        <v>232.0</v>
      </c>
      <c r="B235" s="101" t="s">
        <v>1633</v>
      </c>
      <c r="C235" s="37" t="s">
        <v>1634</v>
      </c>
      <c r="D235" s="38" t="s">
        <v>1635</v>
      </c>
      <c r="E235" s="38" t="s">
        <v>1636</v>
      </c>
      <c r="F235" s="38" t="s">
        <v>1637</v>
      </c>
      <c r="G235" s="39" t="s">
        <v>231</v>
      </c>
      <c r="H235" s="49" t="s">
        <v>62</v>
      </c>
      <c r="I235" s="94" t="s">
        <v>63</v>
      </c>
      <c r="J235" s="55"/>
      <c r="K235" s="123"/>
      <c r="L235" s="124"/>
      <c r="M235" s="51" t="b">
        <v>0</v>
      </c>
      <c r="N235" s="119"/>
      <c r="O235" s="119"/>
      <c r="P235" s="119"/>
      <c r="Q235" s="119"/>
      <c r="R235" s="119"/>
      <c r="S235" s="119"/>
      <c r="T235" s="46"/>
      <c r="U235" s="13"/>
      <c r="V235" s="13"/>
      <c r="W235" s="13"/>
      <c r="X235" s="13"/>
      <c r="Y235" s="13"/>
      <c r="Z235" s="13"/>
      <c r="AA235" s="13"/>
      <c r="AB235" s="13"/>
      <c r="AC235" s="13"/>
    </row>
    <row r="236" ht="16.5" customHeight="1">
      <c r="A236" s="35">
        <v>233.0</v>
      </c>
      <c r="B236" s="36" t="s">
        <v>1638</v>
      </c>
      <c r="C236" s="37" t="s">
        <v>1639</v>
      </c>
      <c r="D236" s="38" t="s">
        <v>1640</v>
      </c>
      <c r="E236" s="38" t="s">
        <v>1641</v>
      </c>
      <c r="F236" s="38" t="s">
        <v>1642</v>
      </c>
      <c r="G236" s="39" t="s">
        <v>587</v>
      </c>
      <c r="H236" s="49" t="s">
        <v>49</v>
      </c>
      <c r="I236" s="94" t="s">
        <v>39</v>
      </c>
      <c r="J236" s="39" t="s">
        <v>588</v>
      </c>
      <c r="K236" s="41" t="s">
        <v>173</v>
      </c>
      <c r="L236" s="39" t="s">
        <v>589</v>
      </c>
      <c r="M236" s="51" t="b">
        <v>0</v>
      </c>
      <c r="N236" s="118" t="s">
        <v>1643</v>
      </c>
      <c r="O236" s="129" t="s">
        <v>591</v>
      </c>
      <c r="P236" s="119"/>
      <c r="Q236" s="119"/>
      <c r="R236" s="119"/>
      <c r="S236" s="119"/>
      <c r="T236" s="46"/>
      <c r="U236" s="13"/>
      <c r="V236" s="13"/>
      <c r="W236" s="13"/>
      <c r="X236" s="13"/>
      <c r="Y236" s="13"/>
      <c r="Z236" s="13"/>
      <c r="AA236" s="13"/>
      <c r="AB236" s="13"/>
      <c r="AC236" s="13"/>
    </row>
    <row r="237" ht="16.5" hidden="1" customHeight="1">
      <c r="A237" s="35">
        <v>234.0</v>
      </c>
      <c r="B237" s="36" t="s">
        <v>1644</v>
      </c>
      <c r="C237" s="37" t="s">
        <v>1645</v>
      </c>
      <c r="D237" s="38" t="s">
        <v>1646</v>
      </c>
      <c r="E237" s="38" t="s">
        <v>1647</v>
      </c>
      <c r="F237" s="38" t="s">
        <v>1648</v>
      </c>
      <c r="G237" s="39" t="s">
        <v>231</v>
      </c>
      <c r="H237" s="136" t="s">
        <v>62</v>
      </c>
      <c r="I237" s="94" t="s">
        <v>63</v>
      </c>
      <c r="J237" s="55"/>
      <c r="K237" s="123"/>
      <c r="L237" s="124"/>
      <c r="M237" s="51" t="b">
        <v>0</v>
      </c>
      <c r="N237" s="119"/>
      <c r="O237" s="119"/>
      <c r="P237" s="119" t="s">
        <v>1649</v>
      </c>
      <c r="Q237" s="119"/>
      <c r="R237" s="119"/>
      <c r="S237" s="119"/>
      <c r="T237" s="46"/>
      <c r="U237" s="13"/>
      <c r="V237" s="13"/>
      <c r="W237" s="13"/>
      <c r="X237" s="13"/>
      <c r="Y237" s="13"/>
      <c r="Z237" s="13"/>
      <c r="AA237" s="13"/>
      <c r="AB237" s="13"/>
      <c r="AC237" s="13"/>
    </row>
    <row r="238" ht="231.0" hidden="1" customHeight="1">
      <c r="A238" s="35">
        <v>235.0</v>
      </c>
      <c r="B238" s="36" t="s">
        <v>1650</v>
      </c>
      <c r="C238" s="37" t="s">
        <v>1651</v>
      </c>
      <c r="D238" s="38" t="s">
        <v>1652</v>
      </c>
      <c r="E238" s="38"/>
      <c r="F238" s="38" t="s">
        <v>1653</v>
      </c>
      <c r="G238" s="39" t="s">
        <v>231</v>
      </c>
      <c r="H238" s="49" t="s">
        <v>62</v>
      </c>
      <c r="I238" s="94" t="s">
        <v>63</v>
      </c>
      <c r="J238" s="55"/>
      <c r="K238" s="123"/>
      <c r="L238" s="124"/>
      <c r="M238" s="51" t="b">
        <v>0</v>
      </c>
      <c r="N238" s="119"/>
      <c r="O238" s="119"/>
      <c r="P238" s="119"/>
      <c r="Q238" s="119"/>
      <c r="R238" s="119"/>
      <c r="S238" s="119"/>
      <c r="T238" s="46"/>
      <c r="U238" s="13"/>
      <c r="V238" s="13"/>
      <c r="W238" s="13"/>
      <c r="X238" s="13"/>
      <c r="Y238" s="13"/>
      <c r="Z238" s="13"/>
      <c r="AA238" s="13"/>
      <c r="AB238" s="13"/>
      <c r="AC238" s="13"/>
    </row>
    <row r="239" ht="16.5" customHeight="1">
      <c r="A239" s="35">
        <v>236.0</v>
      </c>
      <c r="B239" s="36" t="s">
        <v>1654</v>
      </c>
      <c r="C239" s="37" t="s">
        <v>1655</v>
      </c>
      <c r="D239" s="38" t="s">
        <v>1656</v>
      </c>
      <c r="E239" s="38" t="s">
        <v>1657</v>
      </c>
      <c r="F239" s="38" t="s">
        <v>1658</v>
      </c>
      <c r="G239" s="39" t="s">
        <v>1659</v>
      </c>
      <c r="H239" s="49" t="s">
        <v>49</v>
      </c>
      <c r="I239" s="94" t="s">
        <v>39</v>
      </c>
      <c r="J239" s="39" t="s">
        <v>1660</v>
      </c>
      <c r="K239" s="95" t="s">
        <v>1661</v>
      </c>
      <c r="L239" s="94" t="s">
        <v>1662</v>
      </c>
      <c r="M239" s="51" t="b">
        <v>1</v>
      </c>
      <c r="N239" s="118" t="s">
        <v>1663</v>
      </c>
      <c r="O239" s="130"/>
      <c r="P239" s="119"/>
      <c r="Q239" s="119"/>
      <c r="R239" s="119"/>
      <c r="S239" s="119"/>
      <c r="T239" s="46"/>
      <c r="U239" s="13"/>
      <c r="V239" s="13"/>
      <c r="W239" s="13"/>
      <c r="X239" s="13"/>
      <c r="Y239" s="13"/>
      <c r="Z239" s="13"/>
      <c r="AA239" s="13"/>
      <c r="AB239" s="13"/>
      <c r="AC239" s="13"/>
    </row>
    <row r="240" ht="16.5" hidden="1" customHeight="1">
      <c r="A240" s="35">
        <v>237.0</v>
      </c>
      <c r="B240" s="36" t="s">
        <v>1664</v>
      </c>
      <c r="C240" s="37" t="s">
        <v>1665</v>
      </c>
      <c r="D240" s="38" t="s">
        <v>1666</v>
      </c>
      <c r="E240" s="38" t="s">
        <v>1667</v>
      </c>
      <c r="F240" s="38" t="s">
        <v>1668</v>
      </c>
      <c r="G240" s="39" t="s">
        <v>1669</v>
      </c>
      <c r="H240" s="136" t="s">
        <v>62</v>
      </c>
      <c r="I240" s="86" t="s">
        <v>63</v>
      </c>
      <c r="J240" s="55"/>
      <c r="K240" s="123"/>
      <c r="L240" s="124"/>
      <c r="M240" s="51" t="b">
        <v>0</v>
      </c>
      <c r="N240" s="119"/>
      <c r="O240" s="119"/>
      <c r="P240" s="119" t="s">
        <v>1670</v>
      </c>
      <c r="Q240" s="119"/>
      <c r="R240" s="119"/>
      <c r="S240" s="119"/>
      <c r="T240" s="46"/>
      <c r="U240" s="13"/>
      <c r="V240" s="13"/>
      <c r="W240" s="13"/>
      <c r="X240" s="13"/>
      <c r="Y240" s="13"/>
      <c r="Z240" s="13"/>
      <c r="AA240" s="13"/>
      <c r="AB240" s="13"/>
      <c r="AC240" s="13"/>
    </row>
    <row r="241" ht="16.5" customHeight="1">
      <c r="A241" s="35">
        <v>238.0</v>
      </c>
      <c r="B241" s="36" t="s">
        <v>1671</v>
      </c>
      <c r="C241" s="37" t="s">
        <v>1672</v>
      </c>
      <c r="D241" s="38" t="s">
        <v>1673</v>
      </c>
      <c r="E241" s="38" t="s">
        <v>548</v>
      </c>
      <c r="F241" s="38" t="s">
        <v>1674</v>
      </c>
      <c r="G241" s="39" t="s">
        <v>1222</v>
      </c>
      <c r="H241" s="49" t="s">
        <v>49</v>
      </c>
      <c r="I241" s="86" t="s">
        <v>39</v>
      </c>
      <c r="J241" s="39" t="s">
        <v>551</v>
      </c>
      <c r="K241" s="95" t="s">
        <v>1006</v>
      </c>
      <c r="L241" s="94" t="s">
        <v>1007</v>
      </c>
      <c r="M241" s="51" t="b">
        <v>1</v>
      </c>
      <c r="N241" s="118" t="s">
        <v>687</v>
      </c>
      <c r="O241" s="129" t="s">
        <v>1008</v>
      </c>
      <c r="P241" s="119"/>
      <c r="Q241" s="119"/>
      <c r="R241" s="119"/>
      <c r="S241" s="119"/>
      <c r="T241" s="46"/>
      <c r="U241" s="13"/>
      <c r="V241" s="13"/>
      <c r="W241" s="13"/>
      <c r="X241" s="13"/>
      <c r="Y241" s="13"/>
      <c r="Z241" s="13"/>
      <c r="AA241" s="13"/>
      <c r="AB241" s="13"/>
      <c r="AC241" s="13"/>
    </row>
    <row r="242" ht="16.5" customHeight="1">
      <c r="A242" s="35">
        <v>239.0</v>
      </c>
      <c r="B242" s="36" t="s">
        <v>1675</v>
      </c>
      <c r="C242" s="37" t="s">
        <v>1676</v>
      </c>
      <c r="D242" s="38" t="s">
        <v>1677</v>
      </c>
      <c r="E242" s="38"/>
      <c r="F242" s="38" t="s">
        <v>1678</v>
      </c>
      <c r="G242" s="39" t="s">
        <v>1679</v>
      </c>
      <c r="H242" s="49" t="s">
        <v>49</v>
      </c>
      <c r="I242" s="94" t="s">
        <v>39</v>
      </c>
      <c r="J242" s="39" t="s">
        <v>492</v>
      </c>
      <c r="K242" s="41" t="s">
        <v>409</v>
      </c>
      <c r="L242" s="39" t="s">
        <v>493</v>
      </c>
      <c r="M242" s="51" t="b">
        <v>1</v>
      </c>
      <c r="N242" s="131" t="s">
        <v>494</v>
      </c>
      <c r="O242" s="129" t="s">
        <v>495</v>
      </c>
      <c r="P242" s="119"/>
      <c r="Q242" s="119"/>
      <c r="R242" s="119"/>
      <c r="S242" s="119"/>
      <c r="T242" s="46"/>
      <c r="U242" s="13"/>
      <c r="V242" s="13"/>
      <c r="W242" s="13"/>
      <c r="X242" s="13"/>
      <c r="Y242" s="13"/>
      <c r="Z242" s="13"/>
      <c r="AA242" s="13"/>
      <c r="AB242" s="13"/>
      <c r="AC242" s="13"/>
    </row>
    <row r="243" ht="16.5" customHeight="1">
      <c r="A243" s="35">
        <v>240.0</v>
      </c>
      <c r="B243" s="36" t="s">
        <v>1680</v>
      </c>
      <c r="C243" s="37" t="s">
        <v>1681</v>
      </c>
      <c r="D243" s="38" t="s">
        <v>1682</v>
      </c>
      <c r="E243" s="38"/>
      <c r="F243" s="38" t="s">
        <v>1228</v>
      </c>
      <c r="G243" s="39" t="s">
        <v>1683</v>
      </c>
      <c r="H243" s="49" t="s">
        <v>49</v>
      </c>
      <c r="I243" s="39" t="s">
        <v>39</v>
      </c>
      <c r="J243" s="66" t="s">
        <v>151</v>
      </c>
      <c r="K243" s="107" t="s">
        <v>641</v>
      </c>
      <c r="L243" s="39" t="s">
        <v>1684</v>
      </c>
      <c r="M243" s="51" t="b">
        <v>1</v>
      </c>
      <c r="N243" s="61" t="s">
        <v>292</v>
      </c>
      <c r="O243" s="35"/>
      <c r="P243" s="35" t="s">
        <v>1685</v>
      </c>
      <c r="Q243" s="35" t="s">
        <v>1686</v>
      </c>
      <c r="R243" s="119"/>
      <c r="S243" s="119"/>
      <c r="T243" s="46"/>
      <c r="U243" s="13"/>
      <c r="V243" s="13"/>
      <c r="W243" s="13"/>
      <c r="X243" s="13"/>
      <c r="Y243" s="13"/>
      <c r="Z243" s="13"/>
      <c r="AA243" s="13"/>
      <c r="AB243" s="13"/>
      <c r="AC243" s="13"/>
    </row>
    <row r="244" ht="16.5" customHeight="1">
      <c r="A244" s="35">
        <v>241.0</v>
      </c>
      <c r="B244" s="36" t="s">
        <v>1687</v>
      </c>
      <c r="C244" s="37" t="s">
        <v>1688</v>
      </c>
      <c r="D244" s="38" t="s">
        <v>1689</v>
      </c>
      <c r="E244" s="38"/>
      <c r="F244" s="38" t="s">
        <v>1690</v>
      </c>
      <c r="G244" s="39" t="s">
        <v>1691</v>
      </c>
      <c r="H244" s="49" t="s">
        <v>49</v>
      </c>
      <c r="I244" s="94" t="s">
        <v>39</v>
      </c>
      <c r="J244" s="39" t="s">
        <v>1692</v>
      </c>
      <c r="K244" s="95" t="s">
        <v>152</v>
      </c>
      <c r="L244" s="94" t="s">
        <v>1693</v>
      </c>
      <c r="M244" s="51" t="b">
        <v>1</v>
      </c>
      <c r="N244" s="118" t="s">
        <v>1694</v>
      </c>
      <c r="O244" s="130"/>
      <c r="P244" s="119"/>
      <c r="Q244" s="119"/>
      <c r="R244" s="119"/>
      <c r="S244" s="119"/>
      <c r="T244" s="46"/>
      <c r="U244" s="13"/>
      <c r="V244" s="13"/>
      <c r="W244" s="13"/>
      <c r="X244" s="13"/>
      <c r="Y244" s="13"/>
      <c r="Z244" s="13"/>
      <c r="AA244" s="13"/>
      <c r="AB244" s="13"/>
      <c r="AC244" s="13"/>
    </row>
    <row r="245" ht="16.5" hidden="1" customHeight="1">
      <c r="A245" s="35">
        <v>242.0</v>
      </c>
      <c r="B245" s="36" t="s">
        <v>1695</v>
      </c>
      <c r="C245" s="37" t="s">
        <v>1696</v>
      </c>
      <c r="D245" s="38" t="s">
        <v>1697</v>
      </c>
      <c r="E245" s="38"/>
      <c r="F245" s="38" t="s">
        <v>1698</v>
      </c>
      <c r="G245" s="39" t="s">
        <v>231</v>
      </c>
      <c r="H245" s="49" t="s">
        <v>62</v>
      </c>
      <c r="I245" s="94" t="s">
        <v>63</v>
      </c>
      <c r="J245" s="55"/>
      <c r="K245" s="123"/>
      <c r="L245" s="124"/>
      <c r="M245" s="51" t="b">
        <v>0</v>
      </c>
      <c r="N245" s="119"/>
      <c r="O245" s="119"/>
      <c r="P245" s="119"/>
      <c r="Q245" s="119"/>
      <c r="R245" s="119"/>
      <c r="S245" s="119"/>
      <c r="T245" s="46"/>
      <c r="U245" s="13"/>
      <c r="V245" s="13"/>
      <c r="W245" s="13"/>
      <c r="X245" s="13"/>
      <c r="Y245" s="13"/>
      <c r="Z245" s="13"/>
      <c r="AA245" s="13"/>
      <c r="AB245" s="13"/>
      <c r="AC245" s="13"/>
    </row>
    <row r="246" ht="16.5" hidden="1" customHeight="1">
      <c r="A246" s="35">
        <v>243.0</v>
      </c>
      <c r="B246" s="36" t="s">
        <v>1699</v>
      </c>
      <c r="C246" s="37" t="s">
        <v>1700</v>
      </c>
      <c r="D246" s="38" t="s">
        <v>1701</v>
      </c>
      <c r="E246" s="38" t="s">
        <v>1702</v>
      </c>
      <c r="F246" s="38" t="s">
        <v>1703</v>
      </c>
      <c r="G246" s="39" t="s">
        <v>231</v>
      </c>
      <c r="H246" s="49" t="s">
        <v>62</v>
      </c>
      <c r="I246" s="94" t="s">
        <v>63</v>
      </c>
      <c r="J246" s="55"/>
      <c r="K246" s="123"/>
      <c r="L246" s="124"/>
      <c r="M246" s="51" t="b">
        <v>0</v>
      </c>
      <c r="N246" s="119"/>
      <c r="O246" s="119"/>
      <c r="P246" s="119"/>
      <c r="Q246" s="119"/>
      <c r="R246" s="119"/>
      <c r="S246" s="119"/>
      <c r="T246" s="46"/>
      <c r="U246" s="13"/>
      <c r="V246" s="13"/>
      <c r="W246" s="13"/>
      <c r="X246" s="13"/>
      <c r="Y246" s="13"/>
      <c r="Z246" s="13"/>
      <c r="AA246" s="13"/>
      <c r="AB246" s="13"/>
      <c r="AC246" s="13"/>
    </row>
    <row r="247" ht="16.5" customHeight="1">
      <c r="A247" s="35">
        <v>244.0</v>
      </c>
      <c r="B247" s="36" t="s">
        <v>1704</v>
      </c>
      <c r="C247" s="37" t="s">
        <v>1705</v>
      </c>
      <c r="D247" s="38" t="s">
        <v>1706</v>
      </c>
      <c r="E247" s="38" t="s">
        <v>1707</v>
      </c>
      <c r="F247" s="38" t="s">
        <v>1708</v>
      </c>
      <c r="G247" s="39" t="s">
        <v>1709</v>
      </c>
      <c r="H247" s="49" t="s">
        <v>49</v>
      </c>
      <c r="I247" s="39" t="s">
        <v>39</v>
      </c>
      <c r="J247" s="94" t="s">
        <v>610</v>
      </c>
      <c r="K247" s="92" t="s">
        <v>1097</v>
      </c>
      <c r="L247" s="62" t="s">
        <v>1710</v>
      </c>
      <c r="M247" s="51" t="b">
        <v>1</v>
      </c>
      <c r="N247" s="132" t="s">
        <v>1711</v>
      </c>
      <c r="O247" s="126"/>
      <c r="P247" s="126" t="s">
        <v>1712</v>
      </c>
      <c r="Q247" s="126" t="s">
        <v>1713</v>
      </c>
      <c r="R247" s="119"/>
      <c r="S247" s="119"/>
      <c r="T247" s="46"/>
      <c r="U247" s="13"/>
      <c r="V247" s="13"/>
      <c r="W247" s="13"/>
      <c r="X247" s="13"/>
      <c r="Y247" s="13"/>
      <c r="Z247" s="13"/>
      <c r="AA247" s="13"/>
      <c r="AB247" s="13"/>
      <c r="AC247" s="13"/>
    </row>
    <row r="248" ht="16.5" customHeight="1">
      <c r="A248" s="35">
        <v>245.0</v>
      </c>
      <c r="B248" s="36" t="s">
        <v>1714</v>
      </c>
      <c r="C248" s="37" t="s">
        <v>1715</v>
      </c>
      <c r="D248" s="38" t="s">
        <v>1716</v>
      </c>
      <c r="E248" s="38" t="s">
        <v>1717</v>
      </c>
      <c r="F248" s="38" t="s">
        <v>1718</v>
      </c>
      <c r="G248" s="39" t="s">
        <v>1719</v>
      </c>
      <c r="H248" s="49" t="s">
        <v>49</v>
      </c>
      <c r="I248" s="94" t="s">
        <v>39</v>
      </c>
      <c r="J248" s="39" t="s">
        <v>422</v>
      </c>
      <c r="K248" s="95" t="s">
        <v>1720</v>
      </c>
      <c r="L248" s="94" t="s">
        <v>1721</v>
      </c>
      <c r="M248" s="51" t="b">
        <v>1</v>
      </c>
      <c r="N248" s="132" t="s">
        <v>1722</v>
      </c>
      <c r="O248" s="137"/>
      <c r="P248" s="138" t="s">
        <v>1723</v>
      </c>
      <c r="Q248" s="126"/>
      <c r="R248" s="126"/>
      <c r="S248" s="119"/>
      <c r="T248" s="46"/>
      <c r="U248" s="13"/>
      <c r="V248" s="13"/>
      <c r="W248" s="13"/>
      <c r="X248" s="13"/>
      <c r="Y248" s="13"/>
      <c r="Z248" s="13"/>
      <c r="AA248" s="13"/>
      <c r="AB248" s="13"/>
      <c r="AC248" s="13"/>
    </row>
    <row r="249" ht="16.5" hidden="1" customHeight="1">
      <c r="A249" s="35">
        <v>246.0</v>
      </c>
      <c r="B249" s="36" t="s">
        <v>1724</v>
      </c>
      <c r="C249" s="37" t="s">
        <v>1725</v>
      </c>
      <c r="D249" s="38" t="s">
        <v>1726</v>
      </c>
      <c r="E249" s="38" t="s">
        <v>1727</v>
      </c>
      <c r="F249" s="38" t="s">
        <v>1728</v>
      </c>
      <c r="G249" s="39" t="s">
        <v>231</v>
      </c>
      <c r="H249" s="49" t="s">
        <v>62</v>
      </c>
      <c r="I249" s="94" t="s">
        <v>63</v>
      </c>
      <c r="J249" s="55"/>
      <c r="K249" s="123"/>
      <c r="L249" s="124"/>
      <c r="M249" s="51" t="b">
        <v>0</v>
      </c>
      <c r="N249" s="119"/>
      <c r="O249" s="119"/>
      <c r="P249" s="119"/>
      <c r="Q249" s="119"/>
      <c r="R249" s="119"/>
      <c r="S249" s="119"/>
      <c r="T249" s="46"/>
      <c r="U249" s="13"/>
      <c r="V249" s="13"/>
      <c r="W249" s="13"/>
      <c r="X249" s="13"/>
      <c r="Y249" s="13"/>
      <c r="Z249" s="13"/>
      <c r="AA249" s="13"/>
      <c r="AB249" s="13"/>
      <c r="AC249" s="13"/>
    </row>
    <row r="250" ht="288.0" customHeight="1">
      <c r="A250" s="35">
        <v>247.0</v>
      </c>
      <c r="B250" s="36" t="s">
        <v>1729</v>
      </c>
      <c r="C250" s="37" t="s">
        <v>1730</v>
      </c>
      <c r="D250" s="38" t="s">
        <v>1731</v>
      </c>
      <c r="E250" s="38" t="s">
        <v>1732</v>
      </c>
      <c r="F250" s="38" t="s">
        <v>1733</v>
      </c>
      <c r="G250" s="48" t="s">
        <v>1734</v>
      </c>
      <c r="H250" s="49" t="s">
        <v>49</v>
      </c>
      <c r="I250" s="94" t="s">
        <v>39</v>
      </c>
      <c r="J250" s="94" t="s">
        <v>720</v>
      </c>
      <c r="K250" s="95" t="s">
        <v>745</v>
      </c>
      <c r="L250" s="135" t="s">
        <v>1735</v>
      </c>
      <c r="M250" s="51" t="b">
        <v>1</v>
      </c>
      <c r="N250" s="118" t="s">
        <v>747</v>
      </c>
      <c r="O250" s="129" t="s">
        <v>1736</v>
      </c>
      <c r="P250" s="119"/>
      <c r="Q250" s="119"/>
      <c r="R250" s="119"/>
      <c r="S250" s="119"/>
      <c r="T250" s="46"/>
      <c r="U250" s="13"/>
      <c r="V250" s="13"/>
      <c r="W250" s="13"/>
      <c r="X250" s="13"/>
      <c r="Y250" s="13"/>
      <c r="Z250" s="13"/>
      <c r="AA250" s="13"/>
      <c r="AB250" s="13"/>
      <c r="AC250" s="13"/>
    </row>
    <row r="251" ht="16.5" customHeight="1">
      <c r="A251" s="35">
        <v>248.0</v>
      </c>
      <c r="B251" s="36" t="s">
        <v>1737</v>
      </c>
      <c r="C251" s="37" t="s">
        <v>1738</v>
      </c>
      <c r="D251" s="38" t="s">
        <v>1739</v>
      </c>
      <c r="E251" s="38" t="s">
        <v>1740</v>
      </c>
      <c r="F251" s="38" t="s">
        <v>1741</v>
      </c>
      <c r="G251" s="39" t="s">
        <v>1742</v>
      </c>
      <c r="H251" s="49" t="s">
        <v>49</v>
      </c>
      <c r="I251" s="86" t="s">
        <v>39</v>
      </c>
      <c r="J251" s="139" t="s">
        <v>1743</v>
      </c>
      <c r="K251" s="95" t="s">
        <v>1744</v>
      </c>
      <c r="L251" s="94" t="s">
        <v>1745</v>
      </c>
      <c r="M251" s="51" t="b">
        <v>0</v>
      </c>
      <c r="N251" s="119"/>
      <c r="O251" s="119"/>
      <c r="P251" s="119" t="s">
        <v>1746</v>
      </c>
      <c r="Q251" s="119"/>
      <c r="R251" s="119"/>
      <c r="S251" s="119"/>
      <c r="T251" s="46"/>
      <c r="U251" s="13"/>
      <c r="V251" s="13"/>
      <c r="W251" s="13"/>
      <c r="X251" s="13"/>
      <c r="Y251" s="13"/>
      <c r="Z251" s="13"/>
      <c r="AA251" s="13"/>
      <c r="AB251" s="13"/>
      <c r="AC251" s="13"/>
    </row>
    <row r="252" ht="16.5" hidden="1" customHeight="1">
      <c r="A252" s="35">
        <v>249.0</v>
      </c>
      <c r="B252" s="36" t="s">
        <v>1747</v>
      </c>
      <c r="C252" s="37" t="s">
        <v>1748</v>
      </c>
      <c r="D252" s="38" t="s">
        <v>1749</v>
      </c>
      <c r="E252" s="38" t="s">
        <v>1750</v>
      </c>
      <c r="F252" s="38" t="s">
        <v>1751</v>
      </c>
      <c r="G252" s="39" t="s">
        <v>1752</v>
      </c>
      <c r="H252" s="136" t="s">
        <v>62</v>
      </c>
      <c r="I252" s="86" t="s">
        <v>63</v>
      </c>
      <c r="J252" s="65"/>
      <c r="K252" s="123"/>
      <c r="L252" s="124"/>
      <c r="M252" s="51" t="b">
        <v>0</v>
      </c>
      <c r="N252" s="119"/>
      <c r="O252" s="119"/>
      <c r="P252" s="119" t="s">
        <v>1753</v>
      </c>
      <c r="Q252" s="119" t="s">
        <v>1754</v>
      </c>
      <c r="R252" s="119"/>
      <c r="S252" s="119"/>
      <c r="T252" s="46"/>
      <c r="U252" s="13"/>
      <c r="V252" s="13"/>
      <c r="W252" s="13"/>
      <c r="X252" s="13"/>
      <c r="Y252" s="13"/>
      <c r="Z252" s="13"/>
      <c r="AA252" s="13"/>
      <c r="AB252" s="13"/>
      <c r="AC252" s="13"/>
    </row>
    <row r="253" ht="16.5" customHeight="1">
      <c r="A253" s="35">
        <v>250.0</v>
      </c>
      <c r="B253" s="36" t="s">
        <v>1755</v>
      </c>
      <c r="C253" s="37" t="s">
        <v>1756</v>
      </c>
      <c r="D253" s="38" t="s">
        <v>1757</v>
      </c>
      <c r="E253" s="38" t="s">
        <v>1758</v>
      </c>
      <c r="F253" s="38" t="s">
        <v>1759</v>
      </c>
      <c r="G253" s="39" t="s">
        <v>1760</v>
      </c>
      <c r="H253" s="49" t="s">
        <v>49</v>
      </c>
      <c r="I253" s="94" t="s">
        <v>39</v>
      </c>
      <c r="J253" s="39" t="s">
        <v>1761</v>
      </c>
      <c r="K253" s="95" t="s">
        <v>238</v>
      </c>
      <c r="L253" s="59" t="s">
        <v>1762</v>
      </c>
      <c r="M253" s="51" t="b">
        <v>1</v>
      </c>
      <c r="N253" s="131" t="s">
        <v>1763</v>
      </c>
      <c r="O253" s="130"/>
      <c r="P253" s="119"/>
      <c r="Q253" s="119"/>
      <c r="R253" s="119"/>
      <c r="S253" s="119"/>
      <c r="T253" s="46"/>
      <c r="U253" s="13"/>
      <c r="V253" s="13"/>
      <c r="W253" s="13"/>
      <c r="X253" s="13"/>
      <c r="Y253" s="13"/>
      <c r="Z253" s="13"/>
      <c r="AA253" s="13"/>
      <c r="AB253" s="13"/>
      <c r="AC253" s="13"/>
    </row>
    <row r="254" ht="16.5" customHeight="1">
      <c r="A254" s="35">
        <v>251.0</v>
      </c>
      <c r="B254" s="36" t="s">
        <v>1764</v>
      </c>
      <c r="C254" s="37" t="s">
        <v>1765</v>
      </c>
      <c r="D254" s="38" t="s">
        <v>1766</v>
      </c>
      <c r="E254" s="38" t="s">
        <v>1767</v>
      </c>
      <c r="F254" s="38" t="s">
        <v>1768</v>
      </c>
      <c r="G254" s="39" t="s">
        <v>1769</v>
      </c>
      <c r="H254" s="49" t="s">
        <v>49</v>
      </c>
      <c r="I254" s="94" t="s">
        <v>39</v>
      </c>
      <c r="J254" s="39" t="s">
        <v>844</v>
      </c>
      <c r="K254" s="95" t="s">
        <v>1770</v>
      </c>
      <c r="L254" s="94" t="s">
        <v>1771</v>
      </c>
      <c r="M254" s="51" t="b">
        <v>1</v>
      </c>
      <c r="N254" s="132" t="s">
        <v>1772</v>
      </c>
      <c r="O254" s="133"/>
      <c r="P254" s="126"/>
      <c r="Q254" s="126"/>
      <c r="R254" s="119"/>
      <c r="S254" s="119"/>
      <c r="T254" s="46"/>
      <c r="U254" s="13"/>
      <c r="V254" s="13"/>
      <c r="W254" s="13"/>
      <c r="X254" s="13"/>
      <c r="Y254" s="13"/>
      <c r="Z254" s="13"/>
      <c r="AA254" s="13"/>
      <c r="AB254" s="13"/>
      <c r="AC254" s="13"/>
    </row>
    <row r="255" ht="16.5" customHeight="1">
      <c r="A255" s="35">
        <v>252.0</v>
      </c>
      <c r="B255" s="36" t="s">
        <v>1773</v>
      </c>
      <c r="C255" s="37" t="s">
        <v>1774</v>
      </c>
      <c r="D255" s="38" t="s">
        <v>1775</v>
      </c>
      <c r="E255" s="38" t="s">
        <v>1776</v>
      </c>
      <c r="F255" s="38" t="s">
        <v>1777</v>
      </c>
      <c r="G255" s="39" t="s">
        <v>1778</v>
      </c>
      <c r="H255" s="49" t="s">
        <v>49</v>
      </c>
      <c r="I255" s="94" t="s">
        <v>39</v>
      </c>
      <c r="J255" s="39" t="s">
        <v>1779</v>
      </c>
      <c r="K255" s="95" t="s">
        <v>1780</v>
      </c>
      <c r="L255" s="94" t="s">
        <v>1781</v>
      </c>
      <c r="M255" s="51" t="b">
        <v>1</v>
      </c>
      <c r="N255" s="118" t="s">
        <v>1782</v>
      </c>
      <c r="O255" s="130"/>
      <c r="P255" s="119"/>
      <c r="Q255" s="119"/>
      <c r="R255" s="119" t="s">
        <v>1783</v>
      </c>
      <c r="S255" s="119"/>
      <c r="T255" s="46"/>
      <c r="U255" s="13"/>
      <c r="V255" s="13"/>
      <c r="W255" s="13"/>
      <c r="X255" s="13"/>
      <c r="Y255" s="13"/>
      <c r="Z255" s="13"/>
      <c r="AA255" s="13"/>
      <c r="AB255" s="13"/>
      <c r="AC255" s="13"/>
    </row>
    <row r="256" ht="252.0" customHeight="1">
      <c r="A256" s="35">
        <v>253.0</v>
      </c>
      <c r="B256" s="36" t="s">
        <v>1784</v>
      </c>
      <c r="C256" s="37" t="s">
        <v>1785</v>
      </c>
      <c r="D256" s="38" t="s">
        <v>1786</v>
      </c>
      <c r="E256" s="38"/>
      <c r="F256" s="38" t="s">
        <v>1787</v>
      </c>
      <c r="G256" s="39" t="s">
        <v>91</v>
      </c>
      <c r="H256" s="49" t="s">
        <v>49</v>
      </c>
      <c r="I256" s="94" t="s">
        <v>39</v>
      </c>
      <c r="J256" s="49" t="s">
        <v>92</v>
      </c>
      <c r="K256" s="140" t="s">
        <v>93</v>
      </c>
      <c r="L256" s="94" t="s">
        <v>1788</v>
      </c>
      <c r="M256" s="51" t="b">
        <v>1</v>
      </c>
      <c r="N256" s="132" t="s">
        <v>94</v>
      </c>
      <c r="O256" s="125" t="s">
        <v>95</v>
      </c>
      <c r="P256" s="126"/>
      <c r="Q256" s="119"/>
      <c r="R256" s="119"/>
      <c r="S256" s="119"/>
      <c r="T256" s="46"/>
      <c r="U256" s="13"/>
      <c r="V256" s="13"/>
      <c r="W256" s="13"/>
      <c r="X256" s="13"/>
      <c r="Y256" s="13"/>
      <c r="Z256" s="13"/>
      <c r="AA256" s="13"/>
      <c r="AB256" s="13"/>
      <c r="AC256" s="13"/>
    </row>
    <row r="257" ht="16.5" customHeight="1">
      <c r="A257" s="35">
        <v>254.0</v>
      </c>
      <c r="B257" s="36" t="s">
        <v>1789</v>
      </c>
      <c r="C257" s="37" t="s">
        <v>1790</v>
      </c>
      <c r="D257" s="38" t="s">
        <v>1791</v>
      </c>
      <c r="E257" s="38"/>
      <c r="F257" s="38" t="s">
        <v>1629</v>
      </c>
      <c r="G257" s="39" t="s">
        <v>1630</v>
      </c>
      <c r="H257" s="49" t="s">
        <v>49</v>
      </c>
      <c r="I257" s="94" t="s">
        <v>39</v>
      </c>
      <c r="J257" s="39" t="s">
        <v>964</v>
      </c>
      <c r="K257" s="95" t="s">
        <v>173</v>
      </c>
      <c r="L257" s="59" t="s">
        <v>1631</v>
      </c>
      <c r="M257" s="51" t="b">
        <v>1</v>
      </c>
      <c r="N257" s="118" t="s">
        <v>966</v>
      </c>
      <c r="O257" s="129" t="s">
        <v>1632</v>
      </c>
      <c r="P257" s="119"/>
      <c r="Q257" s="119"/>
      <c r="R257" s="119"/>
      <c r="S257" s="119"/>
      <c r="T257" s="46"/>
      <c r="U257" s="13"/>
      <c r="V257" s="13"/>
      <c r="W257" s="13"/>
      <c r="X257" s="13"/>
      <c r="Y257" s="13"/>
      <c r="Z257" s="13"/>
      <c r="AA257" s="13"/>
      <c r="AB257" s="13"/>
      <c r="AC257" s="13"/>
    </row>
    <row r="258" ht="16.5" customHeight="1">
      <c r="A258" s="35">
        <v>255.0</v>
      </c>
      <c r="B258" s="36" t="s">
        <v>1792</v>
      </c>
      <c r="C258" s="37" t="s">
        <v>1793</v>
      </c>
      <c r="D258" s="38" t="s">
        <v>1794</v>
      </c>
      <c r="E258" s="38" t="s">
        <v>1795</v>
      </c>
      <c r="F258" s="38" t="s">
        <v>1796</v>
      </c>
      <c r="G258" s="39" t="s">
        <v>1797</v>
      </c>
      <c r="H258" s="49" t="s">
        <v>49</v>
      </c>
      <c r="I258" s="94" t="s">
        <v>39</v>
      </c>
      <c r="J258" s="39" t="s">
        <v>1798</v>
      </c>
      <c r="K258" s="95" t="s">
        <v>1799</v>
      </c>
      <c r="L258" s="94" t="s">
        <v>1800</v>
      </c>
      <c r="M258" s="51" t="b">
        <v>1</v>
      </c>
      <c r="N258" s="118" t="s">
        <v>1801</v>
      </c>
      <c r="O258" s="130"/>
      <c r="P258" s="119"/>
      <c r="Q258" s="13"/>
      <c r="R258" s="119"/>
      <c r="S258" s="119"/>
      <c r="T258" s="46"/>
      <c r="U258" s="13"/>
      <c r="V258" s="13"/>
      <c r="W258" s="13"/>
      <c r="X258" s="13"/>
      <c r="Y258" s="13"/>
      <c r="Z258" s="13"/>
      <c r="AA258" s="13"/>
      <c r="AB258" s="13"/>
      <c r="AC258" s="13"/>
    </row>
    <row r="259" ht="16.5" customHeight="1">
      <c r="A259" s="35">
        <v>256.0</v>
      </c>
      <c r="B259" s="36" t="s">
        <v>1802</v>
      </c>
      <c r="C259" s="37" t="s">
        <v>1803</v>
      </c>
      <c r="D259" s="38" t="s">
        <v>1804</v>
      </c>
      <c r="E259" s="38"/>
      <c r="F259" s="38" t="s">
        <v>1805</v>
      </c>
      <c r="G259" s="39" t="s">
        <v>1806</v>
      </c>
      <c r="H259" s="49" t="s">
        <v>49</v>
      </c>
      <c r="I259" s="94" t="s">
        <v>39</v>
      </c>
      <c r="J259" s="39" t="s">
        <v>50</v>
      </c>
      <c r="K259" s="92" t="s">
        <v>1807</v>
      </c>
      <c r="L259" s="94" t="s">
        <v>1808</v>
      </c>
      <c r="M259" s="51" t="b">
        <v>1</v>
      </c>
      <c r="N259" s="118" t="s">
        <v>1809</v>
      </c>
      <c r="O259" s="130"/>
      <c r="P259" s="119"/>
      <c r="Q259" s="119"/>
      <c r="R259" s="119"/>
      <c r="S259" s="119"/>
      <c r="T259" s="46"/>
      <c r="U259" s="13"/>
      <c r="V259" s="13"/>
      <c r="W259" s="13"/>
      <c r="X259" s="13"/>
      <c r="Y259" s="13"/>
      <c r="Z259" s="13"/>
      <c r="AA259" s="13"/>
      <c r="AB259" s="13"/>
      <c r="AC259" s="13"/>
    </row>
    <row r="260" ht="270.0" hidden="1" customHeight="1">
      <c r="A260" s="35">
        <v>257.0</v>
      </c>
      <c r="B260" s="36" t="s">
        <v>1810</v>
      </c>
      <c r="C260" s="37" t="s">
        <v>1811</v>
      </c>
      <c r="D260" s="38" t="s">
        <v>1812</v>
      </c>
      <c r="E260" s="38"/>
      <c r="F260" s="38" t="s">
        <v>1813</v>
      </c>
      <c r="G260" s="39" t="s">
        <v>231</v>
      </c>
      <c r="H260" s="49" t="s">
        <v>62</v>
      </c>
      <c r="I260" s="94" t="s">
        <v>63</v>
      </c>
      <c r="J260" s="55"/>
      <c r="K260" s="123"/>
      <c r="L260" s="124"/>
      <c r="M260" s="51" t="b">
        <v>0</v>
      </c>
      <c r="N260" s="119"/>
      <c r="O260" s="119"/>
      <c r="P260" s="119"/>
      <c r="Q260" s="119"/>
      <c r="R260" s="119"/>
      <c r="S260" s="119"/>
      <c r="T260" s="46"/>
      <c r="U260" s="13"/>
      <c r="V260" s="13"/>
      <c r="W260" s="13"/>
      <c r="X260" s="13"/>
      <c r="Y260" s="13"/>
      <c r="Z260" s="13"/>
      <c r="AA260" s="13"/>
      <c r="AB260" s="13"/>
      <c r="AC260" s="13"/>
    </row>
    <row r="261" ht="270.0" hidden="1" customHeight="1">
      <c r="A261" s="35">
        <v>258.0</v>
      </c>
      <c r="B261" s="36" t="s">
        <v>1814</v>
      </c>
      <c r="C261" s="37" t="s">
        <v>1815</v>
      </c>
      <c r="D261" s="38" t="s">
        <v>1816</v>
      </c>
      <c r="E261" s="38" t="s">
        <v>1817</v>
      </c>
      <c r="F261" s="38" t="s">
        <v>1818</v>
      </c>
      <c r="G261" s="39" t="s">
        <v>1819</v>
      </c>
      <c r="H261" s="136" t="s">
        <v>62</v>
      </c>
      <c r="I261" s="86" t="s">
        <v>63</v>
      </c>
      <c r="J261" s="55"/>
      <c r="K261" s="123"/>
      <c r="L261" s="124"/>
      <c r="M261" s="51" t="b">
        <v>0</v>
      </c>
      <c r="N261" s="119"/>
      <c r="O261" s="119"/>
      <c r="P261" s="119" t="s">
        <v>1820</v>
      </c>
      <c r="Q261" s="119"/>
      <c r="R261" s="119"/>
      <c r="S261" s="119"/>
      <c r="T261" s="46"/>
      <c r="U261" s="13"/>
      <c r="V261" s="13"/>
      <c r="W261" s="13"/>
      <c r="X261" s="13"/>
      <c r="Y261" s="13"/>
      <c r="Z261" s="13"/>
      <c r="AA261" s="13"/>
      <c r="AB261" s="13"/>
      <c r="AC261" s="13"/>
    </row>
    <row r="262" ht="16.5" customHeight="1">
      <c r="A262" s="35">
        <v>259.0</v>
      </c>
      <c r="B262" s="36" t="s">
        <v>1821</v>
      </c>
      <c r="C262" s="37" t="s">
        <v>1822</v>
      </c>
      <c r="D262" s="38" t="s">
        <v>1823</v>
      </c>
      <c r="E262" s="38"/>
      <c r="F262" s="38" t="s">
        <v>1824</v>
      </c>
      <c r="G262" s="39" t="s">
        <v>1825</v>
      </c>
      <c r="H262" s="49" t="s">
        <v>49</v>
      </c>
      <c r="I262" s="94" t="s">
        <v>39</v>
      </c>
      <c r="J262" s="39" t="s">
        <v>1826</v>
      </c>
      <c r="K262" s="95" t="s">
        <v>933</v>
      </c>
      <c r="L262" s="94" t="s">
        <v>1827</v>
      </c>
      <c r="M262" s="51" t="b">
        <v>1</v>
      </c>
      <c r="N262" s="118" t="s">
        <v>1828</v>
      </c>
      <c r="O262" s="130"/>
      <c r="P262" s="119"/>
      <c r="Q262" s="119"/>
      <c r="R262" s="119"/>
      <c r="S262" s="119"/>
      <c r="T262" s="46"/>
      <c r="U262" s="13"/>
      <c r="V262" s="13"/>
      <c r="W262" s="13"/>
      <c r="X262" s="13"/>
      <c r="Y262" s="13"/>
      <c r="Z262" s="13"/>
      <c r="AA262" s="13"/>
      <c r="AB262" s="13"/>
      <c r="AC262" s="13"/>
    </row>
    <row r="263" ht="126.0" customHeight="1">
      <c r="A263" s="35">
        <v>260.0</v>
      </c>
      <c r="B263" s="36" t="s">
        <v>1829</v>
      </c>
      <c r="C263" s="37" t="s">
        <v>1830</v>
      </c>
      <c r="D263" s="38" t="s">
        <v>1831</v>
      </c>
      <c r="E263" s="38"/>
      <c r="F263" s="38" t="s">
        <v>1832</v>
      </c>
      <c r="G263" s="39" t="s">
        <v>205</v>
      </c>
      <c r="H263" s="49" t="s">
        <v>38</v>
      </c>
      <c r="I263" s="39" t="s">
        <v>39</v>
      </c>
      <c r="J263" s="66" t="s">
        <v>151</v>
      </c>
      <c r="K263" s="107" t="s">
        <v>214</v>
      </c>
      <c r="L263" s="39" t="s">
        <v>206</v>
      </c>
      <c r="M263" s="51" t="b">
        <v>1</v>
      </c>
      <c r="N263" s="131" t="s">
        <v>1833</v>
      </c>
      <c r="O263" s="129" t="s">
        <v>485</v>
      </c>
      <c r="P263" s="119"/>
      <c r="Q263" s="119"/>
      <c r="R263" s="119"/>
      <c r="S263" s="119"/>
      <c r="T263" s="46"/>
      <c r="U263" s="13"/>
      <c r="V263" s="13"/>
      <c r="W263" s="13"/>
      <c r="X263" s="13"/>
      <c r="Y263" s="13"/>
      <c r="Z263" s="13"/>
      <c r="AA263" s="13"/>
      <c r="AB263" s="13"/>
      <c r="AC263" s="13"/>
    </row>
    <row r="264" ht="409.5" hidden="1" customHeight="1">
      <c r="A264" s="35">
        <v>261.0</v>
      </c>
      <c r="B264" s="36" t="s">
        <v>1834</v>
      </c>
      <c r="C264" s="37" t="s">
        <v>1835</v>
      </c>
      <c r="D264" s="38" t="s">
        <v>1836</v>
      </c>
      <c r="E264" s="38"/>
      <c r="F264" s="38" t="s">
        <v>1837</v>
      </c>
      <c r="G264" s="39" t="s">
        <v>231</v>
      </c>
      <c r="H264" s="49" t="s">
        <v>62</v>
      </c>
      <c r="I264" s="94" t="s">
        <v>63</v>
      </c>
      <c r="J264" s="55"/>
      <c r="K264" s="123"/>
      <c r="L264" s="124"/>
      <c r="M264" s="51" t="b">
        <v>0</v>
      </c>
      <c r="N264" s="119"/>
      <c r="O264" s="119"/>
      <c r="P264" s="119"/>
      <c r="Q264" s="119"/>
      <c r="R264" s="119"/>
      <c r="S264" s="119"/>
      <c r="T264" s="46"/>
      <c r="U264" s="13"/>
      <c r="V264" s="13"/>
      <c r="W264" s="13"/>
      <c r="X264" s="13"/>
      <c r="Y264" s="13"/>
      <c r="Z264" s="13"/>
      <c r="AA264" s="13"/>
      <c r="AB264" s="13"/>
      <c r="AC264" s="13"/>
    </row>
    <row r="265" ht="342.0" customHeight="1">
      <c r="A265" s="35">
        <v>262.0</v>
      </c>
      <c r="B265" s="36" t="s">
        <v>1838</v>
      </c>
      <c r="C265" s="37" t="s">
        <v>1839</v>
      </c>
      <c r="D265" s="38" t="s">
        <v>1831</v>
      </c>
      <c r="E265" s="38"/>
      <c r="F265" s="38" t="s">
        <v>1840</v>
      </c>
      <c r="G265" s="39" t="s">
        <v>1841</v>
      </c>
      <c r="H265" s="49" t="s">
        <v>49</v>
      </c>
      <c r="I265" s="86" t="s">
        <v>39</v>
      </c>
      <c r="J265" s="39" t="s">
        <v>1369</v>
      </c>
      <c r="K265" s="95" t="s">
        <v>173</v>
      </c>
      <c r="L265" s="94" t="s">
        <v>1025</v>
      </c>
      <c r="M265" s="51" t="b">
        <v>1</v>
      </c>
      <c r="N265" s="118" t="s">
        <v>1370</v>
      </c>
      <c r="O265" s="130"/>
      <c r="P265" s="119"/>
      <c r="Q265" s="119"/>
      <c r="R265" s="119"/>
      <c r="S265" s="119"/>
      <c r="T265" s="46"/>
      <c r="U265" s="13"/>
      <c r="V265" s="13"/>
      <c r="W265" s="13"/>
      <c r="X265" s="13"/>
      <c r="Y265" s="13"/>
      <c r="Z265" s="13"/>
      <c r="AA265" s="13"/>
      <c r="AB265" s="13"/>
      <c r="AC265" s="13"/>
    </row>
    <row r="266" ht="16.5" customHeight="1">
      <c r="A266" s="35">
        <v>263.0</v>
      </c>
      <c r="B266" s="36" t="s">
        <v>1842</v>
      </c>
      <c r="C266" s="37" t="s">
        <v>1843</v>
      </c>
      <c r="D266" s="38" t="s">
        <v>1844</v>
      </c>
      <c r="E266" s="38" t="s">
        <v>1845</v>
      </c>
      <c r="F266" s="38" t="s">
        <v>1846</v>
      </c>
      <c r="G266" s="39" t="s">
        <v>1847</v>
      </c>
      <c r="H266" s="49" t="s">
        <v>49</v>
      </c>
      <c r="I266" s="94" t="s">
        <v>39</v>
      </c>
      <c r="J266" s="91" t="s">
        <v>151</v>
      </c>
      <c r="K266" s="134" t="s">
        <v>1848</v>
      </c>
      <c r="L266" s="141" t="s">
        <v>1849</v>
      </c>
      <c r="M266" s="51" t="b">
        <v>1</v>
      </c>
      <c r="N266" s="142" t="s">
        <v>292</v>
      </c>
      <c r="O266" s="119"/>
      <c r="P266" s="119" t="s">
        <v>1850</v>
      </c>
      <c r="Q266" s="119"/>
      <c r="R266" s="119"/>
      <c r="S266" s="119"/>
      <c r="T266" s="46"/>
      <c r="U266" s="13"/>
      <c r="V266" s="13"/>
      <c r="W266" s="13"/>
      <c r="X266" s="13"/>
      <c r="Y266" s="13"/>
      <c r="Z266" s="13"/>
      <c r="AA266" s="13"/>
      <c r="AB266" s="13"/>
      <c r="AC266" s="13"/>
    </row>
    <row r="267" ht="360.0" customHeight="1">
      <c r="A267" s="35">
        <v>264.0</v>
      </c>
      <c r="B267" s="36" t="s">
        <v>1851</v>
      </c>
      <c r="C267" s="114" t="s">
        <v>1852</v>
      </c>
      <c r="D267" s="38" t="s">
        <v>1853</v>
      </c>
      <c r="E267" s="38" t="s">
        <v>1854</v>
      </c>
      <c r="F267" s="38" t="s">
        <v>1855</v>
      </c>
      <c r="G267" s="58" t="s">
        <v>1856</v>
      </c>
      <c r="H267" s="49" t="s">
        <v>49</v>
      </c>
      <c r="I267" s="94" t="s">
        <v>39</v>
      </c>
      <c r="J267" s="39" t="s">
        <v>1857</v>
      </c>
      <c r="K267" s="95" t="s">
        <v>152</v>
      </c>
      <c r="L267" s="94" t="s">
        <v>1858</v>
      </c>
      <c r="M267" s="51" t="b">
        <v>1</v>
      </c>
      <c r="N267" s="118" t="s">
        <v>1859</v>
      </c>
      <c r="O267" s="130"/>
      <c r="P267" s="119"/>
      <c r="Q267" s="119"/>
      <c r="R267" s="119"/>
      <c r="S267" s="119"/>
      <c r="T267" s="46"/>
      <c r="U267" s="13"/>
      <c r="V267" s="13"/>
      <c r="W267" s="13"/>
      <c r="X267" s="13"/>
      <c r="Y267" s="13"/>
      <c r="Z267" s="13"/>
      <c r="AA267" s="13"/>
      <c r="AB267" s="13"/>
      <c r="AC267" s="13"/>
    </row>
    <row r="268" ht="16.5" customHeight="1">
      <c r="A268" s="35">
        <v>265.0</v>
      </c>
      <c r="B268" s="36" t="s">
        <v>1860</v>
      </c>
      <c r="C268" s="37" t="s">
        <v>1861</v>
      </c>
      <c r="D268" s="38" t="s">
        <v>1862</v>
      </c>
      <c r="E268" s="38" t="s">
        <v>1863</v>
      </c>
      <c r="F268" s="38" t="s">
        <v>1864</v>
      </c>
      <c r="G268" s="39" t="s">
        <v>491</v>
      </c>
      <c r="H268" s="49" t="s">
        <v>49</v>
      </c>
      <c r="I268" s="94" t="s">
        <v>39</v>
      </c>
      <c r="J268" s="39" t="s">
        <v>492</v>
      </c>
      <c r="K268" s="41" t="s">
        <v>409</v>
      </c>
      <c r="L268" s="39" t="s">
        <v>493</v>
      </c>
      <c r="M268" s="51" t="b">
        <v>1</v>
      </c>
      <c r="N268" s="131" t="s">
        <v>494</v>
      </c>
      <c r="O268" s="129" t="s">
        <v>495</v>
      </c>
      <c r="P268" s="119"/>
      <c r="Q268" s="119"/>
      <c r="R268" s="119"/>
      <c r="S268" s="119"/>
      <c r="T268" s="46"/>
      <c r="U268" s="13"/>
      <c r="V268" s="13"/>
      <c r="W268" s="13"/>
      <c r="X268" s="13"/>
      <c r="Y268" s="13"/>
      <c r="Z268" s="13"/>
      <c r="AA268" s="13"/>
      <c r="AB268" s="13"/>
      <c r="AC268" s="13"/>
    </row>
    <row r="269" ht="198.0" customHeight="1">
      <c r="A269" s="35">
        <v>266.0</v>
      </c>
      <c r="B269" s="36" t="s">
        <v>1865</v>
      </c>
      <c r="C269" s="37" t="s">
        <v>1866</v>
      </c>
      <c r="D269" s="38" t="s">
        <v>1831</v>
      </c>
      <c r="E269" s="38"/>
      <c r="F269" s="38" t="s">
        <v>1867</v>
      </c>
      <c r="G269" s="39" t="s">
        <v>1868</v>
      </c>
      <c r="H269" s="49" t="s">
        <v>49</v>
      </c>
      <c r="I269" s="94" t="s">
        <v>39</v>
      </c>
      <c r="J269" s="39" t="s">
        <v>492</v>
      </c>
      <c r="K269" s="41" t="s">
        <v>409</v>
      </c>
      <c r="L269" s="39" t="s">
        <v>493</v>
      </c>
      <c r="M269" s="51" t="b">
        <v>1</v>
      </c>
      <c r="N269" s="131" t="s">
        <v>494</v>
      </c>
      <c r="O269" s="130"/>
      <c r="P269" s="119"/>
      <c r="Q269" s="119"/>
      <c r="R269" s="119"/>
      <c r="S269" s="119"/>
      <c r="T269" s="46"/>
      <c r="U269" s="13"/>
      <c r="V269" s="13"/>
      <c r="W269" s="13"/>
      <c r="X269" s="13"/>
      <c r="Y269" s="13"/>
      <c r="Z269" s="13"/>
      <c r="AA269" s="13"/>
      <c r="AB269" s="13"/>
      <c r="AC269" s="13"/>
    </row>
    <row r="270" ht="16.5" customHeight="1">
      <c r="A270" s="35">
        <v>267.0</v>
      </c>
      <c r="B270" s="36" t="s">
        <v>1869</v>
      </c>
      <c r="C270" s="37" t="s">
        <v>1870</v>
      </c>
      <c r="D270" s="38" t="s">
        <v>1871</v>
      </c>
      <c r="E270" s="38" t="s">
        <v>1872</v>
      </c>
      <c r="F270" s="38" t="s">
        <v>1873</v>
      </c>
      <c r="G270" s="39" t="s">
        <v>1874</v>
      </c>
      <c r="H270" s="49" t="s">
        <v>49</v>
      </c>
      <c r="I270" s="86" t="s">
        <v>39</v>
      </c>
      <c r="J270" s="39" t="s">
        <v>551</v>
      </c>
      <c r="K270" s="95" t="s">
        <v>1006</v>
      </c>
      <c r="L270" s="94" t="s">
        <v>1007</v>
      </c>
      <c r="M270" s="51" t="b">
        <v>1</v>
      </c>
      <c r="N270" s="118" t="s">
        <v>687</v>
      </c>
      <c r="O270" s="129" t="s">
        <v>688</v>
      </c>
      <c r="P270" s="119"/>
      <c r="Q270" s="119"/>
      <c r="R270" s="119"/>
      <c r="S270" s="119"/>
      <c r="T270" s="46"/>
      <c r="U270" s="13"/>
      <c r="V270" s="13"/>
      <c r="W270" s="13"/>
      <c r="X270" s="13"/>
      <c r="Y270" s="13"/>
      <c r="Z270" s="13"/>
      <c r="AA270" s="13"/>
      <c r="AB270" s="13"/>
      <c r="AC270" s="13"/>
    </row>
    <row r="271" ht="16.5" customHeight="1">
      <c r="A271" s="35">
        <v>268.0</v>
      </c>
      <c r="B271" s="36" t="s">
        <v>1875</v>
      </c>
      <c r="C271" s="37" t="s">
        <v>1876</v>
      </c>
      <c r="D271" s="38" t="s">
        <v>1877</v>
      </c>
      <c r="E271" s="38" t="s">
        <v>1878</v>
      </c>
      <c r="F271" s="38" t="s">
        <v>1879</v>
      </c>
      <c r="G271" s="39" t="s">
        <v>1880</v>
      </c>
      <c r="H271" s="49" t="s">
        <v>49</v>
      </c>
      <c r="I271" s="94" t="s">
        <v>39</v>
      </c>
      <c r="J271" s="94" t="s">
        <v>1881</v>
      </c>
      <c r="K271" s="95" t="s">
        <v>173</v>
      </c>
      <c r="L271" s="94" t="s">
        <v>424</v>
      </c>
      <c r="M271" s="51" t="b">
        <v>1</v>
      </c>
      <c r="N271" s="118" t="s">
        <v>1882</v>
      </c>
      <c r="O271" s="119"/>
      <c r="P271" s="119" t="s">
        <v>1883</v>
      </c>
      <c r="Q271" s="119" t="s">
        <v>1884</v>
      </c>
      <c r="R271" s="119"/>
      <c r="S271" s="119"/>
      <c r="T271" s="46"/>
      <c r="U271" s="13"/>
      <c r="V271" s="13"/>
      <c r="W271" s="13"/>
      <c r="X271" s="13"/>
      <c r="Y271" s="13"/>
      <c r="Z271" s="13"/>
      <c r="AA271" s="13"/>
      <c r="AB271" s="13"/>
      <c r="AC271" s="13"/>
    </row>
    <row r="272" ht="16.5" customHeight="1">
      <c r="A272" s="35">
        <v>269.0</v>
      </c>
      <c r="B272" s="36" t="s">
        <v>1885</v>
      </c>
      <c r="C272" s="37" t="s">
        <v>1886</v>
      </c>
      <c r="D272" s="38" t="s">
        <v>1887</v>
      </c>
      <c r="E272" s="38" t="s">
        <v>1888</v>
      </c>
      <c r="F272" s="38" t="s">
        <v>1889</v>
      </c>
      <c r="G272" s="39" t="s">
        <v>1890</v>
      </c>
      <c r="H272" s="49" t="s">
        <v>49</v>
      </c>
      <c r="I272" s="39" t="s">
        <v>39</v>
      </c>
      <c r="J272" s="94" t="s">
        <v>422</v>
      </c>
      <c r="K272" s="92" t="s">
        <v>1891</v>
      </c>
      <c r="L272" s="143" t="s">
        <v>1892</v>
      </c>
      <c r="M272" s="51" t="b">
        <v>1</v>
      </c>
      <c r="N272" s="144" t="s">
        <v>1893</v>
      </c>
      <c r="O272" s="126"/>
      <c r="P272" s="126" t="s">
        <v>1894</v>
      </c>
      <c r="Q272" s="126" t="s">
        <v>1895</v>
      </c>
      <c r="R272" s="126"/>
      <c r="S272" s="119"/>
      <c r="T272" s="46"/>
      <c r="U272" s="13"/>
      <c r="V272" s="13"/>
      <c r="W272" s="13"/>
      <c r="X272" s="13"/>
      <c r="Y272" s="13"/>
      <c r="Z272" s="13"/>
      <c r="AA272" s="13"/>
      <c r="AB272" s="13"/>
      <c r="AC272" s="13"/>
    </row>
    <row r="273" ht="16.5" customHeight="1">
      <c r="A273" s="35">
        <v>270.0</v>
      </c>
      <c r="B273" s="36" t="s">
        <v>1896</v>
      </c>
      <c r="C273" s="37" t="s">
        <v>1897</v>
      </c>
      <c r="D273" s="38" t="s">
        <v>1898</v>
      </c>
      <c r="E273" s="38" t="s">
        <v>1899</v>
      </c>
      <c r="F273" s="38" t="s">
        <v>1900</v>
      </c>
      <c r="G273" s="39" t="s">
        <v>1901</v>
      </c>
      <c r="H273" s="49" t="s">
        <v>49</v>
      </c>
      <c r="I273" s="94" t="s">
        <v>39</v>
      </c>
      <c r="J273" s="39" t="s">
        <v>1582</v>
      </c>
      <c r="K273" s="95" t="s">
        <v>1902</v>
      </c>
      <c r="L273" s="94" t="s">
        <v>1903</v>
      </c>
      <c r="M273" s="51" t="b">
        <v>1</v>
      </c>
      <c r="N273" s="132" t="s">
        <v>1904</v>
      </c>
      <c r="O273" s="133"/>
      <c r="P273" s="126"/>
      <c r="Q273" s="126"/>
      <c r="R273" s="126"/>
      <c r="S273" s="119"/>
      <c r="T273" s="46"/>
      <c r="U273" s="13"/>
      <c r="V273" s="13"/>
      <c r="W273" s="13"/>
      <c r="X273" s="13"/>
      <c r="Y273" s="13"/>
      <c r="Z273" s="13"/>
      <c r="AA273" s="13"/>
      <c r="AB273" s="13"/>
      <c r="AC273" s="13"/>
    </row>
    <row r="274" ht="16.5" hidden="1" customHeight="1">
      <c r="A274" s="35">
        <v>271.0</v>
      </c>
      <c r="B274" s="36" t="s">
        <v>1905</v>
      </c>
      <c r="C274" s="37" t="s">
        <v>1906</v>
      </c>
      <c r="D274" s="38" t="s">
        <v>1907</v>
      </c>
      <c r="E274" s="38" t="s">
        <v>1908</v>
      </c>
      <c r="F274" s="38" t="s">
        <v>1832</v>
      </c>
      <c r="G274" s="55"/>
      <c r="H274" s="49" t="s">
        <v>62</v>
      </c>
      <c r="I274" s="94" t="s">
        <v>63</v>
      </c>
      <c r="J274" s="55"/>
      <c r="K274" s="123"/>
      <c r="L274" s="124"/>
      <c r="M274" s="51" t="b">
        <v>0</v>
      </c>
      <c r="N274" s="119"/>
      <c r="O274" s="119"/>
      <c r="P274" s="119"/>
      <c r="Q274" s="119"/>
      <c r="R274" s="119"/>
      <c r="S274" s="119"/>
      <c r="T274" s="46"/>
      <c r="U274" s="13"/>
      <c r="V274" s="13"/>
      <c r="W274" s="13"/>
      <c r="X274" s="13"/>
      <c r="Y274" s="13"/>
      <c r="Z274" s="13"/>
      <c r="AA274" s="13"/>
      <c r="AB274" s="13"/>
      <c r="AC274" s="13"/>
    </row>
    <row r="275" ht="126.0" customHeight="1">
      <c r="A275" s="35">
        <v>272.0</v>
      </c>
      <c r="B275" s="36" t="s">
        <v>1909</v>
      </c>
      <c r="C275" s="37" t="s">
        <v>1910</v>
      </c>
      <c r="D275" s="38" t="s">
        <v>1831</v>
      </c>
      <c r="E275" s="38"/>
      <c r="F275" s="38" t="s">
        <v>1832</v>
      </c>
      <c r="G275" s="39" t="s">
        <v>1911</v>
      </c>
      <c r="H275" s="49" t="s">
        <v>49</v>
      </c>
      <c r="I275" s="39" t="s">
        <v>39</v>
      </c>
      <c r="J275" s="39" t="s">
        <v>1912</v>
      </c>
      <c r="K275" s="95" t="s">
        <v>1150</v>
      </c>
      <c r="L275" s="94" t="s">
        <v>1913</v>
      </c>
      <c r="M275" s="51" t="b">
        <v>1</v>
      </c>
      <c r="N275" s="118" t="s">
        <v>1914</v>
      </c>
      <c r="O275" s="130"/>
      <c r="P275" s="119"/>
      <c r="Q275" s="119"/>
      <c r="R275" s="119"/>
      <c r="S275" s="119"/>
      <c r="T275" s="46"/>
      <c r="U275" s="13"/>
      <c r="V275" s="13"/>
      <c r="W275" s="13"/>
      <c r="X275" s="13"/>
      <c r="Y275" s="13"/>
      <c r="Z275" s="13"/>
      <c r="AA275" s="13"/>
      <c r="AB275" s="13"/>
      <c r="AC275" s="13"/>
    </row>
    <row r="276" ht="16.5" customHeight="1">
      <c r="A276" s="35">
        <v>273.0</v>
      </c>
      <c r="B276" s="36" t="s">
        <v>1915</v>
      </c>
      <c r="C276" s="37" t="s">
        <v>1916</v>
      </c>
      <c r="D276" s="38" t="s">
        <v>1917</v>
      </c>
      <c r="E276" s="38" t="s">
        <v>1918</v>
      </c>
      <c r="F276" s="38" t="s">
        <v>1919</v>
      </c>
      <c r="G276" s="39" t="s">
        <v>1920</v>
      </c>
      <c r="H276" s="49" t="s">
        <v>49</v>
      </c>
      <c r="I276" s="39" t="s">
        <v>39</v>
      </c>
      <c r="J276" s="139" t="s">
        <v>1921</v>
      </c>
      <c r="K276" s="145" t="s">
        <v>1922</v>
      </c>
      <c r="L276" s="146" t="s">
        <v>1923</v>
      </c>
      <c r="M276" s="51" t="b">
        <v>0</v>
      </c>
      <c r="N276" s="126"/>
      <c r="O276" s="126"/>
      <c r="P276" s="126" t="s">
        <v>1924</v>
      </c>
      <c r="Q276" s="126" t="s">
        <v>1925</v>
      </c>
      <c r="R276" s="126" t="s">
        <v>1926</v>
      </c>
      <c r="S276" s="119"/>
      <c r="T276" s="46"/>
      <c r="U276" s="13"/>
      <c r="V276" s="13"/>
      <c r="W276" s="13"/>
      <c r="X276" s="13"/>
      <c r="Y276" s="13"/>
      <c r="Z276" s="13"/>
      <c r="AA276" s="13"/>
      <c r="AB276" s="13"/>
      <c r="AC276" s="13"/>
    </row>
    <row r="277" ht="216.0" customHeight="1">
      <c r="A277" s="35">
        <v>274.0</v>
      </c>
      <c r="B277" s="36" t="s">
        <v>1927</v>
      </c>
      <c r="C277" s="114" t="s">
        <v>1928</v>
      </c>
      <c r="D277" s="38"/>
      <c r="E277" s="38"/>
      <c r="F277" s="38" t="s">
        <v>1929</v>
      </c>
      <c r="G277" s="39" t="s">
        <v>1930</v>
      </c>
      <c r="H277" s="49" t="s">
        <v>49</v>
      </c>
      <c r="I277" s="94" t="s">
        <v>39</v>
      </c>
      <c r="J277" s="93" t="s">
        <v>82</v>
      </c>
      <c r="K277" s="95" t="s">
        <v>1848</v>
      </c>
      <c r="L277" s="94" t="s">
        <v>1931</v>
      </c>
      <c r="M277" s="51" t="b">
        <v>0</v>
      </c>
      <c r="N277" s="147" t="s">
        <v>1932</v>
      </c>
      <c r="O277" s="119"/>
      <c r="P277" s="119" t="s">
        <v>1933</v>
      </c>
      <c r="Q277" s="119"/>
      <c r="R277" s="119"/>
      <c r="S277" s="119"/>
      <c r="T277" s="46"/>
      <c r="U277" s="13"/>
      <c r="V277" s="13"/>
      <c r="W277" s="13"/>
      <c r="X277" s="13"/>
      <c r="Y277" s="13"/>
      <c r="Z277" s="13"/>
      <c r="AA277" s="13"/>
      <c r="AB277" s="13"/>
      <c r="AC277" s="13"/>
    </row>
    <row r="278" ht="16.5" customHeight="1">
      <c r="A278" s="35">
        <v>275.0</v>
      </c>
      <c r="B278" s="36" t="s">
        <v>1934</v>
      </c>
      <c r="C278" s="37" t="s">
        <v>1935</v>
      </c>
      <c r="D278" s="38"/>
      <c r="E278" s="38"/>
      <c r="F278" s="38" t="s">
        <v>1936</v>
      </c>
      <c r="G278" s="39" t="s">
        <v>1937</v>
      </c>
      <c r="H278" s="49" t="s">
        <v>49</v>
      </c>
      <c r="I278" s="39" t="s">
        <v>39</v>
      </c>
      <c r="J278" s="148" t="s">
        <v>1938</v>
      </c>
      <c r="K278" s="149" t="s">
        <v>1939</v>
      </c>
      <c r="L278" s="150" t="s">
        <v>1940</v>
      </c>
      <c r="M278" s="51" t="b">
        <v>1</v>
      </c>
      <c r="N278" s="118" t="s">
        <v>1941</v>
      </c>
      <c r="O278" s="119"/>
      <c r="P278" s="119" t="s">
        <v>1942</v>
      </c>
      <c r="Q278" s="119" t="s">
        <v>1943</v>
      </c>
      <c r="R278" s="119"/>
      <c r="S278" s="119"/>
      <c r="T278" s="46"/>
      <c r="U278" s="13"/>
      <c r="V278" s="13"/>
      <c r="W278" s="13"/>
      <c r="X278" s="13"/>
      <c r="Y278" s="13"/>
      <c r="Z278" s="13"/>
      <c r="AA278" s="13"/>
      <c r="AB278" s="13"/>
      <c r="AC278" s="13"/>
    </row>
    <row r="279" ht="16.5" customHeight="1">
      <c r="A279" s="35">
        <v>276.0</v>
      </c>
      <c r="B279" s="36" t="s">
        <v>1944</v>
      </c>
      <c r="C279" s="37" t="s">
        <v>1945</v>
      </c>
      <c r="D279" s="38"/>
      <c r="E279" s="38"/>
      <c r="F279" s="38" t="s">
        <v>1946</v>
      </c>
      <c r="G279" s="39" t="s">
        <v>1947</v>
      </c>
      <c r="H279" s="49" t="s">
        <v>49</v>
      </c>
      <c r="I279" s="39" t="s">
        <v>39</v>
      </c>
      <c r="J279" s="39" t="s">
        <v>916</v>
      </c>
      <c r="K279" s="41" t="s">
        <v>1240</v>
      </c>
      <c r="L279" s="39" t="s">
        <v>1241</v>
      </c>
      <c r="M279" s="51" t="b">
        <v>1</v>
      </c>
      <c r="N279" s="118" t="s">
        <v>1948</v>
      </c>
      <c r="O279" s="129" t="s">
        <v>1310</v>
      </c>
      <c r="P279" s="119"/>
      <c r="Q279" s="119"/>
      <c r="R279" s="119"/>
      <c r="S279" s="119"/>
      <c r="T279" s="46"/>
      <c r="U279" s="13"/>
      <c r="V279" s="13"/>
      <c r="W279" s="13"/>
      <c r="X279" s="13"/>
      <c r="Y279" s="13"/>
      <c r="Z279" s="13"/>
      <c r="AA279" s="13"/>
      <c r="AB279" s="13"/>
      <c r="AC279" s="13"/>
    </row>
    <row r="280" ht="16.5" customHeight="1">
      <c r="A280" s="35">
        <v>277.0</v>
      </c>
      <c r="B280" s="36" t="s">
        <v>1949</v>
      </c>
      <c r="C280" s="37" t="s">
        <v>1950</v>
      </c>
      <c r="D280" s="38"/>
      <c r="E280" s="38"/>
      <c r="F280" s="38" t="s">
        <v>1951</v>
      </c>
      <c r="G280" s="39" t="s">
        <v>1952</v>
      </c>
      <c r="H280" s="49" t="s">
        <v>49</v>
      </c>
      <c r="I280" s="39" t="s">
        <v>39</v>
      </c>
      <c r="J280" s="151" t="s">
        <v>1798</v>
      </c>
      <c r="K280" s="152" t="s">
        <v>1953</v>
      </c>
      <c r="L280" s="150" t="s">
        <v>1954</v>
      </c>
      <c r="M280" s="51" t="b">
        <v>0</v>
      </c>
      <c r="N280" s="119"/>
      <c r="O280" s="119"/>
      <c r="P280" s="119" t="s">
        <v>1955</v>
      </c>
      <c r="Q280" s="119" t="s">
        <v>1956</v>
      </c>
      <c r="R280" s="119"/>
      <c r="S280" s="119"/>
      <c r="T280" s="46"/>
      <c r="U280" s="13"/>
      <c r="V280" s="13"/>
      <c r="W280" s="13"/>
      <c r="X280" s="13"/>
      <c r="Y280" s="13"/>
      <c r="Z280" s="13"/>
      <c r="AA280" s="13"/>
      <c r="AB280" s="13"/>
      <c r="AC280" s="13"/>
    </row>
    <row r="281" ht="16.5" customHeight="1">
      <c r="A281" s="35">
        <v>278.0</v>
      </c>
      <c r="B281" s="36" t="s">
        <v>1957</v>
      </c>
      <c r="C281" s="37" t="s">
        <v>1958</v>
      </c>
      <c r="D281" s="38"/>
      <c r="E281" s="38"/>
      <c r="F281" s="38" t="s">
        <v>1959</v>
      </c>
      <c r="G281" s="39" t="s">
        <v>1709</v>
      </c>
      <c r="H281" s="49" t="s">
        <v>49</v>
      </c>
      <c r="I281" s="39" t="s">
        <v>39</v>
      </c>
      <c r="J281" s="139" t="s">
        <v>610</v>
      </c>
      <c r="K281" s="145" t="s">
        <v>1960</v>
      </c>
      <c r="L281" s="153" t="s">
        <v>1961</v>
      </c>
      <c r="M281" s="51" t="b">
        <v>0</v>
      </c>
      <c r="N281" s="126"/>
      <c r="O281" s="126"/>
      <c r="P281" s="126" t="s">
        <v>1962</v>
      </c>
      <c r="Q281" s="126" t="s">
        <v>1963</v>
      </c>
      <c r="R281" s="126" t="s">
        <v>1964</v>
      </c>
      <c r="S281" s="119"/>
      <c r="T281" s="46"/>
      <c r="U281" s="13"/>
      <c r="V281" s="13"/>
      <c r="W281" s="13"/>
      <c r="X281" s="13"/>
      <c r="Y281" s="13"/>
      <c r="Z281" s="13"/>
      <c r="AA281" s="13"/>
      <c r="AB281" s="13"/>
      <c r="AC281" s="13"/>
    </row>
    <row r="282" ht="180.0" customHeight="1">
      <c r="A282" s="35">
        <v>279.0</v>
      </c>
      <c r="B282" s="36" t="s">
        <v>1965</v>
      </c>
      <c r="C282" s="37" t="s">
        <v>1966</v>
      </c>
      <c r="D282" s="38"/>
      <c r="E282" s="38"/>
      <c r="F282" s="38" t="s">
        <v>1967</v>
      </c>
      <c r="G282" s="39" t="s">
        <v>1968</v>
      </c>
      <c r="H282" s="49" t="s">
        <v>49</v>
      </c>
      <c r="I282" s="94" t="s">
        <v>39</v>
      </c>
      <c r="J282" s="39" t="s">
        <v>610</v>
      </c>
      <c r="K282" s="95" t="s">
        <v>1969</v>
      </c>
      <c r="L282" s="59" t="s">
        <v>1970</v>
      </c>
      <c r="M282" s="51" t="b">
        <v>1</v>
      </c>
      <c r="N282" s="142" t="s">
        <v>106</v>
      </c>
      <c r="O282" s="130"/>
      <c r="P282" s="119"/>
      <c r="Q282" s="119"/>
      <c r="R282" s="119"/>
      <c r="S282" s="119"/>
      <c r="T282" s="46"/>
      <c r="U282" s="13"/>
      <c r="V282" s="13"/>
      <c r="W282" s="13"/>
      <c r="X282" s="13"/>
      <c r="Y282" s="13"/>
      <c r="Z282" s="13"/>
      <c r="AA282" s="13"/>
      <c r="AB282" s="13"/>
      <c r="AC282" s="13"/>
    </row>
    <row r="283" ht="126.0" hidden="1" customHeight="1">
      <c r="A283" s="35">
        <v>280.0</v>
      </c>
      <c r="B283" s="36" t="s">
        <v>1971</v>
      </c>
      <c r="C283" s="37" t="s">
        <v>1972</v>
      </c>
      <c r="D283" s="38"/>
      <c r="E283" s="38"/>
      <c r="F283" s="38" t="s">
        <v>1832</v>
      </c>
      <c r="G283" s="39" t="s">
        <v>231</v>
      </c>
      <c r="H283" s="49" t="s">
        <v>62</v>
      </c>
      <c r="I283" s="94" t="s">
        <v>63</v>
      </c>
      <c r="J283" s="55"/>
      <c r="K283" s="123"/>
      <c r="L283" s="124"/>
      <c r="M283" s="51" t="b">
        <v>0</v>
      </c>
      <c r="N283" s="119"/>
      <c r="O283" s="119"/>
      <c r="P283" s="119"/>
      <c r="Q283" s="119"/>
      <c r="R283" s="119"/>
      <c r="S283" s="119"/>
      <c r="T283" s="46"/>
      <c r="U283" s="13"/>
      <c r="V283" s="13"/>
      <c r="W283" s="13"/>
      <c r="X283" s="13"/>
      <c r="Y283" s="13"/>
      <c r="Z283" s="13"/>
      <c r="AA283" s="13"/>
      <c r="AB283" s="13"/>
      <c r="AC283" s="13"/>
    </row>
    <row r="284" ht="16.5" hidden="1" customHeight="1">
      <c r="A284" s="35">
        <v>281.0</v>
      </c>
      <c r="B284" s="36" t="s">
        <v>1973</v>
      </c>
      <c r="C284" s="37" t="s">
        <v>1974</v>
      </c>
      <c r="D284" s="38"/>
      <c r="E284" s="38"/>
      <c r="F284" s="38" t="s">
        <v>1975</v>
      </c>
      <c r="G284" s="39" t="s">
        <v>1976</v>
      </c>
      <c r="H284" s="49" t="s">
        <v>62</v>
      </c>
      <c r="I284" s="94" t="s">
        <v>63</v>
      </c>
      <c r="J284" s="55"/>
      <c r="K284" s="123"/>
      <c r="L284" s="124"/>
      <c r="M284" s="51" t="b">
        <v>0</v>
      </c>
      <c r="N284" s="119"/>
      <c r="O284" s="119"/>
      <c r="P284" s="119" t="s">
        <v>1977</v>
      </c>
      <c r="Q284" s="119"/>
      <c r="R284" s="119"/>
      <c r="S284" s="119"/>
      <c r="T284" s="46"/>
      <c r="U284" s="13"/>
      <c r="V284" s="13"/>
      <c r="W284" s="13"/>
      <c r="X284" s="13"/>
      <c r="Y284" s="13"/>
      <c r="Z284" s="13"/>
      <c r="AA284" s="13"/>
      <c r="AB284" s="13"/>
      <c r="AC284" s="13"/>
    </row>
    <row r="285" ht="16.5" customHeight="1">
      <c r="A285" s="35">
        <v>282.0</v>
      </c>
      <c r="B285" s="74" t="s">
        <v>1978</v>
      </c>
      <c r="C285" s="37" t="s">
        <v>1979</v>
      </c>
      <c r="D285" s="38"/>
      <c r="E285" s="38"/>
      <c r="F285" s="38" t="s">
        <v>1980</v>
      </c>
      <c r="G285" s="39" t="s">
        <v>1981</v>
      </c>
      <c r="H285" s="49" t="s">
        <v>49</v>
      </c>
      <c r="I285" s="94" t="s">
        <v>39</v>
      </c>
      <c r="J285" s="93" t="s">
        <v>1982</v>
      </c>
      <c r="K285" s="92" t="s">
        <v>1983</v>
      </c>
      <c r="L285" s="94"/>
      <c r="M285" s="51" t="b">
        <v>1</v>
      </c>
      <c r="N285" s="94" t="s">
        <v>1984</v>
      </c>
      <c r="O285" s="119"/>
      <c r="P285" s="119" t="s">
        <v>1985</v>
      </c>
      <c r="Q285" s="119" t="s">
        <v>1986</v>
      </c>
      <c r="R285" s="119"/>
      <c r="S285" s="119"/>
      <c r="T285" s="46"/>
      <c r="U285" s="13"/>
      <c r="V285" s="13"/>
      <c r="W285" s="13"/>
      <c r="X285" s="13"/>
      <c r="Y285" s="13"/>
      <c r="Z285" s="13"/>
      <c r="AA285" s="13"/>
      <c r="AB285" s="13"/>
      <c r="AC285" s="13"/>
    </row>
    <row r="286" ht="16.5" customHeight="1">
      <c r="A286" s="35">
        <v>283.0</v>
      </c>
      <c r="B286" s="36" t="s">
        <v>1987</v>
      </c>
      <c r="C286" s="37" t="s">
        <v>1988</v>
      </c>
      <c r="D286" s="38"/>
      <c r="E286" s="38"/>
      <c r="F286" s="38" t="s">
        <v>1989</v>
      </c>
      <c r="G286" s="39" t="s">
        <v>1990</v>
      </c>
      <c r="H286" s="49" t="s">
        <v>49</v>
      </c>
      <c r="I286" s="39" t="s">
        <v>39</v>
      </c>
      <c r="J286" s="94" t="s">
        <v>1991</v>
      </c>
      <c r="K286" s="92" t="s">
        <v>1992</v>
      </c>
      <c r="L286" s="112" t="s">
        <v>1993</v>
      </c>
      <c r="M286" s="51" t="b">
        <v>0</v>
      </c>
      <c r="N286" s="119"/>
      <c r="O286" s="119"/>
      <c r="P286" s="119" t="s">
        <v>1994</v>
      </c>
      <c r="Q286" s="119"/>
      <c r="R286" s="119"/>
      <c r="S286" s="119"/>
      <c r="T286" s="46"/>
      <c r="U286" s="13"/>
      <c r="V286" s="13"/>
      <c r="W286" s="13"/>
      <c r="X286" s="13"/>
      <c r="Y286" s="13"/>
      <c r="Z286" s="13"/>
      <c r="AA286" s="13"/>
      <c r="AB286" s="13"/>
      <c r="AC286" s="13"/>
    </row>
    <row r="287" ht="198.0" customHeight="1">
      <c r="A287" s="35">
        <v>284.0</v>
      </c>
      <c r="B287" s="36" t="s">
        <v>1995</v>
      </c>
      <c r="C287" s="37" t="s">
        <v>1996</v>
      </c>
      <c r="D287" s="38"/>
      <c r="E287" s="38"/>
      <c r="F287" s="38" t="s">
        <v>1997</v>
      </c>
      <c r="G287" s="48" t="s">
        <v>1734</v>
      </c>
      <c r="H287" s="49" t="s">
        <v>49</v>
      </c>
      <c r="I287" s="94" t="s">
        <v>39</v>
      </c>
      <c r="J287" s="39" t="s">
        <v>720</v>
      </c>
      <c r="K287" s="95" t="s">
        <v>745</v>
      </c>
      <c r="L287" s="135" t="s">
        <v>1735</v>
      </c>
      <c r="M287" s="51" t="b">
        <v>0</v>
      </c>
      <c r="N287" s="118" t="s">
        <v>1998</v>
      </c>
      <c r="O287" s="129" t="s">
        <v>1736</v>
      </c>
      <c r="P287" s="119"/>
      <c r="Q287" s="119"/>
      <c r="R287" s="119"/>
      <c r="S287" s="119"/>
      <c r="T287" s="46"/>
      <c r="U287" s="13"/>
      <c r="V287" s="13"/>
      <c r="W287" s="13"/>
      <c r="X287" s="13"/>
      <c r="Y287" s="13"/>
      <c r="Z287" s="13"/>
      <c r="AA287" s="13"/>
      <c r="AB287" s="13"/>
      <c r="AC287" s="13"/>
    </row>
    <row r="288" ht="288.0" customHeight="1">
      <c r="A288" s="35">
        <v>285.0</v>
      </c>
      <c r="B288" s="36" t="s">
        <v>1999</v>
      </c>
      <c r="C288" s="37" t="s">
        <v>2000</v>
      </c>
      <c r="D288" s="38"/>
      <c r="E288" s="38"/>
      <c r="F288" s="38" t="s">
        <v>2001</v>
      </c>
      <c r="G288" s="39" t="s">
        <v>2002</v>
      </c>
      <c r="H288" s="49" t="s">
        <v>49</v>
      </c>
      <c r="I288" s="94" t="s">
        <v>39</v>
      </c>
      <c r="J288" s="93" t="s">
        <v>1159</v>
      </c>
      <c r="K288" s="95" t="s">
        <v>173</v>
      </c>
      <c r="L288" s="154" t="s">
        <v>2003</v>
      </c>
      <c r="M288" s="51" t="b">
        <v>1</v>
      </c>
      <c r="N288" s="118" t="s">
        <v>1160</v>
      </c>
      <c r="O288" s="119"/>
      <c r="P288" s="119" t="s">
        <v>2004</v>
      </c>
      <c r="Q288" s="119"/>
      <c r="R288" s="119"/>
      <c r="S288" s="119"/>
      <c r="T288" s="46"/>
      <c r="U288" s="13"/>
      <c r="V288" s="13"/>
      <c r="W288" s="13"/>
      <c r="X288" s="13"/>
      <c r="Y288" s="13"/>
      <c r="Z288" s="13"/>
      <c r="AA288" s="13"/>
      <c r="AB288" s="13"/>
      <c r="AC288" s="13"/>
    </row>
    <row r="289" ht="16.5" customHeight="1">
      <c r="A289" s="35">
        <v>286.0</v>
      </c>
      <c r="B289" s="36" t="s">
        <v>2005</v>
      </c>
      <c r="C289" s="37" t="s">
        <v>2006</v>
      </c>
      <c r="D289" s="38" t="s">
        <v>2007</v>
      </c>
      <c r="E289" s="38" t="s">
        <v>2008</v>
      </c>
      <c r="F289" s="38" t="s">
        <v>2009</v>
      </c>
      <c r="G289" s="39" t="s">
        <v>2010</v>
      </c>
      <c r="H289" s="49" t="s">
        <v>49</v>
      </c>
      <c r="I289" s="94" t="s">
        <v>39</v>
      </c>
      <c r="J289" s="39" t="s">
        <v>657</v>
      </c>
      <c r="K289" s="95" t="s">
        <v>2011</v>
      </c>
      <c r="L289" s="94" t="s">
        <v>2012</v>
      </c>
      <c r="M289" s="51" t="b">
        <v>1</v>
      </c>
      <c r="N289" s="118" t="s">
        <v>2013</v>
      </c>
      <c r="O289" s="130"/>
      <c r="P289" s="119"/>
      <c r="Q289" s="119"/>
      <c r="R289" s="119"/>
      <c r="S289" s="119"/>
      <c r="T289" s="46"/>
      <c r="U289" s="13"/>
      <c r="V289" s="13"/>
      <c r="W289" s="13"/>
      <c r="X289" s="13"/>
      <c r="Y289" s="13"/>
      <c r="Z289" s="13"/>
      <c r="AA289" s="13"/>
      <c r="AB289" s="13"/>
      <c r="AC289" s="13"/>
    </row>
    <row r="290" ht="198.0" customHeight="1">
      <c r="A290" s="35">
        <v>287.0</v>
      </c>
      <c r="B290" s="36" t="s">
        <v>2014</v>
      </c>
      <c r="C290" s="37" t="s">
        <v>2015</v>
      </c>
      <c r="D290" s="38"/>
      <c r="E290" s="38"/>
      <c r="F290" s="38" t="s">
        <v>2016</v>
      </c>
      <c r="G290" s="48" t="s">
        <v>1734</v>
      </c>
      <c r="H290" s="49" t="s">
        <v>49</v>
      </c>
      <c r="I290" s="94" t="s">
        <v>39</v>
      </c>
      <c r="J290" s="39" t="s">
        <v>720</v>
      </c>
      <c r="K290" s="95" t="s">
        <v>745</v>
      </c>
      <c r="L290" s="135" t="s">
        <v>1735</v>
      </c>
      <c r="M290" s="51" t="b">
        <v>1</v>
      </c>
      <c r="N290" s="118" t="s">
        <v>747</v>
      </c>
      <c r="O290" s="129" t="s">
        <v>1736</v>
      </c>
      <c r="P290" s="119"/>
      <c r="Q290" s="119"/>
      <c r="R290" s="119"/>
      <c r="S290" s="119"/>
      <c r="T290" s="46"/>
      <c r="U290" s="13"/>
      <c r="V290" s="13"/>
      <c r="W290" s="13"/>
      <c r="X290" s="13"/>
      <c r="Y290" s="13"/>
      <c r="Z290" s="13"/>
      <c r="AA290" s="13"/>
      <c r="AB290" s="13"/>
      <c r="AC290" s="13"/>
    </row>
    <row r="291" ht="16.5" hidden="1" customHeight="1">
      <c r="A291" s="35">
        <v>288.0</v>
      </c>
      <c r="B291" s="36" t="s">
        <v>2017</v>
      </c>
      <c r="C291" s="37" t="s">
        <v>2018</v>
      </c>
      <c r="D291" s="38" t="s">
        <v>2019</v>
      </c>
      <c r="E291" s="38" t="s">
        <v>2020</v>
      </c>
      <c r="F291" s="38" t="s">
        <v>2021</v>
      </c>
      <c r="G291" s="39" t="s">
        <v>231</v>
      </c>
      <c r="H291" s="49" t="s">
        <v>62</v>
      </c>
      <c r="I291" s="94" t="s">
        <v>63</v>
      </c>
      <c r="J291" s="55"/>
      <c r="K291" s="123"/>
      <c r="L291" s="124"/>
      <c r="M291" s="51" t="b">
        <v>0</v>
      </c>
      <c r="N291" s="119"/>
      <c r="O291" s="119"/>
      <c r="P291" s="119"/>
      <c r="Q291" s="119"/>
      <c r="R291" s="119"/>
      <c r="S291" s="119"/>
      <c r="T291" s="46"/>
      <c r="U291" s="13"/>
      <c r="V291" s="13"/>
      <c r="W291" s="13"/>
      <c r="X291" s="13"/>
      <c r="Y291" s="13"/>
      <c r="Z291" s="13"/>
      <c r="AA291" s="13"/>
      <c r="AB291" s="13"/>
      <c r="AC291" s="13"/>
    </row>
    <row r="292" ht="16.5" hidden="1" customHeight="1">
      <c r="A292" s="35">
        <v>289.0</v>
      </c>
      <c r="B292" s="36" t="s">
        <v>2022</v>
      </c>
      <c r="C292" s="37" t="s">
        <v>2023</v>
      </c>
      <c r="D292" s="38" t="s">
        <v>2024</v>
      </c>
      <c r="E292" s="38"/>
      <c r="F292" s="38" t="s">
        <v>2025</v>
      </c>
      <c r="G292" s="39" t="s">
        <v>231</v>
      </c>
      <c r="H292" s="49" t="s">
        <v>62</v>
      </c>
      <c r="I292" s="94" t="s">
        <v>63</v>
      </c>
      <c r="J292" s="55"/>
      <c r="K292" s="123"/>
      <c r="L292" s="124"/>
      <c r="M292" s="51" t="b">
        <v>0</v>
      </c>
      <c r="N292" s="119"/>
      <c r="O292" s="119"/>
      <c r="P292" s="119"/>
      <c r="Q292" s="119"/>
      <c r="R292" s="119"/>
      <c r="S292" s="119"/>
      <c r="T292" s="46"/>
      <c r="U292" s="13"/>
      <c r="V292" s="13"/>
      <c r="W292" s="13"/>
      <c r="X292" s="13"/>
      <c r="Y292" s="13"/>
      <c r="Z292" s="13"/>
      <c r="AA292" s="13"/>
      <c r="AB292" s="13"/>
      <c r="AC292" s="13"/>
    </row>
    <row r="293" ht="126.0" hidden="1" customHeight="1">
      <c r="A293" s="35">
        <v>290.0</v>
      </c>
      <c r="B293" s="36" t="s">
        <v>2026</v>
      </c>
      <c r="C293" s="37" t="s">
        <v>2027</v>
      </c>
      <c r="D293" s="38" t="s">
        <v>1831</v>
      </c>
      <c r="E293" s="38"/>
      <c r="F293" s="38" t="s">
        <v>1832</v>
      </c>
      <c r="G293" s="39" t="s">
        <v>231</v>
      </c>
      <c r="H293" s="49" t="s">
        <v>62</v>
      </c>
      <c r="I293" s="94" t="s">
        <v>63</v>
      </c>
      <c r="J293" s="55"/>
      <c r="K293" s="123"/>
      <c r="L293" s="124"/>
      <c r="M293" s="51" t="b">
        <v>0</v>
      </c>
      <c r="N293" s="119"/>
      <c r="O293" s="119"/>
      <c r="P293" s="119"/>
      <c r="Q293" s="119"/>
      <c r="R293" s="119"/>
      <c r="S293" s="119"/>
      <c r="T293" s="46"/>
      <c r="U293" s="13"/>
      <c r="V293" s="13"/>
      <c r="W293" s="13"/>
      <c r="X293" s="13"/>
      <c r="Y293" s="13"/>
      <c r="Z293" s="13"/>
      <c r="AA293" s="13"/>
      <c r="AB293" s="13"/>
      <c r="AC293" s="13"/>
    </row>
    <row r="294" ht="126.0" hidden="1" customHeight="1">
      <c r="A294" s="35">
        <v>291.0</v>
      </c>
      <c r="B294" s="36" t="s">
        <v>2028</v>
      </c>
      <c r="C294" s="37" t="s">
        <v>2029</v>
      </c>
      <c r="D294" s="38" t="s">
        <v>1831</v>
      </c>
      <c r="E294" s="38"/>
      <c r="F294" s="38" t="s">
        <v>1832</v>
      </c>
      <c r="G294" s="39" t="s">
        <v>231</v>
      </c>
      <c r="H294" s="49" t="s">
        <v>62</v>
      </c>
      <c r="I294" s="94" t="s">
        <v>63</v>
      </c>
      <c r="J294" s="55"/>
      <c r="K294" s="123"/>
      <c r="L294" s="124"/>
      <c r="M294" s="51" t="b">
        <v>0</v>
      </c>
      <c r="N294" s="119"/>
      <c r="O294" s="119"/>
      <c r="P294" s="119"/>
      <c r="Q294" s="119"/>
      <c r="R294" s="119"/>
      <c r="S294" s="119"/>
      <c r="T294" s="46"/>
      <c r="U294" s="13"/>
      <c r="V294" s="13"/>
      <c r="W294" s="13"/>
      <c r="X294" s="13"/>
      <c r="Y294" s="13"/>
      <c r="Z294" s="13"/>
      <c r="AA294" s="13"/>
      <c r="AB294" s="13"/>
      <c r="AC294" s="13"/>
    </row>
    <row r="295" ht="16.5" customHeight="1">
      <c r="A295" s="35">
        <v>292.0</v>
      </c>
      <c r="B295" s="36" t="s">
        <v>2030</v>
      </c>
      <c r="C295" s="37" t="s">
        <v>2031</v>
      </c>
      <c r="D295" s="38" t="s">
        <v>2032</v>
      </c>
      <c r="E295" s="38" t="s">
        <v>2033</v>
      </c>
      <c r="F295" s="38" t="s">
        <v>2034</v>
      </c>
      <c r="G295" s="39" t="s">
        <v>2035</v>
      </c>
      <c r="H295" s="49" t="s">
        <v>49</v>
      </c>
      <c r="I295" s="86" t="s">
        <v>39</v>
      </c>
      <c r="J295" s="93" t="s">
        <v>289</v>
      </c>
      <c r="K295" s="95" t="s">
        <v>2036</v>
      </c>
      <c r="L295" s="94" t="s">
        <v>2037</v>
      </c>
      <c r="M295" s="51" t="b">
        <v>1</v>
      </c>
      <c r="N295" s="118" t="s">
        <v>2038</v>
      </c>
      <c r="O295" s="119"/>
      <c r="P295" s="119" t="s">
        <v>2039</v>
      </c>
      <c r="Q295" s="119"/>
      <c r="R295" s="119"/>
      <c r="S295" s="119"/>
      <c r="T295" s="46"/>
      <c r="U295" s="13"/>
      <c r="V295" s="13"/>
      <c r="W295" s="13"/>
      <c r="X295" s="13"/>
      <c r="Y295" s="13"/>
      <c r="Z295" s="13"/>
      <c r="AA295" s="13"/>
      <c r="AB295" s="13"/>
      <c r="AC295" s="13"/>
    </row>
    <row r="296" ht="360.0" hidden="1" customHeight="1">
      <c r="A296" s="35">
        <v>293.0</v>
      </c>
      <c r="B296" s="36" t="s">
        <v>2040</v>
      </c>
      <c r="C296" s="37" t="s">
        <v>2041</v>
      </c>
      <c r="D296" s="38" t="s">
        <v>1831</v>
      </c>
      <c r="E296" s="38"/>
      <c r="F296" s="38" t="s">
        <v>2042</v>
      </c>
      <c r="G296" s="39" t="s">
        <v>231</v>
      </c>
      <c r="H296" s="49" t="s">
        <v>62</v>
      </c>
      <c r="I296" s="94" t="s">
        <v>63</v>
      </c>
      <c r="J296" s="65"/>
      <c r="K296" s="123"/>
      <c r="L296" s="155"/>
      <c r="M296" s="156" t="b">
        <v>0</v>
      </c>
      <c r="N296" s="157" t="s">
        <v>2043</v>
      </c>
      <c r="O296" s="158" t="s">
        <v>2044</v>
      </c>
      <c r="P296" s="119"/>
      <c r="Q296" s="119"/>
      <c r="R296" s="119"/>
      <c r="S296" s="119"/>
      <c r="T296" s="46"/>
      <c r="U296" s="13"/>
      <c r="V296" s="13"/>
      <c r="W296" s="13"/>
      <c r="X296" s="13"/>
      <c r="Y296" s="13"/>
      <c r="Z296" s="13"/>
      <c r="AA296" s="13"/>
      <c r="AB296" s="13"/>
      <c r="AC296" s="13"/>
    </row>
    <row r="297" ht="16.5" hidden="1" customHeight="1">
      <c r="A297" s="35">
        <v>294.0</v>
      </c>
      <c r="B297" s="36" t="s">
        <v>2045</v>
      </c>
      <c r="C297" s="37" t="s">
        <v>2046</v>
      </c>
      <c r="D297" s="38" t="s">
        <v>2047</v>
      </c>
      <c r="E297" s="38" t="s">
        <v>2048</v>
      </c>
      <c r="F297" s="38" t="s">
        <v>2049</v>
      </c>
      <c r="G297" s="39" t="s">
        <v>231</v>
      </c>
      <c r="H297" s="49" t="s">
        <v>62</v>
      </c>
      <c r="I297" s="94" t="s">
        <v>63</v>
      </c>
      <c r="J297" s="55"/>
      <c r="K297" s="123"/>
      <c r="L297" s="124"/>
      <c r="M297" s="51" t="b">
        <v>0</v>
      </c>
      <c r="N297" s="119"/>
      <c r="O297" s="119"/>
      <c r="P297" s="119"/>
      <c r="Q297" s="119"/>
      <c r="R297" s="119"/>
      <c r="S297" s="119"/>
      <c r="T297" s="46"/>
      <c r="U297" s="13"/>
      <c r="V297" s="13"/>
      <c r="W297" s="13"/>
      <c r="X297" s="13"/>
      <c r="Y297" s="13"/>
      <c r="Z297" s="13"/>
      <c r="AA297" s="13"/>
      <c r="AB297" s="13"/>
      <c r="AC297" s="13"/>
    </row>
    <row r="298" ht="16.5" hidden="1" customHeight="1">
      <c r="A298" s="35">
        <v>295.0</v>
      </c>
      <c r="B298" s="36" t="s">
        <v>2050</v>
      </c>
      <c r="C298" s="37" t="s">
        <v>2051</v>
      </c>
      <c r="D298" s="38" t="s">
        <v>1831</v>
      </c>
      <c r="E298" s="38"/>
      <c r="F298" s="38" t="s">
        <v>1900</v>
      </c>
      <c r="G298" s="39" t="s">
        <v>231</v>
      </c>
      <c r="H298" s="49" t="s">
        <v>62</v>
      </c>
      <c r="I298" s="94" t="s">
        <v>63</v>
      </c>
      <c r="J298" s="55"/>
      <c r="K298" s="123"/>
      <c r="L298" s="124"/>
      <c r="M298" s="51" t="b">
        <v>0</v>
      </c>
      <c r="N298" s="119"/>
      <c r="O298" s="119"/>
      <c r="P298" s="119"/>
      <c r="Q298" s="119"/>
      <c r="R298" s="119"/>
      <c r="S298" s="119"/>
      <c r="T298" s="46"/>
      <c r="U298" s="13"/>
      <c r="V298" s="13"/>
      <c r="W298" s="13"/>
      <c r="X298" s="13"/>
      <c r="Y298" s="13"/>
      <c r="Z298" s="13"/>
      <c r="AA298" s="13"/>
      <c r="AB298" s="13"/>
      <c r="AC298" s="13"/>
    </row>
    <row r="299" ht="16.5" hidden="1" customHeight="1">
      <c r="A299" s="159">
        <v>296.0</v>
      </c>
      <c r="B299" s="160" t="s">
        <v>2052</v>
      </c>
      <c r="C299" s="161" t="s">
        <v>2053</v>
      </c>
      <c r="D299" s="162" t="s">
        <v>1831</v>
      </c>
      <c r="E299" s="162"/>
      <c r="F299" s="162" t="s">
        <v>1900</v>
      </c>
      <c r="G299" s="58" t="s">
        <v>231</v>
      </c>
      <c r="H299" s="49" t="s">
        <v>62</v>
      </c>
      <c r="I299" s="94" t="s">
        <v>63</v>
      </c>
      <c r="J299" s="55"/>
      <c r="K299" s="123"/>
      <c r="L299" s="124"/>
      <c r="M299" s="51" t="b">
        <v>0</v>
      </c>
      <c r="N299" s="119"/>
      <c r="O299" s="119"/>
      <c r="P299" s="119"/>
      <c r="Q299" s="119"/>
      <c r="R299" s="119"/>
      <c r="S299" s="119"/>
      <c r="T299" s="46"/>
      <c r="U299" s="13"/>
      <c r="V299" s="13"/>
      <c r="W299" s="13"/>
      <c r="X299" s="13"/>
      <c r="Y299" s="13"/>
      <c r="Z299" s="13"/>
      <c r="AA299" s="13"/>
      <c r="AB299" s="13"/>
      <c r="AC299" s="13"/>
    </row>
    <row r="300" ht="360.0" customHeight="1">
      <c r="A300" s="35">
        <v>297.0</v>
      </c>
      <c r="B300" s="36" t="s">
        <v>2054</v>
      </c>
      <c r="C300" s="36"/>
      <c r="D300" s="38"/>
      <c r="E300" s="38"/>
      <c r="F300" s="38" t="s">
        <v>2055</v>
      </c>
      <c r="G300" s="39" t="s">
        <v>2056</v>
      </c>
      <c r="H300" s="49" t="s">
        <v>49</v>
      </c>
      <c r="I300" s="39" t="s">
        <v>39</v>
      </c>
      <c r="J300" s="93" t="s">
        <v>534</v>
      </c>
      <c r="K300" s="92" t="s">
        <v>214</v>
      </c>
      <c r="L300" s="94" t="s">
        <v>2057</v>
      </c>
      <c r="M300" s="51" t="b">
        <v>1</v>
      </c>
      <c r="N300" s="163" t="s">
        <v>2058</v>
      </c>
      <c r="O300" s="119"/>
      <c r="P300" s="119" t="s">
        <v>2059</v>
      </c>
      <c r="Q300" s="119"/>
      <c r="R300" s="119"/>
      <c r="S300" s="119"/>
      <c r="T300" s="46"/>
      <c r="U300" s="13"/>
      <c r="V300" s="13"/>
      <c r="W300" s="13"/>
      <c r="X300" s="13"/>
      <c r="Y300" s="13"/>
      <c r="Z300" s="13"/>
      <c r="AA300" s="13"/>
      <c r="AB300" s="13"/>
      <c r="AC300" s="13"/>
    </row>
    <row r="301" ht="16.5" hidden="1" customHeight="1">
      <c r="A301" s="35">
        <v>298.0</v>
      </c>
      <c r="B301" s="36" t="s">
        <v>2060</v>
      </c>
      <c r="C301" s="36"/>
      <c r="D301" s="38" t="s">
        <v>1831</v>
      </c>
      <c r="E301" s="38"/>
      <c r="F301" s="38" t="s">
        <v>2061</v>
      </c>
      <c r="G301" s="39" t="s">
        <v>231</v>
      </c>
      <c r="H301" s="49" t="s">
        <v>62</v>
      </c>
      <c r="I301" s="94" t="s">
        <v>63</v>
      </c>
      <c r="J301" s="55"/>
      <c r="K301" s="123"/>
      <c r="L301" s="124"/>
      <c r="M301" s="51" t="b">
        <v>0</v>
      </c>
      <c r="N301" s="119"/>
      <c r="O301" s="119"/>
      <c r="P301" s="119"/>
      <c r="Q301" s="119"/>
      <c r="R301" s="119"/>
      <c r="S301" s="119"/>
      <c r="T301" s="46"/>
      <c r="U301" s="13"/>
      <c r="V301" s="13"/>
      <c r="W301" s="13"/>
      <c r="X301" s="13"/>
      <c r="Y301" s="13"/>
      <c r="Z301" s="13"/>
      <c r="AA301" s="13"/>
      <c r="AB301" s="13"/>
      <c r="AC301" s="13"/>
    </row>
    <row r="302" ht="360.0" customHeight="1">
      <c r="A302" s="35">
        <v>299.0</v>
      </c>
      <c r="B302" s="36" t="s">
        <v>2062</v>
      </c>
      <c r="C302" s="36"/>
      <c r="D302" s="38" t="s">
        <v>1831</v>
      </c>
      <c r="E302" s="38"/>
      <c r="F302" s="38" t="s">
        <v>1022</v>
      </c>
      <c r="G302" s="39" t="s">
        <v>1023</v>
      </c>
      <c r="H302" s="49" t="s">
        <v>49</v>
      </c>
      <c r="I302" s="86" t="s">
        <v>39</v>
      </c>
      <c r="J302" s="39" t="s">
        <v>1369</v>
      </c>
      <c r="K302" s="95" t="s">
        <v>173</v>
      </c>
      <c r="L302" s="94" t="s">
        <v>1025</v>
      </c>
      <c r="M302" s="51" t="b">
        <v>1</v>
      </c>
      <c r="N302" s="118" t="s">
        <v>1370</v>
      </c>
      <c r="O302" s="129" t="s">
        <v>1371</v>
      </c>
      <c r="P302" s="119"/>
      <c r="Q302" s="119"/>
      <c r="R302" s="119"/>
      <c r="S302" s="119"/>
      <c r="T302" s="46"/>
      <c r="U302" s="13"/>
      <c r="V302" s="13"/>
      <c r="W302" s="13"/>
      <c r="X302" s="13"/>
      <c r="Y302" s="13"/>
      <c r="Z302" s="13"/>
      <c r="AA302" s="13"/>
      <c r="AB302" s="13"/>
      <c r="AC302" s="13"/>
    </row>
    <row r="303" ht="16.5" hidden="1" customHeight="1">
      <c r="A303" s="35">
        <v>300.0</v>
      </c>
      <c r="B303" s="36" t="s">
        <v>2063</v>
      </c>
      <c r="C303" s="36"/>
      <c r="D303" s="38" t="s">
        <v>2064</v>
      </c>
      <c r="E303" s="38"/>
      <c r="F303" s="38" t="s">
        <v>2065</v>
      </c>
      <c r="G303" s="39" t="s">
        <v>231</v>
      </c>
      <c r="H303" s="49" t="s">
        <v>62</v>
      </c>
      <c r="I303" s="94" t="s">
        <v>63</v>
      </c>
      <c r="J303" s="55"/>
      <c r="K303" s="123"/>
      <c r="L303" s="124"/>
      <c r="M303" s="51" t="b">
        <v>0</v>
      </c>
      <c r="N303" s="119"/>
      <c r="O303" s="119"/>
      <c r="P303" s="119"/>
      <c r="Q303" s="119"/>
      <c r="R303" s="119"/>
      <c r="S303" s="119"/>
      <c r="T303" s="46"/>
      <c r="U303" s="13"/>
      <c r="V303" s="13"/>
      <c r="W303" s="13"/>
      <c r="X303" s="13"/>
      <c r="Y303" s="13"/>
      <c r="Z303" s="13"/>
      <c r="AA303" s="13"/>
      <c r="AB303" s="13"/>
      <c r="AC303" s="13"/>
    </row>
    <row r="304" ht="16.5" hidden="1" customHeight="1">
      <c r="A304" s="35">
        <v>301.0</v>
      </c>
      <c r="B304" s="36" t="s">
        <v>2066</v>
      </c>
      <c r="C304" s="36"/>
      <c r="D304" s="38" t="s">
        <v>2067</v>
      </c>
      <c r="E304" s="38" t="s">
        <v>2068</v>
      </c>
      <c r="F304" s="38" t="s">
        <v>1832</v>
      </c>
      <c r="G304" s="39" t="s">
        <v>231</v>
      </c>
      <c r="H304" s="49" t="s">
        <v>62</v>
      </c>
      <c r="I304" s="94" t="s">
        <v>63</v>
      </c>
      <c r="J304" s="55"/>
      <c r="K304" s="123"/>
      <c r="L304" s="124"/>
      <c r="M304" s="51" t="b">
        <v>0</v>
      </c>
      <c r="N304" s="119"/>
      <c r="O304" s="119"/>
      <c r="P304" s="119"/>
      <c r="Q304" s="119"/>
      <c r="R304" s="119"/>
      <c r="S304" s="119"/>
      <c r="T304" s="46"/>
      <c r="U304" s="13"/>
      <c r="V304" s="13"/>
      <c r="W304" s="13"/>
      <c r="X304" s="13"/>
      <c r="Y304" s="13"/>
      <c r="Z304" s="13"/>
      <c r="AA304" s="13"/>
      <c r="AB304" s="13"/>
      <c r="AC304" s="13"/>
    </row>
    <row r="305" ht="16.5" hidden="1" customHeight="1">
      <c r="A305" s="35">
        <v>302.0</v>
      </c>
      <c r="B305" s="36" t="s">
        <v>2069</v>
      </c>
      <c r="C305" s="36"/>
      <c r="D305" s="38" t="s">
        <v>2070</v>
      </c>
      <c r="E305" s="38" t="s">
        <v>2071</v>
      </c>
      <c r="F305" s="38" t="s">
        <v>2072</v>
      </c>
      <c r="G305" s="39" t="s">
        <v>231</v>
      </c>
      <c r="H305" s="49" t="s">
        <v>62</v>
      </c>
      <c r="I305" s="94" t="s">
        <v>63</v>
      </c>
      <c r="J305" s="55"/>
      <c r="K305" s="123"/>
      <c r="L305" s="124"/>
      <c r="M305" s="51" t="b">
        <v>0</v>
      </c>
      <c r="N305" s="119"/>
      <c r="O305" s="119"/>
      <c r="P305" s="119"/>
      <c r="Q305" s="119"/>
      <c r="R305" s="119"/>
      <c r="S305" s="119"/>
      <c r="T305" s="46"/>
      <c r="U305" s="13"/>
      <c r="V305" s="13"/>
      <c r="W305" s="13"/>
      <c r="X305" s="13"/>
      <c r="Y305" s="13"/>
      <c r="Z305" s="13"/>
      <c r="AA305" s="13"/>
      <c r="AB305" s="13"/>
      <c r="AC305" s="13"/>
    </row>
    <row r="306" ht="16.5" customHeight="1">
      <c r="A306" s="35">
        <v>303.0</v>
      </c>
      <c r="B306" s="36" t="s">
        <v>2073</v>
      </c>
      <c r="C306" s="36"/>
      <c r="D306" s="38" t="s">
        <v>2074</v>
      </c>
      <c r="E306" s="38" t="s">
        <v>2075</v>
      </c>
      <c r="F306" s="38" t="s">
        <v>2076</v>
      </c>
      <c r="G306" s="39" t="s">
        <v>2077</v>
      </c>
      <c r="H306" s="49" t="s">
        <v>49</v>
      </c>
      <c r="I306" s="94" t="s">
        <v>39</v>
      </c>
      <c r="J306" s="39" t="s">
        <v>492</v>
      </c>
      <c r="K306" s="41" t="s">
        <v>173</v>
      </c>
      <c r="L306" s="39" t="s">
        <v>2078</v>
      </c>
      <c r="M306" s="51" t="b">
        <v>1</v>
      </c>
      <c r="N306" s="142" t="s">
        <v>292</v>
      </c>
      <c r="O306" s="130"/>
      <c r="P306" s="119"/>
      <c r="Q306" s="119"/>
      <c r="R306" s="119"/>
      <c r="S306" s="119"/>
      <c r="T306" s="46"/>
      <c r="U306" s="13"/>
      <c r="V306" s="13"/>
      <c r="W306" s="13"/>
      <c r="X306" s="13"/>
      <c r="Y306" s="13"/>
      <c r="Z306" s="13"/>
      <c r="AA306" s="13"/>
      <c r="AB306" s="13"/>
      <c r="AC306" s="13"/>
    </row>
    <row r="307" ht="16.5" customHeight="1">
      <c r="A307" s="35">
        <v>304.0</v>
      </c>
      <c r="B307" s="36" t="s">
        <v>2079</v>
      </c>
      <c r="C307" s="36"/>
      <c r="D307" s="38" t="s">
        <v>2080</v>
      </c>
      <c r="E307" s="38" t="s">
        <v>2081</v>
      </c>
      <c r="F307" s="38" t="s">
        <v>2082</v>
      </c>
      <c r="G307" s="39" t="s">
        <v>2083</v>
      </c>
      <c r="H307" s="49" t="s">
        <v>49</v>
      </c>
      <c r="I307" s="94" t="s">
        <v>39</v>
      </c>
      <c r="J307" s="39" t="s">
        <v>492</v>
      </c>
      <c r="K307" s="41" t="s">
        <v>152</v>
      </c>
      <c r="L307" s="39" t="s">
        <v>2084</v>
      </c>
      <c r="M307" s="51" t="b">
        <v>1</v>
      </c>
      <c r="N307" s="142" t="s">
        <v>292</v>
      </c>
      <c r="O307" s="130"/>
      <c r="P307" s="119"/>
      <c r="Q307" s="119"/>
      <c r="R307" s="119"/>
      <c r="S307" s="119"/>
      <c r="T307" s="46"/>
      <c r="U307" s="13"/>
      <c r="V307" s="13"/>
      <c r="W307" s="13"/>
      <c r="X307" s="13"/>
      <c r="Y307" s="13"/>
      <c r="Z307" s="13"/>
      <c r="AA307" s="13"/>
      <c r="AB307" s="13"/>
      <c r="AC307" s="13"/>
    </row>
    <row r="308" ht="16.5" customHeight="1">
      <c r="A308" s="35">
        <v>305.0</v>
      </c>
      <c r="B308" s="36" t="s">
        <v>2085</v>
      </c>
      <c r="C308" s="36"/>
      <c r="D308" s="38" t="s">
        <v>2086</v>
      </c>
      <c r="E308" s="38" t="s">
        <v>2087</v>
      </c>
      <c r="F308" s="38" t="s">
        <v>2088</v>
      </c>
      <c r="G308" s="39" t="s">
        <v>2089</v>
      </c>
      <c r="H308" s="49" t="s">
        <v>49</v>
      </c>
      <c r="I308" s="94" t="s">
        <v>39</v>
      </c>
      <c r="J308" s="93" t="s">
        <v>856</v>
      </c>
      <c r="K308" s="95" t="s">
        <v>2090</v>
      </c>
      <c r="L308" s="94" t="s">
        <v>2091</v>
      </c>
      <c r="M308" s="51" t="b">
        <v>1</v>
      </c>
      <c r="N308" s="118" t="s">
        <v>2092</v>
      </c>
      <c r="O308" s="119"/>
      <c r="P308" s="119" t="s">
        <v>2093</v>
      </c>
      <c r="Q308" s="119"/>
      <c r="R308" s="119"/>
      <c r="S308" s="119"/>
      <c r="T308" s="46"/>
      <c r="U308" s="13"/>
      <c r="V308" s="13"/>
      <c r="W308" s="13"/>
      <c r="X308" s="13"/>
      <c r="Y308" s="13"/>
      <c r="Z308" s="13"/>
      <c r="AA308" s="13"/>
      <c r="AB308" s="13"/>
      <c r="AC308" s="13"/>
    </row>
    <row r="309" ht="16.5" customHeight="1">
      <c r="A309" s="35">
        <v>306.0</v>
      </c>
      <c r="B309" s="36" t="s">
        <v>2094</v>
      </c>
      <c r="C309" s="36"/>
      <c r="D309" s="38" t="s">
        <v>2095</v>
      </c>
      <c r="E309" s="38" t="s">
        <v>1863</v>
      </c>
      <c r="F309" s="38" t="s">
        <v>2096</v>
      </c>
      <c r="G309" s="39" t="s">
        <v>491</v>
      </c>
      <c r="H309" s="49" t="s">
        <v>49</v>
      </c>
      <c r="I309" s="94" t="s">
        <v>39</v>
      </c>
      <c r="J309" s="39" t="s">
        <v>492</v>
      </c>
      <c r="K309" s="41" t="s">
        <v>409</v>
      </c>
      <c r="L309" s="39" t="s">
        <v>493</v>
      </c>
      <c r="M309" s="51" t="b">
        <v>1</v>
      </c>
      <c r="N309" s="118" t="s">
        <v>494</v>
      </c>
      <c r="O309" s="129" t="s">
        <v>495</v>
      </c>
      <c r="P309" s="119"/>
      <c r="Q309" s="119"/>
      <c r="R309" s="119"/>
      <c r="S309" s="119"/>
      <c r="T309" s="46"/>
      <c r="U309" s="13"/>
      <c r="V309" s="13"/>
      <c r="W309" s="13"/>
      <c r="X309" s="13"/>
      <c r="Y309" s="13"/>
      <c r="Z309" s="13"/>
      <c r="AA309" s="13"/>
      <c r="AB309" s="13"/>
      <c r="AC309" s="13"/>
    </row>
    <row r="310" ht="180.0" customHeight="1">
      <c r="A310" s="35">
        <v>307.0</v>
      </c>
      <c r="B310" s="36" t="s">
        <v>2097</v>
      </c>
      <c r="C310" s="36"/>
      <c r="D310" s="38" t="s">
        <v>1831</v>
      </c>
      <c r="E310" s="38"/>
      <c r="F310" s="38" t="s">
        <v>2098</v>
      </c>
      <c r="G310" s="39" t="s">
        <v>2099</v>
      </c>
      <c r="H310" s="49" t="s">
        <v>49</v>
      </c>
      <c r="I310" s="94" t="s">
        <v>39</v>
      </c>
      <c r="J310" s="49" t="s">
        <v>492</v>
      </c>
      <c r="K310" s="41" t="s">
        <v>641</v>
      </c>
      <c r="L310" s="39" t="s">
        <v>2100</v>
      </c>
      <c r="M310" s="51" t="b">
        <v>1</v>
      </c>
      <c r="N310" s="142" t="s">
        <v>292</v>
      </c>
      <c r="O310" s="130"/>
      <c r="P310" s="119"/>
      <c r="Q310" s="119"/>
      <c r="R310" s="119"/>
      <c r="S310" s="119"/>
      <c r="T310" s="46"/>
      <c r="U310" s="13"/>
      <c r="V310" s="13"/>
      <c r="W310" s="13"/>
      <c r="X310" s="13"/>
      <c r="Y310" s="13"/>
      <c r="Z310" s="13"/>
      <c r="AA310" s="13"/>
      <c r="AB310" s="13"/>
      <c r="AC310" s="13"/>
    </row>
    <row r="311" ht="16.5" customHeight="1">
      <c r="A311" s="35">
        <v>308.0</v>
      </c>
      <c r="B311" s="36" t="s">
        <v>2101</v>
      </c>
      <c r="C311" s="36"/>
      <c r="D311" s="38" t="s">
        <v>2102</v>
      </c>
      <c r="E311" s="38" t="s">
        <v>2103</v>
      </c>
      <c r="F311" s="38" t="s">
        <v>2104</v>
      </c>
      <c r="G311" s="39" t="s">
        <v>2105</v>
      </c>
      <c r="H311" s="49" t="s">
        <v>49</v>
      </c>
      <c r="I311" s="94" t="s">
        <v>39</v>
      </c>
      <c r="J311" s="49" t="s">
        <v>492</v>
      </c>
      <c r="K311" s="41" t="s">
        <v>641</v>
      </c>
      <c r="L311" s="39" t="s">
        <v>2106</v>
      </c>
      <c r="M311" s="51" t="b">
        <v>1</v>
      </c>
      <c r="N311" s="142" t="s">
        <v>292</v>
      </c>
      <c r="O311" s="130"/>
      <c r="P311" s="119"/>
      <c r="Q311" s="119"/>
      <c r="R311" s="119"/>
      <c r="S311" s="119"/>
      <c r="T311" s="46"/>
      <c r="U311" s="13"/>
      <c r="V311" s="13"/>
      <c r="W311" s="13"/>
      <c r="X311" s="13"/>
      <c r="Y311" s="13"/>
      <c r="Z311" s="13"/>
      <c r="AA311" s="13"/>
      <c r="AB311" s="13"/>
      <c r="AC311" s="13"/>
    </row>
    <row r="312" ht="16.5" customHeight="1">
      <c r="A312" s="35">
        <v>309.0</v>
      </c>
      <c r="B312" s="36" t="s">
        <v>2107</v>
      </c>
      <c r="C312" s="36"/>
      <c r="D312" s="38" t="s">
        <v>2108</v>
      </c>
      <c r="E312" s="38" t="s">
        <v>2109</v>
      </c>
      <c r="F312" s="38" t="s">
        <v>2110</v>
      </c>
      <c r="G312" s="39" t="s">
        <v>2111</v>
      </c>
      <c r="H312" s="49" t="s">
        <v>49</v>
      </c>
      <c r="I312" s="94" t="s">
        <v>39</v>
      </c>
      <c r="J312" s="49" t="s">
        <v>492</v>
      </c>
      <c r="K312" s="41" t="s">
        <v>2112</v>
      </c>
      <c r="L312" s="39" t="s">
        <v>2113</v>
      </c>
      <c r="M312" s="51" t="b">
        <v>1</v>
      </c>
      <c r="N312" s="142" t="s">
        <v>292</v>
      </c>
      <c r="O312" s="130"/>
      <c r="P312" s="119" t="s">
        <v>2114</v>
      </c>
      <c r="Q312" s="119"/>
      <c r="R312" s="119"/>
      <c r="S312" s="119"/>
      <c r="T312" s="46"/>
      <c r="U312" s="13"/>
      <c r="V312" s="13"/>
      <c r="W312" s="13"/>
      <c r="X312" s="13"/>
      <c r="Y312" s="13"/>
      <c r="Z312" s="13"/>
      <c r="AA312" s="13"/>
      <c r="AB312" s="13"/>
      <c r="AC312" s="13"/>
    </row>
    <row r="313" ht="16.5" customHeight="1">
      <c r="A313" s="35">
        <v>310.0</v>
      </c>
      <c r="B313" s="36" t="s">
        <v>2115</v>
      </c>
      <c r="C313" s="36"/>
      <c r="D313" s="38" t="s">
        <v>2116</v>
      </c>
      <c r="E313" s="38" t="s">
        <v>2117</v>
      </c>
      <c r="F313" s="38" t="s">
        <v>2118</v>
      </c>
      <c r="G313" s="39" t="s">
        <v>2119</v>
      </c>
      <c r="H313" s="49" t="s">
        <v>49</v>
      </c>
      <c r="I313" s="94" t="s">
        <v>39</v>
      </c>
      <c r="J313" s="49" t="s">
        <v>492</v>
      </c>
      <c r="K313" s="41" t="s">
        <v>51</v>
      </c>
      <c r="L313" s="39" t="s">
        <v>2120</v>
      </c>
      <c r="M313" s="51" t="b">
        <v>1</v>
      </c>
      <c r="N313" s="142" t="s">
        <v>292</v>
      </c>
      <c r="O313" s="130"/>
      <c r="P313" s="119" t="s">
        <v>2121</v>
      </c>
      <c r="Q313" s="119"/>
      <c r="R313" s="119"/>
      <c r="S313" s="119"/>
      <c r="T313" s="46"/>
      <c r="U313" s="13"/>
      <c r="V313" s="13"/>
      <c r="W313" s="13"/>
      <c r="X313" s="13"/>
      <c r="Y313" s="13"/>
      <c r="Z313" s="13"/>
      <c r="AA313" s="13"/>
      <c r="AB313" s="13"/>
      <c r="AC313" s="13"/>
    </row>
    <row r="314" ht="16.5" customHeight="1">
      <c r="A314" s="35">
        <v>311.0</v>
      </c>
      <c r="B314" s="36" t="s">
        <v>2122</v>
      </c>
      <c r="C314" s="36"/>
      <c r="D314" s="38" t="s">
        <v>2123</v>
      </c>
      <c r="E314" s="38" t="s">
        <v>2124</v>
      </c>
      <c r="F314" s="38" t="s">
        <v>2125</v>
      </c>
      <c r="G314" s="39" t="s">
        <v>2126</v>
      </c>
      <c r="H314" s="49" t="s">
        <v>49</v>
      </c>
      <c r="I314" s="94" t="s">
        <v>39</v>
      </c>
      <c r="J314" s="49" t="s">
        <v>492</v>
      </c>
      <c r="K314" s="41" t="s">
        <v>721</v>
      </c>
      <c r="L314" s="39" t="s">
        <v>2127</v>
      </c>
      <c r="M314" s="51" t="b">
        <v>1</v>
      </c>
      <c r="N314" s="142" t="s">
        <v>292</v>
      </c>
      <c r="O314" s="130"/>
      <c r="P314" s="119"/>
      <c r="Q314" s="119"/>
      <c r="R314" s="119"/>
      <c r="S314" s="119"/>
      <c r="T314" s="46"/>
      <c r="U314" s="13"/>
      <c r="V314" s="13"/>
      <c r="W314" s="13"/>
      <c r="X314" s="13"/>
      <c r="Y314" s="13"/>
      <c r="Z314" s="13"/>
      <c r="AA314" s="13"/>
      <c r="AB314" s="13"/>
      <c r="AC314" s="13"/>
    </row>
    <row r="315" ht="16.5" customHeight="1">
      <c r="A315" s="35">
        <v>312.0</v>
      </c>
      <c r="B315" s="36" t="s">
        <v>2128</v>
      </c>
      <c r="C315" s="36"/>
      <c r="D315" s="38" t="s">
        <v>2129</v>
      </c>
      <c r="E315" s="38" t="s">
        <v>2130</v>
      </c>
      <c r="F315" s="38" t="s">
        <v>2131</v>
      </c>
      <c r="G315" s="39" t="s">
        <v>2132</v>
      </c>
      <c r="H315" s="49" t="s">
        <v>49</v>
      </c>
      <c r="I315" s="94" t="s">
        <v>39</v>
      </c>
      <c r="J315" s="39" t="s">
        <v>2133</v>
      </c>
      <c r="K315" s="95" t="s">
        <v>1097</v>
      </c>
      <c r="L315" s="94" t="s">
        <v>2134</v>
      </c>
      <c r="M315" s="51" t="b">
        <v>1</v>
      </c>
      <c r="N315" s="132" t="s">
        <v>2135</v>
      </c>
      <c r="O315" s="133"/>
      <c r="P315" s="126"/>
      <c r="Q315" s="119"/>
      <c r="R315" s="119"/>
      <c r="S315" s="119"/>
      <c r="T315" s="46"/>
      <c r="U315" s="13"/>
      <c r="V315" s="13"/>
      <c r="W315" s="13"/>
      <c r="X315" s="13"/>
      <c r="Y315" s="13"/>
      <c r="Z315" s="13"/>
      <c r="AA315" s="13"/>
      <c r="AB315" s="13"/>
      <c r="AC315" s="13"/>
    </row>
    <row r="316" ht="16.5" customHeight="1">
      <c r="A316" s="35">
        <v>313.0</v>
      </c>
      <c r="B316" s="36" t="s">
        <v>2136</v>
      </c>
      <c r="C316" s="36"/>
      <c r="D316" s="38" t="s">
        <v>2137</v>
      </c>
      <c r="E316" s="38" t="s">
        <v>2138</v>
      </c>
      <c r="F316" s="38" t="s">
        <v>2139</v>
      </c>
      <c r="G316" s="48" t="s">
        <v>1734</v>
      </c>
      <c r="H316" s="49" t="s">
        <v>49</v>
      </c>
      <c r="I316" s="94" t="s">
        <v>39</v>
      </c>
      <c r="J316" s="39" t="s">
        <v>720</v>
      </c>
      <c r="K316" s="95" t="s">
        <v>745</v>
      </c>
      <c r="L316" s="135" t="s">
        <v>1735</v>
      </c>
      <c r="M316" s="51" t="b">
        <v>1</v>
      </c>
      <c r="N316" s="118" t="s">
        <v>747</v>
      </c>
      <c r="O316" s="129" t="s">
        <v>1736</v>
      </c>
      <c r="P316" s="119"/>
      <c r="Q316" s="119"/>
      <c r="R316" s="119"/>
      <c r="S316" s="119"/>
      <c r="T316" s="46"/>
      <c r="U316" s="13"/>
      <c r="V316" s="13"/>
      <c r="W316" s="13"/>
      <c r="X316" s="13"/>
      <c r="Y316" s="13"/>
      <c r="Z316" s="13"/>
      <c r="AA316" s="13"/>
      <c r="AB316" s="13"/>
      <c r="AC316" s="13"/>
    </row>
    <row r="317" ht="16.5" customHeight="1">
      <c r="A317" s="35">
        <v>314.0</v>
      </c>
      <c r="B317" s="36" t="s">
        <v>2140</v>
      </c>
      <c r="C317" s="36"/>
      <c r="D317" s="38" t="s">
        <v>1831</v>
      </c>
      <c r="E317" s="38"/>
      <c r="F317" s="38" t="s">
        <v>2141</v>
      </c>
      <c r="G317" s="39" t="s">
        <v>2142</v>
      </c>
      <c r="H317" s="49" t="s">
        <v>49</v>
      </c>
      <c r="I317" s="86" t="s">
        <v>39</v>
      </c>
      <c r="J317" s="39" t="s">
        <v>2143</v>
      </c>
      <c r="K317" s="95" t="s">
        <v>933</v>
      </c>
      <c r="L317" s="94" t="s">
        <v>2144</v>
      </c>
      <c r="M317" s="51" t="b">
        <v>1</v>
      </c>
      <c r="N317" s="118" t="s">
        <v>2145</v>
      </c>
      <c r="O317" s="130"/>
      <c r="P317" s="119"/>
      <c r="Q317" s="119"/>
      <c r="R317" s="119"/>
      <c r="S317" s="119"/>
      <c r="T317" s="46"/>
      <c r="U317" s="13"/>
      <c r="V317" s="13"/>
      <c r="W317" s="13"/>
      <c r="X317" s="13"/>
      <c r="Y317" s="13"/>
      <c r="Z317" s="13"/>
      <c r="AA317" s="13"/>
      <c r="AB317" s="13"/>
      <c r="AC317" s="13"/>
    </row>
    <row r="318" ht="16.5" customHeight="1">
      <c r="A318" s="35">
        <v>315.0</v>
      </c>
      <c r="B318" s="36" t="s">
        <v>2146</v>
      </c>
      <c r="C318" s="36"/>
      <c r="D318" s="38" t="s">
        <v>2147</v>
      </c>
      <c r="E318" s="38" t="s">
        <v>2148</v>
      </c>
      <c r="F318" s="38" t="s">
        <v>2149</v>
      </c>
      <c r="G318" s="39" t="s">
        <v>2150</v>
      </c>
      <c r="H318" s="49" t="s">
        <v>49</v>
      </c>
      <c r="I318" s="94" t="s">
        <v>39</v>
      </c>
      <c r="J318" s="39" t="s">
        <v>657</v>
      </c>
      <c r="K318" s="95" t="s">
        <v>2011</v>
      </c>
      <c r="L318" s="94" t="s">
        <v>2012</v>
      </c>
      <c r="M318" s="51" t="b">
        <v>1</v>
      </c>
      <c r="N318" s="118" t="s">
        <v>2151</v>
      </c>
      <c r="O318" s="130"/>
      <c r="P318" s="119"/>
      <c r="Q318" s="119"/>
      <c r="R318" s="119"/>
      <c r="S318" s="119"/>
      <c r="T318" s="46"/>
      <c r="U318" s="13"/>
      <c r="V318" s="13"/>
      <c r="W318" s="13"/>
      <c r="X318" s="13"/>
      <c r="Y318" s="13"/>
      <c r="Z318" s="13"/>
      <c r="AA318" s="13"/>
      <c r="AB318" s="13"/>
      <c r="AC318" s="13"/>
    </row>
    <row r="319">
      <c r="A319" s="35">
        <v>316.0</v>
      </c>
      <c r="B319" s="36" t="s">
        <v>2152</v>
      </c>
      <c r="C319" s="36"/>
      <c r="D319" s="38" t="s">
        <v>1831</v>
      </c>
      <c r="E319" s="38"/>
      <c r="F319" s="38" t="s">
        <v>1832</v>
      </c>
      <c r="G319" s="39" t="s">
        <v>2153</v>
      </c>
      <c r="H319" s="49" t="s">
        <v>49</v>
      </c>
      <c r="I319" s="94" t="s">
        <v>39</v>
      </c>
      <c r="J319" s="39" t="s">
        <v>121</v>
      </c>
      <c r="K319" s="95" t="s">
        <v>2154</v>
      </c>
      <c r="L319" s="94" t="s">
        <v>2155</v>
      </c>
      <c r="M319" s="51" t="b">
        <v>1</v>
      </c>
      <c r="N319" s="118" t="s">
        <v>2156</v>
      </c>
      <c r="O319" s="130"/>
      <c r="P319" s="119"/>
      <c r="Q319" s="119"/>
      <c r="R319" s="119"/>
      <c r="S319" s="119"/>
      <c r="T319" s="46"/>
      <c r="U319" s="13"/>
      <c r="V319" s="13"/>
      <c r="W319" s="13"/>
      <c r="X319" s="13"/>
      <c r="Y319" s="13"/>
      <c r="Z319" s="13"/>
      <c r="AA319" s="13"/>
      <c r="AB319" s="13"/>
      <c r="AC319" s="13"/>
    </row>
    <row r="320" ht="126.0" hidden="1" customHeight="1">
      <c r="A320" s="35">
        <v>317.0</v>
      </c>
      <c r="B320" s="36" t="s">
        <v>2157</v>
      </c>
      <c r="C320" s="36"/>
      <c r="D320" s="38" t="s">
        <v>2158</v>
      </c>
      <c r="E320" s="38"/>
      <c r="F320" s="38" t="s">
        <v>1832</v>
      </c>
      <c r="G320" s="39" t="s">
        <v>231</v>
      </c>
      <c r="H320" s="49" t="s">
        <v>62</v>
      </c>
      <c r="I320" s="94" t="s">
        <v>63</v>
      </c>
      <c r="J320" s="55"/>
      <c r="K320" s="123"/>
      <c r="L320" s="124"/>
      <c r="M320" s="51" t="b">
        <v>0</v>
      </c>
      <c r="N320" s="119"/>
      <c r="O320" s="119"/>
      <c r="P320" s="119"/>
      <c r="Q320" s="119"/>
      <c r="R320" s="119"/>
      <c r="S320" s="119"/>
      <c r="T320" s="46"/>
      <c r="U320" s="13"/>
      <c r="V320" s="13"/>
      <c r="W320" s="13"/>
      <c r="X320" s="13"/>
      <c r="Y320" s="13"/>
      <c r="Z320" s="13"/>
      <c r="AA320" s="13"/>
      <c r="AB320" s="13"/>
      <c r="AC320" s="13"/>
    </row>
    <row r="321" ht="16.5" customHeight="1">
      <c r="A321" s="35">
        <v>318.0</v>
      </c>
      <c r="B321" s="36" t="s">
        <v>2159</v>
      </c>
      <c r="C321" s="36"/>
      <c r="D321" s="38" t="s">
        <v>1831</v>
      </c>
      <c r="E321" s="38"/>
      <c r="F321" s="38" t="s">
        <v>2160</v>
      </c>
      <c r="G321" s="39" t="s">
        <v>2161</v>
      </c>
      <c r="H321" s="49" t="s">
        <v>49</v>
      </c>
      <c r="I321" s="94" t="s">
        <v>39</v>
      </c>
      <c r="J321" s="39" t="s">
        <v>2162</v>
      </c>
      <c r="K321" s="95" t="s">
        <v>173</v>
      </c>
      <c r="L321" s="94" t="s">
        <v>2163</v>
      </c>
      <c r="M321" s="51" t="b">
        <v>1</v>
      </c>
      <c r="N321" s="118" t="s">
        <v>2164</v>
      </c>
      <c r="O321" s="130"/>
      <c r="P321" s="119"/>
      <c r="Q321" s="119"/>
      <c r="R321" s="119"/>
      <c r="S321" s="119"/>
      <c r="T321" s="46"/>
      <c r="U321" s="13"/>
      <c r="V321" s="13"/>
      <c r="W321" s="13"/>
      <c r="X321" s="13"/>
      <c r="Y321" s="13"/>
      <c r="Z321" s="13"/>
      <c r="AA321" s="13"/>
      <c r="AB321" s="13"/>
      <c r="AC321" s="13"/>
    </row>
    <row r="322" ht="36.0" hidden="1" customHeight="1">
      <c r="A322" s="35">
        <v>319.0</v>
      </c>
      <c r="B322" s="36" t="s">
        <v>2165</v>
      </c>
      <c r="C322" s="36"/>
      <c r="D322" s="38" t="s">
        <v>1831</v>
      </c>
      <c r="E322" s="38"/>
      <c r="F322" s="38" t="s">
        <v>2166</v>
      </c>
      <c r="G322" s="39" t="s">
        <v>231</v>
      </c>
      <c r="H322" s="49" t="s">
        <v>62</v>
      </c>
      <c r="I322" s="94" t="s">
        <v>63</v>
      </c>
      <c r="J322" s="55"/>
      <c r="K322" s="123"/>
      <c r="L322" s="124"/>
      <c r="M322" s="51" t="b">
        <v>0</v>
      </c>
      <c r="N322" s="119"/>
      <c r="O322" s="119"/>
      <c r="P322" s="119"/>
      <c r="Q322" s="119"/>
      <c r="R322" s="119"/>
      <c r="S322" s="119"/>
      <c r="T322" s="46"/>
      <c r="U322" s="13"/>
      <c r="V322" s="13"/>
      <c r="W322" s="13"/>
      <c r="X322" s="13"/>
      <c r="Y322" s="13"/>
      <c r="Z322" s="13"/>
      <c r="AA322" s="13"/>
      <c r="AB322" s="13"/>
      <c r="AC322" s="13"/>
    </row>
    <row r="323" ht="16.5" customHeight="1">
      <c r="A323" s="35">
        <v>320.0</v>
      </c>
      <c r="B323" s="36" t="s">
        <v>2167</v>
      </c>
      <c r="C323" s="36"/>
      <c r="D323" s="38" t="s">
        <v>2168</v>
      </c>
      <c r="E323" s="38" t="s">
        <v>2169</v>
      </c>
      <c r="F323" s="38" t="s">
        <v>2160</v>
      </c>
      <c r="G323" s="48" t="s">
        <v>2170</v>
      </c>
      <c r="H323" s="49" t="s">
        <v>49</v>
      </c>
      <c r="I323" s="94" t="s">
        <v>39</v>
      </c>
      <c r="J323" s="39" t="s">
        <v>2171</v>
      </c>
      <c r="K323" s="95" t="s">
        <v>2172</v>
      </c>
      <c r="L323" s="59" t="s">
        <v>2173</v>
      </c>
      <c r="M323" s="51" t="b">
        <v>1</v>
      </c>
      <c r="N323" s="132" t="s">
        <v>2174</v>
      </c>
      <c r="O323" s="126"/>
      <c r="P323" s="126" t="s">
        <v>2175</v>
      </c>
      <c r="Q323" s="126" t="s">
        <v>2176</v>
      </c>
      <c r="R323" s="119"/>
      <c r="S323" s="119"/>
      <c r="T323" s="46"/>
      <c r="U323" s="13"/>
      <c r="V323" s="13"/>
      <c r="W323" s="13"/>
      <c r="X323" s="13"/>
      <c r="Y323" s="13"/>
      <c r="Z323" s="13"/>
      <c r="AA323" s="13"/>
      <c r="AB323" s="13"/>
      <c r="AC323" s="13"/>
    </row>
    <row r="324" ht="16.5" customHeight="1">
      <c r="A324" s="35">
        <v>321.0</v>
      </c>
      <c r="B324" s="36" t="s">
        <v>2177</v>
      </c>
      <c r="C324" s="36"/>
      <c r="D324" s="38" t="s">
        <v>2178</v>
      </c>
      <c r="E324" s="38" t="s">
        <v>2179</v>
      </c>
      <c r="F324" s="38" t="s">
        <v>2180</v>
      </c>
      <c r="G324" s="39" t="s">
        <v>2181</v>
      </c>
      <c r="H324" s="49" t="s">
        <v>49</v>
      </c>
      <c r="I324" s="94" t="s">
        <v>39</v>
      </c>
      <c r="J324" s="39" t="s">
        <v>2182</v>
      </c>
      <c r="K324" s="95" t="s">
        <v>453</v>
      </c>
      <c r="L324" s="94" t="s">
        <v>2183</v>
      </c>
      <c r="M324" s="51" t="b">
        <v>1</v>
      </c>
      <c r="N324" s="118" t="s">
        <v>2184</v>
      </c>
      <c r="O324" s="130"/>
      <c r="P324" s="119"/>
      <c r="Q324" s="119"/>
      <c r="R324" s="119"/>
      <c r="S324" s="119"/>
      <c r="T324" s="46"/>
      <c r="U324" s="13"/>
      <c r="V324" s="13"/>
      <c r="W324" s="13"/>
      <c r="X324" s="13"/>
      <c r="Y324" s="13"/>
      <c r="Z324" s="13"/>
      <c r="AA324" s="13"/>
      <c r="AB324" s="13"/>
      <c r="AC324" s="13"/>
    </row>
    <row r="325">
      <c r="A325" s="35">
        <v>322.0</v>
      </c>
      <c r="B325" s="36" t="s">
        <v>2185</v>
      </c>
      <c r="C325" s="36"/>
      <c r="D325" s="38"/>
      <c r="E325" s="38"/>
      <c r="F325" s="38" t="s">
        <v>2186</v>
      </c>
      <c r="G325" s="39" t="s">
        <v>2187</v>
      </c>
      <c r="H325" s="49" t="s">
        <v>49</v>
      </c>
      <c r="I325" s="94" t="s">
        <v>39</v>
      </c>
      <c r="J325" s="39" t="s">
        <v>492</v>
      </c>
      <c r="K325" s="67" t="s">
        <v>238</v>
      </c>
      <c r="L325" s="39" t="s">
        <v>1541</v>
      </c>
      <c r="M325" s="51" t="b">
        <v>1</v>
      </c>
      <c r="N325" s="131" t="s">
        <v>1542</v>
      </c>
      <c r="O325" s="164" t="s">
        <v>1543</v>
      </c>
      <c r="P325" s="165" t="s">
        <v>2188</v>
      </c>
      <c r="Q325" s="119"/>
      <c r="R325" s="119"/>
      <c r="S325" s="119"/>
      <c r="T325" s="46"/>
      <c r="U325" s="13"/>
      <c r="V325" s="13"/>
      <c r="W325" s="13"/>
      <c r="X325" s="13"/>
      <c r="Y325" s="13"/>
      <c r="Z325" s="13"/>
      <c r="AA325" s="13"/>
      <c r="AB325" s="13"/>
      <c r="AC325" s="13"/>
    </row>
    <row r="326" ht="16.5" hidden="1" customHeight="1">
      <c r="A326" s="35">
        <v>323.0</v>
      </c>
      <c r="B326" s="36" t="s">
        <v>2189</v>
      </c>
      <c r="C326" s="36"/>
      <c r="D326" s="38" t="s">
        <v>1831</v>
      </c>
      <c r="E326" s="38"/>
      <c r="F326" s="38" t="s">
        <v>2160</v>
      </c>
      <c r="G326" s="39" t="s">
        <v>231</v>
      </c>
      <c r="H326" s="49" t="s">
        <v>62</v>
      </c>
      <c r="I326" s="94" t="s">
        <v>63</v>
      </c>
      <c r="J326" s="55"/>
      <c r="K326" s="123"/>
      <c r="L326" s="124"/>
      <c r="M326" s="51" t="b">
        <v>0</v>
      </c>
      <c r="N326" s="119"/>
      <c r="O326" s="119"/>
      <c r="P326" s="119"/>
      <c r="Q326" s="119"/>
      <c r="R326" s="119"/>
      <c r="S326" s="119"/>
      <c r="T326" s="46"/>
      <c r="U326" s="13"/>
      <c r="V326" s="13"/>
      <c r="W326" s="13"/>
      <c r="X326" s="13"/>
      <c r="Y326" s="13"/>
      <c r="Z326" s="13"/>
      <c r="AA326" s="13"/>
      <c r="AB326" s="13"/>
      <c r="AC326" s="13"/>
    </row>
    <row r="327" ht="16.5" customHeight="1">
      <c r="A327" s="35">
        <v>324.0</v>
      </c>
      <c r="B327" s="36" t="s">
        <v>2190</v>
      </c>
      <c r="C327" s="36"/>
      <c r="D327" s="38" t="s">
        <v>2191</v>
      </c>
      <c r="E327" s="38" t="s">
        <v>2192</v>
      </c>
      <c r="F327" s="38" t="s">
        <v>2193</v>
      </c>
      <c r="G327" s="39" t="s">
        <v>2194</v>
      </c>
      <c r="H327" s="49" t="s">
        <v>49</v>
      </c>
      <c r="I327" s="94" t="s">
        <v>39</v>
      </c>
      <c r="J327" s="93" t="s">
        <v>2195</v>
      </c>
      <c r="K327" s="95" t="s">
        <v>2196</v>
      </c>
      <c r="L327" s="59" t="s">
        <v>2197</v>
      </c>
      <c r="M327" s="51" t="b">
        <v>1</v>
      </c>
      <c r="N327" s="166" t="s">
        <v>2198</v>
      </c>
      <c r="O327" s="138"/>
      <c r="P327" s="138" t="s">
        <v>2199</v>
      </c>
      <c r="Q327" s="119"/>
      <c r="R327" s="119"/>
      <c r="S327" s="119"/>
      <c r="T327" s="46"/>
      <c r="U327" s="13"/>
      <c r="V327" s="13"/>
      <c r="W327" s="13"/>
      <c r="X327" s="13"/>
      <c r="Y327" s="13"/>
      <c r="Z327" s="13"/>
      <c r="AA327" s="13"/>
      <c r="AB327" s="13"/>
      <c r="AC327" s="13"/>
    </row>
    <row r="328" ht="16.5" customHeight="1">
      <c r="A328" s="35">
        <v>325.0</v>
      </c>
      <c r="B328" s="36" t="s">
        <v>2200</v>
      </c>
      <c r="C328" s="36"/>
      <c r="D328" s="38" t="s">
        <v>2201</v>
      </c>
      <c r="E328" s="38" t="s">
        <v>2202</v>
      </c>
      <c r="F328" s="38" t="s">
        <v>2203</v>
      </c>
      <c r="G328" s="39" t="s">
        <v>2204</v>
      </c>
      <c r="H328" s="49" t="s">
        <v>49</v>
      </c>
      <c r="I328" s="39" t="s">
        <v>39</v>
      </c>
      <c r="J328" s="94" t="s">
        <v>2205</v>
      </c>
      <c r="K328" s="92" t="s">
        <v>2206</v>
      </c>
      <c r="L328" s="143" t="s">
        <v>2207</v>
      </c>
      <c r="M328" s="51" t="b">
        <v>1</v>
      </c>
      <c r="N328" s="132" t="s">
        <v>2208</v>
      </c>
      <c r="O328" s="126"/>
      <c r="P328" s="126" t="s">
        <v>2209</v>
      </c>
      <c r="Q328" s="126"/>
      <c r="R328" s="126" t="e">
        <v>#VALUE!</v>
      </c>
      <c r="S328" s="119"/>
      <c r="T328" s="46"/>
      <c r="U328" s="13"/>
      <c r="V328" s="13"/>
      <c r="W328" s="13"/>
      <c r="X328" s="13"/>
      <c r="Y328" s="13"/>
      <c r="Z328" s="13"/>
      <c r="AA328" s="13"/>
      <c r="AB328" s="13"/>
      <c r="AC328" s="13"/>
    </row>
    <row r="329" ht="126.0" hidden="1" customHeight="1">
      <c r="A329" s="35">
        <v>326.0</v>
      </c>
      <c r="B329" s="36" t="s">
        <v>2210</v>
      </c>
      <c r="C329" s="36"/>
      <c r="D329" s="38"/>
      <c r="E329" s="38"/>
      <c r="F329" s="38" t="s">
        <v>1832</v>
      </c>
      <c r="G329" s="39" t="s">
        <v>231</v>
      </c>
      <c r="H329" s="49" t="s">
        <v>62</v>
      </c>
      <c r="I329" s="94" t="s">
        <v>63</v>
      </c>
      <c r="J329" s="65"/>
      <c r="K329" s="123"/>
      <c r="L329" s="124"/>
      <c r="M329" s="51" t="b">
        <v>0</v>
      </c>
      <c r="N329" s="119"/>
      <c r="O329" s="119"/>
      <c r="P329" s="119"/>
      <c r="Q329" s="119"/>
      <c r="R329" s="119"/>
      <c r="S329" s="119"/>
      <c r="T329" s="46"/>
      <c r="U329" s="13"/>
      <c r="V329" s="13"/>
      <c r="W329" s="13"/>
      <c r="X329" s="13"/>
      <c r="Y329" s="13"/>
      <c r="Z329" s="13"/>
      <c r="AA329" s="13"/>
      <c r="AB329" s="13"/>
      <c r="AC329" s="13"/>
    </row>
    <row r="330" ht="16.5" customHeight="1">
      <c r="A330" s="35">
        <v>327.0</v>
      </c>
      <c r="B330" s="36" t="s">
        <v>2211</v>
      </c>
      <c r="C330" s="36"/>
      <c r="D330" s="38" t="s">
        <v>2212</v>
      </c>
      <c r="E330" s="38" t="s">
        <v>2213</v>
      </c>
      <c r="F330" s="38" t="s">
        <v>2214</v>
      </c>
      <c r="G330" s="39" t="s">
        <v>2215</v>
      </c>
      <c r="H330" s="49" t="s">
        <v>49</v>
      </c>
      <c r="I330" s="94" t="s">
        <v>39</v>
      </c>
      <c r="J330" s="39" t="s">
        <v>620</v>
      </c>
      <c r="K330" s="134" t="s">
        <v>2216</v>
      </c>
      <c r="L330" s="42" t="s">
        <v>2217</v>
      </c>
      <c r="M330" s="51" t="b">
        <v>0</v>
      </c>
      <c r="N330" s="126"/>
      <c r="O330" s="126"/>
      <c r="P330" s="126" t="s">
        <v>2218</v>
      </c>
      <c r="Q330" s="126" t="s">
        <v>2219</v>
      </c>
      <c r="R330" s="126"/>
      <c r="S330" s="119"/>
      <c r="T330" s="46"/>
      <c r="U330" s="13"/>
      <c r="V330" s="13"/>
      <c r="W330" s="13"/>
      <c r="X330" s="13"/>
      <c r="Y330" s="13"/>
      <c r="Z330" s="13"/>
      <c r="AA330" s="13"/>
      <c r="AB330" s="13"/>
      <c r="AC330" s="13"/>
    </row>
    <row r="331" ht="16.5" customHeight="1">
      <c r="A331" s="35">
        <v>328.0</v>
      </c>
      <c r="B331" s="36" t="s">
        <v>2220</v>
      </c>
      <c r="C331" s="36"/>
      <c r="D331" s="38" t="s">
        <v>1831</v>
      </c>
      <c r="E331" s="38"/>
      <c r="F331" s="38" t="s">
        <v>2221</v>
      </c>
      <c r="G331" s="39" t="s">
        <v>2222</v>
      </c>
      <c r="H331" s="49" t="s">
        <v>49</v>
      </c>
      <c r="I331" s="94" t="s">
        <v>39</v>
      </c>
      <c r="J331" s="39" t="s">
        <v>1159</v>
      </c>
      <c r="K331" s="95" t="s">
        <v>173</v>
      </c>
      <c r="L331" s="59" t="s">
        <v>2223</v>
      </c>
      <c r="M331" s="51" t="b">
        <v>1</v>
      </c>
      <c r="N331" s="118" t="s">
        <v>1160</v>
      </c>
      <c r="O331" s="130"/>
      <c r="P331" s="119"/>
      <c r="Q331" s="119"/>
      <c r="R331" s="119"/>
      <c r="S331" s="119"/>
      <c r="T331" s="46"/>
      <c r="U331" s="13"/>
      <c r="V331" s="13"/>
      <c r="W331" s="13"/>
      <c r="X331" s="13"/>
      <c r="Y331" s="13"/>
      <c r="Z331" s="13"/>
      <c r="AA331" s="13"/>
      <c r="AB331" s="13"/>
      <c r="AC331" s="13"/>
    </row>
    <row r="332" ht="16.5" customHeight="1">
      <c r="A332" s="35">
        <v>329.0</v>
      </c>
      <c r="B332" s="36" t="s">
        <v>1341</v>
      </c>
      <c r="C332" s="36"/>
      <c r="D332" s="38" t="s">
        <v>2224</v>
      </c>
      <c r="E332" s="38" t="s">
        <v>2225</v>
      </c>
      <c r="F332" s="38" t="s">
        <v>2226</v>
      </c>
      <c r="G332" s="39" t="s">
        <v>693</v>
      </c>
      <c r="H332" s="49" t="s">
        <v>49</v>
      </c>
      <c r="I332" s="39" t="s">
        <v>39</v>
      </c>
      <c r="J332" s="59" t="s">
        <v>694</v>
      </c>
      <c r="K332" s="67" t="s">
        <v>695</v>
      </c>
      <c r="L332" s="59" t="s">
        <v>696</v>
      </c>
      <c r="M332" s="51" t="b">
        <v>1</v>
      </c>
      <c r="N332" s="132" t="s">
        <v>697</v>
      </c>
      <c r="O332" s="132" t="s">
        <v>698</v>
      </c>
      <c r="P332" s="126" t="s">
        <v>2227</v>
      </c>
      <c r="Q332" s="126" t="s">
        <v>2228</v>
      </c>
      <c r="R332" s="119"/>
      <c r="S332" s="119"/>
      <c r="T332" s="46"/>
      <c r="U332" s="13"/>
      <c r="V332" s="13"/>
      <c r="W332" s="13"/>
      <c r="X332" s="13"/>
      <c r="Y332" s="13"/>
      <c r="Z332" s="13"/>
      <c r="AA332" s="13"/>
      <c r="AB332" s="13"/>
      <c r="AC332" s="13"/>
    </row>
    <row r="333" ht="16.5" customHeight="1">
      <c r="A333" s="35">
        <v>330.0</v>
      </c>
      <c r="B333" s="36" t="s">
        <v>2229</v>
      </c>
      <c r="C333" s="36"/>
      <c r="D333" s="38" t="s">
        <v>2230</v>
      </c>
      <c r="E333" s="38"/>
      <c r="F333" s="38" t="s">
        <v>2231</v>
      </c>
      <c r="G333" s="39" t="s">
        <v>2232</v>
      </c>
      <c r="H333" s="49" t="s">
        <v>49</v>
      </c>
      <c r="I333" s="94" t="s">
        <v>39</v>
      </c>
      <c r="J333" s="39" t="s">
        <v>1761</v>
      </c>
      <c r="K333" s="95" t="s">
        <v>214</v>
      </c>
      <c r="L333" s="59" t="s">
        <v>2233</v>
      </c>
      <c r="M333" s="51" t="b">
        <v>1</v>
      </c>
      <c r="N333" s="118" t="s">
        <v>2234</v>
      </c>
      <c r="O333" s="130"/>
      <c r="P333" s="119"/>
      <c r="Q333" s="119"/>
      <c r="R333" s="119"/>
      <c r="S333" s="119"/>
      <c r="T333" s="46"/>
      <c r="U333" s="13"/>
      <c r="V333" s="13"/>
      <c r="W333" s="13"/>
      <c r="X333" s="13"/>
      <c r="Y333" s="13"/>
      <c r="Z333" s="13"/>
      <c r="AA333" s="13"/>
      <c r="AB333" s="13"/>
      <c r="AC333" s="13"/>
    </row>
    <row r="334" ht="16.5" customHeight="1">
      <c r="A334" s="35">
        <v>331.0</v>
      </c>
      <c r="B334" s="36" t="s">
        <v>2235</v>
      </c>
      <c r="C334" s="36"/>
      <c r="D334" s="38" t="s">
        <v>2236</v>
      </c>
      <c r="E334" s="38" t="s">
        <v>2237</v>
      </c>
      <c r="F334" s="38" t="s">
        <v>2238</v>
      </c>
      <c r="G334" s="39" t="s">
        <v>2239</v>
      </c>
      <c r="H334" s="49" t="s">
        <v>49</v>
      </c>
      <c r="I334" s="94" t="s">
        <v>39</v>
      </c>
      <c r="J334" s="39" t="s">
        <v>1575</v>
      </c>
      <c r="K334" s="95" t="s">
        <v>93</v>
      </c>
      <c r="L334" s="59" t="s">
        <v>2240</v>
      </c>
      <c r="M334" s="51" t="b">
        <v>1</v>
      </c>
      <c r="N334" s="118" t="s">
        <v>1577</v>
      </c>
      <c r="O334" s="130"/>
      <c r="P334" s="119"/>
      <c r="Q334" s="119"/>
      <c r="R334" s="119"/>
      <c r="S334" s="119"/>
      <c r="T334" s="46"/>
      <c r="U334" s="13"/>
      <c r="V334" s="13"/>
      <c r="W334" s="13"/>
      <c r="X334" s="13"/>
      <c r="Y334" s="13"/>
      <c r="Z334" s="13"/>
      <c r="AA334" s="13"/>
      <c r="AB334" s="13"/>
      <c r="AC334" s="13"/>
    </row>
    <row r="335" ht="126.0" customHeight="1">
      <c r="A335" s="35">
        <v>332.0</v>
      </c>
      <c r="B335" s="36" t="s">
        <v>2241</v>
      </c>
      <c r="C335" s="36"/>
      <c r="D335" s="38"/>
      <c r="E335" s="38"/>
      <c r="F335" s="38" t="s">
        <v>1832</v>
      </c>
      <c r="G335" s="39" t="s">
        <v>2242</v>
      </c>
      <c r="H335" s="49" t="s">
        <v>38</v>
      </c>
      <c r="I335" s="94" t="s">
        <v>39</v>
      </c>
      <c r="J335" s="91" t="s">
        <v>151</v>
      </c>
      <c r="K335" s="92" t="s">
        <v>122</v>
      </c>
      <c r="L335" s="93" t="s">
        <v>705</v>
      </c>
      <c r="M335" s="51" t="b">
        <v>1</v>
      </c>
      <c r="N335" s="131" t="s">
        <v>502</v>
      </c>
      <c r="O335" s="130"/>
      <c r="P335" s="119"/>
      <c r="Q335" s="119"/>
      <c r="R335" s="119"/>
      <c r="S335" s="119"/>
      <c r="T335" s="46"/>
      <c r="U335" s="13"/>
      <c r="V335" s="13"/>
      <c r="W335" s="13"/>
      <c r="X335" s="13"/>
      <c r="Y335" s="13"/>
      <c r="Z335" s="13"/>
      <c r="AA335" s="13"/>
      <c r="AB335" s="13"/>
      <c r="AC335" s="13"/>
    </row>
    <row r="336" ht="16.5" customHeight="1">
      <c r="A336" s="35">
        <v>333.0</v>
      </c>
      <c r="B336" s="36" t="s">
        <v>2243</v>
      </c>
      <c r="C336" s="36"/>
      <c r="D336" s="38"/>
      <c r="E336" s="38"/>
      <c r="F336" s="38" t="s">
        <v>2244</v>
      </c>
      <c r="G336" s="39" t="s">
        <v>2245</v>
      </c>
      <c r="H336" s="49" t="s">
        <v>49</v>
      </c>
      <c r="I336" s="94" t="s">
        <v>39</v>
      </c>
      <c r="J336" s="39" t="s">
        <v>492</v>
      </c>
      <c r="K336" s="41" t="s">
        <v>409</v>
      </c>
      <c r="L336" s="39" t="s">
        <v>493</v>
      </c>
      <c r="M336" s="51" t="b">
        <v>1</v>
      </c>
      <c r="N336" s="131" t="s">
        <v>494</v>
      </c>
      <c r="O336" s="164" t="s">
        <v>495</v>
      </c>
      <c r="P336" s="165" t="s">
        <v>2246</v>
      </c>
      <c r="Q336" s="119"/>
      <c r="R336" s="119"/>
      <c r="S336" s="119"/>
      <c r="T336" s="46"/>
      <c r="U336" s="13"/>
      <c r="V336" s="13"/>
      <c r="W336" s="13"/>
      <c r="X336" s="13"/>
      <c r="Y336" s="13"/>
      <c r="Z336" s="13"/>
      <c r="AA336" s="13"/>
      <c r="AB336" s="13"/>
      <c r="AC336" s="13"/>
    </row>
    <row r="337" ht="16.5" customHeight="1">
      <c r="A337" s="35">
        <v>334.0</v>
      </c>
      <c r="B337" s="36" t="s">
        <v>2247</v>
      </c>
      <c r="C337" s="36"/>
      <c r="D337" s="38"/>
      <c r="E337" s="38"/>
      <c r="F337" s="38" t="s">
        <v>1629</v>
      </c>
      <c r="G337" s="39" t="s">
        <v>1630</v>
      </c>
      <c r="H337" s="49" t="s">
        <v>49</v>
      </c>
      <c r="I337" s="94" t="s">
        <v>39</v>
      </c>
      <c r="J337" s="39" t="s">
        <v>964</v>
      </c>
      <c r="K337" s="95" t="s">
        <v>173</v>
      </c>
      <c r="L337" s="94" t="s">
        <v>1631</v>
      </c>
      <c r="M337" s="51" t="b">
        <v>1</v>
      </c>
      <c r="N337" s="118" t="s">
        <v>966</v>
      </c>
      <c r="O337" s="129" t="s">
        <v>1632</v>
      </c>
      <c r="P337" s="119"/>
      <c r="Q337" s="119"/>
      <c r="R337" s="119"/>
      <c r="S337" s="119"/>
      <c r="T337" s="46"/>
      <c r="U337" s="13"/>
      <c r="V337" s="13"/>
      <c r="W337" s="13"/>
      <c r="X337" s="13"/>
      <c r="Y337" s="13"/>
      <c r="Z337" s="13"/>
      <c r="AA337" s="13"/>
      <c r="AB337" s="13"/>
      <c r="AC337" s="13"/>
    </row>
    <row r="338" ht="126.0" hidden="1" customHeight="1">
      <c r="A338" s="35">
        <v>335.0</v>
      </c>
      <c r="B338" s="36" t="s">
        <v>2248</v>
      </c>
      <c r="C338" s="36"/>
      <c r="D338" s="38"/>
      <c r="E338" s="38"/>
      <c r="F338" s="38" t="s">
        <v>1832</v>
      </c>
      <c r="G338" s="39" t="s">
        <v>231</v>
      </c>
      <c r="H338" s="49" t="s">
        <v>62</v>
      </c>
      <c r="I338" s="94" t="s">
        <v>63</v>
      </c>
      <c r="J338" s="55"/>
      <c r="K338" s="123"/>
      <c r="L338" s="124"/>
      <c r="M338" s="51" t="b">
        <v>0</v>
      </c>
      <c r="N338" s="119"/>
      <c r="O338" s="119"/>
      <c r="P338" s="119"/>
      <c r="Q338" s="119"/>
      <c r="R338" s="119"/>
      <c r="S338" s="119"/>
      <c r="T338" s="46"/>
      <c r="U338" s="13"/>
      <c r="V338" s="13"/>
      <c r="W338" s="13"/>
      <c r="X338" s="13"/>
      <c r="Y338" s="13"/>
      <c r="Z338" s="13"/>
      <c r="AA338" s="13"/>
      <c r="AB338" s="13"/>
      <c r="AC338" s="13"/>
    </row>
    <row r="339" ht="16.5" customHeight="1">
      <c r="A339" s="35">
        <v>336.0</v>
      </c>
      <c r="B339" s="36" t="s">
        <v>2249</v>
      </c>
      <c r="C339" s="36"/>
      <c r="D339" s="38" t="s">
        <v>2250</v>
      </c>
      <c r="E339" s="38" t="s">
        <v>2251</v>
      </c>
      <c r="F339" s="38" t="s">
        <v>2252</v>
      </c>
      <c r="G339" s="39" t="s">
        <v>2253</v>
      </c>
      <c r="H339" s="49" t="s">
        <v>49</v>
      </c>
      <c r="I339" s="94" t="s">
        <v>39</v>
      </c>
      <c r="J339" s="39" t="s">
        <v>2254</v>
      </c>
      <c r="K339" s="95" t="s">
        <v>2255</v>
      </c>
      <c r="L339" s="94" t="s">
        <v>2256</v>
      </c>
      <c r="M339" s="51" t="b">
        <v>1</v>
      </c>
      <c r="N339" s="118" t="s">
        <v>2257</v>
      </c>
      <c r="O339" s="130"/>
      <c r="P339" s="119"/>
      <c r="Q339" s="119"/>
      <c r="R339" s="119"/>
      <c r="S339" s="119"/>
      <c r="T339" s="46"/>
      <c r="U339" s="13"/>
      <c r="V339" s="13"/>
      <c r="W339" s="13"/>
      <c r="X339" s="13"/>
      <c r="Y339" s="13"/>
      <c r="Z339" s="13"/>
      <c r="AA339" s="13"/>
      <c r="AB339" s="13"/>
      <c r="AC339" s="13"/>
    </row>
    <row r="340" ht="360.0" customHeight="1">
      <c r="A340" s="35">
        <v>337.0</v>
      </c>
      <c r="B340" s="36" t="s">
        <v>2258</v>
      </c>
      <c r="C340" s="36"/>
      <c r="D340" s="38" t="s">
        <v>2259</v>
      </c>
      <c r="E340" s="38" t="s">
        <v>2260</v>
      </c>
      <c r="F340" s="38" t="s">
        <v>2261</v>
      </c>
      <c r="G340" s="39" t="s">
        <v>1880</v>
      </c>
      <c r="H340" s="49" t="s">
        <v>49</v>
      </c>
      <c r="I340" s="94" t="s">
        <v>39</v>
      </c>
      <c r="J340" s="70" t="s">
        <v>1881</v>
      </c>
      <c r="K340" s="95" t="s">
        <v>173</v>
      </c>
      <c r="L340" s="94" t="s">
        <v>424</v>
      </c>
      <c r="M340" s="51" t="b">
        <v>1</v>
      </c>
      <c r="N340" s="118" t="s">
        <v>1882</v>
      </c>
      <c r="O340" s="119"/>
      <c r="P340" s="119" t="s">
        <v>2262</v>
      </c>
      <c r="Q340" s="119" t="s">
        <v>2263</v>
      </c>
      <c r="R340" s="119"/>
      <c r="S340" s="119"/>
      <c r="T340" s="46"/>
      <c r="U340" s="13"/>
      <c r="V340" s="13"/>
      <c r="W340" s="13"/>
      <c r="X340" s="13"/>
      <c r="Y340" s="13"/>
      <c r="Z340" s="13"/>
      <c r="AA340" s="13"/>
      <c r="AB340" s="13"/>
      <c r="AC340" s="13"/>
    </row>
    <row r="341" ht="360.0" customHeight="1">
      <c r="A341" s="35">
        <v>338.0</v>
      </c>
      <c r="B341" s="36" t="s">
        <v>2264</v>
      </c>
      <c r="C341" s="36"/>
      <c r="D341" s="38"/>
      <c r="E341" s="38"/>
      <c r="F341" s="38" t="s">
        <v>1022</v>
      </c>
      <c r="G341" s="39" t="s">
        <v>1023</v>
      </c>
      <c r="H341" s="49" t="s">
        <v>49</v>
      </c>
      <c r="I341" s="86" t="s">
        <v>39</v>
      </c>
      <c r="J341" s="39" t="s">
        <v>1369</v>
      </c>
      <c r="K341" s="95" t="s">
        <v>173</v>
      </c>
      <c r="L341" s="94" t="s">
        <v>1025</v>
      </c>
      <c r="M341" s="51" t="b">
        <v>1</v>
      </c>
      <c r="N341" s="118" t="s">
        <v>1370</v>
      </c>
      <c r="O341" s="129" t="s">
        <v>1371</v>
      </c>
      <c r="P341" s="119"/>
      <c r="Q341" s="119"/>
      <c r="R341" s="119"/>
      <c r="S341" s="119"/>
      <c r="T341" s="46"/>
      <c r="U341" s="13"/>
      <c r="V341" s="13"/>
      <c r="W341" s="13"/>
      <c r="X341" s="13"/>
      <c r="Y341" s="13"/>
      <c r="Z341" s="13"/>
      <c r="AA341" s="13"/>
      <c r="AB341" s="13"/>
      <c r="AC341" s="13"/>
    </row>
    <row r="342" ht="16.5" hidden="1" customHeight="1">
      <c r="A342" s="35">
        <v>339.0</v>
      </c>
      <c r="B342" s="36" t="s">
        <v>2265</v>
      </c>
      <c r="C342" s="36"/>
      <c r="D342" s="38" t="s">
        <v>2266</v>
      </c>
      <c r="E342" s="38" t="s">
        <v>2267</v>
      </c>
      <c r="F342" s="38" t="s">
        <v>2268</v>
      </c>
      <c r="G342" s="39" t="s">
        <v>2269</v>
      </c>
      <c r="H342" s="49" t="s">
        <v>62</v>
      </c>
      <c r="I342" s="94" t="s">
        <v>63</v>
      </c>
      <c r="J342" s="55"/>
      <c r="K342" s="123"/>
      <c r="L342" s="124"/>
      <c r="M342" s="51" t="b">
        <v>0</v>
      </c>
      <c r="N342" s="119"/>
      <c r="O342" s="119"/>
      <c r="P342" s="119"/>
      <c r="Q342" s="119"/>
      <c r="R342" s="119"/>
      <c r="S342" s="119"/>
      <c r="T342" s="46"/>
      <c r="U342" s="13"/>
      <c r="V342" s="13"/>
      <c r="W342" s="13"/>
      <c r="X342" s="13"/>
      <c r="Y342" s="13"/>
      <c r="Z342" s="13"/>
      <c r="AA342" s="13"/>
      <c r="AB342" s="13"/>
      <c r="AC342" s="13"/>
    </row>
    <row r="343" ht="16.5" customHeight="1">
      <c r="A343" s="35">
        <v>340.0</v>
      </c>
      <c r="B343" s="36" t="s">
        <v>2270</v>
      </c>
      <c r="C343" s="36"/>
      <c r="D343" s="38" t="s">
        <v>2271</v>
      </c>
      <c r="E343" s="38"/>
      <c r="F343" s="38" t="s">
        <v>2272</v>
      </c>
      <c r="G343" s="39" t="s">
        <v>2273</v>
      </c>
      <c r="H343" s="49" t="s">
        <v>49</v>
      </c>
      <c r="I343" s="94" t="s">
        <v>39</v>
      </c>
      <c r="J343" s="39" t="s">
        <v>1125</v>
      </c>
      <c r="K343" s="95" t="s">
        <v>2274</v>
      </c>
      <c r="L343" s="59" t="s">
        <v>2275</v>
      </c>
      <c r="M343" s="51" t="b">
        <v>1</v>
      </c>
      <c r="N343" s="118" t="s">
        <v>2276</v>
      </c>
      <c r="O343" s="130"/>
      <c r="P343" s="119"/>
      <c r="Q343" s="119"/>
      <c r="R343" s="119"/>
      <c r="S343" s="119"/>
      <c r="T343" s="46"/>
      <c r="U343" s="117" t="s">
        <v>2277</v>
      </c>
      <c r="V343" s="13"/>
      <c r="W343" s="13"/>
      <c r="X343" s="13"/>
      <c r="Y343" s="13"/>
      <c r="Z343" s="13"/>
      <c r="AA343" s="13"/>
      <c r="AB343" s="13"/>
      <c r="AC343" s="13"/>
    </row>
    <row r="344" ht="16.5" customHeight="1">
      <c r="A344" s="35">
        <v>341.0</v>
      </c>
      <c r="B344" s="36" t="s">
        <v>2278</v>
      </c>
      <c r="C344" s="36"/>
      <c r="D344" s="38" t="s">
        <v>2279</v>
      </c>
      <c r="E344" s="38" t="s">
        <v>2280</v>
      </c>
      <c r="F344" s="38" t="s">
        <v>2281</v>
      </c>
      <c r="G344" s="39" t="s">
        <v>2282</v>
      </c>
      <c r="H344" s="49" t="s">
        <v>49</v>
      </c>
      <c r="I344" s="94" t="s">
        <v>39</v>
      </c>
      <c r="J344" s="94" t="s">
        <v>620</v>
      </c>
      <c r="K344" s="95" t="s">
        <v>2283</v>
      </c>
      <c r="L344" s="94" t="s">
        <v>2284</v>
      </c>
      <c r="M344" s="51" t="b">
        <v>1</v>
      </c>
      <c r="N344" s="132" t="s">
        <v>2285</v>
      </c>
      <c r="O344" s="126"/>
      <c r="P344" s="126" t="s">
        <v>2286</v>
      </c>
      <c r="Q344" s="119"/>
      <c r="R344" s="119"/>
      <c r="S344" s="119"/>
      <c r="T344" s="46"/>
      <c r="U344" s="13"/>
      <c r="V344" s="13"/>
      <c r="W344" s="13"/>
      <c r="X344" s="13"/>
      <c r="Y344" s="13"/>
      <c r="Z344" s="13"/>
      <c r="AA344" s="13"/>
      <c r="AB344" s="13"/>
      <c r="AC344" s="13"/>
    </row>
    <row r="345" ht="16.5" customHeight="1">
      <c r="A345" s="35">
        <v>342.0</v>
      </c>
      <c r="B345" s="36" t="s">
        <v>2287</v>
      </c>
      <c r="C345" s="36"/>
      <c r="D345" s="38" t="s">
        <v>2288</v>
      </c>
      <c r="E345" s="38" t="s">
        <v>2289</v>
      </c>
      <c r="F345" s="38" t="s">
        <v>2290</v>
      </c>
      <c r="G345" s="39" t="s">
        <v>2291</v>
      </c>
      <c r="H345" s="49" t="s">
        <v>49</v>
      </c>
      <c r="I345" s="94" t="s">
        <v>39</v>
      </c>
      <c r="J345" s="39" t="s">
        <v>2292</v>
      </c>
      <c r="K345" s="95" t="s">
        <v>2293</v>
      </c>
      <c r="L345" s="94" t="s">
        <v>2294</v>
      </c>
      <c r="M345" s="51" t="b">
        <v>1</v>
      </c>
      <c r="N345" s="142" t="s">
        <v>314</v>
      </c>
      <c r="O345" s="130"/>
      <c r="P345" s="119"/>
      <c r="Q345" s="119"/>
      <c r="R345" s="119"/>
      <c r="S345" s="119"/>
      <c r="T345" s="46"/>
      <c r="U345" s="13"/>
      <c r="V345" s="13"/>
      <c r="W345" s="13"/>
      <c r="X345" s="13"/>
      <c r="Y345" s="13"/>
      <c r="Z345" s="13"/>
      <c r="AA345" s="13"/>
      <c r="AB345" s="13"/>
      <c r="AC345" s="13"/>
    </row>
    <row r="346" ht="36.0" hidden="1" customHeight="1">
      <c r="A346" s="35">
        <v>343.0</v>
      </c>
      <c r="B346" s="36" t="s">
        <v>2295</v>
      </c>
      <c r="C346" s="36"/>
      <c r="D346" s="38" t="s">
        <v>1831</v>
      </c>
      <c r="E346" s="38"/>
      <c r="F346" s="38" t="s">
        <v>1900</v>
      </c>
      <c r="G346" s="39" t="s">
        <v>231</v>
      </c>
      <c r="H346" s="49" t="s">
        <v>62</v>
      </c>
      <c r="I346" s="94" t="s">
        <v>63</v>
      </c>
      <c r="J346" s="55"/>
      <c r="K346" s="123"/>
      <c r="L346" s="124"/>
      <c r="M346" s="51" t="b">
        <v>0</v>
      </c>
      <c r="N346" s="119"/>
      <c r="O346" s="119"/>
      <c r="P346" s="119"/>
      <c r="Q346" s="119"/>
      <c r="R346" s="119"/>
      <c r="S346" s="119"/>
      <c r="T346" s="46"/>
      <c r="U346" s="13"/>
      <c r="V346" s="13"/>
      <c r="W346" s="13"/>
      <c r="X346" s="13"/>
      <c r="Y346" s="13"/>
      <c r="Z346" s="13"/>
      <c r="AA346" s="13"/>
      <c r="AB346" s="13"/>
      <c r="AC346" s="13"/>
    </row>
    <row r="347" ht="36.0" hidden="1" customHeight="1">
      <c r="A347" s="35">
        <v>344.0</v>
      </c>
      <c r="B347" s="36" t="s">
        <v>2296</v>
      </c>
      <c r="C347" s="36"/>
      <c r="D347" s="38" t="s">
        <v>1831</v>
      </c>
      <c r="E347" s="38"/>
      <c r="F347" s="38" t="s">
        <v>1900</v>
      </c>
      <c r="G347" s="39" t="s">
        <v>231</v>
      </c>
      <c r="H347" s="49" t="s">
        <v>62</v>
      </c>
      <c r="I347" s="94" t="s">
        <v>63</v>
      </c>
      <c r="J347" s="55"/>
      <c r="K347" s="123"/>
      <c r="L347" s="124"/>
      <c r="M347" s="51" t="b">
        <v>0</v>
      </c>
      <c r="N347" s="119"/>
      <c r="O347" s="119"/>
      <c r="P347" s="119"/>
      <c r="Q347" s="119"/>
      <c r="R347" s="119"/>
      <c r="S347" s="119"/>
      <c r="T347" s="46"/>
      <c r="U347" s="13"/>
      <c r="V347" s="13"/>
      <c r="W347" s="13"/>
      <c r="X347" s="13"/>
      <c r="Y347" s="13"/>
      <c r="Z347" s="13"/>
      <c r="AA347" s="13"/>
      <c r="AB347" s="13"/>
      <c r="AC347" s="13"/>
    </row>
    <row r="348" ht="16.5" hidden="1" customHeight="1">
      <c r="A348" s="35">
        <v>345.0</v>
      </c>
      <c r="B348" s="36" t="s">
        <v>2297</v>
      </c>
      <c r="C348" s="36"/>
      <c r="D348" s="38" t="s">
        <v>2298</v>
      </c>
      <c r="E348" s="38" t="s">
        <v>2299</v>
      </c>
      <c r="F348" s="38" t="s">
        <v>2300</v>
      </c>
      <c r="G348" s="48" t="s">
        <v>2301</v>
      </c>
      <c r="H348" s="49" t="s">
        <v>62</v>
      </c>
      <c r="I348" s="94" t="s">
        <v>63</v>
      </c>
      <c r="J348" s="65"/>
      <c r="K348" s="167"/>
      <c r="L348" s="155"/>
      <c r="M348" s="51" t="b">
        <v>0</v>
      </c>
      <c r="N348" s="132"/>
      <c r="O348" s="133"/>
      <c r="P348" s="126"/>
      <c r="Q348" s="119"/>
      <c r="R348" s="119"/>
      <c r="S348" s="119"/>
      <c r="T348" s="46"/>
      <c r="U348" s="13"/>
      <c r="V348" s="13"/>
      <c r="W348" s="13"/>
      <c r="X348" s="13"/>
      <c r="Y348" s="13"/>
      <c r="Z348" s="13"/>
      <c r="AA348" s="13"/>
      <c r="AB348" s="13"/>
      <c r="AC348" s="13"/>
    </row>
    <row r="349" ht="16.5" customHeight="1">
      <c r="A349" s="35">
        <v>346.0</v>
      </c>
      <c r="B349" s="36" t="s">
        <v>2302</v>
      </c>
      <c r="C349" s="36"/>
      <c r="D349" s="38" t="s">
        <v>2303</v>
      </c>
      <c r="E349" s="38" t="s">
        <v>2304</v>
      </c>
      <c r="F349" s="38" t="s">
        <v>2305</v>
      </c>
      <c r="G349" s="39" t="s">
        <v>2306</v>
      </c>
      <c r="H349" s="49" t="s">
        <v>49</v>
      </c>
      <c r="I349" s="94" t="s">
        <v>39</v>
      </c>
      <c r="J349" s="39" t="s">
        <v>620</v>
      </c>
      <c r="K349" s="95" t="s">
        <v>2307</v>
      </c>
      <c r="L349" s="59" t="s">
        <v>2308</v>
      </c>
      <c r="M349" s="51" t="b">
        <v>1</v>
      </c>
      <c r="N349" s="118" t="s">
        <v>2309</v>
      </c>
      <c r="O349" s="130"/>
      <c r="P349" s="119"/>
      <c r="Q349" s="119"/>
      <c r="R349" s="119"/>
      <c r="S349" s="119"/>
      <c r="T349" s="46"/>
      <c r="U349" s="13"/>
      <c r="V349" s="13"/>
      <c r="W349" s="13"/>
      <c r="X349" s="13"/>
      <c r="Y349" s="13"/>
      <c r="Z349" s="13"/>
      <c r="AA349" s="13"/>
      <c r="AB349" s="13"/>
      <c r="AC349" s="13"/>
    </row>
    <row r="350" ht="16.5" hidden="1" customHeight="1">
      <c r="A350" s="35">
        <v>347.0</v>
      </c>
      <c r="B350" s="36" t="s">
        <v>2310</v>
      </c>
      <c r="C350" s="36"/>
      <c r="D350" s="38" t="s">
        <v>2311</v>
      </c>
      <c r="E350" s="38" t="s">
        <v>2312</v>
      </c>
      <c r="F350" s="38" t="s">
        <v>1832</v>
      </c>
      <c r="G350" s="39" t="s">
        <v>231</v>
      </c>
      <c r="H350" s="49" t="s">
        <v>62</v>
      </c>
      <c r="I350" s="94" t="s">
        <v>63</v>
      </c>
      <c r="J350" s="55"/>
      <c r="K350" s="123"/>
      <c r="L350" s="124"/>
      <c r="M350" s="51" t="b">
        <v>0</v>
      </c>
      <c r="N350" s="119"/>
      <c r="O350" s="119"/>
      <c r="P350" s="119"/>
      <c r="Q350" s="119"/>
      <c r="R350" s="119"/>
      <c r="S350" s="119"/>
      <c r="T350" s="46"/>
      <c r="U350" s="13"/>
      <c r="V350" s="13"/>
      <c r="W350" s="13"/>
      <c r="X350" s="13"/>
      <c r="Y350" s="13"/>
      <c r="Z350" s="13"/>
      <c r="AA350" s="13"/>
      <c r="AB350" s="13"/>
      <c r="AC350" s="13"/>
    </row>
    <row r="351" ht="16.5" customHeight="1">
      <c r="A351" s="35">
        <v>348.0</v>
      </c>
      <c r="B351" s="36" t="s">
        <v>2313</v>
      </c>
      <c r="C351" s="36"/>
      <c r="D351" s="38" t="s">
        <v>2314</v>
      </c>
      <c r="E351" s="38" t="s">
        <v>2315</v>
      </c>
      <c r="F351" s="38" t="s">
        <v>2316</v>
      </c>
      <c r="G351" s="39" t="s">
        <v>2317</v>
      </c>
      <c r="H351" s="49" t="s">
        <v>49</v>
      </c>
      <c r="I351" s="94" t="s">
        <v>39</v>
      </c>
      <c r="J351" s="39" t="s">
        <v>588</v>
      </c>
      <c r="K351" s="95" t="s">
        <v>1150</v>
      </c>
      <c r="L351" s="94" t="s">
        <v>2318</v>
      </c>
      <c r="M351" s="51" t="b">
        <v>1</v>
      </c>
      <c r="N351" s="118" t="s">
        <v>2319</v>
      </c>
      <c r="O351" s="130"/>
      <c r="P351" s="119"/>
      <c r="Q351" s="119"/>
      <c r="R351" s="119"/>
      <c r="S351" s="119"/>
      <c r="T351" s="46"/>
      <c r="U351" s="13"/>
      <c r="V351" s="13"/>
      <c r="W351" s="13"/>
      <c r="X351" s="13"/>
      <c r="Y351" s="13"/>
      <c r="Z351" s="13"/>
      <c r="AA351" s="13"/>
      <c r="AB351" s="13"/>
      <c r="AC351" s="13"/>
    </row>
    <row r="352" ht="16.5" customHeight="1">
      <c r="A352" s="35">
        <v>349.0</v>
      </c>
      <c r="B352" s="36" t="s">
        <v>2320</v>
      </c>
      <c r="C352" s="36"/>
      <c r="D352" s="38" t="s">
        <v>2321</v>
      </c>
      <c r="E352" s="38" t="s">
        <v>2322</v>
      </c>
      <c r="F352" s="38" t="s">
        <v>2323</v>
      </c>
      <c r="G352" s="39" t="s">
        <v>2324</v>
      </c>
      <c r="H352" s="49" t="s">
        <v>49</v>
      </c>
      <c r="I352" s="94" t="s">
        <v>39</v>
      </c>
      <c r="J352" s="59" t="s">
        <v>610</v>
      </c>
      <c r="K352" s="92" t="s">
        <v>2325</v>
      </c>
      <c r="L352" s="62" t="s">
        <v>2326</v>
      </c>
      <c r="M352" s="51" t="b">
        <v>0</v>
      </c>
      <c r="N352" s="126"/>
      <c r="O352" s="126"/>
      <c r="P352" s="126" t="s">
        <v>2327</v>
      </c>
      <c r="Q352" s="126" t="s">
        <v>2328</v>
      </c>
      <c r="R352" s="119" t="s">
        <v>2329</v>
      </c>
      <c r="S352" s="119"/>
      <c r="T352" s="46"/>
      <c r="U352" s="13"/>
      <c r="V352" s="13"/>
      <c r="W352" s="13"/>
      <c r="X352" s="13"/>
      <c r="Y352" s="13"/>
      <c r="Z352" s="13"/>
      <c r="AA352" s="13"/>
      <c r="AB352" s="13"/>
      <c r="AC352" s="13"/>
    </row>
    <row r="353" ht="16.5" hidden="1" customHeight="1">
      <c r="A353" s="35">
        <v>350.0</v>
      </c>
      <c r="B353" s="36" t="s">
        <v>2330</v>
      </c>
      <c r="C353" s="36"/>
      <c r="D353" s="38" t="s">
        <v>2331</v>
      </c>
      <c r="E353" s="38" t="s">
        <v>2332</v>
      </c>
      <c r="F353" s="38" t="s">
        <v>2333</v>
      </c>
      <c r="G353" s="39" t="s">
        <v>231</v>
      </c>
      <c r="H353" s="49" t="s">
        <v>62</v>
      </c>
      <c r="I353" s="94" t="s">
        <v>63</v>
      </c>
      <c r="J353" s="55"/>
      <c r="K353" s="123"/>
      <c r="L353" s="124"/>
      <c r="M353" s="51" t="b">
        <v>0</v>
      </c>
      <c r="N353" s="119"/>
      <c r="O353" s="119"/>
      <c r="P353" s="119"/>
      <c r="Q353" s="119"/>
      <c r="R353" s="119"/>
      <c r="S353" s="119"/>
      <c r="T353" s="46"/>
      <c r="U353" s="13"/>
      <c r="V353" s="13"/>
      <c r="W353" s="13"/>
      <c r="X353" s="13"/>
      <c r="Y353" s="13"/>
      <c r="Z353" s="13"/>
      <c r="AA353" s="13"/>
      <c r="AB353" s="13"/>
      <c r="AC353" s="13"/>
    </row>
    <row r="354" ht="16.5" customHeight="1">
      <c r="A354" s="35">
        <v>351.0</v>
      </c>
      <c r="B354" s="36" t="s">
        <v>2334</v>
      </c>
      <c r="C354" s="36"/>
      <c r="D354" s="38" t="s">
        <v>2335</v>
      </c>
      <c r="E354" s="38" t="s">
        <v>2336</v>
      </c>
      <c r="F354" s="38" t="s">
        <v>2337</v>
      </c>
      <c r="G354" s="39" t="s">
        <v>2338</v>
      </c>
      <c r="H354" s="49" t="s">
        <v>49</v>
      </c>
      <c r="I354" s="94" t="s">
        <v>39</v>
      </c>
      <c r="J354" s="39" t="s">
        <v>2339</v>
      </c>
      <c r="K354" s="95" t="s">
        <v>2340</v>
      </c>
      <c r="L354" s="94" t="s">
        <v>2341</v>
      </c>
      <c r="M354" s="51" t="b">
        <v>1</v>
      </c>
      <c r="N354" s="118" t="s">
        <v>2342</v>
      </c>
      <c r="O354" s="119"/>
      <c r="P354" s="119" t="s">
        <v>2343</v>
      </c>
      <c r="Q354" s="119" t="s">
        <v>2344</v>
      </c>
      <c r="R354" s="119"/>
      <c r="S354" s="119"/>
      <c r="T354" s="46"/>
      <c r="U354" s="13"/>
      <c r="V354" s="13"/>
      <c r="W354" s="13"/>
      <c r="X354" s="13"/>
      <c r="Y354" s="13"/>
      <c r="Z354" s="13"/>
      <c r="AA354" s="13"/>
      <c r="AB354" s="13"/>
      <c r="AC354" s="13"/>
    </row>
    <row r="355" ht="16.5" customHeight="1">
      <c r="A355" s="35">
        <v>352.0</v>
      </c>
      <c r="B355" s="36" t="s">
        <v>2345</v>
      </c>
      <c r="C355" s="36"/>
      <c r="D355" s="38"/>
      <c r="E355" s="38"/>
      <c r="F355" s="38" t="s">
        <v>2346</v>
      </c>
      <c r="G355" s="39" t="s">
        <v>587</v>
      </c>
      <c r="H355" s="49" t="s">
        <v>49</v>
      </c>
      <c r="I355" s="39" t="s">
        <v>39</v>
      </c>
      <c r="J355" s="39" t="s">
        <v>588</v>
      </c>
      <c r="K355" s="41" t="s">
        <v>173</v>
      </c>
      <c r="L355" s="39" t="s">
        <v>589</v>
      </c>
      <c r="M355" s="51" t="b">
        <v>1</v>
      </c>
      <c r="N355" s="131" t="s">
        <v>1534</v>
      </c>
      <c r="O355" s="164" t="s">
        <v>591</v>
      </c>
      <c r="P355" s="165" t="s">
        <v>2347</v>
      </c>
      <c r="Q355" s="119"/>
      <c r="R355" s="119"/>
      <c r="S355" s="119"/>
      <c r="T355" s="46"/>
      <c r="U355" s="13"/>
      <c r="V355" s="13"/>
      <c r="W355" s="13"/>
      <c r="X355" s="13"/>
      <c r="Y355" s="13"/>
      <c r="Z355" s="13"/>
      <c r="AA355" s="13"/>
      <c r="AB355" s="13"/>
      <c r="AC355" s="13"/>
    </row>
    <row r="356" ht="16.5" customHeight="1">
      <c r="A356" s="35">
        <v>353.0</v>
      </c>
      <c r="B356" s="36" t="s">
        <v>2348</v>
      </c>
      <c r="C356" s="36"/>
      <c r="D356" s="38" t="s">
        <v>1831</v>
      </c>
      <c r="E356" s="38"/>
      <c r="F356" s="38" t="s">
        <v>2160</v>
      </c>
      <c r="G356" s="39" t="s">
        <v>182</v>
      </c>
      <c r="H356" s="49" t="s">
        <v>49</v>
      </c>
      <c r="I356" s="39" t="s">
        <v>39</v>
      </c>
      <c r="J356" s="39" t="s">
        <v>172</v>
      </c>
      <c r="K356" s="41" t="s">
        <v>173</v>
      </c>
      <c r="L356" s="39" t="s">
        <v>174</v>
      </c>
      <c r="M356" s="51" t="b">
        <v>1</v>
      </c>
      <c r="N356" s="118" t="s">
        <v>175</v>
      </c>
      <c r="O356" s="130"/>
      <c r="P356" s="119"/>
      <c r="Q356" s="119"/>
      <c r="R356" s="119"/>
      <c r="S356" s="119"/>
      <c r="T356" s="46"/>
      <c r="U356" s="13"/>
      <c r="V356" s="13"/>
      <c r="W356" s="13"/>
      <c r="X356" s="13"/>
      <c r="Y356" s="13"/>
      <c r="Z356" s="13"/>
      <c r="AA356" s="13"/>
      <c r="AB356" s="13"/>
      <c r="AC356" s="13"/>
    </row>
    <row r="357" ht="16.5" hidden="1" customHeight="1">
      <c r="A357" s="35">
        <v>354.0</v>
      </c>
      <c r="B357" s="36" t="s">
        <v>2349</v>
      </c>
      <c r="C357" s="36"/>
      <c r="D357" s="38" t="s">
        <v>1831</v>
      </c>
      <c r="E357" s="38"/>
      <c r="F357" s="38" t="s">
        <v>2160</v>
      </c>
      <c r="G357" s="39" t="s">
        <v>231</v>
      </c>
      <c r="H357" s="49" t="s">
        <v>62</v>
      </c>
      <c r="I357" s="94" t="s">
        <v>63</v>
      </c>
      <c r="J357" s="55"/>
      <c r="K357" s="123"/>
      <c r="L357" s="124"/>
      <c r="M357" s="51" t="b">
        <v>0</v>
      </c>
      <c r="N357" s="119"/>
      <c r="O357" s="119"/>
      <c r="P357" s="119"/>
      <c r="Q357" s="119"/>
      <c r="R357" s="119"/>
      <c r="S357" s="119"/>
      <c r="T357" s="46"/>
      <c r="U357" s="13"/>
      <c r="V357" s="13"/>
      <c r="W357" s="13"/>
      <c r="X357" s="13"/>
      <c r="Y357" s="13"/>
      <c r="Z357" s="13"/>
      <c r="AA357" s="13"/>
      <c r="AB357" s="13"/>
      <c r="AC357" s="13"/>
    </row>
    <row r="358" ht="16.5" hidden="1" customHeight="1">
      <c r="A358" s="35">
        <v>355.0</v>
      </c>
      <c r="B358" s="36" t="s">
        <v>2350</v>
      </c>
      <c r="C358" s="36"/>
      <c r="D358" s="38" t="s">
        <v>2351</v>
      </c>
      <c r="E358" s="38"/>
      <c r="F358" s="38" t="s">
        <v>1832</v>
      </c>
      <c r="G358" s="39" t="s">
        <v>231</v>
      </c>
      <c r="H358" s="49" t="s">
        <v>62</v>
      </c>
      <c r="I358" s="94" t="s">
        <v>63</v>
      </c>
      <c r="J358" s="55"/>
      <c r="K358" s="123"/>
      <c r="L358" s="124"/>
      <c r="M358" s="51" t="b">
        <v>0</v>
      </c>
      <c r="N358" s="119"/>
      <c r="O358" s="119"/>
      <c r="P358" s="119"/>
      <c r="Q358" s="119"/>
      <c r="R358" s="119"/>
      <c r="S358" s="119"/>
      <c r="T358" s="46"/>
      <c r="U358" s="13"/>
      <c r="V358" s="13"/>
      <c r="W358" s="13"/>
      <c r="X358" s="13"/>
      <c r="Y358" s="13"/>
      <c r="Z358" s="13"/>
      <c r="AA358" s="13"/>
      <c r="AB358" s="13"/>
      <c r="AC358" s="13"/>
    </row>
    <row r="359" ht="126.0" hidden="1" customHeight="1">
      <c r="A359" s="35">
        <v>356.0</v>
      </c>
      <c r="B359" s="36" t="s">
        <v>2352</v>
      </c>
      <c r="C359" s="36"/>
      <c r="D359" s="38"/>
      <c r="E359" s="38"/>
      <c r="F359" s="38" t="s">
        <v>1832</v>
      </c>
      <c r="G359" s="39" t="s">
        <v>231</v>
      </c>
      <c r="H359" s="49" t="s">
        <v>62</v>
      </c>
      <c r="I359" s="94" t="s">
        <v>63</v>
      </c>
      <c r="J359" s="55"/>
      <c r="K359" s="123"/>
      <c r="L359" s="124"/>
      <c r="M359" s="51" t="b">
        <v>0</v>
      </c>
      <c r="N359" s="119"/>
      <c r="O359" s="119"/>
      <c r="P359" s="119"/>
      <c r="Q359" s="119"/>
      <c r="R359" s="119"/>
      <c r="S359" s="119"/>
      <c r="T359" s="46"/>
      <c r="U359" s="13"/>
      <c r="V359" s="13"/>
      <c r="W359" s="13"/>
      <c r="X359" s="13"/>
      <c r="Y359" s="13"/>
      <c r="Z359" s="13"/>
      <c r="AA359" s="13"/>
      <c r="AB359" s="13"/>
      <c r="AC359" s="13"/>
    </row>
    <row r="360" ht="16.5" hidden="1" customHeight="1">
      <c r="A360" s="35">
        <v>357.0</v>
      </c>
      <c r="B360" s="36" t="s">
        <v>2353</v>
      </c>
      <c r="C360" s="36"/>
      <c r="D360" s="38" t="s">
        <v>1831</v>
      </c>
      <c r="E360" s="38"/>
      <c r="F360" s="38" t="s">
        <v>2354</v>
      </c>
      <c r="G360" s="39" t="s">
        <v>2355</v>
      </c>
      <c r="H360" s="136" t="s">
        <v>62</v>
      </c>
      <c r="I360" s="94" t="s">
        <v>63</v>
      </c>
      <c r="J360" s="55"/>
      <c r="K360" s="123"/>
      <c r="L360" s="124"/>
      <c r="M360" s="51" t="b">
        <v>0</v>
      </c>
      <c r="N360" s="119"/>
      <c r="O360" s="119"/>
      <c r="P360" s="119" t="s">
        <v>2356</v>
      </c>
      <c r="Q360" s="119" t="s">
        <v>2357</v>
      </c>
      <c r="R360" s="119" t="s">
        <v>2358</v>
      </c>
      <c r="S360" s="119"/>
      <c r="T360" s="46"/>
      <c r="U360" s="13"/>
      <c r="V360" s="13"/>
      <c r="W360" s="13"/>
      <c r="X360" s="13"/>
      <c r="Y360" s="13"/>
      <c r="Z360" s="13"/>
      <c r="AA360" s="13"/>
      <c r="AB360" s="13"/>
      <c r="AC360" s="13"/>
    </row>
    <row r="361" ht="16.5" customHeight="1">
      <c r="A361" s="35">
        <v>358.0</v>
      </c>
      <c r="B361" s="36" t="s">
        <v>2359</v>
      </c>
      <c r="C361" s="36"/>
      <c r="D361" s="38" t="s">
        <v>2360</v>
      </c>
      <c r="E361" s="38" t="s">
        <v>2361</v>
      </c>
      <c r="F361" s="38" t="s">
        <v>2362</v>
      </c>
      <c r="G361" s="39" t="s">
        <v>2363</v>
      </c>
      <c r="H361" s="49" t="s">
        <v>49</v>
      </c>
      <c r="I361" s="39" t="s">
        <v>39</v>
      </c>
      <c r="J361" s="94" t="s">
        <v>610</v>
      </c>
      <c r="K361" s="92" t="s">
        <v>2364</v>
      </c>
      <c r="L361" s="35" t="s">
        <v>2365</v>
      </c>
      <c r="M361" s="51" t="b">
        <v>1</v>
      </c>
      <c r="N361" s="118" t="s">
        <v>2366</v>
      </c>
      <c r="O361" s="119"/>
      <c r="P361" s="119" t="s">
        <v>2367</v>
      </c>
      <c r="Q361" s="119" t="s">
        <v>2368</v>
      </c>
      <c r="R361" s="119"/>
      <c r="S361" s="119"/>
      <c r="T361" s="46"/>
      <c r="U361" s="13"/>
      <c r="V361" s="13"/>
      <c r="W361" s="13"/>
      <c r="X361" s="13"/>
      <c r="Y361" s="13"/>
      <c r="Z361" s="13"/>
      <c r="AA361" s="13"/>
      <c r="AB361" s="13"/>
      <c r="AC361" s="13"/>
    </row>
    <row r="362" ht="16.5" customHeight="1">
      <c r="A362" s="35">
        <v>359.0</v>
      </c>
      <c r="B362" s="36" t="s">
        <v>2369</v>
      </c>
      <c r="C362" s="36"/>
      <c r="D362" s="38" t="s">
        <v>2370</v>
      </c>
      <c r="E362" s="38"/>
      <c r="F362" s="38" t="s">
        <v>2371</v>
      </c>
      <c r="G362" s="39" t="s">
        <v>2372</v>
      </c>
      <c r="H362" s="49" t="s">
        <v>49</v>
      </c>
      <c r="I362" s="94" t="s">
        <v>39</v>
      </c>
      <c r="J362" s="39" t="s">
        <v>1761</v>
      </c>
      <c r="K362" s="95" t="s">
        <v>2373</v>
      </c>
      <c r="L362" s="59" t="s">
        <v>2374</v>
      </c>
      <c r="M362" s="51" t="b">
        <v>1</v>
      </c>
      <c r="N362" s="118" t="s">
        <v>2375</v>
      </c>
      <c r="O362" s="119"/>
      <c r="P362" s="119" t="s">
        <v>2376</v>
      </c>
      <c r="Q362" s="119" t="s">
        <v>2377</v>
      </c>
      <c r="R362" s="119"/>
      <c r="S362" s="119"/>
      <c r="T362" s="46"/>
      <c r="U362" s="13"/>
      <c r="V362" s="13"/>
      <c r="W362" s="13"/>
      <c r="X362" s="13"/>
      <c r="Y362" s="13"/>
      <c r="Z362" s="13"/>
      <c r="AA362" s="13"/>
      <c r="AB362" s="13"/>
      <c r="AC362" s="13"/>
    </row>
    <row r="363" ht="126.0" hidden="1" customHeight="1">
      <c r="A363" s="35">
        <v>360.0</v>
      </c>
      <c r="B363" s="36" t="s">
        <v>2378</v>
      </c>
      <c r="C363" s="36"/>
      <c r="D363" s="38"/>
      <c r="E363" s="38"/>
      <c r="F363" s="38" t="s">
        <v>1832</v>
      </c>
      <c r="G363" s="39" t="s">
        <v>231</v>
      </c>
      <c r="H363" s="49" t="s">
        <v>62</v>
      </c>
      <c r="I363" s="94" t="s">
        <v>63</v>
      </c>
      <c r="J363" s="55"/>
      <c r="K363" s="123"/>
      <c r="L363" s="124"/>
      <c r="M363" s="51" t="b">
        <v>0</v>
      </c>
      <c r="N363" s="119"/>
      <c r="O363" s="119"/>
      <c r="P363" s="119"/>
      <c r="Q363" s="119"/>
      <c r="R363" s="119"/>
      <c r="S363" s="119"/>
      <c r="T363" s="46"/>
      <c r="U363" s="13"/>
      <c r="V363" s="13"/>
      <c r="W363" s="13"/>
      <c r="X363" s="13"/>
      <c r="Y363" s="13"/>
      <c r="Z363" s="13"/>
      <c r="AA363" s="13"/>
      <c r="AB363" s="13"/>
      <c r="AC363" s="13"/>
    </row>
    <row r="364" ht="342.0" customHeight="1">
      <c r="A364" s="35">
        <v>361.0</v>
      </c>
      <c r="B364" s="36" t="s">
        <v>1202</v>
      </c>
      <c r="C364" s="101"/>
      <c r="D364" s="38"/>
      <c r="E364" s="38"/>
      <c r="F364" s="38" t="s">
        <v>461</v>
      </c>
      <c r="G364" s="39" t="s">
        <v>2379</v>
      </c>
      <c r="H364" s="49" t="s">
        <v>49</v>
      </c>
      <c r="I364" s="94" t="s">
        <v>39</v>
      </c>
      <c r="J364" s="91" t="s">
        <v>462</v>
      </c>
      <c r="K364" s="92" t="s">
        <v>463</v>
      </c>
      <c r="L364" s="93" t="s">
        <v>464</v>
      </c>
      <c r="M364" s="51" t="b">
        <v>1</v>
      </c>
      <c r="N364" s="57" t="s">
        <v>465</v>
      </c>
      <c r="O364" s="125" t="s">
        <v>1205</v>
      </c>
      <c r="P364" s="168"/>
      <c r="Q364" s="119"/>
      <c r="R364" s="119"/>
      <c r="S364" s="119"/>
      <c r="T364" s="46"/>
      <c r="U364" s="13"/>
      <c r="V364" s="13"/>
      <c r="W364" s="13"/>
      <c r="X364" s="13"/>
      <c r="Y364" s="13"/>
      <c r="Z364" s="13"/>
      <c r="AA364" s="13"/>
      <c r="AB364" s="13"/>
      <c r="AC364" s="13"/>
    </row>
    <row r="365" ht="16.5" customHeight="1">
      <c r="A365" s="35">
        <v>362.0</v>
      </c>
      <c r="B365" s="36" t="s">
        <v>1206</v>
      </c>
      <c r="C365" s="101"/>
      <c r="D365" s="38" t="s">
        <v>2380</v>
      </c>
      <c r="E365" s="38" t="s">
        <v>1209</v>
      </c>
      <c r="F365" s="38" t="s">
        <v>2160</v>
      </c>
      <c r="G365" s="39" t="s">
        <v>2381</v>
      </c>
      <c r="H365" s="49" t="s">
        <v>49</v>
      </c>
      <c r="I365" s="94" t="s">
        <v>39</v>
      </c>
      <c r="J365" s="39" t="s">
        <v>422</v>
      </c>
      <c r="K365" s="95" t="s">
        <v>1211</v>
      </c>
      <c r="L365" s="169" t="s">
        <v>1488</v>
      </c>
      <c r="M365" s="51" t="b">
        <v>1</v>
      </c>
      <c r="N365" s="142" t="s">
        <v>292</v>
      </c>
      <c r="O365" s="125" t="s">
        <v>1213</v>
      </c>
      <c r="P365" s="126"/>
      <c r="Q365" s="119"/>
      <c r="R365" s="119"/>
      <c r="S365" s="119"/>
      <c r="T365" s="46"/>
      <c r="U365" s="13"/>
      <c r="V365" s="13"/>
      <c r="W365" s="13"/>
      <c r="X365" s="13"/>
      <c r="Y365" s="13"/>
      <c r="Z365" s="13"/>
      <c r="AA365" s="13"/>
      <c r="AB365" s="13"/>
      <c r="AC365" s="13"/>
    </row>
    <row r="366" ht="409.5" hidden="1" customHeight="1">
      <c r="A366" s="35">
        <v>363.0</v>
      </c>
      <c r="B366" s="36" t="s">
        <v>2382</v>
      </c>
      <c r="C366" s="36"/>
      <c r="D366" s="38" t="s">
        <v>2383</v>
      </c>
      <c r="E366" s="38"/>
      <c r="F366" s="38" t="s">
        <v>2384</v>
      </c>
      <c r="G366" s="39" t="s">
        <v>231</v>
      </c>
      <c r="H366" s="49" t="s">
        <v>62</v>
      </c>
      <c r="I366" s="94" t="s">
        <v>63</v>
      </c>
      <c r="J366" s="55"/>
      <c r="K366" s="123"/>
      <c r="L366" s="124"/>
      <c r="M366" s="51" t="b">
        <v>0</v>
      </c>
      <c r="N366" s="119"/>
      <c r="O366" s="119"/>
      <c r="P366" s="119"/>
      <c r="Q366" s="119"/>
      <c r="R366" s="119"/>
      <c r="S366" s="119"/>
      <c r="T366" s="46"/>
      <c r="U366" s="13"/>
      <c r="V366" s="13"/>
      <c r="W366" s="13"/>
      <c r="X366" s="13"/>
      <c r="Y366" s="13"/>
      <c r="Z366" s="13"/>
      <c r="AA366" s="13"/>
      <c r="AB366" s="13"/>
      <c r="AC366" s="13"/>
    </row>
    <row r="367" ht="90.0" hidden="1" customHeight="1">
      <c r="A367" s="35">
        <v>364.0</v>
      </c>
      <c r="B367" s="36" t="s">
        <v>2385</v>
      </c>
      <c r="C367" s="36"/>
      <c r="D367" s="38" t="s">
        <v>2386</v>
      </c>
      <c r="E367" s="38"/>
      <c r="F367" s="38" t="s">
        <v>2387</v>
      </c>
      <c r="G367" s="39" t="s">
        <v>231</v>
      </c>
      <c r="H367" s="49" t="s">
        <v>62</v>
      </c>
      <c r="I367" s="94" t="s">
        <v>63</v>
      </c>
      <c r="J367" s="55"/>
      <c r="K367" s="123"/>
      <c r="L367" s="124"/>
      <c r="M367" s="51" t="b">
        <v>0</v>
      </c>
      <c r="N367" s="119"/>
      <c r="O367" s="119"/>
      <c r="P367" s="119"/>
      <c r="Q367" s="119"/>
      <c r="R367" s="119"/>
      <c r="S367" s="119"/>
      <c r="T367" s="46"/>
      <c r="U367" s="13"/>
      <c r="V367" s="13"/>
      <c r="W367" s="13"/>
      <c r="X367" s="13"/>
      <c r="Y367" s="13"/>
      <c r="Z367" s="13"/>
      <c r="AA367" s="13"/>
      <c r="AB367" s="13"/>
      <c r="AC367" s="13"/>
    </row>
    <row r="368">
      <c r="A368" s="35">
        <v>365.0</v>
      </c>
      <c r="B368" s="74" t="s">
        <v>1224</v>
      </c>
      <c r="C368" s="101"/>
      <c r="D368" s="38"/>
      <c r="E368" s="38"/>
      <c r="F368" s="38" t="s">
        <v>1228</v>
      </c>
      <c r="G368" s="39" t="s">
        <v>2388</v>
      </c>
      <c r="H368" s="49" t="s">
        <v>49</v>
      </c>
      <c r="I368" s="39" t="s">
        <v>39</v>
      </c>
      <c r="J368" s="91" t="s">
        <v>151</v>
      </c>
      <c r="K368" s="107" t="s">
        <v>641</v>
      </c>
      <c r="L368" s="39" t="s">
        <v>2389</v>
      </c>
      <c r="M368" s="51" t="b">
        <v>1</v>
      </c>
      <c r="N368" s="61" t="s">
        <v>292</v>
      </c>
      <c r="O368" s="64" t="s">
        <v>1231</v>
      </c>
      <c r="P368" s="35" t="s">
        <v>2390</v>
      </c>
      <c r="Q368" s="35" t="s">
        <v>2391</v>
      </c>
      <c r="R368" s="119"/>
      <c r="S368" s="119"/>
      <c r="T368" s="46"/>
      <c r="U368" s="13"/>
      <c r="V368" s="13"/>
      <c r="W368" s="13"/>
      <c r="X368" s="13"/>
      <c r="Y368" s="13"/>
      <c r="Z368" s="13"/>
      <c r="AA368" s="13"/>
      <c r="AB368" s="13"/>
      <c r="AC368" s="13"/>
    </row>
    <row r="369" ht="16.5" customHeight="1">
      <c r="A369" s="35">
        <v>366.0</v>
      </c>
      <c r="B369" s="36" t="s">
        <v>1234</v>
      </c>
      <c r="C369" s="101"/>
      <c r="D369" s="38"/>
      <c r="E369" s="38"/>
      <c r="F369" s="38" t="s">
        <v>1408</v>
      </c>
      <c r="G369" s="39" t="s">
        <v>1308</v>
      </c>
      <c r="H369" s="49" t="s">
        <v>49</v>
      </c>
      <c r="I369" s="39" t="s">
        <v>39</v>
      </c>
      <c r="J369" s="39" t="s">
        <v>916</v>
      </c>
      <c r="K369" s="41" t="s">
        <v>1240</v>
      </c>
      <c r="L369" s="39" t="s">
        <v>2392</v>
      </c>
      <c r="M369" s="51" t="b">
        <v>0</v>
      </c>
      <c r="N369" s="170" t="s">
        <v>1242</v>
      </c>
      <c r="O369" s="129" t="s">
        <v>1243</v>
      </c>
      <c r="P369" s="119"/>
      <c r="Q369" s="119"/>
      <c r="R369" s="119"/>
      <c r="S369" s="119"/>
      <c r="T369" s="46"/>
      <c r="U369" s="13"/>
      <c r="V369" s="13"/>
      <c r="W369" s="13"/>
      <c r="X369" s="13"/>
      <c r="Y369" s="13"/>
      <c r="Z369" s="13"/>
      <c r="AA369" s="13"/>
      <c r="AB369" s="13"/>
      <c r="AC369" s="13"/>
    </row>
    <row r="370" ht="16.5" customHeight="1">
      <c r="A370" s="35">
        <v>367.0</v>
      </c>
      <c r="B370" s="36" t="s">
        <v>2393</v>
      </c>
      <c r="C370" s="36"/>
      <c r="D370" s="38"/>
      <c r="E370" s="38"/>
      <c r="F370" s="38" t="s">
        <v>2394</v>
      </c>
      <c r="G370" s="39" t="s">
        <v>2395</v>
      </c>
      <c r="H370" s="49" t="s">
        <v>49</v>
      </c>
      <c r="I370" s="39" t="s">
        <v>39</v>
      </c>
      <c r="J370" s="139" t="s">
        <v>610</v>
      </c>
      <c r="K370" s="145" t="s">
        <v>2396</v>
      </c>
      <c r="L370" s="112" t="s">
        <v>2397</v>
      </c>
      <c r="M370" s="51" t="b">
        <v>0</v>
      </c>
      <c r="N370" s="126"/>
      <c r="O370" s="126"/>
      <c r="P370" s="126" t="s">
        <v>2398</v>
      </c>
      <c r="Q370" s="126" t="s">
        <v>2399</v>
      </c>
      <c r="R370" s="126" t="s">
        <v>2400</v>
      </c>
      <c r="S370" s="119" t="s">
        <v>2401</v>
      </c>
      <c r="T370" s="46"/>
      <c r="U370" s="13"/>
      <c r="V370" s="13"/>
      <c r="W370" s="13"/>
      <c r="X370" s="13"/>
      <c r="Y370" s="13"/>
      <c r="Z370" s="13"/>
      <c r="AA370" s="13"/>
      <c r="AB370" s="13"/>
      <c r="AC370" s="13"/>
    </row>
    <row r="371" ht="126.0" hidden="1" customHeight="1">
      <c r="A371" s="35">
        <v>368.0</v>
      </c>
      <c r="B371" s="36" t="s">
        <v>2402</v>
      </c>
      <c r="C371" s="36"/>
      <c r="D371" s="38"/>
      <c r="E371" s="38"/>
      <c r="F371" s="38" t="s">
        <v>1832</v>
      </c>
      <c r="G371" s="39" t="s">
        <v>231</v>
      </c>
      <c r="H371" s="49" t="s">
        <v>62</v>
      </c>
      <c r="I371" s="94" t="s">
        <v>63</v>
      </c>
      <c r="J371" s="55"/>
      <c r="K371" s="123"/>
      <c r="L371" s="124"/>
      <c r="M371" s="51" t="b">
        <v>0</v>
      </c>
      <c r="N371" s="119"/>
      <c r="O371" s="119"/>
      <c r="P371" s="119"/>
      <c r="Q371" s="119"/>
      <c r="R371" s="119"/>
      <c r="S371" s="119"/>
      <c r="T371" s="46"/>
      <c r="U371" s="13"/>
      <c r="V371" s="13"/>
      <c r="W371" s="13"/>
      <c r="X371" s="13"/>
      <c r="Y371" s="13"/>
      <c r="Z371" s="13"/>
      <c r="AA371" s="13"/>
      <c r="AB371" s="13"/>
      <c r="AC371" s="13"/>
    </row>
    <row r="372" ht="16.5" customHeight="1">
      <c r="A372" s="35">
        <v>369.0</v>
      </c>
      <c r="B372" s="36" t="s">
        <v>2403</v>
      </c>
      <c r="C372" s="101"/>
      <c r="D372" s="38" t="s">
        <v>2404</v>
      </c>
      <c r="E372" s="38" t="s">
        <v>2405</v>
      </c>
      <c r="F372" s="38" t="s">
        <v>2406</v>
      </c>
      <c r="G372" s="39" t="s">
        <v>2407</v>
      </c>
      <c r="H372" s="49" t="s">
        <v>49</v>
      </c>
      <c r="I372" s="94" t="s">
        <v>39</v>
      </c>
      <c r="J372" s="39" t="s">
        <v>172</v>
      </c>
      <c r="K372" s="95" t="s">
        <v>453</v>
      </c>
      <c r="L372" s="94" t="s">
        <v>2408</v>
      </c>
      <c r="M372" s="51" t="b">
        <v>1</v>
      </c>
      <c r="N372" s="118" t="s">
        <v>2409</v>
      </c>
      <c r="O372" s="130"/>
      <c r="P372" s="119"/>
      <c r="Q372" s="119"/>
      <c r="R372" s="119"/>
      <c r="S372" s="119"/>
      <c r="T372" s="46"/>
      <c r="U372" s="13"/>
      <c r="V372" s="13"/>
      <c r="W372" s="13"/>
      <c r="X372" s="13"/>
      <c r="Y372" s="13"/>
      <c r="Z372" s="13"/>
      <c r="AA372" s="13"/>
      <c r="AB372" s="13"/>
      <c r="AC372" s="13"/>
    </row>
    <row r="373" ht="16.5" customHeight="1">
      <c r="A373" s="35">
        <v>370.0</v>
      </c>
      <c r="B373" s="36" t="s">
        <v>1264</v>
      </c>
      <c r="C373" s="36"/>
      <c r="D373" s="38"/>
      <c r="E373" s="38"/>
      <c r="F373" s="38" t="s">
        <v>2410</v>
      </c>
      <c r="G373" s="39" t="s">
        <v>491</v>
      </c>
      <c r="H373" s="49" t="s">
        <v>49</v>
      </c>
      <c r="I373" s="94" t="s">
        <v>39</v>
      </c>
      <c r="J373" s="39" t="s">
        <v>492</v>
      </c>
      <c r="K373" s="41" t="s">
        <v>409</v>
      </c>
      <c r="L373" s="39" t="s">
        <v>493</v>
      </c>
      <c r="M373" s="51" t="b">
        <v>1</v>
      </c>
      <c r="N373" s="131" t="s">
        <v>494</v>
      </c>
      <c r="O373" s="129" t="s">
        <v>495</v>
      </c>
      <c r="P373" s="119"/>
      <c r="Q373" s="119"/>
      <c r="R373" s="119"/>
      <c r="S373" s="119"/>
      <c r="T373" s="46"/>
      <c r="U373" s="13"/>
      <c r="V373" s="13"/>
      <c r="W373" s="13"/>
      <c r="X373" s="13"/>
      <c r="Y373" s="13"/>
      <c r="Z373" s="13"/>
      <c r="AA373" s="13"/>
      <c r="AB373" s="13"/>
      <c r="AC373" s="13"/>
    </row>
    <row r="374" ht="409.5" hidden="1" customHeight="1">
      <c r="A374" s="35">
        <v>371.0</v>
      </c>
      <c r="B374" s="101" t="s">
        <v>2411</v>
      </c>
      <c r="C374" s="101"/>
      <c r="D374" s="38" t="s">
        <v>2412</v>
      </c>
      <c r="E374" s="38" t="s">
        <v>2413</v>
      </c>
      <c r="F374" s="38" t="s">
        <v>1832</v>
      </c>
      <c r="G374" s="39" t="s">
        <v>231</v>
      </c>
      <c r="H374" s="49" t="s">
        <v>62</v>
      </c>
      <c r="I374" s="94" t="s">
        <v>63</v>
      </c>
      <c r="J374" s="55"/>
      <c r="K374" s="123"/>
      <c r="L374" s="124"/>
      <c r="M374" s="51" t="b">
        <v>0</v>
      </c>
      <c r="N374" s="119"/>
      <c r="O374" s="119"/>
      <c r="P374" s="119"/>
      <c r="Q374" s="119"/>
      <c r="R374" s="119"/>
      <c r="S374" s="119"/>
      <c r="T374" s="46"/>
      <c r="U374" s="13"/>
      <c r="V374" s="13"/>
      <c r="W374" s="13"/>
      <c r="X374" s="13"/>
      <c r="Y374" s="13"/>
      <c r="Z374" s="13"/>
      <c r="AA374" s="13"/>
      <c r="AB374" s="13"/>
      <c r="AC374" s="13"/>
    </row>
    <row r="375" ht="16.5" hidden="1" customHeight="1">
      <c r="A375" s="35">
        <v>372.0</v>
      </c>
      <c r="B375" s="36" t="s">
        <v>2414</v>
      </c>
      <c r="C375" s="36"/>
      <c r="D375" s="38" t="s">
        <v>1831</v>
      </c>
      <c r="E375" s="38"/>
      <c r="F375" s="38" t="s">
        <v>2415</v>
      </c>
      <c r="G375" s="39" t="s">
        <v>2269</v>
      </c>
      <c r="H375" s="49" t="s">
        <v>62</v>
      </c>
      <c r="I375" s="94" t="s">
        <v>63</v>
      </c>
      <c r="J375" s="55"/>
      <c r="K375" s="123"/>
      <c r="L375" s="171"/>
      <c r="M375" s="51" t="b">
        <v>0</v>
      </c>
      <c r="N375" s="126"/>
      <c r="O375" s="126"/>
      <c r="P375" s="126" t="s">
        <v>2416</v>
      </c>
      <c r="Q375" s="119"/>
      <c r="R375" s="119"/>
      <c r="S375" s="119"/>
      <c r="T375" s="46"/>
      <c r="U375" s="13"/>
      <c r="V375" s="13"/>
      <c r="W375" s="13"/>
      <c r="X375" s="13"/>
      <c r="Y375" s="13"/>
      <c r="Z375" s="13"/>
      <c r="AA375" s="13"/>
      <c r="AB375" s="13"/>
      <c r="AC375" s="13"/>
    </row>
    <row r="376" ht="144.0" hidden="1" customHeight="1">
      <c r="A376" s="35">
        <v>373.0</v>
      </c>
      <c r="B376" s="36" t="s">
        <v>2417</v>
      </c>
      <c r="C376" s="36"/>
      <c r="D376" s="38" t="s">
        <v>1831</v>
      </c>
      <c r="E376" s="38"/>
      <c r="F376" s="38" t="s">
        <v>1832</v>
      </c>
      <c r="G376" s="39" t="s">
        <v>231</v>
      </c>
      <c r="H376" s="49" t="s">
        <v>62</v>
      </c>
      <c r="I376" s="94" t="s">
        <v>63</v>
      </c>
      <c r="J376" s="55"/>
      <c r="K376" s="123"/>
      <c r="L376" s="124"/>
      <c r="M376" s="51" t="b">
        <v>0</v>
      </c>
      <c r="N376" s="119"/>
      <c r="O376" s="119"/>
      <c r="P376" s="119"/>
      <c r="Q376" s="119"/>
      <c r="R376" s="119"/>
      <c r="S376" s="119"/>
      <c r="T376" s="46"/>
      <c r="U376" s="13"/>
      <c r="V376" s="13"/>
      <c r="W376" s="13"/>
      <c r="X376" s="13"/>
      <c r="Y376" s="13"/>
      <c r="Z376" s="13"/>
      <c r="AA376" s="13"/>
      <c r="AB376" s="13"/>
      <c r="AC376" s="13"/>
    </row>
    <row r="377" ht="198.0" hidden="1" customHeight="1">
      <c r="A377" s="35">
        <v>374.0</v>
      </c>
      <c r="B377" s="36" t="s">
        <v>2418</v>
      </c>
      <c r="C377" s="36"/>
      <c r="D377" s="38" t="s">
        <v>1831</v>
      </c>
      <c r="E377" s="38"/>
      <c r="F377" s="38" t="s">
        <v>2419</v>
      </c>
      <c r="G377" s="39" t="s">
        <v>231</v>
      </c>
      <c r="H377" s="49" t="s">
        <v>62</v>
      </c>
      <c r="I377" s="94" t="s">
        <v>63</v>
      </c>
      <c r="J377" s="55"/>
      <c r="K377" s="123"/>
      <c r="L377" s="124"/>
      <c r="M377" s="51" t="b">
        <v>0</v>
      </c>
      <c r="N377" s="119"/>
      <c r="O377" s="119"/>
      <c r="P377" s="119"/>
      <c r="Q377" s="119"/>
      <c r="R377" s="119"/>
      <c r="S377" s="119"/>
      <c r="T377" s="46"/>
      <c r="U377" s="13"/>
      <c r="V377" s="13"/>
      <c r="W377" s="13"/>
      <c r="X377" s="13"/>
      <c r="Y377" s="13"/>
      <c r="Z377" s="13"/>
      <c r="AA377" s="13"/>
      <c r="AB377" s="13"/>
      <c r="AC377" s="13"/>
    </row>
    <row r="378">
      <c r="A378" s="35">
        <v>375.0</v>
      </c>
      <c r="B378" s="36" t="s">
        <v>2420</v>
      </c>
      <c r="C378" s="36"/>
      <c r="D378" s="38" t="s">
        <v>1831</v>
      </c>
      <c r="E378" s="38"/>
      <c r="F378" s="38" t="s">
        <v>1832</v>
      </c>
      <c r="G378" s="39" t="s">
        <v>573</v>
      </c>
      <c r="H378" s="49" t="s">
        <v>49</v>
      </c>
      <c r="I378" s="94" t="s">
        <v>39</v>
      </c>
      <c r="J378" s="39" t="s">
        <v>574</v>
      </c>
      <c r="K378" s="92" t="s">
        <v>152</v>
      </c>
      <c r="L378" s="94" t="s">
        <v>576</v>
      </c>
      <c r="M378" s="51" t="b">
        <v>1</v>
      </c>
      <c r="N378" s="131" t="s">
        <v>2421</v>
      </c>
      <c r="O378" s="129" t="s">
        <v>577</v>
      </c>
      <c r="P378" s="119"/>
      <c r="Q378" s="119"/>
      <c r="R378" s="119"/>
      <c r="S378" s="119"/>
      <c r="T378" s="46"/>
      <c r="U378" s="13"/>
      <c r="V378" s="13"/>
      <c r="W378" s="13"/>
      <c r="X378" s="13"/>
      <c r="Y378" s="13"/>
      <c r="Z378" s="13"/>
      <c r="AA378" s="13"/>
      <c r="AB378" s="13"/>
      <c r="AC378" s="13"/>
    </row>
    <row r="379" ht="144.0" hidden="1" customHeight="1">
      <c r="A379" s="35">
        <v>376.0</v>
      </c>
      <c r="B379" s="36" t="s">
        <v>2422</v>
      </c>
      <c r="C379" s="36"/>
      <c r="D379" s="38"/>
      <c r="E379" s="38"/>
      <c r="F379" s="38" t="s">
        <v>1832</v>
      </c>
      <c r="G379" s="39" t="s">
        <v>231</v>
      </c>
      <c r="H379" s="49" t="s">
        <v>62</v>
      </c>
      <c r="I379" s="94" t="s">
        <v>63</v>
      </c>
      <c r="J379" s="55"/>
      <c r="K379" s="123"/>
      <c r="L379" s="124"/>
      <c r="M379" s="51" t="b">
        <v>0</v>
      </c>
      <c r="N379" s="119"/>
      <c r="O379" s="119"/>
      <c r="P379" s="119"/>
      <c r="Q379" s="119"/>
      <c r="R379" s="119"/>
      <c r="S379" s="119"/>
      <c r="T379" s="46"/>
      <c r="U379" s="13"/>
      <c r="V379" s="13"/>
      <c r="W379" s="13"/>
      <c r="X379" s="13"/>
      <c r="Y379" s="13"/>
      <c r="Z379" s="13"/>
      <c r="AA379" s="13"/>
      <c r="AB379" s="13"/>
      <c r="AC379" s="13"/>
    </row>
    <row r="380">
      <c r="A380" s="35">
        <v>377.0</v>
      </c>
      <c r="B380" s="36" t="s">
        <v>2423</v>
      </c>
      <c r="C380" s="36"/>
      <c r="D380" s="38" t="s">
        <v>2424</v>
      </c>
      <c r="E380" s="38"/>
      <c r="F380" s="38" t="s">
        <v>2425</v>
      </c>
      <c r="G380" s="39" t="s">
        <v>2426</v>
      </c>
      <c r="H380" s="49" t="s">
        <v>49</v>
      </c>
      <c r="I380" s="94" t="s">
        <v>39</v>
      </c>
      <c r="J380" s="39" t="s">
        <v>620</v>
      </c>
      <c r="K380" s="95" t="s">
        <v>2427</v>
      </c>
      <c r="L380" s="94" t="s">
        <v>2428</v>
      </c>
      <c r="M380" s="51" t="b">
        <v>1</v>
      </c>
      <c r="N380" s="131" t="s">
        <v>2429</v>
      </c>
      <c r="O380" s="130"/>
      <c r="P380" s="119"/>
      <c r="Q380" s="119"/>
      <c r="R380" s="119"/>
      <c r="S380" s="119"/>
      <c r="T380" s="46"/>
      <c r="U380" s="13"/>
      <c r="V380" s="13"/>
      <c r="W380" s="13"/>
      <c r="X380" s="13"/>
      <c r="Y380" s="13"/>
      <c r="Z380" s="13"/>
      <c r="AA380" s="13"/>
      <c r="AB380" s="13"/>
      <c r="AC380" s="13"/>
    </row>
    <row r="381" ht="144.0" hidden="1" customHeight="1">
      <c r="A381" s="35">
        <v>378.0</v>
      </c>
      <c r="B381" s="36" t="s">
        <v>2430</v>
      </c>
      <c r="C381" s="36" t="s">
        <v>2430</v>
      </c>
      <c r="D381" s="38" t="s">
        <v>1831</v>
      </c>
      <c r="E381" s="38"/>
      <c r="F381" s="38" t="s">
        <v>1832</v>
      </c>
      <c r="G381" s="39" t="s">
        <v>231</v>
      </c>
      <c r="H381" s="49" t="s">
        <v>62</v>
      </c>
      <c r="I381" s="94" t="s">
        <v>63</v>
      </c>
      <c r="J381" s="55"/>
      <c r="K381" s="123"/>
      <c r="L381" s="124"/>
      <c r="M381" s="51" t="b">
        <v>0</v>
      </c>
      <c r="N381" s="119"/>
      <c r="O381" s="119"/>
      <c r="P381" s="119"/>
      <c r="Q381" s="119"/>
      <c r="R381" s="119"/>
      <c r="S381" s="119"/>
      <c r="T381" s="46"/>
      <c r="U381" s="13"/>
      <c r="V381" s="13"/>
      <c r="W381" s="13"/>
      <c r="X381" s="13"/>
      <c r="Y381" s="13"/>
      <c r="Z381" s="13"/>
      <c r="AA381" s="13"/>
      <c r="AB381" s="13"/>
      <c r="AC381" s="13"/>
    </row>
    <row r="382" ht="16.5" customHeight="1">
      <c r="A382" s="172">
        <v>379.0</v>
      </c>
      <c r="B382" s="173" t="s">
        <v>2431</v>
      </c>
      <c r="C382" s="13"/>
      <c r="D382" s="13"/>
      <c r="E382" s="13"/>
      <c r="F382" s="13"/>
      <c r="G382" s="174" t="s">
        <v>2432</v>
      </c>
      <c r="H382" s="49" t="s">
        <v>49</v>
      </c>
      <c r="I382" s="94" t="s">
        <v>39</v>
      </c>
      <c r="J382" s="175" t="s">
        <v>121</v>
      </c>
      <c r="K382" s="176" t="s">
        <v>122</v>
      </c>
      <c r="L382" s="175" t="s">
        <v>2433</v>
      </c>
      <c r="M382" s="51" t="b">
        <v>1</v>
      </c>
      <c r="N382" s="118" t="s">
        <v>124</v>
      </c>
      <c r="O382" s="119"/>
      <c r="P382" s="13"/>
      <c r="Q382" s="13"/>
      <c r="R382" s="177"/>
      <c r="S382" s="35"/>
      <c r="T382" s="35"/>
      <c r="U382" s="13"/>
      <c r="V382" s="13"/>
      <c r="W382" s="13"/>
      <c r="X382" s="13"/>
      <c r="Y382" s="13"/>
      <c r="Z382" s="13"/>
      <c r="AA382" s="13"/>
      <c r="AB382" s="13"/>
      <c r="AC382" s="13"/>
    </row>
    <row r="383" ht="16.5" customHeight="1">
      <c r="A383" s="172">
        <v>381.0</v>
      </c>
      <c r="B383" s="173" t="s">
        <v>2434</v>
      </c>
      <c r="C383" s="13"/>
      <c r="D383" s="13"/>
      <c r="E383" s="13"/>
      <c r="F383" s="13"/>
      <c r="G383" s="174" t="s">
        <v>2435</v>
      </c>
      <c r="H383" s="49" t="s">
        <v>49</v>
      </c>
      <c r="I383" s="94" t="s">
        <v>39</v>
      </c>
      <c r="J383" s="174" t="s">
        <v>2436</v>
      </c>
      <c r="K383" s="178" t="s">
        <v>2437</v>
      </c>
      <c r="L383" s="174" t="s">
        <v>2438</v>
      </c>
      <c r="M383" s="51" t="b">
        <v>1</v>
      </c>
      <c r="N383" s="118" t="s">
        <v>2439</v>
      </c>
      <c r="O383" s="119"/>
      <c r="P383" s="13"/>
      <c r="Q383" s="13"/>
      <c r="R383" s="177"/>
      <c r="S383" s="35"/>
      <c r="T383" s="35"/>
      <c r="U383" s="13"/>
      <c r="V383" s="13"/>
      <c r="W383" s="13"/>
      <c r="X383" s="13"/>
      <c r="Y383" s="13"/>
      <c r="Z383" s="13"/>
      <c r="AA383" s="13"/>
      <c r="AB383" s="13"/>
      <c r="AC383" s="13"/>
    </row>
    <row r="384" ht="16.5" customHeight="1">
      <c r="A384" s="172">
        <v>382.0</v>
      </c>
      <c r="B384" s="173" t="s">
        <v>2440</v>
      </c>
      <c r="C384" s="13"/>
      <c r="D384" s="13"/>
      <c r="E384" s="13"/>
      <c r="F384" s="13"/>
      <c r="G384" s="174" t="s">
        <v>2441</v>
      </c>
      <c r="H384" s="49" t="s">
        <v>49</v>
      </c>
      <c r="I384" s="94" t="s">
        <v>39</v>
      </c>
      <c r="J384" s="174" t="s">
        <v>2436</v>
      </c>
      <c r="K384" s="178" t="s">
        <v>2442</v>
      </c>
      <c r="L384" s="174" t="s">
        <v>2443</v>
      </c>
      <c r="M384" s="51" t="b">
        <v>1</v>
      </c>
      <c r="N384" s="118" t="s">
        <v>2444</v>
      </c>
      <c r="O384" s="119"/>
      <c r="P384" s="13"/>
      <c r="Q384" s="13"/>
      <c r="R384" s="177"/>
      <c r="S384" s="35"/>
      <c r="T384" s="35"/>
      <c r="U384" s="13"/>
      <c r="V384" s="13"/>
      <c r="W384" s="13"/>
      <c r="X384" s="13"/>
      <c r="Y384" s="13"/>
      <c r="Z384" s="13"/>
      <c r="AA384" s="13"/>
      <c r="AB384" s="13"/>
      <c r="AC384" s="13"/>
    </row>
    <row r="385" ht="16.5" customHeight="1">
      <c r="A385" s="172">
        <v>383.0</v>
      </c>
      <c r="B385" s="173" t="s">
        <v>2445</v>
      </c>
      <c r="C385" s="13"/>
      <c r="D385" s="13"/>
      <c r="E385" s="13"/>
      <c r="F385" s="13"/>
      <c r="G385" s="174" t="s">
        <v>2446</v>
      </c>
      <c r="H385" s="49" t="s">
        <v>49</v>
      </c>
      <c r="I385" s="94" t="s">
        <v>39</v>
      </c>
      <c r="J385" s="179" t="s">
        <v>2447</v>
      </c>
      <c r="K385" s="180" t="s">
        <v>2448</v>
      </c>
      <c r="L385" s="174" t="s">
        <v>2449</v>
      </c>
      <c r="M385" s="51" t="b">
        <v>1</v>
      </c>
      <c r="N385" s="118" t="s">
        <v>2450</v>
      </c>
      <c r="O385" s="119"/>
      <c r="P385" s="13"/>
      <c r="Q385" s="13"/>
      <c r="R385" s="177"/>
      <c r="S385" s="35"/>
      <c r="T385" s="35"/>
      <c r="U385" s="13"/>
      <c r="V385" s="13"/>
      <c r="W385" s="13"/>
      <c r="X385" s="13"/>
      <c r="Y385" s="13"/>
      <c r="Z385" s="13"/>
      <c r="AA385" s="13"/>
      <c r="AB385" s="13"/>
      <c r="AC385" s="13"/>
    </row>
    <row r="386" ht="16.5" customHeight="1">
      <c r="A386" s="172">
        <v>384.0</v>
      </c>
      <c r="B386" s="173" t="s">
        <v>2451</v>
      </c>
      <c r="C386" s="13"/>
      <c r="D386" s="13"/>
      <c r="E386" s="13"/>
      <c r="F386" s="13"/>
      <c r="G386" s="174" t="s">
        <v>2452</v>
      </c>
      <c r="H386" s="49" t="s">
        <v>49</v>
      </c>
      <c r="I386" s="94" t="s">
        <v>39</v>
      </c>
      <c r="J386" s="174" t="s">
        <v>121</v>
      </c>
      <c r="K386" s="178" t="s">
        <v>2453</v>
      </c>
      <c r="L386" s="174" t="s">
        <v>2454</v>
      </c>
      <c r="M386" s="51" t="b">
        <v>1</v>
      </c>
      <c r="N386" s="118" t="s">
        <v>124</v>
      </c>
      <c r="O386" s="119"/>
      <c r="P386" s="13"/>
      <c r="Q386" s="13"/>
      <c r="R386" s="177"/>
      <c r="S386" s="35"/>
      <c r="T386" s="35"/>
      <c r="U386" s="13"/>
      <c r="V386" s="13"/>
      <c r="W386" s="13"/>
      <c r="X386" s="13"/>
      <c r="Y386" s="13"/>
      <c r="Z386" s="13"/>
      <c r="AA386" s="13"/>
      <c r="AB386" s="13"/>
      <c r="AC386" s="13"/>
    </row>
    <row r="387" ht="16.5" customHeight="1">
      <c r="A387" s="172">
        <v>391.0</v>
      </c>
      <c r="B387" s="173" t="s">
        <v>2455</v>
      </c>
      <c r="C387" s="13"/>
      <c r="D387" s="13"/>
      <c r="E387" s="13"/>
      <c r="F387" s="13"/>
      <c r="G387" s="174" t="s">
        <v>2456</v>
      </c>
      <c r="H387" s="49" t="s">
        <v>49</v>
      </c>
      <c r="I387" s="94" t="s">
        <v>39</v>
      </c>
      <c r="J387" s="181" t="s">
        <v>2457</v>
      </c>
      <c r="K387" s="178" t="s">
        <v>173</v>
      </c>
      <c r="L387" s="174" t="s">
        <v>2458</v>
      </c>
      <c r="M387" s="51" t="b">
        <v>1</v>
      </c>
      <c r="N387" s="61" t="s">
        <v>292</v>
      </c>
      <c r="O387" s="119"/>
      <c r="P387" s="13"/>
      <c r="Q387" s="13"/>
      <c r="R387" s="177"/>
      <c r="S387" s="35"/>
      <c r="T387" s="35"/>
      <c r="U387" s="13"/>
      <c r="V387" s="13"/>
      <c r="W387" s="13"/>
      <c r="X387" s="13"/>
      <c r="Y387" s="13"/>
      <c r="Z387" s="13"/>
      <c r="AA387" s="13"/>
      <c r="AB387" s="13"/>
      <c r="AC387" s="13"/>
    </row>
    <row r="388" ht="16.5" customHeight="1">
      <c r="A388" s="172">
        <v>393.0</v>
      </c>
      <c r="B388" s="173" t="s">
        <v>2459</v>
      </c>
      <c r="C388" s="13"/>
      <c r="D388" s="13"/>
      <c r="E388" s="13"/>
      <c r="F388" s="13"/>
      <c r="G388" s="174" t="s">
        <v>2460</v>
      </c>
      <c r="H388" s="49" t="s">
        <v>49</v>
      </c>
      <c r="I388" s="94" t="s">
        <v>39</v>
      </c>
      <c r="J388" s="174" t="s">
        <v>2436</v>
      </c>
      <c r="K388" s="182" t="s">
        <v>2461</v>
      </c>
      <c r="L388" s="174" t="s">
        <v>2462</v>
      </c>
      <c r="M388" s="51" t="b">
        <v>1</v>
      </c>
      <c r="N388" s="118" t="s">
        <v>2463</v>
      </c>
      <c r="O388" s="119"/>
      <c r="P388" s="13"/>
      <c r="Q388" s="13"/>
      <c r="R388" s="177"/>
      <c r="S388" s="35"/>
      <c r="T388" s="35"/>
      <c r="U388" s="13"/>
      <c r="V388" s="13"/>
      <c r="W388" s="13"/>
      <c r="X388" s="13"/>
      <c r="Y388" s="13"/>
      <c r="Z388" s="13"/>
      <c r="AA388" s="13"/>
      <c r="AB388" s="13"/>
      <c r="AC388" s="13"/>
    </row>
    <row r="389" ht="16.5" customHeight="1">
      <c r="A389" s="172">
        <v>394.0</v>
      </c>
      <c r="B389" s="173" t="s">
        <v>2464</v>
      </c>
      <c r="C389" s="13"/>
      <c r="D389" s="13"/>
      <c r="E389" s="13"/>
      <c r="F389" s="13"/>
      <c r="G389" s="174" t="s">
        <v>2465</v>
      </c>
      <c r="H389" s="49" t="s">
        <v>49</v>
      </c>
      <c r="I389" s="94" t="s">
        <v>39</v>
      </c>
      <c r="J389" s="183" t="s">
        <v>2466</v>
      </c>
      <c r="K389" s="178" t="s">
        <v>2467</v>
      </c>
      <c r="L389" s="174" t="s">
        <v>2468</v>
      </c>
      <c r="M389" s="51" t="b">
        <v>0</v>
      </c>
      <c r="N389" s="119"/>
      <c r="O389" s="119"/>
      <c r="P389" s="13"/>
      <c r="Q389" s="13"/>
      <c r="R389" s="177"/>
      <c r="S389" s="35"/>
      <c r="T389" s="35"/>
      <c r="U389" s="13"/>
      <c r="V389" s="13"/>
      <c r="W389" s="13"/>
      <c r="X389" s="13"/>
      <c r="Y389" s="13"/>
      <c r="Z389" s="13"/>
      <c r="AA389" s="13"/>
      <c r="AB389" s="13"/>
      <c r="AC389" s="13"/>
    </row>
    <row r="390" ht="16.5" customHeight="1">
      <c r="A390" s="172">
        <v>396.0</v>
      </c>
      <c r="B390" s="173" t="s">
        <v>2469</v>
      </c>
      <c r="C390" s="13"/>
      <c r="D390" s="13"/>
      <c r="E390" s="13"/>
      <c r="F390" s="13"/>
      <c r="G390" s="174" t="s">
        <v>2470</v>
      </c>
      <c r="H390" s="49" t="s">
        <v>49</v>
      </c>
      <c r="I390" s="94" t="s">
        <v>39</v>
      </c>
      <c r="J390" s="183" t="s">
        <v>2466</v>
      </c>
      <c r="K390" s="178" t="s">
        <v>2471</v>
      </c>
      <c r="L390" s="174" t="s">
        <v>2472</v>
      </c>
      <c r="M390" s="51" t="b">
        <v>0</v>
      </c>
      <c r="N390" s="119"/>
      <c r="O390" s="119"/>
      <c r="P390" s="13"/>
      <c r="Q390" s="13"/>
      <c r="R390" s="177"/>
      <c r="S390" s="35"/>
      <c r="T390" s="35"/>
      <c r="U390" s="13"/>
      <c r="V390" s="13"/>
      <c r="W390" s="13"/>
      <c r="X390" s="13"/>
      <c r="Y390" s="13"/>
      <c r="Z390" s="13"/>
      <c r="AA390" s="13"/>
      <c r="AB390" s="13"/>
      <c r="AC390" s="13"/>
    </row>
    <row r="391" ht="16.5" customHeight="1">
      <c r="A391" s="172">
        <v>398.0</v>
      </c>
      <c r="B391" s="173" t="s">
        <v>2473</v>
      </c>
      <c r="C391" s="13"/>
      <c r="D391" s="13"/>
      <c r="E391" s="13"/>
      <c r="F391" s="13"/>
      <c r="G391" s="174" t="s">
        <v>2474</v>
      </c>
      <c r="H391" s="49" t="s">
        <v>49</v>
      </c>
      <c r="I391" s="94" t="s">
        <v>39</v>
      </c>
      <c r="J391" s="179" t="s">
        <v>2475</v>
      </c>
      <c r="K391" s="180" t="s">
        <v>721</v>
      </c>
      <c r="L391" s="174" t="s">
        <v>2476</v>
      </c>
      <c r="M391" s="51" t="b">
        <v>1</v>
      </c>
      <c r="N391" s="61" t="s">
        <v>292</v>
      </c>
      <c r="O391" s="119"/>
      <c r="P391" s="13"/>
      <c r="Q391" s="13"/>
      <c r="R391" s="177"/>
      <c r="S391" s="35"/>
      <c r="T391" s="35"/>
      <c r="U391" s="13"/>
      <c r="V391" s="13"/>
      <c r="W391" s="13"/>
      <c r="X391" s="13"/>
      <c r="Y391" s="13"/>
      <c r="Z391" s="13"/>
      <c r="AA391" s="13"/>
      <c r="AB391" s="13"/>
      <c r="AC391" s="13"/>
    </row>
    <row r="392" ht="16.5" customHeight="1">
      <c r="A392" s="172">
        <v>399.0</v>
      </c>
      <c r="B392" s="173" t="s">
        <v>2477</v>
      </c>
      <c r="C392" s="13"/>
      <c r="D392" s="13"/>
      <c r="E392" s="13"/>
      <c r="F392" s="13"/>
      <c r="G392" s="174" t="s">
        <v>2478</v>
      </c>
      <c r="H392" s="49" t="s">
        <v>49</v>
      </c>
      <c r="I392" s="94" t="s">
        <v>39</v>
      </c>
      <c r="J392" s="179" t="s">
        <v>2475</v>
      </c>
      <c r="K392" s="180" t="s">
        <v>2479</v>
      </c>
      <c r="L392" s="174" t="s">
        <v>2476</v>
      </c>
      <c r="M392" s="51" t="b">
        <v>1</v>
      </c>
      <c r="N392" s="118" t="s">
        <v>2480</v>
      </c>
      <c r="O392" s="119"/>
      <c r="P392" s="13"/>
      <c r="Q392" s="13"/>
      <c r="R392" s="177"/>
      <c r="S392" s="35"/>
      <c r="T392" s="35"/>
      <c r="U392" s="13"/>
      <c r="V392" s="13"/>
      <c r="W392" s="13"/>
      <c r="X392" s="13"/>
      <c r="Y392" s="13"/>
      <c r="Z392" s="13"/>
      <c r="AA392" s="13"/>
      <c r="AB392" s="13"/>
      <c r="AC392" s="13"/>
    </row>
    <row r="393" ht="16.5" customHeight="1">
      <c r="A393" s="172">
        <v>400.0</v>
      </c>
      <c r="B393" s="173" t="s">
        <v>2481</v>
      </c>
      <c r="C393" s="13"/>
      <c r="D393" s="13"/>
      <c r="E393" s="13"/>
      <c r="F393" s="13"/>
      <c r="G393" s="174" t="s">
        <v>2482</v>
      </c>
      <c r="H393" s="49" t="s">
        <v>49</v>
      </c>
      <c r="I393" s="94" t="s">
        <v>39</v>
      </c>
      <c r="J393" s="179" t="s">
        <v>2475</v>
      </c>
      <c r="K393" s="180" t="s">
        <v>290</v>
      </c>
      <c r="L393" s="174" t="s">
        <v>2476</v>
      </c>
      <c r="M393" s="51" t="b">
        <v>1</v>
      </c>
      <c r="N393" s="118" t="s">
        <v>2483</v>
      </c>
      <c r="O393" s="119"/>
      <c r="P393" s="13"/>
      <c r="Q393" s="13"/>
      <c r="R393" s="177"/>
      <c r="S393" s="35"/>
      <c r="T393" s="35"/>
      <c r="U393" s="13"/>
      <c r="V393" s="13"/>
      <c r="W393" s="13"/>
      <c r="X393" s="13"/>
      <c r="Y393" s="13"/>
      <c r="Z393" s="13"/>
      <c r="AA393" s="13"/>
      <c r="AB393" s="13"/>
      <c r="AC393" s="13"/>
    </row>
    <row r="394" ht="16.5" customHeight="1">
      <c r="A394" s="172">
        <v>401.0</v>
      </c>
      <c r="B394" s="173" t="s">
        <v>2484</v>
      </c>
      <c r="C394" s="13"/>
      <c r="D394" s="13"/>
      <c r="E394" s="13"/>
      <c r="F394" s="13"/>
      <c r="G394" s="174" t="s">
        <v>2485</v>
      </c>
      <c r="H394" s="49" t="s">
        <v>49</v>
      </c>
      <c r="I394" s="94" t="s">
        <v>39</v>
      </c>
      <c r="J394" s="179" t="s">
        <v>2475</v>
      </c>
      <c r="K394" s="180" t="s">
        <v>290</v>
      </c>
      <c r="L394" s="174" t="s">
        <v>2476</v>
      </c>
      <c r="M394" s="51" t="b">
        <v>1</v>
      </c>
      <c r="N394" s="118" t="s">
        <v>2486</v>
      </c>
      <c r="O394" s="119"/>
      <c r="P394" s="13"/>
      <c r="Q394" s="13"/>
      <c r="R394" s="177"/>
      <c r="S394" s="35"/>
      <c r="T394" s="35"/>
      <c r="U394" s="13"/>
      <c r="V394" s="13"/>
      <c r="W394" s="13"/>
      <c r="X394" s="13"/>
      <c r="Y394" s="13"/>
      <c r="Z394" s="13"/>
      <c r="AA394" s="13"/>
      <c r="AB394" s="13"/>
      <c r="AC394" s="13"/>
    </row>
    <row r="395" ht="16.5" customHeight="1">
      <c r="A395" s="172">
        <v>402.0</v>
      </c>
      <c r="B395" s="173" t="s">
        <v>2487</v>
      </c>
      <c r="C395" s="13"/>
      <c r="D395" s="13"/>
      <c r="E395" s="13"/>
      <c r="F395" s="13"/>
      <c r="G395" s="174" t="s">
        <v>2488</v>
      </c>
      <c r="H395" s="49" t="s">
        <v>49</v>
      </c>
      <c r="I395" s="94" t="s">
        <v>39</v>
      </c>
      <c r="J395" s="179" t="s">
        <v>2475</v>
      </c>
      <c r="K395" s="180" t="s">
        <v>1126</v>
      </c>
      <c r="L395" s="174" t="s">
        <v>2476</v>
      </c>
      <c r="M395" s="51" t="b">
        <v>1</v>
      </c>
      <c r="N395" s="118" t="s">
        <v>2489</v>
      </c>
      <c r="O395" s="119"/>
      <c r="P395" s="13"/>
      <c r="Q395" s="13"/>
      <c r="R395" s="177"/>
      <c r="S395" s="35"/>
      <c r="T395" s="35"/>
      <c r="U395" s="13"/>
      <c r="V395" s="13"/>
      <c r="W395" s="13"/>
      <c r="X395" s="13"/>
      <c r="Y395" s="13"/>
      <c r="Z395" s="13"/>
      <c r="AA395" s="13"/>
      <c r="AB395" s="13"/>
      <c r="AC395" s="13"/>
    </row>
    <row r="396" ht="16.5" customHeight="1">
      <c r="A396" s="172">
        <v>403.0</v>
      </c>
      <c r="B396" s="173" t="s">
        <v>2490</v>
      </c>
      <c r="C396" s="13"/>
      <c r="D396" s="13"/>
      <c r="E396" s="13"/>
      <c r="F396" s="13"/>
      <c r="G396" s="174" t="s">
        <v>2491</v>
      </c>
      <c r="H396" s="49" t="s">
        <v>49</v>
      </c>
      <c r="I396" s="94" t="s">
        <v>39</v>
      </c>
      <c r="J396" s="179" t="s">
        <v>2475</v>
      </c>
      <c r="K396" s="180" t="s">
        <v>1126</v>
      </c>
      <c r="L396" s="174" t="s">
        <v>2476</v>
      </c>
      <c r="M396" s="51" t="b">
        <v>1</v>
      </c>
      <c r="N396" s="61" t="s">
        <v>106</v>
      </c>
      <c r="O396" s="119"/>
      <c r="P396" s="13"/>
      <c r="Q396" s="13"/>
      <c r="R396" s="177"/>
      <c r="S396" s="35"/>
      <c r="T396" s="35"/>
      <c r="U396" s="13"/>
      <c r="V396" s="13"/>
      <c r="W396" s="13"/>
      <c r="X396" s="13"/>
      <c r="Y396" s="13"/>
      <c r="Z396" s="13"/>
      <c r="AA396" s="13"/>
      <c r="AB396" s="13"/>
      <c r="AC396" s="13"/>
    </row>
    <row r="397" ht="16.5" customHeight="1">
      <c r="A397" s="172">
        <v>405.0</v>
      </c>
      <c r="B397" s="173" t="s">
        <v>2492</v>
      </c>
      <c r="C397" s="13"/>
      <c r="D397" s="13"/>
      <c r="E397" s="13"/>
      <c r="F397" s="13"/>
      <c r="G397" s="174" t="s">
        <v>2493</v>
      </c>
      <c r="H397" s="49" t="s">
        <v>49</v>
      </c>
      <c r="I397" s="94" t="s">
        <v>39</v>
      </c>
      <c r="J397" s="179" t="s">
        <v>2494</v>
      </c>
      <c r="K397" s="178" t="s">
        <v>2495</v>
      </c>
      <c r="L397" s="174" t="s">
        <v>2496</v>
      </c>
      <c r="M397" s="51" t="b">
        <v>1</v>
      </c>
      <c r="N397" s="118" t="s">
        <v>2497</v>
      </c>
      <c r="O397" s="119"/>
      <c r="P397" s="13"/>
      <c r="Q397" s="13"/>
      <c r="R397" s="177"/>
      <c r="S397" s="35"/>
      <c r="T397" s="35"/>
      <c r="U397" s="13"/>
      <c r="V397" s="13"/>
      <c r="W397" s="13"/>
      <c r="X397" s="13"/>
      <c r="Y397" s="13"/>
      <c r="Z397" s="13"/>
      <c r="AA397" s="13"/>
      <c r="AB397" s="13"/>
      <c r="AC397" s="13"/>
    </row>
    <row r="398" ht="16.5" customHeight="1">
      <c r="A398" s="172">
        <v>407.0</v>
      </c>
      <c r="B398" s="173" t="s">
        <v>2498</v>
      </c>
      <c r="C398" s="13"/>
      <c r="D398" s="13"/>
      <c r="E398" s="13"/>
      <c r="F398" s="13"/>
      <c r="G398" s="174" t="s">
        <v>2499</v>
      </c>
      <c r="H398" s="49" t="s">
        <v>49</v>
      </c>
      <c r="I398" s="94" t="s">
        <v>39</v>
      </c>
      <c r="J398" s="184" t="s">
        <v>2500</v>
      </c>
      <c r="K398" s="180" t="s">
        <v>2112</v>
      </c>
      <c r="L398" s="174" t="s">
        <v>2496</v>
      </c>
      <c r="M398" s="51" t="b">
        <v>1</v>
      </c>
      <c r="N398" s="61" t="s">
        <v>292</v>
      </c>
      <c r="O398" s="119"/>
      <c r="P398" s="13"/>
      <c r="Q398" s="13"/>
      <c r="R398" s="177"/>
      <c r="S398" s="35"/>
      <c r="T398" s="35"/>
      <c r="U398" s="13"/>
      <c r="V398" s="13"/>
      <c r="W398" s="13"/>
      <c r="X398" s="13"/>
      <c r="Y398" s="13"/>
      <c r="Z398" s="13"/>
      <c r="AA398" s="13"/>
      <c r="AB398" s="13"/>
      <c r="AC398" s="13"/>
    </row>
    <row r="399" ht="16.5" customHeight="1">
      <c r="A399" s="172">
        <v>408.0</v>
      </c>
      <c r="B399" s="173" t="s">
        <v>2501</v>
      </c>
      <c r="C399" s="13"/>
      <c r="D399" s="13"/>
      <c r="E399" s="13"/>
      <c r="F399" s="13"/>
      <c r="G399" s="174" t="s">
        <v>2502</v>
      </c>
      <c r="H399" s="49" t="s">
        <v>49</v>
      </c>
      <c r="I399" s="94" t="s">
        <v>39</v>
      </c>
      <c r="J399" s="179" t="s">
        <v>2503</v>
      </c>
      <c r="K399" s="180" t="s">
        <v>2504</v>
      </c>
      <c r="L399" s="174" t="s">
        <v>2496</v>
      </c>
      <c r="M399" s="51" t="b">
        <v>1</v>
      </c>
      <c r="N399" s="118" t="s">
        <v>2505</v>
      </c>
      <c r="O399" s="119"/>
      <c r="P399" s="13"/>
      <c r="Q399" s="13"/>
      <c r="R399" s="177"/>
      <c r="S399" s="35"/>
      <c r="T399" s="35"/>
      <c r="U399" s="13"/>
      <c r="V399" s="13"/>
      <c r="W399" s="13"/>
      <c r="X399" s="13"/>
      <c r="Y399" s="13"/>
      <c r="Z399" s="13"/>
      <c r="AA399" s="13"/>
      <c r="AB399" s="13"/>
      <c r="AC399" s="13"/>
    </row>
    <row r="400" ht="16.5" customHeight="1">
      <c r="A400" s="172">
        <v>409.0</v>
      </c>
      <c r="B400" s="173" t="s">
        <v>2506</v>
      </c>
      <c r="C400" s="13"/>
      <c r="D400" s="13"/>
      <c r="E400" s="13"/>
      <c r="F400" s="13"/>
      <c r="G400" s="174" t="s">
        <v>2507</v>
      </c>
      <c r="H400" s="49" t="s">
        <v>49</v>
      </c>
      <c r="I400" s="94" t="s">
        <v>39</v>
      </c>
      <c r="J400" s="179" t="s">
        <v>2508</v>
      </c>
      <c r="K400" s="180" t="s">
        <v>2509</v>
      </c>
      <c r="L400" s="174" t="s">
        <v>2510</v>
      </c>
      <c r="M400" s="43" t="b">
        <v>1</v>
      </c>
      <c r="N400" s="118" t="s">
        <v>2511</v>
      </c>
      <c r="O400" s="119"/>
      <c r="P400" s="13"/>
      <c r="Q400" s="13"/>
      <c r="R400" s="177"/>
      <c r="S400" s="35"/>
      <c r="T400" s="35"/>
      <c r="U400" s="13"/>
      <c r="V400" s="13"/>
      <c r="W400" s="13"/>
      <c r="X400" s="13"/>
      <c r="Y400" s="13"/>
      <c r="Z400" s="13"/>
      <c r="AA400" s="13"/>
      <c r="AB400" s="13"/>
      <c r="AC400" s="13"/>
    </row>
    <row r="401" ht="16.5" customHeight="1">
      <c r="A401" s="172">
        <v>410.0</v>
      </c>
      <c r="B401" s="173" t="s">
        <v>2512</v>
      </c>
      <c r="C401" s="13"/>
      <c r="D401" s="13"/>
      <c r="E401" s="13"/>
      <c r="F401" s="13"/>
      <c r="G401" s="174" t="s">
        <v>2513</v>
      </c>
      <c r="H401" s="49" t="s">
        <v>49</v>
      </c>
      <c r="I401" s="94" t="s">
        <v>39</v>
      </c>
      <c r="J401" s="179" t="s">
        <v>2508</v>
      </c>
      <c r="K401" s="180" t="s">
        <v>2514</v>
      </c>
      <c r="L401" s="174" t="s">
        <v>2510</v>
      </c>
      <c r="M401" s="51" t="b">
        <v>1</v>
      </c>
      <c r="N401" s="118" t="s">
        <v>2515</v>
      </c>
      <c r="O401" s="119"/>
      <c r="P401" s="13"/>
      <c r="Q401" s="13"/>
      <c r="R401" s="177"/>
      <c r="S401" s="35"/>
      <c r="T401" s="35"/>
      <c r="U401" s="13"/>
      <c r="V401" s="13"/>
      <c r="W401" s="13"/>
      <c r="X401" s="13"/>
      <c r="Y401" s="13"/>
      <c r="Z401" s="13"/>
      <c r="AA401" s="13"/>
      <c r="AB401" s="13"/>
      <c r="AC401" s="13"/>
    </row>
    <row r="402" ht="16.5" customHeight="1">
      <c r="A402" s="172">
        <v>417.0</v>
      </c>
      <c r="B402" s="173" t="s">
        <v>2516</v>
      </c>
      <c r="C402" s="13"/>
      <c r="D402" s="13"/>
      <c r="E402" s="13"/>
      <c r="F402" s="13"/>
      <c r="G402" s="174" t="s">
        <v>2517</v>
      </c>
      <c r="H402" s="49" t="s">
        <v>49</v>
      </c>
      <c r="I402" s="94" t="s">
        <v>39</v>
      </c>
      <c r="J402" s="174" t="s">
        <v>1881</v>
      </c>
      <c r="K402" s="180" t="s">
        <v>173</v>
      </c>
      <c r="L402" s="174" t="s">
        <v>2518</v>
      </c>
      <c r="M402" s="51" t="b">
        <v>1</v>
      </c>
      <c r="N402" s="118" t="s">
        <v>1882</v>
      </c>
      <c r="O402" s="119"/>
      <c r="P402" s="13"/>
      <c r="Q402" s="13"/>
      <c r="R402" s="177"/>
      <c r="S402" s="35"/>
      <c r="T402" s="35"/>
      <c r="U402" s="13"/>
      <c r="V402" s="13"/>
      <c r="W402" s="13"/>
      <c r="X402" s="13"/>
      <c r="Y402" s="13"/>
      <c r="Z402" s="13"/>
      <c r="AA402" s="13"/>
      <c r="AB402" s="13"/>
      <c r="AC402" s="13"/>
    </row>
    <row r="403" ht="16.5" customHeight="1">
      <c r="A403" s="172">
        <v>425.0</v>
      </c>
      <c r="B403" s="173" t="s">
        <v>2519</v>
      </c>
      <c r="C403" s="13"/>
      <c r="D403" s="13"/>
      <c r="E403" s="13"/>
      <c r="F403" s="13"/>
      <c r="G403" s="174" t="s">
        <v>2520</v>
      </c>
      <c r="H403" s="49" t="s">
        <v>49</v>
      </c>
      <c r="I403" s="94" t="s">
        <v>39</v>
      </c>
      <c r="J403" s="174" t="s">
        <v>2521</v>
      </c>
      <c r="K403" s="178" t="s">
        <v>2522</v>
      </c>
      <c r="L403" s="174" t="s">
        <v>2496</v>
      </c>
      <c r="M403" s="51" t="b">
        <v>1</v>
      </c>
      <c r="N403" s="118" t="s">
        <v>2523</v>
      </c>
      <c r="O403" s="119"/>
      <c r="P403" s="13"/>
      <c r="Q403" s="13"/>
      <c r="R403" s="177"/>
      <c r="S403" s="35"/>
      <c r="T403" s="35"/>
      <c r="U403" s="13"/>
      <c r="V403" s="13"/>
      <c r="W403" s="13"/>
      <c r="X403" s="13"/>
      <c r="Y403" s="13"/>
      <c r="Z403" s="13"/>
      <c r="AA403" s="13"/>
      <c r="AB403" s="13"/>
      <c r="AC403" s="13"/>
    </row>
    <row r="404" ht="16.5" customHeight="1">
      <c r="A404" s="172">
        <v>433.0</v>
      </c>
      <c r="B404" s="173" t="s">
        <v>2524</v>
      </c>
      <c r="C404" s="13"/>
      <c r="D404" s="13"/>
      <c r="E404" s="13"/>
      <c r="F404" s="13"/>
      <c r="G404" s="174" t="s">
        <v>2525</v>
      </c>
      <c r="H404" s="49" t="s">
        <v>49</v>
      </c>
      <c r="I404" s="94" t="s">
        <v>39</v>
      </c>
      <c r="J404" s="174" t="s">
        <v>2526</v>
      </c>
      <c r="K404" s="180" t="s">
        <v>1150</v>
      </c>
      <c r="L404" s="174" t="s">
        <v>2527</v>
      </c>
      <c r="M404" s="51" t="b">
        <v>1</v>
      </c>
      <c r="N404" s="118" t="s">
        <v>2528</v>
      </c>
      <c r="O404" s="119"/>
      <c r="P404" s="13"/>
      <c r="Q404" s="13"/>
      <c r="R404" s="177"/>
      <c r="S404" s="35"/>
      <c r="T404" s="35"/>
      <c r="U404" s="13"/>
      <c r="V404" s="13"/>
      <c r="W404" s="13"/>
      <c r="X404" s="13"/>
      <c r="Y404" s="13"/>
      <c r="Z404" s="13"/>
      <c r="AA404" s="13"/>
      <c r="AB404" s="13"/>
      <c r="AC404" s="13"/>
    </row>
    <row r="405" ht="16.5" customHeight="1">
      <c r="A405" s="172">
        <v>434.0</v>
      </c>
      <c r="B405" s="173" t="s">
        <v>2529</v>
      </c>
      <c r="C405" s="13"/>
      <c r="D405" s="13"/>
      <c r="E405" s="13"/>
      <c r="F405" s="13"/>
      <c r="G405" s="174" t="s">
        <v>2530</v>
      </c>
      <c r="H405" s="49" t="s">
        <v>49</v>
      </c>
      <c r="I405" s="94" t="s">
        <v>39</v>
      </c>
      <c r="J405" s="174" t="s">
        <v>2526</v>
      </c>
      <c r="K405" s="180" t="s">
        <v>122</v>
      </c>
      <c r="L405" s="174" t="s">
        <v>2527</v>
      </c>
      <c r="M405" s="51" t="b">
        <v>1</v>
      </c>
      <c r="N405" s="118" t="s">
        <v>2531</v>
      </c>
      <c r="O405" s="119"/>
      <c r="P405" s="13"/>
      <c r="Q405" s="13"/>
      <c r="R405" s="177"/>
      <c r="S405" s="35"/>
      <c r="T405" s="35"/>
      <c r="U405" s="13"/>
      <c r="V405" s="13"/>
      <c r="W405" s="13"/>
      <c r="X405" s="13"/>
      <c r="Y405" s="13"/>
      <c r="Z405" s="13"/>
      <c r="AA405" s="13"/>
      <c r="AB405" s="13"/>
      <c r="AC405" s="13"/>
    </row>
    <row r="406" ht="16.5" customHeight="1">
      <c r="A406" s="172">
        <v>435.0</v>
      </c>
      <c r="B406" s="173" t="s">
        <v>2532</v>
      </c>
      <c r="C406" s="13"/>
      <c r="D406" s="13"/>
      <c r="E406" s="13"/>
      <c r="F406" s="13"/>
      <c r="G406" s="174" t="s">
        <v>2533</v>
      </c>
      <c r="H406" s="49" t="s">
        <v>49</v>
      </c>
      <c r="I406" s="94" t="s">
        <v>39</v>
      </c>
      <c r="J406" s="174" t="s">
        <v>2526</v>
      </c>
      <c r="K406" s="180" t="s">
        <v>1150</v>
      </c>
      <c r="L406" s="174" t="s">
        <v>2527</v>
      </c>
      <c r="M406" s="51" t="b">
        <v>1</v>
      </c>
      <c r="N406" s="118" t="s">
        <v>2534</v>
      </c>
      <c r="O406" s="119"/>
      <c r="P406" s="13"/>
      <c r="Q406" s="13"/>
      <c r="R406" s="177"/>
      <c r="S406" s="35"/>
      <c r="T406" s="35"/>
      <c r="U406" s="13"/>
      <c r="V406" s="13"/>
      <c r="W406" s="13"/>
      <c r="X406" s="13"/>
      <c r="Y406" s="13"/>
      <c r="Z406" s="13"/>
      <c r="AA406" s="13"/>
      <c r="AB406" s="13"/>
      <c r="AC406" s="13"/>
    </row>
    <row r="407" ht="16.5" customHeight="1">
      <c r="A407" s="172">
        <v>436.0</v>
      </c>
      <c r="B407" s="173" t="s">
        <v>2535</v>
      </c>
      <c r="C407" s="13"/>
      <c r="D407" s="13"/>
      <c r="E407" s="13"/>
      <c r="F407" s="13"/>
      <c r="G407" s="174" t="s">
        <v>2536</v>
      </c>
      <c r="H407" s="49" t="s">
        <v>49</v>
      </c>
      <c r="I407" s="94" t="s">
        <v>39</v>
      </c>
      <c r="J407" s="174" t="s">
        <v>2526</v>
      </c>
      <c r="K407" s="180" t="s">
        <v>104</v>
      </c>
      <c r="L407" s="174" t="s">
        <v>2527</v>
      </c>
      <c r="M407" s="51" t="b">
        <v>1</v>
      </c>
      <c r="N407" s="61" t="s">
        <v>2537</v>
      </c>
      <c r="O407" s="119"/>
      <c r="P407" s="13"/>
      <c r="Q407" s="13"/>
      <c r="R407" s="177"/>
      <c r="S407" s="35"/>
      <c r="T407" s="35"/>
      <c r="U407" s="13"/>
      <c r="V407" s="13"/>
      <c r="W407" s="13"/>
      <c r="X407" s="13"/>
      <c r="Y407" s="13"/>
      <c r="Z407" s="13"/>
      <c r="AA407" s="13"/>
      <c r="AB407" s="13"/>
      <c r="AC407" s="13"/>
    </row>
    <row r="408" ht="16.5" customHeight="1">
      <c r="A408" s="172">
        <v>438.0</v>
      </c>
      <c r="B408" s="173" t="s">
        <v>2538</v>
      </c>
      <c r="C408" s="13"/>
      <c r="D408" s="13"/>
      <c r="E408" s="13"/>
      <c r="F408" s="13"/>
      <c r="G408" s="174" t="s">
        <v>2539</v>
      </c>
      <c r="H408" s="49" t="s">
        <v>49</v>
      </c>
      <c r="I408" s="94" t="s">
        <v>39</v>
      </c>
      <c r="J408" s="174" t="s">
        <v>2540</v>
      </c>
      <c r="K408" s="180" t="s">
        <v>2255</v>
      </c>
      <c r="L408" s="174" t="s">
        <v>2496</v>
      </c>
      <c r="M408" s="51" t="b">
        <v>1</v>
      </c>
      <c r="N408" s="118" t="s">
        <v>2541</v>
      </c>
      <c r="O408" s="119"/>
      <c r="P408" s="13"/>
      <c r="Q408" s="13"/>
      <c r="R408" s="177"/>
      <c r="S408" s="35"/>
      <c r="T408" s="35"/>
      <c r="U408" s="13"/>
      <c r="V408" s="13"/>
      <c r="W408" s="13"/>
      <c r="X408" s="13"/>
      <c r="Y408" s="13"/>
      <c r="Z408" s="13"/>
      <c r="AA408" s="13"/>
      <c r="AB408" s="13"/>
      <c r="AC408" s="13"/>
    </row>
    <row r="409" ht="16.5" customHeight="1">
      <c r="A409" s="172">
        <v>441.0</v>
      </c>
      <c r="B409" s="185" t="s">
        <v>2542</v>
      </c>
      <c r="C409" s="13"/>
      <c r="D409" s="13"/>
      <c r="E409" s="13"/>
      <c r="F409" s="13"/>
      <c r="G409" s="186" t="s">
        <v>2543</v>
      </c>
      <c r="H409" s="49" t="s">
        <v>49</v>
      </c>
      <c r="I409" s="94" t="s">
        <v>39</v>
      </c>
      <c r="J409" s="186" t="s">
        <v>2544</v>
      </c>
      <c r="K409" s="187" t="s">
        <v>2545</v>
      </c>
      <c r="L409" s="186" t="s">
        <v>2546</v>
      </c>
      <c r="M409" s="51" t="b">
        <v>1</v>
      </c>
      <c r="N409" s="118" t="s">
        <v>2547</v>
      </c>
      <c r="O409" s="119"/>
      <c r="P409" s="13"/>
      <c r="Q409" s="13"/>
      <c r="R409" s="177"/>
      <c r="S409" s="35"/>
      <c r="T409" s="35"/>
      <c r="U409" s="13"/>
      <c r="V409" s="13"/>
      <c r="W409" s="13"/>
      <c r="X409" s="13"/>
      <c r="Y409" s="13"/>
      <c r="Z409" s="13"/>
      <c r="AA409" s="13"/>
      <c r="AB409" s="13"/>
      <c r="AC409" s="13"/>
    </row>
    <row r="410" ht="16.5" customHeight="1">
      <c r="A410" s="172">
        <v>448.0</v>
      </c>
      <c r="B410" s="188" t="s">
        <v>2548</v>
      </c>
      <c r="C410" s="13"/>
      <c r="D410" s="13"/>
      <c r="E410" s="13"/>
      <c r="F410" s="13"/>
      <c r="G410" s="186" t="s">
        <v>2549</v>
      </c>
      <c r="H410" s="49" t="s">
        <v>49</v>
      </c>
      <c r="I410" s="94" t="s">
        <v>39</v>
      </c>
      <c r="J410" s="189" t="s">
        <v>2550</v>
      </c>
      <c r="K410" s="187" t="s">
        <v>2551</v>
      </c>
      <c r="L410" s="186" t="s">
        <v>2496</v>
      </c>
      <c r="M410" s="51" t="b">
        <v>1</v>
      </c>
      <c r="N410" s="61" t="s">
        <v>292</v>
      </c>
      <c r="O410" s="119"/>
      <c r="P410" s="13"/>
      <c r="Q410" s="13"/>
      <c r="R410" s="177"/>
      <c r="S410" s="35"/>
      <c r="T410" s="35"/>
      <c r="U410" s="13"/>
      <c r="V410" s="13"/>
      <c r="W410" s="13"/>
      <c r="X410" s="13"/>
      <c r="Y410" s="13"/>
      <c r="Z410" s="13"/>
      <c r="AA410" s="13"/>
      <c r="AB410" s="13"/>
      <c r="AC410" s="13"/>
    </row>
    <row r="411" ht="16.5" customHeight="1">
      <c r="A411" s="172">
        <v>449.0</v>
      </c>
      <c r="B411" s="188" t="s">
        <v>2552</v>
      </c>
      <c r="C411" s="13"/>
      <c r="D411" s="13"/>
      <c r="E411" s="13"/>
      <c r="F411" s="13"/>
      <c r="G411" s="186" t="s">
        <v>2553</v>
      </c>
      <c r="H411" s="49" t="s">
        <v>49</v>
      </c>
      <c r="I411" s="94" t="s">
        <v>39</v>
      </c>
      <c r="J411" s="189" t="s">
        <v>2550</v>
      </c>
      <c r="K411" s="187" t="s">
        <v>2554</v>
      </c>
      <c r="L411" s="186" t="s">
        <v>2496</v>
      </c>
      <c r="M411" s="51" t="b">
        <v>1</v>
      </c>
      <c r="N411" s="61" t="s">
        <v>292</v>
      </c>
      <c r="O411" s="119"/>
      <c r="P411" s="13"/>
      <c r="Q411" s="13"/>
      <c r="R411" s="177"/>
      <c r="S411" s="35"/>
      <c r="T411" s="35"/>
      <c r="U411" s="13"/>
      <c r="V411" s="13"/>
      <c r="W411" s="13"/>
      <c r="X411" s="13"/>
      <c r="Y411" s="13"/>
      <c r="Z411" s="13"/>
      <c r="AA411" s="13"/>
      <c r="AB411" s="13"/>
      <c r="AC411" s="13"/>
    </row>
    <row r="412" ht="16.5" customHeight="1">
      <c r="A412" s="172">
        <v>450.0</v>
      </c>
      <c r="B412" s="188" t="s">
        <v>2555</v>
      </c>
      <c r="C412" s="13"/>
      <c r="D412" s="13"/>
      <c r="E412" s="13"/>
      <c r="F412" s="13"/>
      <c r="G412" s="186" t="s">
        <v>2556</v>
      </c>
      <c r="H412" s="49" t="s">
        <v>49</v>
      </c>
      <c r="I412" s="94" t="s">
        <v>39</v>
      </c>
      <c r="J412" s="189" t="s">
        <v>2550</v>
      </c>
      <c r="K412" s="187" t="s">
        <v>2557</v>
      </c>
      <c r="L412" s="186" t="s">
        <v>2496</v>
      </c>
      <c r="M412" s="51" t="b">
        <v>1</v>
      </c>
      <c r="N412" s="61" t="s">
        <v>292</v>
      </c>
      <c r="O412" s="119"/>
      <c r="P412" s="13"/>
      <c r="Q412" s="13"/>
      <c r="R412" s="177"/>
      <c r="S412" s="35"/>
      <c r="T412" s="35"/>
      <c r="U412" s="13"/>
      <c r="V412" s="13"/>
      <c r="W412" s="13"/>
      <c r="X412" s="13"/>
      <c r="Y412" s="13"/>
      <c r="Z412" s="13"/>
      <c r="AA412" s="13"/>
      <c r="AB412" s="13"/>
      <c r="AC412" s="13"/>
    </row>
    <row r="413" ht="16.5" customHeight="1">
      <c r="A413" s="172">
        <v>451.0</v>
      </c>
      <c r="B413" s="188" t="s">
        <v>2558</v>
      </c>
      <c r="C413" s="13"/>
      <c r="D413" s="13"/>
      <c r="E413" s="13"/>
      <c r="F413" s="13"/>
      <c r="G413" s="186" t="s">
        <v>2559</v>
      </c>
      <c r="H413" s="49" t="s">
        <v>49</v>
      </c>
      <c r="I413" s="94" t="s">
        <v>39</v>
      </c>
      <c r="J413" s="190" t="s">
        <v>2550</v>
      </c>
      <c r="K413" s="187" t="s">
        <v>2560</v>
      </c>
      <c r="L413" s="186" t="s">
        <v>2496</v>
      </c>
      <c r="M413" s="51" t="b">
        <v>1</v>
      </c>
      <c r="N413" s="61" t="s">
        <v>292</v>
      </c>
      <c r="O413" s="119"/>
      <c r="P413" s="13"/>
      <c r="Q413" s="13"/>
      <c r="R413" s="177"/>
      <c r="S413" s="35"/>
      <c r="T413" s="35"/>
      <c r="U413" s="13"/>
      <c r="V413" s="13"/>
      <c r="W413" s="13"/>
      <c r="X413" s="13"/>
      <c r="Y413" s="13"/>
      <c r="Z413" s="13"/>
      <c r="AA413" s="13"/>
      <c r="AB413" s="13"/>
      <c r="AC413" s="13"/>
    </row>
    <row r="414" ht="16.5" customHeight="1">
      <c r="A414" s="191">
        <v>452.0</v>
      </c>
      <c r="B414" s="188" t="s">
        <v>2561</v>
      </c>
      <c r="C414" s="13"/>
      <c r="D414" s="13"/>
      <c r="E414" s="13"/>
      <c r="F414" s="13"/>
      <c r="G414" s="186" t="s">
        <v>2562</v>
      </c>
      <c r="H414" s="49" t="s">
        <v>49</v>
      </c>
      <c r="I414" s="94" t="s">
        <v>39</v>
      </c>
      <c r="J414" s="189" t="s">
        <v>2550</v>
      </c>
      <c r="K414" s="187" t="s">
        <v>2563</v>
      </c>
      <c r="L414" s="186" t="s">
        <v>2496</v>
      </c>
      <c r="M414" s="51" t="b">
        <v>1</v>
      </c>
      <c r="N414" s="61" t="s">
        <v>292</v>
      </c>
      <c r="O414" s="119"/>
      <c r="P414" s="13"/>
      <c r="Q414" s="13"/>
      <c r="R414" s="177"/>
      <c r="S414" s="35"/>
      <c r="T414" s="35"/>
      <c r="U414" s="13"/>
      <c r="V414" s="13"/>
      <c r="W414" s="13"/>
      <c r="X414" s="13"/>
      <c r="Y414" s="13"/>
      <c r="Z414" s="13"/>
      <c r="AA414" s="13"/>
      <c r="AB414" s="13"/>
      <c r="AC414" s="13"/>
    </row>
    <row r="415" ht="16.5" customHeight="1">
      <c r="A415" s="191">
        <v>453.0</v>
      </c>
      <c r="B415" s="188" t="s">
        <v>2564</v>
      </c>
      <c r="C415" s="13"/>
      <c r="D415" s="13"/>
      <c r="E415" s="13"/>
      <c r="F415" s="13"/>
      <c r="G415" s="186" t="s">
        <v>2565</v>
      </c>
      <c r="H415" s="49" t="s">
        <v>49</v>
      </c>
      <c r="I415" s="94" t="s">
        <v>39</v>
      </c>
      <c r="J415" s="189" t="s">
        <v>2550</v>
      </c>
      <c r="K415" s="187" t="s">
        <v>2566</v>
      </c>
      <c r="L415" s="186" t="s">
        <v>2496</v>
      </c>
      <c r="M415" s="51" t="b">
        <v>1</v>
      </c>
      <c r="N415" s="61" t="s">
        <v>292</v>
      </c>
      <c r="O415" s="119"/>
      <c r="P415" s="13"/>
      <c r="Q415" s="13"/>
      <c r="R415" s="177"/>
      <c r="S415" s="35"/>
      <c r="T415" s="35"/>
      <c r="U415" s="13"/>
      <c r="V415" s="13"/>
      <c r="W415" s="13"/>
      <c r="X415" s="13"/>
      <c r="Y415" s="13"/>
      <c r="Z415" s="13"/>
      <c r="AA415" s="13"/>
      <c r="AB415" s="13"/>
      <c r="AC415" s="13"/>
    </row>
    <row r="416" ht="16.5" customHeight="1">
      <c r="A416" s="191">
        <v>458.0</v>
      </c>
      <c r="B416" s="188" t="s">
        <v>2567</v>
      </c>
      <c r="C416" s="13"/>
      <c r="D416" s="13"/>
      <c r="E416" s="13"/>
      <c r="F416" s="13"/>
      <c r="G416" s="186" t="s">
        <v>2568</v>
      </c>
      <c r="H416" s="49" t="s">
        <v>49</v>
      </c>
      <c r="I416" s="94" t="s">
        <v>39</v>
      </c>
      <c r="J416" s="192" t="s">
        <v>2569</v>
      </c>
      <c r="K416" s="193" t="s">
        <v>800</v>
      </c>
      <c r="L416" s="186" t="s">
        <v>2570</v>
      </c>
      <c r="M416" s="51" t="b">
        <v>0</v>
      </c>
      <c r="N416" s="119"/>
      <c r="O416" s="119"/>
      <c r="P416" s="13"/>
      <c r="Q416" s="13"/>
      <c r="R416" s="177"/>
      <c r="S416" s="35"/>
      <c r="T416" s="35"/>
      <c r="U416" s="13"/>
      <c r="V416" s="13"/>
      <c r="W416" s="13"/>
      <c r="X416" s="13"/>
      <c r="Y416" s="13"/>
      <c r="Z416" s="13"/>
      <c r="AA416" s="13"/>
      <c r="AB416" s="13"/>
      <c r="AC416" s="13"/>
    </row>
    <row r="417" ht="16.5" customHeight="1">
      <c r="A417" s="191">
        <v>466.0</v>
      </c>
      <c r="B417" s="194" t="s">
        <v>2571</v>
      </c>
      <c r="C417" s="13"/>
      <c r="D417" s="13"/>
      <c r="E417" s="13"/>
      <c r="F417" s="13"/>
      <c r="G417" s="186" t="s">
        <v>2572</v>
      </c>
      <c r="H417" s="49" t="s">
        <v>49</v>
      </c>
      <c r="I417" s="94" t="s">
        <v>39</v>
      </c>
      <c r="J417" s="192" t="s">
        <v>2573</v>
      </c>
      <c r="K417" s="193" t="s">
        <v>2011</v>
      </c>
      <c r="L417" s="186" t="s">
        <v>2574</v>
      </c>
      <c r="M417" s="51" t="b">
        <v>0</v>
      </c>
      <c r="N417" s="119"/>
      <c r="O417" s="119"/>
      <c r="P417" s="13"/>
      <c r="Q417" s="13"/>
      <c r="R417" s="177"/>
      <c r="S417" s="35"/>
      <c r="T417" s="35"/>
      <c r="U417" s="13"/>
      <c r="V417" s="13"/>
      <c r="W417" s="13"/>
      <c r="X417" s="13"/>
      <c r="Y417" s="13"/>
      <c r="Z417" s="13"/>
      <c r="AA417" s="13"/>
      <c r="AB417" s="13"/>
      <c r="AC417" s="13"/>
    </row>
    <row r="418" ht="16.5" customHeight="1">
      <c r="A418" s="191">
        <v>467.0</v>
      </c>
      <c r="B418" s="188" t="s">
        <v>2575</v>
      </c>
      <c r="C418" s="13"/>
      <c r="D418" s="13"/>
      <c r="E418" s="13"/>
      <c r="F418" s="13"/>
      <c r="G418" s="186" t="s">
        <v>2576</v>
      </c>
      <c r="H418" s="49" t="s">
        <v>49</v>
      </c>
      <c r="I418" s="94" t="s">
        <v>39</v>
      </c>
      <c r="J418" s="192" t="s">
        <v>2573</v>
      </c>
      <c r="K418" s="193" t="s">
        <v>2577</v>
      </c>
      <c r="L418" s="186" t="s">
        <v>2574</v>
      </c>
      <c r="M418" s="51" t="b">
        <v>0</v>
      </c>
      <c r="N418" s="119"/>
      <c r="O418" s="119"/>
      <c r="P418" s="13"/>
      <c r="Q418" s="13"/>
      <c r="R418" s="177"/>
      <c r="S418" s="35"/>
      <c r="T418" s="35"/>
      <c r="U418" s="13"/>
      <c r="V418" s="13"/>
      <c r="W418" s="13"/>
      <c r="X418" s="13"/>
      <c r="Y418" s="13"/>
      <c r="Z418" s="13"/>
      <c r="AA418" s="13"/>
      <c r="AB418" s="13"/>
      <c r="AC418" s="13"/>
    </row>
    <row r="419" ht="16.5" customHeight="1">
      <c r="A419" s="191">
        <v>468.0</v>
      </c>
      <c r="B419" s="188" t="s">
        <v>2578</v>
      </c>
      <c r="C419" s="13"/>
      <c r="D419" s="13"/>
      <c r="E419" s="13"/>
      <c r="F419" s="13"/>
      <c r="G419" s="186" t="s">
        <v>2579</v>
      </c>
      <c r="H419" s="49" t="s">
        <v>49</v>
      </c>
      <c r="I419" s="94" t="s">
        <v>39</v>
      </c>
      <c r="J419" s="192" t="s">
        <v>2573</v>
      </c>
      <c r="K419" s="193" t="s">
        <v>2580</v>
      </c>
      <c r="L419" s="186" t="s">
        <v>2574</v>
      </c>
      <c r="M419" s="51" t="b">
        <v>0</v>
      </c>
      <c r="N419" s="119"/>
      <c r="O419" s="119"/>
      <c r="P419" s="13"/>
      <c r="Q419" s="13"/>
      <c r="R419" s="177"/>
      <c r="S419" s="35"/>
      <c r="T419" s="35"/>
      <c r="U419" s="13"/>
      <c r="V419" s="13"/>
      <c r="W419" s="13"/>
      <c r="X419" s="13"/>
      <c r="Y419" s="13"/>
      <c r="Z419" s="13"/>
      <c r="AA419" s="13"/>
      <c r="AB419" s="13"/>
      <c r="AC419" s="13"/>
    </row>
    <row r="420" ht="16.5" customHeight="1">
      <c r="A420" s="191">
        <v>469.0</v>
      </c>
      <c r="B420" s="188" t="s">
        <v>2581</v>
      </c>
      <c r="C420" s="13"/>
      <c r="D420" s="13"/>
      <c r="E420" s="13"/>
      <c r="F420" s="13"/>
      <c r="G420" s="186" t="s">
        <v>2582</v>
      </c>
      <c r="H420" s="49" t="s">
        <v>49</v>
      </c>
      <c r="I420" s="94" t="s">
        <v>39</v>
      </c>
      <c r="J420" s="192" t="s">
        <v>2573</v>
      </c>
      <c r="K420" s="193" t="s">
        <v>2583</v>
      </c>
      <c r="L420" s="186" t="s">
        <v>2574</v>
      </c>
      <c r="M420" s="51" t="b">
        <v>0</v>
      </c>
      <c r="N420" s="119"/>
      <c r="O420" s="119"/>
      <c r="P420" s="13"/>
      <c r="Q420" s="13"/>
      <c r="R420" s="177"/>
      <c r="S420" s="35"/>
      <c r="T420" s="35"/>
      <c r="U420" s="13"/>
      <c r="V420" s="13"/>
      <c r="W420" s="13"/>
      <c r="X420" s="13"/>
      <c r="Y420" s="13"/>
      <c r="Z420" s="13"/>
      <c r="AA420" s="13"/>
      <c r="AB420" s="13"/>
      <c r="AC420" s="13"/>
    </row>
    <row r="421" ht="16.5" customHeight="1">
      <c r="A421" s="191">
        <v>470.0</v>
      </c>
      <c r="B421" s="188" t="s">
        <v>2584</v>
      </c>
      <c r="C421" s="13"/>
      <c r="D421" s="13"/>
      <c r="E421" s="13"/>
      <c r="F421" s="13"/>
      <c r="G421" s="186" t="s">
        <v>2585</v>
      </c>
      <c r="H421" s="49" t="s">
        <v>49</v>
      </c>
      <c r="I421" s="94" t="s">
        <v>39</v>
      </c>
      <c r="J421" s="192" t="s">
        <v>2573</v>
      </c>
      <c r="K421" s="193" t="s">
        <v>2586</v>
      </c>
      <c r="L421" s="186" t="s">
        <v>2574</v>
      </c>
      <c r="M421" s="51" t="b">
        <v>0</v>
      </c>
      <c r="N421" s="119"/>
      <c r="O421" s="119"/>
      <c r="P421" s="13"/>
      <c r="Q421" s="13"/>
      <c r="R421" s="177"/>
      <c r="S421" s="35"/>
      <c r="T421" s="35"/>
      <c r="U421" s="13"/>
      <c r="V421" s="13"/>
      <c r="W421" s="13"/>
      <c r="X421" s="13"/>
      <c r="Y421" s="13"/>
      <c r="Z421" s="13"/>
      <c r="AA421" s="13"/>
      <c r="AB421" s="13"/>
      <c r="AC421" s="13"/>
    </row>
    <row r="422" ht="16.5" customHeight="1">
      <c r="A422" s="191">
        <v>471.0</v>
      </c>
      <c r="B422" s="188" t="s">
        <v>2587</v>
      </c>
      <c r="C422" s="13"/>
      <c r="D422" s="13"/>
      <c r="E422" s="13"/>
      <c r="F422" s="13"/>
      <c r="G422" s="186" t="s">
        <v>2588</v>
      </c>
      <c r="H422" s="49" t="s">
        <v>49</v>
      </c>
      <c r="I422" s="94" t="s">
        <v>39</v>
      </c>
      <c r="J422" s="192" t="s">
        <v>2573</v>
      </c>
      <c r="K422" s="193" t="s">
        <v>2589</v>
      </c>
      <c r="L422" s="186" t="s">
        <v>2574</v>
      </c>
      <c r="M422" s="51" t="b">
        <v>0</v>
      </c>
      <c r="N422" s="119"/>
      <c r="O422" s="119"/>
      <c r="P422" s="13"/>
      <c r="Q422" s="13"/>
      <c r="R422" s="177"/>
      <c r="S422" s="35"/>
      <c r="T422" s="35"/>
      <c r="U422" s="13"/>
      <c r="V422" s="13"/>
      <c r="W422" s="13"/>
      <c r="X422" s="13"/>
      <c r="Y422" s="13"/>
      <c r="Z422" s="13"/>
      <c r="AA422" s="13"/>
      <c r="AB422" s="13"/>
      <c r="AC422" s="13"/>
    </row>
    <row r="423" ht="16.5" customHeight="1">
      <c r="A423" s="191">
        <v>484.0</v>
      </c>
      <c r="B423" s="188" t="s">
        <v>2590</v>
      </c>
      <c r="C423" s="13"/>
      <c r="D423" s="13"/>
      <c r="E423" s="13"/>
      <c r="F423" s="13"/>
      <c r="G423" s="186" t="s">
        <v>2591</v>
      </c>
      <c r="H423" s="49" t="s">
        <v>49</v>
      </c>
      <c r="I423" s="94" t="s">
        <v>39</v>
      </c>
      <c r="J423" s="174" t="s">
        <v>2475</v>
      </c>
      <c r="K423" s="187" t="s">
        <v>2580</v>
      </c>
      <c r="L423" s="186" t="s">
        <v>2592</v>
      </c>
      <c r="M423" s="51" t="b">
        <v>1</v>
      </c>
      <c r="N423" s="118" t="s">
        <v>2593</v>
      </c>
      <c r="O423" s="119"/>
      <c r="P423" s="13"/>
      <c r="Q423" s="13"/>
      <c r="R423" s="177"/>
      <c r="S423" s="35"/>
      <c r="T423" s="35"/>
      <c r="U423" s="13"/>
      <c r="V423" s="13"/>
      <c r="W423" s="13"/>
      <c r="X423" s="13"/>
      <c r="Y423" s="13"/>
      <c r="Z423" s="13"/>
      <c r="AA423" s="13"/>
      <c r="AB423" s="13"/>
      <c r="AC423" s="13"/>
    </row>
    <row r="424" ht="16.5" customHeight="1">
      <c r="A424" s="195">
        <v>485.0</v>
      </c>
      <c r="B424" s="196" t="s">
        <v>2594</v>
      </c>
      <c r="C424" s="13"/>
      <c r="D424" s="13"/>
      <c r="E424" s="13"/>
      <c r="F424" s="13"/>
      <c r="G424" s="197" t="s">
        <v>2595</v>
      </c>
      <c r="H424" s="49" t="s">
        <v>49</v>
      </c>
      <c r="I424" s="94" t="s">
        <v>39</v>
      </c>
      <c r="J424" s="197" t="s">
        <v>2596</v>
      </c>
      <c r="K424" s="198" t="s">
        <v>1150</v>
      </c>
      <c r="L424" s="197" t="s">
        <v>2597</v>
      </c>
      <c r="M424" s="51" t="b">
        <v>1</v>
      </c>
      <c r="N424" s="118" t="s">
        <v>2598</v>
      </c>
      <c r="O424" s="119"/>
      <c r="P424" s="13"/>
      <c r="Q424" s="13"/>
      <c r="R424" s="177"/>
      <c r="S424" s="35"/>
      <c r="T424" s="35"/>
      <c r="U424" s="13"/>
      <c r="V424" s="13"/>
      <c r="W424" s="13"/>
      <c r="X424" s="13"/>
      <c r="Y424" s="13"/>
      <c r="Z424" s="13"/>
      <c r="AA424" s="13"/>
      <c r="AB424" s="13"/>
      <c r="AC424" s="13"/>
    </row>
    <row r="425" ht="16.5" customHeight="1">
      <c r="A425" s="191">
        <v>503.0</v>
      </c>
      <c r="B425" s="188" t="s">
        <v>2599</v>
      </c>
      <c r="C425" s="13"/>
      <c r="D425" s="13"/>
      <c r="E425" s="13"/>
      <c r="F425" s="13"/>
      <c r="G425" s="186" t="s">
        <v>2600</v>
      </c>
      <c r="H425" s="49" t="s">
        <v>49</v>
      </c>
      <c r="I425" s="94" t="s">
        <v>39</v>
      </c>
      <c r="J425" s="186" t="s">
        <v>2540</v>
      </c>
      <c r="K425" s="193" t="s">
        <v>162</v>
      </c>
      <c r="L425" s="186" t="s">
        <v>2601</v>
      </c>
      <c r="M425" s="51" t="b">
        <v>1</v>
      </c>
      <c r="N425" s="118" t="s">
        <v>2602</v>
      </c>
      <c r="O425" s="119"/>
      <c r="P425" s="13"/>
      <c r="Q425" s="13"/>
      <c r="R425" s="177"/>
      <c r="S425" s="35"/>
      <c r="T425" s="35"/>
      <c r="U425" s="13"/>
      <c r="V425" s="13"/>
      <c r="W425" s="13"/>
      <c r="X425" s="13"/>
      <c r="Y425" s="13"/>
      <c r="Z425" s="13"/>
      <c r="AA425" s="13"/>
      <c r="AB425" s="13"/>
      <c r="AC425" s="13"/>
    </row>
    <row r="426" ht="16.5" customHeight="1">
      <c r="A426" s="191">
        <v>504.0</v>
      </c>
      <c r="B426" s="188" t="s">
        <v>2603</v>
      </c>
      <c r="C426" s="13"/>
      <c r="D426" s="13"/>
      <c r="E426" s="13"/>
      <c r="F426" s="13"/>
      <c r="G426" s="186" t="s">
        <v>2604</v>
      </c>
      <c r="H426" s="49" t="s">
        <v>49</v>
      </c>
      <c r="I426" s="94" t="s">
        <v>39</v>
      </c>
      <c r="J426" s="186" t="s">
        <v>2540</v>
      </c>
      <c r="K426" s="193" t="s">
        <v>800</v>
      </c>
      <c r="L426" s="186" t="s">
        <v>2601</v>
      </c>
      <c r="M426" s="51" t="b">
        <v>1</v>
      </c>
      <c r="N426" s="142" t="s">
        <v>106</v>
      </c>
      <c r="O426" s="119"/>
      <c r="P426" s="13"/>
      <c r="Q426" s="13"/>
      <c r="R426" s="177"/>
      <c r="S426" s="35"/>
      <c r="T426" s="35"/>
      <c r="U426" s="13"/>
      <c r="V426" s="13"/>
      <c r="W426" s="13"/>
      <c r="X426" s="13"/>
      <c r="Y426" s="13"/>
      <c r="Z426" s="13"/>
      <c r="AA426" s="13"/>
      <c r="AB426" s="13"/>
      <c r="AC426" s="13"/>
    </row>
    <row r="427" ht="16.5" customHeight="1">
      <c r="A427" s="191">
        <v>523.0</v>
      </c>
      <c r="B427" s="188" t="s">
        <v>2605</v>
      </c>
      <c r="C427" s="13"/>
      <c r="D427" s="13"/>
      <c r="E427" s="13"/>
      <c r="F427" s="13"/>
      <c r="G427" s="186" t="s">
        <v>2606</v>
      </c>
      <c r="H427" s="49" t="s">
        <v>49</v>
      </c>
      <c r="I427" s="94" t="s">
        <v>39</v>
      </c>
      <c r="J427" s="186" t="s">
        <v>2508</v>
      </c>
      <c r="K427" s="187" t="s">
        <v>721</v>
      </c>
      <c r="L427" s="186" t="s">
        <v>2607</v>
      </c>
      <c r="M427" s="51" t="b">
        <v>1</v>
      </c>
      <c r="N427" s="118" t="s">
        <v>2608</v>
      </c>
      <c r="O427" s="119"/>
      <c r="P427" s="13"/>
      <c r="Q427" s="13"/>
      <c r="R427" s="177"/>
      <c r="S427" s="35"/>
      <c r="T427" s="35"/>
      <c r="U427" s="13"/>
      <c r="V427" s="13"/>
      <c r="W427" s="13"/>
      <c r="X427" s="13"/>
      <c r="Y427" s="13"/>
      <c r="Z427" s="13"/>
      <c r="AA427" s="13"/>
      <c r="AB427" s="13"/>
      <c r="AC427" s="13"/>
    </row>
    <row r="428" ht="16.5" customHeight="1">
      <c r="A428" s="191">
        <v>526.0</v>
      </c>
      <c r="B428" s="188" t="s">
        <v>2609</v>
      </c>
      <c r="C428" s="13"/>
      <c r="D428" s="13"/>
      <c r="E428" s="13"/>
      <c r="F428" s="13"/>
      <c r="G428" s="186" t="s">
        <v>2610</v>
      </c>
      <c r="H428" s="49" t="s">
        <v>49</v>
      </c>
      <c r="I428" s="94" t="s">
        <v>39</v>
      </c>
      <c r="J428" s="192" t="s">
        <v>2611</v>
      </c>
      <c r="K428" s="193" t="s">
        <v>453</v>
      </c>
      <c r="L428" s="186" t="s">
        <v>2612</v>
      </c>
      <c r="M428" s="51" t="b">
        <v>0</v>
      </c>
      <c r="N428" s="119"/>
      <c r="O428" s="119"/>
      <c r="P428" s="13"/>
      <c r="Q428" s="13"/>
      <c r="R428" s="177"/>
      <c r="S428" s="35"/>
      <c r="T428" s="35"/>
      <c r="U428" s="13"/>
      <c r="V428" s="13"/>
      <c r="W428" s="13"/>
      <c r="X428" s="13"/>
      <c r="Y428" s="13"/>
      <c r="Z428" s="13"/>
      <c r="AA428" s="13"/>
      <c r="AB428" s="13"/>
      <c r="AC428" s="13"/>
    </row>
    <row r="429" ht="16.5" customHeight="1">
      <c r="A429" s="191">
        <v>531.0</v>
      </c>
      <c r="B429" s="199" t="s">
        <v>2613</v>
      </c>
      <c r="C429" s="13"/>
      <c r="D429" s="13"/>
      <c r="E429" s="13"/>
      <c r="F429" s="13"/>
      <c r="G429" s="200" t="s">
        <v>2614</v>
      </c>
      <c r="H429" s="49" t="s">
        <v>49</v>
      </c>
      <c r="I429" s="94" t="s">
        <v>39</v>
      </c>
      <c r="J429" s="201" t="s">
        <v>2615</v>
      </c>
      <c r="K429" s="202" t="s">
        <v>2616</v>
      </c>
      <c r="L429" s="200" t="s">
        <v>2496</v>
      </c>
      <c r="M429" s="51" t="b">
        <v>0</v>
      </c>
      <c r="N429" s="119"/>
      <c r="O429" s="119"/>
      <c r="P429" s="13"/>
      <c r="Q429" s="13"/>
      <c r="R429" s="177"/>
      <c r="S429" s="35"/>
      <c r="T429" s="35"/>
      <c r="U429" s="13"/>
      <c r="V429" s="13"/>
      <c r="W429" s="13"/>
      <c r="X429" s="13"/>
      <c r="Y429" s="13"/>
      <c r="Z429" s="13"/>
      <c r="AA429" s="13"/>
      <c r="AB429" s="13"/>
      <c r="AC429" s="13"/>
    </row>
    <row r="430" ht="16.5" customHeight="1">
      <c r="A430" s="191">
        <v>532.0</v>
      </c>
      <c r="B430" s="199" t="s">
        <v>2617</v>
      </c>
      <c r="C430" s="13"/>
      <c r="D430" s="13"/>
      <c r="E430" s="13"/>
      <c r="F430" s="13"/>
      <c r="G430" s="200" t="s">
        <v>2618</v>
      </c>
      <c r="H430" s="49" t="s">
        <v>49</v>
      </c>
      <c r="I430" s="94" t="s">
        <v>39</v>
      </c>
      <c r="J430" s="201" t="s">
        <v>2615</v>
      </c>
      <c r="K430" s="202" t="s">
        <v>2619</v>
      </c>
      <c r="L430" s="200" t="s">
        <v>2496</v>
      </c>
      <c r="M430" s="51" t="b">
        <v>0</v>
      </c>
      <c r="N430" s="119"/>
      <c r="O430" s="119"/>
      <c r="P430" s="13"/>
      <c r="Q430" s="13"/>
      <c r="R430" s="177"/>
      <c r="S430" s="35"/>
      <c r="T430" s="35"/>
      <c r="U430" s="13"/>
      <c r="V430" s="13"/>
      <c r="W430" s="13"/>
      <c r="X430" s="13"/>
      <c r="Y430" s="13"/>
      <c r="Z430" s="13"/>
      <c r="AA430" s="13"/>
      <c r="AB430" s="13"/>
      <c r="AC430" s="13"/>
    </row>
    <row r="431" ht="16.5" customHeight="1">
      <c r="A431" s="191">
        <v>533.0</v>
      </c>
      <c r="B431" s="199" t="s">
        <v>2620</v>
      </c>
      <c r="C431" s="13"/>
      <c r="D431" s="13"/>
      <c r="E431" s="13"/>
      <c r="F431" s="13"/>
      <c r="G431" s="200" t="s">
        <v>2621</v>
      </c>
      <c r="H431" s="49" t="s">
        <v>49</v>
      </c>
      <c r="I431" s="94" t="s">
        <v>39</v>
      </c>
      <c r="J431" s="201" t="s">
        <v>2615</v>
      </c>
      <c r="K431" s="202" t="s">
        <v>774</v>
      </c>
      <c r="L431" s="203"/>
      <c r="M431" s="51" t="b">
        <v>0</v>
      </c>
      <c r="N431" s="119"/>
      <c r="O431" s="119"/>
      <c r="P431" s="13"/>
      <c r="Q431" s="13"/>
      <c r="R431" s="177"/>
      <c r="S431" s="35"/>
      <c r="T431" s="35"/>
      <c r="U431" s="13"/>
      <c r="V431" s="13"/>
      <c r="W431" s="13"/>
      <c r="X431" s="13"/>
      <c r="Y431" s="13"/>
      <c r="Z431" s="13"/>
      <c r="AA431" s="13"/>
      <c r="AB431" s="13"/>
      <c r="AC431" s="13"/>
    </row>
    <row r="432" ht="16.5" customHeight="1">
      <c r="A432" s="191">
        <v>534.0</v>
      </c>
      <c r="B432" s="199" t="s">
        <v>2622</v>
      </c>
      <c r="C432" s="13"/>
      <c r="D432" s="13"/>
      <c r="E432" s="13"/>
      <c r="F432" s="13"/>
      <c r="G432" s="200" t="s">
        <v>2623</v>
      </c>
      <c r="H432" s="49" t="s">
        <v>49</v>
      </c>
      <c r="I432" s="94" t="s">
        <v>39</v>
      </c>
      <c r="J432" s="201" t="s">
        <v>2615</v>
      </c>
      <c r="K432" s="202" t="s">
        <v>2624</v>
      </c>
      <c r="L432" s="203"/>
      <c r="M432" s="51" t="b">
        <v>0</v>
      </c>
      <c r="N432" s="119"/>
      <c r="O432" s="119"/>
      <c r="P432" s="13"/>
      <c r="Q432" s="13"/>
      <c r="R432" s="177"/>
      <c r="S432" s="35"/>
      <c r="T432" s="35"/>
      <c r="U432" s="13"/>
      <c r="V432" s="13"/>
      <c r="W432" s="13"/>
      <c r="X432" s="13"/>
      <c r="Y432" s="13"/>
      <c r="Z432" s="13"/>
      <c r="AA432" s="13"/>
      <c r="AB432" s="13"/>
      <c r="AC432" s="13"/>
    </row>
    <row r="433" ht="16.5" customHeight="1">
      <c r="A433" s="191">
        <v>563.0</v>
      </c>
      <c r="B433" s="188" t="s">
        <v>2625</v>
      </c>
      <c r="C433" s="13"/>
      <c r="D433" s="13"/>
      <c r="E433" s="13"/>
      <c r="F433" s="13"/>
      <c r="G433" s="186" t="s">
        <v>2626</v>
      </c>
      <c r="H433" s="49" t="s">
        <v>49</v>
      </c>
      <c r="I433" s="94" t="s">
        <v>39</v>
      </c>
      <c r="J433" s="186" t="s">
        <v>2544</v>
      </c>
      <c r="K433" s="193" t="s">
        <v>2627</v>
      </c>
      <c r="L433" s="186" t="s">
        <v>2496</v>
      </c>
      <c r="M433" s="51" t="b">
        <v>1</v>
      </c>
      <c r="N433" s="118" t="s">
        <v>2628</v>
      </c>
      <c r="O433" s="119"/>
      <c r="P433" s="13"/>
      <c r="Q433" s="13"/>
      <c r="R433" s="177"/>
      <c r="S433" s="35"/>
      <c r="T433" s="35"/>
      <c r="U433" s="13"/>
      <c r="V433" s="13"/>
      <c r="W433" s="13"/>
      <c r="X433" s="13"/>
      <c r="Y433" s="13"/>
      <c r="Z433" s="13"/>
      <c r="AA433" s="13"/>
      <c r="AB433" s="13"/>
      <c r="AC433" s="13"/>
    </row>
    <row r="434" ht="16.5" customHeight="1">
      <c r="A434" s="191">
        <v>564.0</v>
      </c>
      <c r="B434" s="188" t="s">
        <v>2629</v>
      </c>
      <c r="C434" s="13"/>
      <c r="D434" s="13"/>
      <c r="E434" s="13"/>
      <c r="F434" s="13"/>
      <c r="G434" s="186" t="s">
        <v>2630</v>
      </c>
      <c r="H434" s="49" t="s">
        <v>49</v>
      </c>
      <c r="I434" s="94" t="s">
        <v>39</v>
      </c>
      <c r="J434" s="186" t="s">
        <v>2544</v>
      </c>
      <c r="K434" s="193" t="s">
        <v>2631</v>
      </c>
      <c r="L434" s="186" t="s">
        <v>2496</v>
      </c>
      <c r="M434" s="51" t="b">
        <v>1</v>
      </c>
      <c r="N434" s="118" t="s">
        <v>2632</v>
      </c>
      <c r="O434" s="119"/>
      <c r="P434" s="13"/>
      <c r="Q434" s="13"/>
      <c r="R434" s="177"/>
      <c r="S434" s="35"/>
      <c r="T434" s="35"/>
      <c r="U434" s="13"/>
      <c r="V434" s="13"/>
      <c r="W434" s="13"/>
      <c r="X434" s="13"/>
      <c r="Y434" s="13"/>
      <c r="Z434" s="13"/>
      <c r="AA434" s="13"/>
      <c r="AB434" s="13"/>
      <c r="AC434" s="13"/>
    </row>
    <row r="435" ht="16.5" customHeight="1">
      <c r="A435" s="191">
        <v>565.0</v>
      </c>
      <c r="B435" s="185" t="s">
        <v>2633</v>
      </c>
      <c r="C435" s="13"/>
      <c r="D435" s="13"/>
      <c r="E435" s="13"/>
      <c r="F435" s="13"/>
      <c r="G435" s="186" t="s">
        <v>2634</v>
      </c>
      <c r="H435" s="49" t="s">
        <v>49</v>
      </c>
      <c r="I435" s="94" t="s">
        <v>39</v>
      </c>
      <c r="J435" s="186" t="s">
        <v>2544</v>
      </c>
      <c r="K435" s="193" t="s">
        <v>2635</v>
      </c>
      <c r="L435" s="186" t="s">
        <v>2496</v>
      </c>
      <c r="M435" s="51" t="b">
        <v>1</v>
      </c>
      <c r="N435" s="118" t="s">
        <v>2636</v>
      </c>
      <c r="O435" s="119"/>
      <c r="P435" s="13"/>
      <c r="Q435" s="13"/>
      <c r="R435" s="177"/>
      <c r="S435" s="35"/>
      <c r="T435" s="35"/>
      <c r="U435" s="13"/>
      <c r="V435" s="13"/>
      <c r="W435" s="13"/>
      <c r="X435" s="13"/>
      <c r="Y435" s="13"/>
      <c r="Z435" s="13"/>
      <c r="AA435" s="13"/>
      <c r="AB435" s="13"/>
      <c r="AC435" s="13"/>
    </row>
    <row r="436" ht="16.5" customHeight="1">
      <c r="A436" s="191">
        <v>566.0</v>
      </c>
      <c r="B436" s="188" t="s">
        <v>2637</v>
      </c>
      <c r="C436" s="13"/>
      <c r="D436" s="13"/>
      <c r="E436" s="13"/>
      <c r="F436" s="13"/>
      <c r="G436" s="186" t="s">
        <v>2638</v>
      </c>
      <c r="H436" s="49" t="s">
        <v>49</v>
      </c>
      <c r="I436" s="94" t="s">
        <v>39</v>
      </c>
      <c r="J436" s="186" t="s">
        <v>2544</v>
      </c>
      <c r="K436" s="193" t="s">
        <v>2639</v>
      </c>
      <c r="L436" s="203"/>
      <c r="M436" s="51" t="b">
        <v>1</v>
      </c>
      <c r="N436" s="142" t="s">
        <v>292</v>
      </c>
      <c r="O436" s="119"/>
      <c r="P436" s="13"/>
      <c r="Q436" s="13"/>
      <c r="R436" s="177"/>
      <c r="S436" s="35"/>
      <c r="T436" s="35"/>
      <c r="U436" s="13"/>
      <c r="V436" s="13"/>
      <c r="W436" s="13"/>
      <c r="X436" s="13"/>
      <c r="Y436" s="13"/>
      <c r="Z436" s="13"/>
      <c r="AA436" s="13"/>
      <c r="AB436" s="13"/>
      <c r="AC436" s="13"/>
    </row>
    <row r="437" ht="16.5" customHeight="1">
      <c r="A437" s="191">
        <v>567.0</v>
      </c>
      <c r="B437" s="188" t="s">
        <v>2640</v>
      </c>
      <c r="C437" s="13"/>
      <c r="D437" s="13"/>
      <c r="E437" s="13"/>
      <c r="F437" s="13"/>
      <c r="G437" s="204" t="s">
        <v>2641</v>
      </c>
      <c r="H437" s="49" t="s">
        <v>49</v>
      </c>
      <c r="I437" s="94" t="s">
        <v>39</v>
      </c>
      <c r="J437" s="192" t="s">
        <v>2642</v>
      </c>
      <c r="K437" s="193" t="s">
        <v>2643</v>
      </c>
      <c r="L437" s="204" t="s">
        <v>2641</v>
      </c>
      <c r="M437" s="51" t="b">
        <v>0</v>
      </c>
      <c r="N437" s="119"/>
      <c r="O437" s="119"/>
      <c r="P437" s="13"/>
      <c r="Q437" s="13"/>
      <c r="R437" s="177"/>
      <c r="S437" s="35"/>
      <c r="T437" s="35"/>
      <c r="U437" s="13"/>
      <c r="V437" s="13"/>
      <c r="W437" s="13"/>
      <c r="X437" s="13"/>
      <c r="Y437" s="13"/>
      <c r="Z437" s="13"/>
      <c r="AA437" s="13"/>
      <c r="AB437" s="13"/>
      <c r="AC437" s="13"/>
    </row>
    <row r="438" ht="16.5" customHeight="1">
      <c r="A438" s="191">
        <v>568.0</v>
      </c>
      <c r="B438" s="188" t="s">
        <v>2644</v>
      </c>
      <c r="C438" s="13"/>
      <c r="D438" s="13"/>
      <c r="E438" s="13"/>
      <c r="F438" s="13"/>
      <c r="G438" s="186" t="s">
        <v>2645</v>
      </c>
      <c r="H438" s="49" t="s">
        <v>49</v>
      </c>
      <c r="I438" s="94" t="s">
        <v>39</v>
      </c>
      <c r="J438" s="186" t="s">
        <v>2544</v>
      </c>
      <c r="K438" s="193" t="s">
        <v>2646</v>
      </c>
      <c r="L438" s="186" t="s">
        <v>2496</v>
      </c>
      <c r="M438" s="51" t="b">
        <v>1</v>
      </c>
      <c r="N438" s="118" t="s">
        <v>2647</v>
      </c>
      <c r="O438" s="119"/>
      <c r="P438" s="13"/>
      <c r="Q438" s="13"/>
      <c r="R438" s="177"/>
      <c r="S438" s="35"/>
      <c r="T438" s="35"/>
      <c r="U438" s="13"/>
      <c r="V438" s="13"/>
      <c r="W438" s="13"/>
      <c r="X438" s="13"/>
      <c r="Y438" s="13"/>
      <c r="Z438" s="13"/>
      <c r="AA438" s="13"/>
      <c r="AB438" s="13"/>
      <c r="AC438" s="13"/>
    </row>
    <row r="439" ht="16.5" customHeight="1">
      <c r="A439" s="191">
        <v>593.0</v>
      </c>
      <c r="B439" s="188" t="s">
        <v>2648</v>
      </c>
      <c r="C439" s="13"/>
      <c r="D439" s="13"/>
      <c r="E439" s="13"/>
      <c r="F439" s="13"/>
      <c r="G439" s="186" t="s">
        <v>421</v>
      </c>
      <c r="H439" s="49" t="s">
        <v>49</v>
      </c>
      <c r="I439" s="94" t="s">
        <v>39</v>
      </c>
      <c r="J439" s="186" t="s">
        <v>422</v>
      </c>
      <c r="K439" s="187" t="s">
        <v>423</v>
      </c>
      <c r="L439" s="186" t="s">
        <v>2649</v>
      </c>
      <c r="M439" s="51" t="b">
        <v>1</v>
      </c>
      <c r="N439" s="118" t="s">
        <v>416</v>
      </c>
      <c r="O439" s="119"/>
      <c r="P439" s="13"/>
      <c r="Q439" s="13"/>
      <c r="R439" s="177"/>
      <c r="S439" s="35"/>
      <c r="T439" s="35"/>
      <c r="U439" s="13"/>
      <c r="V439" s="13"/>
      <c r="W439" s="13"/>
      <c r="X439" s="13"/>
      <c r="Y439" s="13"/>
      <c r="Z439" s="13"/>
      <c r="AA439" s="13"/>
      <c r="AB439" s="13"/>
      <c r="AC439" s="13"/>
    </row>
    <row r="440" ht="16.5" customHeight="1">
      <c r="A440" s="191">
        <v>596.0</v>
      </c>
      <c r="B440" s="188" t="s">
        <v>2650</v>
      </c>
      <c r="C440" s="13"/>
      <c r="D440" s="13"/>
      <c r="E440" s="13"/>
      <c r="F440" s="13"/>
      <c r="G440" s="186" t="s">
        <v>2651</v>
      </c>
      <c r="H440" s="49" t="s">
        <v>49</v>
      </c>
      <c r="I440" s="94" t="s">
        <v>39</v>
      </c>
      <c r="J440" s="186" t="s">
        <v>844</v>
      </c>
      <c r="K440" s="187" t="s">
        <v>162</v>
      </c>
      <c r="L440" s="186" t="s">
        <v>2652</v>
      </c>
      <c r="M440" s="51" t="b">
        <v>1</v>
      </c>
      <c r="N440" s="142" t="s">
        <v>292</v>
      </c>
      <c r="O440" s="119"/>
      <c r="P440" s="13"/>
      <c r="Q440" s="13"/>
      <c r="R440" s="177"/>
      <c r="S440" s="35"/>
      <c r="T440" s="35"/>
      <c r="U440" s="13"/>
      <c r="V440" s="13"/>
      <c r="W440" s="13"/>
      <c r="X440" s="13"/>
      <c r="Y440" s="13"/>
      <c r="Z440" s="13"/>
      <c r="AA440" s="13"/>
      <c r="AB440" s="13"/>
      <c r="AC440" s="13"/>
    </row>
    <row r="441" ht="16.5" customHeight="1">
      <c r="A441" s="191">
        <v>597.0</v>
      </c>
      <c r="B441" s="188" t="s">
        <v>2653</v>
      </c>
      <c r="C441" s="13"/>
      <c r="D441" s="13"/>
      <c r="E441" s="13"/>
      <c r="F441" s="13"/>
      <c r="G441" s="186" t="s">
        <v>2654</v>
      </c>
      <c r="H441" s="49" t="s">
        <v>49</v>
      </c>
      <c r="I441" s="94" t="s">
        <v>39</v>
      </c>
      <c r="J441" s="186" t="s">
        <v>844</v>
      </c>
      <c r="K441" s="187" t="s">
        <v>2655</v>
      </c>
      <c r="L441" s="186" t="s">
        <v>2654</v>
      </c>
      <c r="M441" s="51" t="b">
        <v>1</v>
      </c>
      <c r="N441" s="118" t="s">
        <v>2656</v>
      </c>
      <c r="O441" s="119"/>
      <c r="P441" s="13"/>
      <c r="Q441" s="13"/>
      <c r="R441" s="177"/>
      <c r="S441" s="35"/>
      <c r="T441" s="35"/>
      <c r="U441" s="13"/>
      <c r="V441" s="13"/>
      <c r="W441" s="13"/>
      <c r="X441" s="13"/>
      <c r="Y441" s="13"/>
      <c r="Z441" s="13"/>
      <c r="AA441" s="13"/>
      <c r="AB441" s="13"/>
      <c r="AC441" s="13"/>
    </row>
    <row r="442" ht="16.5" customHeight="1">
      <c r="A442" s="191">
        <v>598.0</v>
      </c>
      <c r="B442" s="188" t="s">
        <v>2657</v>
      </c>
      <c r="C442" s="13"/>
      <c r="D442" s="13"/>
      <c r="E442" s="13"/>
      <c r="F442" s="13"/>
      <c r="G442" s="186" t="s">
        <v>2658</v>
      </c>
      <c r="H442" s="49" t="s">
        <v>49</v>
      </c>
      <c r="I442" s="94" t="s">
        <v>39</v>
      </c>
      <c r="J442" s="186" t="s">
        <v>844</v>
      </c>
      <c r="K442" s="187" t="s">
        <v>800</v>
      </c>
      <c r="L442" s="118" t="s">
        <v>2658</v>
      </c>
      <c r="M442" s="51" t="b">
        <v>1</v>
      </c>
      <c r="N442" s="118" t="s">
        <v>2659</v>
      </c>
      <c r="O442" s="118"/>
      <c r="P442" s="13"/>
      <c r="Q442" s="13"/>
      <c r="R442" s="177"/>
      <c r="S442" s="35"/>
      <c r="T442" s="35"/>
      <c r="U442" s="13"/>
      <c r="V442" s="13"/>
      <c r="W442" s="13"/>
      <c r="X442" s="13"/>
      <c r="Y442" s="13"/>
      <c r="Z442" s="13"/>
      <c r="AA442" s="13"/>
      <c r="AB442" s="13"/>
      <c r="AC442" s="13"/>
    </row>
    <row r="443" ht="16.5" customHeight="1">
      <c r="A443" s="13"/>
      <c r="B443" s="13"/>
      <c r="C443" s="13"/>
      <c r="D443" s="13"/>
      <c r="E443" s="13"/>
      <c r="F443" s="13"/>
      <c r="G443" s="13"/>
      <c r="H443" s="13"/>
      <c r="I443" s="13"/>
      <c r="J443" s="13"/>
      <c r="K443" s="205"/>
      <c r="L443" s="13"/>
      <c r="M443" s="13"/>
      <c r="N443" s="13"/>
      <c r="O443" s="205"/>
      <c r="P443" s="13"/>
      <c r="Q443" s="13"/>
      <c r="R443" s="177"/>
      <c r="S443" s="35"/>
      <c r="T443" s="35"/>
      <c r="U443" s="13"/>
      <c r="V443" s="13"/>
      <c r="W443" s="13"/>
      <c r="X443" s="13"/>
      <c r="Y443" s="13"/>
      <c r="Z443" s="13"/>
      <c r="AA443" s="13"/>
      <c r="AB443" s="13"/>
      <c r="AC443" s="13"/>
    </row>
    <row r="444" ht="16.5" customHeight="1">
      <c r="A444" s="13"/>
      <c r="B444" s="13"/>
      <c r="C444" s="13"/>
      <c r="D444" s="13"/>
      <c r="E444" s="13"/>
      <c r="F444" s="13"/>
      <c r="G444" s="13"/>
      <c r="H444" s="13"/>
      <c r="I444" s="13"/>
      <c r="J444" s="13"/>
      <c r="K444" s="205"/>
      <c r="L444" s="13"/>
      <c r="M444" s="13"/>
      <c r="N444" s="13"/>
      <c r="O444" s="205"/>
      <c r="P444" s="13"/>
      <c r="Q444" s="13"/>
      <c r="R444" s="177"/>
      <c r="S444" s="35"/>
      <c r="T444" s="35"/>
      <c r="U444" s="13"/>
      <c r="V444" s="13"/>
      <c r="W444" s="13"/>
      <c r="X444" s="13"/>
      <c r="Y444" s="13"/>
      <c r="Z444" s="13"/>
      <c r="AA444" s="13"/>
      <c r="AB444" s="13"/>
      <c r="AC444" s="13"/>
    </row>
    <row r="445" ht="16.5" customHeight="1">
      <c r="A445" s="13"/>
      <c r="B445" s="13"/>
      <c r="C445" s="13"/>
      <c r="D445" s="13"/>
      <c r="E445" s="13"/>
      <c r="F445" s="13"/>
      <c r="G445" s="13"/>
      <c r="H445" s="13"/>
      <c r="I445" s="13"/>
      <c r="J445" s="13"/>
      <c r="K445" s="205"/>
      <c r="L445" s="13"/>
      <c r="M445" s="13"/>
      <c r="N445" s="13"/>
      <c r="O445" s="205"/>
      <c r="P445" s="13"/>
      <c r="Q445" s="13"/>
      <c r="R445" s="177"/>
      <c r="S445" s="35"/>
      <c r="T445" s="35"/>
      <c r="U445" s="13"/>
      <c r="V445" s="13"/>
      <c r="W445" s="13"/>
      <c r="X445" s="13"/>
      <c r="Y445" s="13"/>
      <c r="Z445" s="13"/>
      <c r="AA445" s="13"/>
      <c r="AB445" s="13"/>
      <c r="AC445" s="13"/>
    </row>
    <row r="446" ht="16.5" customHeight="1">
      <c r="A446" s="13"/>
      <c r="B446" s="13"/>
      <c r="C446" s="13"/>
      <c r="D446" s="13"/>
      <c r="E446" s="13"/>
      <c r="F446" s="13"/>
      <c r="G446" s="13"/>
      <c r="H446" s="13"/>
      <c r="I446" s="13"/>
      <c r="J446" s="13"/>
      <c r="K446" s="205"/>
      <c r="L446" s="13"/>
      <c r="M446" s="13"/>
      <c r="N446" s="13"/>
      <c r="O446" s="205"/>
      <c r="P446" s="13"/>
      <c r="Q446" s="13"/>
      <c r="R446" s="177"/>
      <c r="S446" s="35"/>
      <c r="T446" s="35"/>
      <c r="U446" s="13"/>
      <c r="V446" s="13"/>
      <c r="W446" s="13"/>
      <c r="X446" s="13"/>
      <c r="Y446" s="13"/>
      <c r="Z446" s="13"/>
      <c r="AA446" s="13"/>
      <c r="AB446" s="13"/>
      <c r="AC446" s="13"/>
    </row>
    <row r="447" ht="16.5" customHeight="1">
      <c r="A447" s="13"/>
      <c r="B447" s="13"/>
      <c r="C447" s="13"/>
      <c r="D447" s="13"/>
      <c r="E447" s="13"/>
      <c r="F447" s="13"/>
      <c r="G447" s="13"/>
      <c r="H447" s="13"/>
      <c r="I447" s="13"/>
      <c r="J447" s="13"/>
      <c r="K447" s="205"/>
      <c r="L447" s="13"/>
      <c r="M447" s="13"/>
      <c r="N447" s="13"/>
      <c r="O447" s="205"/>
      <c r="P447" s="13"/>
      <c r="Q447" s="13"/>
      <c r="R447" s="177"/>
      <c r="S447" s="35"/>
      <c r="T447" s="35"/>
      <c r="U447" s="13"/>
      <c r="V447" s="13"/>
      <c r="W447" s="13"/>
      <c r="X447" s="13"/>
      <c r="Y447" s="13"/>
      <c r="Z447" s="13"/>
      <c r="AA447" s="13"/>
      <c r="AB447" s="13"/>
      <c r="AC447" s="13"/>
    </row>
    <row r="448" ht="16.5" customHeight="1">
      <c r="A448" s="13"/>
      <c r="B448" s="13"/>
      <c r="C448" s="13"/>
      <c r="D448" s="13"/>
      <c r="E448" s="13"/>
      <c r="F448" s="13"/>
      <c r="G448" s="13"/>
      <c r="H448" s="13"/>
      <c r="I448" s="13"/>
      <c r="J448" s="13"/>
      <c r="K448" s="205"/>
      <c r="L448" s="13"/>
      <c r="M448" s="13"/>
      <c r="N448" s="13"/>
      <c r="O448" s="205"/>
      <c r="P448" s="13"/>
      <c r="Q448" s="13"/>
      <c r="R448" s="177"/>
      <c r="S448" s="35"/>
      <c r="T448" s="35"/>
      <c r="U448" s="13"/>
      <c r="V448" s="13"/>
      <c r="W448" s="13"/>
      <c r="X448" s="13"/>
      <c r="Y448" s="13"/>
      <c r="Z448" s="13"/>
      <c r="AA448" s="13"/>
      <c r="AB448" s="13"/>
      <c r="AC448" s="13"/>
    </row>
    <row r="449" ht="16.5" customHeight="1">
      <c r="A449" s="13"/>
      <c r="B449" s="13"/>
      <c r="C449" s="13"/>
      <c r="D449" s="13"/>
      <c r="E449" s="13"/>
      <c r="F449" s="13"/>
      <c r="G449" s="13"/>
      <c r="H449" s="13"/>
      <c r="I449" s="13"/>
      <c r="J449" s="13"/>
      <c r="K449" s="205"/>
      <c r="L449" s="13"/>
      <c r="M449" s="13"/>
      <c r="N449" s="13"/>
      <c r="O449" s="205"/>
      <c r="P449" s="13"/>
      <c r="Q449" s="13"/>
      <c r="R449" s="177"/>
      <c r="S449" s="35"/>
      <c r="T449" s="35"/>
      <c r="U449" s="13"/>
      <c r="V449" s="13"/>
      <c r="W449" s="13"/>
      <c r="X449" s="13"/>
      <c r="Y449" s="13"/>
      <c r="Z449" s="13"/>
      <c r="AA449" s="13"/>
      <c r="AB449" s="13"/>
      <c r="AC449" s="13"/>
    </row>
    <row r="450" ht="16.5" customHeight="1">
      <c r="A450" s="13"/>
      <c r="B450" s="13"/>
      <c r="C450" s="13"/>
      <c r="D450" s="13"/>
      <c r="E450" s="13"/>
      <c r="F450" s="13"/>
      <c r="G450" s="13"/>
      <c r="H450" s="13"/>
      <c r="I450" s="13"/>
      <c r="J450" s="13"/>
      <c r="K450" s="205"/>
      <c r="L450" s="13"/>
      <c r="M450" s="13"/>
      <c r="N450" s="13"/>
      <c r="O450" s="205"/>
      <c r="P450" s="13"/>
      <c r="Q450" s="13"/>
      <c r="R450" s="177"/>
      <c r="S450" s="35"/>
      <c r="T450" s="35"/>
      <c r="U450" s="13"/>
      <c r="V450" s="13"/>
      <c r="W450" s="13"/>
      <c r="X450" s="13"/>
      <c r="Y450" s="13"/>
      <c r="Z450" s="13"/>
      <c r="AA450" s="13"/>
      <c r="AB450" s="13"/>
      <c r="AC450" s="13"/>
    </row>
    <row r="451" ht="16.5" customHeight="1">
      <c r="A451" s="13"/>
      <c r="B451" s="13"/>
      <c r="C451" s="13"/>
      <c r="D451" s="13"/>
      <c r="E451" s="13"/>
      <c r="F451" s="13"/>
      <c r="G451" s="13"/>
      <c r="H451" s="13"/>
      <c r="I451" s="13"/>
      <c r="J451" s="13"/>
      <c r="K451" s="205"/>
      <c r="L451" s="13"/>
      <c r="M451" s="13"/>
      <c r="N451" s="13"/>
      <c r="O451" s="205"/>
      <c r="P451" s="13"/>
      <c r="Q451" s="13"/>
      <c r="R451" s="177"/>
      <c r="S451" s="35"/>
      <c r="T451" s="35"/>
      <c r="U451" s="13"/>
      <c r="V451" s="13"/>
      <c r="W451" s="13"/>
      <c r="X451" s="13"/>
      <c r="Y451" s="13"/>
      <c r="Z451" s="13"/>
      <c r="AA451" s="13"/>
      <c r="AB451" s="13"/>
      <c r="AC451" s="13"/>
    </row>
    <row r="452" ht="16.5" customHeight="1">
      <c r="A452" s="13"/>
      <c r="B452" s="13"/>
      <c r="C452" s="13"/>
      <c r="D452" s="13"/>
      <c r="E452" s="13"/>
      <c r="F452" s="13"/>
      <c r="G452" s="13"/>
      <c r="H452" s="13"/>
      <c r="I452" s="13"/>
      <c r="J452" s="13"/>
      <c r="K452" s="205"/>
      <c r="L452" s="13"/>
      <c r="M452" s="13"/>
      <c r="N452" s="13"/>
      <c r="O452" s="205"/>
      <c r="P452" s="13"/>
      <c r="Q452" s="13"/>
      <c r="R452" s="177"/>
      <c r="S452" s="35"/>
      <c r="T452" s="35"/>
      <c r="U452" s="13"/>
      <c r="V452" s="13"/>
      <c r="W452" s="13"/>
      <c r="X452" s="13"/>
      <c r="Y452" s="13"/>
      <c r="Z452" s="13"/>
      <c r="AA452" s="13"/>
      <c r="AB452" s="13"/>
      <c r="AC452" s="13"/>
    </row>
    <row r="453" ht="16.5" customHeight="1">
      <c r="A453" s="13"/>
      <c r="B453" s="13"/>
      <c r="C453" s="13"/>
      <c r="D453" s="13"/>
      <c r="E453" s="13"/>
      <c r="F453" s="13"/>
      <c r="G453" s="13"/>
      <c r="H453" s="13"/>
      <c r="I453" s="13"/>
      <c r="J453" s="13"/>
      <c r="K453" s="205"/>
      <c r="L453" s="13"/>
      <c r="M453" s="13"/>
      <c r="N453" s="13"/>
      <c r="O453" s="205"/>
      <c r="P453" s="13"/>
      <c r="Q453" s="13"/>
      <c r="R453" s="177"/>
      <c r="S453" s="35"/>
      <c r="T453" s="35"/>
      <c r="U453" s="13"/>
      <c r="V453" s="13"/>
      <c r="W453" s="13"/>
      <c r="X453" s="13"/>
      <c r="Y453" s="13"/>
      <c r="Z453" s="13"/>
      <c r="AA453" s="13"/>
      <c r="AB453" s="13"/>
      <c r="AC453" s="13"/>
    </row>
    <row r="454" ht="16.5" customHeight="1">
      <c r="A454" s="13"/>
      <c r="B454" s="13"/>
      <c r="C454" s="13"/>
      <c r="D454" s="13"/>
      <c r="E454" s="13"/>
      <c r="F454" s="13"/>
      <c r="G454" s="13"/>
      <c r="H454" s="13"/>
      <c r="I454" s="13"/>
      <c r="J454" s="13"/>
      <c r="K454" s="205"/>
      <c r="L454" s="13"/>
      <c r="M454" s="13"/>
      <c r="N454" s="13"/>
      <c r="O454" s="205"/>
      <c r="P454" s="13"/>
      <c r="Q454" s="13"/>
      <c r="R454" s="177"/>
      <c r="S454" s="35"/>
      <c r="T454" s="35"/>
      <c r="U454" s="13"/>
      <c r="V454" s="13"/>
      <c r="W454" s="13"/>
      <c r="X454" s="13"/>
      <c r="Y454" s="13"/>
      <c r="Z454" s="13"/>
      <c r="AA454" s="13"/>
      <c r="AB454" s="13"/>
      <c r="AC454" s="13"/>
    </row>
    <row r="455" ht="16.5" customHeight="1">
      <c r="A455" s="13"/>
      <c r="B455" s="13"/>
      <c r="C455" s="13"/>
      <c r="D455" s="13"/>
      <c r="E455" s="13"/>
      <c r="F455" s="13"/>
      <c r="G455" s="13"/>
      <c r="H455" s="13"/>
      <c r="I455" s="13"/>
      <c r="J455" s="13"/>
      <c r="K455" s="205"/>
      <c r="L455" s="13"/>
      <c r="M455" s="13"/>
      <c r="N455" s="13"/>
      <c r="O455" s="205"/>
      <c r="P455" s="13"/>
      <c r="Q455" s="13"/>
      <c r="R455" s="177"/>
      <c r="S455" s="35"/>
      <c r="T455" s="35"/>
      <c r="U455" s="13"/>
      <c r="V455" s="13"/>
      <c r="W455" s="13"/>
      <c r="X455" s="13"/>
      <c r="Y455" s="13"/>
      <c r="Z455" s="13"/>
      <c r="AA455" s="13"/>
      <c r="AB455" s="13"/>
      <c r="AC455" s="13"/>
    </row>
    <row r="456" ht="16.5" customHeight="1">
      <c r="A456" s="13"/>
      <c r="B456" s="13"/>
      <c r="C456" s="13"/>
      <c r="D456" s="13"/>
      <c r="E456" s="13"/>
      <c r="F456" s="13"/>
      <c r="G456" s="13"/>
      <c r="H456" s="13"/>
      <c r="I456" s="13"/>
      <c r="J456" s="13"/>
      <c r="K456" s="205"/>
      <c r="L456" s="13"/>
      <c r="M456" s="13"/>
      <c r="N456" s="13"/>
      <c r="O456" s="205"/>
      <c r="P456" s="13"/>
      <c r="Q456" s="13"/>
      <c r="R456" s="177"/>
      <c r="S456" s="35"/>
      <c r="T456" s="35"/>
      <c r="U456" s="13"/>
      <c r="V456" s="13"/>
      <c r="W456" s="13"/>
      <c r="X456" s="13"/>
      <c r="Y456" s="13"/>
      <c r="Z456" s="13"/>
      <c r="AA456" s="13"/>
      <c r="AB456" s="13"/>
      <c r="AC456" s="13"/>
    </row>
    <row r="457" ht="16.5" customHeight="1">
      <c r="A457" s="13"/>
      <c r="B457" s="13"/>
      <c r="C457" s="13"/>
      <c r="D457" s="13"/>
      <c r="E457" s="13"/>
      <c r="F457" s="13"/>
      <c r="G457" s="13"/>
      <c r="H457" s="13"/>
      <c r="I457" s="13"/>
      <c r="J457" s="13"/>
      <c r="K457" s="205"/>
      <c r="L457" s="13"/>
      <c r="M457" s="13"/>
      <c r="N457" s="13"/>
      <c r="O457" s="205"/>
      <c r="P457" s="13"/>
      <c r="Q457" s="13"/>
      <c r="R457" s="177"/>
      <c r="S457" s="35"/>
      <c r="T457" s="35"/>
      <c r="U457" s="13"/>
      <c r="V457" s="13"/>
      <c r="W457" s="13"/>
      <c r="X457" s="13"/>
      <c r="Y457" s="13"/>
      <c r="Z457" s="13"/>
      <c r="AA457" s="13"/>
      <c r="AB457" s="13"/>
      <c r="AC457" s="13"/>
    </row>
    <row r="458" ht="16.5" customHeight="1">
      <c r="A458" s="13"/>
      <c r="B458" s="13"/>
      <c r="C458" s="13"/>
      <c r="D458" s="13"/>
      <c r="E458" s="13"/>
      <c r="F458" s="13"/>
      <c r="G458" s="13"/>
      <c r="H458" s="13"/>
      <c r="I458" s="13"/>
      <c r="J458" s="13"/>
      <c r="K458" s="205"/>
      <c r="L458" s="13"/>
      <c r="M458" s="13"/>
      <c r="N458" s="13"/>
      <c r="O458" s="205"/>
      <c r="P458" s="13"/>
      <c r="Q458" s="13"/>
      <c r="R458" s="177"/>
      <c r="S458" s="35"/>
      <c r="T458" s="35"/>
      <c r="U458" s="13"/>
      <c r="V458" s="13"/>
      <c r="W458" s="13"/>
      <c r="X458" s="13"/>
      <c r="Y458" s="13"/>
      <c r="Z458" s="13"/>
      <c r="AA458" s="13"/>
      <c r="AB458" s="13"/>
      <c r="AC458" s="13"/>
    </row>
    <row r="459" ht="16.5" customHeight="1">
      <c r="A459" s="13"/>
      <c r="B459" s="13"/>
      <c r="C459" s="13"/>
      <c r="D459" s="13"/>
      <c r="E459" s="13"/>
      <c r="F459" s="13"/>
      <c r="G459" s="13"/>
      <c r="H459" s="13"/>
      <c r="I459" s="13"/>
      <c r="J459" s="13"/>
      <c r="K459" s="205"/>
      <c r="L459" s="13"/>
      <c r="M459" s="13"/>
      <c r="N459" s="13"/>
      <c r="O459" s="205"/>
      <c r="P459" s="13"/>
      <c r="Q459" s="13"/>
      <c r="R459" s="177"/>
      <c r="S459" s="35"/>
      <c r="T459" s="35"/>
      <c r="U459" s="13"/>
      <c r="V459" s="13"/>
      <c r="W459" s="13"/>
      <c r="X459" s="13"/>
      <c r="Y459" s="13"/>
      <c r="Z459" s="13"/>
      <c r="AA459" s="13"/>
      <c r="AB459" s="13"/>
      <c r="AC459" s="13"/>
    </row>
    <row r="460" ht="16.5" customHeight="1">
      <c r="A460" s="13"/>
      <c r="B460" s="13"/>
      <c r="C460" s="13"/>
      <c r="D460" s="13"/>
      <c r="E460" s="13"/>
      <c r="F460" s="13"/>
      <c r="G460" s="13"/>
      <c r="H460" s="13"/>
      <c r="I460" s="13"/>
      <c r="J460" s="13"/>
      <c r="K460" s="205"/>
      <c r="L460" s="13"/>
      <c r="M460" s="13"/>
      <c r="N460" s="13"/>
      <c r="O460" s="205"/>
      <c r="P460" s="13"/>
      <c r="Q460" s="13"/>
      <c r="R460" s="177"/>
      <c r="S460" s="35"/>
      <c r="T460" s="35"/>
      <c r="U460" s="13"/>
      <c r="V460" s="13"/>
      <c r="W460" s="13"/>
      <c r="X460" s="13"/>
      <c r="Y460" s="13"/>
      <c r="Z460" s="13"/>
      <c r="AA460" s="13"/>
      <c r="AB460" s="13"/>
      <c r="AC460" s="13"/>
    </row>
    <row r="461" ht="16.5" customHeight="1">
      <c r="A461" s="13"/>
      <c r="B461" s="13"/>
      <c r="C461" s="13"/>
      <c r="D461" s="13"/>
      <c r="E461" s="13"/>
      <c r="F461" s="13"/>
      <c r="G461" s="13"/>
      <c r="H461" s="13"/>
      <c r="I461" s="13"/>
      <c r="J461" s="13"/>
      <c r="K461" s="205"/>
      <c r="L461" s="13"/>
      <c r="M461" s="13"/>
      <c r="N461" s="13"/>
      <c r="O461" s="205"/>
      <c r="P461" s="13"/>
      <c r="Q461" s="13"/>
      <c r="R461" s="177"/>
      <c r="S461" s="35"/>
      <c r="T461" s="35"/>
      <c r="U461" s="13"/>
      <c r="V461" s="13"/>
      <c r="W461" s="13"/>
      <c r="X461" s="13"/>
      <c r="Y461" s="13"/>
      <c r="Z461" s="13"/>
      <c r="AA461" s="13"/>
      <c r="AB461" s="13"/>
      <c r="AC461" s="13"/>
    </row>
    <row r="462" ht="16.5" customHeight="1">
      <c r="A462" s="13"/>
      <c r="B462" s="13"/>
      <c r="C462" s="13"/>
      <c r="D462" s="13"/>
      <c r="E462" s="13"/>
      <c r="F462" s="13"/>
      <c r="G462" s="13"/>
      <c r="H462" s="13"/>
      <c r="I462" s="13"/>
      <c r="J462" s="13"/>
      <c r="K462" s="205"/>
      <c r="L462" s="13"/>
      <c r="M462" s="13"/>
      <c r="N462" s="13"/>
      <c r="O462" s="205"/>
      <c r="P462" s="13"/>
      <c r="Q462" s="13"/>
      <c r="R462" s="177"/>
      <c r="S462" s="35"/>
      <c r="T462" s="35"/>
      <c r="U462" s="13"/>
      <c r="V462" s="13"/>
      <c r="W462" s="13"/>
      <c r="X462" s="13"/>
      <c r="Y462" s="13"/>
      <c r="Z462" s="13"/>
      <c r="AA462" s="13"/>
      <c r="AB462" s="13"/>
      <c r="AC462" s="13"/>
    </row>
    <row r="463" ht="16.5" customHeight="1">
      <c r="A463" s="13"/>
      <c r="B463" s="13"/>
      <c r="C463" s="13"/>
      <c r="D463" s="13"/>
      <c r="E463" s="13"/>
      <c r="F463" s="13"/>
      <c r="G463" s="13"/>
      <c r="H463" s="13"/>
      <c r="I463" s="13"/>
      <c r="J463" s="13"/>
      <c r="K463" s="205"/>
      <c r="L463" s="13"/>
      <c r="M463" s="13"/>
      <c r="N463" s="13"/>
      <c r="O463" s="205"/>
      <c r="P463" s="13"/>
      <c r="Q463" s="13"/>
      <c r="R463" s="177"/>
      <c r="S463" s="35"/>
      <c r="T463" s="35"/>
      <c r="U463" s="13"/>
      <c r="V463" s="13"/>
      <c r="W463" s="13"/>
      <c r="X463" s="13"/>
      <c r="Y463" s="13"/>
      <c r="Z463" s="13"/>
      <c r="AA463" s="13"/>
      <c r="AB463" s="13"/>
      <c r="AC463" s="13"/>
    </row>
    <row r="464" ht="16.5" customHeight="1">
      <c r="A464" s="13"/>
      <c r="B464" s="13"/>
      <c r="C464" s="13"/>
      <c r="D464" s="13"/>
      <c r="E464" s="13"/>
      <c r="F464" s="13"/>
      <c r="G464" s="13"/>
      <c r="H464" s="13"/>
      <c r="I464" s="13"/>
      <c r="J464" s="13"/>
      <c r="K464" s="205"/>
      <c r="L464" s="13"/>
      <c r="M464" s="13"/>
      <c r="N464" s="13"/>
      <c r="O464" s="205"/>
      <c r="P464" s="13"/>
      <c r="Q464" s="13"/>
      <c r="R464" s="177"/>
      <c r="S464" s="35"/>
      <c r="T464" s="35"/>
      <c r="U464" s="13"/>
      <c r="V464" s="13"/>
      <c r="W464" s="13"/>
      <c r="X464" s="13"/>
      <c r="Y464" s="13"/>
      <c r="Z464" s="13"/>
      <c r="AA464" s="13"/>
      <c r="AB464" s="13"/>
      <c r="AC464" s="13"/>
    </row>
    <row r="465" ht="16.5" customHeight="1">
      <c r="A465" s="13"/>
      <c r="B465" s="13"/>
      <c r="C465" s="13"/>
      <c r="D465" s="13"/>
      <c r="E465" s="13"/>
      <c r="F465" s="13"/>
      <c r="G465" s="13"/>
      <c r="H465" s="13"/>
      <c r="I465" s="13"/>
      <c r="J465" s="13"/>
      <c r="K465" s="205"/>
      <c r="L465" s="13"/>
      <c r="M465" s="13"/>
      <c r="N465" s="13"/>
      <c r="O465" s="205"/>
      <c r="P465" s="13"/>
      <c r="Q465" s="13"/>
      <c r="R465" s="177"/>
      <c r="S465" s="35"/>
      <c r="T465" s="35"/>
      <c r="U465" s="13"/>
      <c r="V465" s="13"/>
      <c r="W465" s="13"/>
      <c r="X465" s="13"/>
      <c r="Y465" s="13"/>
      <c r="Z465" s="13"/>
      <c r="AA465" s="13"/>
      <c r="AB465" s="13"/>
      <c r="AC465" s="13"/>
    </row>
    <row r="466" ht="16.5" customHeight="1">
      <c r="A466" s="13"/>
      <c r="B466" s="13"/>
      <c r="C466" s="13"/>
      <c r="D466" s="13"/>
      <c r="E466" s="13"/>
      <c r="F466" s="13"/>
      <c r="G466" s="13"/>
      <c r="H466" s="13"/>
      <c r="I466" s="13"/>
      <c r="J466" s="13"/>
      <c r="K466" s="205"/>
      <c r="L466" s="13"/>
      <c r="M466" s="13"/>
      <c r="N466" s="13"/>
      <c r="O466" s="205"/>
      <c r="P466" s="13"/>
      <c r="Q466" s="13"/>
      <c r="R466" s="177"/>
      <c r="S466" s="35"/>
      <c r="T466" s="35"/>
      <c r="U466" s="13"/>
      <c r="V466" s="13"/>
      <c r="W466" s="13"/>
      <c r="X466" s="13"/>
      <c r="Y466" s="13"/>
      <c r="Z466" s="13"/>
      <c r="AA466" s="13"/>
      <c r="AB466" s="13"/>
      <c r="AC466" s="13"/>
    </row>
    <row r="467" ht="16.5" customHeight="1">
      <c r="A467" s="13"/>
      <c r="B467" s="13"/>
      <c r="C467" s="13"/>
      <c r="D467" s="13"/>
      <c r="E467" s="13"/>
      <c r="F467" s="13"/>
      <c r="G467" s="13"/>
      <c r="H467" s="13"/>
      <c r="I467" s="13"/>
      <c r="J467" s="13"/>
      <c r="K467" s="205"/>
      <c r="L467" s="13"/>
      <c r="M467" s="13"/>
      <c r="N467" s="13"/>
      <c r="O467" s="205"/>
      <c r="P467" s="13"/>
      <c r="Q467" s="13"/>
      <c r="R467" s="177"/>
      <c r="S467" s="35"/>
      <c r="T467" s="35"/>
      <c r="U467" s="13"/>
      <c r="V467" s="13"/>
      <c r="W467" s="13"/>
      <c r="X467" s="13"/>
      <c r="Y467" s="13"/>
      <c r="Z467" s="13"/>
      <c r="AA467" s="13"/>
      <c r="AB467" s="13"/>
      <c r="AC467" s="13"/>
    </row>
    <row r="468" ht="16.5" customHeight="1">
      <c r="A468" s="13"/>
      <c r="B468" s="13"/>
      <c r="C468" s="13"/>
      <c r="D468" s="13"/>
      <c r="E468" s="13"/>
      <c r="F468" s="13"/>
      <c r="G468" s="13"/>
      <c r="H468" s="13"/>
      <c r="I468" s="13"/>
      <c r="J468" s="13"/>
      <c r="K468" s="205"/>
      <c r="L468" s="13"/>
      <c r="M468" s="13"/>
      <c r="N468" s="13"/>
      <c r="O468" s="205"/>
      <c r="P468" s="13"/>
      <c r="Q468" s="13"/>
      <c r="R468" s="177"/>
      <c r="S468" s="35"/>
      <c r="T468" s="35"/>
      <c r="U468" s="13"/>
      <c r="V468" s="13"/>
      <c r="W468" s="13"/>
      <c r="X468" s="13"/>
      <c r="Y468" s="13"/>
      <c r="Z468" s="13"/>
      <c r="AA468" s="13"/>
      <c r="AB468" s="13"/>
      <c r="AC468" s="13"/>
    </row>
    <row r="469" ht="16.5" customHeight="1">
      <c r="A469" s="13"/>
      <c r="B469" s="13"/>
      <c r="C469" s="13"/>
      <c r="D469" s="13"/>
      <c r="E469" s="13"/>
      <c r="F469" s="13"/>
      <c r="G469" s="13"/>
      <c r="H469" s="13"/>
      <c r="I469" s="13"/>
      <c r="J469" s="13"/>
      <c r="K469" s="205"/>
      <c r="L469" s="13"/>
      <c r="M469" s="13"/>
      <c r="N469" s="13"/>
      <c r="O469" s="205"/>
      <c r="P469" s="13"/>
      <c r="Q469" s="13"/>
      <c r="R469" s="177"/>
      <c r="S469" s="35"/>
      <c r="T469" s="35"/>
      <c r="U469" s="13"/>
      <c r="V469" s="13"/>
      <c r="W469" s="13"/>
      <c r="X469" s="13"/>
      <c r="Y469" s="13"/>
      <c r="Z469" s="13"/>
      <c r="AA469" s="13"/>
      <c r="AB469" s="13"/>
      <c r="AC469" s="13"/>
    </row>
    <row r="470" ht="16.5" customHeight="1">
      <c r="A470" s="13"/>
      <c r="B470" s="13"/>
      <c r="C470" s="13"/>
      <c r="D470" s="13"/>
      <c r="E470" s="13"/>
      <c r="F470" s="13"/>
      <c r="G470" s="13"/>
      <c r="H470" s="13"/>
      <c r="I470" s="13"/>
      <c r="J470" s="13"/>
      <c r="K470" s="205"/>
      <c r="L470" s="13"/>
      <c r="M470" s="13"/>
      <c r="N470" s="13"/>
      <c r="O470" s="205"/>
      <c r="P470" s="13"/>
      <c r="Q470" s="13"/>
      <c r="R470" s="177"/>
      <c r="S470" s="35"/>
      <c r="T470" s="35"/>
      <c r="U470" s="13"/>
      <c r="V470" s="13"/>
      <c r="W470" s="13"/>
      <c r="X470" s="13"/>
      <c r="Y470" s="13"/>
      <c r="Z470" s="13"/>
      <c r="AA470" s="13"/>
      <c r="AB470" s="13"/>
      <c r="AC470" s="13"/>
    </row>
    <row r="471" ht="16.5" customHeight="1">
      <c r="A471" s="13"/>
      <c r="B471" s="13"/>
      <c r="C471" s="13"/>
      <c r="D471" s="13"/>
      <c r="E471" s="13"/>
      <c r="F471" s="13"/>
      <c r="G471" s="13"/>
      <c r="H471" s="13"/>
      <c r="I471" s="13"/>
      <c r="J471" s="13"/>
      <c r="K471" s="205"/>
      <c r="L471" s="13"/>
      <c r="M471" s="13"/>
      <c r="N471" s="13"/>
      <c r="O471" s="205"/>
      <c r="P471" s="13"/>
      <c r="Q471" s="13"/>
      <c r="R471" s="177"/>
      <c r="S471" s="35"/>
      <c r="T471" s="35"/>
      <c r="U471" s="13"/>
      <c r="V471" s="13"/>
      <c r="W471" s="13"/>
      <c r="X471" s="13"/>
      <c r="Y471" s="13"/>
      <c r="Z471" s="13"/>
      <c r="AA471" s="13"/>
      <c r="AB471" s="13"/>
      <c r="AC471" s="13"/>
    </row>
    <row r="472" ht="16.5" customHeight="1">
      <c r="A472" s="13"/>
      <c r="B472" s="13"/>
      <c r="C472" s="13"/>
      <c r="D472" s="13"/>
      <c r="E472" s="13"/>
      <c r="F472" s="13"/>
      <c r="G472" s="13"/>
      <c r="H472" s="13"/>
      <c r="I472" s="13"/>
      <c r="J472" s="13"/>
      <c r="K472" s="205"/>
      <c r="L472" s="13"/>
      <c r="M472" s="13"/>
      <c r="N472" s="13"/>
      <c r="O472" s="205"/>
      <c r="P472" s="13"/>
      <c r="Q472" s="13"/>
      <c r="R472" s="177"/>
      <c r="S472" s="35"/>
      <c r="T472" s="35"/>
      <c r="U472" s="13"/>
      <c r="V472" s="13"/>
      <c r="W472" s="13"/>
      <c r="X472" s="13"/>
      <c r="Y472" s="13"/>
      <c r="Z472" s="13"/>
      <c r="AA472" s="13"/>
      <c r="AB472" s="13"/>
      <c r="AC472" s="13"/>
    </row>
    <row r="473" ht="16.5" customHeight="1">
      <c r="A473" s="13"/>
      <c r="B473" s="13"/>
      <c r="C473" s="13"/>
      <c r="D473" s="13"/>
      <c r="E473" s="13"/>
      <c r="F473" s="13"/>
      <c r="G473" s="13"/>
      <c r="H473" s="13"/>
      <c r="I473" s="13"/>
      <c r="J473" s="13"/>
      <c r="K473" s="205"/>
      <c r="L473" s="13"/>
      <c r="M473" s="13"/>
      <c r="N473" s="13"/>
      <c r="O473" s="205"/>
      <c r="P473" s="13"/>
      <c r="Q473" s="13"/>
      <c r="R473" s="177"/>
      <c r="S473" s="35"/>
      <c r="T473" s="35"/>
      <c r="U473" s="13"/>
      <c r="V473" s="13"/>
      <c r="W473" s="13"/>
      <c r="X473" s="13"/>
      <c r="Y473" s="13"/>
      <c r="Z473" s="13"/>
      <c r="AA473" s="13"/>
      <c r="AB473" s="13"/>
      <c r="AC473" s="13"/>
    </row>
    <row r="474" ht="16.5" customHeight="1">
      <c r="A474" s="13"/>
      <c r="B474" s="13"/>
      <c r="C474" s="13"/>
      <c r="D474" s="13"/>
      <c r="E474" s="13"/>
      <c r="F474" s="13"/>
      <c r="G474" s="13"/>
      <c r="H474" s="13"/>
      <c r="I474" s="13"/>
      <c r="J474" s="13"/>
      <c r="K474" s="205"/>
      <c r="L474" s="13"/>
      <c r="M474" s="13"/>
      <c r="N474" s="13"/>
      <c r="O474" s="205"/>
      <c r="P474" s="13"/>
      <c r="Q474" s="13"/>
      <c r="R474" s="177"/>
      <c r="S474" s="35"/>
      <c r="T474" s="35"/>
      <c r="U474" s="13"/>
      <c r="V474" s="13"/>
      <c r="W474" s="13"/>
      <c r="X474" s="13"/>
      <c r="Y474" s="13"/>
      <c r="Z474" s="13"/>
      <c r="AA474" s="13"/>
      <c r="AB474" s="13"/>
      <c r="AC474" s="13"/>
    </row>
    <row r="475" ht="16.5" customHeight="1">
      <c r="A475" s="13"/>
      <c r="B475" s="13"/>
      <c r="C475" s="13"/>
      <c r="D475" s="13"/>
      <c r="E475" s="13"/>
      <c r="F475" s="13"/>
      <c r="G475" s="13"/>
      <c r="H475" s="13"/>
      <c r="I475" s="13"/>
      <c r="J475" s="13"/>
      <c r="K475" s="205"/>
      <c r="L475" s="13"/>
      <c r="M475" s="13"/>
      <c r="N475" s="13"/>
      <c r="O475" s="205"/>
      <c r="P475" s="13"/>
      <c r="Q475" s="13"/>
      <c r="R475" s="177"/>
      <c r="S475" s="35"/>
      <c r="T475" s="35"/>
      <c r="U475" s="13"/>
      <c r="V475" s="13"/>
      <c r="W475" s="13"/>
      <c r="X475" s="13"/>
      <c r="Y475" s="13"/>
      <c r="Z475" s="13"/>
      <c r="AA475" s="13"/>
      <c r="AB475" s="13"/>
      <c r="AC475" s="13"/>
    </row>
    <row r="476" ht="16.5" customHeight="1">
      <c r="A476" s="13"/>
      <c r="B476" s="13"/>
      <c r="C476" s="13"/>
      <c r="D476" s="13"/>
      <c r="E476" s="13"/>
      <c r="F476" s="13"/>
      <c r="G476" s="13"/>
      <c r="H476" s="13"/>
      <c r="I476" s="13"/>
      <c r="J476" s="13"/>
      <c r="K476" s="205"/>
      <c r="L476" s="13"/>
      <c r="M476" s="13"/>
      <c r="N476" s="13"/>
      <c r="O476" s="205"/>
      <c r="P476" s="13"/>
      <c r="Q476" s="13"/>
      <c r="R476" s="177"/>
      <c r="S476" s="35"/>
      <c r="T476" s="35"/>
      <c r="U476" s="13"/>
      <c r="V476" s="13"/>
      <c r="W476" s="13"/>
      <c r="X476" s="13"/>
      <c r="Y476" s="13"/>
      <c r="Z476" s="13"/>
      <c r="AA476" s="13"/>
      <c r="AB476" s="13"/>
      <c r="AC476" s="13"/>
    </row>
    <row r="477" ht="16.5" customHeight="1">
      <c r="A477" s="13"/>
      <c r="B477" s="13"/>
      <c r="C477" s="13"/>
      <c r="D477" s="13"/>
      <c r="E477" s="13"/>
      <c r="F477" s="13"/>
      <c r="G477" s="13"/>
      <c r="H477" s="13"/>
      <c r="I477" s="13"/>
      <c r="J477" s="13"/>
      <c r="K477" s="205"/>
      <c r="L477" s="13"/>
      <c r="M477" s="13"/>
      <c r="N477" s="13"/>
      <c r="O477" s="205"/>
      <c r="P477" s="13"/>
      <c r="Q477" s="13"/>
      <c r="R477" s="177"/>
      <c r="S477" s="35"/>
      <c r="T477" s="35"/>
      <c r="U477" s="13"/>
      <c r="V477" s="13"/>
      <c r="W477" s="13"/>
      <c r="X477" s="13"/>
      <c r="Y477" s="13"/>
      <c r="Z477" s="13"/>
      <c r="AA477" s="13"/>
      <c r="AB477" s="13"/>
      <c r="AC477" s="13"/>
    </row>
    <row r="478" ht="16.5" customHeight="1">
      <c r="A478" s="13"/>
      <c r="B478" s="13"/>
      <c r="C478" s="13"/>
      <c r="D478" s="13"/>
      <c r="E478" s="13"/>
      <c r="F478" s="13"/>
      <c r="G478" s="13"/>
      <c r="H478" s="13"/>
      <c r="I478" s="13"/>
      <c r="J478" s="13"/>
      <c r="K478" s="205"/>
      <c r="L478" s="13"/>
      <c r="M478" s="13"/>
      <c r="N478" s="13"/>
      <c r="O478" s="205"/>
      <c r="P478" s="13"/>
      <c r="Q478" s="13"/>
      <c r="R478" s="177"/>
      <c r="S478" s="35"/>
      <c r="T478" s="35"/>
      <c r="U478" s="13"/>
      <c r="V478" s="13"/>
      <c r="W478" s="13"/>
      <c r="X478" s="13"/>
      <c r="Y478" s="13"/>
      <c r="Z478" s="13"/>
      <c r="AA478" s="13"/>
      <c r="AB478" s="13"/>
      <c r="AC478" s="13"/>
    </row>
    <row r="479" ht="16.5" customHeight="1">
      <c r="A479" s="13"/>
      <c r="B479" s="13"/>
      <c r="C479" s="13"/>
      <c r="D479" s="13"/>
      <c r="E479" s="13"/>
      <c r="F479" s="13"/>
      <c r="G479" s="13"/>
      <c r="H479" s="13"/>
      <c r="I479" s="13"/>
      <c r="J479" s="13"/>
      <c r="K479" s="205"/>
      <c r="L479" s="13"/>
      <c r="M479" s="13"/>
      <c r="N479" s="13"/>
      <c r="O479" s="205"/>
      <c r="P479" s="13"/>
      <c r="Q479" s="13"/>
      <c r="R479" s="177"/>
      <c r="S479" s="35"/>
      <c r="T479" s="35"/>
      <c r="U479" s="13"/>
      <c r="V479" s="13"/>
      <c r="W479" s="13"/>
      <c r="X479" s="13"/>
      <c r="Y479" s="13"/>
      <c r="Z479" s="13"/>
      <c r="AA479" s="13"/>
      <c r="AB479" s="13"/>
      <c r="AC479" s="13"/>
    </row>
    <row r="480" ht="16.5" customHeight="1">
      <c r="A480" s="13"/>
      <c r="B480" s="13"/>
      <c r="C480" s="13"/>
      <c r="D480" s="13"/>
      <c r="E480" s="13"/>
      <c r="F480" s="13"/>
      <c r="G480" s="13"/>
      <c r="H480" s="13"/>
      <c r="I480" s="13"/>
      <c r="J480" s="13"/>
      <c r="K480" s="205"/>
      <c r="L480" s="13"/>
      <c r="M480" s="13"/>
      <c r="N480" s="13"/>
      <c r="O480" s="205"/>
      <c r="P480" s="13"/>
      <c r="Q480" s="13"/>
      <c r="R480" s="177"/>
      <c r="S480" s="35"/>
      <c r="T480" s="35"/>
      <c r="U480" s="13"/>
      <c r="V480" s="13"/>
      <c r="W480" s="13"/>
      <c r="X480" s="13"/>
      <c r="Y480" s="13"/>
      <c r="Z480" s="13"/>
      <c r="AA480" s="13"/>
      <c r="AB480" s="13"/>
      <c r="AC480" s="13"/>
    </row>
    <row r="481" ht="16.5" customHeight="1">
      <c r="A481" s="13"/>
      <c r="B481" s="13"/>
      <c r="C481" s="13"/>
      <c r="D481" s="13"/>
      <c r="E481" s="13"/>
      <c r="F481" s="13"/>
      <c r="G481" s="13"/>
      <c r="H481" s="13"/>
      <c r="I481" s="13"/>
      <c r="J481" s="13"/>
      <c r="K481" s="205"/>
      <c r="L481" s="13"/>
      <c r="M481" s="13"/>
      <c r="N481" s="13"/>
      <c r="O481" s="205"/>
      <c r="P481" s="13"/>
      <c r="Q481" s="13"/>
      <c r="R481" s="177"/>
      <c r="S481" s="35"/>
      <c r="T481" s="35"/>
      <c r="U481" s="13"/>
      <c r="V481" s="13"/>
      <c r="W481" s="13"/>
      <c r="X481" s="13"/>
      <c r="Y481" s="13"/>
      <c r="Z481" s="13"/>
      <c r="AA481" s="13"/>
      <c r="AB481" s="13"/>
      <c r="AC481" s="13"/>
    </row>
    <row r="482" ht="16.5" customHeight="1">
      <c r="A482" s="13"/>
      <c r="B482" s="13"/>
      <c r="C482" s="13"/>
      <c r="D482" s="13"/>
      <c r="E482" s="13"/>
      <c r="F482" s="13"/>
      <c r="G482" s="13"/>
      <c r="H482" s="13"/>
      <c r="I482" s="13"/>
      <c r="J482" s="13"/>
      <c r="K482" s="205"/>
      <c r="L482" s="13"/>
      <c r="M482" s="13"/>
      <c r="N482" s="13"/>
      <c r="O482" s="205"/>
      <c r="P482" s="13"/>
      <c r="Q482" s="13"/>
      <c r="R482" s="177"/>
      <c r="S482" s="35"/>
      <c r="T482" s="35"/>
      <c r="U482" s="13"/>
      <c r="V482" s="13"/>
      <c r="W482" s="13"/>
      <c r="X482" s="13"/>
      <c r="Y482" s="13"/>
      <c r="Z482" s="13"/>
      <c r="AA482" s="13"/>
      <c r="AB482" s="13"/>
      <c r="AC482" s="13"/>
    </row>
    <row r="483" ht="16.5" customHeight="1">
      <c r="A483" s="13"/>
      <c r="B483" s="13"/>
      <c r="C483" s="13"/>
      <c r="D483" s="13"/>
      <c r="E483" s="13"/>
      <c r="F483" s="13"/>
      <c r="G483" s="13"/>
      <c r="H483" s="13"/>
      <c r="I483" s="13"/>
      <c r="J483" s="13"/>
      <c r="K483" s="205"/>
      <c r="L483" s="13"/>
      <c r="M483" s="13"/>
      <c r="N483" s="13"/>
      <c r="O483" s="205"/>
      <c r="P483" s="13"/>
      <c r="Q483" s="13"/>
      <c r="R483" s="177"/>
      <c r="S483" s="35"/>
      <c r="T483" s="35"/>
      <c r="U483" s="13"/>
      <c r="V483" s="13"/>
      <c r="W483" s="13"/>
      <c r="X483" s="13"/>
      <c r="Y483" s="13"/>
      <c r="Z483" s="13"/>
      <c r="AA483" s="13"/>
      <c r="AB483" s="13"/>
      <c r="AC483" s="13"/>
    </row>
    <row r="484" ht="16.5" customHeight="1">
      <c r="A484" s="13"/>
      <c r="B484" s="13"/>
      <c r="C484" s="13"/>
      <c r="D484" s="13"/>
      <c r="E484" s="13"/>
      <c r="F484" s="13"/>
      <c r="G484" s="13"/>
      <c r="H484" s="13"/>
      <c r="I484" s="13"/>
      <c r="J484" s="13"/>
      <c r="K484" s="205"/>
      <c r="L484" s="13"/>
      <c r="M484" s="13"/>
      <c r="N484" s="13"/>
      <c r="O484" s="205"/>
      <c r="P484" s="13"/>
      <c r="Q484" s="13"/>
      <c r="R484" s="177"/>
      <c r="S484" s="35"/>
      <c r="T484" s="35"/>
      <c r="U484" s="13"/>
      <c r="V484" s="13"/>
      <c r="W484" s="13"/>
      <c r="X484" s="13"/>
      <c r="Y484" s="13"/>
      <c r="Z484" s="13"/>
      <c r="AA484" s="13"/>
      <c r="AB484" s="13"/>
      <c r="AC484" s="13"/>
    </row>
    <row r="485" ht="16.5" customHeight="1">
      <c r="A485" s="13"/>
      <c r="B485" s="13"/>
      <c r="C485" s="13"/>
      <c r="D485" s="13"/>
      <c r="E485" s="13"/>
      <c r="F485" s="13"/>
      <c r="G485" s="13"/>
      <c r="H485" s="13"/>
      <c r="I485" s="13"/>
      <c r="J485" s="13"/>
      <c r="K485" s="205"/>
      <c r="L485" s="13"/>
      <c r="M485" s="13"/>
      <c r="N485" s="13"/>
      <c r="O485" s="205"/>
      <c r="P485" s="13"/>
      <c r="Q485" s="13"/>
      <c r="R485" s="177"/>
      <c r="S485" s="35"/>
      <c r="T485" s="35"/>
      <c r="U485" s="13"/>
      <c r="V485" s="13"/>
      <c r="W485" s="13"/>
      <c r="X485" s="13"/>
      <c r="Y485" s="13"/>
      <c r="Z485" s="13"/>
      <c r="AA485" s="13"/>
      <c r="AB485" s="13"/>
      <c r="AC485" s="13"/>
    </row>
    <row r="486" ht="16.5" customHeight="1">
      <c r="A486" s="13"/>
      <c r="B486" s="13"/>
      <c r="C486" s="13"/>
      <c r="D486" s="13"/>
      <c r="E486" s="13"/>
      <c r="F486" s="13"/>
      <c r="G486" s="13"/>
      <c r="H486" s="13"/>
      <c r="I486" s="13"/>
      <c r="J486" s="13"/>
      <c r="K486" s="205"/>
      <c r="L486" s="13"/>
      <c r="M486" s="13"/>
      <c r="N486" s="13"/>
      <c r="O486" s="205"/>
      <c r="P486" s="13"/>
      <c r="Q486" s="13"/>
      <c r="R486" s="177"/>
      <c r="S486" s="35"/>
      <c r="T486" s="35"/>
      <c r="U486" s="13"/>
      <c r="V486" s="13"/>
      <c r="W486" s="13"/>
      <c r="X486" s="13"/>
      <c r="Y486" s="13"/>
      <c r="Z486" s="13"/>
      <c r="AA486" s="13"/>
      <c r="AB486" s="13"/>
      <c r="AC486" s="13"/>
    </row>
    <row r="487" ht="16.5" customHeight="1">
      <c r="A487" s="13"/>
      <c r="B487" s="13"/>
      <c r="C487" s="13"/>
      <c r="D487" s="13"/>
      <c r="E487" s="13"/>
      <c r="F487" s="13"/>
      <c r="G487" s="13"/>
      <c r="H487" s="13"/>
      <c r="I487" s="13"/>
      <c r="J487" s="13"/>
      <c r="K487" s="205"/>
      <c r="L487" s="13"/>
      <c r="M487" s="13"/>
      <c r="N487" s="13"/>
      <c r="O487" s="205"/>
      <c r="P487" s="13"/>
      <c r="Q487" s="13"/>
      <c r="R487" s="177"/>
      <c r="S487" s="35"/>
      <c r="T487" s="35"/>
      <c r="U487" s="13"/>
      <c r="V487" s="13"/>
      <c r="W487" s="13"/>
      <c r="X487" s="13"/>
      <c r="Y487" s="13"/>
      <c r="Z487" s="13"/>
      <c r="AA487" s="13"/>
      <c r="AB487" s="13"/>
      <c r="AC487" s="13"/>
    </row>
    <row r="488" ht="16.5" customHeight="1">
      <c r="A488" s="13"/>
      <c r="B488" s="13"/>
      <c r="C488" s="13"/>
      <c r="D488" s="13"/>
      <c r="E488" s="13"/>
      <c r="F488" s="13"/>
      <c r="G488" s="13"/>
      <c r="H488" s="13"/>
      <c r="I488" s="13"/>
      <c r="J488" s="13"/>
      <c r="K488" s="205"/>
      <c r="L488" s="13"/>
      <c r="M488" s="13"/>
      <c r="N488" s="13"/>
      <c r="O488" s="205"/>
      <c r="P488" s="13"/>
      <c r="Q488" s="13"/>
      <c r="R488" s="177"/>
      <c r="S488" s="35"/>
      <c r="T488" s="35"/>
      <c r="U488" s="13"/>
      <c r="V488" s="13"/>
      <c r="W488" s="13"/>
      <c r="X488" s="13"/>
      <c r="Y488" s="13"/>
      <c r="Z488" s="13"/>
      <c r="AA488" s="13"/>
      <c r="AB488" s="13"/>
      <c r="AC488" s="13"/>
    </row>
    <row r="489" ht="16.5" customHeight="1">
      <c r="A489" s="13"/>
      <c r="B489" s="13"/>
      <c r="C489" s="13"/>
      <c r="D489" s="13"/>
      <c r="E489" s="13"/>
      <c r="F489" s="13"/>
      <c r="G489" s="13"/>
      <c r="H489" s="13"/>
      <c r="I489" s="13"/>
      <c r="J489" s="13"/>
      <c r="K489" s="205"/>
      <c r="L489" s="13"/>
      <c r="M489" s="13"/>
      <c r="N489" s="13"/>
      <c r="O489" s="205"/>
      <c r="P489" s="13"/>
      <c r="Q489" s="13"/>
      <c r="R489" s="177"/>
      <c r="S489" s="35"/>
      <c r="T489" s="35"/>
      <c r="U489" s="13"/>
      <c r="V489" s="13"/>
      <c r="W489" s="13"/>
      <c r="X489" s="13"/>
      <c r="Y489" s="13"/>
      <c r="Z489" s="13"/>
      <c r="AA489" s="13"/>
      <c r="AB489" s="13"/>
      <c r="AC489" s="13"/>
    </row>
    <row r="490" ht="16.5" customHeight="1">
      <c r="A490" s="13"/>
      <c r="B490" s="13"/>
      <c r="C490" s="13"/>
      <c r="D490" s="13"/>
      <c r="E490" s="13"/>
      <c r="F490" s="13"/>
      <c r="G490" s="13"/>
      <c r="H490" s="13"/>
      <c r="I490" s="13"/>
      <c r="J490" s="13"/>
      <c r="K490" s="205"/>
      <c r="L490" s="13"/>
      <c r="M490" s="13"/>
      <c r="N490" s="13"/>
      <c r="O490" s="205"/>
      <c r="P490" s="13"/>
      <c r="Q490" s="13"/>
      <c r="R490" s="177"/>
      <c r="S490" s="35"/>
      <c r="T490" s="35"/>
      <c r="U490" s="13"/>
      <c r="V490" s="13"/>
      <c r="W490" s="13"/>
      <c r="X490" s="13"/>
      <c r="Y490" s="13"/>
      <c r="Z490" s="13"/>
      <c r="AA490" s="13"/>
      <c r="AB490" s="13"/>
      <c r="AC490" s="13"/>
    </row>
    <row r="491" ht="16.5" customHeight="1">
      <c r="A491" s="13"/>
      <c r="B491" s="13"/>
      <c r="C491" s="13"/>
      <c r="D491" s="13"/>
      <c r="E491" s="13"/>
      <c r="F491" s="13"/>
      <c r="G491" s="13"/>
      <c r="H491" s="13"/>
      <c r="I491" s="13"/>
      <c r="J491" s="13"/>
      <c r="K491" s="205"/>
      <c r="L491" s="13"/>
      <c r="M491" s="13"/>
      <c r="N491" s="13"/>
      <c r="O491" s="205"/>
      <c r="P491" s="13"/>
      <c r="Q491" s="13"/>
      <c r="R491" s="177"/>
      <c r="S491" s="35"/>
      <c r="T491" s="35"/>
      <c r="U491" s="13"/>
      <c r="V491" s="13"/>
      <c r="W491" s="13"/>
      <c r="X491" s="13"/>
      <c r="Y491" s="13"/>
      <c r="Z491" s="13"/>
      <c r="AA491" s="13"/>
      <c r="AB491" s="13"/>
      <c r="AC491" s="13"/>
    </row>
    <row r="492" ht="16.5" customHeight="1">
      <c r="A492" s="13"/>
      <c r="B492" s="13"/>
      <c r="C492" s="13"/>
      <c r="D492" s="13"/>
      <c r="E492" s="13"/>
      <c r="F492" s="13"/>
      <c r="G492" s="13"/>
      <c r="H492" s="13"/>
      <c r="I492" s="13"/>
      <c r="J492" s="13"/>
      <c r="K492" s="205"/>
      <c r="L492" s="13"/>
      <c r="M492" s="13"/>
      <c r="N492" s="13"/>
      <c r="O492" s="205"/>
      <c r="P492" s="13"/>
      <c r="Q492" s="13"/>
      <c r="R492" s="177"/>
      <c r="S492" s="35"/>
      <c r="T492" s="35"/>
      <c r="U492" s="13"/>
      <c r="V492" s="13"/>
      <c r="W492" s="13"/>
      <c r="X492" s="13"/>
      <c r="Y492" s="13"/>
      <c r="Z492" s="13"/>
      <c r="AA492" s="13"/>
      <c r="AB492" s="13"/>
      <c r="AC492" s="13"/>
    </row>
    <row r="493" ht="16.5" customHeight="1">
      <c r="A493" s="13"/>
      <c r="B493" s="13"/>
      <c r="C493" s="13"/>
      <c r="D493" s="13"/>
      <c r="E493" s="13"/>
      <c r="F493" s="13"/>
      <c r="G493" s="13"/>
      <c r="H493" s="13"/>
      <c r="I493" s="13"/>
      <c r="J493" s="13"/>
      <c r="K493" s="205"/>
      <c r="L493" s="13"/>
      <c r="M493" s="13"/>
      <c r="N493" s="13"/>
      <c r="O493" s="205"/>
      <c r="P493" s="13"/>
      <c r="Q493" s="13"/>
      <c r="R493" s="177"/>
      <c r="S493" s="35"/>
      <c r="T493" s="35"/>
      <c r="U493" s="13"/>
      <c r="V493" s="13"/>
      <c r="W493" s="13"/>
      <c r="X493" s="13"/>
      <c r="Y493" s="13"/>
      <c r="Z493" s="13"/>
      <c r="AA493" s="13"/>
      <c r="AB493" s="13"/>
      <c r="AC493" s="13"/>
    </row>
    <row r="494" ht="16.5" customHeight="1">
      <c r="A494" s="13"/>
      <c r="B494" s="13"/>
      <c r="C494" s="13"/>
      <c r="D494" s="13"/>
      <c r="E494" s="13"/>
      <c r="F494" s="13"/>
      <c r="G494" s="13"/>
      <c r="H494" s="13"/>
      <c r="I494" s="13"/>
      <c r="J494" s="13"/>
      <c r="K494" s="205"/>
      <c r="L494" s="13"/>
      <c r="M494" s="13"/>
      <c r="N494" s="13"/>
      <c r="O494" s="205"/>
      <c r="P494" s="13"/>
      <c r="Q494" s="13"/>
      <c r="R494" s="177"/>
      <c r="S494" s="35"/>
      <c r="T494" s="35"/>
      <c r="U494" s="13"/>
      <c r="V494" s="13"/>
      <c r="W494" s="13"/>
      <c r="X494" s="13"/>
      <c r="Y494" s="13"/>
      <c r="Z494" s="13"/>
      <c r="AA494" s="13"/>
      <c r="AB494" s="13"/>
      <c r="AC494" s="13"/>
    </row>
    <row r="495" ht="16.5" customHeight="1">
      <c r="A495" s="13"/>
      <c r="B495" s="13"/>
      <c r="C495" s="13"/>
      <c r="D495" s="13"/>
      <c r="E495" s="13"/>
      <c r="F495" s="13"/>
      <c r="G495" s="13"/>
      <c r="H495" s="13"/>
      <c r="I495" s="13"/>
      <c r="J495" s="13"/>
      <c r="K495" s="205"/>
      <c r="L495" s="13"/>
      <c r="M495" s="13"/>
      <c r="N495" s="13"/>
      <c r="O495" s="205"/>
      <c r="P495" s="13"/>
      <c r="Q495" s="13"/>
      <c r="R495" s="177"/>
      <c r="S495" s="35"/>
      <c r="T495" s="35"/>
      <c r="U495" s="13"/>
      <c r="V495" s="13"/>
      <c r="W495" s="13"/>
      <c r="X495" s="13"/>
      <c r="Y495" s="13"/>
      <c r="Z495" s="13"/>
      <c r="AA495" s="13"/>
      <c r="AB495" s="13"/>
      <c r="AC495" s="13"/>
    </row>
    <row r="496" ht="16.5" customHeight="1">
      <c r="A496" s="13"/>
      <c r="B496" s="13"/>
      <c r="C496" s="13"/>
      <c r="D496" s="13"/>
      <c r="E496" s="13"/>
      <c r="F496" s="13"/>
      <c r="G496" s="13"/>
      <c r="H496" s="13"/>
      <c r="I496" s="13"/>
      <c r="J496" s="13"/>
      <c r="K496" s="205"/>
      <c r="L496" s="13"/>
      <c r="M496" s="13"/>
      <c r="N496" s="13"/>
      <c r="O496" s="205"/>
      <c r="P496" s="13"/>
      <c r="Q496" s="13"/>
      <c r="R496" s="177"/>
      <c r="S496" s="35"/>
      <c r="T496" s="35"/>
      <c r="U496" s="13"/>
      <c r="V496" s="13"/>
      <c r="W496" s="13"/>
      <c r="X496" s="13"/>
      <c r="Y496" s="13"/>
      <c r="Z496" s="13"/>
      <c r="AA496" s="13"/>
      <c r="AB496" s="13"/>
      <c r="AC496" s="13"/>
    </row>
    <row r="497" ht="16.5" customHeight="1">
      <c r="A497" s="13"/>
      <c r="B497" s="13"/>
      <c r="C497" s="13"/>
      <c r="D497" s="13"/>
      <c r="E497" s="13"/>
      <c r="F497" s="13"/>
      <c r="G497" s="13"/>
      <c r="H497" s="13"/>
      <c r="I497" s="13"/>
      <c r="J497" s="13"/>
      <c r="K497" s="205"/>
      <c r="L497" s="13"/>
      <c r="M497" s="13"/>
      <c r="N497" s="13"/>
      <c r="O497" s="205"/>
      <c r="P497" s="13"/>
      <c r="Q497" s="13"/>
      <c r="R497" s="177"/>
      <c r="S497" s="35"/>
      <c r="T497" s="35"/>
      <c r="U497" s="13"/>
      <c r="V497" s="13"/>
      <c r="W497" s="13"/>
      <c r="X497" s="13"/>
      <c r="Y497" s="13"/>
      <c r="Z497" s="13"/>
      <c r="AA497" s="13"/>
      <c r="AB497" s="13"/>
      <c r="AC497" s="13"/>
    </row>
    <row r="498" ht="16.5" customHeight="1">
      <c r="A498" s="13"/>
      <c r="B498" s="13"/>
      <c r="C498" s="13"/>
      <c r="D498" s="13"/>
      <c r="E498" s="13"/>
      <c r="F498" s="13"/>
      <c r="G498" s="13"/>
      <c r="H498" s="13"/>
      <c r="I498" s="13"/>
      <c r="J498" s="13"/>
      <c r="K498" s="205"/>
      <c r="L498" s="13"/>
      <c r="M498" s="13"/>
      <c r="N498" s="13"/>
      <c r="O498" s="205"/>
      <c r="P498" s="13"/>
      <c r="Q498" s="13"/>
      <c r="R498" s="177"/>
      <c r="S498" s="35"/>
      <c r="T498" s="35"/>
      <c r="U498" s="13"/>
      <c r="V498" s="13"/>
      <c r="W498" s="13"/>
      <c r="X498" s="13"/>
      <c r="Y498" s="13"/>
      <c r="Z498" s="13"/>
      <c r="AA498" s="13"/>
      <c r="AB498" s="13"/>
      <c r="AC498" s="13"/>
    </row>
    <row r="499" ht="16.5" customHeight="1">
      <c r="A499" s="13"/>
      <c r="B499" s="13"/>
      <c r="C499" s="13"/>
      <c r="D499" s="13"/>
      <c r="E499" s="13"/>
      <c r="F499" s="13"/>
      <c r="G499" s="13"/>
      <c r="H499" s="13"/>
      <c r="I499" s="13"/>
      <c r="J499" s="13"/>
      <c r="K499" s="205"/>
      <c r="L499" s="13"/>
      <c r="M499" s="13"/>
      <c r="N499" s="13"/>
      <c r="O499" s="205"/>
      <c r="P499" s="13"/>
      <c r="Q499" s="13"/>
      <c r="R499" s="177"/>
      <c r="S499" s="35"/>
      <c r="T499" s="35"/>
      <c r="U499" s="13"/>
      <c r="V499" s="13"/>
      <c r="W499" s="13"/>
      <c r="X499" s="13"/>
      <c r="Y499" s="13"/>
      <c r="Z499" s="13"/>
      <c r="AA499" s="13"/>
      <c r="AB499" s="13"/>
      <c r="AC499" s="13"/>
    </row>
    <row r="500" ht="16.5" customHeight="1">
      <c r="A500" s="13"/>
      <c r="B500" s="13"/>
      <c r="C500" s="13"/>
      <c r="D500" s="13"/>
      <c r="E500" s="13"/>
      <c r="F500" s="13"/>
      <c r="G500" s="13"/>
      <c r="H500" s="13"/>
      <c r="I500" s="13"/>
      <c r="J500" s="13"/>
      <c r="K500" s="205"/>
      <c r="L500" s="13"/>
      <c r="M500" s="13"/>
      <c r="N500" s="13"/>
      <c r="O500" s="205"/>
      <c r="P500" s="13"/>
      <c r="Q500" s="13"/>
      <c r="R500" s="177"/>
      <c r="S500" s="35"/>
      <c r="T500" s="35"/>
      <c r="U500" s="13"/>
      <c r="V500" s="13"/>
      <c r="W500" s="13"/>
      <c r="X500" s="13"/>
      <c r="Y500" s="13"/>
      <c r="Z500" s="13"/>
      <c r="AA500" s="13"/>
      <c r="AB500" s="13"/>
      <c r="AC500" s="13"/>
    </row>
    <row r="501" ht="16.5" customHeight="1">
      <c r="A501" s="13"/>
      <c r="B501" s="13"/>
      <c r="C501" s="13"/>
      <c r="D501" s="13"/>
      <c r="E501" s="13"/>
      <c r="F501" s="13"/>
      <c r="G501" s="13"/>
      <c r="H501" s="13"/>
      <c r="I501" s="13"/>
      <c r="J501" s="13"/>
      <c r="K501" s="205"/>
      <c r="L501" s="13"/>
      <c r="M501" s="13"/>
      <c r="N501" s="13"/>
      <c r="O501" s="205"/>
      <c r="P501" s="13"/>
      <c r="Q501" s="13"/>
      <c r="R501" s="177"/>
      <c r="S501" s="35"/>
      <c r="T501" s="35"/>
      <c r="U501" s="13"/>
      <c r="V501" s="13"/>
      <c r="W501" s="13"/>
      <c r="X501" s="13"/>
      <c r="Y501" s="13"/>
      <c r="Z501" s="13"/>
      <c r="AA501" s="13"/>
      <c r="AB501" s="13"/>
      <c r="AC501" s="13"/>
    </row>
    <row r="502" ht="16.5" customHeight="1">
      <c r="A502" s="13"/>
      <c r="B502" s="13"/>
      <c r="C502" s="13"/>
      <c r="D502" s="13"/>
      <c r="E502" s="13"/>
      <c r="F502" s="13"/>
      <c r="G502" s="13"/>
      <c r="H502" s="13"/>
      <c r="I502" s="13"/>
      <c r="J502" s="13"/>
      <c r="K502" s="205"/>
      <c r="L502" s="13"/>
      <c r="M502" s="13"/>
      <c r="N502" s="13"/>
      <c r="O502" s="205"/>
      <c r="P502" s="13"/>
      <c r="Q502" s="13"/>
      <c r="R502" s="177"/>
      <c r="S502" s="35"/>
      <c r="T502" s="35"/>
      <c r="U502" s="13"/>
      <c r="V502" s="13"/>
      <c r="W502" s="13"/>
      <c r="X502" s="13"/>
      <c r="Y502" s="13"/>
      <c r="Z502" s="13"/>
      <c r="AA502" s="13"/>
      <c r="AB502" s="13"/>
      <c r="AC502" s="13"/>
    </row>
    <row r="503" ht="16.5" customHeight="1">
      <c r="A503" s="13"/>
      <c r="B503" s="13"/>
      <c r="C503" s="13"/>
      <c r="D503" s="13"/>
      <c r="E503" s="13"/>
      <c r="F503" s="13"/>
      <c r="G503" s="13"/>
      <c r="H503" s="13"/>
      <c r="I503" s="13"/>
      <c r="J503" s="13"/>
      <c r="K503" s="205"/>
      <c r="L503" s="13"/>
      <c r="M503" s="13"/>
      <c r="N503" s="13"/>
      <c r="O503" s="205"/>
      <c r="P503" s="13"/>
      <c r="Q503" s="13"/>
      <c r="R503" s="177"/>
      <c r="S503" s="35"/>
      <c r="T503" s="35"/>
      <c r="U503" s="13"/>
      <c r="V503" s="13"/>
      <c r="W503" s="13"/>
      <c r="X503" s="13"/>
      <c r="Y503" s="13"/>
      <c r="Z503" s="13"/>
      <c r="AA503" s="13"/>
      <c r="AB503" s="13"/>
      <c r="AC503" s="13"/>
    </row>
    <row r="504" ht="16.5" customHeight="1">
      <c r="A504" s="13"/>
      <c r="B504" s="13"/>
      <c r="C504" s="13"/>
      <c r="D504" s="13"/>
      <c r="E504" s="13"/>
      <c r="F504" s="13"/>
      <c r="G504" s="13"/>
      <c r="H504" s="13"/>
      <c r="I504" s="13"/>
      <c r="J504" s="13"/>
      <c r="K504" s="205"/>
      <c r="L504" s="13"/>
      <c r="M504" s="13"/>
      <c r="N504" s="13"/>
      <c r="O504" s="205"/>
      <c r="P504" s="13"/>
      <c r="Q504" s="13"/>
      <c r="R504" s="177"/>
      <c r="S504" s="35"/>
      <c r="T504" s="35"/>
      <c r="U504" s="13"/>
      <c r="V504" s="13"/>
      <c r="W504" s="13"/>
      <c r="X504" s="13"/>
      <c r="Y504" s="13"/>
      <c r="Z504" s="13"/>
      <c r="AA504" s="13"/>
      <c r="AB504" s="13"/>
      <c r="AC504" s="13"/>
    </row>
    <row r="505" ht="16.5" customHeight="1">
      <c r="A505" s="13"/>
      <c r="B505" s="13"/>
      <c r="C505" s="13"/>
      <c r="D505" s="13"/>
      <c r="E505" s="13"/>
      <c r="F505" s="13"/>
      <c r="G505" s="13"/>
      <c r="H505" s="13"/>
      <c r="I505" s="13"/>
      <c r="J505" s="13"/>
      <c r="K505" s="205"/>
      <c r="L505" s="13"/>
      <c r="M505" s="13"/>
      <c r="N505" s="13"/>
      <c r="O505" s="205"/>
      <c r="P505" s="13"/>
      <c r="Q505" s="13"/>
      <c r="R505" s="177"/>
      <c r="S505" s="35"/>
      <c r="T505" s="35"/>
      <c r="U505" s="13"/>
      <c r="V505" s="13"/>
      <c r="W505" s="13"/>
      <c r="X505" s="13"/>
      <c r="Y505" s="13"/>
      <c r="Z505" s="13"/>
      <c r="AA505" s="13"/>
      <c r="AB505" s="13"/>
      <c r="AC505" s="13"/>
    </row>
    <row r="506" ht="16.5" customHeight="1">
      <c r="A506" s="13"/>
      <c r="B506" s="13"/>
      <c r="C506" s="13"/>
      <c r="D506" s="13"/>
      <c r="E506" s="13"/>
      <c r="F506" s="13"/>
      <c r="G506" s="13"/>
      <c r="H506" s="13"/>
      <c r="I506" s="13"/>
      <c r="J506" s="13"/>
      <c r="K506" s="205"/>
      <c r="L506" s="13"/>
      <c r="M506" s="13"/>
      <c r="N506" s="13"/>
      <c r="O506" s="205"/>
      <c r="P506" s="13"/>
      <c r="Q506" s="13"/>
      <c r="R506" s="177"/>
      <c r="S506" s="35"/>
      <c r="T506" s="35"/>
      <c r="U506" s="13"/>
      <c r="V506" s="13"/>
      <c r="W506" s="13"/>
      <c r="X506" s="13"/>
      <c r="Y506" s="13"/>
      <c r="Z506" s="13"/>
      <c r="AA506" s="13"/>
      <c r="AB506" s="13"/>
      <c r="AC506" s="13"/>
    </row>
    <row r="507" ht="16.5" customHeight="1">
      <c r="A507" s="13"/>
      <c r="B507" s="13"/>
      <c r="C507" s="13"/>
      <c r="D507" s="13"/>
      <c r="E507" s="13"/>
      <c r="F507" s="13"/>
      <c r="G507" s="13"/>
      <c r="H507" s="13"/>
      <c r="I507" s="13"/>
      <c r="J507" s="13"/>
      <c r="K507" s="205"/>
      <c r="L507" s="13"/>
      <c r="M507" s="13"/>
      <c r="N507" s="13"/>
      <c r="O507" s="205"/>
      <c r="P507" s="13"/>
      <c r="Q507" s="13"/>
      <c r="R507" s="177"/>
      <c r="S507" s="35"/>
      <c r="T507" s="35"/>
      <c r="U507" s="13"/>
      <c r="V507" s="13"/>
      <c r="W507" s="13"/>
      <c r="X507" s="13"/>
      <c r="Y507" s="13"/>
      <c r="Z507" s="13"/>
      <c r="AA507" s="13"/>
      <c r="AB507" s="13"/>
      <c r="AC507" s="13"/>
    </row>
    <row r="508" ht="16.5" customHeight="1">
      <c r="A508" s="13"/>
      <c r="B508" s="13"/>
      <c r="C508" s="13"/>
      <c r="D508" s="13"/>
      <c r="E508" s="13"/>
      <c r="F508" s="13"/>
      <c r="G508" s="13"/>
      <c r="H508" s="13"/>
      <c r="I508" s="13"/>
      <c r="J508" s="13"/>
      <c r="K508" s="205"/>
      <c r="L508" s="13"/>
      <c r="M508" s="13"/>
      <c r="N508" s="13"/>
      <c r="O508" s="205"/>
      <c r="P508" s="13"/>
      <c r="Q508" s="13"/>
      <c r="R508" s="177"/>
      <c r="S508" s="35"/>
      <c r="T508" s="35"/>
      <c r="U508" s="13"/>
      <c r="V508" s="13"/>
      <c r="W508" s="13"/>
      <c r="X508" s="13"/>
      <c r="Y508" s="13"/>
      <c r="Z508" s="13"/>
      <c r="AA508" s="13"/>
      <c r="AB508" s="13"/>
      <c r="AC508" s="13"/>
    </row>
    <row r="509" ht="16.5" customHeight="1">
      <c r="A509" s="13"/>
      <c r="B509" s="13"/>
      <c r="C509" s="13"/>
      <c r="D509" s="13"/>
      <c r="E509" s="13"/>
      <c r="F509" s="13"/>
      <c r="G509" s="13"/>
      <c r="H509" s="13"/>
      <c r="I509" s="13"/>
      <c r="J509" s="13"/>
      <c r="K509" s="205"/>
      <c r="L509" s="13"/>
      <c r="M509" s="13"/>
      <c r="N509" s="13"/>
      <c r="O509" s="205"/>
      <c r="P509" s="13"/>
      <c r="Q509" s="13"/>
      <c r="R509" s="177"/>
      <c r="S509" s="35"/>
      <c r="T509" s="35"/>
      <c r="U509" s="13"/>
      <c r="V509" s="13"/>
      <c r="W509" s="13"/>
      <c r="X509" s="13"/>
      <c r="Y509" s="13"/>
      <c r="Z509" s="13"/>
      <c r="AA509" s="13"/>
      <c r="AB509" s="13"/>
      <c r="AC509" s="13"/>
    </row>
    <row r="510" ht="16.5" customHeight="1">
      <c r="A510" s="13"/>
      <c r="B510" s="13"/>
      <c r="C510" s="13"/>
      <c r="D510" s="13"/>
      <c r="E510" s="13"/>
      <c r="F510" s="13"/>
      <c r="G510" s="13"/>
      <c r="H510" s="13"/>
      <c r="I510" s="13"/>
      <c r="J510" s="13"/>
      <c r="K510" s="205"/>
      <c r="L510" s="13"/>
      <c r="M510" s="13"/>
      <c r="N510" s="13"/>
      <c r="O510" s="205"/>
      <c r="P510" s="13"/>
      <c r="Q510" s="13"/>
      <c r="R510" s="177"/>
      <c r="S510" s="35"/>
      <c r="T510" s="35"/>
      <c r="U510" s="13"/>
      <c r="V510" s="13"/>
      <c r="W510" s="13"/>
      <c r="X510" s="13"/>
      <c r="Y510" s="13"/>
      <c r="Z510" s="13"/>
      <c r="AA510" s="13"/>
      <c r="AB510" s="13"/>
      <c r="AC510" s="13"/>
    </row>
    <row r="511" ht="16.5" customHeight="1">
      <c r="A511" s="13"/>
      <c r="B511" s="13"/>
      <c r="C511" s="13"/>
      <c r="D511" s="13"/>
      <c r="E511" s="13"/>
      <c r="F511" s="13"/>
      <c r="G511" s="13"/>
      <c r="H511" s="13"/>
      <c r="I511" s="13"/>
      <c r="J511" s="13"/>
      <c r="K511" s="205"/>
      <c r="L511" s="13"/>
      <c r="M511" s="13"/>
      <c r="N511" s="13"/>
      <c r="O511" s="205"/>
      <c r="P511" s="13"/>
      <c r="Q511" s="13"/>
      <c r="R511" s="177"/>
      <c r="S511" s="35"/>
      <c r="T511" s="35"/>
      <c r="U511" s="13"/>
      <c r="V511" s="13"/>
      <c r="W511" s="13"/>
      <c r="X511" s="13"/>
      <c r="Y511" s="13"/>
      <c r="Z511" s="13"/>
      <c r="AA511" s="13"/>
      <c r="AB511" s="13"/>
      <c r="AC511" s="13"/>
    </row>
    <row r="512" ht="16.5" customHeight="1">
      <c r="A512" s="13"/>
      <c r="B512" s="13"/>
      <c r="C512" s="13"/>
      <c r="D512" s="13"/>
      <c r="E512" s="13"/>
      <c r="F512" s="13"/>
      <c r="G512" s="13"/>
      <c r="H512" s="13"/>
      <c r="I512" s="13"/>
      <c r="J512" s="13"/>
      <c r="K512" s="205"/>
      <c r="L512" s="13"/>
      <c r="M512" s="13"/>
      <c r="N512" s="13"/>
      <c r="O512" s="205"/>
      <c r="P512" s="13"/>
      <c r="Q512" s="13"/>
      <c r="R512" s="177"/>
      <c r="S512" s="35"/>
      <c r="T512" s="35"/>
      <c r="U512" s="13"/>
      <c r="V512" s="13"/>
      <c r="W512" s="13"/>
      <c r="X512" s="13"/>
      <c r="Y512" s="13"/>
      <c r="Z512" s="13"/>
      <c r="AA512" s="13"/>
      <c r="AB512" s="13"/>
      <c r="AC512" s="13"/>
    </row>
    <row r="513" ht="16.5" customHeight="1">
      <c r="A513" s="13"/>
      <c r="B513" s="13"/>
      <c r="C513" s="13"/>
      <c r="D513" s="13"/>
      <c r="E513" s="13"/>
      <c r="F513" s="13"/>
      <c r="G513" s="13"/>
      <c r="H513" s="13"/>
      <c r="I513" s="13"/>
      <c r="J513" s="13"/>
      <c r="K513" s="205"/>
      <c r="L513" s="13"/>
      <c r="M513" s="13"/>
      <c r="N513" s="13"/>
      <c r="O513" s="205"/>
      <c r="P513" s="13"/>
      <c r="Q513" s="13"/>
      <c r="R513" s="177"/>
      <c r="S513" s="35"/>
      <c r="T513" s="35"/>
      <c r="U513" s="13"/>
      <c r="V513" s="13"/>
      <c r="W513" s="13"/>
      <c r="X513" s="13"/>
      <c r="Y513" s="13"/>
      <c r="Z513" s="13"/>
      <c r="AA513" s="13"/>
      <c r="AB513" s="13"/>
      <c r="AC513" s="13"/>
    </row>
    <row r="514" ht="16.5" customHeight="1">
      <c r="A514" s="13"/>
      <c r="B514" s="13"/>
      <c r="C514" s="13"/>
      <c r="D514" s="13"/>
      <c r="E514" s="13"/>
      <c r="F514" s="13"/>
      <c r="G514" s="13"/>
      <c r="H514" s="13"/>
      <c r="I514" s="13"/>
      <c r="J514" s="13"/>
      <c r="K514" s="205"/>
      <c r="L514" s="13"/>
      <c r="M514" s="13"/>
      <c r="N514" s="13"/>
      <c r="O514" s="205"/>
      <c r="P514" s="13"/>
      <c r="Q514" s="13"/>
      <c r="R514" s="177"/>
      <c r="S514" s="35"/>
      <c r="T514" s="35"/>
      <c r="U514" s="13"/>
      <c r="V514" s="13"/>
      <c r="W514" s="13"/>
      <c r="X514" s="13"/>
      <c r="Y514" s="13"/>
      <c r="Z514" s="13"/>
      <c r="AA514" s="13"/>
      <c r="AB514" s="13"/>
      <c r="AC514" s="13"/>
    </row>
    <row r="515" ht="16.5" customHeight="1">
      <c r="A515" s="13"/>
      <c r="B515" s="13"/>
      <c r="C515" s="13"/>
      <c r="D515" s="13"/>
      <c r="E515" s="13"/>
      <c r="F515" s="13"/>
      <c r="G515" s="13"/>
      <c r="H515" s="13"/>
      <c r="I515" s="13"/>
      <c r="J515" s="13"/>
      <c r="K515" s="205"/>
      <c r="L515" s="13"/>
      <c r="M515" s="13"/>
      <c r="N515" s="13"/>
      <c r="O515" s="205"/>
      <c r="P515" s="13"/>
      <c r="Q515" s="13"/>
      <c r="R515" s="177"/>
      <c r="S515" s="35"/>
      <c r="T515" s="35"/>
      <c r="U515" s="13"/>
      <c r="V515" s="13"/>
      <c r="W515" s="13"/>
      <c r="X515" s="13"/>
      <c r="Y515" s="13"/>
      <c r="Z515" s="13"/>
      <c r="AA515" s="13"/>
      <c r="AB515" s="13"/>
      <c r="AC515" s="13"/>
    </row>
    <row r="516" ht="16.5" customHeight="1">
      <c r="A516" s="13"/>
      <c r="B516" s="13"/>
      <c r="C516" s="13"/>
      <c r="D516" s="13"/>
      <c r="E516" s="13"/>
      <c r="F516" s="13"/>
      <c r="G516" s="13"/>
      <c r="H516" s="13"/>
      <c r="I516" s="13"/>
      <c r="J516" s="13"/>
      <c r="K516" s="205"/>
      <c r="L516" s="13"/>
      <c r="M516" s="13"/>
      <c r="N516" s="13"/>
      <c r="O516" s="205"/>
      <c r="P516" s="13"/>
      <c r="Q516" s="13"/>
      <c r="R516" s="177"/>
      <c r="S516" s="35"/>
      <c r="T516" s="35"/>
      <c r="U516" s="13"/>
      <c r="V516" s="13"/>
      <c r="W516" s="13"/>
      <c r="X516" s="13"/>
      <c r="Y516" s="13"/>
      <c r="Z516" s="13"/>
      <c r="AA516" s="13"/>
      <c r="AB516" s="13"/>
      <c r="AC516" s="13"/>
    </row>
    <row r="517" ht="16.5" customHeight="1">
      <c r="A517" s="13"/>
      <c r="B517" s="13"/>
      <c r="C517" s="13"/>
      <c r="D517" s="13"/>
      <c r="E517" s="13"/>
      <c r="F517" s="13"/>
      <c r="G517" s="13"/>
      <c r="H517" s="13"/>
      <c r="I517" s="13"/>
      <c r="J517" s="13"/>
      <c r="K517" s="205"/>
      <c r="L517" s="13"/>
      <c r="M517" s="13"/>
      <c r="N517" s="13"/>
      <c r="O517" s="205"/>
      <c r="P517" s="13"/>
      <c r="Q517" s="13"/>
      <c r="R517" s="177"/>
      <c r="S517" s="35"/>
      <c r="T517" s="35"/>
      <c r="U517" s="13"/>
      <c r="V517" s="13"/>
      <c r="W517" s="13"/>
      <c r="X517" s="13"/>
      <c r="Y517" s="13"/>
      <c r="Z517" s="13"/>
      <c r="AA517" s="13"/>
      <c r="AB517" s="13"/>
      <c r="AC517" s="13"/>
    </row>
    <row r="518" ht="16.5" customHeight="1">
      <c r="A518" s="13"/>
      <c r="B518" s="13"/>
      <c r="C518" s="13"/>
      <c r="D518" s="13"/>
      <c r="E518" s="13"/>
      <c r="F518" s="13"/>
      <c r="G518" s="13"/>
      <c r="H518" s="13"/>
      <c r="I518" s="13"/>
      <c r="J518" s="13"/>
      <c r="K518" s="205"/>
      <c r="L518" s="13"/>
      <c r="M518" s="13"/>
      <c r="N518" s="13"/>
      <c r="O518" s="205"/>
      <c r="P518" s="13"/>
      <c r="Q518" s="13"/>
      <c r="R518" s="177"/>
      <c r="S518" s="35"/>
      <c r="T518" s="35"/>
      <c r="U518" s="13"/>
      <c r="V518" s="13"/>
      <c r="W518" s="13"/>
      <c r="X518" s="13"/>
      <c r="Y518" s="13"/>
      <c r="Z518" s="13"/>
      <c r="AA518" s="13"/>
      <c r="AB518" s="13"/>
      <c r="AC518" s="13"/>
    </row>
    <row r="519" ht="16.5" customHeight="1">
      <c r="A519" s="13"/>
      <c r="B519" s="13"/>
      <c r="C519" s="13"/>
      <c r="D519" s="13"/>
      <c r="E519" s="13"/>
      <c r="F519" s="13"/>
      <c r="G519" s="13"/>
      <c r="H519" s="13"/>
      <c r="I519" s="13"/>
      <c r="J519" s="13"/>
      <c r="K519" s="205"/>
      <c r="L519" s="13"/>
      <c r="M519" s="13"/>
      <c r="N519" s="13"/>
      <c r="O519" s="205"/>
      <c r="P519" s="13"/>
      <c r="Q519" s="13"/>
      <c r="R519" s="177"/>
      <c r="S519" s="35"/>
      <c r="T519" s="35"/>
      <c r="U519" s="13"/>
      <c r="V519" s="13"/>
      <c r="W519" s="13"/>
      <c r="X519" s="13"/>
      <c r="Y519" s="13"/>
      <c r="Z519" s="13"/>
      <c r="AA519" s="13"/>
      <c r="AB519" s="13"/>
      <c r="AC519" s="13"/>
    </row>
    <row r="520" ht="16.5" customHeight="1">
      <c r="A520" s="13"/>
      <c r="B520" s="13"/>
      <c r="C520" s="13"/>
      <c r="D520" s="13"/>
      <c r="E520" s="13"/>
      <c r="F520" s="13"/>
      <c r="G520" s="13"/>
      <c r="H520" s="13"/>
      <c r="I520" s="13"/>
      <c r="J520" s="13"/>
      <c r="K520" s="205"/>
      <c r="L520" s="13"/>
      <c r="M520" s="13"/>
      <c r="N520" s="13"/>
      <c r="O520" s="205"/>
      <c r="P520" s="13"/>
      <c r="Q520" s="13"/>
      <c r="R520" s="177"/>
      <c r="S520" s="35"/>
      <c r="T520" s="35"/>
      <c r="U520" s="13"/>
      <c r="V520" s="13"/>
      <c r="W520" s="13"/>
      <c r="X520" s="13"/>
      <c r="Y520" s="13"/>
      <c r="Z520" s="13"/>
      <c r="AA520" s="13"/>
      <c r="AB520" s="13"/>
      <c r="AC520" s="13"/>
    </row>
    <row r="521" ht="16.5" customHeight="1">
      <c r="A521" s="13"/>
      <c r="B521" s="13"/>
      <c r="C521" s="13"/>
      <c r="D521" s="13"/>
      <c r="E521" s="13"/>
      <c r="F521" s="13"/>
      <c r="G521" s="13"/>
      <c r="H521" s="13"/>
      <c r="I521" s="13"/>
      <c r="J521" s="13"/>
      <c r="K521" s="205"/>
      <c r="L521" s="13"/>
      <c r="M521" s="13"/>
      <c r="N521" s="13"/>
      <c r="O521" s="205"/>
      <c r="P521" s="13"/>
      <c r="Q521" s="13"/>
      <c r="R521" s="177"/>
      <c r="S521" s="35"/>
      <c r="T521" s="35"/>
      <c r="U521" s="13"/>
      <c r="V521" s="13"/>
      <c r="W521" s="13"/>
      <c r="X521" s="13"/>
      <c r="Y521" s="13"/>
      <c r="Z521" s="13"/>
      <c r="AA521" s="13"/>
      <c r="AB521" s="13"/>
      <c r="AC521" s="13"/>
    </row>
    <row r="522" ht="16.5" customHeight="1">
      <c r="A522" s="13"/>
      <c r="B522" s="13"/>
      <c r="C522" s="13"/>
      <c r="D522" s="13"/>
      <c r="E522" s="13"/>
      <c r="F522" s="13"/>
      <c r="G522" s="13"/>
      <c r="H522" s="13"/>
      <c r="I522" s="13"/>
      <c r="J522" s="13"/>
      <c r="K522" s="205"/>
      <c r="L522" s="13"/>
      <c r="M522" s="13"/>
      <c r="N522" s="13"/>
      <c r="O522" s="205"/>
      <c r="P522" s="13"/>
      <c r="Q522" s="13"/>
      <c r="R522" s="177"/>
      <c r="S522" s="35"/>
      <c r="T522" s="35"/>
      <c r="U522" s="13"/>
      <c r="V522" s="13"/>
      <c r="W522" s="13"/>
      <c r="X522" s="13"/>
      <c r="Y522" s="13"/>
      <c r="Z522" s="13"/>
      <c r="AA522" s="13"/>
      <c r="AB522" s="13"/>
      <c r="AC522" s="13"/>
    </row>
    <row r="523" ht="16.5" customHeight="1">
      <c r="A523" s="13"/>
      <c r="B523" s="13"/>
      <c r="C523" s="13"/>
      <c r="D523" s="13"/>
      <c r="E523" s="13"/>
      <c r="F523" s="13"/>
      <c r="G523" s="13"/>
      <c r="H523" s="13"/>
      <c r="I523" s="13"/>
      <c r="J523" s="13"/>
      <c r="K523" s="205"/>
      <c r="L523" s="13"/>
      <c r="M523" s="13"/>
      <c r="N523" s="13"/>
      <c r="O523" s="205"/>
      <c r="P523" s="13"/>
      <c r="Q523" s="13"/>
      <c r="R523" s="177"/>
      <c r="S523" s="35"/>
      <c r="T523" s="35"/>
      <c r="U523" s="13"/>
      <c r="V523" s="13"/>
      <c r="W523" s="13"/>
      <c r="X523" s="13"/>
      <c r="Y523" s="13"/>
      <c r="Z523" s="13"/>
      <c r="AA523" s="13"/>
      <c r="AB523" s="13"/>
      <c r="AC523" s="13"/>
    </row>
    <row r="524" ht="16.5" customHeight="1">
      <c r="A524" s="13"/>
      <c r="B524" s="13"/>
      <c r="C524" s="13"/>
      <c r="D524" s="13"/>
      <c r="E524" s="13"/>
      <c r="F524" s="13"/>
      <c r="G524" s="13"/>
      <c r="H524" s="13"/>
      <c r="I524" s="13"/>
      <c r="J524" s="13"/>
      <c r="K524" s="205"/>
      <c r="L524" s="13"/>
      <c r="M524" s="13"/>
      <c r="N524" s="13"/>
      <c r="O524" s="205"/>
      <c r="P524" s="13"/>
      <c r="Q524" s="13"/>
      <c r="R524" s="177"/>
      <c r="S524" s="35"/>
      <c r="T524" s="35"/>
      <c r="U524" s="13"/>
      <c r="V524" s="13"/>
      <c r="W524" s="13"/>
      <c r="X524" s="13"/>
      <c r="Y524" s="13"/>
      <c r="Z524" s="13"/>
      <c r="AA524" s="13"/>
      <c r="AB524" s="13"/>
      <c r="AC524" s="13"/>
    </row>
    <row r="525" ht="16.5" customHeight="1">
      <c r="A525" s="13"/>
      <c r="B525" s="13"/>
      <c r="C525" s="13"/>
      <c r="D525" s="13"/>
      <c r="E525" s="13"/>
      <c r="F525" s="13"/>
      <c r="G525" s="13"/>
      <c r="H525" s="13"/>
      <c r="I525" s="13"/>
      <c r="J525" s="13"/>
      <c r="K525" s="205"/>
      <c r="L525" s="13"/>
      <c r="M525" s="13"/>
      <c r="N525" s="13"/>
      <c r="O525" s="205"/>
      <c r="P525" s="13"/>
      <c r="Q525" s="13"/>
      <c r="R525" s="177"/>
      <c r="S525" s="35"/>
      <c r="T525" s="35"/>
      <c r="U525" s="13"/>
      <c r="V525" s="13"/>
      <c r="W525" s="13"/>
      <c r="X525" s="13"/>
      <c r="Y525" s="13"/>
      <c r="Z525" s="13"/>
      <c r="AA525" s="13"/>
      <c r="AB525" s="13"/>
      <c r="AC525" s="13"/>
    </row>
    <row r="526" ht="16.5" customHeight="1">
      <c r="A526" s="13"/>
      <c r="B526" s="13"/>
      <c r="C526" s="13"/>
      <c r="D526" s="13"/>
      <c r="E526" s="13"/>
      <c r="F526" s="13"/>
      <c r="G526" s="13"/>
      <c r="H526" s="13"/>
      <c r="I526" s="13"/>
      <c r="J526" s="13"/>
      <c r="K526" s="205"/>
      <c r="L526" s="13"/>
      <c r="M526" s="13"/>
      <c r="N526" s="13"/>
      <c r="O526" s="205"/>
      <c r="P526" s="13"/>
      <c r="Q526" s="13"/>
      <c r="R526" s="177"/>
      <c r="S526" s="35"/>
      <c r="T526" s="35"/>
      <c r="U526" s="13"/>
      <c r="V526" s="13"/>
      <c r="W526" s="13"/>
      <c r="X526" s="13"/>
      <c r="Y526" s="13"/>
      <c r="Z526" s="13"/>
      <c r="AA526" s="13"/>
      <c r="AB526" s="13"/>
      <c r="AC526" s="13"/>
    </row>
    <row r="527" ht="16.5" customHeight="1">
      <c r="A527" s="13"/>
      <c r="B527" s="13"/>
      <c r="C527" s="13"/>
      <c r="D527" s="13"/>
      <c r="E527" s="13"/>
      <c r="F527" s="13"/>
      <c r="G527" s="13"/>
      <c r="H527" s="13"/>
      <c r="I527" s="13"/>
      <c r="J527" s="13"/>
      <c r="K527" s="205"/>
      <c r="L527" s="13"/>
      <c r="M527" s="13"/>
      <c r="N527" s="13"/>
      <c r="O527" s="205"/>
      <c r="P527" s="13"/>
      <c r="Q527" s="13"/>
      <c r="R527" s="177"/>
      <c r="S527" s="35"/>
      <c r="T527" s="35"/>
      <c r="U527" s="13"/>
      <c r="V527" s="13"/>
      <c r="W527" s="13"/>
      <c r="X527" s="13"/>
      <c r="Y527" s="13"/>
      <c r="Z527" s="13"/>
      <c r="AA527" s="13"/>
      <c r="AB527" s="13"/>
      <c r="AC527" s="13"/>
    </row>
    <row r="528" ht="16.5" customHeight="1">
      <c r="A528" s="13"/>
      <c r="B528" s="13"/>
      <c r="C528" s="13"/>
      <c r="D528" s="13"/>
      <c r="E528" s="13"/>
      <c r="F528" s="13"/>
      <c r="G528" s="13"/>
      <c r="H528" s="13"/>
      <c r="I528" s="13"/>
      <c r="J528" s="13"/>
      <c r="K528" s="205"/>
      <c r="L528" s="13"/>
      <c r="M528" s="13"/>
      <c r="N528" s="13"/>
      <c r="O528" s="205"/>
      <c r="P528" s="13"/>
      <c r="Q528" s="13"/>
      <c r="R528" s="177"/>
      <c r="S528" s="35"/>
      <c r="T528" s="35"/>
      <c r="U528" s="13"/>
      <c r="V528" s="13"/>
      <c r="W528" s="13"/>
      <c r="X528" s="13"/>
      <c r="Y528" s="13"/>
      <c r="Z528" s="13"/>
      <c r="AA528" s="13"/>
      <c r="AB528" s="13"/>
      <c r="AC528" s="13"/>
    </row>
    <row r="529" ht="16.5" customHeight="1">
      <c r="A529" s="13"/>
      <c r="B529" s="13"/>
      <c r="C529" s="13"/>
      <c r="D529" s="13"/>
      <c r="E529" s="13"/>
      <c r="F529" s="13"/>
      <c r="G529" s="13"/>
      <c r="H529" s="13"/>
      <c r="I529" s="13"/>
      <c r="J529" s="13"/>
      <c r="K529" s="205"/>
      <c r="L529" s="13"/>
      <c r="M529" s="13"/>
      <c r="N529" s="13"/>
      <c r="O529" s="205"/>
      <c r="P529" s="13"/>
      <c r="Q529" s="13"/>
      <c r="R529" s="177"/>
      <c r="S529" s="35"/>
      <c r="T529" s="35"/>
      <c r="U529" s="13"/>
      <c r="V529" s="13"/>
      <c r="W529" s="13"/>
      <c r="X529" s="13"/>
      <c r="Y529" s="13"/>
      <c r="Z529" s="13"/>
      <c r="AA529" s="13"/>
      <c r="AB529" s="13"/>
      <c r="AC529" s="13"/>
    </row>
    <row r="530" ht="16.5" customHeight="1">
      <c r="A530" s="13"/>
      <c r="B530" s="13"/>
      <c r="C530" s="13"/>
      <c r="D530" s="13"/>
      <c r="E530" s="13"/>
      <c r="F530" s="13"/>
      <c r="G530" s="13"/>
      <c r="H530" s="13"/>
      <c r="I530" s="13"/>
      <c r="J530" s="13"/>
      <c r="K530" s="205"/>
      <c r="L530" s="13"/>
      <c r="M530" s="13"/>
      <c r="N530" s="13"/>
      <c r="O530" s="205"/>
      <c r="P530" s="13"/>
      <c r="Q530" s="13"/>
      <c r="R530" s="177"/>
      <c r="S530" s="35"/>
      <c r="T530" s="35"/>
      <c r="U530" s="13"/>
      <c r="V530" s="13"/>
      <c r="W530" s="13"/>
      <c r="X530" s="13"/>
      <c r="Y530" s="13"/>
      <c r="Z530" s="13"/>
      <c r="AA530" s="13"/>
      <c r="AB530" s="13"/>
      <c r="AC530" s="13"/>
    </row>
    <row r="531" ht="16.5" customHeight="1">
      <c r="A531" s="13"/>
      <c r="B531" s="13"/>
      <c r="C531" s="13"/>
      <c r="D531" s="13"/>
      <c r="E531" s="13"/>
      <c r="F531" s="13"/>
      <c r="G531" s="13"/>
      <c r="H531" s="13"/>
      <c r="I531" s="13"/>
      <c r="J531" s="13"/>
      <c r="K531" s="205"/>
      <c r="L531" s="13"/>
      <c r="M531" s="13"/>
      <c r="N531" s="13"/>
      <c r="O531" s="205"/>
      <c r="P531" s="13"/>
      <c r="Q531" s="13"/>
      <c r="R531" s="177"/>
      <c r="S531" s="35"/>
      <c r="T531" s="35"/>
      <c r="U531" s="13"/>
      <c r="V531" s="13"/>
      <c r="W531" s="13"/>
      <c r="X531" s="13"/>
      <c r="Y531" s="13"/>
      <c r="Z531" s="13"/>
      <c r="AA531" s="13"/>
      <c r="AB531" s="13"/>
      <c r="AC531" s="13"/>
    </row>
    <row r="532" ht="16.5" customHeight="1">
      <c r="A532" s="13"/>
      <c r="B532" s="13"/>
      <c r="C532" s="13"/>
      <c r="D532" s="13"/>
      <c r="E532" s="13"/>
      <c r="F532" s="13"/>
      <c r="G532" s="13"/>
      <c r="H532" s="13"/>
      <c r="I532" s="13"/>
      <c r="J532" s="13"/>
      <c r="K532" s="205"/>
      <c r="L532" s="13"/>
      <c r="M532" s="13"/>
      <c r="N532" s="13"/>
      <c r="O532" s="205"/>
      <c r="P532" s="13"/>
      <c r="Q532" s="13"/>
      <c r="R532" s="177"/>
      <c r="S532" s="35"/>
      <c r="T532" s="35"/>
      <c r="U532" s="13"/>
      <c r="V532" s="13"/>
      <c r="W532" s="13"/>
      <c r="X532" s="13"/>
      <c r="Y532" s="13"/>
      <c r="Z532" s="13"/>
      <c r="AA532" s="13"/>
      <c r="AB532" s="13"/>
      <c r="AC532" s="13"/>
    </row>
    <row r="533" ht="16.5" customHeight="1">
      <c r="A533" s="13"/>
      <c r="B533" s="13"/>
      <c r="C533" s="13"/>
      <c r="D533" s="13"/>
      <c r="E533" s="13"/>
      <c r="F533" s="13"/>
      <c r="G533" s="13"/>
      <c r="H533" s="13"/>
      <c r="I533" s="13"/>
      <c r="J533" s="13"/>
      <c r="K533" s="205"/>
      <c r="L533" s="13"/>
      <c r="M533" s="13"/>
      <c r="N533" s="13"/>
      <c r="O533" s="205"/>
      <c r="P533" s="13"/>
      <c r="Q533" s="13"/>
      <c r="R533" s="177"/>
      <c r="S533" s="35"/>
      <c r="T533" s="35"/>
      <c r="U533" s="13"/>
      <c r="V533" s="13"/>
      <c r="W533" s="13"/>
      <c r="X533" s="13"/>
      <c r="Y533" s="13"/>
      <c r="Z533" s="13"/>
      <c r="AA533" s="13"/>
      <c r="AB533" s="13"/>
      <c r="AC533" s="13"/>
    </row>
    <row r="534" ht="16.5" customHeight="1">
      <c r="A534" s="13"/>
      <c r="B534" s="13"/>
      <c r="C534" s="13"/>
      <c r="D534" s="13"/>
      <c r="E534" s="13"/>
      <c r="F534" s="13"/>
      <c r="G534" s="13"/>
      <c r="H534" s="13"/>
      <c r="I534" s="13"/>
      <c r="J534" s="13"/>
      <c r="K534" s="205"/>
      <c r="L534" s="13"/>
      <c r="M534" s="13"/>
      <c r="N534" s="13"/>
      <c r="O534" s="205"/>
      <c r="P534" s="13"/>
      <c r="Q534" s="13"/>
      <c r="R534" s="177"/>
      <c r="S534" s="35"/>
      <c r="T534" s="35"/>
      <c r="U534" s="13"/>
      <c r="V534" s="13"/>
      <c r="W534" s="13"/>
      <c r="X534" s="13"/>
      <c r="Y534" s="13"/>
      <c r="Z534" s="13"/>
      <c r="AA534" s="13"/>
      <c r="AB534" s="13"/>
      <c r="AC534" s="13"/>
    </row>
    <row r="535" ht="16.5" customHeight="1">
      <c r="A535" s="13"/>
      <c r="B535" s="13"/>
      <c r="C535" s="13"/>
      <c r="D535" s="13"/>
      <c r="E535" s="13"/>
      <c r="F535" s="13"/>
      <c r="G535" s="13"/>
      <c r="H535" s="13"/>
      <c r="I535" s="13"/>
      <c r="J535" s="13"/>
      <c r="K535" s="205"/>
      <c r="L535" s="13"/>
      <c r="M535" s="13"/>
      <c r="N535" s="13"/>
      <c r="O535" s="205"/>
      <c r="P535" s="13"/>
      <c r="Q535" s="13"/>
      <c r="R535" s="177"/>
      <c r="S535" s="35"/>
      <c r="T535" s="35"/>
      <c r="U535" s="13"/>
      <c r="V535" s="13"/>
      <c r="W535" s="13"/>
      <c r="X535" s="13"/>
      <c r="Y535" s="13"/>
      <c r="Z535" s="13"/>
      <c r="AA535" s="13"/>
      <c r="AB535" s="13"/>
      <c r="AC535" s="13"/>
    </row>
    <row r="536" ht="16.5" customHeight="1">
      <c r="A536" s="13"/>
      <c r="B536" s="13"/>
      <c r="C536" s="13"/>
      <c r="D536" s="13"/>
      <c r="E536" s="13"/>
      <c r="F536" s="13"/>
      <c r="G536" s="13"/>
      <c r="H536" s="13"/>
      <c r="I536" s="13"/>
      <c r="J536" s="13"/>
      <c r="K536" s="205"/>
      <c r="L536" s="13"/>
      <c r="M536" s="13"/>
      <c r="N536" s="13"/>
      <c r="O536" s="205"/>
      <c r="P536" s="13"/>
      <c r="Q536" s="13"/>
      <c r="R536" s="177"/>
      <c r="S536" s="35"/>
      <c r="T536" s="35"/>
      <c r="U536" s="13"/>
      <c r="V536" s="13"/>
      <c r="W536" s="13"/>
      <c r="X536" s="13"/>
      <c r="Y536" s="13"/>
      <c r="Z536" s="13"/>
      <c r="AA536" s="13"/>
      <c r="AB536" s="13"/>
      <c r="AC536" s="13"/>
    </row>
    <row r="537" ht="16.5" customHeight="1">
      <c r="A537" s="13"/>
      <c r="B537" s="13"/>
      <c r="C537" s="13"/>
      <c r="D537" s="13"/>
      <c r="E537" s="13"/>
      <c r="F537" s="13"/>
      <c r="G537" s="13"/>
      <c r="H537" s="13"/>
      <c r="I537" s="13"/>
      <c r="J537" s="13"/>
      <c r="K537" s="205"/>
      <c r="L537" s="13"/>
      <c r="M537" s="13"/>
      <c r="N537" s="13"/>
      <c r="O537" s="205"/>
      <c r="P537" s="13"/>
      <c r="Q537" s="13"/>
      <c r="R537" s="177"/>
      <c r="S537" s="35"/>
      <c r="T537" s="35"/>
      <c r="U537" s="13"/>
      <c r="V537" s="13"/>
      <c r="W537" s="13"/>
      <c r="X537" s="13"/>
      <c r="Y537" s="13"/>
      <c r="Z537" s="13"/>
      <c r="AA537" s="13"/>
      <c r="AB537" s="13"/>
      <c r="AC537" s="13"/>
    </row>
    <row r="538" ht="16.5" customHeight="1">
      <c r="A538" s="13"/>
      <c r="B538" s="13"/>
      <c r="C538" s="13"/>
      <c r="D538" s="13"/>
      <c r="E538" s="13"/>
      <c r="F538" s="13"/>
      <c r="G538" s="13"/>
      <c r="H538" s="13"/>
      <c r="I538" s="13"/>
      <c r="J538" s="13"/>
      <c r="K538" s="205"/>
      <c r="L538" s="13"/>
      <c r="M538" s="13"/>
      <c r="N538" s="13"/>
      <c r="O538" s="205"/>
      <c r="P538" s="13"/>
      <c r="Q538" s="13"/>
      <c r="R538" s="177"/>
      <c r="S538" s="35"/>
      <c r="T538" s="35"/>
      <c r="U538" s="13"/>
      <c r="V538" s="13"/>
      <c r="W538" s="13"/>
      <c r="X538" s="13"/>
      <c r="Y538" s="13"/>
      <c r="Z538" s="13"/>
      <c r="AA538" s="13"/>
      <c r="AB538" s="13"/>
      <c r="AC538" s="13"/>
    </row>
    <row r="539" ht="16.5" customHeight="1">
      <c r="A539" s="13"/>
      <c r="B539" s="13"/>
      <c r="C539" s="13"/>
      <c r="D539" s="13"/>
      <c r="E539" s="13"/>
      <c r="F539" s="13"/>
      <c r="G539" s="13"/>
      <c r="H539" s="13"/>
      <c r="I539" s="13"/>
      <c r="J539" s="13"/>
      <c r="K539" s="205"/>
      <c r="L539" s="13"/>
      <c r="M539" s="13"/>
      <c r="N539" s="13"/>
      <c r="O539" s="205"/>
      <c r="P539" s="13"/>
      <c r="Q539" s="13"/>
      <c r="R539" s="177"/>
      <c r="S539" s="35"/>
      <c r="T539" s="35"/>
      <c r="U539" s="13"/>
      <c r="V539" s="13"/>
      <c r="W539" s="13"/>
      <c r="X539" s="13"/>
      <c r="Y539" s="13"/>
      <c r="Z539" s="13"/>
      <c r="AA539" s="13"/>
      <c r="AB539" s="13"/>
      <c r="AC539" s="13"/>
    </row>
    <row r="540" ht="16.5" customHeight="1">
      <c r="A540" s="13"/>
      <c r="B540" s="13"/>
      <c r="C540" s="13"/>
      <c r="D540" s="13"/>
      <c r="E540" s="13"/>
      <c r="F540" s="13"/>
      <c r="G540" s="13"/>
      <c r="H540" s="13"/>
      <c r="I540" s="13"/>
      <c r="J540" s="13"/>
      <c r="K540" s="205"/>
      <c r="L540" s="13"/>
      <c r="M540" s="13"/>
      <c r="N540" s="13"/>
      <c r="O540" s="205"/>
      <c r="P540" s="13"/>
      <c r="Q540" s="13"/>
      <c r="R540" s="177"/>
      <c r="S540" s="35"/>
      <c r="T540" s="35"/>
      <c r="U540" s="13"/>
      <c r="V540" s="13"/>
      <c r="W540" s="13"/>
      <c r="X540" s="13"/>
      <c r="Y540" s="13"/>
      <c r="Z540" s="13"/>
      <c r="AA540" s="13"/>
      <c r="AB540" s="13"/>
      <c r="AC540" s="13"/>
    </row>
    <row r="541" ht="16.5" customHeight="1">
      <c r="A541" s="13"/>
      <c r="B541" s="13"/>
      <c r="C541" s="13"/>
      <c r="D541" s="13"/>
      <c r="E541" s="13"/>
      <c r="F541" s="13"/>
      <c r="G541" s="13"/>
      <c r="H541" s="13"/>
      <c r="I541" s="13"/>
      <c r="J541" s="13"/>
      <c r="K541" s="205"/>
      <c r="L541" s="13"/>
      <c r="M541" s="13"/>
      <c r="N541" s="13"/>
      <c r="O541" s="205"/>
      <c r="P541" s="13"/>
      <c r="Q541" s="13"/>
      <c r="R541" s="177"/>
      <c r="S541" s="35"/>
      <c r="T541" s="35"/>
      <c r="U541" s="13"/>
      <c r="V541" s="13"/>
      <c r="W541" s="13"/>
      <c r="X541" s="13"/>
      <c r="Y541" s="13"/>
      <c r="Z541" s="13"/>
      <c r="AA541" s="13"/>
      <c r="AB541" s="13"/>
      <c r="AC541" s="13"/>
    </row>
    <row r="542" ht="16.5" customHeight="1">
      <c r="A542" s="13"/>
      <c r="B542" s="13"/>
      <c r="C542" s="13"/>
      <c r="D542" s="13"/>
      <c r="E542" s="13"/>
      <c r="F542" s="13"/>
      <c r="G542" s="13"/>
      <c r="H542" s="13"/>
      <c r="I542" s="13"/>
      <c r="J542" s="13"/>
      <c r="K542" s="205"/>
      <c r="L542" s="13"/>
      <c r="M542" s="13"/>
      <c r="N542" s="13"/>
      <c r="O542" s="205"/>
      <c r="P542" s="13"/>
      <c r="Q542" s="13"/>
      <c r="R542" s="177"/>
      <c r="S542" s="35"/>
      <c r="T542" s="35"/>
      <c r="U542" s="13"/>
      <c r="V542" s="13"/>
      <c r="W542" s="13"/>
      <c r="X542" s="13"/>
      <c r="Y542" s="13"/>
      <c r="Z542" s="13"/>
      <c r="AA542" s="13"/>
      <c r="AB542" s="13"/>
      <c r="AC542" s="13"/>
    </row>
    <row r="543" ht="16.5" customHeight="1">
      <c r="A543" s="13"/>
      <c r="B543" s="13"/>
      <c r="C543" s="13"/>
      <c r="D543" s="13"/>
      <c r="E543" s="13"/>
      <c r="F543" s="13"/>
      <c r="G543" s="13"/>
      <c r="H543" s="13"/>
      <c r="I543" s="13"/>
      <c r="J543" s="13"/>
      <c r="K543" s="205"/>
      <c r="L543" s="13"/>
      <c r="M543" s="13"/>
      <c r="N543" s="13"/>
      <c r="O543" s="205"/>
      <c r="P543" s="13"/>
      <c r="Q543" s="13"/>
      <c r="R543" s="177"/>
      <c r="S543" s="35"/>
      <c r="T543" s="35"/>
      <c r="U543" s="13"/>
      <c r="V543" s="13"/>
      <c r="W543" s="13"/>
      <c r="X543" s="13"/>
      <c r="Y543" s="13"/>
      <c r="Z543" s="13"/>
      <c r="AA543" s="13"/>
      <c r="AB543" s="13"/>
      <c r="AC543" s="13"/>
    </row>
    <row r="544" ht="16.5" customHeight="1">
      <c r="A544" s="13"/>
      <c r="B544" s="13"/>
      <c r="C544" s="13"/>
      <c r="D544" s="13"/>
      <c r="E544" s="13"/>
      <c r="F544" s="13"/>
      <c r="G544" s="13"/>
      <c r="H544" s="13"/>
      <c r="I544" s="13"/>
      <c r="J544" s="13"/>
      <c r="K544" s="205"/>
      <c r="L544" s="13"/>
      <c r="M544" s="13"/>
      <c r="N544" s="13"/>
      <c r="O544" s="205"/>
      <c r="P544" s="13"/>
      <c r="Q544" s="13"/>
      <c r="R544" s="177"/>
      <c r="S544" s="35"/>
      <c r="T544" s="35"/>
      <c r="U544" s="13"/>
      <c r="V544" s="13"/>
      <c r="W544" s="13"/>
      <c r="X544" s="13"/>
      <c r="Y544" s="13"/>
      <c r="Z544" s="13"/>
      <c r="AA544" s="13"/>
      <c r="AB544" s="13"/>
      <c r="AC544" s="13"/>
    </row>
    <row r="545" ht="16.5" customHeight="1">
      <c r="A545" s="13"/>
      <c r="B545" s="13"/>
      <c r="C545" s="13"/>
      <c r="D545" s="13"/>
      <c r="E545" s="13"/>
      <c r="F545" s="13"/>
      <c r="G545" s="13"/>
      <c r="H545" s="13"/>
      <c r="I545" s="13"/>
      <c r="J545" s="13"/>
      <c r="K545" s="205"/>
      <c r="L545" s="13"/>
      <c r="M545" s="13"/>
      <c r="N545" s="13"/>
      <c r="O545" s="205"/>
      <c r="P545" s="13"/>
      <c r="Q545" s="13"/>
      <c r="R545" s="177"/>
      <c r="S545" s="35"/>
      <c r="T545" s="35"/>
      <c r="U545" s="13"/>
      <c r="V545" s="13"/>
      <c r="W545" s="13"/>
      <c r="X545" s="13"/>
      <c r="Y545" s="13"/>
      <c r="Z545" s="13"/>
      <c r="AA545" s="13"/>
      <c r="AB545" s="13"/>
      <c r="AC545" s="13"/>
    </row>
    <row r="546" ht="16.5" customHeight="1">
      <c r="A546" s="13"/>
      <c r="B546" s="13"/>
      <c r="C546" s="13"/>
      <c r="D546" s="13"/>
      <c r="E546" s="13"/>
      <c r="F546" s="13"/>
      <c r="G546" s="13"/>
      <c r="H546" s="13"/>
      <c r="I546" s="13"/>
      <c r="J546" s="13"/>
      <c r="K546" s="205"/>
      <c r="L546" s="13"/>
      <c r="M546" s="13"/>
      <c r="N546" s="13"/>
      <c r="O546" s="205"/>
      <c r="P546" s="13"/>
      <c r="Q546" s="13"/>
      <c r="R546" s="177"/>
      <c r="S546" s="35"/>
      <c r="T546" s="35"/>
      <c r="U546" s="13"/>
      <c r="V546" s="13"/>
      <c r="W546" s="13"/>
      <c r="X546" s="13"/>
      <c r="Y546" s="13"/>
      <c r="Z546" s="13"/>
      <c r="AA546" s="13"/>
      <c r="AB546" s="13"/>
      <c r="AC546" s="13"/>
    </row>
    <row r="547" ht="16.5" customHeight="1">
      <c r="A547" s="13"/>
      <c r="B547" s="13"/>
      <c r="C547" s="13"/>
      <c r="D547" s="13"/>
      <c r="E547" s="13"/>
      <c r="F547" s="13"/>
      <c r="G547" s="13"/>
      <c r="H547" s="13"/>
      <c r="I547" s="13"/>
      <c r="J547" s="13"/>
      <c r="K547" s="205"/>
      <c r="L547" s="13"/>
      <c r="M547" s="13"/>
      <c r="N547" s="13"/>
      <c r="O547" s="205"/>
      <c r="P547" s="13"/>
      <c r="Q547" s="13"/>
      <c r="R547" s="177"/>
      <c r="S547" s="35"/>
      <c r="T547" s="35"/>
      <c r="U547" s="13"/>
      <c r="V547" s="13"/>
      <c r="W547" s="13"/>
      <c r="X547" s="13"/>
      <c r="Y547" s="13"/>
      <c r="Z547" s="13"/>
      <c r="AA547" s="13"/>
      <c r="AB547" s="13"/>
      <c r="AC547" s="13"/>
    </row>
    <row r="548" ht="16.5" customHeight="1">
      <c r="A548" s="13"/>
      <c r="B548" s="13"/>
      <c r="C548" s="13"/>
      <c r="D548" s="13"/>
      <c r="E548" s="13"/>
      <c r="F548" s="13"/>
      <c r="G548" s="13"/>
      <c r="H548" s="13"/>
      <c r="I548" s="13"/>
      <c r="J548" s="13"/>
      <c r="K548" s="205"/>
      <c r="L548" s="13"/>
      <c r="M548" s="13"/>
      <c r="N548" s="13"/>
      <c r="O548" s="205"/>
      <c r="P548" s="13"/>
      <c r="Q548" s="13"/>
      <c r="R548" s="177"/>
      <c r="S548" s="35"/>
      <c r="T548" s="35"/>
      <c r="U548" s="13"/>
      <c r="V548" s="13"/>
      <c r="W548" s="13"/>
      <c r="X548" s="13"/>
      <c r="Y548" s="13"/>
      <c r="Z548" s="13"/>
      <c r="AA548" s="13"/>
      <c r="AB548" s="13"/>
      <c r="AC548" s="13"/>
    </row>
    <row r="549" ht="16.5" customHeight="1">
      <c r="A549" s="13"/>
      <c r="B549" s="13"/>
      <c r="C549" s="13"/>
      <c r="D549" s="13"/>
      <c r="E549" s="13"/>
      <c r="F549" s="13"/>
      <c r="G549" s="13"/>
      <c r="H549" s="13"/>
      <c r="I549" s="13"/>
      <c r="J549" s="13"/>
      <c r="K549" s="205"/>
      <c r="L549" s="13"/>
      <c r="M549" s="13"/>
      <c r="N549" s="13"/>
      <c r="O549" s="205"/>
      <c r="P549" s="13"/>
      <c r="Q549" s="13"/>
      <c r="R549" s="177"/>
      <c r="S549" s="35"/>
      <c r="T549" s="35"/>
      <c r="U549" s="13"/>
      <c r="V549" s="13"/>
      <c r="W549" s="13"/>
      <c r="X549" s="13"/>
      <c r="Y549" s="13"/>
      <c r="Z549" s="13"/>
      <c r="AA549" s="13"/>
      <c r="AB549" s="13"/>
      <c r="AC549" s="13"/>
    </row>
    <row r="550" ht="16.5" customHeight="1">
      <c r="A550" s="13"/>
      <c r="B550" s="13"/>
      <c r="C550" s="13"/>
      <c r="D550" s="13"/>
      <c r="E550" s="13"/>
      <c r="F550" s="13"/>
      <c r="G550" s="13"/>
      <c r="H550" s="13"/>
      <c r="I550" s="13"/>
      <c r="J550" s="13"/>
      <c r="K550" s="205"/>
      <c r="L550" s="13"/>
      <c r="M550" s="13"/>
      <c r="N550" s="13"/>
      <c r="O550" s="205"/>
      <c r="P550" s="13"/>
      <c r="Q550" s="13"/>
      <c r="R550" s="177"/>
      <c r="S550" s="35"/>
      <c r="T550" s="35"/>
      <c r="U550" s="13"/>
      <c r="V550" s="13"/>
      <c r="W550" s="13"/>
      <c r="X550" s="13"/>
      <c r="Y550" s="13"/>
      <c r="Z550" s="13"/>
      <c r="AA550" s="13"/>
      <c r="AB550" s="13"/>
      <c r="AC550" s="13"/>
    </row>
    <row r="551" ht="16.5" customHeight="1">
      <c r="A551" s="13"/>
      <c r="B551" s="13"/>
      <c r="C551" s="13"/>
      <c r="D551" s="13"/>
      <c r="E551" s="13"/>
      <c r="F551" s="13"/>
      <c r="G551" s="13"/>
      <c r="H551" s="13"/>
      <c r="I551" s="13"/>
      <c r="J551" s="13"/>
      <c r="K551" s="205"/>
      <c r="L551" s="13"/>
      <c r="M551" s="13"/>
      <c r="N551" s="13"/>
      <c r="O551" s="205"/>
      <c r="P551" s="13"/>
      <c r="Q551" s="13"/>
      <c r="R551" s="177"/>
      <c r="S551" s="35"/>
      <c r="T551" s="35"/>
      <c r="U551" s="13"/>
      <c r="V551" s="13"/>
      <c r="W551" s="13"/>
      <c r="X551" s="13"/>
      <c r="Y551" s="13"/>
      <c r="Z551" s="13"/>
      <c r="AA551" s="13"/>
      <c r="AB551" s="13"/>
      <c r="AC551" s="13"/>
    </row>
    <row r="552" ht="16.5" customHeight="1">
      <c r="A552" s="13"/>
      <c r="B552" s="13"/>
      <c r="C552" s="13"/>
      <c r="D552" s="13"/>
      <c r="E552" s="13"/>
      <c r="F552" s="13"/>
      <c r="G552" s="13"/>
      <c r="H552" s="13"/>
      <c r="I552" s="13"/>
      <c r="J552" s="13"/>
      <c r="K552" s="205"/>
      <c r="L552" s="13"/>
      <c r="M552" s="13"/>
      <c r="N552" s="13"/>
      <c r="O552" s="205"/>
      <c r="P552" s="13"/>
      <c r="Q552" s="13"/>
      <c r="R552" s="177"/>
      <c r="S552" s="35"/>
      <c r="T552" s="35"/>
      <c r="U552" s="13"/>
      <c r="V552" s="13"/>
      <c r="W552" s="13"/>
      <c r="X552" s="13"/>
      <c r="Y552" s="13"/>
      <c r="Z552" s="13"/>
      <c r="AA552" s="13"/>
      <c r="AB552" s="13"/>
      <c r="AC552" s="13"/>
    </row>
    <row r="553" ht="16.5" customHeight="1">
      <c r="A553" s="13"/>
      <c r="B553" s="13"/>
      <c r="C553" s="13"/>
      <c r="D553" s="13"/>
      <c r="E553" s="13"/>
      <c r="F553" s="13"/>
      <c r="G553" s="13"/>
      <c r="H553" s="13"/>
      <c r="I553" s="13"/>
      <c r="J553" s="13"/>
      <c r="K553" s="205"/>
      <c r="L553" s="13"/>
      <c r="M553" s="13"/>
      <c r="N553" s="13"/>
      <c r="O553" s="205"/>
      <c r="P553" s="13"/>
      <c r="Q553" s="13"/>
      <c r="R553" s="177"/>
      <c r="S553" s="35"/>
      <c r="T553" s="35"/>
      <c r="U553" s="13"/>
      <c r="V553" s="13"/>
      <c r="W553" s="13"/>
      <c r="X553" s="13"/>
      <c r="Y553" s="13"/>
      <c r="Z553" s="13"/>
      <c r="AA553" s="13"/>
      <c r="AB553" s="13"/>
      <c r="AC553" s="13"/>
    </row>
    <row r="554" ht="16.5" customHeight="1">
      <c r="A554" s="13"/>
      <c r="B554" s="13"/>
      <c r="C554" s="13"/>
      <c r="D554" s="13"/>
      <c r="E554" s="13"/>
      <c r="F554" s="13"/>
      <c r="G554" s="13"/>
      <c r="H554" s="13"/>
      <c r="I554" s="13"/>
      <c r="J554" s="13"/>
      <c r="K554" s="205"/>
      <c r="L554" s="13"/>
      <c r="M554" s="13"/>
      <c r="N554" s="13"/>
      <c r="O554" s="205"/>
      <c r="P554" s="13"/>
      <c r="Q554" s="13"/>
      <c r="R554" s="177"/>
      <c r="S554" s="35"/>
      <c r="T554" s="35"/>
      <c r="U554" s="13"/>
      <c r="V554" s="13"/>
      <c r="W554" s="13"/>
      <c r="X554" s="13"/>
      <c r="Y554" s="13"/>
      <c r="Z554" s="13"/>
      <c r="AA554" s="13"/>
      <c r="AB554" s="13"/>
      <c r="AC554" s="13"/>
    </row>
    <row r="555" ht="16.5" customHeight="1">
      <c r="A555" s="13"/>
      <c r="B555" s="13"/>
      <c r="C555" s="13"/>
      <c r="D555" s="13"/>
      <c r="E555" s="13"/>
      <c r="F555" s="13"/>
      <c r="G555" s="13"/>
      <c r="H555" s="13"/>
      <c r="I555" s="13"/>
      <c r="J555" s="13"/>
      <c r="K555" s="205"/>
      <c r="L555" s="13"/>
      <c r="M555" s="13"/>
      <c r="N555" s="13"/>
      <c r="O555" s="205"/>
      <c r="P555" s="13"/>
      <c r="Q555" s="13"/>
      <c r="R555" s="177"/>
      <c r="S555" s="35"/>
      <c r="T555" s="35"/>
      <c r="U555" s="13"/>
      <c r="V555" s="13"/>
      <c r="W555" s="13"/>
      <c r="X555" s="13"/>
      <c r="Y555" s="13"/>
      <c r="Z555" s="13"/>
      <c r="AA555" s="13"/>
      <c r="AB555" s="13"/>
      <c r="AC555" s="13"/>
    </row>
    <row r="556" ht="16.5" customHeight="1">
      <c r="A556" s="13"/>
      <c r="B556" s="13"/>
      <c r="C556" s="13"/>
      <c r="D556" s="13"/>
      <c r="E556" s="13"/>
      <c r="F556" s="13"/>
      <c r="G556" s="13"/>
      <c r="H556" s="13"/>
      <c r="I556" s="13"/>
      <c r="J556" s="13"/>
      <c r="K556" s="205"/>
      <c r="L556" s="13"/>
      <c r="M556" s="13"/>
      <c r="N556" s="13"/>
      <c r="O556" s="205"/>
      <c r="P556" s="13"/>
      <c r="Q556" s="13"/>
      <c r="R556" s="177"/>
      <c r="S556" s="35"/>
      <c r="T556" s="35"/>
      <c r="U556" s="13"/>
      <c r="V556" s="13"/>
      <c r="W556" s="13"/>
      <c r="X556" s="13"/>
      <c r="Y556" s="13"/>
      <c r="Z556" s="13"/>
      <c r="AA556" s="13"/>
      <c r="AB556" s="13"/>
      <c r="AC556" s="13"/>
    </row>
    <row r="557" ht="16.5" customHeight="1">
      <c r="A557" s="13"/>
      <c r="B557" s="13"/>
      <c r="C557" s="13"/>
      <c r="D557" s="13"/>
      <c r="E557" s="13"/>
      <c r="F557" s="13"/>
      <c r="G557" s="13"/>
      <c r="H557" s="13"/>
      <c r="I557" s="13"/>
      <c r="J557" s="13"/>
      <c r="K557" s="205"/>
      <c r="L557" s="13"/>
      <c r="M557" s="13"/>
      <c r="N557" s="13"/>
      <c r="O557" s="205"/>
      <c r="P557" s="13"/>
      <c r="Q557" s="13"/>
      <c r="R557" s="177"/>
      <c r="S557" s="35"/>
      <c r="T557" s="35"/>
      <c r="U557" s="13"/>
      <c r="V557" s="13"/>
      <c r="W557" s="13"/>
      <c r="X557" s="13"/>
      <c r="Y557" s="13"/>
      <c r="Z557" s="13"/>
      <c r="AA557" s="13"/>
      <c r="AB557" s="13"/>
      <c r="AC557" s="13"/>
    </row>
    <row r="558" ht="16.5" customHeight="1">
      <c r="A558" s="13"/>
      <c r="B558" s="13"/>
      <c r="C558" s="13"/>
      <c r="D558" s="13"/>
      <c r="E558" s="13"/>
      <c r="F558" s="13"/>
      <c r="G558" s="13"/>
      <c r="H558" s="13"/>
      <c r="I558" s="13"/>
      <c r="J558" s="13"/>
      <c r="K558" s="205"/>
      <c r="L558" s="13"/>
      <c r="M558" s="13"/>
      <c r="N558" s="13"/>
      <c r="O558" s="205"/>
      <c r="P558" s="13"/>
      <c r="Q558" s="13"/>
      <c r="R558" s="177"/>
      <c r="S558" s="35"/>
      <c r="T558" s="35"/>
      <c r="U558" s="13"/>
      <c r="V558" s="13"/>
      <c r="W558" s="13"/>
      <c r="X558" s="13"/>
      <c r="Y558" s="13"/>
      <c r="Z558" s="13"/>
      <c r="AA558" s="13"/>
      <c r="AB558" s="13"/>
      <c r="AC558" s="13"/>
    </row>
    <row r="559" ht="16.5" customHeight="1">
      <c r="A559" s="13"/>
      <c r="B559" s="13"/>
      <c r="C559" s="13"/>
      <c r="D559" s="13"/>
      <c r="E559" s="13"/>
      <c r="F559" s="13"/>
      <c r="G559" s="13"/>
      <c r="H559" s="13"/>
      <c r="I559" s="13"/>
      <c r="J559" s="13"/>
      <c r="K559" s="205"/>
      <c r="L559" s="13"/>
      <c r="M559" s="13"/>
      <c r="N559" s="13"/>
      <c r="O559" s="205"/>
      <c r="P559" s="13"/>
      <c r="Q559" s="13"/>
      <c r="R559" s="177"/>
      <c r="S559" s="35"/>
      <c r="T559" s="35"/>
      <c r="U559" s="13"/>
      <c r="V559" s="13"/>
      <c r="W559" s="13"/>
      <c r="X559" s="13"/>
      <c r="Y559" s="13"/>
      <c r="Z559" s="13"/>
      <c r="AA559" s="13"/>
      <c r="AB559" s="13"/>
      <c r="AC559" s="13"/>
    </row>
    <row r="560" ht="16.5" customHeight="1">
      <c r="A560" s="13"/>
      <c r="B560" s="13"/>
      <c r="C560" s="13"/>
      <c r="D560" s="13"/>
      <c r="E560" s="13"/>
      <c r="F560" s="13"/>
      <c r="G560" s="13"/>
      <c r="H560" s="13"/>
      <c r="I560" s="13"/>
      <c r="J560" s="13"/>
      <c r="K560" s="205"/>
      <c r="L560" s="13"/>
      <c r="M560" s="13"/>
      <c r="N560" s="13"/>
      <c r="O560" s="205"/>
      <c r="P560" s="13"/>
      <c r="Q560" s="13"/>
      <c r="R560" s="177"/>
      <c r="S560" s="35"/>
      <c r="T560" s="35"/>
      <c r="U560" s="13"/>
      <c r="V560" s="13"/>
      <c r="W560" s="13"/>
      <c r="X560" s="13"/>
      <c r="Y560" s="13"/>
      <c r="Z560" s="13"/>
      <c r="AA560" s="13"/>
      <c r="AB560" s="13"/>
      <c r="AC560" s="13"/>
    </row>
    <row r="561" ht="16.5" customHeight="1">
      <c r="A561" s="13"/>
      <c r="B561" s="13"/>
      <c r="C561" s="13"/>
      <c r="D561" s="13"/>
      <c r="E561" s="13"/>
      <c r="F561" s="13"/>
      <c r="G561" s="13"/>
      <c r="H561" s="13"/>
      <c r="I561" s="13"/>
      <c r="J561" s="13"/>
      <c r="K561" s="205"/>
      <c r="L561" s="13"/>
      <c r="M561" s="13"/>
      <c r="N561" s="13"/>
      <c r="O561" s="205"/>
      <c r="P561" s="13"/>
      <c r="Q561" s="13"/>
      <c r="R561" s="177"/>
      <c r="S561" s="35"/>
      <c r="T561" s="35"/>
      <c r="U561" s="13"/>
      <c r="V561" s="13"/>
      <c r="W561" s="13"/>
      <c r="X561" s="13"/>
      <c r="Y561" s="13"/>
      <c r="Z561" s="13"/>
      <c r="AA561" s="13"/>
      <c r="AB561" s="13"/>
      <c r="AC561" s="13"/>
    </row>
    <row r="562" ht="16.5" customHeight="1">
      <c r="A562" s="13"/>
      <c r="B562" s="13"/>
      <c r="C562" s="13"/>
      <c r="D562" s="13"/>
      <c r="E562" s="13"/>
      <c r="F562" s="13"/>
      <c r="G562" s="13"/>
      <c r="H562" s="13"/>
      <c r="I562" s="13"/>
      <c r="J562" s="13"/>
      <c r="K562" s="205"/>
      <c r="L562" s="13"/>
      <c r="M562" s="13"/>
      <c r="N562" s="13"/>
      <c r="O562" s="205"/>
      <c r="P562" s="13"/>
      <c r="Q562" s="13"/>
      <c r="R562" s="177"/>
      <c r="S562" s="35"/>
      <c r="T562" s="35"/>
      <c r="U562" s="13"/>
      <c r="V562" s="13"/>
      <c r="W562" s="13"/>
      <c r="X562" s="13"/>
      <c r="Y562" s="13"/>
      <c r="Z562" s="13"/>
      <c r="AA562" s="13"/>
      <c r="AB562" s="13"/>
      <c r="AC562" s="13"/>
    </row>
    <row r="563" ht="16.5" customHeight="1">
      <c r="A563" s="13"/>
      <c r="B563" s="13"/>
      <c r="C563" s="13"/>
      <c r="D563" s="13"/>
      <c r="E563" s="13"/>
      <c r="F563" s="13"/>
      <c r="G563" s="13"/>
      <c r="H563" s="13"/>
      <c r="I563" s="13"/>
      <c r="J563" s="13"/>
      <c r="K563" s="205"/>
      <c r="L563" s="13"/>
      <c r="M563" s="13"/>
      <c r="N563" s="13"/>
      <c r="O563" s="205"/>
      <c r="P563" s="13"/>
      <c r="Q563" s="13"/>
      <c r="R563" s="177"/>
      <c r="S563" s="35"/>
      <c r="T563" s="35"/>
      <c r="U563" s="13"/>
      <c r="V563" s="13"/>
      <c r="W563" s="13"/>
      <c r="X563" s="13"/>
      <c r="Y563" s="13"/>
      <c r="Z563" s="13"/>
      <c r="AA563" s="13"/>
      <c r="AB563" s="13"/>
      <c r="AC563" s="13"/>
    </row>
    <row r="564" ht="16.5" customHeight="1">
      <c r="A564" s="13"/>
      <c r="B564" s="13"/>
      <c r="C564" s="13"/>
      <c r="D564" s="13"/>
      <c r="E564" s="13"/>
      <c r="F564" s="13"/>
      <c r="G564" s="13"/>
      <c r="H564" s="13"/>
      <c r="I564" s="13"/>
      <c r="J564" s="13"/>
      <c r="K564" s="205"/>
      <c r="L564" s="13"/>
      <c r="M564" s="13"/>
      <c r="N564" s="13"/>
      <c r="O564" s="205"/>
      <c r="P564" s="13"/>
      <c r="Q564" s="13"/>
      <c r="R564" s="177"/>
      <c r="S564" s="35"/>
      <c r="T564" s="35"/>
      <c r="U564" s="13"/>
      <c r="V564" s="13"/>
      <c r="W564" s="13"/>
      <c r="X564" s="13"/>
      <c r="Y564" s="13"/>
      <c r="Z564" s="13"/>
      <c r="AA564" s="13"/>
      <c r="AB564" s="13"/>
      <c r="AC564" s="13"/>
    </row>
    <row r="565" ht="16.5" customHeight="1">
      <c r="A565" s="13"/>
      <c r="B565" s="13"/>
      <c r="C565" s="13"/>
      <c r="D565" s="13"/>
      <c r="E565" s="13"/>
      <c r="F565" s="13"/>
      <c r="G565" s="13"/>
      <c r="H565" s="13"/>
      <c r="I565" s="13"/>
      <c r="J565" s="13"/>
      <c r="K565" s="205"/>
      <c r="L565" s="13"/>
      <c r="M565" s="13"/>
      <c r="N565" s="13"/>
      <c r="O565" s="205"/>
      <c r="P565" s="13"/>
      <c r="Q565" s="13"/>
      <c r="R565" s="177"/>
      <c r="S565" s="35"/>
      <c r="T565" s="35"/>
      <c r="U565" s="13"/>
      <c r="V565" s="13"/>
      <c r="W565" s="13"/>
      <c r="X565" s="13"/>
      <c r="Y565" s="13"/>
      <c r="Z565" s="13"/>
      <c r="AA565" s="13"/>
      <c r="AB565" s="13"/>
      <c r="AC565" s="13"/>
    </row>
    <row r="566" ht="16.5" customHeight="1">
      <c r="A566" s="13"/>
      <c r="B566" s="13"/>
      <c r="C566" s="13"/>
      <c r="D566" s="13"/>
      <c r="E566" s="13"/>
      <c r="F566" s="13"/>
      <c r="G566" s="13"/>
      <c r="H566" s="13"/>
      <c r="I566" s="13"/>
      <c r="J566" s="13"/>
      <c r="K566" s="205"/>
      <c r="L566" s="13"/>
      <c r="M566" s="13"/>
      <c r="N566" s="13"/>
      <c r="O566" s="205"/>
      <c r="P566" s="13"/>
      <c r="Q566" s="13"/>
      <c r="R566" s="177"/>
      <c r="S566" s="35"/>
      <c r="T566" s="35"/>
      <c r="U566" s="13"/>
      <c r="V566" s="13"/>
      <c r="W566" s="13"/>
      <c r="X566" s="13"/>
      <c r="Y566" s="13"/>
      <c r="Z566" s="13"/>
      <c r="AA566" s="13"/>
      <c r="AB566" s="13"/>
      <c r="AC566" s="13"/>
    </row>
    <row r="567" ht="16.5" customHeight="1">
      <c r="A567" s="13"/>
      <c r="B567" s="13"/>
      <c r="C567" s="13"/>
      <c r="D567" s="13"/>
      <c r="E567" s="13"/>
      <c r="F567" s="13"/>
      <c r="G567" s="13"/>
      <c r="H567" s="13"/>
      <c r="I567" s="13"/>
      <c r="J567" s="13"/>
      <c r="K567" s="205"/>
      <c r="L567" s="13"/>
      <c r="M567" s="13"/>
      <c r="N567" s="13"/>
      <c r="O567" s="205"/>
      <c r="P567" s="13"/>
      <c r="Q567" s="13"/>
      <c r="R567" s="177"/>
      <c r="S567" s="35"/>
      <c r="T567" s="35"/>
      <c r="U567" s="13"/>
      <c r="V567" s="13"/>
      <c r="W567" s="13"/>
      <c r="X567" s="13"/>
      <c r="Y567" s="13"/>
      <c r="Z567" s="13"/>
      <c r="AA567" s="13"/>
      <c r="AB567" s="13"/>
      <c r="AC567" s="13"/>
    </row>
    <row r="568" ht="16.5" customHeight="1">
      <c r="A568" s="13"/>
      <c r="B568" s="13"/>
      <c r="C568" s="13"/>
      <c r="D568" s="13"/>
      <c r="E568" s="13"/>
      <c r="F568" s="13"/>
      <c r="G568" s="13"/>
      <c r="H568" s="13"/>
      <c r="I568" s="13"/>
      <c r="J568" s="13"/>
      <c r="K568" s="205"/>
      <c r="L568" s="13"/>
      <c r="M568" s="13"/>
      <c r="N568" s="13"/>
      <c r="O568" s="205"/>
      <c r="P568" s="13"/>
      <c r="Q568" s="13"/>
      <c r="R568" s="177"/>
      <c r="S568" s="35"/>
      <c r="T568" s="35"/>
      <c r="U568" s="13"/>
      <c r="V568" s="13"/>
      <c r="W568" s="13"/>
      <c r="X568" s="13"/>
      <c r="Y568" s="13"/>
      <c r="Z568" s="13"/>
      <c r="AA568" s="13"/>
      <c r="AB568" s="13"/>
      <c r="AC568" s="13"/>
    </row>
    <row r="569" ht="16.5" customHeight="1">
      <c r="A569" s="13"/>
      <c r="B569" s="13"/>
      <c r="C569" s="13"/>
      <c r="D569" s="13"/>
      <c r="E569" s="13"/>
      <c r="F569" s="13"/>
      <c r="G569" s="13"/>
      <c r="H569" s="13"/>
      <c r="I569" s="13"/>
      <c r="J569" s="13"/>
      <c r="K569" s="205"/>
      <c r="L569" s="13"/>
      <c r="M569" s="13"/>
      <c r="N569" s="13"/>
      <c r="O569" s="205"/>
      <c r="P569" s="13"/>
      <c r="Q569" s="13"/>
      <c r="R569" s="177"/>
      <c r="S569" s="35"/>
      <c r="T569" s="35"/>
      <c r="U569" s="13"/>
      <c r="V569" s="13"/>
      <c r="W569" s="13"/>
      <c r="X569" s="13"/>
      <c r="Y569" s="13"/>
      <c r="Z569" s="13"/>
      <c r="AA569" s="13"/>
      <c r="AB569" s="13"/>
      <c r="AC569" s="13"/>
    </row>
    <row r="570" ht="16.5" customHeight="1">
      <c r="A570" s="13"/>
      <c r="B570" s="13"/>
      <c r="C570" s="13"/>
      <c r="D570" s="13"/>
      <c r="E570" s="13"/>
      <c r="F570" s="13"/>
      <c r="G570" s="13"/>
      <c r="H570" s="13"/>
      <c r="I570" s="13"/>
      <c r="J570" s="13"/>
      <c r="K570" s="205"/>
      <c r="L570" s="13"/>
      <c r="M570" s="13"/>
      <c r="N570" s="13"/>
      <c r="O570" s="205"/>
      <c r="P570" s="13"/>
      <c r="Q570" s="13"/>
      <c r="R570" s="177"/>
      <c r="S570" s="35"/>
      <c r="T570" s="35"/>
      <c r="U570" s="13"/>
      <c r="V570" s="13"/>
      <c r="W570" s="13"/>
      <c r="X570" s="13"/>
      <c r="Y570" s="13"/>
      <c r="Z570" s="13"/>
      <c r="AA570" s="13"/>
      <c r="AB570" s="13"/>
      <c r="AC570" s="13"/>
    </row>
    <row r="571" ht="16.5" customHeight="1">
      <c r="A571" s="13"/>
      <c r="B571" s="13"/>
      <c r="C571" s="13"/>
      <c r="D571" s="13"/>
      <c r="E571" s="13"/>
      <c r="F571" s="13"/>
      <c r="G571" s="13"/>
      <c r="H571" s="13"/>
      <c r="I571" s="13"/>
      <c r="J571" s="13"/>
      <c r="K571" s="205"/>
      <c r="L571" s="13"/>
      <c r="M571" s="13"/>
      <c r="N571" s="13"/>
      <c r="O571" s="205"/>
      <c r="P571" s="13"/>
      <c r="Q571" s="13"/>
      <c r="R571" s="177"/>
      <c r="S571" s="35"/>
      <c r="T571" s="35"/>
      <c r="U571" s="13"/>
      <c r="V571" s="13"/>
      <c r="W571" s="13"/>
      <c r="X571" s="13"/>
      <c r="Y571" s="13"/>
      <c r="Z571" s="13"/>
      <c r="AA571" s="13"/>
      <c r="AB571" s="13"/>
      <c r="AC571" s="13"/>
    </row>
    <row r="572" ht="16.5" customHeight="1">
      <c r="A572" s="13"/>
      <c r="B572" s="13"/>
      <c r="C572" s="13"/>
      <c r="D572" s="13"/>
      <c r="E572" s="13"/>
      <c r="F572" s="13"/>
      <c r="G572" s="13"/>
      <c r="H572" s="13"/>
      <c r="I572" s="13"/>
      <c r="J572" s="13"/>
      <c r="K572" s="205"/>
      <c r="L572" s="13"/>
      <c r="M572" s="13"/>
      <c r="N572" s="13"/>
      <c r="O572" s="205"/>
      <c r="P572" s="13"/>
      <c r="Q572" s="13"/>
      <c r="R572" s="177"/>
      <c r="S572" s="35"/>
      <c r="T572" s="35"/>
      <c r="U572" s="13"/>
      <c r="V572" s="13"/>
      <c r="W572" s="13"/>
      <c r="X572" s="13"/>
      <c r="Y572" s="13"/>
      <c r="Z572" s="13"/>
      <c r="AA572" s="13"/>
      <c r="AB572" s="13"/>
      <c r="AC572" s="13"/>
    </row>
    <row r="573" ht="16.5" customHeight="1">
      <c r="A573" s="13"/>
      <c r="B573" s="13"/>
      <c r="C573" s="13"/>
      <c r="D573" s="13"/>
      <c r="E573" s="13"/>
      <c r="F573" s="13"/>
      <c r="G573" s="13"/>
      <c r="H573" s="13"/>
      <c r="I573" s="13"/>
      <c r="J573" s="13"/>
      <c r="K573" s="205"/>
      <c r="L573" s="13"/>
      <c r="M573" s="13"/>
      <c r="N573" s="13"/>
      <c r="O573" s="205"/>
      <c r="P573" s="13"/>
      <c r="Q573" s="13"/>
      <c r="R573" s="177"/>
      <c r="S573" s="35"/>
      <c r="T573" s="35"/>
      <c r="U573" s="13"/>
      <c r="V573" s="13"/>
      <c r="W573" s="13"/>
      <c r="X573" s="13"/>
      <c r="Y573" s="13"/>
      <c r="Z573" s="13"/>
      <c r="AA573" s="13"/>
      <c r="AB573" s="13"/>
      <c r="AC573" s="13"/>
    </row>
    <row r="574" ht="16.5" customHeight="1">
      <c r="A574" s="13"/>
      <c r="B574" s="13"/>
      <c r="C574" s="13"/>
      <c r="D574" s="13"/>
      <c r="E574" s="13"/>
      <c r="F574" s="13"/>
      <c r="G574" s="13"/>
      <c r="H574" s="13"/>
      <c r="I574" s="13"/>
      <c r="J574" s="13"/>
      <c r="K574" s="205"/>
      <c r="L574" s="13"/>
      <c r="M574" s="13"/>
      <c r="N574" s="13"/>
      <c r="O574" s="205"/>
      <c r="P574" s="13"/>
      <c r="Q574" s="13"/>
      <c r="R574" s="177"/>
      <c r="S574" s="35"/>
      <c r="T574" s="35"/>
      <c r="U574" s="13"/>
      <c r="V574" s="13"/>
      <c r="W574" s="13"/>
      <c r="X574" s="13"/>
      <c r="Y574" s="13"/>
      <c r="Z574" s="13"/>
      <c r="AA574" s="13"/>
      <c r="AB574" s="13"/>
      <c r="AC574" s="13"/>
    </row>
    <row r="575" ht="16.5" customHeight="1">
      <c r="A575" s="13"/>
      <c r="B575" s="13"/>
      <c r="C575" s="13"/>
      <c r="D575" s="13"/>
      <c r="E575" s="13"/>
      <c r="F575" s="13"/>
      <c r="G575" s="13"/>
      <c r="H575" s="13"/>
      <c r="I575" s="13"/>
      <c r="J575" s="13"/>
      <c r="K575" s="205"/>
      <c r="L575" s="13"/>
      <c r="M575" s="13"/>
      <c r="N575" s="13"/>
      <c r="O575" s="205"/>
      <c r="P575" s="13"/>
      <c r="Q575" s="13"/>
      <c r="R575" s="177"/>
      <c r="S575" s="35"/>
      <c r="T575" s="35"/>
      <c r="U575" s="13"/>
      <c r="V575" s="13"/>
      <c r="W575" s="13"/>
      <c r="X575" s="13"/>
      <c r="Y575" s="13"/>
      <c r="Z575" s="13"/>
      <c r="AA575" s="13"/>
      <c r="AB575" s="13"/>
      <c r="AC575" s="13"/>
    </row>
    <row r="576" ht="16.5" customHeight="1">
      <c r="A576" s="13"/>
      <c r="B576" s="13"/>
      <c r="C576" s="13"/>
      <c r="D576" s="13"/>
      <c r="E576" s="13"/>
      <c r="F576" s="13"/>
      <c r="G576" s="13"/>
      <c r="H576" s="13"/>
      <c r="I576" s="13"/>
      <c r="J576" s="13"/>
      <c r="K576" s="205"/>
      <c r="L576" s="13"/>
      <c r="M576" s="13"/>
      <c r="N576" s="13"/>
      <c r="O576" s="205"/>
      <c r="P576" s="13"/>
      <c r="Q576" s="13"/>
      <c r="R576" s="177"/>
      <c r="S576" s="35"/>
      <c r="T576" s="35"/>
      <c r="U576" s="13"/>
      <c r="V576" s="13"/>
      <c r="W576" s="13"/>
      <c r="X576" s="13"/>
      <c r="Y576" s="13"/>
      <c r="Z576" s="13"/>
      <c r="AA576" s="13"/>
      <c r="AB576" s="13"/>
      <c r="AC576" s="13"/>
    </row>
    <row r="577" ht="16.5" customHeight="1">
      <c r="A577" s="13"/>
      <c r="B577" s="13"/>
      <c r="C577" s="13"/>
      <c r="D577" s="13"/>
      <c r="E577" s="13"/>
      <c r="F577" s="13"/>
      <c r="G577" s="13"/>
      <c r="H577" s="13"/>
      <c r="I577" s="13"/>
      <c r="J577" s="13"/>
      <c r="K577" s="205"/>
      <c r="L577" s="13"/>
      <c r="M577" s="13"/>
      <c r="N577" s="13"/>
      <c r="O577" s="205"/>
      <c r="P577" s="13"/>
      <c r="Q577" s="13"/>
      <c r="R577" s="177"/>
      <c r="S577" s="35"/>
      <c r="T577" s="35"/>
      <c r="U577" s="13"/>
      <c r="V577" s="13"/>
      <c r="W577" s="13"/>
      <c r="X577" s="13"/>
      <c r="Y577" s="13"/>
      <c r="Z577" s="13"/>
      <c r="AA577" s="13"/>
      <c r="AB577" s="13"/>
      <c r="AC577" s="13"/>
    </row>
    <row r="578" ht="16.5" customHeight="1">
      <c r="A578" s="13"/>
      <c r="B578" s="13"/>
      <c r="C578" s="13"/>
      <c r="D578" s="13"/>
      <c r="E578" s="13"/>
      <c r="F578" s="13"/>
      <c r="G578" s="13"/>
      <c r="H578" s="13"/>
      <c r="I578" s="13"/>
      <c r="J578" s="13"/>
      <c r="K578" s="205"/>
      <c r="L578" s="13"/>
      <c r="M578" s="13"/>
      <c r="N578" s="13"/>
      <c r="O578" s="205"/>
      <c r="P578" s="13"/>
      <c r="Q578" s="13"/>
      <c r="R578" s="177"/>
      <c r="S578" s="35"/>
      <c r="T578" s="35"/>
      <c r="U578" s="13"/>
      <c r="V578" s="13"/>
      <c r="W578" s="13"/>
      <c r="X578" s="13"/>
      <c r="Y578" s="13"/>
      <c r="Z578" s="13"/>
      <c r="AA578" s="13"/>
      <c r="AB578" s="13"/>
      <c r="AC578" s="13"/>
    </row>
    <row r="579" ht="16.5" customHeight="1">
      <c r="A579" s="13"/>
      <c r="B579" s="13"/>
      <c r="C579" s="13"/>
      <c r="D579" s="13"/>
      <c r="E579" s="13"/>
      <c r="F579" s="13"/>
      <c r="G579" s="13"/>
      <c r="H579" s="13"/>
      <c r="I579" s="13"/>
      <c r="J579" s="13"/>
      <c r="K579" s="205"/>
      <c r="L579" s="13"/>
      <c r="M579" s="13"/>
      <c r="N579" s="13"/>
      <c r="O579" s="205"/>
      <c r="P579" s="13"/>
      <c r="Q579" s="13"/>
      <c r="R579" s="177"/>
      <c r="S579" s="35"/>
      <c r="T579" s="35"/>
      <c r="U579" s="13"/>
      <c r="V579" s="13"/>
      <c r="W579" s="13"/>
      <c r="X579" s="13"/>
      <c r="Y579" s="13"/>
      <c r="Z579" s="13"/>
      <c r="AA579" s="13"/>
      <c r="AB579" s="13"/>
      <c r="AC579" s="13"/>
    </row>
    <row r="580" ht="16.5" customHeight="1">
      <c r="A580" s="13"/>
      <c r="B580" s="13"/>
      <c r="C580" s="13"/>
      <c r="D580" s="13"/>
      <c r="E580" s="13"/>
      <c r="F580" s="13"/>
      <c r="G580" s="13"/>
      <c r="H580" s="13"/>
      <c r="I580" s="13"/>
      <c r="J580" s="13"/>
      <c r="K580" s="205"/>
      <c r="L580" s="13"/>
      <c r="M580" s="13"/>
      <c r="N580" s="13"/>
      <c r="O580" s="205"/>
      <c r="P580" s="13"/>
      <c r="Q580" s="13"/>
      <c r="R580" s="177"/>
      <c r="S580" s="35"/>
      <c r="T580" s="35"/>
      <c r="U580" s="13"/>
      <c r="V580" s="13"/>
      <c r="W580" s="13"/>
      <c r="X580" s="13"/>
      <c r="Y580" s="13"/>
      <c r="Z580" s="13"/>
      <c r="AA580" s="13"/>
      <c r="AB580" s="13"/>
      <c r="AC580" s="13"/>
    </row>
    <row r="581" ht="16.5" customHeight="1">
      <c r="A581" s="13"/>
      <c r="B581" s="13"/>
      <c r="C581" s="13"/>
      <c r="D581" s="13"/>
      <c r="E581" s="13"/>
      <c r="F581" s="13"/>
      <c r="G581" s="13"/>
      <c r="H581" s="13"/>
      <c r="I581" s="13"/>
      <c r="J581" s="13"/>
      <c r="K581" s="205"/>
      <c r="L581" s="13"/>
      <c r="M581" s="13"/>
      <c r="N581" s="13"/>
      <c r="O581" s="205"/>
      <c r="P581" s="13"/>
      <c r="Q581" s="13"/>
      <c r="R581" s="177"/>
      <c r="S581" s="35"/>
      <c r="T581" s="35"/>
      <c r="U581" s="13"/>
      <c r="V581" s="13"/>
      <c r="W581" s="13"/>
      <c r="X581" s="13"/>
      <c r="Y581" s="13"/>
      <c r="Z581" s="13"/>
      <c r="AA581" s="13"/>
      <c r="AB581" s="13"/>
      <c r="AC581" s="13"/>
    </row>
    <row r="582" ht="16.5" customHeight="1">
      <c r="A582" s="13"/>
      <c r="B582" s="13"/>
      <c r="C582" s="13"/>
      <c r="D582" s="13"/>
      <c r="E582" s="13"/>
      <c r="F582" s="13"/>
      <c r="G582" s="13"/>
      <c r="H582" s="13"/>
      <c r="I582" s="13"/>
      <c r="J582" s="13"/>
      <c r="K582" s="205"/>
      <c r="L582" s="13"/>
      <c r="M582" s="13"/>
      <c r="N582" s="13"/>
      <c r="O582" s="205"/>
      <c r="P582" s="13"/>
      <c r="Q582" s="13"/>
      <c r="R582" s="177"/>
      <c r="S582" s="35"/>
      <c r="T582" s="35"/>
      <c r="U582" s="13"/>
      <c r="V582" s="13"/>
      <c r="W582" s="13"/>
      <c r="X582" s="13"/>
      <c r="Y582" s="13"/>
      <c r="Z582" s="13"/>
      <c r="AA582" s="13"/>
      <c r="AB582" s="13"/>
      <c r="AC582" s="13"/>
    </row>
    <row r="583" ht="16.5" customHeight="1">
      <c r="A583" s="13"/>
      <c r="B583" s="13"/>
      <c r="C583" s="13"/>
      <c r="D583" s="13"/>
      <c r="E583" s="13"/>
      <c r="F583" s="13"/>
      <c r="G583" s="13"/>
      <c r="H583" s="13"/>
      <c r="I583" s="13"/>
      <c r="J583" s="13"/>
      <c r="K583" s="205"/>
      <c r="L583" s="13"/>
      <c r="M583" s="13"/>
      <c r="N583" s="13"/>
      <c r="O583" s="205"/>
      <c r="P583" s="13"/>
      <c r="Q583" s="13"/>
      <c r="R583" s="177"/>
      <c r="S583" s="35"/>
      <c r="T583" s="35"/>
      <c r="U583" s="13"/>
      <c r="V583" s="13"/>
      <c r="W583" s="13"/>
      <c r="X583" s="13"/>
      <c r="Y583" s="13"/>
      <c r="Z583" s="13"/>
      <c r="AA583" s="13"/>
      <c r="AB583" s="13"/>
      <c r="AC583" s="13"/>
    </row>
    <row r="584" ht="16.5" customHeight="1">
      <c r="A584" s="13"/>
      <c r="B584" s="13"/>
      <c r="C584" s="13"/>
      <c r="D584" s="13"/>
      <c r="E584" s="13"/>
      <c r="F584" s="13"/>
      <c r="G584" s="13"/>
      <c r="H584" s="13"/>
      <c r="I584" s="13"/>
      <c r="J584" s="13"/>
      <c r="K584" s="205"/>
      <c r="L584" s="13"/>
      <c r="M584" s="13"/>
      <c r="N584" s="13"/>
      <c r="O584" s="205"/>
      <c r="P584" s="13"/>
      <c r="Q584" s="13"/>
      <c r="R584" s="177"/>
      <c r="S584" s="35"/>
      <c r="T584" s="35"/>
      <c r="U584" s="13"/>
      <c r="V584" s="13"/>
      <c r="W584" s="13"/>
      <c r="X584" s="13"/>
      <c r="Y584" s="13"/>
      <c r="Z584" s="13"/>
      <c r="AA584" s="13"/>
      <c r="AB584" s="13"/>
      <c r="AC584" s="13"/>
    </row>
    <row r="585" ht="16.5" customHeight="1">
      <c r="A585" s="13"/>
      <c r="B585" s="13"/>
      <c r="C585" s="13"/>
      <c r="D585" s="13"/>
      <c r="E585" s="13"/>
      <c r="F585" s="13"/>
      <c r="G585" s="13"/>
      <c r="H585" s="13"/>
      <c r="I585" s="13"/>
      <c r="J585" s="13"/>
      <c r="K585" s="205"/>
      <c r="L585" s="13"/>
      <c r="M585" s="13"/>
      <c r="N585" s="13"/>
      <c r="O585" s="205"/>
      <c r="P585" s="13"/>
      <c r="Q585" s="13"/>
      <c r="R585" s="177"/>
      <c r="S585" s="35"/>
      <c r="T585" s="35"/>
      <c r="U585" s="13"/>
      <c r="V585" s="13"/>
      <c r="W585" s="13"/>
      <c r="X585" s="13"/>
      <c r="Y585" s="13"/>
      <c r="Z585" s="13"/>
      <c r="AA585" s="13"/>
      <c r="AB585" s="13"/>
      <c r="AC585" s="13"/>
    </row>
    <row r="586" ht="16.5" customHeight="1">
      <c r="A586" s="13"/>
      <c r="B586" s="13"/>
      <c r="C586" s="13"/>
      <c r="D586" s="13"/>
      <c r="E586" s="13"/>
      <c r="F586" s="13"/>
      <c r="G586" s="13"/>
      <c r="H586" s="13"/>
      <c r="I586" s="13"/>
      <c r="J586" s="13"/>
      <c r="K586" s="205"/>
      <c r="L586" s="13"/>
      <c r="M586" s="13"/>
      <c r="N586" s="13"/>
      <c r="O586" s="205"/>
      <c r="P586" s="13"/>
      <c r="Q586" s="13"/>
      <c r="R586" s="177"/>
      <c r="S586" s="35"/>
      <c r="T586" s="35"/>
      <c r="U586" s="13"/>
      <c r="V586" s="13"/>
      <c r="W586" s="13"/>
      <c r="X586" s="13"/>
      <c r="Y586" s="13"/>
      <c r="Z586" s="13"/>
      <c r="AA586" s="13"/>
      <c r="AB586" s="13"/>
      <c r="AC586" s="13"/>
    </row>
    <row r="587" ht="16.5" customHeight="1">
      <c r="A587" s="13"/>
      <c r="B587" s="13"/>
      <c r="C587" s="13"/>
      <c r="D587" s="13"/>
      <c r="E587" s="13"/>
      <c r="F587" s="13"/>
      <c r="G587" s="13"/>
      <c r="H587" s="13"/>
      <c r="I587" s="13"/>
      <c r="J587" s="13"/>
      <c r="K587" s="205"/>
      <c r="L587" s="13"/>
      <c r="M587" s="13"/>
      <c r="N587" s="13"/>
      <c r="O587" s="205"/>
      <c r="P587" s="13"/>
      <c r="Q587" s="13"/>
      <c r="R587" s="177"/>
      <c r="S587" s="35"/>
      <c r="T587" s="35"/>
      <c r="U587" s="13"/>
      <c r="V587" s="13"/>
      <c r="W587" s="13"/>
      <c r="X587" s="13"/>
      <c r="Y587" s="13"/>
      <c r="Z587" s="13"/>
      <c r="AA587" s="13"/>
      <c r="AB587" s="13"/>
      <c r="AC587" s="13"/>
    </row>
    <row r="588" ht="16.5" customHeight="1">
      <c r="A588" s="13"/>
      <c r="B588" s="13"/>
      <c r="C588" s="13"/>
      <c r="D588" s="13"/>
      <c r="E588" s="13"/>
      <c r="F588" s="13"/>
      <c r="G588" s="13"/>
      <c r="H588" s="13"/>
      <c r="I588" s="13"/>
      <c r="J588" s="13"/>
      <c r="K588" s="205"/>
      <c r="L588" s="13"/>
      <c r="M588" s="13"/>
      <c r="N588" s="13"/>
      <c r="O588" s="205"/>
      <c r="P588" s="13"/>
      <c r="Q588" s="13"/>
      <c r="R588" s="177"/>
      <c r="S588" s="35"/>
      <c r="T588" s="35"/>
      <c r="U588" s="13"/>
      <c r="V588" s="13"/>
      <c r="W588" s="13"/>
      <c r="X588" s="13"/>
      <c r="Y588" s="13"/>
      <c r="Z588" s="13"/>
      <c r="AA588" s="13"/>
      <c r="AB588" s="13"/>
      <c r="AC588" s="13"/>
    </row>
    <row r="589" ht="16.5" customHeight="1">
      <c r="A589" s="13"/>
      <c r="B589" s="13"/>
      <c r="C589" s="13"/>
      <c r="D589" s="13"/>
      <c r="E589" s="13"/>
      <c r="F589" s="13"/>
      <c r="G589" s="13"/>
      <c r="H589" s="13"/>
      <c r="I589" s="13"/>
      <c r="J589" s="13"/>
      <c r="K589" s="205"/>
      <c r="L589" s="13"/>
      <c r="M589" s="13"/>
      <c r="N589" s="13"/>
      <c r="O589" s="205"/>
      <c r="P589" s="13"/>
      <c r="Q589" s="13"/>
      <c r="R589" s="177"/>
      <c r="S589" s="35"/>
      <c r="T589" s="35"/>
      <c r="U589" s="13"/>
      <c r="V589" s="13"/>
      <c r="W589" s="13"/>
      <c r="X589" s="13"/>
      <c r="Y589" s="13"/>
      <c r="Z589" s="13"/>
      <c r="AA589" s="13"/>
      <c r="AB589" s="13"/>
      <c r="AC589" s="13"/>
    </row>
    <row r="590" ht="16.5" customHeight="1">
      <c r="A590" s="13"/>
      <c r="B590" s="13"/>
      <c r="C590" s="13"/>
      <c r="D590" s="13"/>
      <c r="E590" s="13"/>
      <c r="F590" s="13"/>
      <c r="G590" s="13"/>
      <c r="H590" s="13"/>
      <c r="I590" s="13"/>
      <c r="J590" s="13"/>
      <c r="K590" s="205"/>
      <c r="L590" s="13"/>
      <c r="M590" s="13"/>
      <c r="N590" s="13"/>
      <c r="O590" s="205"/>
      <c r="P590" s="13"/>
      <c r="Q590" s="13"/>
      <c r="R590" s="177"/>
      <c r="S590" s="35"/>
      <c r="T590" s="35"/>
      <c r="U590" s="13"/>
      <c r="V590" s="13"/>
      <c r="W590" s="13"/>
      <c r="X590" s="13"/>
      <c r="Y590" s="13"/>
      <c r="Z590" s="13"/>
      <c r="AA590" s="13"/>
      <c r="AB590" s="13"/>
      <c r="AC590" s="13"/>
    </row>
    <row r="591" ht="16.5" customHeight="1">
      <c r="A591" s="13"/>
      <c r="B591" s="13"/>
      <c r="C591" s="13"/>
      <c r="D591" s="13"/>
      <c r="E591" s="13"/>
      <c r="F591" s="13"/>
      <c r="G591" s="13"/>
      <c r="H591" s="13"/>
      <c r="I591" s="13"/>
      <c r="J591" s="13"/>
      <c r="K591" s="205"/>
      <c r="L591" s="13"/>
      <c r="M591" s="13"/>
      <c r="N591" s="13"/>
      <c r="O591" s="205"/>
      <c r="P591" s="13"/>
      <c r="Q591" s="13"/>
      <c r="R591" s="177"/>
      <c r="S591" s="35"/>
      <c r="T591" s="35"/>
      <c r="U591" s="13"/>
      <c r="V591" s="13"/>
      <c r="W591" s="13"/>
      <c r="X591" s="13"/>
      <c r="Y591" s="13"/>
      <c r="Z591" s="13"/>
      <c r="AA591" s="13"/>
      <c r="AB591" s="13"/>
      <c r="AC591" s="13"/>
    </row>
    <row r="592" ht="16.5" customHeight="1">
      <c r="A592" s="13"/>
      <c r="B592" s="13"/>
      <c r="C592" s="13"/>
      <c r="D592" s="13"/>
      <c r="E592" s="13"/>
      <c r="F592" s="13"/>
      <c r="G592" s="13"/>
      <c r="H592" s="13"/>
      <c r="I592" s="13"/>
      <c r="J592" s="13"/>
      <c r="K592" s="205"/>
      <c r="L592" s="13"/>
      <c r="M592" s="13"/>
      <c r="N592" s="13"/>
      <c r="O592" s="205"/>
      <c r="P592" s="13"/>
      <c r="Q592" s="13"/>
      <c r="R592" s="177"/>
      <c r="S592" s="35"/>
      <c r="T592" s="35"/>
      <c r="U592" s="13"/>
      <c r="V592" s="13"/>
      <c r="W592" s="13"/>
      <c r="X592" s="13"/>
      <c r="Y592" s="13"/>
      <c r="Z592" s="13"/>
      <c r="AA592" s="13"/>
      <c r="AB592" s="13"/>
      <c r="AC592" s="13"/>
    </row>
    <row r="593" ht="16.5" customHeight="1">
      <c r="A593" s="13"/>
      <c r="B593" s="13"/>
      <c r="C593" s="13"/>
      <c r="D593" s="13"/>
      <c r="E593" s="13"/>
      <c r="F593" s="13"/>
      <c r="G593" s="13"/>
      <c r="H593" s="13"/>
      <c r="I593" s="13"/>
      <c r="J593" s="13"/>
      <c r="K593" s="205"/>
      <c r="L593" s="13"/>
      <c r="M593" s="13"/>
      <c r="N593" s="13"/>
      <c r="O593" s="205"/>
      <c r="P593" s="13"/>
      <c r="Q593" s="13"/>
      <c r="R593" s="177"/>
      <c r="S593" s="35"/>
      <c r="T593" s="35"/>
      <c r="U593" s="13"/>
      <c r="V593" s="13"/>
      <c r="W593" s="13"/>
      <c r="X593" s="13"/>
      <c r="Y593" s="13"/>
      <c r="Z593" s="13"/>
      <c r="AA593" s="13"/>
      <c r="AB593" s="13"/>
      <c r="AC593" s="13"/>
    </row>
    <row r="594" ht="16.5" customHeight="1">
      <c r="A594" s="13"/>
      <c r="B594" s="13"/>
      <c r="C594" s="13"/>
      <c r="D594" s="13"/>
      <c r="E594" s="13"/>
      <c r="F594" s="13"/>
      <c r="G594" s="13"/>
      <c r="H594" s="13"/>
      <c r="I594" s="13"/>
      <c r="J594" s="13"/>
      <c r="K594" s="205"/>
      <c r="L594" s="13"/>
      <c r="M594" s="13"/>
      <c r="N594" s="13"/>
      <c r="O594" s="205"/>
      <c r="P594" s="13"/>
      <c r="Q594" s="13"/>
      <c r="R594" s="177"/>
      <c r="S594" s="35"/>
      <c r="T594" s="35"/>
      <c r="U594" s="13"/>
      <c r="V594" s="13"/>
      <c r="W594" s="13"/>
      <c r="X594" s="13"/>
      <c r="Y594" s="13"/>
      <c r="Z594" s="13"/>
      <c r="AA594" s="13"/>
      <c r="AB594" s="13"/>
      <c r="AC594" s="13"/>
    </row>
    <row r="595" ht="16.5" customHeight="1">
      <c r="A595" s="13"/>
      <c r="B595" s="13"/>
      <c r="C595" s="13"/>
      <c r="D595" s="13"/>
      <c r="E595" s="13"/>
      <c r="F595" s="13"/>
      <c r="G595" s="13"/>
      <c r="H595" s="13"/>
      <c r="I595" s="13"/>
      <c r="J595" s="13"/>
      <c r="K595" s="205"/>
      <c r="L595" s="13"/>
      <c r="M595" s="13"/>
      <c r="N595" s="13"/>
      <c r="O595" s="205"/>
      <c r="P595" s="13"/>
      <c r="Q595" s="13"/>
      <c r="R595" s="177"/>
      <c r="S595" s="35"/>
      <c r="T595" s="35"/>
      <c r="U595" s="13"/>
      <c r="V595" s="13"/>
      <c r="W595" s="13"/>
      <c r="X595" s="13"/>
      <c r="Y595" s="13"/>
      <c r="Z595" s="13"/>
      <c r="AA595" s="13"/>
      <c r="AB595" s="13"/>
      <c r="AC595" s="13"/>
    </row>
    <row r="596" ht="16.5" customHeight="1">
      <c r="A596" s="13"/>
      <c r="B596" s="13"/>
      <c r="C596" s="13"/>
      <c r="D596" s="13"/>
      <c r="E596" s="13"/>
      <c r="F596" s="13"/>
      <c r="G596" s="13"/>
      <c r="H596" s="13"/>
      <c r="I596" s="13"/>
      <c r="J596" s="13"/>
      <c r="K596" s="205"/>
      <c r="L596" s="13"/>
      <c r="M596" s="13"/>
      <c r="N596" s="13"/>
      <c r="O596" s="205"/>
      <c r="P596" s="13"/>
      <c r="Q596" s="13"/>
      <c r="R596" s="177"/>
      <c r="S596" s="35"/>
      <c r="T596" s="35"/>
      <c r="U596" s="13"/>
      <c r="V596" s="13"/>
      <c r="W596" s="13"/>
      <c r="X596" s="13"/>
      <c r="Y596" s="13"/>
      <c r="Z596" s="13"/>
      <c r="AA596" s="13"/>
      <c r="AB596" s="13"/>
      <c r="AC596" s="13"/>
    </row>
    <row r="597" ht="16.5" customHeight="1">
      <c r="A597" s="13"/>
      <c r="B597" s="13"/>
      <c r="C597" s="13"/>
      <c r="D597" s="13"/>
      <c r="E597" s="13"/>
      <c r="F597" s="13"/>
      <c r="G597" s="13"/>
      <c r="H597" s="13"/>
      <c r="I597" s="13"/>
      <c r="J597" s="13"/>
      <c r="K597" s="205"/>
      <c r="L597" s="13"/>
      <c r="M597" s="13"/>
      <c r="N597" s="13"/>
      <c r="O597" s="205"/>
      <c r="P597" s="13"/>
      <c r="Q597" s="13"/>
      <c r="R597" s="177"/>
      <c r="S597" s="35"/>
      <c r="T597" s="35"/>
      <c r="U597" s="13"/>
      <c r="V597" s="13"/>
      <c r="W597" s="13"/>
      <c r="X597" s="13"/>
      <c r="Y597" s="13"/>
      <c r="Z597" s="13"/>
      <c r="AA597" s="13"/>
      <c r="AB597" s="13"/>
      <c r="AC597" s="13"/>
    </row>
    <row r="598" ht="16.5" customHeight="1">
      <c r="A598" s="13"/>
      <c r="B598" s="13"/>
      <c r="C598" s="13"/>
      <c r="D598" s="13"/>
      <c r="E598" s="13"/>
      <c r="F598" s="13"/>
      <c r="G598" s="13"/>
      <c r="H598" s="13"/>
      <c r="I598" s="13"/>
      <c r="J598" s="13"/>
      <c r="K598" s="205"/>
      <c r="L598" s="13"/>
      <c r="M598" s="13"/>
      <c r="N598" s="13"/>
      <c r="O598" s="205"/>
      <c r="P598" s="13"/>
      <c r="Q598" s="13"/>
      <c r="R598" s="177"/>
      <c r="S598" s="35"/>
      <c r="T598" s="35"/>
      <c r="U598" s="13"/>
      <c r="V598" s="13"/>
      <c r="W598" s="13"/>
      <c r="X598" s="13"/>
      <c r="Y598" s="13"/>
      <c r="Z598" s="13"/>
      <c r="AA598" s="13"/>
      <c r="AB598" s="13"/>
      <c r="AC598" s="13"/>
    </row>
    <row r="599" ht="16.5" customHeight="1">
      <c r="A599" s="13"/>
      <c r="B599" s="13"/>
      <c r="C599" s="13"/>
      <c r="D599" s="13"/>
      <c r="E599" s="13"/>
      <c r="F599" s="13"/>
      <c r="G599" s="13"/>
      <c r="H599" s="13"/>
      <c r="I599" s="13"/>
      <c r="J599" s="13"/>
      <c r="K599" s="205"/>
      <c r="L599" s="13"/>
      <c r="M599" s="13"/>
      <c r="N599" s="13"/>
      <c r="O599" s="205"/>
      <c r="P599" s="13"/>
      <c r="Q599" s="13"/>
      <c r="R599" s="177"/>
      <c r="S599" s="35"/>
      <c r="T599" s="35"/>
      <c r="U599" s="13"/>
      <c r="V599" s="13"/>
      <c r="W599" s="13"/>
      <c r="X599" s="13"/>
      <c r="Y599" s="13"/>
      <c r="Z599" s="13"/>
      <c r="AA599" s="13"/>
      <c r="AB599" s="13"/>
      <c r="AC599" s="13"/>
    </row>
    <row r="600" ht="16.5" customHeight="1">
      <c r="A600" s="13"/>
      <c r="B600" s="13"/>
      <c r="C600" s="13"/>
      <c r="D600" s="13"/>
      <c r="E600" s="13"/>
      <c r="F600" s="13"/>
      <c r="G600" s="13"/>
      <c r="H600" s="13"/>
      <c r="I600" s="13"/>
      <c r="J600" s="13"/>
      <c r="K600" s="205"/>
      <c r="L600" s="13"/>
      <c r="M600" s="13"/>
      <c r="N600" s="13"/>
      <c r="O600" s="205"/>
      <c r="P600" s="13"/>
      <c r="Q600" s="13"/>
      <c r="R600" s="177"/>
      <c r="S600" s="35"/>
      <c r="T600" s="35"/>
      <c r="U600" s="13"/>
      <c r="V600" s="13"/>
      <c r="W600" s="13"/>
      <c r="X600" s="13"/>
      <c r="Y600" s="13"/>
      <c r="Z600" s="13"/>
      <c r="AA600" s="13"/>
      <c r="AB600" s="13"/>
      <c r="AC600" s="13"/>
    </row>
    <row r="601" ht="16.5" customHeight="1">
      <c r="A601" s="13"/>
      <c r="B601" s="13"/>
      <c r="C601" s="13"/>
      <c r="D601" s="13"/>
      <c r="E601" s="13"/>
      <c r="F601" s="13"/>
      <c r="G601" s="13"/>
      <c r="H601" s="13"/>
      <c r="I601" s="13"/>
      <c r="J601" s="13"/>
      <c r="K601" s="205"/>
      <c r="L601" s="13"/>
      <c r="M601" s="13"/>
      <c r="N601" s="13"/>
      <c r="O601" s="205"/>
      <c r="P601" s="13"/>
      <c r="Q601" s="13"/>
      <c r="R601" s="177"/>
      <c r="S601" s="35"/>
      <c r="T601" s="35"/>
      <c r="U601" s="13"/>
      <c r="V601" s="13"/>
      <c r="W601" s="13"/>
      <c r="X601" s="13"/>
      <c r="Y601" s="13"/>
      <c r="Z601" s="13"/>
      <c r="AA601" s="13"/>
      <c r="AB601" s="13"/>
      <c r="AC601" s="13"/>
    </row>
    <row r="602" ht="16.5" customHeight="1">
      <c r="A602" s="13"/>
      <c r="B602" s="13"/>
      <c r="C602" s="13"/>
      <c r="D602" s="13"/>
      <c r="E602" s="13"/>
      <c r="F602" s="13"/>
      <c r="G602" s="13"/>
      <c r="H602" s="13"/>
      <c r="I602" s="13"/>
      <c r="J602" s="13"/>
      <c r="K602" s="205"/>
      <c r="L602" s="13"/>
      <c r="M602" s="13"/>
      <c r="N602" s="13"/>
      <c r="O602" s="205"/>
      <c r="P602" s="13"/>
      <c r="Q602" s="13"/>
      <c r="R602" s="177"/>
      <c r="S602" s="35"/>
      <c r="T602" s="35"/>
      <c r="U602" s="13"/>
      <c r="V602" s="13"/>
      <c r="W602" s="13"/>
      <c r="X602" s="13"/>
      <c r="Y602" s="13"/>
      <c r="Z602" s="13"/>
      <c r="AA602" s="13"/>
      <c r="AB602" s="13"/>
      <c r="AC602" s="13"/>
    </row>
    <row r="603" ht="16.5" customHeight="1">
      <c r="A603" s="13"/>
      <c r="B603" s="13"/>
      <c r="C603" s="13"/>
      <c r="D603" s="13"/>
      <c r="E603" s="13"/>
      <c r="F603" s="13"/>
      <c r="G603" s="13"/>
      <c r="H603" s="13"/>
      <c r="I603" s="13"/>
      <c r="J603" s="13"/>
      <c r="K603" s="205"/>
      <c r="L603" s="13"/>
      <c r="M603" s="13"/>
      <c r="N603" s="13"/>
      <c r="O603" s="205"/>
      <c r="P603" s="13"/>
      <c r="Q603" s="13"/>
      <c r="R603" s="177"/>
      <c r="S603" s="35"/>
      <c r="T603" s="35"/>
      <c r="U603" s="13"/>
      <c r="V603" s="13"/>
      <c r="W603" s="13"/>
      <c r="X603" s="13"/>
      <c r="Y603" s="13"/>
      <c r="Z603" s="13"/>
      <c r="AA603" s="13"/>
      <c r="AB603" s="13"/>
      <c r="AC603" s="13"/>
    </row>
    <row r="604" ht="16.5" customHeight="1">
      <c r="A604" s="13"/>
      <c r="B604" s="13"/>
      <c r="C604" s="13"/>
      <c r="D604" s="13"/>
      <c r="E604" s="13"/>
      <c r="F604" s="13"/>
      <c r="G604" s="13"/>
      <c r="H604" s="13"/>
      <c r="I604" s="13"/>
      <c r="J604" s="13"/>
      <c r="K604" s="205"/>
      <c r="L604" s="13"/>
      <c r="M604" s="13"/>
      <c r="N604" s="13"/>
      <c r="O604" s="205"/>
      <c r="P604" s="13"/>
      <c r="Q604" s="13"/>
      <c r="R604" s="177"/>
      <c r="S604" s="35"/>
      <c r="T604" s="35"/>
      <c r="U604" s="13"/>
      <c r="V604" s="13"/>
      <c r="W604" s="13"/>
      <c r="X604" s="13"/>
      <c r="Y604" s="13"/>
      <c r="Z604" s="13"/>
      <c r="AA604" s="13"/>
      <c r="AB604" s="13"/>
      <c r="AC604" s="13"/>
    </row>
    <row r="605" ht="16.5" customHeight="1">
      <c r="A605" s="13"/>
      <c r="B605" s="13"/>
      <c r="C605" s="13"/>
      <c r="D605" s="13"/>
      <c r="E605" s="13"/>
      <c r="F605" s="13"/>
      <c r="G605" s="13"/>
      <c r="H605" s="13"/>
      <c r="I605" s="13"/>
      <c r="J605" s="13"/>
      <c r="K605" s="205"/>
      <c r="L605" s="13"/>
      <c r="M605" s="13"/>
      <c r="N605" s="13"/>
      <c r="O605" s="205"/>
      <c r="P605" s="13"/>
      <c r="Q605" s="13"/>
      <c r="R605" s="177"/>
      <c r="S605" s="35"/>
      <c r="T605" s="35"/>
      <c r="U605" s="13"/>
      <c r="V605" s="13"/>
      <c r="W605" s="13"/>
      <c r="X605" s="13"/>
      <c r="Y605" s="13"/>
      <c r="Z605" s="13"/>
      <c r="AA605" s="13"/>
      <c r="AB605" s="13"/>
      <c r="AC605" s="13"/>
    </row>
    <row r="606" ht="16.5" customHeight="1">
      <c r="A606" s="13"/>
      <c r="B606" s="13"/>
      <c r="C606" s="13"/>
      <c r="D606" s="13"/>
      <c r="E606" s="13"/>
      <c r="F606" s="13"/>
      <c r="G606" s="13"/>
      <c r="H606" s="13"/>
      <c r="I606" s="13"/>
      <c r="J606" s="13"/>
      <c r="K606" s="205"/>
      <c r="L606" s="13"/>
      <c r="M606" s="13"/>
      <c r="N606" s="13"/>
      <c r="O606" s="205"/>
      <c r="P606" s="13"/>
      <c r="Q606" s="13"/>
      <c r="R606" s="177"/>
      <c r="S606" s="35"/>
      <c r="T606" s="35"/>
      <c r="U606" s="13"/>
      <c r="V606" s="13"/>
      <c r="W606" s="13"/>
      <c r="X606" s="13"/>
      <c r="Y606" s="13"/>
      <c r="Z606" s="13"/>
      <c r="AA606" s="13"/>
      <c r="AB606" s="13"/>
      <c r="AC606" s="13"/>
    </row>
    <row r="607" ht="16.5" customHeight="1">
      <c r="A607" s="13"/>
      <c r="B607" s="13"/>
      <c r="C607" s="13"/>
      <c r="D607" s="13"/>
      <c r="E607" s="13"/>
      <c r="F607" s="13"/>
      <c r="G607" s="13"/>
      <c r="H607" s="13"/>
      <c r="I607" s="13"/>
      <c r="J607" s="13"/>
      <c r="K607" s="205"/>
      <c r="L607" s="13"/>
      <c r="M607" s="13"/>
      <c r="N607" s="13"/>
      <c r="O607" s="205"/>
      <c r="P607" s="13"/>
      <c r="Q607" s="13"/>
      <c r="R607" s="177"/>
      <c r="S607" s="35"/>
      <c r="T607" s="35"/>
      <c r="U607" s="13"/>
      <c r="V607" s="13"/>
      <c r="W607" s="13"/>
      <c r="X607" s="13"/>
      <c r="Y607" s="13"/>
      <c r="Z607" s="13"/>
      <c r="AA607" s="13"/>
      <c r="AB607" s="13"/>
      <c r="AC607" s="13"/>
    </row>
    <row r="608" ht="16.5" customHeight="1">
      <c r="A608" s="13"/>
      <c r="B608" s="13"/>
      <c r="C608" s="13"/>
      <c r="D608" s="13"/>
      <c r="E608" s="13"/>
      <c r="F608" s="13"/>
      <c r="G608" s="13"/>
      <c r="H608" s="13"/>
      <c r="I608" s="13"/>
      <c r="J608" s="13"/>
      <c r="K608" s="205"/>
      <c r="L608" s="13"/>
      <c r="M608" s="13"/>
      <c r="N608" s="13"/>
      <c r="O608" s="205"/>
      <c r="P608" s="13"/>
      <c r="Q608" s="13"/>
      <c r="R608" s="177"/>
      <c r="S608" s="35"/>
      <c r="T608" s="35"/>
      <c r="U608" s="13"/>
      <c r="V608" s="13"/>
      <c r="W608" s="13"/>
      <c r="X608" s="13"/>
      <c r="Y608" s="13"/>
      <c r="Z608" s="13"/>
      <c r="AA608" s="13"/>
      <c r="AB608" s="13"/>
      <c r="AC608" s="13"/>
    </row>
    <row r="609" ht="16.5" customHeight="1">
      <c r="A609" s="13"/>
      <c r="B609" s="13"/>
      <c r="C609" s="13"/>
      <c r="D609" s="13"/>
      <c r="E609" s="13"/>
      <c r="F609" s="13"/>
      <c r="G609" s="13"/>
      <c r="H609" s="13"/>
      <c r="I609" s="13"/>
      <c r="J609" s="13"/>
      <c r="K609" s="205"/>
      <c r="L609" s="13"/>
      <c r="M609" s="13"/>
      <c r="N609" s="13"/>
      <c r="O609" s="205"/>
      <c r="P609" s="13"/>
      <c r="Q609" s="13"/>
      <c r="R609" s="177"/>
      <c r="S609" s="35"/>
      <c r="T609" s="35"/>
      <c r="U609" s="13"/>
      <c r="V609" s="13"/>
      <c r="W609" s="13"/>
      <c r="X609" s="13"/>
      <c r="Y609" s="13"/>
      <c r="Z609" s="13"/>
      <c r="AA609" s="13"/>
      <c r="AB609" s="13"/>
      <c r="AC609" s="13"/>
    </row>
    <row r="610" ht="16.5" customHeight="1">
      <c r="A610" s="13"/>
      <c r="B610" s="13"/>
      <c r="C610" s="13"/>
      <c r="D610" s="13"/>
      <c r="E610" s="13"/>
      <c r="F610" s="13"/>
      <c r="G610" s="13"/>
      <c r="H610" s="13"/>
      <c r="I610" s="13"/>
      <c r="J610" s="13"/>
      <c r="K610" s="205"/>
      <c r="L610" s="13"/>
      <c r="M610" s="13"/>
      <c r="N610" s="13"/>
      <c r="O610" s="205"/>
      <c r="P610" s="13"/>
      <c r="Q610" s="13"/>
      <c r="R610" s="177"/>
      <c r="S610" s="35"/>
      <c r="T610" s="35"/>
      <c r="U610" s="13"/>
      <c r="V610" s="13"/>
      <c r="W610" s="13"/>
      <c r="X610" s="13"/>
      <c r="Y610" s="13"/>
      <c r="Z610" s="13"/>
      <c r="AA610" s="13"/>
      <c r="AB610" s="13"/>
      <c r="AC610" s="13"/>
    </row>
    <row r="611" ht="16.5" customHeight="1">
      <c r="A611" s="13"/>
      <c r="B611" s="13"/>
      <c r="C611" s="13"/>
      <c r="D611" s="13"/>
      <c r="E611" s="13"/>
      <c r="F611" s="13"/>
      <c r="G611" s="13"/>
      <c r="H611" s="13"/>
      <c r="I611" s="13"/>
      <c r="J611" s="13"/>
      <c r="K611" s="205"/>
      <c r="L611" s="13"/>
      <c r="M611" s="13"/>
      <c r="N611" s="13"/>
      <c r="O611" s="205"/>
      <c r="P611" s="13"/>
      <c r="Q611" s="13"/>
      <c r="R611" s="177"/>
      <c r="S611" s="35"/>
      <c r="T611" s="35"/>
      <c r="U611" s="13"/>
      <c r="V611" s="13"/>
      <c r="W611" s="13"/>
      <c r="X611" s="13"/>
      <c r="Y611" s="13"/>
      <c r="Z611" s="13"/>
      <c r="AA611" s="13"/>
      <c r="AB611" s="13"/>
      <c r="AC611" s="13"/>
    </row>
    <row r="612" ht="16.5" customHeight="1">
      <c r="A612" s="13"/>
      <c r="B612" s="13"/>
      <c r="C612" s="13"/>
      <c r="D612" s="13"/>
      <c r="E612" s="13"/>
      <c r="F612" s="13"/>
      <c r="G612" s="13"/>
      <c r="H612" s="13"/>
      <c r="I612" s="13"/>
      <c r="J612" s="13"/>
      <c r="K612" s="205"/>
      <c r="L612" s="13"/>
      <c r="M612" s="13"/>
      <c r="N612" s="13"/>
      <c r="O612" s="205"/>
      <c r="P612" s="13"/>
      <c r="Q612" s="13"/>
      <c r="R612" s="177"/>
      <c r="S612" s="35"/>
      <c r="T612" s="35"/>
      <c r="U612" s="13"/>
      <c r="V612" s="13"/>
      <c r="W612" s="13"/>
      <c r="X612" s="13"/>
      <c r="Y612" s="13"/>
      <c r="Z612" s="13"/>
      <c r="AA612" s="13"/>
      <c r="AB612" s="13"/>
      <c r="AC612" s="13"/>
    </row>
    <row r="613" ht="16.5" customHeight="1">
      <c r="A613" s="13"/>
      <c r="B613" s="13"/>
      <c r="C613" s="13"/>
      <c r="D613" s="13"/>
      <c r="E613" s="13"/>
      <c r="F613" s="13"/>
      <c r="G613" s="13"/>
      <c r="H613" s="13"/>
      <c r="I613" s="13"/>
      <c r="J613" s="13"/>
      <c r="K613" s="205"/>
      <c r="L613" s="13"/>
      <c r="M613" s="13"/>
      <c r="N613" s="13"/>
      <c r="O613" s="205"/>
      <c r="P613" s="13"/>
      <c r="Q613" s="13"/>
      <c r="R613" s="177"/>
      <c r="S613" s="35"/>
      <c r="T613" s="35"/>
      <c r="U613" s="13"/>
      <c r="V613" s="13"/>
      <c r="W613" s="13"/>
      <c r="X613" s="13"/>
      <c r="Y613" s="13"/>
      <c r="Z613" s="13"/>
      <c r="AA613" s="13"/>
      <c r="AB613" s="13"/>
      <c r="AC613" s="13"/>
    </row>
    <row r="614" ht="16.5" customHeight="1">
      <c r="A614" s="13"/>
      <c r="B614" s="13"/>
      <c r="C614" s="13"/>
      <c r="D614" s="13"/>
      <c r="E614" s="13"/>
      <c r="F614" s="13"/>
      <c r="G614" s="13"/>
      <c r="H614" s="13"/>
      <c r="I614" s="13"/>
      <c r="J614" s="13"/>
      <c r="K614" s="205"/>
      <c r="L614" s="13"/>
      <c r="M614" s="13"/>
      <c r="N614" s="13"/>
      <c r="O614" s="205"/>
      <c r="P614" s="13"/>
      <c r="Q614" s="13"/>
      <c r="R614" s="177"/>
      <c r="S614" s="35"/>
      <c r="T614" s="35"/>
      <c r="U614" s="13"/>
      <c r="V614" s="13"/>
      <c r="W614" s="13"/>
      <c r="X614" s="13"/>
      <c r="Y614" s="13"/>
      <c r="Z614" s="13"/>
      <c r="AA614" s="13"/>
      <c r="AB614" s="13"/>
      <c r="AC614" s="13"/>
    </row>
    <row r="615" ht="16.5" customHeight="1">
      <c r="A615" s="13"/>
      <c r="B615" s="13"/>
      <c r="C615" s="13"/>
      <c r="D615" s="13"/>
      <c r="E615" s="13"/>
      <c r="F615" s="13"/>
      <c r="G615" s="13"/>
      <c r="H615" s="13"/>
      <c r="I615" s="13"/>
      <c r="J615" s="13"/>
      <c r="K615" s="205"/>
      <c r="L615" s="13"/>
      <c r="M615" s="13"/>
      <c r="N615" s="13"/>
      <c r="O615" s="205"/>
      <c r="P615" s="13"/>
      <c r="Q615" s="13"/>
      <c r="R615" s="177"/>
      <c r="S615" s="35"/>
      <c r="T615" s="35"/>
      <c r="U615" s="13"/>
      <c r="V615" s="13"/>
      <c r="W615" s="13"/>
      <c r="X615" s="13"/>
      <c r="Y615" s="13"/>
      <c r="Z615" s="13"/>
      <c r="AA615" s="13"/>
      <c r="AB615" s="13"/>
      <c r="AC615" s="13"/>
    </row>
    <row r="616" ht="16.5" customHeight="1">
      <c r="A616" s="13"/>
      <c r="B616" s="13"/>
      <c r="C616" s="13"/>
      <c r="D616" s="13"/>
      <c r="E616" s="13"/>
      <c r="F616" s="13"/>
      <c r="G616" s="13"/>
      <c r="H616" s="13"/>
      <c r="I616" s="13"/>
      <c r="J616" s="13"/>
      <c r="K616" s="205"/>
      <c r="L616" s="13"/>
      <c r="M616" s="13"/>
      <c r="N616" s="13"/>
      <c r="O616" s="205"/>
      <c r="P616" s="13"/>
      <c r="Q616" s="13"/>
      <c r="R616" s="177"/>
      <c r="S616" s="35"/>
      <c r="T616" s="35"/>
      <c r="U616" s="13"/>
      <c r="V616" s="13"/>
      <c r="W616" s="13"/>
      <c r="X616" s="13"/>
      <c r="Y616" s="13"/>
      <c r="Z616" s="13"/>
      <c r="AA616" s="13"/>
      <c r="AB616" s="13"/>
      <c r="AC616" s="13"/>
    </row>
    <row r="617" ht="16.5" customHeight="1">
      <c r="A617" s="13"/>
      <c r="B617" s="13"/>
      <c r="C617" s="13"/>
      <c r="D617" s="13"/>
      <c r="E617" s="13"/>
      <c r="F617" s="13"/>
      <c r="G617" s="13"/>
      <c r="H617" s="13"/>
      <c r="I617" s="13"/>
      <c r="J617" s="13"/>
      <c r="K617" s="205"/>
      <c r="L617" s="13"/>
      <c r="M617" s="13"/>
      <c r="N617" s="13"/>
      <c r="O617" s="205"/>
      <c r="P617" s="13"/>
      <c r="Q617" s="13"/>
      <c r="R617" s="177"/>
      <c r="S617" s="35"/>
      <c r="T617" s="35"/>
      <c r="U617" s="13"/>
      <c r="V617" s="13"/>
      <c r="W617" s="13"/>
      <c r="X617" s="13"/>
      <c r="Y617" s="13"/>
      <c r="Z617" s="13"/>
      <c r="AA617" s="13"/>
      <c r="AB617" s="13"/>
      <c r="AC617" s="13"/>
    </row>
    <row r="618" ht="16.5" customHeight="1">
      <c r="A618" s="13"/>
      <c r="B618" s="13"/>
      <c r="C618" s="13"/>
      <c r="D618" s="13"/>
      <c r="E618" s="13"/>
      <c r="F618" s="13"/>
      <c r="G618" s="13"/>
      <c r="H618" s="13"/>
      <c r="I618" s="13"/>
      <c r="J618" s="13"/>
      <c r="K618" s="205"/>
      <c r="L618" s="13"/>
      <c r="M618" s="13"/>
      <c r="N618" s="13"/>
      <c r="O618" s="205"/>
      <c r="P618" s="13"/>
      <c r="Q618" s="13"/>
      <c r="R618" s="177"/>
      <c r="S618" s="35"/>
      <c r="T618" s="35"/>
      <c r="U618" s="13"/>
      <c r="V618" s="13"/>
      <c r="W618" s="13"/>
      <c r="X618" s="13"/>
      <c r="Y618" s="13"/>
      <c r="Z618" s="13"/>
      <c r="AA618" s="13"/>
      <c r="AB618" s="13"/>
      <c r="AC618" s="13"/>
    </row>
    <row r="619" ht="16.5" customHeight="1">
      <c r="A619" s="13"/>
      <c r="B619" s="13"/>
      <c r="C619" s="13"/>
      <c r="D619" s="13"/>
      <c r="E619" s="13"/>
      <c r="F619" s="13"/>
      <c r="G619" s="13"/>
      <c r="H619" s="13"/>
      <c r="I619" s="13"/>
      <c r="J619" s="13"/>
      <c r="K619" s="205"/>
      <c r="L619" s="13"/>
      <c r="M619" s="13"/>
      <c r="N619" s="13"/>
      <c r="O619" s="205"/>
      <c r="P619" s="13"/>
      <c r="Q619" s="13"/>
      <c r="R619" s="177"/>
      <c r="S619" s="35"/>
      <c r="T619" s="35"/>
      <c r="U619" s="13"/>
      <c r="V619" s="13"/>
      <c r="W619" s="13"/>
      <c r="X619" s="13"/>
      <c r="Y619" s="13"/>
      <c r="Z619" s="13"/>
      <c r="AA619" s="13"/>
      <c r="AB619" s="13"/>
      <c r="AC619" s="13"/>
    </row>
    <row r="620" ht="16.5" customHeight="1">
      <c r="A620" s="13"/>
      <c r="B620" s="13"/>
      <c r="C620" s="13"/>
      <c r="D620" s="13"/>
      <c r="E620" s="13"/>
      <c r="F620" s="13"/>
      <c r="G620" s="13"/>
      <c r="H620" s="13"/>
      <c r="I620" s="13"/>
      <c r="J620" s="13"/>
      <c r="K620" s="205"/>
      <c r="L620" s="13"/>
      <c r="M620" s="13"/>
      <c r="N620" s="13"/>
      <c r="O620" s="205"/>
      <c r="P620" s="13"/>
      <c r="Q620" s="13"/>
      <c r="R620" s="177"/>
      <c r="S620" s="35"/>
      <c r="T620" s="35"/>
      <c r="U620" s="13"/>
      <c r="V620" s="13"/>
      <c r="W620" s="13"/>
      <c r="X620" s="13"/>
      <c r="Y620" s="13"/>
      <c r="Z620" s="13"/>
      <c r="AA620" s="13"/>
      <c r="AB620" s="13"/>
      <c r="AC620" s="13"/>
    </row>
    <row r="621" ht="16.5" customHeight="1">
      <c r="A621" s="13"/>
      <c r="B621" s="13"/>
      <c r="C621" s="13"/>
      <c r="D621" s="13"/>
      <c r="E621" s="13"/>
      <c r="F621" s="13"/>
      <c r="G621" s="13"/>
      <c r="H621" s="13"/>
      <c r="I621" s="13"/>
      <c r="J621" s="13"/>
      <c r="K621" s="205"/>
      <c r="L621" s="13"/>
      <c r="M621" s="13"/>
      <c r="N621" s="13"/>
      <c r="O621" s="205"/>
      <c r="P621" s="13"/>
      <c r="Q621" s="13"/>
      <c r="R621" s="177"/>
      <c r="S621" s="35"/>
      <c r="T621" s="35"/>
      <c r="U621" s="13"/>
      <c r="V621" s="13"/>
      <c r="W621" s="13"/>
      <c r="X621" s="13"/>
      <c r="Y621" s="13"/>
      <c r="Z621" s="13"/>
      <c r="AA621" s="13"/>
      <c r="AB621" s="13"/>
      <c r="AC621" s="13"/>
    </row>
    <row r="622" ht="16.5" customHeight="1">
      <c r="A622" s="13"/>
      <c r="B622" s="13"/>
      <c r="C622" s="13"/>
      <c r="D622" s="13"/>
      <c r="E622" s="13"/>
      <c r="F622" s="13"/>
      <c r="G622" s="13"/>
      <c r="H622" s="13"/>
      <c r="I622" s="13"/>
      <c r="J622" s="13"/>
      <c r="K622" s="205"/>
      <c r="L622" s="13"/>
      <c r="M622" s="13"/>
      <c r="N622" s="13"/>
      <c r="O622" s="205"/>
      <c r="P622" s="13"/>
      <c r="Q622" s="13"/>
      <c r="R622" s="177"/>
      <c r="S622" s="35"/>
      <c r="T622" s="35"/>
      <c r="U622" s="13"/>
      <c r="V622" s="13"/>
      <c r="W622" s="13"/>
      <c r="X622" s="13"/>
      <c r="Y622" s="13"/>
      <c r="Z622" s="13"/>
      <c r="AA622" s="13"/>
      <c r="AB622" s="13"/>
      <c r="AC622" s="13"/>
    </row>
    <row r="623" ht="16.5" customHeight="1">
      <c r="A623" s="13"/>
      <c r="B623" s="13"/>
      <c r="C623" s="13"/>
      <c r="D623" s="13"/>
      <c r="E623" s="13"/>
      <c r="F623" s="13"/>
      <c r="G623" s="13"/>
      <c r="H623" s="13"/>
      <c r="I623" s="13"/>
      <c r="J623" s="13"/>
      <c r="K623" s="205"/>
      <c r="L623" s="13"/>
      <c r="M623" s="13"/>
      <c r="N623" s="13"/>
      <c r="O623" s="205"/>
      <c r="P623" s="13"/>
      <c r="Q623" s="13"/>
      <c r="R623" s="177"/>
      <c r="S623" s="35"/>
      <c r="T623" s="35"/>
      <c r="U623" s="13"/>
      <c r="V623" s="13"/>
      <c r="W623" s="13"/>
      <c r="X623" s="13"/>
      <c r="Y623" s="13"/>
      <c r="Z623" s="13"/>
      <c r="AA623" s="13"/>
      <c r="AB623" s="13"/>
      <c r="AC623" s="13"/>
    </row>
    <row r="624" ht="16.5" customHeight="1">
      <c r="A624" s="13"/>
      <c r="B624" s="13"/>
      <c r="C624" s="13"/>
      <c r="D624" s="13"/>
      <c r="E624" s="13"/>
      <c r="F624" s="13"/>
      <c r="G624" s="13"/>
      <c r="H624" s="13"/>
      <c r="I624" s="13"/>
      <c r="J624" s="13"/>
      <c r="K624" s="205"/>
      <c r="L624" s="13"/>
      <c r="M624" s="13"/>
      <c r="N624" s="13"/>
      <c r="O624" s="205"/>
      <c r="P624" s="13"/>
      <c r="Q624" s="13"/>
      <c r="R624" s="177"/>
      <c r="S624" s="35"/>
      <c r="T624" s="35"/>
      <c r="U624" s="13"/>
      <c r="V624" s="13"/>
      <c r="W624" s="13"/>
      <c r="X624" s="13"/>
      <c r="Y624" s="13"/>
      <c r="Z624" s="13"/>
      <c r="AA624" s="13"/>
      <c r="AB624" s="13"/>
      <c r="AC624" s="13"/>
    </row>
    <row r="625" ht="16.5" customHeight="1">
      <c r="A625" s="13"/>
      <c r="B625" s="13"/>
      <c r="C625" s="13"/>
      <c r="D625" s="13"/>
      <c r="E625" s="13"/>
      <c r="F625" s="13"/>
      <c r="G625" s="13"/>
      <c r="H625" s="13"/>
      <c r="I625" s="13"/>
      <c r="J625" s="13"/>
      <c r="K625" s="205"/>
      <c r="L625" s="13"/>
      <c r="M625" s="13"/>
      <c r="N625" s="13"/>
      <c r="O625" s="205"/>
      <c r="P625" s="13"/>
      <c r="Q625" s="13"/>
      <c r="R625" s="177"/>
      <c r="S625" s="35"/>
      <c r="T625" s="35"/>
      <c r="U625" s="13"/>
      <c r="V625" s="13"/>
      <c r="W625" s="13"/>
      <c r="X625" s="13"/>
      <c r="Y625" s="13"/>
      <c r="Z625" s="13"/>
      <c r="AA625" s="13"/>
      <c r="AB625" s="13"/>
      <c r="AC625" s="13"/>
    </row>
    <row r="626" ht="16.5" customHeight="1">
      <c r="A626" s="13"/>
      <c r="B626" s="13"/>
      <c r="C626" s="13"/>
      <c r="D626" s="13"/>
      <c r="E626" s="13"/>
      <c r="F626" s="13"/>
      <c r="G626" s="13"/>
      <c r="H626" s="13"/>
      <c r="I626" s="13"/>
      <c r="J626" s="13"/>
      <c r="K626" s="205"/>
      <c r="L626" s="13"/>
      <c r="M626" s="13"/>
      <c r="N626" s="13"/>
      <c r="O626" s="205"/>
      <c r="P626" s="13"/>
      <c r="Q626" s="13"/>
      <c r="R626" s="177"/>
      <c r="S626" s="35"/>
      <c r="T626" s="35"/>
      <c r="U626" s="13"/>
      <c r="V626" s="13"/>
      <c r="W626" s="13"/>
      <c r="X626" s="13"/>
      <c r="Y626" s="13"/>
      <c r="Z626" s="13"/>
      <c r="AA626" s="13"/>
      <c r="AB626" s="13"/>
      <c r="AC626" s="13"/>
    </row>
    <row r="627" ht="16.5" customHeight="1">
      <c r="A627" s="13"/>
      <c r="B627" s="13"/>
      <c r="C627" s="13"/>
      <c r="D627" s="13"/>
      <c r="E627" s="13"/>
      <c r="F627" s="13"/>
      <c r="G627" s="13"/>
      <c r="H627" s="13"/>
      <c r="I627" s="13"/>
      <c r="J627" s="13"/>
      <c r="K627" s="205"/>
      <c r="L627" s="13"/>
      <c r="M627" s="13"/>
      <c r="N627" s="13"/>
      <c r="O627" s="205"/>
      <c r="P627" s="13"/>
      <c r="Q627" s="13"/>
      <c r="R627" s="177"/>
      <c r="S627" s="35"/>
      <c r="T627" s="35"/>
      <c r="U627" s="13"/>
      <c r="V627" s="13"/>
      <c r="W627" s="13"/>
      <c r="X627" s="13"/>
      <c r="Y627" s="13"/>
      <c r="Z627" s="13"/>
      <c r="AA627" s="13"/>
      <c r="AB627" s="13"/>
      <c r="AC627" s="13"/>
    </row>
    <row r="628" ht="16.5" customHeight="1">
      <c r="A628" s="13"/>
      <c r="B628" s="13"/>
      <c r="C628" s="13"/>
      <c r="D628" s="13"/>
      <c r="E628" s="13"/>
      <c r="F628" s="13"/>
      <c r="G628" s="13"/>
      <c r="H628" s="13"/>
      <c r="I628" s="13"/>
      <c r="J628" s="13"/>
      <c r="K628" s="205"/>
      <c r="L628" s="13"/>
      <c r="M628" s="13"/>
      <c r="N628" s="13"/>
      <c r="O628" s="205"/>
      <c r="P628" s="13"/>
      <c r="Q628" s="13"/>
      <c r="R628" s="177"/>
      <c r="S628" s="35"/>
      <c r="T628" s="35"/>
      <c r="U628" s="13"/>
      <c r="V628" s="13"/>
      <c r="W628" s="13"/>
      <c r="X628" s="13"/>
      <c r="Y628" s="13"/>
      <c r="Z628" s="13"/>
      <c r="AA628" s="13"/>
      <c r="AB628" s="13"/>
      <c r="AC628" s="13"/>
    </row>
    <row r="629" ht="16.5" customHeight="1">
      <c r="A629" s="13"/>
      <c r="B629" s="13"/>
      <c r="C629" s="13"/>
      <c r="D629" s="13"/>
      <c r="E629" s="13"/>
      <c r="F629" s="13"/>
      <c r="G629" s="13"/>
      <c r="H629" s="13"/>
      <c r="I629" s="13"/>
      <c r="J629" s="13"/>
      <c r="K629" s="205"/>
      <c r="L629" s="13"/>
      <c r="M629" s="13"/>
      <c r="N629" s="13"/>
      <c r="O629" s="205"/>
      <c r="P629" s="13"/>
      <c r="Q629" s="13"/>
      <c r="R629" s="177"/>
      <c r="S629" s="35"/>
      <c r="T629" s="35"/>
      <c r="U629" s="13"/>
      <c r="V629" s="13"/>
      <c r="W629" s="13"/>
      <c r="X629" s="13"/>
      <c r="Y629" s="13"/>
      <c r="Z629" s="13"/>
      <c r="AA629" s="13"/>
      <c r="AB629" s="13"/>
      <c r="AC629" s="13"/>
    </row>
    <row r="630" ht="16.5" customHeight="1">
      <c r="A630" s="13"/>
      <c r="B630" s="13"/>
      <c r="C630" s="13"/>
      <c r="D630" s="13"/>
      <c r="E630" s="13"/>
      <c r="F630" s="13"/>
      <c r="G630" s="13"/>
      <c r="H630" s="13"/>
      <c r="I630" s="13"/>
      <c r="J630" s="13"/>
      <c r="K630" s="205"/>
      <c r="L630" s="13"/>
      <c r="M630" s="13"/>
      <c r="N630" s="13"/>
      <c r="O630" s="205"/>
      <c r="P630" s="13"/>
      <c r="Q630" s="13"/>
      <c r="R630" s="177"/>
      <c r="S630" s="35"/>
      <c r="T630" s="35"/>
      <c r="U630" s="13"/>
      <c r="V630" s="13"/>
      <c r="W630" s="13"/>
      <c r="X630" s="13"/>
      <c r="Y630" s="13"/>
      <c r="Z630" s="13"/>
      <c r="AA630" s="13"/>
      <c r="AB630" s="13"/>
      <c r="AC630" s="13"/>
    </row>
    <row r="631" ht="16.5" customHeight="1">
      <c r="A631" s="13"/>
      <c r="B631" s="13"/>
      <c r="C631" s="13"/>
      <c r="D631" s="13"/>
      <c r="E631" s="13"/>
      <c r="F631" s="13"/>
      <c r="G631" s="13"/>
      <c r="H631" s="13"/>
      <c r="I631" s="13"/>
      <c r="J631" s="13"/>
      <c r="K631" s="205"/>
      <c r="L631" s="13"/>
      <c r="M631" s="13"/>
      <c r="N631" s="13"/>
      <c r="O631" s="205"/>
      <c r="P631" s="13"/>
      <c r="Q631" s="13"/>
      <c r="R631" s="177"/>
      <c r="S631" s="35"/>
      <c r="T631" s="35"/>
      <c r="U631" s="13"/>
      <c r="V631" s="13"/>
      <c r="W631" s="13"/>
      <c r="X631" s="13"/>
      <c r="Y631" s="13"/>
      <c r="Z631" s="13"/>
      <c r="AA631" s="13"/>
      <c r="AB631" s="13"/>
      <c r="AC631" s="13"/>
    </row>
    <row r="632" ht="16.5" customHeight="1">
      <c r="A632" s="13"/>
      <c r="B632" s="13"/>
      <c r="C632" s="13"/>
      <c r="D632" s="13"/>
      <c r="E632" s="13"/>
      <c r="F632" s="13"/>
      <c r="G632" s="13"/>
      <c r="H632" s="13"/>
      <c r="I632" s="13"/>
      <c r="J632" s="13"/>
      <c r="K632" s="205"/>
      <c r="L632" s="13"/>
      <c r="M632" s="13"/>
      <c r="N632" s="13"/>
      <c r="O632" s="205"/>
      <c r="P632" s="13"/>
      <c r="Q632" s="13"/>
      <c r="R632" s="177"/>
      <c r="S632" s="35"/>
      <c r="T632" s="35"/>
      <c r="U632" s="13"/>
      <c r="V632" s="13"/>
      <c r="W632" s="13"/>
      <c r="X632" s="13"/>
      <c r="Y632" s="13"/>
      <c r="Z632" s="13"/>
      <c r="AA632" s="13"/>
      <c r="AB632" s="13"/>
      <c r="AC632" s="13"/>
    </row>
    <row r="633" ht="16.5" customHeight="1">
      <c r="A633" s="13"/>
      <c r="B633" s="13"/>
      <c r="C633" s="13"/>
      <c r="D633" s="13"/>
      <c r="E633" s="13"/>
      <c r="F633" s="13"/>
      <c r="G633" s="13"/>
      <c r="H633" s="13"/>
      <c r="I633" s="13"/>
      <c r="J633" s="13"/>
      <c r="K633" s="205"/>
      <c r="L633" s="13"/>
      <c r="M633" s="13"/>
      <c r="N633" s="13"/>
      <c r="O633" s="205"/>
      <c r="P633" s="13"/>
      <c r="Q633" s="13"/>
      <c r="R633" s="177"/>
      <c r="S633" s="35"/>
      <c r="T633" s="35"/>
      <c r="U633" s="13"/>
      <c r="V633" s="13"/>
      <c r="W633" s="13"/>
      <c r="X633" s="13"/>
      <c r="Y633" s="13"/>
      <c r="Z633" s="13"/>
      <c r="AA633" s="13"/>
      <c r="AB633" s="13"/>
      <c r="AC633" s="13"/>
    </row>
    <row r="634" ht="16.5" customHeight="1">
      <c r="A634" s="13"/>
      <c r="B634" s="13"/>
      <c r="C634" s="13"/>
      <c r="D634" s="13"/>
      <c r="E634" s="13"/>
      <c r="F634" s="13"/>
      <c r="G634" s="13"/>
      <c r="H634" s="13"/>
      <c r="I634" s="13"/>
      <c r="J634" s="13"/>
      <c r="K634" s="205"/>
      <c r="L634" s="13"/>
      <c r="M634" s="13"/>
      <c r="N634" s="13"/>
      <c r="O634" s="205"/>
      <c r="P634" s="13"/>
      <c r="Q634" s="13"/>
      <c r="R634" s="177"/>
      <c r="S634" s="35"/>
      <c r="T634" s="35"/>
      <c r="U634" s="13"/>
      <c r="V634" s="13"/>
      <c r="W634" s="13"/>
      <c r="X634" s="13"/>
      <c r="Y634" s="13"/>
      <c r="Z634" s="13"/>
      <c r="AA634" s="13"/>
      <c r="AB634" s="13"/>
      <c r="AC634" s="13"/>
    </row>
    <row r="635" ht="16.5" customHeight="1">
      <c r="A635" s="13"/>
      <c r="B635" s="13"/>
      <c r="C635" s="13"/>
      <c r="D635" s="13"/>
      <c r="E635" s="13"/>
      <c r="F635" s="13"/>
      <c r="G635" s="13"/>
      <c r="H635" s="13"/>
      <c r="I635" s="13"/>
      <c r="J635" s="13"/>
      <c r="K635" s="205"/>
      <c r="L635" s="13"/>
      <c r="M635" s="13"/>
      <c r="N635" s="13"/>
      <c r="O635" s="205"/>
      <c r="P635" s="13"/>
      <c r="Q635" s="13"/>
      <c r="R635" s="177"/>
      <c r="S635" s="35"/>
      <c r="T635" s="35"/>
      <c r="U635" s="13"/>
      <c r="V635" s="13"/>
      <c r="W635" s="13"/>
      <c r="X635" s="13"/>
      <c r="Y635" s="13"/>
      <c r="Z635" s="13"/>
      <c r="AA635" s="13"/>
      <c r="AB635" s="13"/>
      <c r="AC635" s="13"/>
    </row>
    <row r="636" ht="16.5" customHeight="1">
      <c r="A636" s="13"/>
      <c r="B636" s="13"/>
      <c r="C636" s="13"/>
      <c r="D636" s="13"/>
      <c r="E636" s="13"/>
      <c r="F636" s="13"/>
      <c r="G636" s="13"/>
      <c r="H636" s="13"/>
      <c r="I636" s="13"/>
      <c r="J636" s="13"/>
      <c r="K636" s="205"/>
      <c r="L636" s="13"/>
      <c r="M636" s="13"/>
      <c r="N636" s="13"/>
      <c r="O636" s="205"/>
      <c r="P636" s="13"/>
      <c r="Q636" s="13"/>
      <c r="R636" s="177"/>
      <c r="S636" s="35"/>
      <c r="T636" s="35"/>
      <c r="U636" s="13"/>
      <c r="V636" s="13"/>
      <c r="W636" s="13"/>
      <c r="X636" s="13"/>
      <c r="Y636" s="13"/>
      <c r="Z636" s="13"/>
      <c r="AA636" s="13"/>
      <c r="AB636" s="13"/>
      <c r="AC636" s="13"/>
    </row>
    <row r="637" ht="16.5" customHeight="1">
      <c r="A637" s="13"/>
      <c r="B637" s="13"/>
      <c r="C637" s="13"/>
      <c r="D637" s="13"/>
      <c r="E637" s="13"/>
      <c r="F637" s="13"/>
      <c r="G637" s="13"/>
      <c r="H637" s="13"/>
      <c r="I637" s="13"/>
      <c r="J637" s="13"/>
      <c r="K637" s="205"/>
      <c r="L637" s="13"/>
      <c r="M637" s="13"/>
      <c r="N637" s="13"/>
      <c r="O637" s="205"/>
      <c r="P637" s="13"/>
      <c r="Q637" s="13"/>
      <c r="R637" s="177"/>
      <c r="S637" s="35"/>
      <c r="T637" s="35"/>
      <c r="U637" s="13"/>
      <c r="V637" s="13"/>
      <c r="W637" s="13"/>
      <c r="X637" s="13"/>
      <c r="Y637" s="13"/>
      <c r="Z637" s="13"/>
      <c r="AA637" s="13"/>
      <c r="AB637" s="13"/>
      <c r="AC637" s="13"/>
    </row>
    <row r="638" ht="16.5" customHeight="1">
      <c r="A638" s="13"/>
      <c r="B638" s="13"/>
      <c r="C638" s="13"/>
      <c r="D638" s="13"/>
      <c r="E638" s="13"/>
      <c r="F638" s="13"/>
      <c r="G638" s="13"/>
      <c r="H638" s="13"/>
      <c r="I638" s="13"/>
      <c r="J638" s="13"/>
      <c r="K638" s="205"/>
      <c r="L638" s="13"/>
      <c r="M638" s="13"/>
      <c r="N638" s="13"/>
      <c r="O638" s="205"/>
      <c r="P638" s="13"/>
      <c r="Q638" s="13"/>
      <c r="R638" s="177"/>
      <c r="S638" s="35"/>
      <c r="T638" s="35"/>
      <c r="U638" s="13"/>
      <c r="V638" s="13"/>
      <c r="W638" s="13"/>
      <c r="X638" s="13"/>
      <c r="Y638" s="13"/>
      <c r="Z638" s="13"/>
      <c r="AA638" s="13"/>
      <c r="AB638" s="13"/>
      <c r="AC638" s="13"/>
    </row>
    <row r="639" ht="16.5" customHeight="1">
      <c r="A639" s="13"/>
      <c r="B639" s="13"/>
      <c r="C639" s="13"/>
      <c r="D639" s="13"/>
      <c r="E639" s="13"/>
      <c r="F639" s="13"/>
      <c r="G639" s="13"/>
      <c r="H639" s="13"/>
      <c r="I639" s="13"/>
      <c r="J639" s="13"/>
      <c r="K639" s="205"/>
      <c r="L639" s="13"/>
      <c r="M639" s="13"/>
      <c r="N639" s="13"/>
      <c r="O639" s="205"/>
      <c r="P639" s="13"/>
      <c r="Q639" s="13"/>
      <c r="R639" s="177"/>
      <c r="S639" s="35"/>
      <c r="T639" s="35"/>
      <c r="U639" s="13"/>
      <c r="V639" s="13"/>
      <c r="W639" s="13"/>
      <c r="X639" s="13"/>
      <c r="Y639" s="13"/>
      <c r="Z639" s="13"/>
      <c r="AA639" s="13"/>
      <c r="AB639" s="13"/>
      <c r="AC639" s="13"/>
    </row>
    <row r="640" ht="16.5" customHeight="1">
      <c r="A640" s="13"/>
      <c r="B640" s="13"/>
      <c r="C640" s="13"/>
      <c r="D640" s="13"/>
      <c r="E640" s="13"/>
      <c r="F640" s="13"/>
      <c r="G640" s="13"/>
      <c r="H640" s="13"/>
      <c r="I640" s="13"/>
      <c r="J640" s="13"/>
      <c r="K640" s="205"/>
      <c r="L640" s="13"/>
      <c r="M640" s="13"/>
      <c r="N640" s="13"/>
      <c r="O640" s="205"/>
      <c r="P640" s="13"/>
      <c r="Q640" s="13"/>
      <c r="R640" s="177"/>
      <c r="S640" s="35"/>
      <c r="T640" s="35"/>
      <c r="U640" s="13"/>
      <c r="V640" s="13"/>
      <c r="W640" s="13"/>
      <c r="X640" s="13"/>
      <c r="Y640" s="13"/>
      <c r="Z640" s="13"/>
      <c r="AA640" s="13"/>
      <c r="AB640" s="13"/>
      <c r="AC640" s="13"/>
    </row>
    <row r="641" ht="16.5" customHeight="1">
      <c r="A641" s="13"/>
      <c r="B641" s="13"/>
      <c r="C641" s="13"/>
      <c r="D641" s="13"/>
      <c r="E641" s="13"/>
      <c r="F641" s="13"/>
      <c r="G641" s="13"/>
      <c r="H641" s="13"/>
      <c r="I641" s="13"/>
      <c r="J641" s="13"/>
      <c r="K641" s="205"/>
      <c r="L641" s="13"/>
      <c r="M641" s="13"/>
      <c r="N641" s="13"/>
      <c r="O641" s="205"/>
      <c r="P641" s="13"/>
      <c r="Q641" s="13"/>
      <c r="R641" s="177"/>
      <c r="S641" s="35"/>
      <c r="T641" s="35"/>
      <c r="U641" s="13"/>
      <c r="V641" s="13"/>
      <c r="W641" s="13"/>
      <c r="X641" s="13"/>
      <c r="Y641" s="13"/>
      <c r="Z641" s="13"/>
      <c r="AA641" s="13"/>
      <c r="AB641" s="13"/>
      <c r="AC641" s="13"/>
    </row>
    <row r="642" ht="16.5" customHeight="1">
      <c r="A642" s="13"/>
      <c r="B642" s="13"/>
      <c r="C642" s="13"/>
      <c r="D642" s="13"/>
      <c r="E642" s="13"/>
      <c r="F642" s="13"/>
      <c r="G642" s="13"/>
      <c r="H642" s="13"/>
      <c r="I642" s="13"/>
      <c r="J642" s="13"/>
      <c r="K642" s="205"/>
      <c r="L642" s="13"/>
      <c r="M642" s="13"/>
      <c r="N642" s="13"/>
      <c r="O642" s="205"/>
      <c r="P642" s="13"/>
      <c r="Q642" s="13"/>
      <c r="R642" s="177"/>
      <c r="S642" s="35"/>
      <c r="T642" s="35"/>
      <c r="U642" s="13"/>
      <c r="V642" s="13"/>
      <c r="W642" s="13"/>
      <c r="X642" s="13"/>
      <c r="Y642" s="13"/>
      <c r="Z642" s="13"/>
      <c r="AA642" s="13"/>
      <c r="AB642" s="13"/>
      <c r="AC642" s="13"/>
    </row>
    <row r="643" ht="16.5" customHeight="1">
      <c r="A643" s="13"/>
      <c r="B643" s="13"/>
      <c r="C643" s="13"/>
      <c r="D643" s="13"/>
      <c r="E643" s="13"/>
      <c r="F643" s="13"/>
      <c r="G643" s="13"/>
      <c r="H643" s="13"/>
      <c r="I643" s="13"/>
      <c r="J643" s="13"/>
      <c r="K643" s="205"/>
      <c r="L643" s="13"/>
      <c r="M643" s="13"/>
      <c r="N643" s="13"/>
      <c r="O643" s="205"/>
      <c r="P643" s="13"/>
      <c r="Q643" s="13"/>
      <c r="R643" s="177"/>
      <c r="S643" s="35"/>
      <c r="T643" s="35"/>
      <c r="U643" s="13"/>
      <c r="V643" s="13"/>
      <c r="W643" s="13"/>
      <c r="X643" s="13"/>
      <c r="Y643" s="13"/>
      <c r="Z643" s="13"/>
      <c r="AA643" s="13"/>
      <c r="AB643" s="13"/>
      <c r="AC643" s="13"/>
    </row>
    <row r="644" ht="16.5" customHeight="1">
      <c r="A644" s="13"/>
      <c r="B644" s="13"/>
      <c r="C644" s="13"/>
      <c r="D644" s="13"/>
      <c r="E644" s="13"/>
      <c r="F644" s="13"/>
      <c r="G644" s="13"/>
      <c r="H644" s="13"/>
      <c r="I644" s="13"/>
      <c r="J644" s="13"/>
      <c r="K644" s="205"/>
      <c r="L644" s="13"/>
      <c r="M644" s="13"/>
      <c r="N644" s="13"/>
      <c r="O644" s="205"/>
      <c r="P644" s="13"/>
      <c r="Q644" s="13"/>
      <c r="R644" s="177"/>
      <c r="S644" s="35"/>
      <c r="T644" s="35"/>
      <c r="U644" s="13"/>
      <c r="V644" s="13"/>
      <c r="W644" s="13"/>
      <c r="X644" s="13"/>
      <c r="Y644" s="13"/>
      <c r="Z644" s="13"/>
      <c r="AA644" s="13"/>
      <c r="AB644" s="13"/>
      <c r="AC644" s="13"/>
    </row>
    <row r="645" ht="16.5" customHeight="1">
      <c r="A645" s="13"/>
      <c r="B645" s="13"/>
      <c r="C645" s="13"/>
      <c r="D645" s="13"/>
      <c r="E645" s="13"/>
      <c r="F645" s="13"/>
      <c r="G645" s="13"/>
      <c r="H645" s="13"/>
      <c r="I645" s="13"/>
      <c r="J645" s="13"/>
      <c r="K645" s="205"/>
      <c r="L645" s="13"/>
      <c r="M645" s="13"/>
      <c r="N645" s="13"/>
      <c r="O645" s="205"/>
      <c r="P645" s="13"/>
      <c r="Q645" s="13"/>
      <c r="R645" s="177"/>
      <c r="S645" s="35"/>
      <c r="T645" s="35"/>
      <c r="U645" s="13"/>
      <c r="V645" s="13"/>
      <c r="W645" s="13"/>
      <c r="X645" s="13"/>
      <c r="Y645" s="13"/>
      <c r="Z645" s="13"/>
      <c r="AA645" s="13"/>
      <c r="AB645" s="13"/>
      <c r="AC645" s="13"/>
    </row>
    <row r="646" ht="16.5" customHeight="1">
      <c r="A646" s="13"/>
      <c r="B646" s="13"/>
      <c r="C646" s="13"/>
      <c r="D646" s="13"/>
      <c r="E646" s="13"/>
      <c r="F646" s="13"/>
      <c r="G646" s="13"/>
      <c r="H646" s="13"/>
      <c r="I646" s="13"/>
      <c r="J646" s="13"/>
      <c r="K646" s="205"/>
      <c r="L646" s="13"/>
      <c r="M646" s="13"/>
      <c r="N646" s="13"/>
      <c r="O646" s="205"/>
      <c r="P646" s="13"/>
      <c r="Q646" s="13"/>
      <c r="R646" s="177"/>
      <c r="S646" s="35"/>
      <c r="T646" s="35"/>
      <c r="U646" s="13"/>
      <c r="V646" s="13"/>
      <c r="W646" s="13"/>
      <c r="X646" s="13"/>
      <c r="Y646" s="13"/>
      <c r="Z646" s="13"/>
      <c r="AA646" s="13"/>
      <c r="AB646" s="13"/>
      <c r="AC646" s="13"/>
    </row>
    <row r="647" ht="16.5" customHeight="1">
      <c r="A647" s="13"/>
      <c r="B647" s="13"/>
      <c r="C647" s="13"/>
      <c r="D647" s="13"/>
      <c r="E647" s="13"/>
      <c r="F647" s="13"/>
      <c r="G647" s="13"/>
      <c r="H647" s="13"/>
      <c r="I647" s="13"/>
      <c r="J647" s="13"/>
      <c r="K647" s="205"/>
      <c r="L647" s="13"/>
      <c r="M647" s="13"/>
      <c r="N647" s="13"/>
      <c r="O647" s="205"/>
      <c r="P647" s="13"/>
      <c r="Q647" s="13"/>
      <c r="R647" s="177"/>
      <c r="S647" s="35"/>
      <c r="T647" s="35"/>
      <c r="U647" s="13"/>
      <c r="V647" s="13"/>
      <c r="W647" s="13"/>
      <c r="X647" s="13"/>
      <c r="Y647" s="13"/>
      <c r="Z647" s="13"/>
      <c r="AA647" s="13"/>
      <c r="AB647" s="13"/>
      <c r="AC647" s="13"/>
    </row>
    <row r="648" ht="16.5" customHeight="1">
      <c r="A648" s="13"/>
      <c r="B648" s="13"/>
      <c r="C648" s="13"/>
      <c r="D648" s="13"/>
      <c r="E648" s="13"/>
      <c r="F648" s="13"/>
      <c r="G648" s="13"/>
      <c r="H648" s="13"/>
      <c r="I648" s="13"/>
      <c r="J648" s="13"/>
      <c r="K648" s="205"/>
      <c r="L648" s="13"/>
      <c r="M648" s="13"/>
      <c r="N648" s="13"/>
      <c r="O648" s="205"/>
      <c r="P648" s="13"/>
      <c r="Q648" s="13"/>
      <c r="R648" s="177"/>
      <c r="S648" s="35"/>
      <c r="T648" s="35"/>
      <c r="U648" s="13"/>
      <c r="V648" s="13"/>
      <c r="W648" s="13"/>
      <c r="X648" s="13"/>
      <c r="Y648" s="13"/>
      <c r="Z648" s="13"/>
      <c r="AA648" s="13"/>
      <c r="AB648" s="13"/>
      <c r="AC648" s="13"/>
    </row>
    <row r="649" ht="16.5" customHeight="1">
      <c r="A649" s="13"/>
      <c r="B649" s="13"/>
      <c r="C649" s="13"/>
      <c r="D649" s="13"/>
      <c r="E649" s="13"/>
      <c r="F649" s="13"/>
      <c r="G649" s="13"/>
      <c r="H649" s="13"/>
      <c r="I649" s="13"/>
      <c r="J649" s="13"/>
      <c r="K649" s="205"/>
      <c r="L649" s="13"/>
      <c r="M649" s="13"/>
      <c r="N649" s="13"/>
      <c r="O649" s="205"/>
      <c r="P649" s="13"/>
      <c r="Q649" s="13"/>
      <c r="R649" s="177"/>
      <c r="S649" s="35"/>
      <c r="T649" s="35"/>
      <c r="U649" s="13"/>
      <c r="V649" s="13"/>
      <c r="W649" s="13"/>
      <c r="X649" s="13"/>
      <c r="Y649" s="13"/>
      <c r="Z649" s="13"/>
      <c r="AA649" s="13"/>
      <c r="AB649" s="13"/>
      <c r="AC649" s="13"/>
    </row>
    <row r="650" ht="16.5" customHeight="1">
      <c r="A650" s="13"/>
      <c r="B650" s="13"/>
      <c r="C650" s="13"/>
      <c r="D650" s="13"/>
      <c r="E650" s="13"/>
      <c r="F650" s="13"/>
      <c r="G650" s="13"/>
      <c r="H650" s="13"/>
      <c r="I650" s="13"/>
      <c r="J650" s="13"/>
      <c r="K650" s="205"/>
      <c r="L650" s="13"/>
      <c r="M650" s="13"/>
      <c r="N650" s="13"/>
      <c r="O650" s="205"/>
      <c r="P650" s="13"/>
      <c r="Q650" s="13"/>
      <c r="R650" s="177"/>
      <c r="S650" s="35"/>
      <c r="T650" s="35"/>
      <c r="U650" s="13"/>
      <c r="V650" s="13"/>
      <c r="W650" s="13"/>
      <c r="X650" s="13"/>
      <c r="Y650" s="13"/>
      <c r="Z650" s="13"/>
      <c r="AA650" s="13"/>
      <c r="AB650" s="13"/>
      <c r="AC650" s="13"/>
    </row>
    <row r="651" ht="16.5" customHeight="1">
      <c r="A651" s="13"/>
      <c r="B651" s="13"/>
      <c r="C651" s="13"/>
      <c r="D651" s="13"/>
      <c r="E651" s="13"/>
      <c r="F651" s="13"/>
      <c r="G651" s="13"/>
      <c r="H651" s="13"/>
      <c r="I651" s="13"/>
      <c r="J651" s="13"/>
      <c r="K651" s="205"/>
      <c r="L651" s="13"/>
      <c r="M651" s="13"/>
      <c r="N651" s="13"/>
      <c r="O651" s="205"/>
      <c r="P651" s="13"/>
      <c r="Q651" s="13"/>
      <c r="R651" s="177"/>
      <c r="S651" s="35"/>
      <c r="T651" s="35"/>
      <c r="U651" s="13"/>
      <c r="V651" s="13"/>
      <c r="W651" s="13"/>
      <c r="X651" s="13"/>
      <c r="Y651" s="13"/>
      <c r="Z651" s="13"/>
      <c r="AA651" s="13"/>
      <c r="AB651" s="13"/>
      <c r="AC651" s="13"/>
    </row>
    <row r="652" ht="16.5" customHeight="1">
      <c r="A652" s="13"/>
      <c r="B652" s="13"/>
      <c r="C652" s="13"/>
      <c r="D652" s="13"/>
      <c r="E652" s="13"/>
      <c r="F652" s="13"/>
      <c r="G652" s="13"/>
      <c r="H652" s="13"/>
      <c r="I652" s="13"/>
      <c r="J652" s="13"/>
      <c r="K652" s="205"/>
      <c r="L652" s="13"/>
      <c r="M652" s="13"/>
      <c r="N652" s="13"/>
      <c r="O652" s="205"/>
      <c r="P652" s="13"/>
      <c r="Q652" s="13"/>
      <c r="R652" s="177"/>
      <c r="S652" s="35"/>
      <c r="T652" s="35"/>
      <c r="U652" s="13"/>
      <c r="V652" s="13"/>
      <c r="W652" s="13"/>
      <c r="X652" s="13"/>
      <c r="Y652" s="13"/>
      <c r="Z652" s="13"/>
      <c r="AA652" s="13"/>
      <c r="AB652" s="13"/>
      <c r="AC652" s="13"/>
    </row>
    <row r="653" ht="16.5" customHeight="1">
      <c r="A653" s="13"/>
      <c r="B653" s="13"/>
      <c r="C653" s="13"/>
      <c r="D653" s="13"/>
      <c r="E653" s="13"/>
      <c r="F653" s="13"/>
      <c r="G653" s="13"/>
      <c r="H653" s="13"/>
      <c r="I653" s="13"/>
      <c r="J653" s="13"/>
      <c r="K653" s="205"/>
      <c r="L653" s="13"/>
      <c r="M653" s="13"/>
      <c r="N653" s="13"/>
      <c r="O653" s="205"/>
      <c r="P653" s="13"/>
      <c r="Q653" s="13"/>
      <c r="R653" s="177"/>
      <c r="S653" s="35"/>
      <c r="T653" s="35"/>
      <c r="U653" s="13"/>
      <c r="V653" s="13"/>
      <c r="W653" s="13"/>
      <c r="X653" s="13"/>
      <c r="Y653" s="13"/>
      <c r="Z653" s="13"/>
      <c r="AA653" s="13"/>
      <c r="AB653" s="13"/>
      <c r="AC653" s="13"/>
    </row>
    <row r="654" ht="16.5" customHeight="1">
      <c r="A654" s="13"/>
      <c r="B654" s="13"/>
      <c r="C654" s="13"/>
      <c r="D654" s="13"/>
      <c r="E654" s="13"/>
      <c r="F654" s="13"/>
      <c r="G654" s="13"/>
      <c r="H654" s="13"/>
      <c r="I654" s="13"/>
      <c r="J654" s="13"/>
      <c r="K654" s="205"/>
      <c r="L654" s="13"/>
      <c r="M654" s="13"/>
      <c r="N654" s="13"/>
      <c r="O654" s="205"/>
      <c r="P654" s="13"/>
      <c r="Q654" s="13"/>
      <c r="R654" s="177"/>
      <c r="S654" s="35"/>
      <c r="T654" s="35"/>
      <c r="U654" s="13"/>
      <c r="V654" s="13"/>
      <c r="W654" s="13"/>
      <c r="X654" s="13"/>
      <c r="Y654" s="13"/>
      <c r="Z654" s="13"/>
      <c r="AA654" s="13"/>
      <c r="AB654" s="13"/>
      <c r="AC654" s="13"/>
    </row>
    <row r="655" ht="16.5" customHeight="1">
      <c r="A655" s="13"/>
      <c r="B655" s="13"/>
      <c r="C655" s="13"/>
      <c r="D655" s="13"/>
      <c r="E655" s="13"/>
      <c r="F655" s="13"/>
      <c r="G655" s="13"/>
      <c r="H655" s="13"/>
      <c r="I655" s="13"/>
      <c r="J655" s="13"/>
      <c r="K655" s="205"/>
      <c r="L655" s="13"/>
      <c r="M655" s="13"/>
      <c r="N655" s="13"/>
      <c r="O655" s="205"/>
      <c r="P655" s="13"/>
      <c r="Q655" s="13"/>
      <c r="R655" s="177"/>
      <c r="S655" s="35"/>
      <c r="T655" s="35"/>
      <c r="U655" s="13"/>
      <c r="V655" s="13"/>
      <c r="W655" s="13"/>
      <c r="X655" s="13"/>
      <c r="Y655" s="13"/>
      <c r="Z655" s="13"/>
      <c r="AA655" s="13"/>
      <c r="AB655" s="13"/>
      <c r="AC655" s="13"/>
    </row>
    <row r="656" ht="16.5" customHeight="1">
      <c r="A656" s="13"/>
      <c r="B656" s="13"/>
      <c r="C656" s="13"/>
      <c r="D656" s="13"/>
      <c r="E656" s="13"/>
      <c r="F656" s="13"/>
      <c r="G656" s="13"/>
      <c r="H656" s="13"/>
      <c r="I656" s="13"/>
      <c r="J656" s="13"/>
      <c r="K656" s="205"/>
      <c r="L656" s="13"/>
      <c r="M656" s="13"/>
      <c r="N656" s="13"/>
      <c r="O656" s="205"/>
      <c r="P656" s="13"/>
      <c r="Q656" s="13"/>
      <c r="R656" s="177"/>
      <c r="S656" s="35"/>
      <c r="T656" s="35"/>
      <c r="U656" s="13"/>
      <c r="V656" s="13"/>
      <c r="W656" s="13"/>
      <c r="X656" s="13"/>
      <c r="Y656" s="13"/>
      <c r="Z656" s="13"/>
      <c r="AA656" s="13"/>
      <c r="AB656" s="13"/>
      <c r="AC656" s="13"/>
    </row>
    <row r="657" ht="16.5" customHeight="1">
      <c r="A657" s="13"/>
      <c r="B657" s="13"/>
      <c r="C657" s="13"/>
      <c r="D657" s="13"/>
      <c r="E657" s="13"/>
      <c r="F657" s="13"/>
      <c r="G657" s="13"/>
      <c r="H657" s="13"/>
      <c r="I657" s="13"/>
      <c r="J657" s="13"/>
      <c r="K657" s="205"/>
      <c r="L657" s="13"/>
      <c r="M657" s="13"/>
      <c r="N657" s="13"/>
      <c r="O657" s="205"/>
      <c r="P657" s="13"/>
      <c r="Q657" s="13"/>
      <c r="R657" s="177"/>
      <c r="S657" s="35"/>
      <c r="T657" s="35"/>
      <c r="U657" s="13"/>
      <c r="V657" s="13"/>
      <c r="W657" s="13"/>
      <c r="X657" s="13"/>
      <c r="Y657" s="13"/>
      <c r="Z657" s="13"/>
      <c r="AA657" s="13"/>
      <c r="AB657" s="13"/>
      <c r="AC657" s="13"/>
    </row>
    <row r="658" ht="16.5" customHeight="1">
      <c r="A658" s="13"/>
      <c r="B658" s="13"/>
      <c r="C658" s="13"/>
      <c r="D658" s="13"/>
      <c r="E658" s="13"/>
      <c r="F658" s="13"/>
      <c r="G658" s="13"/>
      <c r="H658" s="13"/>
      <c r="I658" s="13"/>
      <c r="J658" s="13"/>
      <c r="K658" s="205"/>
      <c r="L658" s="13"/>
      <c r="M658" s="13"/>
      <c r="N658" s="13"/>
      <c r="O658" s="205"/>
      <c r="P658" s="13"/>
      <c r="Q658" s="13"/>
      <c r="R658" s="177"/>
      <c r="S658" s="35"/>
      <c r="T658" s="35"/>
      <c r="U658" s="13"/>
      <c r="V658" s="13"/>
      <c r="W658" s="13"/>
      <c r="X658" s="13"/>
      <c r="Y658" s="13"/>
      <c r="Z658" s="13"/>
      <c r="AA658" s="13"/>
      <c r="AB658" s="13"/>
      <c r="AC658" s="13"/>
    </row>
    <row r="659" ht="16.5" customHeight="1">
      <c r="A659" s="13"/>
      <c r="B659" s="13"/>
      <c r="C659" s="13"/>
      <c r="D659" s="13"/>
      <c r="E659" s="13"/>
      <c r="F659" s="13"/>
      <c r="G659" s="13"/>
      <c r="H659" s="13"/>
      <c r="I659" s="13"/>
      <c r="J659" s="13"/>
      <c r="K659" s="205"/>
      <c r="L659" s="13"/>
      <c r="M659" s="13"/>
      <c r="N659" s="13"/>
      <c r="O659" s="205"/>
      <c r="P659" s="13"/>
      <c r="Q659" s="13"/>
      <c r="R659" s="177"/>
      <c r="S659" s="35"/>
      <c r="T659" s="35"/>
      <c r="U659" s="13"/>
      <c r="V659" s="13"/>
      <c r="W659" s="13"/>
      <c r="X659" s="13"/>
      <c r="Y659" s="13"/>
      <c r="Z659" s="13"/>
      <c r="AA659" s="13"/>
      <c r="AB659" s="13"/>
      <c r="AC659" s="13"/>
    </row>
    <row r="660" ht="16.5" customHeight="1">
      <c r="A660" s="13"/>
      <c r="B660" s="13"/>
      <c r="C660" s="13"/>
      <c r="D660" s="13"/>
      <c r="E660" s="13"/>
      <c r="F660" s="13"/>
      <c r="G660" s="13"/>
      <c r="H660" s="13"/>
      <c r="I660" s="13"/>
      <c r="J660" s="13"/>
      <c r="K660" s="205"/>
      <c r="L660" s="13"/>
      <c r="M660" s="13"/>
      <c r="N660" s="13"/>
      <c r="O660" s="205"/>
      <c r="P660" s="13"/>
      <c r="Q660" s="13"/>
      <c r="R660" s="177"/>
      <c r="S660" s="35"/>
      <c r="T660" s="35"/>
      <c r="U660" s="13"/>
      <c r="V660" s="13"/>
      <c r="W660" s="13"/>
      <c r="X660" s="13"/>
      <c r="Y660" s="13"/>
      <c r="Z660" s="13"/>
      <c r="AA660" s="13"/>
      <c r="AB660" s="13"/>
      <c r="AC660" s="13"/>
    </row>
    <row r="661" ht="16.5" customHeight="1">
      <c r="A661" s="13"/>
      <c r="B661" s="13"/>
      <c r="C661" s="13"/>
      <c r="D661" s="13"/>
      <c r="E661" s="13"/>
      <c r="F661" s="13"/>
      <c r="G661" s="13"/>
      <c r="H661" s="13"/>
      <c r="I661" s="13"/>
      <c r="J661" s="13"/>
      <c r="K661" s="205"/>
      <c r="L661" s="13"/>
      <c r="M661" s="13"/>
      <c r="N661" s="13"/>
      <c r="O661" s="205"/>
      <c r="P661" s="13"/>
      <c r="Q661" s="13"/>
      <c r="R661" s="177"/>
      <c r="S661" s="35"/>
      <c r="T661" s="35"/>
      <c r="U661" s="13"/>
      <c r="V661" s="13"/>
      <c r="W661" s="13"/>
      <c r="X661" s="13"/>
      <c r="Y661" s="13"/>
      <c r="Z661" s="13"/>
      <c r="AA661" s="13"/>
      <c r="AB661" s="13"/>
      <c r="AC661" s="13"/>
    </row>
    <row r="662" ht="16.5" customHeight="1">
      <c r="A662" s="13"/>
      <c r="B662" s="13"/>
      <c r="C662" s="13"/>
      <c r="D662" s="13"/>
      <c r="E662" s="13"/>
      <c r="F662" s="13"/>
      <c r="G662" s="13"/>
      <c r="H662" s="13"/>
      <c r="I662" s="13"/>
      <c r="J662" s="13"/>
      <c r="K662" s="205"/>
      <c r="L662" s="13"/>
      <c r="M662" s="13"/>
      <c r="N662" s="13"/>
      <c r="O662" s="205"/>
      <c r="P662" s="13"/>
      <c r="Q662" s="13"/>
      <c r="R662" s="177"/>
      <c r="S662" s="35"/>
      <c r="T662" s="35"/>
      <c r="U662" s="13"/>
      <c r="V662" s="13"/>
      <c r="W662" s="13"/>
      <c r="X662" s="13"/>
      <c r="Y662" s="13"/>
      <c r="Z662" s="13"/>
      <c r="AA662" s="13"/>
      <c r="AB662" s="13"/>
      <c r="AC662" s="13"/>
    </row>
    <row r="663" ht="16.5" customHeight="1">
      <c r="A663" s="13"/>
      <c r="B663" s="13"/>
      <c r="C663" s="13"/>
      <c r="D663" s="13"/>
      <c r="E663" s="13"/>
      <c r="F663" s="13"/>
      <c r="G663" s="13"/>
      <c r="H663" s="13"/>
      <c r="I663" s="13"/>
      <c r="J663" s="13"/>
      <c r="K663" s="205"/>
      <c r="L663" s="13"/>
      <c r="M663" s="13"/>
      <c r="N663" s="13"/>
      <c r="O663" s="205"/>
      <c r="P663" s="13"/>
      <c r="Q663" s="13"/>
      <c r="R663" s="177"/>
      <c r="S663" s="35"/>
      <c r="T663" s="35"/>
      <c r="U663" s="13"/>
      <c r="V663" s="13"/>
      <c r="W663" s="13"/>
      <c r="X663" s="13"/>
      <c r="Y663" s="13"/>
      <c r="Z663" s="13"/>
      <c r="AA663" s="13"/>
      <c r="AB663" s="13"/>
      <c r="AC663" s="13"/>
    </row>
    <row r="664" ht="16.5" customHeight="1">
      <c r="A664" s="13"/>
      <c r="B664" s="13"/>
      <c r="C664" s="13"/>
      <c r="D664" s="13"/>
      <c r="E664" s="13"/>
      <c r="F664" s="13"/>
      <c r="G664" s="13"/>
      <c r="H664" s="13"/>
      <c r="I664" s="13"/>
      <c r="J664" s="13"/>
      <c r="K664" s="205"/>
      <c r="L664" s="13"/>
      <c r="M664" s="13"/>
      <c r="N664" s="13"/>
      <c r="O664" s="205"/>
      <c r="P664" s="13"/>
      <c r="Q664" s="13"/>
      <c r="R664" s="177"/>
      <c r="S664" s="35"/>
      <c r="T664" s="35"/>
      <c r="U664" s="13"/>
      <c r="V664" s="13"/>
      <c r="W664" s="13"/>
      <c r="X664" s="13"/>
      <c r="Y664" s="13"/>
      <c r="Z664" s="13"/>
      <c r="AA664" s="13"/>
      <c r="AB664" s="13"/>
      <c r="AC664" s="13"/>
    </row>
    <row r="665" ht="16.5" customHeight="1">
      <c r="A665" s="13"/>
      <c r="B665" s="13"/>
      <c r="C665" s="13"/>
      <c r="D665" s="13"/>
      <c r="E665" s="13"/>
      <c r="F665" s="13"/>
      <c r="G665" s="13"/>
      <c r="H665" s="13"/>
      <c r="I665" s="13"/>
      <c r="J665" s="13"/>
      <c r="K665" s="205"/>
      <c r="L665" s="13"/>
      <c r="M665" s="13"/>
      <c r="N665" s="13"/>
      <c r="O665" s="205"/>
      <c r="P665" s="13"/>
      <c r="Q665" s="13"/>
      <c r="R665" s="177"/>
      <c r="S665" s="35"/>
      <c r="T665" s="35"/>
      <c r="U665" s="13"/>
      <c r="V665" s="13"/>
      <c r="W665" s="13"/>
      <c r="X665" s="13"/>
      <c r="Y665" s="13"/>
      <c r="Z665" s="13"/>
      <c r="AA665" s="13"/>
      <c r="AB665" s="13"/>
      <c r="AC665" s="13"/>
    </row>
    <row r="666" ht="16.5" customHeight="1">
      <c r="A666" s="13"/>
      <c r="B666" s="13"/>
      <c r="C666" s="13"/>
      <c r="D666" s="13"/>
      <c r="E666" s="13"/>
      <c r="F666" s="13"/>
      <c r="G666" s="13"/>
      <c r="H666" s="13"/>
      <c r="I666" s="13"/>
      <c r="J666" s="13"/>
      <c r="K666" s="205"/>
      <c r="L666" s="13"/>
      <c r="M666" s="13"/>
      <c r="N666" s="13"/>
      <c r="O666" s="205"/>
      <c r="P666" s="13"/>
      <c r="Q666" s="13"/>
      <c r="R666" s="177"/>
      <c r="S666" s="35"/>
      <c r="T666" s="35"/>
      <c r="U666" s="13"/>
      <c r="V666" s="13"/>
      <c r="W666" s="13"/>
      <c r="X666" s="13"/>
      <c r="Y666" s="13"/>
      <c r="Z666" s="13"/>
      <c r="AA666" s="13"/>
      <c r="AB666" s="13"/>
      <c r="AC666" s="13"/>
    </row>
    <row r="667" ht="16.5" customHeight="1">
      <c r="A667" s="13"/>
      <c r="B667" s="13"/>
      <c r="C667" s="13"/>
      <c r="D667" s="13"/>
      <c r="E667" s="13"/>
      <c r="F667" s="13"/>
      <c r="G667" s="13"/>
      <c r="H667" s="13"/>
      <c r="I667" s="13"/>
      <c r="J667" s="13"/>
      <c r="K667" s="205"/>
      <c r="L667" s="13"/>
      <c r="M667" s="13"/>
      <c r="N667" s="13"/>
      <c r="O667" s="205"/>
      <c r="P667" s="13"/>
      <c r="Q667" s="13"/>
      <c r="R667" s="177"/>
      <c r="S667" s="35"/>
      <c r="T667" s="35"/>
      <c r="U667" s="13"/>
      <c r="V667" s="13"/>
      <c r="W667" s="13"/>
      <c r="X667" s="13"/>
      <c r="Y667" s="13"/>
      <c r="Z667" s="13"/>
      <c r="AA667" s="13"/>
      <c r="AB667" s="13"/>
      <c r="AC667" s="13"/>
    </row>
    <row r="668" ht="16.5" customHeight="1">
      <c r="A668" s="13"/>
      <c r="B668" s="13"/>
      <c r="C668" s="13"/>
      <c r="D668" s="13"/>
      <c r="E668" s="13"/>
      <c r="F668" s="13"/>
      <c r="G668" s="13"/>
      <c r="H668" s="13"/>
      <c r="I668" s="13"/>
      <c r="J668" s="13"/>
      <c r="K668" s="205"/>
      <c r="L668" s="13"/>
      <c r="M668" s="13"/>
      <c r="N668" s="13"/>
      <c r="O668" s="205"/>
      <c r="P668" s="13"/>
      <c r="Q668" s="13"/>
      <c r="R668" s="177"/>
      <c r="S668" s="35"/>
      <c r="T668" s="35"/>
      <c r="U668" s="13"/>
      <c r="V668" s="13"/>
      <c r="W668" s="13"/>
      <c r="X668" s="13"/>
      <c r="Y668" s="13"/>
      <c r="Z668" s="13"/>
      <c r="AA668" s="13"/>
      <c r="AB668" s="13"/>
      <c r="AC668" s="13"/>
    </row>
    <row r="669" ht="16.5" customHeight="1">
      <c r="A669" s="13"/>
      <c r="B669" s="13"/>
      <c r="C669" s="13"/>
      <c r="D669" s="13"/>
      <c r="E669" s="13"/>
      <c r="F669" s="13"/>
      <c r="G669" s="13"/>
      <c r="H669" s="13"/>
      <c r="I669" s="13"/>
      <c r="J669" s="13"/>
      <c r="K669" s="205"/>
      <c r="L669" s="13"/>
      <c r="M669" s="13"/>
      <c r="N669" s="13"/>
      <c r="O669" s="205"/>
      <c r="P669" s="13"/>
      <c r="Q669" s="13"/>
      <c r="R669" s="177"/>
      <c r="S669" s="35"/>
      <c r="T669" s="35"/>
      <c r="U669" s="13"/>
      <c r="V669" s="13"/>
      <c r="W669" s="13"/>
      <c r="X669" s="13"/>
      <c r="Y669" s="13"/>
      <c r="Z669" s="13"/>
      <c r="AA669" s="13"/>
      <c r="AB669" s="13"/>
      <c r="AC669" s="13"/>
    </row>
    <row r="670" ht="16.5" customHeight="1">
      <c r="A670" s="13"/>
      <c r="B670" s="13"/>
      <c r="C670" s="13"/>
      <c r="D670" s="13"/>
      <c r="E670" s="13"/>
      <c r="F670" s="13"/>
      <c r="G670" s="13"/>
      <c r="H670" s="13"/>
      <c r="I670" s="13"/>
      <c r="J670" s="13"/>
      <c r="K670" s="205"/>
      <c r="L670" s="13"/>
      <c r="M670" s="13"/>
      <c r="N670" s="13"/>
      <c r="O670" s="205"/>
      <c r="P670" s="13"/>
      <c r="Q670" s="13"/>
      <c r="R670" s="177"/>
      <c r="S670" s="35"/>
      <c r="T670" s="35"/>
      <c r="U670" s="13"/>
      <c r="V670" s="13"/>
      <c r="W670" s="13"/>
      <c r="X670" s="13"/>
      <c r="Y670" s="13"/>
      <c r="Z670" s="13"/>
      <c r="AA670" s="13"/>
      <c r="AB670" s="13"/>
      <c r="AC670" s="13"/>
    </row>
    <row r="671" ht="16.5" customHeight="1">
      <c r="A671" s="13"/>
      <c r="B671" s="13"/>
      <c r="C671" s="13"/>
      <c r="D671" s="13"/>
      <c r="E671" s="13"/>
      <c r="F671" s="13"/>
      <c r="G671" s="13"/>
      <c r="H671" s="13"/>
      <c r="I671" s="13"/>
      <c r="J671" s="13"/>
      <c r="K671" s="205"/>
      <c r="L671" s="13"/>
      <c r="M671" s="13"/>
      <c r="N671" s="13"/>
      <c r="O671" s="205"/>
      <c r="P671" s="13"/>
      <c r="Q671" s="13"/>
      <c r="R671" s="177"/>
      <c r="S671" s="35"/>
      <c r="T671" s="35"/>
      <c r="U671" s="13"/>
      <c r="V671" s="13"/>
      <c r="W671" s="13"/>
      <c r="X671" s="13"/>
      <c r="Y671" s="13"/>
      <c r="Z671" s="13"/>
      <c r="AA671" s="13"/>
      <c r="AB671" s="13"/>
      <c r="AC671" s="13"/>
    </row>
    <row r="672" ht="16.5" customHeight="1">
      <c r="A672" s="13"/>
      <c r="B672" s="13"/>
      <c r="C672" s="13"/>
      <c r="D672" s="13"/>
      <c r="E672" s="13"/>
      <c r="F672" s="13"/>
      <c r="G672" s="13"/>
      <c r="H672" s="13"/>
      <c r="I672" s="13"/>
      <c r="J672" s="13"/>
      <c r="K672" s="205"/>
      <c r="L672" s="13"/>
      <c r="M672" s="13"/>
      <c r="N672" s="13"/>
      <c r="O672" s="205"/>
      <c r="P672" s="13"/>
      <c r="Q672" s="13"/>
      <c r="R672" s="177"/>
      <c r="S672" s="35"/>
      <c r="T672" s="35"/>
      <c r="U672" s="13"/>
      <c r="V672" s="13"/>
      <c r="W672" s="13"/>
      <c r="X672" s="13"/>
      <c r="Y672" s="13"/>
      <c r="Z672" s="13"/>
      <c r="AA672" s="13"/>
      <c r="AB672" s="13"/>
      <c r="AC672" s="13"/>
    </row>
    <row r="673" ht="16.5" customHeight="1">
      <c r="A673" s="13"/>
      <c r="B673" s="13"/>
      <c r="C673" s="13"/>
      <c r="D673" s="13"/>
      <c r="E673" s="13"/>
      <c r="F673" s="13"/>
      <c r="G673" s="13"/>
      <c r="H673" s="13"/>
      <c r="I673" s="13"/>
      <c r="J673" s="13"/>
      <c r="K673" s="205"/>
      <c r="L673" s="13"/>
      <c r="M673" s="13"/>
      <c r="N673" s="13"/>
      <c r="O673" s="205"/>
      <c r="P673" s="13"/>
      <c r="Q673" s="13"/>
      <c r="R673" s="177"/>
      <c r="S673" s="35"/>
      <c r="T673" s="35"/>
      <c r="U673" s="13"/>
      <c r="V673" s="13"/>
      <c r="W673" s="13"/>
      <c r="X673" s="13"/>
      <c r="Y673" s="13"/>
      <c r="Z673" s="13"/>
      <c r="AA673" s="13"/>
      <c r="AB673" s="13"/>
      <c r="AC673" s="13"/>
    </row>
    <row r="674" ht="16.5" customHeight="1">
      <c r="A674" s="13"/>
      <c r="B674" s="13"/>
      <c r="C674" s="13"/>
      <c r="D674" s="13"/>
      <c r="E674" s="13"/>
      <c r="F674" s="13"/>
      <c r="G674" s="13"/>
      <c r="H674" s="13"/>
      <c r="I674" s="13"/>
      <c r="J674" s="13"/>
      <c r="K674" s="205"/>
      <c r="L674" s="13"/>
      <c r="M674" s="13"/>
      <c r="N674" s="13"/>
      <c r="O674" s="205"/>
      <c r="P674" s="13"/>
      <c r="Q674" s="13"/>
      <c r="R674" s="177"/>
      <c r="S674" s="35"/>
      <c r="T674" s="35"/>
      <c r="U674" s="13"/>
      <c r="V674" s="13"/>
      <c r="W674" s="13"/>
      <c r="X674" s="13"/>
      <c r="Y674" s="13"/>
      <c r="Z674" s="13"/>
      <c r="AA674" s="13"/>
      <c r="AB674" s="13"/>
      <c r="AC674" s="13"/>
    </row>
    <row r="675" ht="16.5" customHeight="1">
      <c r="A675" s="13"/>
      <c r="B675" s="13"/>
      <c r="C675" s="13"/>
      <c r="D675" s="13"/>
      <c r="E675" s="13"/>
      <c r="F675" s="13"/>
      <c r="G675" s="13"/>
      <c r="H675" s="13"/>
      <c r="I675" s="13"/>
      <c r="J675" s="13"/>
      <c r="K675" s="205"/>
      <c r="L675" s="13"/>
      <c r="M675" s="13"/>
      <c r="N675" s="13"/>
      <c r="O675" s="205"/>
      <c r="P675" s="13"/>
      <c r="Q675" s="13"/>
      <c r="R675" s="177"/>
      <c r="S675" s="35"/>
      <c r="T675" s="35"/>
      <c r="U675" s="13"/>
      <c r="V675" s="13"/>
      <c r="W675" s="13"/>
      <c r="X675" s="13"/>
      <c r="Y675" s="13"/>
      <c r="Z675" s="13"/>
      <c r="AA675" s="13"/>
      <c r="AB675" s="13"/>
      <c r="AC675" s="13"/>
    </row>
    <row r="676" ht="16.5" customHeight="1">
      <c r="A676" s="13"/>
      <c r="B676" s="13"/>
      <c r="C676" s="13"/>
      <c r="D676" s="13"/>
      <c r="E676" s="13"/>
      <c r="F676" s="13"/>
      <c r="G676" s="13"/>
      <c r="H676" s="13"/>
      <c r="I676" s="13"/>
      <c r="J676" s="13"/>
      <c r="K676" s="205"/>
      <c r="L676" s="13"/>
      <c r="M676" s="13"/>
      <c r="N676" s="13"/>
      <c r="O676" s="205"/>
      <c r="P676" s="13"/>
      <c r="Q676" s="13"/>
      <c r="R676" s="177"/>
      <c r="S676" s="35"/>
      <c r="T676" s="35"/>
      <c r="U676" s="13"/>
      <c r="V676" s="13"/>
      <c r="W676" s="13"/>
      <c r="X676" s="13"/>
      <c r="Y676" s="13"/>
      <c r="Z676" s="13"/>
      <c r="AA676" s="13"/>
      <c r="AB676" s="13"/>
      <c r="AC676" s="13"/>
    </row>
    <row r="677" ht="16.5" customHeight="1">
      <c r="A677" s="13"/>
      <c r="B677" s="13"/>
      <c r="C677" s="13"/>
      <c r="D677" s="13"/>
      <c r="E677" s="13"/>
      <c r="F677" s="13"/>
      <c r="G677" s="13"/>
      <c r="H677" s="13"/>
      <c r="I677" s="13"/>
      <c r="J677" s="13"/>
      <c r="K677" s="205"/>
      <c r="L677" s="13"/>
      <c r="M677" s="13"/>
      <c r="N677" s="13"/>
      <c r="O677" s="205"/>
      <c r="P677" s="13"/>
      <c r="Q677" s="13"/>
      <c r="R677" s="177"/>
      <c r="S677" s="35"/>
      <c r="T677" s="35"/>
      <c r="U677" s="13"/>
      <c r="V677" s="13"/>
      <c r="W677" s="13"/>
      <c r="X677" s="13"/>
      <c r="Y677" s="13"/>
      <c r="Z677" s="13"/>
      <c r="AA677" s="13"/>
      <c r="AB677" s="13"/>
      <c r="AC677" s="13"/>
    </row>
    <row r="678" ht="16.5" customHeight="1">
      <c r="A678" s="13"/>
      <c r="B678" s="13"/>
      <c r="C678" s="13"/>
      <c r="D678" s="13"/>
      <c r="E678" s="13"/>
      <c r="F678" s="13"/>
      <c r="G678" s="13"/>
      <c r="H678" s="13"/>
      <c r="I678" s="13"/>
      <c r="J678" s="13"/>
      <c r="K678" s="205"/>
      <c r="L678" s="13"/>
      <c r="M678" s="13"/>
      <c r="N678" s="13"/>
      <c r="O678" s="205"/>
      <c r="P678" s="13"/>
      <c r="Q678" s="13"/>
      <c r="R678" s="177"/>
      <c r="S678" s="35"/>
      <c r="T678" s="35"/>
      <c r="U678" s="13"/>
      <c r="V678" s="13"/>
      <c r="W678" s="13"/>
      <c r="X678" s="13"/>
      <c r="Y678" s="13"/>
      <c r="Z678" s="13"/>
      <c r="AA678" s="13"/>
      <c r="AB678" s="13"/>
      <c r="AC678" s="13"/>
    </row>
    <row r="679" ht="16.5" customHeight="1">
      <c r="A679" s="13"/>
      <c r="B679" s="13"/>
      <c r="C679" s="13"/>
      <c r="D679" s="13"/>
      <c r="E679" s="13"/>
      <c r="F679" s="13"/>
      <c r="G679" s="13"/>
      <c r="H679" s="13"/>
      <c r="I679" s="13"/>
      <c r="J679" s="13"/>
      <c r="K679" s="205"/>
      <c r="L679" s="13"/>
      <c r="M679" s="13"/>
      <c r="N679" s="13"/>
      <c r="O679" s="205"/>
      <c r="P679" s="13"/>
      <c r="Q679" s="13"/>
      <c r="R679" s="177"/>
      <c r="S679" s="35"/>
      <c r="T679" s="35"/>
      <c r="U679" s="13"/>
      <c r="V679" s="13"/>
      <c r="W679" s="13"/>
      <c r="X679" s="13"/>
      <c r="Y679" s="13"/>
      <c r="Z679" s="13"/>
      <c r="AA679" s="13"/>
      <c r="AB679" s="13"/>
      <c r="AC679" s="13"/>
    </row>
    <row r="680" ht="16.5" customHeight="1">
      <c r="A680" s="13"/>
      <c r="B680" s="13"/>
      <c r="C680" s="13"/>
      <c r="D680" s="13"/>
      <c r="E680" s="13"/>
      <c r="F680" s="13"/>
      <c r="G680" s="13"/>
      <c r="H680" s="13"/>
      <c r="I680" s="13"/>
      <c r="J680" s="13"/>
      <c r="K680" s="205"/>
      <c r="L680" s="13"/>
      <c r="M680" s="13"/>
      <c r="N680" s="13"/>
      <c r="O680" s="205"/>
      <c r="P680" s="13"/>
      <c r="Q680" s="13"/>
      <c r="R680" s="177"/>
      <c r="S680" s="35"/>
      <c r="T680" s="35"/>
      <c r="U680" s="13"/>
      <c r="V680" s="13"/>
      <c r="W680" s="13"/>
      <c r="X680" s="13"/>
      <c r="Y680" s="13"/>
      <c r="Z680" s="13"/>
      <c r="AA680" s="13"/>
      <c r="AB680" s="13"/>
      <c r="AC680" s="13"/>
    </row>
    <row r="681" ht="16.5" customHeight="1">
      <c r="A681" s="13"/>
      <c r="B681" s="13"/>
      <c r="C681" s="13"/>
      <c r="D681" s="13"/>
      <c r="E681" s="13"/>
      <c r="F681" s="13"/>
      <c r="G681" s="13"/>
      <c r="H681" s="13"/>
      <c r="I681" s="13"/>
      <c r="J681" s="13"/>
      <c r="K681" s="205"/>
      <c r="L681" s="13"/>
      <c r="M681" s="13"/>
      <c r="N681" s="13"/>
      <c r="O681" s="205"/>
      <c r="P681" s="13"/>
      <c r="Q681" s="13"/>
      <c r="R681" s="177"/>
      <c r="S681" s="35"/>
      <c r="T681" s="35"/>
      <c r="U681" s="13"/>
      <c r="V681" s="13"/>
      <c r="W681" s="13"/>
      <c r="X681" s="13"/>
      <c r="Y681" s="13"/>
      <c r="Z681" s="13"/>
      <c r="AA681" s="13"/>
      <c r="AB681" s="13"/>
      <c r="AC681" s="13"/>
    </row>
    <row r="682" ht="16.5" customHeight="1">
      <c r="A682" s="13"/>
      <c r="B682" s="13"/>
      <c r="C682" s="13"/>
      <c r="D682" s="13"/>
      <c r="E682" s="13"/>
      <c r="F682" s="13"/>
      <c r="G682" s="13"/>
      <c r="H682" s="13"/>
      <c r="I682" s="13"/>
      <c r="J682" s="13"/>
      <c r="K682" s="205"/>
      <c r="L682" s="13"/>
      <c r="M682" s="13"/>
      <c r="N682" s="13"/>
      <c r="O682" s="205"/>
      <c r="P682" s="13"/>
      <c r="Q682" s="13"/>
      <c r="R682" s="177"/>
      <c r="S682" s="35"/>
      <c r="T682" s="35"/>
      <c r="U682" s="13"/>
      <c r="V682" s="13"/>
      <c r="W682" s="13"/>
      <c r="X682" s="13"/>
      <c r="Y682" s="13"/>
      <c r="Z682" s="13"/>
      <c r="AA682" s="13"/>
      <c r="AB682" s="13"/>
      <c r="AC682" s="13"/>
    </row>
    <row r="683" ht="16.5" customHeight="1">
      <c r="A683" s="13"/>
      <c r="B683" s="13"/>
      <c r="C683" s="13"/>
      <c r="D683" s="13"/>
      <c r="E683" s="13"/>
      <c r="F683" s="13"/>
      <c r="G683" s="13"/>
      <c r="H683" s="13"/>
      <c r="I683" s="13"/>
      <c r="J683" s="13"/>
      <c r="K683" s="205"/>
      <c r="L683" s="13"/>
      <c r="M683" s="13"/>
      <c r="N683" s="13"/>
      <c r="O683" s="205"/>
      <c r="P683" s="13"/>
      <c r="Q683" s="13"/>
      <c r="R683" s="177"/>
      <c r="S683" s="35"/>
      <c r="T683" s="35"/>
      <c r="U683" s="13"/>
      <c r="V683" s="13"/>
      <c r="W683" s="13"/>
      <c r="X683" s="13"/>
      <c r="Y683" s="13"/>
      <c r="Z683" s="13"/>
      <c r="AA683" s="13"/>
      <c r="AB683" s="13"/>
      <c r="AC683" s="13"/>
    </row>
    <row r="684" ht="16.5" customHeight="1">
      <c r="A684" s="13"/>
      <c r="B684" s="13"/>
      <c r="C684" s="13"/>
      <c r="D684" s="13"/>
      <c r="E684" s="13"/>
      <c r="F684" s="13"/>
      <c r="G684" s="13"/>
      <c r="H684" s="13"/>
      <c r="I684" s="13"/>
      <c r="J684" s="13"/>
      <c r="K684" s="205"/>
      <c r="L684" s="13"/>
      <c r="M684" s="13"/>
      <c r="N684" s="13"/>
      <c r="O684" s="205"/>
      <c r="P684" s="13"/>
      <c r="Q684" s="13"/>
      <c r="R684" s="177"/>
      <c r="S684" s="35"/>
      <c r="T684" s="35"/>
      <c r="U684" s="13"/>
      <c r="V684" s="13"/>
      <c r="W684" s="13"/>
      <c r="X684" s="13"/>
      <c r="Y684" s="13"/>
      <c r="Z684" s="13"/>
      <c r="AA684" s="13"/>
      <c r="AB684" s="13"/>
      <c r="AC684" s="13"/>
    </row>
    <row r="685" ht="16.5" customHeight="1">
      <c r="A685" s="13"/>
      <c r="B685" s="13"/>
      <c r="C685" s="13"/>
      <c r="D685" s="13"/>
      <c r="E685" s="13"/>
      <c r="F685" s="13"/>
      <c r="G685" s="13"/>
      <c r="H685" s="13"/>
      <c r="I685" s="13"/>
      <c r="J685" s="13"/>
      <c r="K685" s="205"/>
      <c r="L685" s="13"/>
      <c r="M685" s="13"/>
      <c r="N685" s="13"/>
      <c r="O685" s="205"/>
      <c r="P685" s="13"/>
      <c r="Q685" s="13"/>
      <c r="R685" s="177"/>
      <c r="S685" s="35"/>
      <c r="T685" s="35"/>
      <c r="U685" s="13"/>
      <c r="V685" s="13"/>
      <c r="W685" s="13"/>
      <c r="X685" s="13"/>
      <c r="Y685" s="13"/>
      <c r="Z685" s="13"/>
      <c r="AA685" s="13"/>
      <c r="AB685" s="13"/>
      <c r="AC685" s="13"/>
    </row>
    <row r="686" ht="16.5" customHeight="1">
      <c r="A686" s="13"/>
      <c r="B686" s="13"/>
      <c r="C686" s="13"/>
      <c r="D686" s="13"/>
      <c r="E686" s="13"/>
      <c r="F686" s="13"/>
      <c r="G686" s="13"/>
      <c r="H686" s="13"/>
      <c r="I686" s="13"/>
      <c r="J686" s="13"/>
      <c r="K686" s="205"/>
      <c r="L686" s="13"/>
      <c r="M686" s="13"/>
      <c r="N686" s="13"/>
      <c r="O686" s="205"/>
      <c r="P686" s="13"/>
      <c r="Q686" s="13"/>
      <c r="R686" s="177"/>
      <c r="S686" s="35"/>
      <c r="T686" s="35"/>
      <c r="U686" s="13"/>
      <c r="V686" s="13"/>
      <c r="W686" s="13"/>
      <c r="X686" s="13"/>
      <c r="Y686" s="13"/>
      <c r="Z686" s="13"/>
      <c r="AA686" s="13"/>
      <c r="AB686" s="13"/>
      <c r="AC686" s="13"/>
    </row>
    <row r="687" ht="16.5" customHeight="1">
      <c r="A687" s="13"/>
      <c r="B687" s="13"/>
      <c r="C687" s="13"/>
      <c r="D687" s="13"/>
      <c r="E687" s="13"/>
      <c r="F687" s="13"/>
      <c r="G687" s="13"/>
      <c r="H687" s="13"/>
      <c r="I687" s="13"/>
      <c r="J687" s="13"/>
      <c r="K687" s="205"/>
      <c r="L687" s="13"/>
      <c r="M687" s="13"/>
      <c r="N687" s="13"/>
      <c r="O687" s="205"/>
      <c r="P687" s="13"/>
      <c r="Q687" s="13"/>
      <c r="R687" s="177"/>
      <c r="S687" s="35"/>
      <c r="T687" s="35"/>
      <c r="U687" s="13"/>
      <c r="V687" s="13"/>
      <c r="W687" s="13"/>
      <c r="X687" s="13"/>
      <c r="Y687" s="13"/>
      <c r="Z687" s="13"/>
      <c r="AA687" s="13"/>
      <c r="AB687" s="13"/>
      <c r="AC687" s="13"/>
    </row>
    <row r="688" ht="16.5" customHeight="1">
      <c r="A688" s="13"/>
      <c r="B688" s="13"/>
      <c r="C688" s="13"/>
      <c r="D688" s="13"/>
      <c r="E688" s="13"/>
      <c r="F688" s="13"/>
      <c r="G688" s="13"/>
      <c r="H688" s="13"/>
      <c r="I688" s="13"/>
      <c r="J688" s="13"/>
      <c r="K688" s="205"/>
      <c r="L688" s="13"/>
      <c r="M688" s="13"/>
      <c r="N688" s="13"/>
      <c r="O688" s="205"/>
      <c r="P688" s="13"/>
      <c r="Q688" s="13"/>
      <c r="R688" s="177"/>
      <c r="S688" s="35"/>
      <c r="T688" s="35"/>
      <c r="U688" s="13"/>
      <c r="V688" s="13"/>
      <c r="W688" s="13"/>
      <c r="X688" s="13"/>
      <c r="Y688" s="13"/>
      <c r="Z688" s="13"/>
      <c r="AA688" s="13"/>
      <c r="AB688" s="13"/>
      <c r="AC688" s="13"/>
    </row>
    <row r="689" ht="16.5" customHeight="1">
      <c r="A689" s="13"/>
      <c r="B689" s="13"/>
      <c r="C689" s="13"/>
      <c r="D689" s="13"/>
      <c r="E689" s="13"/>
      <c r="F689" s="13"/>
      <c r="G689" s="13"/>
      <c r="H689" s="13"/>
      <c r="I689" s="13"/>
      <c r="J689" s="13"/>
      <c r="K689" s="205"/>
      <c r="L689" s="13"/>
      <c r="M689" s="13"/>
      <c r="N689" s="13"/>
      <c r="O689" s="205"/>
      <c r="P689" s="13"/>
      <c r="Q689" s="13"/>
      <c r="R689" s="177"/>
      <c r="S689" s="35"/>
      <c r="T689" s="35"/>
      <c r="U689" s="13"/>
      <c r="V689" s="13"/>
      <c r="W689" s="13"/>
      <c r="X689" s="13"/>
      <c r="Y689" s="13"/>
      <c r="Z689" s="13"/>
      <c r="AA689" s="13"/>
      <c r="AB689" s="13"/>
      <c r="AC689" s="13"/>
    </row>
    <row r="690" ht="16.5" customHeight="1">
      <c r="A690" s="13"/>
      <c r="B690" s="13"/>
      <c r="C690" s="13"/>
      <c r="D690" s="13"/>
      <c r="E690" s="13"/>
      <c r="F690" s="13"/>
      <c r="G690" s="13"/>
      <c r="H690" s="13"/>
      <c r="I690" s="13"/>
      <c r="J690" s="13"/>
      <c r="K690" s="205"/>
      <c r="L690" s="13"/>
      <c r="M690" s="13"/>
      <c r="N690" s="13"/>
      <c r="O690" s="205"/>
      <c r="P690" s="13"/>
      <c r="Q690" s="13"/>
      <c r="R690" s="177"/>
      <c r="S690" s="35"/>
      <c r="T690" s="35"/>
      <c r="U690" s="13"/>
      <c r="V690" s="13"/>
      <c r="W690" s="13"/>
      <c r="X690" s="13"/>
      <c r="Y690" s="13"/>
      <c r="Z690" s="13"/>
      <c r="AA690" s="13"/>
      <c r="AB690" s="13"/>
      <c r="AC690" s="13"/>
    </row>
    <row r="691" ht="16.5" customHeight="1">
      <c r="A691" s="13"/>
      <c r="B691" s="13"/>
      <c r="C691" s="13"/>
      <c r="D691" s="13"/>
      <c r="E691" s="13"/>
      <c r="F691" s="13"/>
      <c r="G691" s="13"/>
      <c r="H691" s="13"/>
      <c r="I691" s="13"/>
      <c r="J691" s="13"/>
      <c r="K691" s="205"/>
      <c r="L691" s="13"/>
      <c r="M691" s="13"/>
      <c r="N691" s="13"/>
      <c r="O691" s="205"/>
      <c r="P691" s="13"/>
      <c r="Q691" s="13"/>
      <c r="R691" s="177"/>
      <c r="S691" s="35"/>
      <c r="T691" s="35"/>
      <c r="U691" s="13"/>
      <c r="V691" s="13"/>
      <c r="W691" s="13"/>
      <c r="X691" s="13"/>
      <c r="Y691" s="13"/>
      <c r="Z691" s="13"/>
      <c r="AA691" s="13"/>
      <c r="AB691" s="13"/>
      <c r="AC691" s="13"/>
    </row>
    <row r="692" ht="16.5" customHeight="1">
      <c r="A692" s="13"/>
      <c r="B692" s="13"/>
      <c r="C692" s="13"/>
      <c r="D692" s="13"/>
      <c r="E692" s="13"/>
      <c r="F692" s="13"/>
      <c r="G692" s="13"/>
      <c r="H692" s="13"/>
      <c r="I692" s="13"/>
      <c r="J692" s="13"/>
      <c r="K692" s="205"/>
      <c r="L692" s="13"/>
      <c r="M692" s="13"/>
      <c r="N692" s="13"/>
      <c r="O692" s="205"/>
      <c r="P692" s="13"/>
      <c r="Q692" s="13"/>
      <c r="R692" s="177"/>
      <c r="S692" s="35"/>
      <c r="T692" s="35"/>
      <c r="U692" s="13"/>
      <c r="V692" s="13"/>
      <c r="W692" s="13"/>
      <c r="X692" s="13"/>
      <c r="Y692" s="13"/>
      <c r="Z692" s="13"/>
      <c r="AA692" s="13"/>
      <c r="AB692" s="13"/>
      <c r="AC692" s="13"/>
    </row>
    <row r="693" ht="16.5" customHeight="1">
      <c r="A693" s="13"/>
      <c r="B693" s="13"/>
      <c r="C693" s="13"/>
      <c r="D693" s="13"/>
      <c r="E693" s="13"/>
      <c r="F693" s="13"/>
      <c r="G693" s="13"/>
      <c r="H693" s="13"/>
      <c r="I693" s="13"/>
      <c r="J693" s="13"/>
      <c r="K693" s="205"/>
      <c r="L693" s="13"/>
      <c r="M693" s="13"/>
      <c r="N693" s="13"/>
      <c r="O693" s="205"/>
      <c r="P693" s="13"/>
      <c r="Q693" s="13"/>
      <c r="R693" s="177"/>
      <c r="S693" s="35"/>
      <c r="T693" s="35"/>
      <c r="U693" s="13"/>
      <c r="V693" s="13"/>
      <c r="W693" s="13"/>
      <c r="X693" s="13"/>
      <c r="Y693" s="13"/>
      <c r="Z693" s="13"/>
      <c r="AA693" s="13"/>
      <c r="AB693" s="13"/>
      <c r="AC693" s="13"/>
    </row>
    <row r="694" ht="16.5" customHeight="1">
      <c r="A694" s="13"/>
      <c r="B694" s="13"/>
      <c r="C694" s="13"/>
      <c r="D694" s="13"/>
      <c r="E694" s="13"/>
      <c r="F694" s="13"/>
      <c r="G694" s="13"/>
      <c r="H694" s="13"/>
      <c r="I694" s="13"/>
      <c r="J694" s="13"/>
      <c r="K694" s="205"/>
      <c r="L694" s="13"/>
      <c r="M694" s="13"/>
      <c r="N694" s="13"/>
      <c r="O694" s="205"/>
      <c r="P694" s="13"/>
      <c r="Q694" s="13"/>
      <c r="R694" s="177"/>
      <c r="S694" s="35"/>
      <c r="T694" s="35"/>
      <c r="U694" s="13"/>
      <c r="V694" s="13"/>
      <c r="W694" s="13"/>
      <c r="X694" s="13"/>
      <c r="Y694" s="13"/>
      <c r="Z694" s="13"/>
      <c r="AA694" s="13"/>
      <c r="AB694" s="13"/>
      <c r="AC694" s="13"/>
    </row>
    <row r="695" ht="16.5" customHeight="1">
      <c r="A695" s="13"/>
      <c r="B695" s="13"/>
      <c r="C695" s="13"/>
      <c r="D695" s="13"/>
      <c r="E695" s="13"/>
      <c r="F695" s="13"/>
      <c r="G695" s="13"/>
      <c r="H695" s="13"/>
      <c r="I695" s="13"/>
      <c r="J695" s="13"/>
      <c r="K695" s="205"/>
      <c r="L695" s="13"/>
      <c r="M695" s="13"/>
      <c r="N695" s="13"/>
      <c r="O695" s="205"/>
      <c r="P695" s="13"/>
      <c r="Q695" s="13"/>
      <c r="R695" s="177"/>
      <c r="S695" s="35"/>
      <c r="T695" s="35"/>
      <c r="U695" s="13"/>
      <c r="V695" s="13"/>
      <c r="W695" s="13"/>
      <c r="X695" s="13"/>
      <c r="Y695" s="13"/>
      <c r="Z695" s="13"/>
      <c r="AA695" s="13"/>
      <c r="AB695" s="13"/>
      <c r="AC695" s="13"/>
    </row>
    <row r="696" ht="16.5" customHeight="1">
      <c r="A696" s="13"/>
      <c r="B696" s="13"/>
      <c r="C696" s="13"/>
      <c r="D696" s="13"/>
      <c r="E696" s="13"/>
      <c r="F696" s="13"/>
      <c r="G696" s="13"/>
      <c r="H696" s="13"/>
      <c r="I696" s="13"/>
      <c r="J696" s="13"/>
      <c r="K696" s="205"/>
      <c r="L696" s="13"/>
      <c r="M696" s="13"/>
      <c r="N696" s="13"/>
      <c r="O696" s="205"/>
      <c r="P696" s="13"/>
      <c r="Q696" s="13"/>
      <c r="R696" s="177"/>
      <c r="S696" s="35"/>
      <c r="T696" s="35"/>
      <c r="U696" s="13"/>
      <c r="V696" s="13"/>
      <c r="W696" s="13"/>
      <c r="X696" s="13"/>
      <c r="Y696" s="13"/>
      <c r="Z696" s="13"/>
      <c r="AA696" s="13"/>
      <c r="AB696" s="13"/>
      <c r="AC696" s="13"/>
    </row>
    <row r="697" ht="16.5" customHeight="1">
      <c r="A697" s="13"/>
      <c r="B697" s="13"/>
      <c r="C697" s="13"/>
      <c r="D697" s="13"/>
      <c r="E697" s="13"/>
      <c r="F697" s="13"/>
      <c r="G697" s="13"/>
      <c r="H697" s="13"/>
      <c r="I697" s="13"/>
      <c r="J697" s="13"/>
      <c r="K697" s="205"/>
      <c r="L697" s="13"/>
      <c r="M697" s="13"/>
      <c r="N697" s="13"/>
      <c r="O697" s="205"/>
      <c r="P697" s="13"/>
      <c r="Q697" s="13"/>
      <c r="R697" s="177"/>
      <c r="S697" s="35"/>
      <c r="T697" s="35"/>
      <c r="U697" s="13"/>
      <c r="V697" s="13"/>
      <c r="W697" s="13"/>
      <c r="X697" s="13"/>
      <c r="Y697" s="13"/>
      <c r="Z697" s="13"/>
      <c r="AA697" s="13"/>
      <c r="AB697" s="13"/>
      <c r="AC697" s="13"/>
    </row>
    <row r="698" ht="16.5" customHeight="1">
      <c r="A698" s="13"/>
      <c r="B698" s="13"/>
      <c r="C698" s="13"/>
      <c r="D698" s="13"/>
      <c r="E698" s="13"/>
      <c r="F698" s="13"/>
      <c r="G698" s="13"/>
      <c r="H698" s="13"/>
      <c r="I698" s="13"/>
      <c r="J698" s="13"/>
      <c r="K698" s="205"/>
      <c r="L698" s="13"/>
      <c r="M698" s="13"/>
      <c r="N698" s="13"/>
      <c r="O698" s="205"/>
      <c r="P698" s="13"/>
      <c r="Q698" s="13"/>
      <c r="R698" s="177"/>
      <c r="S698" s="35"/>
      <c r="T698" s="35"/>
      <c r="U698" s="13"/>
      <c r="V698" s="13"/>
      <c r="W698" s="13"/>
      <c r="X698" s="13"/>
      <c r="Y698" s="13"/>
      <c r="Z698" s="13"/>
      <c r="AA698" s="13"/>
      <c r="AB698" s="13"/>
      <c r="AC698" s="13"/>
    </row>
    <row r="699" ht="16.5" customHeight="1">
      <c r="A699" s="13"/>
      <c r="B699" s="13"/>
      <c r="C699" s="13"/>
      <c r="D699" s="13"/>
      <c r="E699" s="13"/>
      <c r="F699" s="13"/>
      <c r="G699" s="13"/>
      <c r="H699" s="13"/>
      <c r="I699" s="13"/>
      <c r="J699" s="13"/>
      <c r="K699" s="205"/>
      <c r="L699" s="13"/>
      <c r="M699" s="13"/>
      <c r="N699" s="13"/>
      <c r="O699" s="205"/>
      <c r="P699" s="13"/>
      <c r="Q699" s="13"/>
      <c r="R699" s="177"/>
      <c r="S699" s="35"/>
      <c r="T699" s="35"/>
      <c r="U699" s="13"/>
      <c r="V699" s="13"/>
      <c r="W699" s="13"/>
      <c r="X699" s="13"/>
      <c r="Y699" s="13"/>
      <c r="Z699" s="13"/>
      <c r="AA699" s="13"/>
      <c r="AB699" s="13"/>
      <c r="AC699" s="13"/>
    </row>
    <row r="700" ht="16.5" customHeight="1">
      <c r="A700" s="13"/>
      <c r="B700" s="13"/>
      <c r="C700" s="13"/>
      <c r="D700" s="13"/>
      <c r="E700" s="13"/>
      <c r="F700" s="13"/>
      <c r="G700" s="13"/>
      <c r="H700" s="13"/>
      <c r="I700" s="13"/>
      <c r="J700" s="13"/>
      <c r="K700" s="205"/>
      <c r="L700" s="13"/>
      <c r="M700" s="13"/>
      <c r="N700" s="13"/>
      <c r="O700" s="205"/>
      <c r="P700" s="13"/>
      <c r="Q700" s="13"/>
      <c r="R700" s="177"/>
      <c r="S700" s="35"/>
      <c r="T700" s="35"/>
      <c r="U700" s="13"/>
      <c r="V700" s="13"/>
      <c r="W700" s="13"/>
      <c r="X700" s="13"/>
      <c r="Y700" s="13"/>
      <c r="Z700" s="13"/>
      <c r="AA700" s="13"/>
      <c r="AB700" s="13"/>
      <c r="AC700" s="13"/>
    </row>
    <row r="701" ht="16.5" customHeight="1">
      <c r="A701" s="13"/>
      <c r="B701" s="13"/>
      <c r="C701" s="13"/>
      <c r="D701" s="13"/>
      <c r="E701" s="13"/>
      <c r="F701" s="13"/>
      <c r="G701" s="13"/>
      <c r="H701" s="13"/>
      <c r="I701" s="13"/>
      <c r="J701" s="13"/>
      <c r="K701" s="205"/>
      <c r="L701" s="13"/>
      <c r="M701" s="13"/>
      <c r="N701" s="13"/>
      <c r="O701" s="205"/>
      <c r="P701" s="13"/>
      <c r="Q701" s="13"/>
      <c r="R701" s="177"/>
      <c r="S701" s="35"/>
      <c r="T701" s="35"/>
      <c r="U701" s="13"/>
      <c r="V701" s="13"/>
      <c r="W701" s="13"/>
      <c r="X701" s="13"/>
      <c r="Y701" s="13"/>
      <c r="Z701" s="13"/>
      <c r="AA701" s="13"/>
      <c r="AB701" s="13"/>
      <c r="AC701" s="13"/>
    </row>
    <row r="702" ht="16.5" customHeight="1">
      <c r="A702" s="13"/>
      <c r="B702" s="13"/>
      <c r="C702" s="13"/>
      <c r="D702" s="13"/>
      <c r="E702" s="13"/>
      <c r="F702" s="13"/>
      <c r="G702" s="13"/>
      <c r="H702" s="13"/>
      <c r="I702" s="13"/>
      <c r="J702" s="13"/>
      <c r="K702" s="205"/>
      <c r="L702" s="13"/>
      <c r="M702" s="13"/>
      <c r="N702" s="13"/>
      <c r="O702" s="205"/>
      <c r="P702" s="13"/>
      <c r="Q702" s="13"/>
      <c r="R702" s="177"/>
      <c r="S702" s="35"/>
      <c r="T702" s="35"/>
      <c r="U702" s="13"/>
      <c r="V702" s="13"/>
      <c r="W702" s="13"/>
      <c r="X702" s="13"/>
      <c r="Y702" s="13"/>
      <c r="Z702" s="13"/>
      <c r="AA702" s="13"/>
      <c r="AB702" s="13"/>
      <c r="AC702" s="13"/>
    </row>
    <row r="703" ht="16.5" customHeight="1">
      <c r="A703" s="13"/>
      <c r="B703" s="13"/>
      <c r="C703" s="13"/>
      <c r="D703" s="13"/>
      <c r="E703" s="13"/>
      <c r="F703" s="13"/>
      <c r="G703" s="13"/>
      <c r="H703" s="13"/>
      <c r="I703" s="13"/>
      <c r="J703" s="13"/>
      <c r="K703" s="205"/>
      <c r="L703" s="13"/>
      <c r="M703" s="13"/>
      <c r="N703" s="13"/>
      <c r="O703" s="205"/>
      <c r="P703" s="13"/>
      <c r="Q703" s="13"/>
      <c r="R703" s="177"/>
      <c r="S703" s="35"/>
      <c r="T703" s="35"/>
      <c r="U703" s="13"/>
      <c r="V703" s="13"/>
      <c r="W703" s="13"/>
      <c r="X703" s="13"/>
      <c r="Y703" s="13"/>
      <c r="Z703" s="13"/>
      <c r="AA703" s="13"/>
      <c r="AB703" s="13"/>
      <c r="AC703" s="13"/>
    </row>
    <row r="704" ht="16.5" customHeight="1">
      <c r="A704" s="13"/>
      <c r="B704" s="13"/>
      <c r="C704" s="13"/>
      <c r="D704" s="13"/>
      <c r="E704" s="13"/>
      <c r="F704" s="13"/>
      <c r="G704" s="13"/>
      <c r="H704" s="13"/>
      <c r="I704" s="13"/>
      <c r="J704" s="13"/>
      <c r="K704" s="205"/>
      <c r="L704" s="13"/>
      <c r="M704" s="13"/>
      <c r="N704" s="13"/>
      <c r="O704" s="205"/>
      <c r="P704" s="13"/>
      <c r="Q704" s="13"/>
      <c r="R704" s="177"/>
      <c r="S704" s="35"/>
      <c r="T704" s="35"/>
      <c r="U704" s="13"/>
      <c r="V704" s="13"/>
      <c r="W704" s="13"/>
      <c r="X704" s="13"/>
      <c r="Y704" s="13"/>
      <c r="Z704" s="13"/>
      <c r="AA704" s="13"/>
      <c r="AB704" s="13"/>
      <c r="AC704" s="13"/>
    </row>
    <row r="705" ht="16.5" customHeight="1">
      <c r="A705" s="13"/>
      <c r="B705" s="13"/>
      <c r="C705" s="13"/>
      <c r="D705" s="13"/>
      <c r="E705" s="13"/>
      <c r="F705" s="13"/>
      <c r="G705" s="13"/>
      <c r="H705" s="13"/>
      <c r="I705" s="13"/>
      <c r="J705" s="13"/>
      <c r="K705" s="205"/>
      <c r="L705" s="13"/>
      <c r="M705" s="13"/>
      <c r="N705" s="13"/>
      <c r="O705" s="205"/>
      <c r="P705" s="13"/>
      <c r="Q705" s="13"/>
      <c r="R705" s="177"/>
      <c r="S705" s="35"/>
      <c r="T705" s="35"/>
      <c r="U705" s="13"/>
      <c r="V705" s="13"/>
      <c r="W705" s="13"/>
      <c r="X705" s="13"/>
      <c r="Y705" s="13"/>
      <c r="Z705" s="13"/>
      <c r="AA705" s="13"/>
      <c r="AB705" s="13"/>
      <c r="AC705" s="13"/>
    </row>
    <row r="706" ht="16.5" customHeight="1">
      <c r="A706" s="13"/>
      <c r="B706" s="13"/>
      <c r="C706" s="13"/>
      <c r="D706" s="13"/>
      <c r="E706" s="13"/>
      <c r="F706" s="13"/>
      <c r="G706" s="13"/>
      <c r="H706" s="13"/>
      <c r="I706" s="13"/>
      <c r="J706" s="13"/>
      <c r="K706" s="205"/>
      <c r="L706" s="13"/>
      <c r="M706" s="13"/>
      <c r="N706" s="13"/>
      <c r="O706" s="205"/>
      <c r="P706" s="13"/>
      <c r="Q706" s="13"/>
      <c r="R706" s="177"/>
      <c r="S706" s="35"/>
      <c r="T706" s="35"/>
      <c r="U706" s="13"/>
      <c r="V706" s="13"/>
      <c r="W706" s="13"/>
      <c r="X706" s="13"/>
      <c r="Y706" s="13"/>
      <c r="Z706" s="13"/>
      <c r="AA706" s="13"/>
      <c r="AB706" s="13"/>
      <c r="AC706" s="13"/>
    </row>
    <row r="707" ht="16.5" customHeight="1">
      <c r="A707" s="13"/>
      <c r="B707" s="13"/>
      <c r="C707" s="13"/>
      <c r="D707" s="13"/>
      <c r="E707" s="13"/>
      <c r="F707" s="13"/>
      <c r="G707" s="13"/>
      <c r="H707" s="13"/>
      <c r="I707" s="13"/>
      <c r="J707" s="13"/>
      <c r="K707" s="205"/>
      <c r="L707" s="13"/>
      <c r="M707" s="13"/>
      <c r="N707" s="13"/>
      <c r="O707" s="205"/>
      <c r="P707" s="13"/>
      <c r="Q707" s="13"/>
      <c r="R707" s="177"/>
      <c r="S707" s="35"/>
      <c r="T707" s="35"/>
      <c r="U707" s="13"/>
      <c r="V707" s="13"/>
      <c r="W707" s="13"/>
      <c r="X707" s="13"/>
      <c r="Y707" s="13"/>
      <c r="Z707" s="13"/>
      <c r="AA707" s="13"/>
      <c r="AB707" s="13"/>
      <c r="AC707" s="13"/>
    </row>
    <row r="708" ht="16.5" customHeight="1">
      <c r="A708" s="13"/>
      <c r="B708" s="13"/>
      <c r="C708" s="13"/>
      <c r="D708" s="13"/>
      <c r="E708" s="13"/>
      <c r="F708" s="13"/>
      <c r="G708" s="13"/>
      <c r="H708" s="13"/>
      <c r="I708" s="13"/>
      <c r="J708" s="13"/>
      <c r="K708" s="205"/>
      <c r="L708" s="13"/>
      <c r="M708" s="13"/>
      <c r="N708" s="13"/>
      <c r="O708" s="205"/>
      <c r="P708" s="13"/>
      <c r="Q708" s="13"/>
      <c r="R708" s="177"/>
      <c r="S708" s="35"/>
      <c r="T708" s="35"/>
      <c r="U708" s="13"/>
      <c r="V708" s="13"/>
      <c r="W708" s="13"/>
      <c r="X708" s="13"/>
      <c r="Y708" s="13"/>
      <c r="Z708" s="13"/>
      <c r="AA708" s="13"/>
      <c r="AB708" s="13"/>
      <c r="AC708" s="13"/>
    </row>
    <row r="709" ht="16.5" customHeight="1">
      <c r="A709" s="13"/>
      <c r="B709" s="13"/>
      <c r="C709" s="13"/>
      <c r="D709" s="13"/>
      <c r="E709" s="13"/>
      <c r="F709" s="13"/>
      <c r="G709" s="13"/>
      <c r="H709" s="13"/>
      <c r="I709" s="13"/>
      <c r="J709" s="13"/>
      <c r="K709" s="205"/>
      <c r="L709" s="13"/>
      <c r="M709" s="13"/>
      <c r="N709" s="13"/>
      <c r="O709" s="205"/>
      <c r="P709" s="13"/>
      <c r="Q709" s="13"/>
      <c r="R709" s="177"/>
      <c r="S709" s="35"/>
      <c r="T709" s="35"/>
      <c r="U709" s="13"/>
      <c r="V709" s="13"/>
      <c r="W709" s="13"/>
      <c r="X709" s="13"/>
      <c r="Y709" s="13"/>
      <c r="Z709" s="13"/>
      <c r="AA709" s="13"/>
      <c r="AB709" s="13"/>
      <c r="AC709" s="13"/>
    </row>
    <row r="710" ht="16.5" customHeight="1">
      <c r="A710" s="13"/>
      <c r="B710" s="13"/>
      <c r="C710" s="13"/>
      <c r="D710" s="13"/>
      <c r="E710" s="13"/>
      <c r="F710" s="13"/>
      <c r="G710" s="13"/>
      <c r="H710" s="13"/>
      <c r="I710" s="13"/>
      <c r="J710" s="13"/>
      <c r="K710" s="205"/>
      <c r="L710" s="13"/>
      <c r="M710" s="13"/>
      <c r="N710" s="13"/>
      <c r="O710" s="205"/>
      <c r="P710" s="13"/>
      <c r="Q710" s="13"/>
      <c r="R710" s="177"/>
      <c r="S710" s="35"/>
      <c r="T710" s="35"/>
      <c r="U710" s="13"/>
      <c r="V710" s="13"/>
      <c r="W710" s="13"/>
      <c r="X710" s="13"/>
      <c r="Y710" s="13"/>
      <c r="Z710" s="13"/>
      <c r="AA710" s="13"/>
      <c r="AB710" s="13"/>
      <c r="AC710" s="13"/>
    </row>
    <row r="711" ht="16.5" customHeight="1">
      <c r="A711" s="13"/>
      <c r="B711" s="13"/>
      <c r="C711" s="13"/>
      <c r="D711" s="13"/>
      <c r="E711" s="13"/>
      <c r="F711" s="13"/>
      <c r="G711" s="13"/>
      <c r="H711" s="13"/>
      <c r="I711" s="13"/>
      <c r="J711" s="13"/>
      <c r="K711" s="205"/>
      <c r="L711" s="13"/>
      <c r="M711" s="13"/>
      <c r="N711" s="13"/>
      <c r="O711" s="205"/>
      <c r="P711" s="13"/>
      <c r="Q711" s="13"/>
      <c r="R711" s="177"/>
      <c r="S711" s="35"/>
      <c r="T711" s="35"/>
      <c r="U711" s="13"/>
      <c r="V711" s="13"/>
      <c r="W711" s="13"/>
      <c r="X711" s="13"/>
      <c r="Y711" s="13"/>
      <c r="Z711" s="13"/>
      <c r="AA711" s="13"/>
      <c r="AB711" s="13"/>
      <c r="AC711" s="13"/>
    </row>
    <row r="712" ht="16.5" customHeight="1">
      <c r="A712" s="13"/>
      <c r="B712" s="13"/>
      <c r="C712" s="13"/>
      <c r="D712" s="13"/>
      <c r="E712" s="13"/>
      <c r="F712" s="13"/>
      <c r="G712" s="13"/>
      <c r="H712" s="13"/>
      <c r="I712" s="13"/>
      <c r="J712" s="13"/>
      <c r="K712" s="205"/>
      <c r="L712" s="13"/>
      <c r="M712" s="13"/>
      <c r="N712" s="13"/>
      <c r="O712" s="205"/>
      <c r="P712" s="13"/>
      <c r="Q712" s="13"/>
      <c r="R712" s="177"/>
      <c r="S712" s="35"/>
      <c r="T712" s="35"/>
      <c r="U712" s="13"/>
      <c r="V712" s="13"/>
      <c r="W712" s="13"/>
      <c r="X712" s="13"/>
      <c r="Y712" s="13"/>
      <c r="Z712" s="13"/>
      <c r="AA712" s="13"/>
      <c r="AB712" s="13"/>
      <c r="AC712" s="13"/>
    </row>
    <row r="713" ht="16.5" customHeight="1">
      <c r="A713" s="13"/>
      <c r="B713" s="13"/>
      <c r="C713" s="13"/>
      <c r="D713" s="13"/>
      <c r="E713" s="13"/>
      <c r="F713" s="13"/>
      <c r="G713" s="13"/>
      <c r="H713" s="13"/>
      <c r="I713" s="13"/>
      <c r="J713" s="13"/>
      <c r="K713" s="205"/>
      <c r="L713" s="13"/>
      <c r="M713" s="13"/>
      <c r="N713" s="13"/>
      <c r="O713" s="205"/>
      <c r="P713" s="13"/>
      <c r="Q713" s="13"/>
      <c r="R713" s="177"/>
      <c r="S713" s="35"/>
      <c r="T713" s="35"/>
      <c r="U713" s="13"/>
      <c r="V713" s="13"/>
      <c r="W713" s="13"/>
      <c r="X713" s="13"/>
      <c r="Y713" s="13"/>
      <c r="Z713" s="13"/>
      <c r="AA713" s="13"/>
      <c r="AB713" s="13"/>
      <c r="AC713" s="13"/>
    </row>
    <row r="714" ht="16.5" customHeight="1">
      <c r="A714" s="13"/>
      <c r="B714" s="13"/>
      <c r="C714" s="13"/>
      <c r="D714" s="13"/>
      <c r="E714" s="13"/>
      <c r="F714" s="13"/>
      <c r="G714" s="13"/>
      <c r="H714" s="13"/>
      <c r="I714" s="13"/>
      <c r="J714" s="13"/>
      <c r="K714" s="205"/>
      <c r="L714" s="13"/>
      <c r="M714" s="13"/>
      <c r="N714" s="13"/>
      <c r="O714" s="205"/>
      <c r="P714" s="13"/>
      <c r="Q714" s="13"/>
      <c r="R714" s="177"/>
      <c r="S714" s="35"/>
      <c r="T714" s="35"/>
      <c r="U714" s="13"/>
      <c r="V714" s="13"/>
      <c r="W714" s="13"/>
      <c r="X714" s="13"/>
      <c r="Y714" s="13"/>
      <c r="Z714" s="13"/>
      <c r="AA714" s="13"/>
      <c r="AB714" s="13"/>
      <c r="AC714" s="13"/>
    </row>
    <row r="715" ht="16.5" customHeight="1">
      <c r="A715" s="13"/>
      <c r="B715" s="13"/>
      <c r="C715" s="13"/>
      <c r="D715" s="13"/>
      <c r="E715" s="13"/>
      <c r="F715" s="13"/>
      <c r="G715" s="13"/>
      <c r="H715" s="13"/>
      <c r="I715" s="13"/>
      <c r="J715" s="13"/>
      <c r="K715" s="205"/>
      <c r="L715" s="13"/>
      <c r="M715" s="13"/>
      <c r="N715" s="13"/>
      <c r="O715" s="205"/>
      <c r="P715" s="13"/>
      <c r="Q715" s="13"/>
      <c r="R715" s="177"/>
      <c r="S715" s="35"/>
      <c r="T715" s="35"/>
      <c r="U715" s="13"/>
      <c r="V715" s="13"/>
      <c r="W715" s="13"/>
      <c r="X715" s="13"/>
      <c r="Y715" s="13"/>
      <c r="Z715" s="13"/>
      <c r="AA715" s="13"/>
      <c r="AB715" s="13"/>
      <c r="AC715" s="13"/>
    </row>
    <row r="716" ht="16.5" customHeight="1">
      <c r="A716" s="13"/>
      <c r="B716" s="13"/>
      <c r="C716" s="13"/>
      <c r="D716" s="13"/>
      <c r="E716" s="13"/>
      <c r="F716" s="13"/>
      <c r="G716" s="13"/>
      <c r="H716" s="13"/>
      <c r="I716" s="13"/>
      <c r="J716" s="13"/>
      <c r="K716" s="205"/>
      <c r="L716" s="13"/>
      <c r="M716" s="13"/>
      <c r="N716" s="13"/>
      <c r="O716" s="205"/>
      <c r="P716" s="13"/>
      <c r="Q716" s="13"/>
      <c r="R716" s="177"/>
      <c r="S716" s="35"/>
      <c r="T716" s="35"/>
      <c r="U716" s="13"/>
      <c r="V716" s="13"/>
      <c r="W716" s="13"/>
      <c r="X716" s="13"/>
      <c r="Y716" s="13"/>
      <c r="Z716" s="13"/>
      <c r="AA716" s="13"/>
      <c r="AB716" s="13"/>
      <c r="AC716" s="13"/>
    </row>
    <row r="717" ht="16.5" customHeight="1">
      <c r="A717" s="13"/>
      <c r="B717" s="13"/>
      <c r="C717" s="13"/>
      <c r="D717" s="13"/>
      <c r="E717" s="13"/>
      <c r="F717" s="13"/>
      <c r="G717" s="13"/>
      <c r="H717" s="13"/>
      <c r="I717" s="13"/>
      <c r="J717" s="13"/>
      <c r="K717" s="205"/>
      <c r="L717" s="13"/>
      <c r="M717" s="13"/>
      <c r="N717" s="13"/>
      <c r="O717" s="205"/>
      <c r="P717" s="13"/>
      <c r="Q717" s="13"/>
      <c r="R717" s="177"/>
      <c r="S717" s="35"/>
      <c r="T717" s="35"/>
      <c r="U717" s="13"/>
      <c r="V717" s="13"/>
      <c r="W717" s="13"/>
      <c r="X717" s="13"/>
      <c r="Y717" s="13"/>
      <c r="Z717" s="13"/>
      <c r="AA717" s="13"/>
      <c r="AB717" s="13"/>
      <c r="AC717" s="13"/>
    </row>
    <row r="718" ht="16.5" customHeight="1">
      <c r="A718" s="13"/>
      <c r="B718" s="13"/>
      <c r="C718" s="13"/>
      <c r="D718" s="13"/>
      <c r="E718" s="13"/>
      <c r="F718" s="13"/>
      <c r="G718" s="13"/>
      <c r="H718" s="13"/>
      <c r="I718" s="13"/>
      <c r="J718" s="13"/>
      <c r="K718" s="205"/>
      <c r="L718" s="13"/>
      <c r="M718" s="13"/>
      <c r="N718" s="13"/>
      <c r="O718" s="205"/>
      <c r="P718" s="13"/>
      <c r="Q718" s="13"/>
      <c r="R718" s="177"/>
      <c r="S718" s="35"/>
      <c r="T718" s="35"/>
      <c r="U718" s="13"/>
      <c r="V718" s="13"/>
      <c r="W718" s="13"/>
      <c r="X718" s="13"/>
      <c r="Y718" s="13"/>
      <c r="Z718" s="13"/>
      <c r="AA718" s="13"/>
      <c r="AB718" s="13"/>
      <c r="AC718" s="13"/>
    </row>
    <row r="719" ht="16.5" customHeight="1">
      <c r="A719" s="13"/>
      <c r="B719" s="13"/>
      <c r="C719" s="13"/>
      <c r="D719" s="13"/>
      <c r="E719" s="13"/>
      <c r="F719" s="13"/>
      <c r="G719" s="13"/>
      <c r="H719" s="13"/>
      <c r="I719" s="13"/>
      <c r="J719" s="13"/>
      <c r="K719" s="205"/>
      <c r="L719" s="13"/>
      <c r="M719" s="13"/>
      <c r="N719" s="13"/>
      <c r="O719" s="205"/>
      <c r="P719" s="13"/>
      <c r="Q719" s="13"/>
      <c r="R719" s="177"/>
      <c r="S719" s="35"/>
      <c r="T719" s="35"/>
      <c r="U719" s="13"/>
      <c r="V719" s="13"/>
      <c r="W719" s="13"/>
      <c r="X719" s="13"/>
      <c r="Y719" s="13"/>
      <c r="Z719" s="13"/>
      <c r="AA719" s="13"/>
      <c r="AB719" s="13"/>
      <c r="AC719" s="13"/>
    </row>
    <row r="720" ht="16.5" customHeight="1">
      <c r="A720" s="13"/>
      <c r="B720" s="13"/>
      <c r="C720" s="13"/>
      <c r="D720" s="13"/>
      <c r="E720" s="13"/>
      <c r="F720" s="13"/>
      <c r="G720" s="13"/>
      <c r="H720" s="13"/>
      <c r="I720" s="13"/>
      <c r="J720" s="13"/>
      <c r="K720" s="205"/>
      <c r="L720" s="13"/>
      <c r="M720" s="13"/>
      <c r="N720" s="13"/>
      <c r="O720" s="205"/>
      <c r="P720" s="13"/>
      <c r="Q720" s="13"/>
      <c r="R720" s="177"/>
      <c r="S720" s="35"/>
      <c r="T720" s="35"/>
      <c r="U720" s="13"/>
      <c r="V720" s="13"/>
      <c r="W720" s="13"/>
      <c r="X720" s="13"/>
      <c r="Y720" s="13"/>
      <c r="Z720" s="13"/>
      <c r="AA720" s="13"/>
      <c r="AB720" s="13"/>
      <c r="AC720" s="13"/>
    </row>
    <row r="721" ht="16.5" customHeight="1">
      <c r="A721" s="13"/>
      <c r="B721" s="13"/>
      <c r="C721" s="13"/>
      <c r="D721" s="13"/>
      <c r="E721" s="13"/>
      <c r="F721" s="13"/>
      <c r="G721" s="13"/>
      <c r="H721" s="13"/>
      <c r="I721" s="13"/>
      <c r="J721" s="13"/>
      <c r="K721" s="205"/>
      <c r="L721" s="13"/>
      <c r="M721" s="13"/>
      <c r="N721" s="13"/>
      <c r="O721" s="205"/>
      <c r="P721" s="13"/>
      <c r="Q721" s="13"/>
      <c r="R721" s="177"/>
      <c r="S721" s="35"/>
      <c r="T721" s="35"/>
      <c r="U721" s="13"/>
      <c r="V721" s="13"/>
      <c r="W721" s="13"/>
      <c r="X721" s="13"/>
      <c r="Y721" s="13"/>
      <c r="Z721" s="13"/>
      <c r="AA721" s="13"/>
      <c r="AB721" s="13"/>
      <c r="AC721" s="13"/>
    </row>
    <row r="722" ht="16.5" customHeight="1">
      <c r="A722" s="13"/>
      <c r="B722" s="13"/>
      <c r="C722" s="13"/>
      <c r="D722" s="13"/>
      <c r="E722" s="13"/>
      <c r="F722" s="13"/>
      <c r="G722" s="13"/>
      <c r="H722" s="13"/>
      <c r="I722" s="13"/>
      <c r="J722" s="13"/>
      <c r="K722" s="205"/>
      <c r="L722" s="13"/>
      <c r="M722" s="13"/>
      <c r="N722" s="13"/>
      <c r="O722" s="205"/>
      <c r="P722" s="13"/>
      <c r="Q722" s="13"/>
      <c r="R722" s="177"/>
      <c r="S722" s="35"/>
      <c r="T722" s="35"/>
      <c r="U722" s="13"/>
      <c r="V722" s="13"/>
      <c r="W722" s="13"/>
      <c r="X722" s="13"/>
      <c r="Y722" s="13"/>
      <c r="Z722" s="13"/>
      <c r="AA722" s="13"/>
      <c r="AB722" s="13"/>
      <c r="AC722" s="13"/>
    </row>
    <row r="723" ht="16.5" customHeight="1">
      <c r="A723" s="13"/>
      <c r="B723" s="13"/>
      <c r="C723" s="13"/>
      <c r="D723" s="13"/>
      <c r="E723" s="13"/>
      <c r="F723" s="13"/>
      <c r="G723" s="13"/>
      <c r="H723" s="13"/>
      <c r="I723" s="13"/>
      <c r="J723" s="13"/>
      <c r="K723" s="205"/>
      <c r="L723" s="13"/>
      <c r="M723" s="13"/>
      <c r="N723" s="13"/>
      <c r="O723" s="205"/>
      <c r="P723" s="13"/>
      <c r="Q723" s="13"/>
      <c r="R723" s="177"/>
      <c r="S723" s="35"/>
      <c r="T723" s="35"/>
      <c r="U723" s="13"/>
      <c r="V723" s="13"/>
      <c r="W723" s="13"/>
      <c r="X723" s="13"/>
      <c r="Y723" s="13"/>
      <c r="Z723" s="13"/>
      <c r="AA723" s="13"/>
      <c r="AB723" s="13"/>
      <c r="AC723" s="13"/>
    </row>
    <row r="724" ht="16.5" customHeight="1">
      <c r="A724" s="13"/>
      <c r="B724" s="13"/>
      <c r="C724" s="13"/>
      <c r="D724" s="13"/>
      <c r="E724" s="13"/>
      <c r="F724" s="13"/>
      <c r="G724" s="13"/>
      <c r="H724" s="13"/>
      <c r="I724" s="13"/>
      <c r="J724" s="13"/>
      <c r="K724" s="205"/>
      <c r="L724" s="13"/>
      <c r="M724" s="13"/>
      <c r="N724" s="13"/>
      <c r="O724" s="205"/>
      <c r="P724" s="13"/>
      <c r="Q724" s="13"/>
      <c r="R724" s="177"/>
      <c r="S724" s="35"/>
      <c r="T724" s="35"/>
      <c r="U724" s="13"/>
      <c r="V724" s="13"/>
      <c r="W724" s="13"/>
      <c r="X724" s="13"/>
      <c r="Y724" s="13"/>
      <c r="Z724" s="13"/>
      <c r="AA724" s="13"/>
      <c r="AB724" s="13"/>
      <c r="AC724" s="13"/>
    </row>
    <row r="725" ht="16.5" customHeight="1">
      <c r="A725" s="13"/>
      <c r="B725" s="13"/>
      <c r="C725" s="13"/>
      <c r="D725" s="13"/>
      <c r="E725" s="13"/>
      <c r="F725" s="13"/>
      <c r="G725" s="13"/>
      <c r="H725" s="13"/>
      <c r="I725" s="13"/>
      <c r="J725" s="13"/>
      <c r="K725" s="205"/>
      <c r="L725" s="13"/>
      <c r="M725" s="13"/>
      <c r="N725" s="13"/>
      <c r="O725" s="205"/>
      <c r="P725" s="13"/>
      <c r="Q725" s="13"/>
      <c r="R725" s="177"/>
      <c r="S725" s="35"/>
      <c r="T725" s="35"/>
      <c r="U725" s="13"/>
      <c r="V725" s="13"/>
      <c r="W725" s="13"/>
      <c r="X725" s="13"/>
      <c r="Y725" s="13"/>
      <c r="Z725" s="13"/>
      <c r="AA725" s="13"/>
      <c r="AB725" s="13"/>
      <c r="AC725" s="13"/>
    </row>
    <row r="726" ht="16.5" customHeight="1">
      <c r="A726" s="13"/>
      <c r="B726" s="13"/>
      <c r="C726" s="13"/>
      <c r="D726" s="13"/>
      <c r="E726" s="13"/>
      <c r="F726" s="13"/>
      <c r="G726" s="13"/>
      <c r="H726" s="13"/>
      <c r="I726" s="13"/>
      <c r="J726" s="13"/>
      <c r="K726" s="205"/>
      <c r="L726" s="13"/>
      <c r="M726" s="13"/>
      <c r="N726" s="13"/>
      <c r="O726" s="205"/>
      <c r="P726" s="13"/>
      <c r="Q726" s="13"/>
      <c r="R726" s="177"/>
      <c r="S726" s="35"/>
      <c r="T726" s="35"/>
      <c r="U726" s="13"/>
      <c r="V726" s="13"/>
      <c r="W726" s="13"/>
      <c r="X726" s="13"/>
      <c r="Y726" s="13"/>
      <c r="Z726" s="13"/>
      <c r="AA726" s="13"/>
      <c r="AB726" s="13"/>
      <c r="AC726" s="13"/>
    </row>
    <row r="727" ht="16.5" customHeight="1">
      <c r="A727" s="13"/>
      <c r="B727" s="13"/>
      <c r="C727" s="13"/>
      <c r="D727" s="13"/>
      <c r="E727" s="13"/>
      <c r="F727" s="13"/>
      <c r="G727" s="13"/>
      <c r="H727" s="13"/>
      <c r="I727" s="13"/>
      <c r="J727" s="13"/>
      <c r="K727" s="205"/>
      <c r="L727" s="13"/>
      <c r="M727" s="13"/>
      <c r="N727" s="13"/>
      <c r="O727" s="205"/>
      <c r="P727" s="13"/>
      <c r="Q727" s="13"/>
      <c r="R727" s="177"/>
      <c r="S727" s="35"/>
      <c r="T727" s="35"/>
      <c r="U727" s="13"/>
      <c r="V727" s="13"/>
      <c r="W727" s="13"/>
      <c r="X727" s="13"/>
      <c r="Y727" s="13"/>
      <c r="Z727" s="13"/>
      <c r="AA727" s="13"/>
      <c r="AB727" s="13"/>
      <c r="AC727" s="13"/>
    </row>
    <row r="728" ht="16.5" customHeight="1">
      <c r="A728" s="13"/>
      <c r="B728" s="13"/>
      <c r="C728" s="13"/>
      <c r="D728" s="13"/>
      <c r="E728" s="13"/>
      <c r="F728" s="13"/>
      <c r="G728" s="13"/>
      <c r="H728" s="13"/>
      <c r="I728" s="13"/>
      <c r="J728" s="13"/>
      <c r="K728" s="205"/>
      <c r="L728" s="13"/>
      <c r="M728" s="13"/>
      <c r="N728" s="13"/>
      <c r="O728" s="205"/>
      <c r="P728" s="13"/>
      <c r="Q728" s="13"/>
      <c r="R728" s="177"/>
      <c r="S728" s="35"/>
      <c r="T728" s="35"/>
      <c r="U728" s="13"/>
      <c r="V728" s="13"/>
      <c r="W728" s="13"/>
      <c r="X728" s="13"/>
      <c r="Y728" s="13"/>
      <c r="Z728" s="13"/>
      <c r="AA728" s="13"/>
      <c r="AB728" s="13"/>
      <c r="AC728" s="13"/>
    </row>
    <row r="729" ht="16.5" customHeight="1">
      <c r="A729" s="13"/>
      <c r="B729" s="13"/>
      <c r="C729" s="13"/>
      <c r="D729" s="13"/>
      <c r="E729" s="13"/>
      <c r="F729" s="13"/>
      <c r="G729" s="13"/>
      <c r="H729" s="13"/>
      <c r="I729" s="13"/>
      <c r="J729" s="13"/>
      <c r="K729" s="205"/>
      <c r="L729" s="13"/>
      <c r="M729" s="13"/>
      <c r="N729" s="13"/>
      <c r="O729" s="205"/>
      <c r="P729" s="13"/>
      <c r="Q729" s="13"/>
      <c r="R729" s="177"/>
      <c r="S729" s="35"/>
      <c r="T729" s="35"/>
      <c r="U729" s="13"/>
      <c r="V729" s="13"/>
      <c r="W729" s="13"/>
      <c r="X729" s="13"/>
      <c r="Y729" s="13"/>
      <c r="Z729" s="13"/>
      <c r="AA729" s="13"/>
      <c r="AB729" s="13"/>
      <c r="AC729" s="13"/>
    </row>
    <row r="730" ht="16.5" customHeight="1">
      <c r="A730" s="13"/>
      <c r="B730" s="13"/>
      <c r="C730" s="13"/>
      <c r="D730" s="13"/>
      <c r="E730" s="13"/>
      <c r="F730" s="13"/>
      <c r="G730" s="13"/>
      <c r="H730" s="13"/>
      <c r="I730" s="13"/>
      <c r="J730" s="13"/>
      <c r="K730" s="205"/>
      <c r="L730" s="13"/>
      <c r="M730" s="13"/>
      <c r="N730" s="13"/>
      <c r="O730" s="205"/>
      <c r="P730" s="13"/>
      <c r="Q730" s="13"/>
      <c r="R730" s="177"/>
      <c r="S730" s="35"/>
      <c r="T730" s="35"/>
      <c r="U730" s="13"/>
      <c r="V730" s="13"/>
      <c r="W730" s="13"/>
      <c r="X730" s="13"/>
      <c r="Y730" s="13"/>
      <c r="Z730" s="13"/>
      <c r="AA730" s="13"/>
      <c r="AB730" s="13"/>
      <c r="AC730" s="13"/>
    </row>
    <row r="731" ht="16.5" customHeight="1">
      <c r="A731" s="13"/>
      <c r="B731" s="13"/>
      <c r="C731" s="13"/>
      <c r="D731" s="13"/>
      <c r="E731" s="13"/>
      <c r="F731" s="13"/>
      <c r="G731" s="13"/>
      <c r="H731" s="13"/>
      <c r="I731" s="13"/>
      <c r="J731" s="13"/>
      <c r="K731" s="205"/>
      <c r="L731" s="13"/>
      <c r="M731" s="13"/>
      <c r="N731" s="13"/>
      <c r="O731" s="205"/>
      <c r="P731" s="13"/>
      <c r="Q731" s="13"/>
      <c r="R731" s="177"/>
      <c r="S731" s="35"/>
      <c r="T731" s="35"/>
      <c r="U731" s="13"/>
      <c r="V731" s="13"/>
      <c r="W731" s="13"/>
      <c r="X731" s="13"/>
      <c r="Y731" s="13"/>
      <c r="Z731" s="13"/>
      <c r="AA731" s="13"/>
      <c r="AB731" s="13"/>
      <c r="AC731" s="13"/>
    </row>
    <row r="732" ht="16.5" customHeight="1">
      <c r="A732" s="13"/>
      <c r="B732" s="13"/>
      <c r="C732" s="13"/>
      <c r="D732" s="13"/>
      <c r="E732" s="13"/>
      <c r="F732" s="13"/>
      <c r="G732" s="13"/>
      <c r="H732" s="13"/>
      <c r="I732" s="13"/>
      <c r="J732" s="13"/>
      <c r="K732" s="205"/>
      <c r="L732" s="13"/>
      <c r="M732" s="13"/>
      <c r="N732" s="13"/>
      <c r="O732" s="205"/>
      <c r="P732" s="13"/>
      <c r="Q732" s="13"/>
      <c r="R732" s="177"/>
      <c r="S732" s="35"/>
      <c r="T732" s="35"/>
      <c r="U732" s="13"/>
      <c r="V732" s="13"/>
      <c r="W732" s="13"/>
      <c r="X732" s="13"/>
      <c r="Y732" s="13"/>
      <c r="Z732" s="13"/>
      <c r="AA732" s="13"/>
      <c r="AB732" s="13"/>
      <c r="AC732" s="13"/>
    </row>
    <row r="733" ht="16.5" customHeight="1">
      <c r="A733" s="13"/>
      <c r="B733" s="13"/>
      <c r="C733" s="13"/>
      <c r="D733" s="13"/>
      <c r="E733" s="13"/>
      <c r="F733" s="13"/>
      <c r="G733" s="13"/>
      <c r="H733" s="13"/>
      <c r="I733" s="13"/>
      <c r="J733" s="13"/>
      <c r="K733" s="205"/>
      <c r="L733" s="13"/>
      <c r="M733" s="13"/>
      <c r="N733" s="13"/>
      <c r="O733" s="205"/>
      <c r="P733" s="13"/>
      <c r="Q733" s="13"/>
      <c r="R733" s="177"/>
      <c r="S733" s="35"/>
      <c r="T733" s="35"/>
      <c r="U733" s="13"/>
      <c r="V733" s="13"/>
      <c r="W733" s="13"/>
      <c r="X733" s="13"/>
      <c r="Y733" s="13"/>
      <c r="Z733" s="13"/>
      <c r="AA733" s="13"/>
      <c r="AB733" s="13"/>
      <c r="AC733" s="13"/>
    </row>
    <row r="734" ht="16.5" customHeight="1">
      <c r="A734" s="13"/>
      <c r="B734" s="13"/>
      <c r="C734" s="13"/>
      <c r="D734" s="13"/>
      <c r="E734" s="13"/>
      <c r="F734" s="13"/>
      <c r="G734" s="13"/>
      <c r="H734" s="13"/>
      <c r="I734" s="13"/>
      <c r="J734" s="13"/>
      <c r="K734" s="205"/>
      <c r="L734" s="13"/>
      <c r="M734" s="13"/>
      <c r="N734" s="13"/>
      <c r="O734" s="205"/>
      <c r="P734" s="13"/>
      <c r="Q734" s="13"/>
      <c r="R734" s="177"/>
      <c r="S734" s="35"/>
      <c r="T734" s="35"/>
      <c r="U734" s="13"/>
      <c r="V734" s="13"/>
      <c r="W734" s="13"/>
      <c r="X734" s="13"/>
      <c r="Y734" s="13"/>
      <c r="Z734" s="13"/>
      <c r="AA734" s="13"/>
      <c r="AB734" s="13"/>
      <c r="AC734" s="13"/>
    </row>
    <row r="735" ht="16.5" customHeight="1">
      <c r="A735" s="13"/>
      <c r="B735" s="13"/>
      <c r="C735" s="13"/>
      <c r="D735" s="13"/>
      <c r="E735" s="13"/>
      <c r="F735" s="13"/>
      <c r="G735" s="13"/>
      <c r="H735" s="13"/>
      <c r="I735" s="13"/>
      <c r="J735" s="13"/>
      <c r="K735" s="205"/>
      <c r="L735" s="13"/>
      <c r="M735" s="13"/>
      <c r="N735" s="13"/>
      <c r="O735" s="205"/>
      <c r="P735" s="13"/>
      <c r="Q735" s="13"/>
      <c r="R735" s="177"/>
      <c r="S735" s="35"/>
      <c r="T735" s="35"/>
      <c r="U735" s="13"/>
      <c r="V735" s="13"/>
      <c r="W735" s="13"/>
      <c r="X735" s="13"/>
      <c r="Y735" s="13"/>
      <c r="Z735" s="13"/>
      <c r="AA735" s="13"/>
      <c r="AB735" s="13"/>
      <c r="AC735" s="13"/>
    </row>
    <row r="736" ht="16.5" customHeight="1">
      <c r="A736" s="13"/>
      <c r="B736" s="13"/>
      <c r="C736" s="13"/>
      <c r="D736" s="13"/>
      <c r="E736" s="13"/>
      <c r="F736" s="13"/>
      <c r="G736" s="13"/>
      <c r="H736" s="13"/>
      <c r="I736" s="13"/>
      <c r="J736" s="13"/>
      <c r="K736" s="205"/>
      <c r="L736" s="13"/>
      <c r="M736" s="13"/>
      <c r="N736" s="13"/>
      <c r="O736" s="205"/>
      <c r="P736" s="13"/>
      <c r="Q736" s="13"/>
      <c r="R736" s="177"/>
      <c r="S736" s="35"/>
      <c r="T736" s="35"/>
      <c r="U736" s="13"/>
      <c r="V736" s="13"/>
      <c r="W736" s="13"/>
      <c r="X736" s="13"/>
      <c r="Y736" s="13"/>
      <c r="Z736" s="13"/>
      <c r="AA736" s="13"/>
      <c r="AB736" s="13"/>
      <c r="AC736" s="13"/>
    </row>
    <row r="737" ht="16.5" customHeight="1">
      <c r="A737" s="13"/>
      <c r="B737" s="13"/>
      <c r="C737" s="13"/>
      <c r="D737" s="13"/>
      <c r="E737" s="13"/>
      <c r="F737" s="13"/>
      <c r="G737" s="13"/>
      <c r="H737" s="13"/>
      <c r="I737" s="13"/>
      <c r="J737" s="13"/>
      <c r="K737" s="205"/>
      <c r="L737" s="13"/>
      <c r="M737" s="13"/>
      <c r="N737" s="13"/>
      <c r="O737" s="205"/>
      <c r="P737" s="13"/>
      <c r="Q737" s="13"/>
      <c r="R737" s="177"/>
      <c r="S737" s="35"/>
      <c r="T737" s="35"/>
      <c r="U737" s="13"/>
      <c r="V737" s="13"/>
      <c r="W737" s="13"/>
      <c r="X737" s="13"/>
      <c r="Y737" s="13"/>
      <c r="Z737" s="13"/>
      <c r="AA737" s="13"/>
      <c r="AB737" s="13"/>
      <c r="AC737" s="13"/>
    </row>
    <row r="738" ht="16.5" customHeight="1">
      <c r="A738" s="13"/>
      <c r="B738" s="13"/>
      <c r="C738" s="13"/>
      <c r="D738" s="13"/>
      <c r="E738" s="13"/>
      <c r="F738" s="13"/>
      <c r="G738" s="13"/>
      <c r="H738" s="13"/>
      <c r="I738" s="13"/>
      <c r="J738" s="13"/>
      <c r="K738" s="205"/>
      <c r="L738" s="13"/>
      <c r="M738" s="13"/>
      <c r="N738" s="13"/>
      <c r="O738" s="205"/>
      <c r="P738" s="13"/>
      <c r="Q738" s="13"/>
      <c r="R738" s="177"/>
      <c r="S738" s="35"/>
      <c r="T738" s="35"/>
      <c r="U738" s="13"/>
      <c r="V738" s="13"/>
      <c r="W738" s="13"/>
      <c r="X738" s="13"/>
      <c r="Y738" s="13"/>
      <c r="Z738" s="13"/>
      <c r="AA738" s="13"/>
      <c r="AB738" s="13"/>
      <c r="AC738" s="13"/>
    </row>
    <row r="739" ht="16.5" customHeight="1">
      <c r="A739" s="13"/>
      <c r="B739" s="13"/>
      <c r="C739" s="13"/>
      <c r="D739" s="13"/>
      <c r="E739" s="13"/>
      <c r="F739" s="13"/>
      <c r="G739" s="13"/>
      <c r="H739" s="13"/>
      <c r="I739" s="13"/>
      <c r="J739" s="13"/>
      <c r="K739" s="205"/>
      <c r="L739" s="13"/>
      <c r="M739" s="13"/>
      <c r="N739" s="13"/>
      <c r="O739" s="205"/>
      <c r="P739" s="13"/>
      <c r="Q739" s="13"/>
      <c r="R739" s="177"/>
      <c r="S739" s="35"/>
      <c r="T739" s="35"/>
      <c r="U739" s="13"/>
      <c r="V739" s="13"/>
      <c r="W739" s="13"/>
      <c r="X739" s="13"/>
      <c r="Y739" s="13"/>
      <c r="Z739" s="13"/>
      <c r="AA739" s="13"/>
      <c r="AB739" s="13"/>
      <c r="AC739" s="13"/>
    </row>
    <row r="740" ht="16.5" customHeight="1">
      <c r="A740" s="13"/>
      <c r="B740" s="13"/>
      <c r="C740" s="13"/>
      <c r="D740" s="13"/>
      <c r="E740" s="13"/>
      <c r="F740" s="13"/>
      <c r="G740" s="13"/>
      <c r="H740" s="13"/>
      <c r="I740" s="13"/>
      <c r="J740" s="13"/>
      <c r="K740" s="205"/>
      <c r="L740" s="13"/>
      <c r="M740" s="13"/>
      <c r="N740" s="13"/>
      <c r="O740" s="205"/>
      <c r="P740" s="13"/>
      <c r="Q740" s="13"/>
      <c r="R740" s="177"/>
      <c r="S740" s="35"/>
      <c r="T740" s="35"/>
      <c r="U740" s="13"/>
      <c r="V740" s="13"/>
      <c r="W740" s="13"/>
      <c r="X740" s="13"/>
      <c r="Y740" s="13"/>
      <c r="Z740" s="13"/>
      <c r="AA740" s="13"/>
      <c r="AB740" s="13"/>
      <c r="AC740" s="13"/>
    </row>
    <row r="741" ht="16.5" customHeight="1">
      <c r="A741" s="13"/>
      <c r="B741" s="13"/>
      <c r="C741" s="13"/>
      <c r="D741" s="13"/>
      <c r="E741" s="13"/>
      <c r="F741" s="13"/>
      <c r="G741" s="13"/>
      <c r="H741" s="13"/>
      <c r="I741" s="13"/>
      <c r="J741" s="13"/>
      <c r="K741" s="205"/>
      <c r="L741" s="13"/>
      <c r="M741" s="13"/>
      <c r="N741" s="13"/>
      <c r="O741" s="205"/>
      <c r="P741" s="13"/>
      <c r="Q741" s="13"/>
      <c r="R741" s="177"/>
      <c r="S741" s="35"/>
      <c r="T741" s="35"/>
      <c r="U741" s="13"/>
      <c r="V741" s="13"/>
      <c r="W741" s="13"/>
      <c r="X741" s="13"/>
      <c r="Y741" s="13"/>
      <c r="Z741" s="13"/>
      <c r="AA741" s="13"/>
      <c r="AB741" s="13"/>
      <c r="AC741" s="13"/>
    </row>
    <row r="742" ht="16.5" customHeight="1">
      <c r="A742" s="13"/>
      <c r="B742" s="13"/>
      <c r="C742" s="13"/>
      <c r="D742" s="13"/>
      <c r="E742" s="13"/>
      <c r="F742" s="13"/>
      <c r="G742" s="13"/>
      <c r="H742" s="13"/>
      <c r="I742" s="13"/>
      <c r="J742" s="13"/>
      <c r="K742" s="205"/>
      <c r="L742" s="13"/>
      <c r="M742" s="13"/>
      <c r="N742" s="13"/>
      <c r="O742" s="205"/>
      <c r="P742" s="13"/>
      <c r="Q742" s="13"/>
      <c r="R742" s="177"/>
      <c r="S742" s="35"/>
      <c r="T742" s="35"/>
      <c r="U742" s="13"/>
      <c r="V742" s="13"/>
      <c r="W742" s="13"/>
      <c r="X742" s="13"/>
      <c r="Y742" s="13"/>
      <c r="Z742" s="13"/>
      <c r="AA742" s="13"/>
      <c r="AB742" s="13"/>
      <c r="AC742" s="13"/>
    </row>
    <row r="743" ht="16.5" customHeight="1">
      <c r="A743" s="13"/>
      <c r="B743" s="13"/>
      <c r="C743" s="13"/>
      <c r="D743" s="13"/>
      <c r="E743" s="13"/>
      <c r="F743" s="13"/>
      <c r="G743" s="13"/>
      <c r="H743" s="13"/>
      <c r="I743" s="13"/>
      <c r="J743" s="13"/>
      <c r="K743" s="205"/>
      <c r="L743" s="13"/>
      <c r="M743" s="13"/>
      <c r="N743" s="13"/>
      <c r="O743" s="205"/>
      <c r="P743" s="13"/>
      <c r="Q743" s="13"/>
      <c r="R743" s="177"/>
      <c r="S743" s="35"/>
      <c r="T743" s="35"/>
      <c r="U743" s="13"/>
      <c r="V743" s="13"/>
      <c r="W743" s="13"/>
      <c r="X743" s="13"/>
      <c r="Y743" s="13"/>
      <c r="Z743" s="13"/>
      <c r="AA743" s="13"/>
      <c r="AB743" s="13"/>
      <c r="AC743" s="13"/>
    </row>
    <row r="744" ht="16.5" customHeight="1">
      <c r="A744" s="13"/>
      <c r="B744" s="13"/>
      <c r="C744" s="13"/>
      <c r="D744" s="13"/>
      <c r="E744" s="13"/>
      <c r="F744" s="13"/>
      <c r="G744" s="13"/>
      <c r="H744" s="13"/>
      <c r="I744" s="13"/>
      <c r="J744" s="13"/>
      <c r="K744" s="205"/>
      <c r="L744" s="13"/>
      <c r="M744" s="13"/>
      <c r="N744" s="13"/>
      <c r="O744" s="205"/>
      <c r="P744" s="13"/>
      <c r="Q744" s="13"/>
      <c r="R744" s="177"/>
      <c r="S744" s="35"/>
      <c r="T744" s="35"/>
      <c r="U744" s="13"/>
      <c r="V744" s="13"/>
      <c r="W744" s="13"/>
      <c r="X744" s="13"/>
      <c r="Y744" s="13"/>
      <c r="Z744" s="13"/>
      <c r="AA744" s="13"/>
      <c r="AB744" s="13"/>
      <c r="AC744" s="13"/>
    </row>
    <row r="745" ht="16.5" customHeight="1">
      <c r="A745" s="13"/>
      <c r="B745" s="13"/>
      <c r="C745" s="13"/>
      <c r="D745" s="13"/>
      <c r="E745" s="13"/>
      <c r="F745" s="13"/>
      <c r="G745" s="13"/>
      <c r="H745" s="13"/>
      <c r="I745" s="13"/>
      <c r="J745" s="13"/>
      <c r="K745" s="205"/>
      <c r="L745" s="13"/>
      <c r="M745" s="13"/>
      <c r="N745" s="13"/>
      <c r="O745" s="205"/>
      <c r="P745" s="13"/>
      <c r="Q745" s="13"/>
      <c r="R745" s="177"/>
      <c r="S745" s="35"/>
      <c r="T745" s="35"/>
      <c r="U745" s="13"/>
      <c r="V745" s="13"/>
      <c r="W745" s="13"/>
      <c r="X745" s="13"/>
      <c r="Y745" s="13"/>
      <c r="Z745" s="13"/>
      <c r="AA745" s="13"/>
      <c r="AB745" s="13"/>
      <c r="AC745" s="13"/>
    </row>
    <row r="746" ht="16.5" customHeight="1">
      <c r="A746" s="13"/>
      <c r="B746" s="13"/>
      <c r="C746" s="13"/>
      <c r="D746" s="13"/>
      <c r="E746" s="13"/>
      <c r="F746" s="13"/>
      <c r="G746" s="13"/>
      <c r="H746" s="13"/>
      <c r="I746" s="13"/>
      <c r="J746" s="13"/>
      <c r="K746" s="205"/>
      <c r="L746" s="13"/>
      <c r="M746" s="13"/>
      <c r="N746" s="13"/>
      <c r="O746" s="205"/>
      <c r="P746" s="13"/>
      <c r="Q746" s="13"/>
      <c r="R746" s="177"/>
      <c r="S746" s="35"/>
      <c r="T746" s="35"/>
      <c r="U746" s="13"/>
      <c r="V746" s="13"/>
      <c r="W746" s="13"/>
      <c r="X746" s="13"/>
      <c r="Y746" s="13"/>
      <c r="Z746" s="13"/>
      <c r="AA746" s="13"/>
      <c r="AB746" s="13"/>
      <c r="AC746" s="13"/>
    </row>
    <row r="747" ht="16.5" customHeight="1">
      <c r="A747" s="13"/>
      <c r="B747" s="13"/>
      <c r="C747" s="13"/>
      <c r="D747" s="13"/>
      <c r="E747" s="13"/>
      <c r="F747" s="13"/>
      <c r="G747" s="13"/>
      <c r="H747" s="13"/>
      <c r="I747" s="13"/>
      <c r="J747" s="13"/>
      <c r="K747" s="205"/>
      <c r="L747" s="13"/>
      <c r="M747" s="13"/>
      <c r="N747" s="13"/>
      <c r="O747" s="205"/>
      <c r="P747" s="13"/>
      <c r="Q747" s="13"/>
      <c r="R747" s="177"/>
      <c r="S747" s="35"/>
      <c r="T747" s="35"/>
      <c r="U747" s="13"/>
      <c r="V747" s="13"/>
      <c r="W747" s="13"/>
      <c r="X747" s="13"/>
      <c r="Y747" s="13"/>
      <c r="Z747" s="13"/>
      <c r="AA747" s="13"/>
      <c r="AB747" s="13"/>
      <c r="AC747" s="13"/>
    </row>
    <row r="748" ht="16.5" customHeight="1">
      <c r="A748" s="13"/>
      <c r="B748" s="13"/>
      <c r="C748" s="13"/>
      <c r="D748" s="13"/>
      <c r="E748" s="13"/>
      <c r="F748" s="13"/>
      <c r="G748" s="13"/>
      <c r="H748" s="13"/>
      <c r="I748" s="13"/>
      <c r="J748" s="13"/>
      <c r="K748" s="205"/>
      <c r="L748" s="13"/>
      <c r="M748" s="13"/>
      <c r="N748" s="13"/>
      <c r="O748" s="205"/>
      <c r="P748" s="13"/>
      <c r="Q748" s="13"/>
      <c r="R748" s="177"/>
      <c r="S748" s="35"/>
      <c r="T748" s="35"/>
      <c r="U748" s="13"/>
      <c r="V748" s="13"/>
      <c r="W748" s="13"/>
      <c r="X748" s="13"/>
      <c r="Y748" s="13"/>
      <c r="Z748" s="13"/>
      <c r="AA748" s="13"/>
      <c r="AB748" s="13"/>
      <c r="AC748" s="13"/>
    </row>
    <row r="749" ht="16.5" customHeight="1">
      <c r="A749" s="13"/>
      <c r="B749" s="13"/>
      <c r="C749" s="13"/>
      <c r="D749" s="13"/>
      <c r="E749" s="13"/>
      <c r="F749" s="13"/>
      <c r="G749" s="13"/>
      <c r="H749" s="13"/>
      <c r="I749" s="13"/>
      <c r="J749" s="13"/>
      <c r="K749" s="205"/>
      <c r="L749" s="13"/>
      <c r="M749" s="13"/>
      <c r="N749" s="13"/>
      <c r="O749" s="205"/>
      <c r="P749" s="13"/>
      <c r="Q749" s="13"/>
      <c r="R749" s="177"/>
      <c r="S749" s="35"/>
      <c r="T749" s="35"/>
      <c r="U749" s="13"/>
      <c r="V749" s="13"/>
      <c r="W749" s="13"/>
      <c r="X749" s="13"/>
      <c r="Y749" s="13"/>
      <c r="Z749" s="13"/>
      <c r="AA749" s="13"/>
      <c r="AB749" s="13"/>
      <c r="AC749" s="13"/>
    </row>
    <row r="750" ht="16.5" customHeight="1">
      <c r="A750" s="13"/>
      <c r="B750" s="13"/>
      <c r="C750" s="13"/>
      <c r="D750" s="13"/>
      <c r="E750" s="13"/>
      <c r="F750" s="13"/>
      <c r="G750" s="13"/>
      <c r="H750" s="13"/>
      <c r="I750" s="13"/>
      <c r="J750" s="13"/>
      <c r="K750" s="205"/>
      <c r="L750" s="13"/>
      <c r="M750" s="13"/>
      <c r="N750" s="13"/>
      <c r="O750" s="205"/>
      <c r="P750" s="13"/>
      <c r="Q750" s="13"/>
      <c r="R750" s="177"/>
      <c r="S750" s="35"/>
      <c r="T750" s="35"/>
      <c r="U750" s="13"/>
      <c r="V750" s="13"/>
      <c r="W750" s="13"/>
      <c r="X750" s="13"/>
      <c r="Y750" s="13"/>
      <c r="Z750" s="13"/>
      <c r="AA750" s="13"/>
      <c r="AB750" s="13"/>
      <c r="AC750" s="13"/>
    </row>
    <row r="751" ht="16.5" customHeight="1">
      <c r="A751" s="13"/>
      <c r="B751" s="13"/>
      <c r="C751" s="13"/>
      <c r="D751" s="13"/>
      <c r="E751" s="13"/>
      <c r="F751" s="13"/>
      <c r="G751" s="13"/>
      <c r="H751" s="13"/>
      <c r="I751" s="13"/>
      <c r="J751" s="13"/>
      <c r="K751" s="205"/>
      <c r="L751" s="13"/>
      <c r="M751" s="13"/>
      <c r="N751" s="13"/>
      <c r="O751" s="205"/>
      <c r="P751" s="13"/>
      <c r="Q751" s="13"/>
      <c r="R751" s="177"/>
      <c r="S751" s="35"/>
      <c r="T751" s="35"/>
      <c r="U751" s="13"/>
      <c r="V751" s="13"/>
      <c r="W751" s="13"/>
      <c r="X751" s="13"/>
      <c r="Y751" s="13"/>
      <c r="Z751" s="13"/>
      <c r="AA751" s="13"/>
      <c r="AB751" s="13"/>
      <c r="AC751" s="13"/>
    </row>
    <row r="752" ht="16.5" customHeight="1">
      <c r="A752" s="13"/>
      <c r="B752" s="13"/>
      <c r="C752" s="13"/>
      <c r="D752" s="13"/>
      <c r="E752" s="13"/>
      <c r="F752" s="13"/>
      <c r="G752" s="13"/>
      <c r="H752" s="13"/>
      <c r="I752" s="13"/>
      <c r="J752" s="13"/>
      <c r="K752" s="205"/>
      <c r="L752" s="13"/>
      <c r="M752" s="13"/>
      <c r="N752" s="13"/>
      <c r="O752" s="205"/>
      <c r="P752" s="13"/>
      <c r="Q752" s="13"/>
      <c r="R752" s="177"/>
      <c r="S752" s="35"/>
      <c r="T752" s="35"/>
      <c r="U752" s="13"/>
      <c r="V752" s="13"/>
      <c r="W752" s="13"/>
      <c r="X752" s="13"/>
      <c r="Y752" s="13"/>
      <c r="Z752" s="13"/>
      <c r="AA752" s="13"/>
      <c r="AB752" s="13"/>
      <c r="AC752" s="13"/>
    </row>
    <row r="753" ht="16.5" customHeight="1">
      <c r="A753" s="13"/>
      <c r="B753" s="13"/>
      <c r="C753" s="13"/>
      <c r="D753" s="13"/>
      <c r="E753" s="13"/>
      <c r="F753" s="13"/>
      <c r="G753" s="13"/>
      <c r="H753" s="13"/>
      <c r="I753" s="13"/>
      <c r="J753" s="13"/>
      <c r="K753" s="205"/>
      <c r="L753" s="13"/>
      <c r="M753" s="13"/>
      <c r="N753" s="13"/>
      <c r="O753" s="205"/>
      <c r="P753" s="13"/>
      <c r="Q753" s="13"/>
      <c r="R753" s="177"/>
      <c r="S753" s="35"/>
      <c r="T753" s="35"/>
      <c r="U753" s="13"/>
      <c r="V753" s="13"/>
      <c r="W753" s="13"/>
      <c r="X753" s="13"/>
      <c r="Y753" s="13"/>
      <c r="Z753" s="13"/>
      <c r="AA753" s="13"/>
      <c r="AB753" s="13"/>
      <c r="AC753" s="13"/>
    </row>
    <row r="754" ht="16.5" customHeight="1">
      <c r="A754" s="13"/>
      <c r="B754" s="13"/>
      <c r="C754" s="13"/>
      <c r="D754" s="13"/>
      <c r="E754" s="13"/>
      <c r="F754" s="13"/>
      <c r="G754" s="13"/>
      <c r="H754" s="13"/>
      <c r="I754" s="13"/>
      <c r="J754" s="13"/>
      <c r="K754" s="205"/>
      <c r="L754" s="13"/>
      <c r="M754" s="13"/>
      <c r="N754" s="13"/>
      <c r="O754" s="205"/>
      <c r="P754" s="13"/>
      <c r="Q754" s="13"/>
      <c r="R754" s="177"/>
      <c r="S754" s="35"/>
      <c r="T754" s="35"/>
      <c r="U754" s="13"/>
      <c r="V754" s="13"/>
      <c r="W754" s="13"/>
      <c r="X754" s="13"/>
      <c r="Y754" s="13"/>
      <c r="Z754" s="13"/>
      <c r="AA754" s="13"/>
      <c r="AB754" s="13"/>
      <c r="AC754" s="13"/>
    </row>
    <row r="755" ht="16.5" customHeight="1">
      <c r="A755" s="13"/>
      <c r="B755" s="13"/>
      <c r="C755" s="13"/>
      <c r="D755" s="13"/>
      <c r="E755" s="13"/>
      <c r="F755" s="13"/>
      <c r="G755" s="13"/>
      <c r="H755" s="13"/>
      <c r="I755" s="13"/>
      <c r="J755" s="13"/>
      <c r="K755" s="205"/>
      <c r="L755" s="13"/>
      <c r="M755" s="13"/>
      <c r="N755" s="13"/>
      <c r="O755" s="205"/>
      <c r="P755" s="13"/>
      <c r="Q755" s="13"/>
      <c r="R755" s="177"/>
      <c r="S755" s="35"/>
      <c r="T755" s="35"/>
      <c r="U755" s="13"/>
      <c r="V755" s="13"/>
      <c r="W755" s="13"/>
      <c r="X755" s="13"/>
      <c r="Y755" s="13"/>
      <c r="Z755" s="13"/>
      <c r="AA755" s="13"/>
      <c r="AB755" s="13"/>
      <c r="AC755" s="13"/>
    </row>
    <row r="756" ht="16.5" customHeight="1">
      <c r="A756" s="13"/>
      <c r="B756" s="13"/>
      <c r="C756" s="13"/>
      <c r="D756" s="13"/>
      <c r="E756" s="13"/>
      <c r="F756" s="13"/>
      <c r="G756" s="13"/>
      <c r="H756" s="13"/>
      <c r="I756" s="13"/>
      <c r="J756" s="13"/>
      <c r="K756" s="205"/>
      <c r="L756" s="13"/>
      <c r="M756" s="13"/>
      <c r="N756" s="13"/>
      <c r="O756" s="205"/>
      <c r="P756" s="13"/>
      <c r="Q756" s="13"/>
      <c r="R756" s="177"/>
      <c r="S756" s="35"/>
      <c r="T756" s="35"/>
      <c r="U756" s="13"/>
      <c r="V756" s="13"/>
      <c r="W756" s="13"/>
      <c r="X756" s="13"/>
      <c r="Y756" s="13"/>
      <c r="Z756" s="13"/>
      <c r="AA756" s="13"/>
      <c r="AB756" s="13"/>
      <c r="AC756" s="13"/>
    </row>
    <row r="757" ht="16.5" customHeight="1">
      <c r="A757" s="13"/>
      <c r="B757" s="13"/>
      <c r="C757" s="13"/>
      <c r="D757" s="13"/>
      <c r="E757" s="13"/>
      <c r="F757" s="13"/>
      <c r="G757" s="13"/>
      <c r="H757" s="13"/>
      <c r="I757" s="13"/>
      <c r="J757" s="13"/>
      <c r="K757" s="205"/>
      <c r="L757" s="13"/>
      <c r="M757" s="13"/>
      <c r="N757" s="13"/>
      <c r="O757" s="205"/>
      <c r="P757" s="13"/>
      <c r="Q757" s="13"/>
      <c r="R757" s="177"/>
      <c r="S757" s="35"/>
      <c r="T757" s="35"/>
      <c r="U757" s="13"/>
      <c r="V757" s="13"/>
      <c r="W757" s="13"/>
      <c r="X757" s="13"/>
      <c r="Y757" s="13"/>
      <c r="Z757" s="13"/>
      <c r="AA757" s="13"/>
      <c r="AB757" s="13"/>
      <c r="AC757" s="13"/>
    </row>
    <row r="758" ht="16.5" customHeight="1">
      <c r="A758" s="13"/>
      <c r="B758" s="13"/>
      <c r="C758" s="13"/>
      <c r="D758" s="13"/>
      <c r="E758" s="13"/>
      <c r="F758" s="13"/>
      <c r="G758" s="13"/>
      <c r="H758" s="13"/>
      <c r="I758" s="13"/>
      <c r="J758" s="13"/>
      <c r="K758" s="205"/>
      <c r="L758" s="13"/>
      <c r="M758" s="13"/>
      <c r="N758" s="13"/>
      <c r="O758" s="205"/>
      <c r="P758" s="13"/>
      <c r="Q758" s="13"/>
      <c r="R758" s="177"/>
      <c r="S758" s="35"/>
      <c r="T758" s="35"/>
      <c r="U758" s="13"/>
      <c r="V758" s="13"/>
      <c r="W758" s="13"/>
      <c r="X758" s="13"/>
      <c r="Y758" s="13"/>
      <c r="Z758" s="13"/>
      <c r="AA758" s="13"/>
      <c r="AB758" s="13"/>
      <c r="AC758" s="13"/>
    </row>
    <row r="759" ht="16.5" customHeight="1">
      <c r="A759" s="13"/>
      <c r="B759" s="13"/>
      <c r="C759" s="13"/>
      <c r="D759" s="13"/>
      <c r="E759" s="13"/>
      <c r="F759" s="13"/>
      <c r="G759" s="13"/>
      <c r="H759" s="13"/>
      <c r="I759" s="13"/>
      <c r="J759" s="13"/>
      <c r="K759" s="205"/>
      <c r="L759" s="13"/>
      <c r="M759" s="13"/>
      <c r="N759" s="13"/>
      <c r="O759" s="205"/>
      <c r="P759" s="13"/>
      <c r="Q759" s="13"/>
      <c r="R759" s="177"/>
      <c r="S759" s="35"/>
      <c r="T759" s="35"/>
      <c r="U759" s="13"/>
      <c r="V759" s="13"/>
      <c r="W759" s="13"/>
      <c r="X759" s="13"/>
      <c r="Y759" s="13"/>
      <c r="Z759" s="13"/>
      <c r="AA759" s="13"/>
      <c r="AB759" s="13"/>
      <c r="AC759" s="13"/>
    </row>
    <row r="760" ht="16.5" customHeight="1">
      <c r="A760" s="13"/>
      <c r="B760" s="13"/>
      <c r="C760" s="13"/>
      <c r="D760" s="13"/>
      <c r="E760" s="13"/>
      <c r="F760" s="13"/>
      <c r="G760" s="13"/>
      <c r="H760" s="13"/>
      <c r="I760" s="13"/>
      <c r="J760" s="13"/>
      <c r="K760" s="205"/>
      <c r="L760" s="13"/>
      <c r="M760" s="13"/>
      <c r="N760" s="13"/>
      <c r="O760" s="205"/>
      <c r="P760" s="13"/>
      <c r="Q760" s="13"/>
      <c r="R760" s="177"/>
      <c r="S760" s="35"/>
      <c r="T760" s="35"/>
      <c r="U760" s="13"/>
      <c r="V760" s="13"/>
      <c r="W760" s="13"/>
      <c r="X760" s="13"/>
      <c r="Y760" s="13"/>
      <c r="Z760" s="13"/>
      <c r="AA760" s="13"/>
      <c r="AB760" s="13"/>
      <c r="AC760" s="13"/>
    </row>
    <row r="761" ht="16.5" customHeight="1">
      <c r="A761" s="13"/>
      <c r="B761" s="13"/>
      <c r="C761" s="13"/>
      <c r="D761" s="13"/>
      <c r="E761" s="13"/>
      <c r="F761" s="13"/>
      <c r="G761" s="13"/>
      <c r="H761" s="13"/>
      <c r="I761" s="13"/>
      <c r="J761" s="13"/>
      <c r="K761" s="205"/>
      <c r="L761" s="13"/>
      <c r="M761" s="13"/>
      <c r="N761" s="13"/>
      <c r="O761" s="205"/>
      <c r="P761" s="13"/>
      <c r="Q761" s="13"/>
      <c r="R761" s="177"/>
      <c r="S761" s="35"/>
      <c r="T761" s="35"/>
      <c r="U761" s="13"/>
      <c r="V761" s="13"/>
      <c r="W761" s="13"/>
      <c r="X761" s="13"/>
      <c r="Y761" s="13"/>
      <c r="Z761" s="13"/>
      <c r="AA761" s="13"/>
      <c r="AB761" s="13"/>
      <c r="AC761" s="13"/>
    </row>
    <row r="762" ht="16.5" customHeight="1">
      <c r="A762" s="13"/>
      <c r="B762" s="13"/>
      <c r="C762" s="13"/>
      <c r="D762" s="13"/>
      <c r="E762" s="13"/>
      <c r="F762" s="13"/>
      <c r="G762" s="13"/>
      <c r="H762" s="13"/>
      <c r="I762" s="13"/>
      <c r="J762" s="13"/>
      <c r="K762" s="205"/>
      <c r="L762" s="13"/>
      <c r="M762" s="13"/>
      <c r="N762" s="13"/>
      <c r="O762" s="205"/>
      <c r="P762" s="13"/>
      <c r="Q762" s="13"/>
      <c r="R762" s="177"/>
      <c r="S762" s="35"/>
      <c r="T762" s="35"/>
      <c r="U762" s="13"/>
      <c r="V762" s="13"/>
      <c r="W762" s="13"/>
      <c r="X762" s="13"/>
      <c r="Y762" s="13"/>
      <c r="Z762" s="13"/>
      <c r="AA762" s="13"/>
      <c r="AB762" s="13"/>
      <c r="AC762" s="13"/>
    </row>
    <row r="763" ht="16.5" customHeight="1">
      <c r="A763" s="13"/>
      <c r="B763" s="13"/>
      <c r="C763" s="13"/>
      <c r="D763" s="13"/>
      <c r="E763" s="13"/>
      <c r="F763" s="13"/>
      <c r="G763" s="13"/>
      <c r="H763" s="13"/>
      <c r="I763" s="13"/>
      <c r="J763" s="13"/>
      <c r="K763" s="205"/>
      <c r="L763" s="13"/>
      <c r="M763" s="13"/>
      <c r="N763" s="13"/>
      <c r="O763" s="205"/>
      <c r="P763" s="13"/>
      <c r="Q763" s="13"/>
      <c r="R763" s="177"/>
      <c r="S763" s="35"/>
      <c r="T763" s="35"/>
      <c r="U763" s="13"/>
      <c r="V763" s="13"/>
      <c r="W763" s="13"/>
      <c r="X763" s="13"/>
      <c r="Y763" s="13"/>
      <c r="Z763" s="13"/>
      <c r="AA763" s="13"/>
      <c r="AB763" s="13"/>
      <c r="AC763" s="13"/>
    </row>
    <row r="764" ht="16.5" customHeight="1">
      <c r="A764" s="13"/>
      <c r="B764" s="13"/>
      <c r="C764" s="13"/>
      <c r="D764" s="13"/>
      <c r="E764" s="13"/>
      <c r="F764" s="13"/>
      <c r="G764" s="13"/>
      <c r="H764" s="13"/>
      <c r="I764" s="13"/>
      <c r="J764" s="13"/>
      <c r="K764" s="205"/>
      <c r="L764" s="13"/>
      <c r="M764" s="13"/>
      <c r="N764" s="13"/>
      <c r="O764" s="205"/>
      <c r="P764" s="13"/>
      <c r="Q764" s="13"/>
      <c r="R764" s="177"/>
      <c r="S764" s="35"/>
      <c r="T764" s="35"/>
      <c r="U764" s="13"/>
      <c r="V764" s="13"/>
      <c r="W764" s="13"/>
      <c r="X764" s="13"/>
      <c r="Y764" s="13"/>
      <c r="Z764" s="13"/>
      <c r="AA764" s="13"/>
      <c r="AB764" s="13"/>
      <c r="AC764" s="13"/>
    </row>
    <row r="765" ht="16.5" customHeight="1">
      <c r="A765" s="13"/>
      <c r="B765" s="13"/>
      <c r="C765" s="13"/>
      <c r="D765" s="13"/>
      <c r="E765" s="13"/>
      <c r="F765" s="13"/>
      <c r="G765" s="13"/>
      <c r="H765" s="13"/>
      <c r="I765" s="13"/>
      <c r="J765" s="13"/>
      <c r="K765" s="205"/>
      <c r="L765" s="13"/>
      <c r="M765" s="13"/>
      <c r="N765" s="13"/>
      <c r="O765" s="205"/>
      <c r="P765" s="13"/>
      <c r="Q765" s="13"/>
      <c r="R765" s="177"/>
      <c r="S765" s="35"/>
      <c r="T765" s="35"/>
      <c r="U765" s="13"/>
      <c r="V765" s="13"/>
      <c r="W765" s="13"/>
      <c r="X765" s="13"/>
      <c r="Y765" s="13"/>
      <c r="Z765" s="13"/>
      <c r="AA765" s="13"/>
      <c r="AB765" s="13"/>
      <c r="AC765" s="13"/>
    </row>
    <row r="766" ht="16.5" customHeight="1">
      <c r="A766" s="13"/>
      <c r="B766" s="13"/>
      <c r="C766" s="13"/>
      <c r="D766" s="13"/>
      <c r="E766" s="13"/>
      <c r="F766" s="13"/>
      <c r="G766" s="13"/>
      <c r="H766" s="13"/>
      <c r="I766" s="13"/>
      <c r="J766" s="13"/>
      <c r="K766" s="205"/>
      <c r="L766" s="13"/>
      <c r="M766" s="13"/>
      <c r="N766" s="13"/>
      <c r="O766" s="205"/>
      <c r="P766" s="13"/>
      <c r="Q766" s="13"/>
      <c r="R766" s="177"/>
      <c r="S766" s="35"/>
      <c r="T766" s="35"/>
      <c r="U766" s="13"/>
      <c r="V766" s="13"/>
      <c r="W766" s="13"/>
      <c r="X766" s="13"/>
      <c r="Y766" s="13"/>
      <c r="Z766" s="13"/>
      <c r="AA766" s="13"/>
      <c r="AB766" s="13"/>
      <c r="AC766" s="13"/>
    </row>
    <row r="767" ht="16.5" customHeight="1">
      <c r="A767" s="13"/>
      <c r="B767" s="13"/>
      <c r="C767" s="13"/>
      <c r="D767" s="13"/>
      <c r="E767" s="13"/>
      <c r="F767" s="13"/>
      <c r="G767" s="13"/>
      <c r="H767" s="13"/>
      <c r="I767" s="13"/>
      <c r="J767" s="13"/>
      <c r="K767" s="205"/>
      <c r="L767" s="13"/>
      <c r="M767" s="13"/>
      <c r="N767" s="13"/>
      <c r="O767" s="205"/>
      <c r="P767" s="13"/>
      <c r="Q767" s="13"/>
      <c r="R767" s="177"/>
      <c r="S767" s="35"/>
      <c r="T767" s="35"/>
      <c r="U767" s="13"/>
      <c r="V767" s="13"/>
      <c r="W767" s="13"/>
      <c r="X767" s="13"/>
      <c r="Y767" s="13"/>
      <c r="Z767" s="13"/>
      <c r="AA767" s="13"/>
      <c r="AB767" s="13"/>
      <c r="AC767" s="13"/>
    </row>
    <row r="768" ht="16.5" customHeight="1">
      <c r="A768" s="13"/>
      <c r="B768" s="13"/>
      <c r="C768" s="13"/>
      <c r="D768" s="13"/>
      <c r="E768" s="13"/>
      <c r="F768" s="13"/>
      <c r="G768" s="13"/>
      <c r="H768" s="13"/>
      <c r="I768" s="13"/>
      <c r="J768" s="13"/>
      <c r="K768" s="205"/>
      <c r="L768" s="13"/>
      <c r="M768" s="13"/>
      <c r="N768" s="13"/>
      <c r="O768" s="205"/>
      <c r="P768" s="13"/>
      <c r="Q768" s="13"/>
      <c r="R768" s="177"/>
      <c r="S768" s="35"/>
      <c r="T768" s="35"/>
      <c r="U768" s="13"/>
      <c r="V768" s="13"/>
      <c r="W768" s="13"/>
      <c r="X768" s="13"/>
      <c r="Y768" s="13"/>
      <c r="Z768" s="13"/>
      <c r="AA768" s="13"/>
      <c r="AB768" s="13"/>
      <c r="AC768" s="13"/>
    </row>
    <row r="769" ht="16.5" customHeight="1">
      <c r="A769" s="13"/>
      <c r="B769" s="13"/>
      <c r="C769" s="13"/>
      <c r="D769" s="13"/>
      <c r="E769" s="13"/>
      <c r="F769" s="13"/>
      <c r="G769" s="13"/>
      <c r="H769" s="13"/>
      <c r="I769" s="13"/>
      <c r="J769" s="13"/>
      <c r="K769" s="205"/>
      <c r="L769" s="13"/>
      <c r="M769" s="13"/>
      <c r="N769" s="13"/>
      <c r="O769" s="205"/>
      <c r="P769" s="13"/>
      <c r="Q769" s="13"/>
      <c r="R769" s="177"/>
      <c r="S769" s="35"/>
      <c r="T769" s="35"/>
      <c r="U769" s="13"/>
      <c r="V769" s="13"/>
      <c r="W769" s="13"/>
      <c r="X769" s="13"/>
      <c r="Y769" s="13"/>
      <c r="Z769" s="13"/>
      <c r="AA769" s="13"/>
      <c r="AB769" s="13"/>
      <c r="AC769" s="13"/>
    </row>
    <row r="770" ht="16.5" customHeight="1">
      <c r="A770" s="13"/>
      <c r="B770" s="13"/>
      <c r="C770" s="13"/>
      <c r="D770" s="13"/>
      <c r="E770" s="13"/>
      <c r="F770" s="13"/>
      <c r="G770" s="13"/>
      <c r="H770" s="13"/>
      <c r="I770" s="13"/>
      <c r="J770" s="13"/>
      <c r="K770" s="205"/>
      <c r="L770" s="13"/>
      <c r="M770" s="13"/>
      <c r="N770" s="13"/>
      <c r="O770" s="205"/>
      <c r="P770" s="13"/>
      <c r="Q770" s="13"/>
      <c r="R770" s="177"/>
      <c r="S770" s="35"/>
      <c r="T770" s="35"/>
      <c r="U770" s="13"/>
      <c r="V770" s="13"/>
      <c r="W770" s="13"/>
      <c r="X770" s="13"/>
      <c r="Y770" s="13"/>
      <c r="Z770" s="13"/>
      <c r="AA770" s="13"/>
      <c r="AB770" s="13"/>
      <c r="AC770" s="13"/>
    </row>
    <row r="771" ht="16.5" customHeight="1">
      <c r="A771" s="13"/>
      <c r="B771" s="13"/>
      <c r="C771" s="13"/>
      <c r="D771" s="13"/>
      <c r="E771" s="13"/>
      <c r="F771" s="13"/>
      <c r="G771" s="13"/>
      <c r="H771" s="13"/>
      <c r="I771" s="13"/>
      <c r="J771" s="13"/>
      <c r="K771" s="205"/>
      <c r="L771" s="13"/>
      <c r="M771" s="13"/>
      <c r="N771" s="13"/>
      <c r="O771" s="205"/>
      <c r="P771" s="13"/>
      <c r="Q771" s="13"/>
      <c r="R771" s="177"/>
      <c r="S771" s="35"/>
      <c r="T771" s="35"/>
      <c r="U771" s="13"/>
      <c r="V771" s="13"/>
      <c r="W771" s="13"/>
      <c r="X771" s="13"/>
      <c r="Y771" s="13"/>
      <c r="Z771" s="13"/>
      <c r="AA771" s="13"/>
      <c r="AB771" s="13"/>
      <c r="AC771" s="13"/>
    </row>
    <row r="772" ht="16.5" customHeight="1">
      <c r="A772" s="13"/>
      <c r="B772" s="13"/>
      <c r="C772" s="13"/>
      <c r="D772" s="13"/>
      <c r="E772" s="13"/>
      <c r="F772" s="13"/>
      <c r="G772" s="13"/>
      <c r="H772" s="13"/>
      <c r="I772" s="13"/>
      <c r="J772" s="13"/>
      <c r="K772" s="205"/>
      <c r="L772" s="13"/>
      <c r="M772" s="13"/>
      <c r="N772" s="13"/>
      <c r="O772" s="205"/>
      <c r="P772" s="13"/>
      <c r="Q772" s="13"/>
      <c r="R772" s="177"/>
      <c r="S772" s="35"/>
      <c r="T772" s="35"/>
      <c r="U772" s="13"/>
      <c r="V772" s="13"/>
      <c r="W772" s="13"/>
      <c r="X772" s="13"/>
      <c r="Y772" s="13"/>
      <c r="Z772" s="13"/>
      <c r="AA772" s="13"/>
      <c r="AB772" s="13"/>
      <c r="AC772" s="13"/>
    </row>
    <row r="773" ht="16.5" customHeight="1">
      <c r="A773" s="13"/>
      <c r="B773" s="13"/>
      <c r="C773" s="13"/>
      <c r="D773" s="13"/>
      <c r="E773" s="13"/>
      <c r="F773" s="13"/>
      <c r="G773" s="13"/>
      <c r="H773" s="13"/>
      <c r="I773" s="13"/>
      <c r="J773" s="13"/>
      <c r="K773" s="205"/>
      <c r="L773" s="13"/>
      <c r="M773" s="13"/>
      <c r="N773" s="13"/>
      <c r="O773" s="205"/>
      <c r="P773" s="13"/>
      <c r="Q773" s="13"/>
      <c r="R773" s="177"/>
      <c r="S773" s="35"/>
      <c r="T773" s="35"/>
      <c r="U773" s="13"/>
      <c r="V773" s="13"/>
      <c r="W773" s="13"/>
      <c r="X773" s="13"/>
      <c r="Y773" s="13"/>
      <c r="Z773" s="13"/>
      <c r="AA773" s="13"/>
      <c r="AB773" s="13"/>
      <c r="AC773" s="13"/>
    </row>
    <row r="774" ht="16.5" customHeight="1">
      <c r="A774" s="13"/>
      <c r="B774" s="13"/>
      <c r="C774" s="13"/>
      <c r="D774" s="13"/>
      <c r="E774" s="13"/>
      <c r="F774" s="13"/>
      <c r="G774" s="13"/>
      <c r="H774" s="13"/>
      <c r="I774" s="13"/>
      <c r="J774" s="13"/>
      <c r="K774" s="205"/>
      <c r="L774" s="13"/>
      <c r="M774" s="13"/>
      <c r="N774" s="13"/>
      <c r="O774" s="205"/>
      <c r="P774" s="13"/>
      <c r="Q774" s="13"/>
      <c r="R774" s="177"/>
      <c r="S774" s="35"/>
      <c r="T774" s="35"/>
      <c r="U774" s="13"/>
      <c r="V774" s="13"/>
      <c r="W774" s="13"/>
      <c r="X774" s="13"/>
      <c r="Y774" s="13"/>
      <c r="Z774" s="13"/>
      <c r="AA774" s="13"/>
      <c r="AB774" s="13"/>
      <c r="AC774" s="13"/>
    </row>
    <row r="775" ht="16.5" customHeight="1">
      <c r="A775" s="13"/>
      <c r="B775" s="13"/>
      <c r="C775" s="13"/>
      <c r="D775" s="13"/>
      <c r="E775" s="13"/>
      <c r="F775" s="13"/>
      <c r="G775" s="13"/>
      <c r="H775" s="13"/>
      <c r="I775" s="13"/>
      <c r="J775" s="13"/>
      <c r="K775" s="205"/>
      <c r="L775" s="13"/>
      <c r="M775" s="13"/>
      <c r="N775" s="13"/>
      <c r="O775" s="205"/>
      <c r="P775" s="13"/>
      <c r="Q775" s="13"/>
      <c r="R775" s="177"/>
      <c r="S775" s="35"/>
      <c r="T775" s="35"/>
      <c r="U775" s="13"/>
      <c r="V775" s="13"/>
      <c r="W775" s="13"/>
      <c r="X775" s="13"/>
      <c r="Y775" s="13"/>
      <c r="Z775" s="13"/>
      <c r="AA775" s="13"/>
      <c r="AB775" s="13"/>
      <c r="AC775" s="13"/>
    </row>
    <row r="776" ht="16.5" customHeight="1">
      <c r="A776" s="13"/>
      <c r="B776" s="13"/>
      <c r="C776" s="13"/>
      <c r="D776" s="13"/>
      <c r="E776" s="13"/>
      <c r="F776" s="13"/>
      <c r="G776" s="13"/>
      <c r="H776" s="13"/>
      <c r="I776" s="13"/>
      <c r="J776" s="13"/>
      <c r="K776" s="205"/>
      <c r="L776" s="13"/>
      <c r="M776" s="13"/>
      <c r="N776" s="13"/>
      <c r="O776" s="205"/>
      <c r="P776" s="13"/>
      <c r="Q776" s="13"/>
      <c r="R776" s="177"/>
      <c r="S776" s="35"/>
      <c r="T776" s="35"/>
      <c r="U776" s="13"/>
      <c r="V776" s="13"/>
      <c r="W776" s="13"/>
      <c r="X776" s="13"/>
      <c r="Y776" s="13"/>
      <c r="Z776" s="13"/>
      <c r="AA776" s="13"/>
      <c r="AB776" s="13"/>
      <c r="AC776" s="13"/>
    </row>
    <row r="777" ht="16.5" customHeight="1">
      <c r="A777" s="13"/>
      <c r="B777" s="13"/>
      <c r="C777" s="13"/>
      <c r="D777" s="13"/>
      <c r="E777" s="13"/>
      <c r="F777" s="13"/>
      <c r="G777" s="13"/>
      <c r="H777" s="13"/>
      <c r="I777" s="13"/>
      <c r="J777" s="13"/>
      <c r="K777" s="205"/>
      <c r="L777" s="13"/>
      <c r="M777" s="13"/>
      <c r="N777" s="13"/>
      <c r="O777" s="205"/>
      <c r="P777" s="13"/>
      <c r="Q777" s="13"/>
      <c r="R777" s="177"/>
      <c r="S777" s="35"/>
      <c r="T777" s="35"/>
      <c r="U777" s="13"/>
      <c r="V777" s="13"/>
      <c r="W777" s="13"/>
      <c r="X777" s="13"/>
      <c r="Y777" s="13"/>
      <c r="Z777" s="13"/>
      <c r="AA777" s="13"/>
      <c r="AB777" s="13"/>
      <c r="AC777" s="13"/>
    </row>
    <row r="778" ht="16.5" customHeight="1">
      <c r="A778" s="13"/>
      <c r="B778" s="13"/>
      <c r="C778" s="13"/>
      <c r="D778" s="13"/>
      <c r="E778" s="13"/>
      <c r="F778" s="13"/>
      <c r="G778" s="13"/>
      <c r="H778" s="13"/>
      <c r="I778" s="13"/>
      <c r="J778" s="13"/>
      <c r="K778" s="205"/>
      <c r="L778" s="13"/>
      <c r="M778" s="13"/>
      <c r="N778" s="13"/>
      <c r="O778" s="205"/>
      <c r="P778" s="13"/>
      <c r="Q778" s="13"/>
      <c r="R778" s="177"/>
      <c r="S778" s="35"/>
      <c r="T778" s="35"/>
      <c r="U778" s="13"/>
      <c r="V778" s="13"/>
      <c r="W778" s="13"/>
      <c r="X778" s="13"/>
      <c r="Y778" s="13"/>
      <c r="Z778" s="13"/>
      <c r="AA778" s="13"/>
      <c r="AB778" s="13"/>
      <c r="AC778" s="13"/>
    </row>
    <row r="779" ht="16.5" customHeight="1">
      <c r="A779" s="13"/>
      <c r="B779" s="13"/>
      <c r="C779" s="13"/>
      <c r="D779" s="13"/>
      <c r="E779" s="13"/>
      <c r="F779" s="13"/>
      <c r="G779" s="13"/>
      <c r="H779" s="13"/>
      <c r="I779" s="13"/>
      <c r="J779" s="13"/>
      <c r="K779" s="205"/>
      <c r="L779" s="13"/>
      <c r="M779" s="13"/>
      <c r="N779" s="13"/>
      <c r="O779" s="205"/>
      <c r="P779" s="13"/>
      <c r="Q779" s="13"/>
      <c r="R779" s="177"/>
      <c r="S779" s="35"/>
      <c r="T779" s="35"/>
      <c r="U779" s="13"/>
      <c r="V779" s="13"/>
      <c r="W779" s="13"/>
      <c r="X779" s="13"/>
      <c r="Y779" s="13"/>
      <c r="Z779" s="13"/>
      <c r="AA779" s="13"/>
      <c r="AB779" s="13"/>
      <c r="AC779" s="13"/>
    </row>
    <row r="780" ht="16.5" customHeight="1">
      <c r="A780" s="13"/>
      <c r="B780" s="13"/>
      <c r="C780" s="13"/>
      <c r="D780" s="13"/>
      <c r="E780" s="13"/>
      <c r="F780" s="13"/>
      <c r="G780" s="13"/>
      <c r="H780" s="13"/>
      <c r="I780" s="13"/>
      <c r="J780" s="13"/>
      <c r="K780" s="205"/>
      <c r="L780" s="13"/>
      <c r="M780" s="13"/>
      <c r="N780" s="13"/>
      <c r="O780" s="205"/>
      <c r="P780" s="13"/>
      <c r="Q780" s="13"/>
      <c r="R780" s="177"/>
      <c r="S780" s="35"/>
      <c r="T780" s="35"/>
      <c r="U780" s="13"/>
      <c r="V780" s="13"/>
      <c r="W780" s="13"/>
      <c r="X780" s="13"/>
      <c r="Y780" s="13"/>
      <c r="Z780" s="13"/>
      <c r="AA780" s="13"/>
      <c r="AB780" s="13"/>
      <c r="AC780" s="13"/>
    </row>
    <row r="781" ht="16.5" customHeight="1">
      <c r="A781" s="13"/>
      <c r="B781" s="13"/>
      <c r="C781" s="13"/>
      <c r="D781" s="13"/>
      <c r="E781" s="13"/>
      <c r="F781" s="13"/>
      <c r="G781" s="13"/>
      <c r="H781" s="13"/>
      <c r="I781" s="13"/>
      <c r="J781" s="13"/>
      <c r="K781" s="205"/>
      <c r="L781" s="13"/>
      <c r="M781" s="13"/>
      <c r="N781" s="13"/>
      <c r="O781" s="205"/>
      <c r="P781" s="13"/>
      <c r="Q781" s="13"/>
      <c r="R781" s="177"/>
      <c r="S781" s="35"/>
      <c r="T781" s="35"/>
      <c r="U781" s="13"/>
      <c r="V781" s="13"/>
      <c r="W781" s="13"/>
      <c r="X781" s="13"/>
      <c r="Y781" s="13"/>
      <c r="Z781" s="13"/>
      <c r="AA781" s="13"/>
      <c r="AB781" s="13"/>
      <c r="AC781" s="13"/>
    </row>
    <row r="782" ht="16.5" customHeight="1">
      <c r="A782" s="13"/>
      <c r="B782" s="13"/>
      <c r="C782" s="13"/>
      <c r="D782" s="13"/>
      <c r="E782" s="13"/>
      <c r="F782" s="13"/>
      <c r="G782" s="13"/>
      <c r="H782" s="13"/>
      <c r="I782" s="13"/>
      <c r="J782" s="13"/>
      <c r="K782" s="205"/>
      <c r="L782" s="13"/>
      <c r="M782" s="13"/>
      <c r="N782" s="13"/>
      <c r="O782" s="205"/>
      <c r="P782" s="13"/>
      <c r="Q782" s="13"/>
      <c r="R782" s="177"/>
      <c r="S782" s="35"/>
      <c r="T782" s="35"/>
      <c r="U782" s="13"/>
      <c r="V782" s="13"/>
      <c r="W782" s="13"/>
      <c r="X782" s="13"/>
      <c r="Y782" s="13"/>
      <c r="Z782" s="13"/>
      <c r="AA782" s="13"/>
      <c r="AB782" s="13"/>
      <c r="AC782" s="13"/>
    </row>
    <row r="783" ht="16.5" customHeight="1">
      <c r="A783" s="13"/>
      <c r="B783" s="13"/>
      <c r="C783" s="13"/>
      <c r="D783" s="13"/>
      <c r="E783" s="13"/>
      <c r="F783" s="13"/>
      <c r="G783" s="13"/>
      <c r="H783" s="13"/>
      <c r="I783" s="13"/>
      <c r="J783" s="13"/>
      <c r="K783" s="205"/>
      <c r="L783" s="13"/>
      <c r="M783" s="13"/>
      <c r="N783" s="13"/>
      <c r="O783" s="205"/>
      <c r="P783" s="13"/>
      <c r="Q783" s="13"/>
      <c r="R783" s="177"/>
      <c r="S783" s="35"/>
      <c r="T783" s="35"/>
      <c r="U783" s="13"/>
      <c r="V783" s="13"/>
      <c r="W783" s="13"/>
      <c r="X783" s="13"/>
      <c r="Y783" s="13"/>
      <c r="Z783" s="13"/>
      <c r="AA783" s="13"/>
      <c r="AB783" s="13"/>
      <c r="AC783" s="13"/>
    </row>
    <row r="784" ht="16.5" customHeight="1">
      <c r="A784" s="13"/>
      <c r="B784" s="13"/>
      <c r="C784" s="13"/>
      <c r="D784" s="13"/>
      <c r="E784" s="13"/>
      <c r="F784" s="13"/>
      <c r="G784" s="13"/>
      <c r="H784" s="13"/>
      <c r="I784" s="13"/>
      <c r="J784" s="13"/>
      <c r="K784" s="205"/>
      <c r="L784" s="13"/>
      <c r="M784" s="13"/>
      <c r="N784" s="13"/>
      <c r="O784" s="205"/>
      <c r="P784" s="13"/>
      <c r="Q784" s="13"/>
      <c r="R784" s="177"/>
      <c r="S784" s="35"/>
      <c r="T784" s="35"/>
      <c r="U784" s="13"/>
      <c r="V784" s="13"/>
      <c r="W784" s="13"/>
      <c r="X784" s="13"/>
      <c r="Y784" s="13"/>
      <c r="Z784" s="13"/>
      <c r="AA784" s="13"/>
      <c r="AB784" s="13"/>
      <c r="AC784" s="13"/>
    </row>
    <row r="785" ht="16.5" customHeight="1">
      <c r="A785" s="13"/>
      <c r="B785" s="13"/>
      <c r="C785" s="13"/>
      <c r="D785" s="13"/>
      <c r="E785" s="13"/>
      <c r="F785" s="13"/>
      <c r="G785" s="13"/>
      <c r="H785" s="13"/>
      <c r="I785" s="13"/>
      <c r="J785" s="13"/>
      <c r="K785" s="205"/>
      <c r="L785" s="13"/>
      <c r="M785" s="13"/>
      <c r="N785" s="13"/>
      <c r="O785" s="205"/>
      <c r="P785" s="13"/>
      <c r="Q785" s="13"/>
      <c r="R785" s="177"/>
      <c r="S785" s="35"/>
      <c r="T785" s="35"/>
      <c r="U785" s="13"/>
      <c r="V785" s="13"/>
      <c r="W785" s="13"/>
      <c r="X785" s="13"/>
      <c r="Y785" s="13"/>
      <c r="Z785" s="13"/>
      <c r="AA785" s="13"/>
      <c r="AB785" s="13"/>
      <c r="AC785" s="13"/>
    </row>
    <row r="786" ht="16.5" customHeight="1">
      <c r="A786" s="13"/>
      <c r="B786" s="13"/>
      <c r="C786" s="13"/>
      <c r="D786" s="13"/>
      <c r="E786" s="13"/>
      <c r="F786" s="13"/>
      <c r="G786" s="13"/>
      <c r="H786" s="13"/>
      <c r="I786" s="13"/>
      <c r="J786" s="13"/>
      <c r="K786" s="205"/>
      <c r="L786" s="13"/>
      <c r="M786" s="13"/>
      <c r="N786" s="13"/>
      <c r="O786" s="205"/>
      <c r="P786" s="13"/>
      <c r="Q786" s="13"/>
      <c r="R786" s="177"/>
      <c r="S786" s="35"/>
      <c r="T786" s="35"/>
      <c r="U786" s="13"/>
      <c r="V786" s="13"/>
      <c r="W786" s="13"/>
      <c r="X786" s="13"/>
      <c r="Y786" s="13"/>
      <c r="Z786" s="13"/>
      <c r="AA786" s="13"/>
      <c r="AB786" s="13"/>
      <c r="AC786" s="13"/>
    </row>
    <row r="787" ht="16.5" customHeight="1">
      <c r="A787" s="13"/>
      <c r="B787" s="13"/>
      <c r="C787" s="13"/>
      <c r="D787" s="13"/>
      <c r="E787" s="13"/>
      <c r="F787" s="13"/>
      <c r="G787" s="13"/>
      <c r="H787" s="13"/>
      <c r="I787" s="13"/>
      <c r="J787" s="13"/>
      <c r="K787" s="205"/>
      <c r="L787" s="13"/>
      <c r="M787" s="13"/>
      <c r="N787" s="13"/>
      <c r="O787" s="205"/>
      <c r="P787" s="13"/>
      <c r="Q787" s="13"/>
      <c r="R787" s="177"/>
      <c r="S787" s="35"/>
      <c r="T787" s="35"/>
      <c r="U787" s="13"/>
      <c r="V787" s="13"/>
      <c r="W787" s="13"/>
      <c r="X787" s="13"/>
      <c r="Y787" s="13"/>
      <c r="Z787" s="13"/>
      <c r="AA787" s="13"/>
      <c r="AB787" s="13"/>
      <c r="AC787" s="13"/>
    </row>
    <row r="788" ht="16.5" customHeight="1">
      <c r="A788" s="13"/>
      <c r="B788" s="13"/>
      <c r="C788" s="13"/>
      <c r="D788" s="13"/>
      <c r="E788" s="13"/>
      <c r="F788" s="13"/>
      <c r="G788" s="13"/>
      <c r="H788" s="13"/>
      <c r="I788" s="13"/>
      <c r="J788" s="13"/>
      <c r="K788" s="205"/>
      <c r="L788" s="13"/>
      <c r="M788" s="13"/>
      <c r="N788" s="13"/>
      <c r="O788" s="205"/>
      <c r="P788" s="13"/>
      <c r="Q788" s="13"/>
      <c r="R788" s="177"/>
      <c r="S788" s="35"/>
      <c r="T788" s="35"/>
      <c r="U788" s="13"/>
      <c r="V788" s="13"/>
      <c r="W788" s="13"/>
      <c r="X788" s="13"/>
      <c r="Y788" s="13"/>
      <c r="Z788" s="13"/>
      <c r="AA788" s="13"/>
      <c r="AB788" s="13"/>
      <c r="AC788" s="13"/>
    </row>
    <row r="789" ht="16.5" customHeight="1">
      <c r="A789" s="13"/>
      <c r="B789" s="13"/>
      <c r="C789" s="13"/>
      <c r="D789" s="13"/>
      <c r="E789" s="13"/>
      <c r="F789" s="13"/>
      <c r="G789" s="13"/>
      <c r="H789" s="13"/>
      <c r="I789" s="13"/>
      <c r="J789" s="13"/>
      <c r="K789" s="205"/>
      <c r="L789" s="13"/>
      <c r="M789" s="13"/>
      <c r="N789" s="13"/>
      <c r="O789" s="205"/>
      <c r="P789" s="13"/>
      <c r="Q789" s="13"/>
      <c r="R789" s="177"/>
      <c r="S789" s="35"/>
      <c r="T789" s="35"/>
      <c r="U789" s="13"/>
      <c r="V789" s="13"/>
      <c r="W789" s="13"/>
      <c r="X789" s="13"/>
      <c r="Y789" s="13"/>
      <c r="Z789" s="13"/>
      <c r="AA789" s="13"/>
      <c r="AB789" s="13"/>
      <c r="AC789" s="13"/>
    </row>
    <row r="790" ht="16.5" customHeight="1">
      <c r="A790" s="13"/>
      <c r="B790" s="13"/>
      <c r="C790" s="13"/>
      <c r="D790" s="13"/>
      <c r="E790" s="13"/>
      <c r="F790" s="13"/>
      <c r="G790" s="13"/>
      <c r="H790" s="13"/>
      <c r="I790" s="13"/>
      <c r="J790" s="13"/>
      <c r="K790" s="205"/>
      <c r="L790" s="13"/>
      <c r="M790" s="13"/>
      <c r="N790" s="13"/>
      <c r="O790" s="205"/>
      <c r="P790" s="13"/>
      <c r="Q790" s="13"/>
      <c r="R790" s="177"/>
      <c r="S790" s="35"/>
      <c r="T790" s="35"/>
      <c r="U790" s="13"/>
      <c r="V790" s="13"/>
      <c r="W790" s="13"/>
      <c r="X790" s="13"/>
      <c r="Y790" s="13"/>
      <c r="Z790" s="13"/>
      <c r="AA790" s="13"/>
      <c r="AB790" s="13"/>
      <c r="AC790" s="13"/>
    </row>
    <row r="791" ht="16.5" customHeight="1">
      <c r="A791" s="13"/>
      <c r="B791" s="13"/>
      <c r="C791" s="13"/>
      <c r="D791" s="13"/>
      <c r="E791" s="13"/>
      <c r="F791" s="13"/>
      <c r="G791" s="13"/>
      <c r="H791" s="13"/>
      <c r="I791" s="13"/>
      <c r="J791" s="13"/>
      <c r="K791" s="205"/>
      <c r="L791" s="13"/>
      <c r="M791" s="13"/>
      <c r="N791" s="13"/>
      <c r="O791" s="205"/>
      <c r="P791" s="13"/>
      <c r="Q791" s="13"/>
      <c r="R791" s="177"/>
      <c r="S791" s="35"/>
      <c r="T791" s="35"/>
      <c r="U791" s="13"/>
      <c r="V791" s="13"/>
      <c r="W791" s="13"/>
      <c r="X791" s="13"/>
      <c r="Y791" s="13"/>
      <c r="Z791" s="13"/>
      <c r="AA791" s="13"/>
      <c r="AB791" s="13"/>
      <c r="AC791" s="13"/>
    </row>
    <row r="792" ht="16.5" customHeight="1">
      <c r="A792" s="13"/>
      <c r="B792" s="13"/>
      <c r="C792" s="13"/>
      <c r="D792" s="13"/>
      <c r="E792" s="13"/>
      <c r="F792" s="13"/>
      <c r="G792" s="13"/>
      <c r="H792" s="13"/>
      <c r="I792" s="13"/>
      <c r="J792" s="13"/>
      <c r="K792" s="205"/>
      <c r="L792" s="13"/>
      <c r="M792" s="13"/>
      <c r="N792" s="13"/>
      <c r="O792" s="205"/>
      <c r="P792" s="13"/>
      <c r="Q792" s="13"/>
      <c r="R792" s="177"/>
      <c r="S792" s="35"/>
      <c r="T792" s="35"/>
      <c r="U792" s="13"/>
      <c r="V792" s="13"/>
      <c r="W792" s="13"/>
      <c r="X792" s="13"/>
      <c r="Y792" s="13"/>
      <c r="Z792" s="13"/>
      <c r="AA792" s="13"/>
      <c r="AB792" s="13"/>
      <c r="AC792" s="13"/>
    </row>
    <row r="793" ht="16.5" customHeight="1">
      <c r="A793" s="13"/>
      <c r="B793" s="13"/>
      <c r="C793" s="13"/>
      <c r="D793" s="13"/>
      <c r="E793" s="13"/>
      <c r="F793" s="13"/>
      <c r="G793" s="13"/>
      <c r="H793" s="13"/>
      <c r="I793" s="13"/>
      <c r="J793" s="13"/>
      <c r="K793" s="205"/>
      <c r="L793" s="13"/>
      <c r="M793" s="13"/>
      <c r="N793" s="13"/>
      <c r="O793" s="205"/>
      <c r="P793" s="13"/>
      <c r="Q793" s="13"/>
      <c r="R793" s="177"/>
      <c r="S793" s="35"/>
      <c r="T793" s="35"/>
      <c r="U793" s="13"/>
      <c r="V793" s="13"/>
      <c r="W793" s="13"/>
      <c r="X793" s="13"/>
      <c r="Y793" s="13"/>
      <c r="Z793" s="13"/>
      <c r="AA793" s="13"/>
      <c r="AB793" s="13"/>
      <c r="AC793" s="13"/>
    </row>
    <row r="794" ht="16.5" customHeight="1">
      <c r="A794" s="13"/>
      <c r="B794" s="13"/>
      <c r="C794" s="13"/>
      <c r="D794" s="13"/>
      <c r="E794" s="13"/>
      <c r="F794" s="13"/>
      <c r="G794" s="13"/>
      <c r="H794" s="13"/>
      <c r="I794" s="13"/>
      <c r="J794" s="13"/>
      <c r="K794" s="205"/>
      <c r="L794" s="13"/>
      <c r="M794" s="13"/>
      <c r="N794" s="13"/>
      <c r="O794" s="205"/>
      <c r="P794" s="13"/>
      <c r="Q794" s="13"/>
      <c r="R794" s="177"/>
      <c r="S794" s="35"/>
      <c r="T794" s="35"/>
      <c r="U794" s="13"/>
      <c r="V794" s="13"/>
      <c r="W794" s="13"/>
      <c r="X794" s="13"/>
      <c r="Y794" s="13"/>
      <c r="Z794" s="13"/>
      <c r="AA794" s="13"/>
      <c r="AB794" s="13"/>
      <c r="AC794" s="13"/>
    </row>
    <row r="795" ht="16.5" customHeight="1">
      <c r="A795" s="13"/>
      <c r="B795" s="13"/>
      <c r="C795" s="13"/>
      <c r="D795" s="13"/>
      <c r="E795" s="13"/>
      <c r="F795" s="13"/>
      <c r="G795" s="13"/>
      <c r="H795" s="13"/>
      <c r="I795" s="13"/>
      <c r="J795" s="13"/>
      <c r="K795" s="205"/>
      <c r="L795" s="13"/>
      <c r="M795" s="13"/>
      <c r="N795" s="13"/>
      <c r="O795" s="205"/>
      <c r="P795" s="13"/>
      <c r="Q795" s="13"/>
      <c r="R795" s="177"/>
      <c r="S795" s="35"/>
      <c r="T795" s="35"/>
      <c r="U795" s="13"/>
      <c r="V795" s="13"/>
      <c r="W795" s="13"/>
      <c r="X795" s="13"/>
      <c r="Y795" s="13"/>
      <c r="Z795" s="13"/>
      <c r="AA795" s="13"/>
      <c r="AB795" s="13"/>
      <c r="AC795" s="13"/>
    </row>
    <row r="796" ht="16.5" customHeight="1">
      <c r="A796" s="13"/>
      <c r="B796" s="13"/>
      <c r="C796" s="13"/>
      <c r="D796" s="13"/>
      <c r="E796" s="13"/>
      <c r="F796" s="13"/>
      <c r="G796" s="13"/>
      <c r="H796" s="13"/>
      <c r="I796" s="13"/>
      <c r="J796" s="13"/>
      <c r="K796" s="205"/>
      <c r="L796" s="13"/>
      <c r="M796" s="13"/>
      <c r="N796" s="13"/>
      <c r="O796" s="205"/>
      <c r="P796" s="13"/>
      <c r="Q796" s="13"/>
      <c r="R796" s="177"/>
      <c r="S796" s="35"/>
      <c r="T796" s="35"/>
      <c r="U796" s="13"/>
      <c r="V796" s="13"/>
      <c r="W796" s="13"/>
      <c r="X796" s="13"/>
      <c r="Y796" s="13"/>
      <c r="Z796" s="13"/>
      <c r="AA796" s="13"/>
      <c r="AB796" s="13"/>
      <c r="AC796" s="13"/>
    </row>
    <row r="797" ht="16.5" customHeight="1">
      <c r="A797" s="13"/>
      <c r="B797" s="13"/>
      <c r="C797" s="13"/>
      <c r="D797" s="13"/>
      <c r="E797" s="13"/>
      <c r="F797" s="13"/>
      <c r="G797" s="13"/>
      <c r="H797" s="13"/>
      <c r="I797" s="13"/>
      <c r="J797" s="13"/>
      <c r="K797" s="205"/>
      <c r="L797" s="13"/>
      <c r="M797" s="13"/>
      <c r="N797" s="13"/>
      <c r="O797" s="205"/>
      <c r="P797" s="13"/>
      <c r="Q797" s="13"/>
      <c r="R797" s="177"/>
      <c r="S797" s="35"/>
      <c r="T797" s="35"/>
      <c r="U797" s="13"/>
      <c r="V797" s="13"/>
      <c r="W797" s="13"/>
      <c r="X797" s="13"/>
      <c r="Y797" s="13"/>
      <c r="Z797" s="13"/>
      <c r="AA797" s="13"/>
      <c r="AB797" s="13"/>
      <c r="AC797" s="13"/>
    </row>
    <row r="798" ht="16.5" customHeight="1">
      <c r="A798" s="13"/>
      <c r="B798" s="13"/>
      <c r="C798" s="13"/>
      <c r="D798" s="13"/>
      <c r="E798" s="13"/>
      <c r="F798" s="13"/>
      <c r="G798" s="13"/>
      <c r="H798" s="13"/>
      <c r="I798" s="13"/>
      <c r="J798" s="13"/>
      <c r="K798" s="205"/>
      <c r="L798" s="13"/>
      <c r="M798" s="13"/>
      <c r="N798" s="13"/>
      <c r="O798" s="205"/>
      <c r="P798" s="13"/>
      <c r="Q798" s="13"/>
      <c r="R798" s="177"/>
      <c r="S798" s="35"/>
      <c r="T798" s="35"/>
      <c r="U798" s="13"/>
      <c r="V798" s="13"/>
      <c r="W798" s="13"/>
      <c r="X798" s="13"/>
      <c r="Y798" s="13"/>
      <c r="Z798" s="13"/>
      <c r="AA798" s="13"/>
      <c r="AB798" s="13"/>
      <c r="AC798" s="13"/>
    </row>
    <row r="799" ht="16.5" customHeight="1">
      <c r="A799" s="13"/>
      <c r="B799" s="13"/>
      <c r="C799" s="13"/>
      <c r="D799" s="13"/>
      <c r="E799" s="13"/>
      <c r="F799" s="13"/>
      <c r="G799" s="13"/>
      <c r="H799" s="13"/>
      <c r="I799" s="13"/>
      <c r="J799" s="13"/>
      <c r="K799" s="205"/>
      <c r="L799" s="13"/>
      <c r="M799" s="13"/>
      <c r="N799" s="13"/>
      <c r="O799" s="205"/>
      <c r="P799" s="13"/>
      <c r="Q799" s="13"/>
      <c r="R799" s="177"/>
      <c r="S799" s="35"/>
      <c r="T799" s="35"/>
      <c r="U799" s="13"/>
      <c r="V799" s="13"/>
      <c r="W799" s="13"/>
      <c r="X799" s="13"/>
      <c r="Y799" s="13"/>
      <c r="Z799" s="13"/>
      <c r="AA799" s="13"/>
      <c r="AB799" s="13"/>
      <c r="AC799" s="13"/>
    </row>
    <row r="800" ht="16.5" customHeight="1">
      <c r="A800" s="13"/>
      <c r="B800" s="13"/>
      <c r="C800" s="13"/>
      <c r="D800" s="13"/>
      <c r="E800" s="13"/>
      <c r="F800" s="13"/>
      <c r="G800" s="13"/>
      <c r="H800" s="13"/>
      <c r="I800" s="13"/>
      <c r="J800" s="13"/>
      <c r="K800" s="205"/>
      <c r="L800" s="13"/>
      <c r="M800" s="13"/>
      <c r="N800" s="13"/>
      <c r="O800" s="205"/>
      <c r="P800" s="13"/>
      <c r="Q800" s="13"/>
      <c r="R800" s="177"/>
      <c r="S800" s="35"/>
      <c r="T800" s="35"/>
      <c r="U800" s="13"/>
      <c r="V800" s="13"/>
      <c r="W800" s="13"/>
      <c r="X800" s="13"/>
      <c r="Y800" s="13"/>
      <c r="Z800" s="13"/>
      <c r="AA800" s="13"/>
      <c r="AB800" s="13"/>
      <c r="AC800" s="13"/>
    </row>
    <row r="801" ht="16.5" customHeight="1">
      <c r="A801" s="13"/>
      <c r="B801" s="13"/>
      <c r="C801" s="13"/>
      <c r="D801" s="13"/>
      <c r="E801" s="13"/>
      <c r="F801" s="13"/>
      <c r="G801" s="13"/>
      <c r="H801" s="13"/>
      <c r="I801" s="13"/>
      <c r="J801" s="13"/>
      <c r="K801" s="205"/>
      <c r="L801" s="13"/>
      <c r="M801" s="13"/>
      <c r="N801" s="13"/>
      <c r="O801" s="205"/>
      <c r="P801" s="13"/>
      <c r="Q801" s="13"/>
      <c r="R801" s="177"/>
      <c r="S801" s="35"/>
      <c r="T801" s="35"/>
      <c r="U801" s="13"/>
      <c r="V801" s="13"/>
      <c r="W801" s="13"/>
      <c r="X801" s="13"/>
      <c r="Y801" s="13"/>
      <c r="Z801" s="13"/>
      <c r="AA801" s="13"/>
      <c r="AB801" s="13"/>
      <c r="AC801" s="13"/>
    </row>
    <row r="802" ht="16.5" customHeight="1">
      <c r="A802" s="13"/>
      <c r="B802" s="13"/>
      <c r="C802" s="13"/>
      <c r="D802" s="13"/>
      <c r="E802" s="13"/>
      <c r="F802" s="13"/>
      <c r="G802" s="13"/>
      <c r="H802" s="13"/>
      <c r="I802" s="13"/>
      <c r="J802" s="13"/>
      <c r="K802" s="205"/>
      <c r="L802" s="13"/>
      <c r="M802" s="13"/>
      <c r="N802" s="13"/>
      <c r="O802" s="205"/>
      <c r="P802" s="13"/>
      <c r="Q802" s="13"/>
      <c r="R802" s="177"/>
      <c r="S802" s="35"/>
      <c r="T802" s="35"/>
      <c r="U802" s="13"/>
      <c r="V802" s="13"/>
      <c r="W802" s="13"/>
      <c r="X802" s="13"/>
      <c r="Y802" s="13"/>
      <c r="Z802" s="13"/>
      <c r="AA802" s="13"/>
      <c r="AB802" s="13"/>
      <c r="AC802" s="13"/>
    </row>
    <row r="803" ht="16.5" customHeight="1">
      <c r="A803" s="13"/>
      <c r="B803" s="13"/>
      <c r="C803" s="13"/>
      <c r="D803" s="13"/>
      <c r="E803" s="13"/>
      <c r="F803" s="13"/>
      <c r="G803" s="13"/>
      <c r="H803" s="13"/>
      <c r="I803" s="13"/>
      <c r="J803" s="13"/>
      <c r="K803" s="205"/>
      <c r="L803" s="13"/>
      <c r="M803" s="13"/>
      <c r="N803" s="13"/>
      <c r="O803" s="205"/>
      <c r="P803" s="13"/>
      <c r="Q803" s="13"/>
      <c r="R803" s="177"/>
      <c r="S803" s="35"/>
      <c r="T803" s="35"/>
      <c r="U803" s="13"/>
      <c r="V803" s="13"/>
      <c r="W803" s="13"/>
      <c r="X803" s="13"/>
      <c r="Y803" s="13"/>
      <c r="Z803" s="13"/>
      <c r="AA803" s="13"/>
      <c r="AB803" s="13"/>
      <c r="AC803" s="13"/>
    </row>
    <row r="804" ht="16.5" customHeight="1">
      <c r="A804" s="13"/>
      <c r="B804" s="13"/>
      <c r="C804" s="13"/>
      <c r="D804" s="13"/>
      <c r="E804" s="13"/>
      <c r="F804" s="13"/>
      <c r="G804" s="13"/>
      <c r="H804" s="13"/>
      <c r="I804" s="13"/>
      <c r="J804" s="13"/>
      <c r="K804" s="205"/>
      <c r="L804" s="13"/>
      <c r="M804" s="13"/>
      <c r="N804" s="13"/>
      <c r="O804" s="205"/>
      <c r="P804" s="13"/>
      <c r="Q804" s="13"/>
      <c r="R804" s="177"/>
      <c r="S804" s="35"/>
      <c r="T804" s="35"/>
      <c r="U804" s="13"/>
      <c r="V804" s="13"/>
      <c r="W804" s="13"/>
      <c r="X804" s="13"/>
      <c r="Y804" s="13"/>
      <c r="Z804" s="13"/>
      <c r="AA804" s="13"/>
      <c r="AB804" s="13"/>
      <c r="AC804" s="13"/>
    </row>
    <row r="805" ht="16.5" customHeight="1">
      <c r="A805" s="13"/>
      <c r="B805" s="13"/>
      <c r="C805" s="13"/>
      <c r="D805" s="13"/>
      <c r="E805" s="13"/>
      <c r="F805" s="13"/>
      <c r="G805" s="13"/>
      <c r="H805" s="13"/>
      <c r="I805" s="13"/>
      <c r="J805" s="13"/>
      <c r="K805" s="205"/>
      <c r="L805" s="13"/>
      <c r="M805" s="13"/>
      <c r="N805" s="13"/>
      <c r="O805" s="205"/>
      <c r="P805" s="13"/>
      <c r="Q805" s="13"/>
      <c r="R805" s="177"/>
      <c r="S805" s="35"/>
      <c r="T805" s="35"/>
      <c r="U805" s="13"/>
      <c r="V805" s="13"/>
      <c r="W805" s="13"/>
      <c r="X805" s="13"/>
      <c r="Y805" s="13"/>
      <c r="Z805" s="13"/>
      <c r="AA805" s="13"/>
      <c r="AB805" s="13"/>
      <c r="AC805" s="13"/>
    </row>
    <row r="806" ht="16.5" customHeight="1">
      <c r="A806" s="13"/>
      <c r="B806" s="13"/>
      <c r="C806" s="13"/>
      <c r="D806" s="13"/>
      <c r="E806" s="13"/>
      <c r="F806" s="13"/>
      <c r="G806" s="13"/>
      <c r="H806" s="13"/>
      <c r="I806" s="13"/>
      <c r="J806" s="13"/>
      <c r="K806" s="205"/>
      <c r="L806" s="13"/>
      <c r="M806" s="13"/>
      <c r="N806" s="13"/>
      <c r="O806" s="205"/>
      <c r="P806" s="13"/>
      <c r="Q806" s="13"/>
      <c r="R806" s="177"/>
      <c r="S806" s="35"/>
      <c r="T806" s="35"/>
      <c r="U806" s="13"/>
      <c r="V806" s="13"/>
      <c r="W806" s="13"/>
      <c r="X806" s="13"/>
      <c r="Y806" s="13"/>
      <c r="Z806" s="13"/>
      <c r="AA806" s="13"/>
      <c r="AB806" s="13"/>
      <c r="AC806" s="13"/>
    </row>
    <row r="807" ht="16.5" customHeight="1">
      <c r="A807" s="13"/>
      <c r="B807" s="13"/>
      <c r="C807" s="13"/>
      <c r="D807" s="13"/>
      <c r="E807" s="13"/>
      <c r="F807" s="13"/>
      <c r="G807" s="13"/>
      <c r="H807" s="13"/>
      <c r="I807" s="13"/>
      <c r="J807" s="13"/>
      <c r="K807" s="205"/>
      <c r="L807" s="13"/>
      <c r="M807" s="13"/>
      <c r="N807" s="13"/>
      <c r="O807" s="205"/>
      <c r="P807" s="13"/>
      <c r="Q807" s="13"/>
      <c r="R807" s="177"/>
      <c r="S807" s="35"/>
      <c r="T807" s="35"/>
      <c r="U807" s="13"/>
      <c r="V807" s="13"/>
      <c r="W807" s="13"/>
      <c r="X807" s="13"/>
      <c r="Y807" s="13"/>
      <c r="Z807" s="13"/>
      <c r="AA807" s="13"/>
      <c r="AB807" s="13"/>
      <c r="AC807" s="13"/>
    </row>
    <row r="808" ht="16.5" customHeight="1">
      <c r="A808" s="13"/>
      <c r="B808" s="13"/>
      <c r="C808" s="13"/>
      <c r="D808" s="13"/>
      <c r="E808" s="13"/>
      <c r="F808" s="13"/>
      <c r="G808" s="13"/>
      <c r="H808" s="13"/>
      <c r="I808" s="13"/>
      <c r="J808" s="13"/>
      <c r="K808" s="205"/>
      <c r="L808" s="13"/>
      <c r="M808" s="13"/>
      <c r="N808" s="13"/>
      <c r="O808" s="205"/>
      <c r="P808" s="13"/>
      <c r="Q808" s="13"/>
      <c r="R808" s="177"/>
      <c r="S808" s="35"/>
      <c r="T808" s="35"/>
      <c r="U808" s="13"/>
      <c r="V808" s="13"/>
      <c r="W808" s="13"/>
      <c r="X808" s="13"/>
      <c r="Y808" s="13"/>
      <c r="Z808" s="13"/>
      <c r="AA808" s="13"/>
      <c r="AB808" s="13"/>
      <c r="AC808" s="13"/>
    </row>
    <row r="809" ht="16.5" customHeight="1">
      <c r="A809" s="13"/>
      <c r="B809" s="13"/>
      <c r="C809" s="13"/>
      <c r="D809" s="13"/>
      <c r="E809" s="13"/>
      <c r="F809" s="13"/>
      <c r="G809" s="13"/>
      <c r="H809" s="13"/>
      <c r="I809" s="13"/>
      <c r="J809" s="13"/>
      <c r="K809" s="205"/>
      <c r="L809" s="13"/>
      <c r="M809" s="13"/>
      <c r="N809" s="13"/>
      <c r="O809" s="205"/>
      <c r="P809" s="13"/>
      <c r="Q809" s="13"/>
      <c r="R809" s="177"/>
      <c r="S809" s="35"/>
      <c r="T809" s="35"/>
      <c r="U809" s="13"/>
      <c r="V809" s="13"/>
      <c r="W809" s="13"/>
      <c r="X809" s="13"/>
      <c r="Y809" s="13"/>
      <c r="Z809" s="13"/>
      <c r="AA809" s="13"/>
      <c r="AB809" s="13"/>
      <c r="AC809" s="13"/>
    </row>
    <row r="810" ht="16.5" customHeight="1">
      <c r="A810" s="13"/>
      <c r="B810" s="13"/>
      <c r="C810" s="13"/>
      <c r="D810" s="13"/>
      <c r="E810" s="13"/>
      <c r="F810" s="13"/>
      <c r="G810" s="13"/>
      <c r="H810" s="13"/>
      <c r="I810" s="13"/>
      <c r="J810" s="13"/>
      <c r="K810" s="205"/>
      <c r="L810" s="13"/>
      <c r="M810" s="13"/>
      <c r="N810" s="13"/>
      <c r="O810" s="205"/>
      <c r="P810" s="13"/>
      <c r="Q810" s="13"/>
      <c r="R810" s="177"/>
      <c r="S810" s="35"/>
      <c r="T810" s="35"/>
      <c r="U810" s="13"/>
      <c r="V810" s="13"/>
      <c r="W810" s="13"/>
      <c r="X810" s="13"/>
      <c r="Y810" s="13"/>
      <c r="Z810" s="13"/>
      <c r="AA810" s="13"/>
      <c r="AB810" s="13"/>
      <c r="AC810" s="13"/>
    </row>
    <row r="811" ht="16.5" customHeight="1">
      <c r="A811" s="13"/>
      <c r="B811" s="13"/>
      <c r="C811" s="13"/>
      <c r="D811" s="13"/>
      <c r="E811" s="13"/>
      <c r="F811" s="13"/>
      <c r="G811" s="13"/>
      <c r="H811" s="13"/>
      <c r="I811" s="13"/>
      <c r="J811" s="13"/>
      <c r="K811" s="205"/>
      <c r="L811" s="13"/>
      <c r="M811" s="13"/>
      <c r="N811" s="13"/>
      <c r="O811" s="205"/>
      <c r="P811" s="13"/>
      <c r="Q811" s="13"/>
      <c r="R811" s="177"/>
      <c r="S811" s="35"/>
      <c r="T811" s="35"/>
      <c r="U811" s="13"/>
      <c r="V811" s="13"/>
      <c r="W811" s="13"/>
      <c r="X811" s="13"/>
      <c r="Y811" s="13"/>
      <c r="Z811" s="13"/>
      <c r="AA811" s="13"/>
      <c r="AB811" s="13"/>
      <c r="AC811" s="13"/>
    </row>
    <row r="812" ht="16.5" customHeight="1">
      <c r="A812" s="13"/>
      <c r="B812" s="13"/>
      <c r="C812" s="13"/>
      <c r="D812" s="13"/>
      <c r="E812" s="13"/>
      <c r="F812" s="13"/>
      <c r="G812" s="13"/>
      <c r="H812" s="13"/>
      <c r="I812" s="13"/>
      <c r="J812" s="13"/>
      <c r="K812" s="205"/>
      <c r="L812" s="13"/>
      <c r="M812" s="13"/>
      <c r="N812" s="13"/>
      <c r="O812" s="205"/>
      <c r="P812" s="13"/>
      <c r="Q812" s="13"/>
      <c r="R812" s="177"/>
      <c r="S812" s="35"/>
      <c r="T812" s="35"/>
      <c r="U812" s="13"/>
      <c r="V812" s="13"/>
      <c r="W812" s="13"/>
      <c r="X812" s="13"/>
      <c r="Y812" s="13"/>
      <c r="Z812" s="13"/>
      <c r="AA812" s="13"/>
      <c r="AB812" s="13"/>
      <c r="AC812" s="13"/>
    </row>
    <row r="813" ht="16.5" customHeight="1">
      <c r="A813" s="13"/>
      <c r="B813" s="13"/>
      <c r="C813" s="13"/>
      <c r="D813" s="13"/>
      <c r="E813" s="13"/>
      <c r="F813" s="13"/>
      <c r="G813" s="13"/>
      <c r="H813" s="13"/>
      <c r="I813" s="13"/>
      <c r="J813" s="13"/>
      <c r="K813" s="205"/>
      <c r="L813" s="13"/>
      <c r="M813" s="13"/>
      <c r="N813" s="13"/>
      <c r="O813" s="205"/>
      <c r="P813" s="13"/>
      <c r="Q813" s="13"/>
      <c r="R813" s="177"/>
      <c r="S813" s="35"/>
      <c r="T813" s="35"/>
      <c r="U813" s="13"/>
      <c r="V813" s="13"/>
      <c r="W813" s="13"/>
      <c r="X813" s="13"/>
      <c r="Y813" s="13"/>
      <c r="Z813" s="13"/>
      <c r="AA813" s="13"/>
      <c r="AB813" s="13"/>
      <c r="AC813" s="13"/>
    </row>
    <row r="814" ht="16.5" customHeight="1">
      <c r="A814" s="13"/>
      <c r="B814" s="13"/>
      <c r="C814" s="13"/>
      <c r="D814" s="13"/>
      <c r="E814" s="13"/>
      <c r="F814" s="13"/>
      <c r="G814" s="13"/>
      <c r="H814" s="13"/>
      <c r="I814" s="13"/>
      <c r="J814" s="13"/>
      <c r="K814" s="205"/>
      <c r="L814" s="13"/>
      <c r="M814" s="13"/>
      <c r="N814" s="13"/>
      <c r="O814" s="205"/>
      <c r="P814" s="13"/>
      <c r="Q814" s="13"/>
      <c r="R814" s="177"/>
      <c r="S814" s="35"/>
      <c r="T814" s="35"/>
      <c r="U814" s="13"/>
      <c r="V814" s="13"/>
      <c r="W814" s="13"/>
      <c r="X814" s="13"/>
      <c r="Y814" s="13"/>
      <c r="Z814" s="13"/>
      <c r="AA814" s="13"/>
      <c r="AB814" s="13"/>
      <c r="AC814" s="13"/>
    </row>
    <row r="815" ht="16.5" customHeight="1">
      <c r="A815" s="13"/>
      <c r="B815" s="13"/>
      <c r="C815" s="13"/>
      <c r="D815" s="13"/>
      <c r="E815" s="13"/>
      <c r="F815" s="13"/>
      <c r="G815" s="13"/>
      <c r="H815" s="13"/>
      <c r="I815" s="13"/>
      <c r="J815" s="13"/>
      <c r="K815" s="205"/>
      <c r="L815" s="13"/>
      <c r="M815" s="13"/>
      <c r="N815" s="13"/>
      <c r="O815" s="205"/>
      <c r="P815" s="13"/>
      <c r="Q815" s="13"/>
      <c r="R815" s="177"/>
      <c r="S815" s="35"/>
      <c r="T815" s="35"/>
      <c r="U815" s="13"/>
      <c r="V815" s="13"/>
      <c r="W815" s="13"/>
      <c r="X815" s="13"/>
      <c r="Y815" s="13"/>
      <c r="Z815" s="13"/>
      <c r="AA815" s="13"/>
      <c r="AB815" s="13"/>
      <c r="AC815" s="13"/>
    </row>
    <row r="816" ht="16.5" customHeight="1">
      <c r="A816" s="13"/>
      <c r="B816" s="13"/>
      <c r="C816" s="13"/>
      <c r="D816" s="13"/>
      <c r="E816" s="13"/>
      <c r="F816" s="13"/>
      <c r="G816" s="13"/>
      <c r="H816" s="13"/>
      <c r="I816" s="13"/>
      <c r="J816" s="13"/>
      <c r="K816" s="205"/>
      <c r="L816" s="13"/>
      <c r="M816" s="13"/>
      <c r="N816" s="13"/>
      <c r="O816" s="205"/>
      <c r="P816" s="13"/>
      <c r="Q816" s="13"/>
      <c r="R816" s="177"/>
      <c r="S816" s="35"/>
      <c r="T816" s="35"/>
      <c r="U816" s="13"/>
      <c r="V816" s="13"/>
      <c r="W816" s="13"/>
      <c r="X816" s="13"/>
      <c r="Y816" s="13"/>
      <c r="Z816" s="13"/>
      <c r="AA816" s="13"/>
      <c r="AB816" s="13"/>
      <c r="AC816" s="13"/>
    </row>
    <row r="817" ht="16.5" customHeight="1">
      <c r="A817" s="13"/>
      <c r="B817" s="13"/>
      <c r="C817" s="13"/>
      <c r="D817" s="13"/>
      <c r="E817" s="13"/>
      <c r="F817" s="13"/>
      <c r="G817" s="13"/>
      <c r="H817" s="13"/>
      <c r="I817" s="13"/>
      <c r="J817" s="13"/>
      <c r="K817" s="205"/>
      <c r="L817" s="13"/>
      <c r="M817" s="13"/>
      <c r="N817" s="13"/>
      <c r="O817" s="205"/>
      <c r="P817" s="13"/>
      <c r="Q817" s="13"/>
      <c r="R817" s="177"/>
      <c r="S817" s="35"/>
      <c r="T817" s="35"/>
      <c r="U817" s="13"/>
      <c r="V817" s="13"/>
      <c r="W817" s="13"/>
      <c r="X817" s="13"/>
      <c r="Y817" s="13"/>
      <c r="Z817" s="13"/>
      <c r="AA817" s="13"/>
      <c r="AB817" s="13"/>
      <c r="AC817" s="13"/>
    </row>
    <row r="818" ht="16.5" customHeight="1">
      <c r="A818" s="13"/>
      <c r="B818" s="13"/>
      <c r="C818" s="13"/>
      <c r="D818" s="13"/>
      <c r="E818" s="13"/>
      <c r="F818" s="13"/>
      <c r="G818" s="13"/>
      <c r="H818" s="13"/>
      <c r="I818" s="13"/>
      <c r="J818" s="13"/>
      <c r="K818" s="205"/>
      <c r="L818" s="13"/>
      <c r="M818" s="13"/>
      <c r="N818" s="13"/>
      <c r="O818" s="205"/>
      <c r="P818" s="13"/>
      <c r="Q818" s="13"/>
      <c r="R818" s="177"/>
      <c r="S818" s="35"/>
      <c r="T818" s="35"/>
      <c r="U818" s="13"/>
      <c r="V818" s="13"/>
      <c r="W818" s="13"/>
      <c r="X818" s="13"/>
      <c r="Y818" s="13"/>
      <c r="Z818" s="13"/>
      <c r="AA818" s="13"/>
      <c r="AB818" s="13"/>
      <c r="AC818" s="13"/>
    </row>
    <row r="819" ht="16.5" customHeight="1">
      <c r="A819" s="13"/>
      <c r="B819" s="13"/>
      <c r="C819" s="13"/>
      <c r="D819" s="13"/>
      <c r="E819" s="13"/>
      <c r="F819" s="13"/>
      <c r="G819" s="13"/>
      <c r="H819" s="13"/>
      <c r="I819" s="13"/>
      <c r="J819" s="13"/>
      <c r="K819" s="205"/>
      <c r="L819" s="13"/>
      <c r="M819" s="13"/>
      <c r="N819" s="13"/>
      <c r="O819" s="205"/>
      <c r="P819" s="13"/>
      <c r="Q819" s="13"/>
      <c r="R819" s="177"/>
      <c r="S819" s="35"/>
      <c r="T819" s="35"/>
      <c r="U819" s="13"/>
      <c r="V819" s="13"/>
      <c r="W819" s="13"/>
      <c r="X819" s="13"/>
      <c r="Y819" s="13"/>
      <c r="Z819" s="13"/>
      <c r="AA819" s="13"/>
      <c r="AB819" s="13"/>
      <c r="AC819" s="13"/>
    </row>
    <row r="820" ht="16.5" customHeight="1">
      <c r="A820" s="13"/>
      <c r="B820" s="13"/>
      <c r="C820" s="13"/>
      <c r="D820" s="13"/>
      <c r="E820" s="13"/>
      <c r="F820" s="13"/>
      <c r="G820" s="13"/>
      <c r="H820" s="13"/>
      <c r="I820" s="13"/>
      <c r="J820" s="13"/>
      <c r="K820" s="205"/>
      <c r="L820" s="13"/>
      <c r="M820" s="13"/>
      <c r="N820" s="13"/>
      <c r="O820" s="205"/>
      <c r="P820" s="13"/>
      <c r="Q820" s="13"/>
      <c r="R820" s="177"/>
      <c r="S820" s="35"/>
      <c r="T820" s="35"/>
      <c r="U820" s="13"/>
      <c r="V820" s="13"/>
      <c r="W820" s="13"/>
      <c r="X820" s="13"/>
      <c r="Y820" s="13"/>
      <c r="Z820" s="13"/>
      <c r="AA820" s="13"/>
      <c r="AB820" s="13"/>
      <c r="AC820" s="13"/>
    </row>
    <row r="821" ht="16.5" customHeight="1">
      <c r="A821" s="13"/>
      <c r="B821" s="13"/>
      <c r="C821" s="13"/>
      <c r="D821" s="13"/>
      <c r="E821" s="13"/>
      <c r="F821" s="13"/>
      <c r="G821" s="13"/>
      <c r="H821" s="13"/>
      <c r="I821" s="13"/>
      <c r="J821" s="13"/>
      <c r="K821" s="205"/>
      <c r="L821" s="13"/>
      <c r="M821" s="13"/>
      <c r="N821" s="13"/>
      <c r="O821" s="205"/>
      <c r="P821" s="13"/>
      <c r="Q821" s="13"/>
      <c r="R821" s="177"/>
      <c r="S821" s="35"/>
      <c r="T821" s="35"/>
      <c r="U821" s="13"/>
      <c r="V821" s="13"/>
      <c r="W821" s="13"/>
      <c r="X821" s="13"/>
      <c r="Y821" s="13"/>
      <c r="Z821" s="13"/>
      <c r="AA821" s="13"/>
      <c r="AB821" s="13"/>
      <c r="AC821" s="13"/>
    </row>
    <row r="822" ht="16.5" customHeight="1">
      <c r="A822" s="13"/>
      <c r="B822" s="13"/>
      <c r="C822" s="13"/>
      <c r="D822" s="13"/>
      <c r="E822" s="13"/>
      <c r="F822" s="13"/>
      <c r="G822" s="13"/>
      <c r="H822" s="13"/>
      <c r="I822" s="13"/>
      <c r="J822" s="13"/>
      <c r="K822" s="205"/>
      <c r="L822" s="13"/>
      <c r="M822" s="13"/>
      <c r="N822" s="13"/>
      <c r="O822" s="205"/>
      <c r="P822" s="13"/>
      <c r="Q822" s="13"/>
      <c r="R822" s="177"/>
      <c r="S822" s="35"/>
      <c r="T822" s="35"/>
      <c r="U822" s="13"/>
      <c r="V822" s="13"/>
      <c r="W822" s="13"/>
      <c r="X822" s="13"/>
      <c r="Y822" s="13"/>
      <c r="Z822" s="13"/>
      <c r="AA822" s="13"/>
      <c r="AB822" s="13"/>
      <c r="AC822" s="13"/>
    </row>
    <row r="823" ht="16.5" customHeight="1">
      <c r="A823" s="13"/>
      <c r="B823" s="13"/>
      <c r="C823" s="13"/>
      <c r="D823" s="13"/>
      <c r="E823" s="13"/>
      <c r="F823" s="13"/>
      <c r="G823" s="13"/>
      <c r="H823" s="13"/>
      <c r="I823" s="13"/>
      <c r="J823" s="13"/>
      <c r="K823" s="205"/>
      <c r="L823" s="13"/>
      <c r="M823" s="13"/>
      <c r="N823" s="13"/>
      <c r="O823" s="205"/>
      <c r="P823" s="13"/>
      <c r="Q823" s="13"/>
      <c r="R823" s="177"/>
      <c r="S823" s="35"/>
      <c r="T823" s="35"/>
      <c r="U823" s="13"/>
      <c r="V823" s="13"/>
      <c r="W823" s="13"/>
      <c r="X823" s="13"/>
      <c r="Y823" s="13"/>
      <c r="Z823" s="13"/>
      <c r="AA823" s="13"/>
      <c r="AB823" s="13"/>
      <c r="AC823" s="13"/>
    </row>
    <row r="824" ht="16.5" customHeight="1">
      <c r="A824" s="13"/>
      <c r="B824" s="13"/>
      <c r="C824" s="13"/>
      <c r="D824" s="13"/>
      <c r="E824" s="13"/>
      <c r="F824" s="13"/>
      <c r="G824" s="13"/>
      <c r="H824" s="13"/>
      <c r="I824" s="13"/>
      <c r="J824" s="13"/>
      <c r="K824" s="205"/>
      <c r="L824" s="13"/>
      <c r="M824" s="13"/>
      <c r="N824" s="13"/>
      <c r="O824" s="205"/>
      <c r="P824" s="13"/>
      <c r="Q824" s="13"/>
      <c r="R824" s="177"/>
      <c r="S824" s="35"/>
      <c r="T824" s="35"/>
      <c r="U824" s="13"/>
      <c r="V824" s="13"/>
      <c r="W824" s="13"/>
      <c r="X824" s="13"/>
      <c r="Y824" s="13"/>
      <c r="Z824" s="13"/>
      <c r="AA824" s="13"/>
      <c r="AB824" s="13"/>
      <c r="AC824" s="13"/>
    </row>
    <row r="825" ht="16.5" customHeight="1">
      <c r="A825" s="13"/>
      <c r="B825" s="13"/>
      <c r="C825" s="13"/>
      <c r="D825" s="13"/>
      <c r="E825" s="13"/>
      <c r="F825" s="13"/>
      <c r="G825" s="13"/>
      <c r="H825" s="13"/>
      <c r="I825" s="13"/>
      <c r="J825" s="13"/>
      <c r="K825" s="205"/>
      <c r="L825" s="13"/>
      <c r="M825" s="13"/>
      <c r="N825" s="13"/>
      <c r="O825" s="205"/>
      <c r="P825" s="13"/>
      <c r="Q825" s="13"/>
      <c r="R825" s="177"/>
      <c r="S825" s="35"/>
      <c r="T825" s="35"/>
      <c r="U825" s="13"/>
      <c r="V825" s="13"/>
      <c r="W825" s="13"/>
      <c r="X825" s="13"/>
      <c r="Y825" s="13"/>
      <c r="Z825" s="13"/>
      <c r="AA825" s="13"/>
      <c r="AB825" s="13"/>
      <c r="AC825" s="13"/>
    </row>
    <row r="826" ht="16.5" customHeight="1">
      <c r="A826" s="13"/>
      <c r="B826" s="13"/>
      <c r="C826" s="13"/>
      <c r="D826" s="13"/>
      <c r="E826" s="13"/>
      <c r="F826" s="13"/>
      <c r="G826" s="13"/>
      <c r="H826" s="13"/>
      <c r="I826" s="13"/>
      <c r="J826" s="13"/>
      <c r="K826" s="205"/>
      <c r="L826" s="13"/>
      <c r="M826" s="13"/>
      <c r="N826" s="13"/>
      <c r="O826" s="205"/>
      <c r="P826" s="13"/>
      <c r="Q826" s="13"/>
      <c r="R826" s="177"/>
      <c r="S826" s="35"/>
      <c r="T826" s="35"/>
      <c r="U826" s="13"/>
      <c r="V826" s="13"/>
      <c r="W826" s="13"/>
      <c r="X826" s="13"/>
      <c r="Y826" s="13"/>
      <c r="Z826" s="13"/>
      <c r="AA826" s="13"/>
      <c r="AB826" s="13"/>
      <c r="AC826" s="13"/>
    </row>
    <row r="827" ht="16.5" customHeight="1">
      <c r="A827" s="13"/>
      <c r="B827" s="13"/>
      <c r="C827" s="13"/>
      <c r="D827" s="13"/>
      <c r="E827" s="13"/>
      <c r="F827" s="13"/>
      <c r="G827" s="13"/>
      <c r="H827" s="13"/>
      <c r="I827" s="13"/>
      <c r="J827" s="13"/>
      <c r="K827" s="205"/>
      <c r="L827" s="13"/>
      <c r="M827" s="13"/>
      <c r="N827" s="13"/>
      <c r="O827" s="205"/>
      <c r="P827" s="13"/>
      <c r="Q827" s="13"/>
      <c r="R827" s="177"/>
      <c r="S827" s="35"/>
      <c r="T827" s="35"/>
      <c r="U827" s="13"/>
      <c r="V827" s="13"/>
      <c r="W827" s="13"/>
      <c r="X827" s="13"/>
      <c r="Y827" s="13"/>
      <c r="Z827" s="13"/>
      <c r="AA827" s="13"/>
      <c r="AB827" s="13"/>
      <c r="AC827" s="13"/>
    </row>
    <row r="828" ht="16.5" customHeight="1">
      <c r="A828" s="13"/>
      <c r="B828" s="13"/>
      <c r="C828" s="13"/>
      <c r="D828" s="13"/>
      <c r="E828" s="13"/>
      <c r="F828" s="13"/>
      <c r="G828" s="13"/>
      <c r="H828" s="13"/>
      <c r="I828" s="13"/>
      <c r="J828" s="13"/>
      <c r="K828" s="205"/>
      <c r="L828" s="13"/>
      <c r="M828" s="13"/>
      <c r="N828" s="13"/>
      <c r="O828" s="205"/>
      <c r="P828" s="13"/>
      <c r="Q828" s="13"/>
      <c r="R828" s="177"/>
      <c r="S828" s="35"/>
      <c r="T828" s="35"/>
      <c r="U828" s="13"/>
      <c r="V828" s="13"/>
      <c r="W828" s="13"/>
      <c r="X828" s="13"/>
      <c r="Y828" s="13"/>
      <c r="Z828" s="13"/>
      <c r="AA828" s="13"/>
      <c r="AB828" s="13"/>
      <c r="AC828" s="13"/>
    </row>
    <row r="829" ht="16.5" customHeight="1">
      <c r="A829" s="13"/>
      <c r="B829" s="13"/>
      <c r="C829" s="13"/>
      <c r="D829" s="13"/>
      <c r="E829" s="13"/>
      <c r="F829" s="13"/>
      <c r="G829" s="13"/>
      <c r="H829" s="13"/>
      <c r="I829" s="13"/>
      <c r="J829" s="13"/>
      <c r="K829" s="205"/>
      <c r="L829" s="13"/>
      <c r="M829" s="13"/>
      <c r="N829" s="13"/>
      <c r="O829" s="205"/>
      <c r="P829" s="13"/>
      <c r="Q829" s="13"/>
      <c r="R829" s="177"/>
      <c r="S829" s="35"/>
      <c r="T829" s="35"/>
      <c r="U829" s="13"/>
      <c r="V829" s="13"/>
      <c r="W829" s="13"/>
      <c r="X829" s="13"/>
      <c r="Y829" s="13"/>
      <c r="Z829" s="13"/>
      <c r="AA829" s="13"/>
      <c r="AB829" s="13"/>
      <c r="AC829" s="13"/>
    </row>
    <row r="830" ht="16.5" customHeight="1">
      <c r="A830" s="13"/>
      <c r="B830" s="13"/>
      <c r="C830" s="13"/>
      <c r="D830" s="13"/>
      <c r="E830" s="13"/>
      <c r="F830" s="13"/>
      <c r="G830" s="13"/>
      <c r="H830" s="13"/>
      <c r="I830" s="13"/>
      <c r="J830" s="13"/>
      <c r="K830" s="205"/>
      <c r="L830" s="13"/>
      <c r="M830" s="13"/>
      <c r="N830" s="13"/>
      <c r="O830" s="205"/>
      <c r="P830" s="13"/>
      <c r="Q830" s="13"/>
      <c r="R830" s="177"/>
      <c r="S830" s="35"/>
      <c r="T830" s="35"/>
      <c r="U830" s="13"/>
      <c r="V830" s="13"/>
      <c r="W830" s="13"/>
      <c r="X830" s="13"/>
      <c r="Y830" s="13"/>
      <c r="Z830" s="13"/>
      <c r="AA830" s="13"/>
      <c r="AB830" s="13"/>
      <c r="AC830" s="13"/>
    </row>
    <row r="831" ht="16.5" customHeight="1">
      <c r="A831" s="13"/>
      <c r="B831" s="13"/>
      <c r="C831" s="13"/>
      <c r="D831" s="13"/>
      <c r="E831" s="13"/>
      <c r="F831" s="13"/>
      <c r="G831" s="13"/>
      <c r="H831" s="13"/>
      <c r="I831" s="13"/>
      <c r="J831" s="13"/>
      <c r="K831" s="205"/>
      <c r="L831" s="13"/>
      <c r="M831" s="13"/>
      <c r="N831" s="13"/>
      <c r="O831" s="205"/>
      <c r="P831" s="13"/>
      <c r="Q831" s="13"/>
      <c r="R831" s="177"/>
      <c r="S831" s="35"/>
      <c r="T831" s="35"/>
      <c r="U831" s="13"/>
      <c r="V831" s="13"/>
      <c r="W831" s="13"/>
      <c r="X831" s="13"/>
      <c r="Y831" s="13"/>
      <c r="Z831" s="13"/>
      <c r="AA831" s="13"/>
      <c r="AB831" s="13"/>
      <c r="AC831" s="13"/>
    </row>
    <row r="832" ht="16.5" customHeight="1">
      <c r="A832" s="13"/>
      <c r="B832" s="13"/>
      <c r="C832" s="13"/>
      <c r="D832" s="13"/>
      <c r="E832" s="13"/>
      <c r="F832" s="13"/>
      <c r="G832" s="13"/>
      <c r="H832" s="13"/>
      <c r="I832" s="13"/>
      <c r="J832" s="13"/>
      <c r="K832" s="205"/>
      <c r="L832" s="13"/>
      <c r="M832" s="13"/>
      <c r="N832" s="13"/>
      <c r="O832" s="205"/>
      <c r="P832" s="13"/>
      <c r="Q832" s="13"/>
      <c r="R832" s="177"/>
      <c r="S832" s="35"/>
      <c r="T832" s="35"/>
      <c r="U832" s="13"/>
      <c r="V832" s="13"/>
      <c r="W832" s="13"/>
      <c r="X832" s="13"/>
      <c r="Y832" s="13"/>
      <c r="Z832" s="13"/>
      <c r="AA832" s="13"/>
      <c r="AB832" s="13"/>
      <c r="AC832" s="13"/>
    </row>
    <row r="833" ht="16.5" customHeight="1">
      <c r="A833" s="13"/>
      <c r="B833" s="13"/>
      <c r="C833" s="13"/>
      <c r="D833" s="13"/>
      <c r="E833" s="13"/>
      <c r="F833" s="13"/>
      <c r="G833" s="13"/>
      <c r="H833" s="13"/>
      <c r="I833" s="13"/>
      <c r="J833" s="13"/>
      <c r="K833" s="205"/>
      <c r="L833" s="13"/>
      <c r="M833" s="13"/>
      <c r="N833" s="13"/>
      <c r="O833" s="205"/>
      <c r="P833" s="13"/>
      <c r="Q833" s="13"/>
      <c r="R833" s="177"/>
      <c r="S833" s="35"/>
      <c r="T833" s="35"/>
      <c r="U833" s="13"/>
      <c r="V833" s="13"/>
      <c r="W833" s="13"/>
      <c r="X833" s="13"/>
      <c r="Y833" s="13"/>
      <c r="Z833" s="13"/>
      <c r="AA833" s="13"/>
      <c r="AB833" s="13"/>
      <c r="AC833" s="13"/>
    </row>
    <row r="834" ht="16.5" customHeight="1">
      <c r="A834" s="13"/>
      <c r="B834" s="13"/>
      <c r="C834" s="13"/>
      <c r="D834" s="13"/>
      <c r="E834" s="13"/>
      <c r="F834" s="13"/>
      <c r="G834" s="13"/>
      <c r="H834" s="13"/>
      <c r="I834" s="13"/>
      <c r="J834" s="13"/>
      <c r="K834" s="205"/>
      <c r="L834" s="13"/>
      <c r="M834" s="13"/>
      <c r="N834" s="13"/>
      <c r="O834" s="205"/>
      <c r="P834" s="13"/>
      <c r="Q834" s="13"/>
      <c r="R834" s="177"/>
      <c r="S834" s="35"/>
      <c r="T834" s="35"/>
      <c r="U834" s="13"/>
      <c r="V834" s="13"/>
      <c r="W834" s="13"/>
      <c r="X834" s="13"/>
      <c r="Y834" s="13"/>
      <c r="Z834" s="13"/>
      <c r="AA834" s="13"/>
      <c r="AB834" s="13"/>
      <c r="AC834" s="13"/>
    </row>
    <row r="835" ht="16.5" customHeight="1">
      <c r="A835" s="13"/>
      <c r="B835" s="13"/>
      <c r="C835" s="13"/>
      <c r="D835" s="13"/>
      <c r="E835" s="13"/>
      <c r="F835" s="13"/>
      <c r="G835" s="13"/>
      <c r="H835" s="13"/>
      <c r="I835" s="13"/>
      <c r="J835" s="13"/>
      <c r="K835" s="205"/>
      <c r="L835" s="13"/>
      <c r="M835" s="13"/>
      <c r="N835" s="13"/>
      <c r="O835" s="205"/>
      <c r="P835" s="13"/>
      <c r="Q835" s="13"/>
      <c r="R835" s="177"/>
      <c r="S835" s="35"/>
      <c r="T835" s="35"/>
      <c r="U835" s="13"/>
      <c r="V835" s="13"/>
      <c r="W835" s="13"/>
      <c r="X835" s="13"/>
      <c r="Y835" s="13"/>
      <c r="Z835" s="13"/>
      <c r="AA835" s="13"/>
      <c r="AB835" s="13"/>
      <c r="AC835" s="13"/>
    </row>
    <row r="836" ht="16.5" customHeight="1">
      <c r="A836" s="13"/>
      <c r="B836" s="13"/>
      <c r="C836" s="13"/>
      <c r="D836" s="13"/>
      <c r="E836" s="13"/>
      <c r="F836" s="13"/>
      <c r="G836" s="13"/>
      <c r="H836" s="13"/>
      <c r="I836" s="13"/>
      <c r="J836" s="13"/>
      <c r="K836" s="205"/>
      <c r="L836" s="13"/>
      <c r="M836" s="13"/>
      <c r="N836" s="13"/>
      <c r="O836" s="205"/>
      <c r="P836" s="13"/>
      <c r="Q836" s="13"/>
      <c r="R836" s="177"/>
      <c r="S836" s="35"/>
      <c r="T836" s="35"/>
      <c r="U836" s="13"/>
      <c r="V836" s="13"/>
      <c r="W836" s="13"/>
      <c r="X836" s="13"/>
      <c r="Y836" s="13"/>
      <c r="Z836" s="13"/>
      <c r="AA836" s="13"/>
      <c r="AB836" s="13"/>
      <c r="AC836" s="13"/>
    </row>
    <row r="837" ht="16.5" customHeight="1">
      <c r="A837" s="13"/>
      <c r="B837" s="13"/>
      <c r="C837" s="13"/>
      <c r="D837" s="13"/>
      <c r="E837" s="13"/>
      <c r="F837" s="13"/>
      <c r="G837" s="13"/>
      <c r="H837" s="13"/>
      <c r="I837" s="13"/>
      <c r="J837" s="13"/>
      <c r="K837" s="205"/>
      <c r="L837" s="13"/>
      <c r="M837" s="13"/>
      <c r="N837" s="13"/>
      <c r="O837" s="205"/>
      <c r="P837" s="13"/>
      <c r="Q837" s="13"/>
      <c r="R837" s="177"/>
      <c r="S837" s="35"/>
      <c r="T837" s="35"/>
      <c r="U837" s="13"/>
      <c r="V837" s="13"/>
      <c r="W837" s="13"/>
      <c r="X837" s="13"/>
      <c r="Y837" s="13"/>
      <c r="Z837" s="13"/>
      <c r="AA837" s="13"/>
      <c r="AB837" s="13"/>
      <c r="AC837" s="13"/>
    </row>
    <row r="838" ht="16.5" customHeight="1">
      <c r="A838" s="13"/>
      <c r="B838" s="13"/>
      <c r="C838" s="13"/>
      <c r="D838" s="13"/>
      <c r="E838" s="13"/>
      <c r="F838" s="13"/>
      <c r="G838" s="13"/>
      <c r="H838" s="13"/>
      <c r="I838" s="13"/>
      <c r="J838" s="13"/>
      <c r="K838" s="205"/>
      <c r="L838" s="13"/>
      <c r="M838" s="13"/>
      <c r="N838" s="13"/>
      <c r="O838" s="205"/>
      <c r="P838" s="13"/>
      <c r="Q838" s="13"/>
      <c r="R838" s="177"/>
      <c r="S838" s="35"/>
      <c r="T838" s="35"/>
      <c r="U838" s="13"/>
      <c r="V838" s="13"/>
      <c r="W838" s="13"/>
      <c r="X838" s="13"/>
      <c r="Y838" s="13"/>
      <c r="Z838" s="13"/>
      <c r="AA838" s="13"/>
      <c r="AB838" s="13"/>
      <c r="AC838" s="13"/>
    </row>
    <row r="839" ht="16.5" customHeight="1">
      <c r="A839" s="13"/>
      <c r="B839" s="13"/>
      <c r="C839" s="13"/>
      <c r="D839" s="13"/>
      <c r="E839" s="13"/>
      <c r="F839" s="13"/>
      <c r="G839" s="13"/>
      <c r="H839" s="13"/>
      <c r="I839" s="13"/>
      <c r="J839" s="13"/>
      <c r="K839" s="205"/>
      <c r="L839" s="13"/>
      <c r="M839" s="13"/>
      <c r="N839" s="13"/>
      <c r="O839" s="205"/>
      <c r="P839" s="13"/>
      <c r="Q839" s="13"/>
      <c r="R839" s="177"/>
      <c r="S839" s="35"/>
      <c r="T839" s="35"/>
      <c r="U839" s="13"/>
      <c r="V839" s="13"/>
      <c r="W839" s="13"/>
      <c r="X839" s="13"/>
      <c r="Y839" s="13"/>
      <c r="Z839" s="13"/>
      <c r="AA839" s="13"/>
      <c r="AB839" s="13"/>
      <c r="AC839" s="13"/>
    </row>
    <row r="840" ht="16.5" customHeight="1">
      <c r="A840" s="13"/>
      <c r="B840" s="13"/>
      <c r="C840" s="13"/>
      <c r="D840" s="13"/>
      <c r="E840" s="13"/>
      <c r="F840" s="13"/>
      <c r="G840" s="13"/>
      <c r="H840" s="13"/>
      <c r="I840" s="13"/>
      <c r="J840" s="13"/>
      <c r="K840" s="205"/>
      <c r="L840" s="13"/>
      <c r="M840" s="13"/>
      <c r="N840" s="13"/>
      <c r="O840" s="205"/>
      <c r="P840" s="13"/>
      <c r="Q840" s="13"/>
      <c r="R840" s="177"/>
      <c r="S840" s="35"/>
      <c r="T840" s="35"/>
      <c r="U840" s="13"/>
      <c r="V840" s="13"/>
      <c r="W840" s="13"/>
      <c r="X840" s="13"/>
      <c r="Y840" s="13"/>
      <c r="Z840" s="13"/>
      <c r="AA840" s="13"/>
      <c r="AB840" s="13"/>
      <c r="AC840" s="13"/>
    </row>
    <row r="841" ht="16.5" customHeight="1">
      <c r="A841" s="13"/>
      <c r="B841" s="13"/>
      <c r="C841" s="13"/>
      <c r="D841" s="13"/>
      <c r="E841" s="13"/>
      <c r="F841" s="13"/>
      <c r="G841" s="13"/>
      <c r="H841" s="13"/>
      <c r="I841" s="13"/>
      <c r="J841" s="13"/>
      <c r="K841" s="205"/>
      <c r="L841" s="13"/>
      <c r="M841" s="13"/>
      <c r="N841" s="13"/>
      <c r="O841" s="205"/>
      <c r="P841" s="13"/>
      <c r="Q841" s="13"/>
      <c r="R841" s="177"/>
      <c r="S841" s="35"/>
      <c r="T841" s="35"/>
      <c r="U841" s="13"/>
      <c r="V841" s="13"/>
      <c r="W841" s="13"/>
      <c r="X841" s="13"/>
      <c r="Y841" s="13"/>
      <c r="Z841" s="13"/>
      <c r="AA841" s="13"/>
      <c r="AB841" s="13"/>
      <c r="AC841" s="13"/>
    </row>
    <row r="842" ht="16.5" customHeight="1">
      <c r="A842" s="13"/>
      <c r="B842" s="13"/>
      <c r="C842" s="13"/>
      <c r="D842" s="13"/>
      <c r="E842" s="13"/>
      <c r="F842" s="13"/>
      <c r="G842" s="13"/>
      <c r="H842" s="13"/>
      <c r="I842" s="13"/>
      <c r="J842" s="13"/>
      <c r="K842" s="205"/>
      <c r="L842" s="13"/>
      <c r="M842" s="13"/>
      <c r="N842" s="13"/>
      <c r="O842" s="205"/>
      <c r="P842" s="13"/>
      <c r="Q842" s="13"/>
      <c r="R842" s="177"/>
      <c r="S842" s="35"/>
      <c r="T842" s="35"/>
      <c r="U842" s="13"/>
      <c r="V842" s="13"/>
      <c r="W842" s="13"/>
      <c r="X842" s="13"/>
      <c r="Y842" s="13"/>
      <c r="Z842" s="13"/>
      <c r="AA842" s="13"/>
      <c r="AB842" s="13"/>
      <c r="AC842" s="13"/>
    </row>
    <row r="843" ht="16.5" customHeight="1">
      <c r="A843" s="13"/>
      <c r="B843" s="13"/>
      <c r="C843" s="13"/>
      <c r="D843" s="13"/>
      <c r="E843" s="13"/>
      <c r="F843" s="13"/>
      <c r="G843" s="13"/>
      <c r="H843" s="13"/>
      <c r="I843" s="13"/>
      <c r="J843" s="13"/>
      <c r="K843" s="205"/>
      <c r="L843" s="13"/>
      <c r="M843" s="13"/>
      <c r="N843" s="13"/>
      <c r="O843" s="205"/>
      <c r="P843" s="13"/>
      <c r="Q843" s="13"/>
      <c r="R843" s="177"/>
      <c r="S843" s="35"/>
      <c r="T843" s="35"/>
      <c r="U843" s="13"/>
      <c r="V843" s="13"/>
      <c r="W843" s="13"/>
      <c r="X843" s="13"/>
      <c r="Y843" s="13"/>
      <c r="Z843" s="13"/>
      <c r="AA843" s="13"/>
      <c r="AB843" s="13"/>
      <c r="AC843" s="13"/>
    </row>
    <row r="844" ht="16.5" customHeight="1">
      <c r="A844" s="13"/>
      <c r="B844" s="13"/>
      <c r="C844" s="13"/>
      <c r="D844" s="13"/>
      <c r="E844" s="13"/>
      <c r="F844" s="13"/>
      <c r="G844" s="13"/>
      <c r="H844" s="13"/>
      <c r="I844" s="13"/>
      <c r="J844" s="13"/>
      <c r="K844" s="205"/>
      <c r="L844" s="13"/>
      <c r="M844" s="13"/>
      <c r="N844" s="13"/>
      <c r="O844" s="205"/>
      <c r="P844" s="13"/>
      <c r="Q844" s="13"/>
      <c r="R844" s="177"/>
      <c r="S844" s="35"/>
      <c r="T844" s="35"/>
      <c r="U844" s="13"/>
      <c r="V844" s="13"/>
      <c r="W844" s="13"/>
      <c r="X844" s="13"/>
      <c r="Y844" s="13"/>
      <c r="Z844" s="13"/>
      <c r="AA844" s="13"/>
      <c r="AB844" s="13"/>
      <c r="AC844" s="13"/>
    </row>
    <row r="845" ht="16.5" customHeight="1">
      <c r="A845" s="13"/>
      <c r="B845" s="13"/>
      <c r="C845" s="13"/>
      <c r="D845" s="13"/>
      <c r="E845" s="13"/>
      <c r="F845" s="13"/>
      <c r="G845" s="13"/>
      <c r="H845" s="13"/>
      <c r="I845" s="13"/>
      <c r="J845" s="13"/>
      <c r="K845" s="205"/>
      <c r="L845" s="13"/>
      <c r="M845" s="13"/>
      <c r="N845" s="13"/>
      <c r="O845" s="205"/>
      <c r="P845" s="13"/>
      <c r="Q845" s="13"/>
      <c r="R845" s="177"/>
      <c r="S845" s="35"/>
      <c r="T845" s="35"/>
      <c r="U845" s="13"/>
      <c r="V845" s="13"/>
      <c r="W845" s="13"/>
      <c r="X845" s="13"/>
      <c r="Y845" s="13"/>
      <c r="Z845" s="13"/>
      <c r="AA845" s="13"/>
      <c r="AB845" s="13"/>
      <c r="AC845" s="13"/>
    </row>
    <row r="846" ht="16.5" customHeight="1">
      <c r="A846" s="13"/>
      <c r="B846" s="13"/>
      <c r="C846" s="13"/>
      <c r="D846" s="13"/>
      <c r="E846" s="13"/>
      <c r="F846" s="13"/>
      <c r="G846" s="13"/>
      <c r="H846" s="13"/>
      <c r="I846" s="13"/>
      <c r="J846" s="13"/>
      <c r="K846" s="205"/>
      <c r="L846" s="13"/>
      <c r="M846" s="13"/>
      <c r="N846" s="13"/>
      <c r="O846" s="205"/>
      <c r="P846" s="13"/>
      <c r="Q846" s="13"/>
      <c r="R846" s="177"/>
      <c r="S846" s="35"/>
      <c r="T846" s="35"/>
      <c r="U846" s="13"/>
      <c r="V846" s="13"/>
      <c r="W846" s="13"/>
      <c r="X846" s="13"/>
      <c r="Y846" s="13"/>
      <c r="Z846" s="13"/>
      <c r="AA846" s="13"/>
      <c r="AB846" s="13"/>
      <c r="AC846" s="13"/>
    </row>
    <row r="847" ht="16.5" customHeight="1">
      <c r="A847" s="13"/>
      <c r="B847" s="13"/>
      <c r="C847" s="13"/>
      <c r="D847" s="13"/>
      <c r="E847" s="13"/>
      <c r="F847" s="13"/>
      <c r="G847" s="13"/>
      <c r="H847" s="13"/>
      <c r="I847" s="13"/>
      <c r="J847" s="13"/>
      <c r="K847" s="205"/>
      <c r="L847" s="13"/>
      <c r="M847" s="13"/>
      <c r="N847" s="13"/>
      <c r="O847" s="205"/>
      <c r="P847" s="13"/>
      <c r="Q847" s="13"/>
      <c r="R847" s="177"/>
      <c r="S847" s="35"/>
      <c r="T847" s="35"/>
      <c r="U847" s="13"/>
      <c r="V847" s="13"/>
      <c r="W847" s="13"/>
      <c r="X847" s="13"/>
      <c r="Y847" s="13"/>
      <c r="Z847" s="13"/>
      <c r="AA847" s="13"/>
      <c r="AB847" s="13"/>
      <c r="AC847" s="13"/>
    </row>
    <row r="848" ht="16.5" customHeight="1">
      <c r="A848" s="13"/>
      <c r="B848" s="13"/>
      <c r="C848" s="13"/>
      <c r="D848" s="13"/>
      <c r="E848" s="13"/>
      <c r="F848" s="13"/>
      <c r="G848" s="13"/>
      <c r="H848" s="13"/>
      <c r="I848" s="13"/>
      <c r="J848" s="13"/>
      <c r="K848" s="205"/>
      <c r="L848" s="13"/>
      <c r="M848" s="13"/>
      <c r="N848" s="13"/>
      <c r="O848" s="205"/>
      <c r="P848" s="13"/>
      <c r="Q848" s="13"/>
      <c r="R848" s="177"/>
      <c r="S848" s="35"/>
      <c r="T848" s="35"/>
      <c r="U848" s="13"/>
      <c r="V848" s="13"/>
      <c r="W848" s="13"/>
      <c r="X848" s="13"/>
      <c r="Y848" s="13"/>
      <c r="Z848" s="13"/>
      <c r="AA848" s="13"/>
      <c r="AB848" s="13"/>
      <c r="AC848" s="13"/>
    </row>
    <row r="849" ht="16.5" customHeight="1">
      <c r="A849" s="13"/>
      <c r="B849" s="13"/>
      <c r="C849" s="13"/>
      <c r="D849" s="13"/>
      <c r="E849" s="13"/>
      <c r="F849" s="13"/>
      <c r="G849" s="13"/>
      <c r="H849" s="13"/>
      <c r="I849" s="13"/>
      <c r="J849" s="13"/>
      <c r="K849" s="205"/>
      <c r="L849" s="13"/>
      <c r="M849" s="13"/>
      <c r="N849" s="13"/>
      <c r="O849" s="205"/>
      <c r="P849" s="13"/>
      <c r="Q849" s="13"/>
      <c r="R849" s="177"/>
      <c r="S849" s="35"/>
      <c r="T849" s="35"/>
      <c r="U849" s="13"/>
      <c r="V849" s="13"/>
      <c r="W849" s="13"/>
      <c r="X849" s="13"/>
      <c r="Y849" s="13"/>
      <c r="Z849" s="13"/>
      <c r="AA849" s="13"/>
      <c r="AB849" s="13"/>
      <c r="AC849" s="13"/>
    </row>
    <row r="850" ht="16.5" customHeight="1">
      <c r="A850" s="13"/>
      <c r="B850" s="13"/>
      <c r="C850" s="13"/>
      <c r="D850" s="13"/>
      <c r="E850" s="13"/>
      <c r="F850" s="13"/>
      <c r="G850" s="13"/>
      <c r="H850" s="13"/>
      <c r="I850" s="13"/>
      <c r="J850" s="13"/>
      <c r="K850" s="205"/>
      <c r="L850" s="13"/>
      <c r="M850" s="13"/>
      <c r="N850" s="13"/>
      <c r="O850" s="205"/>
      <c r="P850" s="13"/>
      <c r="Q850" s="13"/>
      <c r="R850" s="177"/>
      <c r="S850" s="35"/>
      <c r="T850" s="35"/>
      <c r="U850" s="13"/>
      <c r="V850" s="13"/>
      <c r="W850" s="13"/>
      <c r="X850" s="13"/>
      <c r="Y850" s="13"/>
      <c r="Z850" s="13"/>
      <c r="AA850" s="13"/>
      <c r="AB850" s="13"/>
      <c r="AC850" s="13"/>
    </row>
    <row r="851" ht="16.5" customHeight="1">
      <c r="A851" s="13"/>
      <c r="B851" s="13"/>
      <c r="C851" s="13"/>
      <c r="D851" s="13"/>
      <c r="E851" s="13"/>
      <c r="F851" s="13"/>
      <c r="G851" s="13"/>
      <c r="H851" s="13"/>
      <c r="I851" s="13"/>
      <c r="J851" s="13"/>
      <c r="K851" s="205"/>
      <c r="L851" s="13"/>
      <c r="M851" s="13"/>
      <c r="N851" s="13"/>
      <c r="O851" s="205"/>
      <c r="P851" s="13"/>
      <c r="Q851" s="13"/>
      <c r="R851" s="177"/>
      <c r="S851" s="35"/>
      <c r="T851" s="35"/>
      <c r="U851" s="13"/>
      <c r="V851" s="13"/>
      <c r="W851" s="13"/>
      <c r="X851" s="13"/>
      <c r="Y851" s="13"/>
      <c r="Z851" s="13"/>
      <c r="AA851" s="13"/>
      <c r="AB851" s="13"/>
      <c r="AC851" s="13"/>
    </row>
    <row r="852" ht="16.5" customHeight="1">
      <c r="A852" s="13"/>
      <c r="B852" s="13"/>
      <c r="C852" s="13"/>
      <c r="D852" s="13"/>
      <c r="E852" s="13"/>
      <c r="F852" s="13"/>
      <c r="G852" s="13"/>
      <c r="H852" s="13"/>
      <c r="I852" s="13"/>
      <c r="J852" s="13"/>
      <c r="K852" s="205"/>
      <c r="L852" s="13"/>
      <c r="M852" s="13"/>
      <c r="N852" s="13"/>
      <c r="O852" s="205"/>
      <c r="P852" s="13"/>
      <c r="Q852" s="13"/>
      <c r="R852" s="177"/>
      <c r="S852" s="35"/>
      <c r="T852" s="35"/>
      <c r="U852" s="13"/>
      <c r="V852" s="13"/>
      <c r="W852" s="13"/>
      <c r="X852" s="13"/>
      <c r="Y852" s="13"/>
      <c r="Z852" s="13"/>
      <c r="AA852" s="13"/>
      <c r="AB852" s="13"/>
      <c r="AC852" s="13"/>
    </row>
    <row r="853" ht="16.5" customHeight="1">
      <c r="A853" s="13"/>
      <c r="B853" s="13"/>
      <c r="C853" s="13"/>
      <c r="D853" s="13"/>
      <c r="E853" s="13"/>
      <c r="F853" s="13"/>
      <c r="G853" s="13"/>
      <c r="H853" s="13"/>
      <c r="I853" s="13"/>
      <c r="J853" s="13"/>
      <c r="K853" s="205"/>
      <c r="L853" s="13"/>
      <c r="M853" s="13"/>
      <c r="N853" s="13"/>
      <c r="O853" s="205"/>
      <c r="P853" s="13"/>
      <c r="Q853" s="13"/>
      <c r="R853" s="177"/>
      <c r="S853" s="35"/>
      <c r="T853" s="35"/>
      <c r="U853" s="13"/>
      <c r="V853" s="13"/>
      <c r="W853" s="13"/>
      <c r="X853" s="13"/>
      <c r="Y853" s="13"/>
      <c r="Z853" s="13"/>
      <c r="AA853" s="13"/>
      <c r="AB853" s="13"/>
      <c r="AC853" s="13"/>
    </row>
    <row r="854" ht="16.5" customHeight="1">
      <c r="A854" s="13"/>
      <c r="B854" s="13"/>
      <c r="C854" s="13"/>
      <c r="D854" s="13"/>
      <c r="E854" s="13"/>
      <c r="F854" s="13"/>
      <c r="G854" s="13"/>
      <c r="H854" s="13"/>
      <c r="I854" s="13"/>
      <c r="J854" s="13"/>
      <c r="K854" s="205"/>
      <c r="L854" s="13"/>
      <c r="M854" s="13"/>
      <c r="N854" s="13"/>
      <c r="O854" s="205"/>
      <c r="P854" s="13"/>
      <c r="Q854" s="13"/>
      <c r="R854" s="177"/>
      <c r="S854" s="35"/>
      <c r="T854" s="35"/>
      <c r="U854" s="13"/>
      <c r="V854" s="13"/>
      <c r="W854" s="13"/>
      <c r="X854" s="13"/>
      <c r="Y854" s="13"/>
      <c r="Z854" s="13"/>
      <c r="AA854" s="13"/>
      <c r="AB854" s="13"/>
      <c r="AC854" s="13"/>
    </row>
    <row r="855" ht="16.5" customHeight="1">
      <c r="A855" s="13"/>
      <c r="B855" s="13"/>
      <c r="C855" s="13"/>
      <c r="D855" s="13"/>
      <c r="E855" s="13"/>
      <c r="F855" s="13"/>
      <c r="G855" s="13"/>
      <c r="H855" s="13"/>
      <c r="I855" s="13"/>
      <c r="J855" s="13"/>
      <c r="K855" s="205"/>
      <c r="L855" s="13"/>
      <c r="M855" s="13"/>
      <c r="N855" s="13"/>
      <c r="O855" s="205"/>
      <c r="P855" s="13"/>
      <c r="Q855" s="13"/>
      <c r="R855" s="177"/>
      <c r="S855" s="35"/>
      <c r="T855" s="35"/>
      <c r="U855" s="13"/>
      <c r="V855" s="13"/>
      <c r="W855" s="13"/>
      <c r="X855" s="13"/>
      <c r="Y855" s="13"/>
      <c r="Z855" s="13"/>
      <c r="AA855" s="13"/>
      <c r="AB855" s="13"/>
      <c r="AC855" s="13"/>
    </row>
    <row r="856" ht="16.5" customHeight="1">
      <c r="A856" s="13"/>
      <c r="B856" s="13"/>
      <c r="C856" s="13"/>
      <c r="D856" s="13"/>
      <c r="E856" s="13"/>
      <c r="F856" s="13"/>
      <c r="G856" s="13"/>
      <c r="H856" s="13"/>
      <c r="I856" s="13"/>
      <c r="J856" s="13"/>
      <c r="K856" s="205"/>
      <c r="L856" s="13"/>
      <c r="M856" s="13"/>
      <c r="N856" s="13"/>
      <c r="O856" s="205"/>
      <c r="P856" s="13"/>
      <c r="Q856" s="13"/>
      <c r="R856" s="177"/>
      <c r="S856" s="35"/>
      <c r="T856" s="35"/>
      <c r="U856" s="13"/>
      <c r="V856" s="13"/>
      <c r="W856" s="13"/>
      <c r="X856" s="13"/>
      <c r="Y856" s="13"/>
      <c r="Z856" s="13"/>
      <c r="AA856" s="13"/>
      <c r="AB856" s="13"/>
      <c r="AC856" s="13"/>
    </row>
    <row r="857" ht="16.5" customHeight="1">
      <c r="A857" s="13"/>
      <c r="B857" s="13"/>
      <c r="C857" s="13"/>
      <c r="D857" s="13"/>
      <c r="E857" s="13"/>
      <c r="F857" s="13"/>
      <c r="G857" s="13"/>
      <c r="H857" s="13"/>
      <c r="I857" s="13"/>
      <c r="J857" s="13"/>
      <c r="K857" s="205"/>
      <c r="L857" s="13"/>
      <c r="M857" s="13"/>
      <c r="N857" s="13"/>
      <c r="O857" s="205"/>
      <c r="P857" s="13"/>
      <c r="Q857" s="13"/>
      <c r="R857" s="177"/>
      <c r="S857" s="35"/>
      <c r="T857" s="35"/>
      <c r="U857" s="13"/>
      <c r="V857" s="13"/>
      <c r="W857" s="13"/>
      <c r="X857" s="13"/>
      <c r="Y857" s="13"/>
      <c r="Z857" s="13"/>
      <c r="AA857" s="13"/>
      <c r="AB857" s="13"/>
      <c r="AC857" s="13"/>
    </row>
    <row r="858" ht="16.5" customHeight="1">
      <c r="A858" s="13"/>
      <c r="B858" s="13"/>
      <c r="C858" s="13"/>
      <c r="D858" s="13"/>
      <c r="E858" s="13"/>
      <c r="F858" s="13"/>
      <c r="G858" s="13"/>
      <c r="H858" s="13"/>
      <c r="I858" s="13"/>
      <c r="J858" s="13"/>
      <c r="K858" s="205"/>
      <c r="L858" s="13"/>
      <c r="M858" s="13"/>
      <c r="N858" s="13"/>
      <c r="O858" s="205"/>
      <c r="P858" s="13"/>
      <c r="Q858" s="13"/>
      <c r="R858" s="177"/>
      <c r="S858" s="35"/>
      <c r="T858" s="35"/>
      <c r="U858" s="13"/>
      <c r="V858" s="13"/>
      <c r="W858" s="13"/>
      <c r="X858" s="13"/>
      <c r="Y858" s="13"/>
      <c r="Z858" s="13"/>
      <c r="AA858" s="13"/>
      <c r="AB858" s="13"/>
      <c r="AC858" s="13"/>
    </row>
    <row r="859" ht="16.5" customHeight="1">
      <c r="A859" s="13"/>
      <c r="B859" s="13"/>
      <c r="C859" s="13"/>
      <c r="D859" s="13"/>
      <c r="E859" s="13"/>
      <c r="F859" s="13"/>
      <c r="G859" s="13"/>
      <c r="H859" s="13"/>
      <c r="I859" s="13"/>
      <c r="J859" s="13"/>
      <c r="K859" s="205"/>
      <c r="L859" s="13"/>
      <c r="M859" s="13"/>
      <c r="N859" s="13"/>
      <c r="O859" s="205"/>
      <c r="P859" s="13"/>
      <c r="Q859" s="13"/>
      <c r="R859" s="177"/>
      <c r="S859" s="35"/>
      <c r="T859" s="35"/>
      <c r="U859" s="13"/>
      <c r="V859" s="13"/>
      <c r="W859" s="13"/>
      <c r="X859" s="13"/>
      <c r="Y859" s="13"/>
      <c r="Z859" s="13"/>
      <c r="AA859" s="13"/>
      <c r="AB859" s="13"/>
      <c r="AC859" s="13"/>
    </row>
    <row r="860" ht="16.5" customHeight="1">
      <c r="A860" s="13"/>
      <c r="B860" s="13"/>
      <c r="C860" s="13"/>
      <c r="D860" s="13"/>
      <c r="E860" s="13"/>
      <c r="F860" s="13"/>
      <c r="G860" s="13"/>
      <c r="H860" s="13"/>
      <c r="I860" s="13"/>
      <c r="J860" s="13"/>
      <c r="K860" s="205"/>
      <c r="L860" s="13"/>
      <c r="M860" s="13"/>
      <c r="N860" s="13"/>
      <c r="O860" s="205"/>
      <c r="P860" s="13"/>
      <c r="Q860" s="13"/>
      <c r="R860" s="177"/>
      <c r="S860" s="35"/>
      <c r="T860" s="35"/>
      <c r="U860" s="13"/>
      <c r="V860" s="13"/>
      <c r="W860" s="13"/>
      <c r="X860" s="13"/>
      <c r="Y860" s="13"/>
      <c r="Z860" s="13"/>
      <c r="AA860" s="13"/>
      <c r="AB860" s="13"/>
      <c r="AC860" s="13"/>
    </row>
    <row r="861" ht="16.5" customHeight="1">
      <c r="A861" s="13"/>
      <c r="B861" s="13"/>
      <c r="C861" s="13"/>
      <c r="D861" s="13"/>
      <c r="E861" s="13"/>
      <c r="F861" s="13"/>
      <c r="G861" s="13"/>
      <c r="H861" s="13"/>
      <c r="I861" s="13"/>
      <c r="J861" s="13"/>
      <c r="K861" s="205"/>
      <c r="L861" s="13"/>
      <c r="M861" s="13"/>
      <c r="N861" s="13"/>
      <c r="O861" s="205"/>
      <c r="P861" s="13"/>
      <c r="Q861" s="13"/>
      <c r="R861" s="177"/>
      <c r="S861" s="35"/>
      <c r="T861" s="35"/>
      <c r="U861" s="13"/>
      <c r="V861" s="13"/>
      <c r="W861" s="13"/>
      <c r="X861" s="13"/>
      <c r="Y861" s="13"/>
      <c r="Z861" s="13"/>
      <c r="AA861" s="13"/>
      <c r="AB861" s="13"/>
      <c r="AC861" s="13"/>
    </row>
    <row r="862" ht="16.5" customHeight="1">
      <c r="A862" s="13"/>
      <c r="B862" s="13"/>
      <c r="C862" s="13"/>
      <c r="D862" s="13"/>
      <c r="E862" s="13"/>
      <c r="F862" s="13"/>
      <c r="G862" s="13"/>
      <c r="H862" s="13"/>
      <c r="I862" s="13"/>
      <c r="J862" s="13"/>
      <c r="K862" s="205"/>
      <c r="L862" s="13"/>
      <c r="M862" s="13"/>
      <c r="N862" s="13"/>
      <c r="O862" s="205"/>
      <c r="P862" s="13"/>
      <c r="Q862" s="13"/>
      <c r="R862" s="177"/>
      <c r="S862" s="35"/>
      <c r="T862" s="35"/>
      <c r="U862" s="13"/>
      <c r="V862" s="13"/>
      <c r="W862" s="13"/>
      <c r="X862" s="13"/>
      <c r="Y862" s="13"/>
      <c r="Z862" s="13"/>
      <c r="AA862" s="13"/>
      <c r="AB862" s="13"/>
      <c r="AC862" s="13"/>
    </row>
    <row r="863" ht="16.5" customHeight="1">
      <c r="A863" s="13"/>
      <c r="B863" s="13"/>
      <c r="C863" s="13"/>
      <c r="D863" s="13"/>
      <c r="E863" s="13"/>
      <c r="F863" s="13"/>
      <c r="G863" s="13"/>
      <c r="H863" s="13"/>
      <c r="I863" s="13"/>
      <c r="J863" s="13"/>
      <c r="K863" s="205"/>
      <c r="L863" s="13"/>
      <c r="M863" s="13"/>
      <c r="N863" s="13"/>
      <c r="O863" s="205"/>
      <c r="P863" s="13"/>
      <c r="Q863" s="13"/>
      <c r="R863" s="177"/>
      <c r="S863" s="35"/>
      <c r="T863" s="35"/>
      <c r="U863" s="13"/>
      <c r="V863" s="13"/>
      <c r="W863" s="13"/>
      <c r="X863" s="13"/>
      <c r="Y863" s="13"/>
      <c r="Z863" s="13"/>
      <c r="AA863" s="13"/>
      <c r="AB863" s="13"/>
      <c r="AC863" s="13"/>
    </row>
    <row r="864" ht="16.5" customHeight="1">
      <c r="A864" s="13"/>
      <c r="B864" s="13"/>
      <c r="C864" s="13"/>
      <c r="D864" s="13"/>
      <c r="E864" s="13"/>
      <c r="F864" s="13"/>
      <c r="G864" s="13"/>
      <c r="H864" s="13"/>
      <c r="I864" s="13"/>
      <c r="J864" s="13"/>
      <c r="K864" s="205"/>
      <c r="L864" s="13"/>
      <c r="M864" s="13"/>
      <c r="N864" s="13"/>
      <c r="O864" s="205"/>
      <c r="P864" s="13"/>
      <c r="Q864" s="13"/>
      <c r="R864" s="177"/>
      <c r="S864" s="35"/>
      <c r="T864" s="35"/>
      <c r="U864" s="13"/>
      <c r="V864" s="13"/>
      <c r="W864" s="13"/>
      <c r="X864" s="13"/>
      <c r="Y864" s="13"/>
      <c r="Z864" s="13"/>
      <c r="AA864" s="13"/>
      <c r="AB864" s="13"/>
      <c r="AC864" s="13"/>
    </row>
    <row r="865" ht="16.5" customHeight="1">
      <c r="A865" s="13"/>
      <c r="B865" s="13"/>
      <c r="C865" s="13"/>
      <c r="D865" s="13"/>
      <c r="E865" s="13"/>
      <c r="F865" s="13"/>
      <c r="G865" s="13"/>
      <c r="H865" s="13"/>
      <c r="I865" s="13"/>
      <c r="J865" s="13"/>
      <c r="K865" s="205"/>
      <c r="L865" s="13"/>
      <c r="M865" s="13"/>
      <c r="N865" s="13"/>
      <c r="O865" s="205"/>
      <c r="P865" s="13"/>
      <c r="Q865" s="13"/>
      <c r="R865" s="177"/>
      <c r="S865" s="35"/>
      <c r="T865" s="35"/>
      <c r="U865" s="13"/>
      <c r="V865" s="13"/>
      <c r="W865" s="13"/>
      <c r="X865" s="13"/>
      <c r="Y865" s="13"/>
      <c r="Z865" s="13"/>
      <c r="AA865" s="13"/>
      <c r="AB865" s="13"/>
      <c r="AC865" s="13"/>
    </row>
    <row r="866" ht="16.5" customHeight="1">
      <c r="A866" s="13"/>
      <c r="B866" s="13"/>
      <c r="C866" s="13"/>
      <c r="D866" s="13"/>
      <c r="E866" s="13"/>
      <c r="F866" s="13"/>
      <c r="G866" s="13"/>
      <c r="H866" s="13"/>
      <c r="I866" s="13"/>
      <c r="J866" s="13"/>
      <c r="K866" s="205"/>
      <c r="L866" s="13"/>
      <c r="M866" s="13"/>
      <c r="N866" s="13"/>
      <c r="O866" s="205"/>
      <c r="P866" s="13"/>
      <c r="Q866" s="13"/>
      <c r="R866" s="177"/>
      <c r="S866" s="35"/>
      <c r="T866" s="35"/>
      <c r="U866" s="13"/>
      <c r="V866" s="13"/>
      <c r="W866" s="13"/>
      <c r="X866" s="13"/>
      <c r="Y866" s="13"/>
      <c r="Z866" s="13"/>
      <c r="AA866" s="13"/>
      <c r="AB866" s="13"/>
      <c r="AC866" s="13"/>
    </row>
    <row r="867" ht="16.5" customHeight="1">
      <c r="A867" s="13"/>
      <c r="B867" s="13"/>
      <c r="C867" s="13"/>
      <c r="D867" s="13"/>
      <c r="E867" s="13"/>
      <c r="F867" s="13"/>
      <c r="G867" s="13"/>
      <c r="H867" s="13"/>
      <c r="I867" s="13"/>
      <c r="J867" s="13"/>
      <c r="K867" s="205"/>
      <c r="L867" s="13"/>
      <c r="M867" s="13"/>
      <c r="N867" s="13"/>
      <c r="O867" s="205"/>
      <c r="P867" s="13"/>
      <c r="Q867" s="13"/>
      <c r="R867" s="177"/>
      <c r="S867" s="35"/>
      <c r="T867" s="35"/>
      <c r="U867" s="13"/>
      <c r="V867" s="13"/>
      <c r="W867" s="13"/>
      <c r="X867" s="13"/>
      <c r="Y867" s="13"/>
      <c r="Z867" s="13"/>
      <c r="AA867" s="13"/>
      <c r="AB867" s="13"/>
      <c r="AC867" s="13"/>
    </row>
    <row r="868" ht="16.5" customHeight="1">
      <c r="A868" s="13"/>
      <c r="B868" s="13"/>
      <c r="C868" s="13"/>
      <c r="D868" s="13"/>
      <c r="E868" s="13"/>
      <c r="F868" s="13"/>
      <c r="G868" s="13"/>
      <c r="H868" s="13"/>
      <c r="I868" s="13"/>
      <c r="J868" s="13"/>
      <c r="K868" s="205"/>
      <c r="L868" s="13"/>
      <c r="M868" s="13"/>
      <c r="N868" s="13"/>
      <c r="O868" s="205"/>
      <c r="P868" s="13"/>
      <c r="Q868" s="13"/>
      <c r="R868" s="177"/>
      <c r="S868" s="35"/>
      <c r="T868" s="35"/>
      <c r="U868" s="13"/>
      <c r="V868" s="13"/>
      <c r="W868" s="13"/>
      <c r="X868" s="13"/>
      <c r="Y868" s="13"/>
      <c r="Z868" s="13"/>
      <c r="AA868" s="13"/>
      <c r="AB868" s="13"/>
      <c r="AC868" s="13"/>
    </row>
    <row r="869" ht="16.5" customHeight="1">
      <c r="A869" s="13"/>
      <c r="B869" s="13"/>
      <c r="C869" s="13"/>
      <c r="D869" s="13"/>
      <c r="E869" s="13"/>
      <c r="F869" s="13"/>
      <c r="G869" s="13"/>
      <c r="H869" s="13"/>
      <c r="I869" s="13"/>
      <c r="J869" s="13"/>
      <c r="K869" s="205"/>
      <c r="L869" s="13"/>
      <c r="M869" s="13"/>
      <c r="N869" s="13"/>
      <c r="O869" s="205"/>
      <c r="P869" s="13"/>
      <c r="Q869" s="13"/>
      <c r="R869" s="177"/>
      <c r="S869" s="35"/>
      <c r="T869" s="35"/>
      <c r="U869" s="13"/>
      <c r="V869" s="13"/>
      <c r="W869" s="13"/>
      <c r="X869" s="13"/>
      <c r="Y869" s="13"/>
      <c r="Z869" s="13"/>
      <c r="AA869" s="13"/>
      <c r="AB869" s="13"/>
      <c r="AC869" s="13"/>
    </row>
    <row r="870" ht="16.5" customHeight="1">
      <c r="A870" s="13"/>
      <c r="B870" s="13"/>
      <c r="C870" s="13"/>
      <c r="D870" s="13"/>
      <c r="E870" s="13"/>
      <c r="F870" s="13"/>
      <c r="G870" s="13"/>
      <c r="H870" s="13"/>
      <c r="I870" s="13"/>
      <c r="J870" s="13"/>
      <c r="K870" s="205"/>
      <c r="L870" s="13"/>
      <c r="M870" s="13"/>
      <c r="N870" s="13"/>
      <c r="O870" s="205"/>
      <c r="P870" s="13"/>
      <c r="Q870" s="13"/>
      <c r="R870" s="177"/>
      <c r="S870" s="35"/>
      <c r="T870" s="35"/>
      <c r="U870" s="13"/>
      <c r="V870" s="13"/>
      <c r="W870" s="13"/>
      <c r="X870" s="13"/>
      <c r="Y870" s="13"/>
      <c r="Z870" s="13"/>
      <c r="AA870" s="13"/>
      <c r="AB870" s="13"/>
      <c r="AC870" s="13"/>
    </row>
    <row r="871" ht="16.5" customHeight="1">
      <c r="A871" s="13"/>
      <c r="B871" s="13"/>
      <c r="C871" s="13"/>
      <c r="D871" s="13"/>
      <c r="E871" s="13"/>
      <c r="F871" s="13"/>
      <c r="G871" s="13"/>
      <c r="H871" s="13"/>
      <c r="I871" s="13"/>
      <c r="J871" s="13"/>
      <c r="K871" s="205"/>
      <c r="L871" s="13"/>
      <c r="M871" s="13"/>
      <c r="N871" s="13"/>
      <c r="O871" s="205"/>
      <c r="P871" s="13"/>
      <c r="Q871" s="13"/>
      <c r="R871" s="177"/>
      <c r="S871" s="35"/>
      <c r="T871" s="35"/>
      <c r="U871" s="13"/>
      <c r="V871" s="13"/>
      <c r="W871" s="13"/>
      <c r="X871" s="13"/>
      <c r="Y871" s="13"/>
      <c r="Z871" s="13"/>
      <c r="AA871" s="13"/>
      <c r="AB871" s="13"/>
      <c r="AC871" s="13"/>
    </row>
    <row r="872" ht="16.5" customHeight="1">
      <c r="A872" s="13"/>
      <c r="B872" s="13"/>
      <c r="C872" s="13"/>
      <c r="D872" s="13"/>
      <c r="E872" s="13"/>
      <c r="F872" s="13"/>
      <c r="G872" s="13"/>
      <c r="H872" s="13"/>
      <c r="I872" s="13"/>
      <c r="J872" s="13"/>
      <c r="K872" s="205"/>
      <c r="L872" s="13"/>
      <c r="M872" s="13"/>
      <c r="N872" s="13"/>
      <c r="O872" s="205"/>
      <c r="P872" s="13"/>
      <c r="Q872" s="13"/>
      <c r="R872" s="177"/>
      <c r="S872" s="35"/>
      <c r="T872" s="35"/>
      <c r="U872" s="13"/>
      <c r="V872" s="13"/>
      <c r="W872" s="13"/>
      <c r="X872" s="13"/>
      <c r="Y872" s="13"/>
      <c r="Z872" s="13"/>
      <c r="AA872" s="13"/>
      <c r="AB872" s="13"/>
      <c r="AC872" s="13"/>
    </row>
    <row r="873" ht="16.5" customHeight="1">
      <c r="A873" s="13"/>
      <c r="B873" s="13"/>
      <c r="C873" s="13"/>
      <c r="D873" s="13"/>
      <c r="E873" s="13"/>
      <c r="F873" s="13"/>
      <c r="G873" s="13"/>
      <c r="H873" s="13"/>
      <c r="I873" s="13"/>
      <c r="J873" s="13"/>
      <c r="K873" s="205"/>
      <c r="L873" s="13"/>
      <c r="M873" s="13"/>
      <c r="N873" s="13"/>
      <c r="O873" s="205"/>
      <c r="P873" s="13"/>
      <c r="Q873" s="13"/>
      <c r="R873" s="177"/>
      <c r="S873" s="35"/>
      <c r="T873" s="35"/>
      <c r="U873" s="13"/>
      <c r="V873" s="13"/>
      <c r="W873" s="13"/>
      <c r="X873" s="13"/>
      <c r="Y873" s="13"/>
      <c r="Z873" s="13"/>
      <c r="AA873" s="13"/>
      <c r="AB873" s="13"/>
      <c r="AC873" s="13"/>
    </row>
    <row r="874" ht="16.5" customHeight="1">
      <c r="A874" s="13"/>
      <c r="B874" s="13"/>
      <c r="C874" s="13"/>
      <c r="D874" s="13"/>
      <c r="E874" s="13"/>
      <c r="F874" s="13"/>
      <c r="G874" s="13"/>
      <c r="H874" s="13"/>
      <c r="I874" s="13"/>
      <c r="J874" s="13"/>
      <c r="K874" s="205"/>
      <c r="L874" s="13"/>
      <c r="M874" s="13"/>
      <c r="N874" s="13"/>
      <c r="O874" s="205"/>
      <c r="P874" s="13"/>
      <c r="Q874" s="13"/>
      <c r="R874" s="177"/>
      <c r="S874" s="35"/>
      <c r="T874" s="35"/>
      <c r="U874" s="13"/>
      <c r="V874" s="13"/>
      <c r="W874" s="13"/>
      <c r="X874" s="13"/>
      <c r="Y874" s="13"/>
      <c r="Z874" s="13"/>
      <c r="AA874" s="13"/>
      <c r="AB874" s="13"/>
      <c r="AC874" s="13"/>
    </row>
    <row r="875" ht="16.5" customHeight="1">
      <c r="A875" s="13"/>
      <c r="B875" s="13"/>
      <c r="C875" s="13"/>
      <c r="D875" s="13"/>
      <c r="E875" s="13"/>
      <c r="F875" s="13"/>
      <c r="G875" s="13"/>
      <c r="H875" s="13"/>
      <c r="I875" s="13"/>
      <c r="J875" s="13"/>
      <c r="K875" s="205"/>
      <c r="L875" s="13"/>
      <c r="M875" s="13"/>
      <c r="N875" s="13"/>
      <c r="O875" s="205"/>
      <c r="P875" s="13"/>
      <c r="Q875" s="13"/>
      <c r="R875" s="177"/>
      <c r="S875" s="35"/>
      <c r="T875" s="35"/>
      <c r="U875" s="13"/>
      <c r="V875" s="13"/>
      <c r="W875" s="13"/>
      <c r="X875" s="13"/>
      <c r="Y875" s="13"/>
      <c r="Z875" s="13"/>
      <c r="AA875" s="13"/>
      <c r="AB875" s="13"/>
      <c r="AC875" s="13"/>
    </row>
    <row r="876" ht="16.5" customHeight="1">
      <c r="A876" s="13"/>
      <c r="B876" s="13"/>
      <c r="C876" s="13"/>
      <c r="D876" s="13"/>
      <c r="E876" s="13"/>
      <c r="F876" s="13"/>
      <c r="G876" s="13"/>
      <c r="H876" s="13"/>
      <c r="I876" s="13"/>
      <c r="J876" s="13"/>
      <c r="K876" s="205"/>
      <c r="L876" s="13"/>
      <c r="M876" s="13"/>
      <c r="N876" s="13"/>
      <c r="O876" s="205"/>
      <c r="P876" s="13"/>
      <c r="Q876" s="13"/>
      <c r="R876" s="177"/>
      <c r="S876" s="35"/>
      <c r="T876" s="35"/>
      <c r="U876" s="13"/>
      <c r="V876" s="13"/>
      <c r="W876" s="13"/>
      <c r="X876" s="13"/>
      <c r="Y876" s="13"/>
      <c r="Z876" s="13"/>
      <c r="AA876" s="13"/>
      <c r="AB876" s="13"/>
      <c r="AC876" s="13"/>
    </row>
    <row r="877" ht="16.5" customHeight="1">
      <c r="A877" s="13"/>
      <c r="B877" s="13"/>
      <c r="C877" s="13"/>
      <c r="D877" s="13"/>
      <c r="E877" s="13"/>
      <c r="F877" s="13"/>
      <c r="G877" s="13"/>
      <c r="H877" s="13"/>
      <c r="I877" s="13"/>
      <c r="J877" s="13"/>
      <c r="K877" s="205"/>
      <c r="L877" s="13"/>
      <c r="M877" s="13"/>
      <c r="N877" s="13"/>
      <c r="O877" s="205"/>
      <c r="P877" s="13"/>
      <c r="Q877" s="13"/>
      <c r="R877" s="177"/>
      <c r="S877" s="35"/>
      <c r="T877" s="35"/>
      <c r="U877" s="13"/>
      <c r="V877" s="13"/>
      <c r="W877" s="13"/>
      <c r="X877" s="13"/>
      <c r="Y877" s="13"/>
      <c r="Z877" s="13"/>
      <c r="AA877" s="13"/>
      <c r="AB877" s="13"/>
      <c r="AC877" s="13"/>
    </row>
    <row r="878" ht="16.5" customHeight="1">
      <c r="A878" s="13"/>
      <c r="B878" s="13"/>
      <c r="C878" s="13"/>
      <c r="D878" s="13"/>
      <c r="E878" s="13"/>
      <c r="F878" s="13"/>
      <c r="G878" s="13"/>
      <c r="H878" s="13"/>
      <c r="I878" s="13"/>
      <c r="J878" s="13"/>
      <c r="K878" s="205"/>
      <c r="L878" s="13"/>
      <c r="M878" s="13"/>
      <c r="N878" s="13"/>
      <c r="O878" s="205"/>
      <c r="P878" s="13"/>
      <c r="Q878" s="13"/>
      <c r="R878" s="177"/>
      <c r="S878" s="35"/>
      <c r="T878" s="35"/>
      <c r="U878" s="13"/>
      <c r="V878" s="13"/>
      <c r="W878" s="13"/>
      <c r="X878" s="13"/>
      <c r="Y878" s="13"/>
      <c r="Z878" s="13"/>
      <c r="AA878" s="13"/>
      <c r="AB878" s="13"/>
      <c r="AC878" s="13"/>
    </row>
    <row r="879" ht="16.5" customHeight="1">
      <c r="A879" s="13"/>
      <c r="B879" s="13"/>
      <c r="C879" s="13"/>
      <c r="D879" s="13"/>
      <c r="E879" s="13"/>
      <c r="F879" s="13"/>
      <c r="G879" s="13"/>
      <c r="H879" s="13"/>
      <c r="I879" s="13"/>
      <c r="J879" s="13"/>
      <c r="K879" s="205"/>
      <c r="L879" s="13"/>
      <c r="M879" s="13"/>
      <c r="N879" s="13"/>
      <c r="O879" s="205"/>
      <c r="P879" s="13"/>
      <c r="Q879" s="13"/>
      <c r="R879" s="177"/>
      <c r="S879" s="35"/>
      <c r="T879" s="35"/>
      <c r="U879" s="13"/>
      <c r="V879" s="13"/>
      <c r="W879" s="13"/>
      <c r="X879" s="13"/>
      <c r="Y879" s="13"/>
      <c r="Z879" s="13"/>
      <c r="AA879" s="13"/>
      <c r="AB879" s="13"/>
      <c r="AC879" s="13"/>
    </row>
    <row r="880" ht="16.5" customHeight="1">
      <c r="A880" s="13"/>
      <c r="B880" s="13"/>
      <c r="C880" s="13"/>
      <c r="D880" s="13"/>
      <c r="E880" s="13"/>
      <c r="F880" s="13"/>
      <c r="G880" s="13"/>
      <c r="H880" s="13"/>
      <c r="I880" s="13"/>
      <c r="J880" s="13"/>
      <c r="K880" s="205"/>
      <c r="L880" s="13"/>
      <c r="M880" s="13"/>
      <c r="N880" s="13"/>
      <c r="O880" s="205"/>
      <c r="P880" s="13"/>
      <c r="Q880" s="13"/>
      <c r="R880" s="177"/>
      <c r="S880" s="35"/>
      <c r="T880" s="35"/>
      <c r="U880" s="13"/>
      <c r="V880" s="13"/>
      <c r="W880" s="13"/>
      <c r="X880" s="13"/>
      <c r="Y880" s="13"/>
      <c r="Z880" s="13"/>
      <c r="AA880" s="13"/>
      <c r="AB880" s="13"/>
      <c r="AC880" s="13"/>
    </row>
    <row r="881" ht="16.5" customHeight="1">
      <c r="A881" s="13"/>
      <c r="B881" s="13"/>
      <c r="C881" s="13"/>
      <c r="D881" s="13"/>
      <c r="E881" s="13"/>
      <c r="F881" s="13"/>
      <c r="G881" s="13"/>
      <c r="H881" s="13"/>
      <c r="I881" s="13"/>
      <c r="J881" s="13"/>
      <c r="K881" s="205"/>
      <c r="L881" s="13"/>
      <c r="M881" s="13"/>
      <c r="N881" s="13"/>
      <c r="O881" s="205"/>
      <c r="P881" s="13"/>
      <c r="Q881" s="13"/>
      <c r="R881" s="177"/>
      <c r="S881" s="35"/>
      <c r="T881" s="35"/>
      <c r="U881" s="13"/>
      <c r="V881" s="13"/>
      <c r="W881" s="13"/>
      <c r="X881" s="13"/>
      <c r="Y881" s="13"/>
      <c r="Z881" s="13"/>
      <c r="AA881" s="13"/>
      <c r="AB881" s="13"/>
      <c r="AC881" s="13"/>
    </row>
    <row r="882" ht="16.5" customHeight="1">
      <c r="A882" s="13"/>
      <c r="B882" s="13"/>
      <c r="C882" s="13"/>
      <c r="D882" s="13"/>
      <c r="E882" s="13"/>
      <c r="F882" s="13"/>
      <c r="G882" s="13"/>
      <c r="H882" s="13"/>
      <c r="I882" s="13"/>
      <c r="J882" s="13"/>
      <c r="K882" s="205"/>
      <c r="L882" s="13"/>
      <c r="M882" s="13"/>
      <c r="N882" s="13"/>
      <c r="O882" s="205"/>
      <c r="P882" s="13"/>
      <c r="Q882" s="13"/>
      <c r="R882" s="177"/>
      <c r="S882" s="35"/>
      <c r="T882" s="35"/>
      <c r="U882" s="13"/>
      <c r="V882" s="13"/>
      <c r="W882" s="13"/>
      <c r="X882" s="13"/>
      <c r="Y882" s="13"/>
      <c r="Z882" s="13"/>
      <c r="AA882" s="13"/>
      <c r="AB882" s="13"/>
      <c r="AC882" s="13"/>
    </row>
    <row r="883" ht="16.5" customHeight="1">
      <c r="A883" s="13"/>
      <c r="B883" s="13"/>
      <c r="C883" s="13"/>
      <c r="D883" s="13"/>
      <c r="E883" s="13"/>
      <c r="F883" s="13"/>
      <c r="G883" s="13"/>
      <c r="H883" s="13"/>
      <c r="I883" s="13"/>
      <c r="J883" s="13"/>
      <c r="K883" s="205"/>
      <c r="L883" s="13"/>
      <c r="M883" s="13"/>
      <c r="N883" s="13"/>
      <c r="O883" s="205"/>
      <c r="P883" s="13"/>
      <c r="Q883" s="13"/>
      <c r="R883" s="177"/>
      <c r="S883" s="35"/>
      <c r="T883" s="35"/>
      <c r="U883" s="13"/>
      <c r="V883" s="13"/>
      <c r="W883" s="13"/>
      <c r="X883" s="13"/>
      <c r="Y883" s="13"/>
      <c r="Z883" s="13"/>
      <c r="AA883" s="13"/>
      <c r="AB883" s="13"/>
      <c r="AC883" s="13"/>
    </row>
    <row r="884" ht="16.5" customHeight="1">
      <c r="A884" s="13"/>
      <c r="B884" s="13"/>
      <c r="C884" s="13"/>
      <c r="D884" s="13"/>
      <c r="E884" s="13"/>
      <c r="F884" s="13"/>
      <c r="G884" s="13"/>
      <c r="H884" s="13"/>
      <c r="I884" s="13"/>
      <c r="J884" s="13"/>
      <c r="K884" s="205"/>
      <c r="L884" s="13"/>
      <c r="M884" s="13"/>
      <c r="N884" s="13"/>
      <c r="O884" s="205"/>
      <c r="P884" s="13"/>
      <c r="Q884" s="13"/>
      <c r="R884" s="177"/>
      <c r="S884" s="35"/>
      <c r="T884" s="35"/>
      <c r="U884" s="13"/>
      <c r="V884" s="13"/>
      <c r="W884" s="13"/>
      <c r="X884" s="13"/>
      <c r="Y884" s="13"/>
      <c r="Z884" s="13"/>
      <c r="AA884" s="13"/>
      <c r="AB884" s="13"/>
      <c r="AC884" s="13"/>
    </row>
    <row r="885" ht="16.5" customHeight="1">
      <c r="A885" s="13"/>
      <c r="B885" s="13"/>
      <c r="C885" s="13"/>
      <c r="D885" s="13"/>
      <c r="E885" s="13"/>
      <c r="F885" s="13"/>
      <c r="G885" s="13"/>
      <c r="H885" s="13"/>
      <c r="I885" s="13"/>
      <c r="J885" s="13"/>
      <c r="K885" s="205"/>
      <c r="L885" s="13"/>
      <c r="M885" s="13"/>
      <c r="N885" s="13"/>
      <c r="O885" s="205"/>
      <c r="P885" s="13"/>
      <c r="Q885" s="13"/>
      <c r="R885" s="177"/>
      <c r="S885" s="35"/>
      <c r="T885" s="35"/>
      <c r="U885" s="13"/>
      <c r="V885" s="13"/>
      <c r="W885" s="13"/>
      <c r="X885" s="13"/>
      <c r="Y885" s="13"/>
      <c r="Z885" s="13"/>
      <c r="AA885" s="13"/>
      <c r="AB885" s="13"/>
      <c r="AC885" s="13"/>
    </row>
    <row r="886" ht="16.5" customHeight="1">
      <c r="A886" s="13"/>
      <c r="B886" s="13"/>
      <c r="C886" s="13"/>
      <c r="D886" s="13"/>
      <c r="E886" s="13"/>
      <c r="F886" s="13"/>
      <c r="G886" s="13"/>
      <c r="H886" s="13"/>
      <c r="I886" s="13"/>
      <c r="J886" s="13"/>
      <c r="K886" s="205"/>
      <c r="L886" s="13"/>
      <c r="M886" s="13"/>
      <c r="N886" s="13"/>
      <c r="O886" s="205"/>
      <c r="P886" s="13"/>
      <c r="Q886" s="13"/>
      <c r="R886" s="177"/>
      <c r="S886" s="35"/>
      <c r="T886" s="35"/>
      <c r="U886" s="13"/>
      <c r="V886" s="13"/>
      <c r="W886" s="13"/>
      <c r="X886" s="13"/>
      <c r="Y886" s="13"/>
      <c r="Z886" s="13"/>
      <c r="AA886" s="13"/>
      <c r="AB886" s="13"/>
      <c r="AC886" s="13"/>
    </row>
    <row r="887" ht="16.5" customHeight="1">
      <c r="A887" s="13"/>
      <c r="B887" s="13"/>
      <c r="C887" s="13"/>
      <c r="D887" s="13"/>
      <c r="E887" s="13"/>
      <c r="F887" s="13"/>
      <c r="G887" s="13"/>
      <c r="H887" s="13"/>
      <c r="I887" s="13"/>
      <c r="J887" s="13"/>
      <c r="K887" s="205"/>
      <c r="L887" s="13"/>
      <c r="M887" s="13"/>
      <c r="N887" s="13"/>
      <c r="O887" s="205"/>
      <c r="P887" s="13"/>
      <c r="Q887" s="13"/>
      <c r="R887" s="177"/>
      <c r="S887" s="35"/>
      <c r="T887" s="35"/>
      <c r="U887" s="13"/>
      <c r="V887" s="13"/>
      <c r="W887" s="13"/>
      <c r="X887" s="13"/>
      <c r="Y887" s="13"/>
      <c r="Z887" s="13"/>
      <c r="AA887" s="13"/>
      <c r="AB887" s="13"/>
      <c r="AC887" s="13"/>
    </row>
    <row r="888" ht="16.5" customHeight="1">
      <c r="A888" s="13"/>
      <c r="B888" s="13"/>
      <c r="C888" s="13"/>
      <c r="D888" s="13"/>
      <c r="E888" s="13"/>
      <c r="F888" s="13"/>
      <c r="G888" s="13"/>
      <c r="H888" s="13"/>
      <c r="I888" s="13"/>
      <c r="J888" s="13"/>
      <c r="K888" s="205"/>
      <c r="L888" s="13"/>
      <c r="M888" s="13"/>
      <c r="N888" s="13"/>
      <c r="O888" s="205"/>
      <c r="P888" s="13"/>
      <c r="Q888" s="13"/>
      <c r="R888" s="177"/>
      <c r="S888" s="35"/>
      <c r="T888" s="35"/>
      <c r="U888" s="13"/>
      <c r="V888" s="13"/>
      <c r="W888" s="13"/>
      <c r="X888" s="13"/>
      <c r="Y888" s="13"/>
      <c r="Z888" s="13"/>
      <c r="AA888" s="13"/>
      <c r="AB888" s="13"/>
      <c r="AC888" s="13"/>
    </row>
    <row r="889" ht="16.5" customHeight="1">
      <c r="A889" s="13"/>
      <c r="B889" s="13"/>
      <c r="C889" s="13"/>
      <c r="D889" s="13"/>
      <c r="E889" s="13"/>
      <c r="F889" s="13"/>
      <c r="G889" s="13"/>
      <c r="H889" s="13"/>
      <c r="I889" s="13"/>
      <c r="J889" s="13"/>
      <c r="K889" s="205"/>
      <c r="L889" s="13"/>
      <c r="M889" s="13"/>
      <c r="N889" s="13"/>
      <c r="O889" s="205"/>
      <c r="P889" s="13"/>
      <c r="Q889" s="13"/>
      <c r="R889" s="177"/>
      <c r="S889" s="35"/>
      <c r="T889" s="35"/>
      <c r="U889" s="13"/>
      <c r="V889" s="13"/>
      <c r="W889" s="13"/>
      <c r="X889" s="13"/>
      <c r="Y889" s="13"/>
      <c r="Z889" s="13"/>
      <c r="AA889" s="13"/>
      <c r="AB889" s="13"/>
      <c r="AC889" s="13"/>
    </row>
    <row r="890" ht="16.5" customHeight="1">
      <c r="A890" s="13"/>
      <c r="B890" s="13"/>
      <c r="C890" s="13"/>
      <c r="D890" s="13"/>
      <c r="E890" s="13"/>
      <c r="F890" s="13"/>
      <c r="G890" s="13"/>
      <c r="H890" s="13"/>
      <c r="I890" s="13"/>
      <c r="J890" s="13"/>
      <c r="K890" s="205"/>
      <c r="L890" s="13"/>
      <c r="M890" s="13"/>
      <c r="N890" s="13"/>
      <c r="O890" s="205"/>
      <c r="P890" s="13"/>
      <c r="Q890" s="13"/>
      <c r="R890" s="177"/>
      <c r="S890" s="35"/>
      <c r="T890" s="35"/>
      <c r="U890" s="13"/>
      <c r="V890" s="13"/>
      <c r="W890" s="13"/>
      <c r="X890" s="13"/>
      <c r="Y890" s="13"/>
      <c r="Z890" s="13"/>
      <c r="AA890" s="13"/>
      <c r="AB890" s="13"/>
      <c r="AC890" s="13"/>
    </row>
    <row r="891" ht="16.5" customHeight="1">
      <c r="A891" s="13"/>
      <c r="B891" s="13"/>
      <c r="C891" s="13"/>
      <c r="D891" s="13"/>
      <c r="E891" s="13"/>
      <c r="F891" s="13"/>
      <c r="G891" s="13"/>
      <c r="H891" s="13"/>
      <c r="I891" s="13"/>
      <c r="J891" s="13"/>
      <c r="K891" s="205"/>
      <c r="L891" s="13"/>
      <c r="M891" s="13"/>
      <c r="N891" s="13"/>
      <c r="O891" s="205"/>
      <c r="P891" s="13"/>
      <c r="Q891" s="13"/>
      <c r="R891" s="177"/>
      <c r="S891" s="35"/>
      <c r="T891" s="35"/>
      <c r="U891" s="13"/>
      <c r="V891" s="13"/>
      <c r="W891" s="13"/>
      <c r="X891" s="13"/>
      <c r="Y891" s="13"/>
      <c r="Z891" s="13"/>
      <c r="AA891" s="13"/>
      <c r="AB891" s="13"/>
      <c r="AC891" s="13"/>
    </row>
    <row r="892" ht="16.5" customHeight="1">
      <c r="A892" s="13"/>
      <c r="B892" s="13"/>
      <c r="C892" s="13"/>
      <c r="D892" s="13"/>
      <c r="E892" s="13"/>
      <c r="F892" s="13"/>
      <c r="G892" s="13"/>
      <c r="H892" s="13"/>
      <c r="I892" s="13"/>
      <c r="J892" s="13"/>
      <c r="K892" s="205"/>
      <c r="L892" s="13"/>
      <c r="M892" s="13"/>
      <c r="N892" s="13"/>
      <c r="O892" s="205"/>
      <c r="P892" s="13"/>
      <c r="Q892" s="13"/>
      <c r="R892" s="177"/>
      <c r="S892" s="35"/>
      <c r="T892" s="35"/>
      <c r="U892" s="13"/>
      <c r="V892" s="13"/>
      <c r="W892" s="13"/>
      <c r="X892" s="13"/>
      <c r="Y892" s="13"/>
      <c r="Z892" s="13"/>
      <c r="AA892" s="13"/>
      <c r="AB892" s="13"/>
      <c r="AC892" s="13"/>
    </row>
    <row r="893" ht="16.5" customHeight="1">
      <c r="A893" s="13"/>
      <c r="B893" s="13"/>
      <c r="C893" s="13"/>
      <c r="D893" s="13"/>
      <c r="E893" s="13"/>
      <c r="F893" s="13"/>
      <c r="G893" s="13"/>
      <c r="H893" s="13"/>
      <c r="I893" s="13"/>
      <c r="J893" s="13"/>
      <c r="K893" s="205"/>
      <c r="L893" s="13"/>
      <c r="M893" s="13"/>
      <c r="N893" s="13"/>
      <c r="O893" s="205"/>
      <c r="P893" s="13"/>
      <c r="Q893" s="13"/>
      <c r="R893" s="177"/>
      <c r="S893" s="35"/>
      <c r="T893" s="35"/>
      <c r="U893" s="13"/>
      <c r="V893" s="13"/>
      <c r="W893" s="13"/>
      <c r="X893" s="13"/>
      <c r="Y893" s="13"/>
      <c r="Z893" s="13"/>
      <c r="AA893" s="13"/>
      <c r="AB893" s="13"/>
      <c r="AC893" s="13"/>
    </row>
    <row r="894" ht="16.5" customHeight="1">
      <c r="A894" s="13"/>
      <c r="B894" s="13"/>
      <c r="C894" s="13"/>
      <c r="D894" s="13"/>
      <c r="E894" s="13"/>
      <c r="F894" s="13"/>
      <c r="G894" s="13"/>
      <c r="H894" s="13"/>
      <c r="I894" s="13"/>
      <c r="J894" s="13"/>
      <c r="K894" s="205"/>
      <c r="L894" s="13"/>
      <c r="M894" s="13"/>
      <c r="N894" s="13"/>
      <c r="O894" s="205"/>
      <c r="P894" s="13"/>
      <c r="Q894" s="13"/>
      <c r="R894" s="177"/>
      <c r="S894" s="35"/>
      <c r="T894" s="35"/>
      <c r="U894" s="13"/>
      <c r="V894" s="13"/>
      <c r="W894" s="13"/>
      <c r="X894" s="13"/>
      <c r="Y894" s="13"/>
      <c r="Z894" s="13"/>
      <c r="AA894" s="13"/>
      <c r="AB894" s="13"/>
      <c r="AC894" s="13"/>
    </row>
    <row r="895" ht="16.5" customHeight="1">
      <c r="A895" s="13"/>
      <c r="B895" s="13"/>
      <c r="C895" s="13"/>
      <c r="D895" s="13"/>
      <c r="E895" s="13"/>
      <c r="F895" s="13"/>
      <c r="G895" s="13"/>
      <c r="H895" s="13"/>
      <c r="I895" s="13"/>
      <c r="J895" s="13"/>
      <c r="K895" s="205"/>
      <c r="L895" s="13"/>
      <c r="M895" s="13"/>
      <c r="N895" s="13"/>
      <c r="O895" s="205"/>
      <c r="P895" s="13"/>
      <c r="Q895" s="13"/>
      <c r="R895" s="177"/>
      <c r="S895" s="35"/>
      <c r="T895" s="35"/>
      <c r="U895" s="13"/>
      <c r="V895" s="13"/>
      <c r="W895" s="13"/>
      <c r="X895" s="13"/>
      <c r="Y895" s="13"/>
      <c r="Z895" s="13"/>
      <c r="AA895" s="13"/>
      <c r="AB895" s="13"/>
      <c r="AC895" s="13"/>
    </row>
    <row r="896" ht="16.5" customHeight="1">
      <c r="A896" s="13"/>
      <c r="B896" s="13"/>
      <c r="C896" s="13"/>
      <c r="D896" s="13"/>
      <c r="E896" s="13"/>
      <c r="F896" s="13"/>
      <c r="G896" s="13"/>
      <c r="H896" s="13"/>
      <c r="I896" s="13"/>
      <c r="J896" s="13"/>
      <c r="K896" s="205"/>
      <c r="L896" s="13"/>
      <c r="M896" s="13"/>
      <c r="N896" s="13"/>
      <c r="O896" s="205"/>
      <c r="P896" s="13"/>
      <c r="Q896" s="13"/>
      <c r="R896" s="177"/>
      <c r="S896" s="35"/>
      <c r="T896" s="35"/>
      <c r="U896" s="13"/>
      <c r="V896" s="13"/>
      <c r="W896" s="13"/>
      <c r="X896" s="13"/>
      <c r="Y896" s="13"/>
      <c r="Z896" s="13"/>
      <c r="AA896" s="13"/>
      <c r="AB896" s="13"/>
      <c r="AC896" s="13"/>
    </row>
    <row r="897" ht="16.5" customHeight="1">
      <c r="A897" s="13"/>
      <c r="B897" s="13"/>
      <c r="C897" s="13"/>
      <c r="D897" s="13"/>
      <c r="E897" s="13"/>
      <c r="F897" s="13"/>
      <c r="G897" s="13"/>
      <c r="H897" s="13"/>
      <c r="I897" s="13"/>
      <c r="J897" s="13"/>
      <c r="K897" s="205"/>
      <c r="L897" s="13"/>
      <c r="M897" s="13"/>
      <c r="N897" s="13"/>
      <c r="O897" s="205"/>
      <c r="P897" s="13"/>
      <c r="Q897" s="13"/>
      <c r="R897" s="177"/>
      <c r="S897" s="35"/>
      <c r="T897" s="35"/>
      <c r="U897" s="13"/>
      <c r="V897" s="13"/>
      <c r="W897" s="13"/>
      <c r="X897" s="13"/>
      <c r="Y897" s="13"/>
      <c r="Z897" s="13"/>
      <c r="AA897" s="13"/>
      <c r="AB897" s="13"/>
      <c r="AC897" s="13"/>
    </row>
    <row r="898" ht="16.5" customHeight="1">
      <c r="A898" s="13"/>
      <c r="B898" s="13"/>
      <c r="C898" s="13"/>
      <c r="D898" s="13"/>
      <c r="E898" s="13"/>
      <c r="F898" s="13"/>
      <c r="G898" s="13"/>
      <c r="H898" s="13"/>
      <c r="I898" s="13"/>
      <c r="J898" s="13"/>
      <c r="K898" s="205"/>
      <c r="L898" s="13"/>
      <c r="M898" s="13"/>
      <c r="N898" s="13"/>
      <c r="O898" s="205"/>
      <c r="P898" s="13"/>
      <c r="Q898" s="13"/>
      <c r="R898" s="177"/>
      <c r="S898" s="35"/>
      <c r="T898" s="35"/>
      <c r="U898" s="13"/>
      <c r="V898" s="13"/>
      <c r="W898" s="13"/>
      <c r="X898" s="13"/>
      <c r="Y898" s="13"/>
      <c r="Z898" s="13"/>
      <c r="AA898" s="13"/>
      <c r="AB898" s="13"/>
      <c r="AC898" s="13"/>
    </row>
    <row r="899" ht="16.5" customHeight="1">
      <c r="A899" s="13"/>
      <c r="B899" s="13"/>
      <c r="C899" s="13"/>
      <c r="D899" s="13"/>
      <c r="E899" s="13"/>
      <c r="F899" s="13"/>
      <c r="G899" s="13"/>
      <c r="H899" s="13"/>
      <c r="I899" s="13"/>
      <c r="J899" s="13"/>
      <c r="K899" s="205"/>
      <c r="L899" s="13"/>
      <c r="M899" s="13"/>
      <c r="N899" s="13"/>
      <c r="O899" s="205"/>
      <c r="P899" s="13"/>
      <c r="Q899" s="13"/>
      <c r="R899" s="177"/>
      <c r="S899" s="35"/>
      <c r="T899" s="35"/>
      <c r="U899" s="13"/>
      <c r="V899" s="13"/>
      <c r="W899" s="13"/>
      <c r="X899" s="13"/>
      <c r="Y899" s="13"/>
      <c r="Z899" s="13"/>
      <c r="AA899" s="13"/>
      <c r="AB899" s="13"/>
      <c r="AC899" s="13"/>
    </row>
    <row r="900" ht="16.5" customHeight="1">
      <c r="A900" s="13"/>
      <c r="B900" s="13"/>
      <c r="C900" s="13"/>
      <c r="D900" s="13"/>
      <c r="E900" s="13"/>
      <c r="F900" s="13"/>
      <c r="G900" s="13"/>
      <c r="H900" s="13"/>
      <c r="I900" s="13"/>
      <c r="J900" s="13"/>
      <c r="K900" s="205"/>
      <c r="L900" s="13"/>
      <c r="M900" s="13"/>
      <c r="N900" s="13"/>
      <c r="O900" s="205"/>
      <c r="P900" s="13"/>
      <c r="Q900" s="13"/>
      <c r="R900" s="177"/>
      <c r="S900" s="35"/>
      <c r="T900" s="35"/>
      <c r="U900" s="13"/>
      <c r="V900" s="13"/>
      <c r="W900" s="13"/>
      <c r="X900" s="13"/>
      <c r="Y900" s="13"/>
      <c r="Z900" s="13"/>
      <c r="AA900" s="13"/>
      <c r="AB900" s="13"/>
      <c r="AC900" s="13"/>
    </row>
    <row r="901" ht="16.5" customHeight="1">
      <c r="A901" s="13"/>
      <c r="B901" s="13"/>
      <c r="C901" s="13"/>
      <c r="D901" s="13"/>
      <c r="E901" s="13"/>
      <c r="F901" s="13"/>
      <c r="G901" s="13"/>
      <c r="H901" s="13"/>
      <c r="I901" s="13"/>
      <c r="J901" s="13"/>
      <c r="K901" s="205"/>
      <c r="L901" s="13"/>
      <c r="M901" s="13"/>
      <c r="N901" s="13"/>
      <c r="O901" s="205"/>
      <c r="P901" s="13"/>
      <c r="Q901" s="13"/>
      <c r="R901" s="177"/>
      <c r="S901" s="35"/>
      <c r="T901" s="35"/>
      <c r="U901" s="13"/>
      <c r="V901" s="13"/>
      <c r="W901" s="13"/>
      <c r="X901" s="13"/>
      <c r="Y901" s="13"/>
      <c r="Z901" s="13"/>
      <c r="AA901" s="13"/>
      <c r="AB901" s="13"/>
      <c r="AC901" s="13"/>
    </row>
    <row r="902" ht="16.5" customHeight="1">
      <c r="A902" s="13"/>
      <c r="B902" s="13"/>
      <c r="C902" s="13"/>
      <c r="D902" s="13"/>
      <c r="E902" s="13"/>
      <c r="F902" s="13"/>
      <c r="G902" s="13"/>
      <c r="H902" s="13"/>
      <c r="I902" s="13"/>
      <c r="J902" s="13"/>
      <c r="K902" s="205"/>
      <c r="L902" s="13"/>
      <c r="M902" s="13"/>
      <c r="N902" s="13"/>
      <c r="O902" s="205"/>
      <c r="P902" s="13"/>
      <c r="Q902" s="13"/>
      <c r="R902" s="177"/>
      <c r="S902" s="35"/>
      <c r="T902" s="35"/>
      <c r="U902" s="13"/>
      <c r="V902" s="13"/>
      <c r="W902" s="13"/>
      <c r="X902" s="13"/>
      <c r="Y902" s="13"/>
      <c r="Z902" s="13"/>
      <c r="AA902" s="13"/>
      <c r="AB902" s="13"/>
      <c r="AC902" s="13"/>
    </row>
    <row r="903" ht="16.5" customHeight="1">
      <c r="A903" s="13"/>
      <c r="B903" s="13"/>
      <c r="C903" s="13"/>
      <c r="D903" s="13"/>
      <c r="E903" s="13"/>
      <c r="F903" s="13"/>
      <c r="G903" s="13"/>
      <c r="H903" s="13"/>
      <c r="I903" s="13"/>
      <c r="J903" s="13"/>
      <c r="K903" s="205"/>
      <c r="L903" s="13"/>
      <c r="M903" s="13"/>
      <c r="N903" s="13"/>
      <c r="O903" s="205"/>
      <c r="P903" s="13"/>
      <c r="Q903" s="13"/>
      <c r="R903" s="177"/>
      <c r="S903" s="35"/>
      <c r="T903" s="35"/>
      <c r="U903" s="13"/>
      <c r="V903" s="13"/>
      <c r="W903" s="13"/>
      <c r="X903" s="13"/>
      <c r="Y903" s="13"/>
      <c r="Z903" s="13"/>
      <c r="AA903" s="13"/>
      <c r="AB903" s="13"/>
      <c r="AC903" s="13"/>
    </row>
    <row r="904" ht="16.5" customHeight="1">
      <c r="A904" s="13"/>
      <c r="B904" s="13"/>
      <c r="C904" s="13"/>
      <c r="D904" s="13"/>
      <c r="E904" s="13"/>
      <c r="F904" s="13"/>
      <c r="G904" s="13"/>
      <c r="H904" s="13"/>
      <c r="I904" s="13"/>
      <c r="J904" s="13"/>
      <c r="K904" s="205"/>
      <c r="L904" s="13"/>
      <c r="M904" s="13"/>
      <c r="N904" s="13"/>
      <c r="O904" s="205"/>
      <c r="P904" s="13"/>
      <c r="Q904" s="13"/>
      <c r="R904" s="177"/>
      <c r="S904" s="35"/>
      <c r="T904" s="35"/>
      <c r="U904" s="13"/>
      <c r="V904" s="13"/>
      <c r="W904" s="13"/>
      <c r="X904" s="13"/>
      <c r="Y904" s="13"/>
      <c r="Z904" s="13"/>
      <c r="AA904" s="13"/>
      <c r="AB904" s="13"/>
      <c r="AC904" s="13"/>
    </row>
    <row r="905" ht="16.5" customHeight="1">
      <c r="A905" s="13"/>
      <c r="B905" s="13"/>
      <c r="C905" s="13"/>
      <c r="D905" s="13"/>
      <c r="E905" s="13"/>
      <c r="F905" s="13"/>
      <c r="G905" s="13"/>
      <c r="H905" s="13"/>
      <c r="I905" s="13"/>
      <c r="J905" s="13"/>
      <c r="K905" s="205"/>
      <c r="L905" s="13"/>
      <c r="M905" s="13"/>
      <c r="N905" s="13"/>
      <c r="O905" s="205"/>
      <c r="P905" s="13"/>
      <c r="Q905" s="13"/>
      <c r="R905" s="177"/>
      <c r="S905" s="35"/>
      <c r="T905" s="35"/>
      <c r="U905" s="13"/>
      <c r="V905" s="13"/>
      <c r="W905" s="13"/>
      <c r="X905" s="13"/>
      <c r="Y905" s="13"/>
      <c r="Z905" s="13"/>
      <c r="AA905" s="13"/>
      <c r="AB905" s="13"/>
      <c r="AC905" s="13"/>
    </row>
    <row r="906" ht="16.5" customHeight="1">
      <c r="A906" s="13"/>
      <c r="B906" s="13"/>
      <c r="C906" s="13"/>
      <c r="D906" s="13"/>
      <c r="E906" s="13"/>
      <c r="F906" s="13"/>
      <c r="G906" s="13"/>
      <c r="H906" s="13"/>
      <c r="I906" s="13"/>
      <c r="J906" s="13"/>
      <c r="K906" s="205"/>
      <c r="L906" s="13"/>
      <c r="M906" s="13"/>
      <c r="N906" s="13"/>
      <c r="O906" s="205"/>
      <c r="P906" s="13"/>
      <c r="Q906" s="13"/>
      <c r="R906" s="177"/>
      <c r="S906" s="35"/>
      <c r="T906" s="35"/>
      <c r="U906" s="13"/>
      <c r="V906" s="13"/>
      <c r="W906" s="13"/>
      <c r="X906" s="13"/>
      <c r="Y906" s="13"/>
      <c r="Z906" s="13"/>
      <c r="AA906" s="13"/>
      <c r="AB906" s="13"/>
      <c r="AC906" s="13"/>
    </row>
    <row r="907" ht="16.5" customHeight="1">
      <c r="A907" s="13"/>
      <c r="B907" s="13"/>
      <c r="C907" s="13"/>
      <c r="D907" s="13"/>
      <c r="E907" s="13"/>
      <c r="F907" s="13"/>
      <c r="G907" s="13"/>
      <c r="H907" s="13"/>
      <c r="I907" s="13"/>
      <c r="J907" s="13"/>
      <c r="K907" s="205"/>
      <c r="L907" s="13"/>
      <c r="M907" s="13"/>
      <c r="N907" s="13"/>
      <c r="O907" s="205"/>
      <c r="P907" s="13"/>
      <c r="Q907" s="13"/>
      <c r="R907" s="177"/>
      <c r="S907" s="35"/>
      <c r="T907" s="35"/>
      <c r="U907" s="13"/>
      <c r="V907" s="13"/>
      <c r="W907" s="13"/>
      <c r="X907" s="13"/>
      <c r="Y907" s="13"/>
      <c r="Z907" s="13"/>
      <c r="AA907" s="13"/>
      <c r="AB907" s="13"/>
      <c r="AC907" s="13"/>
    </row>
    <row r="908" ht="16.5" customHeight="1">
      <c r="A908" s="13"/>
      <c r="B908" s="13"/>
      <c r="C908" s="13"/>
      <c r="D908" s="13"/>
      <c r="E908" s="13"/>
      <c r="F908" s="13"/>
      <c r="G908" s="13"/>
      <c r="H908" s="13"/>
      <c r="I908" s="13"/>
      <c r="J908" s="13"/>
      <c r="K908" s="205"/>
      <c r="L908" s="13"/>
      <c r="M908" s="13"/>
      <c r="N908" s="13"/>
      <c r="O908" s="205"/>
      <c r="P908" s="13"/>
      <c r="Q908" s="13"/>
      <c r="R908" s="177"/>
      <c r="S908" s="35"/>
      <c r="T908" s="35"/>
      <c r="U908" s="13"/>
      <c r="V908" s="13"/>
      <c r="W908" s="13"/>
      <c r="X908" s="13"/>
      <c r="Y908" s="13"/>
      <c r="Z908" s="13"/>
      <c r="AA908" s="13"/>
      <c r="AB908" s="13"/>
      <c r="AC908" s="13"/>
    </row>
    <row r="909" ht="16.5" customHeight="1">
      <c r="A909" s="13"/>
      <c r="B909" s="13"/>
      <c r="C909" s="13"/>
      <c r="D909" s="13"/>
      <c r="E909" s="13"/>
      <c r="F909" s="13"/>
      <c r="G909" s="13"/>
      <c r="H909" s="13"/>
      <c r="I909" s="13"/>
      <c r="J909" s="13"/>
      <c r="K909" s="205"/>
      <c r="L909" s="13"/>
      <c r="M909" s="13"/>
      <c r="N909" s="13"/>
      <c r="O909" s="205"/>
      <c r="P909" s="13"/>
      <c r="Q909" s="13"/>
      <c r="R909" s="177"/>
      <c r="S909" s="35"/>
      <c r="T909" s="35"/>
      <c r="U909" s="13"/>
      <c r="V909" s="13"/>
      <c r="W909" s="13"/>
      <c r="X909" s="13"/>
      <c r="Y909" s="13"/>
      <c r="Z909" s="13"/>
      <c r="AA909" s="13"/>
      <c r="AB909" s="13"/>
      <c r="AC909" s="13"/>
    </row>
    <row r="910" ht="16.5" customHeight="1">
      <c r="A910" s="13"/>
      <c r="B910" s="13"/>
      <c r="C910" s="13"/>
      <c r="D910" s="13"/>
      <c r="E910" s="13"/>
      <c r="F910" s="13"/>
      <c r="G910" s="13"/>
      <c r="H910" s="13"/>
      <c r="I910" s="13"/>
      <c r="J910" s="13"/>
      <c r="K910" s="205"/>
      <c r="L910" s="13"/>
      <c r="M910" s="13"/>
      <c r="N910" s="13"/>
      <c r="O910" s="205"/>
      <c r="P910" s="13"/>
      <c r="Q910" s="13"/>
      <c r="R910" s="177"/>
      <c r="S910" s="35"/>
      <c r="T910" s="35"/>
      <c r="U910" s="13"/>
      <c r="V910" s="13"/>
      <c r="W910" s="13"/>
      <c r="X910" s="13"/>
      <c r="Y910" s="13"/>
      <c r="Z910" s="13"/>
      <c r="AA910" s="13"/>
      <c r="AB910" s="13"/>
      <c r="AC910" s="13"/>
    </row>
    <row r="911" ht="16.5" customHeight="1">
      <c r="A911" s="13"/>
      <c r="B911" s="13"/>
      <c r="C911" s="13"/>
      <c r="D911" s="13"/>
      <c r="E911" s="13"/>
      <c r="F911" s="13"/>
      <c r="G911" s="13"/>
      <c r="H911" s="13"/>
      <c r="I911" s="13"/>
      <c r="J911" s="13"/>
      <c r="K911" s="205"/>
      <c r="L911" s="13"/>
      <c r="M911" s="13"/>
      <c r="N911" s="13"/>
      <c r="O911" s="205"/>
      <c r="P911" s="13"/>
      <c r="Q911" s="13"/>
      <c r="R911" s="177"/>
      <c r="S911" s="35"/>
      <c r="T911" s="35"/>
      <c r="U911" s="13"/>
      <c r="V911" s="13"/>
      <c r="W911" s="13"/>
      <c r="X911" s="13"/>
      <c r="Y911" s="13"/>
      <c r="Z911" s="13"/>
      <c r="AA911" s="13"/>
      <c r="AB911" s="13"/>
      <c r="AC911" s="13"/>
    </row>
    <row r="912" ht="16.5" customHeight="1">
      <c r="A912" s="13"/>
      <c r="B912" s="13"/>
      <c r="C912" s="13"/>
      <c r="D912" s="13"/>
      <c r="E912" s="13"/>
      <c r="F912" s="13"/>
      <c r="G912" s="13"/>
      <c r="H912" s="13"/>
      <c r="I912" s="13"/>
      <c r="J912" s="13"/>
      <c r="K912" s="205"/>
      <c r="L912" s="13"/>
      <c r="M912" s="13"/>
      <c r="N912" s="13"/>
      <c r="O912" s="205"/>
      <c r="P912" s="13"/>
      <c r="Q912" s="13"/>
      <c r="R912" s="177"/>
      <c r="S912" s="35"/>
      <c r="T912" s="35"/>
      <c r="U912" s="13"/>
      <c r="V912" s="13"/>
      <c r="W912" s="13"/>
      <c r="X912" s="13"/>
      <c r="Y912" s="13"/>
      <c r="Z912" s="13"/>
      <c r="AA912" s="13"/>
      <c r="AB912" s="13"/>
      <c r="AC912" s="13"/>
    </row>
    <row r="913" ht="16.5" customHeight="1">
      <c r="A913" s="13"/>
      <c r="B913" s="13"/>
      <c r="C913" s="13"/>
      <c r="D913" s="13"/>
      <c r="E913" s="13"/>
      <c r="F913" s="13"/>
      <c r="G913" s="13"/>
      <c r="H913" s="13"/>
      <c r="I913" s="13"/>
      <c r="J913" s="13"/>
      <c r="K913" s="205"/>
      <c r="L913" s="13"/>
      <c r="M913" s="13"/>
      <c r="N913" s="13"/>
      <c r="O913" s="205"/>
      <c r="P913" s="13"/>
      <c r="Q913" s="13"/>
      <c r="R913" s="177"/>
      <c r="S913" s="35"/>
      <c r="T913" s="35"/>
      <c r="U913" s="13"/>
      <c r="V913" s="13"/>
      <c r="W913" s="13"/>
      <c r="X913" s="13"/>
      <c r="Y913" s="13"/>
      <c r="Z913" s="13"/>
      <c r="AA913" s="13"/>
      <c r="AB913" s="13"/>
      <c r="AC913" s="13"/>
    </row>
    <row r="914" ht="16.5" customHeight="1">
      <c r="A914" s="13"/>
      <c r="B914" s="13"/>
      <c r="C914" s="13"/>
      <c r="D914" s="13"/>
      <c r="E914" s="13"/>
      <c r="F914" s="13"/>
      <c r="G914" s="13"/>
      <c r="H914" s="13"/>
      <c r="I914" s="13"/>
      <c r="J914" s="13"/>
      <c r="K914" s="205"/>
      <c r="L914" s="13"/>
      <c r="M914" s="13"/>
      <c r="N914" s="13"/>
      <c r="O914" s="205"/>
      <c r="P914" s="13"/>
      <c r="Q914" s="13"/>
      <c r="R914" s="177"/>
      <c r="S914" s="35"/>
      <c r="T914" s="35"/>
      <c r="U914" s="13"/>
      <c r="V914" s="13"/>
      <c r="W914" s="13"/>
      <c r="X914" s="13"/>
      <c r="Y914" s="13"/>
      <c r="Z914" s="13"/>
      <c r="AA914" s="13"/>
      <c r="AB914" s="13"/>
      <c r="AC914" s="13"/>
    </row>
    <row r="915" ht="16.5" customHeight="1">
      <c r="A915" s="13"/>
      <c r="B915" s="13"/>
      <c r="C915" s="13"/>
      <c r="D915" s="13"/>
      <c r="E915" s="13"/>
      <c r="F915" s="13"/>
      <c r="G915" s="13"/>
      <c r="H915" s="13"/>
      <c r="I915" s="13"/>
      <c r="J915" s="13"/>
      <c r="K915" s="205"/>
      <c r="L915" s="13"/>
      <c r="M915" s="13"/>
      <c r="N915" s="13"/>
      <c r="O915" s="205"/>
      <c r="P915" s="13"/>
      <c r="Q915" s="13"/>
      <c r="R915" s="177"/>
      <c r="S915" s="35"/>
      <c r="T915" s="35"/>
      <c r="U915" s="13"/>
      <c r="V915" s="13"/>
      <c r="W915" s="13"/>
      <c r="X915" s="13"/>
      <c r="Y915" s="13"/>
      <c r="Z915" s="13"/>
      <c r="AA915" s="13"/>
      <c r="AB915" s="13"/>
      <c r="AC915" s="13"/>
    </row>
    <row r="916" ht="16.5" customHeight="1">
      <c r="A916" s="13"/>
      <c r="B916" s="13"/>
      <c r="C916" s="13"/>
      <c r="D916" s="13"/>
      <c r="E916" s="13"/>
      <c r="F916" s="13"/>
      <c r="G916" s="13"/>
      <c r="H916" s="13"/>
      <c r="I916" s="13"/>
      <c r="J916" s="13"/>
      <c r="K916" s="205"/>
      <c r="L916" s="13"/>
      <c r="M916" s="13"/>
      <c r="N916" s="13"/>
      <c r="O916" s="205"/>
      <c r="P916" s="13"/>
      <c r="Q916" s="13"/>
      <c r="R916" s="177"/>
      <c r="S916" s="35"/>
      <c r="T916" s="35"/>
      <c r="U916" s="13"/>
      <c r="V916" s="13"/>
      <c r="W916" s="13"/>
      <c r="X916" s="13"/>
      <c r="Y916" s="13"/>
      <c r="Z916" s="13"/>
      <c r="AA916" s="13"/>
      <c r="AB916" s="13"/>
      <c r="AC916" s="13"/>
    </row>
    <row r="917" ht="16.5" customHeight="1">
      <c r="A917" s="13"/>
      <c r="B917" s="13"/>
      <c r="C917" s="13"/>
      <c r="D917" s="13"/>
      <c r="E917" s="13"/>
      <c r="F917" s="13"/>
      <c r="G917" s="13"/>
      <c r="H917" s="13"/>
      <c r="I917" s="13"/>
      <c r="J917" s="13"/>
      <c r="K917" s="205"/>
      <c r="L917" s="13"/>
      <c r="M917" s="13"/>
      <c r="N917" s="13"/>
      <c r="O917" s="205"/>
      <c r="P917" s="13"/>
      <c r="Q917" s="13"/>
      <c r="R917" s="177"/>
      <c r="S917" s="35"/>
      <c r="T917" s="35"/>
      <c r="U917" s="13"/>
      <c r="V917" s="13"/>
      <c r="W917" s="13"/>
      <c r="X917" s="13"/>
      <c r="Y917" s="13"/>
      <c r="Z917" s="13"/>
      <c r="AA917" s="13"/>
      <c r="AB917" s="13"/>
      <c r="AC917" s="13"/>
    </row>
    <row r="918" ht="16.5" customHeight="1">
      <c r="A918" s="13"/>
      <c r="B918" s="13"/>
      <c r="C918" s="13"/>
      <c r="D918" s="13"/>
      <c r="E918" s="13"/>
      <c r="F918" s="13"/>
      <c r="G918" s="13"/>
      <c r="H918" s="13"/>
      <c r="I918" s="13"/>
      <c r="J918" s="13"/>
      <c r="K918" s="205"/>
      <c r="L918" s="13"/>
      <c r="M918" s="13"/>
      <c r="N918" s="13"/>
      <c r="O918" s="205"/>
      <c r="P918" s="13"/>
      <c r="Q918" s="13"/>
      <c r="R918" s="177"/>
      <c r="S918" s="35"/>
      <c r="T918" s="35"/>
      <c r="U918" s="13"/>
      <c r="V918" s="13"/>
      <c r="W918" s="13"/>
      <c r="X918" s="13"/>
      <c r="Y918" s="13"/>
      <c r="Z918" s="13"/>
      <c r="AA918" s="13"/>
      <c r="AB918" s="13"/>
      <c r="AC918" s="13"/>
    </row>
    <row r="919" ht="16.5" customHeight="1">
      <c r="A919" s="13"/>
      <c r="B919" s="13"/>
      <c r="C919" s="13"/>
      <c r="D919" s="13"/>
      <c r="E919" s="13"/>
      <c r="F919" s="13"/>
      <c r="G919" s="13"/>
      <c r="H919" s="13"/>
      <c r="I919" s="13"/>
      <c r="J919" s="13"/>
      <c r="K919" s="205"/>
      <c r="L919" s="13"/>
      <c r="M919" s="13"/>
      <c r="N919" s="13"/>
      <c r="O919" s="205"/>
      <c r="P919" s="13"/>
      <c r="Q919" s="13"/>
      <c r="R919" s="177"/>
      <c r="S919" s="35"/>
      <c r="T919" s="35"/>
      <c r="U919" s="13"/>
      <c r="V919" s="13"/>
      <c r="W919" s="13"/>
      <c r="X919" s="13"/>
      <c r="Y919" s="13"/>
      <c r="Z919" s="13"/>
      <c r="AA919" s="13"/>
      <c r="AB919" s="13"/>
      <c r="AC919" s="13"/>
    </row>
    <row r="920" ht="16.5" customHeight="1">
      <c r="A920" s="13"/>
      <c r="B920" s="13"/>
      <c r="C920" s="13"/>
      <c r="D920" s="13"/>
      <c r="E920" s="13"/>
      <c r="F920" s="13"/>
      <c r="G920" s="13"/>
      <c r="H920" s="13"/>
      <c r="I920" s="13"/>
      <c r="J920" s="13"/>
      <c r="K920" s="205"/>
      <c r="L920" s="13"/>
      <c r="M920" s="13"/>
      <c r="N920" s="13"/>
      <c r="O920" s="205"/>
      <c r="P920" s="13"/>
      <c r="Q920" s="13"/>
      <c r="R920" s="177"/>
      <c r="S920" s="35"/>
      <c r="T920" s="35"/>
      <c r="U920" s="13"/>
      <c r="V920" s="13"/>
      <c r="W920" s="13"/>
      <c r="X920" s="13"/>
      <c r="Y920" s="13"/>
      <c r="Z920" s="13"/>
      <c r="AA920" s="13"/>
      <c r="AB920" s="13"/>
      <c r="AC920" s="13"/>
    </row>
    <row r="921" ht="16.5" customHeight="1">
      <c r="A921" s="13"/>
      <c r="B921" s="13"/>
      <c r="C921" s="13"/>
      <c r="D921" s="13"/>
      <c r="E921" s="13"/>
      <c r="F921" s="13"/>
      <c r="G921" s="13"/>
      <c r="H921" s="13"/>
      <c r="I921" s="13"/>
      <c r="J921" s="13"/>
      <c r="K921" s="205"/>
      <c r="L921" s="13"/>
      <c r="M921" s="13"/>
      <c r="N921" s="13"/>
      <c r="O921" s="205"/>
      <c r="P921" s="13"/>
      <c r="Q921" s="13"/>
      <c r="R921" s="177"/>
      <c r="S921" s="35"/>
      <c r="T921" s="35"/>
      <c r="U921" s="13"/>
      <c r="V921" s="13"/>
      <c r="W921" s="13"/>
      <c r="X921" s="13"/>
      <c r="Y921" s="13"/>
      <c r="Z921" s="13"/>
      <c r="AA921" s="13"/>
      <c r="AB921" s="13"/>
      <c r="AC921" s="13"/>
    </row>
    <row r="922" ht="16.5" customHeight="1">
      <c r="A922" s="13"/>
      <c r="B922" s="13"/>
      <c r="C922" s="13"/>
      <c r="D922" s="13"/>
      <c r="E922" s="13"/>
      <c r="F922" s="13"/>
      <c r="G922" s="13"/>
      <c r="H922" s="13"/>
      <c r="I922" s="13"/>
      <c r="J922" s="13"/>
      <c r="K922" s="205"/>
      <c r="L922" s="13"/>
      <c r="M922" s="13"/>
      <c r="N922" s="13"/>
      <c r="O922" s="205"/>
      <c r="P922" s="13"/>
      <c r="Q922" s="13"/>
      <c r="R922" s="177"/>
      <c r="S922" s="35"/>
      <c r="T922" s="35"/>
      <c r="U922" s="13"/>
      <c r="V922" s="13"/>
      <c r="W922" s="13"/>
      <c r="X922" s="13"/>
      <c r="Y922" s="13"/>
      <c r="Z922" s="13"/>
      <c r="AA922" s="13"/>
      <c r="AB922" s="13"/>
      <c r="AC922" s="13"/>
    </row>
    <row r="923" ht="16.5" customHeight="1">
      <c r="A923" s="13"/>
      <c r="B923" s="13"/>
      <c r="C923" s="13"/>
      <c r="D923" s="13"/>
      <c r="E923" s="13"/>
      <c r="F923" s="13"/>
      <c r="G923" s="13"/>
      <c r="H923" s="13"/>
      <c r="I923" s="13"/>
      <c r="J923" s="13"/>
      <c r="K923" s="205"/>
      <c r="L923" s="13"/>
      <c r="M923" s="13"/>
      <c r="N923" s="13"/>
      <c r="O923" s="205"/>
      <c r="P923" s="13"/>
      <c r="Q923" s="13"/>
      <c r="R923" s="177"/>
      <c r="S923" s="35"/>
      <c r="T923" s="35"/>
      <c r="U923" s="13"/>
      <c r="V923" s="13"/>
      <c r="W923" s="13"/>
      <c r="X923" s="13"/>
      <c r="Y923" s="13"/>
      <c r="Z923" s="13"/>
      <c r="AA923" s="13"/>
      <c r="AB923" s="13"/>
      <c r="AC923" s="13"/>
    </row>
    <row r="924" ht="16.5" customHeight="1">
      <c r="A924" s="13"/>
      <c r="B924" s="13"/>
      <c r="C924" s="13"/>
      <c r="D924" s="13"/>
      <c r="E924" s="13"/>
      <c r="F924" s="13"/>
      <c r="G924" s="13"/>
      <c r="H924" s="13"/>
      <c r="I924" s="13"/>
      <c r="J924" s="13"/>
      <c r="K924" s="205"/>
      <c r="L924" s="13"/>
      <c r="M924" s="13"/>
      <c r="N924" s="13"/>
      <c r="O924" s="205"/>
      <c r="P924" s="13"/>
      <c r="Q924" s="13"/>
      <c r="R924" s="177"/>
      <c r="S924" s="35"/>
      <c r="T924" s="35"/>
      <c r="U924" s="13"/>
      <c r="V924" s="13"/>
      <c r="W924" s="13"/>
      <c r="X924" s="13"/>
      <c r="Y924" s="13"/>
      <c r="Z924" s="13"/>
      <c r="AA924" s="13"/>
      <c r="AB924" s="13"/>
      <c r="AC924" s="13"/>
    </row>
    <row r="925" ht="16.5" customHeight="1">
      <c r="A925" s="13"/>
      <c r="B925" s="13"/>
      <c r="C925" s="13"/>
      <c r="D925" s="13"/>
      <c r="E925" s="13"/>
      <c r="F925" s="13"/>
      <c r="G925" s="13"/>
      <c r="H925" s="13"/>
      <c r="I925" s="13"/>
      <c r="J925" s="13"/>
      <c r="K925" s="205"/>
      <c r="L925" s="13"/>
      <c r="M925" s="13"/>
      <c r="N925" s="13"/>
      <c r="O925" s="205"/>
      <c r="P925" s="13"/>
      <c r="Q925" s="13"/>
      <c r="R925" s="177"/>
      <c r="S925" s="35"/>
      <c r="T925" s="35"/>
      <c r="U925" s="13"/>
      <c r="V925" s="13"/>
      <c r="W925" s="13"/>
      <c r="X925" s="13"/>
      <c r="Y925" s="13"/>
      <c r="Z925" s="13"/>
      <c r="AA925" s="13"/>
      <c r="AB925" s="13"/>
      <c r="AC925" s="13"/>
    </row>
    <row r="926" ht="16.5" customHeight="1">
      <c r="A926" s="13"/>
      <c r="B926" s="13"/>
      <c r="C926" s="13"/>
      <c r="D926" s="13"/>
      <c r="E926" s="13"/>
      <c r="F926" s="13"/>
      <c r="G926" s="13"/>
      <c r="H926" s="13"/>
      <c r="I926" s="13"/>
      <c r="J926" s="13"/>
      <c r="K926" s="205"/>
      <c r="L926" s="13"/>
      <c r="M926" s="13"/>
      <c r="N926" s="13"/>
      <c r="O926" s="205"/>
      <c r="P926" s="13"/>
      <c r="Q926" s="13"/>
      <c r="R926" s="177"/>
      <c r="S926" s="35"/>
      <c r="T926" s="35"/>
      <c r="U926" s="13"/>
      <c r="V926" s="13"/>
      <c r="W926" s="13"/>
      <c r="X926" s="13"/>
      <c r="Y926" s="13"/>
      <c r="Z926" s="13"/>
      <c r="AA926" s="13"/>
      <c r="AB926" s="13"/>
      <c r="AC926" s="13"/>
    </row>
    <row r="927" ht="16.5" customHeight="1">
      <c r="A927" s="13"/>
      <c r="B927" s="13"/>
      <c r="C927" s="13"/>
      <c r="D927" s="13"/>
      <c r="E927" s="13"/>
      <c r="F927" s="13"/>
      <c r="G927" s="13"/>
      <c r="H927" s="13"/>
      <c r="I927" s="13"/>
      <c r="J927" s="13"/>
      <c r="K927" s="205"/>
      <c r="L927" s="13"/>
      <c r="M927" s="13"/>
      <c r="N927" s="13"/>
      <c r="O927" s="205"/>
      <c r="P927" s="13"/>
      <c r="Q927" s="13"/>
      <c r="R927" s="177"/>
      <c r="S927" s="35"/>
      <c r="T927" s="35"/>
      <c r="U927" s="13"/>
      <c r="V927" s="13"/>
      <c r="W927" s="13"/>
      <c r="X927" s="13"/>
      <c r="Y927" s="13"/>
      <c r="Z927" s="13"/>
      <c r="AA927" s="13"/>
      <c r="AB927" s="13"/>
      <c r="AC927" s="13"/>
    </row>
    <row r="928" ht="16.5" customHeight="1">
      <c r="A928" s="13"/>
      <c r="B928" s="13"/>
      <c r="C928" s="13"/>
      <c r="D928" s="13"/>
      <c r="E928" s="13"/>
      <c r="F928" s="13"/>
      <c r="G928" s="13"/>
      <c r="H928" s="13"/>
      <c r="I928" s="13"/>
      <c r="J928" s="13"/>
      <c r="K928" s="205"/>
      <c r="L928" s="13"/>
      <c r="M928" s="13"/>
      <c r="N928" s="13"/>
      <c r="O928" s="205"/>
      <c r="P928" s="13"/>
      <c r="Q928" s="13"/>
      <c r="R928" s="177"/>
      <c r="S928" s="35"/>
      <c r="T928" s="35"/>
      <c r="U928" s="13"/>
      <c r="V928" s="13"/>
      <c r="W928" s="13"/>
      <c r="X928" s="13"/>
      <c r="Y928" s="13"/>
      <c r="Z928" s="13"/>
      <c r="AA928" s="13"/>
      <c r="AB928" s="13"/>
      <c r="AC928" s="13"/>
    </row>
    <row r="929" ht="16.5" customHeight="1">
      <c r="A929" s="13"/>
      <c r="B929" s="13"/>
      <c r="C929" s="13"/>
      <c r="D929" s="13"/>
      <c r="E929" s="13"/>
      <c r="F929" s="13"/>
      <c r="G929" s="13"/>
      <c r="H929" s="13"/>
      <c r="I929" s="13"/>
      <c r="J929" s="13"/>
      <c r="K929" s="205"/>
      <c r="L929" s="13"/>
      <c r="M929" s="13"/>
      <c r="N929" s="13"/>
      <c r="O929" s="205"/>
      <c r="P929" s="13"/>
      <c r="Q929" s="13"/>
      <c r="R929" s="177"/>
      <c r="S929" s="35"/>
      <c r="T929" s="35"/>
      <c r="U929" s="13"/>
      <c r="V929" s="13"/>
      <c r="W929" s="13"/>
      <c r="X929" s="13"/>
      <c r="Y929" s="13"/>
      <c r="Z929" s="13"/>
      <c r="AA929" s="13"/>
      <c r="AB929" s="13"/>
      <c r="AC929" s="13"/>
    </row>
    <row r="930" ht="16.5" customHeight="1">
      <c r="A930" s="13"/>
      <c r="B930" s="13"/>
      <c r="C930" s="13"/>
      <c r="D930" s="13"/>
      <c r="E930" s="13"/>
      <c r="F930" s="13"/>
      <c r="G930" s="13"/>
      <c r="H930" s="13"/>
      <c r="I930" s="13"/>
      <c r="J930" s="13"/>
      <c r="K930" s="205"/>
      <c r="L930" s="13"/>
      <c r="M930" s="13"/>
      <c r="N930" s="13"/>
      <c r="O930" s="205"/>
      <c r="P930" s="13"/>
      <c r="Q930" s="13"/>
      <c r="R930" s="177"/>
      <c r="S930" s="35"/>
      <c r="T930" s="35"/>
      <c r="U930" s="13"/>
      <c r="V930" s="13"/>
      <c r="W930" s="13"/>
      <c r="X930" s="13"/>
      <c r="Y930" s="13"/>
      <c r="Z930" s="13"/>
      <c r="AA930" s="13"/>
      <c r="AB930" s="13"/>
      <c r="AC930" s="13"/>
    </row>
    <row r="931" ht="16.5" customHeight="1">
      <c r="A931" s="13"/>
      <c r="B931" s="13"/>
      <c r="C931" s="13"/>
      <c r="D931" s="13"/>
      <c r="E931" s="13"/>
      <c r="F931" s="13"/>
      <c r="G931" s="13"/>
      <c r="H931" s="13"/>
      <c r="I931" s="13"/>
      <c r="J931" s="13"/>
      <c r="K931" s="205"/>
      <c r="L931" s="13"/>
      <c r="M931" s="13"/>
      <c r="N931" s="13"/>
      <c r="O931" s="205"/>
      <c r="P931" s="13"/>
      <c r="Q931" s="13"/>
      <c r="R931" s="177"/>
      <c r="S931" s="35"/>
      <c r="T931" s="35"/>
      <c r="U931" s="13"/>
      <c r="V931" s="13"/>
      <c r="W931" s="13"/>
      <c r="X931" s="13"/>
      <c r="Y931" s="13"/>
      <c r="Z931" s="13"/>
      <c r="AA931" s="13"/>
      <c r="AB931" s="13"/>
      <c r="AC931" s="13"/>
    </row>
    <row r="932" ht="16.5" customHeight="1">
      <c r="A932" s="13"/>
      <c r="B932" s="13"/>
      <c r="C932" s="13"/>
      <c r="D932" s="13"/>
      <c r="E932" s="13"/>
      <c r="F932" s="13"/>
      <c r="G932" s="13"/>
      <c r="H932" s="13"/>
      <c r="I932" s="13"/>
      <c r="J932" s="13"/>
      <c r="K932" s="205"/>
      <c r="L932" s="13"/>
      <c r="M932" s="13"/>
      <c r="N932" s="13"/>
      <c r="O932" s="205"/>
      <c r="P932" s="13"/>
      <c r="Q932" s="13"/>
      <c r="R932" s="177"/>
      <c r="S932" s="35"/>
      <c r="T932" s="35"/>
      <c r="U932" s="13"/>
      <c r="V932" s="13"/>
      <c r="W932" s="13"/>
      <c r="X932" s="13"/>
      <c r="Y932" s="13"/>
      <c r="Z932" s="13"/>
      <c r="AA932" s="13"/>
      <c r="AB932" s="13"/>
      <c r="AC932" s="13"/>
    </row>
    <row r="933" ht="16.5" customHeight="1">
      <c r="A933" s="13"/>
      <c r="B933" s="13"/>
      <c r="C933" s="13"/>
      <c r="D933" s="13"/>
      <c r="E933" s="13"/>
      <c r="F933" s="13"/>
      <c r="G933" s="13"/>
      <c r="H933" s="13"/>
      <c r="I933" s="13"/>
      <c r="J933" s="13"/>
      <c r="K933" s="205"/>
      <c r="L933" s="13"/>
      <c r="M933" s="13"/>
      <c r="N933" s="13"/>
      <c r="O933" s="205"/>
      <c r="P933" s="13"/>
      <c r="Q933" s="13"/>
      <c r="R933" s="177"/>
      <c r="S933" s="35"/>
      <c r="T933" s="35"/>
      <c r="U933" s="13"/>
      <c r="V933" s="13"/>
      <c r="W933" s="13"/>
      <c r="X933" s="13"/>
      <c r="Y933" s="13"/>
      <c r="Z933" s="13"/>
      <c r="AA933" s="13"/>
      <c r="AB933" s="13"/>
      <c r="AC933" s="13"/>
    </row>
    <row r="934" ht="16.5" customHeight="1">
      <c r="A934" s="13"/>
      <c r="B934" s="13"/>
      <c r="C934" s="13"/>
      <c r="D934" s="13"/>
      <c r="E934" s="13"/>
      <c r="F934" s="13"/>
      <c r="G934" s="13"/>
      <c r="H934" s="13"/>
      <c r="I934" s="13"/>
      <c r="J934" s="13"/>
      <c r="K934" s="205"/>
      <c r="L934" s="13"/>
      <c r="M934" s="13"/>
      <c r="N934" s="13"/>
      <c r="O934" s="205"/>
      <c r="P934" s="13"/>
      <c r="Q934" s="13"/>
      <c r="R934" s="177"/>
      <c r="S934" s="35"/>
      <c r="T934" s="35"/>
      <c r="U934" s="13"/>
      <c r="V934" s="13"/>
      <c r="W934" s="13"/>
      <c r="X934" s="13"/>
      <c r="Y934" s="13"/>
      <c r="Z934" s="13"/>
      <c r="AA934" s="13"/>
      <c r="AB934" s="13"/>
      <c r="AC934" s="13"/>
    </row>
    <row r="935" ht="16.5" customHeight="1">
      <c r="A935" s="13"/>
      <c r="B935" s="13"/>
      <c r="C935" s="13"/>
      <c r="D935" s="13"/>
      <c r="E935" s="13"/>
      <c r="F935" s="13"/>
      <c r="G935" s="13"/>
      <c r="H935" s="13"/>
      <c r="I935" s="13"/>
      <c r="J935" s="13"/>
      <c r="K935" s="205"/>
      <c r="L935" s="13"/>
      <c r="M935" s="13"/>
      <c r="N935" s="13"/>
      <c r="O935" s="205"/>
      <c r="P935" s="13"/>
      <c r="Q935" s="13"/>
      <c r="R935" s="177"/>
      <c r="S935" s="35"/>
      <c r="T935" s="35"/>
      <c r="U935" s="13"/>
      <c r="V935" s="13"/>
      <c r="W935" s="13"/>
      <c r="X935" s="13"/>
      <c r="Y935" s="13"/>
      <c r="Z935" s="13"/>
      <c r="AA935" s="13"/>
      <c r="AB935" s="13"/>
      <c r="AC935" s="13"/>
    </row>
    <row r="936" ht="16.5" customHeight="1">
      <c r="A936" s="13"/>
      <c r="B936" s="13"/>
      <c r="C936" s="13"/>
      <c r="D936" s="13"/>
      <c r="E936" s="13"/>
      <c r="F936" s="13"/>
      <c r="G936" s="13"/>
      <c r="H936" s="13"/>
      <c r="I936" s="13"/>
      <c r="J936" s="13"/>
      <c r="K936" s="205"/>
      <c r="L936" s="13"/>
      <c r="M936" s="13"/>
      <c r="N936" s="13"/>
      <c r="O936" s="205"/>
      <c r="P936" s="13"/>
      <c r="Q936" s="13"/>
      <c r="R936" s="177"/>
      <c r="S936" s="35"/>
      <c r="T936" s="35"/>
      <c r="U936" s="13"/>
      <c r="V936" s="13"/>
      <c r="W936" s="13"/>
      <c r="X936" s="13"/>
      <c r="Y936" s="13"/>
      <c r="Z936" s="13"/>
      <c r="AA936" s="13"/>
      <c r="AB936" s="13"/>
      <c r="AC936" s="13"/>
    </row>
    <row r="937" ht="16.5" customHeight="1">
      <c r="A937" s="13"/>
      <c r="B937" s="13"/>
      <c r="C937" s="13"/>
      <c r="D937" s="13"/>
      <c r="E937" s="13"/>
      <c r="F937" s="13"/>
      <c r="G937" s="13"/>
      <c r="H937" s="13"/>
      <c r="I937" s="13"/>
      <c r="J937" s="13"/>
      <c r="K937" s="205"/>
      <c r="L937" s="13"/>
      <c r="M937" s="13"/>
      <c r="N937" s="13"/>
      <c r="O937" s="205"/>
      <c r="P937" s="13"/>
      <c r="Q937" s="13"/>
      <c r="R937" s="177"/>
      <c r="S937" s="35"/>
      <c r="T937" s="35"/>
      <c r="U937" s="13"/>
      <c r="V937" s="13"/>
      <c r="W937" s="13"/>
      <c r="X937" s="13"/>
      <c r="Y937" s="13"/>
      <c r="Z937" s="13"/>
      <c r="AA937" s="13"/>
      <c r="AB937" s="13"/>
      <c r="AC937" s="13"/>
    </row>
    <row r="938" ht="16.5" customHeight="1">
      <c r="A938" s="13"/>
      <c r="B938" s="13"/>
      <c r="C938" s="13"/>
      <c r="D938" s="13"/>
      <c r="E938" s="13"/>
      <c r="F938" s="13"/>
      <c r="G938" s="13"/>
      <c r="H938" s="13"/>
      <c r="I938" s="13"/>
      <c r="J938" s="13"/>
      <c r="K938" s="205"/>
      <c r="L938" s="13"/>
      <c r="M938" s="13"/>
      <c r="N938" s="13"/>
      <c r="O938" s="205"/>
      <c r="P938" s="13"/>
      <c r="Q938" s="13"/>
      <c r="R938" s="177"/>
      <c r="S938" s="35"/>
      <c r="T938" s="35"/>
      <c r="U938" s="13"/>
      <c r="V938" s="13"/>
      <c r="W938" s="13"/>
      <c r="X938" s="13"/>
      <c r="Y938" s="13"/>
      <c r="Z938" s="13"/>
      <c r="AA938" s="13"/>
      <c r="AB938" s="13"/>
      <c r="AC938" s="13"/>
    </row>
    <row r="939" ht="16.5" customHeight="1">
      <c r="A939" s="13"/>
      <c r="B939" s="13"/>
      <c r="C939" s="13"/>
      <c r="D939" s="13"/>
      <c r="E939" s="13"/>
      <c r="F939" s="13"/>
      <c r="G939" s="13"/>
      <c r="H939" s="13"/>
      <c r="I939" s="13"/>
      <c r="J939" s="13"/>
      <c r="K939" s="205"/>
      <c r="L939" s="13"/>
      <c r="M939" s="13"/>
      <c r="N939" s="13"/>
      <c r="O939" s="205"/>
      <c r="P939" s="13"/>
      <c r="Q939" s="13"/>
      <c r="R939" s="177"/>
      <c r="S939" s="35"/>
      <c r="T939" s="35"/>
      <c r="U939" s="13"/>
      <c r="V939" s="13"/>
      <c r="W939" s="13"/>
      <c r="X939" s="13"/>
      <c r="Y939" s="13"/>
      <c r="Z939" s="13"/>
      <c r="AA939" s="13"/>
      <c r="AB939" s="13"/>
      <c r="AC939" s="13"/>
    </row>
    <row r="940" ht="16.5" customHeight="1">
      <c r="A940" s="13"/>
      <c r="B940" s="13"/>
      <c r="C940" s="13"/>
      <c r="D940" s="13"/>
      <c r="E940" s="13"/>
      <c r="F940" s="13"/>
      <c r="G940" s="13"/>
      <c r="H940" s="13"/>
      <c r="I940" s="13"/>
      <c r="J940" s="13"/>
      <c r="K940" s="205"/>
      <c r="L940" s="13"/>
      <c r="M940" s="13"/>
      <c r="N940" s="13"/>
      <c r="O940" s="205"/>
      <c r="P940" s="13"/>
      <c r="Q940" s="13"/>
      <c r="R940" s="177"/>
      <c r="S940" s="35"/>
      <c r="T940" s="35"/>
      <c r="U940" s="13"/>
      <c r="V940" s="13"/>
      <c r="W940" s="13"/>
      <c r="X940" s="13"/>
      <c r="Y940" s="13"/>
      <c r="Z940" s="13"/>
      <c r="AA940" s="13"/>
      <c r="AB940" s="13"/>
      <c r="AC940" s="13"/>
    </row>
    <row r="941" ht="16.5" customHeight="1">
      <c r="A941" s="13"/>
      <c r="B941" s="13"/>
      <c r="C941" s="13"/>
      <c r="D941" s="13"/>
      <c r="E941" s="13"/>
      <c r="F941" s="13"/>
      <c r="G941" s="13"/>
      <c r="H941" s="13"/>
      <c r="I941" s="13"/>
      <c r="J941" s="13"/>
      <c r="K941" s="205"/>
      <c r="L941" s="13"/>
      <c r="M941" s="13"/>
      <c r="N941" s="13"/>
      <c r="O941" s="205"/>
      <c r="P941" s="13"/>
      <c r="Q941" s="13"/>
      <c r="R941" s="177"/>
      <c r="S941" s="35"/>
      <c r="T941" s="35"/>
      <c r="U941" s="13"/>
      <c r="V941" s="13"/>
      <c r="W941" s="13"/>
      <c r="X941" s="13"/>
      <c r="Y941" s="13"/>
      <c r="Z941" s="13"/>
      <c r="AA941" s="13"/>
      <c r="AB941" s="13"/>
      <c r="AC941" s="13"/>
    </row>
    <row r="942" ht="16.5" customHeight="1">
      <c r="A942" s="13"/>
      <c r="B942" s="13"/>
      <c r="C942" s="13"/>
      <c r="D942" s="13"/>
      <c r="E942" s="13"/>
      <c r="F942" s="13"/>
      <c r="G942" s="13"/>
      <c r="H942" s="13"/>
      <c r="I942" s="13"/>
      <c r="J942" s="13"/>
      <c r="K942" s="205"/>
      <c r="L942" s="13"/>
      <c r="M942" s="13"/>
      <c r="N942" s="13"/>
      <c r="O942" s="205"/>
      <c r="P942" s="13"/>
      <c r="Q942" s="13"/>
      <c r="R942" s="177"/>
      <c r="S942" s="35"/>
      <c r="T942" s="35"/>
      <c r="U942" s="13"/>
      <c r="V942" s="13"/>
      <c r="W942" s="13"/>
      <c r="X942" s="13"/>
      <c r="Y942" s="13"/>
      <c r="Z942" s="13"/>
      <c r="AA942" s="13"/>
      <c r="AB942" s="13"/>
      <c r="AC942" s="13"/>
    </row>
    <row r="943" ht="16.5" customHeight="1">
      <c r="A943" s="13"/>
      <c r="B943" s="13"/>
      <c r="C943" s="13"/>
      <c r="D943" s="13"/>
      <c r="E943" s="13"/>
      <c r="F943" s="13"/>
      <c r="G943" s="13"/>
      <c r="H943" s="13"/>
      <c r="I943" s="13"/>
      <c r="J943" s="13"/>
      <c r="K943" s="205"/>
      <c r="L943" s="13"/>
      <c r="M943" s="13"/>
      <c r="N943" s="13"/>
      <c r="O943" s="205"/>
      <c r="P943" s="13"/>
      <c r="Q943" s="13"/>
      <c r="R943" s="177"/>
      <c r="S943" s="35"/>
      <c r="T943" s="35"/>
      <c r="U943" s="13"/>
      <c r="V943" s="13"/>
      <c r="W943" s="13"/>
      <c r="X943" s="13"/>
      <c r="Y943" s="13"/>
      <c r="Z943" s="13"/>
      <c r="AA943" s="13"/>
      <c r="AB943" s="13"/>
      <c r="AC943" s="13"/>
    </row>
    <row r="944" ht="16.5" customHeight="1">
      <c r="A944" s="13"/>
      <c r="B944" s="13"/>
      <c r="C944" s="13"/>
      <c r="D944" s="13"/>
      <c r="E944" s="13"/>
      <c r="F944" s="13"/>
      <c r="G944" s="13"/>
      <c r="H944" s="13"/>
      <c r="I944" s="13"/>
      <c r="J944" s="13"/>
      <c r="K944" s="205"/>
      <c r="L944" s="13"/>
      <c r="M944" s="13"/>
      <c r="N944" s="13"/>
      <c r="O944" s="205"/>
      <c r="P944" s="13"/>
      <c r="Q944" s="13"/>
      <c r="R944" s="177"/>
      <c r="S944" s="35"/>
      <c r="T944" s="35"/>
      <c r="U944" s="13"/>
      <c r="V944" s="13"/>
      <c r="W944" s="13"/>
      <c r="X944" s="13"/>
      <c r="Y944" s="13"/>
      <c r="Z944" s="13"/>
      <c r="AA944" s="13"/>
      <c r="AB944" s="13"/>
      <c r="AC944" s="13"/>
    </row>
    <row r="945" ht="16.5" customHeight="1">
      <c r="A945" s="13"/>
      <c r="B945" s="13"/>
      <c r="C945" s="13"/>
      <c r="D945" s="13"/>
      <c r="E945" s="13"/>
      <c r="F945" s="13"/>
      <c r="G945" s="13"/>
      <c r="H945" s="13"/>
      <c r="I945" s="13"/>
      <c r="J945" s="13"/>
      <c r="K945" s="205"/>
      <c r="L945" s="13"/>
      <c r="M945" s="13"/>
      <c r="N945" s="13"/>
      <c r="O945" s="205"/>
      <c r="P945" s="13"/>
      <c r="Q945" s="13"/>
      <c r="R945" s="177"/>
      <c r="S945" s="35"/>
      <c r="T945" s="35"/>
      <c r="U945" s="13"/>
      <c r="V945" s="13"/>
      <c r="W945" s="13"/>
      <c r="X945" s="13"/>
      <c r="Y945" s="13"/>
      <c r="Z945" s="13"/>
      <c r="AA945" s="13"/>
      <c r="AB945" s="13"/>
      <c r="AC945" s="13"/>
    </row>
    <row r="946" ht="16.5" customHeight="1">
      <c r="A946" s="13"/>
      <c r="B946" s="13"/>
      <c r="C946" s="13"/>
      <c r="D946" s="13"/>
      <c r="E946" s="13"/>
      <c r="F946" s="13"/>
      <c r="G946" s="13"/>
      <c r="H946" s="13"/>
      <c r="I946" s="13"/>
      <c r="J946" s="13"/>
      <c r="K946" s="205"/>
      <c r="L946" s="13"/>
      <c r="M946" s="13"/>
      <c r="N946" s="13"/>
      <c r="O946" s="205"/>
      <c r="P946" s="13"/>
      <c r="Q946" s="13"/>
      <c r="R946" s="177"/>
      <c r="S946" s="35"/>
      <c r="T946" s="35"/>
      <c r="U946" s="13"/>
      <c r="V946" s="13"/>
      <c r="W946" s="13"/>
      <c r="X946" s="13"/>
      <c r="Y946" s="13"/>
      <c r="Z946" s="13"/>
      <c r="AA946" s="13"/>
      <c r="AB946" s="13"/>
      <c r="AC946" s="13"/>
    </row>
    <row r="947" ht="16.5" customHeight="1">
      <c r="A947" s="13"/>
      <c r="B947" s="13"/>
      <c r="C947" s="13"/>
      <c r="D947" s="13"/>
      <c r="E947" s="13"/>
      <c r="F947" s="13"/>
      <c r="G947" s="13"/>
      <c r="H947" s="13"/>
      <c r="I947" s="13"/>
      <c r="J947" s="13"/>
      <c r="K947" s="205"/>
      <c r="L947" s="13"/>
      <c r="M947" s="13"/>
      <c r="N947" s="13"/>
      <c r="O947" s="205"/>
      <c r="P947" s="13"/>
      <c r="Q947" s="13"/>
      <c r="R947" s="177"/>
      <c r="S947" s="35"/>
      <c r="T947" s="35"/>
      <c r="U947" s="13"/>
      <c r="V947" s="13"/>
      <c r="W947" s="13"/>
      <c r="X947" s="13"/>
      <c r="Y947" s="13"/>
      <c r="Z947" s="13"/>
      <c r="AA947" s="13"/>
      <c r="AB947" s="13"/>
      <c r="AC947" s="13"/>
    </row>
    <row r="948" ht="16.5" customHeight="1">
      <c r="A948" s="13"/>
      <c r="B948" s="13"/>
      <c r="C948" s="13"/>
      <c r="D948" s="13"/>
      <c r="E948" s="13"/>
      <c r="F948" s="13"/>
      <c r="G948" s="13"/>
      <c r="H948" s="13"/>
      <c r="I948" s="13"/>
      <c r="J948" s="13"/>
      <c r="K948" s="205"/>
      <c r="L948" s="13"/>
      <c r="M948" s="13"/>
      <c r="N948" s="13"/>
      <c r="O948" s="205"/>
      <c r="P948" s="13"/>
      <c r="Q948" s="13"/>
      <c r="R948" s="177"/>
      <c r="S948" s="35"/>
      <c r="T948" s="35"/>
      <c r="U948" s="13"/>
      <c r="V948" s="13"/>
      <c r="W948" s="13"/>
      <c r="X948" s="13"/>
      <c r="Y948" s="13"/>
      <c r="Z948" s="13"/>
      <c r="AA948" s="13"/>
      <c r="AB948" s="13"/>
      <c r="AC948" s="13"/>
    </row>
    <row r="949" ht="16.5" customHeight="1">
      <c r="A949" s="13"/>
      <c r="B949" s="13"/>
      <c r="C949" s="13"/>
      <c r="D949" s="13"/>
      <c r="E949" s="13"/>
      <c r="F949" s="13"/>
      <c r="G949" s="13"/>
      <c r="H949" s="13"/>
      <c r="I949" s="13"/>
      <c r="J949" s="13"/>
      <c r="K949" s="205"/>
      <c r="L949" s="13"/>
      <c r="M949" s="13"/>
      <c r="N949" s="13"/>
      <c r="O949" s="205"/>
      <c r="P949" s="13"/>
      <c r="Q949" s="13"/>
      <c r="R949" s="177"/>
      <c r="S949" s="35"/>
      <c r="T949" s="35"/>
      <c r="U949" s="13"/>
      <c r="V949" s="13"/>
      <c r="W949" s="13"/>
      <c r="X949" s="13"/>
      <c r="Y949" s="13"/>
      <c r="Z949" s="13"/>
      <c r="AA949" s="13"/>
      <c r="AB949" s="13"/>
      <c r="AC949" s="13"/>
    </row>
    <row r="950" ht="16.5" customHeight="1">
      <c r="A950" s="13"/>
      <c r="B950" s="13"/>
      <c r="C950" s="13"/>
      <c r="D950" s="13"/>
      <c r="E950" s="13"/>
      <c r="F950" s="13"/>
      <c r="G950" s="13"/>
      <c r="H950" s="13"/>
      <c r="I950" s="13"/>
      <c r="J950" s="13"/>
      <c r="K950" s="205"/>
      <c r="L950" s="13"/>
      <c r="M950" s="13"/>
      <c r="N950" s="13"/>
      <c r="O950" s="205"/>
      <c r="P950" s="13"/>
      <c r="Q950" s="13"/>
      <c r="R950" s="177"/>
      <c r="S950" s="35"/>
      <c r="T950" s="35"/>
      <c r="U950" s="13"/>
      <c r="V950" s="13"/>
      <c r="W950" s="13"/>
      <c r="X950" s="13"/>
      <c r="Y950" s="13"/>
      <c r="Z950" s="13"/>
      <c r="AA950" s="13"/>
      <c r="AB950" s="13"/>
      <c r="AC950" s="13"/>
    </row>
    <row r="951" ht="16.5" customHeight="1">
      <c r="A951" s="13"/>
      <c r="B951" s="13"/>
      <c r="C951" s="13"/>
      <c r="D951" s="13"/>
      <c r="E951" s="13"/>
      <c r="F951" s="13"/>
      <c r="G951" s="13"/>
      <c r="H951" s="13"/>
      <c r="I951" s="13"/>
      <c r="J951" s="13"/>
      <c r="K951" s="205"/>
      <c r="L951" s="13"/>
      <c r="M951" s="13"/>
      <c r="N951" s="13"/>
      <c r="O951" s="205"/>
      <c r="P951" s="13"/>
      <c r="Q951" s="13"/>
      <c r="R951" s="177"/>
      <c r="S951" s="35"/>
      <c r="T951" s="35"/>
      <c r="U951" s="13"/>
      <c r="V951" s="13"/>
      <c r="W951" s="13"/>
      <c r="X951" s="13"/>
      <c r="Y951" s="13"/>
      <c r="Z951" s="13"/>
      <c r="AA951" s="13"/>
      <c r="AB951" s="13"/>
      <c r="AC951" s="13"/>
    </row>
    <row r="952" ht="16.5" customHeight="1">
      <c r="A952" s="13"/>
      <c r="B952" s="13"/>
      <c r="C952" s="13"/>
      <c r="D952" s="13"/>
      <c r="E952" s="13"/>
      <c r="F952" s="13"/>
      <c r="G952" s="13"/>
      <c r="H952" s="13"/>
      <c r="I952" s="13"/>
      <c r="J952" s="13"/>
      <c r="K952" s="205"/>
      <c r="L952" s="13"/>
      <c r="M952" s="13"/>
      <c r="N952" s="13"/>
      <c r="O952" s="205"/>
      <c r="P952" s="13"/>
      <c r="Q952" s="13"/>
      <c r="R952" s="177"/>
      <c r="S952" s="35"/>
      <c r="T952" s="35"/>
      <c r="U952" s="13"/>
      <c r="V952" s="13"/>
      <c r="W952" s="13"/>
      <c r="X952" s="13"/>
      <c r="Y952" s="13"/>
      <c r="Z952" s="13"/>
      <c r="AA952" s="13"/>
      <c r="AB952" s="13"/>
      <c r="AC952" s="13"/>
    </row>
    <row r="953" ht="16.5" customHeight="1">
      <c r="A953" s="13"/>
      <c r="B953" s="13"/>
      <c r="C953" s="13"/>
      <c r="D953" s="13"/>
      <c r="E953" s="13"/>
      <c r="F953" s="13"/>
      <c r="G953" s="13"/>
      <c r="H953" s="13"/>
      <c r="I953" s="13"/>
      <c r="J953" s="13"/>
      <c r="K953" s="205"/>
      <c r="L953" s="13"/>
      <c r="M953" s="13"/>
      <c r="N953" s="13"/>
      <c r="O953" s="205"/>
      <c r="P953" s="13"/>
      <c r="Q953" s="13"/>
      <c r="R953" s="177"/>
      <c r="S953" s="35"/>
      <c r="T953" s="35"/>
      <c r="U953" s="13"/>
      <c r="V953" s="13"/>
      <c r="W953" s="13"/>
      <c r="X953" s="13"/>
      <c r="Y953" s="13"/>
      <c r="Z953" s="13"/>
      <c r="AA953" s="13"/>
      <c r="AB953" s="13"/>
      <c r="AC953" s="13"/>
    </row>
    <row r="954" ht="16.5" customHeight="1">
      <c r="A954" s="13"/>
      <c r="B954" s="13"/>
      <c r="C954" s="13"/>
      <c r="D954" s="13"/>
      <c r="E954" s="13"/>
      <c r="F954" s="13"/>
      <c r="G954" s="13"/>
      <c r="H954" s="13"/>
      <c r="I954" s="13"/>
      <c r="J954" s="13"/>
      <c r="K954" s="205"/>
      <c r="L954" s="13"/>
      <c r="M954" s="13"/>
      <c r="N954" s="13"/>
      <c r="O954" s="205"/>
      <c r="P954" s="13"/>
      <c r="Q954" s="13"/>
      <c r="R954" s="177"/>
      <c r="S954" s="35"/>
      <c r="T954" s="35"/>
      <c r="U954" s="13"/>
      <c r="V954" s="13"/>
      <c r="W954" s="13"/>
      <c r="X954" s="13"/>
      <c r="Y954" s="13"/>
      <c r="Z954" s="13"/>
      <c r="AA954" s="13"/>
      <c r="AB954" s="13"/>
      <c r="AC954" s="13"/>
    </row>
    <row r="955" ht="16.5" customHeight="1">
      <c r="A955" s="13"/>
      <c r="B955" s="13"/>
      <c r="C955" s="13"/>
      <c r="D955" s="13"/>
      <c r="E955" s="13"/>
      <c r="F955" s="13"/>
      <c r="G955" s="13"/>
      <c r="H955" s="13"/>
      <c r="I955" s="13"/>
      <c r="J955" s="13"/>
      <c r="K955" s="205"/>
      <c r="L955" s="13"/>
      <c r="M955" s="13"/>
      <c r="N955" s="13"/>
      <c r="O955" s="205"/>
      <c r="P955" s="13"/>
      <c r="Q955" s="13"/>
      <c r="R955" s="177"/>
      <c r="S955" s="35"/>
      <c r="T955" s="35"/>
      <c r="U955" s="13"/>
      <c r="V955" s="13"/>
      <c r="W955" s="13"/>
      <c r="X955" s="13"/>
      <c r="Y955" s="13"/>
      <c r="Z955" s="13"/>
      <c r="AA955" s="13"/>
      <c r="AB955" s="13"/>
      <c r="AC955" s="13"/>
    </row>
    <row r="956" ht="16.5" customHeight="1">
      <c r="A956" s="13"/>
      <c r="B956" s="13"/>
      <c r="C956" s="13"/>
      <c r="D956" s="13"/>
      <c r="E956" s="13"/>
      <c r="F956" s="13"/>
      <c r="G956" s="13"/>
      <c r="H956" s="13"/>
      <c r="I956" s="13"/>
      <c r="J956" s="13"/>
      <c r="K956" s="205"/>
      <c r="L956" s="13"/>
      <c r="M956" s="13"/>
      <c r="N956" s="13"/>
      <c r="O956" s="205"/>
      <c r="P956" s="13"/>
      <c r="Q956" s="13"/>
      <c r="R956" s="177"/>
      <c r="S956" s="35"/>
      <c r="T956" s="35"/>
      <c r="U956" s="13"/>
      <c r="V956" s="13"/>
      <c r="W956" s="13"/>
      <c r="X956" s="13"/>
      <c r="Y956" s="13"/>
      <c r="Z956" s="13"/>
      <c r="AA956" s="13"/>
      <c r="AB956" s="13"/>
      <c r="AC956" s="13"/>
    </row>
    <row r="957" ht="16.5" customHeight="1">
      <c r="A957" s="13"/>
      <c r="B957" s="13"/>
      <c r="C957" s="13"/>
      <c r="D957" s="13"/>
      <c r="E957" s="13"/>
      <c r="F957" s="13"/>
      <c r="G957" s="13"/>
      <c r="H957" s="13"/>
      <c r="I957" s="13"/>
      <c r="J957" s="13"/>
      <c r="K957" s="205"/>
      <c r="L957" s="13"/>
      <c r="M957" s="13"/>
      <c r="N957" s="13"/>
      <c r="O957" s="205"/>
      <c r="P957" s="13"/>
      <c r="Q957" s="13"/>
      <c r="R957" s="177"/>
      <c r="S957" s="35"/>
      <c r="T957" s="35"/>
      <c r="U957" s="13"/>
      <c r="V957" s="13"/>
      <c r="W957" s="13"/>
      <c r="X957" s="13"/>
      <c r="Y957" s="13"/>
      <c r="Z957" s="13"/>
      <c r="AA957" s="13"/>
      <c r="AB957" s="13"/>
      <c r="AC957" s="13"/>
    </row>
    <row r="958" ht="16.5" customHeight="1">
      <c r="A958" s="13"/>
      <c r="B958" s="13"/>
      <c r="C958" s="13"/>
      <c r="D958" s="13"/>
      <c r="E958" s="13"/>
      <c r="F958" s="13"/>
      <c r="G958" s="13"/>
      <c r="H958" s="13"/>
      <c r="I958" s="13"/>
      <c r="J958" s="13"/>
      <c r="K958" s="205"/>
      <c r="L958" s="13"/>
      <c r="M958" s="13"/>
      <c r="N958" s="13"/>
      <c r="O958" s="205"/>
      <c r="P958" s="13"/>
      <c r="Q958" s="13"/>
      <c r="R958" s="177"/>
      <c r="S958" s="35"/>
      <c r="T958" s="35"/>
      <c r="U958" s="13"/>
      <c r="V958" s="13"/>
      <c r="W958" s="13"/>
      <c r="X958" s="13"/>
      <c r="Y958" s="13"/>
      <c r="Z958" s="13"/>
      <c r="AA958" s="13"/>
      <c r="AB958" s="13"/>
      <c r="AC958" s="13"/>
    </row>
    <row r="959" ht="16.5" customHeight="1">
      <c r="A959" s="13"/>
      <c r="B959" s="13"/>
      <c r="C959" s="13"/>
      <c r="D959" s="13"/>
      <c r="E959" s="13"/>
      <c r="F959" s="13"/>
      <c r="G959" s="13"/>
      <c r="H959" s="13"/>
      <c r="I959" s="13"/>
      <c r="J959" s="13"/>
      <c r="K959" s="205"/>
      <c r="L959" s="13"/>
      <c r="M959" s="13"/>
      <c r="N959" s="13"/>
      <c r="O959" s="205"/>
      <c r="P959" s="13"/>
      <c r="Q959" s="13"/>
      <c r="R959" s="177"/>
      <c r="S959" s="35"/>
      <c r="T959" s="35"/>
      <c r="U959" s="13"/>
      <c r="V959" s="13"/>
      <c r="W959" s="13"/>
      <c r="X959" s="13"/>
      <c r="Y959" s="13"/>
      <c r="Z959" s="13"/>
      <c r="AA959" s="13"/>
      <c r="AB959" s="13"/>
      <c r="AC959" s="13"/>
    </row>
    <row r="960" ht="16.5" customHeight="1">
      <c r="A960" s="13"/>
      <c r="B960" s="13"/>
      <c r="C960" s="13"/>
      <c r="D960" s="13"/>
      <c r="E960" s="13"/>
      <c r="F960" s="13"/>
      <c r="G960" s="13"/>
      <c r="H960" s="13"/>
      <c r="I960" s="13"/>
      <c r="J960" s="13"/>
      <c r="K960" s="205"/>
      <c r="L960" s="13"/>
      <c r="M960" s="13"/>
      <c r="N960" s="13"/>
      <c r="O960" s="205"/>
      <c r="P960" s="13"/>
      <c r="Q960" s="13"/>
      <c r="R960" s="177"/>
      <c r="S960" s="35"/>
      <c r="T960" s="35"/>
      <c r="U960" s="13"/>
      <c r="V960" s="13"/>
      <c r="W960" s="13"/>
      <c r="X960" s="13"/>
      <c r="Y960" s="13"/>
      <c r="Z960" s="13"/>
      <c r="AA960" s="13"/>
      <c r="AB960" s="13"/>
      <c r="AC960" s="13"/>
    </row>
    <row r="961" ht="16.5" customHeight="1">
      <c r="A961" s="13"/>
      <c r="B961" s="13"/>
      <c r="C961" s="13"/>
      <c r="D961" s="13"/>
      <c r="E961" s="13"/>
      <c r="F961" s="13"/>
      <c r="G961" s="13"/>
      <c r="H961" s="13"/>
      <c r="I961" s="13"/>
      <c r="J961" s="13"/>
      <c r="K961" s="205"/>
      <c r="L961" s="13"/>
      <c r="M961" s="13"/>
      <c r="N961" s="13"/>
      <c r="O961" s="205"/>
      <c r="P961" s="13"/>
      <c r="Q961" s="13"/>
      <c r="R961" s="177"/>
      <c r="S961" s="35"/>
      <c r="T961" s="35"/>
      <c r="U961" s="13"/>
      <c r="V961" s="13"/>
      <c r="W961" s="13"/>
      <c r="X961" s="13"/>
      <c r="Y961" s="13"/>
      <c r="Z961" s="13"/>
      <c r="AA961" s="13"/>
      <c r="AB961" s="13"/>
      <c r="AC961" s="13"/>
    </row>
    <row r="962" ht="16.5" customHeight="1">
      <c r="A962" s="13"/>
      <c r="B962" s="13"/>
      <c r="C962" s="13"/>
      <c r="D962" s="13"/>
      <c r="E962" s="13"/>
      <c r="F962" s="13"/>
      <c r="G962" s="13"/>
      <c r="H962" s="13"/>
      <c r="I962" s="13"/>
      <c r="J962" s="13"/>
      <c r="K962" s="205"/>
      <c r="L962" s="13"/>
      <c r="M962" s="13"/>
      <c r="N962" s="13"/>
      <c r="O962" s="205"/>
      <c r="P962" s="13"/>
      <c r="Q962" s="13"/>
      <c r="R962" s="177"/>
      <c r="S962" s="35"/>
      <c r="T962" s="35"/>
      <c r="U962" s="13"/>
      <c r="V962" s="13"/>
      <c r="W962" s="13"/>
      <c r="X962" s="13"/>
      <c r="Y962" s="13"/>
      <c r="Z962" s="13"/>
      <c r="AA962" s="13"/>
      <c r="AB962" s="13"/>
      <c r="AC962" s="13"/>
    </row>
    <row r="963" ht="16.5" customHeight="1">
      <c r="A963" s="13"/>
      <c r="B963" s="13"/>
      <c r="C963" s="13"/>
      <c r="D963" s="13"/>
      <c r="E963" s="13"/>
      <c r="F963" s="13"/>
      <c r="G963" s="13"/>
      <c r="H963" s="13"/>
      <c r="I963" s="13"/>
      <c r="J963" s="13"/>
      <c r="K963" s="205"/>
      <c r="L963" s="13"/>
      <c r="M963" s="13"/>
      <c r="N963" s="13"/>
      <c r="O963" s="205"/>
      <c r="P963" s="13"/>
      <c r="Q963" s="13"/>
      <c r="R963" s="177"/>
      <c r="S963" s="35"/>
      <c r="T963" s="35"/>
      <c r="U963" s="13"/>
      <c r="V963" s="13"/>
      <c r="W963" s="13"/>
      <c r="X963" s="13"/>
      <c r="Y963" s="13"/>
      <c r="Z963" s="13"/>
      <c r="AA963" s="13"/>
      <c r="AB963" s="13"/>
      <c r="AC963" s="13"/>
    </row>
    <row r="964" ht="16.5" customHeight="1">
      <c r="A964" s="13"/>
      <c r="B964" s="13"/>
      <c r="C964" s="13"/>
      <c r="D964" s="13"/>
      <c r="E964" s="13"/>
      <c r="F964" s="13"/>
      <c r="G964" s="13"/>
      <c r="H964" s="13"/>
      <c r="I964" s="13"/>
      <c r="J964" s="13"/>
      <c r="K964" s="205"/>
      <c r="L964" s="13"/>
      <c r="M964" s="13"/>
      <c r="N964" s="13"/>
      <c r="O964" s="205"/>
      <c r="P964" s="13"/>
      <c r="Q964" s="13"/>
      <c r="R964" s="177"/>
      <c r="S964" s="35"/>
      <c r="T964" s="35"/>
      <c r="U964" s="13"/>
      <c r="V964" s="13"/>
      <c r="W964" s="13"/>
      <c r="X964" s="13"/>
      <c r="Y964" s="13"/>
      <c r="Z964" s="13"/>
      <c r="AA964" s="13"/>
      <c r="AB964" s="13"/>
      <c r="AC964" s="13"/>
    </row>
    <row r="965" ht="16.5" customHeight="1">
      <c r="A965" s="13"/>
      <c r="B965" s="13"/>
      <c r="C965" s="13"/>
      <c r="D965" s="13"/>
      <c r="E965" s="13"/>
      <c r="F965" s="13"/>
      <c r="G965" s="13"/>
      <c r="H965" s="13"/>
      <c r="I965" s="13"/>
      <c r="J965" s="13"/>
      <c r="K965" s="205"/>
      <c r="L965" s="13"/>
      <c r="M965" s="13"/>
      <c r="N965" s="13"/>
      <c r="O965" s="205"/>
      <c r="P965" s="13"/>
      <c r="Q965" s="13"/>
      <c r="R965" s="177"/>
      <c r="S965" s="35"/>
      <c r="T965" s="35"/>
      <c r="U965" s="13"/>
      <c r="V965" s="13"/>
      <c r="W965" s="13"/>
      <c r="X965" s="13"/>
      <c r="Y965" s="13"/>
      <c r="Z965" s="13"/>
      <c r="AA965" s="13"/>
      <c r="AB965" s="13"/>
      <c r="AC965" s="13"/>
    </row>
    <row r="966" ht="16.5" customHeight="1">
      <c r="A966" s="13"/>
      <c r="B966" s="13"/>
      <c r="C966" s="13"/>
      <c r="D966" s="13"/>
      <c r="E966" s="13"/>
      <c r="F966" s="13"/>
      <c r="G966" s="13"/>
      <c r="H966" s="13"/>
      <c r="I966" s="13"/>
      <c r="J966" s="13"/>
      <c r="K966" s="205"/>
      <c r="L966" s="13"/>
      <c r="M966" s="13"/>
      <c r="N966" s="13"/>
      <c r="O966" s="205"/>
      <c r="P966" s="13"/>
      <c r="Q966" s="13"/>
      <c r="R966" s="177"/>
      <c r="S966" s="35"/>
      <c r="T966" s="35"/>
      <c r="U966" s="13"/>
      <c r="V966" s="13"/>
      <c r="W966" s="13"/>
      <c r="X966" s="13"/>
      <c r="Y966" s="13"/>
      <c r="Z966" s="13"/>
      <c r="AA966" s="13"/>
      <c r="AB966" s="13"/>
      <c r="AC966" s="13"/>
    </row>
    <row r="967" ht="16.5" customHeight="1">
      <c r="A967" s="13"/>
      <c r="B967" s="13"/>
      <c r="C967" s="13"/>
      <c r="D967" s="13"/>
      <c r="E967" s="13"/>
      <c r="F967" s="13"/>
      <c r="G967" s="13"/>
      <c r="H967" s="13"/>
      <c r="I967" s="13"/>
      <c r="J967" s="13"/>
      <c r="K967" s="205"/>
      <c r="L967" s="13"/>
      <c r="M967" s="13"/>
      <c r="N967" s="13"/>
      <c r="O967" s="205"/>
      <c r="P967" s="13"/>
      <c r="Q967" s="13"/>
      <c r="R967" s="177"/>
      <c r="S967" s="35"/>
      <c r="T967" s="35"/>
      <c r="U967" s="13"/>
      <c r="V967" s="13"/>
      <c r="W967" s="13"/>
      <c r="X967" s="13"/>
      <c r="Y967" s="13"/>
      <c r="Z967" s="13"/>
      <c r="AA967" s="13"/>
      <c r="AB967" s="13"/>
      <c r="AC967" s="13"/>
    </row>
    <row r="968" ht="16.5" customHeight="1">
      <c r="A968" s="13"/>
      <c r="B968" s="13"/>
      <c r="C968" s="13"/>
      <c r="D968" s="13"/>
      <c r="E968" s="13"/>
      <c r="F968" s="13"/>
      <c r="G968" s="13"/>
      <c r="H968" s="13"/>
      <c r="I968" s="13"/>
      <c r="J968" s="13"/>
      <c r="K968" s="205"/>
      <c r="L968" s="13"/>
      <c r="M968" s="13"/>
      <c r="N968" s="13"/>
      <c r="O968" s="205"/>
      <c r="P968" s="13"/>
      <c r="Q968" s="13"/>
      <c r="R968" s="177"/>
      <c r="S968" s="35"/>
      <c r="T968" s="35"/>
      <c r="U968" s="13"/>
      <c r="V968" s="13"/>
      <c r="W968" s="13"/>
      <c r="X968" s="13"/>
      <c r="Y968" s="13"/>
      <c r="Z968" s="13"/>
      <c r="AA968" s="13"/>
      <c r="AB968" s="13"/>
      <c r="AC968" s="13"/>
    </row>
    <row r="969" ht="16.5" customHeight="1">
      <c r="A969" s="13"/>
      <c r="B969" s="13"/>
      <c r="C969" s="13"/>
      <c r="D969" s="13"/>
      <c r="E969" s="13"/>
      <c r="F969" s="13"/>
      <c r="G969" s="13"/>
      <c r="H969" s="13"/>
      <c r="I969" s="13"/>
      <c r="J969" s="13"/>
      <c r="K969" s="205"/>
      <c r="L969" s="13"/>
      <c r="M969" s="13"/>
      <c r="N969" s="13"/>
      <c r="O969" s="205"/>
      <c r="P969" s="13"/>
      <c r="Q969" s="13"/>
      <c r="R969" s="177"/>
      <c r="S969" s="35"/>
      <c r="T969" s="35"/>
      <c r="U969" s="13"/>
      <c r="V969" s="13"/>
      <c r="W969" s="13"/>
      <c r="X969" s="13"/>
      <c r="Y969" s="13"/>
      <c r="Z969" s="13"/>
      <c r="AA969" s="13"/>
      <c r="AB969" s="13"/>
      <c r="AC969" s="13"/>
    </row>
    <row r="970" ht="16.5" customHeight="1">
      <c r="A970" s="13"/>
      <c r="B970" s="13"/>
      <c r="C970" s="13"/>
      <c r="D970" s="13"/>
      <c r="E970" s="13"/>
      <c r="F970" s="13"/>
      <c r="G970" s="13"/>
      <c r="H970" s="13"/>
      <c r="I970" s="13"/>
      <c r="J970" s="13"/>
      <c r="K970" s="205"/>
      <c r="L970" s="13"/>
      <c r="M970" s="13"/>
      <c r="N970" s="13"/>
      <c r="O970" s="205"/>
      <c r="P970" s="13"/>
      <c r="Q970" s="13"/>
      <c r="R970" s="177"/>
      <c r="S970" s="35"/>
      <c r="T970" s="35"/>
      <c r="U970" s="13"/>
      <c r="V970" s="13"/>
      <c r="W970" s="13"/>
      <c r="X970" s="13"/>
      <c r="Y970" s="13"/>
      <c r="Z970" s="13"/>
      <c r="AA970" s="13"/>
      <c r="AB970" s="13"/>
      <c r="AC970" s="13"/>
    </row>
    <row r="971" ht="16.5" customHeight="1">
      <c r="A971" s="13"/>
      <c r="B971" s="13"/>
      <c r="C971" s="13"/>
      <c r="D971" s="13"/>
      <c r="E971" s="13"/>
      <c r="F971" s="13"/>
      <c r="G971" s="13"/>
      <c r="H971" s="13"/>
      <c r="I971" s="13"/>
      <c r="J971" s="13"/>
      <c r="K971" s="205"/>
      <c r="L971" s="13"/>
      <c r="M971" s="13"/>
      <c r="N971" s="13"/>
      <c r="O971" s="205"/>
      <c r="P971" s="13"/>
      <c r="Q971" s="13"/>
      <c r="R971" s="177"/>
      <c r="S971" s="35"/>
      <c r="T971" s="35"/>
      <c r="U971" s="13"/>
      <c r="V971" s="13"/>
      <c r="W971" s="13"/>
      <c r="X971" s="13"/>
      <c r="Y971" s="13"/>
      <c r="Z971" s="13"/>
      <c r="AA971" s="13"/>
      <c r="AB971" s="13"/>
      <c r="AC971" s="13"/>
    </row>
    <row r="972" ht="16.5" customHeight="1">
      <c r="A972" s="13"/>
      <c r="B972" s="13"/>
      <c r="C972" s="13"/>
      <c r="D972" s="13"/>
      <c r="E972" s="13"/>
      <c r="F972" s="13"/>
      <c r="G972" s="13"/>
      <c r="H972" s="13"/>
      <c r="I972" s="13"/>
      <c r="J972" s="13"/>
      <c r="K972" s="205"/>
      <c r="L972" s="13"/>
      <c r="M972" s="13"/>
      <c r="N972" s="13"/>
      <c r="O972" s="205"/>
      <c r="P972" s="13"/>
      <c r="Q972" s="13"/>
      <c r="R972" s="177"/>
      <c r="S972" s="35"/>
      <c r="T972" s="35"/>
      <c r="U972" s="13"/>
      <c r="V972" s="13"/>
      <c r="W972" s="13"/>
      <c r="X972" s="13"/>
      <c r="Y972" s="13"/>
      <c r="Z972" s="13"/>
      <c r="AA972" s="13"/>
      <c r="AB972" s="13"/>
      <c r="AC972" s="13"/>
    </row>
    <row r="973" ht="16.5" customHeight="1">
      <c r="A973" s="13"/>
      <c r="B973" s="13"/>
      <c r="C973" s="13"/>
      <c r="D973" s="13"/>
      <c r="E973" s="13"/>
      <c r="F973" s="13"/>
      <c r="G973" s="13"/>
      <c r="H973" s="13"/>
      <c r="I973" s="13"/>
      <c r="J973" s="13"/>
      <c r="K973" s="205"/>
      <c r="L973" s="13"/>
      <c r="M973" s="13"/>
      <c r="N973" s="13"/>
      <c r="O973" s="205"/>
      <c r="P973" s="13"/>
      <c r="Q973" s="13"/>
      <c r="R973" s="177"/>
      <c r="S973" s="35"/>
      <c r="T973" s="35"/>
      <c r="U973" s="13"/>
      <c r="V973" s="13"/>
      <c r="W973" s="13"/>
      <c r="X973" s="13"/>
      <c r="Y973" s="13"/>
      <c r="Z973" s="13"/>
      <c r="AA973" s="13"/>
      <c r="AB973" s="13"/>
      <c r="AC973" s="13"/>
    </row>
    <row r="974" ht="16.5" customHeight="1">
      <c r="A974" s="13"/>
      <c r="B974" s="13"/>
      <c r="C974" s="13"/>
      <c r="D974" s="13"/>
      <c r="E974" s="13"/>
      <c r="F974" s="13"/>
      <c r="G974" s="13"/>
      <c r="H974" s="13"/>
      <c r="I974" s="13"/>
      <c r="J974" s="13"/>
      <c r="K974" s="205"/>
      <c r="L974" s="13"/>
      <c r="M974" s="13"/>
      <c r="N974" s="13"/>
      <c r="O974" s="205"/>
      <c r="P974" s="13"/>
      <c r="Q974" s="13"/>
      <c r="R974" s="177"/>
      <c r="S974" s="35"/>
      <c r="T974" s="35"/>
      <c r="U974" s="13"/>
      <c r="V974" s="13"/>
      <c r="W974" s="13"/>
      <c r="X974" s="13"/>
      <c r="Y974" s="13"/>
      <c r="Z974" s="13"/>
      <c r="AA974" s="13"/>
      <c r="AB974" s="13"/>
      <c r="AC974" s="13"/>
    </row>
    <row r="975" ht="16.5" customHeight="1">
      <c r="A975" s="13"/>
      <c r="B975" s="13"/>
      <c r="C975" s="13"/>
      <c r="D975" s="13"/>
      <c r="E975" s="13"/>
      <c r="F975" s="13"/>
      <c r="G975" s="13"/>
      <c r="H975" s="13"/>
      <c r="I975" s="13"/>
      <c r="J975" s="13"/>
      <c r="K975" s="205"/>
      <c r="L975" s="13"/>
      <c r="M975" s="13"/>
      <c r="N975" s="13"/>
      <c r="O975" s="205"/>
      <c r="P975" s="13"/>
      <c r="Q975" s="13"/>
      <c r="R975" s="177"/>
      <c r="S975" s="35"/>
      <c r="T975" s="35"/>
      <c r="U975" s="13"/>
      <c r="V975" s="13"/>
      <c r="W975" s="13"/>
      <c r="X975" s="13"/>
      <c r="Y975" s="13"/>
      <c r="Z975" s="13"/>
      <c r="AA975" s="13"/>
      <c r="AB975" s="13"/>
      <c r="AC975" s="13"/>
    </row>
    <row r="976" ht="16.5" customHeight="1">
      <c r="A976" s="13"/>
      <c r="B976" s="13"/>
      <c r="C976" s="13"/>
      <c r="D976" s="13"/>
      <c r="E976" s="13"/>
      <c r="F976" s="13"/>
      <c r="G976" s="13"/>
      <c r="H976" s="13"/>
      <c r="I976" s="13"/>
      <c r="J976" s="13"/>
      <c r="K976" s="205"/>
      <c r="L976" s="13"/>
      <c r="M976" s="13"/>
      <c r="N976" s="13"/>
      <c r="O976" s="205"/>
      <c r="P976" s="13"/>
      <c r="Q976" s="13"/>
      <c r="R976" s="177"/>
      <c r="S976" s="35"/>
      <c r="T976" s="35"/>
      <c r="U976" s="13"/>
      <c r="V976" s="13"/>
      <c r="W976" s="13"/>
      <c r="X976" s="13"/>
      <c r="Y976" s="13"/>
      <c r="Z976" s="13"/>
      <c r="AA976" s="13"/>
      <c r="AB976" s="13"/>
      <c r="AC976" s="13"/>
    </row>
    <row r="977" ht="16.5" customHeight="1">
      <c r="A977" s="13"/>
      <c r="B977" s="13"/>
      <c r="C977" s="13"/>
      <c r="D977" s="13"/>
      <c r="E977" s="13"/>
      <c r="F977" s="13"/>
      <c r="G977" s="13"/>
      <c r="H977" s="13"/>
      <c r="I977" s="13"/>
      <c r="J977" s="13"/>
      <c r="K977" s="205"/>
      <c r="L977" s="13"/>
      <c r="M977" s="13"/>
      <c r="N977" s="13"/>
      <c r="O977" s="205"/>
      <c r="P977" s="13"/>
      <c r="Q977" s="13"/>
      <c r="R977" s="177"/>
      <c r="S977" s="35"/>
      <c r="T977" s="35"/>
      <c r="U977" s="13"/>
      <c r="V977" s="13"/>
      <c r="W977" s="13"/>
      <c r="X977" s="13"/>
      <c r="Y977" s="13"/>
      <c r="Z977" s="13"/>
      <c r="AA977" s="13"/>
      <c r="AB977" s="13"/>
      <c r="AC977" s="13"/>
    </row>
    <row r="978" ht="16.5" customHeight="1">
      <c r="A978" s="13"/>
      <c r="B978" s="13"/>
      <c r="C978" s="13"/>
      <c r="D978" s="13"/>
      <c r="E978" s="13"/>
      <c r="F978" s="13"/>
      <c r="G978" s="13"/>
      <c r="H978" s="13"/>
      <c r="I978" s="13"/>
      <c r="J978" s="13"/>
      <c r="K978" s="205"/>
      <c r="L978" s="13"/>
      <c r="M978" s="13"/>
      <c r="N978" s="13"/>
      <c r="O978" s="205"/>
      <c r="P978" s="13"/>
      <c r="Q978" s="13"/>
      <c r="R978" s="177"/>
      <c r="S978" s="35"/>
      <c r="T978" s="35"/>
      <c r="U978" s="13"/>
      <c r="V978" s="13"/>
      <c r="W978" s="13"/>
      <c r="X978" s="13"/>
      <c r="Y978" s="13"/>
      <c r="Z978" s="13"/>
      <c r="AA978" s="13"/>
      <c r="AB978" s="13"/>
      <c r="AC978" s="13"/>
    </row>
    <row r="979" ht="16.5" customHeight="1">
      <c r="A979" s="13"/>
      <c r="B979" s="13"/>
      <c r="C979" s="13"/>
      <c r="D979" s="13"/>
      <c r="E979" s="13"/>
      <c r="F979" s="13"/>
      <c r="G979" s="13"/>
      <c r="H979" s="13"/>
      <c r="I979" s="13"/>
      <c r="J979" s="13"/>
      <c r="K979" s="205"/>
      <c r="L979" s="13"/>
      <c r="M979" s="13"/>
      <c r="N979" s="13"/>
      <c r="O979" s="205"/>
      <c r="P979" s="13"/>
      <c r="Q979" s="13"/>
      <c r="R979" s="177"/>
      <c r="S979" s="35"/>
      <c r="T979" s="35"/>
      <c r="U979" s="13"/>
      <c r="V979" s="13"/>
      <c r="W979" s="13"/>
      <c r="X979" s="13"/>
      <c r="Y979" s="13"/>
      <c r="Z979" s="13"/>
      <c r="AA979" s="13"/>
      <c r="AB979" s="13"/>
      <c r="AC979" s="13"/>
    </row>
    <row r="980" ht="16.5" customHeight="1">
      <c r="A980" s="13"/>
      <c r="B980" s="13"/>
      <c r="C980" s="13"/>
      <c r="D980" s="13"/>
      <c r="E980" s="13"/>
      <c r="F980" s="13"/>
      <c r="G980" s="13"/>
      <c r="H980" s="13"/>
      <c r="I980" s="13"/>
      <c r="J980" s="13"/>
      <c r="K980" s="205"/>
      <c r="L980" s="13"/>
      <c r="M980" s="13"/>
      <c r="N980" s="13"/>
      <c r="O980" s="205"/>
      <c r="P980" s="13"/>
      <c r="Q980" s="13"/>
      <c r="R980" s="177"/>
      <c r="S980" s="35"/>
      <c r="T980" s="35"/>
      <c r="U980" s="13"/>
      <c r="V980" s="13"/>
      <c r="W980" s="13"/>
      <c r="X980" s="13"/>
      <c r="Y980" s="13"/>
      <c r="Z980" s="13"/>
      <c r="AA980" s="13"/>
      <c r="AB980" s="13"/>
      <c r="AC980" s="13"/>
    </row>
    <row r="981" ht="16.5" customHeight="1">
      <c r="A981" s="13"/>
      <c r="B981" s="13"/>
      <c r="C981" s="13"/>
      <c r="D981" s="13"/>
      <c r="E981" s="13"/>
      <c r="F981" s="13"/>
      <c r="G981" s="13"/>
      <c r="H981" s="13"/>
      <c r="I981" s="13"/>
      <c r="J981" s="13"/>
      <c r="K981" s="205"/>
      <c r="L981" s="13"/>
      <c r="M981" s="13"/>
      <c r="N981" s="13"/>
      <c r="O981" s="205"/>
      <c r="P981" s="13"/>
      <c r="Q981" s="13"/>
      <c r="R981" s="177"/>
      <c r="S981" s="35"/>
      <c r="T981" s="35"/>
      <c r="U981" s="13"/>
      <c r="V981" s="13"/>
      <c r="W981" s="13"/>
      <c r="X981" s="13"/>
      <c r="Y981" s="13"/>
      <c r="Z981" s="13"/>
      <c r="AA981" s="13"/>
      <c r="AB981" s="13"/>
      <c r="AC981" s="13"/>
    </row>
    <row r="982" ht="16.5" customHeight="1">
      <c r="A982" s="13"/>
      <c r="B982" s="13"/>
      <c r="C982" s="13"/>
      <c r="D982" s="13"/>
      <c r="E982" s="13"/>
      <c r="F982" s="13"/>
      <c r="G982" s="13"/>
      <c r="H982" s="13"/>
      <c r="I982" s="13"/>
      <c r="J982" s="13"/>
      <c r="K982" s="205"/>
      <c r="L982" s="13"/>
      <c r="M982" s="13"/>
      <c r="N982" s="13"/>
      <c r="O982" s="205"/>
      <c r="P982" s="13"/>
      <c r="Q982" s="13"/>
      <c r="R982" s="177"/>
      <c r="S982" s="35"/>
      <c r="T982" s="35"/>
      <c r="U982" s="13"/>
      <c r="V982" s="13"/>
      <c r="W982" s="13"/>
      <c r="X982" s="13"/>
      <c r="Y982" s="13"/>
      <c r="Z982" s="13"/>
      <c r="AA982" s="13"/>
      <c r="AB982" s="13"/>
      <c r="AC982" s="13"/>
    </row>
    <row r="983" ht="16.5" customHeight="1">
      <c r="A983" s="13"/>
      <c r="B983" s="13"/>
      <c r="C983" s="13"/>
      <c r="D983" s="13"/>
      <c r="E983" s="13"/>
      <c r="F983" s="13"/>
      <c r="G983" s="13"/>
      <c r="H983" s="13"/>
      <c r="I983" s="13"/>
      <c r="J983" s="13"/>
      <c r="K983" s="205"/>
      <c r="L983" s="13"/>
      <c r="M983" s="13"/>
      <c r="N983" s="13"/>
      <c r="O983" s="205"/>
      <c r="P983" s="13"/>
      <c r="Q983" s="13"/>
      <c r="R983" s="177"/>
      <c r="S983" s="35"/>
      <c r="T983" s="35"/>
      <c r="U983" s="13"/>
      <c r="V983" s="13"/>
      <c r="W983" s="13"/>
      <c r="X983" s="13"/>
      <c r="Y983" s="13"/>
      <c r="Z983" s="13"/>
      <c r="AA983" s="13"/>
      <c r="AB983" s="13"/>
      <c r="AC983" s="13"/>
    </row>
    <row r="984" ht="16.5" customHeight="1">
      <c r="A984" s="13"/>
      <c r="B984" s="13"/>
      <c r="C984" s="13"/>
      <c r="D984" s="13"/>
      <c r="E984" s="13"/>
      <c r="F984" s="13"/>
      <c r="G984" s="13"/>
      <c r="H984" s="13"/>
      <c r="I984" s="13"/>
      <c r="J984" s="13"/>
      <c r="K984" s="205"/>
      <c r="L984" s="13"/>
      <c r="M984" s="13"/>
      <c r="N984" s="13"/>
      <c r="O984" s="205"/>
      <c r="P984" s="13"/>
      <c r="Q984" s="13"/>
      <c r="R984" s="177"/>
      <c r="S984" s="35"/>
      <c r="T984" s="35"/>
      <c r="U984" s="13"/>
      <c r="V984" s="13"/>
      <c r="W984" s="13"/>
      <c r="X984" s="13"/>
      <c r="Y984" s="13"/>
      <c r="Z984" s="13"/>
      <c r="AA984" s="13"/>
      <c r="AB984" s="13"/>
      <c r="AC984" s="13"/>
    </row>
    <row r="985" ht="16.5" customHeight="1">
      <c r="A985" s="13"/>
      <c r="B985" s="13"/>
      <c r="C985" s="13"/>
      <c r="D985" s="13"/>
      <c r="E985" s="13"/>
      <c r="F985" s="13"/>
      <c r="G985" s="13"/>
      <c r="H985" s="13"/>
      <c r="I985" s="13"/>
      <c r="J985" s="13"/>
      <c r="K985" s="205"/>
      <c r="L985" s="13"/>
      <c r="M985" s="13"/>
      <c r="N985" s="13"/>
      <c r="O985" s="205"/>
      <c r="P985" s="13"/>
      <c r="Q985" s="13"/>
      <c r="R985" s="177"/>
      <c r="S985" s="35"/>
      <c r="T985" s="35"/>
      <c r="U985" s="13"/>
      <c r="V985" s="13"/>
      <c r="W985" s="13"/>
      <c r="X985" s="13"/>
      <c r="Y985" s="13"/>
      <c r="Z985" s="13"/>
      <c r="AA985" s="13"/>
      <c r="AB985" s="13"/>
      <c r="AC985" s="13"/>
    </row>
    <row r="986" ht="16.5" customHeight="1">
      <c r="A986" s="13"/>
      <c r="B986" s="13"/>
      <c r="C986" s="13"/>
      <c r="D986" s="13"/>
      <c r="E986" s="13"/>
      <c r="F986" s="13"/>
      <c r="G986" s="13"/>
      <c r="H986" s="13"/>
      <c r="I986" s="13"/>
      <c r="J986" s="13"/>
      <c r="K986" s="205"/>
      <c r="L986" s="13"/>
      <c r="M986" s="13"/>
      <c r="N986" s="13"/>
      <c r="O986" s="205"/>
      <c r="P986" s="13"/>
      <c r="Q986" s="13"/>
      <c r="R986" s="177"/>
      <c r="S986" s="35"/>
      <c r="T986" s="35"/>
      <c r="U986" s="13"/>
      <c r="V986" s="13"/>
      <c r="W986" s="13"/>
      <c r="X986" s="13"/>
      <c r="Y986" s="13"/>
      <c r="Z986" s="13"/>
      <c r="AA986" s="13"/>
      <c r="AB986" s="13"/>
      <c r="AC986" s="13"/>
    </row>
    <row r="987" ht="16.5" customHeight="1">
      <c r="A987" s="13"/>
      <c r="B987" s="13"/>
      <c r="C987" s="13"/>
      <c r="D987" s="13"/>
      <c r="E987" s="13"/>
      <c r="F987" s="13"/>
      <c r="G987" s="13"/>
      <c r="H987" s="13"/>
      <c r="I987" s="13"/>
      <c r="J987" s="13"/>
      <c r="K987" s="205"/>
      <c r="L987" s="13"/>
      <c r="M987" s="13"/>
      <c r="N987" s="13"/>
      <c r="O987" s="205"/>
      <c r="P987" s="13"/>
      <c r="Q987" s="13"/>
      <c r="R987" s="177"/>
      <c r="S987" s="35"/>
      <c r="T987" s="35"/>
      <c r="U987" s="13"/>
      <c r="V987" s="13"/>
      <c r="W987" s="13"/>
      <c r="X987" s="13"/>
      <c r="Y987" s="13"/>
      <c r="Z987" s="13"/>
      <c r="AA987" s="13"/>
      <c r="AB987" s="13"/>
      <c r="AC987" s="13"/>
    </row>
    <row r="988" ht="16.5" customHeight="1">
      <c r="A988" s="13"/>
      <c r="B988" s="13"/>
      <c r="C988" s="13"/>
      <c r="D988" s="13"/>
      <c r="E988" s="13"/>
      <c r="F988" s="13"/>
      <c r="G988" s="13"/>
      <c r="H988" s="13"/>
      <c r="I988" s="13"/>
      <c r="J988" s="13"/>
      <c r="K988" s="205"/>
      <c r="L988" s="13"/>
      <c r="M988" s="13"/>
      <c r="N988" s="13"/>
      <c r="O988" s="205"/>
      <c r="P988" s="13"/>
      <c r="Q988" s="13"/>
      <c r="R988" s="177"/>
      <c r="S988" s="35"/>
      <c r="T988" s="35"/>
      <c r="U988" s="13"/>
      <c r="V988" s="13"/>
      <c r="W988" s="13"/>
      <c r="X988" s="13"/>
      <c r="Y988" s="13"/>
      <c r="Z988" s="13"/>
      <c r="AA988" s="13"/>
      <c r="AB988" s="13"/>
      <c r="AC988" s="13"/>
    </row>
    <row r="989" ht="16.5" customHeight="1">
      <c r="A989" s="13"/>
      <c r="B989" s="13"/>
      <c r="C989" s="13"/>
      <c r="D989" s="13"/>
      <c r="E989" s="13"/>
      <c r="F989" s="13"/>
      <c r="G989" s="13"/>
      <c r="H989" s="13"/>
      <c r="I989" s="13"/>
      <c r="J989" s="13"/>
      <c r="K989" s="205"/>
      <c r="L989" s="13"/>
      <c r="M989" s="13"/>
      <c r="N989" s="13"/>
      <c r="O989" s="205"/>
      <c r="P989" s="13"/>
      <c r="Q989" s="13"/>
      <c r="R989" s="177"/>
      <c r="S989" s="35"/>
      <c r="T989" s="35"/>
      <c r="U989" s="13"/>
      <c r="V989" s="13"/>
      <c r="W989" s="13"/>
      <c r="X989" s="13"/>
      <c r="Y989" s="13"/>
      <c r="Z989" s="13"/>
      <c r="AA989" s="13"/>
      <c r="AB989" s="13"/>
      <c r="AC989" s="13"/>
    </row>
    <row r="990" ht="16.5" customHeight="1">
      <c r="A990" s="13"/>
      <c r="B990" s="13"/>
      <c r="C990" s="13"/>
      <c r="D990" s="13"/>
      <c r="E990" s="13"/>
      <c r="F990" s="13"/>
      <c r="G990" s="13"/>
      <c r="H990" s="13"/>
      <c r="I990" s="13"/>
      <c r="J990" s="13"/>
      <c r="K990" s="205"/>
      <c r="L990" s="13"/>
      <c r="M990" s="13"/>
      <c r="N990" s="13"/>
      <c r="O990" s="205"/>
      <c r="P990" s="13"/>
      <c r="Q990" s="13"/>
      <c r="R990" s="177"/>
      <c r="S990" s="35"/>
      <c r="T990" s="35"/>
      <c r="U990" s="13"/>
      <c r="V990" s="13"/>
      <c r="W990" s="13"/>
      <c r="X990" s="13"/>
      <c r="Y990" s="13"/>
      <c r="Z990" s="13"/>
      <c r="AA990" s="13"/>
      <c r="AB990" s="13"/>
      <c r="AC990" s="13"/>
    </row>
    <row r="991" ht="16.5" customHeight="1">
      <c r="A991" s="13"/>
      <c r="B991" s="13"/>
      <c r="C991" s="13"/>
      <c r="D991" s="13"/>
      <c r="E991" s="13"/>
      <c r="F991" s="13"/>
      <c r="G991" s="13"/>
      <c r="H991" s="13"/>
      <c r="I991" s="13"/>
      <c r="J991" s="13"/>
      <c r="K991" s="205"/>
      <c r="L991" s="13"/>
      <c r="M991" s="13"/>
      <c r="N991" s="13"/>
      <c r="O991" s="205"/>
      <c r="P991" s="13"/>
      <c r="Q991" s="13"/>
      <c r="R991" s="177"/>
      <c r="S991" s="35"/>
      <c r="T991" s="35"/>
      <c r="U991" s="13"/>
      <c r="V991" s="13"/>
      <c r="W991" s="13"/>
      <c r="X991" s="13"/>
      <c r="Y991" s="13"/>
      <c r="Z991" s="13"/>
      <c r="AA991" s="13"/>
      <c r="AB991" s="13"/>
      <c r="AC991" s="13"/>
    </row>
    <row r="992" ht="16.5" customHeight="1">
      <c r="A992" s="13"/>
      <c r="B992" s="13"/>
      <c r="C992" s="13"/>
      <c r="D992" s="13"/>
      <c r="E992" s="13"/>
      <c r="F992" s="13"/>
      <c r="G992" s="13"/>
      <c r="H992" s="13"/>
      <c r="I992" s="13"/>
      <c r="J992" s="13"/>
      <c r="K992" s="205"/>
      <c r="L992" s="13"/>
      <c r="M992" s="13"/>
      <c r="N992" s="13"/>
      <c r="O992" s="205"/>
      <c r="P992" s="13"/>
      <c r="Q992" s="13"/>
      <c r="R992" s="177"/>
      <c r="S992" s="35"/>
      <c r="T992" s="35"/>
      <c r="U992" s="13"/>
      <c r="V992" s="13"/>
      <c r="W992" s="13"/>
      <c r="X992" s="13"/>
      <c r="Y992" s="13"/>
      <c r="Z992" s="13"/>
      <c r="AA992" s="13"/>
      <c r="AB992" s="13"/>
      <c r="AC992" s="13"/>
    </row>
    <row r="993" ht="16.5" customHeight="1">
      <c r="A993" s="13"/>
      <c r="B993" s="13"/>
      <c r="C993" s="13"/>
      <c r="D993" s="13"/>
      <c r="E993" s="13"/>
      <c r="F993" s="13"/>
      <c r="G993" s="13"/>
      <c r="H993" s="13"/>
      <c r="I993" s="13"/>
      <c r="J993" s="13"/>
      <c r="K993" s="205"/>
      <c r="L993" s="13"/>
      <c r="M993" s="13"/>
      <c r="N993" s="13"/>
      <c r="O993" s="205"/>
      <c r="P993" s="13"/>
      <c r="Q993" s="13"/>
      <c r="R993" s="177"/>
      <c r="S993" s="35"/>
      <c r="T993" s="35"/>
      <c r="U993" s="13"/>
      <c r="V993" s="13"/>
      <c r="W993" s="13"/>
      <c r="X993" s="13"/>
      <c r="Y993" s="13"/>
      <c r="Z993" s="13"/>
      <c r="AA993" s="13"/>
      <c r="AB993" s="13"/>
      <c r="AC993" s="13"/>
    </row>
    <row r="994" ht="16.5" customHeight="1">
      <c r="A994" s="13"/>
      <c r="B994" s="13"/>
      <c r="C994" s="13"/>
      <c r="D994" s="13"/>
      <c r="E994" s="13"/>
      <c r="F994" s="13"/>
      <c r="G994" s="13"/>
      <c r="H994" s="13"/>
      <c r="I994" s="13"/>
      <c r="J994" s="13"/>
      <c r="K994" s="205"/>
      <c r="L994" s="13"/>
      <c r="M994" s="13"/>
      <c r="N994" s="13"/>
      <c r="O994" s="205"/>
      <c r="P994" s="13"/>
      <c r="Q994" s="13"/>
      <c r="R994" s="177"/>
      <c r="S994" s="35"/>
      <c r="T994" s="35"/>
      <c r="U994" s="13"/>
      <c r="V994" s="13"/>
      <c r="W994" s="13"/>
      <c r="X994" s="13"/>
      <c r="Y994" s="13"/>
      <c r="Z994" s="13"/>
      <c r="AA994" s="13"/>
      <c r="AB994" s="13"/>
      <c r="AC994" s="13"/>
    </row>
    <row r="995" ht="16.5" customHeight="1">
      <c r="A995" s="13"/>
      <c r="B995" s="13"/>
      <c r="C995" s="13"/>
      <c r="D995" s="13"/>
      <c r="E995" s="13"/>
      <c r="F995" s="13"/>
      <c r="G995" s="13"/>
      <c r="H995" s="13"/>
      <c r="I995" s="13"/>
      <c r="J995" s="13"/>
      <c r="K995" s="205"/>
      <c r="L995" s="13"/>
      <c r="M995" s="13"/>
      <c r="N995" s="13"/>
      <c r="O995" s="205"/>
      <c r="P995" s="13"/>
      <c r="Q995" s="13"/>
      <c r="R995" s="177"/>
      <c r="S995" s="35"/>
      <c r="T995" s="35"/>
      <c r="U995" s="13"/>
      <c r="V995" s="13"/>
      <c r="W995" s="13"/>
      <c r="X995" s="13"/>
      <c r="Y995" s="13"/>
      <c r="Z995" s="13"/>
      <c r="AA995" s="13"/>
      <c r="AB995" s="13"/>
      <c r="AC995" s="13"/>
    </row>
    <row r="996" ht="16.5" customHeight="1">
      <c r="A996" s="13"/>
      <c r="B996" s="13"/>
      <c r="C996" s="13"/>
      <c r="D996" s="13"/>
      <c r="E996" s="13"/>
      <c r="F996" s="13"/>
      <c r="G996" s="13"/>
      <c r="H996" s="13"/>
      <c r="I996" s="13"/>
      <c r="J996" s="13"/>
      <c r="K996" s="205"/>
      <c r="L996" s="13"/>
      <c r="M996" s="13"/>
      <c r="N996" s="13"/>
      <c r="O996" s="205"/>
      <c r="P996" s="13"/>
      <c r="Q996" s="13"/>
      <c r="R996" s="177"/>
      <c r="S996" s="35"/>
      <c r="T996" s="35"/>
      <c r="U996" s="13"/>
      <c r="V996" s="13"/>
      <c r="W996" s="13"/>
      <c r="X996" s="13"/>
      <c r="Y996" s="13"/>
      <c r="Z996" s="13"/>
      <c r="AA996" s="13"/>
      <c r="AB996" s="13"/>
      <c r="AC996" s="13"/>
    </row>
    <row r="997" ht="16.5" customHeight="1">
      <c r="A997" s="13"/>
      <c r="B997" s="13"/>
      <c r="C997" s="13"/>
      <c r="D997" s="13"/>
      <c r="E997" s="13"/>
      <c r="F997" s="13"/>
      <c r="G997" s="13"/>
      <c r="H997" s="13"/>
      <c r="I997" s="13"/>
      <c r="J997" s="13"/>
      <c r="K997" s="205"/>
      <c r="L997" s="13"/>
      <c r="M997" s="13"/>
      <c r="N997" s="13"/>
      <c r="O997" s="205"/>
      <c r="P997" s="13"/>
      <c r="Q997" s="13"/>
      <c r="R997" s="177"/>
      <c r="S997" s="35"/>
      <c r="T997" s="35"/>
      <c r="U997" s="13"/>
      <c r="V997" s="13"/>
      <c r="W997" s="13"/>
      <c r="X997" s="13"/>
      <c r="Y997" s="13"/>
      <c r="Z997" s="13"/>
      <c r="AA997" s="13"/>
      <c r="AB997" s="13"/>
      <c r="AC997" s="13"/>
    </row>
    <row r="998" ht="16.5" customHeight="1">
      <c r="A998" s="13"/>
      <c r="B998" s="13"/>
      <c r="C998" s="13"/>
      <c r="D998" s="13"/>
      <c r="E998" s="13"/>
      <c r="F998" s="13"/>
      <c r="G998" s="13"/>
      <c r="H998" s="13"/>
      <c r="I998" s="13"/>
      <c r="J998" s="13"/>
      <c r="K998" s="205"/>
      <c r="L998" s="13"/>
      <c r="M998" s="13"/>
      <c r="N998" s="13"/>
      <c r="O998" s="205"/>
      <c r="P998" s="13"/>
      <c r="Q998" s="13"/>
      <c r="R998" s="177"/>
      <c r="S998" s="35"/>
      <c r="T998" s="35"/>
      <c r="U998" s="13"/>
      <c r="V998" s="13"/>
      <c r="W998" s="13"/>
      <c r="X998" s="13"/>
      <c r="Y998" s="13"/>
      <c r="Z998" s="13"/>
      <c r="AA998" s="13"/>
      <c r="AB998" s="13"/>
      <c r="AC998" s="13"/>
    </row>
    <row r="999" ht="16.5" customHeight="1">
      <c r="A999" s="13"/>
      <c r="B999" s="13"/>
      <c r="C999" s="13"/>
      <c r="D999" s="13"/>
      <c r="E999" s="13"/>
      <c r="F999" s="13"/>
      <c r="G999" s="13"/>
      <c r="H999" s="13"/>
      <c r="I999" s="13"/>
      <c r="J999" s="13"/>
      <c r="K999" s="205"/>
      <c r="L999" s="13"/>
      <c r="M999" s="13"/>
      <c r="N999" s="13"/>
      <c r="O999" s="205"/>
      <c r="P999" s="13"/>
      <c r="Q999" s="13"/>
      <c r="R999" s="177"/>
      <c r="S999" s="35"/>
      <c r="T999" s="35"/>
      <c r="U999" s="13"/>
      <c r="V999" s="13"/>
      <c r="W999" s="13"/>
      <c r="X999" s="13"/>
      <c r="Y999" s="13"/>
      <c r="Z999" s="13"/>
      <c r="AA999" s="13"/>
      <c r="AB999" s="13"/>
      <c r="AC999" s="13"/>
    </row>
    <row r="1000" ht="16.5" customHeight="1">
      <c r="A1000" s="13"/>
      <c r="B1000" s="13"/>
      <c r="C1000" s="13"/>
      <c r="D1000" s="13"/>
      <c r="E1000" s="13"/>
      <c r="F1000" s="13"/>
      <c r="G1000" s="13"/>
      <c r="H1000" s="13"/>
      <c r="I1000" s="13"/>
      <c r="J1000" s="13"/>
      <c r="K1000" s="205"/>
      <c r="L1000" s="13"/>
      <c r="M1000" s="13"/>
      <c r="N1000" s="13"/>
      <c r="O1000" s="205"/>
      <c r="P1000" s="13"/>
      <c r="Q1000" s="13"/>
      <c r="R1000" s="177"/>
      <c r="S1000" s="35"/>
      <c r="T1000" s="35"/>
      <c r="U1000" s="13"/>
      <c r="V1000" s="13"/>
      <c r="W1000" s="13"/>
      <c r="X1000" s="13"/>
      <c r="Y1000" s="13"/>
      <c r="Z1000" s="13"/>
      <c r="AA1000" s="13"/>
      <c r="AB1000" s="13"/>
      <c r="AC1000" s="13"/>
    </row>
  </sheetData>
  <autoFilter ref="$A$3:$O$442">
    <filterColumn colId="8">
      <filters>
        <filter val="참조문서확정"/>
      </filters>
    </filterColumn>
  </autoFilter>
  <customSheetViews>
    <customSheetView guid="{07E635A6-5392-4118-A6DF-FD63271C90AA}" filter="1" showAutoFilter="1">
      <autoFilter ref="$A$3:$O$442">
        <filterColumn colId="8">
          <filters>
            <filter val="고정답변처리"/>
            <filter val="참조문서확정"/>
            <filter val="별도서비스처리"/>
          </filters>
        </filterColumn>
      </autoFilter>
    </customSheetView>
  </customSheetViews>
  <mergeCells count="7">
    <mergeCell ref="A1:F1"/>
    <mergeCell ref="D2:E2"/>
    <mergeCell ref="F2:G2"/>
    <mergeCell ref="H2:I2"/>
    <mergeCell ref="J2:L2"/>
    <mergeCell ref="M2:O2"/>
    <mergeCell ref="P2:T2"/>
  </mergeCells>
  <hyperlinks>
    <hyperlink r:id="rId1" location="question4-8" ref="L266"/>
  </hyperlinks>
  <printOptions/>
  <pageMargins bottom="1.0" footer="0.0" header="0.0" left="0.75" right="0.75" top="1.0"/>
  <pageSetup fitToHeight="0"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s>
  <sheetData>
    <row r="1">
      <c r="A1" s="206" t="s">
        <v>12</v>
      </c>
      <c r="B1" s="206" t="s">
        <v>13</v>
      </c>
    </row>
    <row r="2">
      <c r="A2" s="207">
        <f>IFERROR(__xludf.DUMMYFUNCTION("FILTER('부서FAQ_GoldenSet'!A4:B381, '부서FAQ_GoldenSet'!M4:M381=TRUE)"),2.0)</f>
        <v>2</v>
      </c>
      <c r="B2" s="207" t="str">
        <f>IFERROR(__xludf.DUMMYFUNCTION("""COMPUTED_VALUE"""),"질병휴직시 필요한 서류가 무엇인가요?")</f>
        <v>질병휴직시 필요한 서류가 무엇인가요?</v>
      </c>
      <c r="D2" s="206">
        <v>2.0</v>
      </c>
    </row>
    <row r="3">
      <c r="A3" s="207">
        <f>IFERROR(__xludf.DUMMYFUNCTION("""COMPUTED_VALUE"""),5.0)</f>
        <v>5</v>
      </c>
      <c r="B3" s="207" t="str">
        <f>IFERROR(__xludf.DUMMYFUNCTION("""COMPUTED_VALUE"""),"협상에 의한 계약을 진행할 시 절차가 어떻게 되나요?")</f>
        <v>협상에 의한 계약을 진행할 시 절차가 어떻게 되나요?</v>
      </c>
      <c r="D3" s="206">
        <v>5.0</v>
      </c>
    </row>
    <row r="4">
      <c r="A4" s="207">
        <f>IFERROR(__xludf.DUMMYFUNCTION("""COMPUTED_VALUE"""),6.0)</f>
        <v>6</v>
      </c>
      <c r="B4" s="207" t="str">
        <f>IFERROR(__xludf.DUMMYFUNCTION("""COMPUTED_VALUE"""),"DRM 비밀번호 초기화 방법이 무엇인가요?")</f>
        <v>DRM 비밀번호 초기화 방법이 무엇인가요?</v>
      </c>
      <c r="D4" s="206">
        <v>6.0</v>
      </c>
    </row>
    <row r="5">
      <c r="A5" s="207">
        <f>IFERROR(__xludf.DUMMYFUNCTION("""COMPUTED_VALUE"""),7.0)</f>
        <v>7</v>
      </c>
      <c r="B5" s="207" t="str">
        <f>IFERROR(__xludf.DUMMYFUNCTION("""COMPUTED_VALUE"""),"장관표창 공적심사 의뢰 시 제출서류가 무엇인가요?")</f>
        <v>장관표창 공적심사 의뢰 시 제출서류가 무엇인가요?</v>
      </c>
      <c r="D5" s="206">
        <v>9.0</v>
      </c>
    </row>
    <row r="6">
      <c r="A6" s="207">
        <f>IFERROR(__xludf.DUMMYFUNCTION("""COMPUTED_VALUE"""),8.0)</f>
        <v>8</v>
      </c>
      <c r="B6" s="207" t="str">
        <f>IFERROR(__xludf.DUMMYFUNCTION("""COMPUTED_VALUE"""),"시장표창 공적심사 의뢰 시 제출서류가 무엇인가요?")</f>
        <v>시장표창 공적심사 의뢰 시 제출서류가 무엇인가요?</v>
      </c>
      <c r="D6" s="206">
        <v>10.0</v>
      </c>
    </row>
    <row r="7">
      <c r="A7" s="207">
        <f>IFERROR(__xludf.DUMMYFUNCTION("""COMPUTED_VALUE"""),9.0)</f>
        <v>9</v>
      </c>
      <c r="B7" s="207" t="str">
        <f>IFERROR(__xludf.DUMMYFUNCTION("""COMPUTED_VALUE"""),"일상경비 교부대상 통계목이 무엇인가요?")</f>
        <v>일상경비 교부대상 통계목이 무엇인가요?</v>
      </c>
      <c r="D7" s="206">
        <v>11.0</v>
      </c>
    </row>
    <row r="8">
      <c r="A8" s="207">
        <f>IFERROR(__xludf.DUMMYFUNCTION("""COMPUTED_VALUE"""),10.0)</f>
        <v>10</v>
      </c>
      <c r="B8" s="207" t="str">
        <f>IFERROR(__xludf.DUMMYFUNCTION("""COMPUTED_VALUE"""),"일상경비 교부범위가 어떻게 되나요?")</f>
        <v>일상경비 교부범위가 어떻게 되나요?</v>
      </c>
      <c r="D8" s="206">
        <v>13.0</v>
      </c>
    </row>
    <row r="9">
      <c r="A9" s="207">
        <f>IFERROR(__xludf.DUMMYFUNCTION("""COMPUTED_VALUE"""),11.0)</f>
        <v>11</v>
      </c>
      <c r="B9" s="207" t="str">
        <f>IFERROR(__xludf.DUMMYFUNCTION("""COMPUTED_VALUE"""),"DRM 암호 초기화 어떻게 하나요?")</f>
        <v>DRM 암호 초기화 어떻게 하나요?</v>
      </c>
      <c r="D9" s="206">
        <v>15.0</v>
      </c>
    </row>
    <row r="10">
      <c r="A10" s="207">
        <f>IFERROR(__xludf.DUMMYFUNCTION("""COMPUTED_VALUE"""),13.0)</f>
        <v>13</v>
      </c>
      <c r="B10" s="207" t="str">
        <f>IFERROR(__xludf.DUMMYFUNCTION("""COMPUTED_VALUE"""),"보도자료 작성 기한은?")</f>
        <v>보도자료 작성 기한은?</v>
      </c>
      <c r="D10" s="206">
        <v>16.0</v>
      </c>
    </row>
    <row r="11">
      <c r="A11" s="207">
        <f>IFERROR(__xludf.DUMMYFUNCTION("""COMPUTED_VALUE"""),14.0)</f>
        <v>14</v>
      </c>
      <c r="B11" s="207" t="str">
        <f>IFERROR(__xludf.DUMMYFUNCTION("""COMPUTED_VALUE"""),"인사고충 신청을 하려고 하는데 방법은?")</f>
        <v>인사고충 신청을 하려고 하는데 방법은?</v>
      </c>
      <c r="D11" s="206">
        <v>17.0</v>
      </c>
    </row>
    <row r="12">
      <c r="A12" s="207">
        <f>IFERROR(__xludf.DUMMYFUNCTION("""COMPUTED_VALUE"""),15.0)</f>
        <v>15</v>
      </c>
      <c r="B12" s="207" t="str">
        <f>IFERROR(__xludf.DUMMYFUNCTION("""COMPUTED_VALUE"""),"인사랑이 열리지 않을때 조치방법은?")</f>
        <v>인사랑이 열리지 않을때 조치방법은?</v>
      </c>
      <c r="D12" s="206">
        <v>18.0</v>
      </c>
    </row>
    <row r="13">
      <c r="A13" s="207">
        <f>IFERROR(__xludf.DUMMYFUNCTION("""COMPUTED_VALUE"""),16.0)</f>
        <v>16</v>
      </c>
      <c r="B13" s="207" t="str">
        <f>IFERROR(__xludf.DUMMYFUNCTION("""COMPUTED_VALUE"""),"행정포털 접속 장애 시 조치 방법은?")</f>
        <v>행정포털 접속 장애 시 조치 방법은?</v>
      </c>
      <c r="D13" s="206">
        <v>19.0</v>
      </c>
    </row>
    <row r="14">
      <c r="A14" s="207">
        <f>IFERROR(__xludf.DUMMYFUNCTION("""COMPUTED_VALUE"""),17.0)</f>
        <v>17</v>
      </c>
      <c r="B14" s="207" t="str">
        <f>IFERROR(__xludf.DUMMYFUNCTION("""COMPUTED_VALUE"""),"회의장 예약 방법은?")</f>
        <v>회의장 예약 방법은?</v>
      </c>
      <c r="D14" s="206">
        <v>20.0</v>
      </c>
    </row>
    <row r="15">
      <c r="A15" s="207">
        <f>IFERROR(__xludf.DUMMYFUNCTION("""COMPUTED_VALUE"""),18.0)</f>
        <v>18</v>
      </c>
      <c r="B15" s="207" t="str">
        <f>IFERROR(__xludf.DUMMYFUNCTION("""COMPUTED_VALUE"""),"PC 개인정보 삭제 방법은? ")</f>
        <v>PC 개인정보 삭제 방법은? </v>
      </c>
      <c r="D15" s="206">
        <v>22.0</v>
      </c>
    </row>
    <row r="16">
      <c r="A16" s="207">
        <f>IFERROR(__xludf.DUMMYFUNCTION("""COMPUTED_VALUE"""),19.0)</f>
        <v>19</v>
      </c>
      <c r="B16" s="207" t="str">
        <f>IFERROR(__xludf.DUMMYFUNCTION("""COMPUTED_VALUE"""),"회의장 예약 방법은?")</f>
        <v>회의장 예약 방법은?</v>
      </c>
      <c r="D16" s="206">
        <v>32.0</v>
      </c>
    </row>
    <row r="17">
      <c r="A17" s="207">
        <f>IFERROR(__xludf.DUMMYFUNCTION("""COMPUTED_VALUE"""),20.0)</f>
        <v>20</v>
      </c>
      <c r="B17" s="207" t="str">
        <f>IFERROR(__xludf.DUMMYFUNCTION("""COMPUTED_VALUE"""),"시 공무원 장례비 지원 및 사망조위금 신청방법은?")</f>
        <v>시 공무원 장례비 지원 및 사망조위금 신청방법은?</v>
      </c>
      <c r="D17" s="206">
        <v>33.0</v>
      </c>
    </row>
    <row r="18">
      <c r="A18" s="207">
        <f>IFERROR(__xludf.DUMMYFUNCTION("""COMPUTED_VALUE"""),22.0)</f>
        <v>22</v>
      </c>
      <c r="B18" s="207" t="str">
        <f>IFERROR(__xludf.DUMMYFUNCTION("""COMPUTED_VALUE"""),"회의실 예약은 어떻게 하나요?")</f>
        <v>회의실 예약은 어떻게 하나요?</v>
      </c>
      <c r="D18" s="206">
        <v>34.0</v>
      </c>
    </row>
    <row r="19">
      <c r="A19" s="207">
        <f>IFERROR(__xludf.DUMMYFUNCTION("""COMPUTED_VALUE"""),24.0)</f>
        <v>24</v>
      </c>
      <c r="B19" s="207" t="str">
        <f>IFERROR(__xludf.DUMMYFUNCTION("""COMPUTED_VALUE"""),"임기제공무원은 어떻게 임용되나요?")</f>
        <v>임기제공무원은 어떻게 임용되나요?</v>
      </c>
      <c r="D19" s="206">
        <v>35.0</v>
      </c>
    </row>
    <row r="20">
      <c r="A20" s="207">
        <f>IFERROR(__xludf.DUMMYFUNCTION("""COMPUTED_VALUE"""),32.0)</f>
        <v>32</v>
      </c>
      <c r="B20" s="207" t="str">
        <f>IFERROR(__xludf.DUMMYFUNCTION("""COMPUTED_VALUE"""),"데이터산업 혁신생태계 조성 전략의 내용은?")</f>
        <v>데이터산업 혁신생태계 조성 전략의 내용은?</v>
      </c>
      <c r="D20" s="206">
        <v>36.0</v>
      </c>
    </row>
    <row r="21">
      <c r="A21" s="207">
        <f>IFERROR(__xludf.DUMMYFUNCTION("""COMPUTED_VALUE"""),33.0)</f>
        <v>33</v>
      </c>
      <c r="B21" s="207" t="str">
        <f>IFERROR(__xludf.DUMMYFUNCTION("""COMPUTED_VALUE"""),"데이터 활용 지원센터(빅데이터혁신센터)의 혁신성장 데이터 챌린지 프로그램은 어떤 것들이 있나요?")</f>
        <v>데이터 활용 지원센터(빅데이터혁신센터)의 혁신성장 데이터 챌린지 프로그램은 어떤 것들이 있나요?</v>
      </c>
      <c r="D21" s="206">
        <v>37.0</v>
      </c>
    </row>
    <row r="22">
      <c r="A22" s="207">
        <f>IFERROR(__xludf.DUMMYFUNCTION("""COMPUTED_VALUE"""),34.0)</f>
        <v>34</v>
      </c>
      <c r="B22" s="207" t="str">
        <f>IFERROR(__xludf.DUMMYFUNCTION("""COMPUTED_VALUE"""),"부산광역시 데이터 활용 및 데이터산업 육성에 관한 조례에 따른 기본계획의 수립 내용은?")</f>
        <v>부산광역시 데이터 활용 및 데이터산업 육성에 관한 조례에 따른 기본계획의 수립 내용은?</v>
      </c>
      <c r="D22" s="206">
        <v>38.0</v>
      </c>
    </row>
    <row r="23">
      <c r="A23" s="207">
        <f>IFERROR(__xludf.DUMMYFUNCTION("""COMPUTED_VALUE"""),35.0)</f>
        <v>35</v>
      </c>
      <c r="B23" s="207" t="str">
        <f>IFERROR(__xludf.DUMMYFUNCTION("""COMPUTED_VALUE"""),"공공데이터 포털에 공공데이터를 등록하는 절차가 무엇인가요?")</f>
        <v>공공데이터 포털에 공공데이터를 등록하는 절차가 무엇인가요?</v>
      </c>
      <c r="D23" s="206">
        <v>39.0</v>
      </c>
    </row>
    <row r="24">
      <c r="A24" s="207">
        <f>IFERROR(__xludf.DUMMYFUNCTION("""COMPUTED_VALUE"""),36.0)</f>
        <v>36</v>
      </c>
      <c r="B24" s="207" t="str">
        <f>IFERROR(__xludf.DUMMYFUNCTION("""COMPUTED_VALUE"""),"공공데이터 목록과 제공 대상 공공데이터의 차이는 무엇인가요?")</f>
        <v>공공데이터 목록과 제공 대상 공공데이터의 차이는 무엇인가요?</v>
      </c>
      <c r="D24" s="206">
        <v>40.0</v>
      </c>
    </row>
    <row r="25">
      <c r="A25" s="207">
        <f>IFERROR(__xludf.DUMMYFUNCTION("""COMPUTED_VALUE"""),37.0)</f>
        <v>37</v>
      </c>
      <c r="B25" s="207" t="str">
        <f>IFERROR(__xludf.DUMMYFUNCTION("""COMPUTED_VALUE"""),"공공데이터 제공 표준이 무엇인가요?")</f>
        <v>공공데이터 제공 표준이 무엇인가요?</v>
      </c>
      <c r="D25" s="206">
        <v>41.0</v>
      </c>
    </row>
    <row r="26">
      <c r="A26" s="207">
        <f>IFERROR(__xludf.DUMMYFUNCTION("""COMPUTED_VALUE"""),38.0)</f>
        <v>38</v>
      </c>
      <c r="B26" s="207" t="str">
        <f>IFERROR(__xludf.DUMMYFUNCTION("""COMPUTED_VALUE"""),"가명정보 처리가 가능한 목적은 무엇인가요?")</f>
        <v>가명정보 처리가 가능한 목적은 무엇인가요?</v>
      </c>
      <c r="D26" s="206">
        <v>42.0</v>
      </c>
    </row>
    <row r="27">
      <c r="A27" s="207">
        <f>IFERROR(__xludf.DUMMYFUNCTION("""COMPUTED_VALUE"""),39.0)</f>
        <v>39</v>
      </c>
      <c r="B27" s="207" t="str">
        <f>IFERROR(__xludf.DUMMYFUNCTION("""COMPUTED_VALUE"""),"가명정보 처리 시 개인정보 주체의 동의가 반드시 필요한가요?")</f>
        <v>가명정보 처리 시 개인정보 주체의 동의가 반드시 필요한가요?</v>
      </c>
      <c r="D27" s="206">
        <v>43.0</v>
      </c>
    </row>
    <row r="28">
      <c r="A28" s="207">
        <f>IFERROR(__xludf.DUMMYFUNCTION("""COMPUTED_VALUE"""),40.0)</f>
        <v>40</v>
      </c>
      <c r="B28" s="207" t="str">
        <f>IFERROR(__xludf.DUMMYFUNCTION("""COMPUTED_VALUE"""),"가명정보를 제3자에게 제공할 때 특별한 조치가 필요한가요?")</f>
        <v>가명정보를 제3자에게 제공할 때 특별한 조치가 필요한가요?</v>
      </c>
      <c r="D28" s="206">
        <v>45.0</v>
      </c>
    </row>
    <row r="29">
      <c r="A29" s="207">
        <f>IFERROR(__xludf.DUMMYFUNCTION("""COMPUTED_VALUE"""),41.0)</f>
        <v>41</v>
      </c>
      <c r="B29" s="207" t="str">
        <f>IFERROR(__xludf.DUMMYFUNCTION("""COMPUTED_VALUE"""),"비정형 데이터의 가명처리 시 유의할 사항은 무엇인가요?")</f>
        <v>비정형 데이터의 가명처리 시 유의할 사항은 무엇인가요?</v>
      </c>
      <c r="D29" s="206">
        <v>49.0</v>
      </c>
    </row>
    <row r="30">
      <c r="A30" s="207">
        <f>IFERROR(__xludf.DUMMYFUNCTION("""COMPUTED_VALUE"""),42.0)</f>
        <v>42</v>
      </c>
      <c r="B30" s="207" t="str">
        <f>IFERROR(__xludf.DUMMYFUNCTION("""COMPUTED_VALUE"""),"부산광역시에서 생산하는 통계는 어떤 것들이 있나요?")</f>
        <v>부산광역시에서 생산하는 통계는 어떤 것들이 있나요?</v>
      </c>
      <c r="D30" s="206">
        <v>50.0</v>
      </c>
    </row>
    <row r="31">
      <c r="A31" s="207">
        <f>IFERROR(__xludf.DUMMYFUNCTION("""COMPUTED_VALUE"""),43.0)</f>
        <v>43</v>
      </c>
      <c r="B31" s="207" t="str">
        <f>IFERROR(__xludf.DUMMYFUNCTION("""COMPUTED_VALUE"""),"내부 지침 및 조례를 빠르게 찾고 싶은데 어떻게 하나요?")</f>
        <v>내부 지침 및 조례를 빠르게 찾고 싶은데 어떻게 하나요?</v>
      </c>
      <c r="D31" s="206">
        <v>51.0</v>
      </c>
    </row>
    <row r="32">
      <c r="A32" s="207">
        <f>IFERROR(__xludf.DUMMYFUNCTION("""COMPUTED_VALUE"""),45.0)</f>
        <v>45</v>
      </c>
      <c r="B32" s="207" t="str">
        <f>IFERROR(__xludf.DUMMYFUNCTION("""COMPUTED_VALUE"""),"문서 보존기간은 얼마인가요?")</f>
        <v>문서 보존기간은 얼마인가요?</v>
      </c>
      <c r="D32" s="206">
        <v>53.0</v>
      </c>
    </row>
    <row r="33">
      <c r="A33" s="207">
        <f>IFERROR(__xludf.DUMMYFUNCTION("""COMPUTED_VALUE"""),46.0)</f>
        <v>46</v>
      </c>
      <c r="B33" s="207" t="str">
        <f>IFERROR(__xludf.DUMMYFUNCTION("""COMPUTED_VALUE"""),"직원대상 후생복지 내용을 보는 방법이 있나요?")</f>
        <v>직원대상 후생복지 내용을 보는 방법이 있나요?</v>
      </c>
      <c r="D33" s="206">
        <v>54.0</v>
      </c>
    </row>
    <row r="34">
      <c r="A34" s="207">
        <f>IFERROR(__xludf.DUMMYFUNCTION("""COMPUTED_VALUE"""),49.0)</f>
        <v>49</v>
      </c>
      <c r="B34" s="207" t="str">
        <f>IFERROR(__xludf.DUMMYFUNCTION("""COMPUTED_VALUE"""),"금액별 수의, 조달, 계약 절차 매뉴얼을 찾고 싶어요")</f>
        <v>금액별 수의, 조달, 계약 절차 매뉴얼을 찾고 싶어요</v>
      </c>
      <c r="D34" s="206">
        <v>55.0</v>
      </c>
    </row>
    <row r="35">
      <c r="A35" s="207">
        <f>IFERROR(__xludf.DUMMYFUNCTION("""COMPUTED_VALUE"""),50.0)</f>
        <v>50</v>
      </c>
      <c r="B35" s="207" t="str">
        <f>IFERROR(__xludf.DUMMYFUNCTION("""COMPUTED_VALUE"""),"DRM, 네트워크접근제어 아이디, 패스워드 찾는 매뉴얼이 있나요?")</f>
        <v>DRM, 네트워크접근제어 아이디, 패스워드 찾는 매뉴얼이 있나요?</v>
      </c>
      <c r="D35" s="206">
        <v>56.0</v>
      </c>
    </row>
    <row r="36">
      <c r="A36" s="207">
        <f>IFERROR(__xludf.DUMMYFUNCTION("""COMPUTED_VALUE"""),51.0)</f>
        <v>51</v>
      </c>
      <c r="B36" s="207" t="str">
        <f>IFERROR(__xludf.DUMMYFUNCTION("""COMPUTED_VALUE"""),"온나라 2.0 이후 많이 발생하는 오류 사례집이 있나요?")</f>
        <v>온나라 2.0 이후 많이 발생하는 오류 사례집이 있나요?</v>
      </c>
      <c r="D36" s="206">
        <v>60.0</v>
      </c>
    </row>
    <row r="37">
      <c r="A37" s="207">
        <f>IFERROR(__xludf.DUMMYFUNCTION("""COMPUTED_VALUE"""),53.0)</f>
        <v>53</v>
      </c>
      <c r="B37" s="207" t="str">
        <f>IFERROR(__xludf.DUMMYFUNCTION("""COMPUTED_VALUE"""),"공용차량 신청방법")</f>
        <v>공용차량 신청방법</v>
      </c>
      <c r="D37" s="206">
        <v>62.0</v>
      </c>
    </row>
    <row r="38">
      <c r="A38" s="207">
        <f>IFERROR(__xludf.DUMMYFUNCTION("""COMPUTED_VALUE"""),54.0)</f>
        <v>54</v>
      </c>
      <c r="B38" s="207" t="str">
        <f>IFERROR(__xludf.DUMMYFUNCTION("""COMPUTED_VALUE"""),"공무원증 재발급 방법")</f>
        <v>공무원증 재발급 방법</v>
      </c>
      <c r="D38" s="206">
        <v>65.0</v>
      </c>
    </row>
    <row r="39">
      <c r="A39" s="207">
        <f>IFERROR(__xludf.DUMMYFUNCTION("""COMPUTED_VALUE"""),55.0)</f>
        <v>55</v>
      </c>
      <c r="B39" s="207" t="str">
        <f>IFERROR(__xludf.DUMMYFUNCTION("""COMPUTED_VALUE"""),"네트워크 차단 시 조치방법")</f>
        <v>네트워크 차단 시 조치방법</v>
      </c>
      <c r="D39" s="206">
        <v>71.0</v>
      </c>
    </row>
    <row r="40">
      <c r="A40" s="207">
        <f>IFERROR(__xludf.DUMMYFUNCTION("""COMPUTED_VALUE"""),56.0)</f>
        <v>56</v>
      </c>
      <c r="B40" s="207" t="str">
        <f>IFERROR(__xludf.DUMMYFUNCTION("""COMPUTED_VALUE"""),"도모헌공간 신청방법")</f>
        <v>도모헌공간 신청방법</v>
      </c>
      <c r="D40" s="206">
        <v>72.0</v>
      </c>
    </row>
    <row r="41">
      <c r="A41" s="207">
        <f>IFERROR(__xludf.DUMMYFUNCTION("""COMPUTED_VALUE"""),57.0)</f>
        <v>57</v>
      </c>
      <c r="B41" s="207" t="str">
        <f>IFERROR(__xludf.DUMMYFUNCTION("""COMPUTED_VALUE"""),"부산시 공무원 복지지원 프로그램 총괄 ")</f>
        <v>부산시 공무원 복지지원 프로그램 총괄 </v>
      </c>
      <c r="D41" s="206">
        <v>75.0</v>
      </c>
    </row>
    <row r="42">
      <c r="A42" s="207">
        <f>IFERROR(__xludf.DUMMYFUNCTION("""COMPUTED_VALUE"""),60.0)</f>
        <v>60</v>
      </c>
      <c r="B42" s="207" t="str">
        <f>IFERROR(__xludf.DUMMYFUNCTION("""COMPUTED_VALUE"""),"보안 USB 반출 및 반입 절차는?")</f>
        <v>보안 USB 반출 및 반입 절차는?</v>
      </c>
      <c r="D42" s="206">
        <v>76.0</v>
      </c>
    </row>
    <row r="43">
      <c r="A43" s="207">
        <f>IFERROR(__xludf.DUMMYFUNCTION("""COMPUTED_VALUE"""),62.0)</f>
        <v>62</v>
      </c>
      <c r="B43" s="207" t="str">
        <f>IFERROR(__xludf.DUMMYFUNCTION("""COMPUTED_VALUE"""),"구청에서 근무 중인 시직원도 장기재직 휴가 쓸 수 있나요?")</f>
        <v>구청에서 근무 중인 시직원도 장기재직 휴가 쓸 수 있나요?</v>
      </c>
      <c r="D43" s="206">
        <v>77.0</v>
      </c>
    </row>
    <row r="44">
      <c r="A44" s="207">
        <f>IFERROR(__xludf.DUMMYFUNCTION("""COMPUTED_VALUE"""),64.0)</f>
        <v>64</v>
      </c>
      <c r="B44" s="207" t="str">
        <f>IFERROR(__xludf.DUMMYFUNCTION("""COMPUTED_VALUE"""),"4시간 미만 관외출장의 경우 일비 및 식비 정액 지급하는지?")</f>
        <v>4시간 미만 관외출장의 경우 일비 및 식비 정액 지급하는지?</v>
      </c>
      <c r="D44" s="206">
        <v>78.0</v>
      </c>
    </row>
    <row r="45">
      <c r="A45" s="207">
        <f>IFERROR(__xludf.DUMMYFUNCTION("""COMPUTED_VALUE"""),65.0)</f>
        <v>65</v>
      </c>
      <c r="B45" s="207" t="str">
        <f>IFERROR(__xludf.DUMMYFUNCTION("""COMPUTED_VALUE"""),"출장 시간 계산 시 18시 근무시간 이후 시간도 포함해야 하는지?")</f>
        <v>출장 시간 계산 시 18시 근무시간 이후 시간도 포함해야 하는지?</v>
      </c>
      <c r="D45" s="206">
        <v>79.0</v>
      </c>
    </row>
    <row r="46">
      <c r="A46" s="207">
        <f>IFERROR(__xludf.DUMMYFUNCTION("""COMPUTED_VALUE"""),71.0)</f>
        <v>71</v>
      </c>
      <c r="B46" s="207" t="str">
        <f>IFERROR(__xludf.DUMMYFUNCTION("""COMPUTED_VALUE"""),"구군에서 전입오고 처음으로 정보공개청구포털에 로그인하려니 안되는데, 어떻게 해야 하나요?")</f>
        <v>구군에서 전입오고 처음으로 정보공개청구포털에 로그인하려니 안되는데, 어떻게 해야 하나요?</v>
      </c>
      <c r="D46" s="206">
        <v>80.0</v>
      </c>
    </row>
    <row r="47">
      <c r="A47" s="207">
        <f>IFERROR(__xludf.DUMMYFUNCTION("""COMPUTED_VALUE"""),72.0)</f>
        <v>72</v>
      </c>
      <c r="B47" s="207" t="str">
        <f>IFERROR(__xludf.DUMMYFUNCTION("""COMPUTED_VALUE"""),"인건비 편성할 때 정원, 현원 중 어떤 기준으로 산출해야 하는지 알려주세요")</f>
        <v>인건비 편성할 때 정원, 현원 중 어떤 기준으로 산출해야 하는지 알려주세요</v>
      </c>
      <c r="D47" s="206">
        <v>85.0</v>
      </c>
    </row>
    <row r="48">
      <c r="A48" s="207">
        <f>IFERROR(__xludf.DUMMYFUNCTION("""COMPUTED_VALUE"""),75.0)</f>
        <v>75</v>
      </c>
      <c r="B48" s="207" t="str">
        <f>IFERROR(__xludf.DUMMYFUNCTION("""COMPUTED_VALUE"""),"(공사,용역,물품) 계약 시 필요한 서류가 뭐가 있는지 알려주세요")</f>
        <v>(공사,용역,물품) 계약 시 필요한 서류가 뭐가 있는지 알려주세요</v>
      </c>
      <c r="D48" s="206">
        <v>90.0</v>
      </c>
    </row>
    <row r="49">
      <c r="A49" s="207">
        <f>IFERROR(__xludf.DUMMYFUNCTION("""COMPUTED_VALUE"""),76.0)</f>
        <v>76</v>
      </c>
      <c r="B49" s="207" t="str">
        <f>IFERROR(__xludf.DUMMYFUNCTION("""COMPUTED_VALUE"""),"온나라 접수 문서를 부서원들도 열람할 수 없도록 하는 방법을 알려주세요")</f>
        <v>온나라 접수 문서를 부서원들도 열람할 수 없도록 하는 방법을 알려주세요</v>
      </c>
      <c r="D49" s="206">
        <v>95.0</v>
      </c>
    </row>
    <row r="50">
      <c r="A50" s="207">
        <f>IFERROR(__xludf.DUMMYFUNCTION("""COMPUTED_VALUE"""),77.0)</f>
        <v>77</v>
      </c>
      <c r="B50" s="207" t="str">
        <f>IFERROR(__xludf.DUMMYFUNCTION("""COMPUTED_VALUE"""),"(공사,용역,물품) 계약 선금 신청 및 지급 절차를 알려주세요")</f>
        <v>(공사,용역,물품) 계약 선금 신청 및 지급 절차를 알려주세요</v>
      </c>
      <c r="D50" s="206">
        <v>97.0</v>
      </c>
    </row>
    <row r="51">
      <c r="A51" s="207">
        <f>IFERROR(__xludf.DUMMYFUNCTION("""COMPUTED_VALUE"""),78.0)</f>
        <v>78</v>
      </c>
      <c r="B51" s="207" t="str">
        <f>IFERROR(__xludf.DUMMYFUNCTION("""COMPUTED_VALUE"""),"(공사,용역,물품) 계약 시 지역제한임찰 대상 금액을 알려주세요")</f>
        <v>(공사,용역,물품) 계약 시 지역제한임찰 대상 금액을 알려주세요</v>
      </c>
      <c r="D51" s="206">
        <v>99.0</v>
      </c>
    </row>
    <row r="52">
      <c r="A52" s="207">
        <f>IFERROR(__xludf.DUMMYFUNCTION("""COMPUTED_VALUE"""),79.0)</f>
        <v>79</v>
      </c>
      <c r="B52" s="207" t="str">
        <f>IFERROR(__xludf.DUMMYFUNCTION("""COMPUTED_VALUE"""),"온나라 지식행정에 접속하면 흰창만 나오는데, 어떻게 해결해야하나요?")</f>
        <v>온나라 지식행정에 접속하면 흰창만 나오는데, 어떻게 해결해야하나요?</v>
      </c>
      <c r="D52" s="206">
        <v>100.0</v>
      </c>
    </row>
    <row r="53">
      <c r="A53" s="207">
        <f>IFERROR(__xludf.DUMMYFUNCTION("""COMPUTED_VALUE"""),80.0)</f>
        <v>80</v>
      </c>
      <c r="B53" s="207" t="str">
        <f>IFERROR(__xludf.DUMMYFUNCTION("""COMPUTED_VALUE"""),"장기재직휴가 신청 절차는?")</f>
        <v>장기재직휴가 신청 절차는?</v>
      </c>
      <c r="D53" s="206">
        <v>101.0</v>
      </c>
    </row>
    <row r="54">
      <c r="A54" s="207">
        <f>IFERROR(__xludf.DUMMYFUNCTION("""COMPUTED_VALUE"""),81.0)</f>
        <v>81</v>
      </c>
      <c r="B54" s="207" t="str">
        <f>IFERROR(__xludf.DUMMYFUNCTION("""COMPUTED_VALUE"""),"직원 단체보장보험 보장내용 및 실비 등 청구 방법은?")</f>
        <v>직원 단체보장보험 보장내용 및 실비 등 청구 방법은?</v>
      </c>
      <c r="D54" s="206">
        <v>103.0</v>
      </c>
    </row>
    <row r="55">
      <c r="A55" s="207">
        <f>IFERROR(__xludf.DUMMYFUNCTION("""COMPUTED_VALUE"""),82.0)</f>
        <v>82</v>
      </c>
      <c r="B55" s="207" t="str">
        <f>IFERROR(__xludf.DUMMYFUNCTION("""COMPUTED_VALUE"""),"PC 네트워크 비밀번호 분실 시 해결방법은?")</f>
        <v>PC 네트워크 비밀번호 분실 시 해결방법은?</v>
      </c>
      <c r="D55" s="206">
        <v>105.0</v>
      </c>
    </row>
    <row r="56">
      <c r="A56" s="207">
        <f>IFERROR(__xludf.DUMMYFUNCTION("""COMPUTED_VALUE"""),85.0)</f>
        <v>85</v>
      </c>
      <c r="B56" s="207" t="str">
        <f>IFERROR(__xludf.DUMMYFUNCTION("""COMPUTED_VALUE"""),"예산편성 관련 사전절차는 어떤게 있으며 이행여부 조회할 수 있는 방법은?")</f>
        <v>예산편성 관련 사전절차는 어떤게 있으며 이행여부 조회할 수 있는 방법은?</v>
      </c>
      <c r="D56" s="206">
        <v>106.0</v>
      </c>
    </row>
    <row r="57">
      <c r="A57" s="207">
        <f>IFERROR(__xludf.DUMMYFUNCTION("""COMPUTED_VALUE"""),90.0)</f>
        <v>90</v>
      </c>
      <c r="B57" s="207" t="str">
        <f>IFERROR(__xludf.DUMMYFUNCTION("""COMPUTED_VALUE"""),"사업예산 편성 시 총사업비와 국비사업비의 금액에 따라 거쳐야 될 사전절차에는 어떤 것이 있나요?")</f>
        <v>사업예산 편성 시 총사업비와 국비사업비의 금액에 따라 거쳐야 될 사전절차에는 어떤 것이 있나요?</v>
      </c>
      <c r="D57" s="206">
        <v>108.0</v>
      </c>
    </row>
    <row r="58">
      <c r="A58" s="207">
        <f>IFERROR(__xludf.DUMMYFUNCTION("""COMPUTED_VALUE"""),95.0)</f>
        <v>95</v>
      </c>
      <c r="B58" s="207" t="str">
        <f>IFERROR(__xludf.DUMMYFUNCTION("""COMPUTED_VALUE"""),"부산시 업무협약 체결할때, 의회 사전동의 유무, 협약서 검토 등 구체적인 절차를 알려줘~")</f>
        <v>부산시 업무협약 체결할때, 의회 사전동의 유무, 협약서 검토 등 구체적인 절차를 알려줘~</v>
      </c>
      <c r="D58" s="206">
        <v>114.0</v>
      </c>
    </row>
    <row r="59">
      <c r="A59" s="207">
        <f>IFERROR(__xludf.DUMMYFUNCTION("""COMPUTED_VALUE"""),97.0)</f>
        <v>97</v>
      </c>
      <c r="B59" s="207" t="str">
        <f>IFERROR(__xludf.DUMMYFUNCTION("""COMPUTED_VALUE"""),"시차출퇴근제 신청 한 날 반가를 쓰면 퇴근을 지정해야하는지? 유연근무제 복무 유의사항은 무엇이 있을까?")</f>
        <v>시차출퇴근제 신청 한 날 반가를 쓰면 퇴근을 지정해야하는지? 유연근무제 복무 유의사항은 무엇이 있을까?</v>
      </c>
      <c r="D59" s="206">
        <v>117.0</v>
      </c>
    </row>
    <row r="60">
      <c r="A60" s="207">
        <f>IFERROR(__xludf.DUMMYFUNCTION("""COMPUTED_VALUE"""),99.0)</f>
        <v>99</v>
      </c>
      <c r="B60" s="207" t="str">
        <f>IFERROR(__xludf.DUMMYFUNCTION("""COMPUTED_VALUE"""),"탄력근무제 관련해서 자세한 매뉴얼이 있나요")</f>
        <v>탄력근무제 관련해서 자세한 매뉴얼이 있나요</v>
      </c>
      <c r="D60" s="206">
        <v>120.0</v>
      </c>
    </row>
    <row r="61">
      <c r="A61" s="207">
        <f>IFERROR(__xludf.DUMMYFUNCTION("""COMPUTED_VALUE"""),100.0)</f>
        <v>100</v>
      </c>
      <c r="B61" s="207" t="str">
        <f>IFERROR(__xludf.DUMMYFUNCTION("""COMPUTED_VALUE"""),"DRM, 네트워크 인증 등 신규직원이 컴퓨터 사용에 알아야할 것들에 대해 정리해주세요.")</f>
        <v>DRM, 네트워크 인증 등 신규직원이 컴퓨터 사용에 알아야할 것들에 대해 정리해주세요.</v>
      </c>
      <c r="D61" s="206">
        <v>121.0</v>
      </c>
    </row>
    <row r="62">
      <c r="A62" s="207">
        <f>IFERROR(__xludf.DUMMYFUNCTION("""COMPUTED_VALUE"""),101.0)</f>
        <v>101</v>
      </c>
      <c r="B62" s="207" t="str">
        <f>IFERROR(__xludf.DUMMYFUNCTION("""COMPUTED_VALUE"""),"부서에서 회계과로 계약요청을 하기 위한 절차는 어떻게 되나요")</f>
        <v>부서에서 회계과로 계약요청을 하기 위한 절차는 어떻게 되나요</v>
      </c>
      <c r="D62" s="206">
        <v>123.0</v>
      </c>
    </row>
    <row r="63">
      <c r="A63" s="207">
        <f>IFERROR(__xludf.DUMMYFUNCTION("""COMPUTED_VALUE"""),102.0)</f>
        <v>102</v>
      </c>
      <c r="B63" s="207" t="str">
        <f>IFERROR(__xludf.DUMMYFUNCTION("""COMPUTED_VALUE"""),"인사상담은 쪽지로 담당자한테 연락하는 방법 외에는 없나요")</f>
        <v>인사상담은 쪽지로 담당자한테 연락하는 방법 외에는 없나요</v>
      </c>
      <c r="D63" s="206">
        <v>124.0</v>
      </c>
    </row>
    <row r="64">
      <c r="A64" s="207">
        <f>IFERROR(__xludf.DUMMYFUNCTION("""COMPUTED_VALUE"""),103.0)</f>
        <v>103</v>
      </c>
      <c r="B64" s="207" t="str">
        <f>IFERROR(__xludf.DUMMYFUNCTION("""COMPUTED_VALUE"""),"전화기 통화 녹음 하는 방법 및 매뉴얼 알려주세요")</f>
        <v>전화기 통화 녹음 하는 방법 및 매뉴얼 알려주세요</v>
      </c>
      <c r="D64" s="206">
        <v>125.0</v>
      </c>
    </row>
    <row r="65">
      <c r="A65" s="207">
        <f>IFERROR(__xludf.DUMMYFUNCTION("""COMPUTED_VALUE"""),105.0)</f>
        <v>105</v>
      </c>
      <c r="B65" s="207" t="str">
        <f>IFERROR(__xludf.DUMMYFUNCTION("""COMPUTED_VALUE"""),"악성민원 응대 및 대응관련 매뉴얼 알려주세요.")</f>
        <v>악성민원 응대 및 대응관련 매뉴얼 알려주세요.</v>
      </c>
      <c r="D65" s="206">
        <v>127.0</v>
      </c>
    </row>
    <row r="66">
      <c r="A66" s="207">
        <f>IFERROR(__xludf.DUMMYFUNCTION("""COMPUTED_VALUE"""),106.0)</f>
        <v>106</v>
      </c>
      <c r="B66" s="207" t="str">
        <f>IFERROR(__xludf.DUMMYFUNCTION("""COMPUTED_VALUE"""),"근무시간 중 개인사정으로 연가(외출)사용 후 돌아와서 시간외근무를 하면 시간외근무가 인정이 되는지 여부가 궁금해요.")</f>
        <v>근무시간 중 개인사정으로 연가(외출)사용 후 돌아와서 시간외근무를 하면 시간외근무가 인정이 되는지 여부가 궁금해요.</v>
      </c>
      <c r="D66" s="206">
        <v>128.0</v>
      </c>
    </row>
    <row r="67">
      <c r="A67" s="207">
        <f>IFERROR(__xludf.DUMMYFUNCTION("""COMPUTED_VALUE"""),108.0)</f>
        <v>108</v>
      </c>
      <c r="B67" s="207" t="str">
        <f>IFERROR(__xludf.DUMMYFUNCTION("""COMPUTED_VALUE"""),"인사랑 접속이 안될 때 해결방안은?")</f>
        <v>인사랑 접속이 안될 때 해결방안은?</v>
      </c>
      <c r="D67" s="206">
        <v>129.0</v>
      </c>
    </row>
    <row r="68">
      <c r="A68" s="207">
        <f>IFERROR(__xludf.DUMMYFUNCTION("""COMPUTED_VALUE"""),109.0)</f>
        <v>109</v>
      </c>
      <c r="B68" s="207" t="str">
        <f>IFERROR(__xludf.DUMMYFUNCTION("""COMPUTED_VALUE"""),"긴급출퇴근 링크는?")</f>
        <v>긴급출퇴근 링크는?</v>
      </c>
      <c r="D68" s="206">
        <v>135.0</v>
      </c>
    </row>
    <row r="69">
      <c r="A69" s="207">
        <f>IFERROR(__xludf.DUMMYFUNCTION("""COMPUTED_VALUE"""),114.0)</f>
        <v>114</v>
      </c>
      <c r="B69" s="207" t="str">
        <f>IFERROR(__xludf.DUMMYFUNCTION("""COMPUTED_VALUE"""),"용역 계약 절차가 어떻게 되나요")</f>
        <v>용역 계약 절차가 어떻게 되나요</v>
      </c>
      <c r="D69" s="206">
        <v>138.0</v>
      </c>
    </row>
    <row r="70">
      <c r="A70" s="207">
        <f>IFERROR(__xludf.DUMMYFUNCTION("""COMPUTED_VALUE"""),117.0)</f>
        <v>117</v>
      </c>
      <c r="B70" s="207" t="str">
        <f>IFERROR(__xludf.DUMMYFUNCTION("""COMPUTED_VALUE"""),"시 청사 내 편의시설 정보 상세히 안내해주세요")</f>
        <v>시 청사 내 편의시설 정보 상세히 안내해주세요</v>
      </c>
      <c r="E70" s="206">
        <v>143.0</v>
      </c>
      <c r="F70" s="206" t="s">
        <v>2660</v>
      </c>
    </row>
    <row r="71">
      <c r="A71" s="207">
        <f>IFERROR(__xludf.DUMMYFUNCTION("""COMPUTED_VALUE"""),118.0)</f>
        <v>118</v>
      </c>
      <c r="B71" s="207" t="str">
        <f>IFERROR(__xludf.DUMMYFUNCTION("""COMPUTED_VALUE"""),"근무성적평정의 평정 순서는 어떻게 되나요?")</f>
        <v>근무성적평정의 평정 순서는 어떻게 되나요?</v>
      </c>
      <c r="D71" s="206">
        <v>144.0</v>
      </c>
    </row>
    <row r="72">
      <c r="A72" s="207">
        <f>IFERROR(__xludf.DUMMYFUNCTION("""COMPUTED_VALUE"""),120.0)</f>
        <v>120</v>
      </c>
      <c r="B72" s="207" t="str">
        <f>IFERROR(__xludf.DUMMYFUNCTION("""COMPUTED_VALUE"""),"시 본청 당직시 주의사항에 대해서 알려줘")</f>
        <v>시 본청 당직시 주의사항에 대해서 알려줘</v>
      </c>
      <c r="D72" s="206">
        <v>145.0</v>
      </c>
    </row>
    <row r="73">
      <c r="A73" s="207">
        <f>IFERROR(__xludf.DUMMYFUNCTION("""COMPUTED_VALUE"""),121.0)</f>
        <v>121</v>
      </c>
      <c r="B73" s="207" t="str">
        <f>IFERROR(__xludf.DUMMYFUNCTION("""COMPUTED_VALUE"""),"시 본청 주차장 승용차 요일제에 대해서 알려줘")</f>
        <v>시 본청 주차장 승용차 요일제에 대해서 알려줘</v>
      </c>
      <c r="D73" s="206">
        <v>147.0</v>
      </c>
    </row>
    <row r="74">
      <c r="A74" s="207">
        <f>IFERROR(__xludf.DUMMYFUNCTION("""COMPUTED_VALUE"""),123.0)</f>
        <v>123</v>
      </c>
      <c r="B74" s="207" t="str">
        <f>IFERROR(__xludf.DUMMYFUNCTION("""COMPUTED_VALUE"""),"사무관리비로 선풍기를 구입할 수 있나요?")</f>
        <v>사무관리비로 선풍기를 구입할 수 있나요?</v>
      </c>
      <c r="D74" s="206">
        <v>148.0</v>
      </c>
    </row>
    <row r="75">
      <c r="A75" s="207">
        <f>IFERROR(__xludf.DUMMYFUNCTION("""COMPUTED_VALUE"""),124.0)</f>
        <v>124</v>
      </c>
      <c r="B75" s="207" t="str">
        <f>IFERROR(__xludf.DUMMYFUNCTION("""COMPUTED_VALUE"""),"보도자료가 배포되는 과정에 대해서 알고싶어요")</f>
        <v>보도자료가 배포되는 과정에 대해서 알고싶어요</v>
      </c>
      <c r="D75" s="206">
        <v>150.0</v>
      </c>
    </row>
    <row r="76">
      <c r="A76" s="207">
        <f>IFERROR(__xludf.DUMMYFUNCTION("""COMPUTED_VALUE"""),125.0)</f>
        <v>125</v>
      </c>
      <c r="B76" s="207" t="str">
        <f>IFERROR(__xludf.DUMMYFUNCTION("""COMPUTED_VALUE"""),"현재 비어있는 시청 내 회의실은 어디가 있나요?")</f>
        <v>현재 비어있는 시청 내 회의실은 어디가 있나요?</v>
      </c>
      <c r="D76" s="206">
        <v>151.0</v>
      </c>
    </row>
    <row r="77">
      <c r="A77" s="207">
        <f>IFERROR(__xludf.DUMMYFUNCTION("""COMPUTED_VALUE"""),127.0)</f>
        <v>127</v>
      </c>
      <c r="B77" s="207" t="str">
        <f>IFERROR(__xludf.DUMMYFUNCTION("""COMPUTED_VALUE"""),"2024년과 2025년에 변경되는 주요 복지정책은 무엇이 있나요")</f>
        <v>2024년과 2025년에 변경되는 주요 복지정책은 무엇이 있나요</v>
      </c>
      <c r="D77" s="206">
        <v>152.0</v>
      </c>
    </row>
    <row r="78">
      <c r="A78" s="207">
        <f>IFERROR(__xludf.DUMMYFUNCTION("""COMPUTED_VALUE"""),128.0)</f>
        <v>128</v>
      </c>
      <c r="B78" s="207" t="str">
        <f>IFERROR(__xludf.DUMMYFUNCTION("""COMPUTED_VALUE"""),"장기재직휴가 기준 및 사용방법")</f>
        <v>장기재직휴가 기준 및 사용방법</v>
      </c>
      <c r="D78" s="206">
        <v>154.0</v>
      </c>
    </row>
    <row r="79">
      <c r="A79" s="207">
        <f>IFERROR(__xludf.DUMMYFUNCTION("""COMPUTED_VALUE"""),129.0)</f>
        <v>129</v>
      </c>
      <c r="B79" s="207" t="str">
        <f>IFERROR(__xludf.DUMMYFUNCTION("""COMPUTED_VALUE"""),"DRM 암호 초기화 방법")</f>
        <v>DRM 암호 초기화 방법</v>
      </c>
      <c r="D79" s="206">
        <v>156.0</v>
      </c>
    </row>
    <row r="80">
      <c r="A80" s="207">
        <f>IFERROR(__xludf.DUMMYFUNCTION("""COMPUTED_VALUE"""),130.0)</f>
        <v>130</v>
      </c>
      <c r="B80" s="207" t="str">
        <f>IFERROR(__xludf.DUMMYFUNCTION("""COMPUTED_VALUE"""),"인사고충 신청 방법")</f>
        <v>인사고충 신청 방법</v>
      </c>
      <c r="D80" s="206">
        <v>157.0</v>
      </c>
    </row>
    <row r="81">
      <c r="A81" s="207">
        <f>IFERROR(__xludf.DUMMYFUNCTION("""COMPUTED_VALUE"""),135.0)</f>
        <v>135</v>
      </c>
      <c r="B81" s="207" t="str">
        <f>IFERROR(__xludf.DUMMYFUNCTION("""COMPUTED_VALUE"""),"행정정보공동이용 권한 신청 방법")</f>
        <v>행정정보공동이용 권한 신청 방법</v>
      </c>
      <c r="E81" s="206">
        <v>160.0</v>
      </c>
      <c r="F81" s="206" t="s">
        <v>2660</v>
      </c>
    </row>
    <row r="82">
      <c r="A82" s="207">
        <f>IFERROR(__xludf.DUMMYFUNCTION("""COMPUTED_VALUE"""),138.0)</f>
        <v>138</v>
      </c>
      <c r="B82" s="207" t="str">
        <f>IFERROR(__xludf.DUMMYFUNCTION("""COMPUTED_VALUE"""),"급여 작업시 장기교육자 등에 대한 복리후생비, 수당 등 지급 계산식이 어떻게 되나요?")</f>
        <v>급여 작업시 장기교육자 등에 대한 복리후생비, 수당 등 지급 계산식이 어떻게 되나요?</v>
      </c>
      <c r="D82" s="206">
        <v>162.0</v>
      </c>
    </row>
    <row r="83">
      <c r="A83" s="207">
        <f>IFERROR(__xludf.DUMMYFUNCTION("""COMPUTED_VALUE"""),143.0)</f>
        <v>143</v>
      </c>
      <c r="B83" s="207" t="str">
        <f>IFERROR(__xludf.DUMMYFUNCTION("""COMPUTED_VALUE"""),"온톡 메신저에 부서원 순서를 바꾸고 싶어요")</f>
        <v>온톡 메신저에 부서원 순서를 바꾸고 싶어요</v>
      </c>
      <c r="D83" s="206">
        <v>165.0</v>
      </c>
    </row>
    <row r="84">
      <c r="A84" s="207">
        <f>IFERROR(__xludf.DUMMYFUNCTION("""COMPUTED_VALUE"""),144.0)</f>
        <v>144</v>
      </c>
      <c r="B84" s="207" t="str">
        <f>IFERROR(__xludf.DUMMYFUNCTION("""COMPUTED_VALUE"""),"1인당 1년치 급식비(매식비) 계산은 어떻게 하나요")</f>
        <v>1인당 1년치 급식비(매식비) 계산은 어떻게 하나요</v>
      </c>
      <c r="D84" s="206">
        <v>168.0</v>
      </c>
    </row>
    <row r="85">
      <c r="A85" s="207">
        <f>IFERROR(__xludf.DUMMYFUNCTION("""COMPUTED_VALUE"""),145.0)</f>
        <v>145</v>
      </c>
      <c r="B85" s="207" t="str">
        <f>IFERROR(__xludf.DUMMYFUNCTION("""COMPUTED_VALUE"""),"온톡 메신저에 담당업무 입력은 어떻게 하나요")</f>
        <v>온톡 메신저에 담당업무 입력은 어떻게 하나요</v>
      </c>
      <c r="D85" s="206">
        <v>170.0</v>
      </c>
    </row>
    <row r="86">
      <c r="A86" s="207">
        <f>IFERROR(__xludf.DUMMYFUNCTION("""COMPUTED_VALUE"""),147.0)</f>
        <v>147</v>
      </c>
      <c r="B86" s="207" t="str">
        <f>IFERROR(__xludf.DUMMYFUNCTION("""COMPUTED_VALUE"""),"보조금 교부를 위한 보탬이, 이나라도움 사용법은?")</f>
        <v>보조금 교부를 위한 보탬이, 이나라도움 사용법은?</v>
      </c>
      <c r="D86" s="206">
        <v>174.0</v>
      </c>
    </row>
    <row r="87">
      <c r="A87" s="207">
        <f>IFERROR(__xludf.DUMMYFUNCTION("""COMPUTED_VALUE"""),148.0)</f>
        <v>148</v>
      </c>
      <c r="B87" s="207" t="str">
        <f>IFERROR(__xludf.DUMMYFUNCTION("""COMPUTED_VALUE"""),"온나라 시스템을 통해 공문을 생산하였는데, 기안 당시에는 비공개 사유가 있었으나, 현재에는 해당 비공개 사유가 소멸했습니다. 이에 따라, 공개문서로 전환하고 싶은데, 방법이 어떻게 되나요?")</f>
        <v>온나라 시스템을 통해 공문을 생산하였는데, 기안 당시에는 비공개 사유가 있었으나, 현재에는 해당 비공개 사유가 소멸했습니다. 이에 따라, 공개문서로 전환하고 싶은데, 방법이 어떻게 되나요?</v>
      </c>
      <c r="D87" s="206">
        <v>175.0</v>
      </c>
    </row>
    <row r="88">
      <c r="A88" s="207">
        <f>IFERROR(__xludf.DUMMYFUNCTION("""COMPUTED_VALUE"""),150.0)</f>
        <v>150</v>
      </c>
      <c r="B88" s="207" t="str">
        <f>IFERROR(__xludf.DUMMYFUNCTION("""COMPUTED_VALUE"""),"다음달에 시청 1층 대강당을 예약하고 싶은데, 방법을 알고싶어요.")</f>
        <v>다음달에 시청 1층 대강당을 예약하고 싶은데, 방법을 알고싶어요.</v>
      </c>
      <c r="D88" s="206">
        <v>178.0</v>
      </c>
    </row>
    <row r="89">
      <c r="A89" s="207">
        <f>IFERROR(__xludf.DUMMYFUNCTION("""COMPUTED_VALUE"""),151.0)</f>
        <v>151</v>
      </c>
      <c r="B89" s="207" t="str">
        <f>IFERROR(__xludf.DUMMYFUNCTION("""COMPUTED_VALUE"""),"담당업무 관련으로 시청 직원의 설문조사가 필요한데, 어디에 게시해야 많은 사람들이 참여할 수 있을까요")</f>
        <v>담당업무 관련으로 시청 직원의 설문조사가 필요한데, 어디에 게시해야 많은 사람들이 참여할 수 있을까요</v>
      </c>
      <c r="D89" s="206">
        <v>179.0</v>
      </c>
    </row>
    <row r="90">
      <c r="A90" s="207">
        <f>IFERROR(__xludf.DUMMYFUNCTION("""COMPUTED_VALUE"""),152.0)</f>
        <v>152</v>
      </c>
      <c r="B90" s="207" t="str">
        <f>IFERROR(__xludf.DUMMYFUNCTION("""COMPUTED_VALUE"""),"시 공식 SNS에 담당업무를 홍보하고자 게시했으면 하는데, 의뢰 절차가 어떻게 되나요?")</f>
        <v>시 공식 SNS에 담당업무를 홍보하고자 게시했으면 하는데, 의뢰 절차가 어떻게 되나요?</v>
      </c>
      <c r="D90" s="206">
        <v>181.0</v>
      </c>
    </row>
    <row r="91">
      <c r="A91" s="207">
        <f>IFERROR(__xludf.DUMMYFUNCTION("""COMPUTED_VALUE"""),154.0)</f>
        <v>154</v>
      </c>
      <c r="B91" s="207" t="str">
        <f>IFERROR(__xludf.DUMMYFUNCTION("""COMPUTED_VALUE"""),"일반지출의 절차를 알고싶은데, 매뉴얼이나 교육자료를 어디에서 찾을 수 있나요?")</f>
        <v>일반지출의 절차를 알고싶은데, 매뉴얼이나 교육자료를 어디에서 찾을 수 있나요?</v>
      </c>
      <c r="D91" s="206">
        <v>184.0</v>
      </c>
    </row>
    <row r="92">
      <c r="A92" s="207">
        <f>IFERROR(__xludf.DUMMYFUNCTION("""COMPUTED_VALUE"""),155.0)</f>
        <v>155</v>
      </c>
      <c r="B92" s="207" t="str">
        <f>IFERROR(__xludf.DUMMYFUNCTION("""COMPUTED_VALUE"""),"한달동안만 유연근무제를 실시하고 싶은데, 일정기간만 유연근무제 신청할 수 있나요? 할 수 있다면 신청방법이 어떻게 되나요?")</f>
        <v>한달동안만 유연근무제를 실시하고 싶은데, 일정기간만 유연근무제 신청할 수 있나요? 할 수 있다면 신청방법이 어떻게 되나요?</v>
      </c>
      <c r="D92" s="206">
        <v>185.0</v>
      </c>
    </row>
    <row r="93">
      <c r="A93" s="207">
        <f>IFERROR(__xludf.DUMMYFUNCTION("""COMPUTED_VALUE"""),156.0)</f>
        <v>156</v>
      </c>
      <c r="B93" s="207" t="str">
        <f>IFERROR(__xludf.DUMMYFUNCTION("""COMPUTED_VALUE"""),"장기재직휴가는 재직기간 몇 년차부터 생기나요? 그리고 근속년수별로 정확한 휴가 부여 일수를 알고싶어요. ")</f>
        <v>장기재직휴가는 재직기간 몇 년차부터 생기나요? 그리고 근속년수별로 정확한 휴가 부여 일수를 알고싶어요. </v>
      </c>
      <c r="D93" s="206">
        <v>186.0</v>
      </c>
    </row>
    <row r="94">
      <c r="A94" s="207">
        <f>IFERROR(__xludf.DUMMYFUNCTION("""COMPUTED_VALUE"""),157.0)</f>
        <v>157</v>
      </c>
      <c r="B94" s="207" t="str">
        <f>IFERROR(__xludf.DUMMYFUNCTION("""COMPUTED_VALUE"""),"공무원의 연차별로 연가일수가 다른 거 같던데, 재직기간별로 연가가 며칠씩 부여되나요?")</f>
        <v>공무원의 연차별로 연가일수가 다른 거 같던데, 재직기간별로 연가가 며칠씩 부여되나요?</v>
      </c>
      <c r="D94" s="206">
        <v>190.0</v>
      </c>
    </row>
    <row r="95">
      <c r="A95" s="207">
        <f>IFERROR(__xludf.DUMMYFUNCTION("""COMPUTED_VALUE"""),159.0)</f>
        <v>159</v>
      </c>
      <c r="B95" s="207" t="str">
        <f>IFERROR(__xludf.DUMMYFUNCTION("""COMPUTED_VALUE"""),"DRM, PC Client 아이디 및 비밀번호를 잊어버렸을 때 절차 알려주세요")</f>
        <v>DRM, PC Client 아이디 및 비밀번호를 잊어버렸을 때 절차 알려주세요</v>
      </c>
      <c r="D95" s="206">
        <v>191.0</v>
      </c>
    </row>
    <row r="96">
      <c r="A96" s="207">
        <f>IFERROR(__xludf.DUMMYFUNCTION("""COMPUTED_VALUE"""),160.0)</f>
        <v>160</v>
      </c>
      <c r="B96" s="207" t="str">
        <f>IFERROR(__xludf.DUMMYFUNCTION("""COMPUTED_VALUE"""),"온나라 문서 과제카드를 잘못 지정하였습니다. 변경 가능할까요?")</f>
        <v>온나라 문서 과제카드를 잘못 지정하였습니다. 변경 가능할까요?</v>
      </c>
      <c r="D96" s="206">
        <v>196.0</v>
      </c>
    </row>
    <row r="97">
      <c r="A97" s="207">
        <f>IFERROR(__xludf.DUMMYFUNCTION("""COMPUTED_VALUE"""),162.0)</f>
        <v>162</v>
      </c>
      <c r="B97" s="207" t="str">
        <f>IFERROR(__xludf.DUMMYFUNCTION("""COMPUTED_VALUE"""),"장기재직휴가 기준과 사용 방법을 알려주세요. 장기재직휴가 사용 요건이 되면 인사랑에 자동 반영될까요?")</f>
        <v>장기재직휴가 기준과 사용 방법을 알려주세요. 장기재직휴가 사용 요건이 되면 인사랑에 자동 반영될까요?</v>
      </c>
      <c r="D97" s="206">
        <v>198.0</v>
      </c>
    </row>
    <row r="98">
      <c r="A98" s="207">
        <f>IFERROR(__xludf.DUMMYFUNCTION("""COMPUTED_VALUE"""),163.0)</f>
        <v>163</v>
      </c>
      <c r="B98" s="207" t="str">
        <f>IFERROR(__xludf.DUMMYFUNCTION("""COMPUTED_VALUE"""),"공무원 및 공무직 직원복지지원시스템 사용 방법을 알려주세요.")</f>
        <v>공무원 및 공무직 직원복지지원시스템 사용 방법을 알려주세요.</v>
      </c>
      <c r="D98" s="206">
        <v>200.0</v>
      </c>
    </row>
    <row r="99">
      <c r="A99" s="207">
        <f>IFERROR(__xludf.DUMMYFUNCTION("""COMPUTED_VALUE"""),165.0)</f>
        <v>165</v>
      </c>
      <c r="B99" s="207" t="str">
        <f>IFERROR(__xludf.DUMMYFUNCTION("""COMPUTED_VALUE"""),"국민신문고 민원 처리 과정 알려주세요")</f>
        <v>국민신문고 민원 처리 과정 알려주세요</v>
      </c>
      <c r="D99" s="206">
        <v>201.0</v>
      </c>
    </row>
    <row r="100">
      <c r="A100" s="207">
        <f>IFERROR(__xludf.DUMMYFUNCTION("""COMPUTED_VALUE"""),168.0)</f>
        <v>168</v>
      </c>
      <c r="B100" s="207" t="str">
        <f>IFERROR(__xludf.DUMMYFUNCTION("""COMPUTED_VALUE"""),"공무원증 신청 방법 알려줘")</f>
        <v>공무원증 신청 방법 알려줘</v>
      </c>
      <c r="D100" s="206">
        <v>204.0</v>
      </c>
    </row>
    <row r="101">
      <c r="A101" s="207">
        <f>IFERROR(__xludf.DUMMYFUNCTION("""COMPUTED_VALUE"""),170.0)</f>
        <v>170</v>
      </c>
      <c r="B101" s="207" t="str">
        <f>IFERROR(__xludf.DUMMYFUNCTION("""COMPUTED_VALUE"""),"온나라에서 부재자 설정 및 기간은 어떻게 하나요?")</f>
        <v>온나라에서 부재자 설정 및 기간은 어떻게 하나요?</v>
      </c>
      <c r="D101" s="206">
        <v>205.0</v>
      </c>
    </row>
    <row r="102">
      <c r="A102" s="207">
        <f>IFERROR(__xludf.DUMMYFUNCTION("""COMPUTED_VALUE"""),174.0)</f>
        <v>174</v>
      </c>
      <c r="B102" s="207" t="str">
        <f>IFERROR(__xludf.DUMMYFUNCTION("""COMPUTED_VALUE"""),"DRM, PC Client 아이디 및 비밀번호를 잊어버렸을 때 해결 방법은?")</f>
        <v>DRM, PC Client 아이디 및 비밀번호를 잊어버렸을 때 해결 방법은?</v>
      </c>
      <c r="D102" s="206">
        <v>207.0</v>
      </c>
    </row>
    <row r="103">
      <c r="A103" s="207">
        <f>IFERROR(__xludf.DUMMYFUNCTION("""COMPUTED_VALUE"""),175.0)</f>
        <v>175</v>
      </c>
      <c r="B103" s="207" t="str">
        <f>IFERROR(__xludf.DUMMYFUNCTION("""COMPUTED_VALUE"""),"업무추진비 집행을 위해서 확인해야할 규정은 무엇인가요? 그리고 업추비별 특성 및 사용가능내역 알려주세요.")</f>
        <v>업무추진비 집행을 위해서 확인해야할 규정은 무엇인가요? 그리고 업추비별 특성 및 사용가능내역 알려주세요.</v>
      </c>
      <c r="D103" s="206">
        <v>209.0</v>
      </c>
    </row>
    <row r="104">
      <c r="A104" s="207">
        <f>IFERROR(__xludf.DUMMYFUNCTION("""COMPUTED_VALUE"""),178.0)</f>
        <v>178</v>
      </c>
      <c r="B104" s="207" t="str">
        <f>IFERROR(__xludf.DUMMYFUNCTION("""COMPUTED_VALUE"""),"온나라에서 부재자 설정은 어떻게 하나요?")</f>
        <v>온나라에서 부재자 설정은 어떻게 하나요?</v>
      </c>
      <c r="D104" s="206">
        <v>213.0</v>
      </c>
    </row>
    <row r="105">
      <c r="A105" s="207">
        <f>IFERROR(__xludf.DUMMYFUNCTION("""COMPUTED_VALUE"""),179.0)</f>
        <v>179</v>
      </c>
      <c r="B105" s="207" t="str">
        <f>IFERROR(__xludf.DUMMYFUNCTION("""COMPUTED_VALUE"""),"시 홈페이지 고시공고 등록하는 방법이 어떻게 되나요?")</f>
        <v>시 홈페이지 고시공고 등록하는 방법이 어떻게 되나요?</v>
      </c>
      <c r="D105" s="206">
        <v>215.0</v>
      </c>
    </row>
    <row r="106">
      <c r="A106" s="207">
        <f>IFERROR(__xludf.DUMMYFUNCTION("""COMPUTED_VALUE"""),180.0)</f>
        <v>180</v>
      </c>
      <c r="B106" s="207" t="str">
        <f>IFERROR(__xludf.DUMMYFUNCTION("""COMPUTED_VALUE"""),"복무상 특가,병가의 종류와 그에 따른 휴가일수, 챙겨야할 서류 목록 알려주세요")</f>
        <v>복무상 특가,병가의 종류와 그에 따른 휴가일수, 챙겨야할 서류 목록 알려주세요</v>
      </c>
      <c r="D106" s="206">
        <v>216.0</v>
      </c>
    </row>
    <row r="107">
      <c r="A107" s="207">
        <f>IFERROR(__xludf.DUMMYFUNCTION("""COMPUTED_VALUE"""),181.0)</f>
        <v>181</v>
      </c>
      <c r="B107" s="207" t="str">
        <f>IFERROR(__xludf.DUMMYFUNCTION("""COMPUTED_VALUE"""),"단체보장보험 세부 보장내용 및 청구방법은 무엇인가요?")</f>
        <v>단체보장보험 세부 보장내용 및 청구방법은 무엇인가요?</v>
      </c>
      <c r="D107" s="206">
        <v>217.0</v>
      </c>
    </row>
    <row r="108">
      <c r="A108" s="207">
        <f>IFERROR(__xludf.DUMMYFUNCTION("""COMPUTED_VALUE"""),184.0)</f>
        <v>184</v>
      </c>
      <c r="B108" s="207" t="str">
        <f>IFERROR(__xludf.DUMMYFUNCTION("""COMPUTED_VALUE"""),"행정정보 공동이용 권한 신청은 어떻게 하는것인가요?")</f>
        <v>행정정보 공동이용 권한 신청은 어떻게 하는것인가요?</v>
      </c>
      <c r="D108" s="206">
        <v>220.0</v>
      </c>
    </row>
    <row r="109">
      <c r="A109" s="207">
        <f>IFERROR(__xludf.DUMMYFUNCTION("""COMPUTED_VALUE"""),185.0)</f>
        <v>185</v>
      </c>
      <c r="B109" s="207" t="str">
        <f>IFERROR(__xludf.DUMMYFUNCTION("""COMPUTED_VALUE"""),"GPKI 재발급 및 인사이동시 이동은 어떻게 하는 것인가요?")</f>
        <v>GPKI 재발급 및 인사이동시 이동은 어떻게 하는 것인가요?</v>
      </c>
      <c r="D109" s="206">
        <v>221.0</v>
      </c>
    </row>
    <row r="110">
      <c r="A110" s="207">
        <f>IFERROR(__xludf.DUMMYFUNCTION("""COMPUTED_VALUE"""),186.0)</f>
        <v>186</v>
      </c>
      <c r="B110" s="207" t="str">
        <f>IFERROR(__xludf.DUMMYFUNCTION("""COMPUTED_VALUE"""),"장기재직 휴가 등록 및 사용 방법이 어떻게 되나요?")</f>
        <v>장기재직 휴가 등록 및 사용 방법이 어떻게 되나요?</v>
      </c>
      <c r="D110" s="206">
        <v>222.0</v>
      </c>
    </row>
    <row r="111">
      <c r="A111" s="207">
        <f>IFERROR(__xludf.DUMMYFUNCTION("""COMPUTED_VALUE"""),188.0)</f>
        <v>188</v>
      </c>
      <c r="B111" s="207" t="str">
        <f>IFERROR(__xludf.DUMMYFUNCTION("""COMPUTED_VALUE"""),"온나라 문서배부가 잘못되엇습니다 어떻게 수정하나요?")</f>
        <v>온나라 문서배부가 잘못되엇습니다 어떻게 수정하나요?</v>
      </c>
      <c r="D111" s="206">
        <v>229.0</v>
      </c>
    </row>
    <row r="112">
      <c r="A112" s="207">
        <f>IFERROR(__xludf.DUMMYFUNCTION("""COMPUTED_VALUE"""),189.0)</f>
        <v>189</v>
      </c>
      <c r="B112" s="207" t="str">
        <f>IFERROR(__xludf.DUMMYFUNCTION("""COMPUTED_VALUE"""),"온나라 팀장님 지정 및 부재시 부재설정은 어떻게 하나요?")</f>
        <v>온나라 팀장님 지정 및 부재시 부재설정은 어떻게 하나요?</v>
      </c>
      <c r="D112" s="206">
        <v>230.0</v>
      </c>
    </row>
    <row r="113">
      <c r="A113" s="207">
        <f>IFERROR(__xludf.DUMMYFUNCTION("""COMPUTED_VALUE"""),190.0)</f>
        <v>190</v>
      </c>
      <c r="B113" s="207" t="str">
        <f>IFERROR(__xludf.DUMMYFUNCTION("""COMPUTED_VALUE"""),"업무추진비 사용할 수 있는 항목이 구체적으로 어떻게 되나요?")</f>
        <v>업무추진비 사용할 수 있는 항목이 구체적으로 어떻게 되나요?</v>
      </c>
      <c r="D113" s="206">
        <v>231.0</v>
      </c>
    </row>
    <row r="114">
      <c r="A114" s="207">
        <f>IFERROR(__xludf.DUMMYFUNCTION("""COMPUTED_VALUE"""),191.0)</f>
        <v>191</v>
      </c>
      <c r="B114" s="207" t="str">
        <f>IFERROR(__xludf.DUMMYFUNCTION("""COMPUTED_VALUE"""),"DRM 비밀번호 초기화는 어떻게 하나요?")</f>
        <v>DRM 비밀번호 초기화는 어떻게 하나요?</v>
      </c>
      <c r="D114" s="206">
        <v>236.0</v>
      </c>
    </row>
    <row r="115">
      <c r="A115" s="207">
        <f>IFERROR(__xludf.DUMMYFUNCTION("""COMPUTED_VALUE"""),196.0)</f>
        <v>196</v>
      </c>
      <c r="B115" s="207" t="str">
        <f>IFERROR(__xludf.DUMMYFUNCTION("""COMPUTED_VALUE"""),"온나라시스템 부재 설정 방법은 어떻게 되나요?")</f>
        <v>온나라시스템 부재 설정 방법은 어떻게 되나요?</v>
      </c>
      <c r="D115" s="206">
        <v>238.0</v>
      </c>
    </row>
    <row r="116">
      <c r="A116" s="207">
        <f>IFERROR(__xludf.DUMMYFUNCTION("""COMPUTED_VALUE"""),198.0)</f>
        <v>198</v>
      </c>
      <c r="B116" s="207" t="str">
        <f>IFERROR(__xludf.DUMMYFUNCTION("""COMPUTED_VALUE"""),"일상경비 지출 절차는 어떻게 되나요?")</f>
        <v>일상경비 지출 절차는 어떻게 되나요?</v>
      </c>
      <c r="D116" s="206">
        <v>239.0</v>
      </c>
    </row>
    <row r="117">
      <c r="A117" s="207">
        <f>IFERROR(__xludf.DUMMYFUNCTION("""COMPUTED_VALUE"""),200.0)</f>
        <v>200</v>
      </c>
      <c r="B117" s="207" t="str">
        <f>IFERROR(__xludf.DUMMYFUNCTION("""COMPUTED_VALUE"""),"행정전자서명 가입 절차는 어떻게 되나요?")</f>
        <v>행정전자서명 가입 절차는 어떻게 되나요?</v>
      </c>
      <c r="D117" s="206">
        <v>241.0</v>
      </c>
    </row>
    <row r="118">
      <c r="A118" s="207">
        <f>IFERROR(__xludf.DUMMYFUNCTION("""COMPUTED_VALUE"""),201.0)</f>
        <v>201</v>
      </c>
      <c r="B118" s="207" t="str">
        <f>IFERROR(__xludf.DUMMYFUNCTION("""COMPUTED_VALUE"""),"온나라시스템 과제카드 설정은 어떻게 되나요?")</f>
        <v>온나라시스템 과제카드 설정은 어떻게 되나요?</v>
      </c>
      <c r="D118" s="206">
        <v>245.0</v>
      </c>
    </row>
    <row r="119">
      <c r="A119" s="207">
        <f>IFERROR(__xludf.DUMMYFUNCTION("""COMPUTED_VALUE"""),204.0)</f>
        <v>204</v>
      </c>
      <c r="B119" s="207" t="str">
        <f>IFERROR(__xludf.DUMMYFUNCTION("""COMPUTED_VALUE"""),"DRM, PC Client 아이디 및 비밀번호를 잊어버렸을 때 해결 방법은?")</f>
        <v>DRM, PC Client 아이디 및 비밀번호를 잊어버렸을 때 해결 방법은?</v>
      </c>
      <c r="D119" s="206">
        <v>247.0</v>
      </c>
    </row>
    <row r="120">
      <c r="A120" s="207">
        <f>IFERROR(__xludf.DUMMYFUNCTION("""COMPUTED_VALUE"""),205.0)</f>
        <v>205</v>
      </c>
      <c r="B120" s="207" t="str">
        <f>IFERROR(__xludf.DUMMYFUNCTION("""COMPUTED_VALUE"""),"온나라 문서 과제카드를 잘못 지정하였습니다. 어떻게 수정하나요?")</f>
        <v>온나라 문서 과제카드를 잘못 지정하였습니다. 어떻게 수정하나요?</v>
      </c>
      <c r="D120" s="206">
        <v>250.0</v>
      </c>
    </row>
    <row r="121">
      <c r="A121" s="207">
        <f>IFERROR(__xludf.DUMMYFUNCTION("""COMPUTED_VALUE"""),207.0)</f>
        <v>207</v>
      </c>
      <c r="B121" s="207" t="str">
        <f>IFERROR(__xludf.DUMMYFUNCTION("""COMPUTED_VALUE"""),"장기재직휴가 기준과 사용 방법을 알려주세요. 장기재직휴가 사용 요건이 되면 인사랑에 자동 반영되나요?")</f>
        <v>장기재직휴가 기준과 사용 방법을 알려주세요. 장기재직휴가 사용 요건이 되면 인사랑에 자동 반영되나요?</v>
      </c>
      <c r="D121" s="206">
        <v>251.0</v>
      </c>
    </row>
    <row r="122">
      <c r="A122" s="207">
        <f>IFERROR(__xludf.DUMMYFUNCTION("""COMPUTED_VALUE"""),208.0)</f>
        <v>208</v>
      </c>
      <c r="B122" s="207" t="str">
        <f>IFERROR(__xludf.DUMMYFUNCTION("""COMPUTED_VALUE"""),"직원복지지원시스템 사용 방법을 알려주세요. 행정포털 아이디가 없을 경우엔 어떻게 하나요?")</f>
        <v>직원복지지원시스템 사용 방법을 알려주세요. 행정포털 아이디가 없을 경우엔 어떻게 하나요?</v>
      </c>
      <c r="D122" s="206">
        <v>252.0</v>
      </c>
    </row>
    <row r="123">
      <c r="A123" s="207">
        <f>IFERROR(__xludf.DUMMYFUNCTION("""COMPUTED_VALUE"""),209.0)</f>
        <v>209</v>
      </c>
      <c r="B123" s="207" t="str">
        <f>IFERROR(__xludf.DUMMYFUNCTION("""COMPUTED_VALUE"""),"업무추진비 집행을 위해서 확인해야할 규정을 정리해주세요. 직원당 쓸 수 있는 단가도 상세히 알려주세요
(예시: 정원가산업무추진비 격려금 지급 상한금액 등)")</f>
        <v>업무추진비 집행을 위해서 확인해야할 규정을 정리해주세요. 직원당 쓸 수 있는 단가도 상세히 알려주세요
(예시: 정원가산업무추진비 격려금 지급 상한금액 등)</v>
      </c>
      <c r="D123" s="206">
        <v>253.0</v>
      </c>
    </row>
    <row r="124">
      <c r="A124" s="207">
        <f>IFERROR(__xludf.DUMMYFUNCTION("""COMPUTED_VALUE"""),213.0)</f>
        <v>213</v>
      </c>
      <c r="B124" s="207" t="str">
        <f>IFERROR(__xludf.DUMMYFUNCTION("""COMPUTED_VALUE"""),"온나라에서 부재자 설정은 어떻게 하나요?")</f>
        <v>온나라에서 부재자 설정은 어떻게 하나요?</v>
      </c>
      <c r="D124" s="206">
        <v>254.0</v>
      </c>
    </row>
    <row r="125">
      <c r="A125" s="207">
        <f>IFERROR(__xludf.DUMMYFUNCTION("""COMPUTED_VALUE"""),215.0)</f>
        <v>215</v>
      </c>
      <c r="B125" s="207" t="str">
        <f>IFERROR(__xludf.DUMMYFUNCTION("""COMPUTED_VALUE"""),"조례제정시 의회제출 전 법무담당관 협의 등 거쳐야 하는 내부 절차 및 기한에 대해 알려주세요")</f>
        <v>조례제정시 의회제출 전 법무담당관 협의 등 거쳐야 하는 내부 절차 및 기한에 대해 알려주세요</v>
      </c>
      <c r="D125" s="206">
        <v>255.0</v>
      </c>
    </row>
    <row r="126">
      <c r="A126" s="207">
        <f>IFERROR(__xludf.DUMMYFUNCTION("""COMPUTED_VALUE"""),216.0)</f>
        <v>216</v>
      </c>
      <c r="B126" s="207" t="str">
        <f>IFERROR(__xludf.DUMMYFUNCTION("""COMPUTED_VALUE"""),"휴일 출장시 대체휴무 사용이 가능한가요?")</f>
        <v>휴일 출장시 대체휴무 사용이 가능한가요?</v>
      </c>
      <c r="D126" s="206">
        <v>256.0</v>
      </c>
    </row>
    <row r="127">
      <c r="A127" s="207">
        <f>IFERROR(__xludf.DUMMYFUNCTION("""COMPUTED_VALUE"""),217.0)</f>
        <v>217</v>
      </c>
      <c r="B127" s="207" t="str">
        <f>IFERROR(__xludf.DUMMYFUNCTION("""COMPUTED_VALUE"""),"사후초과 익일결재를 못받은 경우 구제방법이 있나요?")</f>
        <v>사후초과 익일결재를 못받은 경우 구제방법이 있나요?</v>
      </c>
      <c r="D127" s="206">
        <v>259.0</v>
      </c>
    </row>
    <row r="128">
      <c r="A128" s="207">
        <f>IFERROR(__xludf.DUMMYFUNCTION("""COMPUTED_VALUE"""),220.0)</f>
        <v>220</v>
      </c>
      <c r="B128" s="207" t="str">
        <f>IFERROR(__xludf.DUMMYFUNCTION("""COMPUTED_VALUE"""),"회의실 신청 어떻게 하나요?")</f>
        <v>회의실 신청 어떻게 하나요?</v>
      </c>
      <c r="D128" s="206">
        <v>260.0</v>
      </c>
    </row>
    <row r="129">
      <c r="A129" s="207">
        <f>IFERROR(__xludf.DUMMYFUNCTION("""COMPUTED_VALUE"""),221.0)</f>
        <v>221</v>
      </c>
      <c r="B129" s="207" t="str">
        <f>IFERROR(__xludf.DUMMYFUNCTION("""COMPUTED_VALUE"""),"국외출장시 며칠 전까지 허가신청 공문 보내야 하나요?")</f>
        <v>국외출장시 며칠 전까지 허가신청 공문 보내야 하나요?</v>
      </c>
      <c r="D129" s="206">
        <v>262.0</v>
      </c>
    </row>
    <row r="130">
      <c r="A130" s="207">
        <f>IFERROR(__xludf.DUMMYFUNCTION("""COMPUTED_VALUE"""),222.0)</f>
        <v>222</v>
      </c>
      <c r="B130" s="207" t="str">
        <f>IFERROR(__xludf.DUMMYFUNCTION("""COMPUTED_VALUE"""),"보존기간 만료 기록물 자체 폐기 가능한가요?")</f>
        <v>보존기간 만료 기록물 자체 폐기 가능한가요?</v>
      </c>
      <c r="D130" s="206">
        <v>263.0</v>
      </c>
    </row>
    <row r="131">
      <c r="A131" s="207">
        <f>IFERROR(__xludf.DUMMYFUNCTION("""COMPUTED_VALUE"""),226.0)</f>
        <v>226</v>
      </c>
      <c r="B131" s="207" t="str">
        <f>IFERROR(__xludf.DUMMYFUNCTION("""COMPUTED_VALUE"""),"긴급출퇴근제를 사용하기 위한 사전절차는 무엇인가요?")</f>
        <v>긴급출퇴근제를 사용하기 위한 사전절차는 무엇인가요?</v>
      </c>
      <c r="D131" s="206">
        <v>264.0</v>
      </c>
    </row>
    <row r="132">
      <c r="A132" s="207">
        <f>IFERROR(__xludf.DUMMYFUNCTION("""COMPUTED_VALUE"""),229.0)</f>
        <v>229</v>
      </c>
      <c r="B132" s="207" t="str">
        <f>IFERROR(__xludf.DUMMYFUNCTION("""COMPUTED_VALUE"""),"보안usb 매체점검은 어디서 하나요?")</f>
        <v>보안usb 매체점검은 어디서 하나요?</v>
      </c>
      <c r="D132" s="206">
        <v>265.0</v>
      </c>
    </row>
    <row r="133">
      <c r="A133" s="207">
        <f>IFERROR(__xludf.DUMMYFUNCTION("""COMPUTED_VALUE"""),230.0)</f>
        <v>230</v>
      </c>
      <c r="B133" s="207" t="str">
        <f>IFERROR(__xludf.DUMMYFUNCTION("""COMPUTED_VALUE"""),"신규 임용시 원활한 업무진행을 위해 행정포털, 행정전자서명 발급등 처리해야 할 사항 및 절차는 어떻게 되나요?")</f>
        <v>신규 임용시 원활한 업무진행을 위해 행정포털, 행정전자서명 발급등 처리해야 할 사항 및 절차는 어떻게 되나요?</v>
      </c>
      <c r="D133" s="206">
        <v>266.0</v>
      </c>
    </row>
    <row r="134">
      <c r="A134" s="207">
        <f>IFERROR(__xludf.DUMMYFUNCTION("""COMPUTED_VALUE"""),231.0)</f>
        <v>231</v>
      </c>
      <c r="B134" s="207" t="str">
        <f>IFERROR(__xludf.DUMMYFUNCTION("""COMPUTED_VALUE"""),"직원차량 등록 절차는 어떻게 되나요?")</f>
        <v>직원차량 등록 절차는 어떻게 되나요?</v>
      </c>
      <c r="D134" s="206">
        <v>267.0</v>
      </c>
    </row>
    <row r="135">
      <c r="A135" s="207">
        <f>IFERROR(__xludf.DUMMYFUNCTION("""COMPUTED_VALUE"""),236.0)</f>
        <v>236</v>
      </c>
      <c r="B135" s="207" t="str">
        <f>IFERROR(__xludf.DUMMYFUNCTION("""COMPUTED_VALUE"""),"보통예금계좌 점검 주기 및 방법을 알려줘")</f>
        <v>보통예금계좌 점검 주기 및 방법을 알려줘</v>
      </c>
      <c r="D135" s="206">
        <v>270.0</v>
      </c>
    </row>
    <row r="136">
      <c r="A136" s="207">
        <f>IFERROR(__xludf.DUMMYFUNCTION("""COMPUTED_VALUE"""),238.0)</f>
        <v>238</v>
      </c>
      <c r="B136" s="207" t="str">
        <f>IFERROR(__xludf.DUMMYFUNCTION("""COMPUTED_VALUE"""),"장기재직휴가 기준 및 사용 방법을 알려줘")</f>
        <v>장기재직휴가 기준 및 사용 방법을 알려줘</v>
      </c>
      <c r="D136" s="206">
        <v>272.0</v>
      </c>
    </row>
    <row r="137">
      <c r="A137" s="207">
        <f>IFERROR(__xludf.DUMMYFUNCTION("""COMPUTED_VALUE"""),239.0)</f>
        <v>239</v>
      </c>
      <c r="B137" s="207" t="str">
        <f>IFERROR(__xludf.DUMMYFUNCTION("""COMPUTED_VALUE"""),"공무원증 신청 및 승인처리 방법을 알려줘")</f>
        <v>공무원증 신청 및 승인처리 방법을 알려줘</v>
      </c>
      <c r="D137" s="206">
        <v>276.0</v>
      </c>
    </row>
    <row r="138">
      <c r="A138" s="207">
        <f>IFERROR(__xludf.DUMMYFUNCTION("""COMPUTED_VALUE"""),240.0)</f>
        <v>240</v>
      </c>
      <c r="B138" s="207" t="str">
        <f>IFERROR(__xludf.DUMMYFUNCTION("""COMPUTED_VALUE"""),"직원후생복지지원시스템 사용 방법을 알려줘")</f>
        <v>직원후생복지지원시스템 사용 방법을 알려줘</v>
      </c>
      <c r="D138" s="206">
        <v>279.0</v>
      </c>
    </row>
    <row r="139">
      <c r="A139" s="207">
        <f>IFERROR(__xludf.DUMMYFUNCTION("""COMPUTED_VALUE"""),241.0)</f>
        <v>241</v>
      </c>
      <c r="B139" s="207" t="str">
        <f>IFERROR(__xludf.DUMMYFUNCTION("""COMPUTED_VALUE"""),"비밀문서 접수 시 처리 절차를 알려줘")</f>
        <v>비밀문서 접수 시 처리 절차를 알려줘</v>
      </c>
      <c r="D139" s="206">
        <v>286.0</v>
      </c>
    </row>
    <row r="140">
      <c r="A140" s="207">
        <f>IFERROR(__xludf.DUMMYFUNCTION("""COMPUTED_VALUE"""),244.0)</f>
        <v>244</v>
      </c>
      <c r="B140" s="207" t="str">
        <f>IFERROR(__xludf.DUMMYFUNCTION("""COMPUTED_VALUE"""),"정보공개 접수시 처리하는 절차는 어떻게 되나요?")</f>
        <v>정보공개 접수시 처리하는 절차는 어떻게 되나요?</v>
      </c>
      <c r="D140" s="206">
        <v>287.0</v>
      </c>
    </row>
    <row r="141">
      <c r="A141" s="207">
        <f>IFERROR(__xludf.DUMMYFUNCTION("""COMPUTED_VALUE"""),245.0)</f>
        <v>245</v>
      </c>
      <c r="B141" s="207" t="str">
        <f>IFERROR(__xludf.DUMMYFUNCTION("""COMPUTED_VALUE"""),"미등록기록물 등록 방법은 어떻게 되나요?")</f>
        <v>미등록기록물 등록 방법은 어떻게 되나요?</v>
      </c>
      <c r="D141" s="206">
        <v>299.0</v>
      </c>
    </row>
    <row r="142">
      <c r="A142" s="207">
        <f>IFERROR(__xludf.DUMMYFUNCTION("""COMPUTED_VALUE"""),247.0)</f>
        <v>247</v>
      </c>
      <c r="B142" s="207" t="str">
        <f>IFERROR(__xludf.DUMMYFUNCTION("""COMPUTED_VALUE"""),"예산 편성 절차와 관련하여 사업비별 사전 이행절차는 무엇인가요?")</f>
        <v>예산 편성 절차와 관련하여 사업비별 사전 이행절차는 무엇인가요?</v>
      </c>
      <c r="D142" s="206">
        <v>303.0</v>
      </c>
    </row>
    <row r="143">
      <c r="A143" s="207">
        <f>IFERROR(__xludf.DUMMYFUNCTION("""COMPUTED_VALUE"""),250.0)</f>
        <v>250</v>
      </c>
      <c r="B143" s="207" t="str">
        <f>IFERROR(__xludf.DUMMYFUNCTION("""COMPUTED_VALUE"""),"입찰시 지역제한이 불가할 때 이행해야할 절차와 검토항목에는 무엇이 있나요?")</f>
        <v>입찰시 지역제한이 불가할 때 이행해야할 절차와 검토항목에는 무엇이 있나요?</v>
      </c>
      <c r="D143" s="206">
        <v>304.0</v>
      </c>
    </row>
    <row r="144">
      <c r="A144" s="207">
        <f>IFERROR(__xludf.DUMMYFUNCTION("""COMPUTED_VALUE"""),251.0)</f>
        <v>251</v>
      </c>
      <c r="B144" s="207" t="str">
        <f>IFERROR(__xludf.DUMMYFUNCTION("""COMPUTED_VALUE"""),"반복특이(악성) 민원 응대 매뉴얼 및 민원처리 담당자의 보호지원에는 어떤 것이 있나요?")</f>
        <v>반복특이(악성) 민원 응대 매뉴얼 및 민원처리 담당자의 보호지원에는 어떤 것이 있나요?</v>
      </c>
      <c r="D144" s="206">
        <v>306.0</v>
      </c>
    </row>
    <row r="145">
      <c r="A145" s="207">
        <f>IFERROR(__xludf.DUMMYFUNCTION("""COMPUTED_VALUE"""),252.0)</f>
        <v>252</v>
      </c>
      <c r="B145" s="207" t="str">
        <f>IFERROR(__xludf.DUMMYFUNCTION("""COMPUTED_VALUE"""),"업무 관련 소송에 발생하게 되면 부산시에서 법률 지원을 받을 수 있는 방법 및 절차가 어떻게 되나요?")</f>
        <v>업무 관련 소송에 발생하게 되면 부산시에서 법률 지원을 받을 수 있는 방법 및 절차가 어떻게 되나요?</v>
      </c>
      <c r="D145" s="206">
        <v>307.0</v>
      </c>
    </row>
    <row r="146">
      <c r="A146" s="207">
        <f>IFERROR(__xludf.DUMMYFUNCTION("""COMPUTED_VALUE"""),253.0)</f>
        <v>253</v>
      </c>
      <c r="B146" s="207" t="str">
        <f>IFERROR(__xludf.DUMMYFUNCTION("""COMPUTED_VALUE"""),"DRM 암호 초기화는 어떻게 하나요?")</f>
        <v>DRM 암호 초기화는 어떻게 하나요?</v>
      </c>
      <c r="D146" s="206">
        <v>308.0</v>
      </c>
    </row>
    <row r="147">
      <c r="A147" s="207">
        <f>IFERROR(__xludf.DUMMYFUNCTION("""COMPUTED_VALUE"""),254.0)</f>
        <v>254</v>
      </c>
      <c r="B147" s="207" t="str">
        <f>IFERROR(__xludf.DUMMYFUNCTION("""COMPUTED_VALUE"""),"시청사 직원차량 주차등록은 어떻게 하나요?")</f>
        <v>시청사 직원차량 주차등록은 어떻게 하나요?</v>
      </c>
      <c r="D147" s="206">
        <v>309.0</v>
      </c>
    </row>
    <row r="148">
      <c r="A148" s="207">
        <f>IFERROR(__xludf.DUMMYFUNCTION("""COMPUTED_VALUE"""),255.0)</f>
        <v>255</v>
      </c>
      <c r="B148" s="207" t="str">
        <f>IFERROR(__xludf.DUMMYFUNCTION("""COMPUTED_VALUE"""),"자차로 관외출장 나갔을 시 여비 지급은 어떻게 하나요?")</f>
        <v>자차로 관외출장 나갔을 시 여비 지급은 어떻게 하나요?</v>
      </c>
      <c r="D148" s="206">
        <v>310.0</v>
      </c>
    </row>
    <row r="149">
      <c r="A149" s="207">
        <f>IFERROR(__xludf.DUMMYFUNCTION("""COMPUTED_VALUE"""),256.0)</f>
        <v>256</v>
      </c>
      <c r="B149" s="207" t="str">
        <f>IFERROR(__xludf.DUMMYFUNCTION("""COMPUTED_VALUE"""),"휴직 신청 절차 및 행정처리 방법은?")</f>
        <v>휴직 신청 절차 및 행정처리 방법은?</v>
      </c>
      <c r="D149" s="206">
        <v>311.0</v>
      </c>
    </row>
    <row r="150">
      <c r="A150" s="207">
        <f>IFERROR(__xludf.DUMMYFUNCTION("""COMPUTED_VALUE"""),259.0)</f>
        <v>259</v>
      </c>
      <c r="B150" s="207" t="str">
        <f>IFERROR(__xludf.DUMMYFUNCTION("""COMPUTED_VALUE"""),"비전자기록물 편철·정리 방법은?")</f>
        <v>비전자기록물 편철·정리 방법은?</v>
      </c>
      <c r="D150" s="206">
        <v>312.0</v>
      </c>
    </row>
    <row r="151">
      <c r="A151" s="207">
        <f>IFERROR(__xludf.DUMMYFUNCTION("""COMPUTED_VALUE"""),260.0)</f>
        <v>260</v>
      </c>
      <c r="B151" s="207" t="str">
        <f>IFERROR(__xludf.DUMMYFUNCTION("""COMPUTED_VALUE"""),"차량배차 협조 요청 절차 및 처리 방법은?")</f>
        <v>차량배차 협조 요청 절차 및 처리 방법은?</v>
      </c>
      <c r="D151" s="206">
        <v>313.0</v>
      </c>
    </row>
    <row r="152">
      <c r="A152" s="207">
        <f>IFERROR(__xludf.DUMMYFUNCTION("""COMPUTED_VALUE"""),262.0)</f>
        <v>262</v>
      </c>
      <c r="B152" s="207" t="str">
        <f>IFERROR(__xludf.DUMMYFUNCTION("""COMPUTED_VALUE"""),"PC교체로 인한 행정전자서명 이동 방법은?")</f>
        <v>PC교체로 인한 행정전자서명 이동 방법은?</v>
      </c>
      <c r="D152" s="206">
        <v>314.0</v>
      </c>
    </row>
    <row r="153">
      <c r="A153" s="207">
        <f>IFERROR(__xludf.DUMMYFUNCTION("""COMPUTED_VALUE"""),263.0)</f>
        <v>263</v>
      </c>
      <c r="B153" s="207" t="str">
        <f>IFERROR(__xludf.DUMMYFUNCTION("""COMPUTED_VALUE"""),"문서 암호화 해제는 어떻게 하나요?")</f>
        <v>문서 암호화 해제는 어떻게 하나요?</v>
      </c>
      <c r="D153" s="206">
        <v>315.0</v>
      </c>
    </row>
    <row r="154">
      <c r="A154" s="207">
        <f>IFERROR(__xludf.DUMMYFUNCTION("""COMPUTED_VALUE"""),264.0)</f>
        <v>264</v>
      </c>
      <c r="B154" s="207" t="str">
        <f>IFERROR(__xludf.DUMMYFUNCTION("""COMPUTED_VALUE"""),"관내출장 여비 지급기준은 어떻게 되나요?")</f>
        <v>관내출장 여비 지급기준은 어떻게 되나요?</v>
      </c>
      <c r="D154" s="206">
        <v>316.0</v>
      </c>
    </row>
    <row r="155">
      <c r="A155" s="207">
        <f>IFERROR(__xludf.DUMMYFUNCTION("""COMPUTED_VALUE"""),265.0)</f>
        <v>265</v>
      </c>
      <c r="B155" s="207" t="str">
        <f>IFERROR(__xludf.DUMMYFUNCTION("""COMPUTED_VALUE"""),"실물/모바일 공무원증은 어떻게 발급받나요?")</f>
        <v>실물/모바일 공무원증은 어떻게 발급받나요?</v>
      </c>
      <c r="D155" s="206">
        <v>318.0</v>
      </c>
    </row>
    <row r="156">
      <c r="A156" s="207">
        <f>IFERROR(__xludf.DUMMYFUNCTION("""COMPUTED_VALUE"""),266.0)</f>
        <v>266</v>
      </c>
      <c r="B156" s="207" t="str">
        <f>IFERROR(__xludf.DUMMYFUNCTION("""COMPUTED_VALUE"""),"모바일 공무원증은 어떻게 활용할 수 있나요? ")</f>
        <v>모바일 공무원증은 어떻게 활용할 수 있나요? </v>
      </c>
      <c r="D156" s="206">
        <v>320.0</v>
      </c>
    </row>
    <row r="157">
      <c r="A157" s="207">
        <f>IFERROR(__xludf.DUMMYFUNCTION("""COMPUTED_VALUE"""),267.0)</f>
        <v>267</v>
      </c>
      <c r="B157" s="207" t="str">
        <f>IFERROR(__xludf.DUMMYFUNCTION("""COMPUTED_VALUE"""),"장기재직휴가는 어떻게 신청하나요?")</f>
        <v>장기재직휴가는 어떻게 신청하나요?</v>
      </c>
      <c r="D157" s="206">
        <v>321.0</v>
      </c>
    </row>
    <row r="158">
      <c r="A158" s="207">
        <f>IFERROR(__xludf.DUMMYFUNCTION("""COMPUTED_VALUE"""),268.0)</f>
        <v>268</v>
      </c>
      <c r="B158" s="207" t="str">
        <f>IFERROR(__xludf.DUMMYFUNCTION("""COMPUTED_VALUE"""),"경조사별 휴가일수를 알려주세요")</f>
        <v>경조사별 휴가일수를 알려주세요</v>
      </c>
      <c r="D158" s="206">
        <v>322.0</v>
      </c>
    </row>
    <row r="159">
      <c r="A159" s="207">
        <f>IFERROR(__xludf.DUMMYFUNCTION("""COMPUTED_VALUE"""),269.0)</f>
        <v>269</v>
      </c>
      <c r="B159" s="207" t="str">
        <f>IFERROR(__xludf.DUMMYFUNCTION("""COMPUTED_VALUE"""),"기록물은 어떻게 정리하나요? ")</f>
        <v>기록물은 어떻게 정리하나요? </v>
      </c>
      <c r="D159" s="206">
        <v>328.0</v>
      </c>
    </row>
    <row r="160">
      <c r="A160" s="207">
        <f>IFERROR(__xludf.DUMMYFUNCTION("""COMPUTED_VALUE"""),270.0)</f>
        <v>270</v>
      </c>
      <c r="B160" s="207" t="str">
        <f>IFERROR(__xludf.DUMMYFUNCTION("""COMPUTED_VALUE"""),"기록물의 보존기간을 업무별로 알려주세요 ")</f>
        <v>기록물의 보존기간을 업무별로 알려주세요 </v>
      </c>
      <c r="D160" s="206">
        <v>330.0</v>
      </c>
    </row>
    <row r="161">
      <c r="A161" s="207">
        <f>IFERROR(__xludf.DUMMYFUNCTION("""COMPUTED_VALUE"""),272.0)</f>
        <v>272</v>
      </c>
      <c r="B161" s="207" t="str">
        <f>IFERROR(__xludf.DUMMYFUNCTION("""COMPUTED_VALUE"""),"부산시청 내 회의장의 수용가능인원을 알려주세요")</f>
        <v>부산시청 내 회의장의 수용가능인원을 알려주세요</v>
      </c>
      <c r="D161" s="206">
        <v>331.0</v>
      </c>
    </row>
    <row r="162">
      <c r="A162" s="207">
        <f>IFERROR(__xludf.DUMMYFUNCTION("""COMPUTED_VALUE"""),275.0)</f>
        <v>275</v>
      </c>
      <c r="B162" s="207" t="str">
        <f>IFERROR(__xludf.DUMMYFUNCTION("""COMPUTED_VALUE"""),"공무원 복무규정에 따른 연가, 병가, 특별휴가 등은 며칠인가요?")</f>
        <v>공무원 복무규정에 따른 연가, 병가, 특별휴가 등은 며칠인가요?</v>
      </c>
      <c r="D162" s="206">
        <v>333.0</v>
      </c>
    </row>
    <row r="163">
      <c r="A163" s="207">
        <f>IFERROR(__xludf.DUMMYFUNCTION("""COMPUTED_VALUE"""),276.0)</f>
        <v>276</v>
      </c>
      <c r="B163" s="207" t="str">
        <f>IFERROR(__xludf.DUMMYFUNCTION("""COMPUTED_VALUE"""),"업무추진비 집행 시 사용 가능한 항목과 제한 사항은 무엇이며, 지출 시 필요한 증빙 서류는 무엇인가요?")</f>
        <v>업무추진비 집행 시 사용 가능한 항목과 제한 사항은 무엇이며, 지출 시 필요한 증빙 서류는 무엇인가요?</v>
      </c>
      <c r="D163" s="206">
        <v>334.0</v>
      </c>
    </row>
    <row r="164">
      <c r="A164" s="207">
        <f>IFERROR(__xludf.DUMMYFUNCTION("""COMPUTED_VALUE"""),279.0)</f>
        <v>279</v>
      </c>
      <c r="B164" s="207" t="str">
        <f>IFERROR(__xludf.DUMMYFUNCTION("""COMPUTED_VALUE"""),"정보공개법에 따른 정보공개 청구 처리 기한은 며칠인가요?")</f>
        <v>정보공개법에 따른 정보공개 청구 처리 기한은 며칠인가요?</v>
      </c>
      <c r="D164" s="206">
        <v>336.0</v>
      </c>
    </row>
    <row r="165">
      <c r="A165" s="207">
        <f>IFERROR(__xludf.DUMMYFUNCTION("""COMPUTED_VALUE"""),282.0)</f>
        <v>282</v>
      </c>
      <c r="B165" s="207" t="str">
        <f>IFERROR(__xludf.DUMMYFUNCTION("""COMPUTED_VALUE"""),"지방공무원법 및 내부 규정에 따라 겸직이나 외부강의 시 사전 신고가 필요한 경우는 어떤 때이며, 절차는 어떻게 되나요?")</f>
        <v>지방공무원법 및 내부 규정에 따라 겸직이나 외부강의 시 사전 신고가 필요한 경우는 어떤 때이며, 절차는 어떻게 되나요?</v>
      </c>
      <c r="D165" s="206">
        <v>338.0</v>
      </c>
    </row>
    <row r="166">
      <c r="A166" s="207">
        <f>IFERROR(__xludf.DUMMYFUNCTION("""COMPUTED_VALUE"""),285.0)</f>
        <v>285</v>
      </c>
      <c r="B166" s="207" t="str">
        <f>IFERROR(__xludf.DUMMYFUNCTION("""COMPUTED_VALUE"""),"시에서 주관하는 행사 등 추진 시 홍보 광고물 설치 절차는 어떻게 되나요?")</f>
        <v>시에서 주관하는 행사 등 추진 시 홍보 광고물 설치 절차는 어떻게 되나요?</v>
      </c>
      <c r="D166" s="206">
        <v>340.0</v>
      </c>
    </row>
    <row r="167">
      <c r="A167" s="207">
        <f>IFERROR(__xludf.DUMMYFUNCTION("""COMPUTED_VALUE"""),286.0)</f>
        <v>286</v>
      </c>
      <c r="B167" s="207" t="str">
        <f>IFERROR(__xludf.DUMMYFUNCTION("""COMPUTED_VALUE"""),"공사, 용역, 물품 등 구입시 조달청을 통한 계약 절차는 어떻게 되나요?")</f>
        <v>공사, 용역, 물품 등 구입시 조달청을 통한 계약 절차는 어떻게 되나요?</v>
      </c>
      <c r="D167" s="206">
        <v>342.0</v>
      </c>
    </row>
    <row r="168">
      <c r="A168" s="207">
        <f>IFERROR(__xludf.DUMMYFUNCTION("""COMPUTED_VALUE"""),287.0)</f>
        <v>287</v>
      </c>
      <c r="B168" s="207" t="str">
        <f>IFERROR(__xludf.DUMMYFUNCTION("""COMPUTED_VALUE"""),"예산편성을 위한 신규사업 사전이행절차 안내(사업종류, 사업금액별)")</f>
        <v>예산편성을 위한 신규사업 사전이행절차 안내(사업종류, 사업금액별)</v>
      </c>
      <c r="D168" s="206">
        <v>346.0</v>
      </c>
    </row>
    <row r="169">
      <c r="A169" s="207">
        <f>IFERROR(__xludf.DUMMYFUNCTION("""COMPUTED_VALUE"""),292.0)</f>
        <v>292</v>
      </c>
      <c r="B169" s="207" t="str">
        <f>IFERROR(__xludf.DUMMYFUNCTION("""COMPUTED_VALUE"""),"빅데이터과 보유데이터 중 부서활용가능한 데이터 종류")</f>
        <v>빅데이터과 보유데이터 중 부서활용가능한 데이터 종류</v>
      </c>
      <c r="D169" s="206">
        <v>348.0</v>
      </c>
    </row>
    <row r="170">
      <c r="A170" s="207">
        <f>IFERROR(__xludf.DUMMYFUNCTION("""COMPUTED_VALUE"""),297.0)</f>
        <v>297</v>
      </c>
      <c r="B170" s="207" t="str">
        <f>IFERROR(__xludf.DUMMYFUNCTION("""COMPUTED_VALUE"""),"일반 usb, 보안 usb 사용방법을 알려주세요")</f>
        <v>일반 usb, 보안 usb 사용방법을 알려주세요</v>
      </c>
      <c r="D170" s="206">
        <v>352.0</v>
      </c>
    </row>
    <row r="171">
      <c r="A171" s="207">
        <f>IFERROR(__xludf.DUMMYFUNCTION("""COMPUTED_VALUE"""),299.0)</f>
        <v>299</v>
      </c>
      <c r="B171" s="207" t="str">
        <f>IFERROR(__xludf.DUMMYFUNCTION("""COMPUTED_VALUE"""),"gpki 비밀번호 잃어버렸을 떄 조치방법을 알려주세요")</f>
        <v>gpki 비밀번호 잃어버렸을 떄 조치방법을 알려주세요</v>
      </c>
      <c r="D171" s="206">
        <v>353.0</v>
      </c>
    </row>
    <row r="172">
      <c r="A172" s="207">
        <f>IFERROR(__xludf.DUMMYFUNCTION("""COMPUTED_VALUE"""),303.0)</f>
        <v>303</v>
      </c>
      <c r="B172" s="207" t="str">
        <f>IFERROR(__xludf.DUMMYFUNCTION("""COMPUTED_VALUE"""),"수시인사교류의 절차는 어떻게 되나요")</f>
        <v>수시인사교류의 절차는 어떻게 되나요</v>
      </c>
      <c r="E172" s="206">
        <v>362.0</v>
      </c>
      <c r="F172" s="206" t="s">
        <v>2660</v>
      </c>
    </row>
    <row r="173">
      <c r="A173" s="207">
        <f>IFERROR(__xludf.DUMMYFUNCTION("""COMPUTED_VALUE"""),304.0)</f>
        <v>304</v>
      </c>
      <c r="B173" s="207" t="str">
        <f>IFERROR(__xludf.DUMMYFUNCTION("""COMPUTED_VALUE"""),"전문직위 지정 및 전문관 임용은 어떻게 신청하면 되나요? ")</f>
        <v>전문직위 지정 및 전문관 임용은 어떻게 신청하면 되나요? </v>
      </c>
      <c r="D173" s="206">
        <v>369.0</v>
      </c>
    </row>
    <row r="174">
      <c r="A174" s="207">
        <f>IFERROR(__xludf.DUMMYFUNCTION("""COMPUTED_VALUE"""),305.0)</f>
        <v>305</v>
      </c>
      <c r="B174" s="207" t="str">
        <f>IFERROR(__xludf.DUMMYFUNCTION("""COMPUTED_VALUE"""),"성과상여금 및 연봉결정에 대한 이의신청 방법은?")</f>
        <v>성과상여금 및 연봉결정에 대한 이의신청 방법은?</v>
      </c>
      <c r="D174" s="206">
        <v>370.0</v>
      </c>
    </row>
    <row r="175">
      <c r="A175" s="207">
        <f>IFERROR(__xludf.DUMMYFUNCTION("""COMPUTED_VALUE"""),306.0)</f>
        <v>306</v>
      </c>
      <c r="B175" s="207" t="str">
        <f>IFERROR(__xludf.DUMMYFUNCTION("""COMPUTED_VALUE"""),"공무원증 신청방법? 발급되는데 얼마나 걸리나요?")</f>
        <v>공무원증 신청방법? 발급되는데 얼마나 걸리나요?</v>
      </c>
      <c r="D175" s="206">
        <v>375.0</v>
      </c>
    </row>
    <row r="176">
      <c r="A176" s="207">
        <f>IFERROR(__xludf.DUMMYFUNCTION("""COMPUTED_VALUE"""),307.0)</f>
        <v>307</v>
      </c>
      <c r="B176" s="207" t="str">
        <f>IFERROR(__xludf.DUMMYFUNCTION("""COMPUTED_VALUE"""),"당직 등으로 인한 대체휴무 사용기간은 언제까지인가요?")</f>
        <v>당직 등으로 인한 대체휴무 사용기간은 언제까지인가요?</v>
      </c>
      <c r="D176" s="206">
        <v>377.0</v>
      </c>
    </row>
    <row r="177">
      <c r="A177" s="207">
        <f>IFERROR(__xludf.DUMMYFUNCTION("""COMPUTED_VALUE"""),308.0)</f>
        <v>308</v>
      </c>
      <c r="B177" s="207" t="str">
        <f>IFERROR(__xludf.DUMMYFUNCTION("""COMPUTED_VALUE"""),"휴가 마지막 날 18시 이후 초과근무가 가능한지 ?")</f>
        <v>휴가 마지막 날 18시 이후 초과근무가 가능한지 ?</v>
      </c>
    </row>
    <row r="178">
      <c r="A178" s="207">
        <f>IFERROR(__xludf.DUMMYFUNCTION("""COMPUTED_VALUE"""),309.0)</f>
        <v>309</v>
      </c>
      <c r="B178" s="207" t="str">
        <f>IFERROR(__xludf.DUMMYFUNCTION("""COMPUTED_VALUE"""),"육아휴직수당의 지급 금액은 얼마인가요?")</f>
        <v>육아휴직수당의 지급 금액은 얼마인가요?</v>
      </c>
    </row>
    <row r="179">
      <c r="A179" s="207">
        <f>IFERROR(__xludf.DUMMYFUNCTION("""COMPUTED_VALUE"""),310.0)</f>
        <v>310</v>
      </c>
      <c r="B179" s="207" t="str">
        <f>IFERROR(__xludf.DUMMYFUNCTION("""COMPUTED_VALUE"""),"가족수당의 지급 금액은 어떻게 되나요?")</f>
        <v>가족수당의 지급 금액은 어떻게 되나요?</v>
      </c>
    </row>
    <row r="180">
      <c r="A180" s="207">
        <f>IFERROR(__xludf.DUMMYFUNCTION("""COMPUTED_VALUE"""),311.0)</f>
        <v>311</v>
      </c>
      <c r="B180" s="207" t="str">
        <f>IFERROR(__xludf.DUMMYFUNCTION("""COMPUTED_VALUE"""),"복지포인트 영수증 승인 건에 대한 처리(환급 포함) 시기는?")</f>
        <v>복지포인트 영수증 승인 건에 대한 처리(환급 포함) 시기는?</v>
      </c>
    </row>
    <row r="181">
      <c r="A181" s="207">
        <f>IFERROR(__xludf.DUMMYFUNCTION("""COMPUTED_VALUE"""),312.0)</f>
        <v>312</v>
      </c>
      <c r="B181" s="207" t="str">
        <f>IFERROR(__xludf.DUMMYFUNCTION("""COMPUTED_VALUE"""),"공무직 직원이 휴직하였는데, 기간제 승인을 받을 수 있나요?")</f>
        <v>공무직 직원이 휴직하였는데, 기간제 승인을 받을 수 있나요?</v>
      </c>
    </row>
    <row r="182">
      <c r="A182" s="207">
        <f>IFERROR(__xludf.DUMMYFUNCTION("""COMPUTED_VALUE"""),313.0)</f>
        <v>313</v>
      </c>
      <c r="B182" s="207" t="str">
        <f>IFERROR(__xludf.DUMMYFUNCTION("""COMPUTED_VALUE"""),"예산 통계목별 꼭 거쳐야 하는 예산 사전절차는 어떤것들이 있으며, 그 사전절차 과정은 어떻게 되나요?")</f>
        <v>예산 통계목별 꼭 거쳐야 하는 예산 사전절차는 어떤것들이 있으며, 그 사전절차 과정은 어떻게 되나요?</v>
      </c>
    </row>
    <row r="183">
      <c r="A183" s="207">
        <f>IFERROR(__xludf.DUMMYFUNCTION("""COMPUTED_VALUE"""),314.0)</f>
        <v>314</v>
      </c>
      <c r="B183" s="207" t="str">
        <f>IFERROR(__xludf.DUMMYFUNCTION("""COMPUTED_VALUE"""),"일상경비 감사에서 가장 많이 지적되는 사항은 어떤것들이 있으며, 해당 케이스는 어떻게 처리해야 원칙적으로 처리되는 것인가요?")</f>
        <v>일상경비 감사에서 가장 많이 지적되는 사항은 어떤것들이 있으며, 해당 케이스는 어떻게 처리해야 원칙적으로 처리되는 것인가요?</v>
      </c>
    </row>
    <row r="184">
      <c r="A184" s="207">
        <f>IFERROR(__xludf.DUMMYFUNCTION("""COMPUTED_VALUE"""),315.0)</f>
        <v>315</v>
      </c>
      <c r="B184" s="207" t="str">
        <f>IFERROR(__xludf.DUMMYFUNCTION("""COMPUTED_VALUE"""),"조달청에서 물품을 구입하려면 어떤 절차를 거쳐야 하며, e호조는 어떤식으로 진행되어야 하나요?")</f>
        <v>조달청에서 물품을 구입하려면 어떤 절차를 거쳐야 하며, e호조는 어떤식으로 진행되어야 하나요?</v>
      </c>
    </row>
    <row r="185">
      <c r="A185" s="207">
        <f>IFERROR(__xludf.DUMMYFUNCTION("""COMPUTED_VALUE"""),316.0)</f>
        <v>316</v>
      </c>
      <c r="B185" s="207" t="str">
        <f>IFERROR(__xludf.DUMMYFUNCTION("""COMPUTED_VALUE"""),"일상경비로 계약을 하는 경우, 필요한 서류는 어떤것들이 있으며, e호조는 어떻게 진행해야 하나요?")</f>
        <v>일상경비로 계약을 하는 경우, 필요한 서류는 어떤것들이 있으며, e호조는 어떻게 진행해야 하나요?</v>
      </c>
    </row>
    <row r="186">
      <c r="A186" s="207">
        <f>IFERROR(__xludf.DUMMYFUNCTION("""COMPUTED_VALUE"""),318.0)</f>
        <v>318</v>
      </c>
      <c r="B186" s="207" t="str">
        <f>IFERROR(__xludf.DUMMYFUNCTION("""COMPUTED_VALUE"""),"부산시 캐릭터 부기를 사용한 홍보를 하고 싶은데 부기 캐릭터 사용 절차는 어떻게 되나요?")</f>
        <v>부산시 캐릭터 부기를 사용한 홍보를 하고 싶은데 부기 캐릭터 사용 절차는 어떻게 되나요?</v>
      </c>
    </row>
    <row r="187">
      <c r="A187" s="207">
        <f>IFERROR(__xludf.DUMMYFUNCTION("""COMPUTED_VALUE"""),320.0)</f>
        <v>320</v>
      </c>
      <c r="B187" s="207" t="str">
        <f>IFERROR(__xludf.DUMMYFUNCTION("""COMPUTED_VALUE"""),"검사조서가 꼭 필요한 항목은 어떤것들이 있나요?")</f>
        <v>검사조서가 꼭 필요한 항목은 어떤것들이 있나요?</v>
      </c>
    </row>
    <row r="188">
      <c r="A188" s="207">
        <f>IFERROR(__xludf.DUMMYFUNCTION("""COMPUTED_VALUE"""),321.0)</f>
        <v>321</v>
      </c>
      <c r="B188" s="207" t="str">
        <f>IFERROR(__xludf.DUMMYFUNCTION("""COMPUTED_VALUE"""),"관내출장을 갔다가 관외출장을 가는경우, 출장비는 어떻게 지급되어야 하나요?")</f>
        <v>관내출장을 갔다가 관외출장을 가는경우, 출장비는 어떻게 지급되어야 하나요?</v>
      </c>
    </row>
    <row r="189">
      <c r="A189" s="207">
        <f>IFERROR(__xludf.DUMMYFUNCTION("""COMPUTED_VALUE"""),322.0)</f>
        <v>322</v>
      </c>
      <c r="B189" s="207" t="str">
        <f>IFERROR(__xludf.DUMMYFUNCTION("""COMPUTED_VALUE"""),"주말에 관외출장을 가는경우 초과근무나 대체휴무 지급이 가능한가요?")</f>
        <v>주말에 관외출장을 가는경우 초과근무나 대체휴무 지급이 가능한가요?</v>
      </c>
    </row>
    <row r="190">
      <c r="A190" s="207">
        <f>IFERROR(__xludf.DUMMYFUNCTION("""COMPUTED_VALUE"""),324.0)</f>
        <v>324</v>
      </c>
      <c r="B190" s="207" t="str">
        <f>IFERROR(__xludf.DUMMYFUNCTION("""COMPUTED_VALUE"""),"위원회를 만들때 어떤 프로세스를 거쳐서 해야하나요?")</f>
        <v>위원회를 만들때 어떤 프로세스를 거쳐서 해야하나요?</v>
      </c>
    </row>
    <row r="191">
      <c r="A191" s="207">
        <f>IFERROR(__xludf.DUMMYFUNCTION("""COMPUTED_VALUE"""),325.0)</f>
        <v>325</v>
      </c>
      <c r="B191" s="207" t="str">
        <f>IFERROR(__xludf.DUMMYFUNCTION("""COMPUTED_VALUE"""),"민간위탁을 하려고 할때 어떤 조건을 만족시키고 어떤과정을 거쳐야 민간위탁이 가능하나요?")</f>
        <v>민간위탁을 하려고 할때 어떤 조건을 만족시키고 어떤과정을 거쳐야 민간위탁이 가능하나요?</v>
      </c>
    </row>
    <row r="192">
      <c r="A192" s="207">
        <f>IFERROR(__xludf.DUMMYFUNCTION("""COMPUTED_VALUE"""),328.0)</f>
        <v>328</v>
      </c>
      <c r="B192" s="207" t="str">
        <f>IFERROR(__xludf.DUMMYFUNCTION("""COMPUTED_VALUE"""),"각종 홍보자료를 시청 홈페이지, 엘리베이터 화면, 기타 홍보게시판 등 게시하려면 어떻게 해야하나요?")</f>
        <v>각종 홍보자료를 시청 홈페이지, 엘리베이터 화면, 기타 홍보게시판 등 게시하려면 어떻게 해야하나요?</v>
      </c>
    </row>
    <row r="193">
      <c r="A193" s="207">
        <f>IFERROR(__xludf.DUMMYFUNCTION("""COMPUTED_VALUE"""),329.0)</f>
        <v>329</v>
      </c>
      <c r="B193" s="207" t="str">
        <f>IFERROR(__xludf.DUMMYFUNCTION("""COMPUTED_VALUE"""),"단체보장보험 세부 보장내용 및 청구방법은 무엇인가요?")</f>
        <v>단체보장보험 세부 보장내용 및 청구방법은 무엇인가요?</v>
      </c>
    </row>
    <row r="194">
      <c r="A194" s="207">
        <f>IFERROR(__xludf.DUMMYFUNCTION("""COMPUTED_VALUE"""),330.0)</f>
        <v>330</v>
      </c>
      <c r="B194" s="207" t="str">
        <f>IFERROR(__xludf.DUMMYFUNCTION("""COMPUTED_VALUE"""),"계약시 종류별 절차 및 구비서류는 무엇인가요?")</f>
        <v>계약시 종류별 절차 및 구비서류는 무엇인가요?</v>
      </c>
    </row>
    <row r="195">
      <c r="A195" s="207">
        <f>IFERROR(__xludf.DUMMYFUNCTION("""COMPUTED_VALUE"""),331.0)</f>
        <v>331</v>
      </c>
      <c r="B195" s="207" t="str">
        <f>IFERROR(__xludf.DUMMYFUNCTION("""COMPUTED_VALUE"""),"공무국외출장 절차는 무엇인가요?")</f>
        <v>공무국외출장 절차는 무엇인가요?</v>
      </c>
    </row>
    <row r="196">
      <c r="A196" s="207">
        <f>IFERROR(__xludf.DUMMYFUNCTION("""COMPUTED_VALUE"""),332.0)</f>
        <v>332</v>
      </c>
      <c r="B196" s="207" t="str">
        <f>IFERROR(__xludf.DUMMYFUNCTION("""COMPUTED_VALUE"""),"nac 로그인이 안돼요(아이디, 초기비밀번호 등)")</f>
        <v>nac 로그인이 안돼요(아이디, 초기비밀번호 등)</v>
      </c>
    </row>
    <row r="197">
      <c r="A197" s="207">
        <f>IFERROR(__xludf.DUMMYFUNCTION("""COMPUTED_VALUE"""),333.0)</f>
        <v>333</v>
      </c>
      <c r="B197" s="207" t="str">
        <f>IFERROR(__xludf.DUMMYFUNCTION("""COMPUTED_VALUE"""),"공무원증 분실시 청사 출입 방법과 재발급 방법은 무엇인가요?")</f>
        <v>공무원증 분실시 청사 출입 방법과 재발급 방법은 무엇인가요?</v>
      </c>
    </row>
    <row r="198">
      <c r="A198" s="207">
        <f>IFERROR(__xludf.DUMMYFUNCTION("""COMPUTED_VALUE"""),334.0)</f>
        <v>334</v>
      </c>
      <c r="B198" s="207" t="str">
        <f>IFERROR(__xludf.DUMMYFUNCTION("""COMPUTED_VALUE"""),"시청 청사 내 주차 등록 방법은 무엇인가요?")</f>
        <v>시청 청사 내 주차 등록 방법은 무엇인가요?</v>
      </c>
    </row>
    <row r="199">
      <c r="A199" s="207">
        <f>IFERROR(__xludf.DUMMYFUNCTION("""COMPUTED_VALUE"""),336.0)</f>
        <v>336</v>
      </c>
      <c r="B199" s="207" t="str">
        <f>IFERROR(__xludf.DUMMYFUNCTION("""COMPUTED_VALUE"""),"공유재산 관리계획 수립 시 절차는 어떻게 되나요?")</f>
        <v>공유재산 관리계획 수립 시 절차는 어떻게 되나요?</v>
      </c>
    </row>
    <row r="200">
      <c r="A200" s="207">
        <f>IFERROR(__xludf.DUMMYFUNCTION("""COMPUTED_VALUE"""),337.0)</f>
        <v>337</v>
      </c>
      <c r="B200" s="207" t="str">
        <f>IFERROR(__xludf.DUMMYFUNCTION("""COMPUTED_VALUE"""),"경조사 종류별 휴가 일수를 알려줘")</f>
        <v>경조사 종류별 휴가 일수를 알려줘</v>
      </c>
    </row>
    <row r="201">
      <c r="A201" s="207">
        <f>IFERROR(__xludf.DUMMYFUNCTION("""COMPUTED_VALUE"""),338.0)</f>
        <v>338</v>
      </c>
      <c r="B201" s="207" t="str">
        <f>IFERROR(__xludf.DUMMYFUNCTION("""COMPUTED_VALUE"""),"행정전자서명(GPKI) 재발급 방법을 알려주세요")</f>
        <v>행정전자서명(GPKI) 재발급 방법을 알려주세요</v>
      </c>
    </row>
    <row r="202">
      <c r="A202" s="207">
        <f>IFERROR(__xludf.DUMMYFUNCTION("""COMPUTED_VALUE"""),340.0)</f>
        <v>340</v>
      </c>
      <c r="B202" s="207" t="str">
        <f>IFERROR(__xludf.DUMMYFUNCTION("""COMPUTED_VALUE"""),"정산검사 결과 보고서에서 포함돼야 할 내용에 어떤 것들이 있나요?")</f>
        <v>정산검사 결과 보고서에서 포함돼야 할 내용에 어떤 것들이 있나요?</v>
      </c>
    </row>
    <row r="203">
      <c r="A203" s="207">
        <f>IFERROR(__xludf.DUMMYFUNCTION("""COMPUTED_VALUE"""),341.0)</f>
        <v>341</v>
      </c>
      <c r="B203" s="207" t="str">
        <f>IFERROR(__xludf.DUMMYFUNCTION("""COMPUTED_VALUE"""),"추가경정예산안에 포함돼야 할 내용에 어떤 것들이 있나요?")</f>
        <v>추가경정예산안에 포함돼야 할 내용에 어떤 것들이 있나요?</v>
      </c>
    </row>
    <row r="204">
      <c r="A204" s="207">
        <f>IFERROR(__xludf.DUMMYFUNCTION("""COMPUTED_VALUE"""),342.0)</f>
        <v>342</v>
      </c>
      <c r="B204" s="207" t="str">
        <f>IFERROR(__xludf.DUMMYFUNCTION("""COMPUTED_VALUE"""),"고충민원이 들어왔을 때 처리절차를 알려주세요")</f>
        <v>고충민원이 들어왔을 때 처리절차를 알려주세요</v>
      </c>
    </row>
    <row r="205">
      <c r="A205" s="207">
        <f>IFERROR(__xludf.DUMMYFUNCTION("""COMPUTED_VALUE"""),346.0)</f>
        <v>346</v>
      </c>
      <c r="B205" s="207" t="str">
        <f>IFERROR(__xludf.DUMMYFUNCTION("""COMPUTED_VALUE"""),"예산변경의 절차에 대해서 알려주세요")</f>
        <v>예산변경의 절차에 대해서 알려주세요</v>
      </c>
    </row>
    <row r="206">
      <c r="A206" s="207">
        <f>IFERROR(__xludf.DUMMYFUNCTION("""COMPUTED_VALUE"""),348.0)</f>
        <v>348</v>
      </c>
      <c r="B206" s="207" t="str">
        <f>IFERROR(__xludf.DUMMYFUNCTION("""COMPUTED_VALUE"""),"법률자문은 어떻게 진행되나요?")</f>
        <v>법률자문은 어떻게 진행되나요?</v>
      </c>
    </row>
    <row r="207">
      <c r="A207" s="207">
        <f>IFERROR(__xludf.DUMMYFUNCTION("""COMPUTED_VALUE"""),351.0)</f>
        <v>351</v>
      </c>
      <c r="B207" s="207" t="str">
        <f>IFERROR(__xludf.DUMMYFUNCTION("""COMPUTED_VALUE"""),"일반지출이 아닌 계약으로 진행해야 하는 기준과 필요 서류들이 무엇이 있는지?")</f>
        <v>일반지출이 아닌 계약으로 진행해야 하는 기준과 필요 서류들이 무엇이 있는지?</v>
      </c>
    </row>
    <row r="208">
      <c r="A208" s="207">
        <f>IFERROR(__xludf.DUMMYFUNCTION("""COMPUTED_VALUE"""),352.0)</f>
        <v>352</v>
      </c>
      <c r="B208" s="207" t="str">
        <f>IFERROR(__xludf.DUMMYFUNCTION("""COMPUTED_VALUE"""),"조례를 제정,개정하기 위한 행정절차 가이드라인을 알려줄 수 있는지?")</f>
        <v>조례를 제정,개정하기 위한 행정절차 가이드라인을 알려줄 수 있는지?</v>
      </c>
    </row>
    <row r="209">
      <c r="A209" s="207">
        <f>IFERROR(__xludf.DUMMYFUNCTION("""COMPUTED_VALUE"""),353.0)</f>
        <v>353</v>
      </c>
      <c r="B209" s="207" t="str">
        <f>IFERROR(__xludf.DUMMYFUNCTION("""COMPUTED_VALUE"""),"PC를 새로 교체했을 때 해야하는 보안절차가 있는지?")</f>
        <v>PC를 새로 교체했을 때 해야하는 보안절차가 있는지?</v>
      </c>
    </row>
    <row r="210">
      <c r="A210" s="207">
        <f>IFERROR(__xludf.DUMMYFUNCTION("""COMPUTED_VALUE"""),358.0)</f>
        <v>358</v>
      </c>
      <c r="B210" s="207" t="str">
        <f>IFERROR(__xludf.DUMMYFUNCTION("""COMPUTED_VALUE"""),"국민신문고, 정보공개 처리 기준 및 답변 예시들을 볼 수 있는지?")</f>
        <v>국민신문고, 정보공개 처리 기준 및 답변 예시들을 볼 수 있는지?</v>
      </c>
    </row>
    <row r="211">
      <c r="A211" s="207">
        <f>IFERROR(__xludf.DUMMYFUNCTION("""COMPUTED_VALUE"""),359.0)</f>
        <v>359</v>
      </c>
      <c r="B211" s="207" t="str">
        <f>IFERROR(__xludf.DUMMYFUNCTION("""COMPUTED_VALUE"""),"수의계약이 아닌 입찰로 진행할 때 선행해야할 절차들과 서류들을 정리해 줄 수 있는지?")</f>
        <v>수의계약이 아닌 입찰로 진행할 때 선행해야할 절차들과 서류들을 정리해 줄 수 있는지?</v>
      </c>
    </row>
    <row r="212">
      <c r="A212" s="207">
        <f>IFERROR(__xludf.DUMMYFUNCTION("""COMPUTED_VALUE"""),361.0)</f>
        <v>361</v>
      </c>
      <c r="B212" s="207" t="str">
        <f>IFERROR(__xludf.DUMMYFUNCTION("""COMPUTED_VALUE"""),"DRM, PC Client 아이디 및 비밀번호를 잊어버렸을 때 절차 알려주세요")</f>
        <v>DRM, PC Client 아이디 및 비밀번호를 잊어버렸을 때 절차 알려주세요</v>
      </c>
    </row>
    <row r="213">
      <c r="A213" s="207">
        <f>IFERROR(__xludf.DUMMYFUNCTION("""COMPUTED_VALUE"""),362.0)</f>
        <v>362</v>
      </c>
      <c r="B213" s="207" t="str">
        <f>IFERROR(__xludf.DUMMYFUNCTION("""COMPUTED_VALUE"""),"온나라 문서 과제카드를 잘못 지정하였습니다. 변경 가능할까요?")</f>
        <v>온나라 문서 과제카드를 잘못 지정하였습니다. 변경 가능할까요?</v>
      </c>
    </row>
    <row r="214">
      <c r="A214" s="207">
        <f>IFERROR(__xludf.DUMMYFUNCTION("""COMPUTED_VALUE"""),365.0)</f>
        <v>365</v>
      </c>
      <c r="B214" s="207" t="str">
        <f>IFERROR(__xludf.DUMMYFUNCTION("""COMPUTED_VALUE"""),"공무원 및 공무직 직원복지지원시스템 사용 방법을 알려주세요.")</f>
        <v>공무원 및 공무직 직원복지지원시스템 사용 방법을 알려주세요.</v>
      </c>
    </row>
    <row r="215">
      <c r="A215" s="207">
        <f>IFERROR(__xludf.DUMMYFUNCTION("""COMPUTED_VALUE"""),369.0)</f>
        <v>369</v>
      </c>
      <c r="B215" s="207" t="str">
        <f>IFERROR(__xludf.DUMMYFUNCTION("""COMPUTED_VALUE"""),"엑셀, 한글 등 SW프로그램을 새로 다운받는 방법을 알려주세요")</f>
        <v>엑셀, 한글 등 SW프로그램을 새로 다운받는 방법을 알려주세요</v>
      </c>
    </row>
    <row r="216">
      <c r="A216" s="207">
        <f>IFERROR(__xludf.DUMMYFUNCTION("""COMPUTED_VALUE"""),370.0)</f>
        <v>370</v>
      </c>
      <c r="B216" s="207" t="str">
        <f>IFERROR(__xludf.DUMMYFUNCTION("""COMPUTED_VALUE"""),"공무원증 신청 방법 알려줘")</f>
        <v>공무원증 신청 방법 알려줘</v>
      </c>
    </row>
    <row r="217">
      <c r="A217" s="207">
        <f>IFERROR(__xludf.DUMMYFUNCTION("""COMPUTED_VALUE"""),375.0)</f>
        <v>375</v>
      </c>
      <c r="B217" s="207" t="str">
        <f>IFERROR(__xludf.DUMMYFUNCTION("""COMPUTED_VALUE"""),"관내출장 시 18:00 이후 복귀하여도 출장 시간 인정이 되는지 궁금합니다.")</f>
        <v>관내출장 시 18:00 이후 복귀하여도 출장 시간 인정이 되는지 궁금합니다.</v>
      </c>
    </row>
    <row r="218">
      <c r="A218" s="207">
        <f>IFERROR(__xludf.DUMMYFUNCTION("""COMPUTED_VALUE"""),377.0)</f>
        <v>377</v>
      </c>
      <c r="B218" s="207" t="str">
        <f>IFERROR(__xludf.DUMMYFUNCTION("""COMPUTED_VALUE"""),"예산 수시 배정 절차가 궁금합니다.")</f>
        <v>예산 수시 배정 절차가 궁금합니다.</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71"/>
    <col customWidth="1" min="2" max="2" width="16.29"/>
    <col customWidth="1" min="3" max="3" width="33.43"/>
    <col customWidth="1" min="4" max="4" width="70.71"/>
    <col customWidth="1" min="5" max="5" width="20.86"/>
    <col customWidth="1" min="6" max="6" width="13.86"/>
    <col customWidth="1" min="7" max="7" width="70.86"/>
    <col customWidth="1" min="8" max="10" width="11.43"/>
    <col customWidth="1" min="11" max="11" width="10.86"/>
    <col customWidth="1" min="12" max="12" width="50.86"/>
    <col customWidth="1" min="13" max="13" width="40.86"/>
    <col customWidth="1" min="14" max="27" width="8.71"/>
  </cols>
  <sheetData>
    <row r="1" ht="15.0" customHeight="1">
      <c r="A1" s="1" t="s">
        <v>2661</v>
      </c>
      <c r="H1" s="208" t="s">
        <v>2662</v>
      </c>
      <c r="I1" s="209"/>
      <c r="J1" s="208" t="s">
        <v>2663</v>
      </c>
      <c r="K1" s="210" t="s">
        <v>2664</v>
      </c>
      <c r="L1" s="13"/>
      <c r="M1" s="13"/>
      <c r="N1" s="13"/>
      <c r="O1" s="13"/>
      <c r="P1" s="13"/>
      <c r="Q1" s="13"/>
      <c r="R1" s="13"/>
      <c r="S1" s="13"/>
      <c r="T1" s="13"/>
      <c r="U1" s="13"/>
      <c r="V1" s="13"/>
      <c r="W1" s="13"/>
      <c r="X1" s="13"/>
      <c r="Y1" s="13"/>
      <c r="Z1" s="13"/>
      <c r="AA1" s="13"/>
    </row>
    <row r="2" ht="24.75" customHeight="1">
      <c r="H2" s="211">
        <f>COUNTIF(H4:H381,TRUE)</f>
        <v>70</v>
      </c>
      <c r="J2" s="212">
        <f>COUNTIF(J4:J381,"반영")</f>
        <v>216</v>
      </c>
      <c r="K2" s="213">
        <f>COUNTIF(K4:K381,TRUE)</f>
        <v>13</v>
      </c>
      <c r="L2" s="214" t="s">
        <v>10</v>
      </c>
      <c r="M2" s="17"/>
      <c r="N2" s="13"/>
      <c r="O2" s="13"/>
      <c r="P2" s="13"/>
      <c r="Q2" s="13"/>
      <c r="R2" s="13"/>
      <c r="S2" s="13"/>
      <c r="T2" s="13"/>
      <c r="U2" s="13"/>
      <c r="V2" s="13"/>
      <c r="W2" s="13"/>
      <c r="X2" s="13"/>
      <c r="Y2" s="13"/>
      <c r="Z2" s="13"/>
      <c r="AA2" s="13"/>
    </row>
    <row r="3" ht="30.0" customHeight="1">
      <c r="A3" s="215" t="s">
        <v>12</v>
      </c>
      <c r="B3" s="215" t="s">
        <v>2665</v>
      </c>
      <c r="C3" s="215" t="s">
        <v>13</v>
      </c>
      <c r="D3" s="215" t="s">
        <v>2666</v>
      </c>
      <c r="E3" s="216" t="s">
        <v>2667</v>
      </c>
      <c r="F3" s="217" t="s">
        <v>2668</v>
      </c>
      <c r="G3" s="215" t="s">
        <v>2669</v>
      </c>
      <c r="H3" s="218" t="s">
        <v>2670</v>
      </c>
      <c r="I3" s="219" t="s">
        <v>2671</v>
      </c>
      <c r="J3" s="220" t="s">
        <v>2672</v>
      </c>
      <c r="K3" s="221" t="s">
        <v>24</v>
      </c>
      <c r="L3" s="222" t="s">
        <v>25</v>
      </c>
      <c r="M3" s="222" t="s">
        <v>26</v>
      </c>
      <c r="N3" s="13"/>
      <c r="O3" s="13"/>
      <c r="P3" s="13"/>
      <c r="Q3" s="13"/>
      <c r="R3" s="13"/>
      <c r="S3" s="13"/>
      <c r="T3" s="13"/>
      <c r="U3" s="13"/>
      <c r="V3" s="13"/>
      <c r="W3" s="13"/>
      <c r="X3" s="13"/>
      <c r="Y3" s="13"/>
      <c r="Z3" s="13"/>
      <c r="AA3" s="13"/>
    </row>
    <row r="4" ht="233.25" customHeight="1">
      <c r="A4" s="223">
        <f t="shared" ref="A4:A270" si="1">378+ROW()-3</f>
        <v>379</v>
      </c>
      <c r="B4" s="224" t="s">
        <v>2673</v>
      </c>
      <c r="C4" s="225" t="s">
        <v>2431</v>
      </c>
      <c r="D4" s="226" t="s">
        <v>2432</v>
      </c>
      <c r="E4" s="175" t="s">
        <v>121</v>
      </c>
      <c r="F4" s="82" t="s">
        <v>122</v>
      </c>
      <c r="G4" s="35" t="s">
        <v>2433</v>
      </c>
      <c r="H4" s="227" t="b">
        <v>1</v>
      </c>
      <c r="I4" s="228">
        <v>45985.0</v>
      </c>
      <c r="J4" s="228" t="s">
        <v>2674</v>
      </c>
      <c r="K4" s="229" t="b">
        <v>1</v>
      </c>
      <c r="L4" s="64" t="s">
        <v>124</v>
      </c>
      <c r="M4" s="35"/>
      <c r="N4" s="13"/>
      <c r="O4" s="13"/>
      <c r="P4" s="13"/>
      <c r="Q4" s="13"/>
      <c r="R4" s="13"/>
      <c r="S4" s="13"/>
      <c r="T4" s="13"/>
      <c r="U4" s="13"/>
      <c r="V4" s="13"/>
      <c r="W4" s="13"/>
      <c r="X4" s="13"/>
      <c r="Y4" s="13"/>
      <c r="Z4" s="13"/>
      <c r="AA4" s="13"/>
    </row>
    <row r="5" ht="274.5" hidden="1" customHeight="1">
      <c r="A5" s="230">
        <f t="shared" si="1"/>
        <v>380</v>
      </c>
      <c r="B5" s="224" t="s">
        <v>2673</v>
      </c>
      <c r="C5" s="231" t="s">
        <v>2675</v>
      </c>
      <c r="D5" s="226" t="s">
        <v>2676</v>
      </c>
      <c r="E5" s="226" t="s">
        <v>2677</v>
      </c>
      <c r="F5" s="226" t="s">
        <v>2678</v>
      </c>
      <c r="G5" s="226" t="s">
        <v>2679</v>
      </c>
      <c r="H5" s="228"/>
      <c r="I5" s="228">
        <v>45985.0</v>
      </c>
      <c r="J5" s="228" t="s">
        <v>2680</v>
      </c>
      <c r="K5" s="232" t="b">
        <v>0</v>
      </c>
      <c r="L5" s="35"/>
      <c r="M5" s="35"/>
      <c r="N5" s="13"/>
      <c r="O5" s="13"/>
      <c r="P5" s="13"/>
      <c r="Q5" s="13"/>
      <c r="R5" s="13"/>
      <c r="S5" s="13"/>
      <c r="T5" s="13"/>
      <c r="U5" s="13"/>
      <c r="V5" s="13"/>
      <c r="W5" s="13"/>
      <c r="X5" s="13"/>
      <c r="Y5" s="13"/>
      <c r="Z5" s="13"/>
      <c r="AA5" s="13"/>
    </row>
    <row r="6" ht="16.5" customHeight="1">
      <c r="A6" s="223">
        <f t="shared" si="1"/>
        <v>381</v>
      </c>
      <c r="B6" s="224" t="s">
        <v>2681</v>
      </c>
      <c r="C6" s="225" t="s">
        <v>2434</v>
      </c>
      <c r="D6" s="226" t="s">
        <v>2435</v>
      </c>
      <c r="E6" s="174" t="s">
        <v>2436</v>
      </c>
      <c r="F6" s="182" t="s">
        <v>2437</v>
      </c>
      <c r="G6" s="226" t="s">
        <v>2438</v>
      </c>
      <c r="H6" s="227" t="b">
        <v>1</v>
      </c>
      <c r="I6" s="228">
        <v>45985.0</v>
      </c>
      <c r="J6" s="228" t="s">
        <v>2674</v>
      </c>
      <c r="K6" s="229" t="b">
        <v>1</v>
      </c>
      <c r="L6" s="64" t="s">
        <v>2439</v>
      </c>
      <c r="M6" s="35"/>
      <c r="N6" s="13"/>
      <c r="O6" s="13"/>
      <c r="P6" s="13"/>
      <c r="Q6" s="13"/>
      <c r="R6" s="13"/>
      <c r="S6" s="13"/>
      <c r="T6" s="13"/>
      <c r="U6" s="13"/>
      <c r="V6" s="13"/>
      <c r="W6" s="13"/>
      <c r="X6" s="13"/>
      <c r="Y6" s="13"/>
      <c r="Z6" s="13"/>
      <c r="AA6" s="13"/>
    </row>
    <row r="7" ht="16.5" customHeight="1">
      <c r="A7" s="223">
        <f t="shared" si="1"/>
        <v>382</v>
      </c>
      <c r="B7" s="224" t="s">
        <v>2681</v>
      </c>
      <c r="C7" s="225" t="s">
        <v>2440</v>
      </c>
      <c r="D7" s="226" t="s">
        <v>2441</v>
      </c>
      <c r="E7" s="174" t="s">
        <v>2436</v>
      </c>
      <c r="F7" s="182" t="s">
        <v>2442</v>
      </c>
      <c r="G7" s="226" t="s">
        <v>2443</v>
      </c>
      <c r="H7" s="227" t="b">
        <v>1</v>
      </c>
      <c r="I7" s="228">
        <v>45985.0</v>
      </c>
      <c r="J7" s="228" t="s">
        <v>2674</v>
      </c>
      <c r="K7" s="229" t="b">
        <v>1</v>
      </c>
      <c r="L7" s="64" t="s">
        <v>2444</v>
      </c>
      <c r="M7" s="35"/>
      <c r="N7" s="13"/>
      <c r="O7" s="13"/>
      <c r="P7" s="13"/>
      <c r="Q7" s="13"/>
      <c r="R7" s="13"/>
      <c r="S7" s="13"/>
      <c r="T7" s="13"/>
      <c r="U7" s="13"/>
      <c r="V7" s="13"/>
      <c r="W7" s="13"/>
      <c r="X7" s="13"/>
      <c r="Y7" s="13"/>
      <c r="Z7" s="13"/>
      <c r="AA7" s="13"/>
    </row>
    <row r="8" ht="173.25" customHeight="1">
      <c r="A8" s="223">
        <f t="shared" si="1"/>
        <v>383</v>
      </c>
      <c r="B8" s="224" t="s">
        <v>2681</v>
      </c>
      <c r="C8" s="225" t="s">
        <v>2445</v>
      </c>
      <c r="D8" s="226" t="s">
        <v>2446</v>
      </c>
      <c r="E8" s="233" t="s">
        <v>2447</v>
      </c>
      <c r="F8" s="234" t="s">
        <v>2448</v>
      </c>
      <c r="G8" s="226" t="s">
        <v>2449</v>
      </c>
      <c r="H8" s="227" t="b">
        <v>1</v>
      </c>
      <c r="I8" s="228">
        <v>45985.0</v>
      </c>
      <c r="J8" s="228" t="s">
        <v>2674</v>
      </c>
      <c r="K8" s="235" t="b">
        <v>0</v>
      </c>
      <c r="L8" s="35"/>
      <c r="M8" s="35"/>
      <c r="N8" s="13"/>
      <c r="O8" s="13"/>
      <c r="P8" s="13"/>
      <c r="Q8" s="13"/>
      <c r="R8" s="13"/>
      <c r="S8" s="13"/>
      <c r="T8" s="13"/>
      <c r="U8" s="13"/>
      <c r="V8" s="13"/>
      <c r="W8" s="13"/>
      <c r="X8" s="13"/>
      <c r="Y8" s="13"/>
      <c r="Z8" s="13"/>
      <c r="AA8" s="13"/>
    </row>
    <row r="9" ht="16.5" customHeight="1">
      <c r="A9" s="223">
        <f t="shared" si="1"/>
        <v>384</v>
      </c>
      <c r="B9" s="224" t="s">
        <v>2673</v>
      </c>
      <c r="C9" s="225" t="s">
        <v>2451</v>
      </c>
      <c r="D9" s="226" t="s">
        <v>2452</v>
      </c>
      <c r="E9" s="174" t="s">
        <v>121</v>
      </c>
      <c r="F9" s="182" t="s">
        <v>2682</v>
      </c>
      <c r="G9" s="226" t="s">
        <v>2454</v>
      </c>
      <c r="H9" s="227" t="b">
        <v>1</v>
      </c>
      <c r="I9" s="228">
        <v>45985.0</v>
      </c>
      <c r="J9" s="228" t="s">
        <v>2674</v>
      </c>
      <c r="K9" s="229" t="b">
        <v>1</v>
      </c>
      <c r="L9" s="64" t="s">
        <v>124</v>
      </c>
      <c r="M9" s="35"/>
      <c r="N9" s="13"/>
      <c r="O9" s="13"/>
      <c r="P9" s="13"/>
      <c r="Q9" s="13"/>
      <c r="R9" s="13"/>
      <c r="S9" s="13"/>
      <c r="T9" s="13"/>
      <c r="U9" s="13"/>
      <c r="V9" s="13"/>
      <c r="W9" s="13"/>
      <c r="X9" s="13"/>
      <c r="Y9" s="13"/>
      <c r="Z9" s="13"/>
      <c r="AA9" s="13"/>
    </row>
    <row r="10" ht="16.5" customHeight="1">
      <c r="A10" s="223">
        <f t="shared" si="1"/>
        <v>385</v>
      </c>
      <c r="B10" s="224" t="s">
        <v>2681</v>
      </c>
      <c r="C10" s="225" t="s">
        <v>2683</v>
      </c>
      <c r="D10" s="236" t="s">
        <v>2684</v>
      </c>
      <c r="E10" s="237" t="s">
        <v>2436</v>
      </c>
      <c r="F10" s="182" t="s">
        <v>2685</v>
      </c>
      <c r="G10" s="226" t="s">
        <v>2686</v>
      </c>
      <c r="H10" s="227" t="b">
        <v>0</v>
      </c>
      <c r="I10" s="228">
        <v>45985.0</v>
      </c>
      <c r="J10" s="228" t="s">
        <v>2674</v>
      </c>
      <c r="K10" s="235" t="b">
        <v>0</v>
      </c>
      <c r="L10" s="35"/>
      <c r="M10" s="35"/>
      <c r="N10" s="13"/>
      <c r="O10" s="13"/>
      <c r="P10" s="13"/>
      <c r="Q10" s="13"/>
      <c r="R10" s="13"/>
      <c r="S10" s="13"/>
      <c r="T10" s="13"/>
      <c r="U10" s="13"/>
      <c r="V10" s="13"/>
      <c r="W10" s="13"/>
      <c r="X10" s="13"/>
      <c r="Y10" s="13"/>
      <c r="Z10" s="13"/>
      <c r="AA10" s="13"/>
    </row>
    <row r="11" ht="16.5" customHeight="1">
      <c r="A11" s="223">
        <f t="shared" si="1"/>
        <v>386</v>
      </c>
      <c r="B11" s="224" t="s">
        <v>2687</v>
      </c>
      <c r="C11" s="225" t="s">
        <v>2688</v>
      </c>
      <c r="D11" s="226" t="s">
        <v>2689</v>
      </c>
      <c r="E11" s="238" t="s">
        <v>2690</v>
      </c>
      <c r="F11" s="234" t="s">
        <v>933</v>
      </c>
      <c r="G11" s="226" t="s">
        <v>2691</v>
      </c>
      <c r="H11" s="239" t="b">
        <v>0</v>
      </c>
      <c r="I11" s="228">
        <v>45985.0</v>
      </c>
      <c r="J11" s="228" t="s">
        <v>2674</v>
      </c>
      <c r="K11" s="235" t="b">
        <v>0</v>
      </c>
      <c r="L11" s="35"/>
      <c r="M11" s="35"/>
      <c r="N11" s="13"/>
      <c r="O11" s="13"/>
      <c r="P11" s="13"/>
      <c r="Q11" s="13"/>
      <c r="R11" s="13"/>
      <c r="S11" s="13"/>
      <c r="T11" s="13"/>
      <c r="U11" s="13"/>
      <c r="V11" s="13"/>
      <c r="W11" s="13"/>
      <c r="X11" s="13"/>
      <c r="Y11" s="13"/>
      <c r="Z11" s="13"/>
      <c r="AA11" s="13"/>
    </row>
    <row r="12" ht="190.5" customHeight="1">
      <c r="A12" s="223">
        <f t="shared" si="1"/>
        <v>387</v>
      </c>
      <c r="B12" s="224" t="s">
        <v>2687</v>
      </c>
      <c r="C12" s="225" t="s">
        <v>2692</v>
      </c>
      <c r="D12" s="226" t="s">
        <v>2693</v>
      </c>
      <c r="E12" s="240" t="s">
        <v>2694</v>
      </c>
      <c r="F12" s="234"/>
      <c r="G12" s="226" t="s">
        <v>2691</v>
      </c>
      <c r="H12" s="239" t="b">
        <v>0</v>
      </c>
      <c r="I12" s="228">
        <v>45985.0</v>
      </c>
      <c r="J12" s="228" t="s">
        <v>2674</v>
      </c>
      <c r="K12" s="235" t="b">
        <v>0</v>
      </c>
      <c r="L12" s="35"/>
      <c r="M12" s="35"/>
      <c r="N12" s="13"/>
      <c r="O12" s="13"/>
      <c r="P12" s="13"/>
      <c r="Q12" s="13"/>
      <c r="R12" s="13"/>
      <c r="S12" s="13"/>
      <c r="T12" s="13"/>
      <c r="U12" s="13"/>
      <c r="V12" s="13"/>
      <c r="W12" s="13"/>
      <c r="X12" s="13"/>
      <c r="Y12" s="13"/>
      <c r="Z12" s="13"/>
      <c r="AA12" s="13"/>
    </row>
    <row r="13" ht="16.5" customHeight="1">
      <c r="A13" s="223">
        <f t="shared" si="1"/>
        <v>388</v>
      </c>
      <c r="B13" s="224" t="s">
        <v>2681</v>
      </c>
      <c r="C13" s="225" t="s">
        <v>2695</v>
      </c>
      <c r="D13" s="226" t="s">
        <v>2696</v>
      </c>
      <c r="E13" s="238" t="s">
        <v>2697</v>
      </c>
      <c r="F13" s="234" t="s">
        <v>173</v>
      </c>
      <c r="G13" s="241" t="s">
        <v>2698</v>
      </c>
      <c r="H13" s="239" t="b">
        <v>0</v>
      </c>
      <c r="I13" s="228">
        <v>45985.0</v>
      </c>
      <c r="J13" s="228" t="s">
        <v>2674</v>
      </c>
      <c r="K13" s="235" t="b">
        <v>0</v>
      </c>
      <c r="L13" s="35"/>
      <c r="M13" s="35"/>
      <c r="N13" s="13"/>
      <c r="O13" s="13"/>
      <c r="P13" s="13"/>
      <c r="Q13" s="13"/>
      <c r="R13" s="13"/>
      <c r="S13" s="13"/>
      <c r="T13" s="13"/>
      <c r="U13" s="13"/>
      <c r="V13" s="13"/>
      <c r="W13" s="13"/>
      <c r="X13" s="13"/>
      <c r="Y13" s="13"/>
      <c r="Z13" s="13"/>
      <c r="AA13" s="13"/>
    </row>
    <row r="14" ht="16.5" customHeight="1">
      <c r="A14" s="223">
        <f t="shared" si="1"/>
        <v>389</v>
      </c>
      <c r="B14" s="224" t="s">
        <v>2681</v>
      </c>
      <c r="C14" s="225" t="s">
        <v>2699</v>
      </c>
      <c r="D14" s="226" t="s">
        <v>2700</v>
      </c>
      <c r="E14" s="238" t="s">
        <v>2701</v>
      </c>
      <c r="F14" s="234" t="s">
        <v>2702</v>
      </c>
      <c r="G14" s="226" t="s">
        <v>2700</v>
      </c>
      <c r="H14" s="239" t="b">
        <v>0</v>
      </c>
      <c r="I14" s="228">
        <v>45985.0</v>
      </c>
      <c r="J14" s="228" t="s">
        <v>2674</v>
      </c>
      <c r="K14" s="235" t="b">
        <v>0</v>
      </c>
      <c r="L14" s="35"/>
      <c r="M14" s="35"/>
      <c r="N14" s="13"/>
      <c r="O14" s="13"/>
      <c r="P14" s="13"/>
      <c r="Q14" s="13"/>
      <c r="R14" s="13"/>
      <c r="S14" s="13"/>
      <c r="T14" s="13"/>
      <c r="U14" s="13"/>
      <c r="V14" s="13"/>
      <c r="W14" s="13"/>
      <c r="X14" s="13"/>
      <c r="Y14" s="13"/>
      <c r="Z14" s="13"/>
      <c r="AA14" s="13"/>
    </row>
    <row r="15" ht="16.5" customHeight="1">
      <c r="A15" s="223">
        <f t="shared" si="1"/>
        <v>390</v>
      </c>
      <c r="B15" s="224" t="s">
        <v>2681</v>
      </c>
      <c r="C15" s="225" t="s">
        <v>2703</v>
      </c>
      <c r="D15" s="226" t="s">
        <v>2704</v>
      </c>
      <c r="E15" s="238" t="s">
        <v>2701</v>
      </c>
      <c r="F15" s="234" t="s">
        <v>2701</v>
      </c>
      <c r="G15" s="226" t="s">
        <v>2704</v>
      </c>
      <c r="H15" s="239" t="b">
        <v>0</v>
      </c>
      <c r="I15" s="228">
        <v>45985.0</v>
      </c>
      <c r="J15" s="228" t="s">
        <v>2674</v>
      </c>
      <c r="K15" s="235" t="b">
        <v>0</v>
      </c>
      <c r="L15" s="35"/>
      <c r="M15" s="35"/>
      <c r="N15" s="13"/>
      <c r="O15" s="13"/>
      <c r="P15" s="13"/>
      <c r="Q15" s="13"/>
      <c r="R15" s="13"/>
      <c r="S15" s="13"/>
      <c r="T15" s="13"/>
      <c r="U15" s="13"/>
      <c r="V15" s="13"/>
      <c r="W15" s="13"/>
      <c r="X15" s="13"/>
      <c r="Y15" s="13"/>
      <c r="Z15" s="13"/>
      <c r="AA15" s="13"/>
    </row>
    <row r="16" ht="16.5" customHeight="1">
      <c r="A16" s="223">
        <f t="shared" si="1"/>
        <v>391</v>
      </c>
      <c r="B16" s="224" t="s">
        <v>2681</v>
      </c>
      <c r="C16" s="225" t="s">
        <v>2455</v>
      </c>
      <c r="D16" s="226" t="s">
        <v>2456</v>
      </c>
      <c r="E16" s="233" t="s">
        <v>2457</v>
      </c>
      <c r="F16" s="182" t="s">
        <v>173</v>
      </c>
      <c r="G16" s="226" t="s">
        <v>2705</v>
      </c>
      <c r="H16" s="227" t="b">
        <v>1</v>
      </c>
      <c r="I16" s="228">
        <v>45985.0</v>
      </c>
      <c r="J16" s="228" t="s">
        <v>2674</v>
      </c>
      <c r="K16" s="235" t="b">
        <v>0</v>
      </c>
      <c r="L16" s="35"/>
      <c r="M16" s="35"/>
      <c r="N16" s="13"/>
      <c r="O16" s="13"/>
      <c r="P16" s="13"/>
      <c r="Q16" s="13"/>
      <c r="R16" s="13"/>
      <c r="S16" s="13"/>
      <c r="T16" s="13"/>
      <c r="U16" s="13"/>
      <c r="V16" s="13"/>
      <c r="W16" s="13"/>
      <c r="X16" s="13"/>
      <c r="Y16" s="13"/>
      <c r="Z16" s="13"/>
      <c r="AA16" s="13"/>
    </row>
    <row r="17" ht="16.5" customHeight="1">
      <c r="A17" s="223">
        <f t="shared" si="1"/>
        <v>392</v>
      </c>
      <c r="B17" s="224" t="s">
        <v>2681</v>
      </c>
      <c r="C17" s="225" t="s">
        <v>2706</v>
      </c>
      <c r="D17" s="226" t="s">
        <v>2707</v>
      </c>
      <c r="E17" s="238" t="s">
        <v>2701</v>
      </c>
      <c r="F17" s="234" t="s">
        <v>2701</v>
      </c>
      <c r="G17" s="226" t="s">
        <v>2707</v>
      </c>
      <c r="H17" s="239" t="b">
        <v>0</v>
      </c>
      <c r="I17" s="228">
        <v>45985.0</v>
      </c>
      <c r="J17" s="228" t="s">
        <v>2674</v>
      </c>
      <c r="K17" s="235" t="b">
        <v>0</v>
      </c>
      <c r="L17" s="35"/>
      <c r="M17" s="35"/>
      <c r="N17" s="13"/>
      <c r="O17" s="13"/>
      <c r="P17" s="13"/>
      <c r="Q17" s="13"/>
      <c r="R17" s="13"/>
      <c r="S17" s="13"/>
      <c r="T17" s="13"/>
      <c r="U17" s="13"/>
      <c r="V17" s="13"/>
      <c r="W17" s="13"/>
      <c r="X17" s="13"/>
      <c r="Y17" s="13"/>
      <c r="Z17" s="13"/>
      <c r="AA17" s="13"/>
    </row>
    <row r="18" ht="16.5" customHeight="1">
      <c r="A18" s="223">
        <f t="shared" si="1"/>
        <v>393</v>
      </c>
      <c r="B18" s="224" t="s">
        <v>2681</v>
      </c>
      <c r="C18" s="225" t="s">
        <v>2459</v>
      </c>
      <c r="D18" s="226" t="s">
        <v>2460</v>
      </c>
      <c r="E18" s="174" t="s">
        <v>2436</v>
      </c>
      <c r="F18" s="182" t="s">
        <v>2708</v>
      </c>
      <c r="G18" s="226" t="s">
        <v>2462</v>
      </c>
      <c r="H18" s="227" t="b">
        <v>1</v>
      </c>
      <c r="I18" s="228">
        <v>45985.0</v>
      </c>
      <c r="J18" s="228" t="s">
        <v>2674</v>
      </c>
      <c r="K18" s="229" t="b">
        <v>1</v>
      </c>
      <c r="L18" s="64" t="s">
        <v>2463</v>
      </c>
      <c r="M18" s="35"/>
      <c r="N18" s="13"/>
      <c r="O18" s="13"/>
      <c r="P18" s="13"/>
      <c r="Q18" s="13"/>
      <c r="R18" s="13"/>
      <c r="S18" s="13"/>
      <c r="T18" s="13"/>
      <c r="U18" s="13"/>
      <c r="V18" s="13"/>
      <c r="W18" s="13"/>
      <c r="X18" s="13"/>
      <c r="Y18" s="13"/>
      <c r="Z18" s="13"/>
      <c r="AA18" s="13"/>
    </row>
    <row r="19" ht="16.5" customHeight="1">
      <c r="A19" s="223">
        <f t="shared" si="1"/>
        <v>394</v>
      </c>
      <c r="B19" s="224" t="s">
        <v>2709</v>
      </c>
      <c r="C19" s="225" t="s">
        <v>2464</v>
      </c>
      <c r="D19" s="226" t="s">
        <v>2465</v>
      </c>
      <c r="E19" s="233" t="s">
        <v>2466</v>
      </c>
      <c r="F19" s="182" t="s">
        <v>2710</v>
      </c>
      <c r="G19" s="226" t="s">
        <v>2468</v>
      </c>
      <c r="H19" s="227" t="b">
        <v>1</v>
      </c>
      <c r="I19" s="228">
        <v>45986.0</v>
      </c>
      <c r="J19" s="228" t="s">
        <v>2674</v>
      </c>
      <c r="K19" s="235" t="b">
        <v>0</v>
      </c>
      <c r="L19" s="35"/>
      <c r="M19" s="35"/>
      <c r="N19" s="13"/>
      <c r="O19" s="13"/>
      <c r="P19" s="13"/>
      <c r="Q19" s="13"/>
      <c r="R19" s="13"/>
      <c r="S19" s="13"/>
      <c r="T19" s="13"/>
      <c r="U19" s="13"/>
      <c r="V19" s="13"/>
      <c r="W19" s="13"/>
      <c r="X19" s="13"/>
      <c r="Y19" s="13"/>
      <c r="Z19" s="13"/>
      <c r="AA19" s="13"/>
    </row>
    <row r="20" ht="16.5" customHeight="1">
      <c r="A20" s="223">
        <f t="shared" si="1"/>
        <v>395</v>
      </c>
      <c r="B20" s="224" t="s">
        <v>2709</v>
      </c>
      <c r="C20" s="225" t="s">
        <v>2711</v>
      </c>
      <c r="D20" s="236" t="s">
        <v>2712</v>
      </c>
      <c r="E20" s="242" t="s">
        <v>2713</v>
      </c>
      <c r="F20" s="234" t="s">
        <v>2714</v>
      </c>
      <c r="G20" s="226" t="s">
        <v>2715</v>
      </c>
      <c r="H20" s="227" t="b">
        <v>0</v>
      </c>
      <c r="I20" s="228">
        <v>45986.0</v>
      </c>
      <c r="J20" s="228" t="s">
        <v>2674</v>
      </c>
      <c r="K20" s="235" t="b">
        <v>0</v>
      </c>
      <c r="L20" s="35"/>
      <c r="M20" s="35"/>
      <c r="N20" s="13"/>
      <c r="O20" s="13"/>
      <c r="P20" s="13"/>
      <c r="Q20" s="13"/>
      <c r="R20" s="13"/>
      <c r="S20" s="13"/>
      <c r="T20" s="13"/>
      <c r="U20" s="13"/>
      <c r="V20" s="13"/>
      <c r="W20" s="13"/>
      <c r="X20" s="13"/>
      <c r="Y20" s="13"/>
      <c r="Z20" s="13"/>
      <c r="AA20" s="13"/>
    </row>
    <row r="21" ht="16.5" customHeight="1">
      <c r="A21" s="223">
        <f t="shared" si="1"/>
        <v>396</v>
      </c>
      <c r="B21" s="224" t="s">
        <v>2709</v>
      </c>
      <c r="C21" s="225" t="s">
        <v>2469</v>
      </c>
      <c r="D21" s="226" t="s">
        <v>2470</v>
      </c>
      <c r="E21" s="233" t="s">
        <v>2466</v>
      </c>
      <c r="F21" s="182" t="s">
        <v>2716</v>
      </c>
      <c r="G21" s="226" t="s">
        <v>2472</v>
      </c>
      <c r="H21" s="227" t="b">
        <v>1</v>
      </c>
      <c r="I21" s="228">
        <v>45986.0</v>
      </c>
      <c r="J21" s="228" t="s">
        <v>2674</v>
      </c>
      <c r="K21" s="235" t="b">
        <v>0</v>
      </c>
      <c r="L21" s="35"/>
      <c r="M21" s="35"/>
      <c r="N21" s="13"/>
      <c r="O21" s="13"/>
      <c r="P21" s="13"/>
      <c r="Q21" s="13"/>
      <c r="R21" s="13"/>
      <c r="S21" s="13"/>
      <c r="T21" s="13"/>
      <c r="U21" s="13"/>
      <c r="V21" s="13"/>
      <c r="W21" s="13"/>
      <c r="X21" s="13"/>
      <c r="Y21" s="13"/>
      <c r="Z21" s="13"/>
      <c r="AA21" s="13"/>
    </row>
    <row r="22" ht="16.5" customHeight="1">
      <c r="A22" s="223">
        <f t="shared" si="1"/>
        <v>397</v>
      </c>
      <c r="B22" s="224" t="s">
        <v>2709</v>
      </c>
      <c r="C22" s="225" t="s">
        <v>2717</v>
      </c>
      <c r="D22" s="243" t="s">
        <v>2718</v>
      </c>
      <c r="E22" s="243" t="s">
        <v>2719</v>
      </c>
      <c r="F22" s="244" t="s">
        <v>2720</v>
      </c>
      <c r="G22" s="226" t="s">
        <v>2721</v>
      </c>
      <c r="H22" s="239" t="b">
        <v>0</v>
      </c>
      <c r="I22" s="228">
        <v>45986.0</v>
      </c>
      <c r="J22" s="228" t="s">
        <v>2674</v>
      </c>
      <c r="K22" s="235" t="b">
        <v>0</v>
      </c>
      <c r="L22" s="35"/>
      <c r="M22" s="35"/>
      <c r="N22" s="13"/>
      <c r="O22" s="13"/>
      <c r="P22" s="13"/>
      <c r="Q22" s="13"/>
      <c r="R22" s="13"/>
      <c r="S22" s="13"/>
      <c r="T22" s="13"/>
      <c r="U22" s="13"/>
      <c r="V22" s="13"/>
      <c r="W22" s="13"/>
      <c r="X22" s="13"/>
      <c r="Y22" s="13"/>
      <c r="Z22" s="13"/>
      <c r="AA22" s="13"/>
    </row>
    <row r="23" ht="16.5" customHeight="1">
      <c r="A23" s="223">
        <f t="shared" si="1"/>
        <v>398</v>
      </c>
      <c r="B23" s="224" t="s">
        <v>2722</v>
      </c>
      <c r="C23" s="225" t="s">
        <v>2473</v>
      </c>
      <c r="D23" s="226" t="s">
        <v>2723</v>
      </c>
      <c r="E23" s="233" t="s">
        <v>2475</v>
      </c>
      <c r="F23" s="234" t="s">
        <v>721</v>
      </c>
      <c r="G23" s="226" t="s">
        <v>2476</v>
      </c>
      <c r="H23" s="227" t="b">
        <v>1</v>
      </c>
      <c r="I23" s="228">
        <v>45986.0</v>
      </c>
      <c r="J23" s="228" t="s">
        <v>2674</v>
      </c>
      <c r="K23" s="235" t="b">
        <v>0</v>
      </c>
      <c r="L23" s="35"/>
      <c r="M23" s="35"/>
      <c r="N23" s="13"/>
      <c r="O23" s="13"/>
      <c r="P23" s="13"/>
      <c r="Q23" s="13"/>
      <c r="R23" s="13"/>
      <c r="S23" s="13"/>
      <c r="T23" s="13"/>
      <c r="U23" s="13"/>
      <c r="V23" s="13"/>
      <c r="W23" s="13"/>
      <c r="X23" s="13"/>
      <c r="Y23" s="13"/>
      <c r="Z23" s="13"/>
      <c r="AA23" s="13"/>
    </row>
    <row r="24" ht="16.5" customHeight="1">
      <c r="A24" s="223">
        <f t="shared" si="1"/>
        <v>399</v>
      </c>
      <c r="B24" s="224" t="s">
        <v>2722</v>
      </c>
      <c r="C24" s="225" t="s">
        <v>2477</v>
      </c>
      <c r="D24" s="226" t="s">
        <v>2478</v>
      </c>
      <c r="E24" s="233" t="s">
        <v>2475</v>
      </c>
      <c r="F24" s="234" t="s">
        <v>2479</v>
      </c>
      <c r="G24" s="226" t="s">
        <v>2476</v>
      </c>
      <c r="H24" s="227" t="b">
        <v>1</v>
      </c>
      <c r="I24" s="228">
        <v>45986.0</v>
      </c>
      <c r="J24" s="228" t="s">
        <v>2674</v>
      </c>
      <c r="K24" s="235" t="b">
        <v>0</v>
      </c>
      <c r="L24" s="35"/>
      <c r="M24" s="35"/>
      <c r="N24" s="13"/>
      <c r="O24" s="13"/>
      <c r="P24" s="13"/>
      <c r="Q24" s="13"/>
      <c r="R24" s="13"/>
      <c r="S24" s="13"/>
      <c r="T24" s="13"/>
      <c r="U24" s="13"/>
      <c r="V24" s="13"/>
      <c r="W24" s="13"/>
      <c r="X24" s="13"/>
      <c r="Y24" s="13"/>
      <c r="Z24" s="13"/>
      <c r="AA24" s="13"/>
    </row>
    <row r="25" ht="16.5" customHeight="1">
      <c r="A25" s="223">
        <f t="shared" si="1"/>
        <v>400</v>
      </c>
      <c r="B25" s="224" t="s">
        <v>2722</v>
      </c>
      <c r="C25" s="225" t="s">
        <v>2481</v>
      </c>
      <c r="D25" s="226" t="s">
        <v>2482</v>
      </c>
      <c r="E25" s="233" t="s">
        <v>2475</v>
      </c>
      <c r="F25" s="234" t="s">
        <v>290</v>
      </c>
      <c r="G25" s="226" t="s">
        <v>2476</v>
      </c>
      <c r="H25" s="227" t="b">
        <v>1</v>
      </c>
      <c r="I25" s="228">
        <v>45986.0</v>
      </c>
      <c r="J25" s="228" t="s">
        <v>2674</v>
      </c>
      <c r="K25" s="235" t="b">
        <v>0</v>
      </c>
      <c r="L25" s="35"/>
      <c r="M25" s="35"/>
      <c r="N25" s="13"/>
      <c r="O25" s="13"/>
      <c r="P25" s="13"/>
      <c r="Q25" s="13"/>
      <c r="R25" s="13"/>
      <c r="S25" s="13"/>
      <c r="T25" s="13"/>
      <c r="U25" s="13"/>
      <c r="V25" s="13"/>
      <c r="W25" s="13"/>
      <c r="X25" s="13"/>
      <c r="Y25" s="13"/>
      <c r="Z25" s="13"/>
      <c r="AA25" s="13"/>
    </row>
    <row r="26" ht="16.5" customHeight="1">
      <c r="A26" s="223">
        <f t="shared" si="1"/>
        <v>401</v>
      </c>
      <c r="B26" s="224" t="s">
        <v>2722</v>
      </c>
      <c r="C26" s="225" t="s">
        <v>2484</v>
      </c>
      <c r="D26" s="226" t="s">
        <v>2485</v>
      </c>
      <c r="E26" s="233" t="s">
        <v>2475</v>
      </c>
      <c r="F26" s="234" t="s">
        <v>290</v>
      </c>
      <c r="G26" s="226" t="s">
        <v>2476</v>
      </c>
      <c r="H26" s="227" t="b">
        <v>1</v>
      </c>
      <c r="I26" s="228">
        <v>45986.0</v>
      </c>
      <c r="J26" s="228" t="s">
        <v>2674</v>
      </c>
      <c r="K26" s="235" t="b">
        <v>0</v>
      </c>
      <c r="L26" s="35"/>
      <c r="M26" s="35"/>
      <c r="N26" s="13"/>
      <c r="O26" s="13"/>
      <c r="P26" s="13"/>
      <c r="Q26" s="13"/>
      <c r="R26" s="13"/>
      <c r="S26" s="13"/>
      <c r="T26" s="13"/>
      <c r="U26" s="13"/>
      <c r="V26" s="13"/>
      <c r="W26" s="13"/>
      <c r="X26" s="13"/>
      <c r="Y26" s="13"/>
      <c r="Z26" s="13"/>
      <c r="AA26" s="13"/>
    </row>
    <row r="27" ht="16.5" customHeight="1">
      <c r="A27" s="223">
        <f t="shared" si="1"/>
        <v>402</v>
      </c>
      <c r="B27" s="224" t="s">
        <v>2722</v>
      </c>
      <c r="C27" s="225" t="s">
        <v>2487</v>
      </c>
      <c r="D27" s="245" t="s">
        <v>2488</v>
      </c>
      <c r="E27" s="233" t="s">
        <v>2475</v>
      </c>
      <c r="F27" s="234" t="s">
        <v>1126</v>
      </c>
      <c r="G27" s="226" t="s">
        <v>2476</v>
      </c>
      <c r="H27" s="227" t="b">
        <v>1</v>
      </c>
      <c r="I27" s="228">
        <v>45986.0</v>
      </c>
      <c r="J27" s="228" t="s">
        <v>2674</v>
      </c>
      <c r="K27" s="235" t="b">
        <v>0</v>
      </c>
      <c r="L27" s="35"/>
      <c r="M27" s="35"/>
      <c r="N27" s="13"/>
      <c r="O27" s="13"/>
      <c r="P27" s="13"/>
      <c r="Q27" s="13"/>
      <c r="R27" s="13"/>
      <c r="S27" s="13"/>
      <c r="T27" s="13"/>
      <c r="U27" s="13"/>
      <c r="V27" s="13"/>
      <c r="W27" s="13"/>
      <c r="X27" s="13"/>
      <c r="Y27" s="13"/>
      <c r="Z27" s="13"/>
      <c r="AA27" s="13"/>
    </row>
    <row r="28" ht="16.5" customHeight="1">
      <c r="A28" s="223">
        <f t="shared" si="1"/>
        <v>403</v>
      </c>
      <c r="B28" s="224" t="s">
        <v>2722</v>
      </c>
      <c r="C28" s="225" t="s">
        <v>2490</v>
      </c>
      <c r="D28" s="245" t="s">
        <v>2491</v>
      </c>
      <c r="E28" s="233" t="s">
        <v>2475</v>
      </c>
      <c r="F28" s="234" t="s">
        <v>1126</v>
      </c>
      <c r="G28" s="226" t="s">
        <v>2476</v>
      </c>
      <c r="H28" s="227" t="b">
        <v>1</v>
      </c>
      <c r="I28" s="228">
        <v>45986.0</v>
      </c>
      <c r="J28" s="228" t="s">
        <v>2674</v>
      </c>
      <c r="K28" s="235" t="b">
        <v>0</v>
      </c>
      <c r="L28" s="35"/>
      <c r="M28" s="35"/>
      <c r="N28" s="13"/>
      <c r="O28" s="13"/>
      <c r="P28" s="13"/>
      <c r="Q28" s="13"/>
      <c r="R28" s="13"/>
      <c r="S28" s="13"/>
      <c r="T28" s="13"/>
      <c r="U28" s="13"/>
      <c r="V28" s="13"/>
      <c r="W28" s="13"/>
      <c r="X28" s="13"/>
      <c r="Y28" s="13"/>
      <c r="Z28" s="13"/>
      <c r="AA28" s="13"/>
    </row>
    <row r="29" ht="16.5" hidden="1" customHeight="1">
      <c r="A29" s="246">
        <f t="shared" si="1"/>
        <v>404</v>
      </c>
      <c r="B29" s="246" t="s">
        <v>2673</v>
      </c>
      <c r="C29" s="225" t="s">
        <v>2724</v>
      </c>
      <c r="D29" s="226" t="s">
        <v>2725</v>
      </c>
      <c r="E29" s="226" t="s">
        <v>2726</v>
      </c>
      <c r="F29" s="226"/>
      <c r="G29" s="226" t="s">
        <v>2726</v>
      </c>
      <c r="H29" s="228"/>
      <c r="I29" s="228">
        <v>45986.0</v>
      </c>
      <c r="J29" s="228" t="s">
        <v>2680</v>
      </c>
      <c r="K29" s="232" t="b">
        <v>0</v>
      </c>
      <c r="L29" s="35"/>
      <c r="M29" s="35"/>
      <c r="N29" s="13"/>
      <c r="O29" s="13"/>
      <c r="P29" s="13"/>
      <c r="Q29" s="13"/>
      <c r="R29" s="13"/>
      <c r="S29" s="13"/>
      <c r="T29" s="13"/>
      <c r="U29" s="13"/>
      <c r="V29" s="13"/>
      <c r="W29" s="13"/>
      <c r="X29" s="13"/>
      <c r="Y29" s="13"/>
      <c r="Z29" s="13"/>
      <c r="AA29" s="13"/>
    </row>
    <row r="30" ht="16.5" customHeight="1">
      <c r="A30" s="223">
        <f t="shared" si="1"/>
        <v>405</v>
      </c>
      <c r="B30" s="224" t="s">
        <v>2687</v>
      </c>
      <c r="C30" s="225" t="s">
        <v>2492</v>
      </c>
      <c r="D30" s="226" t="s">
        <v>2493</v>
      </c>
      <c r="E30" s="233" t="s">
        <v>2494</v>
      </c>
      <c r="F30" s="182" t="s">
        <v>2727</v>
      </c>
      <c r="G30" s="226" t="s">
        <v>2496</v>
      </c>
      <c r="H30" s="227" t="b">
        <v>1</v>
      </c>
      <c r="I30" s="228">
        <v>45986.0</v>
      </c>
      <c r="J30" s="228" t="s">
        <v>2674</v>
      </c>
      <c r="K30" s="235" t="b">
        <v>0</v>
      </c>
      <c r="L30" s="35"/>
      <c r="M30" s="35"/>
      <c r="N30" s="13"/>
      <c r="O30" s="13"/>
      <c r="P30" s="13"/>
      <c r="Q30" s="13"/>
      <c r="R30" s="13"/>
      <c r="S30" s="13"/>
      <c r="T30" s="13"/>
      <c r="U30" s="13"/>
      <c r="V30" s="13"/>
      <c r="W30" s="13"/>
      <c r="X30" s="13"/>
      <c r="Y30" s="13"/>
      <c r="Z30" s="13"/>
      <c r="AA30" s="13"/>
    </row>
    <row r="31" ht="16.5" customHeight="1">
      <c r="A31" s="223">
        <f t="shared" si="1"/>
        <v>406</v>
      </c>
      <c r="B31" s="224" t="s">
        <v>2687</v>
      </c>
      <c r="C31" s="225" t="s">
        <v>2728</v>
      </c>
      <c r="D31" s="243" t="s">
        <v>2729</v>
      </c>
      <c r="E31" s="247" t="s">
        <v>2730</v>
      </c>
      <c r="F31" s="244" t="s">
        <v>173</v>
      </c>
      <c r="G31" s="226" t="s">
        <v>2496</v>
      </c>
      <c r="H31" s="227" t="b">
        <v>0</v>
      </c>
      <c r="I31" s="228">
        <v>45986.0</v>
      </c>
      <c r="J31" s="228" t="s">
        <v>2674</v>
      </c>
      <c r="K31" s="235" t="b">
        <v>0</v>
      </c>
      <c r="L31" s="35"/>
      <c r="M31" s="35"/>
      <c r="N31" s="13"/>
      <c r="O31" s="13"/>
      <c r="P31" s="13"/>
      <c r="Q31" s="13"/>
      <c r="R31" s="13"/>
      <c r="S31" s="13"/>
      <c r="T31" s="13"/>
      <c r="U31" s="13"/>
      <c r="V31" s="13"/>
      <c r="W31" s="13"/>
      <c r="X31" s="13"/>
      <c r="Y31" s="13"/>
      <c r="Z31" s="13"/>
      <c r="AA31" s="13"/>
    </row>
    <row r="32" ht="16.5" customHeight="1">
      <c r="A32" s="223">
        <f t="shared" si="1"/>
        <v>407</v>
      </c>
      <c r="B32" s="224" t="s">
        <v>2709</v>
      </c>
      <c r="C32" s="225" t="s">
        <v>2498</v>
      </c>
      <c r="D32" s="226" t="s">
        <v>2731</v>
      </c>
      <c r="E32" s="233" t="s">
        <v>2500</v>
      </c>
      <c r="F32" s="234" t="s">
        <v>2112</v>
      </c>
      <c r="G32" s="226" t="s">
        <v>2496</v>
      </c>
      <c r="H32" s="227" t="b">
        <v>1</v>
      </c>
      <c r="I32" s="228">
        <v>45986.0</v>
      </c>
      <c r="J32" s="228" t="s">
        <v>2674</v>
      </c>
      <c r="K32" s="235" t="b">
        <v>0</v>
      </c>
      <c r="L32" s="35"/>
      <c r="M32" s="35"/>
      <c r="N32" s="13"/>
      <c r="O32" s="13"/>
      <c r="P32" s="13"/>
      <c r="Q32" s="13"/>
      <c r="R32" s="13"/>
      <c r="S32" s="13"/>
      <c r="T32" s="13"/>
      <c r="U32" s="13"/>
      <c r="V32" s="13"/>
      <c r="W32" s="13"/>
      <c r="X32" s="13"/>
      <c r="Y32" s="13"/>
      <c r="Z32" s="13"/>
      <c r="AA32" s="13"/>
    </row>
    <row r="33" ht="16.5" customHeight="1">
      <c r="A33" s="223">
        <f t="shared" si="1"/>
        <v>408</v>
      </c>
      <c r="B33" s="224" t="s">
        <v>2709</v>
      </c>
      <c r="C33" s="225" t="s">
        <v>2501</v>
      </c>
      <c r="D33" s="226" t="s">
        <v>2502</v>
      </c>
      <c r="E33" s="233" t="s">
        <v>2503</v>
      </c>
      <c r="F33" s="234" t="s">
        <v>2504</v>
      </c>
      <c r="G33" s="226" t="s">
        <v>2496</v>
      </c>
      <c r="H33" s="227" t="b">
        <v>1</v>
      </c>
      <c r="I33" s="228">
        <v>45986.0</v>
      </c>
      <c r="J33" s="228" t="s">
        <v>2674</v>
      </c>
      <c r="K33" s="235" t="b">
        <v>0</v>
      </c>
      <c r="L33" s="35"/>
      <c r="M33" s="35"/>
      <c r="N33" s="13"/>
      <c r="O33" s="13"/>
      <c r="P33" s="13"/>
      <c r="Q33" s="13"/>
      <c r="R33" s="13"/>
      <c r="S33" s="13"/>
      <c r="T33" s="13"/>
      <c r="U33" s="13"/>
      <c r="V33" s="13"/>
      <c r="W33" s="13"/>
      <c r="X33" s="13"/>
      <c r="Y33" s="13"/>
      <c r="Z33" s="13"/>
      <c r="AA33" s="13"/>
    </row>
    <row r="34" ht="16.5" customHeight="1">
      <c r="A34" s="223">
        <f t="shared" si="1"/>
        <v>409</v>
      </c>
      <c r="B34" s="224" t="s">
        <v>2673</v>
      </c>
      <c r="C34" s="225" t="s">
        <v>2506</v>
      </c>
      <c r="D34" s="226" t="s">
        <v>2507</v>
      </c>
      <c r="E34" s="233" t="s">
        <v>2508</v>
      </c>
      <c r="F34" s="182" t="s">
        <v>2509</v>
      </c>
      <c r="G34" s="226" t="s">
        <v>2510</v>
      </c>
      <c r="H34" s="227" t="b">
        <v>1</v>
      </c>
      <c r="I34" s="228">
        <v>45986.0</v>
      </c>
      <c r="J34" s="228" t="s">
        <v>2674</v>
      </c>
      <c r="K34" s="235" t="b">
        <v>0</v>
      </c>
      <c r="L34" s="35"/>
      <c r="M34" s="35"/>
      <c r="N34" s="13"/>
      <c r="O34" s="13"/>
      <c r="P34" s="13"/>
      <c r="Q34" s="13"/>
      <c r="R34" s="13"/>
      <c r="S34" s="13"/>
      <c r="T34" s="13"/>
      <c r="U34" s="13"/>
      <c r="V34" s="13"/>
      <c r="W34" s="13"/>
      <c r="X34" s="13"/>
      <c r="Y34" s="13"/>
      <c r="Z34" s="13"/>
      <c r="AA34" s="13"/>
    </row>
    <row r="35" ht="16.5" customHeight="1">
      <c r="A35" s="223">
        <f t="shared" si="1"/>
        <v>410</v>
      </c>
      <c r="B35" s="224" t="s">
        <v>2673</v>
      </c>
      <c r="C35" s="225" t="s">
        <v>2512</v>
      </c>
      <c r="D35" s="226" t="s">
        <v>2732</v>
      </c>
      <c r="E35" s="233" t="s">
        <v>2508</v>
      </c>
      <c r="F35" s="182" t="s">
        <v>2514</v>
      </c>
      <c r="G35" s="226" t="s">
        <v>2510</v>
      </c>
      <c r="H35" s="227" t="b">
        <v>1</v>
      </c>
      <c r="I35" s="228">
        <v>45986.0</v>
      </c>
      <c r="J35" s="228" t="s">
        <v>2674</v>
      </c>
      <c r="K35" s="235" t="b">
        <v>0</v>
      </c>
      <c r="L35" s="35"/>
      <c r="M35" s="35"/>
      <c r="N35" s="13"/>
      <c r="O35" s="13"/>
      <c r="P35" s="13"/>
      <c r="Q35" s="13"/>
      <c r="R35" s="13"/>
      <c r="S35" s="13"/>
      <c r="T35" s="13"/>
      <c r="U35" s="13"/>
      <c r="V35" s="13"/>
      <c r="W35" s="13"/>
      <c r="X35" s="13"/>
      <c r="Y35" s="13"/>
      <c r="Z35" s="13"/>
      <c r="AA35" s="13"/>
    </row>
    <row r="36" ht="16.5" customHeight="1">
      <c r="A36" s="223">
        <f t="shared" si="1"/>
        <v>411</v>
      </c>
      <c r="B36" s="224" t="s">
        <v>2733</v>
      </c>
      <c r="C36" s="225" t="s">
        <v>2734</v>
      </c>
      <c r="D36" s="226" t="s">
        <v>2735</v>
      </c>
      <c r="E36" s="238" t="s">
        <v>2736</v>
      </c>
      <c r="F36" s="234" t="s">
        <v>2737</v>
      </c>
      <c r="G36" s="226" t="s">
        <v>2738</v>
      </c>
      <c r="H36" s="239" t="b">
        <v>0</v>
      </c>
      <c r="I36" s="228">
        <v>45986.0</v>
      </c>
      <c r="J36" s="228" t="s">
        <v>2674</v>
      </c>
      <c r="K36" s="235" t="b">
        <v>0</v>
      </c>
      <c r="L36" s="35"/>
      <c r="M36" s="35"/>
      <c r="N36" s="13"/>
      <c r="O36" s="13"/>
      <c r="P36" s="13"/>
      <c r="Q36" s="13"/>
      <c r="R36" s="13"/>
      <c r="S36" s="13"/>
      <c r="T36" s="13"/>
      <c r="U36" s="13"/>
      <c r="V36" s="13"/>
      <c r="W36" s="13"/>
      <c r="X36" s="13"/>
      <c r="Y36" s="13"/>
      <c r="Z36" s="13"/>
      <c r="AA36" s="13"/>
    </row>
    <row r="37" ht="16.5" customHeight="1">
      <c r="A37" s="223">
        <f t="shared" si="1"/>
        <v>412</v>
      </c>
      <c r="B37" s="224" t="s">
        <v>2733</v>
      </c>
      <c r="C37" s="225" t="s">
        <v>2739</v>
      </c>
      <c r="D37" s="226" t="s">
        <v>2740</v>
      </c>
      <c r="E37" s="238" t="s">
        <v>2741</v>
      </c>
      <c r="F37" s="234" t="s">
        <v>2742</v>
      </c>
      <c r="G37" s="226" t="s">
        <v>2738</v>
      </c>
      <c r="H37" s="239" t="b">
        <v>0</v>
      </c>
      <c r="I37" s="228">
        <v>45986.0</v>
      </c>
      <c r="J37" s="228" t="s">
        <v>2674</v>
      </c>
      <c r="K37" s="235" t="b">
        <v>0</v>
      </c>
      <c r="L37" s="35"/>
      <c r="M37" s="35"/>
      <c r="N37" s="13"/>
      <c r="O37" s="13"/>
      <c r="P37" s="13"/>
      <c r="Q37" s="13"/>
      <c r="R37" s="13"/>
      <c r="S37" s="13"/>
      <c r="T37" s="13"/>
      <c r="U37" s="13"/>
      <c r="V37" s="13"/>
      <c r="W37" s="13"/>
      <c r="X37" s="13"/>
      <c r="Y37" s="13"/>
      <c r="Z37" s="13"/>
      <c r="AA37" s="13"/>
    </row>
    <row r="38" ht="16.5" customHeight="1">
      <c r="A38" s="223">
        <f t="shared" si="1"/>
        <v>413</v>
      </c>
      <c r="B38" s="224" t="s">
        <v>2722</v>
      </c>
      <c r="C38" s="225" t="s">
        <v>2743</v>
      </c>
      <c r="D38" s="236" t="s">
        <v>2744</v>
      </c>
      <c r="E38" s="242" t="s">
        <v>2745</v>
      </c>
      <c r="F38" s="182" t="s">
        <v>2746</v>
      </c>
      <c r="G38" s="226" t="s">
        <v>2747</v>
      </c>
      <c r="H38" s="227" t="b">
        <v>0</v>
      </c>
      <c r="I38" s="228">
        <v>45986.0</v>
      </c>
      <c r="J38" s="228" t="s">
        <v>2674</v>
      </c>
      <c r="K38" s="235" t="b">
        <v>0</v>
      </c>
      <c r="L38" s="35"/>
      <c r="M38" s="35"/>
      <c r="N38" s="13"/>
      <c r="O38" s="13"/>
      <c r="P38" s="13"/>
      <c r="Q38" s="13"/>
      <c r="R38" s="13"/>
      <c r="S38" s="13"/>
      <c r="T38" s="13"/>
      <c r="U38" s="13"/>
      <c r="V38" s="13"/>
      <c r="W38" s="13"/>
      <c r="X38" s="13"/>
      <c r="Y38" s="13"/>
      <c r="Z38" s="13"/>
      <c r="AA38" s="13"/>
    </row>
    <row r="39" ht="16.5" customHeight="1">
      <c r="A39" s="223">
        <f t="shared" si="1"/>
        <v>414</v>
      </c>
      <c r="B39" s="246" t="s">
        <v>2722</v>
      </c>
      <c r="C39" s="225" t="s">
        <v>2748</v>
      </c>
      <c r="D39" s="236" t="s">
        <v>2749</v>
      </c>
      <c r="E39" s="238" t="s">
        <v>2750</v>
      </c>
      <c r="F39" s="234" t="s">
        <v>2751</v>
      </c>
      <c r="G39" s="226" t="s">
        <v>2752</v>
      </c>
      <c r="H39" s="239" t="b">
        <v>0</v>
      </c>
      <c r="I39" s="228">
        <v>45986.0</v>
      </c>
      <c r="J39" s="228" t="s">
        <v>2674</v>
      </c>
      <c r="K39" s="235" t="b">
        <v>0</v>
      </c>
      <c r="L39" s="35"/>
      <c r="M39" s="35"/>
      <c r="N39" s="13"/>
      <c r="O39" s="13"/>
      <c r="P39" s="13"/>
      <c r="Q39" s="13"/>
      <c r="R39" s="13"/>
      <c r="S39" s="13"/>
      <c r="T39" s="13"/>
      <c r="U39" s="13"/>
      <c r="V39" s="13"/>
      <c r="W39" s="13"/>
      <c r="X39" s="13"/>
      <c r="Y39" s="13"/>
      <c r="Z39" s="13"/>
      <c r="AA39" s="13"/>
    </row>
    <row r="40" ht="16.5" customHeight="1">
      <c r="A40" s="223">
        <f t="shared" si="1"/>
        <v>415</v>
      </c>
      <c r="B40" s="246" t="s">
        <v>2709</v>
      </c>
      <c r="C40" s="225" t="s">
        <v>2753</v>
      </c>
      <c r="D40" s="226" t="s">
        <v>2754</v>
      </c>
      <c r="E40" s="242" t="s">
        <v>2755</v>
      </c>
      <c r="F40" s="234" t="s">
        <v>173</v>
      </c>
      <c r="G40" s="226" t="s">
        <v>2756</v>
      </c>
      <c r="H40" s="239" t="b">
        <v>0</v>
      </c>
      <c r="I40" s="228">
        <v>45986.0</v>
      </c>
      <c r="J40" s="228" t="s">
        <v>2674</v>
      </c>
      <c r="K40" s="235" t="b">
        <v>0</v>
      </c>
      <c r="L40" s="35"/>
      <c r="M40" s="35"/>
      <c r="N40" s="13"/>
      <c r="O40" s="13"/>
      <c r="P40" s="13"/>
      <c r="Q40" s="13"/>
      <c r="R40" s="13"/>
      <c r="S40" s="13"/>
      <c r="T40" s="13"/>
      <c r="U40" s="13"/>
      <c r="V40" s="13"/>
      <c r="W40" s="13"/>
      <c r="X40" s="13"/>
      <c r="Y40" s="13"/>
      <c r="Z40" s="13"/>
      <c r="AA40" s="13"/>
    </row>
    <row r="41" ht="16.5" customHeight="1">
      <c r="A41" s="223">
        <f t="shared" si="1"/>
        <v>416</v>
      </c>
      <c r="B41" s="246" t="s">
        <v>2757</v>
      </c>
      <c r="C41" s="225" t="s">
        <v>2758</v>
      </c>
      <c r="D41" s="236" t="s">
        <v>2759</v>
      </c>
      <c r="E41" s="238" t="s">
        <v>2760</v>
      </c>
      <c r="F41" s="234" t="s">
        <v>173</v>
      </c>
      <c r="G41" s="226" t="s">
        <v>2761</v>
      </c>
      <c r="H41" s="239" t="b">
        <v>0</v>
      </c>
      <c r="I41" s="228">
        <v>45986.0</v>
      </c>
      <c r="J41" s="228" t="s">
        <v>2674</v>
      </c>
      <c r="K41" s="235" t="b">
        <v>0</v>
      </c>
      <c r="L41" s="35"/>
      <c r="M41" s="35"/>
      <c r="N41" s="13"/>
      <c r="O41" s="13"/>
      <c r="P41" s="13"/>
      <c r="Q41" s="13"/>
      <c r="R41" s="13"/>
      <c r="S41" s="13"/>
      <c r="T41" s="13"/>
      <c r="U41" s="13"/>
      <c r="V41" s="13"/>
      <c r="W41" s="13"/>
      <c r="X41" s="13"/>
      <c r="Y41" s="13"/>
      <c r="Z41" s="13"/>
      <c r="AA41" s="13"/>
    </row>
    <row r="42" ht="16.5" customHeight="1">
      <c r="A42" s="223">
        <f t="shared" si="1"/>
        <v>417</v>
      </c>
      <c r="B42" s="246" t="s">
        <v>2733</v>
      </c>
      <c r="C42" s="225" t="s">
        <v>2516</v>
      </c>
      <c r="D42" s="226" t="s">
        <v>2517</v>
      </c>
      <c r="E42" s="174" t="s">
        <v>1881</v>
      </c>
      <c r="F42" s="234" t="s">
        <v>173</v>
      </c>
      <c r="G42" s="226" t="s">
        <v>2518</v>
      </c>
      <c r="H42" s="227" t="b">
        <v>1</v>
      </c>
      <c r="I42" s="228">
        <v>45986.0</v>
      </c>
      <c r="J42" s="228" t="s">
        <v>2674</v>
      </c>
      <c r="K42" s="235" t="b">
        <v>0</v>
      </c>
      <c r="L42" s="35"/>
      <c r="M42" s="35"/>
      <c r="N42" s="13"/>
      <c r="O42" s="13"/>
      <c r="P42" s="13"/>
      <c r="Q42" s="13"/>
      <c r="R42" s="13"/>
      <c r="S42" s="13"/>
      <c r="T42" s="13"/>
      <c r="U42" s="13"/>
      <c r="V42" s="13"/>
      <c r="W42" s="13"/>
      <c r="X42" s="13"/>
      <c r="Y42" s="13"/>
      <c r="Z42" s="13"/>
      <c r="AA42" s="13"/>
    </row>
    <row r="43" ht="16.5" customHeight="1">
      <c r="A43" s="223">
        <f t="shared" si="1"/>
        <v>418</v>
      </c>
      <c r="B43" s="246" t="s">
        <v>2681</v>
      </c>
      <c r="C43" s="225" t="s">
        <v>2762</v>
      </c>
      <c r="D43" s="226" t="s">
        <v>2763</v>
      </c>
      <c r="E43" s="238" t="s">
        <v>2764</v>
      </c>
      <c r="F43" s="234" t="s">
        <v>173</v>
      </c>
      <c r="G43" s="226" t="s">
        <v>2765</v>
      </c>
      <c r="H43" s="239" t="b">
        <v>0</v>
      </c>
      <c r="I43" s="228">
        <v>45986.0</v>
      </c>
      <c r="J43" s="228" t="s">
        <v>2674</v>
      </c>
      <c r="K43" s="235" t="b">
        <v>0</v>
      </c>
      <c r="L43" s="35"/>
      <c r="M43" s="35"/>
      <c r="N43" s="13"/>
      <c r="O43" s="13"/>
      <c r="P43" s="13"/>
      <c r="Q43" s="13"/>
      <c r="R43" s="13"/>
      <c r="S43" s="13"/>
      <c r="T43" s="13"/>
      <c r="U43" s="13"/>
      <c r="V43" s="13"/>
      <c r="W43" s="13"/>
      <c r="X43" s="13"/>
      <c r="Y43" s="13"/>
      <c r="Z43" s="13"/>
      <c r="AA43" s="13"/>
    </row>
    <row r="44" ht="16.5" customHeight="1">
      <c r="A44" s="223">
        <f t="shared" si="1"/>
        <v>419</v>
      </c>
      <c r="B44" s="246" t="s">
        <v>2681</v>
      </c>
      <c r="C44" s="225" t="s">
        <v>2766</v>
      </c>
      <c r="D44" s="226" t="s">
        <v>2767</v>
      </c>
      <c r="E44" s="238" t="s">
        <v>2768</v>
      </c>
      <c r="F44" s="234" t="s">
        <v>2769</v>
      </c>
      <c r="G44" s="226" t="s">
        <v>2770</v>
      </c>
      <c r="H44" s="239" t="b">
        <v>0</v>
      </c>
      <c r="I44" s="228">
        <v>45986.0</v>
      </c>
      <c r="J44" s="228" t="s">
        <v>2674</v>
      </c>
      <c r="K44" s="235" t="b">
        <v>0</v>
      </c>
      <c r="L44" s="35"/>
      <c r="M44" s="35"/>
      <c r="N44" s="13"/>
      <c r="O44" s="13"/>
      <c r="P44" s="13"/>
      <c r="Q44" s="13"/>
      <c r="R44" s="13"/>
      <c r="S44" s="13"/>
      <c r="T44" s="13"/>
      <c r="U44" s="13"/>
      <c r="V44" s="13"/>
      <c r="W44" s="13"/>
      <c r="X44" s="13"/>
      <c r="Y44" s="13"/>
      <c r="Z44" s="13"/>
      <c r="AA44" s="13"/>
    </row>
    <row r="45" ht="16.5" customHeight="1">
      <c r="A45" s="223">
        <f t="shared" si="1"/>
        <v>420</v>
      </c>
      <c r="B45" s="246" t="s">
        <v>2681</v>
      </c>
      <c r="C45" s="225" t="s">
        <v>2771</v>
      </c>
      <c r="D45" s="226" t="s">
        <v>2772</v>
      </c>
      <c r="E45" s="238" t="s">
        <v>2773</v>
      </c>
      <c r="F45" s="234" t="s">
        <v>2774</v>
      </c>
      <c r="G45" s="226" t="s">
        <v>2775</v>
      </c>
      <c r="H45" s="239" t="b">
        <v>0</v>
      </c>
      <c r="I45" s="228">
        <v>45986.0</v>
      </c>
      <c r="J45" s="228" t="s">
        <v>2674</v>
      </c>
      <c r="K45" s="235" t="b">
        <v>0</v>
      </c>
      <c r="L45" s="35"/>
      <c r="M45" s="35"/>
      <c r="N45" s="13"/>
      <c r="O45" s="13"/>
      <c r="P45" s="13"/>
      <c r="Q45" s="13"/>
      <c r="R45" s="13"/>
      <c r="S45" s="13"/>
      <c r="T45" s="13"/>
      <c r="U45" s="13"/>
      <c r="V45" s="13"/>
      <c r="W45" s="13"/>
      <c r="X45" s="13"/>
      <c r="Y45" s="13"/>
      <c r="Z45" s="13"/>
      <c r="AA45" s="13"/>
    </row>
    <row r="46" ht="16.5" customHeight="1">
      <c r="A46" s="223">
        <f t="shared" si="1"/>
        <v>421</v>
      </c>
      <c r="B46" s="246" t="s">
        <v>2681</v>
      </c>
      <c r="C46" s="225" t="s">
        <v>2776</v>
      </c>
      <c r="D46" s="226" t="s">
        <v>2777</v>
      </c>
      <c r="E46" s="238" t="s">
        <v>2778</v>
      </c>
      <c r="F46" s="234" t="s">
        <v>173</v>
      </c>
      <c r="G46" s="226" t="s">
        <v>2779</v>
      </c>
      <c r="H46" s="239" t="b">
        <v>0</v>
      </c>
      <c r="I46" s="228">
        <v>45986.0</v>
      </c>
      <c r="J46" s="228" t="s">
        <v>2674</v>
      </c>
      <c r="K46" s="235" t="b">
        <v>0</v>
      </c>
      <c r="L46" s="35"/>
      <c r="M46" s="35"/>
      <c r="N46" s="13"/>
      <c r="O46" s="13"/>
      <c r="P46" s="13"/>
      <c r="Q46" s="13"/>
      <c r="R46" s="13"/>
      <c r="S46" s="13"/>
      <c r="T46" s="13"/>
      <c r="U46" s="13"/>
      <c r="V46" s="13"/>
      <c r="W46" s="13"/>
      <c r="X46" s="13"/>
      <c r="Y46" s="13"/>
      <c r="Z46" s="13"/>
      <c r="AA46" s="13"/>
    </row>
    <row r="47" ht="16.5" customHeight="1">
      <c r="A47" s="223">
        <f t="shared" si="1"/>
        <v>422</v>
      </c>
      <c r="B47" s="246" t="s">
        <v>2780</v>
      </c>
      <c r="C47" s="225" t="s">
        <v>2781</v>
      </c>
      <c r="D47" s="226" t="s">
        <v>2782</v>
      </c>
      <c r="E47" s="238" t="s">
        <v>2783</v>
      </c>
      <c r="F47" s="248" t="s">
        <v>2784</v>
      </c>
      <c r="G47" s="226" t="s">
        <v>2785</v>
      </c>
      <c r="H47" s="239" t="b">
        <v>0</v>
      </c>
      <c r="I47" s="228">
        <v>45986.0</v>
      </c>
      <c r="J47" s="228" t="s">
        <v>2674</v>
      </c>
      <c r="K47" s="235" t="b">
        <v>0</v>
      </c>
      <c r="L47" s="35"/>
      <c r="M47" s="35"/>
      <c r="N47" s="13"/>
      <c r="O47" s="13"/>
      <c r="P47" s="13"/>
      <c r="Q47" s="13"/>
      <c r="R47" s="13"/>
      <c r="S47" s="13"/>
      <c r="T47" s="13"/>
      <c r="U47" s="13"/>
      <c r="V47" s="13"/>
      <c r="W47" s="13"/>
      <c r="X47" s="13"/>
      <c r="Y47" s="13"/>
      <c r="Z47" s="13"/>
      <c r="AA47" s="13"/>
    </row>
    <row r="48" ht="16.5" hidden="1" customHeight="1">
      <c r="A48" s="246">
        <f t="shared" si="1"/>
        <v>423</v>
      </c>
      <c r="B48" s="246" t="s">
        <v>2673</v>
      </c>
      <c r="C48" s="225" t="s">
        <v>2786</v>
      </c>
      <c r="D48" s="226" t="s">
        <v>2787</v>
      </c>
      <c r="E48" s="226" t="s">
        <v>2788</v>
      </c>
      <c r="F48" s="249" t="s">
        <v>2789</v>
      </c>
      <c r="G48" s="226" t="s">
        <v>2790</v>
      </c>
      <c r="H48" s="228"/>
      <c r="I48" s="228">
        <v>45986.0</v>
      </c>
      <c r="J48" s="228" t="s">
        <v>2680</v>
      </c>
      <c r="K48" s="232" t="b">
        <v>0</v>
      </c>
      <c r="L48" s="35"/>
      <c r="M48" s="35"/>
      <c r="N48" s="13"/>
      <c r="O48" s="13"/>
      <c r="P48" s="13"/>
      <c r="Q48" s="13"/>
      <c r="R48" s="13"/>
      <c r="S48" s="13"/>
      <c r="T48" s="13"/>
      <c r="U48" s="13"/>
      <c r="V48" s="13"/>
      <c r="W48" s="13"/>
      <c r="X48" s="13"/>
      <c r="Y48" s="13"/>
      <c r="Z48" s="13"/>
      <c r="AA48" s="13"/>
    </row>
    <row r="49" ht="16.5" customHeight="1">
      <c r="A49" s="223">
        <f t="shared" si="1"/>
        <v>424</v>
      </c>
      <c r="B49" s="246" t="s">
        <v>2733</v>
      </c>
      <c r="C49" s="225" t="s">
        <v>2791</v>
      </c>
      <c r="D49" s="226" t="s">
        <v>2792</v>
      </c>
      <c r="E49" s="238" t="s">
        <v>2793</v>
      </c>
      <c r="F49" s="234" t="s">
        <v>173</v>
      </c>
      <c r="G49" s="226" t="s">
        <v>2794</v>
      </c>
      <c r="H49" s="239" t="b">
        <v>0</v>
      </c>
      <c r="I49" s="228">
        <v>45986.0</v>
      </c>
      <c r="J49" s="228" t="s">
        <v>2674</v>
      </c>
      <c r="K49" s="235" t="b">
        <v>0</v>
      </c>
      <c r="L49" s="35"/>
      <c r="M49" s="35"/>
      <c r="N49" s="13"/>
      <c r="O49" s="13"/>
      <c r="P49" s="13"/>
      <c r="Q49" s="13"/>
      <c r="R49" s="13"/>
      <c r="S49" s="13"/>
      <c r="T49" s="13"/>
      <c r="U49" s="13"/>
      <c r="V49" s="13"/>
      <c r="W49" s="13"/>
      <c r="X49" s="13"/>
      <c r="Y49" s="13"/>
      <c r="Z49" s="13"/>
      <c r="AA49" s="13"/>
    </row>
    <row r="50" ht="16.5" customHeight="1">
      <c r="A50" s="223">
        <f t="shared" si="1"/>
        <v>425</v>
      </c>
      <c r="B50" s="246" t="s">
        <v>2795</v>
      </c>
      <c r="C50" s="225" t="s">
        <v>2519</v>
      </c>
      <c r="D50" s="237" t="s">
        <v>2520</v>
      </c>
      <c r="E50" s="174" t="s">
        <v>2521</v>
      </c>
      <c r="F50" s="182" t="s">
        <v>2522</v>
      </c>
      <c r="G50" s="226" t="s">
        <v>2496</v>
      </c>
      <c r="H50" s="227" t="b">
        <v>1</v>
      </c>
      <c r="I50" s="228">
        <v>45986.0</v>
      </c>
      <c r="J50" s="228" t="s">
        <v>2674</v>
      </c>
      <c r="K50" s="229" t="b">
        <v>1</v>
      </c>
      <c r="L50" s="64" t="s">
        <v>2523</v>
      </c>
      <c r="M50" s="35"/>
      <c r="N50" s="13"/>
      <c r="O50" s="13"/>
      <c r="P50" s="13"/>
      <c r="Q50" s="13"/>
      <c r="R50" s="13"/>
      <c r="S50" s="13"/>
      <c r="T50" s="13"/>
      <c r="U50" s="13"/>
      <c r="V50" s="13"/>
      <c r="W50" s="13"/>
      <c r="X50" s="13"/>
      <c r="Y50" s="13"/>
      <c r="Z50" s="13"/>
      <c r="AA50" s="13"/>
    </row>
    <row r="51" ht="16.5" customHeight="1">
      <c r="A51" s="223">
        <f t="shared" si="1"/>
        <v>426</v>
      </c>
      <c r="B51" s="246" t="s">
        <v>2673</v>
      </c>
      <c r="C51" s="225" t="s">
        <v>2796</v>
      </c>
      <c r="D51" s="226" t="s">
        <v>2797</v>
      </c>
      <c r="E51" s="238" t="s">
        <v>2798</v>
      </c>
      <c r="F51" s="234" t="s">
        <v>933</v>
      </c>
      <c r="G51" s="226" t="s">
        <v>2799</v>
      </c>
      <c r="H51" s="239" t="b">
        <v>0</v>
      </c>
      <c r="I51" s="228">
        <v>45986.0</v>
      </c>
      <c r="J51" s="228" t="s">
        <v>2674</v>
      </c>
      <c r="K51" s="235" t="b">
        <v>0</v>
      </c>
      <c r="L51" s="35"/>
      <c r="M51" s="35"/>
      <c r="N51" s="13"/>
      <c r="O51" s="13"/>
      <c r="P51" s="13"/>
      <c r="Q51" s="13"/>
      <c r="R51" s="13"/>
      <c r="S51" s="13"/>
      <c r="T51" s="13"/>
      <c r="U51" s="13"/>
      <c r="V51" s="13"/>
      <c r="W51" s="13"/>
      <c r="X51" s="13"/>
      <c r="Y51" s="13"/>
      <c r="Z51" s="13"/>
      <c r="AA51" s="13"/>
    </row>
    <row r="52" ht="16.5" customHeight="1">
      <c r="A52" s="223">
        <f t="shared" si="1"/>
        <v>427</v>
      </c>
      <c r="B52" s="246" t="s">
        <v>2673</v>
      </c>
      <c r="C52" s="225" t="s">
        <v>2800</v>
      </c>
      <c r="D52" s="226" t="s">
        <v>2801</v>
      </c>
      <c r="E52" s="238" t="s">
        <v>2798</v>
      </c>
      <c r="F52" s="234" t="s">
        <v>1150</v>
      </c>
      <c r="G52" s="226" t="s">
        <v>2802</v>
      </c>
      <c r="H52" s="239" t="b">
        <v>0</v>
      </c>
      <c r="I52" s="228">
        <v>45986.0</v>
      </c>
      <c r="J52" s="228" t="s">
        <v>2674</v>
      </c>
      <c r="K52" s="235" t="b">
        <v>0</v>
      </c>
      <c r="L52" s="35"/>
      <c r="M52" s="35"/>
      <c r="N52" s="13"/>
      <c r="O52" s="13"/>
      <c r="P52" s="13"/>
      <c r="Q52" s="13"/>
      <c r="R52" s="13"/>
      <c r="S52" s="13"/>
      <c r="T52" s="13"/>
      <c r="U52" s="13"/>
      <c r="V52" s="13"/>
      <c r="W52" s="13"/>
      <c r="X52" s="13"/>
      <c r="Y52" s="13"/>
      <c r="Z52" s="13"/>
      <c r="AA52" s="13"/>
    </row>
    <row r="53" ht="16.5" hidden="1" customHeight="1">
      <c r="A53" s="246">
        <f t="shared" si="1"/>
        <v>428</v>
      </c>
      <c r="B53" s="246" t="s">
        <v>2673</v>
      </c>
      <c r="C53" s="225" t="s">
        <v>2803</v>
      </c>
      <c r="D53" s="226" t="s">
        <v>2804</v>
      </c>
      <c r="E53" s="226" t="s">
        <v>2805</v>
      </c>
      <c r="F53" s="226" t="s">
        <v>2806</v>
      </c>
      <c r="G53" s="226" t="s">
        <v>2807</v>
      </c>
      <c r="H53" s="228"/>
      <c r="I53" s="228">
        <v>45986.0</v>
      </c>
      <c r="J53" s="228" t="s">
        <v>2680</v>
      </c>
      <c r="K53" s="232" t="b">
        <v>0</v>
      </c>
      <c r="L53" s="35"/>
      <c r="M53" s="35"/>
      <c r="N53" s="13"/>
      <c r="O53" s="13"/>
      <c r="P53" s="13"/>
      <c r="Q53" s="13"/>
      <c r="R53" s="13"/>
      <c r="S53" s="13"/>
      <c r="T53" s="13"/>
      <c r="U53" s="13"/>
      <c r="V53" s="13"/>
      <c r="W53" s="13"/>
      <c r="X53" s="13"/>
      <c r="Y53" s="13"/>
      <c r="Z53" s="13"/>
      <c r="AA53" s="13"/>
    </row>
    <row r="54" ht="16.5" customHeight="1">
      <c r="A54" s="223">
        <f t="shared" si="1"/>
        <v>429</v>
      </c>
      <c r="B54" s="246" t="s">
        <v>2673</v>
      </c>
      <c r="C54" s="225" t="s">
        <v>2808</v>
      </c>
      <c r="D54" s="250" t="s">
        <v>2809</v>
      </c>
      <c r="E54" s="242" t="s">
        <v>2810</v>
      </c>
      <c r="F54" s="182" t="s">
        <v>2112</v>
      </c>
      <c r="G54" s="226" t="s">
        <v>2811</v>
      </c>
      <c r="H54" s="227" t="b">
        <v>1</v>
      </c>
      <c r="I54" s="228">
        <v>45986.0</v>
      </c>
      <c r="J54" s="228" t="s">
        <v>2674</v>
      </c>
      <c r="K54" s="235" t="b">
        <v>0</v>
      </c>
      <c r="L54" s="35"/>
      <c r="M54" s="35"/>
      <c r="N54" s="13"/>
      <c r="O54" s="13"/>
      <c r="P54" s="13"/>
      <c r="Q54" s="13"/>
      <c r="R54" s="13"/>
      <c r="S54" s="13"/>
      <c r="T54" s="13"/>
      <c r="U54" s="13"/>
      <c r="V54" s="13"/>
      <c r="W54" s="13"/>
      <c r="X54" s="13"/>
      <c r="Y54" s="13"/>
      <c r="Z54" s="13"/>
      <c r="AA54" s="13"/>
    </row>
    <row r="55" ht="16.5" customHeight="1">
      <c r="A55" s="223">
        <f t="shared" si="1"/>
        <v>430</v>
      </c>
      <c r="B55" s="246" t="s">
        <v>2673</v>
      </c>
      <c r="C55" s="225" t="s">
        <v>2812</v>
      </c>
      <c r="D55" s="226" t="s">
        <v>2813</v>
      </c>
      <c r="E55" s="242" t="s">
        <v>2810</v>
      </c>
      <c r="F55" s="182" t="s">
        <v>2560</v>
      </c>
      <c r="G55" s="226" t="s">
        <v>2811</v>
      </c>
      <c r="H55" s="227" t="b">
        <v>1</v>
      </c>
      <c r="I55" s="228">
        <v>45986.0</v>
      </c>
      <c r="J55" s="228" t="s">
        <v>2674</v>
      </c>
      <c r="K55" s="235" t="b">
        <v>0</v>
      </c>
      <c r="L55" s="35"/>
      <c r="M55" s="35"/>
      <c r="N55" s="13"/>
      <c r="O55" s="13"/>
      <c r="P55" s="13"/>
      <c r="Q55" s="13"/>
      <c r="R55" s="13"/>
      <c r="S55" s="13"/>
      <c r="T55" s="13"/>
      <c r="U55" s="13"/>
      <c r="V55" s="13"/>
      <c r="W55" s="13"/>
      <c r="X55" s="13"/>
      <c r="Y55" s="13"/>
      <c r="Z55" s="13"/>
      <c r="AA55" s="13"/>
    </row>
    <row r="56" ht="16.5" customHeight="1">
      <c r="A56" s="223">
        <f t="shared" si="1"/>
        <v>431</v>
      </c>
      <c r="B56" s="246" t="s">
        <v>2673</v>
      </c>
      <c r="C56" s="225" t="s">
        <v>2814</v>
      </c>
      <c r="D56" s="226" t="s">
        <v>2815</v>
      </c>
      <c r="E56" s="242" t="s">
        <v>2810</v>
      </c>
      <c r="F56" s="182" t="s">
        <v>2816</v>
      </c>
      <c r="G56" s="226" t="s">
        <v>2811</v>
      </c>
      <c r="H56" s="227" t="b">
        <v>1</v>
      </c>
      <c r="I56" s="228">
        <v>45986.0</v>
      </c>
      <c r="J56" s="228" t="s">
        <v>2674</v>
      </c>
      <c r="K56" s="235" t="b">
        <v>0</v>
      </c>
      <c r="L56" s="35"/>
      <c r="M56" s="35"/>
      <c r="N56" s="13"/>
      <c r="O56" s="13"/>
      <c r="P56" s="13"/>
      <c r="Q56" s="13"/>
      <c r="R56" s="13"/>
      <c r="S56" s="13"/>
      <c r="T56" s="13"/>
      <c r="U56" s="13"/>
      <c r="V56" s="13"/>
      <c r="W56" s="13"/>
      <c r="X56" s="13"/>
      <c r="Y56" s="13"/>
      <c r="Z56" s="13"/>
      <c r="AA56" s="13"/>
    </row>
    <row r="57" ht="16.5" hidden="1" customHeight="1">
      <c r="A57" s="246">
        <f t="shared" si="1"/>
        <v>432</v>
      </c>
      <c r="B57" s="246" t="s">
        <v>2817</v>
      </c>
      <c r="C57" s="225" t="s">
        <v>2818</v>
      </c>
      <c r="D57" s="226" t="s">
        <v>2819</v>
      </c>
      <c r="E57" s="226" t="s">
        <v>2820</v>
      </c>
      <c r="F57" s="226" t="s">
        <v>2820</v>
      </c>
      <c r="G57" s="251" t="s">
        <v>2821</v>
      </c>
      <c r="H57" s="228"/>
      <c r="I57" s="228">
        <v>45987.0</v>
      </c>
      <c r="J57" s="228" t="s">
        <v>2680</v>
      </c>
      <c r="K57" s="232" t="b">
        <v>0</v>
      </c>
      <c r="L57" s="35"/>
      <c r="M57" s="35"/>
      <c r="N57" s="13"/>
      <c r="O57" s="13"/>
      <c r="P57" s="13"/>
      <c r="Q57" s="13"/>
      <c r="R57" s="13"/>
      <c r="S57" s="13"/>
      <c r="T57" s="13"/>
      <c r="U57" s="13"/>
      <c r="V57" s="13"/>
      <c r="W57" s="13"/>
      <c r="X57" s="13"/>
      <c r="Y57" s="13"/>
      <c r="Z57" s="13"/>
      <c r="AA57" s="13"/>
    </row>
    <row r="58" ht="16.5" customHeight="1">
      <c r="A58" s="223">
        <f t="shared" si="1"/>
        <v>433</v>
      </c>
      <c r="B58" s="246" t="s">
        <v>2757</v>
      </c>
      <c r="C58" s="225" t="s">
        <v>2524</v>
      </c>
      <c r="D58" s="226" t="s">
        <v>2525</v>
      </c>
      <c r="E58" s="252" t="s">
        <v>2526</v>
      </c>
      <c r="F58" s="234" t="s">
        <v>1150</v>
      </c>
      <c r="G58" s="226" t="s">
        <v>2527</v>
      </c>
      <c r="H58" s="227" t="b">
        <v>1</v>
      </c>
      <c r="I58" s="228">
        <v>45987.0</v>
      </c>
      <c r="J58" s="228" t="s">
        <v>2674</v>
      </c>
      <c r="K58" s="235" t="b">
        <v>0</v>
      </c>
      <c r="L58" s="35"/>
      <c r="M58" s="35"/>
      <c r="N58" s="13"/>
      <c r="O58" s="13"/>
      <c r="P58" s="13"/>
      <c r="Q58" s="13"/>
      <c r="R58" s="13"/>
      <c r="S58" s="13"/>
      <c r="T58" s="13"/>
      <c r="U58" s="13"/>
      <c r="V58" s="13"/>
      <c r="W58" s="13"/>
      <c r="X58" s="13"/>
      <c r="Y58" s="13"/>
      <c r="Z58" s="13"/>
      <c r="AA58" s="13"/>
    </row>
    <row r="59" ht="16.5" customHeight="1">
      <c r="A59" s="223">
        <f t="shared" si="1"/>
        <v>434</v>
      </c>
      <c r="B59" s="246" t="s">
        <v>2757</v>
      </c>
      <c r="C59" s="225" t="s">
        <v>2529</v>
      </c>
      <c r="D59" s="226" t="s">
        <v>2530</v>
      </c>
      <c r="E59" s="252" t="s">
        <v>2526</v>
      </c>
      <c r="F59" s="234" t="s">
        <v>122</v>
      </c>
      <c r="G59" s="226" t="s">
        <v>2527</v>
      </c>
      <c r="H59" s="227" t="b">
        <v>1</v>
      </c>
      <c r="I59" s="228">
        <v>45987.0</v>
      </c>
      <c r="J59" s="228" t="s">
        <v>2674</v>
      </c>
      <c r="K59" s="235" t="b">
        <v>0</v>
      </c>
      <c r="L59" s="35"/>
      <c r="M59" s="35"/>
      <c r="N59" s="13"/>
      <c r="O59" s="13"/>
      <c r="P59" s="13"/>
      <c r="Q59" s="13"/>
      <c r="R59" s="13"/>
      <c r="S59" s="13"/>
      <c r="T59" s="13"/>
      <c r="U59" s="13"/>
      <c r="V59" s="13"/>
      <c r="W59" s="13"/>
      <c r="X59" s="13"/>
      <c r="Y59" s="13"/>
      <c r="Z59" s="13"/>
      <c r="AA59" s="13"/>
    </row>
    <row r="60" ht="16.5" customHeight="1">
      <c r="A60" s="223">
        <f t="shared" si="1"/>
        <v>435</v>
      </c>
      <c r="B60" s="246" t="s">
        <v>2822</v>
      </c>
      <c r="C60" s="225" t="s">
        <v>2532</v>
      </c>
      <c r="D60" s="226" t="s">
        <v>2533</v>
      </c>
      <c r="E60" s="252" t="s">
        <v>2526</v>
      </c>
      <c r="F60" s="234" t="s">
        <v>1150</v>
      </c>
      <c r="G60" s="226" t="s">
        <v>2527</v>
      </c>
      <c r="H60" s="227" t="b">
        <v>1</v>
      </c>
      <c r="I60" s="228">
        <v>45987.0</v>
      </c>
      <c r="J60" s="228" t="s">
        <v>2674</v>
      </c>
      <c r="K60" s="235" t="b">
        <v>0</v>
      </c>
      <c r="L60" s="35"/>
      <c r="M60" s="35"/>
      <c r="N60" s="13"/>
      <c r="O60" s="13"/>
      <c r="P60" s="13"/>
      <c r="Q60" s="13"/>
      <c r="R60" s="13"/>
      <c r="S60" s="13"/>
      <c r="T60" s="13"/>
      <c r="U60" s="13"/>
      <c r="V60" s="13"/>
      <c r="W60" s="13"/>
      <c r="X60" s="13"/>
      <c r="Y60" s="13"/>
      <c r="Z60" s="13"/>
      <c r="AA60" s="13"/>
    </row>
    <row r="61" ht="16.5" customHeight="1">
      <c r="A61" s="223">
        <f t="shared" si="1"/>
        <v>436</v>
      </c>
      <c r="B61" s="246" t="s">
        <v>2822</v>
      </c>
      <c r="C61" s="225" t="s">
        <v>2535</v>
      </c>
      <c r="D61" s="226" t="s">
        <v>2536</v>
      </c>
      <c r="E61" s="252" t="s">
        <v>2526</v>
      </c>
      <c r="F61" s="234" t="s">
        <v>104</v>
      </c>
      <c r="G61" s="226" t="s">
        <v>2527</v>
      </c>
      <c r="H61" s="227" t="b">
        <v>1</v>
      </c>
      <c r="I61" s="228">
        <v>45987.0</v>
      </c>
      <c r="J61" s="228" t="s">
        <v>2674</v>
      </c>
      <c r="K61" s="235" t="b">
        <v>0</v>
      </c>
      <c r="L61" s="35"/>
      <c r="M61" s="35"/>
      <c r="N61" s="13"/>
      <c r="O61" s="13"/>
      <c r="P61" s="13"/>
      <c r="Q61" s="13"/>
      <c r="R61" s="13"/>
      <c r="S61" s="13"/>
      <c r="T61" s="13"/>
      <c r="U61" s="13"/>
      <c r="V61" s="13"/>
      <c r="W61" s="13"/>
      <c r="X61" s="13"/>
      <c r="Y61" s="13"/>
      <c r="Z61" s="13"/>
      <c r="AA61" s="13"/>
    </row>
    <row r="62" ht="16.5" hidden="1" customHeight="1">
      <c r="A62" s="246">
        <f t="shared" si="1"/>
        <v>437</v>
      </c>
      <c r="B62" s="253" t="s">
        <v>2673</v>
      </c>
      <c r="C62" s="225" t="s">
        <v>2823</v>
      </c>
      <c r="D62" s="226" t="s">
        <v>2824</v>
      </c>
      <c r="E62" s="226" t="s">
        <v>2825</v>
      </c>
      <c r="F62" s="226" t="s">
        <v>2826</v>
      </c>
      <c r="G62" s="226" t="s">
        <v>2527</v>
      </c>
      <c r="H62" s="228"/>
      <c r="I62" s="228">
        <v>45987.0</v>
      </c>
      <c r="J62" s="228" t="s">
        <v>2680</v>
      </c>
      <c r="K62" s="232" t="b">
        <v>0</v>
      </c>
      <c r="L62" s="35"/>
      <c r="M62" s="35"/>
      <c r="N62" s="13"/>
      <c r="O62" s="13"/>
      <c r="P62" s="13"/>
      <c r="Q62" s="13"/>
      <c r="R62" s="13"/>
      <c r="S62" s="13"/>
      <c r="T62" s="13"/>
      <c r="U62" s="13"/>
      <c r="V62" s="13"/>
      <c r="W62" s="13"/>
      <c r="X62" s="13"/>
      <c r="Y62" s="13"/>
      <c r="Z62" s="13"/>
      <c r="AA62" s="13"/>
    </row>
    <row r="63" ht="16.5" customHeight="1">
      <c r="A63" s="223">
        <f t="shared" si="1"/>
        <v>438</v>
      </c>
      <c r="B63" s="246" t="s">
        <v>2827</v>
      </c>
      <c r="C63" s="225" t="s">
        <v>2538</v>
      </c>
      <c r="D63" s="226" t="s">
        <v>2539</v>
      </c>
      <c r="E63" s="237" t="s">
        <v>2540</v>
      </c>
      <c r="F63" s="234" t="s">
        <v>2255</v>
      </c>
      <c r="G63" s="226" t="s">
        <v>2496</v>
      </c>
      <c r="H63" s="227" t="b">
        <v>1</v>
      </c>
      <c r="I63" s="228">
        <v>45987.0</v>
      </c>
      <c r="J63" s="228" t="s">
        <v>2674</v>
      </c>
      <c r="K63" s="229" t="b">
        <v>1</v>
      </c>
      <c r="L63" s="64" t="s">
        <v>2541</v>
      </c>
      <c r="M63" s="35"/>
      <c r="N63" s="13"/>
      <c r="O63" s="13"/>
      <c r="P63" s="13"/>
      <c r="Q63" s="13"/>
      <c r="R63" s="13"/>
      <c r="S63" s="13"/>
      <c r="T63" s="13"/>
      <c r="U63" s="13"/>
      <c r="V63" s="13"/>
      <c r="W63" s="13"/>
      <c r="X63" s="13"/>
      <c r="Y63" s="13"/>
      <c r="Z63" s="13"/>
      <c r="AA63" s="13"/>
    </row>
    <row r="64" ht="16.5" hidden="1" customHeight="1">
      <c r="A64" s="254">
        <f t="shared" si="1"/>
        <v>439</v>
      </c>
      <c r="B64" s="254" t="s">
        <v>2827</v>
      </c>
      <c r="C64" s="196" t="s">
        <v>2828</v>
      </c>
      <c r="D64" s="197" t="s">
        <v>2829</v>
      </c>
      <c r="E64" s="197" t="s">
        <v>2830</v>
      </c>
      <c r="F64" s="197" t="s">
        <v>2831</v>
      </c>
      <c r="G64" s="197" t="s">
        <v>2832</v>
      </c>
      <c r="H64" s="255"/>
      <c r="I64" s="255">
        <v>45987.0</v>
      </c>
      <c r="J64" s="256" t="s">
        <v>2680</v>
      </c>
      <c r="K64" s="232" t="b">
        <v>0</v>
      </c>
      <c r="L64" s="35"/>
      <c r="M64" s="35"/>
      <c r="N64" s="13"/>
      <c r="O64" s="13"/>
      <c r="P64" s="13"/>
      <c r="Q64" s="13"/>
      <c r="R64" s="13"/>
      <c r="S64" s="13"/>
      <c r="T64" s="13"/>
      <c r="U64" s="13"/>
      <c r="V64" s="13"/>
      <c r="W64" s="13"/>
      <c r="X64" s="13"/>
      <c r="Y64" s="13"/>
      <c r="Z64" s="13"/>
      <c r="AA64" s="13"/>
    </row>
    <row r="65" ht="16.5" hidden="1" customHeight="1">
      <c r="A65" s="254">
        <f t="shared" si="1"/>
        <v>440</v>
      </c>
      <c r="B65" s="254" t="s">
        <v>2709</v>
      </c>
      <c r="C65" s="196" t="s">
        <v>2833</v>
      </c>
      <c r="D65" s="197" t="s">
        <v>2834</v>
      </c>
      <c r="E65" s="197" t="s">
        <v>2835</v>
      </c>
      <c r="F65" s="197" t="s">
        <v>2836</v>
      </c>
      <c r="G65" s="197" t="s">
        <v>2837</v>
      </c>
      <c r="H65" s="255"/>
      <c r="I65" s="255">
        <v>45987.0</v>
      </c>
      <c r="J65" s="256" t="s">
        <v>2680</v>
      </c>
      <c r="K65" s="232" t="b">
        <v>0</v>
      </c>
      <c r="L65" s="35"/>
      <c r="M65" s="35"/>
      <c r="N65" s="13"/>
      <c r="O65" s="13"/>
      <c r="P65" s="13"/>
      <c r="Q65" s="13"/>
      <c r="R65" s="13"/>
      <c r="S65" s="13"/>
      <c r="T65" s="13"/>
      <c r="U65" s="13"/>
      <c r="V65" s="13"/>
      <c r="W65" s="13"/>
      <c r="X65" s="13"/>
      <c r="Y65" s="13"/>
      <c r="Z65" s="13"/>
      <c r="AA65" s="13"/>
    </row>
    <row r="66" ht="16.5" customHeight="1">
      <c r="A66" s="223">
        <f t="shared" si="1"/>
        <v>441</v>
      </c>
      <c r="B66" s="254" t="s">
        <v>2709</v>
      </c>
      <c r="C66" s="196" t="s">
        <v>2838</v>
      </c>
      <c r="D66" s="197" t="s">
        <v>2543</v>
      </c>
      <c r="E66" s="257" t="s">
        <v>2544</v>
      </c>
      <c r="F66" s="198" t="s">
        <v>2545</v>
      </c>
      <c r="G66" s="197" t="s">
        <v>2546</v>
      </c>
      <c r="H66" s="258" t="b">
        <v>1</v>
      </c>
      <c r="I66" s="255">
        <v>45988.0</v>
      </c>
      <c r="J66" s="256" t="s">
        <v>2674</v>
      </c>
      <c r="K66" s="235" t="b">
        <v>0</v>
      </c>
      <c r="L66" s="35"/>
      <c r="M66" s="35"/>
      <c r="N66" s="13"/>
      <c r="O66" s="13"/>
      <c r="P66" s="13"/>
      <c r="Q66" s="13"/>
      <c r="R66" s="13"/>
      <c r="S66" s="13"/>
      <c r="T66" s="13"/>
      <c r="U66" s="13"/>
      <c r="V66" s="13"/>
      <c r="W66" s="13"/>
      <c r="X66" s="13"/>
      <c r="Y66" s="13"/>
      <c r="Z66" s="13"/>
      <c r="AA66" s="13"/>
    </row>
    <row r="67" ht="16.5" hidden="1" customHeight="1">
      <c r="A67" s="254">
        <f t="shared" si="1"/>
        <v>442</v>
      </c>
      <c r="B67" s="254" t="s">
        <v>2839</v>
      </c>
      <c r="C67" s="196" t="s">
        <v>2840</v>
      </c>
      <c r="D67" s="197" t="s">
        <v>2841</v>
      </c>
      <c r="E67" s="259" t="s">
        <v>2842</v>
      </c>
      <c r="F67" s="197" t="s">
        <v>2843</v>
      </c>
      <c r="G67" s="197" t="s">
        <v>2844</v>
      </c>
      <c r="H67" s="255"/>
      <c r="I67" s="255">
        <v>45989.0</v>
      </c>
      <c r="J67" s="256" t="s">
        <v>2680</v>
      </c>
      <c r="K67" s="232" t="b">
        <v>0</v>
      </c>
      <c r="L67" s="35"/>
      <c r="M67" s="35"/>
      <c r="N67" s="13"/>
      <c r="O67" s="13"/>
      <c r="P67" s="13"/>
      <c r="Q67" s="13"/>
      <c r="R67" s="13"/>
      <c r="S67" s="13"/>
      <c r="T67" s="13"/>
      <c r="U67" s="13"/>
      <c r="V67" s="13"/>
      <c r="W67" s="13"/>
      <c r="X67" s="13"/>
      <c r="Y67" s="13"/>
      <c r="Z67" s="13"/>
      <c r="AA67" s="13"/>
    </row>
    <row r="68" ht="16.5" customHeight="1">
      <c r="A68" s="223">
        <f t="shared" si="1"/>
        <v>443</v>
      </c>
      <c r="B68" s="254" t="s">
        <v>2845</v>
      </c>
      <c r="C68" s="196" t="s">
        <v>2846</v>
      </c>
      <c r="D68" s="260" t="s">
        <v>2847</v>
      </c>
      <c r="E68" s="261" t="s">
        <v>2848</v>
      </c>
      <c r="F68" s="262"/>
      <c r="G68" s="197" t="s">
        <v>2849</v>
      </c>
      <c r="H68" s="263" t="b">
        <v>0</v>
      </c>
      <c r="I68" s="255">
        <v>45989.0</v>
      </c>
      <c r="J68" s="256" t="s">
        <v>2674</v>
      </c>
      <c r="K68" s="235" t="b">
        <v>0</v>
      </c>
      <c r="L68" s="35"/>
      <c r="M68" s="35"/>
      <c r="N68" s="13"/>
      <c r="O68" s="13"/>
      <c r="P68" s="13"/>
      <c r="Q68" s="13"/>
      <c r="R68" s="13"/>
      <c r="S68" s="13"/>
      <c r="T68" s="13"/>
      <c r="U68" s="13"/>
      <c r="V68" s="13"/>
      <c r="W68" s="13"/>
      <c r="X68" s="13"/>
      <c r="Y68" s="13"/>
      <c r="Z68" s="13"/>
      <c r="AA68" s="13"/>
    </row>
    <row r="69" ht="16.5" hidden="1" customHeight="1">
      <c r="A69" s="254">
        <f t="shared" si="1"/>
        <v>444</v>
      </c>
      <c r="B69" s="254" t="s">
        <v>2850</v>
      </c>
      <c r="C69" s="196" t="s">
        <v>2851</v>
      </c>
      <c r="D69" s="197" t="s">
        <v>2852</v>
      </c>
      <c r="E69" s="259" t="s">
        <v>2853</v>
      </c>
      <c r="F69" s="197" t="s">
        <v>2854</v>
      </c>
      <c r="G69" s="197" t="s">
        <v>2855</v>
      </c>
      <c r="H69" s="255"/>
      <c r="I69" s="255">
        <v>45989.0</v>
      </c>
      <c r="J69" s="256" t="s">
        <v>2680</v>
      </c>
      <c r="K69" s="232" t="b">
        <v>0</v>
      </c>
      <c r="L69" s="35"/>
      <c r="M69" s="35"/>
      <c r="N69" s="13"/>
      <c r="O69" s="13"/>
      <c r="P69" s="13"/>
      <c r="Q69" s="13"/>
      <c r="R69" s="13"/>
      <c r="S69" s="13"/>
      <c r="T69" s="13"/>
      <c r="U69" s="13"/>
      <c r="V69" s="13"/>
      <c r="W69" s="13"/>
      <c r="X69" s="13"/>
      <c r="Y69" s="13"/>
      <c r="Z69" s="13"/>
      <c r="AA69" s="13"/>
    </row>
    <row r="70" ht="16.5" hidden="1" customHeight="1">
      <c r="A70" s="254">
        <f t="shared" si="1"/>
        <v>445</v>
      </c>
      <c r="B70" s="254" t="s">
        <v>2709</v>
      </c>
      <c r="C70" s="196" t="s">
        <v>2856</v>
      </c>
      <c r="D70" s="197" t="s">
        <v>2857</v>
      </c>
      <c r="E70" s="259" t="s">
        <v>2858</v>
      </c>
      <c r="F70" s="197" t="s">
        <v>2859</v>
      </c>
      <c r="G70" s="197" t="s">
        <v>2860</v>
      </c>
      <c r="H70" s="255"/>
      <c r="I70" s="255">
        <v>45989.0</v>
      </c>
      <c r="J70" s="256" t="s">
        <v>2680</v>
      </c>
      <c r="K70" s="232" t="b">
        <v>0</v>
      </c>
      <c r="L70" s="35"/>
      <c r="M70" s="35"/>
      <c r="N70" s="13"/>
      <c r="O70" s="13"/>
      <c r="P70" s="13"/>
      <c r="Q70" s="13"/>
      <c r="R70" s="13"/>
      <c r="S70" s="13"/>
      <c r="T70" s="13"/>
      <c r="U70" s="13"/>
      <c r="V70" s="13"/>
      <c r="W70" s="13"/>
      <c r="X70" s="13"/>
      <c r="Y70" s="13"/>
      <c r="Z70" s="13"/>
      <c r="AA70" s="13"/>
    </row>
    <row r="71" ht="16.5" customHeight="1">
      <c r="A71" s="223">
        <f t="shared" si="1"/>
        <v>446</v>
      </c>
      <c r="B71" s="254" t="s">
        <v>2845</v>
      </c>
      <c r="C71" s="196" t="s">
        <v>2861</v>
      </c>
      <c r="D71" s="197" t="s">
        <v>2862</v>
      </c>
      <c r="E71" s="264" t="s">
        <v>2863</v>
      </c>
      <c r="F71" s="198" t="s">
        <v>2864</v>
      </c>
      <c r="G71" s="197" t="s">
        <v>2865</v>
      </c>
      <c r="H71" s="263" t="b">
        <v>0</v>
      </c>
      <c r="I71" s="255">
        <v>45989.0</v>
      </c>
      <c r="J71" s="256" t="s">
        <v>2674</v>
      </c>
      <c r="K71" s="235" t="b">
        <v>0</v>
      </c>
      <c r="L71" s="35"/>
      <c r="M71" s="35"/>
      <c r="N71" s="13"/>
      <c r="O71" s="13"/>
      <c r="P71" s="13"/>
      <c r="Q71" s="13"/>
      <c r="R71" s="13"/>
      <c r="S71" s="13"/>
      <c r="T71" s="13"/>
      <c r="U71" s="13"/>
      <c r="V71" s="13"/>
      <c r="W71" s="13"/>
      <c r="X71" s="13"/>
      <c r="Y71" s="13"/>
      <c r="Z71" s="13"/>
      <c r="AA71" s="13"/>
    </row>
    <row r="72" ht="16.5" customHeight="1">
      <c r="A72" s="223">
        <f t="shared" si="1"/>
        <v>447</v>
      </c>
      <c r="B72" s="254" t="s">
        <v>2866</v>
      </c>
      <c r="C72" s="196" t="s">
        <v>2867</v>
      </c>
      <c r="D72" s="197" t="s">
        <v>2868</v>
      </c>
      <c r="E72" s="261" t="s">
        <v>2869</v>
      </c>
      <c r="F72" s="198" t="s">
        <v>2870</v>
      </c>
      <c r="G72" s="197" t="s">
        <v>2871</v>
      </c>
      <c r="H72" s="263" t="b">
        <v>0</v>
      </c>
      <c r="I72" s="255">
        <v>45989.0</v>
      </c>
      <c r="J72" s="256" t="s">
        <v>2674</v>
      </c>
      <c r="K72" s="235" t="b">
        <v>0</v>
      </c>
      <c r="L72" s="35"/>
      <c r="M72" s="35"/>
      <c r="N72" s="13"/>
      <c r="O72" s="13"/>
      <c r="P72" s="13"/>
      <c r="Q72" s="13"/>
      <c r="R72" s="13"/>
      <c r="S72" s="13"/>
      <c r="T72" s="13"/>
      <c r="U72" s="13"/>
      <c r="V72" s="13"/>
      <c r="W72" s="13"/>
      <c r="X72" s="13"/>
      <c r="Y72" s="13"/>
      <c r="Z72" s="13"/>
      <c r="AA72" s="13"/>
    </row>
    <row r="73" ht="16.5" customHeight="1">
      <c r="A73" s="223">
        <f t="shared" si="1"/>
        <v>448</v>
      </c>
      <c r="B73" s="254" t="s">
        <v>2709</v>
      </c>
      <c r="C73" s="196" t="s">
        <v>2548</v>
      </c>
      <c r="D73" s="197" t="s">
        <v>2549</v>
      </c>
      <c r="E73" s="192" t="s">
        <v>2550</v>
      </c>
      <c r="F73" s="198" t="s">
        <v>2551</v>
      </c>
      <c r="G73" s="197" t="s">
        <v>2496</v>
      </c>
      <c r="H73" s="258" t="b">
        <v>1</v>
      </c>
      <c r="I73" s="255">
        <v>45989.0</v>
      </c>
      <c r="J73" s="256" t="s">
        <v>2674</v>
      </c>
      <c r="K73" s="235" t="b">
        <v>0</v>
      </c>
      <c r="L73" s="35"/>
      <c r="M73" s="35"/>
      <c r="N73" s="13"/>
      <c r="O73" s="13"/>
      <c r="P73" s="13"/>
      <c r="Q73" s="13"/>
      <c r="R73" s="13"/>
      <c r="S73" s="13"/>
      <c r="T73" s="13"/>
      <c r="U73" s="13"/>
      <c r="V73" s="13"/>
      <c r="W73" s="13"/>
      <c r="X73" s="13"/>
      <c r="Y73" s="13"/>
      <c r="Z73" s="13"/>
      <c r="AA73" s="13"/>
    </row>
    <row r="74" ht="16.5" customHeight="1">
      <c r="A74" s="223">
        <f t="shared" si="1"/>
        <v>449</v>
      </c>
      <c r="B74" s="254" t="s">
        <v>2709</v>
      </c>
      <c r="C74" s="196" t="s">
        <v>2552</v>
      </c>
      <c r="D74" s="197" t="s">
        <v>2553</v>
      </c>
      <c r="E74" s="192" t="s">
        <v>2550</v>
      </c>
      <c r="F74" s="198" t="s">
        <v>2554</v>
      </c>
      <c r="G74" s="197" t="s">
        <v>2496</v>
      </c>
      <c r="H74" s="258" t="b">
        <v>1</v>
      </c>
      <c r="I74" s="255">
        <v>45989.0</v>
      </c>
      <c r="J74" s="256" t="s">
        <v>2674</v>
      </c>
      <c r="K74" s="235" t="b">
        <v>0</v>
      </c>
      <c r="L74" s="35"/>
      <c r="M74" s="35"/>
      <c r="N74" s="13"/>
      <c r="O74" s="13"/>
      <c r="P74" s="13"/>
      <c r="Q74" s="13"/>
      <c r="R74" s="13"/>
      <c r="S74" s="13"/>
      <c r="T74" s="13"/>
      <c r="U74" s="13"/>
      <c r="V74" s="13"/>
      <c r="W74" s="13"/>
      <c r="X74" s="13"/>
      <c r="Y74" s="13"/>
      <c r="Z74" s="13"/>
      <c r="AA74" s="13"/>
    </row>
    <row r="75" ht="16.5" customHeight="1">
      <c r="A75" s="223">
        <f t="shared" si="1"/>
        <v>450</v>
      </c>
      <c r="B75" s="254" t="s">
        <v>2709</v>
      </c>
      <c r="C75" s="196" t="s">
        <v>2555</v>
      </c>
      <c r="D75" s="197" t="s">
        <v>2556</v>
      </c>
      <c r="E75" s="192" t="s">
        <v>2550</v>
      </c>
      <c r="F75" s="198" t="s">
        <v>2557</v>
      </c>
      <c r="G75" s="197" t="s">
        <v>2496</v>
      </c>
      <c r="H75" s="258" t="b">
        <v>1</v>
      </c>
      <c r="I75" s="255">
        <v>45989.0</v>
      </c>
      <c r="J75" s="256" t="s">
        <v>2674</v>
      </c>
      <c r="K75" s="235" t="b">
        <v>0</v>
      </c>
      <c r="L75" s="35"/>
      <c r="M75" s="35"/>
      <c r="N75" s="13"/>
      <c r="O75" s="13"/>
      <c r="P75" s="13"/>
      <c r="Q75" s="13"/>
      <c r="R75" s="13"/>
      <c r="S75" s="13"/>
      <c r="T75" s="13"/>
      <c r="U75" s="13"/>
      <c r="V75" s="13"/>
      <c r="W75" s="13"/>
      <c r="X75" s="13"/>
      <c r="Y75" s="13"/>
      <c r="Z75" s="13"/>
      <c r="AA75" s="13"/>
    </row>
    <row r="76" ht="16.5" customHeight="1">
      <c r="A76" s="223">
        <f t="shared" si="1"/>
        <v>451</v>
      </c>
      <c r="B76" s="254" t="s">
        <v>2709</v>
      </c>
      <c r="C76" s="196" t="s">
        <v>2558</v>
      </c>
      <c r="D76" s="197" t="s">
        <v>2559</v>
      </c>
      <c r="E76" s="192" t="s">
        <v>2550</v>
      </c>
      <c r="F76" s="198" t="s">
        <v>2560</v>
      </c>
      <c r="G76" s="197" t="s">
        <v>2496</v>
      </c>
      <c r="H76" s="258" t="b">
        <v>1</v>
      </c>
      <c r="I76" s="255">
        <v>45989.0</v>
      </c>
      <c r="J76" s="256" t="s">
        <v>2674</v>
      </c>
      <c r="K76" s="235" t="b">
        <v>0</v>
      </c>
      <c r="L76" s="35"/>
      <c r="M76" s="35"/>
      <c r="N76" s="13"/>
      <c r="O76" s="13"/>
      <c r="P76" s="13"/>
      <c r="Q76" s="13"/>
      <c r="R76" s="13"/>
      <c r="S76" s="13"/>
      <c r="T76" s="13"/>
      <c r="U76" s="13"/>
      <c r="V76" s="13"/>
      <c r="W76" s="13"/>
      <c r="X76" s="13"/>
      <c r="Y76" s="13"/>
      <c r="Z76" s="13"/>
      <c r="AA76" s="13"/>
    </row>
    <row r="77" ht="16.5" customHeight="1">
      <c r="A77" s="223">
        <f t="shared" si="1"/>
        <v>452</v>
      </c>
      <c r="B77" s="254" t="s">
        <v>2709</v>
      </c>
      <c r="C77" s="196" t="s">
        <v>2561</v>
      </c>
      <c r="D77" s="197" t="s">
        <v>2562</v>
      </c>
      <c r="E77" s="192" t="s">
        <v>2550</v>
      </c>
      <c r="F77" s="198" t="s">
        <v>2563</v>
      </c>
      <c r="G77" s="197" t="s">
        <v>2496</v>
      </c>
      <c r="H77" s="258" t="b">
        <v>1</v>
      </c>
      <c r="I77" s="255">
        <v>45989.0</v>
      </c>
      <c r="J77" s="256" t="s">
        <v>2674</v>
      </c>
      <c r="K77" s="235" t="b">
        <v>0</v>
      </c>
      <c r="L77" s="35"/>
      <c r="M77" s="35"/>
      <c r="N77" s="13"/>
      <c r="O77" s="13"/>
      <c r="P77" s="13"/>
      <c r="Q77" s="13"/>
      <c r="R77" s="13"/>
      <c r="S77" s="13"/>
      <c r="T77" s="13"/>
      <c r="U77" s="13"/>
      <c r="V77" s="13"/>
      <c r="W77" s="13"/>
      <c r="X77" s="13"/>
      <c r="Y77" s="13"/>
      <c r="Z77" s="13"/>
      <c r="AA77" s="13"/>
    </row>
    <row r="78" ht="16.5" customHeight="1">
      <c r="A78" s="223">
        <f t="shared" si="1"/>
        <v>453</v>
      </c>
      <c r="B78" s="254" t="s">
        <v>2709</v>
      </c>
      <c r="C78" s="196" t="s">
        <v>2564</v>
      </c>
      <c r="D78" s="197" t="s">
        <v>2565</v>
      </c>
      <c r="E78" s="192" t="s">
        <v>2550</v>
      </c>
      <c r="F78" s="198" t="s">
        <v>2566</v>
      </c>
      <c r="G78" s="197" t="s">
        <v>2496</v>
      </c>
      <c r="H78" s="258" t="b">
        <v>1</v>
      </c>
      <c r="I78" s="255">
        <v>45989.0</v>
      </c>
      <c r="J78" s="256" t="s">
        <v>2674</v>
      </c>
      <c r="K78" s="235" t="b">
        <v>0</v>
      </c>
      <c r="L78" s="35"/>
      <c r="M78" s="35"/>
      <c r="N78" s="13"/>
      <c r="O78" s="13"/>
      <c r="P78" s="13"/>
      <c r="Q78" s="13"/>
      <c r="R78" s="13"/>
      <c r="S78" s="13"/>
      <c r="T78" s="13"/>
      <c r="U78" s="13"/>
      <c r="V78" s="13"/>
      <c r="W78" s="13"/>
      <c r="X78" s="13"/>
      <c r="Y78" s="13"/>
      <c r="Z78" s="13"/>
      <c r="AA78" s="13"/>
    </row>
    <row r="79" ht="16.5" customHeight="1">
      <c r="A79" s="223">
        <f t="shared" si="1"/>
        <v>454</v>
      </c>
      <c r="B79" s="254" t="s">
        <v>2827</v>
      </c>
      <c r="C79" s="196" t="s">
        <v>2872</v>
      </c>
      <c r="D79" s="265" t="s">
        <v>2873</v>
      </c>
      <c r="E79" s="261" t="s">
        <v>2874</v>
      </c>
      <c r="F79" s="198" t="s">
        <v>2875</v>
      </c>
      <c r="G79" s="197" t="s">
        <v>2876</v>
      </c>
      <c r="H79" s="263" t="b">
        <v>0</v>
      </c>
      <c r="I79" s="255">
        <v>45989.0</v>
      </c>
      <c r="J79" s="256" t="s">
        <v>2674</v>
      </c>
      <c r="K79" s="235" t="b">
        <v>0</v>
      </c>
      <c r="L79" s="35"/>
      <c r="M79" s="35"/>
      <c r="N79" s="13"/>
      <c r="O79" s="13"/>
      <c r="P79" s="13"/>
      <c r="Q79" s="13"/>
      <c r="R79" s="13"/>
      <c r="S79" s="13"/>
      <c r="T79" s="13"/>
      <c r="U79" s="13"/>
      <c r="V79" s="13"/>
      <c r="W79" s="13"/>
      <c r="X79" s="13"/>
      <c r="Y79" s="13"/>
      <c r="Z79" s="13"/>
      <c r="AA79" s="13"/>
    </row>
    <row r="80" ht="16.5" hidden="1" customHeight="1">
      <c r="A80" s="254">
        <f t="shared" si="1"/>
        <v>455</v>
      </c>
      <c r="B80" s="254" t="s">
        <v>2733</v>
      </c>
      <c r="C80" s="196" t="s">
        <v>2877</v>
      </c>
      <c r="D80" s="197" t="s">
        <v>2878</v>
      </c>
      <c r="E80" s="197" t="s">
        <v>2879</v>
      </c>
      <c r="F80" s="197" t="s">
        <v>2875</v>
      </c>
      <c r="G80" s="197" t="s">
        <v>2880</v>
      </c>
      <c r="H80" s="255"/>
      <c r="I80" s="255">
        <v>45989.0</v>
      </c>
      <c r="J80" s="256" t="s">
        <v>2680</v>
      </c>
      <c r="K80" s="232" t="b">
        <v>0</v>
      </c>
      <c r="L80" s="35"/>
      <c r="M80" s="35"/>
      <c r="N80" s="13"/>
      <c r="O80" s="13"/>
      <c r="P80" s="13"/>
      <c r="Q80" s="13"/>
      <c r="R80" s="13"/>
      <c r="S80" s="13"/>
      <c r="T80" s="13"/>
      <c r="U80" s="13"/>
      <c r="V80" s="13"/>
      <c r="W80" s="13"/>
      <c r="X80" s="13"/>
      <c r="Y80" s="13"/>
      <c r="Z80" s="13"/>
      <c r="AA80" s="13"/>
    </row>
    <row r="81" ht="16.5" customHeight="1">
      <c r="A81" s="223">
        <f t="shared" si="1"/>
        <v>456</v>
      </c>
      <c r="B81" s="254" t="s">
        <v>2827</v>
      </c>
      <c r="C81" s="196" t="s">
        <v>2881</v>
      </c>
      <c r="D81" s="197" t="s">
        <v>2882</v>
      </c>
      <c r="E81" s="261" t="s">
        <v>2874</v>
      </c>
      <c r="F81" s="198" t="s">
        <v>152</v>
      </c>
      <c r="G81" s="197" t="s">
        <v>2883</v>
      </c>
      <c r="H81" s="263" t="b">
        <v>0</v>
      </c>
      <c r="I81" s="255">
        <v>45992.0</v>
      </c>
      <c r="J81" s="256" t="s">
        <v>2674</v>
      </c>
      <c r="K81" s="235" t="b">
        <v>0</v>
      </c>
      <c r="L81" s="35"/>
      <c r="M81" s="35"/>
      <c r="N81" s="13"/>
      <c r="O81" s="13"/>
      <c r="P81" s="13"/>
      <c r="Q81" s="13"/>
      <c r="R81" s="13"/>
      <c r="S81" s="13"/>
      <c r="T81" s="13"/>
      <c r="U81" s="13"/>
      <c r="V81" s="13"/>
      <c r="W81" s="13"/>
      <c r="X81" s="13"/>
      <c r="Y81" s="13"/>
      <c r="Z81" s="13"/>
      <c r="AA81" s="13"/>
    </row>
    <row r="82" ht="16.5" customHeight="1">
      <c r="A82" s="223">
        <f t="shared" si="1"/>
        <v>457</v>
      </c>
      <c r="B82" s="254" t="s">
        <v>2733</v>
      </c>
      <c r="C82" s="196" t="s">
        <v>2884</v>
      </c>
      <c r="D82" s="197" t="s">
        <v>2885</v>
      </c>
      <c r="E82" s="261" t="s">
        <v>2886</v>
      </c>
      <c r="F82" s="262"/>
      <c r="G82" s="197" t="s">
        <v>2887</v>
      </c>
      <c r="H82" s="263" t="b">
        <v>0</v>
      </c>
      <c r="I82" s="255">
        <v>45992.0</v>
      </c>
      <c r="J82" s="256" t="s">
        <v>2674</v>
      </c>
      <c r="K82" s="235" t="b">
        <v>0</v>
      </c>
      <c r="L82" s="35"/>
      <c r="M82" s="35"/>
      <c r="N82" s="13"/>
      <c r="O82" s="13"/>
      <c r="P82" s="13"/>
      <c r="Q82" s="13"/>
      <c r="R82" s="13"/>
      <c r="S82" s="13"/>
      <c r="T82" s="13"/>
      <c r="U82" s="13"/>
      <c r="V82" s="13"/>
      <c r="W82" s="13"/>
      <c r="X82" s="13"/>
      <c r="Y82" s="13"/>
      <c r="Z82" s="13"/>
      <c r="AA82" s="13"/>
    </row>
    <row r="83" ht="16.5" customHeight="1">
      <c r="A83" s="223">
        <f t="shared" si="1"/>
        <v>458</v>
      </c>
      <c r="B83" s="254" t="s">
        <v>2888</v>
      </c>
      <c r="C83" s="196" t="s">
        <v>2567</v>
      </c>
      <c r="D83" s="197" t="s">
        <v>2568</v>
      </c>
      <c r="E83" s="257" t="s">
        <v>2569</v>
      </c>
      <c r="F83" s="266" t="s">
        <v>800</v>
      </c>
      <c r="G83" s="197" t="s">
        <v>2570</v>
      </c>
      <c r="H83" s="258" t="b">
        <v>1</v>
      </c>
      <c r="I83" s="255">
        <v>45993.0</v>
      </c>
      <c r="J83" s="256" t="s">
        <v>2674</v>
      </c>
      <c r="K83" s="235" t="b">
        <v>0</v>
      </c>
      <c r="L83" s="35"/>
      <c r="M83" s="35"/>
      <c r="N83" s="13"/>
      <c r="O83" s="13"/>
      <c r="P83" s="13"/>
      <c r="Q83" s="13"/>
      <c r="R83" s="13"/>
      <c r="S83" s="13"/>
      <c r="T83" s="13"/>
      <c r="U83" s="13"/>
      <c r="V83" s="13"/>
      <c r="W83" s="13"/>
      <c r="X83" s="13"/>
      <c r="Y83" s="13"/>
      <c r="Z83" s="13"/>
      <c r="AA83" s="13"/>
    </row>
    <row r="84" ht="16.5" customHeight="1">
      <c r="A84" s="223">
        <f t="shared" si="1"/>
        <v>459</v>
      </c>
      <c r="B84" s="254" t="s">
        <v>2888</v>
      </c>
      <c r="C84" s="196" t="s">
        <v>2889</v>
      </c>
      <c r="D84" s="197" t="s">
        <v>2890</v>
      </c>
      <c r="E84" s="264" t="s">
        <v>2891</v>
      </c>
      <c r="F84" s="262"/>
      <c r="G84" s="197" t="s">
        <v>2892</v>
      </c>
      <c r="H84" s="263" t="b">
        <v>0</v>
      </c>
      <c r="I84" s="255">
        <v>45993.0</v>
      </c>
      <c r="J84" s="256" t="s">
        <v>2674</v>
      </c>
      <c r="K84" s="235" t="b">
        <v>0</v>
      </c>
      <c r="L84" s="35"/>
      <c r="M84" s="35"/>
      <c r="N84" s="13"/>
      <c r="O84" s="13"/>
      <c r="P84" s="13"/>
      <c r="Q84" s="13"/>
      <c r="R84" s="13"/>
      <c r="S84" s="13"/>
      <c r="T84" s="13"/>
      <c r="U84" s="13"/>
      <c r="V84" s="13"/>
      <c r="W84" s="13"/>
      <c r="X84" s="13"/>
      <c r="Y84" s="13"/>
      <c r="Z84" s="13"/>
      <c r="AA84" s="13"/>
    </row>
    <row r="85" ht="16.5" customHeight="1">
      <c r="A85" s="223">
        <f t="shared" si="1"/>
        <v>460</v>
      </c>
      <c r="B85" s="254" t="s">
        <v>2817</v>
      </c>
      <c r="C85" s="196" t="s">
        <v>2893</v>
      </c>
      <c r="D85" s="260" t="s">
        <v>2894</v>
      </c>
      <c r="E85" s="261" t="s">
        <v>2895</v>
      </c>
      <c r="F85" s="267" t="s">
        <v>2896</v>
      </c>
      <c r="G85" s="197" t="s">
        <v>2897</v>
      </c>
      <c r="H85" s="263" t="b">
        <v>0</v>
      </c>
      <c r="I85" s="255">
        <v>45993.0</v>
      </c>
      <c r="J85" s="256" t="s">
        <v>2674</v>
      </c>
      <c r="K85" s="235" t="b">
        <v>0</v>
      </c>
      <c r="L85" s="35"/>
      <c r="M85" s="35"/>
      <c r="N85" s="13"/>
      <c r="O85" s="13"/>
      <c r="P85" s="13"/>
      <c r="Q85" s="13"/>
      <c r="R85" s="13"/>
      <c r="S85" s="13"/>
      <c r="T85" s="13"/>
      <c r="U85" s="13"/>
      <c r="V85" s="13"/>
      <c r="W85" s="13"/>
      <c r="X85" s="13"/>
      <c r="Y85" s="13"/>
      <c r="Z85" s="13"/>
      <c r="AA85" s="13"/>
    </row>
    <row r="86" ht="16.5" customHeight="1">
      <c r="A86" s="223">
        <f t="shared" si="1"/>
        <v>461</v>
      </c>
      <c r="B86" s="254" t="s">
        <v>2817</v>
      </c>
      <c r="C86" s="196" t="s">
        <v>2898</v>
      </c>
      <c r="D86" s="260" t="s">
        <v>2899</v>
      </c>
      <c r="E86" s="261" t="s">
        <v>2900</v>
      </c>
      <c r="F86" s="267" t="s">
        <v>2901</v>
      </c>
      <c r="G86" s="197" t="s">
        <v>2897</v>
      </c>
      <c r="H86" s="263" t="b">
        <v>0</v>
      </c>
      <c r="I86" s="255">
        <v>45993.0</v>
      </c>
      <c r="J86" s="256" t="s">
        <v>2674</v>
      </c>
      <c r="K86" s="235" t="b">
        <v>0</v>
      </c>
      <c r="L86" s="35"/>
      <c r="M86" s="35"/>
      <c r="N86" s="13"/>
      <c r="O86" s="13"/>
      <c r="P86" s="13"/>
      <c r="Q86" s="13"/>
      <c r="R86" s="13"/>
      <c r="S86" s="13"/>
      <c r="T86" s="13"/>
      <c r="U86" s="13"/>
      <c r="V86" s="13"/>
      <c r="W86" s="13"/>
      <c r="X86" s="13"/>
      <c r="Y86" s="13"/>
      <c r="Z86" s="13"/>
      <c r="AA86" s="13"/>
    </row>
    <row r="87" ht="16.5" customHeight="1">
      <c r="A87" s="223">
        <f t="shared" si="1"/>
        <v>462</v>
      </c>
      <c r="B87" s="254" t="s">
        <v>2673</v>
      </c>
      <c r="C87" s="196" t="s">
        <v>2902</v>
      </c>
      <c r="D87" s="260" t="s">
        <v>2903</v>
      </c>
      <c r="E87" s="261" t="s">
        <v>2904</v>
      </c>
      <c r="F87" s="198" t="s">
        <v>2905</v>
      </c>
      <c r="G87" s="197" t="s">
        <v>2906</v>
      </c>
      <c r="H87" s="263" t="b">
        <v>0</v>
      </c>
      <c r="I87" s="255">
        <v>45993.0</v>
      </c>
      <c r="J87" s="256" t="s">
        <v>2674</v>
      </c>
      <c r="K87" s="235" t="b">
        <v>0</v>
      </c>
      <c r="L87" s="35"/>
      <c r="M87" s="35"/>
      <c r="N87" s="13"/>
      <c r="O87" s="13"/>
      <c r="P87" s="13"/>
      <c r="Q87" s="13"/>
      <c r="R87" s="13"/>
      <c r="S87" s="13"/>
      <c r="T87" s="13"/>
      <c r="U87" s="13"/>
      <c r="V87" s="13"/>
      <c r="W87" s="13"/>
      <c r="X87" s="13"/>
      <c r="Y87" s="13"/>
      <c r="Z87" s="13"/>
      <c r="AA87" s="13"/>
    </row>
    <row r="88" ht="16.5" customHeight="1">
      <c r="A88" s="223">
        <f t="shared" si="1"/>
        <v>463</v>
      </c>
      <c r="B88" s="254" t="s">
        <v>2722</v>
      </c>
      <c r="C88" s="196" t="s">
        <v>2907</v>
      </c>
      <c r="D88" s="260" t="s">
        <v>2908</v>
      </c>
      <c r="E88" s="268" t="s">
        <v>2909</v>
      </c>
      <c r="F88" s="269" t="s">
        <v>2910</v>
      </c>
      <c r="G88" s="270" t="s">
        <v>2911</v>
      </c>
      <c r="H88" s="263" t="b">
        <v>0</v>
      </c>
      <c r="I88" s="255">
        <v>45993.0</v>
      </c>
      <c r="J88" s="256" t="s">
        <v>2674</v>
      </c>
      <c r="K88" s="235" t="b">
        <v>0</v>
      </c>
      <c r="L88" s="35"/>
      <c r="M88" s="35"/>
      <c r="N88" s="13"/>
      <c r="O88" s="13"/>
      <c r="P88" s="13"/>
      <c r="Q88" s="13"/>
      <c r="R88" s="13"/>
      <c r="S88" s="13"/>
      <c r="T88" s="13"/>
      <c r="U88" s="13"/>
      <c r="V88" s="13"/>
      <c r="W88" s="13"/>
      <c r="X88" s="13"/>
      <c r="Y88" s="13"/>
      <c r="Z88" s="13"/>
      <c r="AA88" s="13"/>
    </row>
    <row r="89" ht="16.5" customHeight="1">
      <c r="A89" s="223">
        <f t="shared" si="1"/>
        <v>464</v>
      </c>
      <c r="B89" s="254" t="s">
        <v>2687</v>
      </c>
      <c r="C89" s="196" t="s">
        <v>2912</v>
      </c>
      <c r="D89" s="197" t="s">
        <v>2913</v>
      </c>
      <c r="E89" s="261" t="s">
        <v>2914</v>
      </c>
      <c r="F89" s="198" t="s">
        <v>173</v>
      </c>
      <c r="G89" s="197" t="s">
        <v>2915</v>
      </c>
      <c r="H89" s="263" t="b">
        <v>0</v>
      </c>
      <c r="I89" s="255">
        <v>45993.0</v>
      </c>
      <c r="J89" s="256" t="s">
        <v>2674</v>
      </c>
      <c r="K89" s="235" t="b">
        <v>0</v>
      </c>
      <c r="L89" s="35"/>
      <c r="M89" s="35"/>
      <c r="N89" s="13"/>
      <c r="O89" s="13"/>
      <c r="P89" s="13"/>
      <c r="Q89" s="13"/>
      <c r="R89" s="13"/>
      <c r="S89" s="13"/>
      <c r="T89" s="13"/>
      <c r="U89" s="13"/>
      <c r="V89" s="13"/>
      <c r="W89" s="13"/>
      <c r="X89" s="13"/>
      <c r="Y89" s="13"/>
      <c r="Z89" s="13"/>
      <c r="AA89" s="13"/>
    </row>
    <row r="90" ht="16.5" customHeight="1">
      <c r="A90" s="223">
        <f t="shared" si="1"/>
        <v>465</v>
      </c>
      <c r="B90" s="254" t="s">
        <v>2687</v>
      </c>
      <c r="C90" s="196" t="s">
        <v>2916</v>
      </c>
      <c r="D90" s="197" t="s">
        <v>2917</v>
      </c>
      <c r="E90" s="261" t="s">
        <v>2918</v>
      </c>
      <c r="F90" s="198" t="s">
        <v>173</v>
      </c>
      <c r="G90" s="197" t="s">
        <v>2919</v>
      </c>
      <c r="H90" s="263" t="b">
        <v>0</v>
      </c>
      <c r="I90" s="255">
        <v>45993.0</v>
      </c>
      <c r="J90" s="256" t="s">
        <v>2674</v>
      </c>
      <c r="K90" s="235" t="b">
        <v>0</v>
      </c>
      <c r="L90" s="35"/>
      <c r="M90" s="35"/>
      <c r="N90" s="13"/>
      <c r="O90" s="13"/>
      <c r="P90" s="13"/>
      <c r="Q90" s="13"/>
      <c r="R90" s="13"/>
      <c r="S90" s="13"/>
      <c r="T90" s="13"/>
      <c r="U90" s="13"/>
      <c r="V90" s="13"/>
      <c r="W90" s="13"/>
      <c r="X90" s="13"/>
      <c r="Y90" s="13"/>
      <c r="Z90" s="13"/>
      <c r="AA90" s="13"/>
    </row>
    <row r="91" ht="16.5" customHeight="1">
      <c r="A91" s="223">
        <f t="shared" si="1"/>
        <v>466</v>
      </c>
      <c r="B91" s="254" t="s">
        <v>2709</v>
      </c>
      <c r="C91" s="271" t="s">
        <v>2571</v>
      </c>
      <c r="D91" s="197" t="s">
        <v>2572</v>
      </c>
      <c r="E91" s="257" t="s">
        <v>2573</v>
      </c>
      <c r="F91" s="266" t="s">
        <v>2011</v>
      </c>
      <c r="G91" s="197" t="s">
        <v>2574</v>
      </c>
      <c r="H91" s="258" t="b">
        <v>1</v>
      </c>
      <c r="I91" s="255">
        <v>45993.0</v>
      </c>
      <c r="J91" s="256" t="s">
        <v>2674</v>
      </c>
      <c r="K91" s="235" t="b">
        <v>0</v>
      </c>
      <c r="L91" s="35"/>
      <c r="M91" s="35"/>
      <c r="N91" s="13"/>
      <c r="O91" s="13"/>
      <c r="P91" s="13"/>
      <c r="Q91" s="13"/>
      <c r="R91" s="13"/>
      <c r="S91" s="13"/>
      <c r="T91" s="13"/>
      <c r="U91" s="13"/>
      <c r="V91" s="13"/>
      <c r="W91" s="13"/>
      <c r="X91" s="13"/>
      <c r="Y91" s="13"/>
      <c r="Z91" s="13"/>
      <c r="AA91" s="13"/>
    </row>
    <row r="92" ht="16.5" customHeight="1">
      <c r="A92" s="223">
        <f t="shared" si="1"/>
        <v>467</v>
      </c>
      <c r="B92" s="254" t="s">
        <v>2709</v>
      </c>
      <c r="C92" s="196" t="s">
        <v>2575</v>
      </c>
      <c r="D92" s="197" t="s">
        <v>2576</v>
      </c>
      <c r="E92" s="257" t="s">
        <v>2573</v>
      </c>
      <c r="F92" s="266" t="s">
        <v>2577</v>
      </c>
      <c r="G92" s="197" t="s">
        <v>2574</v>
      </c>
      <c r="H92" s="258" t="b">
        <v>1</v>
      </c>
      <c r="I92" s="255">
        <v>45993.0</v>
      </c>
      <c r="J92" s="256" t="s">
        <v>2674</v>
      </c>
      <c r="K92" s="235" t="b">
        <v>0</v>
      </c>
      <c r="L92" s="35"/>
      <c r="M92" s="35"/>
      <c r="N92" s="13"/>
      <c r="O92" s="13"/>
      <c r="P92" s="13"/>
      <c r="Q92" s="13"/>
      <c r="R92" s="13"/>
      <c r="S92" s="13"/>
      <c r="T92" s="13"/>
      <c r="U92" s="13"/>
      <c r="V92" s="13"/>
      <c r="W92" s="13"/>
      <c r="X92" s="13"/>
      <c r="Y92" s="13"/>
      <c r="Z92" s="13"/>
      <c r="AA92" s="13"/>
    </row>
    <row r="93" ht="16.5" customHeight="1">
      <c r="A93" s="223">
        <f t="shared" si="1"/>
        <v>468</v>
      </c>
      <c r="B93" s="254" t="s">
        <v>2709</v>
      </c>
      <c r="C93" s="196" t="s">
        <v>2578</v>
      </c>
      <c r="D93" s="197" t="s">
        <v>2579</v>
      </c>
      <c r="E93" s="257" t="s">
        <v>2573</v>
      </c>
      <c r="F93" s="266" t="s">
        <v>2580</v>
      </c>
      <c r="G93" s="197" t="s">
        <v>2574</v>
      </c>
      <c r="H93" s="258" t="b">
        <v>1</v>
      </c>
      <c r="I93" s="255">
        <v>45993.0</v>
      </c>
      <c r="J93" s="256" t="s">
        <v>2674</v>
      </c>
      <c r="K93" s="235" t="b">
        <v>0</v>
      </c>
      <c r="L93" s="35"/>
      <c r="M93" s="35"/>
      <c r="N93" s="13"/>
      <c r="O93" s="13"/>
      <c r="P93" s="13"/>
      <c r="Q93" s="13"/>
      <c r="R93" s="13"/>
      <c r="S93" s="13"/>
      <c r="T93" s="13"/>
      <c r="U93" s="13"/>
      <c r="V93" s="13"/>
      <c r="W93" s="13"/>
      <c r="X93" s="13"/>
      <c r="Y93" s="13"/>
      <c r="Z93" s="13"/>
      <c r="AA93" s="13"/>
    </row>
    <row r="94" ht="16.5" customHeight="1">
      <c r="A94" s="223">
        <f t="shared" si="1"/>
        <v>469</v>
      </c>
      <c r="B94" s="254" t="s">
        <v>2709</v>
      </c>
      <c r="C94" s="196" t="s">
        <v>2581</v>
      </c>
      <c r="D94" s="197" t="s">
        <v>2582</v>
      </c>
      <c r="E94" s="257" t="s">
        <v>2573</v>
      </c>
      <c r="F94" s="266" t="s">
        <v>2583</v>
      </c>
      <c r="G94" s="197" t="s">
        <v>2574</v>
      </c>
      <c r="H94" s="258" t="b">
        <v>1</v>
      </c>
      <c r="I94" s="255">
        <v>45993.0</v>
      </c>
      <c r="J94" s="256" t="s">
        <v>2674</v>
      </c>
      <c r="K94" s="235" t="b">
        <v>0</v>
      </c>
      <c r="L94" s="35"/>
      <c r="M94" s="35"/>
      <c r="N94" s="13"/>
      <c r="O94" s="13"/>
      <c r="P94" s="13"/>
      <c r="Q94" s="13"/>
      <c r="R94" s="13"/>
      <c r="S94" s="13"/>
      <c r="T94" s="13"/>
      <c r="U94" s="13"/>
      <c r="V94" s="13"/>
      <c r="W94" s="13"/>
      <c r="X94" s="13"/>
      <c r="Y94" s="13"/>
      <c r="Z94" s="13"/>
      <c r="AA94" s="13"/>
    </row>
    <row r="95" ht="16.5" customHeight="1">
      <c r="A95" s="223">
        <f t="shared" si="1"/>
        <v>470</v>
      </c>
      <c r="B95" s="254" t="s">
        <v>2709</v>
      </c>
      <c r="C95" s="196" t="s">
        <v>2584</v>
      </c>
      <c r="D95" s="197" t="s">
        <v>2585</v>
      </c>
      <c r="E95" s="257" t="s">
        <v>2573</v>
      </c>
      <c r="F95" s="266" t="s">
        <v>2586</v>
      </c>
      <c r="G95" s="197" t="s">
        <v>2574</v>
      </c>
      <c r="H95" s="258" t="b">
        <v>1</v>
      </c>
      <c r="I95" s="255">
        <v>45993.0</v>
      </c>
      <c r="J95" s="256" t="s">
        <v>2674</v>
      </c>
      <c r="K95" s="235" t="b">
        <v>0</v>
      </c>
      <c r="L95" s="35"/>
      <c r="M95" s="35"/>
      <c r="N95" s="13"/>
      <c r="O95" s="13"/>
      <c r="P95" s="13"/>
      <c r="Q95" s="13"/>
      <c r="R95" s="13"/>
      <c r="S95" s="13"/>
      <c r="T95" s="13"/>
      <c r="U95" s="13"/>
      <c r="V95" s="13"/>
      <c r="W95" s="13"/>
      <c r="X95" s="13"/>
      <c r="Y95" s="13"/>
      <c r="Z95" s="13"/>
      <c r="AA95" s="13"/>
    </row>
    <row r="96" ht="16.5" customHeight="1">
      <c r="A96" s="223">
        <f t="shared" si="1"/>
        <v>471</v>
      </c>
      <c r="B96" s="254" t="s">
        <v>2709</v>
      </c>
      <c r="C96" s="196" t="s">
        <v>2587</v>
      </c>
      <c r="D96" s="197" t="s">
        <v>2588</v>
      </c>
      <c r="E96" s="257" t="s">
        <v>2573</v>
      </c>
      <c r="F96" s="266" t="s">
        <v>2589</v>
      </c>
      <c r="G96" s="197" t="s">
        <v>2574</v>
      </c>
      <c r="H96" s="258" t="b">
        <v>1</v>
      </c>
      <c r="I96" s="255">
        <v>45993.0</v>
      </c>
      <c r="J96" s="256" t="s">
        <v>2674</v>
      </c>
      <c r="K96" s="235" t="b">
        <v>0</v>
      </c>
      <c r="L96" s="35"/>
      <c r="M96" s="35"/>
      <c r="N96" s="13"/>
      <c r="O96" s="13"/>
      <c r="P96" s="13"/>
      <c r="Q96" s="13"/>
      <c r="R96" s="13"/>
      <c r="S96" s="13"/>
      <c r="T96" s="13"/>
      <c r="U96" s="13"/>
      <c r="V96" s="13"/>
      <c r="W96" s="13"/>
      <c r="X96" s="13"/>
      <c r="Y96" s="13"/>
      <c r="Z96" s="13"/>
      <c r="AA96" s="13"/>
    </row>
    <row r="97" ht="16.5" hidden="1" customHeight="1">
      <c r="A97" s="254">
        <f t="shared" si="1"/>
        <v>472</v>
      </c>
      <c r="B97" s="254" t="s">
        <v>2681</v>
      </c>
      <c r="C97" s="196" t="s">
        <v>2920</v>
      </c>
      <c r="D97" s="197" t="s">
        <v>2921</v>
      </c>
      <c r="E97" s="197" t="s">
        <v>2922</v>
      </c>
      <c r="F97" s="197" t="s">
        <v>2923</v>
      </c>
      <c r="G97" s="197" t="s">
        <v>2924</v>
      </c>
      <c r="H97" s="255"/>
      <c r="I97" s="255">
        <v>45993.0</v>
      </c>
      <c r="J97" s="256" t="s">
        <v>2680</v>
      </c>
      <c r="K97" s="232" t="b">
        <v>0</v>
      </c>
      <c r="L97" s="35"/>
      <c r="M97" s="35"/>
      <c r="N97" s="13"/>
      <c r="O97" s="13"/>
      <c r="P97" s="13"/>
      <c r="Q97" s="13"/>
      <c r="R97" s="13"/>
      <c r="S97" s="13"/>
      <c r="T97" s="13"/>
      <c r="U97" s="13"/>
      <c r="V97" s="13"/>
      <c r="W97" s="13"/>
      <c r="X97" s="13"/>
      <c r="Y97" s="13"/>
      <c r="Z97" s="13"/>
      <c r="AA97" s="13"/>
    </row>
    <row r="98" ht="16.5" hidden="1" customHeight="1">
      <c r="A98" s="254">
        <f t="shared" si="1"/>
        <v>473</v>
      </c>
      <c r="B98" s="254" t="s">
        <v>2817</v>
      </c>
      <c r="C98" s="196" t="s">
        <v>2925</v>
      </c>
      <c r="D98" s="197" t="s">
        <v>2926</v>
      </c>
      <c r="E98" s="197" t="s">
        <v>2927</v>
      </c>
      <c r="F98" s="197" t="s">
        <v>2927</v>
      </c>
      <c r="G98" s="197" t="s">
        <v>2928</v>
      </c>
      <c r="H98" s="255"/>
      <c r="I98" s="255">
        <v>45993.0</v>
      </c>
      <c r="J98" s="256" t="s">
        <v>2680</v>
      </c>
      <c r="K98" s="232" t="b">
        <v>0</v>
      </c>
      <c r="L98" s="35"/>
      <c r="M98" s="35"/>
      <c r="N98" s="13"/>
      <c r="O98" s="13"/>
      <c r="P98" s="13"/>
      <c r="Q98" s="13"/>
      <c r="R98" s="13"/>
      <c r="S98" s="13"/>
      <c r="T98" s="13"/>
      <c r="U98" s="13"/>
      <c r="V98" s="13"/>
      <c r="W98" s="13"/>
      <c r="X98" s="13"/>
      <c r="Y98" s="13"/>
      <c r="Z98" s="13"/>
      <c r="AA98" s="13"/>
    </row>
    <row r="99" ht="16.5" hidden="1" customHeight="1">
      <c r="A99" s="254">
        <f t="shared" si="1"/>
        <v>474</v>
      </c>
      <c r="B99" s="254" t="s">
        <v>2795</v>
      </c>
      <c r="C99" s="196" t="s">
        <v>2929</v>
      </c>
      <c r="D99" s="197" t="s">
        <v>2930</v>
      </c>
      <c r="E99" s="197" t="s">
        <v>2931</v>
      </c>
      <c r="F99" s="197" t="s">
        <v>2932</v>
      </c>
      <c r="G99" s="197" t="s">
        <v>2933</v>
      </c>
      <c r="H99" s="255"/>
      <c r="I99" s="255">
        <v>45993.0</v>
      </c>
      <c r="J99" s="256" t="s">
        <v>2680</v>
      </c>
      <c r="K99" s="232" t="b">
        <v>0</v>
      </c>
      <c r="L99" s="35"/>
      <c r="M99" s="35"/>
      <c r="N99" s="13"/>
      <c r="O99" s="13"/>
      <c r="P99" s="13"/>
      <c r="Q99" s="13"/>
      <c r="R99" s="13"/>
      <c r="S99" s="13"/>
      <c r="T99" s="13"/>
      <c r="U99" s="13"/>
      <c r="V99" s="13"/>
      <c r="W99" s="13"/>
      <c r="X99" s="13"/>
      <c r="Y99" s="13"/>
      <c r="Z99" s="13"/>
      <c r="AA99" s="13"/>
    </row>
    <row r="100" ht="16.5" customHeight="1">
      <c r="A100" s="223">
        <f t="shared" si="1"/>
        <v>475</v>
      </c>
      <c r="B100" s="254" t="s">
        <v>2822</v>
      </c>
      <c r="C100" s="196" t="s">
        <v>2934</v>
      </c>
      <c r="D100" s="197" t="s">
        <v>2935</v>
      </c>
      <c r="E100" s="261" t="s">
        <v>2936</v>
      </c>
      <c r="F100" s="198" t="s">
        <v>2937</v>
      </c>
      <c r="G100" s="197" t="s">
        <v>2938</v>
      </c>
      <c r="H100" s="263" t="b">
        <v>0</v>
      </c>
      <c r="I100" s="255">
        <v>45993.0</v>
      </c>
      <c r="J100" s="256" t="s">
        <v>2674</v>
      </c>
      <c r="K100" s="235" t="b">
        <v>0</v>
      </c>
      <c r="L100" s="35"/>
      <c r="M100" s="35"/>
      <c r="N100" s="13"/>
      <c r="O100" s="13"/>
      <c r="P100" s="13"/>
      <c r="Q100" s="13"/>
      <c r="R100" s="13"/>
      <c r="S100" s="13"/>
      <c r="T100" s="13"/>
      <c r="U100" s="13"/>
      <c r="V100" s="13"/>
      <c r="W100" s="13"/>
      <c r="X100" s="13"/>
      <c r="Y100" s="13"/>
      <c r="Z100" s="13"/>
      <c r="AA100" s="13"/>
    </row>
    <row r="101" ht="16.5" customHeight="1">
      <c r="A101" s="223">
        <f t="shared" si="1"/>
        <v>476</v>
      </c>
      <c r="B101" s="254" t="s">
        <v>2733</v>
      </c>
      <c r="C101" s="196" t="s">
        <v>2939</v>
      </c>
      <c r="D101" s="197" t="s">
        <v>2940</v>
      </c>
      <c r="E101" s="261" t="s">
        <v>2941</v>
      </c>
      <c r="F101" s="198" t="s">
        <v>2942</v>
      </c>
      <c r="G101" s="197" t="s">
        <v>2943</v>
      </c>
      <c r="H101" s="263" t="b">
        <v>0</v>
      </c>
      <c r="I101" s="255">
        <v>45993.0</v>
      </c>
      <c r="J101" s="256" t="s">
        <v>2674</v>
      </c>
      <c r="K101" s="235" t="b">
        <v>0</v>
      </c>
      <c r="L101" s="35"/>
      <c r="M101" s="35"/>
      <c r="N101" s="13"/>
      <c r="O101" s="13"/>
      <c r="P101" s="13"/>
      <c r="Q101" s="13"/>
      <c r="R101" s="13"/>
      <c r="S101" s="13"/>
      <c r="T101" s="13"/>
      <c r="U101" s="13"/>
      <c r="V101" s="13"/>
      <c r="W101" s="13"/>
      <c r="X101" s="13"/>
      <c r="Y101" s="13"/>
      <c r="Z101" s="13"/>
      <c r="AA101" s="13"/>
    </row>
    <row r="102" ht="16.5" hidden="1" customHeight="1">
      <c r="A102" s="254">
        <f t="shared" si="1"/>
        <v>477</v>
      </c>
      <c r="B102" s="254" t="s">
        <v>2733</v>
      </c>
      <c r="C102" s="196" t="s">
        <v>2944</v>
      </c>
      <c r="D102" s="197" t="s">
        <v>2945</v>
      </c>
      <c r="E102" s="197" t="s">
        <v>2946</v>
      </c>
      <c r="F102" s="197" t="s">
        <v>2947</v>
      </c>
      <c r="G102" s="197" t="s">
        <v>2948</v>
      </c>
      <c r="H102" s="255"/>
      <c r="I102" s="255">
        <v>45993.0</v>
      </c>
      <c r="J102" s="256" t="s">
        <v>2680</v>
      </c>
      <c r="K102" s="232" t="b">
        <v>0</v>
      </c>
      <c r="L102" s="35"/>
      <c r="M102" s="35"/>
      <c r="N102" s="13"/>
      <c r="O102" s="13"/>
      <c r="P102" s="13"/>
      <c r="Q102" s="13"/>
      <c r="R102" s="13"/>
      <c r="S102" s="13"/>
      <c r="T102" s="13"/>
      <c r="U102" s="13"/>
      <c r="V102" s="13"/>
      <c r="W102" s="13"/>
      <c r="X102" s="13"/>
      <c r="Y102" s="13"/>
      <c r="Z102" s="13"/>
      <c r="AA102" s="13"/>
    </row>
    <row r="103" ht="16.5" customHeight="1">
      <c r="A103" s="223">
        <f t="shared" si="1"/>
        <v>478</v>
      </c>
      <c r="B103" s="254" t="s">
        <v>2673</v>
      </c>
      <c r="C103" s="196" t="s">
        <v>2949</v>
      </c>
      <c r="D103" s="197" t="s">
        <v>2950</v>
      </c>
      <c r="E103" s="261" t="s">
        <v>2951</v>
      </c>
      <c r="F103" s="198" t="s">
        <v>2952</v>
      </c>
      <c r="G103" s="197" t="s">
        <v>2953</v>
      </c>
      <c r="H103" s="263" t="b">
        <v>0</v>
      </c>
      <c r="I103" s="255">
        <v>45993.0</v>
      </c>
      <c r="J103" s="256" t="s">
        <v>2674</v>
      </c>
      <c r="K103" s="235" t="b">
        <v>0</v>
      </c>
      <c r="L103" s="35"/>
      <c r="M103" s="35"/>
      <c r="N103" s="13"/>
      <c r="O103" s="13"/>
      <c r="P103" s="13"/>
      <c r="Q103" s="13"/>
      <c r="R103" s="13"/>
      <c r="S103" s="13"/>
      <c r="T103" s="13"/>
      <c r="U103" s="13"/>
      <c r="V103" s="13"/>
      <c r="W103" s="13"/>
      <c r="X103" s="13"/>
      <c r="Y103" s="13"/>
      <c r="Z103" s="13"/>
      <c r="AA103" s="13"/>
    </row>
    <row r="104" ht="16.5" hidden="1" customHeight="1">
      <c r="A104" s="254">
        <f t="shared" si="1"/>
        <v>479</v>
      </c>
      <c r="B104" s="254" t="s">
        <v>2673</v>
      </c>
      <c r="C104" s="196" t="s">
        <v>2954</v>
      </c>
      <c r="D104" s="197" t="s">
        <v>2955</v>
      </c>
      <c r="E104" s="197" t="s">
        <v>2956</v>
      </c>
      <c r="F104" s="197" t="s">
        <v>2957</v>
      </c>
      <c r="G104" s="197" t="s">
        <v>2496</v>
      </c>
      <c r="H104" s="255"/>
      <c r="I104" s="255">
        <v>45993.0</v>
      </c>
      <c r="J104" s="256" t="s">
        <v>2680</v>
      </c>
      <c r="K104" s="232" t="b">
        <v>0</v>
      </c>
      <c r="L104" s="35"/>
      <c r="M104" s="35"/>
      <c r="N104" s="13"/>
      <c r="O104" s="13"/>
      <c r="P104" s="13"/>
      <c r="Q104" s="13"/>
      <c r="R104" s="13"/>
      <c r="S104" s="13"/>
      <c r="T104" s="13"/>
      <c r="U104" s="13"/>
      <c r="V104" s="13"/>
      <c r="W104" s="13"/>
      <c r="X104" s="13"/>
      <c r="Y104" s="13"/>
      <c r="Z104" s="13"/>
      <c r="AA104" s="13"/>
    </row>
    <row r="105" ht="16.5" customHeight="1">
      <c r="A105" s="223">
        <f t="shared" si="1"/>
        <v>480</v>
      </c>
      <c r="B105" s="254" t="s">
        <v>2673</v>
      </c>
      <c r="C105" s="196" t="s">
        <v>2958</v>
      </c>
      <c r="D105" s="197" t="s">
        <v>2959</v>
      </c>
      <c r="E105" s="261" t="s">
        <v>2960</v>
      </c>
      <c r="F105" s="198" t="s">
        <v>2961</v>
      </c>
      <c r="G105" s="197" t="s">
        <v>2962</v>
      </c>
      <c r="H105" s="263" t="b">
        <v>0</v>
      </c>
      <c r="I105" s="255">
        <v>45993.0</v>
      </c>
      <c r="J105" s="256" t="s">
        <v>2674</v>
      </c>
      <c r="K105" s="235" t="b">
        <v>0</v>
      </c>
      <c r="L105" s="35"/>
      <c r="M105" s="35"/>
      <c r="N105" s="13"/>
      <c r="O105" s="13"/>
      <c r="P105" s="13"/>
      <c r="Q105" s="13"/>
      <c r="R105" s="13"/>
      <c r="S105" s="13"/>
      <c r="T105" s="13"/>
      <c r="U105" s="13"/>
      <c r="V105" s="13"/>
      <c r="W105" s="13"/>
      <c r="X105" s="13"/>
      <c r="Y105" s="13"/>
      <c r="Z105" s="13"/>
      <c r="AA105" s="13"/>
    </row>
    <row r="106" ht="16.5" customHeight="1">
      <c r="A106" s="223">
        <f t="shared" si="1"/>
        <v>481</v>
      </c>
      <c r="B106" s="254" t="s">
        <v>2673</v>
      </c>
      <c r="C106" s="196" t="s">
        <v>2963</v>
      </c>
      <c r="D106" s="197" t="s">
        <v>2964</v>
      </c>
      <c r="E106" s="261" t="s">
        <v>2965</v>
      </c>
      <c r="F106" s="198" t="s">
        <v>2966</v>
      </c>
      <c r="G106" s="197" t="s">
        <v>2967</v>
      </c>
      <c r="H106" s="263" t="b">
        <v>0</v>
      </c>
      <c r="I106" s="255">
        <v>45993.0</v>
      </c>
      <c r="J106" s="256" t="s">
        <v>2674</v>
      </c>
      <c r="K106" s="235" t="b">
        <v>0</v>
      </c>
      <c r="L106" s="35"/>
      <c r="M106" s="35"/>
      <c r="N106" s="13"/>
      <c r="O106" s="13"/>
      <c r="P106" s="13"/>
      <c r="Q106" s="13"/>
      <c r="R106" s="13"/>
      <c r="S106" s="13"/>
      <c r="T106" s="13"/>
      <c r="U106" s="13"/>
      <c r="V106" s="13"/>
      <c r="W106" s="13"/>
      <c r="X106" s="13"/>
      <c r="Y106" s="13"/>
      <c r="Z106" s="13"/>
      <c r="AA106" s="13"/>
    </row>
    <row r="107" ht="16.5" hidden="1" customHeight="1">
      <c r="A107" s="254">
        <f t="shared" si="1"/>
        <v>482</v>
      </c>
      <c r="B107" s="254" t="s">
        <v>2866</v>
      </c>
      <c r="C107" s="196" t="s">
        <v>2968</v>
      </c>
      <c r="D107" s="197" t="s">
        <v>2969</v>
      </c>
      <c r="E107" s="197" t="s">
        <v>2970</v>
      </c>
      <c r="F107" s="197" t="s">
        <v>2971</v>
      </c>
      <c r="G107" s="197" t="s">
        <v>2972</v>
      </c>
      <c r="H107" s="255"/>
      <c r="I107" s="255">
        <v>45993.0</v>
      </c>
      <c r="J107" s="256" t="s">
        <v>2680</v>
      </c>
      <c r="K107" s="232" t="b">
        <v>0</v>
      </c>
      <c r="L107" s="35"/>
      <c r="M107" s="35"/>
      <c r="N107" s="13"/>
      <c r="O107" s="13"/>
      <c r="P107" s="13"/>
      <c r="Q107" s="13"/>
      <c r="R107" s="13"/>
      <c r="S107" s="13"/>
      <c r="T107" s="13"/>
      <c r="U107" s="13"/>
      <c r="V107" s="13"/>
      <c r="W107" s="13"/>
      <c r="X107" s="13"/>
      <c r="Y107" s="13"/>
      <c r="Z107" s="13"/>
      <c r="AA107" s="13"/>
    </row>
    <row r="108" ht="16.5" hidden="1" customHeight="1">
      <c r="A108" s="254">
        <f t="shared" si="1"/>
        <v>483</v>
      </c>
      <c r="B108" s="254" t="s">
        <v>2866</v>
      </c>
      <c r="C108" s="196" t="s">
        <v>2973</v>
      </c>
      <c r="D108" s="197" t="s">
        <v>2974</v>
      </c>
      <c r="E108" s="197" t="s">
        <v>2975</v>
      </c>
      <c r="F108" s="197" t="s">
        <v>2976</v>
      </c>
      <c r="G108" s="197" t="s">
        <v>2977</v>
      </c>
      <c r="H108" s="255"/>
      <c r="I108" s="255">
        <v>45993.0</v>
      </c>
      <c r="J108" s="256" t="s">
        <v>2680</v>
      </c>
      <c r="K108" s="232" t="b">
        <v>0</v>
      </c>
      <c r="L108" s="35"/>
      <c r="M108" s="35"/>
      <c r="N108" s="13"/>
      <c r="O108" s="13"/>
      <c r="P108" s="13"/>
      <c r="Q108" s="13"/>
      <c r="R108" s="13"/>
      <c r="S108" s="13"/>
      <c r="T108" s="13"/>
      <c r="U108" s="13"/>
      <c r="V108" s="13"/>
      <c r="W108" s="13"/>
      <c r="X108" s="13"/>
      <c r="Y108" s="13"/>
      <c r="Z108" s="13"/>
      <c r="AA108" s="13"/>
    </row>
    <row r="109" ht="16.5" customHeight="1">
      <c r="A109" s="223">
        <f t="shared" si="1"/>
        <v>484</v>
      </c>
      <c r="B109" s="254" t="s">
        <v>2722</v>
      </c>
      <c r="C109" s="196" t="s">
        <v>2590</v>
      </c>
      <c r="D109" s="197" t="s">
        <v>2591</v>
      </c>
      <c r="E109" s="233" t="s">
        <v>2475</v>
      </c>
      <c r="F109" s="198" t="s">
        <v>2580</v>
      </c>
      <c r="G109" s="197" t="s">
        <v>2592</v>
      </c>
      <c r="H109" s="258" t="b">
        <v>1</v>
      </c>
      <c r="I109" s="255">
        <v>45993.0</v>
      </c>
      <c r="J109" s="256" t="s">
        <v>2674</v>
      </c>
      <c r="K109" s="235" t="b">
        <v>0</v>
      </c>
      <c r="L109" s="35"/>
      <c r="M109" s="35"/>
      <c r="N109" s="13"/>
      <c r="O109" s="13"/>
      <c r="P109" s="13"/>
      <c r="Q109" s="13"/>
      <c r="R109" s="13"/>
      <c r="S109" s="13"/>
      <c r="T109" s="13"/>
      <c r="U109" s="13"/>
      <c r="V109" s="13"/>
      <c r="W109" s="13"/>
      <c r="X109" s="13"/>
      <c r="Y109" s="13"/>
      <c r="Z109" s="13"/>
      <c r="AA109" s="13"/>
    </row>
    <row r="110" ht="16.5" customHeight="1">
      <c r="A110" s="223">
        <f t="shared" si="1"/>
        <v>485</v>
      </c>
      <c r="B110" s="254" t="s">
        <v>2845</v>
      </c>
      <c r="C110" s="196" t="s">
        <v>2594</v>
      </c>
      <c r="D110" s="197" t="s">
        <v>2595</v>
      </c>
      <c r="E110" s="197" t="s">
        <v>2596</v>
      </c>
      <c r="F110" s="198" t="s">
        <v>1150</v>
      </c>
      <c r="G110" s="197" t="s">
        <v>2597</v>
      </c>
      <c r="H110" s="258" t="b">
        <v>1</v>
      </c>
      <c r="I110" s="255">
        <v>45993.0</v>
      </c>
      <c r="J110" s="256" t="s">
        <v>2674</v>
      </c>
      <c r="K110" s="229" t="b">
        <v>1</v>
      </c>
      <c r="L110" s="64" t="s">
        <v>2598</v>
      </c>
      <c r="M110" s="35"/>
      <c r="N110" s="13"/>
      <c r="O110" s="13"/>
      <c r="P110" s="13"/>
      <c r="Q110" s="13"/>
      <c r="R110" s="13"/>
      <c r="S110" s="13"/>
      <c r="T110" s="13"/>
      <c r="U110" s="13"/>
      <c r="V110" s="13"/>
      <c r="W110" s="13"/>
      <c r="X110" s="13"/>
      <c r="Y110" s="13"/>
      <c r="Z110" s="13"/>
      <c r="AA110" s="13"/>
    </row>
    <row r="111" ht="16.5" customHeight="1">
      <c r="A111" s="223">
        <f t="shared" si="1"/>
        <v>486</v>
      </c>
      <c r="B111" s="272" t="s">
        <v>2709</v>
      </c>
      <c r="C111" s="196" t="s">
        <v>2978</v>
      </c>
      <c r="D111" s="197" t="s">
        <v>2979</v>
      </c>
      <c r="E111" s="261" t="s">
        <v>2980</v>
      </c>
      <c r="F111" s="198" t="s">
        <v>2981</v>
      </c>
      <c r="G111" s="197" t="s">
        <v>2982</v>
      </c>
      <c r="H111" s="263" t="b">
        <v>0</v>
      </c>
      <c r="I111" s="255">
        <v>45993.0</v>
      </c>
      <c r="J111" s="256" t="s">
        <v>2674</v>
      </c>
      <c r="K111" s="235" t="b">
        <v>0</v>
      </c>
      <c r="L111" s="35"/>
      <c r="M111" s="35"/>
      <c r="N111" s="13"/>
      <c r="O111" s="13"/>
      <c r="P111" s="13"/>
      <c r="Q111" s="13"/>
      <c r="R111" s="13"/>
      <c r="S111" s="13"/>
      <c r="T111" s="13"/>
      <c r="U111" s="13"/>
      <c r="V111" s="13"/>
      <c r="W111" s="13"/>
      <c r="X111" s="13"/>
      <c r="Y111" s="13"/>
      <c r="Z111" s="13"/>
      <c r="AA111" s="13"/>
    </row>
    <row r="112" ht="16.5" hidden="1" customHeight="1">
      <c r="A112" s="272">
        <f t="shared" si="1"/>
        <v>487</v>
      </c>
      <c r="B112" s="272" t="s">
        <v>2709</v>
      </c>
      <c r="C112" s="196" t="s">
        <v>2983</v>
      </c>
      <c r="D112" s="197" t="s">
        <v>2984</v>
      </c>
      <c r="E112" s="259" t="s">
        <v>2985</v>
      </c>
      <c r="F112" s="197" t="s">
        <v>2986</v>
      </c>
      <c r="G112" s="197" t="s">
        <v>2987</v>
      </c>
      <c r="H112" s="255"/>
      <c r="I112" s="255">
        <v>45993.0</v>
      </c>
      <c r="J112" s="256" t="s">
        <v>2680</v>
      </c>
      <c r="K112" s="232" t="b">
        <v>0</v>
      </c>
      <c r="L112" s="35"/>
      <c r="M112" s="35"/>
      <c r="N112" s="13"/>
      <c r="O112" s="13"/>
      <c r="P112" s="13"/>
      <c r="Q112" s="13"/>
      <c r="R112" s="13"/>
      <c r="S112" s="13"/>
      <c r="T112" s="13"/>
      <c r="U112" s="13"/>
      <c r="V112" s="13"/>
      <c r="W112" s="13"/>
      <c r="X112" s="13"/>
      <c r="Y112" s="13"/>
      <c r="Z112" s="13"/>
      <c r="AA112" s="13"/>
    </row>
    <row r="113" ht="16.5" customHeight="1">
      <c r="A113" s="223">
        <f t="shared" si="1"/>
        <v>488</v>
      </c>
      <c r="B113" s="272" t="s">
        <v>2709</v>
      </c>
      <c r="C113" s="196" t="s">
        <v>2988</v>
      </c>
      <c r="D113" s="273" t="s">
        <v>2989</v>
      </c>
      <c r="E113" s="261" t="s">
        <v>2990</v>
      </c>
      <c r="F113" s="198" t="s">
        <v>2991</v>
      </c>
      <c r="G113" s="197" t="s">
        <v>2992</v>
      </c>
      <c r="H113" s="263" t="b">
        <v>0</v>
      </c>
      <c r="I113" s="255">
        <v>45993.0</v>
      </c>
      <c r="J113" s="256" t="s">
        <v>2674</v>
      </c>
      <c r="K113" s="235" t="b">
        <v>0</v>
      </c>
      <c r="L113" s="35"/>
      <c r="M113" s="35"/>
      <c r="N113" s="13"/>
      <c r="O113" s="13"/>
      <c r="P113" s="13"/>
      <c r="Q113" s="13"/>
      <c r="R113" s="13"/>
      <c r="S113" s="13"/>
      <c r="T113" s="13"/>
      <c r="U113" s="13"/>
      <c r="V113" s="13"/>
      <c r="W113" s="13"/>
      <c r="X113" s="13"/>
      <c r="Y113" s="13"/>
      <c r="Z113" s="13"/>
      <c r="AA113" s="13"/>
    </row>
    <row r="114" ht="16.5" customHeight="1">
      <c r="A114" s="223">
        <f t="shared" si="1"/>
        <v>489</v>
      </c>
      <c r="B114" s="272" t="s">
        <v>2709</v>
      </c>
      <c r="C114" s="196" t="s">
        <v>2993</v>
      </c>
      <c r="D114" s="197" t="s">
        <v>2994</v>
      </c>
      <c r="E114" s="261" t="s">
        <v>2995</v>
      </c>
      <c r="F114" s="198" t="s">
        <v>2996</v>
      </c>
      <c r="G114" s="197" t="s">
        <v>2997</v>
      </c>
      <c r="H114" s="263" t="b">
        <v>0</v>
      </c>
      <c r="I114" s="255">
        <v>45993.0</v>
      </c>
      <c r="J114" s="256" t="s">
        <v>2674</v>
      </c>
      <c r="K114" s="235" t="b">
        <v>0</v>
      </c>
      <c r="L114" s="35"/>
      <c r="M114" s="35"/>
      <c r="N114" s="13"/>
      <c r="O114" s="13"/>
      <c r="P114" s="13"/>
      <c r="Q114" s="13"/>
      <c r="R114" s="13"/>
      <c r="S114" s="13"/>
      <c r="T114" s="13"/>
      <c r="U114" s="13"/>
      <c r="V114" s="13"/>
      <c r="W114" s="13"/>
      <c r="X114" s="13"/>
      <c r="Y114" s="13"/>
      <c r="Z114" s="13"/>
      <c r="AA114" s="13"/>
    </row>
    <row r="115" ht="16.5" customHeight="1">
      <c r="A115" s="223">
        <f t="shared" si="1"/>
        <v>490</v>
      </c>
      <c r="B115" s="272" t="s">
        <v>2709</v>
      </c>
      <c r="C115" s="196" t="s">
        <v>2998</v>
      </c>
      <c r="D115" s="197" t="s">
        <v>2999</v>
      </c>
      <c r="E115" s="261" t="s">
        <v>3000</v>
      </c>
      <c r="F115" s="274" t="s">
        <v>3001</v>
      </c>
      <c r="G115" s="197" t="s">
        <v>3002</v>
      </c>
      <c r="H115" s="263" t="b">
        <v>0</v>
      </c>
      <c r="I115" s="255">
        <v>45993.0</v>
      </c>
      <c r="J115" s="256" t="s">
        <v>2674</v>
      </c>
      <c r="K115" s="235" t="b">
        <v>0</v>
      </c>
      <c r="L115" s="35"/>
      <c r="M115" s="35"/>
      <c r="N115" s="13"/>
      <c r="O115" s="13"/>
      <c r="P115" s="13"/>
      <c r="Q115" s="13"/>
      <c r="R115" s="13"/>
      <c r="S115" s="13"/>
      <c r="T115" s="13"/>
      <c r="U115" s="13"/>
      <c r="V115" s="13"/>
      <c r="W115" s="13"/>
      <c r="X115" s="13"/>
      <c r="Y115" s="13"/>
      <c r="Z115" s="13"/>
      <c r="AA115" s="13"/>
    </row>
    <row r="116" ht="16.5" customHeight="1">
      <c r="A116" s="223">
        <f t="shared" si="1"/>
        <v>491</v>
      </c>
      <c r="B116" s="272" t="s">
        <v>2709</v>
      </c>
      <c r="C116" s="196" t="s">
        <v>3003</v>
      </c>
      <c r="D116" s="197" t="s">
        <v>3004</v>
      </c>
      <c r="E116" s="261" t="s">
        <v>2980</v>
      </c>
      <c r="F116" s="198" t="s">
        <v>3005</v>
      </c>
      <c r="G116" s="197" t="s">
        <v>3006</v>
      </c>
      <c r="H116" s="263" t="b">
        <v>0</v>
      </c>
      <c r="I116" s="255">
        <v>45993.0</v>
      </c>
      <c r="J116" s="256" t="s">
        <v>2674</v>
      </c>
      <c r="K116" s="235" t="b">
        <v>0</v>
      </c>
      <c r="L116" s="35"/>
      <c r="M116" s="35"/>
      <c r="N116" s="13"/>
      <c r="O116" s="13"/>
      <c r="P116" s="13"/>
      <c r="Q116" s="13"/>
      <c r="R116" s="13"/>
      <c r="S116" s="13"/>
      <c r="T116" s="13"/>
      <c r="U116" s="13"/>
      <c r="V116" s="13"/>
      <c r="W116" s="13"/>
      <c r="X116" s="13"/>
      <c r="Y116" s="13"/>
      <c r="Z116" s="13"/>
      <c r="AA116" s="13"/>
    </row>
    <row r="117" ht="16.5" customHeight="1">
      <c r="A117" s="223">
        <f t="shared" si="1"/>
        <v>492</v>
      </c>
      <c r="B117" s="272" t="s">
        <v>2709</v>
      </c>
      <c r="C117" s="196" t="s">
        <v>3007</v>
      </c>
      <c r="D117" s="197" t="s">
        <v>3008</v>
      </c>
      <c r="E117" s="261" t="s">
        <v>2990</v>
      </c>
      <c r="F117" s="198" t="s">
        <v>3009</v>
      </c>
      <c r="G117" s="197" t="s">
        <v>3010</v>
      </c>
      <c r="H117" s="263" t="b">
        <v>0</v>
      </c>
      <c r="I117" s="255">
        <v>45993.0</v>
      </c>
      <c r="J117" s="256" t="s">
        <v>2674</v>
      </c>
      <c r="K117" s="235" t="b">
        <v>0</v>
      </c>
      <c r="L117" s="35"/>
      <c r="M117" s="35"/>
      <c r="N117" s="13"/>
      <c r="O117" s="13"/>
      <c r="P117" s="13"/>
      <c r="Q117" s="13"/>
      <c r="R117" s="13"/>
      <c r="S117" s="13"/>
      <c r="T117" s="13"/>
      <c r="U117" s="13"/>
      <c r="V117" s="13"/>
      <c r="W117" s="13"/>
      <c r="X117" s="13"/>
      <c r="Y117" s="13"/>
      <c r="Z117" s="13"/>
      <c r="AA117" s="13"/>
    </row>
    <row r="118" ht="16.5" hidden="1" customHeight="1">
      <c r="A118" s="272">
        <f t="shared" si="1"/>
        <v>493</v>
      </c>
      <c r="B118" s="272" t="s">
        <v>2709</v>
      </c>
      <c r="C118" s="196" t="s">
        <v>3011</v>
      </c>
      <c r="D118" s="197" t="s">
        <v>3012</v>
      </c>
      <c r="E118" s="197" t="s">
        <v>3013</v>
      </c>
      <c r="F118" s="197" t="s">
        <v>3014</v>
      </c>
      <c r="G118" s="197" t="s">
        <v>3015</v>
      </c>
      <c r="H118" s="255"/>
      <c r="I118" s="255">
        <v>45993.0</v>
      </c>
      <c r="J118" s="256" t="s">
        <v>2680</v>
      </c>
      <c r="K118" s="232" t="b">
        <v>0</v>
      </c>
      <c r="L118" s="35"/>
      <c r="M118" s="35"/>
      <c r="N118" s="13"/>
      <c r="O118" s="13"/>
      <c r="P118" s="13"/>
      <c r="Q118" s="13"/>
      <c r="R118" s="13"/>
      <c r="S118" s="13"/>
      <c r="T118" s="13"/>
      <c r="U118" s="13"/>
      <c r="V118" s="13"/>
      <c r="W118" s="13"/>
      <c r="X118" s="13"/>
      <c r="Y118" s="13"/>
      <c r="Z118" s="13"/>
      <c r="AA118" s="13"/>
    </row>
    <row r="119" ht="16.5" customHeight="1">
      <c r="A119" s="223">
        <f t="shared" si="1"/>
        <v>494</v>
      </c>
      <c r="B119" s="272" t="s">
        <v>2709</v>
      </c>
      <c r="C119" s="196" t="s">
        <v>3016</v>
      </c>
      <c r="D119" s="197" t="s">
        <v>3017</v>
      </c>
      <c r="E119" s="261" t="s">
        <v>3018</v>
      </c>
      <c r="F119" s="274" t="s">
        <v>3019</v>
      </c>
      <c r="G119" s="197" t="s">
        <v>3020</v>
      </c>
      <c r="H119" s="263" t="b">
        <v>0</v>
      </c>
      <c r="I119" s="255">
        <v>45993.0</v>
      </c>
      <c r="J119" s="256" t="s">
        <v>2674</v>
      </c>
      <c r="K119" s="235" t="b">
        <v>0</v>
      </c>
      <c r="L119" s="35"/>
      <c r="M119" s="35"/>
      <c r="N119" s="13"/>
      <c r="O119" s="13"/>
      <c r="P119" s="13"/>
      <c r="Q119" s="13"/>
      <c r="R119" s="13"/>
      <c r="S119" s="13"/>
      <c r="T119" s="13"/>
      <c r="U119" s="13"/>
      <c r="V119" s="13"/>
      <c r="W119" s="13"/>
      <c r="X119" s="13"/>
      <c r="Y119" s="13"/>
      <c r="Z119" s="13"/>
      <c r="AA119" s="13"/>
    </row>
    <row r="120" ht="16.5" hidden="1" customHeight="1">
      <c r="A120" s="272">
        <f t="shared" si="1"/>
        <v>495</v>
      </c>
      <c r="B120" s="272" t="s">
        <v>2722</v>
      </c>
      <c r="C120" s="196" t="s">
        <v>3021</v>
      </c>
      <c r="D120" s="197" t="s">
        <v>3022</v>
      </c>
      <c r="E120" s="197" t="s">
        <v>3023</v>
      </c>
      <c r="F120" s="197" t="s">
        <v>3024</v>
      </c>
      <c r="G120" s="197" t="s">
        <v>2496</v>
      </c>
      <c r="H120" s="255"/>
      <c r="I120" s="255">
        <v>45993.0</v>
      </c>
      <c r="J120" s="256" t="s">
        <v>2680</v>
      </c>
      <c r="K120" s="232" t="b">
        <v>0</v>
      </c>
      <c r="L120" s="35"/>
      <c r="M120" s="35"/>
      <c r="N120" s="13"/>
      <c r="O120" s="13"/>
      <c r="P120" s="13"/>
      <c r="Q120" s="13"/>
      <c r="R120" s="13"/>
      <c r="S120" s="13"/>
      <c r="T120" s="13"/>
      <c r="U120" s="13"/>
      <c r="V120" s="13"/>
      <c r="W120" s="13"/>
      <c r="X120" s="13"/>
      <c r="Y120" s="13"/>
      <c r="Z120" s="13"/>
      <c r="AA120" s="13"/>
    </row>
    <row r="121" ht="16.5" hidden="1" customHeight="1">
      <c r="A121" s="272">
        <f t="shared" si="1"/>
        <v>496</v>
      </c>
      <c r="B121" s="272" t="s">
        <v>2817</v>
      </c>
      <c r="C121" s="196" t="s">
        <v>3025</v>
      </c>
      <c r="D121" s="197" t="s">
        <v>3026</v>
      </c>
      <c r="E121" s="197" t="s">
        <v>3027</v>
      </c>
      <c r="F121" s="197" t="s">
        <v>3028</v>
      </c>
      <c r="G121" s="197" t="s">
        <v>2811</v>
      </c>
      <c r="H121" s="255"/>
      <c r="I121" s="255">
        <v>45993.0</v>
      </c>
      <c r="J121" s="256" t="s">
        <v>2680</v>
      </c>
      <c r="K121" s="232" t="b">
        <v>0</v>
      </c>
      <c r="L121" s="35"/>
      <c r="M121" s="35"/>
      <c r="N121" s="13"/>
      <c r="O121" s="13"/>
      <c r="P121" s="13"/>
      <c r="Q121" s="13"/>
      <c r="R121" s="13"/>
      <c r="S121" s="13"/>
      <c r="T121" s="13"/>
      <c r="U121" s="13"/>
      <c r="V121" s="13"/>
      <c r="W121" s="13"/>
      <c r="X121" s="13"/>
      <c r="Y121" s="13"/>
      <c r="Z121" s="13"/>
      <c r="AA121" s="13"/>
    </row>
    <row r="122" ht="16.5" customHeight="1">
      <c r="A122" s="223">
        <f t="shared" si="1"/>
        <v>497</v>
      </c>
      <c r="B122" s="272" t="s">
        <v>2733</v>
      </c>
      <c r="C122" s="196" t="s">
        <v>3029</v>
      </c>
      <c r="D122" s="197" t="s">
        <v>3030</v>
      </c>
      <c r="E122" s="109" t="s">
        <v>3031</v>
      </c>
      <c r="F122" s="41" t="s">
        <v>3032</v>
      </c>
      <c r="G122" s="39" t="s">
        <v>3033</v>
      </c>
      <c r="H122" s="263" t="b">
        <v>0</v>
      </c>
      <c r="I122" s="255">
        <v>45994.0</v>
      </c>
      <c r="J122" s="256" t="s">
        <v>2674</v>
      </c>
      <c r="K122" s="235" t="b">
        <v>0</v>
      </c>
      <c r="L122" s="35"/>
      <c r="M122" s="35"/>
      <c r="N122" s="13"/>
      <c r="O122" s="13"/>
      <c r="P122" s="13"/>
      <c r="Q122" s="13"/>
      <c r="R122" s="13"/>
      <c r="S122" s="13"/>
      <c r="T122" s="13"/>
      <c r="U122" s="13"/>
      <c r="V122" s="13"/>
      <c r="W122" s="13"/>
      <c r="X122" s="13"/>
      <c r="Y122" s="13"/>
      <c r="Z122" s="13"/>
      <c r="AA122" s="13"/>
    </row>
    <row r="123" ht="16.5" customHeight="1">
      <c r="A123" s="223">
        <f t="shared" si="1"/>
        <v>498</v>
      </c>
      <c r="B123" s="272" t="s">
        <v>2733</v>
      </c>
      <c r="C123" s="196" t="s">
        <v>3034</v>
      </c>
      <c r="D123" s="197" t="s">
        <v>3035</v>
      </c>
      <c r="E123" s="109" t="s">
        <v>3031</v>
      </c>
      <c r="F123" s="41" t="s">
        <v>3036</v>
      </c>
      <c r="G123" s="39" t="s">
        <v>3037</v>
      </c>
      <c r="H123" s="263" t="b">
        <v>0</v>
      </c>
      <c r="I123" s="255">
        <v>45994.0</v>
      </c>
      <c r="J123" s="256" t="s">
        <v>2674</v>
      </c>
      <c r="K123" s="235" t="b">
        <v>0</v>
      </c>
      <c r="L123" s="35"/>
      <c r="M123" s="35"/>
      <c r="N123" s="13"/>
      <c r="O123" s="13"/>
      <c r="P123" s="13"/>
      <c r="Q123" s="13"/>
      <c r="R123" s="13"/>
      <c r="S123" s="13"/>
      <c r="T123" s="13"/>
      <c r="U123" s="13"/>
      <c r="V123" s="13"/>
      <c r="W123" s="13"/>
      <c r="X123" s="13"/>
      <c r="Y123" s="13"/>
      <c r="Z123" s="13"/>
      <c r="AA123" s="13"/>
    </row>
    <row r="124" ht="16.5" customHeight="1">
      <c r="A124" s="223">
        <f t="shared" si="1"/>
        <v>499</v>
      </c>
      <c r="B124" s="272" t="s">
        <v>2733</v>
      </c>
      <c r="C124" s="196" t="s">
        <v>3038</v>
      </c>
      <c r="D124" s="197" t="s">
        <v>3039</v>
      </c>
      <c r="E124" s="109" t="s">
        <v>3031</v>
      </c>
      <c r="F124" s="41" t="s">
        <v>3040</v>
      </c>
      <c r="G124" s="39" t="s">
        <v>3041</v>
      </c>
      <c r="H124" s="263" t="b">
        <v>0</v>
      </c>
      <c r="I124" s="255">
        <v>45994.0</v>
      </c>
      <c r="J124" s="256" t="s">
        <v>2674</v>
      </c>
      <c r="K124" s="235" t="b">
        <v>0</v>
      </c>
      <c r="L124" s="35"/>
      <c r="M124" s="35"/>
      <c r="N124" s="13"/>
      <c r="O124" s="13"/>
      <c r="P124" s="13"/>
      <c r="Q124" s="13"/>
      <c r="R124" s="13"/>
      <c r="S124" s="13"/>
      <c r="T124" s="13"/>
      <c r="U124" s="13"/>
      <c r="V124" s="13"/>
      <c r="W124" s="13"/>
      <c r="X124" s="13"/>
      <c r="Y124" s="13"/>
      <c r="Z124" s="13"/>
      <c r="AA124" s="13"/>
    </row>
    <row r="125" ht="16.5" customHeight="1">
      <c r="A125" s="223">
        <f t="shared" si="1"/>
        <v>500</v>
      </c>
      <c r="B125" s="272" t="s">
        <v>2733</v>
      </c>
      <c r="C125" s="196" t="s">
        <v>3042</v>
      </c>
      <c r="D125" s="197" t="s">
        <v>3043</v>
      </c>
      <c r="E125" s="109" t="s">
        <v>3044</v>
      </c>
      <c r="F125" s="198" t="s">
        <v>3045</v>
      </c>
      <c r="G125" s="39" t="s">
        <v>3046</v>
      </c>
      <c r="H125" s="263" t="b">
        <v>0</v>
      </c>
      <c r="I125" s="255">
        <v>45994.0</v>
      </c>
      <c r="J125" s="256" t="s">
        <v>2674</v>
      </c>
      <c r="K125" s="235" t="b">
        <v>0</v>
      </c>
      <c r="L125" s="35"/>
      <c r="M125" s="35"/>
      <c r="N125" s="13"/>
      <c r="O125" s="13"/>
      <c r="P125" s="13"/>
      <c r="Q125" s="13"/>
      <c r="R125" s="13"/>
      <c r="S125" s="13"/>
      <c r="T125" s="13"/>
      <c r="U125" s="13"/>
      <c r="V125" s="13"/>
      <c r="W125" s="13"/>
      <c r="X125" s="13"/>
      <c r="Y125" s="13"/>
      <c r="Z125" s="13"/>
      <c r="AA125" s="13"/>
    </row>
    <row r="126" ht="16.5" customHeight="1">
      <c r="A126" s="223">
        <f t="shared" si="1"/>
        <v>501</v>
      </c>
      <c r="B126" s="272" t="s">
        <v>2827</v>
      </c>
      <c r="C126" s="196" t="s">
        <v>3047</v>
      </c>
      <c r="D126" s="197" t="s">
        <v>3048</v>
      </c>
      <c r="E126" s="261" t="s">
        <v>3049</v>
      </c>
      <c r="F126" s="198" t="s">
        <v>3050</v>
      </c>
      <c r="G126" s="197" t="s">
        <v>3051</v>
      </c>
      <c r="H126" s="263" t="b">
        <v>0</v>
      </c>
      <c r="I126" s="255">
        <v>45994.0</v>
      </c>
      <c r="J126" s="256" t="s">
        <v>2674</v>
      </c>
      <c r="K126" s="235" t="b">
        <v>0</v>
      </c>
      <c r="L126" s="35"/>
      <c r="M126" s="35"/>
      <c r="N126" s="13"/>
      <c r="O126" s="13"/>
      <c r="P126" s="13"/>
      <c r="Q126" s="13"/>
      <c r="R126" s="13"/>
      <c r="S126" s="13"/>
      <c r="T126" s="13"/>
      <c r="U126" s="13"/>
      <c r="V126" s="13"/>
      <c r="W126" s="13"/>
      <c r="X126" s="13"/>
      <c r="Y126" s="13"/>
      <c r="Z126" s="13"/>
      <c r="AA126" s="13"/>
    </row>
    <row r="127" ht="16.5" customHeight="1">
      <c r="A127" s="223">
        <f t="shared" si="1"/>
        <v>502</v>
      </c>
      <c r="B127" s="272" t="s">
        <v>2827</v>
      </c>
      <c r="C127" s="196" t="s">
        <v>3052</v>
      </c>
      <c r="D127" s="197" t="s">
        <v>3053</v>
      </c>
      <c r="E127" s="261" t="s">
        <v>3054</v>
      </c>
      <c r="F127" s="198" t="s">
        <v>3054</v>
      </c>
      <c r="G127" s="197" t="s">
        <v>3055</v>
      </c>
      <c r="H127" s="263" t="b">
        <v>0</v>
      </c>
      <c r="I127" s="255">
        <v>45994.0</v>
      </c>
      <c r="J127" s="256" t="s">
        <v>2674</v>
      </c>
      <c r="K127" s="235" t="b">
        <v>0</v>
      </c>
      <c r="L127" s="35"/>
      <c r="M127" s="35"/>
      <c r="N127" s="13"/>
      <c r="O127" s="13"/>
      <c r="P127" s="13"/>
      <c r="Q127" s="13"/>
      <c r="R127" s="13"/>
      <c r="S127" s="13"/>
      <c r="T127" s="13"/>
      <c r="U127" s="13"/>
      <c r="V127" s="13"/>
      <c r="W127" s="13"/>
      <c r="X127" s="13"/>
      <c r="Y127" s="13"/>
      <c r="Z127" s="13"/>
      <c r="AA127" s="13"/>
    </row>
    <row r="128" ht="16.5" customHeight="1">
      <c r="A128" s="223">
        <f t="shared" si="1"/>
        <v>503</v>
      </c>
      <c r="B128" s="272" t="s">
        <v>2827</v>
      </c>
      <c r="C128" s="196" t="s">
        <v>2599</v>
      </c>
      <c r="D128" s="197" t="s">
        <v>2600</v>
      </c>
      <c r="E128" s="197" t="s">
        <v>2540</v>
      </c>
      <c r="F128" s="266" t="s">
        <v>162</v>
      </c>
      <c r="G128" s="197" t="s">
        <v>2601</v>
      </c>
      <c r="H128" s="258" t="b">
        <v>1</v>
      </c>
      <c r="I128" s="255">
        <v>45994.0</v>
      </c>
      <c r="J128" s="256" t="s">
        <v>2674</v>
      </c>
      <c r="K128" s="229" t="b">
        <v>1</v>
      </c>
      <c r="L128" s="64" t="s">
        <v>2602</v>
      </c>
      <c r="M128" s="35"/>
      <c r="N128" s="13"/>
      <c r="O128" s="13"/>
      <c r="P128" s="13"/>
      <c r="Q128" s="13"/>
      <c r="R128" s="13"/>
      <c r="S128" s="13"/>
      <c r="T128" s="13"/>
      <c r="U128" s="13"/>
      <c r="V128" s="13"/>
      <c r="W128" s="13"/>
      <c r="X128" s="13"/>
      <c r="Y128" s="13"/>
      <c r="Z128" s="13"/>
      <c r="AA128" s="13"/>
    </row>
    <row r="129" ht="16.5" customHeight="1">
      <c r="A129" s="223">
        <f t="shared" si="1"/>
        <v>504</v>
      </c>
      <c r="B129" s="272" t="s">
        <v>2827</v>
      </c>
      <c r="C129" s="196" t="s">
        <v>2603</v>
      </c>
      <c r="D129" s="197" t="s">
        <v>2604</v>
      </c>
      <c r="E129" s="197" t="s">
        <v>2540</v>
      </c>
      <c r="F129" s="266" t="s">
        <v>800</v>
      </c>
      <c r="G129" s="197" t="s">
        <v>2601</v>
      </c>
      <c r="H129" s="258" t="b">
        <v>1</v>
      </c>
      <c r="I129" s="255">
        <v>45994.0</v>
      </c>
      <c r="J129" s="256" t="s">
        <v>2674</v>
      </c>
      <c r="K129" s="229" t="b">
        <v>1</v>
      </c>
      <c r="L129" s="61" t="s">
        <v>292</v>
      </c>
      <c r="M129" s="35"/>
      <c r="N129" s="13"/>
      <c r="O129" s="13"/>
      <c r="P129" s="13"/>
      <c r="Q129" s="13"/>
      <c r="R129" s="13"/>
      <c r="S129" s="13"/>
      <c r="T129" s="13"/>
      <c r="U129" s="13"/>
      <c r="V129" s="13"/>
      <c r="W129" s="13"/>
      <c r="X129" s="13"/>
      <c r="Y129" s="13"/>
      <c r="Z129" s="13"/>
      <c r="AA129" s="13"/>
    </row>
    <row r="130" ht="16.5" customHeight="1">
      <c r="A130" s="223">
        <f t="shared" si="1"/>
        <v>505</v>
      </c>
      <c r="B130" s="272" t="s">
        <v>2681</v>
      </c>
      <c r="C130" s="196" t="s">
        <v>3056</v>
      </c>
      <c r="D130" s="197" t="s">
        <v>3057</v>
      </c>
      <c r="E130" s="257" t="s">
        <v>3058</v>
      </c>
      <c r="F130" s="266" t="s">
        <v>813</v>
      </c>
      <c r="G130" s="197" t="s">
        <v>3059</v>
      </c>
      <c r="H130" s="258" t="b">
        <v>1</v>
      </c>
      <c r="I130" s="255">
        <v>45994.0</v>
      </c>
      <c r="J130" s="256" t="s">
        <v>2674</v>
      </c>
      <c r="K130" s="235" t="b">
        <v>0</v>
      </c>
      <c r="L130" s="35"/>
      <c r="M130" s="35"/>
      <c r="N130" s="13"/>
      <c r="O130" s="13"/>
      <c r="P130" s="13"/>
      <c r="Q130" s="13"/>
      <c r="R130" s="13"/>
      <c r="S130" s="13"/>
      <c r="T130" s="13"/>
      <c r="U130" s="13"/>
      <c r="V130" s="13"/>
      <c r="W130" s="13"/>
      <c r="X130" s="13"/>
      <c r="Y130" s="13"/>
      <c r="Z130" s="13"/>
      <c r="AA130" s="13"/>
    </row>
    <row r="131" ht="16.5" customHeight="1">
      <c r="A131" s="223">
        <f t="shared" si="1"/>
        <v>506</v>
      </c>
      <c r="B131" s="272" t="s">
        <v>2681</v>
      </c>
      <c r="C131" s="196" t="s">
        <v>3060</v>
      </c>
      <c r="D131" s="197" t="s">
        <v>3061</v>
      </c>
      <c r="E131" s="257" t="s">
        <v>3058</v>
      </c>
      <c r="F131" s="266" t="s">
        <v>3062</v>
      </c>
      <c r="G131" s="197" t="s">
        <v>3063</v>
      </c>
      <c r="H131" s="258" t="b">
        <v>1</v>
      </c>
      <c r="I131" s="255">
        <v>45994.0</v>
      </c>
      <c r="J131" s="256" t="s">
        <v>2674</v>
      </c>
      <c r="K131" s="235" t="b">
        <v>0</v>
      </c>
      <c r="L131" s="35"/>
      <c r="M131" s="35"/>
      <c r="N131" s="13"/>
      <c r="O131" s="13"/>
      <c r="P131" s="13"/>
      <c r="Q131" s="13"/>
      <c r="R131" s="13"/>
      <c r="S131" s="13"/>
      <c r="T131" s="13"/>
      <c r="U131" s="13"/>
      <c r="V131" s="13"/>
      <c r="W131" s="13"/>
      <c r="X131" s="13"/>
      <c r="Y131" s="13"/>
      <c r="Z131" s="13"/>
      <c r="AA131" s="13"/>
    </row>
    <row r="132" ht="16.5" customHeight="1">
      <c r="A132" s="223">
        <f t="shared" si="1"/>
        <v>507</v>
      </c>
      <c r="B132" s="272" t="s">
        <v>2709</v>
      </c>
      <c r="C132" s="196" t="s">
        <v>3064</v>
      </c>
      <c r="D132" s="197" t="s">
        <v>3065</v>
      </c>
      <c r="E132" s="261" t="s">
        <v>3066</v>
      </c>
      <c r="F132" s="198" t="s">
        <v>2551</v>
      </c>
      <c r="G132" s="197" t="s">
        <v>3067</v>
      </c>
      <c r="H132" s="263" t="b">
        <v>0</v>
      </c>
      <c r="I132" s="255">
        <v>45994.0</v>
      </c>
      <c r="J132" s="256" t="s">
        <v>2674</v>
      </c>
      <c r="K132" s="235" t="b">
        <v>0</v>
      </c>
      <c r="L132" s="35"/>
      <c r="M132" s="35"/>
      <c r="N132" s="13"/>
      <c r="O132" s="13"/>
      <c r="P132" s="13"/>
      <c r="Q132" s="13"/>
      <c r="R132" s="13"/>
      <c r="S132" s="13"/>
      <c r="T132" s="13"/>
      <c r="U132" s="13"/>
      <c r="V132" s="13"/>
      <c r="W132" s="13"/>
      <c r="X132" s="13"/>
      <c r="Y132" s="13"/>
      <c r="Z132" s="13"/>
      <c r="AA132" s="13"/>
    </row>
    <row r="133" ht="16.5" hidden="1" customHeight="1">
      <c r="A133" s="272">
        <f t="shared" si="1"/>
        <v>508</v>
      </c>
      <c r="B133" s="272" t="s">
        <v>2673</v>
      </c>
      <c r="C133" s="196" t="s">
        <v>3068</v>
      </c>
      <c r="D133" s="197" t="s">
        <v>3069</v>
      </c>
      <c r="E133" s="259" t="s">
        <v>3070</v>
      </c>
      <c r="F133" s="197" t="s">
        <v>3071</v>
      </c>
      <c r="G133" s="197" t="s">
        <v>3072</v>
      </c>
      <c r="H133" s="255"/>
      <c r="I133" s="255">
        <v>45994.0</v>
      </c>
      <c r="J133" s="256" t="s">
        <v>2680</v>
      </c>
      <c r="K133" s="232" t="b">
        <v>0</v>
      </c>
      <c r="L133" s="35"/>
      <c r="M133" s="35"/>
      <c r="N133" s="13"/>
      <c r="O133" s="13"/>
      <c r="P133" s="13"/>
      <c r="Q133" s="13"/>
      <c r="R133" s="13"/>
      <c r="S133" s="13"/>
      <c r="T133" s="13"/>
      <c r="U133" s="13"/>
      <c r="V133" s="13"/>
      <c r="W133" s="13"/>
      <c r="X133" s="13"/>
      <c r="Y133" s="13"/>
      <c r="Z133" s="13"/>
      <c r="AA133" s="13"/>
    </row>
    <row r="134" ht="16.5" customHeight="1">
      <c r="A134" s="223">
        <f t="shared" si="1"/>
        <v>509</v>
      </c>
      <c r="B134" s="272" t="s">
        <v>2709</v>
      </c>
      <c r="C134" s="196" t="s">
        <v>3073</v>
      </c>
      <c r="D134" s="197" t="s">
        <v>3074</v>
      </c>
      <c r="E134" s="264" t="s">
        <v>3075</v>
      </c>
      <c r="F134" s="262"/>
      <c r="G134" s="275" t="s">
        <v>3076</v>
      </c>
      <c r="H134" s="276" t="b">
        <v>0</v>
      </c>
      <c r="I134" s="255">
        <v>45994.0</v>
      </c>
      <c r="J134" s="256" t="s">
        <v>2674</v>
      </c>
      <c r="K134" s="235" t="b">
        <v>0</v>
      </c>
      <c r="L134" s="35"/>
      <c r="M134" s="35"/>
      <c r="N134" s="13"/>
      <c r="O134" s="13"/>
      <c r="P134" s="13"/>
      <c r="Q134" s="13"/>
      <c r="R134" s="13"/>
      <c r="S134" s="13"/>
      <c r="T134" s="13"/>
      <c r="U134" s="13"/>
      <c r="V134" s="13"/>
      <c r="W134" s="13"/>
      <c r="X134" s="13"/>
      <c r="Y134" s="13"/>
      <c r="Z134" s="13"/>
      <c r="AA134" s="13"/>
    </row>
    <row r="135" ht="16.5" customHeight="1">
      <c r="A135" s="223">
        <f t="shared" si="1"/>
        <v>510</v>
      </c>
      <c r="B135" s="272" t="s">
        <v>2850</v>
      </c>
      <c r="C135" s="196" t="s">
        <v>3077</v>
      </c>
      <c r="D135" s="197" t="s">
        <v>3078</v>
      </c>
      <c r="E135" s="264" t="s">
        <v>3079</v>
      </c>
      <c r="F135" s="262"/>
      <c r="G135" s="277"/>
      <c r="H135" s="276" t="b">
        <v>0</v>
      </c>
      <c r="I135" s="255">
        <v>45994.0</v>
      </c>
      <c r="J135" s="256" t="s">
        <v>2674</v>
      </c>
      <c r="K135" s="235" t="b">
        <v>0</v>
      </c>
      <c r="L135" s="35"/>
      <c r="M135" s="35"/>
      <c r="N135" s="13"/>
      <c r="O135" s="13"/>
      <c r="P135" s="13"/>
      <c r="Q135" s="13"/>
      <c r="R135" s="13"/>
      <c r="S135" s="13"/>
      <c r="T135" s="13"/>
      <c r="U135" s="13"/>
      <c r="V135" s="13"/>
      <c r="W135" s="13"/>
      <c r="X135" s="13"/>
      <c r="Y135" s="13"/>
      <c r="Z135" s="13"/>
      <c r="AA135" s="13"/>
    </row>
    <row r="136" ht="16.5" customHeight="1">
      <c r="A136" s="223">
        <f t="shared" si="1"/>
        <v>511</v>
      </c>
      <c r="B136" s="272" t="s">
        <v>2850</v>
      </c>
      <c r="C136" s="196" t="s">
        <v>3080</v>
      </c>
      <c r="D136" s="197" t="s">
        <v>3081</v>
      </c>
      <c r="E136" s="264" t="s">
        <v>3082</v>
      </c>
      <c r="F136" s="262"/>
      <c r="G136" s="277"/>
      <c r="H136" s="276" t="b">
        <v>0</v>
      </c>
      <c r="I136" s="255">
        <v>45994.0</v>
      </c>
      <c r="J136" s="256" t="s">
        <v>2674</v>
      </c>
      <c r="K136" s="235" t="b">
        <v>0</v>
      </c>
      <c r="L136" s="35"/>
      <c r="M136" s="35"/>
      <c r="N136" s="13"/>
      <c r="O136" s="13"/>
      <c r="P136" s="13"/>
      <c r="Q136" s="13"/>
      <c r="R136" s="13"/>
      <c r="S136" s="13"/>
      <c r="T136" s="13"/>
      <c r="U136" s="13"/>
      <c r="V136" s="13"/>
      <c r="W136" s="13"/>
      <c r="X136" s="13"/>
      <c r="Y136" s="13"/>
      <c r="Z136" s="13"/>
      <c r="AA136" s="13"/>
    </row>
    <row r="137" ht="16.5" customHeight="1">
      <c r="A137" s="223">
        <f t="shared" si="1"/>
        <v>512</v>
      </c>
      <c r="B137" s="272" t="s">
        <v>2733</v>
      </c>
      <c r="C137" s="196" t="s">
        <v>3083</v>
      </c>
      <c r="D137" s="197" t="s">
        <v>3084</v>
      </c>
      <c r="E137" s="261" t="s">
        <v>3085</v>
      </c>
      <c r="F137" s="262"/>
      <c r="G137" s="277"/>
      <c r="H137" s="276" t="b">
        <v>0</v>
      </c>
      <c r="I137" s="255">
        <v>45994.0</v>
      </c>
      <c r="J137" s="256" t="s">
        <v>2674</v>
      </c>
      <c r="K137" s="235" t="b">
        <v>0</v>
      </c>
      <c r="L137" s="35"/>
      <c r="M137" s="35"/>
      <c r="N137" s="13"/>
      <c r="O137" s="13"/>
      <c r="P137" s="13"/>
      <c r="Q137" s="13"/>
      <c r="R137" s="13"/>
      <c r="S137" s="13"/>
      <c r="T137" s="13"/>
      <c r="U137" s="13"/>
      <c r="V137" s="13"/>
      <c r="W137" s="13"/>
      <c r="X137" s="13"/>
      <c r="Y137" s="13"/>
      <c r="Z137" s="13"/>
      <c r="AA137" s="13"/>
    </row>
    <row r="138" ht="16.5" customHeight="1">
      <c r="A138" s="223">
        <f t="shared" si="1"/>
        <v>513</v>
      </c>
      <c r="B138" s="272" t="s">
        <v>2850</v>
      </c>
      <c r="C138" s="196" t="s">
        <v>3086</v>
      </c>
      <c r="D138" s="197" t="s">
        <v>3087</v>
      </c>
      <c r="E138" s="264" t="s">
        <v>3088</v>
      </c>
      <c r="F138" s="262"/>
      <c r="G138" s="278"/>
      <c r="H138" s="276" t="b">
        <v>0</v>
      </c>
      <c r="I138" s="255">
        <v>45994.0</v>
      </c>
      <c r="J138" s="256" t="s">
        <v>2674</v>
      </c>
      <c r="K138" s="235" t="b">
        <v>0</v>
      </c>
      <c r="L138" s="35"/>
      <c r="M138" s="35"/>
      <c r="N138" s="13"/>
      <c r="O138" s="13"/>
      <c r="P138" s="13"/>
      <c r="Q138" s="13"/>
      <c r="R138" s="13"/>
      <c r="S138" s="13"/>
      <c r="T138" s="13"/>
      <c r="U138" s="13"/>
      <c r="V138" s="13"/>
      <c r="W138" s="13"/>
      <c r="X138" s="13"/>
      <c r="Y138" s="13"/>
      <c r="Z138" s="13"/>
      <c r="AA138" s="13"/>
    </row>
    <row r="139" ht="16.5" customHeight="1">
      <c r="A139" s="223">
        <f t="shared" si="1"/>
        <v>514</v>
      </c>
      <c r="B139" s="272" t="s">
        <v>2795</v>
      </c>
      <c r="C139" s="196" t="s">
        <v>3089</v>
      </c>
      <c r="D139" s="197" t="s">
        <v>3090</v>
      </c>
      <c r="E139" s="257" t="s">
        <v>3091</v>
      </c>
      <c r="F139" s="198" t="s">
        <v>173</v>
      </c>
      <c r="G139" s="197" t="s">
        <v>3092</v>
      </c>
      <c r="H139" s="258" t="b">
        <v>1</v>
      </c>
      <c r="I139" s="255">
        <v>45994.0</v>
      </c>
      <c r="J139" s="256" t="s">
        <v>2674</v>
      </c>
      <c r="K139" s="235" t="b">
        <v>0</v>
      </c>
      <c r="L139" s="35"/>
      <c r="M139" s="35"/>
      <c r="N139" s="13"/>
      <c r="O139" s="13"/>
      <c r="P139" s="13"/>
      <c r="Q139" s="13"/>
      <c r="R139" s="13"/>
      <c r="S139" s="13"/>
      <c r="T139" s="13"/>
      <c r="U139" s="13"/>
      <c r="V139" s="13"/>
      <c r="W139" s="13"/>
      <c r="X139" s="13"/>
      <c r="Y139" s="13"/>
      <c r="Z139" s="13"/>
      <c r="AA139" s="13"/>
    </row>
    <row r="140" ht="16.5" customHeight="1">
      <c r="A140" s="223">
        <f t="shared" si="1"/>
        <v>515</v>
      </c>
      <c r="B140" s="272" t="s">
        <v>2722</v>
      </c>
      <c r="C140" s="196" t="s">
        <v>3093</v>
      </c>
      <c r="D140" s="197" t="s">
        <v>3094</v>
      </c>
      <c r="E140" s="264" t="s">
        <v>3095</v>
      </c>
      <c r="F140" s="262"/>
      <c r="G140" s="197" t="s">
        <v>3096</v>
      </c>
      <c r="H140" s="263" t="b">
        <v>0</v>
      </c>
      <c r="I140" s="255">
        <v>45994.0</v>
      </c>
      <c r="J140" s="256" t="s">
        <v>2674</v>
      </c>
      <c r="K140" s="235" t="b">
        <v>0</v>
      </c>
      <c r="L140" s="35"/>
      <c r="M140" s="35"/>
      <c r="N140" s="13"/>
      <c r="O140" s="13"/>
      <c r="P140" s="13"/>
      <c r="Q140" s="13"/>
      <c r="R140" s="13"/>
      <c r="S140" s="13"/>
      <c r="T140" s="13"/>
      <c r="U140" s="13"/>
      <c r="V140" s="13"/>
      <c r="W140" s="13"/>
      <c r="X140" s="13"/>
      <c r="Y140" s="13"/>
      <c r="Z140" s="13"/>
      <c r="AA140" s="13"/>
    </row>
    <row r="141" ht="16.5" customHeight="1">
      <c r="A141" s="223">
        <f t="shared" si="1"/>
        <v>516</v>
      </c>
      <c r="B141" s="272" t="s">
        <v>2845</v>
      </c>
      <c r="C141" s="279" t="s">
        <v>3097</v>
      </c>
      <c r="D141" s="197" t="s">
        <v>3098</v>
      </c>
      <c r="E141" s="257" t="s">
        <v>3099</v>
      </c>
      <c r="F141" s="280" t="s">
        <v>238</v>
      </c>
      <c r="G141" s="197" t="s">
        <v>3100</v>
      </c>
      <c r="H141" s="258" t="b">
        <v>1</v>
      </c>
      <c r="I141" s="255">
        <v>45994.0</v>
      </c>
      <c r="J141" s="256" t="s">
        <v>2674</v>
      </c>
      <c r="K141" s="235" t="b">
        <v>0</v>
      </c>
      <c r="L141" s="35"/>
      <c r="M141" s="35"/>
      <c r="N141" s="13"/>
      <c r="O141" s="13"/>
      <c r="P141" s="13"/>
      <c r="Q141" s="13"/>
      <c r="R141" s="13"/>
      <c r="S141" s="13"/>
      <c r="T141" s="13"/>
      <c r="U141" s="13"/>
      <c r="V141" s="13"/>
      <c r="W141" s="13"/>
      <c r="X141" s="13"/>
      <c r="Y141" s="13"/>
      <c r="Z141" s="13"/>
      <c r="AA141" s="13"/>
    </row>
    <row r="142" ht="16.5" customHeight="1">
      <c r="A142" s="223">
        <f t="shared" si="1"/>
        <v>517</v>
      </c>
      <c r="B142" s="272" t="s">
        <v>2845</v>
      </c>
      <c r="C142" s="279" t="s">
        <v>3101</v>
      </c>
      <c r="D142" s="197" t="s">
        <v>3102</v>
      </c>
      <c r="E142" s="261" t="s">
        <v>3103</v>
      </c>
      <c r="F142" s="281" t="s">
        <v>3104</v>
      </c>
      <c r="G142" s="197" t="s">
        <v>3105</v>
      </c>
      <c r="H142" s="263" t="b">
        <v>0</v>
      </c>
      <c r="I142" s="255">
        <v>45994.0</v>
      </c>
      <c r="J142" s="256" t="s">
        <v>2674</v>
      </c>
      <c r="K142" s="235" t="b">
        <v>0</v>
      </c>
      <c r="L142" s="35"/>
      <c r="M142" s="35"/>
      <c r="N142" s="13"/>
      <c r="O142" s="13"/>
      <c r="P142" s="13"/>
      <c r="Q142" s="13"/>
      <c r="R142" s="13"/>
      <c r="S142" s="13"/>
      <c r="T142" s="13"/>
      <c r="U142" s="13"/>
      <c r="V142" s="13"/>
      <c r="W142" s="13"/>
      <c r="X142" s="13"/>
      <c r="Y142" s="13"/>
      <c r="Z142" s="13"/>
      <c r="AA142" s="13"/>
    </row>
    <row r="143" ht="16.5" customHeight="1">
      <c r="A143" s="223">
        <f t="shared" si="1"/>
        <v>518</v>
      </c>
      <c r="B143" s="272" t="s">
        <v>2839</v>
      </c>
      <c r="C143" s="279" t="s">
        <v>3106</v>
      </c>
      <c r="D143" s="197" t="s">
        <v>3107</v>
      </c>
      <c r="E143" s="261" t="s">
        <v>3108</v>
      </c>
      <c r="F143" s="267" t="s">
        <v>3109</v>
      </c>
      <c r="G143" s="197" t="s">
        <v>3105</v>
      </c>
      <c r="H143" s="263" t="b">
        <v>0</v>
      </c>
      <c r="I143" s="255">
        <v>45994.0</v>
      </c>
      <c r="J143" s="256" t="s">
        <v>2674</v>
      </c>
      <c r="K143" s="235" t="b">
        <v>0</v>
      </c>
      <c r="L143" s="35"/>
      <c r="M143" s="35"/>
      <c r="N143" s="13"/>
      <c r="O143" s="13"/>
      <c r="P143" s="13"/>
      <c r="Q143" s="13"/>
      <c r="R143" s="13"/>
      <c r="S143" s="13"/>
      <c r="T143" s="13"/>
      <c r="U143" s="13"/>
      <c r="V143" s="13"/>
      <c r="W143" s="13"/>
      <c r="X143" s="13"/>
      <c r="Y143" s="13"/>
      <c r="Z143" s="13"/>
      <c r="AA143" s="13"/>
    </row>
    <row r="144" ht="16.5" customHeight="1">
      <c r="A144" s="223">
        <f t="shared" si="1"/>
        <v>519</v>
      </c>
      <c r="B144" s="272" t="s">
        <v>2866</v>
      </c>
      <c r="C144" s="279" t="s">
        <v>3110</v>
      </c>
      <c r="D144" s="197" t="s">
        <v>3111</v>
      </c>
      <c r="E144" s="261" t="s">
        <v>3112</v>
      </c>
      <c r="F144" s="267" t="s">
        <v>3113</v>
      </c>
      <c r="G144" s="197" t="s">
        <v>3114</v>
      </c>
      <c r="H144" s="263" t="b">
        <v>0</v>
      </c>
      <c r="I144" s="255">
        <v>45994.0</v>
      </c>
      <c r="J144" s="256" t="s">
        <v>2674</v>
      </c>
      <c r="K144" s="235" t="b">
        <v>0</v>
      </c>
      <c r="L144" s="35"/>
      <c r="M144" s="35"/>
      <c r="N144" s="13"/>
      <c r="O144" s="13"/>
      <c r="P144" s="13"/>
      <c r="Q144" s="13"/>
      <c r="R144" s="13"/>
      <c r="S144" s="13"/>
      <c r="T144" s="13"/>
      <c r="U144" s="13"/>
      <c r="V144" s="13"/>
      <c r="W144" s="13"/>
      <c r="X144" s="13"/>
      <c r="Y144" s="13"/>
      <c r="Z144" s="13"/>
      <c r="AA144" s="13"/>
    </row>
    <row r="145" ht="16.5" customHeight="1">
      <c r="A145" s="223">
        <f t="shared" si="1"/>
        <v>520</v>
      </c>
      <c r="B145" s="272" t="s">
        <v>2845</v>
      </c>
      <c r="C145" s="279" t="s">
        <v>3115</v>
      </c>
      <c r="D145" s="197" t="s">
        <v>3116</v>
      </c>
      <c r="E145" s="261" t="s">
        <v>3117</v>
      </c>
      <c r="F145" s="267" t="s">
        <v>3118</v>
      </c>
      <c r="G145" s="197" t="s">
        <v>3105</v>
      </c>
      <c r="H145" s="263" t="b">
        <v>0</v>
      </c>
      <c r="I145" s="255">
        <v>45994.0</v>
      </c>
      <c r="J145" s="256" t="s">
        <v>2674</v>
      </c>
      <c r="K145" s="235" t="b">
        <v>0</v>
      </c>
      <c r="L145" s="35"/>
      <c r="M145" s="35"/>
      <c r="N145" s="13"/>
      <c r="O145" s="13"/>
      <c r="P145" s="13"/>
      <c r="Q145" s="13"/>
      <c r="R145" s="13"/>
      <c r="S145" s="13"/>
      <c r="T145" s="13"/>
      <c r="U145" s="13"/>
      <c r="V145" s="13"/>
      <c r="W145" s="13"/>
      <c r="X145" s="13"/>
      <c r="Y145" s="13"/>
      <c r="Z145" s="13"/>
      <c r="AA145" s="13"/>
    </row>
    <row r="146" ht="16.5" customHeight="1">
      <c r="A146" s="223">
        <f t="shared" si="1"/>
        <v>521</v>
      </c>
      <c r="B146" s="272" t="s">
        <v>2681</v>
      </c>
      <c r="C146" s="279" t="s">
        <v>3119</v>
      </c>
      <c r="D146" s="197" t="s">
        <v>3120</v>
      </c>
      <c r="E146" s="261" t="s">
        <v>3121</v>
      </c>
      <c r="F146" s="282"/>
      <c r="G146" s="197" t="s">
        <v>3122</v>
      </c>
      <c r="H146" s="263" t="b">
        <v>0</v>
      </c>
      <c r="I146" s="255">
        <v>45994.0</v>
      </c>
      <c r="J146" s="256" t="s">
        <v>2674</v>
      </c>
      <c r="K146" s="235" t="b">
        <v>0</v>
      </c>
      <c r="L146" s="35"/>
      <c r="M146" s="35"/>
      <c r="N146" s="13"/>
      <c r="O146" s="13"/>
      <c r="P146" s="13"/>
      <c r="Q146" s="13"/>
      <c r="R146" s="13"/>
      <c r="S146" s="13"/>
      <c r="T146" s="13"/>
      <c r="U146" s="13"/>
      <c r="V146" s="13"/>
      <c r="W146" s="13"/>
      <c r="X146" s="13"/>
      <c r="Y146" s="13"/>
      <c r="Z146" s="13"/>
      <c r="AA146" s="13"/>
    </row>
    <row r="147" ht="16.5" hidden="1" customHeight="1">
      <c r="A147" s="272">
        <f t="shared" si="1"/>
        <v>522</v>
      </c>
      <c r="B147" s="272" t="s">
        <v>2709</v>
      </c>
      <c r="C147" s="196" t="s">
        <v>3123</v>
      </c>
      <c r="D147" s="197" t="s">
        <v>3124</v>
      </c>
      <c r="E147" s="259" t="s">
        <v>3125</v>
      </c>
      <c r="F147" s="197" t="s">
        <v>3126</v>
      </c>
      <c r="G147" s="197" t="s">
        <v>3067</v>
      </c>
      <c r="H147" s="255"/>
      <c r="I147" s="255">
        <v>45994.0</v>
      </c>
      <c r="J147" s="256" t="s">
        <v>2680</v>
      </c>
      <c r="K147" s="232" t="b">
        <v>0</v>
      </c>
      <c r="L147" s="35"/>
      <c r="M147" s="35"/>
      <c r="N147" s="13"/>
      <c r="O147" s="13"/>
      <c r="P147" s="13"/>
      <c r="Q147" s="13"/>
      <c r="R147" s="13"/>
      <c r="S147" s="13"/>
      <c r="T147" s="13"/>
      <c r="U147" s="13"/>
      <c r="V147" s="13"/>
      <c r="W147" s="13"/>
      <c r="X147" s="13"/>
      <c r="Y147" s="13"/>
      <c r="Z147" s="13"/>
      <c r="AA147" s="13"/>
    </row>
    <row r="148" ht="16.5" customHeight="1">
      <c r="A148" s="223">
        <f t="shared" si="1"/>
        <v>523</v>
      </c>
      <c r="B148" s="272" t="s">
        <v>2673</v>
      </c>
      <c r="C148" s="196" t="s">
        <v>2605</v>
      </c>
      <c r="D148" s="197" t="s">
        <v>2606</v>
      </c>
      <c r="E148" s="257" t="s">
        <v>2508</v>
      </c>
      <c r="F148" s="266" t="s">
        <v>721</v>
      </c>
      <c r="G148" s="197" t="s">
        <v>2607</v>
      </c>
      <c r="H148" s="258" t="b">
        <v>1</v>
      </c>
      <c r="I148" s="255">
        <v>45994.0</v>
      </c>
      <c r="J148" s="256" t="s">
        <v>2674</v>
      </c>
      <c r="K148" s="235" t="b">
        <v>0</v>
      </c>
      <c r="L148" s="35"/>
      <c r="M148" s="35"/>
      <c r="N148" s="13"/>
      <c r="O148" s="13"/>
      <c r="P148" s="13"/>
      <c r="Q148" s="13"/>
      <c r="R148" s="13"/>
      <c r="S148" s="13"/>
      <c r="T148" s="13"/>
      <c r="U148" s="13"/>
      <c r="V148" s="13"/>
      <c r="W148" s="13"/>
      <c r="X148" s="13"/>
      <c r="Y148" s="13"/>
      <c r="Z148" s="13"/>
      <c r="AA148" s="13"/>
    </row>
    <row r="149" ht="16.5" hidden="1" customHeight="1">
      <c r="A149" s="272">
        <f t="shared" si="1"/>
        <v>524</v>
      </c>
      <c r="B149" s="272" t="s">
        <v>2709</v>
      </c>
      <c r="C149" s="196" t="s">
        <v>3127</v>
      </c>
      <c r="D149" s="197" t="s">
        <v>3128</v>
      </c>
      <c r="E149" s="283" t="s">
        <v>3129</v>
      </c>
      <c r="F149" s="197" t="s">
        <v>3130</v>
      </c>
      <c r="G149" s="197" t="s">
        <v>2607</v>
      </c>
      <c r="H149" s="255"/>
      <c r="I149" s="255">
        <v>45994.0</v>
      </c>
      <c r="J149" s="256" t="s">
        <v>2680</v>
      </c>
      <c r="K149" s="232" t="b">
        <v>0</v>
      </c>
      <c r="L149" s="35"/>
      <c r="M149" s="35"/>
      <c r="N149" s="13"/>
      <c r="O149" s="13"/>
      <c r="P149" s="13"/>
      <c r="Q149" s="13"/>
      <c r="R149" s="13"/>
      <c r="S149" s="13"/>
      <c r="T149" s="13"/>
      <c r="U149" s="13"/>
      <c r="V149" s="13"/>
      <c r="W149" s="13"/>
      <c r="X149" s="13"/>
      <c r="Y149" s="13"/>
      <c r="Z149" s="13"/>
      <c r="AA149" s="13"/>
    </row>
    <row r="150" ht="16.5" customHeight="1">
      <c r="A150" s="223">
        <f t="shared" si="1"/>
        <v>525</v>
      </c>
      <c r="B150" s="272" t="s">
        <v>2709</v>
      </c>
      <c r="C150" s="196" t="s">
        <v>3131</v>
      </c>
      <c r="D150" s="197" t="s">
        <v>3132</v>
      </c>
      <c r="E150" s="261" t="s">
        <v>3133</v>
      </c>
      <c r="F150" s="198" t="s">
        <v>1150</v>
      </c>
      <c r="G150" s="197" t="s">
        <v>2612</v>
      </c>
      <c r="H150" s="263" t="b">
        <v>0</v>
      </c>
      <c r="I150" s="255">
        <v>45994.0</v>
      </c>
      <c r="J150" s="256" t="s">
        <v>2674</v>
      </c>
      <c r="K150" s="235" t="b">
        <v>0</v>
      </c>
      <c r="L150" s="35"/>
      <c r="M150" s="35"/>
      <c r="N150" s="13"/>
      <c r="O150" s="13"/>
      <c r="P150" s="13"/>
      <c r="Q150" s="13"/>
      <c r="R150" s="13"/>
      <c r="S150" s="13"/>
      <c r="T150" s="13"/>
      <c r="U150" s="13"/>
      <c r="V150" s="13"/>
      <c r="W150" s="13"/>
      <c r="X150" s="13"/>
      <c r="Y150" s="13"/>
      <c r="Z150" s="13"/>
      <c r="AA150" s="13"/>
    </row>
    <row r="151" ht="16.5" customHeight="1">
      <c r="A151" s="223">
        <f t="shared" si="1"/>
        <v>526</v>
      </c>
      <c r="B151" s="272" t="s">
        <v>2709</v>
      </c>
      <c r="C151" s="196" t="s">
        <v>2609</v>
      </c>
      <c r="D151" s="197" t="s">
        <v>2610</v>
      </c>
      <c r="E151" s="257" t="s">
        <v>2611</v>
      </c>
      <c r="F151" s="266" t="s">
        <v>453</v>
      </c>
      <c r="G151" s="197" t="s">
        <v>2612</v>
      </c>
      <c r="H151" s="258" t="b">
        <v>1</v>
      </c>
      <c r="I151" s="255">
        <v>45994.0</v>
      </c>
      <c r="J151" s="256" t="s">
        <v>2674</v>
      </c>
      <c r="K151" s="235" t="b">
        <v>0</v>
      </c>
      <c r="L151" s="35"/>
      <c r="M151" s="35"/>
      <c r="N151" s="13"/>
      <c r="O151" s="13"/>
      <c r="P151" s="13"/>
      <c r="Q151" s="13"/>
      <c r="R151" s="13"/>
      <c r="S151" s="13"/>
      <c r="T151" s="13"/>
      <c r="U151" s="13"/>
      <c r="V151" s="13"/>
      <c r="W151" s="13"/>
      <c r="X151" s="13"/>
      <c r="Y151" s="13"/>
      <c r="Z151" s="13"/>
      <c r="AA151" s="13"/>
    </row>
    <row r="152" ht="16.5" hidden="1" customHeight="1">
      <c r="A152" s="272">
        <f t="shared" si="1"/>
        <v>527</v>
      </c>
      <c r="B152" s="272" t="s">
        <v>2673</v>
      </c>
      <c r="C152" s="196" t="s">
        <v>3134</v>
      </c>
      <c r="D152" s="197" t="s">
        <v>3135</v>
      </c>
      <c r="E152" s="59" t="s">
        <v>3136</v>
      </c>
      <c r="F152" s="39" t="s">
        <v>3137</v>
      </c>
      <c r="G152" s="284" t="s">
        <v>3138</v>
      </c>
      <c r="H152" s="285"/>
      <c r="I152" s="285">
        <v>45995.0</v>
      </c>
      <c r="J152" s="256" t="s">
        <v>2680</v>
      </c>
      <c r="K152" s="232" t="b">
        <v>0</v>
      </c>
      <c r="L152" s="35"/>
      <c r="M152" s="35"/>
      <c r="N152" s="13"/>
      <c r="O152" s="13"/>
      <c r="P152" s="13"/>
      <c r="Q152" s="13"/>
      <c r="R152" s="13"/>
      <c r="S152" s="13"/>
      <c r="T152" s="13"/>
      <c r="U152" s="13"/>
      <c r="V152" s="13"/>
      <c r="W152" s="13"/>
      <c r="X152" s="13"/>
      <c r="Y152" s="13"/>
      <c r="Z152" s="13"/>
      <c r="AA152" s="13"/>
    </row>
    <row r="153" ht="16.5" hidden="1" customHeight="1">
      <c r="A153" s="272">
        <f t="shared" si="1"/>
        <v>528</v>
      </c>
      <c r="B153" s="272" t="s">
        <v>2866</v>
      </c>
      <c r="C153" s="196" t="s">
        <v>3139</v>
      </c>
      <c r="D153" s="39" t="s">
        <v>3140</v>
      </c>
      <c r="E153" s="286" t="s">
        <v>3141</v>
      </c>
      <c r="F153" s="287"/>
      <c r="G153" s="288" t="s">
        <v>3142</v>
      </c>
      <c r="H153" s="289"/>
      <c r="I153" s="285">
        <v>45995.0</v>
      </c>
      <c r="J153" s="256" t="s">
        <v>2680</v>
      </c>
      <c r="K153" s="232" t="b">
        <v>0</v>
      </c>
      <c r="L153" s="35"/>
      <c r="M153" s="35"/>
      <c r="N153" s="13"/>
      <c r="O153" s="13"/>
      <c r="P153" s="13"/>
      <c r="Q153" s="13"/>
      <c r="R153" s="13"/>
      <c r="S153" s="13"/>
      <c r="T153" s="13"/>
      <c r="U153" s="13"/>
      <c r="V153" s="13"/>
      <c r="W153" s="13"/>
      <c r="X153" s="13"/>
      <c r="Y153" s="13"/>
      <c r="Z153" s="13"/>
      <c r="AA153" s="13"/>
    </row>
    <row r="154" ht="16.5" hidden="1" customHeight="1">
      <c r="A154" s="272">
        <f t="shared" si="1"/>
        <v>529</v>
      </c>
      <c r="B154" s="272" t="s">
        <v>2709</v>
      </c>
      <c r="C154" s="196" t="s">
        <v>3143</v>
      </c>
      <c r="D154" s="197" t="s">
        <v>3144</v>
      </c>
      <c r="E154" s="259" t="s">
        <v>3145</v>
      </c>
      <c r="F154" s="197" t="s">
        <v>3146</v>
      </c>
      <c r="G154" s="290" t="s">
        <v>3147</v>
      </c>
      <c r="H154" s="291"/>
      <c r="I154" s="285">
        <v>45995.0</v>
      </c>
      <c r="J154" s="256" t="s">
        <v>2680</v>
      </c>
      <c r="K154" s="232" t="b">
        <v>0</v>
      </c>
      <c r="L154" s="35"/>
      <c r="M154" s="35"/>
      <c r="N154" s="13"/>
      <c r="O154" s="13"/>
      <c r="P154" s="13"/>
      <c r="Q154" s="13"/>
      <c r="R154" s="13"/>
      <c r="S154" s="13"/>
      <c r="T154" s="13"/>
      <c r="U154" s="13"/>
      <c r="V154" s="13"/>
      <c r="W154" s="13"/>
      <c r="X154" s="13"/>
      <c r="Y154" s="13"/>
      <c r="Z154" s="13"/>
      <c r="AA154" s="13"/>
    </row>
    <row r="155" ht="16.5" hidden="1" customHeight="1">
      <c r="A155" s="272">
        <f t="shared" si="1"/>
        <v>530</v>
      </c>
      <c r="B155" s="272" t="s">
        <v>2709</v>
      </c>
      <c r="C155" s="196" t="s">
        <v>3148</v>
      </c>
      <c r="D155" s="197" t="s">
        <v>3149</v>
      </c>
      <c r="E155" s="259" t="s">
        <v>3145</v>
      </c>
      <c r="F155" s="197" t="s">
        <v>3150</v>
      </c>
      <c r="G155" s="292" t="s">
        <v>3151</v>
      </c>
      <c r="H155" s="293"/>
      <c r="I155" s="285">
        <v>45995.0</v>
      </c>
      <c r="J155" s="256" t="s">
        <v>2680</v>
      </c>
      <c r="K155" s="232" t="b">
        <v>0</v>
      </c>
      <c r="L155" s="35"/>
      <c r="M155" s="35"/>
      <c r="N155" s="13"/>
      <c r="O155" s="13"/>
      <c r="P155" s="13"/>
      <c r="Q155" s="13"/>
      <c r="R155" s="13"/>
      <c r="S155" s="13"/>
      <c r="T155" s="13"/>
      <c r="U155" s="13"/>
      <c r="V155" s="13"/>
      <c r="W155" s="13"/>
      <c r="X155" s="13"/>
      <c r="Y155" s="13"/>
      <c r="Z155" s="13"/>
      <c r="AA155" s="13"/>
    </row>
    <row r="156" ht="16.5" customHeight="1">
      <c r="A156" s="223">
        <f t="shared" si="1"/>
        <v>531</v>
      </c>
      <c r="B156" s="294" t="s">
        <v>3152</v>
      </c>
      <c r="C156" s="37" t="s">
        <v>2613</v>
      </c>
      <c r="D156" s="39" t="s">
        <v>3153</v>
      </c>
      <c r="E156" s="66" t="s">
        <v>2615</v>
      </c>
      <c r="F156" s="107" t="s">
        <v>3154</v>
      </c>
      <c r="G156" s="39" t="s">
        <v>2496</v>
      </c>
      <c r="H156" s="295" t="b">
        <v>1</v>
      </c>
      <c r="I156" s="285">
        <v>45995.0</v>
      </c>
      <c r="J156" s="256" t="s">
        <v>2674</v>
      </c>
      <c r="K156" s="235" t="b">
        <v>0</v>
      </c>
      <c r="L156" s="35"/>
      <c r="M156" s="35"/>
      <c r="N156" s="13"/>
      <c r="O156" s="13"/>
      <c r="P156" s="13"/>
      <c r="Q156" s="13"/>
      <c r="R156" s="13"/>
      <c r="S156" s="13"/>
      <c r="T156" s="13"/>
      <c r="U156" s="13"/>
      <c r="V156" s="13"/>
      <c r="W156" s="13"/>
      <c r="X156" s="13"/>
      <c r="Y156" s="13"/>
      <c r="Z156" s="13"/>
      <c r="AA156" s="13"/>
    </row>
    <row r="157" ht="16.5" customHeight="1">
      <c r="A157" s="223">
        <f t="shared" si="1"/>
        <v>532</v>
      </c>
      <c r="B157" s="294" t="s">
        <v>3152</v>
      </c>
      <c r="C157" s="37" t="s">
        <v>2617</v>
      </c>
      <c r="D157" s="39" t="s">
        <v>2618</v>
      </c>
      <c r="E157" s="66" t="s">
        <v>2615</v>
      </c>
      <c r="F157" s="107" t="s">
        <v>2619</v>
      </c>
      <c r="G157" s="39" t="s">
        <v>2496</v>
      </c>
      <c r="H157" s="295" t="b">
        <v>1</v>
      </c>
      <c r="I157" s="285">
        <v>45995.0</v>
      </c>
      <c r="J157" s="256" t="s">
        <v>2674</v>
      </c>
      <c r="K157" s="235" t="b">
        <v>0</v>
      </c>
      <c r="L157" s="35"/>
      <c r="M157" s="35"/>
      <c r="N157" s="13"/>
      <c r="O157" s="13"/>
      <c r="P157" s="13"/>
      <c r="Q157" s="13"/>
      <c r="R157" s="13"/>
      <c r="S157" s="13"/>
      <c r="T157" s="13"/>
      <c r="U157" s="13"/>
      <c r="V157" s="13"/>
      <c r="W157" s="13"/>
      <c r="X157" s="13"/>
      <c r="Y157" s="13"/>
      <c r="Z157" s="13"/>
      <c r="AA157" s="13"/>
    </row>
    <row r="158" ht="16.5" customHeight="1">
      <c r="A158" s="223">
        <f t="shared" si="1"/>
        <v>533</v>
      </c>
      <c r="B158" s="294" t="s">
        <v>3152</v>
      </c>
      <c r="C158" s="37" t="s">
        <v>2620</v>
      </c>
      <c r="D158" s="39" t="s">
        <v>2621</v>
      </c>
      <c r="E158" s="66" t="s">
        <v>2615</v>
      </c>
      <c r="F158" s="107" t="s">
        <v>774</v>
      </c>
      <c r="G158" s="55"/>
      <c r="H158" s="295" t="b">
        <v>1</v>
      </c>
      <c r="I158" s="285">
        <v>45995.0</v>
      </c>
      <c r="J158" s="256" t="s">
        <v>2674</v>
      </c>
      <c r="K158" s="235" t="b">
        <v>0</v>
      </c>
      <c r="L158" s="35"/>
      <c r="M158" s="35"/>
      <c r="N158" s="13"/>
      <c r="O158" s="13"/>
      <c r="P158" s="13"/>
      <c r="Q158" s="13"/>
      <c r="R158" s="13"/>
      <c r="S158" s="13"/>
      <c r="T158" s="13"/>
      <c r="U158" s="13"/>
      <c r="V158" s="13"/>
      <c r="W158" s="13"/>
      <c r="X158" s="13"/>
      <c r="Y158" s="13"/>
      <c r="Z158" s="13"/>
      <c r="AA158" s="13"/>
    </row>
    <row r="159" ht="16.5" customHeight="1">
      <c r="A159" s="223">
        <f t="shared" si="1"/>
        <v>534</v>
      </c>
      <c r="B159" s="294" t="s">
        <v>3152</v>
      </c>
      <c r="C159" s="37" t="s">
        <v>2622</v>
      </c>
      <c r="D159" s="39" t="s">
        <v>2623</v>
      </c>
      <c r="E159" s="66" t="s">
        <v>2615</v>
      </c>
      <c r="F159" s="107" t="s">
        <v>2624</v>
      </c>
      <c r="G159" s="296"/>
      <c r="H159" s="295" t="b">
        <v>1</v>
      </c>
      <c r="I159" s="285">
        <v>45995.0</v>
      </c>
      <c r="J159" s="256" t="s">
        <v>2674</v>
      </c>
      <c r="K159" s="235" t="b">
        <v>0</v>
      </c>
      <c r="L159" s="35"/>
      <c r="M159" s="35"/>
      <c r="N159" s="13"/>
      <c r="O159" s="13"/>
      <c r="P159" s="13"/>
      <c r="Q159" s="13"/>
      <c r="R159" s="13"/>
      <c r="S159" s="13"/>
      <c r="T159" s="13"/>
      <c r="U159" s="13"/>
      <c r="V159" s="13"/>
      <c r="W159" s="13"/>
      <c r="X159" s="13"/>
      <c r="Y159" s="13"/>
      <c r="Z159" s="13"/>
      <c r="AA159" s="13"/>
    </row>
    <row r="160" ht="16.5" customHeight="1">
      <c r="A160" s="223">
        <f t="shared" si="1"/>
        <v>535</v>
      </c>
      <c r="B160" s="272" t="s">
        <v>2681</v>
      </c>
      <c r="C160" s="196" t="s">
        <v>3155</v>
      </c>
      <c r="D160" s="197" t="s">
        <v>3156</v>
      </c>
      <c r="E160" s="261" t="s">
        <v>3157</v>
      </c>
      <c r="F160" s="198" t="s">
        <v>173</v>
      </c>
      <c r="G160" s="197" t="s">
        <v>3158</v>
      </c>
      <c r="H160" s="297" t="b">
        <v>0</v>
      </c>
      <c r="I160" s="285">
        <v>45995.0</v>
      </c>
      <c r="J160" s="256" t="s">
        <v>2674</v>
      </c>
      <c r="K160" s="235" t="b">
        <v>0</v>
      </c>
      <c r="L160" s="35"/>
      <c r="M160" s="35"/>
      <c r="N160" s="13"/>
      <c r="O160" s="13"/>
      <c r="P160" s="13"/>
      <c r="Q160" s="13"/>
      <c r="R160" s="13"/>
      <c r="S160" s="13"/>
      <c r="T160" s="13"/>
      <c r="U160" s="13"/>
      <c r="V160" s="13"/>
      <c r="W160" s="13"/>
      <c r="X160" s="13"/>
      <c r="Y160" s="13"/>
      <c r="Z160" s="13"/>
      <c r="AA160" s="13"/>
    </row>
    <row r="161" ht="16.5" hidden="1" customHeight="1">
      <c r="A161" s="272">
        <f t="shared" si="1"/>
        <v>536</v>
      </c>
      <c r="B161" s="272" t="s">
        <v>2673</v>
      </c>
      <c r="C161" s="196" t="s">
        <v>3159</v>
      </c>
      <c r="D161" s="197" t="s">
        <v>3160</v>
      </c>
      <c r="E161" s="259" t="s">
        <v>3161</v>
      </c>
      <c r="F161" s="197" t="s">
        <v>3162</v>
      </c>
      <c r="G161" s="197" t="s">
        <v>3163</v>
      </c>
      <c r="H161" s="285"/>
      <c r="I161" s="285">
        <v>45995.0</v>
      </c>
      <c r="J161" s="256" t="s">
        <v>2680</v>
      </c>
      <c r="K161" s="232" t="b">
        <v>0</v>
      </c>
      <c r="L161" s="35"/>
      <c r="M161" s="35"/>
      <c r="N161" s="13"/>
      <c r="O161" s="13"/>
      <c r="P161" s="13"/>
      <c r="Q161" s="13"/>
      <c r="R161" s="13"/>
      <c r="S161" s="13"/>
      <c r="T161" s="13"/>
      <c r="U161" s="13"/>
      <c r="V161" s="13"/>
      <c r="W161" s="13"/>
      <c r="X161" s="13"/>
      <c r="Y161" s="13"/>
      <c r="Z161" s="13"/>
      <c r="AA161" s="13"/>
    </row>
    <row r="162" ht="16.5" customHeight="1">
      <c r="A162" s="223">
        <f t="shared" si="1"/>
        <v>537</v>
      </c>
      <c r="B162" s="272" t="s">
        <v>2733</v>
      </c>
      <c r="C162" s="196" t="s">
        <v>3164</v>
      </c>
      <c r="D162" s="197" t="s">
        <v>3165</v>
      </c>
      <c r="E162" s="261" t="s">
        <v>3166</v>
      </c>
      <c r="F162" s="198" t="s">
        <v>173</v>
      </c>
      <c r="G162" s="197" t="s">
        <v>3167</v>
      </c>
      <c r="H162" s="297" t="b">
        <v>0</v>
      </c>
      <c r="I162" s="285">
        <v>45995.0</v>
      </c>
      <c r="J162" s="256" t="s">
        <v>2674</v>
      </c>
      <c r="K162" s="235" t="b">
        <v>0</v>
      </c>
      <c r="L162" s="35"/>
      <c r="M162" s="35"/>
      <c r="N162" s="13"/>
      <c r="O162" s="13"/>
      <c r="P162" s="13"/>
      <c r="Q162" s="13"/>
      <c r="R162" s="13"/>
      <c r="S162" s="13"/>
      <c r="T162" s="13"/>
      <c r="U162" s="13"/>
      <c r="V162" s="13"/>
      <c r="W162" s="13"/>
      <c r="X162" s="13"/>
      <c r="Y162" s="13"/>
      <c r="Z162" s="13"/>
      <c r="AA162" s="13"/>
    </row>
    <row r="163" ht="16.5" customHeight="1">
      <c r="A163" s="223">
        <f t="shared" si="1"/>
        <v>538</v>
      </c>
      <c r="B163" s="272" t="s">
        <v>2709</v>
      </c>
      <c r="C163" s="196" t="s">
        <v>3168</v>
      </c>
      <c r="D163" s="197" t="s">
        <v>3169</v>
      </c>
      <c r="E163" s="261" t="s">
        <v>3170</v>
      </c>
      <c r="F163" s="262"/>
      <c r="G163" s="197" t="s">
        <v>3171</v>
      </c>
      <c r="H163" s="297" t="b">
        <v>0</v>
      </c>
      <c r="I163" s="285">
        <v>45995.0</v>
      </c>
      <c r="J163" s="256" t="s">
        <v>2674</v>
      </c>
      <c r="K163" s="235" t="b">
        <v>0</v>
      </c>
      <c r="L163" s="35"/>
      <c r="M163" s="35"/>
      <c r="N163" s="13"/>
      <c r="O163" s="13"/>
      <c r="P163" s="13"/>
      <c r="Q163" s="13"/>
      <c r="R163" s="13"/>
      <c r="S163" s="13"/>
      <c r="T163" s="13"/>
      <c r="U163" s="13"/>
      <c r="V163" s="13"/>
      <c r="W163" s="13"/>
      <c r="X163" s="13"/>
      <c r="Y163" s="13"/>
      <c r="Z163" s="13"/>
      <c r="AA163" s="13"/>
    </row>
    <row r="164" ht="16.5" hidden="1" customHeight="1">
      <c r="A164" s="272">
        <f t="shared" si="1"/>
        <v>539</v>
      </c>
      <c r="B164" s="272" t="s">
        <v>2709</v>
      </c>
      <c r="C164" s="196" t="s">
        <v>3172</v>
      </c>
      <c r="D164" s="197" t="s">
        <v>3173</v>
      </c>
      <c r="E164" s="259" t="s">
        <v>3174</v>
      </c>
      <c r="F164" s="287"/>
      <c r="G164" s="298" t="s">
        <v>3175</v>
      </c>
      <c r="H164" s="285"/>
      <c r="I164" s="285">
        <v>45995.0</v>
      </c>
      <c r="J164" s="256" t="s">
        <v>2680</v>
      </c>
      <c r="K164" s="232" t="b">
        <v>0</v>
      </c>
      <c r="L164" s="35"/>
      <c r="M164" s="35"/>
      <c r="N164" s="13"/>
      <c r="O164" s="13"/>
      <c r="P164" s="13"/>
      <c r="Q164" s="13"/>
      <c r="R164" s="13"/>
      <c r="S164" s="13"/>
      <c r="T164" s="13"/>
      <c r="U164" s="13"/>
      <c r="V164" s="13"/>
      <c r="W164" s="13"/>
      <c r="X164" s="13"/>
      <c r="Y164" s="13"/>
      <c r="Z164" s="13"/>
      <c r="AA164" s="13"/>
    </row>
    <row r="165" ht="16.5" hidden="1" customHeight="1">
      <c r="A165" s="272">
        <f t="shared" si="1"/>
        <v>540</v>
      </c>
      <c r="B165" s="294" t="s">
        <v>3176</v>
      </c>
      <c r="C165" s="196" t="s">
        <v>3177</v>
      </c>
      <c r="D165" s="197" t="s">
        <v>3178</v>
      </c>
      <c r="E165" s="299" t="s">
        <v>3179</v>
      </c>
      <c r="F165" s="39" t="s">
        <v>3180</v>
      </c>
      <c r="G165" s="197" t="s">
        <v>3181</v>
      </c>
      <c r="H165" s="285"/>
      <c r="I165" s="285">
        <v>45995.0</v>
      </c>
      <c r="J165" s="256" t="s">
        <v>2680</v>
      </c>
      <c r="K165" s="232" t="b">
        <v>0</v>
      </c>
      <c r="L165" s="35"/>
      <c r="M165" s="35"/>
      <c r="N165" s="13"/>
      <c r="O165" s="13"/>
      <c r="P165" s="13"/>
      <c r="Q165" s="13"/>
      <c r="R165" s="13"/>
      <c r="S165" s="13"/>
      <c r="T165" s="13"/>
      <c r="U165" s="13"/>
      <c r="V165" s="13"/>
      <c r="W165" s="13"/>
      <c r="X165" s="13"/>
      <c r="Y165" s="13"/>
      <c r="Z165" s="13"/>
      <c r="AA165" s="13"/>
    </row>
    <row r="166" ht="16.5" hidden="1" customHeight="1">
      <c r="A166" s="272">
        <f t="shared" si="1"/>
        <v>541</v>
      </c>
      <c r="B166" s="272" t="s">
        <v>2822</v>
      </c>
      <c r="C166" s="196" t="s">
        <v>3182</v>
      </c>
      <c r="D166" s="197" t="s">
        <v>3183</v>
      </c>
      <c r="E166" s="259" t="s">
        <v>3184</v>
      </c>
      <c r="F166" s="197" t="s">
        <v>3185</v>
      </c>
      <c r="G166" s="197" t="s">
        <v>3186</v>
      </c>
      <c r="H166" s="285"/>
      <c r="I166" s="285">
        <v>45995.0</v>
      </c>
      <c r="J166" s="256" t="s">
        <v>2680</v>
      </c>
      <c r="K166" s="232" t="b">
        <v>0</v>
      </c>
      <c r="L166" s="35"/>
      <c r="M166" s="35"/>
      <c r="N166" s="13"/>
      <c r="O166" s="13"/>
      <c r="P166" s="13"/>
      <c r="Q166" s="13"/>
      <c r="R166" s="13"/>
      <c r="S166" s="13"/>
      <c r="T166" s="13"/>
      <c r="U166" s="13"/>
      <c r="V166" s="13"/>
      <c r="W166" s="13"/>
      <c r="X166" s="13"/>
      <c r="Y166" s="13"/>
      <c r="Z166" s="13"/>
      <c r="AA166" s="13"/>
    </row>
    <row r="167" ht="16.5" customHeight="1">
      <c r="A167" s="223">
        <f t="shared" si="1"/>
        <v>542</v>
      </c>
      <c r="B167" s="272" t="s">
        <v>2822</v>
      </c>
      <c r="C167" s="196" t="s">
        <v>3187</v>
      </c>
      <c r="D167" s="197" t="s">
        <v>3188</v>
      </c>
      <c r="E167" s="261" t="s">
        <v>3189</v>
      </c>
      <c r="F167" s="198" t="s">
        <v>173</v>
      </c>
      <c r="G167" s="197" t="s">
        <v>3190</v>
      </c>
      <c r="H167" s="297" t="b">
        <v>0</v>
      </c>
      <c r="I167" s="285">
        <v>45995.0</v>
      </c>
      <c r="J167" s="256" t="s">
        <v>2674</v>
      </c>
      <c r="K167" s="235" t="b">
        <v>0</v>
      </c>
      <c r="L167" s="35"/>
      <c r="M167" s="35"/>
      <c r="N167" s="13"/>
      <c r="O167" s="13"/>
      <c r="P167" s="13"/>
      <c r="Q167" s="13"/>
      <c r="R167" s="13"/>
      <c r="S167" s="13"/>
      <c r="T167" s="13"/>
      <c r="U167" s="13"/>
      <c r="V167" s="13"/>
      <c r="W167" s="13"/>
      <c r="X167" s="13"/>
      <c r="Y167" s="13"/>
      <c r="Z167" s="13"/>
      <c r="AA167" s="13"/>
    </row>
    <row r="168" ht="16.5" customHeight="1">
      <c r="A168" s="223">
        <f t="shared" si="1"/>
        <v>543</v>
      </c>
      <c r="B168" s="272" t="s">
        <v>3191</v>
      </c>
      <c r="C168" s="196" t="s">
        <v>3192</v>
      </c>
      <c r="D168" s="197" t="s">
        <v>3193</v>
      </c>
      <c r="E168" s="261" t="s">
        <v>3194</v>
      </c>
      <c r="F168" s="198" t="s">
        <v>3195</v>
      </c>
      <c r="G168" s="197" t="s">
        <v>3196</v>
      </c>
      <c r="H168" s="297" t="b">
        <v>0</v>
      </c>
      <c r="I168" s="285">
        <v>45996.0</v>
      </c>
      <c r="J168" s="256" t="s">
        <v>2674</v>
      </c>
      <c r="K168" s="235" t="b">
        <v>0</v>
      </c>
      <c r="L168" s="35"/>
      <c r="M168" s="35"/>
      <c r="N168" s="13"/>
      <c r="O168" s="13"/>
      <c r="P168" s="13"/>
      <c r="Q168" s="13"/>
      <c r="R168" s="13"/>
      <c r="S168" s="13"/>
      <c r="T168" s="13"/>
      <c r="U168" s="13"/>
      <c r="V168" s="13"/>
      <c r="W168" s="13"/>
      <c r="X168" s="13"/>
      <c r="Y168" s="13"/>
      <c r="Z168" s="13"/>
      <c r="AA168" s="13"/>
    </row>
    <row r="169" ht="16.5" customHeight="1">
      <c r="A169" s="223">
        <f t="shared" si="1"/>
        <v>544</v>
      </c>
      <c r="B169" s="272" t="s">
        <v>3191</v>
      </c>
      <c r="C169" s="196" t="s">
        <v>3197</v>
      </c>
      <c r="D169" s="197" t="s">
        <v>3198</v>
      </c>
      <c r="E169" s="261" t="s">
        <v>3194</v>
      </c>
      <c r="F169" s="198" t="s">
        <v>3195</v>
      </c>
      <c r="G169" s="197" t="s">
        <v>3196</v>
      </c>
      <c r="H169" s="297" t="b">
        <v>0</v>
      </c>
      <c r="I169" s="285">
        <v>45996.0</v>
      </c>
      <c r="J169" s="256" t="s">
        <v>2674</v>
      </c>
      <c r="K169" s="235" t="b">
        <v>0</v>
      </c>
      <c r="L169" s="35"/>
      <c r="M169" s="35"/>
      <c r="N169" s="13"/>
      <c r="O169" s="13"/>
      <c r="P169" s="13"/>
      <c r="Q169" s="13"/>
      <c r="R169" s="13"/>
      <c r="S169" s="13"/>
      <c r="T169" s="13"/>
      <c r="U169" s="13"/>
      <c r="V169" s="13"/>
      <c r="W169" s="13"/>
      <c r="X169" s="13"/>
      <c r="Y169" s="13"/>
      <c r="Z169" s="13"/>
      <c r="AA169" s="13"/>
    </row>
    <row r="170" ht="16.5" customHeight="1">
      <c r="A170" s="223">
        <f t="shared" si="1"/>
        <v>545</v>
      </c>
      <c r="B170" s="272" t="s">
        <v>3191</v>
      </c>
      <c r="C170" s="196" t="s">
        <v>3199</v>
      </c>
      <c r="D170" s="197" t="s">
        <v>3200</v>
      </c>
      <c r="E170" s="261" t="s">
        <v>3201</v>
      </c>
      <c r="F170" s="198" t="s">
        <v>3202</v>
      </c>
      <c r="G170" s="197" t="s">
        <v>3203</v>
      </c>
      <c r="H170" s="297" t="b">
        <v>0</v>
      </c>
      <c r="I170" s="285">
        <v>45996.0</v>
      </c>
      <c r="J170" s="256" t="s">
        <v>2674</v>
      </c>
      <c r="K170" s="235" t="b">
        <v>0</v>
      </c>
      <c r="L170" s="35"/>
      <c r="M170" s="35"/>
      <c r="N170" s="13"/>
      <c r="O170" s="13"/>
      <c r="P170" s="13"/>
      <c r="Q170" s="13"/>
      <c r="R170" s="13"/>
      <c r="S170" s="13"/>
      <c r="T170" s="13"/>
      <c r="U170" s="13"/>
      <c r="V170" s="13"/>
      <c r="W170" s="13"/>
      <c r="X170" s="13"/>
      <c r="Y170" s="13"/>
      <c r="Z170" s="13"/>
      <c r="AA170" s="13"/>
    </row>
    <row r="171" ht="16.5" customHeight="1">
      <c r="A171" s="223">
        <f t="shared" si="1"/>
        <v>546</v>
      </c>
      <c r="B171" s="272" t="s">
        <v>3191</v>
      </c>
      <c r="C171" s="196" t="s">
        <v>3204</v>
      </c>
      <c r="D171" s="197" t="s">
        <v>3205</v>
      </c>
      <c r="E171" s="261" t="s">
        <v>3206</v>
      </c>
      <c r="F171" s="198" t="s">
        <v>3207</v>
      </c>
      <c r="G171" s="197" t="s">
        <v>3208</v>
      </c>
      <c r="H171" s="297" t="b">
        <v>0</v>
      </c>
      <c r="I171" s="285">
        <v>45996.0</v>
      </c>
      <c r="J171" s="256" t="s">
        <v>2674</v>
      </c>
      <c r="K171" s="235" t="b">
        <v>0</v>
      </c>
      <c r="L171" s="35"/>
      <c r="M171" s="35"/>
      <c r="N171" s="13"/>
      <c r="O171" s="13"/>
      <c r="P171" s="13"/>
      <c r="Q171" s="13"/>
      <c r="R171" s="13"/>
      <c r="S171" s="13"/>
      <c r="T171" s="13"/>
      <c r="U171" s="13"/>
      <c r="V171" s="13"/>
      <c r="W171" s="13"/>
      <c r="X171" s="13"/>
      <c r="Y171" s="13"/>
      <c r="Z171" s="13"/>
      <c r="AA171" s="13"/>
    </row>
    <row r="172" ht="16.5" customHeight="1">
      <c r="A172" s="223">
        <f t="shared" si="1"/>
        <v>547</v>
      </c>
      <c r="B172" s="272" t="s">
        <v>3191</v>
      </c>
      <c r="C172" s="196" t="s">
        <v>3209</v>
      </c>
      <c r="D172" s="197" t="s">
        <v>3210</v>
      </c>
      <c r="E172" s="261" t="s">
        <v>3206</v>
      </c>
      <c r="F172" s="198" t="s">
        <v>3211</v>
      </c>
      <c r="G172" s="197" t="s">
        <v>3212</v>
      </c>
      <c r="H172" s="297" t="b">
        <v>0</v>
      </c>
      <c r="I172" s="285">
        <v>45996.0</v>
      </c>
      <c r="J172" s="256" t="s">
        <v>2674</v>
      </c>
      <c r="K172" s="235" t="b">
        <v>0</v>
      </c>
      <c r="L172" s="35"/>
      <c r="M172" s="35"/>
      <c r="N172" s="13"/>
      <c r="O172" s="13"/>
      <c r="P172" s="13"/>
      <c r="Q172" s="13"/>
      <c r="R172" s="13"/>
      <c r="S172" s="13"/>
      <c r="T172" s="13"/>
      <c r="U172" s="13"/>
      <c r="V172" s="13"/>
      <c r="W172" s="13"/>
      <c r="X172" s="13"/>
      <c r="Y172" s="13"/>
      <c r="Z172" s="13"/>
      <c r="AA172" s="13"/>
    </row>
    <row r="173" ht="16.5" customHeight="1">
      <c r="A173" s="223">
        <f t="shared" si="1"/>
        <v>548</v>
      </c>
      <c r="B173" s="272" t="s">
        <v>3191</v>
      </c>
      <c r="C173" s="196" t="s">
        <v>3213</v>
      </c>
      <c r="D173" s="273" t="s">
        <v>3214</v>
      </c>
      <c r="E173" s="261" t="s">
        <v>3215</v>
      </c>
      <c r="F173" s="198" t="s">
        <v>3216</v>
      </c>
      <c r="G173" s="197" t="s">
        <v>3217</v>
      </c>
      <c r="H173" s="297" t="b">
        <v>0</v>
      </c>
      <c r="I173" s="285">
        <v>45996.0</v>
      </c>
      <c r="J173" s="256" t="s">
        <v>2674</v>
      </c>
      <c r="K173" s="235" t="b">
        <v>0</v>
      </c>
      <c r="L173" s="35"/>
      <c r="M173" s="35"/>
      <c r="N173" s="13"/>
      <c r="O173" s="13"/>
      <c r="P173" s="13"/>
      <c r="Q173" s="13"/>
      <c r="R173" s="13"/>
      <c r="S173" s="13"/>
      <c r="T173" s="13"/>
      <c r="U173" s="13"/>
      <c r="V173" s="13"/>
      <c r="W173" s="13"/>
      <c r="X173" s="13"/>
      <c r="Y173" s="13"/>
      <c r="Z173" s="13"/>
      <c r="AA173" s="13"/>
    </row>
    <row r="174" ht="16.5" customHeight="1">
      <c r="A174" s="223">
        <f t="shared" si="1"/>
        <v>549</v>
      </c>
      <c r="B174" s="272" t="s">
        <v>3191</v>
      </c>
      <c r="C174" s="196" t="s">
        <v>3218</v>
      </c>
      <c r="D174" s="197" t="s">
        <v>3219</v>
      </c>
      <c r="E174" s="261" t="s">
        <v>3220</v>
      </c>
      <c r="F174" s="198" t="s">
        <v>3221</v>
      </c>
      <c r="G174" s="197" t="s">
        <v>2738</v>
      </c>
      <c r="H174" s="297" t="b">
        <v>0</v>
      </c>
      <c r="I174" s="285">
        <v>45996.0</v>
      </c>
      <c r="J174" s="256" t="s">
        <v>2674</v>
      </c>
      <c r="K174" s="235" t="b">
        <v>0</v>
      </c>
      <c r="L174" s="35"/>
      <c r="M174" s="35"/>
      <c r="N174" s="13"/>
      <c r="O174" s="13"/>
      <c r="P174" s="13"/>
      <c r="Q174" s="13"/>
      <c r="R174" s="13"/>
      <c r="S174" s="13"/>
      <c r="T174" s="13"/>
      <c r="U174" s="13"/>
      <c r="V174" s="13"/>
      <c r="W174" s="13"/>
      <c r="X174" s="13"/>
      <c r="Y174" s="13"/>
      <c r="Z174" s="13"/>
      <c r="AA174" s="13"/>
    </row>
    <row r="175" ht="16.5" hidden="1" customHeight="1">
      <c r="A175" s="272">
        <f t="shared" si="1"/>
        <v>550</v>
      </c>
      <c r="B175" s="272" t="s">
        <v>3191</v>
      </c>
      <c r="C175" s="196" t="s">
        <v>3222</v>
      </c>
      <c r="D175" s="197" t="s">
        <v>3223</v>
      </c>
      <c r="E175" s="259" t="s">
        <v>3224</v>
      </c>
      <c r="F175" s="197" t="s">
        <v>3225</v>
      </c>
      <c r="G175" s="197" t="s">
        <v>2738</v>
      </c>
      <c r="H175" s="285"/>
      <c r="I175" s="285">
        <v>45996.0</v>
      </c>
      <c r="J175" s="256" t="s">
        <v>2680</v>
      </c>
      <c r="K175" s="232" t="b">
        <v>0</v>
      </c>
      <c r="L175" s="35"/>
      <c r="M175" s="35"/>
      <c r="N175" s="13"/>
      <c r="O175" s="13"/>
      <c r="P175" s="13"/>
      <c r="Q175" s="13"/>
      <c r="R175" s="13"/>
      <c r="S175" s="13"/>
      <c r="T175" s="13"/>
      <c r="U175" s="13"/>
      <c r="V175" s="13"/>
      <c r="W175" s="13"/>
      <c r="X175" s="13"/>
      <c r="Y175" s="13"/>
      <c r="Z175" s="13"/>
      <c r="AA175" s="13"/>
    </row>
    <row r="176" ht="16.5" customHeight="1">
      <c r="A176" s="223">
        <f t="shared" si="1"/>
        <v>551</v>
      </c>
      <c r="B176" s="272" t="s">
        <v>2839</v>
      </c>
      <c r="C176" s="279" t="s">
        <v>3226</v>
      </c>
      <c r="D176" s="197" t="s">
        <v>3227</v>
      </c>
      <c r="E176" s="261" t="s">
        <v>3228</v>
      </c>
      <c r="F176" s="198" t="s">
        <v>933</v>
      </c>
      <c r="G176" s="197" t="s">
        <v>3229</v>
      </c>
      <c r="H176" s="297" t="b">
        <v>0</v>
      </c>
      <c r="I176" s="285">
        <v>45996.0</v>
      </c>
      <c r="J176" s="256" t="s">
        <v>2674</v>
      </c>
      <c r="K176" s="235" t="b">
        <v>0</v>
      </c>
      <c r="L176" s="35"/>
      <c r="M176" s="35"/>
      <c r="N176" s="13"/>
      <c r="O176" s="13"/>
      <c r="P176" s="13"/>
      <c r="Q176" s="13"/>
      <c r="R176" s="13"/>
      <c r="S176" s="13"/>
      <c r="T176" s="13"/>
      <c r="U176" s="13"/>
      <c r="V176" s="13"/>
      <c r="W176" s="13"/>
      <c r="X176" s="13"/>
      <c r="Y176" s="13"/>
      <c r="Z176" s="13"/>
      <c r="AA176" s="13"/>
    </row>
    <row r="177" ht="16.5" customHeight="1">
      <c r="A177" s="223">
        <f t="shared" si="1"/>
        <v>552</v>
      </c>
      <c r="B177" s="272" t="s">
        <v>2722</v>
      </c>
      <c r="C177" s="196" t="s">
        <v>3230</v>
      </c>
      <c r="D177" s="273" t="s">
        <v>3231</v>
      </c>
      <c r="E177" s="261" t="s">
        <v>3232</v>
      </c>
      <c r="F177" s="267" t="s">
        <v>3233</v>
      </c>
      <c r="G177" s="197" t="s">
        <v>3105</v>
      </c>
      <c r="H177" s="297" t="b">
        <v>0</v>
      </c>
      <c r="I177" s="285">
        <v>45996.0</v>
      </c>
      <c r="J177" s="256" t="s">
        <v>2674</v>
      </c>
      <c r="K177" s="235" t="b">
        <v>0</v>
      </c>
      <c r="L177" s="35"/>
      <c r="M177" s="35"/>
      <c r="N177" s="13"/>
      <c r="O177" s="13"/>
      <c r="P177" s="13"/>
      <c r="Q177" s="13"/>
      <c r="R177" s="13"/>
      <c r="S177" s="13"/>
      <c r="T177" s="13"/>
      <c r="U177" s="13"/>
      <c r="V177" s="13"/>
      <c r="W177" s="13"/>
      <c r="X177" s="13"/>
      <c r="Y177" s="13"/>
      <c r="Z177" s="13"/>
      <c r="AA177" s="13"/>
    </row>
    <row r="178" ht="16.5" customHeight="1">
      <c r="A178" s="223">
        <f t="shared" si="1"/>
        <v>553</v>
      </c>
      <c r="B178" s="272" t="s">
        <v>2687</v>
      </c>
      <c r="C178" s="196" t="s">
        <v>3234</v>
      </c>
      <c r="D178" s="197" t="s">
        <v>3235</v>
      </c>
      <c r="E178" s="261" t="s">
        <v>3236</v>
      </c>
      <c r="F178" s="267" t="s">
        <v>3237</v>
      </c>
      <c r="G178" s="197" t="s">
        <v>3105</v>
      </c>
      <c r="H178" s="297" t="b">
        <v>0</v>
      </c>
      <c r="I178" s="285">
        <v>45996.0</v>
      </c>
      <c r="J178" s="256" t="s">
        <v>2674</v>
      </c>
      <c r="K178" s="235" t="b">
        <v>0</v>
      </c>
      <c r="L178" s="35"/>
      <c r="M178" s="35"/>
      <c r="N178" s="13"/>
      <c r="O178" s="13"/>
      <c r="P178" s="13"/>
      <c r="Q178" s="13"/>
      <c r="R178" s="13"/>
      <c r="S178" s="13"/>
      <c r="T178" s="13"/>
      <c r="U178" s="13"/>
      <c r="V178" s="13"/>
      <c r="W178" s="13"/>
      <c r="X178" s="13"/>
      <c r="Y178" s="13"/>
      <c r="Z178" s="13"/>
      <c r="AA178" s="13"/>
    </row>
    <row r="179" ht="16.5" customHeight="1">
      <c r="A179" s="223">
        <f t="shared" si="1"/>
        <v>554</v>
      </c>
      <c r="B179" s="272" t="s">
        <v>2687</v>
      </c>
      <c r="C179" s="196" t="s">
        <v>3238</v>
      </c>
      <c r="D179" s="197" t="s">
        <v>3239</v>
      </c>
      <c r="E179" s="261" t="s">
        <v>3240</v>
      </c>
      <c r="F179" s="267" t="s">
        <v>3241</v>
      </c>
      <c r="G179" s="197" t="s">
        <v>3105</v>
      </c>
      <c r="H179" s="297" t="b">
        <v>0</v>
      </c>
      <c r="I179" s="285">
        <v>45996.0</v>
      </c>
      <c r="J179" s="256" t="s">
        <v>2674</v>
      </c>
      <c r="K179" s="235" t="b">
        <v>0</v>
      </c>
      <c r="L179" s="35"/>
      <c r="M179" s="35"/>
      <c r="N179" s="13"/>
      <c r="O179" s="13"/>
      <c r="P179" s="13"/>
      <c r="Q179" s="13"/>
      <c r="R179" s="13"/>
      <c r="S179" s="13"/>
      <c r="T179" s="13"/>
      <c r="U179" s="13"/>
      <c r="V179" s="13"/>
      <c r="W179" s="13"/>
      <c r="X179" s="13"/>
      <c r="Y179" s="13"/>
      <c r="Z179" s="13"/>
      <c r="AA179" s="13"/>
    </row>
    <row r="180" ht="16.5" customHeight="1">
      <c r="A180" s="223">
        <f t="shared" si="1"/>
        <v>555</v>
      </c>
      <c r="B180" s="272" t="s">
        <v>2687</v>
      </c>
      <c r="C180" s="196" t="s">
        <v>3242</v>
      </c>
      <c r="D180" s="197" t="s">
        <v>3243</v>
      </c>
      <c r="E180" s="261" t="s">
        <v>3244</v>
      </c>
      <c r="F180" s="267" t="s">
        <v>3245</v>
      </c>
      <c r="G180" s="197" t="s">
        <v>3105</v>
      </c>
      <c r="H180" s="297" t="b">
        <v>0</v>
      </c>
      <c r="I180" s="285">
        <v>45996.0</v>
      </c>
      <c r="J180" s="256" t="s">
        <v>2674</v>
      </c>
      <c r="K180" s="235" t="b">
        <v>0</v>
      </c>
      <c r="L180" s="35"/>
      <c r="M180" s="35"/>
      <c r="N180" s="13"/>
      <c r="O180" s="13"/>
      <c r="P180" s="13"/>
      <c r="Q180" s="13"/>
      <c r="R180" s="13"/>
      <c r="S180" s="13"/>
      <c r="T180" s="13"/>
      <c r="U180" s="13"/>
      <c r="V180" s="13"/>
      <c r="W180" s="13"/>
      <c r="X180" s="13"/>
      <c r="Y180" s="13"/>
      <c r="Z180" s="13"/>
      <c r="AA180" s="13"/>
    </row>
    <row r="181" ht="16.5" customHeight="1">
      <c r="A181" s="223">
        <f t="shared" si="1"/>
        <v>556</v>
      </c>
      <c r="B181" s="272" t="s">
        <v>2687</v>
      </c>
      <c r="C181" s="196" t="s">
        <v>3246</v>
      </c>
      <c r="D181" s="197" t="s">
        <v>3247</v>
      </c>
      <c r="E181" s="261" t="s">
        <v>3248</v>
      </c>
      <c r="F181" s="267" t="s">
        <v>3249</v>
      </c>
      <c r="G181" s="197" t="s">
        <v>3105</v>
      </c>
      <c r="H181" s="297" t="b">
        <v>0</v>
      </c>
      <c r="I181" s="285">
        <v>45996.0</v>
      </c>
      <c r="J181" s="256" t="s">
        <v>2674</v>
      </c>
      <c r="K181" s="235" t="b">
        <v>0</v>
      </c>
      <c r="L181" s="35"/>
      <c r="M181" s="35"/>
      <c r="N181" s="13"/>
      <c r="O181" s="13"/>
      <c r="P181" s="13"/>
      <c r="Q181" s="13"/>
      <c r="R181" s="13"/>
      <c r="S181" s="13"/>
      <c r="T181" s="13"/>
      <c r="U181" s="13"/>
      <c r="V181" s="13"/>
      <c r="W181" s="13"/>
      <c r="X181" s="13"/>
      <c r="Y181" s="13"/>
      <c r="Z181" s="13"/>
      <c r="AA181" s="13"/>
    </row>
    <row r="182" ht="16.5" customHeight="1">
      <c r="A182" s="223">
        <f t="shared" si="1"/>
        <v>557</v>
      </c>
      <c r="B182" s="272" t="s">
        <v>2722</v>
      </c>
      <c r="C182" s="196" t="s">
        <v>3250</v>
      </c>
      <c r="D182" s="197" t="s">
        <v>3251</v>
      </c>
      <c r="E182" s="261" t="s">
        <v>3252</v>
      </c>
      <c r="F182" s="267" t="s">
        <v>3253</v>
      </c>
      <c r="G182" s="197" t="s">
        <v>3105</v>
      </c>
      <c r="H182" s="297" t="b">
        <v>0</v>
      </c>
      <c r="I182" s="285">
        <v>45996.0</v>
      </c>
      <c r="J182" s="256" t="s">
        <v>2674</v>
      </c>
      <c r="K182" s="235" t="b">
        <v>0</v>
      </c>
      <c r="L182" s="35"/>
      <c r="M182" s="35"/>
      <c r="N182" s="13"/>
      <c r="O182" s="13"/>
      <c r="P182" s="13"/>
      <c r="Q182" s="13"/>
      <c r="R182" s="13"/>
      <c r="S182" s="13"/>
      <c r="T182" s="13"/>
      <c r="U182" s="13"/>
      <c r="V182" s="13"/>
      <c r="W182" s="13"/>
      <c r="X182" s="13"/>
      <c r="Y182" s="13"/>
      <c r="Z182" s="13"/>
      <c r="AA182" s="13"/>
    </row>
    <row r="183" ht="16.5" customHeight="1">
      <c r="A183" s="223">
        <f t="shared" si="1"/>
        <v>558</v>
      </c>
      <c r="B183" s="272" t="s">
        <v>2709</v>
      </c>
      <c r="C183" s="196" t="s">
        <v>3254</v>
      </c>
      <c r="D183" s="197" t="s">
        <v>3255</v>
      </c>
      <c r="E183" s="261" t="s">
        <v>3256</v>
      </c>
      <c r="F183" s="198" t="s">
        <v>3257</v>
      </c>
      <c r="G183" s="197" t="s">
        <v>3258</v>
      </c>
      <c r="H183" s="258" t="b">
        <v>0</v>
      </c>
      <c r="I183" s="256" t="s">
        <v>3259</v>
      </c>
      <c r="J183" s="256" t="s">
        <v>2674</v>
      </c>
      <c r="K183" s="235" t="b">
        <v>0</v>
      </c>
      <c r="L183" s="35"/>
      <c r="M183" s="35"/>
      <c r="N183" s="13"/>
      <c r="O183" s="13"/>
      <c r="P183" s="13"/>
      <c r="Q183" s="13"/>
      <c r="R183" s="13"/>
      <c r="S183" s="13"/>
      <c r="T183" s="13"/>
      <c r="U183" s="13"/>
      <c r="V183" s="13"/>
      <c r="W183" s="13"/>
      <c r="X183" s="13"/>
      <c r="Y183" s="13"/>
      <c r="Z183" s="13"/>
      <c r="AA183" s="13"/>
    </row>
    <row r="184" ht="16.5" customHeight="1">
      <c r="A184" s="223">
        <f t="shared" si="1"/>
        <v>559</v>
      </c>
      <c r="B184" s="272" t="s">
        <v>2709</v>
      </c>
      <c r="C184" s="196" t="s">
        <v>3260</v>
      </c>
      <c r="D184" s="197" t="s">
        <v>3261</v>
      </c>
      <c r="E184" s="261" t="s">
        <v>3256</v>
      </c>
      <c r="F184" s="198" t="s">
        <v>3262</v>
      </c>
      <c r="G184" s="197" t="s">
        <v>3263</v>
      </c>
      <c r="H184" s="258" t="b">
        <v>0</v>
      </c>
      <c r="I184" s="256" t="s">
        <v>3259</v>
      </c>
      <c r="J184" s="256" t="s">
        <v>2674</v>
      </c>
      <c r="K184" s="235" t="b">
        <v>0</v>
      </c>
      <c r="L184" s="35"/>
      <c r="M184" s="35"/>
      <c r="N184" s="13"/>
      <c r="O184" s="13"/>
      <c r="P184" s="13"/>
      <c r="Q184" s="13"/>
      <c r="R184" s="13"/>
      <c r="S184" s="13"/>
      <c r="T184" s="13"/>
      <c r="U184" s="13"/>
      <c r="V184" s="13"/>
      <c r="W184" s="13"/>
      <c r="X184" s="13"/>
      <c r="Y184" s="13"/>
      <c r="Z184" s="13"/>
      <c r="AA184" s="13"/>
    </row>
    <row r="185" ht="16.5" customHeight="1">
      <c r="A185" s="223">
        <f t="shared" si="1"/>
        <v>560</v>
      </c>
      <c r="B185" s="272" t="s">
        <v>2850</v>
      </c>
      <c r="C185" s="196" t="s">
        <v>3264</v>
      </c>
      <c r="D185" s="197" t="s">
        <v>3265</v>
      </c>
      <c r="E185" s="261" t="s">
        <v>3266</v>
      </c>
      <c r="F185" s="198" t="s">
        <v>3267</v>
      </c>
      <c r="G185" s="197" t="s">
        <v>3268</v>
      </c>
      <c r="H185" s="258" t="b">
        <v>0</v>
      </c>
      <c r="I185" s="256" t="s">
        <v>3259</v>
      </c>
      <c r="J185" s="256" t="s">
        <v>2674</v>
      </c>
      <c r="K185" s="235" t="b">
        <v>0</v>
      </c>
      <c r="L185" s="35"/>
      <c r="M185" s="35"/>
      <c r="N185" s="13"/>
      <c r="O185" s="13"/>
      <c r="P185" s="13"/>
      <c r="Q185" s="13"/>
      <c r="R185" s="13"/>
      <c r="S185" s="13"/>
      <c r="T185" s="13"/>
      <c r="U185" s="13"/>
      <c r="V185" s="13"/>
      <c r="W185" s="13"/>
      <c r="X185" s="13"/>
      <c r="Y185" s="13"/>
      <c r="Z185" s="13"/>
      <c r="AA185" s="13"/>
    </row>
    <row r="186" ht="16.5" customHeight="1">
      <c r="A186" s="223">
        <f t="shared" si="1"/>
        <v>561</v>
      </c>
      <c r="B186" s="272" t="s">
        <v>2709</v>
      </c>
      <c r="C186" s="196" t="s">
        <v>3269</v>
      </c>
      <c r="D186" s="197" t="s">
        <v>3270</v>
      </c>
      <c r="E186" s="261" t="s">
        <v>3266</v>
      </c>
      <c r="F186" s="198" t="s">
        <v>3271</v>
      </c>
      <c r="G186" s="197" t="s">
        <v>2496</v>
      </c>
      <c r="H186" s="258" t="b">
        <v>0</v>
      </c>
      <c r="I186" s="256" t="s">
        <v>3259</v>
      </c>
      <c r="J186" s="256" t="s">
        <v>2674</v>
      </c>
      <c r="K186" s="235" t="b">
        <v>0</v>
      </c>
      <c r="L186" s="35"/>
      <c r="M186" s="35"/>
      <c r="N186" s="13"/>
      <c r="O186" s="13"/>
      <c r="P186" s="13"/>
      <c r="Q186" s="13"/>
      <c r="R186" s="13"/>
      <c r="S186" s="13"/>
      <c r="T186" s="13"/>
      <c r="U186" s="13"/>
      <c r="V186" s="13"/>
      <c r="W186" s="13"/>
      <c r="X186" s="13"/>
      <c r="Y186" s="13"/>
      <c r="Z186" s="13"/>
      <c r="AA186" s="13"/>
    </row>
    <row r="187" ht="16.5" customHeight="1">
      <c r="A187" s="223">
        <f t="shared" si="1"/>
        <v>562</v>
      </c>
      <c r="B187" s="272" t="s">
        <v>2795</v>
      </c>
      <c r="C187" s="196" t="s">
        <v>3272</v>
      </c>
      <c r="D187" s="300" t="s">
        <v>3273</v>
      </c>
      <c r="E187" s="264" t="s">
        <v>3274</v>
      </c>
      <c r="F187" s="262"/>
      <c r="G187" s="197" t="s">
        <v>3275</v>
      </c>
      <c r="H187" s="258" t="b">
        <v>0</v>
      </c>
      <c r="I187" s="256" t="s">
        <v>3259</v>
      </c>
      <c r="J187" s="256" t="s">
        <v>2674</v>
      </c>
      <c r="K187" s="235" t="b">
        <v>0</v>
      </c>
      <c r="L187" s="35"/>
      <c r="M187" s="35"/>
      <c r="N187" s="13"/>
      <c r="O187" s="13"/>
      <c r="P187" s="13"/>
      <c r="Q187" s="13"/>
      <c r="R187" s="13"/>
      <c r="S187" s="13"/>
      <c r="T187" s="13"/>
      <c r="U187" s="13"/>
      <c r="V187" s="13"/>
      <c r="W187" s="13"/>
      <c r="X187" s="13"/>
      <c r="Y187" s="13"/>
      <c r="Z187" s="13"/>
      <c r="AA187" s="13"/>
    </row>
    <row r="188" ht="16.5" customHeight="1">
      <c r="A188" s="223">
        <f t="shared" si="1"/>
        <v>563</v>
      </c>
      <c r="B188" s="272" t="s">
        <v>2709</v>
      </c>
      <c r="C188" s="196" t="s">
        <v>2625</v>
      </c>
      <c r="D188" s="197" t="s">
        <v>2626</v>
      </c>
      <c r="E188" s="257" t="s">
        <v>2544</v>
      </c>
      <c r="F188" s="266" t="s">
        <v>2627</v>
      </c>
      <c r="G188" s="197" t="s">
        <v>2496</v>
      </c>
      <c r="H188" s="258" t="b">
        <v>1</v>
      </c>
      <c r="I188" s="256" t="s">
        <v>3276</v>
      </c>
      <c r="J188" s="256" t="s">
        <v>2674</v>
      </c>
      <c r="K188" s="235" t="b">
        <v>0</v>
      </c>
      <c r="L188" s="35"/>
      <c r="M188" s="35"/>
      <c r="N188" s="13"/>
      <c r="O188" s="13"/>
      <c r="P188" s="13"/>
      <c r="Q188" s="13"/>
      <c r="R188" s="13"/>
      <c r="S188" s="13"/>
      <c r="T188" s="13"/>
      <c r="U188" s="13"/>
      <c r="V188" s="13"/>
      <c r="W188" s="13"/>
      <c r="X188" s="13"/>
      <c r="Y188" s="13"/>
      <c r="Z188" s="13"/>
      <c r="AA188" s="13"/>
    </row>
    <row r="189" ht="16.5" customHeight="1">
      <c r="A189" s="223">
        <f t="shared" si="1"/>
        <v>564</v>
      </c>
      <c r="B189" s="272" t="s">
        <v>2709</v>
      </c>
      <c r="C189" s="196" t="s">
        <v>2629</v>
      </c>
      <c r="D189" s="197" t="s">
        <v>2630</v>
      </c>
      <c r="E189" s="257" t="s">
        <v>2544</v>
      </c>
      <c r="F189" s="266" t="s">
        <v>2631</v>
      </c>
      <c r="G189" s="197" t="s">
        <v>2496</v>
      </c>
      <c r="H189" s="258" t="b">
        <v>1</v>
      </c>
      <c r="I189" s="256" t="s">
        <v>3276</v>
      </c>
      <c r="J189" s="256" t="s">
        <v>2674</v>
      </c>
      <c r="K189" s="235" t="b">
        <v>0</v>
      </c>
      <c r="L189" s="35"/>
      <c r="M189" s="35"/>
      <c r="N189" s="13"/>
      <c r="O189" s="13"/>
      <c r="P189" s="13"/>
      <c r="Q189" s="13"/>
      <c r="R189" s="13"/>
      <c r="S189" s="13"/>
      <c r="T189" s="13"/>
      <c r="U189" s="13"/>
      <c r="V189" s="13"/>
      <c r="W189" s="13"/>
      <c r="X189" s="13"/>
      <c r="Y189" s="13"/>
      <c r="Z189" s="13"/>
      <c r="AA189" s="13"/>
    </row>
    <row r="190" ht="16.5" customHeight="1">
      <c r="A190" s="223">
        <f t="shared" si="1"/>
        <v>565</v>
      </c>
      <c r="B190" s="272" t="s">
        <v>2709</v>
      </c>
      <c r="C190" s="196" t="s">
        <v>3277</v>
      </c>
      <c r="D190" s="197" t="s">
        <v>2634</v>
      </c>
      <c r="E190" s="257" t="s">
        <v>2544</v>
      </c>
      <c r="F190" s="266" t="s">
        <v>2635</v>
      </c>
      <c r="G190" s="197" t="s">
        <v>2496</v>
      </c>
      <c r="H190" s="258" t="b">
        <v>1</v>
      </c>
      <c r="I190" s="256" t="s">
        <v>3276</v>
      </c>
      <c r="J190" s="256" t="s">
        <v>2674</v>
      </c>
      <c r="K190" s="235" t="b">
        <v>0</v>
      </c>
      <c r="L190" s="35"/>
      <c r="M190" s="35"/>
      <c r="N190" s="13"/>
      <c r="O190" s="13"/>
      <c r="P190" s="13"/>
      <c r="Q190" s="13"/>
      <c r="R190" s="13"/>
      <c r="S190" s="13"/>
      <c r="T190" s="13"/>
      <c r="U190" s="13"/>
      <c r="V190" s="13"/>
      <c r="W190" s="13"/>
      <c r="X190" s="13"/>
      <c r="Y190" s="13"/>
      <c r="Z190" s="13"/>
      <c r="AA190" s="13"/>
    </row>
    <row r="191" ht="16.5" customHeight="1">
      <c r="A191" s="223">
        <f t="shared" si="1"/>
        <v>566</v>
      </c>
      <c r="B191" s="272" t="s">
        <v>2709</v>
      </c>
      <c r="C191" s="196" t="s">
        <v>2637</v>
      </c>
      <c r="D191" s="197" t="s">
        <v>2638</v>
      </c>
      <c r="E191" s="257" t="s">
        <v>2544</v>
      </c>
      <c r="F191" s="266" t="s">
        <v>2639</v>
      </c>
      <c r="G191" s="287"/>
      <c r="H191" s="258" t="b">
        <v>1</v>
      </c>
      <c r="I191" s="256" t="s">
        <v>3276</v>
      </c>
      <c r="J191" s="256" t="s">
        <v>2674</v>
      </c>
      <c r="K191" s="235" t="b">
        <v>0</v>
      </c>
      <c r="L191" s="35"/>
      <c r="M191" s="35"/>
      <c r="N191" s="13"/>
      <c r="O191" s="13"/>
      <c r="P191" s="13"/>
      <c r="Q191" s="13"/>
      <c r="R191" s="13"/>
      <c r="S191" s="13"/>
      <c r="T191" s="13"/>
      <c r="U191" s="13"/>
      <c r="V191" s="13"/>
      <c r="W191" s="13"/>
      <c r="X191" s="13"/>
      <c r="Y191" s="13"/>
      <c r="Z191" s="13"/>
      <c r="AA191" s="13"/>
    </row>
    <row r="192" ht="16.5" customHeight="1">
      <c r="A192" s="223">
        <f t="shared" si="1"/>
        <v>567</v>
      </c>
      <c r="B192" s="272" t="s">
        <v>2709</v>
      </c>
      <c r="C192" s="196" t="s">
        <v>2640</v>
      </c>
      <c r="D192" s="301" t="s">
        <v>2641</v>
      </c>
      <c r="E192" s="257" t="s">
        <v>2642</v>
      </c>
      <c r="F192" s="266" t="s">
        <v>2643</v>
      </c>
      <c r="G192" s="301" t="s">
        <v>2641</v>
      </c>
      <c r="H192" s="258" t="b">
        <v>1</v>
      </c>
      <c r="I192" s="256" t="s">
        <v>3276</v>
      </c>
      <c r="J192" s="256" t="s">
        <v>2674</v>
      </c>
      <c r="K192" s="235" t="b">
        <v>0</v>
      </c>
      <c r="L192" s="35"/>
      <c r="M192" s="35"/>
      <c r="N192" s="13"/>
      <c r="O192" s="13"/>
      <c r="P192" s="13"/>
      <c r="Q192" s="13"/>
      <c r="R192" s="13"/>
      <c r="S192" s="13"/>
      <c r="T192" s="13"/>
      <c r="U192" s="13"/>
      <c r="V192" s="13"/>
      <c r="W192" s="13"/>
      <c r="X192" s="13"/>
      <c r="Y192" s="13"/>
      <c r="Z192" s="13"/>
      <c r="AA192" s="13"/>
    </row>
    <row r="193" ht="16.5" customHeight="1">
      <c r="A193" s="223">
        <f t="shared" si="1"/>
        <v>568</v>
      </c>
      <c r="B193" s="272" t="s">
        <v>2709</v>
      </c>
      <c r="C193" s="196" t="s">
        <v>2644</v>
      </c>
      <c r="D193" s="197" t="s">
        <v>2645</v>
      </c>
      <c r="E193" s="257" t="s">
        <v>2544</v>
      </c>
      <c r="F193" s="266" t="s">
        <v>2646</v>
      </c>
      <c r="G193" s="197" t="s">
        <v>2496</v>
      </c>
      <c r="H193" s="258" t="b">
        <v>1</v>
      </c>
      <c r="I193" s="256" t="s">
        <v>3276</v>
      </c>
      <c r="J193" s="256" t="s">
        <v>2674</v>
      </c>
      <c r="K193" s="235" t="b">
        <v>0</v>
      </c>
      <c r="L193" s="35"/>
      <c r="M193" s="35"/>
      <c r="N193" s="13"/>
      <c r="O193" s="13"/>
      <c r="P193" s="13"/>
      <c r="Q193" s="13"/>
      <c r="R193" s="13"/>
      <c r="S193" s="13"/>
      <c r="T193" s="13"/>
      <c r="U193" s="13"/>
      <c r="V193" s="13"/>
      <c r="W193" s="13"/>
      <c r="X193" s="13"/>
      <c r="Y193" s="13"/>
      <c r="Z193" s="13"/>
      <c r="AA193" s="13"/>
    </row>
    <row r="194" ht="16.5" customHeight="1">
      <c r="A194" s="223">
        <f t="shared" si="1"/>
        <v>569</v>
      </c>
      <c r="B194" s="272" t="s">
        <v>2709</v>
      </c>
      <c r="C194" s="196" t="s">
        <v>3278</v>
      </c>
      <c r="D194" s="197" t="s">
        <v>3279</v>
      </c>
      <c r="E194" s="261" t="s">
        <v>3280</v>
      </c>
      <c r="F194" s="198" t="s">
        <v>3280</v>
      </c>
      <c r="G194" s="197" t="s">
        <v>2496</v>
      </c>
      <c r="H194" s="258" t="b">
        <v>0</v>
      </c>
      <c r="I194" s="256" t="s">
        <v>3259</v>
      </c>
      <c r="J194" s="256" t="s">
        <v>2674</v>
      </c>
      <c r="K194" s="235" t="b">
        <v>0</v>
      </c>
      <c r="L194" s="35"/>
      <c r="M194" s="35"/>
      <c r="N194" s="13"/>
      <c r="O194" s="13"/>
      <c r="P194" s="13"/>
      <c r="Q194" s="13"/>
      <c r="R194" s="13"/>
      <c r="S194" s="13"/>
      <c r="T194" s="13"/>
      <c r="U194" s="13"/>
      <c r="V194" s="13"/>
      <c r="W194" s="13"/>
      <c r="X194" s="13"/>
      <c r="Y194" s="13"/>
      <c r="Z194" s="13"/>
      <c r="AA194" s="13"/>
    </row>
    <row r="195" ht="16.5" customHeight="1">
      <c r="A195" s="223">
        <f t="shared" si="1"/>
        <v>570</v>
      </c>
      <c r="B195" s="272" t="s">
        <v>2709</v>
      </c>
      <c r="C195" s="196" t="s">
        <v>3281</v>
      </c>
      <c r="D195" s="197" t="s">
        <v>3282</v>
      </c>
      <c r="E195" s="261" t="s">
        <v>3283</v>
      </c>
      <c r="F195" s="198" t="s">
        <v>3283</v>
      </c>
      <c r="G195" s="197" t="s">
        <v>2496</v>
      </c>
      <c r="H195" s="258" t="b">
        <v>0</v>
      </c>
      <c r="I195" s="256" t="s">
        <v>3284</v>
      </c>
      <c r="J195" s="256" t="s">
        <v>2674</v>
      </c>
      <c r="K195" s="235" t="b">
        <v>0</v>
      </c>
      <c r="L195" s="35"/>
      <c r="M195" s="35"/>
      <c r="N195" s="13"/>
      <c r="O195" s="13"/>
      <c r="P195" s="13"/>
      <c r="Q195" s="13"/>
      <c r="R195" s="13"/>
      <c r="S195" s="13"/>
      <c r="T195" s="13"/>
      <c r="U195" s="13"/>
      <c r="V195" s="13"/>
      <c r="W195" s="13"/>
      <c r="X195" s="13"/>
      <c r="Y195" s="13"/>
      <c r="Z195" s="13"/>
      <c r="AA195" s="13"/>
    </row>
    <row r="196" ht="16.5" customHeight="1">
      <c r="A196" s="223">
        <f t="shared" si="1"/>
        <v>571</v>
      </c>
      <c r="B196" s="272" t="s">
        <v>2709</v>
      </c>
      <c r="C196" s="196" t="s">
        <v>3285</v>
      </c>
      <c r="D196" s="197" t="s">
        <v>3286</v>
      </c>
      <c r="E196" s="261" t="s">
        <v>3283</v>
      </c>
      <c r="F196" s="198" t="s">
        <v>3283</v>
      </c>
      <c r="G196" s="197" t="s">
        <v>2496</v>
      </c>
      <c r="H196" s="258" t="b">
        <v>0</v>
      </c>
      <c r="I196" s="256" t="s">
        <v>3284</v>
      </c>
      <c r="J196" s="256" t="s">
        <v>2674</v>
      </c>
      <c r="K196" s="235" t="b">
        <v>0</v>
      </c>
      <c r="L196" s="35"/>
      <c r="M196" s="35"/>
      <c r="N196" s="13"/>
      <c r="O196" s="13"/>
      <c r="P196" s="13"/>
      <c r="Q196" s="13"/>
      <c r="R196" s="13"/>
      <c r="S196" s="13"/>
      <c r="T196" s="13"/>
      <c r="U196" s="13"/>
      <c r="V196" s="13"/>
      <c r="W196" s="13"/>
      <c r="X196" s="13"/>
      <c r="Y196" s="13"/>
      <c r="Z196" s="13"/>
      <c r="AA196" s="13"/>
    </row>
    <row r="197" ht="16.5" hidden="1" customHeight="1">
      <c r="A197" s="272">
        <f t="shared" si="1"/>
        <v>572</v>
      </c>
      <c r="B197" s="272" t="s">
        <v>2709</v>
      </c>
      <c r="C197" s="196" t="s">
        <v>3287</v>
      </c>
      <c r="D197" s="197" t="s">
        <v>3288</v>
      </c>
      <c r="E197" s="259" t="s">
        <v>3289</v>
      </c>
      <c r="F197" s="197" t="s">
        <v>3289</v>
      </c>
      <c r="G197" s="197" t="s">
        <v>2496</v>
      </c>
      <c r="H197" s="256"/>
      <c r="I197" s="256" t="s">
        <v>3284</v>
      </c>
      <c r="J197" s="256" t="s">
        <v>2680</v>
      </c>
      <c r="K197" s="232" t="b">
        <v>0</v>
      </c>
      <c r="L197" s="35"/>
      <c r="M197" s="35"/>
      <c r="N197" s="13"/>
      <c r="O197" s="13"/>
      <c r="P197" s="13"/>
      <c r="Q197" s="13"/>
      <c r="R197" s="13"/>
      <c r="S197" s="13"/>
      <c r="T197" s="13"/>
      <c r="U197" s="13"/>
      <c r="V197" s="13"/>
      <c r="W197" s="13"/>
      <c r="X197" s="13"/>
      <c r="Y197" s="13"/>
      <c r="Z197" s="13"/>
      <c r="AA197" s="13"/>
    </row>
    <row r="198" ht="16.5" customHeight="1">
      <c r="A198" s="223">
        <f t="shared" si="1"/>
        <v>573</v>
      </c>
      <c r="B198" s="272" t="s">
        <v>2709</v>
      </c>
      <c r="C198" s="196" t="s">
        <v>3290</v>
      </c>
      <c r="D198" s="197" t="s">
        <v>3291</v>
      </c>
      <c r="E198" s="261" t="s">
        <v>3292</v>
      </c>
      <c r="F198" s="198" t="s">
        <v>3292</v>
      </c>
      <c r="G198" s="197" t="s">
        <v>2496</v>
      </c>
      <c r="H198" s="258" t="b">
        <v>0</v>
      </c>
      <c r="I198" s="256" t="s">
        <v>3284</v>
      </c>
      <c r="J198" s="256" t="s">
        <v>2674</v>
      </c>
      <c r="K198" s="235" t="b">
        <v>0</v>
      </c>
      <c r="L198" s="35"/>
      <c r="M198" s="35"/>
      <c r="N198" s="13"/>
      <c r="O198" s="13"/>
      <c r="P198" s="13"/>
      <c r="Q198" s="13"/>
      <c r="R198" s="13"/>
      <c r="S198" s="13"/>
      <c r="T198" s="13"/>
      <c r="U198" s="13"/>
      <c r="V198" s="13"/>
      <c r="W198" s="13"/>
      <c r="X198" s="13"/>
      <c r="Y198" s="13"/>
      <c r="Z198" s="13"/>
      <c r="AA198" s="13"/>
    </row>
    <row r="199" ht="16.5" customHeight="1">
      <c r="A199" s="223">
        <f t="shared" si="1"/>
        <v>574</v>
      </c>
      <c r="B199" s="272" t="s">
        <v>2709</v>
      </c>
      <c r="C199" s="196" t="s">
        <v>3293</v>
      </c>
      <c r="D199" s="197" t="s">
        <v>3294</v>
      </c>
      <c r="E199" s="257" t="s">
        <v>3295</v>
      </c>
      <c r="F199" s="266" t="s">
        <v>641</v>
      </c>
      <c r="G199" s="197" t="s">
        <v>3296</v>
      </c>
      <c r="H199" s="258" t="b">
        <v>1</v>
      </c>
      <c r="I199" s="256" t="s">
        <v>3297</v>
      </c>
      <c r="J199" s="256" t="s">
        <v>2674</v>
      </c>
      <c r="K199" s="235" t="b">
        <v>0</v>
      </c>
      <c r="L199" s="35"/>
      <c r="M199" s="35"/>
      <c r="N199" s="13"/>
      <c r="O199" s="13"/>
      <c r="P199" s="13"/>
      <c r="Q199" s="13"/>
      <c r="R199" s="13"/>
      <c r="S199" s="13"/>
      <c r="T199" s="13"/>
      <c r="U199" s="13"/>
      <c r="V199" s="13"/>
      <c r="W199" s="13"/>
      <c r="X199" s="13"/>
      <c r="Y199" s="13"/>
      <c r="Z199" s="13"/>
      <c r="AA199" s="13"/>
    </row>
    <row r="200" ht="16.5" customHeight="1">
      <c r="A200" s="223">
        <f t="shared" si="1"/>
        <v>575</v>
      </c>
      <c r="B200" s="272" t="s">
        <v>2709</v>
      </c>
      <c r="C200" s="196" t="s">
        <v>3298</v>
      </c>
      <c r="D200" s="197" t="s">
        <v>3299</v>
      </c>
      <c r="E200" s="257" t="s">
        <v>3295</v>
      </c>
      <c r="F200" s="266" t="s">
        <v>3300</v>
      </c>
      <c r="G200" s="197" t="s">
        <v>3301</v>
      </c>
      <c r="H200" s="258" t="b">
        <v>1</v>
      </c>
      <c r="I200" s="256" t="s">
        <v>3297</v>
      </c>
      <c r="J200" s="256" t="s">
        <v>2674</v>
      </c>
      <c r="K200" s="235" t="b">
        <v>0</v>
      </c>
      <c r="L200" s="35"/>
      <c r="M200" s="35"/>
      <c r="N200" s="13"/>
      <c r="O200" s="13"/>
      <c r="P200" s="13"/>
      <c r="Q200" s="13"/>
      <c r="R200" s="13"/>
      <c r="S200" s="13"/>
      <c r="T200" s="13"/>
      <c r="U200" s="13"/>
      <c r="V200" s="13"/>
      <c r="W200" s="13"/>
      <c r="X200" s="13"/>
      <c r="Y200" s="13"/>
      <c r="Z200" s="13"/>
      <c r="AA200" s="13"/>
    </row>
    <row r="201" ht="16.5" customHeight="1">
      <c r="A201" s="223">
        <f t="shared" si="1"/>
        <v>576</v>
      </c>
      <c r="B201" s="272" t="s">
        <v>2709</v>
      </c>
      <c r="C201" s="196" t="s">
        <v>3302</v>
      </c>
      <c r="D201" s="197" t="s">
        <v>3303</v>
      </c>
      <c r="E201" s="257" t="s">
        <v>3295</v>
      </c>
      <c r="F201" s="266" t="s">
        <v>917</v>
      </c>
      <c r="G201" s="197" t="s">
        <v>3304</v>
      </c>
      <c r="H201" s="258" t="b">
        <v>0</v>
      </c>
      <c r="I201" s="256" t="s">
        <v>3297</v>
      </c>
      <c r="J201" s="256" t="s">
        <v>2674</v>
      </c>
      <c r="K201" s="235" t="b">
        <v>0</v>
      </c>
      <c r="L201" s="35"/>
      <c r="M201" s="35"/>
      <c r="N201" s="13"/>
      <c r="O201" s="13"/>
      <c r="P201" s="13"/>
      <c r="Q201" s="13"/>
      <c r="R201" s="13"/>
      <c r="S201" s="13"/>
      <c r="T201" s="13"/>
      <c r="U201" s="13"/>
      <c r="V201" s="13"/>
      <c r="W201" s="13"/>
      <c r="X201" s="13"/>
      <c r="Y201" s="13"/>
      <c r="Z201" s="13"/>
      <c r="AA201" s="13"/>
    </row>
    <row r="202" ht="16.5" customHeight="1">
      <c r="A202" s="223">
        <f t="shared" si="1"/>
        <v>577</v>
      </c>
      <c r="B202" s="272" t="s">
        <v>2709</v>
      </c>
      <c r="C202" s="196" t="s">
        <v>3305</v>
      </c>
      <c r="D202" s="197" t="s">
        <v>3306</v>
      </c>
      <c r="E202" s="257" t="s">
        <v>3295</v>
      </c>
      <c r="F202" s="198" t="s">
        <v>1780</v>
      </c>
      <c r="G202" s="197" t="s">
        <v>3304</v>
      </c>
      <c r="H202" s="258" t="b">
        <v>0</v>
      </c>
      <c r="I202" s="256" t="s">
        <v>3297</v>
      </c>
      <c r="J202" s="256" t="s">
        <v>2674</v>
      </c>
      <c r="K202" s="235" t="b">
        <v>0</v>
      </c>
      <c r="L202" s="64"/>
      <c r="M202" s="35"/>
      <c r="N202" s="13"/>
      <c r="O202" s="13"/>
      <c r="P202" s="13"/>
      <c r="Q202" s="13"/>
      <c r="R202" s="13"/>
      <c r="S202" s="13"/>
      <c r="T202" s="13"/>
      <c r="U202" s="13"/>
      <c r="V202" s="13"/>
      <c r="W202" s="13"/>
      <c r="X202" s="13"/>
      <c r="Y202" s="13"/>
      <c r="Z202" s="13"/>
      <c r="AA202" s="13"/>
    </row>
    <row r="203" ht="16.5" customHeight="1">
      <c r="A203" s="223">
        <f t="shared" si="1"/>
        <v>578</v>
      </c>
      <c r="B203" s="272" t="s">
        <v>2709</v>
      </c>
      <c r="C203" s="196" t="s">
        <v>3307</v>
      </c>
      <c r="D203" s="197" t="s">
        <v>3308</v>
      </c>
      <c r="E203" s="257" t="s">
        <v>3295</v>
      </c>
      <c r="F203" s="198" t="s">
        <v>575</v>
      </c>
      <c r="G203" s="197" t="s">
        <v>3308</v>
      </c>
      <c r="H203" s="258" t="b">
        <v>0</v>
      </c>
      <c r="I203" s="256" t="s">
        <v>3297</v>
      </c>
      <c r="J203" s="256" t="s">
        <v>2674</v>
      </c>
      <c r="K203" s="235" t="b">
        <v>0</v>
      </c>
      <c r="L203" s="35"/>
      <c r="M203" s="35"/>
      <c r="N203" s="13"/>
      <c r="O203" s="13"/>
      <c r="P203" s="13"/>
      <c r="Q203" s="13"/>
      <c r="R203" s="13"/>
      <c r="S203" s="13"/>
      <c r="T203" s="13"/>
      <c r="U203" s="13"/>
      <c r="V203" s="13"/>
      <c r="W203" s="13"/>
      <c r="X203" s="13"/>
      <c r="Y203" s="13"/>
      <c r="Z203" s="13"/>
      <c r="AA203" s="13"/>
    </row>
    <row r="204" ht="16.5" customHeight="1">
      <c r="A204" s="223">
        <f t="shared" si="1"/>
        <v>579</v>
      </c>
      <c r="B204" s="272" t="s">
        <v>2709</v>
      </c>
      <c r="C204" s="196" t="s">
        <v>3309</v>
      </c>
      <c r="D204" s="197" t="s">
        <v>3310</v>
      </c>
      <c r="E204" s="257" t="s">
        <v>3295</v>
      </c>
      <c r="F204" s="198" t="s">
        <v>122</v>
      </c>
      <c r="G204" s="197" t="s">
        <v>3311</v>
      </c>
      <c r="H204" s="258" t="b">
        <v>0</v>
      </c>
      <c r="I204" s="256" t="s">
        <v>3297</v>
      </c>
      <c r="J204" s="256" t="s">
        <v>2674</v>
      </c>
      <c r="K204" s="235" t="b">
        <v>0</v>
      </c>
      <c r="L204" s="35"/>
      <c r="M204" s="35"/>
      <c r="N204" s="13"/>
      <c r="O204" s="13"/>
      <c r="P204" s="13"/>
      <c r="Q204" s="13"/>
      <c r="R204" s="13"/>
      <c r="S204" s="13"/>
      <c r="T204" s="13"/>
      <c r="U204" s="13"/>
      <c r="V204" s="13"/>
      <c r="W204" s="13"/>
      <c r="X204" s="13"/>
      <c r="Y204" s="13"/>
      <c r="Z204" s="13"/>
      <c r="AA204" s="13"/>
    </row>
    <row r="205" ht="16.5" customHeight="1">
      <c r="A205" s="223">
        <f t="shared" si="1"/>
        <v>580</v>
      </c>
      <c r="B205" s="272" t="s">
        <v>2709</v>
      </c>
      <c r="C205" s="196" t="s">
        <v>3312</v>
      </c>
      <c r="D205" s="197" t="s">
        <v>3313</v>
      </c>
      <c r="E205" s="257" t="s">
        <v>3295</v>
      </c>
      <c r="F205" s="198" t="s">
        <v>575</v>
      </c>
      <c r="G205" s="197" t="s">
        <v>3308</v>
      </c>
      <c r="H205" s="258" t="b">
        <v>0</v>
      </c>
      <c r="I205" s="256" t="s">
        <v>3314</v>
      </c>
      <c r="J205" s="256" t="s">
        <v>2674</v>
      </c>
      <c r="K205" s="235" t="b">
        <v>0</v>
      </c>
      <c r="L205" s="35"/>
      <c r="M205" s="35"/>
      <c r="N205" s="13"/>
      <c r="O205" s="13"/>
      <c r="P205" s="13"/>
      <c r="Q205" s="13"/>
      <c r="R205" s="13"/>
      <c r="S205" s="13"/>
      <c r="T205" s="13"/>
      <c r="U205" s="13"/>
      <c r="V205" s="13"/>
      <c r="W205" s="13"/>
      <c r="X205" s="13"/>
      <c r="Y205" s="13"/>
      <c r="Z205" s="13"/>
      <c r="AA205" s="13"/>
    </row>
    <row r="206" ht="16.5" customHeight="1">
      <c r="A206" s="223">
        <f t="shared" si="1"/>
        <v>581</v>
      </c>
      <c r="B206" s="272" t="s">
        <v>2709</v>
      </c>
      <c r="C206" s="196" t="s">
        <v>3315</v>
      </c>
      <c r="D206" s="197" t="s">
        <v>3316</v>
      </c>
      <c r="E206" s="257" t="s">
        <v>3295</v>
      </c>
      <c r="F206" s="198" t="s">
        <v>409</v>
      </c>
      <c r="G206" s="197" t="s">
        <v>3317</v>
      </c>
      <c r="H206" s="258" t="b">
        <v>0</v>
      </c>
      <c r="I206" s="256" t="s">
        <v>3314</v>
      </c>
      <c r="J206" s="256" t="s">
        <v>2674</v>
      </c>
      <c r="K206" s="235" t="b">
        <v>0</v>
      </c>
      <c r="L206" s="35"/>
      <c r="M206" s="35"/>
      <c r="N206" s="13"/>
      <c r="O206" s="13"/>
      <c r="P206" s="13"/>
      <c r="Q206" s="13"/>
      <c r="R206" s="13"/>
      <c r="S206" s="13"/>
      <c r="T206" s="13"/>
      <c r="U206" s="13"/>
      <c r="V206" s="13"/>
      <c r="W206" s="13"/>
      <c r="X206" s="13"/>
      <c r="Y206" s="13"/>
      <c r="Z206" s="13"/>
      <c r="AA206" s="13"/>
    </row>
    <row r="207" ht="16.5" customHeight="1">
      <c r="A207" s="223">
        <f t="shared" si="1"/>
        <v>582</v>
      </c>
      <c r="B207" s="272" t="s">
        <v>2709</v>
      </c>
      <c r="C207" s="196" t="s">
        <v>3318</v>
      </c>
      <c r="D207" s="197" t="s">
        <v>3319</v>
      </c>
      <c r="E207" s="257" t="s">
        <v>3295</v>
      </c>
      <c r="F207" s="198" t="s">
        <v>122</v>
      </c>
      <c r="G207" s="197" t="s">
        <v>3320</v>
      </c>
      <c r="H207" s="258" t="b">
        <v>0</v>
      </c>
      <c r="I207" s="256" t="s">
        <v>3314</v>
      </c>
      <c r="J207" s="256" t="s">
        <v>2674</v>
      </c>
      <c r="K207" s="235" t="b">
        <v>0</v>
      </c>
      <c r="L207" s="35"/>
      <c r="M207" s="35"/>
      <c r="N207" s="13"/>
      <c r="O207" s="13"/>
      <c r="P207" s="13"/>
      <c r="Q207" s="13"/>
      <c r="R207" s="13"/>
      <c r="S207" s="13"/>
      <c r="T207" s="13"/>
      <c r="U207" s="13"/>
      <c r="V207" s="13"/>
      <c r="W207" s="13"/>
      <c r="X207" s="13"/>
      <c r="Y207" s="13"/>
      <c r="Z207" s="13"/>
      <c r="AA207" s="13"/>
    </row>
    <row r="208" ht="16.5" customHeight="1">
      <c r="A208" s="223">
        <f t="shared" si="1"/>
        <v>583</v>
      </c>
      <c r="B208" s="272" t="s">
        <v>2709</v>
      </c>
      <c r="C208" s="196" t="s">
        <v>3321</v>
      </c>
      <c r="D208" s="197" t="s">
        <v>3322</v>
      </c>
      <c r="E208" s="257" t="s">
        <v>3295</v>
      </c>
      <c r="F208" s="198" t="s">
        <v>152</v>
      </c>
      <c r="G208" s="197" t="s">
        <v>3323</v>
      </c>
      <c r="H208" s="258" t="b">
        <v>0</v>
      </c>
      <c r="I208" s="256" t="s">
        <v>3314</v>
      </c>
      <c r="J208" s="256" t="s">
        <v>2674</v>
      </c>
      <c r="K208" s="235" t="b">
        <v>0</v>
      </c>
      <c r="L208" s="35"/>
      <c r="M208" s="35"/>
      <c r="N208" s="13"/>
      <c r="O208" s="13"/>
      <c r="P208" s="13"/>
      <c r="Q208" s="13"/>
      <c r="R208" s="13"/>
      <c r="S208" s="13"/>
      <c r="T208" s="13"/>
      <c r="U208" s="13"/>
      <c r="V208" s="13"/>
      <c r="W208" s="13"/>
      <c r="X208" s="13"/>
      <c r="Y208" s="13"/>
      <c r="Z208" s="13"/>
      <c r="AA208" s="13"/>
    </row>
    <row r="209" ht="16.5" customHeight="1">
      <c r="A209" s="223">
        <f t="shared" si="1"/>
        <v>584</v>
      </c>
      <c r="B209" s="254" t="s">
        <v>2709</v>
      </c>
      <c r="C209" s="196" t="s">
        <v>3324</v>
      </c>
      <c r="D209" s="197" t="s">
        <v>3325</v>
      </c>
      <c r="E209" s="261" t="s">
        <v>3326</v>
      </c>
      <c r="F209" s="262"/>
      <c r="G209" s="197" t="s">
        <v>3327</v>
      </c>
      <c r="H209" s="258" t="b">
        <v>0</v>
      </c>
      <c r="I209" s="256" t="s">
        <v>3314</v>
      </c>
      <c r="J209" s="256" t="s">
        <v>2674</v>
      </c>
      <c r="K209" s="302" t="b">
        <v>0</v>
      </c>
      <c r="L209" s="55"/>
      <c r="M209" s="55"/>
      <c r="N209" s="13"/>
      <c r="O209" s="13"/>
      <c r="P209" s="13"/>
      <c r="Q209" s="13"/>
      <c r="R209" s="13"/>
      <c r="S209" s="13"/>
      <c r="T209" s="13"/>
      <c r="U209" s="13"/>
      <c r="V209" s="13"/>
      <c r="W209" s="13"/>
      <c r="X209" s="13"/>
      <c r="Y209" s="13"/>
      <c r="Z209" s="13"/>
      <c r="AA209" s="13"/>
    </row>
    <row r="210" ht="16.5" customHeight="1">
      <c r="A210" s="223">
        <f t="shared" si="1"/>
        <v>585</v>
      </c>
      <c r="B210" s="254" t="s">
        <v>2709</v>
      </c>
      <c r="C210" s="196" t="s">
        <v>3328</v>
      </c>
      <c r="D210" s="197" t="s">
        <v>3329</v>
      </c>
      <c r="E210" s="261" t="s">
        <v>3330</v>
      </c>
      <c r="F210" s="198" t="s">
        <v>3331</v>
      </c>
      <c r="G210" s="197" t="s">
        <v>3332</v>
      </c>
      <c r="H210" s="258" t="b">
        <v>0</v>
      </c>
      <c r="I210" s="256" t="s">
        <v>3314</v>
      </c>
      <c r="J210" s="256" t="s">
        <v>2674</v>
      </c>
      <c r="K210" s="302" t="b">
        <v>0</v>
      </c>
      <c r="L210" s="55"/>
      <c r="M210" s="55"/>
      <c r="N210" s="13"/>
      <c r="O210" s="13"/>
      <c r="P210" s="13"/>
      <c r="Q210" s="13"/>
      <c r="R210" s="13"/>
      <c r="S210" s="13"/>
      <c r="T210" s="13"/>
      <c r="U210" s="13"/>
      <c r="V210" s="13"/>
      <c r="W210" s="13"/>
      <c r="X210" s="13"/>
      <c r="Y210" s="13"/>
      <c r="Z210" s="13"/>
      <c r="AA210" s="13"/>
    </row>
    <row r="211" ht="16.5" customHeight="1">
      <c r="A211" s="223">
        <f t="shared" si="1"/>
        <v>586</v>
      </c>
      <c r="B211" s="254" t="s">
        <v>2709</v>
      </c>
      <c r="C211" s="196" t="s">
        <v>3333</v>
      </c>
      <c r="D211" s="197" t="s">
        <v>3334</v>
      </c>
      <c r="E211" s="261" t="s">
        <v>3330</v>
      </c>
      <c r="F211" s="198" t="s">
        <v>3331</v>
      </c>
      <c r="G211" s="197" t="s">
        <v>3335</v>
      </c>
      <c r="H211" s="258" t="b">
        <v>0</v>
      </c>
      <c r="I211" s="256" t="s">
        <v>3336</v>
      </c>
      <c r="J211" s="256" t="s">
        <v>2674</v>
      </c>
      <c r="K211" s="302" t="b">
        <v>0</v>
      </c>
      <c r="L211" s="55"/>
      <c r="M211" s="55"/>
      <c r="N211" s="13"/>
      <c r="O211" s="13"/>
      <c r="P211" s="13"/>
      <c r="Q211" s="13"/>
      <c r="R211" s="13"/>
      <c r="S211" s="13"/>
      <c r="T211" s="13"/>
      <c r="U211" s="13"/>
      <c r="V211" s="13"/>
      <c r="W211" s="13"/>
      <c r="X211" s="13"/>
      <c r="Y211" s="13"/>
      <c r="Z211" s="13"/>
      <c r="AA211" s="13"/>
    </row>
    <row r="212" ht="16.5" customHeight="1">
      <c r="A212" s="223">
        <f t="shared" si="1"/>
        <v>587</v>
      </c>
      <c r="B212" s="254" t="s">
        <v>2709</v>
      </c>
      <c r="C212" s="196" t="s">
        <v>3337</v>
      </c>
      <c r="D212" s="197" t="s">
        <v>3338</v>
      </c>
      <c r="E212" s="261" t="s">
        <v>3330</v>
      </c>
      <c r="F212" s="198" t="s">
        <v>3339</v>
      </c>
      <c r="G212" s="197" t="s">
        <v>3340</v>
      </c>
      <c r="H212" s="258" t="b">
        <v>0</v>
      </c>
      <c r="I212" s="256" t="s">
        <v>3336</v>
      </c>
      <c r="J212" s="256" t="s">
        <v>2674</v>
      </c>
      <c r="K212" s="302" t="b">
        <v>0</v>
      </c>
      <c r="L212" s="55"/>
      <c r="M212" s="55"/>
      <c r="N212" s="13"/>
      <c r="O212" s="13"/>
      <c r="P212" s="13"/>
      <c r="Q212" s="13"/>
      <c r="R212" s="13"/>
      <c r="S212" s="13"/>
      <c r="T212" s="13"/>
      <c r="U212" s="13"/>
      <c r="V212" s="13"/>
      <c r="W212" s="13"/>
      <c r="X212" s="13"/>
      <c r="Y212" s="13"/>
      <c r="Z212" s="13"/>
      <c r="AA212" s="13"/>
    </row>
    <row r="213" ht="16.5" customHeight="1">
      <c r="A213" s="223">
        <f t="shared" si="1"/>
        <v>588</v>
      </c>
      <c r="B213" s="254" t="s">
        <v>2709</v>
      </c>
      <c r="C213" s="196" t="s">
        <v>3341</v>
      </c>
      <c r="D213" s="197" t="s">
        <v>3342</v>
      </c>
      <c r="E213" s="261" t="s">
        <v>3330</v>
      </c>
      <c r="F213" s="198" t="s">
        <v>3343</v>
      </c>
      <c r="G213" s="197" t="s">
        <v>3344</v>
      </c>
      <c r="H213" s="258" t="b">
        <v>0</v>
      </c>
      <c r="I213" s="256" t="s">
        <v>3336</v>
      </c>
      <c r="J213" s="256" t="s">
        <v>2674</v>
      </c>
      <c r="K213" s="302" t="b">
        <v>0</v>
      </c>
      <c r="L213" s="55"/>
      <c r="M213" s="55"/>
      <c r="N213" s="13"/>
      <c r="O213" s="13"/>
      <c r="P213" s="13"/>
      <c r="Q213" s="13"/>
      <c r="R213" s="13"/>
      <c r="S213" s="13"/>
      <c r="T213" s="13"/>
      <c r="U213" s="13"/>
      <c r="V213" s="13"/>
      <c r="W213" s="13"/>
      <c r="X213" s="13"/>
      <c r="Y213" s="13"/>
      <c r="Z213" s="13"/>
      <c r="AA213" s="13"/>
    </row>
    <row r="214" ht="16.5" customHeight="1">
      <c r="A214" s="223">
        <f t="shared" si="1"/>
        <v>589</v>
      </c>
      <c r="B214" s="254" t="s">
        <v>2709</v>
      </c>
      <c r="C214" s="196" t="s">
        <v>3345</v>
      </c>
      <c r="D214" s="197" t="s">
        <v>3346</v>
      </c>
      <c r="E214" s="261" t="s">
        <v>3330</v>
      </c>
      <c r="F214" s="198" t="s">
        <v>3343</v>
      </c>
      <c r="G214" s="197" t="s">
        <v>3347</v>
      </c>
      <c r="H214" s="258" t="b">
        <v>0</v>
      </c>
      <c r="I214" s="256" t="s">
        <v>3336</v>
      </c>
      <c r="J214" s="256" t="s">
        <v>2674</v>
      </c>
      <c r="K214" s="302" t="b">
        <v>0</v>
      </c>
      <c r="L214" s="55"/>
      <c r="M214" s="55"/>
      <c r="N214" s="13"/>
      <c r="O214" s="13"/>
      <c r="P214" s="13"/>
      <c r="Q214" s="13"/>
      <c r="R214" s="13"/>
      <c r="S214" s="13"/>
      <c r="T214" s="13"/>
      <c r="U214" s="13"/>
      <c r="V214" s="13"/>
      <c r="W214" s="13"/>
      <c r="X214" s="13"/>
      <c r="Y214" s="13"/>
      <c r="Z214" s="13"/>
      <c r="AA214" s="13"/>
    </row>
    <row r="215" ht="16.5" customHeight="1">
      <c r="A215" s="223">
        <f t="shared" si="1"/>
        <v>590</v>
      </c>
      <c r="B215" s="254" t="s">
        <v>2709</v>
      </c>
      <c r="C215" s="196" t="s">
        <v>3348</v>
      </c>
      <c r="D215" s="197" t="s">
        <v>3349</v>
      </c>
      <c r="E215" s="261" t="s">
        <v>3330</v>
      </c>
      <c r="F215" s="198" t="s">
        <v>3343</v>
      </c>
      <c r="G215" s="197" t="s">
        <v>3350</v>
      </c>
      <c r="H215" s="258" t="b">
        <v>0</v>
      </c>
      <c r="I215" s="256" t="s">
        <v>3336</v>
      </c>
      <c r="J215" s="256" t="s">
        <v>2674</v>
      </c>
      <c r="K215" s="302" t="b">
        <v>0</v>
      </c>
      <c r="L215" s="55"/>
      <c r="M215" s="55"/>
      <c r="N215" s="13"/>
      <c r="O215" s="13"/>
      <c r="P215" s="13"/>
      <c r="Q215" s="13"/>
      <c r="R215" s="13"/>
      <c r="S215" s="13"/>
      <c r="T215" s="13"/>
      <c r="U215" s="13"/>
      <c r="V215" s="13"/>
      <c r="W215" s="13"/>
      <c r="X215" s="13"/>
      <c r="Y215" s="13"/>
      <c r="Z215" s="13"/>
      <c r="AA215" s="13"/>
    </row>
    <row r="216" ht="16.5" customHeight="1">
      <c r="A216" s="223">
        <f t="shared" si="1"/>
        <v>591</v>
      </c>
      <c r="B216" s="254" t="s">
        <v>2709</v>
      </c>
      <c r="C216" s="196" t="s">
        <v>3351</v>
      </c>
      <c r="D216" s="197" t="s">
        <v>3352</v>
      </c>
      <c r="E216" s="261" t="s">
        <v>3330</v>
      </c>
      <c r="F216" s="198" t="s">
        <v>3343</v>
      </c>
      <c r="G216" s="197" t="s">
        <v>3353</v>
      </c>
      <c r="H216" s="258" t="b">
        <v>0</v>
      </c>
      <c r="I216" s="256" t="s">
        <v>3336</v>
      </c>
      <c r="J216" s="256" t="s">
        <v>2674</v>
      </c>
      <c r="K216" s="302" t="b">
        <v>0</v>
      </c>
      <c r="L216" s="55"/>
      <c r="M216" s="55"/>
      <c r="N216" s="13"/>
      <c r="O216" s="13"/>
      <c r="P216" s="13"/>
      <c r="Q216" s="13"/>
      <c r="R216" s="13"/>
      <c r="S216" s="13"/>
      <c r="T216" s="13"/>
      <c r="U216" s="13"/>
      <c r="V216" s="13"/>
      <c r="W216" s="13"/>
      <c r="X216" s="13"/>
      <c r="Y216" s="13"/>
      <c r="Z216" s="13"/>
      <c r="AA216" s="13"/>
    </row>
    <row r="217" ht="16.5" hidden="1" customHeight="1">
      <c r="A217" s="254">
        <f t="shared" si="1"/>
        <v>592</v>
      </c>
      <c r="B217" s="254" t="s">
        <v>2709</v>
      </c>
      <c r="C217" s="196" t="s">
        <v>3354</v>
      </c>
      <c r="D217" s="197" t="s">
        <v>3355</v>
      </c>
      <c r="E217" s="197" t="s">
        <v>3356</v>
      </c>
      <c r="F217" s="197" t="s">
        <v>3357</v>
      </c>
      <c r="G217" s="197" t="s">
        <v>3358</v>
      </c>
      <c r="H217" s="303"/>
      <c r="I217" s="303"/>
      <c r="J217" s="256" t="s">
        <v>2680</v>
      </c>
      <c r="K217" s="304" t="b">
        <v>0</v>
      </c>
      <c r="L217" s="55"/>
      <c r="M217" s="55"/>
      <c r="N217" s="13"/>
      <c r="O217" s="13"/>
      <c r="P217" s="13"/>
      <c r="Q217" s="13"/>
      <c r="R217" s="13"/>
      <c r="S217" s="13"/>
      <c r="T217" s="13"/>
      <c r="U217" s="13"/>
      <c r="V217" s="13"/>
      <c r="W217" s="13"/>
      <c r="X217" s="13"/>
      <c r="Y217" s="13"/>
      <c r="Z217" s="13"/>
      <c r="AA217" s="13"/>
    </row>
    <row r="218" ht="16.5" customHeight="1">
      <c r="A218" s="223">
        <f t="shared" si="1"/>
        <v>593</v>
      </c>
      <c r="B218" s="254" t="s">
        <v>2780</v>
      </c>
      <c r="C218" s="196" t="s">
        <v>2648</v>
      </c>
      <c r="D218" s="197" t="s">
        <v>421</v>
      </c>
      <c r="E218" s="197" t="s">
        <v>422</v>
      </c>
      <c r="F218" s="198" t="s">
        <v>423</v>
      </c>
      <c r="G218" s="197" t="s">
        <v>2649</v>
      </c>
      <c r="H218" s="295" t="b">
        <v>1</v>
      </c>
      <c r="I218" s="55"/>
      <c r="J218" s="256" t="s">
        <v>2674</v>
      </c>
      <c r="K218" s="302" t="b">
        <v>0</v>
      </c>
      <c r="L218" s="55"/>
      <c r="M218" s="55"/>
      <c r="N218" s="13"/>
      <c r="O218" s="13"/>
      <c r="P218" s="13"/>
      <c r="Q218" s="13"/>
      <c r="R218" s="13"/>
      <c r="S218" s="13"/>
      <c r="T218" s="13"/>
      <c r="U218" s="13"/>
      <c r="V218" s="13"/>
      <c r="W218" s="13"/>
      <c r="X218" s="13"/>
      <c r="Y218" s="13"/>
      <c r="Z218" s="13"/>
      <c r="AA218" s="13"/>
    </row>
    <row r="219" ht="16.5" hidden="1" customHeight="1">
      <c r="A219" s="254">
        <f t="shared" si="1"/>
        <v>594</v>
      </c>
      <c r="B219" s="305" t="s">
        <v>2687</v>
      </c>
      <c r="C219" s="306" t="s">
        <v>3359</v>
      </c>
      <c r="D219" s="270" t="s">
        <v>3360</v>
      </c>
      <c r="E219" s="270" t="s">
        <v>3361</v>
      </c>
      <c r="F219" s="270" t="s">
        <v>2701</v>
      </c>
      <c r="G219" s="270" t="s">
        <v>2691</v>
      </c>
      <c r="H219" s="307"/>
      <c r="I219" s="307">
        <v>45999.0</v>
      </c>
      <c r="J219" s="256" t="s">
        <v>2680</v>
      </c>
      <c r="K219" s="304" t="b">
        <v>0</v>
      </c>
      <c r="L219" s="55"/>
      <c r="M219" s="55"/>
      <c r="N219" s="13"/>
      <c r="O219" s="13"/>
      <c r="P219" s="13"/>
      <c r="Q219" s="13"/>
      <c r="R219" s="13"/>
      <c r="S219" s="13"/>
      <c r="T219" s="13"/>
      <c r="U219" s="13"/>
      <c r="V219" s="13"/>
      <c r="W219" s="13"/>
      <c r="X219" s="13"/>
      <c r="Y219" s="13"/>
      <c r="Z219" s="13"/>
      <c r="AA219" s="13"/>
    </row>
    <row r="220" ht="16.5" customHeight="1">
      <c r="A220" s="223">
        <f t="shared" si="1"/>
        <v>595</v>
      </c>
      <c r="B220" s="305" t="s">
        <v>2817</v>
      </c>
      <c r="C220" s="306" t="s">
        <v>3362</v>
      </c>
      <c r="D220" s="270" t="s">
        <v>3363</v>
      </c>
      <c r="E220" s="268" t="s">
        <v>3364</v>
      </c>
      <c r="F220" s="269" t="s">
        <v>2701</v>
      </c>
      <c r="G220" s="270" t="s">
        <v>2691</v>
      </c>
      <c r="H220" s="263" t="b">
        <v>0</v>
      </c>
      <c r="I220" s="307">
        <v>45999.0</v>
      </c>
      <c r="J220" s="256" t="s">
        <v>2674</v>
      </c>
      <c r="K220" s="302" t="b">
        <v>0</v>
      </c>
      <c r="L220" s="55"/>
      <c r="M220" s="55"/>
      <c r="N220" s="13"/>
      <c r="O220" s="13"/>
      <c r="P220" s="13"/>
      <c r="Q220" s="13"/>
      <c r="R220" s="13"/>
      <c r="S220" s="13"/>
      <c r="T220" s="13"/>
      <c r="U220" s="13"/>
      <c r="V220" s="13"/>
      <c r="W220" s="13"/>
      <c r="X220" s="13"/>
      <c r="Y220" s="13"/>
      <c r="Z220" s="13"/>
      <c r="AA220" s="13"/>
    </row>
    <row r="221" ht="16.5" customHeight="1">
      <c r="A221" s="223">
        <f t="shared" si="1"/>
        <v>596</v>
      </c>
      <c r="B221" s="305" t="s">
        <v>2733</v>
      </c>
      <c r="C221" s="306" t="s">
        <v>2650</v>
      </c>
      <c r="D221" s="270" t="s">
        <v>2651</v>
      </c>
      <c r="E221" s="270" t="s">
        <v>844</v>
      </c>
      <c r="F221" s="269" t="s">
        <v>162</v>
      </c>
      <c r="G221" s="270" t="s">
        <v>2652</v>
      </c>
      <c r="H221" s="258" t="b">
        <v>1</v>
      </c>
      <c r="I221" s="307">
        <v>45999.0</v>
      </c>
      <c r="J221" s="256" t="s">
        <v>2674</v>
      </c>
      <c r="K221" s="302" t="b">
        <v>1</v>
      </c>
      <c r="L221" s="142" t="s">
        <v>292</v>
      </c>
      <c r="M221" s="55"/>
      <c r="N221" s="13"/>
      <c r="O221" s="13"/>
      <c r="P221" s="13"/>
      <c r="Q221" s="13"/>
      <c r="R221" s="13"/>
      <c r="S221" s="13"/>
      <c r="T221" s="13"/>
      <c r="U221" s="13"/>
      <c r="V221" s="13"/>
      <c r="W221" s="13"/>
      <c r="X221" s="13"/>
      <c r="Y221" s="13"/>
      <c r="Z221" s="13"/>
      <c r="AA221" s="13"/>
    </row>
    <row r="222" ht="16.5" customHeight="1">
      <c r="A222" s="223">
        <f t="shared" si="1"/>
        <v>597</v>
      </c>
      <c r="B222" s="305" t="s">
        <v>2733</v>
      </c>
      <c r="C222" s="306" t="s">
        <v>2653</v>
      </c>
      <c r="D222" s="270" t="s">
        <v>2654</v>
      </c>
      <c r="E222" s="270" t="s">
        <v>844</v>
      </c>
      <c r="F222" s="269" t="s">
        <v>2655</v>
      </c>
      <c r="G222" s="270" t="s">
        <v>2654</v>
      </c>
      <c r="H222" s="258" t="b">
        <v>1</v>
      </c>
      <c r="I222" s="307">
        <v>45999.0</v>
      </c>
      <c r="J222" s="256" t="s">
        <v>2674</v>
      </c>
      <c r="K222" s="302" t="b">
        <v>1</v>
      </c>
      <c r="L222" s="118" t="s">
        <v>2656</v>
      </c>
      <c r="M222" s="55"/>
      <c r="N222" s="13"/>
      <c r="O222" s="13"/>
      <c r="P222" s="13"/>
      <c r="Q222" s="13"/>
      <c r="R222" s="13"/>
      <c r="S222" s="13"/>
      <c r="T222" s="13"/>
      <c r="U222" s="13"/>
      <c r="V222" s="13"/>
      <c r="W222" s="13"/>
      <c r="X222" s="13"/>
      <c r="Y222" s="13"/>
      <c r="Z222" s="13"/>
      <c r="AA222" s="13"/>
    </row>
    <row r="223" ht="16.5" customHeight="1">
      <c r="A223" s="223">
        <f t="shared" si="1"/>
        <v>598</v>
      </c>
      <c r="B223" s="305" t="s">
        <v>2733</v>
      </c>
      <c r="C223" s="306" t="s">
        <v>2657</v>
      </c>
      <c r="D223" s="270" t="s">
        <v>2658</v>
      </c>
      <c r="E223" s="270" t="s">
        <v>844</v>
      </c>
      <c r="F223" s="269" t="s">
        <v>800</v>
      </c>
      <c r="G223" s="270" t="s">
        <v>2658</v>
      </c>
      <c r="H223" s="258" t="b">
        <v>1</v>
      </c>
      <c r="I223" s="307">
        <v>45999.0</v>
      </c>
      <c r="J223" s="256" t="s">
        <v>2674</v>
      </c>
      <c r="K223" s="302" t="b">
        <v>1</v>
      </c>
      <c r="L223" s="39" t="s">
        <v>2659</v>
      </c>
      <c r="M223" s="55"/>
      <c r="N223" s="13"/>
      <c r="O223" s="13"/>
      <c r="P223" s="13"/>
      <c r="Q223" s="13"/>
      <c r="R223" s="13"/>
      <c r="S223" s="13"/>
      <c r="T223" s="13"/>
      <c r="U223" s="13"/>
      <c r="V223" s="13"/>
      <c r="W223" s="13"/>
      <c r="X223" s="13"/>
      <c r="Y223" s="13"/>
      <c r="Z223" s="13"/>
      <c r="AA223" s="13"/>
    </row>
    <row r="224" ht="16.5" customHeight="1">
      <c r="A224" s="223">
        <f t="shared" si="1"/>
        <v>599</v>
      </c>
      <c r="B224" s="305" t="s">
        <v>2780</v>
      </c>
      <c r="C224" s="306" t="s">
        <v>3365</v>
      </c>
      <c r="D224" s="270" t="s">
        <v>3366</v>
      </c>
      <c r="E224" s="268" t="s">
        <v>3367</v>
      </c>
      <c r="F224" s="269" t="s">
        <v>173</v>
      </c>
      <c r="G224" s="270" t="s">
        <v>2691</v>
      </c>
      <c r="H224" s="263" t="b">
        <v>0</v>
      </c>
      <c r="I224" s="307">
        <v>45999.0</v>
      </c>
      <c r="J224" s="256" t="s">
        <v>2674</v>
      </c>
      <c r="K224" s="302" t="b">
        <v>0</v>
      </c>
      <c r="L224" s="55"/>
      <c r="M224" s="55"/>
      <c r="N224" s="13"/>
      <c r="O224" s="13"/>
      <c r="P224" s="13"/>
      <c r="Q224" s="13"/>
      <c r="R224" s="13"/>
      <c r="S224" s="13"/>
      <c r="T224" s="13"/>
      <c r="U224" s="13"/>
      <c r="V224" s="13"/>
      <c r="W224" s="13"/>
      <c r="X224" s="13"/>
      <c r="Y224" s="13"/>
      <c r="Z224" s="13"/>
      <c r="AA224" s="13"/>
    </row>
    <row r="225" ht="16.5" customHeight="1">
      <c r="A225" s="223">
        <f t="shared" si="1"/>
        <v>600</v>
      </c>
      <c r="B225" s="305" t="s">
        <v>2687</v>
      </c>
      <c r="C225" s="306" t="s">
        <v>3368</v>
      </c>
      <c r="D225" s="270" t="s">
        <v>3369</v>
      </c>
      <c r="E225" s="268" t="s">
        <v>3370</v>
      </c>
      <c r="F225" s="269" t="s">
        <v>173</v>
      </c>
      <c r="G225" s="270" t="s">
        <v>2691</v>
      </c>
      <c r="H225" s="263" t="b">
        <v>0</v>
      </c>
      <c r="I225" s="307">
        <v>45999.0</v>
      </c>
      <c r="J225" s="256" t="s">
        <v>2674</v>
      </c>
      <c r="K225" s="302" t="b">
        <v>0</v>
      </c>
      <c r="L225" s="55"/>
      <c r="M225" s="55"/>
      <c r="N225" s="13"/>
      <c r="O225" s="13"/>
      <c r="P225" s="13"/>
      <c r="Q225" s="13"/>
      <c r="R225" s="13"/>
      <c r="S225" s="13"/>
      <c r="T225" s="13"/>
      <c r="U225" s="13"/>
      <c r="V225" s="13"/>
      <c r="W225" s="13"/>
      <c r="X225" s="13"/>
      <c r="Y225" s="13"/>
      <c r="Z225" s="13"/>
      <c r="AA225" s="13"/>
    </row>
    <row r="226" ht="16.5" customHeight="1">
      <c r="A226" s="223">
        <f t="shared" si="1"/>
        <v>601</v>
      </c>
      <c r="B226" s="305" t="s">
        <v>2687</v>
      </c>
      <c r="C226" s="306" t="s">
        <v>3371</v>
      </c>
      <c r="D226" s="270" t="s">
        <v>3372</v>
      </c>
      <c r="E226" s="268" t="s">
        <v>3373</v>
      </c>
      <c r="F226" s="269" t="s">
        <v>173</v>
      </c>
      <c r="G226" s="270" t="s">
        <v>2691</v>
      </c>
      <c r="H226" s="263" t="b">
        <v>0</v>
      </c>
      <c r="I226" s="307">
        <v>45999.0</v>
      </c>
      <c r="J226" s="256" t="s">
        <v>2674</v>
      </c>
      <c r="K226" s="302" t="b">
        <v>0</v>
      </c>
      <c r="L226" s="55"/>
      <c r="M226" s="55"/>
      <c r="N226" s="13"/>
      <c r="O226" s="13"/>
      <c r="P226" s="13"/>
      <c r="Q226" s="13"/>
      <c r="R226" s="13"/>
      <c r="S226" s="13"/>
      <c r="T226" s="13"/>
      <c r="U226" s="13"/>
      <c r="V226" s="13"/>
      <c r="W226" s="13"/>
      <c r="X226" s="13"/>
      <c r="Y226" s="13"/>
      <c r="Z226" s="13"/>
      <c r="AA226" s="13"/>
    </row>
    <row r="227" ht="16.5" customHeight="1">
      <c r="A227" s="223">
        <f t="shared" si="1"/>
        <v>602</v>
      </c>
      <c r="B227" s="305" t="s">
        <v>2780</v>
      </c>
      <c r="C227" s="306" t="s">
        <v>3374</v>
      </c>
      <c r="D227" s="270" t="s">
        <v>3375</v>
      </c>
      <c r="E227" s="268" t="s">
        <v>3376</v>
      </c>
      <c r="F227" s="269" t="s">
        <v>290</v>
      </c>
      <c r="G227" s="270" t="s">
        <v>2691</v>
      </c>
      <c r="H227" s="263" t="b">
        <v>0</v>
      </c>
      <c r="I227" s="307">
        <v>45999.0</v>
      </c>
      <c r="J227" s="256" t="s">
        <v>2674</v>
      </c>
      <c r="K227" s="302" t="b">
        <v>0</v>
      </c>
      <c r="L227" s="55"/>
      <c r="M227" s="55"/>
      <c r="N227" s="13"/>
      <c r="O227" s="13"/>
      <c r="P227" s="13"/>
      <c r="Q227" s="13"/>
      <c r="R227" s="13"/>
      <c r="S227" s="13"/>
      <c r="T227" s="13"/>
      <c r="U227" s="13"/>
      <c r="V227" s="13"/>
      <c r="W227" s="13"/>
      <c r="X227" s="13"/>
      <c r="Y227" s="13"/>
      <c r="Z227" s="13"/>
      <c r="AA227" s="13"/>
    </row>
    <row r="228" ht="16.5" customHeight="1">
      <c r="A228" s="223">
        <f t="shared" si="1"/>
        <v>603</v>
      </c>
      <c r="B228" s="305" t="s">
        <v>2673</v>
      </c>
      <c r="C228" s="306" t="s">
        <v>3377</v>
      </c>
      <c r="D228" s="270" t="s">
        <v>3378</v>
      </c>
      <c r="E228" s="268" t="s">
        <v>3379</v>
      </c>
      <c r="F228" s="269" t="s">
        <v>173</v>
      </c>
      <c r="G228" s="270" t="s">
        <v>3380</v>
      </c>
      <c r="H228" s="263" t="b">
        <v>0</v>
      </c>
      <c r="I228" s="307">
        <v>45999.0</v>
      </c>
      <c r="J228" s="256" t="s">
        <v>2674</v>
      </c>
      <c r="K228" s="302" t="b">
        <v>0</v>
      </c>
      <c r="L228" s="55"/>
      <c r="M228" s="55"/>
      <c r="N228" s="13"/>
      <c r="O228" s="13"/>
      <c r="P228" s="13"/>
      <c r="Q228" s="13"/>
      <c r="R228" s="13"/>
      <c r="S228" s="13"/>
      <c r="T228" s="13"/>
      <c r="U228" s="13"/>
      <c r="V228" s="13"/>
      <c r="W228" s="13"/>
      <c r="X228" s="13"/>
      <c r="Y228" s="13"/>
      <c r="Z228" s="13"/>
      <c r="AA228" s="13"/>
    </row>
    <row r="229" ht="16.5" hidden="1" customHeight="1">
      <c r="A229" s="254">
        <f t="shared" si="1"/>
        <v>604</v>
      </c>
      <c r="B229" s="305" t="s">
        <v>2709</v>
      </c>
      <c r="C229" s="306" t="s">
        <v>3381</v>
      </c>
      <c r="D229" s="270" t="s">
        <v>3382</v>
      </c>
      <c r="E229" s="270" t="s">
        <v>2701</v>
      </c>
      <c r="F229" s="270" t="s">
        <v>2701</v>
      </c>
      <c r="G229" s="270" t="s">
        <v>2691</v>
      </c>
      <c r="H229" s="307"/>
      <c r="I229" s="307">
        <v>45999.0</v>
      </c>
      <c r="J229" s="256" t="s">
        <v>2680</v>
      </c>
      <c r="K229" s="304" t="b">
        <v>0</v>
      </c>
      <c r="L229" s="55"/>
      <c r="M229" s="55"/>
      <c r="N229" s="13"/>
      <c r="O229" s="13"/>
      <c r="P229" s="13"/>
      <c r="Q229" s="13"/>
      <c r="R229" s="13"/>
      <c r="S229" s="13"/>
      <c r="T229" s="13"/>
      <c r="U229" s="13"/>
      <c r="V229" s="13"/>
      <c r="W229" s="13"/>
      <c r="X229" s="13"/>
      <c r="Y229" s="13"/>
      <c r="Z229" s="13"/>
      <c r="AA229" s="13"/>
    </row>
    <row r="230" ht="16.5" customHeight="1">
      <c r="A230" s="223">
        <f t="shared" si="1"/>
        <v>605</v>
      </c>
      <c r="B230" s="254" t="s">
        <v>2681</v>
      </c>
      <c r="C230" s="196" t="s">
        <v>3383</v>
      </c>
      <c r="D230" s="197" t="s">
        <v>3384</v>
      </c>
      <c r="E230" s="261" t="s">
        <v>3385</v>
      </c>
      <c r="F230" s="198" t="s">
        <v>3386</v>
      </c>
      <c r="G230" s="197" t="s">
        <v>3387</v>
      </c>
      <c r="H230" s="308" t="b">
        <v>0</v>
      </c>
      <c r="I230" s="55"/>
      <c r="J230" s="256" t="s">
        <v>2674</v>
      </c>
      <c r="K230" s="302" t="b">
        <v>0</v>
      </c>
      <c r="L230" s="55"/>
      <c r="M230" s="55"/>
      <c r="N230" s="13"/>
      <c r="O230" s="13"/>
      <c r="P230" s="13"/>
      <c r="Q230" s="13"/>
      <c r="R230" s="13"/>
      <c r="S230" s="13"/>
      <c r="T230" s="13"/>
      <c r="U230" s="13"/>
      <c r="V230" s="13"/>
      <c r="W230" s="13"/>
      <c r="X230" s="13"/>
      <c r="Y230" s="13"/>
      <c r="Z230" s="13"/>
      <c r="AA230" s="13"/>
    </row>
    <row r="231" ht="16.5" customHeight="1">
      <c r="A231" s="223">
        <f t="shared" si="1"/>
        <v>606</v>
      </c>
      <c r="B231" s="254" t="s">
        <v>2681</v>
      </c>
      <c r="C231" s="196" t="s">
        <v>3388</v>
      </c>
      <c r="D231" s="197" t="s">
        <v>3389</v>
      </c>
      <c r="E231" s="261" t="s">
        <v>3390</v>
      </c>
      <c r="F231" s="198" t="s">
        <v>3391</v>
      </c>
      <c r="G231" s="197" t="s">
        <v>3392</v>
      </c>
      <c r="H231" s="308" t="b">
        <v>0</v>
      </c>
      <c r="I231" s="55"/>
      <c r="J231" s="256" t="s">
        <v>2674</v>
      </c>
      <c r="K231" s="302" t="b">
        <v>0</v>
      </c>
      <c r="L231" s="55"/>
      <c r="M231" s="55"/>
      <c r="N231" s="13"/>
      <c r="O231" s="13"/>
      <c r="P231" s="13"/>
      <c r="Q231" s="13"/>
      <c r="R231" s="13"/>
      <c r="S231" s="13"/>
      <c r="T231" s="13"/>
      <c r="U231" s="13"/>
      <c r="V231" s="13"/>
      <c r="W231" s="13"/>
      <c r="X231" s="13"/>
      <c r="Y231" s="13"/>
      <c r="Z231" s="13"/>
      <c r="AA231" s="13"/>
    </row>
    <row r="232" ht="16.5" customHeight="1">
      <c r="A232" s="223">
        <f t="shared" si="1"/>
        <v>607</v>
      </c>
      <c r="B232" s="254" t="s">
        <v>2681</v>
      </c>
      <c r="C232" s="196" t="s">
        <v>3393</v>
      </c>
      <c r="D232" s="197" t="s">
        <v>3394</v>
      </c>
      <c r="E232" s="261" t="s">
        <v>3395</v>
      </c>
      <c r="F232" s="198" t="s">
        <v>3396</v>
      </c>
      <c r="G232" s="197" t="s">
        <v>3397</v>
      </c>
      <c r="H232" s="308" t="b">
        <v>0</v>
      </c>
      <c r="I232" s="55"/>
      <c r="J232" s="256" t="s">
        <v>2674</v>
      </c>
      <c r="K232" s="302" t="b">
        <v>0</v>
      </c>
      <c r="L232" s="55"/>
      <c r="M232" s="55"/>
      <c r="N232" s="13"/>
      <c r="O232" s="13"/>
      <c r="P232" s="13"/>
      <c r="Q232" s="13"/>
      <c r="R232" s="13"/>
      <c r="S232" s="13"/>
      <c r="T232" s="13"/>
      <c r="U232" s="13"/>
      <c r="V232" s="13"/>
      <c r="W232" s="13"/>
      <c r="X232" s="13"/>
      <c r="Y232" s="13"/>
      <c r="Z232" s="13"/>
      <c r="AA232" s="13"/>
    </row>
    <row r="233" ht="16.5" customHeight="1">
      <c r="A233" s="223">
        <f t="shared" si="1"/>
        <v>608</v>
      </c>
      <c r="B233" s="254" t="s">
        <v>2681</v>
      </c>
      <c r="C233" s="196" t="s">
        <v>3398</v>
      </c>
      <c r="D233" s="197" t="s">
        <v>3399</v>
      </c>
      <c r="E233" s="261" t="s">
        <v>3400</v>
      </c>
      <c r="F233" s="198" t="s">
        <v>3401</v>
      </c>
      <c r="G233" s="197" t="s">
        <v>3402</v>
      </c>
      <c r="H233" s="308" t="b">
        <v>0</v>
      </c>
      <c r="I233" s="55"/>
      <c r="J233" s="256" t="s">
        <v>2674</v>
      </c>
      <c r="K233" s="302" t="b">
        <v>0</v>
      </c>
      <c r="L233" s="55"/>
      <c r="M233" s="55"/>
      <c r="N233" s="13"/>
      <c r="O233" s="13"/>
      <c r="P233" s="13"/>
      <c r="Q233" s="13"/>
      <c r="R233" s="13"/>
      <c r="S233" s="13"/>
      <c r="T233" s="13"/>
      <c r="U233" s="13"/>
      <c r="V233" s="13"/>
      <c r="W233" s="13"/>
      <c r="X233" s="13"/>
      <c r="Y233" s="13"/>
      <c r="Z233" s="13"/>
      <c r="AA233" s="13"/>
    </row>
    <row r="234" ht="16.5" hidden="1" customHeight="1">
      <c r="A234" s="254">
        <f t="shared" si="1"/>
        <v>609</v>
      </c>
      <c r="B234" s="254" t="s">
        <v>2681</v>
      </c>
      <c r="C234" s="196" t="s">
        <v>3403</v>
      </c>
      <c r="D234" s="197" t="s">
        <v>3404</v>
      </c>
      <c r="E234" s="197" t="s">
        <v>3405</v>
      </c>
      <c r="F234" s="287"/>
      <c r="G234" s="287"/>
      <c r="H234" s="55"/>
      <c r="I234" s="55"/>
      <c r="J234" s="256" t="s">
        <v>2680</v>
      </c>
      <c r="K234" s="304" t="b">
        <v>0</v>
      </c>
      <c r="L234" s="55"/>
      <c r="M234" s="55"/>
      <c r="N234" s="13"/>
      <c r="O234" s="13"/>
      <c r="P234" s="13"/>
      <c r="Q234" s="13"/>
      <c r="R234" s="13"/>
      <c r="S234" s="13"/>
      <c r="T234" s="13"/>
      <c r="U234" s="13"/>
      <c r="V234" s="13"/>
      <c r="W234" s="13"/>
      <c r="X234" s="13"/>
      <c r="Y234" s="13"/>
      <c r="Z234" s="13"/>
      <c r="AA234" s="13"/>
    </row>
    <row r="235" ht="16.5" customHeight="1">
      <c r="A235" s="223">
        <f t="shared" si="1"/>
        <v>610</v>
      </c>
      <c r="B235" s="254" t="s">
        <v>2681</v>
      </c>
      <c r="C235" s="196" t="s">
        <v>3406</v>
      </c>
      <c r="D235" s="301" t="s">
        <v>3407</v>
      </c>
      <c r="E235" s="261" t="s">
        <v>3408</v>
      </c>
      <c r="F235" s="198" t="s">
        <v>3386</v>
      </c>
      <c r="G235" s="301" t="s">
        <v>3407</v>
      </c>
      <c r="H235" s="308" t="b">
        <v>0</v>
      </c>
      <c r="I235" s="55"/>
      <c r="J235" s="256" t="s">
        <v>2674</v>
      </c>
      <c r="K235" s="302" t="b">
        <v>0</v>
      </c>
      <c r="L235" s="55"/>
      <c r="M235" s="55"/>
      <c r="N235" s="13"/>
      <c r="O235" s="13"/>
      <c r="P235" s="13"/>
      <c r="Q235" s="13"/>
      <c r="R235" s="13"/>
      <c r="S235" s="13"/>
      <c r="T235" s="13"/>
      <c r="U235" s="13"/>
      <c r="V235" s="13"/>
      <c r="W235" s="13"/>
      <c r="X235" s="13"/>
      <c r="Y235" s="13"/>
      <c r="Z235" s="13"/>
      <c r="AA235" s="13"/>
    </row>
    <row r="236" ht="16.5" customHeight="1">
      <c r="A236" s="223">
        <f t="shared" si="1"/>
        <v>611</v>
      </c>
      <c r="B236" s="309" t="s">
        <v>2733</v>
      </c>
      <c r="C236" s="196" t="s">
        <v>3409</v>
      </c>
      <c r="D236" s="197" t="s">
        <v>3410</v>
      </c>
      <c r="E236" s="261" t="s">
        <v>3411</v>
      </c>
      <c r="F236" s="198" t="s">
        <v>3412</v>
      </c>
      <c r="G236" s="287"/>
      <c r="H236" s="308" t="b">
        <v>0</v>
      </c>
      <c r="I236" s="55"/>
      <c r="J236" s="256" t="s">
        <v>2674</v>
      </c>
      <c r="K236" s="302" t="b">
        <v>0</v>
      </c>
      <c r="L236" s="55"/>
      <c r="M236" s="55"/>
      <c r="N236" s="13"/>
      <c r="O236" s="13"/>
      <c r="P236" s="13"/>
      <c r="Q236" s="13"/>
      <c r="R236" s="13"/>
      <c r="S236" s="13"/>
      <c r="T236" s="13"/>
      <c r="U236" s="13"/>
      <c r="V236" s="13"/>
      <c r="W236" s="13"/>
      <c r="X236" s="13"/>
      <c r="Y236" s="13"/>
      <c r="Z236" s="13"/>
      <c r="AA236" s="13"/>
    </row>
    <row r="237" ht="16.5" customHeight="1">
      <c r="A237" s="223">
        <f t="shared" si="1"/>
        <v>612</v>
      </c>
      <c r="B237" s="309" t="s">
        <v>2733</v>
      </c>
      <c r="C237" s="196" t="s">
        <v>3413</v>
      </c>
      <c r="D237" s="197" t="s">
        <v>3414</v>
      </c>
      <c r="E237" s="261" t="s">
        <v>3415</v>
      </c>
      <c r="F237" s="198" t="s">
        <v>3416</v>
      </c>
      <c r="G237" s="197" t="s">
        <v>3417</v>
      </c>
      <c r="H237" s="308" t="b">
        <v>0</v>
      </c>
      <c r="I237" s="55"/>
      <c r="J237" s="256" t="s">
        <v>2674</v>
      </c>
      <c r="K237" s="302" t="b">
        <v>0</v>
      </c>
      <c r="L237" s="55"/>
      <c r="M237" s="55"/>
      <c r="N237" s="13"/>
      <c r="O237" s="13"/>
      <c r="P237" s="13"/>
      <c r="Q237" s="13"/>
      <c r="R237" s="13"/>
      <c r="S237" s="13"/>
      <c r="T237" s="13"/>
      <c r="U237" s="13"/>
      <c r="V237" s="13"/>
      <c r="W237" s="13"/>
      <c r="X237" s="13"/>
      <c r="Y237" s="13"/>
      <c r="Z237" s="13"/>
      <c r="AA237" s="13"/>
    </row>
    <row r="238" ht="16.5" customHeight="1">
      <c r="A238" s="223">
        <f t="shared" si="1"/>
        <v>613</v>
      </c>
      <c r="B238" s="309" t="s">
        <v>2733</v>
      </c>
      <c r="C238" s="196" t="s">
        <v>3418</v>
      </c>
      <c r="D238" s="197" t="s">
        <v>3419</v>
      </c>
      <c r="E238" s="261" t="s">
        <v>3415</v>
      </c>
      <c r="F238" s="198" t="s">
        <v>3416</v>
      </c>
      <c r="G238" s="197" t="s">
        <v>3420</v>
      </c>
      <c r="H238" s="308" t="b">
        <v>0</v>
      </c>
      <c r="I238" s="55"/>
      <c r="J238" s="256" t="s">
        <v>2674</v>
      </c>
      <c r="K238" s="302" t="b">
        <v>0</v>
      </c>
      <c r="L238" s="55"/>
      <c r="M238" s="55"/>
      <c r="N238" s="13"/>
      <c r="O238" s="13"/>
      <c r="P238" s="13"/>
      <c r="Q238" s="13"/>
      <c r="R238" s="13"/>
      <c r="S238" s="13"/>
      <c r="T238" s="13"/>
      <c r="U238" s="13"/>
      <c r="V238" s="13"/>
      <c r="W238" s="13"/>
      <c r="X238" s="13"/>
      <c r="Y238" s="13"/>
      <c r="Z238" s="13"/>
      <c r="AA238" s="13"/>
    </row>
    <row r="239" ht="16.5" customHeight="1">
      <c r="A239" s="223">
        <f t="shared" si="1"/>
        <v>614</v>
      </c>
      <c r="B239" s="305" t="s">
        <v>2673</v>
      </c>
      <c r="C239" s="306" t="s">
        <v>3421</v>
      </c>
      <c r="D239" s="270" t="s">
        <v>3422</v>
      </c>
      <c r="E239" s="268" t="s">
        <v>3423</v>
      </c>
      <c r="F239" s="269" t="s">
        <v>3424</v>
      </c>
      <c r="G239" s="310"/>
      <c r="H239" s="295" t="b">
        <v>0</v>
      </c>
      <c r="I239" s="58" t="s">
        <v>3425</v>
      </c>
      <c r="J239" s="256" t="s">
        <v>2674</v>
      </c>
      <c r="K239" s="302" t="b">
        <v>0</v>
      </c>
      <c r="L239" s="55"/>
      <c r="M239" s="55"/>
      <c r="N239" s="13"/>
      <c r="O239" s="13"/>
      <c r="P239" s="13"/>
      <c r="Q239" s="13"/>
      <c r="R239" s="13"/>
      <c r="S239" s="13"/>
      <c r="T239" s="13"/>
      <c r="U239" s="13"/>
      <c r="V239" s="13"/>
      <c r="W239" s="13"/>
      <c r="X239" s="13"/>
      <c r="Y239" s="13"/>
      <c r="Z239" s="13"/>
      <c r="AA239" s="13"/>
    </row>
    <row r="240" ht="16.5" customHeight="1">
      <c r="A240" s="223">
        <f t="shared" si="1"/>
        <v>615</v>
      </c>
      <c r="B240" s="305" t="s">
        <v>2673</v>
      </c>
      <c r="C240" s="306" t="s">
        <v>3426</v>
      </c>
      <c r="D240" s="270" t="s">
        <v>3427</v>
      </c>
      <c r="E240" s="268" t="s">
        <v>3423</v>
      </c>
      <c r="F240" s="269" t="s">
        <v>3428</v>
      </c>
      <c r="G240" s="311" t="s">
        <v>3429</v>
      </c>
      <c r="H240" s="295" t="b">
        <v>0</v>
      </c>
      <c r="I240" s="58" t="s">
        <v>3425</v>
      </c>
      <c r="J240" s="256" t="s">
        <v>2674</v>
      </c>
      <c r="K240" s="302" t="b">
        <v>0</v>
      </c>
      <c r="L240" s="55"/>
      <c r="M240" s="55"/>
      <c r="N240" s="13"/>
      <c r="O240" s="13"/>
      <c r="P240" s="13"/>
      <c r="Q240" s="13"/>
      <c r="R240" s="13"/>
      <c r="S240" s="13"/>
      <c r="T240" s="13"/>
      <c r="U240" s="13"/>
      <c r="V240" s="13"/>
      <c r="W240" s="13"/>
      <c r="X240" s="13"/>
      <c r="Y240" s="13"/>
      <c r="Z240" s="13"/>
      <c r="AA240" s="13"/>
    </row>
    <row r="241" ht="16.5" customHeight="1">
      <c r="A241" s="223">
        <f t="shared" si="1"/>
        <v>616</v>
      </c>
      <c r="B241" s="305" t="s">
        <v>2673</v>
      </c>
      <c r="C241" s="306" t="s">
        <v>3430</v>
      </c>
      <c r="D241" s="270" t="s">
        <v>3431</v>
      </c>
      <c r="E241" s="268" t="s">
        <v>3432</v>
      </c>
      <c r="F241" s="269" t="s">
        <v>3433</v>
      </c>
      <c r="G241" s="270" t="s">
        <v>3434</v>
      </c>
      <c r="H241" s="295" t="b">
        <v>0</v>
      </c>
      <c r="I241" s="58" t="s">
        <v>3435</v>
      </c>
      <c r="J241" s="256" t="s">
        <v>2674</v>
      </c>
      <c r="K241" s="302" t="b">
        <v>0</v>
      </c>
      <c r="L241" s="55"/>
      <c r="M241" s="55"/>
      <c r="N241" s="13"/>
      <c r="O241" s="13"/>
      <c r="P241" s="13"/>
      <c r="Q241" s="13"/>
      <c r="R241" s="13"/>
      <c r="S241" s="13"/>
      <c r="T241" s="13"/>
      <c r="U241" s="13"/>
      <c r="V241" s="13"/>
      <c r="W241" s="13"/>
      <c r="X241" s="13"/>
      <c r="Y241" s="13"/>
      <c r="Z241" s="13"/>
      <c r="AA241" s="13"/>
    </row>
    <row r="242" ht="16.5" hidden="1" customHeight="1">
      <c r="A242" s="254">
        <f t="shared" si="1"/>
        <v>617</v>
      </c>
      <c r="B242" s="305" t="s">
        <v>2673</v>
      </c>
      <c r="C242" s="306" t="s">
        <v>3436</v>
      </c>
      <c r="D242" s="270" t="s">
        <v>3437</v>
      </c>
      <c r="E242" s="270" t="s">
        <v>3438</v>
      </c>
      <c r="F242" s="270">
        <v>193.0</v>
      </c>
      <c r="G242" s="270" t="s">
        <v>3439</v>
      </c>
      <c r="H242" s="58"/>
      <c r="I242" s="58" t="s">
        <v>3435</v>
      </c>
      <c r="J242" s="256" t="s">
        <v>2680</v>
      </c>
      <c r="K242" s="304" t="b">
        <v>0</v>
      </c>
      <c r="L242" s="55"/>
      <c r="M242" s="55"/>
      <c r="N242" s="13"/>
      <c r="O242" s="13"/>
      <c r="P242" s="13"/>
      <c r="Q242" s="13"/>
      <c r="R242" s="13"/>
      <c r="S242" s="13"/>
      <c r="T242" s="13"/>
      <c r="U242" s="13"/>
      <c r="V242" s="13"/>
      <c r="W242" s="13"/>
      <c r="X242" s="13"/>
      <c r="Y242" s="13"/>
      <c r="Z242" s="13"/>
      <c r="AA242" s="13"/>
    </row>
    <row r="243" ht="16.5" customHeight="1">
      <c r="A243" s="223">
        <f t="shared" si="1"/>
        <v>618</v>
      </c>
      <c r="B243" s="305" t="s">
        <v>2673</v>
      </c>
      <c r="C243" s="306" t="s">
        <v>3440</v>
      </c>
      <c r="D243" s="270" t="s">
        <v>3441</v>
      </c>
      <c r="E243" s="268" t="s">
        <v>3423</v>
      </c>
      <c r="F243" s="269" t="s">
        <v>3442</v>
      </c>
      <c r="G243" s="270" t="s">
        <v>3443</v>
      </c>
      <c r="H243" s="295" t="b">
        <v>0</v>
      </c>
      <c r="I243" s="58" t="s">
        <v>3444</v>
      </c>
      <c r="J243" s="256" t="s">
        <v>2674</v>
      </c>
      <c r="K243" s="302" t="b">
        <v>0</v>
      </c>
      <c r="L243" s="55"/>
      <c r="M243" s="55"/>
      <c r="N243" s="13"/>
      <c r="O243" s="13"/>
      <c r="P243" s="13"/>
      <c r="Q243" s="13"/>
      <c r="R243" s="13"/>
      <c r="S243" s="13"/>
      <c r="T243" s="13"/>
      <c r="U243" s="13"/>
      <c r="V243" s="13"/>
      <c r="W243" s="13"/>
      <c r="X243" s="13"/>
      <c r="Y243" s="13"/>
      <c r="Z243" s="13"/>
      <c r="AA243" s="13"/>
    </row>
    <row r="244" ht="16.5" customHeight="1">
      <c r="A244" s="223">
        <f t="shared" si="1"/>
        <v>619</v>
      </c>
      <c r="B244" s="305" t="s">
        <v>2673</v>
      </c>
      <c r="C244" s="306" t="s">
        <v>3445</v>
      </c>
      <c r="D244" s="270" t="s">
        <v>3446</v>
      </c>
      <c r="E244" s="268" t="s">
        <v>3423</v>
      </c>
      <c r="F244" s="269" t="s">
        <v>3447</v>
      </c>
      <c r="G244" s="270" t="s">
        <v>3448</v>
      </c>
      <c r="H244" s="295" t="b">
        <v>0</v>
      </c>
      <c r="I244" s="58" t="s">
        <v>3444</v>
      </c>
      <c r="J244" s="256" t="s">
        <v>2674</v>
      </c>
      <c r="K244" s="302" t="b">
        <v>0</v>
      </c>
      <c r="L244" s="55"/>
      <c r="M244" s="55"/>
      <c r="N244" s="13"/>
      <c r="O244" s="13"/>
      <c r="P244" s="13"/>
      <c r="Q244" s="13"/>
      <c r="R244" s="13"/>
      <c r="S244" s="13"/>
      <c r="T244" s="13"/>
      <c r="U244" s="13"/>
      <c r="V244" s="13"/>
      <c r="W244" s="13"/>
      <c r="X244" s="13"/>
      <c r="Y244" s="13"/>
      <c r="Z244" s="13"/>
      <c r="AA244" s="13"/>
    </row>
    <row r="245" ht="16.5" customHeight="1">
      <c r="A245" s="223">
        <f t="shared" si="1"/>
        <v>620</v>
      </c>
      <c r="B245" s="305" t="s">
        <v>2673</v>
      </c>
      <c r="C245" s="306" t="s">
        <v>3449</v>
      </c>
      <c r="D245" s="270" t="s">
        <v>3450</v>
      </c>
      <c r="E245" s="268" t="s">
        <v>3423</v>
      </c>
      <c r="F245" s="269" t="s">
        <v>3451</v>
      </c>
      <c r="G245" s="270" t="s">
        <v>3452</v>
      </c>
      <c r="H245" s="295" t="b">
        <v>0</v>
      </c>
      <c r="I245" s="58" t="s">
        <v>3453</v>
      </c>
      <c r="J245" s="256" t="s">
        <v>2674</v>
      </c>
      <c r="K245" s="302" t="b">
        <v>0</v>
      </c>
      <c r="L245" s="55"/>
      <c r="M245" s="55"/>
      <c r="N245" s="13"/>
      <c r="O245" s="13"/>
      <c r="P245" s="13"/>
      <c r="Q245" s="13"/>
      <c r="R245" s="13"/>
      <c r="S245" s="13"/>
      <c r="T245" s="13"/>
      <c r="U245" s="13"/>
      <c r="V245" s="13"/>
      <c r="W245" s="13"/>
      <c r="X245" s="13"/>
      <c r="Y245" s="13"/>
      <c r="Z245" s="13"/>
      <c r="AA245" s="13"/>
    </row>
    <row r="246" ht="16.5" customHeight="1">
      <c r="A246" s="223">
        <f t="shared" si="1"/>
        <v>621</v>
      </c>
      <c r="B246" s="305" t="s">
        <v>2673</v>
      </c>
      <c r="C246" s="306" t="s">
        <v>3454</v>
      </c>
      <c r="D246" s="270" t="s">
        <v>3455</v>
      </c>
      <c r="E246" s="268" t="s">
        <v>3456</v>
      </c>
      <c r="F246" s="312"/>
      <c r="G246" s="270" t="s">
        <v>3457</v>
      </c>
      <c r="H246" s="295" t="b">
        <v>0</v>
      </c>
      <c r="I246" s="58" t="s">
        <v>3453</v>
      </c>
      <c r="J246" s="256" t="s">
        <v>2674</v>
      </c>
      <c r="K246" s="302" t="b">
        <v>0</v>
      </c>
      <c r="L246" s="55"/>
      <c r="M246" s="55"/>
      <c r="N246" s="13"/>
      <c r="O246" s="13"/>
      <c r="P246" s="13"/>
      <c r="Q246" s="13"/>
      <c r="R246" s="13"/>
      <c r="S246" s="13"/>
      <c r="T246" s="13"/>
      <c r="U246" s="13"/>
      <c r="V246" s="13"/>
      <c r="W246" s="13"/>
      <c r="X246" s="13"/>
      <c r="Y246" s="13"/>
      <c r="Z246" s="13"/>
      <c r="AA246" s="13"/>
    </row>
    <row r="247" ht="16.5" hidden="1" customHeight="1">
      <c r="A247" s="254">
        <f t="shared" si="1"/>
        <v>622</v>
      </c>
      <c r="B247" s="305" t="s">
        <v>2673</v>
      </c>
      <c r="C247" s="306" t="s">
        <v>3458</v>
      </c>
      <c r="D247" s="270" t="s">
        <v>3459</v>
      </c>
      <c r="E247" s="270" t="s">
        <v>3438</v>
      </c>
      <c r="F247" s="270">
        <v>192.0</v>
      </c>
      <c r="G247" s="270" t="s">
        <v>3460</v>
      </c>
      <c r="H247" s="58"/>
      <c r="I247" s="58" t="s">
        <v>3461</v>
      </c>
      <c r="J247" s="256" t="s">
        <v>2680</v>
      </c>
      <c r="K247" s="304" t="b">
        <v>0</v>
      </c>
      <c r="L247" s="55"/>
      <c r="M247" s="55"/>
      <c r="N247" s="13"/>
      <c r="O247" s="13"/>
      <c r="P247" s="13"/>
      <c r="Q247" s="13"/>
      <c r="R247" s="13"/>
      <c r="S247" s="13"/>
      <c r="T247" s="13"/>
      <c r="U247" s="13"/>
      <c r="V247" s="13"/>
      <c r="W247" s="13"/>
      <c r="X247" s="13"/>
      <c r="Y247" s="13"/>
      <c r="Z247" s="13"/>
      <c r="AA247" s="13"/>
    </row>
    <row r="248" ht="16.5" customHeight="1">
      <c r="A248" s="223">
        <f t="shared" si="1"/>
        <v>623</v>
      </c>
      <c r="B248" s="305" t="s">
        <v>2673</v>
      </c>
      <c r="C248" s="306" t="s">
        <v>3462</v>
      </c>
      <c r="D248" s="270" t="s">
        <v>3463</v>
      </c>
      <c r="E248" s="268" t="s">
        <v>3432</v>
      </c>
      <c r="F248" s="269" t="s">
        <v>3464</v>
      </c>
      <c r="G248" s="270" t="s">
        <v>3465</v>
      </c>
      <c r="H248" s="295" t="b">
        <v>0</v>
      </c>
      <c r="I248" s="58" t="s">
        <v>3461</v>
      </c>
      <c r="J248" s="256" t="s">
        <v>2674</v>
      </c>
      <c r="K248" s="302" t="b">
        <v>0</v>
      </c>
      <c r="L248" s="55"/>
      <c r="M248" s="55"/>
      <c r="N248" s="13"/>
      <c r="O248" s="13"/>
      <c r="P248" s="13"/>
      <c r="Q248" s="13"/>
      <c r="R248" s="13"/>
      <c r="S248" s="13"/>
      <c r="T248" s="13"/>
      <c r="U248" s="13"/>
      <c r="V248" s="13"/>
      <c r="W248" s="13"/>
      <c r="X248" s="13"/>
      <c r="Y248" s="13"/>
      <c r="Z248" s="13"/>
      <c r="AA248" s="13"/>
    </row>
    <row r="249" ht="16.5" hidden="1" customHeight="1">
      <c r="A249" s="254">
        <f t="shared" si="1"/>
        <v>624</v>
      </c>
      <c r="B249" s="305" t="s">
        <v>2673</v>
      </c>
      <c r="C249" s="306" t="s">
        <v>3466</v>
      </c>
      <c r="D249" s="270" t="s">
        <v>3467</v>
      </c>
      <c r="E249" s="270" t="s">
        <v>3468</v>
      </c>
      <c r="F249" s="270" t="s">
        <v>3469</v>
      </c>
      <c r="G249" s="270" t="s">
        <v>3470</v>
      </c>
      <c r="H249" s="58"/>
      <c r="I249" s="58" t="s">
        <v>3471</v>
      </c>
      <c r="J249" s="256" t="s">
        <v>2680</v>
      </c>
      <c r="K249" s="304" t="b">
        <v>0</v>
      </c>
      <c r="L249" s="55"/>
      <c r="M249" s="55"/>
      <c r="N249" s="13"/>
      <c r="O249" s="13"/>
      <c r="P249" s="13"/>
      <c r="Q249" s="13"/>
      <c r="R249" s="13"/>
      <c r="S249" s="13"/>
      <c r="T249" s="13"/>
      <c r="U249" s="13"/>
      <c r="V249" s="13"/>
      <c r="W249" s="13"/>
      <c r="X249" s="13"/>
      <c r="Y249" s="13"/>
      <c r="Z249" s="13"/>
      <c r="AA249" s="13"/>
    </row>
    <row r="250" ht="16.5" hidden="1" customHeight="1">
      <c r="A250" s="254">
        <f t="shared" si="1"/>
        <v>625</v>
      </c>
      <c r="B250" s="305" t="s">
        <v>2673</v>
      </c>
      <c r="C250" s="306" t="s">
        <v>3472</v>
      </c>
      <c r="D250" s="270" t="s">
        <v>3473</v>
      </c>
      <c r="E250" s="270" t="s">
        <v>3468</v>
      </c>
      <c r="F250" s="270" t="s">
        <v>3474</v>
      </c>
      <c r="G250" s="270" t="s">
        <v>3475</v>
      </c>
      <c r="H250" s="58"/>
      <c r="I250" s="58" t="s">
        <v>3471</v>
      </c>
      <c r="J250" s="256" t="s">
        <v>2680</v>
      </c>
      <c r="K250" s="304" t="b">
        <v>0</v>
      </c>
      <c r="L250" s="55"/>
      <c r="M250" s="55"/>
      <c r="N250" s="13"/>
      <c r="O250" s="13"/>
      <c r="P250" s="13"/>
      <c r="Q250" s="13"/>
      <c r="R250" s="13"/>
      <c r="S250" s="13"/>
      <c r="T250" s="13"/>
      <c r="U250" s="13"/>
      <c r="V250" s="13"/>
      <c r="W250" s="13"/>
      <c r="X250" s="13"/>
      <c r="Y250" s="13"/>
      <c r="Z250" s="13"/>
      <c r="AA250" s="13"/>
    </row>
    <row r="251" ht="16.5" hidden="1" customHeight="1">
      <c r="A251" s="254">
        <f t="shared" si="1"/>
        <v>626</v>
      </c>
      <c r="B251" s="305" t="s">
        <v>2673</v>
      </c>
      <c r="C251" s="306" t="s">
        <v>3476</v>
      </c>
      <c r="D251" s="270" t="s">
        <v>3477</v>
      </c>
      <c r="E251" s="270" t="s">
        <v>3468</v>
      </c>
      <c r="F251" s="270" t="s">
        <v>3478</v>
      </c>
      <c r="G251" s="270" t="s">
        <v>3479</v>
      </c>
      <c r="H251" s="58"/>
      <c r="I251" s="58" t="s">
        <v>3480</v>
      </c>
      <c r="J251" s="256" t="s">
        <v>2680</v>
      </c>
      <c r="K251" s="304" t="b">
        <v>0</v>
      </c>
      <c r="L251" s="55"/>
      <c r="M251" s="55"/>
      <c r="N251" s="13"/>
      <c r="O251" s="13"/>
      <c r="P251" s="13"/>
      <c r="Q251" s="13"/>
      <c r="R251" s="13"/>
      <c r="S251" s="13"/>
      <c r="T251" s="13"/>
      <c r="U251" s="13"/>
      <c r="V251" s="13"/>
      <c r="W251" s="13"/>
      <c r="X251" s="13"/>
      <c r="Y251" s="13"/>
      <c r="Z251" s="13"/>
      <c r="AA251" s="13"/>
    </row>
    <row r="252" ht="16.5" hidden="1" customHeight="1">
      <c r="A252" s="254">
        <f t="shared" si="1"/>
        <v>627</v>
      </c>
      <c r="B252" s="305" t="s">
        <v>2673</v>
      </c>
      <c r="C252" s="306" t="s">
        <v>3481</v>
      </c>
      <c r="D252" s="270" t="s">
        <v>3482</v>
      </c>
      <c r="E252" s="270" t="s">
        <v>3468</v>
      </c>
      <c r="F252" s="270">
        <v>3.0</v>
      </c>
      <c r="G252" s="270" t="s">
        <v>3482</v>
      </c>
      <c r="H252" s="58"/>
      <c r="I252" s="58" t="s">
        <v>3480</v>
      </c>
      <c r="J252" s="256" t="s">
        <v>2680</v>
      </c>
      <c r="K252" s="304" t="b">
        <v>0</v>
      </c>
      <c r="L252" s="55"/>
      <c r="M252" s="55"/>
      <c r="N252" s="13"/>
      <c r="O252" s="13"/>
      <c r="P252" s="13"/>
      <c r="Q252" s="13"/>
      <c r="R252" s="13"/>
      <c r="S252" s="13"/>
      <c r="T252" s="13"/>
      <c r="U252" s="13"/>
      <c r="V252" s="13"/>
      <c r="W252" s="13"/>
      <c r="X252" s="13"/>
      <c r="Y252" s="13"/>
      <c r="Z252" s="13"/>
      <c r="AA252" s="13"/>
    </row>
    <row r="253" ht="16.5" customHeight="1">
      <c r="A253" s="223">
        <f t="shared" si="1"/>
        <v>628</v>
      </c>
      <c r="B253" s="305" t="s">
        <v>2673</v>
      </c>
      <c r="C253" s="306" t="s">
        <v>3483</v>
      </c>
      <c r="D253" s="270" t="s">
        <v>3484</v>
      </c>
      <c r="E253" s="268" t="s">
        <v>3423</v>
      </c>
      <c r="F253" s="269" t="s">
        <v>2557</v>
      </c>
      <c r="G253" s="270" t="s">
        <v>3485</v>
      </c>
      <c r="H253" s="295" t="b">
        <v>0</v>
      </c>
      <c r="I253" s="58" t="s">
        <v>3486</v>
      </c>
      <c r="J253" s="256" t="s">
        <v>2674</v>
      </c>
      <c r="K253" s="302" t="b">
        <v>0</v>
      </c>
      <c r="L253" s="55"/>
      <c r="M253" s="55"/>
      <c r="N253" s="13"/>
      <c r="O253" s="13"/>
      <c r="P253" s="13"/>
      <c r="Q253" s="13"/>
      <c r="R253" s="13"/>
      <c r="S253" s="13"/>
      <c r="T253" s="13"/>
      <c r="U253" s="13"/>
      <c r="V253" s="13"/>
      <c r="W253" s="13"/>
      <c r="X253" s="13"/>
      <c r="Y253" s="13"/>
      <c r="Z253" s="13"/>
      <c r="AA253" s="13"/>
    </row>
    <row r="254" ht="16.5" hidden="1" customHeight="1">
      <c r="A254" s="254">
        <f t="shared" si="1"/>
        <v>629</v>
      </c>
      <c r="B254" s="305" t="s">
        <v>2673</v>
      </c>
      <c r="C254" s="306" t="s">
        <v>3487</v>
      </c>
      <c r="D254" s="270" t="s">
        <v>3488</v>
      </c>
      <c r="E254" s="270" t="s">
        <v>3438</v>
      </c>
      <c r="F254" s="270">
        <v>188.0</v>
      </c>
      <c r="G254" s="270" t="s">
        <v>3489</v>
      </c>
      <c r="H254" s="58"/>
      <c r="I254" s="58" t="s">
        <v>3486</v>
      </c>
      <c r="J254" s="256" t="s">
        <v>2680</v>
      </c>
      <c r="K254" s="304" t="b">
        <v>0</v>
      </c>
      <c r="L254" s="55"/>
      <c r="M254" s="55"/>
      <c r="N254" s="13"/>
      <c r="O254" s="13"/>
      <c r="P254" s="13"/>
      <c r="Q254" s="13"/>
      <c r="R254" s="13"/>
      <c r="S254" s="13"/>
      <c r="T254" s="13"/>
      <c r="U254" s="13"/>
      <c r="V254" s="13"/>
      <c r="W254" s="13"/>
      <c r="X254" s="13"/>
      <c r="Y254" s="13"/>
      <c r="Z254" s="13"/>
      <c r="AA254" s="13"/>
    </row>
    <row r="255" ht="16.5" customHeight="1">
      <c r="A255" s="223">
        <f t="shared" si="1"/>
        <v>630</v>
      </c>
      <c r="B255" s="305" t="s">
        <v>2673</v>
      </c>
      <c r="C255" s="306" t="s">
        <v>3490</v>
      </c>
      <c r="D255" s="270" t="s">
        <v>3491</v>
      </c>
      <c r="E255" s="268" t="s">
        <v>3423</v>
      </c>
      <c r="F255" s="269" t="s">
        <v>2557</v>
      </c>
      <c r="G255" s="270" t="s">
        <v>3492</v>
      </c>
      <c r="H255" s="295" t="b">
        <v>0</v>
      </c>
      <c r="I255" s="58" t="s">
        <v>3493</v>
      </c>
      <c r="J255" s="256" t="s">
        <v>2674</v>
      </c>
      <c r="K255" s="302" t="b">
        <v>0</v>
      </c>
      <c r="L255" s="55"/>
      <c r="M255" s="55"/>
      <c r="N255" s="13"/>
      <c r="O255" s="13"/>
      <c r="P255" s="13"/>
      <c r="Q255" s="13"/>
      <c r="R255" s="13"/>
      <c r="S255" s="13"/>
      <c r="T255" s="13"/>
      <c r="U255" s="13"/>
      <c r="V255" s="13"/>
      <c r="W255" s="13"/>
      <c r="X255" s="13"/>
      <c r="Y255" s="13"/>
      <c r="Z255" s="13"/>
      <c r="AA255" s="13"/>
    </row>
    <row r="256" ht="16.5" customHeight="1">
      <c r="A256" s="223">
        <f t="shared" si="1"/>
        <v>631</v>
      </c>
      <c r="B256" s="305" t="s">
        <v>2673</v>
      </c>
      <c r="C256" s="306" t="s">
        <v>3494</v>
      </c>
      <c r="D256" s="270" t="s">
        <v>3495</v>
      </c>
      <c r="E256" s="268" t="s">
        <v>3423</v>
      </c>
      <c r="F256" s="269" t="s">
        <v>3496</v>
      </c>
      <c r="G256" s="270" t="s">
        <v>3497</v>
      </c>
      <c r="H256" s="295" t="b">
        <v>0</v>
      </c>
      <c r="I256" s="58" t="s">
        <v>3493</v>
      </c>
      <c r="J256" s="256" t="s">
        <v>2674</v>
      </c>
      <c r="K256" s="302" t="b">
        <v>0</v>
      </c>
      <c r="L256" s="55"/>
      <c r="M256" s="55"/>
      <c r="N256" s="13"/>
      <c r="O256" s="13"/>
      <c r="P256" s="13"/>
      <c r="Q256" s="13"/>
      <c r="R256" s="13"/>
      <c r="S256" s="13"/>
      <c r="T256" s="13"/>
      <c r="U256" s="13"/>
      <c r="V256" s="13"/>
      <c r="W256" s="13"/>
      <c r="X256" s="13"/>
      <c r="Y256" s="13"/>
      <c r="Z256" s="13"/>
      <c r="AA256" s="13"/>
    </row>
    <row r="257" ht="16.5" hidden="1" customHeight="1">
      <c r="A257" s="254">
        <f t="shared" si="1"/>
        <v>632</v>
      </c>
      <c r="B257" s="305" t="s">
        <v>2673</v>
      </c>
      <c r="C257" s="306" t="s">
        <v>3498</v>
      </c>
      <c r="D257" s="270" t="s">
        <v>3499</v>
      </c>
      <c r="E257" s="270" t="s">
        <v>3468</v>
      </c>
      <c r="F257" s="270">
        <v>4.0</v>
      </c>
      <c r="G257" s="270" t="s">
        <v>3499</v>
      </c>
      <c r="H257" s="58"/>
      <c r="I257" s="58" t="s">
        <v>3500</v>
      </c>
      <c r="J257" s="256" t="s">
        <v>2680</v>
      </c>
      <c r="K257" s="304" t="b">
        <v>0</v>
      </c>
      <c r="L257" s="55"/>
      <c r="M257" s="55"/>
      <c r="N257" s="13"/>
      <c r="O257" s="13"/>
      <c r="P257" s="13"/>
      <c r="Q257" s="13"/>
      <c r="R257" s="13"/>
      <c r="S257" s="13"/>
      <c r="T257" s="13"/>
      <c r="U257" s="13"/>
      <c r="V257" s="13"/>
      <c r="W257" s="13"/>
      <c r="X257" s="13"/>
      <c r="Y257" s="13"/>
      <c r="Z257" s="13"/>
      <c r="AA257" s="13"/>
    </row>
    <row r="258" ht="16.5" customHeight="1">
      <c r="A258" s="223">
        <f t="shared" si="1"/>
        <v>633</v>
      </c>
      <c r="B258" s="305" t="s">
        <v>2673</v>
      </c>
      <c r="C258" s="306" t="s">
        <v>3501</v>
      </c>
      <c r="D258" s="270" t="s">
        <v>3502</v>
      </c>
      <c r="E258" s="268" t="s">
        <v>3432</v>
      </c>
      <c r="F258" s="269" t="s">
        <v>2563</v>
      </c>
      <c r="G258" s="270" t="s">
        <v>3503</v>
      </c>
      <c r="H258" s="295" t="b">
        <v>0</v>
      </c>
      <c r="I258" s="58" t="s">
        <v>3500</v>
      </c>
      <c r="J258" s="256" t="s">
        <v>2674</v>
      </c>
      <c r="K258" s="302" t="b">
        <v>0</v>
      </c>
      <c r="L258" s="55"/>
      <c r="M258" s="55"/>
      <c r="N258" s="13"/>
      <c r="O258" s="13"/>
      <c r="P258" s="13"/>
      <c r="Q258" s="13"/>
      <c r="R258" s="13"/>
      <c r="S258" s="13"/>
      <c r="T258" s="13"/>
      <c r="U258" s="13"/>
      <c r="V258" s="13"/>
      <c r="W258" s="13"/>
      <c r="X258" s="13"/>
      <c r="Y258" s="13"/>
      <c r="Z258" s="13"/>
      <c r="AA258" s="13"/>
    </row>
    <row r="259" ht="16.5" customHeight="1">
      <c r="A259" s="223">
        <f t="shared" si="1"/>
        <v>634</v>
      </c>
      <c r="B259" s="305" t="s">
        <v>2673</v>
      </c>
      <c r="C259" s="306" t="s">
        <v>3504</v>
      </c>
      <c r="D259" s="270" t="s">
        <v>3505</v>
      </c>
      <c r="E259" s="268" t="s">
        <v>3506</v>
      </c>
      <c r="F259" s="269" t="s">
        <v>3507</v>
      </c>
      <c r="G259" s="270" t="s">
        <v>3508</v>
      </c>
      <c r="H259" s="295" t="b">
        <v>0</v>
      </c>
      <c r="I259" s="58" t="s">
        <v>3509</v>
      </c>
      <c r="J259" s="256" t="s">
        <v>2674</v>
      </c>
      <c r="K259" s="302" t="b">
        <v>0</v>
      </c>
      <c r="L259" s="55"/>
      <c r="M259" s="55"/>
      <c r="N259" s="13"/>
      <c r="O259" s="13"/>
      <c r="P259" s="13"/>
      <c r="Q259" s="13"/>
      <c r="R259" s="13"/>
      <c r="S259" s="13"/>
      <c r="T259" s="13"/>
      <c r="U259" s="13"/>
      <c r="V259" s="13"/>
      <c r="W259" s="13"/>
      <c r="X259" s="13"/>
      <c r="Y259" s="13"/>
      <c r="Z259" s="13"/>
      <c r="AA259" s="13"/>
    </row>
    <row r="260" ht="16.5" customHeight="1">
      <c r="A260" s="223">
        <f t="shared" si="1"/>
        <v>635</v>
      </c>
      <c r="B260" s="305" t="s">
        <v>2673</v>
      </c>
      <c r="C260" s="306" t="s">
        <v>3510</v>
      </c>
      <c r="D260" s="270" t="s">
        <v>3511</v>
      </c>
      <c r="E260" s="268" t="s">
        <v>3423</v>
      </c>
      <c r="F260" s="269" t="s">
        <v>3507</v>
      </c>
      <c r="G260" s="270" t="s">
        <v>3508</v>
      </c>
      <c r="H260" s="295" t="b">
        <v>0</v>
      </c>
      <c r="I260" s="58" t="s">
        <v>3509</v>
      </c>
      <c r="J260" s="256" t="s">
        <v>2674</v>
      </c>
      <c r="K260" s="302" t="b">
        <v>0</v>
      </c>
      <c r="L260" s="55"/>
      <c r="M260" s="55"/>
      <c r="N260" s="13"/>
      <c r="O260" s="13"/>
      <c r="P260" s="13"/>
      <c r="Q260" s="13"/>
      <c r="R260" s="13"/>
      <c r="S260" s="13"/>
      <c r="T260" s="13"/>
      <c r="U260" s="13"/>
      <c r="V260" s="13"/>
      <c r="W260" s="13"/>
      <c r="X260" s="13"/>
      <c r="Y260" s="13"/>
      <c r="Z260" s="13"/>
      <c r="AA260" s="13"/>
    </row>
    <row r="261" ht="16.5" customHeight="1">
      <c r="A261" s="223">
        <f t="shared" si="1"/>
        <v>636</v>
      </c>
      <c r="B261" s="305" t="s">
        <v>2673</v>
      </c>
      <c r="C261" s="306" t="s">
        <v>3512</v>
      </c>
      <c r="D261" s="270" t="s">
        <v>3513</v>
      </c>
      <c r="E261" s="268" t="s">
        <v>3423</v>
      </c>
      <c r="F261" s="269" t="s">
        <v>3507</v>
      </c>
      <c r="G261" s="270" t="s">
        <v>3508</v>
      </c>
      <c r="H261" s="295" t="b">
        <v>0</v>
      </c>
      <c r="I261" s="58" t="s">
        <v>3509</v>
      </c>
      <c r="J261" s="256" t="s">
        <v>2674</v>
      </c>
      <c r="K261" s="302" t="b">
        <v>0</v>
      </c>
      <c r="L261" s="55"/>
      <c r="M261" s="55"/>
      <c r="N261" s="13"/>
      <c r="O261" s="13"/>
      <c r="P261" s="13"/>
      <c r="Q261" s="13"/>
      <c r="R261" s="13"/>
      <c r="S261" s="13"/>
      <c r="T261" s="13"/>
      <c r="U261" s="13"/>
      <c r="V261" s="13"/>
      <c r="W261" s="13"/>
      <c r="X261" s="13"/>
      <c r="Y261" s="13"/>
      <c r="Z261" s="13"/>
      <c r="AA261" s="13"/>
    </row>
    <row r="262" ht="16.5" customHeight="1">
      <c r="A262" s="223">
        <f t="shared" si="1"/>
        <v>637</v>
      </c>
      <c r="B262" s="305" t="s">
        <v>2673</v>
      </c>
      <c r="C262" s="306" t="s">
        <v>3514</v>
      </c>
      <c r="D262" s="270" t="s">
        <v>3515</v>
      </c>
      <c r="E262" s="268" t="s">
        <v>3423</v>
      </c>
      <c r="F262" s="269" t="s">
        <v>3507</v>
      </c>
      <c r="G262" s="270" t="s">
        <v>3508</v>
      </c>
      <c r="H262" s="295" t="b">
        <v>0</v>
      </c>
      <c r="I262" s="58" t="s">
        <v>3509</v>
      </c>
      <c r="J262" s="256" t="s">
        <v>2674</v>
      </c>
      <c r="K262" s="302" t="b">
        <v>0</v>
      </c>
      <c r="L262" s="55"/>
      <c r="M262" s="55"/>
      <c r="N262" s="13"/>
      <c r="O262" s="13"/>
      <c r="P262" s="13"/>
      <c r="Q262" s="13"/>
      <c r="R262" s="13"/>
      <c r="S262" s="13"/>
      <c r="T262" s="13"/>
      <c r="U262" s="13"/>
      <c r="V262" s="13"/>
      <c r="W262" s="13"/>
      <c r="X262" s="13"/>
      <c r="Y262" s="13"/>
      <c r="Z262" s="13"/>
      <c r="AA262" s="13"/>
    </row>
    <row r="263" ht="16.5" hidden="1" customHeight="1">
      <c r="A263" s="254">
        <f t="shared" si="1"/>
        <v>638</v>
      </c>
      <c r="B263" s="305" t="s">
        <v>2673</v>
      </c>
      <c r="C263" s="306" t="s">
        <v>3516</v>
      </c>
      <c r="D263" s="270" t="s">
        <v>3517</v>
      </c>
      <c r="E263" s="310"/>
      <c r="F263" s="310"/>
      <c r="G263" s="310"/>
      <c r="H263" s="58"/>
      <c r="I263" s="58" t="s">
        <v>3509</v>
      </c>
      <c r="J263" s="256" t="s">
        <v>2680</v>
      </c>
      <c r="K263" s="304" t="b">
        <v>0</v>
      </c>
      <c r="L263" s="55"/>
      <c r="M263" s="55"/>
      <c r="N263" s="13"/>
      <c r="O263" s="13"/>
      <c r="P263" s="13"/>
      <c r="Q263" s="13"/>
      <c r="R263" s="13"/>
      <c r="S263" s="13"/>
      <c r="T263" s="13"/>
      <c r="U263" s="13"/>
      <c r="V263" s="13"/>
      <c r="W263" s="13"/>
      <c r="X263" s="13"/>
      <c r="Y263" s="13"/>
      <c r="Z263" s="13"/>
      <c r="AA263" s="13"/>
    </row>
    <row r="264" ht="16.5" hidden="1" customHeight="1">
      <c r="A264" s="254">
        <f t="shared" si="1"/>
        <v>639</v>
      </c>
      <c r="B264" s="305" t="s">
        <v>2673</v>
      </c>
      <c r="C264" s="306" t="s">
        <v>3518</v>
      </c>
      <c r="D264" s="270" t="s">
        <v>3519</v>
      </c>
      <c r="E264" s="310"/>
      <c r="F264" s="310"/>
      <c r="G264" s="310"/>
      <c r="H264" s="58"/>
      <c r="I264" s="58" t="s">
        <v>3509</v>
      </c>
      <c r="J264" s="256" t="s">
        <v>2680</v>
      </c>
      <c r="K264" s="304" t="b">
        <v>0</v>
      </c>
      <c r="L264" s="55"/>
      <c r="M264" s="55"/>
      <c r="N264" s="13"/>
      <c r="O264" s="13"/>
      <c r="P264" s="13"/>
      <c r="Q264" s="13"/>
      <c r="R264" s="13"/>
      <c r="S264" s="13"/>
      <c r="T264" s="13"/>
      <c r="U264" s="13"/>
      <c r="V264" s="13"/>
      <c r="W264" s="13"/>
      <c r="X264" s="13"/>
      <c r="Y264" s="13"/>
      <c r="Z264" s="13"/>
      <c r="AA264" s="13"/>
    </row>
    <row r="265" ht="16.5" customHeight="1">
      <c r="A265" s="223">
        <f t="shared" si="1"/>
        <v>640</v>
      </c>
      <c r="B265" s="305" t="s">
        <v>2673</v>
      </c>
      <c r="C265" s="306" t="s">
        <v>3520</v>
      </c>
      <c r="D265" s="270" t="s">
        <v>3521</v>
      </c>
      <c r="E265" s="268" t="s">
        <v>3522</v>
      </c>
      <c r="F265" s="312"/>
      <c r="G265" s="270" t="s">
        <v>3521</v>
      </c>
      <c r="H265" s="295" t="b">
        <v>0</v>
      </c>
      <c r="I265" s="58" t="s">
        <v>3523</v>
      </c>
      <c r="J265" s="256" t="s">
        <v>2674</v>
      </c>
      <c r="K265" s="302" t="b">
        <v>0</v>
      </c>
      <c r="L265" s="55"/>
      <c r="M265" s="55"/>
      <c r="N265" s="13"/>
      <c r="O265" s="13"/>
      <c r="P265" s="13"/>
      <c r="Q265" s="13"/>
      <c r="R265" s="13"/>
      <c r="S265" s="13"/>
      <c r="T265" s="13"/>
      <c r="U265" s="13"/>
      <c r="V265" s="13"/>
      <c r="W265" s="13"/>
      <c r="X265" s="13"/>
      <c r="Y265" s="13"/>
      <c r="Z265" s="13"/>
      <c r="AA265" s="13"/>
    </row>
    <row r="266" ht="16.5" hidden="1" customHeight="1">
      <c r="A266" s="254">
        <f t="shared" si="1"/>
        <v>641</v>
      </c>
      <c r="B266" s="305" t="s">
        <v>2673</v>
      </c>
      <c r="C266" s="306" t="s">
        <v>3524</v>
      </c>
      <c r="D266" s="270" t="s">
        <v>3525</v>
      </c>
      <c r="E266" s="270" t="s">
        <v>3438</v>
      </c>
      <c r="F266" s="270">
        <v>193.0</v>
      </c>
      <c r="G266" s="270" t="s">
        <v>3526</v>
      </c>
      <c r="H266" s="58"/>
      <c r="I266" s="58" t="s">
        <v>3509</v>
      </c>
      <c r="J266" s="256" t="s">
        <v>2680</v>
      </c>
      <c r="K266" s="304" t="b">
        <v>0</v>
      </c>
      <c r="L266" s="55"/>
      <c r="M266" s="55"/>
      <c r="N266" s="13"/>
      <c r="O266" s="13"/>
      <c r="P266" s="13"/>
      <c r="Q266" s="13"/>
      <c r="R266" s="13"/>
      <c r="S266" s="13"/>
      <c r="T266" s="13"/>
      <c r="U266" s="13"/>
      <c r="V266" s="13"/>
      <c r="W266" s="13"/>
      <c r="X266" s="13"/>
      <c r="Y266" s="13"/>
      <c r="Z266" s="13"/>
      <c r="AA266" s="13"/>
    </row>
    <row r="267" ht="16.5" customHeight="1">
      <c r="A267" s="223">
        <f t="shared" si="1"/>
        <v>642</v>
      </c>
      <c r="B267" s="305" t="s">
        <v>2673</v>
      </c>
      <c r="C267" s="306" t="s">
        <v>3527</v>
      </c>
      <c r="D267" s="270" t="s">
        <v>3528</v>
      </c>
      <c r="E267" s="268" t="s">
        <v>3529</v>
      </c>
      <c r="F267" s="269" t="s">
        <v>933</v>
      </c>
      <c r="G267" s="270" t="s">
        <v>3530</v>
      </c>
      <c r="H267" s="295" t="b">
        <v>0</v>
      </c>
      <c r="I267" s="58" t="s">
        <v>3523</v>
      </c>
      <c r="J267" s="256" t="s">
        <v>2674</v>
      </c>
      <c r="K267" s="302" t="b">
        <v>0</v>
      </c>
      <c r="L267" s="55"/>
      <c r="M267" s="55"/>
      <c r="N267" s="13"/>
      <c r="O267" s="13"/>
      <c r="P267" s="13"/>
      <c r="Q267" s="13"/>
      <c r="R267" s="13"/>
      <c r="S267" s="13"/>
      <c r="T267" s="13"/>
      <c r="U267" s="13"/>
      <c r="V267" s="13"/>
      <c r="W267" s="13"/>
      <c r="X267" s="13"/>
      <c r="Y267" s="13"/>
      <c r="Z267" s="13"/>
      <c r="AA267" s="13"/>
    </row>
    <row r="268" ht="16.5" customHeight="1">
      <c r="A268" s="223">
        <f t="shared" si="1"/>
        <v>643</v>
      </c>
      <c r="B268" s="305" t="s">
        <v>2681</v>
      </c>
      <c r="C268" s="196" t="s">
        <v>3531</v>
      </c>
      <c r="D268" s="197" t="s">
        <v>3532</v>
      </c>
      <c r="E268" s="261" t="s">
        <v>3533</v>
      </c>
      <c r="F268" s="198" t="s">
        <v>3534</v>
      </c>
      <c r="G268" s="260" t="s">
        <v>3535</v>
      </c>
      <c r="H268" s="308" t="b">
        <v>0</v>
      </c>
      <c r="I268" s="55"/>
      <c r="J268" s="256" t="s">
        <v>2674</v>
      </c>
      <c r="K268" s="302" t="b">
        <v>0</v>
      </c>
      <c r="L268" s="55"/>
      <c r="M268" s="55"/>
      <c r="N268" s="13"/>
      <c r="O268" s="13"/>
      <c r="P268" s="13"/>
      <c r="Q268" s="13"/>
      <c r="R268" s="13"/>
      <c r="S268" s="13"/>
      <c r="T268" s="13"/>
      <c r="U268" s="13"/>
      <c r="V268" s="13"/>
      <c r="W268" s="13"/>
      <c r="X268" s="13"/>
      <c r="Y268" s="13"/>
      <c r="Z268" s="13"/>
      <c r="AA268" s="13"/>
    </row>
    <row r="269" ht="16.5" customHeight="1">
      <c r="A269" s="223">
        <f t="shared" si="1"/>
        <v>644</v>
      </c>
      <c r="B269" s="305" t="s">
        <v>2681</v>
      </c>
      <c r="C269" s="196" t="s">
        <v>3536</v>
      </c>
      <c r="D269" s="197" t="s">
        <v>3537</v>
      </c>
      <c r="E269" s="261" t="s">
        <v>3538</v>
      </c>
      <c r="F269" s="198" t="s">
        <v>173</v>
      </c>
      <c r="G269" s="197" t="s">
        <v>3537</v>
      </c>
      <c r="H269" s="308" t="b">
        <v>0</v>
      </c>
      <c r="I269" s="55"/>
      <c r="J269" s="256" t="s">
        <v>2674</v>
      </c>
      <c r="K269" s="302" t="b">
        <v>0</v>
      </c>
      <c r="L269" s="55"/>
      <c r="M269" s="55"/>
      <c r="N269" s="13"/>
      <c r="O269" s="13"/>
      <c r="P269" s="13"/>
      <c r="Q269" s="13"/>
      <c r="R269" s="13"/>
      <c r="S269" s="13"/>
      <c r="T269" s="13"/>
      <c r="U269" s="13"/>
      <c r="V269" s="13"/>
      <c r="W269" s="13"/>
      <c r="X269" s="13"/>
      <c r="Y269" s="13"/>
      <c r="Z269" s="13"/>
      <c r="AA269" s="13"/>
    </row>
    <row r="270" ht="16.5" customHeight="1">
      <c r="A270" s="223">
        <f t="shared" si="1"/>
        <v>645</v>
      </c>
      <c r="B270" s="305" t="s">
        <v>2681</v>
      </c>
      <c r="C270" s="196" t="s">
        <v>3539</v>
      </c>
      <c r="D270" s="197" t="s">
        <v>3540</v>
      </c>
      <c r="E270" s="261" t="s">
        <v>3541</v>
      </c>
      <c r="F270" s="198" t="s">
        <v>3542</v>
      </c>
      <c r="G270" s="197" t="s">
        <v>3543</v>
      </c>
      <c r="H270" s="308" t="b">
        <v>0</v>
      </c>
      <c r="I270" s="55"/>
      <c r="J270" s="256" t="s">
        <v>2674</v>
      </c>
      <c r="K270" s="302" t="b">
        <v>0</v>
      </c>
      <c r="L270" s="55"/>
      <c r="M270" s="55"/>
      <c r="N270" s="13"/>
      <c r="O270" s="13"/>
      <c r="P270" s="13"/>
      <c r="Q270" s="13"/>
      <c r="R270" s="13"/>
      <c r="S270" s="13"/>
      <c r="T270" s="13"/>
      <c r="U270" s="13"/>
      <c r="V270" s="13"/>
      <c r="W270" s="13"/>
      <c r="X270" s="13"/>
      <c r="Y270" s="13"/>
      <c r="Z270" s="13"/>
      <c r="AA270" s="13"/>
    </row>
    <row r="271" ht="16.5" customHeight="1">
      <c r="A271" s="10"/>
      <c r="B271" s="10"/>
      <c r="C271" s="13"/>
      <c r="D271" s="13"/>
      <c r="E271" s="13"/>
      <c r="F271" s="205"/>
      <c r="G271" s="13"/>
      <c r="H271" s="13"/>
      <c r="I271" s="13"/>
      <c r="J271" s="13"/>
      <c r="K271" s="13"/>
      <c r="L271" s="13"/>
      <c r="M271" s="13"/>
      <c r="N271" s="13"/>
      <c r="O271" s="13"/>
      <c r="P271" s="13"/>
      <c r="Q271" s="13"/>
      <c r="R271" s="13"/>
      <c r="S271" s="13"/>
      <c r="T271" s="13"/>
      <c r="U271" s="13"/>
      <c r="V271" s="13"/>
      <c r="W271" s="13"/>
      <c r="X271" s="13"/>
      <c r="Y271" s="13"/>
      <c r="Z271" s="13"/>
      <c r="AA271" s="13"/>
    </row>
    <row r="272" ht="16.5" customHeight="1">
      <c r="A272" s="10"/>
      <c r="B272" s="10"/>
      <c r="C272" s="13"/>
      <c r="D272" s="13"/>
      <c r="E272" s="13"/>
      <c r="F272" s="205"/>
      <c r="G272" s="13"/>
      <c r="H272" s="13"/>
      <c r="I272" s="13"/>
      <c r="J272" s="13"/>
      <c r="K272" s="13"/>
      <c r="L272" s="13"/>
      <c r="M272" s="13"/>
      <c r="N272" s="13"/>
      <c r="O272" s="13"/>
      <c r="P272" s="13"/>
      <c r="Q272" s="13"/>
      <c r="R272" s="13"/>
      <c r="S272" s="13"/>
      <c r="T272" s="13"/>
      <c r="U272" s="13"/>
      <c r="V272" s="13"/>
      <c r="W272" s="13"/>
      <c r="X272" s="13"/>
      <c r="Y272" s="13"/>
      <c r="Z272" s="13"/>
      <c r="AA272" s="13"/>
    </row>
    <row r="273" ht="16.5" customHeight="1">
      <c r="A273" s="10"/>
      <c r="B273" s="10"/>
      <c r="C273" s="13"/>
      <c r="D273" s="13"/>
      <c r="E273" s="13"/>
      <c r="F273" s="205"/>
      <c r="G273" s="13"/>
      <c r="H273" s="13"/>
      <c r="I273" s="13"/>
      <c r="J273" s="13"/>
      <c r="K273" s="13"/>
      <c r="L273" s="13"/>
      <c r="M273" s="13"/>
      <c r="N273" s="13"/>
      <c r="O273" s="13"/>
      <c r="P273" s="13"/>
      <c r="Q273" s="13"/>
      <c r="R273" s="13"/>
      <c r="S273" s="13"/>
      <c r="T273" s="13"/>
      <c r="U273" s="13"/>
      <c r="V273" s="13"/>
      <c r="W273" s="13"/>
      <c r="X273" s="13"/>
      <c r="Y273" s="13"/>
      <c r="Z273" s="13"/>
      <c r="AA273" s="13"/>
    </row>
    <row r="274" ht="16.5" customHeight="1">
      <c r="A274" s="10"/>
      <c r="B274" s="10"/>
      <c r="C274" s="13"/>
      <c r="D274" s="13"/>
      <c r="E274" s="13"/>
      <c r="F274" s="205"/>
      <c r="G274" s="13"/>
      <c r="H274" s="13"/>
      <c r="I274" s="13"/>
      <c r="J274" s="13"/>
      <c r="K274" s="13"/>
      <c r="L274" s="13"/>
      <c r="M274" s="13"/>
      <c r="N274" s="13"/>
      <c r="O274" s="13"/>
      <c r="P274" s="13"/>
      <c r="Q274" s="13"/>
      <c r="R274" s="13"/>
      <c r="S274" s="13"/>
      <c r="T274" s="13"/>
      <c r="U274" s="13"/>
      <c r="V274" s="13"/>
      <c r="W274" s="13"/>
      <c r="X274" s="13"/>
      <c r="Y274" s="13"/>
      <c r="Z274" s="13"/>
      <c r="AA274" s="13"/>
    </row>
    <row r="275" ht="16.5" customHeight="1">
      <c r="A275" s="10"/>
      <c r="B275" s="10"/>
      <c r="C275" s="13"/>
      <c r="D275" s="13"/>
      <c r="E275" s="13"/>
      <c r="F275" s="205"/>
      <c r="G275" s="13"/>
      <c r="H275" s="13"/>
      <c r="I275" s="13"/>
      <c r="J275" s="13"/>
      <c r="K275" s="13"/>
      <c r="L275" s="13"/>
      <c r="M275" s="13"/>
      <c r="N275" s="13"/>
      <c r="O275" s="13"/>
      <c r="P275" s="13"/>
      <c r="Q275" s="13"/>
      <c r="R275" s="13"/>
      <c r="S275" s="13"/>
      <c r="T275" s="13"/>
      <c r="U275" s="13"/>
      <c r="V275" s="13"/>
      <c r="W275" s="13"/>
      <c r="X275" s="13"/>
      <c r="Y275" s="13"/>
      <c r="Z275" s="13"/>
      <c r="AA275" s="13"/>
    </row>
    <row r="276" ht="16.5" customHeight="1">
      <c r="A276" s="10"/>
      <c r="B276" s="10"/>
      <c r="C276" s="13"/>
      <c r="D276" s="13"/>
      <c r="E276" s="13"/>
      <c r="F276" s="205"/>
      <c r="G276" s="13"/>
      <c r="H276" s="13"/>
      <c r="I276" s="13"/>
      <c r="J276" s="13"/>
      <c r="K276" s="13"/>
      <c r="L276" s="13"/>
      <c r="M276" s="13"/>
      <c r="N276" s="13"/>
      <c r="O276" s="13"/>
      <c r="P276" s="13"/>
      <c r="Q276" s="13"/>
      <c r="R276" s="13"/>
      <c r="S276" s="13"/>
      <c r="T276" s="13"/>
      <c r="U276" s="13"/>
      <c r="V276" s="13"/>
      <c r="W276" s="13"/>
      <c r="X276" s="13"/>
      <c r="Y276" s="13"/>
      <c r="Z276" s="13"/>
      <c r="AA276" s="13"/>
    </row>
    <row r="277" ht="16.5" customHeight="1">
      <c r="A277" s="10"/>
      <c r="B277" s="10"/>
      <c r="C277" s="13"/>
      <c r="D277" s="13"/>
      <c r="E277" s="13"/>
      <c r="F277" s="205"/>
      <c r="G277" s="13"/>
      <c r="H277" s="13"/>
      <c r="I277" s="13"/>
      <c r="J277" s="13"/>
      <c r="K277" s="13"/>
      <c r="L277" s="13"/>
      <c r="M277" s="13"/>
      <c r="N277" s="13"/>
      <c r="O277" s="13"/>
      <c r="P277" s="13"/>
      <c r="Q277" s="13"/>
      <c r="R277" s="13"/>
      <c r="S277" s="13"/>
      <c r="T277" s="13"/>
      <c r="U277" s="13"/>
      <c r="V277" s="13"/>
      <c r="W277" s="13"/>
      <c r="X277" s="13"/>
      <c r="Y277" s="13"/>
      <c r="Z277" s="13"/>
      <c r="AA277" s="13"/>
    </row>
    <row r="278" ht="16.5" customHeight="1">
      <c r="A278" s="10"/>
      <c r="B278" s="10"/>
      <c r="C278" s="13"/>
      <c r="D278" s="13"/>
      <c r="E278" s="13"/>
      <c r="F278" s="205"/>
      <c r="G278" s="13"/>
      <c r="H278" s="13"/>
      <c r="I278" s="13"/>
      <c r="J278" s="13"/>
      <c r="K278" s="13"/>
      <c r="L278" s="13"/>
      <c r="M278" s="13"/>
      <c r="N278" s="13"/>
      <c r="O278" s="13"/>
      <c r="P278" s="13"/>
      <c r="Q278" s="13"/>
      <c r="R278" s="13"/>
      <c r="S278" s="13"/>
      <c r="T278" s="13"/>
      <c r="U278" s="13"/>
      <c r="V278" s="13"/>
      <c r="W278" s="13"/>
      <c r="X278" s="13"/>
      <c r="Y278" s="13"/>
      <c r="Z278" s="13"/>
      <c r="AA278" s="13"/>
    </row>
    <row r="279" ht="16.5" customHeight="1">
      <c r="A279" s="10"/>
      <c r="B279" s="10"/>
      <c r="C279" s="13"/>
      <c r="D279" s="13"/>
      <c r="E279" s="13"/>
      <c r="F279" s="205"/>
      <c r="G279" s="13"/>
      <c r="H279" s="13"/>
      <c r="I279" s="13"/>
      <c r="J279" s="13"/>
      <c r="K279" s="13"/>
      <c r="L279" s="13"/>
      <c r="M279" s="13"/>
      <c r="N279" s="13"/>
      <c r="O279" s="13"/>
      <c r="P279" s="13"/>
      <c r="Q279" s="13"/>
      <c r="R279" s="13"/>
      <c r="S279" s="13"/>
      <c r="T279" s="13"/>
      <c r="U279" s="13"/>
      <c r="V279" s="13"/>
      <c r="W279" s="13"/>
      <c r="X279" s="13"/>
      <c r="Y279" s="13"/>
      <c r="Z279" s="13"/>
      <c r="AA279" s="13"/>
    </row>
    <row r="280" ht="16.5" customHeight="1">
      <c r="A280" s="10"/>
      <c r="B280" s="10"/>
      <c r="C280" s="13"/>
      <c r="D280" s="13"/>
      <c r="E280" s="13"/>
      <c r="F280" s="205"/>
      <c r="G280" s="13"/>
      <c r="H280" s="13"/>
      <c r="I280" s="13"/>
      <c r="J280" s="13"/>
      <c r="K280" s="13"/>
      <c r="L280" s="13"/>
      <c r="M280" s="13"/>
      <c r="N280" s="13"/>
      <c r="O280" s="13"/>
      <c r="P280" s="13"/>
      <c r="Q280" s="13"/>
      <c r="R280" s="13"/>
      <c r="S280" s="13"/>
      <c r="T280" s="13"/>
      <c r="U280" s="13"/>
      <c r="V280" s="13"/>
      <c r="W280" s="13"/>
      <c r="X280" s="13"/>
      <c r="Y280" s="13"/>
      <c r="Z280" s="13"/>
      <c r="AA280" s="13"/>
    </row>
    <row r="281" ht="16.5" customHeight="1">
      <c r="A281" s="10"/>
      <c r="B281" s="10"/>
      <c r="C281" s="13"/>
      <c r="D281" s="13"/>
      <c r="E281" s="13"/>
      <c r="F281" s="205"/>
      <c r="G281" s="13"/>
      <c r="H281" s="13"/>
      <c r="I281" s="13"/>
      <c r="J281" s="13"/>
      <c r="K281" s="13"/>
      <c r="L281" s="13"/>
      <c r="M281" s="13"/>
      <c r="N281" s="13"/>
      <c r="O281" s="13"/>
      <c r="P281" s="13"/>
      <c r="Q281" s="13"/>
      <c r="R281" s="13"/>
      <c r="S281" s="13"/>
      <c r="T281" s="13"/>
      <c r="U281" s="13"/>
      <c r="V281" s="13"/>
      <c r="W281" s="13"/>
      <c r="X281" s="13"/>
      <c r="Y281" s="13"/>
      <c r="Z281" s="13"/>
      <c r="AA281" s="13"/>
    </row>
    <row r="282" ht="16.5" customHeight="1">
      <c r="A282" s="10"/>
      <c r="B282" s="10"/>
      <c r="C282" s="13"/>
      <c r="D282" s="13"/>
      <c r="E282" s="13"/>
      <c r="F282" s="205"/>
      <c r="G282" s="13"/>
      <c r="H282" s="13"/>
      <c r="I282" s="13"/>
      <c r="J282" s="13"/>
      <c r="K282" s="13"/>
      <c r="L282" s="13"/>
      <c r="M282" s="13"/>
      <c r="N282" s="13"/>
      <c r="O282" s="13"/>
      <c r="P282" s="13"/>
      <c r="Q282" s="13"/>
      <c r="R282" s="13"/>
      <c r="S282" s="13"/>
      <c r="T282" s="13"/>
      <c r="U282" s="13"/>
      <c r="V282" s="13"/>
      <c r="W282" s="13"/>
      <c r="X282" s="13"/>
      <c r="Y282" s="13"/>
      <c r="Z282" s="13"/>
      <c r="AA282" s="13"/>
    </row>
    <row r="283" ht="16.5" customHeight="1">
      <c r="A283" s="10"/>
      <c r="B283" s="10"/>
      <c r="C283" s="13"/>
      <c r="D283" s="13"/>
      <c r="E283" s="13"/>
      <c r="F283" s="205"/>
      <c r="G283" s="13"/>
      <c r="H283" s="13"/>
      <c r="I283" s="13"/>
      <c r="J283" s="13"/>
      <c r="K283" s="13"/>
      <c r="L283" s="13"/>
      <c r="M283" s="13"/>
      <c r="N283" s="13"/>
      <c r="O283" s="13"/>
      <c r="P283" s="13"/>
      <c r="Q283" s="13"/>
      <c r="R283" s="13"/>
      <c r="S283" s="13"/>
      <c r="T283" s="13"/>
      <c r="U283" s="13"/>
      <c r="V283" s="13"/>
      <c r="W283" s="13"/>
      <c r="X283" s="13"/>
      <c r="Y283" s="13"/>
      <c r="Z283" s="13"/>
      <c r="AA283" s="13"/>
    </row>
    <row r="284" ht="16.5" customHeight="1">
      <c r="A284" s="10"/>
      <c r="B284" s="10"/>
      <c r="C284" s="13"/>
      <c r="D284" s="13"/>
      <c r="E284" s="13"/>
      <c r="F284" s="205"/>
      <c r="G284" s="13"/>
      <c r="H284" s="13"/>
      <c r="I284" s="13"/>
      <c r="J284" s="13"/>
      <c r="K284" s="13"/>
      <c r="L284" s="13"/>
      <c r="M284" s="13"/>
      <c r="N284" s="13"/>
      <c r="O284" s="13"/>
      <c r="P284" s="13"/>
      <c r="Q284" s="13"/>
      <c r="R284" s="13"/>
      <c r="S284" s="13"/>
      <c r="T284" s="13"/>
      <c r="U284" s="13"/>
      <c r="V284" s="13"/>
      <c r="W284" s="13"/>
      <c r="X284" s="13"/>
      <c r="Y284" s="13"/>
      <c r="Z284" s="13"/>
      <c r="AA284" s="13"/>
    </row>
    <row r="285" ht="16.5" customHeight="1">
      <c r="A285" s="10"/>
      <c r="B285" s="10"/>
      <c r="C285" s="13"/>
      <c r="D285" s="13"/>
      <c r="E285" s="13"/>
      <c r="F285" s="205"/>
      <c r="G285" s="13"/>
      <c r="H285" s="13"/>
      <c r="I285" s="13"/>
      <c r="J285" s="13"/>
      <c r="K285" s="13"/>
      <c r="L285" s="13"/>
      <c r="M285" s="13"/>
      <c r="N285" s="13"/>
      <c r="O285" s="13"/>
      <c r="P285" s="13"/>
      <c r="Q285" s="13"/>
      <c r="R285" s="13"/>
      <c r="S285" s="13"/>
      <c r="T285" s="13"/>
      <c r="U285" s="13"/>
      <c r="V285" s="13"/>
      <c r="W285" s="13"/>
      <c r="X285" s="13"/>
      <c r="Y285" s="13"/>
      <c r="Z285" s="13"/>
      <c r="AA285" s="13"/>
    </row>
    <row r="286" ht="16.5" customHeight="1">
      <c r="A286" s="10"/>
      <c r="B286" s="10"/>
      <c r="C286" s="13"/>
      <c r="D286" s="13"/>
      <c r="E286" s="13"/>
      <c r="F286" s="205"/>
      <c r="G286" s="13"/>
      <c r="H286" s="13"/>
      <c r="I286" s="13"/>
      <c r="J286" s="13"/>
      <c r="K286" s="13"/>
      <c r="L286" s="13"/>
      <c r="M286" s="13"/>
      <c r="N286" s="13"/>
      <c r="O286" s="13"/>
      <c r="P286" s="13"/>
      <c r="Q286" s="13"/>
      <c r="R286" s="13"/>
      <c r="S286" s="13"/>
      <c r="T286" s="13"/>
      <c r="U286" s="13"/>
      <c r="V286" s="13"/>
      <c r="W286" s="13"/>
      <c r="X286" s="13"/>
      <c r="Y286" s="13"/>
      <c r="Z286" s="13"/>
      <c r="AA286" s="13"/>
    </row>
    <row r="287" ht="16.5" customHeight="1">
      <c r="A287" s="10"/>
      <c r="B287" s="10"/>
      <c r="C287" s="13"/>
      <c r="D287" s="13"/>
      <c r="E287" s="13"/>
      <c r="F287" s="205"/>
      <c r="G287" s="13"/>
      <c r="H287" s="13"/>
      <c r="I287" s="13"/>
      <c r="J287" s="13"/>
      <c r="K287" s="13"/>
      <c r="L287" s="13"/>
      <c r="M287" s="13"/>
      <c r="N287" s="13"/>
      <c r="O287" s="13"/>
      <c r="P287" s="13"/>
      <c r="Q287" s="13"/>
      <c r="R287" s="13"/>
      <c r="S287" s="13"/>
      <c r="T287" s="13"/>
      <c r="U287" s="13"/>
      <c r="V287" s="13"/>
      <c r="W287" s="13"/>
      <c r="X287" s="13"/>
      <c r="Y287" s="13"/>
      <c r="Z287" s="13"/>
      <c r="AA287" s="13"/>
    </row>
    <row r="288" ht="16.5" customHeight="1">
      <c r="A288" s="10"/>
      <c r="B288" s="10"/>
      <c r="C288" s="13"/>
      <c r="D288" s="13"/>
      <c r="E288" s="13"/>
      <c r="F288" s="205"/>
      <c r="G288" s="13"/>
      <c r="H288" s="13"/>
      <c r="I288" s="13"/>
      <c r="J288" s="13"/>
      <c r="K288" s="13"/>
      <c r="L288" s="13"/>
      <c r="M288" s="13"/>
      <c r="N288" s="13"/>
      <c r="O288" s="13"/>
      <c r="P288" s="13"/>
      <c r="Q288" s="13"/>
      <c r="R288" s="13"/>
      <c r="S288" s="13"/>
      <c r="T288" s="13"/>
      <c r="U288" s="13"/>
      <c r="V288" s="13"/>
      <c r="W288" s="13"/>
      <c r="X288" s="13"/>
      <c r="Y288" s="13"/>
      <c r="Z288" s="13"/>
      <c r="AA288" s="13"/>
    </row>
    <row r="289" ht="16.5" customHeight="1">
      <c r="A289" s="10"/>
      <c r="B289" s="10"/>
      <c r="C289" s="13"/>
      <c r="D289" s="13"/>
      <c r="E289" s="13"/>
      <c r="F289" s="205"/>
      <c r="G289" s="13"/>
      <c r="H289" s="13"/>
      <c r="I289" s="13"/>
      <c r="J289" s="13"/>
      <c r="K289" s="13"/>
      <c r="L289" s="13"/>
      <c r="M289" s="13"/>
      <c r="N289" s="13"/>
      <c r="O289" s="13"/>
      <c r="P289" s="13"/>
      <c r="Q289" s="13"/>
      <c r="R289" s="13"/>
      <c r="S289" s="13"/>
      <c r="T289" s="13"/>
      <c r="U289" s="13"/>
      <c r="V289" s="13"/>
      <c r="W289" s="13"/>
      <c r="X289" s="13"/>
      <c r="Y289" s="13"/>
      <c r="Z289" s="13"/>
      <c r="AA289" s="13"/>
    </row>
    <row r="290" ht="16.5" customHeight="1">
      <c r="A290" s="10"/>
      <c r="B290" s="10"/>
      <c r="C290" s="13"/>
      <c r="D290" s="13"/>
      <c r="E290" s="13"/>
      <c r="F290" s="205"/>
      <c r="G290" s="13"/>
      <c r="H290" s="13"/>
      <c r="I290" s="13"/>
      <c r="J290" s="13"/>
      <c r="K290" s="13"/>
      <c r="L290" s="13"/>
      <c r="M290" s="13"/>
      <c r="N290" s="13"/>
      <c r="O290" s="13"/>
      <c r="P290" s="13"/>
      <c r="Q290" s="13"/>
      <c r="R290" s="13"/>
      <c r="S290" s="13"/>
      <c r="T290" s="13"/>
      <c r="U290" s="13"/>
      <c r="V290" s="13"/>
      <c r="W290" s="13"/>
      <c r="X290" s="13"/>
      <c r="Y290" s="13"/>
      <c r="Z290" s="13"/>
      <c r="AA290" s="13"/>
    </row>
    <row r="291" ht="16.5" customHeight="1">
      <c r="A291" s="10"/>
      <c r="B291" s="10"/>
      <c r="C291" s="13"/>
      <c r="D291" s="13"/>
      <c r="E291" s="13"/>
      <c r="F291" s="205"/>
      <c r="G291" s="13"/>
      <c r="H291" s="13"/>
      <c r="I291" s="13"/>
      <c r="J291" s="13"/>
      <c r="K291" s="13"/>
      <c r="L291" s="13"/>
      <c r="M291" s="13"/>
      <c r="N291" s="13"/>
      <c r="O291" s="13"/>
      <c r="P291" s="13"/>
      <c r="Q291" s="13"/>
      <c r="R291" s="13"/>
      <c r="S291" s="13"/>
      <c r="T291" s="13"/>
      <c r="U291" s="13"/>
      <c r="V291" s="13"/>
      <c r="W291" s="13"/>
      <c r="X291" s="13"/>
      <c r="Y291" s="13"/>
      <c r="Z291" s="13"/>
      <c r="AA291" s="13"/>
    </row>
    <row r="292" ht="16.5" customHeight="1">
      <c r="A292" s="10"/>
      <c r="B292" s="10"/>
      <c r="C292" s="13"/>
      <c r="D292" s="13"/>
      <c r="E292" s="13"/>
      <c r="F292" s="205"/>
      <c r="G292" s="13"/>
      <c r="H292" s="13"/>
      <c r="I292" s="13"/>
      <c r="J292" s="13"/>
      <c r="K292" s="13"/>
      <c r="L292" s="13"/>
      <c r="M292" s="13"/>
      <c r="N292" s="13"/>
      <c r="O292" s="13"/>
      <c r="P292" s="13"/>
      <c r="Q292" s="13"/>
      <c r="R292" s="13"/>
      <c r="S292" s="13"/>
      <c r="T292" s="13"/>
      <c r="U292" s="13"/>
      <c r="V292" s="13"/>
      <c r="W292" s="13"/>
      <c r="X292" s="13"/>
      <c r="Y292" s="13"/>
      <c r="Z292" s="13"/>
      <c r="AA292" s="13"/>
    </row>
    <row r="293" ht="16.5" customHeight="1">
      <c r="A293" s="10"/>
      <c r="B293" s="10"/>
      <c r="C293" s="13"/>
      <c r="D293" s="13"/>
      <c r="E293" s="13"/>
      <c r="F293" s="205"/>
      <c r="G293" s="13"/>
      <c r="H293" s="13"/>
      <c r="I293" s="13"/>
      <c r="J293" s="13"/>
      <c r="K293" s="13"/>
      <c r="L293" s="13"/>
      <c r="M293" s="13"/>
      <c r="N293" s="13"/>
      <c r="O293" s="13"/>
      <c r="P293" s="13"/>
      <c r="Q293" s="13"/>
      <c r="R293" s="13"/>
      <c r="S293" s="13"/>
      <c r="T293" s="13"/>
      <c r="U293" s="13"/>
      <c r="V293" s="13"/>
      <c r="W293" s="13"/>
      <c r="X293" s="13"/>
      <c r="Y293" s="13"/>
      <c r="Z293" s="13"/>
      <c r="AA293" s="13"/>
    </row>
    <row r="294" ht="16.5" customHeight="1">
      <c r="A294" s="10"/>
      <c r="B294" s="10"/>
      <c r="C294" s="13"/>
      <c r="D294" s="13"/>
      <c r="E294" s="13"/>
      <c r="F294" s="205"/>
      <c r="G294" s="13"/>
      <c r="H294" s="13"/>
      <c r="I294" s="13"/>
      <c r="J294" s="13"/>
      <c r="K294" s="13"/>
      <c r="L294" s="13"/>
      <c r="M294" s="13"/>
      <c r="N294" s="13"/>
      <c r="O294" s="13"/>
      <c r="P294" s="13"/>
      <c r="Q294" s="13"/>
      <c r="R294" s="13"/>
      <c r="S294" s="13"/>
      <c r="T294" s="13"/>
      <c r="U294" s="13"/>
      <c r="V294" s="13"/>
      <c r="W294" s="13"/>
      <c r="X294" s="13"/>
      <c r="Y294" s="13"/>
      <c r="Z294" s="13"/>
      <c r="AA294" s="13"/>
    </row>
    <row r="295" ht="16.5" customHeight="1">
      <c r="A295" s="10"/>
      <c r="B295" s="10"/>
      <c r="C295" s="13"/>
      <c r="D295" s="13"/>
      <c r="E295" s="13"/>
      <c r="F295" s="205"/>
      <c r="G295" s="13"/>
      <c r="H295" s="13"/>
      <c r="I295" s="13"/>
      <c r="J295" s="13"/>
      <c r="K295" s="13"/>
      <c r="L295" s="13"/>
      <c r="M295" s="13"/>
      <c r="N295" s="13"/>
      <c r="O295" s="13"/>
      <c r="P295" s="13"/>
      <c r="Q295" s="13"/>
      <c r="R295" s="13"/>
      <c r="S295" s="13"/>
      <c r="T295" s="13"/>
      <c r="U295" s="13"/>
      <c r="V295" s="13"/>
      <c r="W295" s="13"/>
      <c r="X295" s="13"/>
      <c r="Y295" s="13"/>
      <c r="Z295" s="13"/>
      <c r="AA295" s="13"/>
    </row>
    <row r="296" ht="16.5" customHeight="1">
      <c r="A296" s="10"/>
      <c r="B296" s="10"/>
      <c r="C296" s="13"/>
      <c r="D296" s="13"/>
      <c r="E296" s="13"/>
      <c r="F296" s="205"/>
      <c r="G296" s="13"/>
      <c r="H296" s="13"/>
      <c r="I296" s="13"/>
      <c r="J296" s="13"/>
      <c r="K296" s="13"/>
      <c r="L296" s="13"/>
      <c r="M296" s="13"/>
      <c r="N296" s="13"/>
      <c r="O296" s="13"/>
      <c r="P296" s="13"/>
      <c r="Q296" s="13"/>
      <c r="R296" s="13"/>
      <c r="S296" s="13"/>
      <c r="T296" s="13"/>
      <c r="U296" s="13"/>
      <c r="V296" s="13"/>
      <c r="W296" s="13"/>
      <c r="X296" s="13"/>
      <c r="Y296" s="13"/>
      <c r="Z296" s="13"/>
      <c r="AA296" s="13"/>
    </row>
    <row r="297" ht="16.5" customHeight="1">
      <c r="A297" s="10"/>
      <c r="B297" s="10"/>
      <c r="C297" s="13"/>
      <c r="D297" s="13"/>
      <c r="E297" s="13"/>
      <c r="F297" s="205"/>
      <c r="G297" s="13"/>
      <c r="H297" s="13"/>
      <c r="I297" s="13"/>
      <c r="J297" s="13"/>
      <c r="K297" s="13"/>
      <c r="L297" s="13"/>
      <c r="M297" s="13"/>
      <c r="N297" s="13"/>
      <c r="O297" s="13"/>
      <c r="P297" s="13"/>
      <c r="Q297" s="13"/>
      <c r="R297" s="13"/>
      <c r="S297" s="13"/>
      <c r="T297" s="13"/>
      <c r="U297" s="13"/>
      <c r="V297" s="13"/>
      <c r="W297" s="13"/>
      <c r="X297" s="13"/>
      <c r="Y297" s="13"/>
      <c r="Z297" s="13"/>
      <c r="AA297" s="13"/>
    </row>
    <row r="298" ht="16.5" customHeight="1">
      <c r="A298" s="10"/>
      <c r="B298" s="10"/>
      <c r="C298" s="13"/>
      <c r="D298" s="13"/>
      <c r="E298" s="13"/>
      <c r="F298" s="205"/>
      <c r="G298" s="13"/>
      <c r="H298" s="13"/>
      <c r="I298" s="13"/>
      <c r="J298" s="13"/>
      <c r="K298" s="13"/>
      <c r="L298" s="13"/>
      <c r="M298" s="13"/>
      <c r="N298" s="13"/>
      <c r="O298" s="13"/>
      <c r="P298" s="13"/>
      <c r="Q298" s="13"/>
      <c r="R298" s="13"/>
      <c r="S298" s="13"/>
      <c r="T298" s="13"/>
      <c r="U298" s="13"/>
      <c r="V298" s="13"/>
      <c r="W298" s="13"/>
      <c r="X298" s="13"/>
      <c r="Y298" s="13"/>
      <c r="Z298" s="13"/>
      <c r="AA298" s="13"/>
    </row>
    <row r="299" ht="16.5" customHeight="1">
      <c r="A299" s="10"/>
      <c r="B299" s="10"/>
      <c r="C299" s="13"/>
      <c r="D299" s="13"/>
      <c r="E299" s="13"/>
      <c r="F299" s="205"/>
      <c r="G299" s="13"/>
      <c r="H299" s="13"/>
      <c r="I299" s="13"/>
      <c r="J299" s="13"/>
      <c r="K299" s="13"/>
      <c r="L299" s="13"/>
      <c r="M299" s="13"/>
      <c r="N299" s="13"/>
      <c r="O299" s="13"/>
      <c r="P299" s="13"/>
      <c r="Q299" s="13"/>
      <c r="R299" s="13"/>
      <c r="S299" s="13"/>
      <c r="T299" s="13"/>
      <c r="U299" s="13"/>
      <c r="V299" s="13"/>
      <c r="W299" s="13"/>
      <c r="X299" s="13"/>
      <c r="Y299" s="13"/>
      <c r="Z299" s="13"/>
      <c r="AA299" s="13"/>
    </row>
    <row r="300" ht="16.5" customHeight="1">
      <c r="A300" s="10"/>
      <c r="B300" s="10"/>
      <c r="C300" s="13"/>
      <c r="D300" s="13"/>
      <c r="E300" s="13"/>
      <c r="F300" s="205"/>
      <c r="G300" s="13"/>
      <c r="H300" s="13"/>
      <c r="I300" s="13"/>
      <c r="J300" s="13"/>
      <c r="K300" s="13"/>
      <c r="L300" s="13"/>
      <c r="M300" s="13"/>
      <c r="N300" s="13"/>
      <c r="O300" s="13"/>
      <c r="P300" s="13"/>
      <c r="Q300" s="13"/>
      <c r="R300" s="13"/>
      <c r="S300" s="13"/>
      <c r="T300" s="13"/>
      <c r="U300" s="13"/>
      <c r="V300" s="13"/>
      <c r="W300" s="13"/>
      <c r="X300" s="13"/>
      <c r="Y300" s="13"/>
      <c r="Z300" s="13"/>
      <c r="AA300" s="13"/>
    </row>
    <row r="301" ht="16.5" customHeight="1">
      <c r="A301" s="10"/>
      <c r="B301" s="10"/>
      <c r="C301" s="13"/>
      <c r="D301" s="13"/>
      <c r="E301" s="13"/>
      <c r="F301" s="205"/>
      <c r="G301" s="13"/>
      <c r="H301" s="13"/>
      <c r="I301" s="13"/>
      <c r="J301" s="13"/>
      <c r="K301" s="13"/>
      <c r="L301" s="13"/>
      <c r="M301" s="13"/>
      <c r="N301" s="13"/>
      <c r="O301" s="13"/>
      <c r="P301" s="13"/>
      <c r="Q301" s="13"/>
      <c r="R301" s="13"/>
      <c r="S301" s="13"/>
      <c r="T301" s="13"/>
      <c r="U301" s="13"/>
      <c r="V301" s="13"/>
      <c r="W301" s="13"/>
      <c r="X301" s="13"/>
      <c r="Y301" s="13"/>
      <c r="Z301" s="13"/>
      <c r="AA301" s="13"/>
    </row>
    <row r="302" ht="16.5" customHeight="1">
      <c r="A302" s="10"/>
      <c r="B302" s="10"/>
      <c r="C302" s="13"/>
      <c r="D302" s="13"/>
      <c r="E302" s="13"/>
      <c r="F302" s="205"/>
      <c r="G302" s="13"/>
      <c r="H302" s="13"/>
      <c r="I302" s="13"/>
      <c r="J302" s="13"/>
      <c r="K302" s="13"/>
      <c r="L302" s="13"/>
      <c r="M302" s="13"/>
      <c r="N302" s="13"/>
      <c r="O302" s="13"/>
      <c r="P302" s="13"/>
      <c r="Q302" s="13"/>
      <c r="R302" s="13"/>
      <c r="S302" s="13"/>
      <c r="T302" s="13"/>
      <c r="U302" s="13"/>
      <c r="V302" s="13"/>
      <c r="W302" s="13"/>
      <c r="X302" s="13"/>
      <c r="Y302" s="13"/>
      <c r="Z302" s="13"/>
      <c r="AA302" s="13"/>
    </row>
    <row r="303" ht="16.5" customHeight="1">
      <c r="A303" s="10"/>
      <c r="B303" s="10"/>
      <c r="C303" s="13"/>
      <c r="D303" s="13"/>
      <c r="E303" s="13"/>
      <c r="F303" s="205"/>
      <c r="G303" s="13"/>
      <c r="H303" s="13"/>
      <c r="I303" s="13"/>
      <c r="J303" s="13"/>
      <c r="K303" s="13"/>
      <c r="L303" s="13"/>
      <c r="M303" s="13"/>
      <c r="N303" s="13"/>
      <c r="O303" s="13"/>
      <c r="P303" s="13"/>
      <c r="Q303" s="13"/>
      <c r="R303" s="13"/>
      <c r="S303" s="13"/>
      <c r="T303" s="13"/>
      <c r="U303" s="13"/>
      <c r="V303" s="13"/>
      <c r="W303" s="13"/>
      <c r="X303" s="13"/>
      <c r="Y303" s="13"/>
      <c r="Z303" s="13"/>
      <c r="AA303" s="13"/>
    </row>
    <row r="304" ht="16.5" customHeight="1">
      <c r="A304" s="10"/>
      <c r="B304" s="10"/>
      <c r="C304" s="13"/>
      <c r="D304" s="13"/>
      <c r="E304" s="13"/>
      <c r="F304" s="205"/>
      <c r="G304" s="13"/>
      <c r="H304" s="13"/>
      <c r="I304" s="13"/>
      <c r="J304" s="13"/>
      <c r="K304" s="13"/>
      <c r="L304" s="13"/>
      <c r="M304" s="13"/>
      <c r="N304" s="13"/>
      <c r="O304" s="13"/>
      <c r="P304" s="13"/>
      <c r="Q304" s="13"/>
      <c r="R304" s="13"/>
      <c r="S304" s="13"/>
      <c r="T304" s="13"/>
      <c r="U304" s="13"/>
      <c r="V304" s="13"/>
      <c r="W304" s="13"/>
      <c r="X304" s="13"/>
      <c r="Y304" s="13"/>
      <c r="Z304" s="13"/>
      <c r="AA304" s="13"/>
    </row>
    <row r="305" ht="16.5" customHeight="1">
      <c r="A305" s="10"/>
      <c r="B305" s="10"/>
      <c r="C305" s="13"/>
      <c r="D305" s="13"/>
      <c r="E305" s="13"/>
      <c r="F305" s="205"/>
      <c r="G305" s="13"/>
      <c r="H305" s="13"/>
      <c r="I305" s="13"/>
      <c r="J305" s="13"/>
      <c r="K305" s="13"/>
      <c r="L305" s="13"/>
      <c r="M305" s="13"/>
      <c r="N305" s="13"/>
      <c r="O305" s="13"/>
      <c r="P305" s="13"/>
      <c r="Q305" s="13"/>
      <c r="R305" s="13"/>
      <c r="S305" s="13"/>
      <c r="T305" s="13"/>
      <c r="U305" s="13"/>
      <c r="V305" s="13"/>
      <c r="W305" s="13"/>
      <c r="X305" s="13"/>
      <c r="Y305" s="13"/>
      <c r="Z305" s="13"/>
      <c r="AA305" s="13"/>
    </row>
    <row r="306" ht="16.5" customHeight="1">
      <c r="A306" s="10"/>
      <c r="B306" s="10"/>
      <c r="C306" s="13"/>
      <c r="D306" s="13"/>
      <c r="E306" s="13"/>
      <c r="F306" s="205"/>
      <c r="G306" s="13"/>
      <c r="H306" s="13"/>
      <c r="I306" s="13"/>
      <c r="J306" s="13"/>
      <c r="K306" s="13"/>
      <c r="L306" s="13"/>
      <c r="M306" s="13"/>
      <c r="N306" s="13"/>
      <c r="O306" s="13"/>
      <c r="P306" s="13"/>
      <c r="Q306" s="13"/>
      <c r="R306" s="13"/>
      <c r="S306" s="13"/>
      <c r="T306" s="13"/>
      <c r="U306" s="13"/>
      <c r="V306" s="13"/>
      <c r="W306" s="13"/>
      <c r="X306" s="13"/>
      <c r="Y306" s="13"/>
      <c r="Z306" s="13"/>
      <c r="AA306" s="13"/>
    </row>
    <row r="307" ht="16.5" customHeight="1">
      <c r="A307" s="10"/>
      <c r="B307" s="10"/>
      <c r="C307" s="13"/>
      <c r="D307" s="13"/>
      <c r="E307" s="13"/>
      <c r="F307" s="205"/>
      <c r="G307" s="13"/>
      <c r="H307" s="13"/>
      <c r="I307" s="13"/>
      <c r="J307" s="13"/>
      <c r="K307" s="13"/>
      <c r="L307" s="13"/>
      <c r="M307" s="13"/>
      <c r="N307" s="13"/>
      <c r="O307" s="13"/>
      <c r="P307" s="13"/>
      <c r="Q307" s="13"/>
      <c r="R307" s="13"/>
      <c r="S307" s="13"/>
      <c r="T307" s="13"/>
      <c r="U307" s="13"/>
      <c r="V307" s="13"/>
      <c r="W307" s="13"/>
      <c r="X307" s="13"/>
      <c r="Y307" s="13"/>
      <c r="Z307" s="13"/>
      <c r="AA307" s="13"/>
    </row>
    <row r="308" ht="16.5" customHeight="1">
      <c r="A308" s="10"/>
      <c r="B308" s="10"/>
      <c r="C308" s="13"/>
      <c r="D308" s="13"/>
      <c r="E308" s="13"/>
      <c r="F308" s="205"/>
      <c r="G308" s="13"/>
      <c r="H308" s="13"/>
      <c r="I308" s="13"/>
      <c r="J308" s="13"/>
      <c r="K308" s="13"/>
      <c r="L308" s="13"/>
      <c r="M308" s="13"/>
      <c r="N308" s="13"/>
      <c r="O308" s="13"/>
      <c r="P308" s="13"/>
      <c r="Q308" s="13"/>
      <c r="R308" s="13"/>
      <c r="S308" s="13"/>
      <c r="T308" s="13"/>
      <c r="U308" s="13"/>
      <c r="V308" s="13"/>
      <c r="W308" s="13"/>
      <c r="X308" s="13"/>
      <c r="Y308" s="13"/>
      <c r="Z308" s="13"/>
      <c r="AA308" s="13"/>
    </row>
    <row r="309" ht="16.5" customHeight="1">
      <c r="A309" s="10"/>
      <c r="B309" s="10"/>
      <c r="C309" s="13"/>
      <c r="D309" s="13"/>
      <c r="E309" s="13"/>
      <c r="F309" s="205"/>
      <c r="G309" s="13"/>
      <c r="H309" s="13"/>
      <c r="I309" s="13"/>
      <c r="J309" s="13"/>
      <c r="K309" s="13"/>
      <c r="L309" s="13"/>
      <c r="M309" s="13"/>
      <c r="N309" s="13"/>
      <c r="O309" s="13"/>
      <c r="P309" s="13"/>
      <c r="Q309" s="13"/>
      <c r="R309" s="13"/>
      <c r="S309" s="13"/>
      <c r="T309" s="13"/>
      <c r="U309" s="13"/>
      <c r="V309" s="13"/>
      <c r="W309" s="13"/>
      <c r="X309" s="13"/>
      <c r="Y309" s="13"/>
      <c r="Z309" s="13"/>
      <c r="AA309" s="13"/>
    </row>
    <row r="310" ht="16.5" customHeight="1">
      <c r="A310" s="10"/>
      <c r="B310" s="10"/>
      <c r="C310" s="13"/>
      <c r="D310" s="13"/>
      <c r="E310" s="13"/>
      <c r="F310" s="205"/>
      <c r="G310" s="13"/>
      <c r="H310" s="13"/>
      <c r="I310" s="13"/>
      <c r="J310" s="13"/>
      <c r="K310" s="13"/>
      <c r="L310" s="13"/>
      <c r="M310" s="13"/>
      <c r="N310" s="13"/>
      <c r="O310" s="13"/>
      <c r="P310" s="13"/>
      <c r="Q310" s="13"/>
      <c r="R310" s="13"/>
      <c r="S310" s="13"/>
      <c r="T310" s="13"/>
      <c r="U310" s="13"/>
      <c r="V310" s="13"/>
      <c r="W310" s="13"/>
      <c r="X310" s="13"/>
      <c r="Y310" s="13"/>
      <c r="Z310" s="13"/>
      <c r="AA310" s="13"/>
    </row>
    <row r="311" ht="16.5" customHeight="1">
      <c r="A311" s="10"/>
      <c r="B311" s="10"/>
      <c r="C311" s="13"/>
      <c r="D311" s="13"/>
      <c r="E311" s="13"/>
      <c r="F311" s="205"/>
      <c r="G311" s="13"/>
      <c r="H311" s="13"/>
      <c r="I311" s="13"/>
      <c r="J311" s="13"/>
      <c r="K311" s="13"/>
      <c r="L311" s="13"/>
      <c r="M311" s="13"/>
      <c r="N311" s="13"/>
      <c r="O311" s="13"/>
      <c r="P311" s="13"/>
      <c r="Q311" s="13"/>
      <c r="R311" s="13"/>
      <c r="S311" s="13"/>
      <c r="T311" s="13"/>
      <c r="U311" s="13"/>
      <c r="V311" s="13"/>
      <c r="W311" s="13"/>
      <c r="X311" s="13"/>
      <c r="Y311" s="13"/>
      <c r="Z311" s="13"/>
      <c r="AA311" s="13"/>
    </row>
    <row r="312" ht="16.5" customHeight="1">
      <c r="A312" s="10"/>
      <c r="B312" s="10"/>
      <c r="C312" s="13"/>
      <c r="D312" s="13"/>
      <c r="E312" s="13"/>
      <c r="F312" s="205"/>
      <c r="G312" s="13"/>
      <c r="H312" s="13"/>
      <c r="I312" s="13"/>
      <c r="J312" s="13"/>
      <c r="K312" s="13"/>
      <c r="L312" s="13"/>
      <c r="M312" s="13"/>
      <c r="N312" s="13"/>
      <c r="O312" s="13"/>
      <c r="P312" s="13"/>
      <c r="Q312" s="13"/>
      <c r="R312" s="13"/>
      <c r="S312" s="13"/>
      <c r="T312" s="13"/>
      <c r="U312" s="13"/>
      <c r="V312" s="13"/>
      <c r="W312" s="13"/>
      <c r="X312" s="13"/>
      <c r="Y312" s="13"/>
      <c r="Z312" s="13"/>
      <c r="AA312" s="13"/>
    </row>
    <row r="313" ht="16.5" customHeight="1">
      <c r="A313" s="10"/>
      <c r="B313" s="10"/>
      <c r="C313" s="13"/>
      <c r="D313" s="13"/>
      <c r="E313" s="13"/>
      <c r="F313" s="205"/>
      <c r="G313" s="13"/>
      <c r="H313" s="13"/>
      <c r="I313" s="13"/>
      <c r="J313" s="13"/>
      <c r="K313" s="13"/>
      <c r="L313" s="13"/>
      <c r="M313" s="13"/>
      <c r="N313" s="13"/>
      <c r="O313" s="13"/>
      <c r="P313" s="13"/>
      <c r="Q313" s="13"/>
      <c r="R313" s="13"/>
      <c r="S313" s="13"/>
      <c r="T313" s="13"/>
      <c r="U313" s="13"/>
      <c r="V313" s="13"/>
      <c r="W313" s="13"/>
      <c r="X313" s="13"/>
      <c r="Y313" s="13"/>
      <c r="Z313" s="13"/>
      <c r="AA313" s="13"/>
    </row>
    <row r="314" ht="16.5" customHeight="1">
      <c r="A314" s="10"/>
      <c r="B314" s="10"/>
      <c r="C314" s="13"/>
      <c r="D314" s="13"/>
      <c r="E314" s="13"/>
      <c r="F314" s="205"/>
      <c r="G314" s="13"/>
      <c r="H314" s="13"/>
      <c r="I314" s="13"/>
      <c r="J314" s="13"/>
      <c r="K314" s="13"/>
      <c r="L314" s="13"/>
      <c r="M314" s="13"/>
      <c r="N314" s="13"/>
      <c r="O314" s="13"/>
      <c r="P314" s="13"/>
      <c r="Q314" s="13"/>
      <c r="R314" s="13"/>
      <c r="S314" s="13"/>
      <c r="T314" s="13"/>
      <c r="U314" s="13"/>
      <c r="V314" s="13"/>
      <c r="W314" s="13"/>
      <c r="X314" s="13"/>
      <c r="Y314" s="13"/>
      <c r="Z314" s="13"/>
      <c r="AA314" s="13"/>
    </row>
    <row r="315" ht="16.5" customHeight="1">
      <c r="A315" s="10"/>
      <c r="B315" s="10"/>
      <c r="C315" s="13"/>
      <c r="D315" s="13"/>
      <c r="E315" s="13"/>
      <c r="F315" s="205"/>
      <c r="G315" s="13"/>
      <c r="H315" s="13"/>
      <c r="I315" s="13"/>
      <c r="J315" s="13"/>
      <c r="K315" s="13"/>
      <c r="L315" s="13"/>
      <c r="M315" s="13"/>
      <c r="N315" s="13"/>
      <c r="O315" s="13"/>
      <c r="P315" s="13"/>
      <c r="Q315" s="13"/>
      <c r="R315" s="13"/>
      <c r="S315" s="13"/>
      <c r="T315" s="13"/>
      <c r="U315" s="13"/>
      <c r="V315" s="13"/>
      <c r="W315" s="13"/>
      <c r="X315" s="13"/>
      <c r="Y315" s="13"/>
      <c r="Z315" s="13"/>
      <c r="AA315" s="13"/>
    </row>
    <row r="316" ht="16.5" customHeight="1">
      <c r="A316" s="10"/>
      <c r="B316" s="10"/>
      <c r="C316" s="13"/>
      <c r="D316" s="13"/>
      <c r="E316" s="13"/>
      <c r="F316" s="205"/>
      <c r="G316" s="13"/>
      <c r="H316" s="13"/>
      <c r="I316" s="13"/>
      <c r="J316" s="13"/>
      <c r="K316" s="13"/>
      <c r="L316" s="13"/>
      <c r="M316" s="13"/>
      <c r="N316" s="13"/>
      <c r="O316" s="13"/>
      <c r="P316" s="13"/>
      <c r="Q316" s="13"/>
      <c r="R316" s="13"/>
      <c r="S316" s="13"/>
      <c r="T316" s="13"/>
      <c r="U316" s="13"/>
      <c r="V316" s="13"/>
      <c r="W316" s="13"/>
      <c r="X316" s="13"/>
      <c r="Y316" s="13"/>
      <c r="Z316" s="13"/>
      <c r="AA316" s="13"/>
    </row>
    <row r="317" ht="16.5" customHeight="1">
      <c r="A317" s="10"/>
      <c r="B317" s="10"/>
      <c r="C317" s="13"/>
      <c r="D317" s="13"/>
      <c r="E317" s="13"/>
      <c r="F317" s="205"/>
      <c r="G317" s="13"/>
      <c r="H317" s="13"/>
      <c r="I317" s="13"/>
      <c r="J317" s="13"/>
      <c r="K317" s="13"/>
      <c r="L317" s="13"/>
      <c r="M317" s="13"/>
      <c r="N317" s="13"/>
      <c r="O317" s="13"/>
      <c r="P317" s="13"/>
      <c r="Q317" s="13"/>
      <c r="R317" s="13"/>
      <c r="S317" s="13"/>
      <c r="T317" s="13"/>
      <c r="U317" s="13"/>
      <c r="V317" s="13"/>
      <c r="W317" s="13"/>
      <c r="X317" s="13"/>
      <c r="Y317" s="13"/>
      <c r="Z317" s="13"/>
      <c r="AA317" s="13"/>
    </row>
    <row r="318" ht="16.5" customHeight="1">
      <c r="A318" s="10"/>
      <c r="B318" s="10"/>
      <c r="C318" s="13"/>
      <c r="D318" s="13"/>
      <c r="E318" s="13"/>
      <c r="F318" s="205"/>
      <c r="G318" s="13"/>
      <c r="H318" s="13"/>
      <c r="I318" s="13"/>
      <c r="J318" s="13"/>
      <c r="K318" s="13"/>
      <c r="L318" s="13"/>
      <c r="M318" s="13"/>
      <c r="N318" s="13"/>
      <c r="O318" s="13"/>
      <c r="P318" s="13"/>
      <c r="Q318" s="13"/>
      <c r="R318" s="13"/>
      <c r="S318" s="13"/>
      <c r="T318" s="13"/>
      <c r="U318" s="13"/>
      <c r="V318" s="13"/>
      <c r="W318" s="13"/>
      <c r="X318" s="13"/>
      <c r="Y318" s="13"/>
      <c r="Z318" s="13"/>
      <c r="AA318" s="13"/>
    </row>
    <row r="319" ht="16.5" customHeight="1">
      <c r="A319" s="10"/>
      <c r="B319" s="10"/>
      <c r="C319" s="13"/>
      <c r="D319" s="13"/>
      <c r="E319" s="13"/>
      <c r="F319" s="205"/>
      <c r="G319" s="13"/>
      <c r="H319" s="13"/>
      <c r="I319" s="13"/>
      <c r="J319" s="13"/>
      <c r="K319" s="13"/>
      <c r="L319" s="13"/>
      <c r="M319" s="13"/>
      <c r="N319" s="13"/>
      <c r="O319" s="13"/>
      <c r="P319" s="13"/>
      <c r="Q319" s="13"/>
      <c r="R319" s="13"/>
      <c r="S319" s="13"/>
      <c r="T319" s="13"/>
      <c r="U319" s="13"/>
      <c r="V319" s="13"/>
      <c r="W319" s="13"/>
      <c r="X319" s="13"/>
      <c r="Y319" s="13"/>
      <c r="Z319" s="13"/>
      <c r="AA319" s="13"/>
    </row>
    <row r="320" ht="16.5" customHeight="1">
      <c r="A320" s="10"/>
      <c r="B320" s="10"/>
      <c r="C320" s="13"/>
      <c r="D320" s="13"/>
      <c r="E320" s="13"/>
      <c r="F320" s="205"/>
      <c r="G320" s="13"/>
      <c r="H320" s="13"/>
      <c r="I320" s="13"/>
      <c r="J320" s="13"/>
      <c r="K320" s="13"/>
      <c r="L320" s="13"/>
      <c r="M320" s="13"/>
      <c r="N320" s="13"/>
      <c r="O320" s="13"/>
      <c r="P320" s="13"/>
      <c r="Q320" s="13"/>
      <c r="R320" s="13"/>
      <c r="S320" s="13"/>
      <c r="T320" s="13"/>
      <c r="U320" s="13"/>
      <c r="V320" s="13"/>
      <c r="W320" s="13"/>
      <c r="X320" s="13"/>
      <c r="Y320" s="13"/>
      <c r="Z320" s="13"/>
      <c r="AA320" s="13"/>
    </row>
    <row r="321" ht="16.5" customHeight="1">
      <c r="A321" s="10"/>
      <c r="B321" s="10"/>
      <c r="C321" s="13"/>
      <c r="D321" s="13"/>
      <c r="E321" s="13"/>
      <c r="F321" s="205"/>
      <c r="G321" s="13"/>
      <c r="H321" s="13"/>
      <c r="I321" s="13"/>
      <c r="J321" s="13"/>
      <c r="K321" s="13"/>
      <c r="L321" s="13"/>
      <c r="M321" s="13"/>
      <c r="N321" s="13"/>
      <c r="O321" s="13"/>
      <c r="P321" s="13"/>
      <c r="Q321" s="13"/>
      <c r="R321" s="13"/>
      <c r="S321" s="13"/>
      <c r="T321" s="13"/>
      <c r="U321" s="13"/>
      <c r="V321" s="13"/>
      <c r="W321" s="13"/>
      <c r="X321" s="13"/>
      <c r="Y321" s="13"/>
      <c r="Z321" s="13"/>
      <c r="AA321" s="13"/>
    </row>
    <row r="322" ht="16.5" customHeight="1">
      <c r="A322" s="10"/>
      <c r="B322" s="10"/>
      <c r="C322" s="13"/>
      <c r="D322" s="13"/>
      <c r="E322" s="13"/>
      <c r="F322" s="205"/>
      <c r="G322" s="13"/>
      <c r="H322" s="13"/>
      <c r="I322" s="13"/>
      <c r="J322" s="13"/>
      <c r="K322" s="13"/>
      <c r="L322" s="13"/>
      <c r="M322" s="13"/>
      <c r="N322" s="13"/>
      <c r="O322" s="13"/>
      <c r="P322" s="13"/>
      <c r="Q322" s="13"/>
      <c r="R322" s="13"/>
      <c r="S322" s="13"/>
      <c r="T322" s="13"/>
      <c r="U322" s="13"/>
      <c r="V322" s="13"/>
      <c r="W322" s="13"/>
      <c r="X322" s="13"/>
      <c r="Y322" s="13"/>
      <c r="Z322" s="13"/>
      <c r="AA322" s="13"/>
    </row>
    <row r="323" ht="16.5" customHeight="1">
      <c r="A323" s="10"/>
      <c r="B323" s="10"/>
      <c r="C323" s="13"/>
      <c r="D323" s="13"/>
      <c r="E323" s="13"/>
      <c r="F323" s="205"/>
      <c r="G323" s="13"/>
      <c r="H323" s="13"/>
      <c r="I323" s="13"/>
      <c r="J323" s="13"/>
      <c r="K323" s="13"/>
      <c r="L323" s="13"/>
      <c r="M323" s="13"/>
      <c r="N323" s="13"/>
      <c r="O323" s="13"/>
      <c r="P323" s="13"/>
      <c r="Q323" s="13"/>
      <c r="R323" s="13"/>
      <c r="S323" s="13"/>
      <c r="T323" s="13"/>
      <c r="U323" s="13"/>
      <c r="V323" s="13"/>
      <c r="W323" s="13"/>
      <c r="X323" s="13"/>
      <c r="Y323" s="13"/>
      <c r="Z323" s="13"/>
      <c r="AA323" s="13"/>
    </row>
    <row r="324" ht="16.5" customHeight="1">
      <c r="A324" s="10"/>
      <c r="B324" s="10"/>
      <c r="C324" s="13"/>
      <c r="D324" s="13"/>
      <c r="E324" s="13"/>
      <c r="F324" s="205"/>
      <c r="G324" s="13"/>
      <c r="H324" s="13"/>
      <c r="I324" s="13"/>
      <c r="J324" s="13"/>
      <c r="K324" s="13"/>
      <c r="L324" s="13"/>
      <c r="M324" s="13"/>
      <c r="N324" s="13"/>
      <c r="O324" s="13"/>
      <c r="P324" s="13"/>
      <c r="Q324" s="13"/>
      <c r="R324" s="13"/>
      <c r="S324" s="13"/>
      <c r="T324" s="13"/>
      <c r="U324" s="13"/>
      <c r="V324" s="13"/>
      <c r="W324" s="13"/>
      <c r="X324" s="13"/>
      <c r="Y324" s="13"/>
      <c r="Z324" s="13"/>
      <c r="AA324" s="13"/>
    </row>
    <row r="325" ht="16.5" customHeight="1">
      <c r="A325" s="10"/>
      <c r="B325" s="10"/>
      <c r="C325" s="13"/>
      <c r="D325" s="13"/>
      <c r="E325" s="13"/>
      <c r="F325" s="205"/>
      <c r="G325" s="13"/>
      <c r="H325" s="13"/>
      <c r="I325" s="13"/>
      <c r="J325" s="13"/>
      <c r="K325" s="13"/>
      <c r="L325" s="13"/>
      <c r="M325" s="13"/>
      <c r="N325" s="13"/>
      <c r="O325" s="13"/>
      <c r="P325" s="13"/>
      <c r="Q325" s="13"/>
      <c r="R325" s="13"/>
      <c r="S325" s="13"/>
      <c r="T325" s="13"/>
      <c r="U325" s="13"/>
      <c r="V325" s="13"/>
      <c r="W325" s="13"/>
      <c r="X325" s="13"/>
      <c r="Y325" s="13"/>
      <c r="Z325" s="13"/>
      <c r="AA325" s="13"/>
    </row>
    <row r="326" ht="16.5" customHeight="1">
      <c r="A326" s="10"/>
      <c r="B326" s="10"/>
      <c r="C326" s="13"/>
      <c r="D326" s="13"/>
      <c r="E326" s="13"/>
      <c r="F326" s="205"/>
      <c r="G326" s="13"/>
      <c r="H326" s="13"/>
      <c r="I326" s="13"/>
      <c r="J326" s="13"/>
      <c r="K326" s="13"/>
      <c r="L326" s="13"/>
      <c r="M326" s="13"/>
      <c r="N326" s="13"/>
      <c r="O326" s="13"/>
      <c r="P326" s="13"/>
      <c r="Q326" s="13"/>
      <c r="R326" s="13"/>
      <c r="S326" s="13"/>
      <c r="T326" s="13"/>
      <c r="U326" s="13"/>
      <c r="V326" s="13"/>
      <c r="W326" s="13"/>
      <c r="X326" s="13"/>
      <c r="Y326" s="13"/>
      <c r="Z326" s="13"/>
      <c r="AA326" s="13"/>
    </row>
    <row r="327" ht="16.5" customHeight="1">
      <c r="A327" s="10"/>
      <c r="B327" s="10"/>
      <c r="C327" s="13"/>
      <c r="D327" s="13"/>
      <c r="E327" s="13"/>
      <c r="F327" s="205"/>
      <c r="G327" s="13"/>
      <c r="H327" s="13"/>
      <c r="I327" s="13"/>
      <c r="J327" s="13"/>
      <c r="K327" s="13"/>
      <c r="L327" s="13"/>
      <c r="M327" s="13"/>
      <c r="N327" s="13"/>
      <c r="O327" s="13"/>
      <c r="P327" s="13"/>
      <c r="Q327" s="13"/>
      <c r="R327" s="13"/>
      <c r="S327" s="13"/>
      <c r="T327" s="13"/>
      <c r="U327" s="13"/>
      <c r="V327" s="13"/>
      <c r="W327" s="13"/>
      <c r="X327" s="13"/>
      <c r="Y327" s="13"/>
      <c r="Z327" s="13"/>
      <c r="AA327" s="13"/>
    </row>
    <row r="328" ht="16.5" customHeight="1">
      <c r="A328" s="10"/>
      <c r="B328" s="10"/>
      <c r="C328" s="13"/>
      <c r="D328" s="13"/>
      <c r="E328" s="13"/>
      <c r="F328" s="205"/>
      <c r="G328" s="13"/>
      <c r="H328" s="13"/>
      <c r="I328" s="13"/>
      <c r="J328" s="13"/>
      <c r="K328" s="13"/>
      <c r="L328" s="13"/>
      <c r="M328" s="13"/>
      <c r="N328" s="13"/>
      <c r="O328" s="13"/>
      <c r="P328" s="13"/>
      <c r="Q328" s="13"/>
      <c r="R328" s="13"/>
      <c r="S328" s="13"/>
      <c r="T328" s="13"/>
      <c r="U328" s="13"/>
      <c r="V328" s="13"/>
      <c r="W328" s="13"/>
      <c r="X328" s="13"/>
      <c r="Y328" s="13"/>
      <c r="Z328" s="13"/>
      <c r="AA328" s="13"/>
    </row>
    <row r="329" ht="16.5" customHeight="1">
      <c r="A329" s="10"/>
      <c r="B329" s="10"/>
      <c r="C329" s="13"/>
      <c r="D329" s="13"/>
      <c r="E329" s="13"/>
      <c r="F329" s="205"/>
      <c r="G329" s="13"/>
      <c r="H329" s="13"/>
      <c r="I329" s="13"/>
      <c r="J329" s="13"/>
      <c r="K329" s="13"/>
      <c r="L329" s="13"/>
      <c r="M329" s="13"/>
      <c r="N329" s="13"/>
      <c r="O329" s="13"/>
      <c r="P329" s="13"/>
      <c r="Q329" s="13"/>
      <c r="R329" s="13"/>
      <c r="S329" s="13"/>
      <c r="T329" s="13"/>
      <c r="U329" s="13"/>
      <c r="V329" s="13"/>
      <c r="W329" s="13"/>
      <c r="X329" s="13"/>
      <c r="Y329" s="13"/>
      <c r="Z329" s="13"/>
      <c r="AA329" s="13"/>
    </row>
    <row r="330" ht="16.5" customHeight="1">
      <c r="A330" s="10"/>
      <c r="B330" s="10"/>
      <c r="C330" s="13"/>
      <c r="D330" s="13"/>
      <c r="E330" s="13"/>
      <c r="F330" s="205"/>
      <c r="G330" s="13"/>
      <c r="H330" s="13"/>
      <c r="I330" s="13"/>
      <c r="J330" s="13"/>
      <c r="K330" s="13"/>
      <c r="L330" s="13"/>
      <c r="M330" s="13"/>
      <c r="N330" s="13"/>
      <c r="O330" s="13"/>
      <c r="P330" s="13"/>
      <c r="Q330" s="13"/>
      <c r="R330" s="13"/>
      <c r="S330" s="13"/>
      <c r="T330" s="13"/>
      <c r="U330" s="13"/>
      <c r="V330" s="13"/>
      <c r="W330" s="13"/>
      <c r="X330" s="13"/>
      <c r="Y330" s="13"/>
      <c r="Z330" s="13"/>
      <c r="AA330" s="13"/>
    </row>
    <row r="331" ht="16.5" customHeight="1">
      <c r="A331" s="10"/>
      <c r="B331" s="10"/>
      <c r="C331" s="13"/>
      <c r="D331" s="13"/>
      <c r="E331" s="13"/>
      <c r="F331" s="205"/>
      <c r="G331" s="13"/>
      <c r="H331" s="13"/>
      <c r="I331" s="13"/>
      <c r="J331" s="13"/>
      <c r="K331" s="13"/>
      <c r="L331" s="13"/>
      <c r="M331" s="13"/>
      <c r="N331" s="13"/>
      <c r="O331" s="13"/>
      <c r="P331" s="13"/>
      <c r="Q331" s="13"/>
      <c r="R331" s="13"/>
      <c r="S331" s="13"/>
      <c r="T331" s="13"/>
      <c r="U331" s="13"/>
      <c r="V331" s="13"/>
      <c r="W331" s="13"/>
      <c r="X331" s="13"/>
      <c r="Y331" s="13"/>
      <c r="Z331" s="13"/>
      <c r="AA331" s="13"/>
    </row>
    <row r="332" ht="16.5" customHeight="1">
      <c r="A332" s="10"/>
      <c r="B332" s="10"/>
      <c r="C332" s="13"/>
      <c r="D332" s="13"/>
      <c r="E332" s="13"/>
      <c r="F332" s="205"/>
      <c r="G332" s="13"/>
      <c r="H332" s="13"/>
      <c r="I332" s="13"/>
      <c r="J332" s="13"/>
      <c r="K332" s="13"/>
      <c r="L332" s="13"/>
      <c r="M332" s="13"/>
      <c r="N332" s="13"/>
      <c r="O332" s="13"/>
      <c r="P332" s="13"/>
      <c r="Q332" s="13"/>
      <c r="R332" s="13"/>
      <c r="S332" s="13"/>
      <c r="T332" s="13"/>
      <c r="U332" s="13"/>
      <c r="V332" s="13"/>
      <c r="W332" s="13"/>
      <c r="X332" s="13"/>
      <c r="Y332" s="13"/>
      <c r="Z332" s="13"/>
      <c r="AA332" s="13"/>
    </row>
    <row r="333" ht="16.5" customHeight="1">
      <c r="A333" s="10"/>
      <c r="B333" s="10"/>
      <c r="C333" s="13"/>
      <c r="D333" s="13"/>
      <c r="E333" s="13"/>
      <c r="F333" s="205"/>
      <c r="G333" s="13"/>
      <c r="H333" s="13"/>
      <c r="I333" s="13"/>
      <c r="J333" s="13"/>
      <c r="K333" s="13"/>
      <c r="L333" s="13"/>
      <c r="M333" s="13"/>
      <c r="N333" s="13"/>
      <c r="O333" s="13"/>
      <c r="P333" s="13"/>
      <c r="Q333" s="13"/>
      <c r="R333" s="13"/>
      <c r="S333" s="13"/>
      <c r="T333" s="13"/>
      <c r="U333" s="13"/>
      <c r="V333" s="13"/>
      <c r="W333" s="13"/>
      <c r="X333" s="13"/>
      <c r="Y333" s="13"/>
      <c r="Z333" s="13"/>
      <c r="AA333" s="13"/>
    </row>
    <row r="334" ht="16.5" customHeight="1">
      <c r="A334" s="10"/>
      <c r="B334" s="10"/>
      <c r="C334" s="13"/>
      <c r="D334" s="13"/>
      <c r="E334" s="13"/>
      <c r="F334" s="205"/>
      <c r="G334" s="13"/>
      <c r="H334" s="13"/>
      <c r="I334" s="13"/>
      <c r="J334" s="13"/>
      <c r="K334" s="13"/>
      <c r="L334" s="13"/>
      <c r="M334" s="13"/>
      <c r="N334" s="13"/>
      <c r="O334" s="13"/>
      <c r="P334" s="13"/>
      <c r="Q334" s="13"/>
      <c r="R334" s="13"/>
      <c r="S334" s="13"/>
      <c r="T334" s="13"/>
      <c r="U334" s="13"/>
      <c r="V334" s="13"/>
      <c r="W334" s="13"/>
      <c r="X334" s="13"/>
      <c r="Y334" s="13"/>
      <c r="Z334" s="13"/>
      <c r="AA334" s="13"/>
    </row>
    <row r="335" ht="16.5" customHeight="1">
      <c r="A335" s="10"/>
      <c r="B335" s="10"/>
      <c r="C335" s="13"/>
      <c r="D335" s="13"/>
      <c r="E335" s="13"/>
      <c r="F335" s="205"/>
      <c r="G335" s="13"/>
      <c r="H335" s="13"/>
      <c r="I335" s="13"/>
      <c r="J335" s="13"/>
      <c r="K335" s="13"/>
      <c r="L335" s="13"/>
      <c r="M335" s="13"/>
      <c r="N335" s="13"/>
      <c r="O335" s="13"/>
      <c r="P335" s="13"/>
      <c r="Q335" s="13"/>
      <c r="R335" s="13"/>
      <c r="S335" s="13"/>
      <c r="T335" s="13"/>
      <c r="U335" s="13"/>
      <c r="V335" s="13"/>
      <c r="W335" s="13"/>
      <c r="X335" s="13"/>
      <c r="Y335" s="13"/>
      <c r="Z335" s="13"/>
      <c r="AA335" s="13"/>
    </row>
    <row r="336" ht="16.5" customHeight="1">
      <c r="A336" s="10"/>
      <c r="B336" s="10"/>
      <c r="C336" s="13"/>
      <c r="D336" s="13"/>
      <c r="E336" s="13"/>
      <c r="F336" s="205"/>
      <c r="G336" s="13"/>
      <c r="H336" s="13"/>
      <c r="I336" s="13"/>
      <c r="J336" s="13"/>
      <c r="K336" s="13"/>
      <c r="L336" s="13"/>
      <c r="M336" s="13"/>
      <c r="N336" s="13"/>
      <c r="O336" s="13"/>
      <c r="P336" s="13"/>
      <c r="Q336" s="13"/>
      <c r="R336" s="13"/>
      <c r="S336" s="13"/>
      <c r="T336" s="13"/>
      <c r="U336" s="13"/>
      <c r="V336" s="13"/>
      <c r="W336" s="13"/>
      <c r="X336" s="13"/>
      <c r="Y336" s="13"/>
      <c r="Z336" s="13"/>
      <c r="AA336" s="13"/>
    </row>
    <row r="337" ht="16.5" customHeight="1">
      <c r="A337" s="10"/>
      <c r="B337" s="10"/>
      <c r="C337" s="13"/>
      <c r="D337" s="13"/>
      <c r="E337" s="13"/>
      <c r="F337" s="205"/>
      <c r="G337" s="13"/>
      <c r="H337" s="13"/>
      <c r="I337" s="13"/>
      <c r="J337" s="13"/>
      <c r="K337" s="13"/>
      <c r="L337" s="13"/>
      <c r="M337" s="13"/>
      <c r="N337" s="13"/>
      <c r="O337" s="13"/>
      <c r="P337" s="13"/>
      <c r="Q337" s="13"/>
      <c r="R337" s="13"/>
      <c r="S337" s="13"/>
      <c r="T337" s="13"/>
      <c r="U337" s="13"/>
      <c r="V337" s="13"/>
      <c r="W337" s="13"/>
      <c r="X337" s="13"/>
      <c r="Y337" s="13"/>
      <c r="Z337" s="13"/>
      <c r="AA337" s="13"/>
    </row>
    <row r="338" ht="16.5" customHeight="1">
      <c r="A338" s="10"/>
      <c r="B338" s="10"/>
      <c r="C338" s="13"/>
      <c r="D338" s="13"/>
      <c r="E338" s="13"/>
      <c r="F338" s="205"/>
      <c r="G338" s="13"/>
      <c r="H338" s="13"/>
      <c r="I338" s="13"/>
      <c r="J338" s="13"/>
      <c r="K338" s="13"/>
      <c r="L338" s="13"/>
      <c r="M338" s="13"/>
      <c r="N338" s="13"/>
      <c r="O338" s="13"/>
      <c r="P338" s="13"/>
      <c r="Q338" s="13"/>
      <c r="R338" s="13"/>
      <c r="S338" s="13"/>
      <c r="T338" s="13"/>
      <c r="U338" s="13"/>
      <c r="V338" s="13"/>
      <c r="W338" s="13"/>
      <c r="X338" s="13"/>
      <c r="Y338" s="13"/>
      <c r="Z338" s="13"/>
      <c r="AA338" s="13"/>
    </row>
    <row r="339" ht="16.5" customHeight="1">
      <c r="A339" s="10"/>
      <c r="B339" s="10"/>
      <c r="C339" s="13"/>
      <c r="D339" s="13"/>
      <c r="E339" s="13"/>
      <c r="F339" s="205"/>
      <c r="G339" s="13"/>
      <c r="H339" s="13"/>
      <c r="I339" s="13"/>
      <c r="J339" s="13"/>
      <c r="K339" s="13"/>
      <c r="L339" s="13"/>
      <c r="M339" s="13"/>
      <c r="N339" s="13"/>
      <c r="O339" s="13"/>
      <c r="P339" s="13"/>
      <c r="Q339" s="13"/>
      <c r="R339" s="13"/>
      <c r="S339" s="13"/>
      <c r="T339" s="13"/>
      <c r="U339" s="13"/>
      <c r="V339" s="13"/>
      <c r="W339" s="13"/>
      <c r="X339" s="13"/>
      <c r="Y339" s="13"/>
      <c r="Z339" s="13"/>
      <c r="AA339" s="13"/>
    </row>
    <row r="340" ht="16.5" customHeight="1">
      <c r="A340" s="10"/>
      <c r="B340" s="10"/>
      <c r="C340" s="13"/>
      <c r="D340" s="13"/>
      <c r="E340" s="13"/>
      <c r="F340" s="205"/>
      <c r="G340" s="13"/>
      <c r="H340" s="13"/>
      <c r="I340" s="13"/>
      <c r="J340" s="13"/>
      <c r="K340" s="13"/>
      <c r="L340" s="13"/>
      <c r="M340" s="13"/>
      <c r="N340" s="13"/>
      <c r="O340" s="13"/>
      <c r="P340" s="13"/>
      <c r="Q340" s="13"/>
      <c r="R340" s="13"/>
      <c r="S340" s="13"/>
      <c r="T340" s="13"/>
      <c r="U340" s="13"/>
      <c r="V340" s="13"/>
      <c r="W340" s="13"/>
      <c r="X340" s="13"/>
      <c r="Y340" s="13"/>
      <c r="Z340" s="13"/>
      <c r="AA340" s="13"/>
    </row>
    <row r="341" ht="16.5" customHeight="1">
      <c r="A341" s="10"/>
      <c r="B341" s="10"/>
      <c r="C341" s="13"/>
      <c r="D341" s="13"/>
      <c r="E341" s="13"/>
      <c r="F341" s="205"/>
      <c r="G341" s="13"/>
      <c r="H341" s="13"/>
      <c r="I341" s="13"/>
      <c r="J341" s="13"/>
      <c r="K341" s="13"/>
      <c r="L341" s="13"/>
      <c r="M341" s="13"/>
      <c r="N341" s="13"/>
      <c r="O341" s="13"/>
      <c r="P341" s="13"/>
      <c r="Q341" s="13"/>
      <c r="R341" s="13"/>
      <c r="S341" s="13"/>
      <c r="T341" s="13"/>
      <c r="U341" s="13"/>
      <c r="V341" s="13"/>
      <c r="W341" s="13"/>
      <c r="X341" s="13"/>
      <c r="Y341" s="13"/>
      <c r="Z341" s="13"/>
      <c r="AA341" s="13"/>
    </row>
    <row r="342" ht="16.5" customHeight="1">
      <c r="A342" s="10"/>
      <c r="B342" s="10"/>
      <c r="C342" s="13"/>
      <c r="D342" s="13"/>
      <c r="E342" s="13"/>
      <c r="F342" s="205"/>
      <c r="G342" s="13"/>
      <c r="H342" s="13"/>
      <c r="I342" s="13"/>
      <c r="J342" s="13"/>
      <c r="K342" s="13"/>
      <c r="L342" s="13"/>
      <c r="M342" s="13"/>
      <c r="N342" s="13"/>
      <c r="O342" s="13"/>
      <c r="P342" s="13"/>
      <c r="Q342" s="13"/>
      <c r="R342" s="13"/>
      <c r="S342" s="13"/>
      <c r="T342" s="13"/>
      <c r="U342" s="13"/>
      <c r="V342" s="13"/>
      <c r="W342" s="13"/>
      <c r="X342" s="13"/>
      <c r="Y342" s="13"/>
      <c r="Z342" s="13"/>
      <c r="AA342" s="13"/>
    </row>
    <row r="343" ht="16.5" customHeight="1">
      <c r="A343" s="10"/>
      <c r="B343" s="10"/>
      <c r="C343" s="13"/>
      <c r="D343" s="13"/>
      <c r="E343" s="13"/>
      <c r="F343" s="205"/>
      <c r="G343" s="13"/>
      <c r="H343" s="13"/>
      <c r="I343" s="13"/>
      <c r="J343" s="13"/>
      <c r="K343" s="13"/>
      <c r="L343" s="13"/>
      <c r="M343" s="13"/>
      <c r="N343" s="13"/>
      <c r="O343" s="13"/>
      <c r="P343" s="13"/>
      <c r="Q343" s="13"/>
      <c r="R343" s="13"/>
      <c r="S343" s="13"/>
      <c r="T343" s="13"/>
      <c r="U343" s="13"/>
      <c r="V343" s="13"/>
      <c r="W343" s="13"/>
      <c r="X343" s="13"/>
      <c r="Y343" s="13"/>
      <c r="Z343" s="13"/>
      <c r="AA343" s="13"/>
    </row>
    <row r="344" ht="16.5" customHeight="1">
      <c r="A344" s="10"/>
      <c r="B344" s="10"/>
      <c r="C344" s="13"/>
      <c r="D344" s="13"/>
      <c r="E344" s="13"/>
      <c r="F344" s="205"/>
      <c r="G344" s="13"/>
      <c r="H344" s="13"/>
      <c r="I344" s="13"/>
      <c r="J344" s="13"/>
      <c r="K344" s="13"/>
      <c r="L344" s="13"/>
      <c r="M344" s="13"/>
      <c r="N344" s="13"/>
      <c r="O344" s="13"/>
      <c r="P344" s="13"/>
      <c r="Q344" s="13"/>
      <c r="R344" s="13"/>
      <c r="S344" s="13"/>
      <c r="T344" s="13"/>
      <c r="U344" s="13"/>
      <c r="V344" s="13"/>
      <c r="W344" s="13"/>
      <c r="X344" s="13"/>
      <c r="Y344" s="13"/>
      <c r="Z344" s="13"/>
      <c r="AA344" s="13"/>
    </row>
    <row r="345" ht="16.5" customHeight="1">
      <c r="A345" s="10"/>
      <c r="B345" s="10"/>
      <c r="C345" s="13"/>
      <c r="D345" s="13"/>
      <c r="E345" s="13"/>
      <c r="F345" s="205"/>
      <c r="G345" s="13"/>
      <c r="H345" s="13"/>
      <c r="I345" s="13"/>
      <c r="J345" s="13"/>
      <c r="K345" s="13"/>
      <c r="L345" s="13"/>
      <c r="M345" s="13"/>
      <c r="N345" s="13"/>
      <c r="O345" s="13"/>
      <c r="P345" s="13"/>
      <c r="Q345" s="13"/>
      <c r="R345" s="13"/>
      <c r="S345" s="13"/>
      <c r="T345" s="13"/>
      <c r="U345" s="13"/>
      <c r="V345" s="13"/>
      <c r="W345" s="13"/>
      <c r="X345" s="13"/>
      <c r="Y345" s="13"/>
      <c r="Z345" s="13"/>
      <c r="AA345" s="13"/>
    </row>
    <row r="346" ht="16.5" customHeight="1">
      <c r="A346" s="10"/>
      <c r="B346" s="10"/>
      <c r="C346" s="13"/>
      <c r="D346" s="13"/>
      <c r="E346" s="13"/>
      <c r="F346" s="205"/>
      <c r="G346" s="13"/>
      <c r="H346" s="13"/>
      <c r="I346" s="13"/>
      <c r="J346" s="13"/>
      <c r="K346" s="13"/>
      <c r="L346" s="13"/>
      <c r="M346" s="13"/>
      <c r="N346" s="13"/>
      <c r="O346" s="13"/>
      <c r="P346" s="13"/>
      <c r="Q346" s="13"/>
      <c r="R346" s="13"/>
      <c r="S346" s="13"/>
      <c r="T346" s="13"/>
      <c r="U346" s="13"/>
      <c r="V346" s="13"/>
      <c r="W346" s="13"/>
      <c r="X346" s="13"/>
      <c r="Y346" s="13"/>
      <c r="Z346" s="13"/>
      <c r="AA346" s="13"/>
    </row>
    <row r="347" ht="16.5" customHeight="1">
      <c r="A347" s="10"/>
      <c r="B347" s="10"/>
      <c r="C347" s="13"/>
      <c r="D347" s="13"/>
      <c r="E347" s="13"/>
      <c r="F347" s="205"/>
      <c r="G347" s="13"/>
      <c r="H347" s="13"/>
      <c r="I347" s="13"/>
      <c r="J347" s="13"/>
      <c r="K347" s="13"/>
      <c r="L347" s="13"/>
      <c r="M347" s="13"/>
      <c r="N347" s="13"/>
      <c r="O347" s="13"/>
      <c r="P347" s="13"/>
      <c r="Q347" s="13"/>
      <c r="R347" s="13"/>
      <c r="S347" s="13"/>
      <c r="T347" s="13"/>
      <c r="U347" s="13"/>
      <c r="V347" s="13"/>
      <c r="W347" s="13"/>
      <c r="X347" s="13"/>
      <c r="Y347" s="13"/>
      <c r="Z347" s="13"/>
      <c r="AA347" s="13"/>
    </row>
    <row r="348" ht="16.5" customHeight="1">
      <c r="A348" s="10"/>
      <c r="B348" s="10"/>
      <c r="C348" s="13"/>
      <c r="D348" s="13"/>
      <c r="E348" s="13"/>
      <c r="F348" s="205"/>
      <c r="G348" s="13"/>
      <c r="H348" s="13"/>
      <c r="I348" s="13"/>
      <c r="J348" s="13"/>
      <c r="K348" s="13"/>
      <c r="L348" s="13"/>
      <c r="M348" s="13"/>
      <c r="N348" s="13"/>
      <c r="O348" s="13"/>
      <c r="P348" s="13"/>
      <c r="Q348" s="13"/>
      <c r="R348" s="13"/>
      <c r="S348" s="13"/>
      <c r="T348" s="13"/>
      <c r="U348" s="13"/>
      <c r="V348" s="13"/>
      <c r="W348" s="13"/>
      <c r="X348" s="13"/>
      <c r="Y348" s="13"/>
      <c r="Z348" s="13"/>
      <c r="AA348" s="13"/>
    </row>
    <row r="349" ht="16.5" customHeight="1">
      <c r="A349" s="10"/>
      <c r="B349" s="10"/>
      <c r="C349" s="13"/>
      <c r="D349" s="13"/>
      <c r="E349" s="13"/>
      <c r="F349" s="205"/>
      <c r="G349" s="13"/>
      <c r="H349" s="13"/>
      <c r="I349" s="13"/>
      <c r="J349" s="13"/>
      <c r="K349" s="13"/>
      <c r="L349" s="13"/>
      <c r="M349" s="13"/>
      <c r="N349" s="13"/>
      <c r="O349" s="13"/>
      <c r="P349" s="13"/>
      <c r="Q349" s="13"/>
      <c r="R349" s="13"/>
      <c r="S349" s="13"/>
      <c r="T349" s="13"/>
      <c r="U349" s="13"/>
      <c r="V349" s="13"/>
      <c r="W349" s="13"/>
      <c r="X349" s="13"/>
      <c r="Y349" s="13"/>
      <c r="Z349" s="13"/>
      <c r="AA349" s="13"/>
    </row>
    <row r="350" ht="16.5" customHeight="1">
      <c r="A350" s="10"/>
      <c r="B350" s="10"/>
      <c r="C350" s="13"/>
      <c r="D350" s="13"/>
      <c r="E350" s="13"/>
      <c r="F350" s="205"/>
      <c r="G350" s="13"/>
      <c r="H350" s="13"/>
      <c r="I350" s="13"/>
      <c r="J350" s="13"/>
      <c r="K350" s="13"/>
      <c r="L350" s="13"/>
      <c r="M350" s="13"/>
      <c r="N350" s="13"/>
      <c r="O350" s="13"/>
      <c r="P350" s="13"/>
      <c r="Q350" s="13"/>
      <c r="R350" s="13"/>
      <c r="S350" s="13"/>
      <c r="T350" s="13"/>
      <c r="U350" s="13"/>
      <c r="V350" s="13"/>
      <c r="W350" s="13"/>
      <c r="X350" s="13"/>
      <c r="Y350" s="13"/>
      <c r="Z350" s="13"/>
      <c r="AA350" s="13"/>
    </row>
    <row r="351" ht="16.5" customHeight="1">
      <c r="A351" s="10"/>
      <c r="B351" s="10"/>
      <c r="C351" s="13"/>
      <c r="D351" s="13"/>
      <c r="E351" s="13"/>
      <c r="F351" s="205"/>
      <c r="G351" s="13"/>
      <c r="H351" s="13"/>
      <c r="I351" s="13"/>
      <c r="J351" s="13"/>
      <c r="K351" s="13"/>
      <c r="L351" s="13"/>
      <c r="M351" s="13"/>
      <c r="N351" s="13"/>
      <c r="O351" s="13"/>
      <c r="P351" s="13"/>
      <c r="Q351" s="13"/>
      <c r="R351" s="13"/>
      <c r="S351" s="13"/>
      <c r="T351" s="13"/>
      <c r="U351" s="13"/>
      <c r="V351" s="13"/>
      <c r="W351" s="13"/>
      <c r="X351" s="13"/>
      <c r="Y351" s="13"/>
      <c r="Z351" s="13"/>
      <c r="AA351" s="13"/>
    </row>
    <row r="352" ht="16.5" customHeight="1">
      <c r="A352" s="10"/>
      <c r="B352" s="10"/>
      <c r="C352" s="13"/>
      <c r="D352" s="13"/>
      <c r="E352" s="13"/>
      <c r="F352" s="205"/>
      <c r="G352" s="13"/>
      <c r="H352" s="13"/>
      <c r="I352" s="13"/>
      <c r="J352" s="13"/>
      <c r="K352" s="13"/>
      <c r="L352" s="13"/>
      <c r="M352" s="13"/>
      <c r="N352" s="13"/>
      <c r="O352" s="13"/>
      <c r="P352" s="13"/>
      <c r="Q352" s="13"/>
      <c r="R352" s="13"/>
      <c r="S352" s="13"/>
      <c r="T352" s="13"/>
      <c r="U352" s="13"/>
      <c r="V352" s="13"/>
      <c r="W352" s="13"/>
      <c r="X352" s="13"/>
      <c r="Y352" s="13"/>
      <c r="Z352" s="13"/>
      <c r="AA352" s="13"/>
    </row>
    <row r="353" ht="16.5" customHeight="1">
      <c r="A353" s="10"/>
      <c r="B353" s="10"/>
      <c r="C353" s="13"/>
      <c r="D353" s="13"/>
      <c r="E353" s="13"/>
      <c r="F353" s="205"/>
      <c r="G353" s="13"/>
      <c r="H353" s="13"/>
      <c r="I353" s="13"/>
      <c r="J353" s="13"/>
      <c r="K353" s="13"/>
      <c r="L353" s="13"/>
      <c r="M353" s="13"/>
      <c r="N353" s="13"/>
      <c r="O353" s="13"/>
      <c r="P353" s="13"/>
      <c r="Q353" s="13"/>
      <c r="R353" s="13"/>
      <c r="S353" s="13"/>
      <c r="T353" s="13"/>
      <c r="U353" s="13"/>
      <c r="V353" s="13"/>
      <c r="W353" s="13"/>
      <c r="X353" s="13"/>
      <c r="Y353" s="13"/>
      <c r="Z353" s="13"/>
      <c r="AA353" s="13"/>
    </row>
    <row r="354" ht="16.5" customHeight="1">
      <c r="A354" s="10"/>
      <c r="B354" s="10"/>
      <c r="C354" s="13"/>
      <c r="D354" s="13"/>
      <c r="E354" s="13"/>
      <c r="F354" s="205"/>
      <c r="G354" s="13"/>
      <c r="H354" s="13"/>
      <c r="I354" s="13"/>
      <c r="J354" s="13"/>
      <c r="K354" s="13"/>
      <c r="L354" s="13"/>
      <c r="M354" s="13"/>
      <c r="N354" s="13"/>
      <c r="O354" s="13"/>
      <c r="P354" s="13"/>
      <c r="Q354" s="13"/>
      <c r="R354" s="13"/>
      <c r="S354" s="13"/>
      <c r="T354" s="13"/>
      <c r="U354" s="13"/>
      <c r="V354" s="13"/>
      <c r="W354" s="13"/>
      <c r="X354" s="13"/>
      <c r="Y354" s="13"/>
      <c r="Z354" s="13"/>
      <c r="AA354" s="13"/>
    </row>
    <row r="355" ht="16.5" customHeight="1">
      <c r="A355" s="10"/>
      <c r="B355" s="10"/>
      <c r="C355" s="13"/>
      <c r="D355" s="13"/>
      <c r="E355" s="13"/>
      <c r="F355" s="205"/>
      <c r="G355" s="13"/>
      <c r="H355" s="13"/>
      <c r="I355" s="13"/>
      <c r="J355" s="13"/>
      <c r="K355" s="13"/>
      <c r="L355" s="13"/>
      <c r="M355" s="13"/>
      <c r="N355" s="13"/>
      <c r="O355" s="13"/>
      <c r="P355" s="13"/>
      <c r="Q355" s="13"/>
      <c r="R355" s="13"/>
      <c r="S355" s="13"/>
      <c r="T355" s="13"/>
      <c r="U355" s="13"/>
      <c r="V355" s="13"/>
      <c r="W355" s="13"/>
      <c r="X355" s="13"/>
      <c r="Y355" s="13"/>
      <c r="Z355" s="13"/>
      <c r="AA355" s="13"/>
    </row>
    <row r="356" ht="16.5" customHeight="1">
      <c r="A356" s="10"/>
      <c r="B356" s="10"/>
      <c r="C356" s="13"/>
      <c r="D356" s="13"/>
      <c r="E356" s="13"/>
      <c r="F356" s="205"/>
      <c r="G356" s="13"/>
      <c r="H356" s="13"/>
      <c r="I356" s="13"/>
      <c r="J356" s="13"/>
      <c r="K356" s="13"/>
      <c r="L356" s="13"/>
      <c r="M356" s="13"/>
      <c r="N356" s="13"/>
      <c r="O356" s="13"/>
      <c r="P356" s="13"/>
      <c r="Q356" s="13"/>
      <c r="R356" s="13"/>
      <c r="S356" s="13"/>
      <c r="T356" s="13"/>
      <c r="U356" s="13"/>
      <c r="V356" s="13"/>
      <c r="W356" s="13"/>
      <c r="X356" s="13"/>
      <c r="Y356" s="13"/>
      <c r="Z356" s="13"/>
      <c r="AA356" s="13"/>
    </row>
    <row r="357" ht="16.5" customHeight="1">
      <c r="A357" s="10"/>
      <c r="B357" s="10"/>
      <c r="C357" s="13"/>
      <c r="D357" s="13"/>
      <c r="E357" s="13"/>
      <c r="F357" s="205"/>
      <c r="G357" s="13"/>
      <c r="H357" s="13"/>
      <c r="I357" s="13"/>
      <c r="J357" s="13"/>
      <c r="K357" s="13"/>
      <c r="L357" s="13"/>
      <c r="M357" s="13"/>
      <c r="N357" s="13"/>
      <c r="O357" s="13"/>
      <c r="P357" s="13"/>
      <c r="Q357" s="13"/>
      <c r="R357" s="13"/>
      <c r="S357" s="13"/>
      <c r="T357" s="13"/>
      <c r="U357" s="13"/>
      <c r="V357" s="13"/>
      <c r="W357" s="13"/>
      <c r="X357" s="13"/>
      <c r="Y357" s="13"/>
      <c r="Z357" s="13"/>
      <c r="AA357" s="13"/>
    </row>
    <row r="358" ht="16.5" customHeight="1">
      <c r="A358" s="10"/>
      <c r="B358" s="10"/>
      <c r="C358" s="13"/>
      <c r="D358" s="13"/>
      <c r="E358" s="13"/>
      <c r="F358" s="205"/>
      <c r="G358" s="13"/>
      <c r="H358" s="13"/>
      <c r="I358" s="13"/>
      <c r="J358" s="13"/>
      <c r="K358" s="13"/>
      <c r="L358" s="13"/>
      <c r="M358" s="13"/>
      <c r="N358" s="13"/>
      <c r="O358" s="13"/>
      <c r="P358" s="13"/>
      <c r="Q358" s="13"/>
      <c r="R358" s="13"/>
      <c r="S358" s="13"/>
      <c r="T358" s="13"/>
      <c r="U358" s="13"/>
      <c r="V358" s="13"/>
      <c r="W358" s="13"/>
      <c r="X358" s="13"/>
      <c r="Y358" s="13"/>
      <c r="Z358" s="13"/>
      <c r="AA358" s="13"/>
    </row>
    <row r="359" ht="16.5" customHeight="1">
      <c r="A359" s="10"/>
      <c r="B359" s="10"/>
      <c r="C359" s="13"/>
      <c r="D359" s="13"/>
      <c r="E359" s="13"/>
      <c r="F359" s="205"/>
      <c r="G359" s="13"/>
      <c r="H359" s="13"/>
      <c r="I359" s="13"/>
      <c r="J359" s="13"/>
      <c r="K359" s="13"/>
      <c r="L359" s="13"/>
      <c r="M359" s="13"/>
      <c r="N359" s="13"/>
      <c r="O359" s="13"/>
      <c r="P359" s="13"/>
      <c r="Q359" s="13"/>
      <c r="R359" s="13"/>
      <c r="S359" s="13"/>
      <c r="T359" s="13"/>
      <c r="U359" s="13"/>
      <c r="V359" s="13"/>
      <c r="W359" s="13"/>
      <c r="X359" s="13"/>
      <c r="Y359" s="13"/>
      <c r="Z359" s="13"/>
      <c r="AA359" s="13"/>
    </row>
    <row r="360" ht="16.5" customHeight="1">
      <c r="A360" s="10"/>
      <c r="B360" s="10"/>
      <c r="C360" s="13"/>
      <c r="D360" s="13"/>
      <c r="E360" s="13"/>
      <c r="F360" s="205"/>
      <c r="G360" s="13"/>
      <c r="H360" s="13"/>
      <c r="I360" s="13"/>
      <c r="J360" s="13"/>
      <c r="K360" s="13"/>
      <c r="L360" s="13"/>
      <c r="M360" s="13"/>
      <c r="N360" s="13"/>
      <c r="O360" s="13"/>
      <c r="P360" s="13"/>
      <c r="Q360" s="13"/>
      <c r="R360" s="13"/>
      <c r="S360" s="13"/>
      <c r="T360" s="13"/>
      <c r="U360" s="13"/>
      <c r="V360" s="13"/>
      <c r="W360" s="13"/>
      <c r="X360" s="13"/>
      <c r="Y360" s="13"/>
      <c r="Z360" s="13"/>
      <c r="AA360" s="13"/>
    </row>
    <row r="361" ht="16.5" customHeight="1">
      <c r="A361" s="10"/>
      <c r="B361" s="10"/>
      <c r="C361" s="13"/>
      <c r="D361" s="13"/>
      <c r="E361" s="13"/>
      <c r="F361" s="205"/>
      <c r="G361" s="13"/>
      <c r="H361" s="13"/>
      <c r="I361" s="13"/>
      <c r="J361" s="13"/>
      <c r="K361" s="13"/>
      <c r="L361" s="13"/>
      <c r="M361" s="13"/>
      <c r="N361" s="13"/>
      <c r="O361" s="13"/>
      <c r="P361" s="13"/>
      <c r="Q361" s="13"/>
      <c r="R361" s="13"/>
      <c r="S361" s="13"/>
      <c r="T361" s="13"/>
      <c r="U361" s="13"/>
      <c r="V361" s="13"/>
      <c r="W361" s="13"/>
      <c r="X361" s="13"/>
      <c r="Y361" s="13"/>
      <c r="Z361" s="13"/>
      <c r="AA361" s="13"/>
    </row>
    <row r="362" ht="16.5" customHeight="1">
      <c r="A362" s="10"/>
      <c r="B362" s="10"/>
      <c r="C362" s="13"/>
      <c r="D362" s="13"/>
      <c r="E362" s="13"/>
      <c r="F362" s="205"/>
      <c r="G362" s="13"/>
      <c r="H362" s="13"/>
      <c r="I362" s="13"/>
      <c r="J362" s="13"/>
      <c r="K362" s="13"/>
      <c r="L362" s="13"/>
      <c r="M362" s="13"/>
      <c r="N362" s="13"/>
      <c r="O362" s="13"/>
      <c r="P362" s="13"/>
      <c r="Q362" s="13"/>
      <c r="R362" s="13"/>
      <c r="S362" s="13"/>
      <c r="T362" s="13"/>
      <c r="U362" s="13"/>
      <c r="V362" s="13"/>
      <c r="W362" s="13"/>
      <c r="X362" s="13"/>
      <c r="Y362" s="13"/>
      <c r="Z362" s="13"/>
      <c r="AA362" s="13"/>
    </row>
    <row r="363" ht="16.5" customHeight="1">
      <c r="A363" s="10"/>
      <c r="B363" s="10"/>
      <c r="C363" s="13"/>
      <c r="D363" s="13"/>
      <c r="E363" s="13"/>
      <c r="F363" s="205"/>
      <c r="G363" s="13"/>
      <c r="H363" s="13"/>
      <c r="I363" s="13"/>
      <c r="J363" s="13"/>
      <c r="K363" s="13"/>
      <c r="L363" s="13"/>
      <c r="M363" s="13"/>
      <c r="N363" s="13"/>
      <c r="O363" s="13"/>
      <c r="P363" s="13"/>
      <c r="Q363" s="13"/>
      <c r="R363" s="13"/>
      <c r="S363" s="13"/>
      <c r="T363" s="13"/>
      <c r="U363" s="13"/>
      <c r="V363" s="13"/>
      <c r="W363" s="13"/>
      <c r="X363" s="13"/>
      <c r="Y363" s="13"/>
      <c r="Z363" s="13"/>
      <c r="AA363" s="13"/>
    </row>
    <row r="364" ht="16.5" customHeight="1">
      <c r="A364" s="10"/>
      <c r="B364" s="10"/>
      <c r="C364" s="13"/>
      <c r="D364" s="13"/>
      <c r="E364" s="13"/>
      <c r="F364" s="205"/>
      <c r="G364" s="13"/>
      <c r="H364" s="13"/>
      <c r="I364" s="13"/>
      <c r="J364" s="13"/>
      <c r="K364" s="13"/>
      <c r="L364" s="13"/>
      <c r="M364" s="13"/>
      <c r="N364" s="13"/>
      <c r="O364" s="13"/>
      <c r="P364" s="13"/>
      <c r="Q364" s="13"/>
      <c r="R364" s="13"/>
      <c r="S364" s="13"/>
      <c r="T364" s="13"/>
      <c r="U364" s="13"/>
      <c r="V364" s="13"/>
      <c r="W364" s="13"/>
      <c r="X364" s="13"/>
      <c r="Y364" s="13"/>
      <c r="Z364" s="13"/>
      <c r="AA364" s="13"/>
    </row>
    <row r="365" ht="16.5" customHeight="1">
      <c r="A365" s="10"/>
      <c r="B365" s="10"/>
      <c r="C365" s="13"/>
      <c r="D365" s="13"/>
      <c r="E365" s="13"/>
      <c r="F365" s="205"/>
      <c r="G365" s="13"/>
      <c r="H365" s="13"/>
      <c r="I365" s="13"/>
      <c r="J365" s="13"/>
      <c r="K365" s="13"/>
      <c r="L365" s="13"/>
      <c r="M365" s="13"/>
      <c r="N365" s="13"/>
      <c r="O365" s="13"/>
      <c r="P365" s="13"/>
      <c r="Q365" s="13"/>
      <c r="R365" s="13"/>
      <c r="S365" s="13"/>
      <c r="T365" s="13"/>
      <c r="U365" s="13"/>
      <c r="V365" s="13"/>
      <c r="W365" s="13"/>
      <c r="X365" s="13"/>
      <c r="Y365" s="13"/>
      <c r="Z365" s="13"/>
      <c r="AA365" s="13"/>
    </row>
    <row r="366" ht="16.5" customHeight="1">
      <c r="A366" s="10"/>
      <c r="B366" s="10"/>
      <c r="C366" s="13"/>
      <c r="D366" s="13"/>
      <c r="E366" s="13"/>
      <c r="F366" s="205"/>
      <c r="G366" s="13"/>
      <c r="H366" s="13"/>
      <c r="I366" s="13"/>
      <c r="J366" s="13"/>
      <c r="K366" s="13"/>
      <c r="L366" s="13"/>
      <c r="M366" s="13"/>
      <c r="N366" s="13"/>
      <c r="O366" s="13"/>
      <c r="P366" s="13"/>
      <c r="Q366" s="13"/>
      <c r="R366" s="13"/>
      <c r="S366" s="13"/>
      <c r="T366" s="13"/>
      <c r="U366" s="13"/>
      <c r="V366" s="13"/>
      <c r="W366" s="13"/>
      <c r="X366" s="13"/>
      <c r="Y366" s="13"/>
      <c r="Z366" s="13"/>
      <c r="AA366" s="13"/>
    </row>
    <row r="367" ht="16.5" customHeight="1">
      <c r="A367" s="10"/>
      <c r="B367" s="10"/>
      <c r="C367" s="13"/>
      <c r="D367" s="13"/>
      <c r="E367" s="13"/>
      <c r="F367" s="205"/>
      <c r="G367" s="13"/>
      <c r="H367" s="13"/>
      <c r="I367" s="13"/>
      <c r="J367" s="13"/>
      <c r="K367" s="13"/>
      <c r="L367" s="13"/>
      <c r="M367" s="13"/>
      <c r="N367" s="13"/>
      <c r="O367" s="13"/>
      <c r="P367" s="13"/>
      <c r="Q367" s="13"/>
      <c r="R367" s="13"/>
      <c r="S367" s="13"/>
      <c r="T367" s="13"/>
      <c r="U367" s="13"/>
      <c r="V367" s="13"/>
      <c r="W367" s="13"/>
      <c r="X367" s="13"/>
      <c r="Y367" s="13"/>
      <c r="Z367" s="13"/>
      <c r="AA367" s="13"/>
    </row>
    <row r="368" ht="16.5" customHeight="1">
      <c r="A368" s="10"/>
      <c r="B368" s="10"/>
      <c r="C368" s="13"/>
      <c r="D368" s="13"/>
      <c r="E368" s="13"/>
      <c r="F368" s="205"/>
      <c r="G368" s="13"/>
      <c r="H368" s="13"/>
      <c r="I368" s="13"/>
      <c r="J368" s="13"/>
      <c r="K368" s="13"/>
      <c r="L368" s="13"/>
      <c r="M368" s="13"/>
      <c r="N368" s="13"/>
      <c r="O368" s="13"/>
      <c r="P368" s="13"/>
      <c r="Q368" s="13"/>
      <c r="R368" s="13"/>
      <c r="S368" s="13"/>
      <c r="T368" s="13"/>
      <c r="U368" s="13"/>
      <c r="V368" s="13"/>
      <c r="W368" s="13"/>
      <c r="X368" s="13"/>
      <c r="Y368" s="13"/>
      <c r="Z368" s="13"/>
      <c r="AA368" s="13"/>
    </row>
    <row r="369" ht="16.5" customHeight="1">
      <c r="A369" s="10"/>
      <c r="B369" s="10"/>
      <c r="C369" s="13"/>
      <c r="D369" s="13"/>
      <c r="E369" s="13"/>
      <c r="F369" s="205"/>
      <c r="G369" s="13"/>
      <c r="H369" s="13"/>
      <c r="I369" s="13"/>
      <c r="J369" s="13"/>
      <c r="K369" s="13"/>
      <c r="L369" s="13"/>
      <c r="M369" s="13"/>
      <c r="N369" s="13"/>
      <c r="O369" s="13"/>
      <c r="P369" s="13"/>
      <c r="Q369" s="13"/>
      <c r="R369" s="13"/>
      <c r="S369" s="13"/>
      <c r="T369" s="13"/>
      <c r="U369" s="13"/>
      <c r="V369" s="13"/>
      <c r="W369" s="13"/>
      <c r="X369" s="13"/>
      <c r="Y369" s="13"/>
      <c r="Z369" s="13"/>
      <c r="AA369" s="13"/>
    </row>
    <row r="370" ht="16.5" customHeight="1">
      <c r="A370" s="10"/>
      <c r="B370" s="10"/>
      <c r="C370" s="13"/>
      <c r="D370" s="13"/>
      <c r="E370" s="13"/>
      <c r="F370" s="205"/>
      <c r="G370" s="13"/>
      <c r="H370" s="13"/>
      <c r="I370" s="13"/>
      <c r="J370" s="13"/>
      <c r="K370" s="13"/>
      <c r="L370" s="13"/>
      <c r="M370" s="13"/>
      <c r="N370" s="13"/>
      <c r="O370" s="13"/>
      <c r="P370" s="13"/>
      <c r="Q370" s="13"/>
      <c r="R370" s="13"/>
      <c r="S370" s="13"/>
      <c r="T370" s="13"/>
      <c r="U370" s="13"/>
      <c r="V370" s="13"/>
      <c r="W370" s="13"/>
      <c r="X370" s="13"/>
      <c r="Y370" s="13"/>
      <c r="Z370" s="13"/>
      <c r="AA370" s="13"/>
    </row>
    <row r="371" ht="16.5" customHeight="1">
      <c r="A371" s="10"/>
      <c r="B371" s="10"/>
      <c r="C371" s="13"/>
      <c r="D371" s="13"/>
      <c r="E371" s="13"/>
      <c r="F371" s="205"/>
      <c r="G371" s="13"/>
      <c r="H371" s="13"/>
      <c r="I371" s="13"/>
      <c r="J371" s="13"/>
      <c r="K371" s="13"/>
      <c r="L371" s="13"/>
      <c r="M371" s="13"/>
      <c r="N371" s="13"/>
      <c r="O371" s="13"/>
      <c r="P371" s="13"/>
      <c r="Q371" s="13"/>
      <c r="R371" s="13"/>
      <c r="S371" s="13"/>
      <c r="T371" s="13"/>
      <c r="U371" s="13"/>
      <c r="V371" s="13"/>
      <c r="W371" s="13"/>
      <c r="X371" s="13"/>
      <c r="Y371" s="13"/>
      <c r="Z371" s="13"/>
      <c r="AA371" s="13"/>
    </row>
    <row r="372" ht="16.5" customHeight="1">
      <c r="A372" s="10"/>
      <c r="B372" s="10"/>
      <c r="C372" s="13"/>
      <c r="D372" s="13"/>
      <c r="E372" s="13"/>
      <c r="F372" s="205"/>
      <c r="G372" s="13"/>
      <c r="H372" s="13"/>
      <c r="I372" s="13"/>
      <c r="J372" s="13"/>
      <c r="K372" s="13"/>
      <c r="L372" s="13"/>
      <c r="M372" s="13"/>
      <c r="N372" s="13"/>
      <c r="O372" s="13"/>
      <c r="P372" s="13"/>
      <c r="Q372" s="13"/>
      <c r="R372" s="13"/>
      <c r="S372" s="13"/>
      <c r="T372" s="13"/>
      <c r="U372" s="13"/>
      <c r="V372" s="13"/>
      <c r="W372" s="13"/>
      <c r="X372" s="13"/>
      <c r="Y372" s="13"/>
      <c r="Z372" s="13"/>
      <c r="AA372" s="13"/>
    </row>
    <row r="373" ht="16.5" customHeight="1">
      <c r="A373" s="10"/>
      <c r="B373" s="10"/>
      <c r="C373" s="13"/>
      <c r="D373" s="13"/>
      <c r="E373" s="13"/>
      <c r="F373" s="205"/>
      <c r="G373" s="13"/>
      <c r="H373" s="13"/>
      <c r="I373" s="13"/>
      <c r="J373" s="13"/>
      <c r="K373" s="13"/>
      <c r="L373" s="13"/>
      <c r="M373" s="13"/>
      <c r="N373" s="13"/>
      <c r="O373" s="13"/>
      <c r="P373" s="13"/>
      <c r="Q373" s="13"/>
      <c r="R373" s="13"/>
      <c r="S373" s="13"/>
      <c r="T373" s="13"/>
      <c r="U373" s="13"/>
      <c r="V373" s="13"/>
      <c r="W373" s="13"/>
      <c r="X373" s="13"/>
      <c r="Y373" s="13"/>
      <c r="Z373" s="13"/>
      <c r="AA373" s="13"/>
    </row>
    <row r="374" ht="16.5" customHeight="1">
      <c r="A374" s="10"/>
      <c r="B374" s="10"/>
      <c r="C374" s="13"/>
      <c r="D374" s="13"/>
      <c r="E374" s="13"/>
      <c r="F374" s="205"/>
      <c r="G374" s="13"/>
      <c r="H374" s="13"/>
      <c r="I374" s="13"/>
      <c r="J374" s="13"/>
      <c r="K374" s="13"/>
      <c r="L374" s="13"/>
      <c r="M374" s="13"/>
      <c r="N374" s="13"/>
      <c r="O374" s="13"/>
      <c r="P374" s="13"/>
      <c r="Q374" s="13"/>
      <c r="R374" s="13"/>
      <c r="S374" s="13"/>
      <c r="T374" s="13"/>
      <c r="U374" s="13"/>
      <c r="V374" s="13"/>
      <c r="W374" s="13"/>
      <c r="X374" s="13"/>
      <c r="Y374" s="13"/>
      <c r="Z374" s="13"/>
      <c r="AA374" s="13"/>
    </row>
    <row r="375" ht="16.5" customHeight="1">
      <c r="A375" s="10"/>
      <c r="B375" s="10"/>
      <c r="C375" s="13"/>
      <c r="D375" s="13"/>
      <c r="E375" s="13"/>
      <c r="F375" s="205"/>
      <c r="G375" s="13"/>
      <c r="H375" s="13"/>
      <c r="I375" s="13"/>
      <c r="J375" s="13"/>
      <c r="K375" s="13"/>
      <c r="L375" s="13"/>
      <c r="M375" s="13"/>
      <c r="N375" s="13"/>
      <c r="O375" s="13"/>
      <c r="P375" s="13"/>
      <c r="Q375" s="13"/>
      <c r="R375" s="13"/>
      <c r="S375" s="13"/>
      <c r="T375" s="13"/>
      <c r="U375" s="13"/>
      <c r="V375" s="13"/>
      <c r="W375" s="13"/>
      <c r="X375" s="13"/>
      <c r="Y375" s="13"/>
      <c r="Z375" s="13"/>
      <c r="AA375" s="13"/>
    </row>
    <row r="376" ht="16.5" customHeight="1">
      <c r="A376" s="10"/>
      <c r="B376" s="10"/>
      <c r="C376" s="13"/>
      <c r="D376" s="13"/>
      <c r="E376" s="13"/>
      <c r="F376" s="205"/>
      <c r="G376" s="13"/>
      <c r="H376" s="13"/>
      <c r="I376" s="13"/>
      <c r="J376" s="13"/>
      <c r="K376" s="13"/>
      <c r="L376" s="13"/>
      <c r="M376" s="13"/>
      <c r="N376" s="13"/>
      <c r="O376" s="13"/>
      <c r="P376" s="13"/>
      <c r="Q376" s="13"/>
      <c r="R376" s="13"/>
      <c r="S376" s="13"/>
      <c r="T376" s="13"/>
      <c r="U376" s="13"/>
      <c r="V376" s="13"/>
      <c r="W376" s="13"/>
      <c r="X376" s="13"/>
      <c r="Y376" s="13"/>
      <c r="Z376" s="13"/>
      <c r="AA376" s="13"/>
    </row>
    <row r="377" ht="16.5" customHeight="1">
      <c r="A377" s="10"/>
      <c r="B377" s="10"/>
      <c r="C377" s="13"/>
      <c r="D377" s="13"/>
      <c r="E377" s="13"/>
      <c r="F377" s="205"/>
      <c r="G377" s="13"/>
      <c r="H377" s="13"/>
      <c r="I377" s="13"/>
      <c r="J377" s="13"/>
      <c r="K377" s="13"/>
      <c r="L377" s="13"/>
      <c r="M377" s="13"/>
      <c r="N377" s="13"/>
      <c r="O377" s="13"/>
      <c r="P377" s="13"/>
      <c r="Q377" s="13"/>
      <c r="R377" s="13"/>
      <c r="S377" s="13"/>
      <c r="T377" s="13"/>
      <c r="U377" s="13"/>
      <c r="V377" s="13"/>
      <c r="W377" s="13"/>
      <c r="X377" s="13"/>
      <c r="Y377" s="13"/>
      <c r="Z377" s="13"/>
      <c r="AA377" s="13"/>
    </row>
    <row r="378" ht="16.5" customHeight="1">
      <c r="A378" s="10"/>
      <c r="B378" s="10"/>
      <c r="C378" s="13"/>
      <c r="D378" s="13"/>
      <c r="E378" s="13"/>
      <c r="F378" s="205"/>
      <c r="G378" s="13"/>
      <c r="H378" s="13"/>
      <c r="I378" s="13"/>
      <c r="J378" s="13"/>
      <c r="K378" s="13"/>
      <c r="L378" s="13"/>
      <c r="M378" s="13"/>
      <c r="N378" s="13"/>
      <c r="O378" s="13"/>
      <c r="P378" s="13"/>
      <c r="Q378" s="13"/>
      <c r="R378" s="13"/>
      <c r="S378" s="13"/>
      <c r="T378" s="13"/>
      <c r="U378" s="13"/>
      <c r="V378" s="13"/>
      <c r="W378" s="13"/>
      <c r="X378" s="13"/>
      <c r="Y378" s="13"/>
      <c r="Z378" s="13"/>
      <c r="AA378" s="13"/>
    </row>
    <row r="379" ht="16.5" customHeight="1">
      <c r="A379" s="10"/>
      <c r="B379" s="10"/>
      <c r="C379" s="13"/>
      <c r="D379" s="13"/>
      <c r="E379" s="13"/>
      <c r="F379" s="205"/>
      <c r="G379" s="13"/>
      <c r="H379" s="13"/>
      <c r="I379" s="13"/>
      <c r="J379" s="13"/>
      <c r="K379" s="13"/>
      <c r="L379" s="13"/>
      <c r="M379" s="13"/>
      <c r="N379" s="13"/>
      <c r="O379" s="13"/>
      <c r="P379" s="13"/>
      <c r="Q379" s="13"/>
      <c r="R379" s="13"/>
      <c r="S379" s="13"/>
      <c r="T379" s="13"/>
      <c r="U379" s="13"/>
      <c r="V379" s="13"/>
      <c r="W379" s="13"/>
      <c r="X379" s="13"/>
      <c r="Y379" s="13"/>
      <c r="Z379" s="13"/>
      <c r="AA379" s="13"/>
    </row>
    <row r="380" ht="16.5" customHeight="1">
      <c r="A380" s="10"/>
      <c r="B380" s="10"/>
      <c r="C380" s="13"/>
      <c r="D380" s="13"/>
      <c r="E380" s="13"/>
      <c r="F380" s="205"/>
      <c r="G380" s="13"/>
      <c r="H380" s="13"/>
      <c r="I380" s="13"/>
      <c r="J380" s="13"/>
      <c r="K380" s="13"/>
      <c r="L380" s="13"/>
      <c r="M380" s="13"/>
      <c r="N380" s="13"/>
      <c r="O380" s="13"/>
      <c r="P380" s="13"/>
      <c r="Q380" s="13"/>
      <c r="R380" s="13"/>
      <c r="S380" s="13"/>
      <c r="T380" s="13"/>
      <c r="U380" s="13"/>
      <c r="V380" s="13"/>
      <c r="W380" s="13"/>
      <c r="X380" s="13"/>
      <c r="Y380" s="13"/>
      <c r="Z380" s="13"/>
      <c r="AA380" s="13"/>
    </row>
    <row r="381" ht="16.5" customHeight="1">
      <c r="A381" s="10"/>
      <c r="B381" s="10"/>
      <c r="C381" s="13"/>
      <c r="D381" s="13"/>
      <c r="E381" s="13"/>
      <c r="F381" s="205"/>
      <c r="G381" s="13"/>
      <c r="H381" s="13"/>
      <c r="I381" s="13"/>
      <c r="J381" s="13"/>
      <c r="K381" s="13"/>
      <c r="L381" s="13"/>
      <c r="M381" s="13"/>
      <c r="N381" s="13"/>
      <c r="O381" s="13"/>
      <c r="P381" s="13"/>
      <c r="Q381" s="13"/>
      <c r="R381" s="13"/>
      <c r="S381" s="13"/>
      <c r="T381" s="13"/>
      <c r="U381" s="13"/>
      <c r="V381" s="13"/>
      <c r="W381" s="13"/>
      <c r="X381" s="13"/>
      <c r="Y381" s="13"/>
      <c r="Z381" s="13"/>
      <c r="AA381" s="13"/>
    </row>
    <row r="382" ht="16.5" customHeight="1">
      <c r="A382" s="10"/>
      <c r="B382" s="10"/>
      <c r="C382" s="13"/>
      <c r="D382" s="13"/>
      <c r="E382" s="13"/>
      <c r="F382" s="205"/>
      <c r="G382" s="13"/>
      <c r="H382" s="13"/>
      <c r="I382" s="13"/>
      <c r="J382" s="13"/>
      <c r="K382" s="13"/>
      <c r="L382" s="13"/>
      <c r="M382" s="13"/>
      <c r="N382" s="13"/>
      <c r="O382" s="13"/>
      <c r="P382" s="13"/>
      <c r="Q382" s="13"/>
      <c r="R382" s="13"/>
      <c r="S382" s="13"/>
      <c r="T382" s="13"/>
      <c r="U382" s="13"/>
      <c r="V382" s="13"/>
      <c r="W382" s="13"/>
      <c r="X382" s="13"/>
      <c r="Y382" s="13"/>
      <c r="Z382" s="13"/>
      <c r="AA382" s="13"/>
    </row>
    <row r="383" ht="16.5" customHeight="1">
      <c r="A383" s="10"/>
      <c r="B383" s="10"/>
      <c r="C383" s="13"/>
      <c r="D383" s="13"/>
      <c r="E383" s="13"/>
      <c r="F383" s="205"/>
      <c r="G383" s="13"/>
      <c r="H383" s="13"/>
      <c r="I383" s="13"/>
      <c r="J383" s="13"/>
      <c r="K383" s="13"/>
      <c r="L383" s="13"/>
      <c r="M383" s="13"/>
      <c r="N383" s="13"/>
      <c r="O383" s="13"/>
      <c r="P383" s="13"/>
      <c r="Q383" s="13"/>
      <c r="R383" s="13"/>
      <c r="S383" s="13"/>
      <c r="T383" s="13"/>
      <c r="U383" s="13"/>
      <c r="V383" s="13"/>
      <c r="W383" s="13"/>
      <c r="X383" s="13"/>
      <c r="Y383" s="13"/>
      <c r="Z383" s="13"/>
      <c r="AA383" s="13"/>
    </row>
    <row r="384" ht="16.5" customHeight="1">
      <c r="A384" s="10"/>
      <c r="B384" s="10"/>
      <c r="C384" s="13"/>
      <c r="D384" s="13"/>
      <c r="E384" s="13"/>
      <c r="F384" s="205"/>
      <c r="G384" s="13"/>
      <c r="H384" s="13"/>
      <c r="I384" s="13"/>
      <c r="J384" s="13"/>
      <c r="K384" s="13"/>
      <c r="L384" s="13"/>
      <c r="M384" s="13"/>
      <c r="N384" s="13"/>
      <c r="O384" s="13"/>
      <c r="P384" s="13"/>
      <c r="Q384" s="13"/>
      <c r="R384" s="13"/>
      <c r="S384" s="13"/>
      <c r="T384" s="13"/>
      <c r="U384" s="13"/>
      <c r="V384" s="13"/>
      <c r="W384" s="13"/>
      <c r="X384" s="13"/>
      <c r="Y384" s="13"/>
      <c r="Z384" s="13"/>
      <c r="AA384" s="13"/>
    </row>
    <row r="385" ht="16.5" customHeight="1">
      <c r="A385" s="10"/>
      <c r="B385" s="10"/>
      <c r="C385" s="13"/>
      <c r="D385" s="13"/>
      <c r="E385" s="13"/>
      <c r="F385" s="205"/>
      <c r="G385" s="13"/>
      <c r="H385" s="13"/>
      <c r="I385" s="13"/>
      <c r="J385" s="13"/>
      <c r="K385" s="13"/>
      <c r="L385" s="13"/>
      <c r="M385" s="13"/>
      <c r="N385" s="13"/>
      <c r="O385" s="13"/>
      <c r="P385" s="13"/>
      <c r="Q385" s="13"/>
      <c r="R385" s="13"/>
      <c r="S385" s="13"/>
      <c r="T385" s="13"/>
      <c r="U385" s="13"/>
      <c r="V385" s="13"/>
      <c r="W385" s="13"/>
      <c r="X385" s="13"/>
      <c r="Y385" s="13"/>
      <c r="Z385" s="13"/>
      <c r="AA385" s="13"/>
    </row>
    <row r="386" ht="16.5" customHeight="1">
      <c r="A386" s="10"/>
      <c r="B386" s="10"/>
      <c r="C386" s="13"/>
      <c r="D386" s="13"/>
      <c r="E386" s="13"/>
      <c r="F386" s="205"/>
      <c r="G386" s="13"/>
      <c r="H386" s="13"/>
      <c r="I386" s="13"/>
      <c r="J386" s="13"/>
      <c r="K386" s="13"/>
      <c r="L386" s="13"/>
      <c r="M386" s="13"/>
      <c r="N386" s="13"/>
      <c r="O386" s="13"/>
      <c r="P386" s="13"/>
      <c r="Q386" s="13"/>
      <c r="R386" s="13"/>
      <c r="S386" s="13"/>
      <c r="T386" s="13"/>
      <c r="U386" s="13"/>
      <c r="V386" s="13"/>
      <c r="W386" s="13"/>
      <c r="X386" s="13"/>
      <c r="Y386" s="13"/>
      <c r="Z386" s="13"/>
      <c r="AA386" s="13"/>
    </row>
    <row r="387" ht="16.5" customHeight="1">
      <c r="A387" s="10"/>
      <c r="B387" s="10"/>
      <c r="C387" s="13"/>
      <c r="D387" s="13"/>
      <c r="E387" s="13"/>
      <c r="F387" s="205"/>
      <c r="G387" s="13"/>
      <c r="H387" s="13"/>
      <c r="I387" s="13"/>
      <c r="J387" s="13"/>
      <c r="K387" s="13"/>
      <c r="L387" s="13"/>
      <c r="M387" s="13"/>
      <c r="N387" s="13"/>
      <c r="O387" s="13"/>
      <c r="P387" s="13"/>
      <c r="Q387" s="13"/>
      <c r="R387" s="13"/>
      <c r="S387" s="13"/>
      <c r="T387" s="13"/>
      <c r="U387" s="13"/>
      <c r="V387" s="13"/>
      <c r="W387" s="13"/>
      <c r="X387" s="13"/>
      <c r="Y387" s="13"/>
      <c r="Z387" s="13"/>
      <c r="AA387" s="13"/>
    </row>
    <row r="388" ht="16.5" customHeight="1">
      <c r="A388" s="10"/>
      <c r="B388" s="10"/>
      <c r="C388" s="13"/>
      <c r="D388" s="13"/>
      <c r="E388" s="13"/>
      <c r="F388" s="205"/>
      <c r="G388" s="13"/>
      <c r="H388" s="13"/>
      <c r="I388" s="13"/>
      <c r="J388" s="13"/>
      <c r="K388" s="13"/>
      <c r="L388" s="13"/>
      <c r="M388" s="13"/>
      <c r="N388" s="13"/>
      <c r="O388" s="13"/>
      <c r="P388" s="13"/>
      <c r="Q388" s="13"/>
      <c r="R388" s="13"/>
      <c r="S388" s="13"/>
      <c r="T388" s="13"/>
      <c r="U388" s="13"/>
      <c r="V388" s="13"/>
      <c r="W388" s="13"/>
      <c r="X388" s="13"/>
      <c r="Y388" s="13"/>
      <c r="Z388" s="13"/>
      <c r="AA388" s="13"/>
    </row>
    <row r="389" ht="16.5" customHeight="1">
      <c r="A389" s="10"/>
      <c r="B389" s="10"/>
      <c r="C389" s="13"/>
      <c r="D389" s="13"/>
      <c r="E389" s="13"/>
      <c r="F389" s="205"/>
      <c r="G389" s="13"/>
      <c r="H389" s="13"/>
      <c r="I389" s="13"/>
      <c r="J389" s="13"/>
      <c r="K389" s="13"/>
      <c r="L389" s="13"/>
      <c r="M389" s="13"/>
      <c r="N389" s="13"/>
      <c r="O389" s="13"/>
      <c r="P389" s="13"/>
      <c r="Q389" s="13"/>
      <c r="R389" s="13"/>
      <c r="S389" s="13"/>
      <c r="T389" s="13"/>
      <c r="U389" s="13"/>
      <c r="V389" s="13"/>
      <c r="W389" s="13"/>
      <c r="X389" s="13"/>
      <c r="Y389" s="13"/>
      <c r="Z389" s="13"/>
      <c r="AA389" s="13"/>
    </row>
    <row r="390" ht="16.5" customHeight="1">
      <c r="A390" s="10"/>
      <c r="B390" s="10"/>
      <c r="C390" s="13"/>
      <c r="D390" s="13"/>
      <c r="E390" s="13"/>
      <c r="F390" s="205"/>
      <c r="G390" s="13"/>
      <c r="H390" s="13"/>
      <c r="I390" s="13"/>
      <c r="J390" s="13"/>
      <c r="K390" s="13"/>
      <c r="L390" s="13"/>
      <c r="M390" s="13"/>
      <c r="N390" s="13"/>
      <c r="O390" s="13"/>
      <c r="P390" s="13"/>
      <c r="Q390" s="13"/>
      <c r="R390" s="13"/>
      <c r="S390" s="13"/>
      <c r="T390" s="13"/>
      <c r="U390" s="13"/>
      <c r="V390" s="13"/>
      <c r="W390" s="13"/>
      <c r="X390" s="13"/>
      <c r="Y390" s="13"/>
      <c r="Z390" s="13"/>
      <c r="AA390" s="13"/>
    </row>
    <row r="391" ht="16.5" customHeight="1">
      <c r="A391" s="10"/>
      <c r="B391" s="10"/>
      <c r="C391" s="13"/>
      <c r="D391" s="13"/>
      <c r="E391" s="13"/>
      <c r="F391" s="205"/>
      <c r="G391" s="13"/>
      <c r="H391" s="13"/>
      <c r="I391" s="13"/>
      <c r="J391" s="13"/>
      <c r="K391" s="13"/>
      <c r="L391" s="13"/>
      <c r="M391" s="13"/>
      <c r="N391" s="13"/>
      <c r="O391" s="13"/>
      <c r="P391" s="13"/>
      <c r="Q391" s="13"/>
      <c r="R391" s="13"/>
      <c r="S391" s="13"/>
      <c r="T391" s="13"/>
      <c r="U391" s="13"/>
      <c r="V391" s="13"/>
      <c r="W391" s="13"/>
      <c r="X391" s="13"/>
      <c r="Y391" s="13"/>
      <c r="Z391" s="13"/>
      <c r="AA391" s="13"/>
    </row>
    <row r="392" ht="16.5" customHeight="1">
      <c r="A392" s="10"/>
      <c r="B392" s="10"/>
      <c r="C392" s="13"/>
      <c r="D392" s="13"/>
      <c r="E392" s="13"/>
      <c r="F392" s="205"/>
      <c r="G392" s="13"/>
      <c r="H392" s="13"/>
      <c r="I392" s="13"/>
      <c r="J392" s="13"/>
      <c r="K392" s="13"/>
      <c r="L392" s="13"/>
      <c r="M392" s="13"/>
      <c r="N392" s="13"/>
      <c r="O392" s="13"/>
      <c r="P392" s="13"/>
      <c r="Q392" s="13"/>
      <c r="R392" s="13"/>
      <c r="S392" s="13"/>
      <c r="T392" s="13"/>
      <c r="U392" s="13"/>
      <c r="V392" s="13"/>
      <c r="W392" s="13"/>
      <c r="X392" s="13"/>
      <c r="Y392" s="13"/>
      <c r="Z392" s="13"/>
      <c r="AA392" s="13"/>
    </row>
    <row r="393" ht="16.5" customHeight="1">
      <c r="A393" s="10"/>
      <c r="B393" s="10"/>
      <c r="C393" s="13"/>
      <c r="D393" s="13"/>
      <c r="E393" s="13"/>
      <c r="F393" s="205"/>
      <c r="G393" s="13"/>
      <c r="H393" s="13"/>
      <c r="I393" s="13"/>
      <c r="J393" s="13"/>
      <c r="K393" s="13"/>
      <c r="L393" s="13"/>
      <c r="M393" s="13"/>
      <c r="N393" s="13"/>
      <c r="O393" s="13"/>
      <c r="P393" s="13"/>
      <c r="Q393" s="13"/>
      <c r="R393" s="13"/>
      <c r="S393" s="13"/>
      <c r="T393" s="13"/>
      <c r="U393" s="13"/>
      <c r="V393" s="13"/>
      <c r="W393" s="13"/>
      <c r="X393" s="13"/>
      <c r="Y393" s="13"/>
      <c r="Z393" s="13"/>
      <c r="AA393" s="13"/>
    </row>
    <row r="394" ht="16.5" customHeight="1">
      <c r="A394" s="10"/>
      <c r="B394" s="10"/>
      <c r="C394" s="13"/>
      <c r="D394" s="13"/>
      <c r="E394" s="13"/>
      <c r="F394" s="205"/>
      <c r="G394" s="13"/>
      <c r="H394" s="13"/>
      <c r="I394" s="13"/>
      <c r="J394" s="13"/>
      <c r="K394" s="13"/>
      <c r="L394" s="13"/>
      <c r="M394" s="13"/>
      <c r="N394" s="13"/>
      <c r="O394" s="13"/>
      <c r="P394" s="13"/>
      <c r="Q394" s="13"/>
      <c r="R394" s="13"/>
      <c r="S394" s="13"/>
      <c r="T394" s="13"/>
      <c r="U394" s="13"/>
      <c r="V394" s="13"/>
      <c r="W394" s="13"/>
      <c r="X394" s="13"/>
      <c r="Y394" s="13"/>
      <c r="Z394" s="13"/>
      <c r="AA394" s="13"/>
    </row>
    <row r="395" ht="16.5" customHeight="1">
      <c r="A395" s="10"/>
      <c r="B395" s="10"/>
      <c r="C395" s="13"/>
      <c r="D395" s="13"/>
      <c r="E395" s="13"/>
      <c r="F395" s="205"/>
      <c r="G395" s="13"/>
      <c r="H395" s="13"/>
      <c r="I395" s="13"/>
      <c r="J395" s="13"/>
      <c r="K395" s="13"/>
      <c r="L395" s="13"/>
      <c r="M395" s="13"/>
      <c r="N395" s="13"/>
      <c r="O395" s="13"/>
      <c r="P395" s="13"/>
      <c r="Q395" s="13"/>
      <c r="R395" s="13"/>
      <c r="S395" s="13"/>
      <c r="T395" s="13"/>
      <c r="U395" s="13"/>
      <c r="V395" s="13"/>
      <c r="W395" s="13"/>
      <c r="X395" s="13"/>
      <c r="Y395" s="13"/>
      <c r="Z395" s="13"/>
      <c r="AA395" s="13"/>
    </row>
    <row r="396" ht="16.5" customHeight="1">
      <c r="A396" s="10"/>
      <c r="B396" s="10"/>
      <c r="C396" s="13"/>
      <c r="D396" s="13"/>
      <c r="E396" s="13"/>
      <c r="F396" s="205"/>
      <c r="G396" s="13"/>
      <c r="H396" s="13"/>
      <c r="I396" s="13"/>
      <c r="J396" s="13"/>
      <c r="K396" s="13"/>
      <c r="L396" s="13"/>
      <c r="M396" s="13"/>
      <c r="N396" s="13"/>
      <c r="O396" s="13"/>
      <c r="P396" s="13"/>
      <c r="Q396" s="13"/>
      <c r="R396" s="13"/>
      <c r="S396" s="13"/>
      <c r="T396" s="13"/>
      <c r="U396" s="13"/>
      <c r="V396" s="13"/>
      <c r="W396" s="13"/>
      <c r="X396" s="13"/>
      <c r="Y396" s="13"/>
      <c r="Z396" s="13"/>
      <c r="AA396" s="13"/>
    </row>
    <row r="397" ht="16.5" customHeight="1">
      <c r="A397" s="10"/>
      <c r="B397" s="10"/>
      <c r="C397" s="13"/>
      <c r="D397" s="13"/>
      <c r="E397" s="13"/>
      <c r="F397" s="205"/>
      <c r="G397" s="13"/>
      <c r="H397" s="13"/>
      <c r="I397" s="13"/>
      <c r="J397" s="13"/>
      <c r="K397" s="13"/>
      <c r="L397" s="13"/>
      <c r="M397" s="13"/>
      <c r="N397" s="13"/>
      <c r="O397" s="13"/>
      <c r="P397" s="13"/>
      <c r="Q397" s="13"/>
      <c r="R397" s="13"/>
      <c r="S397" s="13"/>
      <c r="T397" s="13"/>
      <c r="U397" s="13"/>
      <c r="V397" s="13"/>
      <c r="W397" s="13"/>
      <c r="X397" s="13"/>
      <c r="Y397" s="13"/>
      <c r="Z397" s="13"/>
      <c r="AA397" s="13"/>
    </row>
    <row r="398" ht="16.5" customHeight="1">
      <c r="A398" s="10"/>
      <c r="B398" s="10"/>
      <c r="C398" s="13"/>
      <c r="D398" s="13"/>
      <c r="E398" s="13"/>
      <c r="F398" s="205"/>
      <c r="G398" s="13"/>
      <c r="H398" s="13"/>
      <c r="I398" s="13"/>
      <c r="J398" s="13"/>
      <c r="K398" s="13"/>
      <c r="L398" s="13"/>
      <c r="M398" s="13"/>
      <c r="N398" s="13"/>
      <c r="O398" s="13"/>
      <c r="P398" s="13"/>
      <c r="Q398" s="13"/>
      <c r="R398" s="13"/>
      <c r="S398" s="13"/>
      <c r="T398" s="13"/>
      <c r="U398" s="13"/>
      <c r="V398" s="13"/>
      <c r="W398" s="13"/>
      <c r="X398" s="13"/>
      <c r="Y398" s="13"/>
      <c r="Z398" s="13"/>
      <c r="AA398" s="13"/>
    </row>
    <row r="399" ht="16.5" customHeight="1">
      <c r="A399" s="10"/>
      <c r="B399" s="10"/>
      <c r="C399" s="13"/>
      <c r="D399" s="13"/>
      <c r="E399" s="13"/>
      <c r="F399" s="205"/>
      <c r="G399" s="13"/>
      <c r="H399" s="13"/>
      <c r="I399" s="13"/>
      <c r="J399" s="13"/>
      <c r="K399" s="13"/>
      <c r="L399" s="13"/>
      <c r="M399" s="13"/>
      <c r="N399" s="13"/>
      <c r="O399" s="13"/>
      <c r="P399" s="13"/>
      <c r="Q399" s="13"/>
      <c r="R399" s="13"/>
      <c r="S399" s="13"/>
      <c r="T399" s="13"/>
      <c r="U399" s="13"/>
      <c r="V399" s="13"/>
      <c r="W399" s="13"/>
      <c r="X399" s="13"/>
      <c r="Y399" s="13"/>
      <c r="Z399" s="13"/>
      <c r="AA399" s="13"/>
    </row>
    <row r="400" ht="16.5" customHeight="1">
      <c r="A400" s="10"/>
      <c r="B400" s="10"/>
      <c r="C400" s="13"/>
      <c r="D400" s="13"/>
      <c r="E400" s="13"/>
      <c r="F400" s="205"/>
      <c r="G400" s="13"/>
      <c r="H400" s="13"/>
      <c r="I400" s="13"/>
      <c r="J400" s="13"/>
      <c r="K400" s="13"/>
      <c r="L400" s="13"/>
      <c r="M400" s="13"/>
      <c r="N400" s="13"/>
      <c r="O400" s="13"/>
      <c r="P400" s="13"/>
      <c r="Q400" s="13"/>
      <c r="R400" s="13"/>
      <c r="S400" s="13"/>
      <c r="T400" s="13"/>
      <c r="U400" s="13"/>
      <c r="V400" s="13"/>
      <c r="W400" s="13"/>
      <c r="X400" s="13"/>
      <c r="Y400" s="13"/>
      <c r="Z400" s="13"/>
      <c r="AA400" s="13"/>
    </row>
    <row r="401" ht="16.5" customHeight="1">
      <c r="A401" s="10"/>
      <c r="B401" s="10"/>
      <c r="C401" s="13"/>
      <c r="D401" s="13"/>
      <c r="E401" s="13"/>
      <c r="F401" s="205"/>
      <c r="G401" s="13"/>
      <c r="H401" s="13"/>
      <c r="I401" s="13"/>
      <c r="J401" s="13"/>
      <c r="K401" s="13"/>
      <c r="L401" s="13"/>
      <c r="M401" s="13"/>
      <c r="N401" s="13"/>
      <c r="O401" s="13"/>
      <c r="P401" s="13"/>
      <c r="Q401" s="13"/>
      <c r="R401" s="13"/>
      <c r="S401" s="13"/>
      <c r="T401" s="13"/>
      <c r="U401" s="13"/>
      <c r="V401" s="13"/>
      <c r="W401" s="13"/>
      <c r="X401" s="13"/>
      <c r="Y401" s="13"/>
      <c r="Z401" s="13"/>
      <c r="AA401" s="13"/>
    </row>
    <row r="402" ht="16.5" customHeight="1">
      <c r="A402" s="10"/>
      <c r="B402" s="10"/>
      <c r="C402" s="13"/>
      <c r="D402" s="13"/>
      <c r="E402" s="13"/>
      <c r="F402" s="205"/>
      <c r="G402" s="13"/>
      <c r="H402" s="13"/>
      <c r="I402" s="13"/>
      <c r="J402" s="13"/>
      <c r="K402" s="13"/>
      <c r="L402" s="13"/>
      <c r="M402" s="13"/>
      <c r="N402" s="13"/>
      <c r="O402" s="13"/>
      <c r="P402" s="13"/>
      <c r="Q402" s="13"/>
      <c r="R402" s="13"/>
      <c r="S402" s="13"/>
      <c r="T402" s="13"/>
      <c r="U402" s="13"/>
      <c r="V402" s="13"/>
      <c r="W402" s="13"/>
      <c r="X402" s="13"/>
      <c r="Y402" s="13"/>
      <c r="Z402" s="13"/>
      <c r="AA402" s="13"/>
    </row>
    <row r="403" ht="16.5" customHeight="1">
      <c r="A403" s="10"/>
      <c r="B403" s="10"/>
      <c r="C403" s="13"/>
      <c r="D403" s="13"/>
      <c r="E403" s="13"/>
      <c r="F403" s="205"/>
      <c r="G403" s="13"/>
      <c r="H403" s="13"/>
      <c r="I403" s="13"/>
      <c r="J403" s="13"/>
      <c r="K403" s="13"/>
      <c r="L403" s="13"/>
      <c r="M403" s="13"/>
      <c r="N403" s="13"/>
      <c r="O403" s="13"/>
      <c r="P403" s="13"/>
      <c r="Q403" s="13"/>
      <c r="R403" s="13"/>
      <c r="S403" s="13"/>
      <c r="T403" s="13"/>
      <c r="U403" s="13"/>
      <c r="V403" s="13"/>
      <c r="W403" s="13"/>
      <c r="X403" s="13"/>
      <c r="Y403" s="13"/>
      <c r="Z403" s="13"/>
      <c r="AA403" s="13"/>
    </row>
    <row r="404" ht="16.5" customHeight="1">
      <c r="A404" s="10"/>
      <c r="B404" s="10"/>
      <c r="C404" s="13"/>
      <c r="D404" s="13"/>
      <c r="E404" s="13"/>
      <c r="F404" s="205"/>
      <c r="G404" s="13"/>
      <c r="H404" s="13"/>
      <c r="I404" s="13"/>
      <c r="J404" s="13"/>
      <c r="K404" s="13"/>
      <c r="L404" s="13"/>
      <c r="M404" s="13"/>
      <c r="N404" s="13"/>
      <c r="O404" s="13"/>
      <c r="P404" s="13"/>
      <c r="Q404" s="13"/>
      <c r="R404" s="13"/>
      <c r="S404" s="13"/>
      <c r="T404" s="13"/>
      <c r="U404" s="13"/>
      <c r="V404" s="13"/>
      <c r="W404" s="13"/>
      <c r="X404" s="13"/>
      <c r="Y404" s="13"/>
      <c r="Z404" s="13"/>
      <c r="AA404" s="13"/>
    </row>
    <row r="405" ht="16.5" customHeight="1">
      <c r="A405" s="10"/>
      <c r="B405" s="10"/>
      <c r="C405" s="13"/>
      <c r="D405" s="13"/>
      <c r="E405" s="13"/>
      <c r="F405" s="205"/>
      <c r="G405" s="13"/>
      <c r="H405" s="13"/>
      <c r="I405" s="13"/>
      <c r="J405" s="13"/>
      <c r="K405" s="13"/>
      <c r="L405" s="13"/>
      <c r="M405" s="13"/>
      <c r="N405" s="13"/>
      <c r="O405" s="13"/>
      <c r="P405" s="13"/>
      <c r="Q405" s="13"/>
      <c r="R405" s="13"/>
      <c r="S405" s="13"/>
      <c r="T405" s="13"/>
      <c r="U405" s="13"/>
      <c r="V405" s="13"/>
      <c r="W405" s="13"/>
      <c r="X405" s="13"/>
      <c r="Y405" s="13"/>
      <c r="Z405" s="13"/>
      <c r="AA405" s="13"/>
    </row>
    <row r="406" ht="16.5" customHeight="1">
      <c r="A406" s="10"/>
      <c r="B406" s="10"/>
      <c r="C406" s="13"/>
      <c r="D406" s="13"/>
      <c r="E406" s="13"/>
      <c r="F406" s="205"/>
      <c r="G406" s="13"/>
      <c r="H406" s="13"/>
      <c r="I406" s="13"/>
      <c r="J406" s="13"/>
      <c r="K406" s="13"/>
      <c r="L406" s="13"/>
      <c r="M406" s="13"/>
      <c r="N406" s="13"/>
      <c r="O406" s="13"/>
      <c r="P406" s="13"/>
      <c r="Q406" s="13"/>
      <c r="R406" s="13"/>
      <c r="S406" s="13"/>
      <c r="T406" s="13"/>
      <c r="U406" s="13"/>
      <c r="V406" s="13"/>
      <c r="W406" s="13"/>
      <c r="X406" s="13"/>
      <c r="Y406" s="13"/>
      <c r="Z406" s="13"/>
      <c r="AA406" s="13"/>
    </row>
    <row r="407" ht="16.5" customHeight="1">
      <c r="A407" s="10"/>
      <c r="B407" s="10"/>
      <c r="C407" s="13"/>
      <c r="D407" s="13"/>
      <c r="E407" s="13"/>
      <c r="F407" s="205"/>
      <c r="G407" s="13"/>
      <c r="H407" s="13"/>
      <c r="I407" s="13"/>
      <c r="J407" s="13"/>
      <c r="K407" s="13"/>
      <c r="L407" s="13"/>
      <c r="M407" s="13"/>
      <c r="N407" s="13"/>
      <c r="O407" s="13"/>
      <c r="P407" s="13"/>
      <c r="Q407" s="13"/>
      <c r="R407" s="13"/>
      <c r="S407" s="13"/>
      <c r="T407" s="13"/>
      <c r="U407" s="13"/>
      <c r="V407" s="13"/>
      <c r="W407" s="13"/>
      <c r="X407" s="13"/>
      <c r="Y407" s="13"/>
      <c r="Z407" s="13"/>
      <c r="AA407" s="13"/>
    </row>
    <row r="408" ht="16.5" customHeight="1">
      <c r="A408" s="10"/>
      <c r="B408" s="10"/>
      <c r="C408" s="13"/>
      <c r="D408" s="13"/>
      <c r="E408" s="13"/>
      <c r="F408" s="205"/>
      <c r="G408" s="13"/>
      <c r="H408" s="13"/>
      <c r="I408" s="13"/>
      <c r="J408" s="13"/>
      <c r="K408" s="13"/>
      <c r="L408" s="13"/>
      <c r="M408" s="13"/>
      <c r="N408" s="13"/>
      <c r="O408" s="13"/>
      <c r="P408" s="13"/>
      <c r="Q408" s="13"/>
      <c r="R408" s="13"/>
      <c r="S408" s="13"/>
      <c r="T408" s="13"/>
      <c r="U408" s="13"/>
      <c r="V408" s="13"/>
      <c r="W408" s="13"/>
      <c r="X408" s="13"/>
      <c r="Y408" s="13"/>
      <c r="Z408" s="13"/>
      <c r="AA408" s="13"/>
    </row>
    <row r="409" ht="16.5" customHeight="1">
      <c r="A409" s="10"/>
      <c r="B409" s="10"/>
      <c r="C409" s="13"/>
      <c r="D409" s="13"/>
      <c r="E409" s="13"/>
      <c r="F409" s="205"/>
      <c r="G409" s="13"/>
      <c r="H409" s="13"/>
      <c r="I409" s="13"/>
      <c r="J409" s="13"/>
      <c r="K409" s="13"/>
      <c r="L409" s="13"/>
      <c r="M409" s="13"/>
      <c r="N409" s="13"/>
      <c r="O409" s="13"/>
      <c r="P409" s="13"/>
      <c r="Q409" s="13"/>
      <c r="R409" s="13"/>
      <c r="S409" s="13"/>
      <c r="T409" s="13"/>
      <c r="U409" s="13"/>
      <c r="V409" s="13"/>
      <c r="W409" s="13"/>
      <c r="X409" s="13"/>
      <c r="Y409" s="13"/>
      <c r="Z409" s="13"/>
      <c r="AA409" s="13"/>
    </row>
    <row r="410" ht="16.5" customHeight="1">
      <c r="A410" s="10"/>
      <c r="B410" s="10"/>
      <c r="C410" s="13"/>
      <c r="D410" s="13"/>
      <c r="E410" s="13"/>
      <c r="F410" s="205"/>
      <c r="G410" s="13"/>
      <c r="H410" s="13"/>
      <c r="I410" s="13"/>
      <c r="J410" s="13"/>
      <c r="K410" s="13"/>
      <c r="L410" s="13"/>
      <c r="M410" s="13"/>
      <c r="N410" s="13"/>
      <c r="O410" s="13"/>
      <c r="P410" s="13"/>
      <c r="Q410" s="13"/>
      <c r="R410" s="13"/>
      <c r="S410" s="13"/>
      <c r="T410" s="13"/>
      <c r="U410" s="13"/>
      <c r="V410" s="13"/>
      <c r="W410" s="13"/>
      <c r="X410" s="13"/>
      <c r="Y410" s="13"/>
      <c r="Z410" s="13"/>
      <c r="AA410" s="13"/>
    </row>
    <row r="411" ht="16.5" customHeight="1">
      <c r="A411" s="10"/>
      <c r="B411" s="10"/>
      <c r="C411" s="13"/>
      <c r="D411" s="13"/>
      <c r="E411" s="13"/>
      <c r="F411" s="205"/>
      <c r="G411" s="13"/>
      <c r="H411" s="13"/>
      <c r="I411" s="13"/>
      <c r="J411" s="13"/>
      <c r="K411" s="13"/>
      <c r="L411" s="13"/>
      <c r="M411" s="13"/>
      <c r="N411" s="13"/>
      <c r="O411" s="13"/>
      <c r="P411" s="13"/>
      <c r="Q411" s="13"/>
      <c r="R411" s="13"/>
      <c r="S411" s="13"/>
      <c r="T411" s="13"/>
      <c r="U411" s="13"/>
      <c r="V411" s="13"/>
      <c r="W411" s="13"/>
      <c r="X411" s="13"/>
      <c r="Y411" s="13"/>
      <c r="Z411" s="13"/>
      <c r="AA411" s="13"/>
    </row>
    <row r="412" ht="16.5" customHeight="1">
      <c r="A412" s="10"/>
      <c r="B412" s="10"/>
      <c r="C412" s="13"/>
      <c r="D412" s="13"/>
      <c r="E412" s="13"/>
      <c r="F412" s="205"/>
      <c r="G412" s="13"/>
      <c r="H412" s="13"/>
      <c r="I412" s="13"/>
      <c r="J412" s="13"/>
      <c r="K412" s="13"/>
      <c r="L412" s="13"/>
      <c r="M412" s="13"/>
      <c r="N412" s="13"/>
      <c r="O412" s="13"/>
      <c r="P412" s="13"/>
      <c r="Q412" s="13"/>
      <c r="R412" s="13"/>
      <c r="S412" s="13"/>
      <c r="T412" s="13"/>
      <c r="U412" s="13"/>
      <c r="V412" s="13"/>
      <c r="W412" s="13"/>
      <c r="X412" s="13"/>
      <c r="Y412" s="13"/>
      <c r="Z412" s="13"/>
      <c r="AA412" s="13"/>
    </row>
    <row r="413" ht="16.5" customHeight="1">
      <c r="A413" s="10"/>
      <c r="B413" s="10"/>
      <c r="C413" s="13"/>
      <c r="D413" s="13"/>
      <c r="E413" s="13"/>
      <c r="F413" s="205"/>
      <c r="G413" s="13"/>
      <c r="H413" s="13"/>
      <c r="I413" s="13"/>
      <c r="J413" s="13"/>
      <c r="K413" s="13"/>
      <c r="L413" s="13"/>
      <c r="M413" s="13"/>
      <c r="N413" s="13"/>
      <c r="O413" s="13"/>
      <c r="P413" s="13"/>
      <c r="Q413" s="13"/>
      <c r="R413" s="13"/>
      <c r="S413" s="13"/>
      <c r="T413" s="13"/>
      <c r="U413" s="13"/>
      <c r="V413" s="13"/>
      <c r="W413" s="13"/>
      <c r="X413" s="13"/>
      <c r="Y413" s="13"/>
      <c r="Z413" s="13"/>
      <c r="AA413" s="13"/>
    </row>
    <row r="414" ht="16.5" customHeight="1">
      <c r="A414" s="10"/>
      <c r="B414" s="10"/>
      <c r="C414" s="13"/>
      <c r="D414" s="13"/>
      <c r="E414" s="13"/>
      <c r="F414" s="205"/>
      <c r="G414" s="13"/>
      <c r="H414" s="13"/>
      <c r="I414" s="13"/>
      <c r="J414" s="13"/>
      <c r="K414" s="13"/>
      <c r="L414" s="13"/>
      <c r="M414" s="13"/>
      <c r="N414" s="13"/>
      <c r="O414" s="13"/>
      <c r="P414" s="13"/>
      <c r="Q414" s="13"/>
      <c r="R414" s="13"/>
      <c r="S414" s="13"/>
      <c r="T414" s="13"/>
      <c r="U414" s="13"/>
      <c r="V414" s="13"/>
      <c r="W414" s="13"/>
      <c r="X414" s="13"/>
      <c r="Y414" s="13"/>
      <c r="Z414" s="13"/>
      <c r="AA414" s="13"/>
    </row>
    <row r="415" ht="16.5" customHeight="1">
      <c r="A415" s="10"/>
      <c r="B415" s="10"/>
      <c r="C415" s="13"/>
      <c r="D415" s="13"/>
      <c r="E415" s="13"/>
      <c r="F415" s="205"/>
      <c r="G415" s="13"/>
      <c r="H415" s="13"/>
      <c r="I415" s="13"/>
      <c r="J415" s="13"/>
      <c r="K415" s="13"/>
      <c r="L415" s="13"/>
      <c r="M415" s="13"/>
      <c r="N415" s="13"/>
      <c r="O415" s="13"/>
      <c r="P415" s="13"/>
      <c r="Q415" s="13"/>
      <c r="R415" s="13"/>
      <c r="S415" s="13"/>
      <c r="T415" s="13"/>
      <c r="U415" s="13"/>
      <c r="V415" s="13"/>
      <c r="W415" s="13"/>
      <c r="X415" s="13"/>
      <c r="Y415" s="13"/>
      <c r="Z415" s="13"/>
      <c r="AA415" s="13"/>
    </row>
    <row r="416" ht="16.5" customHeight="1">
      <c r="A416" s="10"/>
      <c r="B416" s="10"/>
      <c r="C416" s="13"/>
      <c r="D416" s="13"/>
      <c r="E416" s="13"/>
      <c r="F416" s="205"/>
      <c r="G416" s="13"/>
      <c r="H416" s="13"/>
      <c r="I416" s="13"/>
      <c r="J416" s="13"/>
      <c r="K416" s="13"/>
      <c r="L416" s="13"/>
      <c r="M416" s="13"/>
      <c r="N416" s="13"/>
      <c r="O416" s="13"/>
      <c r="P416" s="13"/>
      <c r="Q416" s="13"/>
      <c r="R416" s="13"/>
      <c r="S416" s="13"/>
      <c r="T416" s="13"/>
      <c r="U416" s="13"/>
      <c r="V416" s="13"/>
      <c r="W416" s="13"/>
      <c r="X416" s="13"/>
      <c r="Y416" s="13"/>
      <c r="Z416" s="13"/>
      <c r="AA416" s="13"/>
    </row>
    <row r="417" ht="16.5" customHeight="1">
      <c r="A417" s="10"/>
      <c r="B417" s="10"/>
      <c r="C417" s="13"/>
      <c r="D417" s="13"/>
      <c r="E417" s="13"/>
      <c r="F417" s="205"/>
      <c r="G417" s="13"/>
      <c r="H417" s="13"/>
      <c r="I417" s="13"/>
      <c r="J417" s="13"/>
      <c r="K417" s="13"/>
      <c r="L417" s="13"/>
      <c r="M417" s="13"/>
      <c r="N417" s="13"/>
      <c r="O417" s="13"/>
      <c r="P417" s="13"/>
      <c r="Q417" s="13"/>
      <c r="R417" s="13"/>
      <c r="S417" s="13"/>
      <c r="T417" s="13"/>
      <c r="U417" s="13"/>
      <c r="V417" s="13"/>
      <c r="W417" s="13"/>
      <c r="X417" s="13"/>
      <c r="Y417" s="13"/>
      <c r="Z417" s="13"/>
      <c r="AA417" s="13"/>
    </row>
    <row r="418" ht="16.5" customHeight="1">
      <c r="A418" s="10"/>
      <c r="B418" s="10"/>
      <c r="C418" s="13"/>
      <c r="D418" s="13"/>
      <c r="E418" s="13"/>
      <c r="F418" s="205"/>
      <c r="G418" s="13"/>
      <c r="H418" s="13"/>
      <c r="I418" s="13"/>
      <c r="J418" s="13"/>
      <c r="K418" s="13"/>
      <c r="L418" s="13"/>
      <c r="M418" s="13"/>
      <c r="N418" s="13"/>
      <c r="O418" s="13"/>
      <c r="P418" s="13"/>
      <c r="Q418" s="13"/>
      <c r="R418" s="13"/>
      <c r="S418" s="13"/>
      <c r="T418" s="13"/>
      <c r="U418" s="13"/>
      <c r="V418" s="13"/>
      <c r="W418" s="13"/>
      <c r="X418" s="13"/>
      <c r="Y418" s="13"/>
      <c r="Z418" s="13"/>
      <c r="AA418" s="13"/>
    </row>
    <row r="419" ht="16.5" customHeight="1">
      <c r="A419" s="10"/>
      <c r="B419" s="10"/>
      <c r="C419" s="13"/>
      <c r="D419" s="13"/>
      <c r="E419" s="13"/>
      <c r="F419" s="205"/>
      <c r="G419" s="13"/>
      <c r="H419" s="13"/>
      <c r="I419" s="13"/>
      <c r="J419" s="13"/>
      <c r="K419" s="13"/>
      <c r="L419" s="13"/>
      <c r="M419" s="13"/>
      <c r="N419" s="13"/>
      <c r="O419" s="13"/>
      <c r="P419" s="13"/>
      <c r="Q419" s="13"/>
      <c r="R419" s="13"/>
      <c r="S419" s="13"/>
      <c r="T419" s="13"/>
      <c r="U419" s="13"/>
      <c r="V419" s="13"/>
      <c r="W419" s="13"/>
      <c r="X419" s="13"/>
      <c r="Y419" s="13"/>
      <c r="Z419" s="13"/>
      <c r="AA419" s="13"/>
    </row>
    <row r="420" ht="16.5" customHeight="1">
      <c r="A420" s="10"/>
      <c r="B420" s="10"/>
      <c r="C420" s="13"/>
      <c r="D420" s="13"/>
      <c r="E420" s="13"/>
      <c r="F420" s="205"/>
      <c r="G420" s="13"/>
      <c r="H420" s="13"/>
      <c r="I420" s="13"/>
      <c r="J420" s="13"/>
      <c r="K420" s="13"/>
      <c r="L420" s="13"/>
      <c r="M420" s="13"/>
      <c r="N420" s="13"/>
      <c r="O420" s="13"/>
      <c r="P420" s="13"/>
      <c r="Q420" s="13"/>
      <c r="R420" s="13"/>
      <c r="S420" s="13"/>
      <c r="T420" s="13"/>
      <c r="U420" s="13"/>
      <c r="V420" s="13"/>
      <c r="W420" s="13"/>
      <c r="X420" s="13"/>
      <c r="Y420" s="13"/>
      <c r="Z420" s="13"/>
      <c r="AA420" s="13"/>
    </row>
    <row r="421" ht="16.5" customHeight="1">
      <c r="A421" s="10"/>
      <c r="B421" s="10"/>
      <c r="C421" s="13"/>
      <c r="D421" s="13"/>
      <c r="E421" s="13"/>
      <c r="F421" s="205"/>
      <c r="G421" s="13"/>
      <c r="H421" s="13"/>
      <c r="I421" s="13"/>
      <c r="J421" s="13"/>
      <c r="K421" s="13"/>
      <c r="L421" s="13"/>
      <c r="M421" s="13"/>
      <c r="N421" s="13"/>
      <c r="O421" s="13"/>
      <c r="P421" s="13"/>
      <c r="Q421" s="13"/>
      <c r="R421" s="13"/>
      <c r="S421" s="13"/>
      <c r="T421" s="13"/>
      <c r="U421" s="13"/>
      <c r="V421" s="13"/>
      <c r="W421" s="13"/>
      <c r="X421" s="13"/>
      <c r="Y421" s="13"/>
      <c r="Z421" s="13"/>
      <c r="AA421" s="13"/>
    </row>
    <row r="422" ht="16.5" customHeight="1">
      <c r="A422" s="10"/>
      <c r="B422" s="10"/>
      <c r="C422" s="13"/>
      <c r="D422" s="13"/>
      <c r="E422" s="13"/>
      <c r="F422" s="205"/>
      <c r="G422" s="13"/>
      <c r="H422" s="13"/>
      <c r="I422" s="13"/>
      <c r="J422" s="13"/>
      <c r="K422" s="13"/>
      <c r="L422" s="13"/>
      <c r="M422" s="13"/>
      <c r="N422" s="13"/>
      <c r="O422" s="13"/>
      <c r="P422" s="13"/>
      <c r="Q422" s="13"/>
      <c r="R422" s="13"/>
      <c r="S422" s="13"/>
      <c r="T422" s="13"/>
      <c r="U422" s="13"/>
      <c r="V422" s="13"/>
      <c r="W422" s="13"/>
      <c r="X422" s="13"/>
      <c r="Y422" s="13"/>
      <c r="Z422" s="13"/>
      <c r="AA422" s="13"/>
    </row>
    <row r="423" ht="16.5" customHeight="1">
      <c r="A423" s="10"/>
      <c r="B423" s="10"/>
      <c r="C423" s="13"/>
      <c r="D423" s="13"/>
      <c r="E423" s="13"/>
      <c r="F423" s="205"/>
      <c r="G423" s="13"/>
      <c r="H423" s="13"/>
      <c r="I423" s="13"/>
      <c r="J423" s="13"/>
      <c r="K423" s="13"/>
      <c r="L423" s="13"/>
      <c r="M423" s="13"/>
      <c r="N423" s="13"/>
      <c r="O423" s="13"/>
      <c r="P423" s="13"/>
      <c r="Q423" s="13"/>
      <c r="R423" s="13"/>
      <c r="S423" s="13"/>
      <c r="T423" s="13"/>
      <c r="U423" s="13"/>
      <c r="V423" s="13"/>
      <c r="W423" s="13"/>
      <c r="X423" s="13"/>
      <c r="Y423" s="13"/>
      <c r="Z423" s="13"/>
      <c r="AA423" s="13"/>
    </row>
    <row r="424" ht="16.5" customHeight="1">
      <c r="A424" s="10"/>
      <c r="B424" s="10"/>
      <c r="C424" s="13"/>
      <c r="D424" s="13"/>
      <c r="E424" s="13"/>
      <c r="F424" s="205"/>
      <c r="G424" s="13"/>
      <c r="H424" s="13"/>
      <c r="I424" s="13"/>
      <c r="J424" s="13"/>
      <c r="K424" s="13"/>
      <c r="L424" s="13"/>
      <c r="M424" s="13"/>
      <c r="N424" s="13"/>
      <c r="O424" s="13"/>
      <c r="P424" s="13"/>
      <c r="Q424" s="13"/>
      <c r="R424" s="13"/>
      <c r="S424" s="13"/>
      <c r="T424" s="13"/>
      <c r="U424" s="13"/>
      <c r="V424" s="13"/>
      <c r="W424" s="13"/>
      <c r="X424" s="13"/>
      <c r="Y424" s="13"/>
      <c r="Z424" s="13"/>
      <c r="AA424" s="13"/>
    </row>
    <row r="425" ht="16.5" customHeight="1">
      <c r="A425" s="10"/>
      <c r="B425" s="10"/>
      <c r="C425" s="13"/>
      <c r="D425" s="13"/>
      <c r="E425" s="13"/>
      <c r="F425" s="205"/>
      <c r="G425" s="13"/>
      <c r="H425" s="13"/>
      <c r="I425" s="13"/>
      <c r="J425" s="13"/>
      <c r="K425" s="13"/>
      <c r="L425" s="13"/>
      <c r="M425" s="13"/>
      <c r="N425" s="13"/>
      <c r="O425" s="13"/>
      <c r="P425" s="13"/>
      <c r="Q425" s="13"/>
      <c r="R425" s="13"/>
      <c r="S425" s="13"/>
      <c r="T425" s="13"/>
      <c r="U425" s="13"/>
      <c r="V425" s="13"/>
      <c r="W425" s="13"/>
      <c r="X425" s="13"/>
      <c r="Y425" s="13"/>
      <c r="Z425" s="13"/>
      <c r="AA425" s="13"/>
    </row>
    <row r="426" ht="16.5" customHeight="1">
      <c r="A426" s="10"/>
      <c r="B426" s="10"/>
      <c r="C426" s="13"/>
      <c r="D426" s="13"/>
      <c r="E426" s="13"/>
      <c r="F426" s="205"/>
      <c r="G426" s="13"/>
      <c r="H426" s="13"/>
      <c r="I426" s="13"/>
      <c r="J426" s="13"/>
      <c r="K426" s="13"/>
      <c r="L426" s="13"/>
      <c r="M426" s="13"/>
      <c r="N426" s="13"/>
      <c r="O426" s="13"/>
      <c r="P426" s="13"/>
      <c r="Q426" s="13"/>
      <c r="R426" s="13"/>
      <c r="S426" s="13"/>
      <c r="T426" s="13"/>
      <c r="U426" s="13"/>
      <c r="V426" s="13"/>
      <c r="W426" s="13"/>
      <c r="X426" s="13"/>
      <c r="Y426" s="13"/>
      <c r="Z426" s="13"/>
      <c r="AA426" s="13"/>
    </row>
    <row r="427" ht="16.5" customHeight="1">
      <c r="A427" s="10"/>
      <c r="B427" s="10"/>
      <c r="C427" s="13"/>
      <c r="D427" s="13"/>
      <c r="E427" s="13"/>
      <c r="F427" s="205"/>
      <c r="G427" s="13"/>
      <c r="H427" s="13"/>
      <c r="I427" s="13"/>
      <c r="J427" s="13"/>
      <c r="K427" s="13"/>
      <c r="L427" s="13"/>
      <c r="M427" s="13"/>
      <c r="N427" s="13"/>
      <c r="O427" s="13"/>
      <c r="P427" s="13"/>
      <c r="Q427" s="13"/>
      <c r="R427" s="13"/>
      <c r="S427" s="13"/>
      <c r="T427" s="13"/>
      <c r="U427" s="13"/>
      <c r="V427" s="13"/>
      <c r="W427" s="13"/>
      <c r="X427" s="13"/>
      <c r="Y427" s="13"/>
      <c r="Z427" s="13"/>
      <c r="AA427" s="13"/>
    </row>
    <row r="428" ht="16.5" customHeight="1">
      <c r="A428" s="10"/>
      <c r="B428" s="10"/>
      <c r="C428" s="13"/>
      <c r="D428" s="13"/>
      <c r="E428" s="13"/>
      <c r="F428" s="205"/>
      <c r="G428" s="13"/>
      <c r="H428" s="13"/>
      <c r="I428" s="13"/>
      <c r="J428" s="13"/>
      <c r="K428" s="13"/>
      <c r="L428" s="13"/>
      <c r="M428" s="13"/>
      <c r="N428" s="13"/>
      <c r="O428" s="13"/>
      <c r="P428" s="13"/>
      <c r="Q428" s="13"/>
      <c r="R428" s="13"/>
      <c r="S428" s="13"/>
      <c r="T428" s="13"/>
      <c r="U428" s="13"/>
      <c r="V428" s="13"/>
      <c r="W428" s="13"/>
      <c r="X428" s="13"/>
      <c r="Y428" s="13"/>
      <c r="Z428" s="13"/>
      <c r="AA428" s="13"/>
    </row>
    <row r="429" ht="16.5" customHeight="1">
      <c r="A429" s="10"/>
      <c r="B429" s="10"/>
      <c r="C429" s="13"/>
      <c r="D429" s="13"/>
      <c r="E429" s="13"/>
      <c r="F429" s="205"/>
      <c r="G429" s="13"/>
      <c r="H429" s="13"/>
      <c r="I429" s="13"/>
      <c r="J429" s="13"/>
      <c r="K429" s="13"/>
      <c r="L429" s="13"/>
      <c r="M429" s="13"/>
      <c r="N429" s="13"/>
      <c r="O429" s="13"/>
      <c r="P429" s="13"/>
      <c r="Q429" s="13"/>
      <c r="R429" s="13"/>
      <c r="S429" s="13"/>
      <c r="T429" s="13"/>
      <c r="U429" s="13"/>
      <c r="V429" s="13"/>
      <c r="W429" s="13"/>
      <c r="X429" s="13"/>
      <c r="Y429" s="13"/>
      <c r="Z429" s="13"/>
      <c r="AA429" s="13"/>
    </row>
    <row r="430" ht="16.5" customHeight="1">
      <c r="A430" s="10"/>
      <c r="B430" s="10"/>
      <c r="C430" s="13"/>
      <c r="D430" s="13"/>
      <c r="E430" s="13"/>
      <c r="F430" s="205"/>
      <c r="G430" s="13"/>
      <c r="H430" s="13"/>
      <c r="I430" s="13"/>
      <c r="J430" s="13"/>
      <c r="K430" s="13"/>
      <c r="L430" s="13"/>
      <c r="M430" s="13"/>
      <c r="N430" s="13"/>
      <c r="O430" s="13"/>
      <c r="P430" s="13"/>
      <c r="Q430" s="13"/>
      <c r="R430" s="13"/>
      <c r="S430" s="13"/>
      <c r="T430" s="13"/>
      <c r="U430" s="13"/>
      <c r="V430" s="13"/>
      <c r="W430" s="13"/>
      <c r="X430" s="13"/>
      <c r="Y430" s="13"/>
      <c r="Z430" s="13"/>
      <c r="AA430" s="13"/>
    </row>
    <row r="431" ht="16.5" customHeight="1">
      <c r="A431" s="10"/>
      <c r="B431" s="10"/>
      <c r="C431" s="13"/>
      <c r="D431" s="13"/>
      <c r="E431" s="13"/>
      <c r="F431" s="205"/>
      <c r="G431" s="13"/>
      <c r="H431" s="13"/>
      <c r="I431" s="13"/>
      <c r="J431" s="13"/>
      <c r="K431" s="13"/>
      <c r="L431" s="13"/>
      <c r="M431" s="13"/>
      <c r="N431" s="13"/>
      <c r="O431" s="13"/>
      <c r="P431" s="13"/>
      <c r="Q431" s="13"/>
      <c r="R431" s="13"/>
      <c r="S431" s="13"/>
      <c r="T431" s="13"/>
      <c r="U431" s="13"/>
      <c r="V431" s="13"/>
      <c r="W431" s="13"/>
      <c r="X431" s="13"/>
      <c r="Y431" s="13"/>
      <c r="Z431" s="13"/>
      <c r="AA431" s="13"/>
    </row>
    <row r="432" ht="16.5" customHeight="1">
      <c r="A432" s="10"/>
      <c r="B432" s="10"/>
      <c r="C432" s="13"/>
      <c r="D432" s="13"/>
      <c r="E432" s="13"/>
      <c r="F432" s="205"/>
      <c r="G432" s="13"/>
      <c r="H432" s="13"/>
      <c r="I432" s="13"/>
      <c r="J432" s="13"/>
      <c r="K432" s="13"/>
      <c r="L432" s="13"/>
      <c r="M432" s="13"/>
      <c r="N432" s="13"/>
      <c r="O432" s="13"/>
      <c r="P432" s="13"/>
      <c r="Q432" s="13"/>
      <c r="R432" s="13"/>
      <c r="S432" s="13"/>
      <c r="T432" s="13"/>
      <c r="U432" s="13"/>
      <c r="V432" s="13"/>
      <c r="W432" s="13"/>
      <c r="X432" s="13"/>
      <c r="Y432" s="13"/>
      <c r="Z432" s="13"/>
      <c r="AA432" s="13"/>
    </row>
    <row r="433" ht="16.5" customHeight="1">
      <c r="A433" s="10"/>
      <c r="B433" s="10"/>
      <c r="C433" s="13"/>
      <c r="D433" s="13"/>
      <c r="E433" s="13"/>
      <c r="F433" s="205"/>
      <c r="G433" s="13"/>
      <c r="H433" s="13"/>
      <c r="I433" s="13"/>
      <c r="J433" s="13"/>
      <c r="K433" s="13"/>
      <c r="L433" s="13"/>
      <c r="M433" s="13"/>
      <c r="N433" s="13"/>
      <c r="O433" s="13"/>
      <c r="P433" s="13"/>
      <c r="Q433" s="13"/>
      <c r="R433" s="13"/>
      <c r="S433" s="13"/>
      <c r="T433" s="13"/>
      <c r="U433" s="13"/>
      <c r="V433" s="13"/>
      <c r="W433" s="13"/>
      <c r="X433" s="13"/>
      <c r="Y433" s="13"/>
      <c r="Z433" s="13"/>
      <c r="AA433" s="13"/>
    </row>
    <row r="434" ht="16.5" customHeight="1">
      <c r="A434" s="10"/>
      <c r="B434" s="10"/>
      <c r="C434" s="13"/>
      <c r="D434" s="13"/>
      <c r="E434" s="13"/>
      <c r="F434" s="205"/>
      <c r="G434" s="13"/>
      <c r="H434" s="13"/>
      <c r="I434" s="13"/>
      <c r="J434" s="13"/>
      <c r="K434" s="13"/>
      <c r="L434" s="13"/>
      <c r="M434" s="13"/>
      <c r="N434" s="13"/>
      <c r="O434" s="13"/>
      <c r="P434" s="13"/>
      <c r="Q434" s="13"/>
      <c r="R434" s="13"/>
      <c r="S434" s="13"/>
      <c r="T434" s="13"/>
      <c r="U434" s="13"/>
      <c r="V434" s="13"/>
      <c r="W434" s="13"/>
      <c r="X434" s="13"/>
      <c r="Y434" s="13"/>
      <c r="Z434" s="13"/>
      <c r="AA434" s="13"/>
    </row>
    <row r="435" ht="16.5" customHeight="1">
      <c r="A435" s="10"/>
      <c r="B435" s="10"/>
      <c r="C435" s="13"/>
      <c r="D435" s="13"/>
      <c r="E435" s="13"/>
      <c r="F435" s="205"/>
      <c r="G435" s="13"/>
      <c r="H435" s="13"/>
      <c r="I435" s="13"/>
      <c r="J435" s="13"/>
      <c r="K435" s="13"/>
      <c r="L435" s="13"/>
      <c r="M435" s="13"/>
      <c r="N435" s="13"/>
      <c r="O435" s="13"/>
      <c r="P435" s="13"/>
      <c r="Q435" s="13"/>
      <c r="R435" s="13"/>
      <c r="S435" s="13"/>
      <c r="T435" s="13"/>
      <c r="U435" s="13"/>
      <c r="V435" s="13"/>
      <c r="W435" s="13"/>
      <c r="X435" s="13"/>
      <c r="Y435" s="13"/>
      <c r="Z435" s="13"/>
      <c r="AA435" s="13"/>
    </row>
    <row r="436" ht="16.5" customHeight="1">
      <c r="A436" s="10"/>
      <c r="B436" s="10"/>
      <c r="C436" s="13"/>
      <c r="D436" s="13"/>
      <c r="E436" s="13"/>
      <c r="F436" s="205"/>
      <c r="G436" s="13"/>
      <c r="H436" s="13"/>
      <c r="I436" s="13"/>
      <c r="J436" s="13"/>
      <c r="K436" s="13"/>
      <c r="L436" s="13"/>
      <c r="M436" s="13"/>
      <c r="N436" s="13"/>
      <c r="O436" s="13"/>
      <c r="P436" s="13"/>
      <c r="Q436" s="13"/>
      <c r="R436" s="13"/>
      <c r="S436" s="13"/>
      <c r="T436" s="13"/>
      <c r="U436" s="13"/>
      <c r="V436" s="13"/>
      <c r="W436" s="13"/>
      <c r="X436" s="13"/>
      <c r="Y436" s="13"/>
      <c r="Z436" s="13"/>
      <c r="AA436" s="13"/>
    </row>
    <row r="437" ht="16.5" customHeight="1">
      <c r="A437" s="10"/>
      <c r="B437" s="10"/>
      <c r="C437" s="13"/>
      <c r="D437" s="13"/>
      <c r="E437" s="13"/>
      <c r="F437" s="205"/>
      <c r="G437" s="13"/>
      <c r="H437" s="13"/>
      <c r="I437" s="13"/>
      <c r="J437" s="13"/>
      <c r="K437" s="13"/>
      <c r="L437" s="13"/>
      <c r="M437" s="13"/>
      <c r="N437" s="13"/>
      <c r="O437" s="13"/>
      <c r="P437" s="13"/>
      <c r="Q437" s="13"/>
      <c r="R437" s="13"/>
      <c r="S437" s="13"/>
      <c r="T437" s="13"/>
      <c r="U437" s="13"/>
      <c r="V437" s="13"/>
      <c r="W437" s="13"/>
      <c r="X437" s="13"/>
      <c r="Y437" s="13"/>
      <c r="Z437" s="13"/>
      <c r="AA437" s="13"/>
    </row>
    <row r="438" ht="16.5" customHeight="1">
      <c r="A438" s="10"/>
      <c r="B438" s="10"/>
      <c r="C438" s="13"/>
      <c r="D438" s="13"/>
      <c r="E438" s="13"/>
      <c r="F438" s="205"/>
      <c r="G438" s="13"/>
      <c r="H438" s="13"/>
      <c r="I438" s="13"/>
      <c r="J438" s="13"/>
      <c r="K438" s="13"/>
      <c r="L438" s="13"/>
      <c r="M438" s="13"/>
      <c r="N438" s="13"/>
      <c r="O438" s="13"/>
      <c r="P438" s="13"/>
      <c r="Q438" s="13"/>
      <c r="R438" s="13"/>
      <c r="S438" s="13"/>
      <c r="T438" s="13"/>
      <c r="U438" s="13"/>
      <c r="V438" s="13"/>
      <c r="W438" s="13"/>
      <c r="X438" s="13"/>
      <c r="Y438" s="13"/>
      <c r="Z438" s="13"/>
      <c r="AA438" s="13"/>
    </row>
    <row r="439" ht="16.5" customHeight="1">
      <c r="A439" s="10"/>
      <c r="B439" s="10"/>
      <c r="C439" s="13"/>
      <c r="D439" s="13"/>
      <c r="E439" s="13"/>
      <c r="F439" s="205"/>
      <c r="G439" s="13"/>
      <c r="H439" s="13"/>
      <c r="I439" s="13"/>
      <c r="J439" s="13"/>
      <c r="K439" s="13"/>
      <c r="L439" s="13"/>
      <c r="M439" s="13"/>
      <c r="N439" s="13"/>
      <c r="O439" s="13"/>
      <c r="P439" s="13"/>
      <c r="Q439" s="13"/>
      <c r="R439" s="13"/>
      <c r="S439" s="13"/>
      <c r="T439" s="13"/>
      <c r="U439" s="13"/>
      <c r="V439" s="13"/>
      <c r="W439" s="13"/>
      <c r="X439" s="13"/>
      <c r="Y439" s="13"/>
      <c r="Z439" s="13"/>
      <c r="AA439" s="13"/>
    </row>
    <row r="440" ht="16.5" customHeight="1">
      <c r="A440" s="10"/>
      <c r="B440" s="10"/>
      <c r="C440" s="13"/>
      <c r="D440" s="13"/>
      <c r="E440" s="13"/>
      <c r="F440" s="205"/>
      <c r="G440" s="13"/>
      <c r="H440" s="13"/>
      <c r="I440" s="13"/>
      <c r="J440" s="13"/>
      <c r="K440" s="13"/>
      <c r="L440" s="13"/>
      <c r="M440" s="13"/>
      <c r="N440" s="13"/>
      <c r="O440" s="13"/>
      <c r="P440" s="13"/>
      <c r="Q440" s="13"/>
      <c r="R440" s="13"/>
      <c r="S440" s="13"/>
      <c r="T440" s="13"/>
      <c r="U440" s="13"/>
      <c r="V440" s="13"/>
      <c r="W440" s="13"/>
      <c r="X440" s="13"/>
      <c r="Y440" s="13"/>
      <c r="Z440" s="13"/>
      <c r="AA440" s="13"/>
    </row>
    <row r="441" ht="16.5" customHeight="1">
      <c r="A441" s="10"/>
      <c r="B441" s="10"/>
      <c r="C441" s="13"/>
      <c r="D441" s="13"/>
      <c r="E441" s="13"/>
      <c r="F441" s="205"/>
      <c r="G441" s="13"/>
      <c r="H441" s="13"/>
      <c r="I441" s="13"/>
      <c r="J441" s="13"/>
      <c r="K441" s="13"/>
      <c r="L441" s="13"/>
      <c r="M441" s="13"/>
      <c r="N441" s="13"/>
      <c r="O441" s="13"/>
      <c r="P441" s="13"/>
      <c r="Q441" s="13"/>
      <c r="R441" s="13"/>
      <c r="S441" s="13"/>
      <c r="T441" s="13"/>
      <c r="U441" s="13"/>
      <c r="V441" s="13"/>
      <c r="W441" s="13"/>
      <c r="X441" s="13"/>
      <c r="Y441" s="13"/>
      <c r="Z441" s="13"/>
      <c r="AA441" s="13"/>
    </row>
    <row r="442" ht="16.5" customHeight="1">
      <c r="A442" s="10"/>
      <c r="B442" s="10"/>
      <c r="C442" s="13"/>
      <c r="D442" s="13"/>
      <c r="E442" s="13"/>
      <c r="F442" s="205"/>
      <c r="G442" s="13"/>
      <c r="H442" s="13"/>
      <c r="I442" s="13"/>
      <c r="J442" s="13"/>
      <c r="K442" s="13"/>
      <c r="L442" s="13"/>
      <c r="M442" s="13"/>
      <c r="N442" s="13"/>
      <c r="O442" s="13"/>
      <c r="P442" s="13"/>
      <c r="Q442" s="13"/>
      <c r="R442" s="13"/>
      <c r="S442" s="13"/>
      <c r="T442" s="13"/>
      <c r="U442" s="13"/>
      <c r="V442" s="13"/>
      <c r="W442" s="13"/>
      <c r="X442" s="13"/>
      <c r="Y442" s="13"/>
      <c r="Z442" s="13"/>
      <c r="AA442" s="13"/>
    </row>
    <row r="443" ht="16.5" customHeight="1">
      <c r="A443" s="10"/>
      <c r="B443" s="10"/>
      <c r="C443" s="13"/>
      <c r="D443" s="13"/>
      <c r="E443" s="13"/>
      <c r="F443" s="205"/>
      <c r="G443" s="13"/>
      <c r="H443" s="13"/>
      <c r="I443" s="13"/>
      <c r="J443" s="13"/>
      <c r="K443" s="13"/>
      <c r="L443" s="13"/>
      <c r="M443" s="13"/>
      <c r="N443" s="13"/>
      <c r="O443" s="13"/>
      <c r="P443" s="13"/>
      <c r="Q443" s="13"/>
      <c r="R443" s="13"/>
      <c r="S443" s="13"/>
      <c r="T443" s="13"/>
      <c r="U443" s="13"/>
      <c r="V443" s="13"/>
      <c r="W443" s="13"/>
      <c r="X443" s="13"/>
      <c r="Y443" s="13"/>
      <c r="Z443" s="13"/>
      <c r="AA443" s="13"/>
    </row>
    <row r="444" ht="16.5" customHeight="1">
      <c r="A444" s="10"/>
      <c r="B444" s="10"/>
      <c r="C444" s="13"/>
      <c r="D444" s="13"/>
      <c r="E444" s="13"/>
      <c r="F444" s="205"/>
      <c r="G444" s="13"/>
      <c r="H444" s="13"/>
      <c r="I444" s="13"/>
      <c r="J444" s="13"/>
      <c r="K444" s="13"/>
      <c r="L444" s="13"/>
      <c r="M444" s="13"/>
      <c r="N444" s="13"/>
      <c r="O444" s="13"/>
      <c r="P444" s="13"/>
      <c r="Q444" s="13"/>
      <c r="R444" s="13"/>
      <c r="S444" s="13"/>
      <c r="T444" s="13"/>
      <c r="U444" s="13"/>
      <c r="V444" s="13"/>
      <c r="W444" s="13"/>
      <c r="X444" s="13"/>
      <c r="Y444" s="13"/>
      <c r="Z444" s="13"/>
      <c r="AA444" s="13"/>
    </row>
    <row r="445" ht="16.5" customHeight="1">
      <c r="A445" s="10"/>
      <c r="B445" s="10"/>
      <c r="C445" s="13"/>
      <c r="D445" s="13"/>
      <c r="E445" s="13"/>
      <c r="F445" s="205"/>
      <c r="G445" s="13"/>
      <c r="H445" s="13"/>
      <c r="I445" s="13"/>
      <c r="J445" s="13"/>
      <c r="K445" s="13"/>
      <c r="L445" s="13"/>
      <c r="M445" s="13"/>
      <c r="N445" s="13"/>
      <c r="O445" s="13"/>
      <c r="P445" s="13"/>
      <c r="Q445" s="13"/>
      <c r="R445" s="13"/>
      <c r="S445" s="13"/>
      <c r="T445" s="13"/>
      <c r="U445" s="13"/>
      <c r="V445" s="13"/>
      <c r="W445" s="13"/>
      <c r="X445" s="13"/>
      <c r="Y445" s="13"/>
      <c r="Z445" s="13"/>
      <c r="AA445" s="13"/>
    </row>
    <row r="446" ht="16.5" customHeight="1">
      <c r="A446" s="10"/>
      <c r="B446" s="10"/>
      <c r="C446" s="13"/>
      <c r="D446" s="13"/>
      <c r="E446" s="13"/>
      <c r="F446" s="205"/>
      <c r="G446" s="13"/>
      <c r="H446" s="13"/>
      <c r="I446" s="13"/>
      <c r="J446" s="13"/>
      <c r="K446" s="13"/>
      <c r="L446" s="13"/>
      <c r="M446" s="13"/>
      <c r="N446" s="13"/>
      <c r="O446" s="13"/>
      <c r="P446" s="13"/>
      <c r="Q446" s="13"/>
      <c r="R446" s="13"/>
      <c r="S446" s="13"/>
      <c r="T446" s="13"/>
      <c r="U446" s="13"/>
      <c r="V446" s="13"/>
      <c r="W446" s="13"/>
      <c r="X446" s="13"/>
      <c r="Y446" s="13"/>
      <c r="Z446" s="13"/>
      <c r="AA446" s="13"/>
    </row>
    <row r="447" ht="16.5" customHeight="1">
      <c r="A447" s="10"/>
      <c r="B447" s="10"/>
      <c r="C447" s="13"/>
      <c r="D447" s="13"/>
      <c r="E447" s="13"/>
      <c r="F447" s="205"/>
      <c r="G447" s="13"/>
      <c r="H447" s="13"/>
      <c r="I447" s="13"/>
      <c r="J447" s="13"/>
      <c r="K447" s="13"/>
      <c r="L447" s="13"/>
      <c r="M447" s="13"/>
      <c r="N447" s="13"/>
      <c r="O447" s="13"/>
      <c r="P447" s="13"/>
      <c r="Q447" s="13"/>
      <c r="R447" s="13"/>
      <c r="S447" s="13"/>
      <c r="T447" s="13"/>
      <c r="U447" s="13"/>
      <c r="V447" s="13"/>
      <c r="W447" s="13"/>
      <c r="X447" s="13"/>
      <c r="Y447" s="13"/>
      <c r="Z447" s="13"/>
      <c r="AA447" s="13"/>
    </row>
    <row r="448" ht="16.5" customHeight="1">
      <c r="A448" s="10"/>
      <c r="B448" s="10"/>
      <c r="C448" s="13"/>
      <c r="D448" s="13"/>
      <c r="E448" s="13"/>
      <c r="F448" s="205"/>
      <c r="G448" s="13"/>
      <c r="H448" s="13"/>
      <c r="I448" s="13"/>
      <c r="J448" s="13"/>
      <c r="K448" s="13"/>
      <c r="L448" s="13"/>
      <c r="M448" s="13"/>
      <c r="N448" s="13"/>
      <c r="O448" s="13"/>
      <c r="P448" s="13"/>
      <c r="Q448" s="13"/>
      <c r="R448" s="13"/>
      <c r="S448" s="13"/>
      <c r="T448" s="13"/>
      <c r="U448" s="13"/>
      <c r="V448" s="13"/>
      <c r="W448" s="13"/>
      <c r="X448" s="13"/>
      <c r="Y448" s="13"/>
      <c r="Z448" s="13"/>
      <c r="AA448" s="13"/>
    </row>
    <row r="449" ht="16.5" customHeight="1">
      <c r="A449" s="10"/>
      <c r="B449" s="10"/>
      <c r="C449" s="13"/>
      <c r="D449" s="13"/>
      <c r="E449" s="13"/>
      <c r="F449" s="205"/>
      <c r="G449" s="13"/>
      <c r="H449" s="13"/>
      <c r="I449" s="13"/>
      <c r="J449" s="13"/>
      <c r="K449" s="13"/>
      <c r="L449" s="13"/>
      <c r="M449" s="13"/>
      <c r="N449" s="13"/>
      <c r="O449" s="13"/>
      <c r="P449" s="13"/>
      <c r="Q449" s="13"/>
      <c r="R449" s="13"/>
      <c r="S449" s="13"/>
      <c r="T449" s="13"/>
      <c r="U449" s="13"/>
      <c r="V449" s="13"/>
      <c r="W449" s="13"/>
      <c r="X449" s="13"/>
      <c r="Y449" s="13"/>
      <c r="Z449" s="13"/>
      <c r="AA449" s="13"/>
    </row>
    <row r="450" ht="16.5" customHeight="1">
      <c r="A450" s="10"/>
      <c r="B450" s="10"/>
      <c r="C450" s="13"/>
      <c r="D450" s="13"/>
      <c r="E450" s="13"/>
      <c r="F450" s="205"/>
      <c r="G450" s="13"/>
      <c r="H450" s="13"/>
      <c r="I450" s="13"/>
      <c r="J450" s="13"/>
      <c r="K450" s="13"/>
      <c r="L450" s="13"/>
      <c r="M450" s="13"/>
      <c r="N450" s="13"/>
      <c r="O450" s="13"/>
      <c r="P450" s="13"/>
      <c r="Q450" s="13"/>
      <c r="R450" s="13"/>
      <c r="S450" s="13"/>
      <c r="T450" s="13"/>
      <c r="U450" s="13"/>
      <c r="V450" s="13"/>
      <c r="W450" s="13"/>
      <c r="X450" s="13"/>
      <c r="Y450" s="13"/>
      <c r="Z450" s="13"/>
      <c r="AA450" s="13"/>
    </row>
    <row r="451" ht="16.5" customHeight="1">
      <c r="A451" s="10"/>
      <c r="B451" s="10"/>
      <c r="C451" s="13"/>
      <c r="D451" s="13"/>
      <c r="E451" s="13"/>
      <c r="F451" s="205"/>
      <c r="G451" s="13"/>
      <c r="H451" s="13"/>
      <c r="I451" s="13"/>
      <c r="J451" s="13"/>
      <c r="K451" s="13"/>
      <c r="L451" s="13"/>
      <c r="M451" s="13"/>
      <c r="N451" s="13"/>
      <c r="O451" s="13"/>
      <c r="P451" s="13"/>
      <c r="Q451" s="13"/>
      <c r="R451" s="13"/>
      <c r="S451" s="13"/>
      <c r="T451" s="13"/>
      <c r="U451" s="13"/>
      <c r="V451" s="13"/>
      <c r="W451" s="13"/>
      <c r="X451" s="13"/>
      <c r="Y451" s="13"/>
      <c r="Z451" s="13"/>
      <c r="AA451" s="13"/>
    </row>
    <row r="452" ht="16.5" customHeight="1">
      <c r="A452" s="10"/>
      <c r="B452" s="10"/>
      <c r="C452" s="13"/>
      <c r="D452" s="13"/>
      <c r="E452" s="13"/>
      <c r="F452" s="205"/>
      <c r="G452" s="13"/>
      <c r="H452" s="13"/>
      <c r="I452" s="13"/>
      <c r="J452" s="13"/>
      <c r="K452" s="13"/>
      <c r="L452" s="13"/>
      <c r="M452" s="13"/>
      <c r="N452" s="13"/>
      <c r="O452" s="13"/>
      <c r="P452" s="13"/>
      <c r="Q452" s="13"/>
      <c r="R452" s="13"/>
      <c r="S452" s="13"/>
      <c r="T452" s="13"/>
      <c r="U452" s="13"/>
      <c r="V452" s="13"/>
      <c r="W452" s="13"/>
      <c r="X452" s="13"/>
      <c r="Y452" s="13"/>
      <c r="Z452" s="13"/>
      <c r="AA452" s="13"/>
    </row>
    <row r="453" ht="16.5" customHeight="1">
      <c r="A453" s="10"/>
      <c r="B453" s="10"/>
      <c r="C453" s="13"/>
      <c r="D453" s="13"/>
      <c r="E453" s="13"/>
      <c r="F453" s="205"/>
      <c r="G453" s="13"/>
      <c r="H453" s="13"/>
      <c r="I453" s="13"/>
      <c r="J453" s="13"/>
      <c r="K453" s="13"/>
      <c r="L453" s="13"/>
      <c r="M453" s="13"/>
      <c r="N453" s="13"/>
      <c r="O453" s="13"/>
      <c r="P453" s="13"/>
      <c r="Q453" s="13"/>
      <c r="R453" s="13"/>
      <c r="S453" s="13"/>
      <c r="T453" s="13"/>
      <c r="U453" s="13"/>
      <c r="V453" s="13"/>
      <c r="W453" s="13"/>
      <c r="X453" s="13"/>
      <c r="Y453" s="13"/>
      <c r="Z453" s="13"/>
      <c r="AA453" s="13"/>
    </row>
    <row r="454" ht="16.5" customHeight="1">
      <c r="A454" s="10"/>
      <c r="B454" s="10"/>
      <c r="C454" s="13"/>
      <c r="D454" s="13"/>
      <c r="E454" s="13"/>
      <c r="F454" s="205"/>
      <c r="G454" s="13"/>
      <c r="H454" s="13"/>
      <c r="I454" s="13"/>
      <c r="J454" s="13"/>
      <c r="K454" s="13"/>
      <c r="L454" s="13"/>
      <c r="M454" s="13"/>
      <c r="N454" s="13"/>
      <c r="O454" s="13"/>
      <c r="P454" s="13"/>
      <c r="Q454" s="13"/>
      <c r="R454" s="13"/>
      <c r="S454" s="13"/>
      <c r="T454" s="13"/>
      <c r="U454" s="13"/>
      <c r="V454" s="13"/>
      <c r="W454" s="13"/>
      <c r="X454" s="13"/>
      <c r="Y454" s="13"/>
      <c r="Z454" s="13"/>
      <c r="AA454" s="13"/>
    </row>
    <row r="455" ht="16.5" customHeight="1">
      <c r="A455" s="10"/>
      <c r="B455" s="10"/>
      <c r="C455" s="13"/>
      <c r="D455" s="13"/>
      <c r="E455" s="13"/>
      <c r="F455" s="205"/>
      <c r="G455" s="13"/>
      <c r="H455" s="13"/>
      <c r="I455" s="13"/>
      <c r="J455" s="13"/>
      <c r="K455" s="13"/>
      <c r="L455" s="13"/>
      <c r="M455" s="13"/>
      <c r="N455" s="13"/>
      <c r="O455" s="13"/>
      <c r="P455" s="13"/>
      <c r="Q455" s="13"/>
      <c r="R455" s="13"/>
      <c r="S455" s="13"/>
      <c r="T455" s="13"/>
      <c r="U455" s="13"/>
      <c r="V455" s="13"/>
      <c r="W455" s="13"/>
      <c r="X455" s="13"/>
      <c r="Y455" s="13"/>
      <c r="Z455" s="13"/>
      <c r="AA455" s="13"/>
    </row>
    <row r="456" ht="16.5" customHeight="1">
      <c r="A456" s="10"/>
      <c r="B456" s="10"/>
      <c r="C456" s="13"/>
      <c r="D456" s="13"/>
      <c r="E456" s="13"/>
      <c r="F456" s="205"/>
      <c r="G456" s="13"/>
      <c r="H456" s="13"/>
      <c r="I456" s="13"/>
      <c r="J456" s="13"/>
      <c r="K456" s="13"/>
      <c r="L456" s="13"/>
      <c r="M456" s="13"/>
      <c r="N456" s="13"/>
      <c r="O456" s="13"/>
      <c r="P456" s="13"/>
      <c r="Q456" s="13"/>
      <c r="R456" s="13"/>
      <c r="S456" s="13"/>
      <c r="T456" s="13"/>
      <c r="U456" s="13"/>
      <c r="V456" s="13"/>
      <c r="W456" s="13"/>
      <c r="X456" s="13"/>
      <c r="Y456" s="13"/>
      <c r="Z456" s="13"/>
      <c r="AA456" s="13"/>
    </row>
    <row r="457" ht="16.5" customHeight="1">
      <c r="A457" s="10"/>
      <c r="B457" s="10"/>
      <c r="C457" s="13"/>
      <c r="D457" s="13"/>
      <c r="E457" s="13"/>
      <c r="F457" s="205"/>
      <c r="G457" s="13"/>
      <c r="H457" s="13"/>
      <c r="I457" s="13"/>
      <c r="J457" s="13"/>
      <c r="K457" s="13"/>
      <c r="L457" s="13"/>
      <c r="M457" s="13"/>
      <c r="N457" s="13"/>
      <c r="O457" s="13"/>
      <c r="P457" s="13"/>
      <c r="Q457" s="13"/>
      <c r="R457" s="13"/>
      <c r="S457" s="13"/>
      <c r="T457" s="13"/>
      <c r="U457" s="13"/>
      <c r="V457" s="13"/>
      <c r="W457" s="13"/>
      <c r="X457" s="13"/>
      <c r="Y457" s="13"/>
      <c r="Z457" s="13"/>
      <c r="AA457" s="13"/>
    </row>
    <row r="458" ht="16.5" customHeight="1">
      <c r="A458" s="10"/>
      <c r="B458" s="10"/>
      <c r="C458" s="13"/>
      <c r="D458" s="13"/>
      <c r="E458" s="13"/>
      <c r="F458" s="205"/>
      <c r="G458" s="13"/>
      <c r="H458" s="13"/>
      <c r="I458" s="13"/>
      <c r="J458" s="13"/>
      <c r="K458" s="13"/>
      <c r="L458" s="13"/>
      <c r="M458" s="13"/>
      <c r="N458" s="13"/>
      <c r="O458" s="13"/>
      <c r="P458" s="13"/>
      <c r="Q458" s="13"/>
      <c r="R458" s="13"/>
      <c r="S458" s="13"/>
      <c r="T458" s="13"/>
      <c r="U458" s="13"/>
      <c r="V458" s="13"/>
      <c r="W458" s="13"/>
      <c r="X458" s="13"/>
      <c r="Y458" s="13"/>
      <c r="Z458" s="13"/>
      <c r="AA458" s="13"/>
    </row>
    <row r="459" ht="16.5" customHeight="1">
      <c r="A459" s="10"/>
      <c r="B459" s="10"/>
      <c r="C459" s="13"/>
      <c r="D459" s="13"/>
      <c r="E459" s="13"/>
      <c r="F459" s="205"/>
      <c r="G459" s="13"/>
      <c r="H459" s="13"/>
      <c r="I459" s="13"/>
      <c r="J459" s="13"/>
      <c r="K459" s="13"/>
      <c r="L459" s="13"/>
      <c r="M459" s="13"/>
      <c r="N459" s="13"/>
      <c r="O459" s="13"/>
      <c r="P459" s="13"/>
      <c r="Q459" s="13"/>
      <c r="R459" s="13"/>
      <c r="S459" s="13"/>
      <c r="T459" s="13"/>
      <c r="U459" s="13"/>
      <c r="V459" s="13"/>
      <c r="W459" s="13"/>
      <c r="X459" s="13"/>
      <c r="Y459" s="13"/>
      <c r="Z459" s="13"/>
      <c r="AA459" s="13"/>
    </row>
    <row r="460" ht="16.5" customHeight="1">
      <c r="A460" s="10"/>
      <c r="B460" s="10"/>
      <c r="C460" s="13"/>
      <c r="D460" s="13"/>
      <c r="E460" s="13"/>
      <c r="F460" s="205"/>
      <c r="G460" s="13"/>
      <c r="H460" s="13"/>
      <c r="I460" s="13"/>
      <c r="J460" s="13"/>
      <c r="K460" s="13"/>
      <c r="L460" s="13"/>
      <c r="M460" s="13"/>
      <c r="N460" s="13"/>
      <c r="O460" s="13"/>
      <c r="P460" s="13"/>
      <c r="Q460" s="13"/>
      <c r="R460" s="13"/>
      <c r="S460" s="13"/>
      <c r="T460" s="13"/>
      <c r="U460" s="13"/>
      <c r="V460" s="13"/>
      <c r="W460" s="13"/>
      <c r="X460" s="13"/>
      <c r="Y460" s="13"/>
      <c r="Z460" s="13"/>
      <c r="AA460" s="13"/>
    </row>
    <row r="461" ht="16.5" customHeight="1">
      <c r="A461" s="10"/>
      <c r="B461" s="10"/>
      <c r="C461" s="13"/>
      <c r="D461" s="13"/>
      <c r="E461" s="13"/>
      <c r="F461" s="205"/>
      <c r="G461" s="13"/>
      <c r="H461" s="13"/>
      <c r="I461" s="13"/>
      <c r="J461" s="13"/>
      <c r="K461" s="13"/>
      <c r="L461" s="13"/>
      <c r="M461" s="13"/>
      <c r="N461" s="13"/>
      <c r="O461" s="13"/>
      <c r="P461" s="13"/>
      <c r="Q461" s="13"/>
      <c r="R461" s="13"/>
      <c r="S461" s="13"/>
      <c r="T461" s="13"/>
      <c r="U461" s="13"/>
      <c r="V461" s="13"/>
      <c r="W461" s="13"/>
      <c r="X461" s="13"/>
      <c r="Y461" s="13"/>
      <c r="Z461" s="13"/>
      <c r="AA461" s="13"/>
    </row>
    <row r="462" ht="16.5" customHeight="1">
      <c r="A462" s="10"/>
      <c r="B462" s="10"/>
      <c r="C462" s="13"/>
      <c r="D462" s="13"/>
      <c r="E462" s="13"/>
      <c r="F462" s="205"/>
      <c r="G462" s="13"/>
      <c r="H462" s="13"/>
      <c r="I462" s="13"/>
      <c r="J462" s="13"/>
      <c r="K462" s="13"/>
      <c r="L462" s="13"/>
      <c r="M462" s="13"/>
      <c r="N462" s="13"/>
      <c r="O462" s="13"/>
      <c r="P462" s="13"/>
      <c r="Q462" s="13"/>
      <c r="R462" s="13"/>
      <c r="S462" s="13"/>
      <c r="T462" s="13"/>
      <c r="U462" s="13"/>
      <c r="V462" s="13"/>
      <c r="W462" s="13"/>
      <c r="X462" s="13"/>
      <c r="Y462" s="13"/>
      <c r="Z462" s="13"/>
      <c r="AA462" s="13"/>
    </row>
    <row r="463" ht="16.5" customHeight="1">
      <c r="A463" s="10"/>
      <c r="B463" s="10"/>
      <c r="C463" s="13"/>
      <c r="D463" s="13"/>
      <c r="E463" s="13"/>
      <c r="F463" s="205"/>
      <c r="G463" s="13"/>
      <c r="H463" s="13"/>
      <c r="I463" s="13"/>
      <c r="J463" s="13"/>
      <c r="K463" s="13"/>
      <c r="L463" s="13"/>
      <c r="M463" s="13"/>
      <c r="N463" s="13"/>
      <c r="O463" s="13"/>
      <c r="P463" s="13"/>
      <c r="Q463" s="13"/>
      <c r="R463" s="13"/>
      <c r="S463" s="13"/>
      <c r="T463" s="13"/>
      <c r="U463" s="13"/>
      <c r="V463" s="13"/>
      <c r="W463" s="13"/>
      <c r="X463" s="13"/>
      <c r="Y463" s="13"/>
      <c r="Z463" s="13"/>
      <c r="AA463" s="13"/>
    </row>
    <row r="464" ht="16.5" customHeight="1">
      <c r="A464" s="10"/>
      <c r="B464" s="10"/>
      <c r="C464" s="13"/>
      <c r="D464" s="13"/>
      <c r="E464" s="13"/>
      <c r="F464" s="205"/>
      <c r="G464" s="13"/>
      <c r="H464" s="13"/>
      <c r="I464" s="13"/>
      <c r="J464" s="13"/>
      <c r="K464" s="13"/>
      <c r="L464" s="13"/>
      <c r="M464" s="13"/>
      <c r="N464" s="13"/>
      <c r="O464" s="13"/>
      <c r="P464" s="13"/>
      <c r="Q464" s="13"/>
      <c r="R464" s="13"/>
      <c r="S464" s="13"/>
      <c r="T464" s="13"/>
      <c r="U464" s="13"/>
      <c r="V464" s="13"/>
      <c r="W464" s="13"/>
      <c r="X464" s="13"/>
      <c r="Y464" s="13"/>
      <c r="Z464" s="13"/>
      <c r="AA464" s="13"/>
    </row>
    <row r="465" ht="16.5" customHeight="1">
      <c r="A465" s="10"/>
      <c r="B465" s="10"/>
      <c r="C465" s="13"/>
      <c r="D465" s="13"/>
      <c r="E465" s="13"/>
      <c r="F465" s="205"/>
      <c r="G465" s="13"/>
      <c r="H465" s="13"/>
      <c r="I465" s="13"/>
      <c r="J465" s="13"/>
      <c r="K465" s="13"/>
      <c r="L465" s="13"/>
      <c r="M465" s="13"/>
      <c r="N465" s="13"/>
      <c r="O465" s="13"/>
      <c r="P465" s="13"/>
      <c r="Q465" s="13"/>
      <c r="R465" s="13"/>
      <c r="S465" s="13"/>
      <c r="T465" s="13"/>
      <c r="U465" s="13"/>
      <c r="V465" s="13"/>
      <c r="W465" s="13"/>
      <c r="X465" s="13"/>
      <c r="Y465" s="13"/>
      <c r="Z465" s="13"/>
      <c r="AA465" s="13"/>
    </row>
    <row r="466" ht="16.5" customHeight="1">
      <c r="A466" s="10"/>
      <c r="B466" s="10"/>
      <c r="C466" s="13"/>
      <c r="D466" s="13"/>
      <c r="E466" s="13"/>
      <c r="F466" s="205"/>
      <c r="G466" s="13"/>
      <c r="H466" s="13"/>
      <c r="I466" s="13"/>
      <c r="J466" s="13"/>
      <c r="K466" s="13"/>
      <c r="L466" s="13"/>
      <c r="M466" s="13"/>
      <c r="N466" s="13"/>
      <c r="O466" s="13"/>
      <c r="P466" s="13"/>
      <c r="Q466" s="13"/>
      <c r="R466" s="13"/>
      <c r="S466" s="13"/>
      <c r="T466" s="13"/>
      <c r="U466" s="13"/>
      <c r="V466" s="13"/>
      <c r="W466" s="13"/>
      <c r="X466" s="13"/>
      <c r="Y466" s="13"/>
      <c r="Z466" s="13"/>
      <c r="AA466" s="13"/>
    </row>
    <row r="467" ht="16.5" customHeight="1">
      <c r="A467" s="10"/>
      <c r="B467" s="10"/>
      <c r="C467" s="13"/>
      <c r="D467" s="13"/>
      <c r="E467" s="13"/>
      <c r="F467" s="205"/>
      <c r="G467" s="13"/>
      <c r="H467" s="13"/>
      <c r="I467" s="13"/>
      <c r="J467" s="13"/>
      <c r="K467" s="13"/>
      <c r="L467" s="13"/>
      <c r="M467" s="13"/>
      <c r="N467" s="13"/>
      <c r="O467" s="13"/>
      <c r="P467" s="13"/>
      <c r="Q467" s="13"/>
      <c r="R467" s="13"/>
      <c r="S467" s="13"/>
      <c r="T467" s="13"/>
      <c r="U467" s="13"/>
      <c r="V467" s="13"/>
      <c r="W467" s="13"/>
      <c r="X467" s="13"/>
      <c r="Y467" s="13"/>
      <c r="Z467" s="13"/>
      <c r="AA467" s="13"/>
    </row>
    <row r="468" ht="16.5" customHeight="1">
      <c r="A468" s="10"/>
      <c r="B468" s="10"/>
      <c r="C468" s="13"/>
      <c r="D468" s="13"/>
      <c r="E468" s="13"/>
      <c r="F468" s="205"/>
      <c r="G468" s="13"/>
      <c r="H468" s="13"/>
      <c r="I468" s="13"/>
      <c r="J468" s="13"/>
      <c r="K468" s="13"/>
      <c r="L468" s="13"/>
      <c r="M468" s="13"/>
      <c r="N468" s="13"/>
      <c r="O468" s="13"/>
      <c r="P468" s="13"/>
      <c r="Q468" s="13"/>
      <c r="R468" s="13"/>
      <c r="S468" s="13"/>
      <c r="T468" s="13"/>
      <c r="U468" s="13"/>
      <c r="V468" s="13"/>
      <c r="W468" s="13"/>
      <c r="X468" s="13"/>
      <c r="Y468" s="13"/>
      <c r="Z468" s="13"/>
      <c r="AA468" s="13"/>
    </row>
    <row r="469" ht="16.5" customHeight="1">
      <c r="A469" s="10"/>
      <c r="B469" s="10"/>
      <c r="C469" s="13"/>
      <c r="D469" s="13"/>
      <c r="E469" s="13"/>
      <c r="F469" s="205"/>
      <c r="G469" s="13"/>
      <c r="H469" s="13"/>
      <c r="I469" s="13"/>
      <c r="J469" s="13"/>
      <c r="K469" s="13"/>
      <c r="L469" s="13"/>
      <c r="M469" s="13"/>
      <c r="N469" s="13"/>
      <c r="O469" s="13"/>
      <c r="P469" s="13"/>
      <c r="Q469" s="13"/>
      <c r="R469" s="13"/>
      <c r="S469" s="13"/>
      <c r="T469" s="13"/>
      <c r="U469" s="13"/>
      <c r="V469" s="13"/>
      <c r="W469" s="13"/>
      <c r="X469" s="13"/>
      <c r="Y469" s="13"/>
      <c r="Z469" s="13"/>
      <c r="AA469" s="13"/>
    </row>
    <row r="470" ht="16.5" customHeight="1">
      <c r="A470" s="10"/>
      <c r="B470" s="10"/>
      <c r="C470" s="13"/>
      <c r="D470" s="13"/>
      <c r="E470" s="13"/>
      <c r="F470" s="205"/>
      <c r="G470" s="13"/>
      <c r="H470" s="13"/>
      <c r="I470" s="13"/>
      <c r="J470" s="13"/>
      <c r="K470" s="13"/>
      <c r="L470" s="13"/>
      <c r="M470" s="13"/>
      <c r="N470" s="13"/>
      <c r="O470" s="13"/>
      <c r="P470" s="13"/>
      <c r="Q470" s="13"/>
      <c r="R470" s="13"/>
      <c r="S470" s="13"/>
      <c r="T470" s="13"/>
      <c r="U470" s="13"/>
      <c r="V470" s="13"/>
      <c r="W470" s="13"/>
      <c r="X470" s="13"/>
      <c r="Y470" s="13"/>
      <c r="Z470" s="13"/>
      <c r="AA470" s="13"/>
    </row>
    <row r="471" ht="16.5" customHeight="1">
      <c r="A471" s="10"/>
      <c r="B471" s="10"/>
      <c r="C471" s="13"/>
      <c r="D471" s="13"/>
      <c r="E471" s="13"/>
      <c r="F471" s="205"/>
      <c r="G471" s="13"/>
      <c r="H471" s="13"/>
      <c r="I471" s="13"/>
      <c r="J471" s="13"/>
      <c r="K471" s="13"/>
      <c r="L471" s="13"/>
      <c r="M471" s="13"/>
      <c r="N471" s="13"/>
      <c r="O471" s="13"/>
      <c r="P471" s="13"/>
      <c r="Q471" s="13"/>
      <c r="R471" s="13"/>
      <c r="S471" s="13"/>
      <c r="T471" s="13"/>
      <c r="U471" s="13"/>
      <c r="V471" s="13"/>
      <c r="W471" s="13"/>
      <c r="X471" s="13"/>
      <c r="Y471" s="13"/>
      <c r="Z471" s="13"/>
      <c r="AA471" s="13"/>
    </row>
    <row r="472" ht="16.5" customHeight="1">
      <c r="A472" s="10"/>
      <c r="B472" s="10"/>
      <c r="C472" s="13"/>
      <c r="D472" s="13"/>
      <c r="E472" s="13"/>
      <c r="F472" s="205"/>
      <c r="G472" s="13"/>
      <c r="H472" s="13"/>
      <c r="I472" s="13"/>
      <c r="J472" s="13"/>
      <c r="K472" s="13"/>
      <c r="L472" s="13"/>
      <c r="M472" s="13"/>
      <c r="N472" s="13"/>
      <c r="O472" s="13"/>
      <c r="P472" s="13"/>
      <c r="Q472" s="13"/>
      <c r="R472" s="13"/>
      <c r="S472" s="13"/>
      <c r="T472" s="13"/>
      <c r="U472" s="13"/>
      <c r="V472" s="13"/>
      <c r="W472" s="13"/>
      <c r="X472" s="13"/>
      <c r="Y472" s="13"/>
      <c r="Z472" s="13"/>
      <c r="AA472" s="13"/>
    </row>
    <row r="473" ht="16.5" customHeight="1">
      <c r="A473" s="10"/>
      <c r="B473" s="10"/>
      <c r="C473" s="13"/>
      <c r="D473" s="13"/>
      <c r="E473" s="13"/>
      <c r="F473" s="205"/>
      <c r="G473" s="13"/>
      <c r="H473" s="13"/>
      <c r="I473" s="13"/>
      <c r="J473" s="13"/>
      <c r="K473" s="13"/>
      <c r="L473" s="13"/>
      <c r="M473" s="13"/>
      <c r="N473" s="13"/>
      <c r="O473" s="13"/>
      <c r="P473" s="13"/>
      <c r="Q473" s="13"/>
      <c r="R473" s="13"/>
      <c r="S473" s="13"/>
      <c r="T473" s="13"/>
      <c r="U473" s="13"/>
      <c r="V473" s="13"/>
      <c r="W473" s="13"/>
      <c r="X473" s="13"/>
      <c r="Y473" s="13"/>
      <c r="Z473" s="13"/>
      <c r="AA473" s="13"/>
    </row>
    <row r="474" ht="16.5" customHeight="1">
      <c r="A474" s="10"/>
      <c r="B474" s="10"/>
      <c r="C474" s="13"/>
      <c r="D474" s="13"/>
      <c r="E474" s="13"/>
      <c r="F474" s="205"/>
      <c r="G474" s="13"/>
      <c r="H474" s="13"/>
      <c r="I474" s="13"/>
      <c r="J474" s="13"/>
      <c r="K474" s="13"/>
      <c r="L474" s="13"/>
      <c r="M474" s="13"/>
      <c r="N474" s="13"/>
      <c r="O474" s="13"/>
      <c r="P474" s="13"/>
      <c r="Q474" s="13"/>
      <c r="R474" s="13"/>
      <c r="S474" s="13"/>
      <c r="T474" s="13"/>
      <c r="U474" s="13"/>
      <c r="V474" s="13"/>
      <c r="W474" s="13"/>
      <c r="X474" s="13"/>
      <c r="Y474" s="13"/>
      <c r="Z474" s="13"/>
      <c r="AA474" s="13"/>
    </row>
    <row r="475" ht="16.5" customHeight="1">
      <c r="A475" s="10"/>
      <c r="B475" s="10"/>
      <c r="C475" s="13"/>
      <c r="D475" s="13"/>
      <c r="E475" s="13"/>
      <c r="F475" s="205"/>
      <c r="G475" s="13"/>
      <c r="H475" s="13"/>
      <c r="I475" s="13"/>
      <c r="J475" s="13"/>
      <c r="K475" s="13"/>
      <c r="L475" s="13"/>
      <c r="M475" s="13"/>
      <c r="N475" s="13"/>
      <c r="O475" s="13"/>
      <c r="P475" s="13"/>
      <c r="Q475" s="13"/>
      <c r="R475" s="13"/>
      <c r="S475" s="13"/>
      <c r="T475" s="13"/>
      <c r="U475" s="13"/>
      <c r="V475" s="13"/>
      <c r="W475" s="13"/>
      <c r="X475" s="13"/>
      <c r="Y475" s="13"/>
      <c r="Z475" s="13"/>
      <c r="AA475" s="13"/>
    </row>
    <row r="476" ht="16.5" customHeight="1">
      <c r="A476" s="10"/>
      <c r="B476" s="10"/>
      <c r="C476" s="13"/>
      <c r="D476" s="13"/>
      <c r="E476" s="13"/>
      <c r="F476" s="205"/>
      <c r="G476" s="13"/>
      <c r="H476" s="13"/>
      <c r="I476" s="13"/>
      <c r="J476" s="13"/>
      <c r="K476" s="13"/>
      <c r="L476" s="13"/>
      <c r="M476" s="13"/>
      <c r="N476" s="13"/>
      <c r="O476" s="13"/>
      <c r="P476" s="13"/>
      <c r="Q476" s="13"/>
      <c r="R476" s="13"/>
      <c r="S476" s="13"/>
      <c r="T476" s="13"/>
      <c r="U476" s="13"/>
      <c r="V476" s="13"/>
      <c r="W476" s="13"/>
      <c r="X476" s="13"/>
      <c r="Y476" s="13"/>
      <c r="Z476" s="13"/>
      <c r="AA476" s="13"/>
    </row>
    <row r="477" ht="16.5" customHeight="1">
      <c r="A477" s="10"/>
      <c r="B477" s="10"/>
      <c r="C477" s="13"/>
      <c r="D477" s="13"/>
      <c r="E477" s="13"/>
      <c r="F477" s="205"/>
      <c r="G477" s="13"/>
      <c r="H477" s="13"/>
      <c r="I477" s="13"/>
      <c r="J477" s="13"/>
      <c r="K477" s="13"/>
      <c r="L477" s="13"/>
      <c r="M477" s="13"/>
      <c r="N477" s="13"/>
      <c r="O477" s="13"/>
      <c r="P477" s="13"/>
      <c r="Q477" s="13"/>
      <c r="R477" s="13"/>
      <c r="S477" s="13"/>
      <c r="T477" s="13"/>
      <c r="U477" s="13"/>
      <c r="V477" s="13"/>
      <c r="W477" s="13"/>
      <c r="X477" s="13"/>
      <c r="Y477" s="13"/>
      <c r="Z477" s="13"/>
      <c r="AA477" s="13"/>
    </row>
    <row r="478" ht="16.5" customHeight="1">
      <c r="A478" s="10"/>
      <c r="B478" s="10"/>
      <c r="C478" s="13"/>
      <c r="D478" s="13"/>
      <c r="E478" s="13"/>
      <c r="F478" s="205"/>
      <c r="G478" s="13"/>
      <c r="H478" s="13"/>
      <c r="I478" s="13"/>
      <c r="J478" s="13"/>
      <c r="K478" s="13"/>
      <c r="L478" s="13"/>
      <c r="M478" s="13"/>
      <c r="N478" s="13"/>
      <c r="O478" s="13"/>
      <c r="P478" s="13"/>
      <c r="Q478" s="13"/>
      <c r="R478" s="13"/>
      <c r="S478" s="13"/>
      <c r="T478" s="13"/>
      <c r="U478" s="13"/>
      <c r="V478" s="13"/>
      <c r="W478" s="13"/>
      <c r="X478" s="13"/>
      <c r="Y478" s="13"/>
      <c r="Z478" s="13"/>
      <c r="AA478" s="13"/>
    </row>
    <row r="479" ht="16.5" customHeight="1">
      <c r="A479" s="10"/>
      <c r="B479" s="10"/>
      <c r="C479" s="13"/>
      <c r="D479" s="13"/>
      <c r="E479" s="13"/>
      <c r="F479" s="205"/>
      <c r="G479" s="13"/>
      <c r="H479" s="13"/>
      <c r="I479" s="13"/>
      <c r="J479" s="13"/>
      <c r="K479" s="13"/>
      <c r="L479" s="13"/>
      <c r="M479" s="13"/>
      <c r="N479" s="13"/>
      <c r="O479" s="13"/>
      <c r="P479" s="13"/>
      <c r="Q479" s="13"/>
      <c r="R479" s="13"/>
      <c r="S479" s="13"/>
      <c r="T479" s="13"/>
      <c r="U479" s="13"/>
      <c r="V479" s="13"/>
      <c r="W479" s="13"/>
      <c r="X479" s="13"/>
      <c r="Y479" s="13"/>
      <c r="Z479" s="13"/>
      <c r="AA479" s="13"/>
    </row>
    <row r="480" ht="16.5" customHeight="1">
      <c r="A480" s="10"/>
      <c r="B480" s="10"/>
      <c r="C480" s="13"/>
      <c r="D480" s="13"/>
      <c r="E480" s="13"/>
      <c r="F480" s="205"/>
      <c r="G480" s="13"/>
      <c r="H480" s="13"/>
      <c r="I480" s="13"/>
      <c r="J480" s="13"/>
      <c r="K480" s="13"/>
      <c r="L480" s="13"/>
      <c r="M480" s="13"/>
      <c r="N480" s="13"/>
      <c r="O480" s="13"/>
      <c r="P480" s="13"/>
      <c r="Q480" s="13"/>
      <c r="R480" s="13"/>
      <c r="S480" s="13"/>
      <c r="T480" s="13"/>
      <c r="U480" s="13"/>
      <c r="V480" s="13"/>
      <c r="W480" s="13"/>
      <c r="X480" s="13"/>
      <c r="Y480" s="13"/>
      <c r="Z480" s="13"/>
      <c r="AA480" s="13"/>
    </row>
    <row r="481" ht="16.5" customHeight="1">
      <c r="A481" s="10"/>
      <c r="B481" s="10"/>
      <c r="C481" s="13"/>
      <c r="D481" s="13"/>
      <c r="E481" s="13"/>
      <c r="F481" s="205"/>
      <c r="G481" s="13"/>
      <c r="H481" s="13"/>
      <c r="I481" s="13"/>
      <c r="J481" s="13"/>
      <c r="K481" s="13"/>
      <c r="L481" s="13"/>
      <c r="M481" s="13"/>
      <c r="N481" s="13"/>
      <c r="O481" s="13"/>
      <c r="P481" s="13"/>
      <c r="Q481" s="13"/>
      <c r="R481" s="13"/>
      <c r="S481" s="13"/>
      <c r="T481" s="13"/>
      <c r="U481" s="13"/>
      <c r="V481" s="13"/>
      <c r="W481" s="13"/>
      <c r="X481" s="13"/>
      <c r="Y481" s="13"/>
      <c r="Z481" s="13"/>
      <c r="AA481" s="13"/>
    </row>
    <row r="482" ht="16.5" customHeight="1">
      <c r="A482" s="10"/>
      <c r="B482" s="10"/>
      <c r="C482" s="13"/>
      <c r="D482" s="13"/>
      <c r="E482" s="13"/>
      <c r="F482" s="205"/>
      <c r="G482" s="13"/>
      <c r="H482" s="13"/>
      <c r="I482" s="13"/>
      <c r="J482" s="13"/>
      <c r="K482" s="13"/>
      <c r="L482" s="13"/>
      <c r="M482" s="13"/>
      <c r="N482" s="13"/>
      <c r="O482" s="13"/>
      <c r="P482" s="13"/>
      <c r="Q482" s="13"/>
      <c r="R482" s="13"/>
      <c r="S482" s="13"/>
      <c r="T482" s="13"/>
      <c r="U482" s="13"/>
      <c r="V482" s="13"/>
      <c r="W482" s="13"/>
      <c r="X482" s="13"/>
      <c r="Y482" s="13"/>
      <c r="Z482" s="13"/>
      <c r="AA482" s="13"/>
    </row>
    <row r="483" ht="16.5" customHeight="1">
      <c r="A483" s="10"/>
      <c r="B483" s="10"/>
      <c r="C483" s="13"/>
      <c r="D483" s="13"/>
      <c r="E483" s="13"/>
      <c r="F483" s="205"/>
      <c r="G483" s="13"/>
      <c r="H483" s="13"/>
      <c r="I483" s="13"/>
      <c r="J483" s="13"/>
      <c r="K483" s="13"/>
      <c r="L483" s="13"/>
      <c r="M483" s="13"/>
      <c r="N483" s="13"/>
      <c r="O483" s="13"/>
      <c r="P483" s="13"/>
      <c r="Q483" s="13"/>
      <c r="R483" s="13"/>
      <c r="S483" s="13"/>
      <c r="T483" s="13"/>
      <c r="U483" s="13"/>
      <c r="V483" s="13"/>
      <c r="W483" s="13"/>
      <c r="X483" s="13"/>
      <c r="Y483" s="13"/>
      <c r="Z483" s="13"/>
      <c r="AA483" s="13"/>
    </row>
    <row r="484" ht="16.5" customHeight="1">
      <c r="A484" s="10"/>
      <c r="B484" s="10"/>
      <c r="C484" s="13"/>
      <c r="D484" s="13"/>
      <c r="E484" s="13"/>
      <c r="F484" s="205"/>
      <c r="G484" s="13"/>
      <c r="H484" s="13"/>
      <c r="I484" s="13"/>
      <c r="J484" s="13"/>
      <c r="K484" s="13"/>
      <c r="L484" s="13"/>
      <c r="M484" s="13"/>
      <c r="N484" s="13"/>
      <c r="O484" s="13"/>
      <c r="P484" s="13"/>
      <c r="Q484" s="13"/>
      <c r="R484" s="13"/>
      <c r="S484" s="13"/>
      <c r="T484" s="13"/>
      <c r="U484" s="13"/>
      <c r="V484" s="13"/>
      <c r="W484" s="13"/>
      <c r="X484" s="13"/>
      <c r="Y484" s="13"/>
      <c r="Z484" s="13"/>
      <c r="AA484" s="13"/>
    </row>
    <row r="485" ht="16.5" customHeight="1">
      <c r="A485" s="10"/>
      <c r="B485" s="10"/>
      <c r="C485" s="13"/>
      <c r="D485" s="13"/>
      <c r="E485" s="13"/>
      <c r="F485" s="205"/>
      <c r="G485" s="13"/>
      <c r="H485" s="13"/>
      <c r="I485" s="13"/>
      <c r="J485" s="13"/>
      <c r="K485" s="13"/>
      <c r="L485" s="13"/>
      <c r="M485" s="13"/>
      <c r="N485" s="13"/>
      <c r="O485" s="13"/>
      <c r="P485" s="13"/>
      <c r="Q485" s="13"/>
      <c r="R485" s="13"/>
      <c r="S485" s="13"/>
      <c r="T485" s="13"/>
      <c r="U485" s="13"/>
      <c r="V485" s="13"/>
      <c r="W485" s="13"/>
      <c r="X485" s="13"/>
      <c r="Y485" s="13"/>
      <c r="Z485" s="13"/>
      <c r="AA485" s="13"/>
    </row>
    <row r="486" ht="16.5" customHeight="1">
      <c r="A486" s="10"/>
      <c r="B486" s="10"/>
      <c r="C486" s="13"/>
      <c r="D486" s="13"/>
      <c r="E486" s="13"/>
      <c r="F486" s="205"/>
      <c r="G486" s="13"/>
      <c r="H486" s="13"/>
      <c r="I486" s="13"/>
      <c r="J486" s="13"/>
      <c r="K486" s="13"/>
      <c r="L486" s="13"/>
      <c r="M486" s="13"/>
      <c r="N486" s="13"/>
      <c r="O486" s="13"/>
      <c r="P486" s="13"/>
      <c r="Q486" s="13"/>
      <c r="R486" s="13"/>
      <c r="S486" s="13"/>
      <c r="T486" s="13"/>
      <c r="U486" s="13"/>
      <c r="V486" s="13"/>
      <c r="W486" s="13"/>
      <c r="X486" s="13"/>
      <c r="Y486" s="13"/>
      <c r="Z486" s="13"/>
      <c r="AA486" s="13"/>
    </row>
    <row r="487" ht="16.5" customHeight="1">
      <c r="A487" s="10"/>
      <c r="B487" s="10"/>
      <c r="C487" s="13"/>
      <c r="D487" s="13"/>
      <c r="E487" s="13"/>
      <c r="F487" s="205"/>
      <c r="G487" s="13"/>
      <c r="H487" s="13"/>
      <c r="I487" s="13"/>
      <c r="J487" s="13"/>
      <c r="K487" s="13"/>
      <c r="L487" s="13"/>
      <c r="M487" s="13"/>
      <c r="N487" s="13"/>
      <c r="O487" s="13"/>
      <c r="P487" s="13"/>
      <c r="Q487" s="13"/>
      <c r="R487" s="13"/>
      <c r="S487" s="13"/>
      <c r="T487" s="13"/>
      <c r="U487" s="13"/>
      <c r="V487" s="13"/>
      <c r="W487" s="13"/>
      <c r="X487" s="13"/>
      <c r="Y487" s="13"/>
      <c r="Z487" s="13"/>
      <c r="AA487" s="13"/>
    </row>
    <row r="488" ht="16.5" customHeight="1">
      <c r="A488" s="10"/>
      <c r="B488" s="10"/>
      <c r="C488" s="13"/>
      <c r="D488" s="13"/>
      <c r="E488" s="13"/>
      <c r="F488" s="205"/>
      <c r="G488" s="13"/>
      <c r="H488" s="13"/>
      <c r="I488" s="13"/>
      <c r="J488" s="13"/>
      <c r="K488" s="13"/>
      <c r="L488" s="13"/>
      <c r="M488" s="13"/>
      <c r="N488" s="13"/>
      <c r="O488" s="13"/>
      <c r="P488" s="13"/>
      <c r="Q488" s="13"/>
      <c r="R488" s="13"/>
      <c r="S488" s="13"/>
      <c r="T488" s="13"/>
      <c r="U488" s="13"/>
      <c r="V488" s="13"/>
      <c r="W488" s="13"/>
      <c r="X488" s="13"/>
      <c r="Y488" s="13"/>
      <c r="Z488" s="13"/>
      <c r="AA488" s="13"/>
    </row>
    <row r="489" ht="16.5" customHeight="1">
      <c r="A489" s="10"/>
      <c r="B489" s="10"/>
      <c r="C489" s="13"/>
      <c r="D489" s="13"/>
      <c r="E489" s="13"/>
      <c r="F489" s="205"/>
      <c r="G489" s="13"/>
      <c r="H489" s="13"/>
      <c r="I489" s="13"/>
      <c r="J489" s="13"/>
      <c r="K489" s="13"/>
      <c r="L489" s="13"/>
      <c r="M489" s="13"/>
      <c r="N489" s="13"/>
      <c r="O489" s="13"/>
      <c r="P489" s="13"/>
      <c r="Q489" s="13"/>
      <c r="R489" s="13"/>
      <c r="S489" s="13"/>
      <c r="T489" s="13"/>
      <c r="U489" s="13"/>
      <c r="V489" s="13"/>
      <c r="W489" s="13"/>
      <c r="X489" s="13"/>
      <c r="Y489" s="13"/>
      <c r="Z489" s="13"/>
      <c r="AA489" s="13"/>
    </row>
    <row r="490" ht="16.5" customHeight="1">
      <c r="A490" s="10"/>
      <c r="B490" s="10"/>
      <c r="C490" s="13"/>
      <c r="D490" s="13"/>
      <c r="E490" s="13"/>
      <c r="F490" s="205"/>
      <c r="G490" s="13"/>
      <c r="H490" s="13"/>
      <c r="I490" s="13"/>
      <c r="J490" s="13"/>
      <c r="K490" s="13"/>
      <c r="L490" s="13"/>
      <c r="M490" s="13"/>
      <c r="N490" s="13"/>
      <c r="O490" s="13"/>
      <c r="P490" s="13"/>
      <c r="Q490" s="13"/>
      <c r="R490" s="13"/>
      <c r="S490" s="13"/>
      <c r="T490" s="13"/>
      <c r="U490" s="13"/>
      <c r="V490" s="13"/>
      <c r="W490" s="13"/>
      <c r="X490" s="13"/>
      <c r="Y490" s="13"/>
      <c r="Z490" s="13"/>
      <c r="AA490" s="13"/>
    </row>
    <row r="491" ht="16.5" customHeight="1">
      <c r="A491" s="10"/>
      <c r="B491" s="10"/>
      <c r="C491" s="13"/>
      <c r="D491" s="13"/>
      <c r="E491" s="13"/>
      <c r="F491" s="205"/>
      <c r="G491" s="13"/>
      <c r="H491" s="13"/>
      <c r="I491" s="13"/>
      <c r="J491" s="13"/>
      <c r="K491" s="13"/>
      <c r="L491" s="13"/>
      <c r="M491" s="13"/>
      <c r="N491" s="13"/>
      <c r="O491" s="13"/>
      <c r="P491" s="13"/>
      <c r="Q491" s="13"/>
      <c r="R491" s="13"/>
      <c r="S491" s="13"/>
      <c r="T491" s="13"/>
      <c r="U491" s="13"/>
      <c r="V491" s="13"/>
      <c r="W491" s="13"/>
      <c r="X491" s="13"/>
      <c r="Y491" s="13"/>
      <c r="Z491" s="13"/>
      <c r="AA491" s="13"/>
    </row>
    <row r="492" ht="16.5" customHeight="1">
      <c r="A492" s="10"/>
      <c r="B492" s="10"/>
      <c r="C492" s="13"/>
      <c r="D492" s="13"/>
      <c r="E492" s="13"/>
      <c r="F492" s="205"/>
      <c r="G492" s="13"/>
      <c r="H492" s="13"/>
      <c r="I492" s="13"/>
      <c r="J492" s="13"/>
      <c r="K492" s="13"/>
      <c r="L492" s="13"/>
      <c r="M492" s="13"/>
      <c r="N492" s="13"/>
      <c r="O492" s="13"/>
      <c r="P492" s="13"/>
      <c r="Q492" s="13"/>
      <c r="R492" s="13"/>
      <c r="S492" s="13"/>
      <c r="T492" s="13"/>
      <c r="U492" s="13"/>
      <c r="V492" s="13"/>
      <c r="W492" s="13"/>
      <c r="X492" s="13"/>
      <c r="Y492" s="13"/>
      <c r="Z492" s="13"/>
      <c r="AA492" s="13"/>
    </row>
    <row r="493" ht="16.5" customHeight="1">
      <c r="A493" s="10"/>
      <c r="B493" s="10"/>
      <c r="C493" s="13"/>
      <c r="D493" s="13"/>
      <c r="E493" s="13"/>
      <c r="F493" s="205"/>
      <c r="G493" s="13"/>
      <c r="H493" s="13"/>
      <c r="I493" s="13"/>
      <c r="J493" s="13"/>
      <c r="K493" s="13"/>
      <c r="L493" s="13"/>
      <c r="M493" s="13"/>
      <c r="N493" s="13"/>
      <c r="O493" s="13"/>
      <c r="P493" s="13"/>
      <c r="Q493" s="13"/>
      <c r="R493" s="13"/>
      <c r="S493" s="13"/>
      <c r="T493" s="13"/>
      <c r="U493" s="13"/>
      <c r="V493" s="13"/>
      <c r="W493" s="13"/>
      <c r="X493" s="13"/>
      <c r="Y493" s="13"/>
      <c r="Z493" s="13"/>
      <c r="AA493" s="13"/>
    </row>
    <row r="494" ht="16.5" customHeight="1">
      <c r="A494" s="10"/>
      <c r="B494" s="10"/>
      <c r="C494" s="13"/>
      <c r="D494" s="13"/>
      <c r="E494" s="13"/>
      <c r="F494" s="205"/>
      <c r="G494" s="13"/>
      <c r="H494" s="13"/>
      <c r="I494" s="13"/>
      <c r="J494" s="13"/>
      <c r="K494" s="13"/>
      <c r="L494" s="13"/>
      <c r="M494" s="13"/>
      <c r="N494" s="13"/>
      <c r="O494" s="13"/>
      <c r="P494" s="13"/>
      <c r="Q494" s="13"/>
      <c r="R494" s="13"/>
      <c r="S494" s="13"/>
      <c r="T494" s="13"/>
      <c r="U494" s="13"/>
      <c r="V494" s="13"/>
      <c r="W494" s="13"/>
      <c r="X494" s="13"/>
      <c r="Y494" s="13"/>
      <c r="Z494" s="13"/>
      <c r="AA494" s="13"/>
    </row>
    <row r="495" ht="16.5" customHeight="1">
      <c r="A495" s="10"/>
      <c r="B495" s="10"/>
      <c r="C495" s="13"/>
      <c r="D495" s="13"/>
      <c r="E495" s="13"/>
      <c r="F495" s="205"/>
      <c r="G495" s="13"/>
      <c r="H495" s="13"/>
      <c r="I495" s="13"/>
      <c r="J495" s="13"/>
      <c r="K495" s="13"/>
      <c r="L495" s="13"/>
      <c r="M495" s="13"/>
      <c r="N495" s="13"/>
      <c r="O495" s="13"/>
      <c r="P495" s="13"/>
      <c r="Q495" s="13"/>
      <c r="R495" s="13"/>
      <c r="S495" s="13"/>
      <c r="T495" s="13"/>
      <c r="U495" s="13"/>
      <c r="V495" s="13"/>
      <c r="W495" s="13"/>
      <c r="X495" s="13"/>
      <c r="Y495" s="13"/>
      <c r="Z495" s="13"/>
      <c r="AA495" s="13"/>
    </row>
    <row r="496" ht="16.5" customHeight="1">
      <c r="A496" s="10"/>
      <c r="B496" s="10"/>
      <c r="C496" s="13"/>
      <c r="D496" s="13"/>
      <c r="E496" s="13"/>
      <c r="F496" s="205"/>
      <c r="G496" s="13"/>
      <c r="H496" s="13"/>
      <c r="I496" s="13"/>
      <c r="J496" s="13"/>
      <c r="K496" s="13"/>
      <c r="L496" s="13"/>
      <c r="M496" s="13"/>
      <c r="N496" s="13"/>
      <c r="O496" s="13"/>
      <c r="P496" s="13"/>
      <c r="Q496" s="13"/>
      <c r="R496" s="13"/>
      <c r="S496" s="13"/>
      <c r="T496" s="13"/>
      <c r="U496" s="13"/>
      <c r="V496" s="13"/>
      <c r="W496" s="13"/>
      <c r="X496" s="13"/>
      <c r="Y496" s="13"/>
      <c r="Z496" s="13"/>
      <c r="AA496" s="13"/>
    </row>
    <row r="497" ht="16.5" customHeight="1">
      <c r="A497" s="10"/>
      <c r="B497" s="10"/>
      <c r="C497" s="13"/>
      <c r="D497" s="13"/>
      <c r="E497" s="13"/>
      <c r="F497" s="205"/>
      <c r="G497" s="13"/>
      <c r="H497" s="13"/>
      <c r="I497" s="13"/>
      <c r="J497" s="13"/>
      <c r="K497" s="13"/>
      <c r="L497" s="13"/>
      <c r="M497" s="13"/>
      <c r="N497" s="13"/>
      <c r="O497" s="13"/>
      <c r="P497" s="13"/>
      <c r="Q497" s="13"/>
      <c r="R497" s="13"/>
      <c r="S497" s="13"/>
      <c r="T497" s="13"/>
      <c r="U497" s="13"/>
      <c r="V497" s="13"/>
      <c r="W497" s="13"/>
      <c r="X497" s="13"/>
      <c r="Y497" s="13"/>
      <c r="Z497" s="13"/>
      <c r="AA497" s="13"/>
    </row>
    <row r="498" ht="16.5" customHeight="1">
      <c r="A498" s="10"/>
      <c r="B498" s="10"/>
      <c r="C498" s="13"/>
      <c r="D498" s="13"/>
      <c r="E498" s="13"/>
      <c r="F498" s="205"/>
      <c r="G498" s="13"/>
      <c r="H498" s="13"/>
      <c r="I498" s="13"/>
      <c r="J498" s="13"/>
      <c r="K498" s="13"/>
      <c r="L498" s="13"/>
      <c r="M498" s="13"/>
      <c r="N498" s="13"/>
      <c r="O498" s="13"/>
      <c r="P498" s="13"/>
      <c r="Q498" s="13"/>
      <c r="R498" s="13"/>
      <c r="S498" s="13"/>
      <c r="T498" s="13"/>
      <c r="U498" s="13"/>
      <c r="V498" s="13"/>
      <c r="W498" s="13"/>
      <c r="X498" s="13"/>
      <c r="Y498" s="13"/>
      <c r="Z498" s="13"/>
      <c r="AA498" s="13"/>
    </row>
    <row r="499" ht="16.5" customHeight="1">
      <c r="A499" s="10"/>
      <c r="B499" s="10"/>
      <c r="C499" s="13"/>
      <c r="D499" s="13"/>
      <c r="E499" s="13"/>
      <c r="F499" s="205"/>
      <c r="G499" s="13"/>
      <c r="H499" s="13"/>
      <c r="I499" s="13"/>
      <c r="J499" s="13"/>
      <c r="K499" s="13"/>
      <c r="L499" s="13"/>
      <c r="M499" s="13"/>
      <c r="N499" s="13"/>
      <c r="O499" s="13"/>
      <c r="P499" s="13"/>
      <c r="Q499" s="13"/>
      <c r="R499" s="13"/>
      <c r="S499" s="13"/>
      <c r="T499" s="13"/>
      <c r="U499" s="13"/>
      <c r="V499" s="13"/>
      <c r="W499" s="13"/>
      <c r="X499" s="13"/>
      <c r="Y499" s="13"/>
      <c r="Z499" s="13"/>
      <c r="AA499" s="13"/>
    </row>
    <row r="500" ht="16.5" customHeight="1">
      <c r="A500" s="10"/>
      <c r="B500" s="10"/>
      <c r="C500" s="13"/>
      <c r="D500" s="13"/>
      <c r="E500" s="13"/>
      <c r="F500" s="205"/>
      <c r="G500" s="13"/>
      <c r="H500" s="13"/>
      <c r="I500" s="13"/>
      <c r="J500" s="13"/>
      <c r="K500" s="13"/>
      <c r="L500" s="13"/>
      <c r="M500" s="13"/>
      <c r="N500" s="13"/>
      <c r="O500" s="13"/>
      <c r="P500" s="13"/>
      <c r="Q500" s="13"/>
      <c r="R500" s="13"/>
      <c r="S500" s="13"/>
      <c r="T500" s="13"/>
      <c r="U500" s="13"/>
      <c r="V500" s="13"/>
      <c r="W500" s="13"/>
      <c r="X500" s="13"/>
      <c r="Y500" s="13"/>
      <c r="Z500" s="13"/>
      <c r="AA500" s="13"/>
    </row>
    <row r="501" ht="16.5" customHeight="1">
      <c r="A501" s="10"/>
      <c r="B501" s="10"/>
      <c r="C501" s="13"/>
      <c r="D501" s="13"/>
      <c r="E501" s="13"/>
      <c r="F501" s="205"/>
      <c r="G501" s="13"/>
      <c r="H501" s="13"/>
      <c r="I501" s="13"/>
      <c r="J501" s="13"/>
      <c r="K501" s="13"/>
      <c r="L501" s="13"/>
      <c r="M501" s="13"/>
      <c r="N501" s="13"/>
      <c r="O501" s="13"/>
      <c r="P501" s="13"/>
      <c r="Q501" s="13"/>
      <c r="R501" s="13"/>
      <c r="S501" s="13"/>
      <c r="T501" s="13"/>
      <c r="U501" s="13"/>
      <c r="V501" s="13"/>
      <c r="W501" s="13"/>
      <c r="X501" s="13"/>
      <c r="Y501" s="13"/>
      <c r="Z501" s="13"/>
      <c r="AA501" s="13"/>
    </row>
    <row r="502" ht="16.5" customHeight="1">
      <c r="A502" s="10"/>
      <c r="B502" s="10"/>
      <c r="C502" s="13"/>
      <c r="D502" s="13"/>
      <c r="E502" s="13"/>
      <c r="F502" s="205"/>
      <c r="G502" s="13"/>
      <c r="H502" s="13"/>
      <c r="I502" s="13"/>
      <c r="J502" s="13"/>
      <c r="K502" s="13"/>
      <c r="L502" s="13"/>
      <c r="M502" s="13"/>
      <c r="N502" s="13"/>
      <c r="O502" s="13"/>
      <c r="P502" s="13"/>
      <c r="Q502" s="13"/>
      <c r="R502" s="13"/>
      <c r="S502" s="13"/>
      <c r="T502" s="13"/>
      <c r="U502" s="13"/>
      <c r="V502" s="13"/>
      <c r="W502" s="13"/>
      <c r="X502" s="13"/>
      <c r="Y502" s="13"/>
      <c r="Z502" s="13"/>
      <c r="AA502" s="13"/>
    </row>
    <row r="503" ht="16.5" customHeight="1">
      <c r="A503" s="10"/>
      <c r="B503" s="10"/>
      <c r="C503" s="13"/>
      <c r="D503" s="13"/>
      <c r="E503" s="13"/>
      <c r="F503" s="205"/>
      <c r="G503" s="13"/>
      <c r="H503" s="13"/>
      <c r="I503" s="13"/>
      <c r="J503" s="13"/>
      <c r="K503" s="13"/>
      <c r="L503" s="13"/>
      <c r="M503" s="13"/>
      <c r="N503" s="13"/>
      <c r="O503" s="13"/>
      <c r="P503" s="13"/>
      <c r="Q503" s="13"/>
      <c r="R503" s="13"/>
      <c r="S503" s="13"/>
      <c r="T503" s="13"/>
      <c r="U503" s="13"/>
      <c r="V503" s="13"/>
      <c r="W503" s="13"/>
      <c r="X503" s="13"/>
      <c r="Y503" s="13"/>
      <c r="Z503" s="13"/>
      <c r="AA503" s="13"/>
    </row>
    <row r="504" ht="16.5" customHeight="1">
      <c r="A504" s="10"/>
      <c r="B504" s="10"/>
      <c r="C504" s="13"/>
      <c r="D504" s="13"/>
      <c r="E504" s="13"/>
      <c r="F504" s="205"/>
      <c r="G504" s="13"/>
      <c r="H504" s="13"/>
      <c r="I504" s="13"/>
      <c r="J504" s="13"/>
      <c r="K504" s="13"/>
      <c r="L504" s="13"/>
      <c r="M504" s="13"/>
      <c r="N504" s="13"/>
      <c r="O504" s="13"/>
      <c r="P504" s="13"/>
      <c r="Q504" s="13"/>
      <c r="R504" s="13"/>
      <c r="S504" s="13"/>
      <c r="T504" s="13"/>
      <c r="U504" s="13"/>
      <c r="V504" s="13"/>
      <c r="W504" s="13"/>
      <c r="X504" s="13"/>
      <c r="Y504" s="13"/>
      <c r="Z504" s="13"/>
      <c r="AA504" s="13"/>
    </row>
    <row r="505" ht="16.5" customHeight="1">
      <c r="A505" s="10"/>
      <c r="B505" s="10"/>
      <c r="C505" s="13"/>
      <c r="D505" s="13"/>
      <c r="E505" s="13"/>
      <c r="F505" s="205"/>
      <c r="G505" s="13"/>
      <c r="H505" s="13"/>
      <c r="I505" s="13"/>
      <c r="J505" s="13"/>
      <c r="K505" s="13"/>
      <c r="L505" s="13"/>
      <c r="M505" s="13"/>
      <c r="N505" s="13"/>
      <c r="O505" s="13"/>
      <c r="P505" s="13"/>
      <c r="Q505" s="13"/>
      <c r="R505" s="13"/>
      <c r="S505" s="13"/>
      <c r="T505" s="13"/>
      <c r="U505" s="13"/>
      <c r="V505" s="13"/>
      <c r="W505" s="13"/>
      <c r="X505" s="13"/>
      <c r="Y505" s="13"/>
      <c r="Z505" s="13"/>
      <c r="AA505" s="13"/>
    </row>
    <row r="506" ht="16.5" customHeight="1">
      <c r="A506" s="10"/>
      <c r="B506" s="10"/>
      <c r="C506" s="13"/>
      <c r="D506" s="13"/>
      <c r="E506" s="13"/>
      <c r="F506" s="205"/>
      <c r="G506" s="13"/>
      <c r="H506" s="13"/>
      <c r="I506" s="13"/>
      <c r="J506" s="13"/>
      <c r="K506" s="13"/>
      <c r="L506" s="13"/>
      <c r="M506" s="13"/>
      <c r="N506" s="13"/>
      <c r="O506" s="13"/>
      <c r="P506" s="13"/>
      <c r="Q506" s="13"/>
      <c r="R506" s="13"/>
      <c r="S506" s="13"/>
      <c r="T506" s="13"/>
      <c r="U506" s="13"/>
      <c r="V506" s="13"/>
      <c r="W506" s="13"/>
      <c r="X506" s="13"/>
      <c r="Y506" s="13"/>
      <c r="Z506" s="13"/>
      <c r="AA506" s="13"/>
    </row>
    <row r="507" ht="16.5" customHeight="1">
      <c r="A507" s="10"/>
      <c r="B507" s="10"/>
      <c r="C507" s="13"/>
      <c r="D507" s="13"/>
      <c r="E507" s="13"/>
      <c r="F507" s="205"/>
      <c r="G507" s="13"/>
      <c r="H507" s="13"/>
      <c r="I507" s="13"/>
      <c r="J507" s="13"/>
      <c r="K507" s="13"/>
      <c r="L507" s="13"/>
      <c r="M507" s="13"/>
      <c r="N507" s="13"/>
      <c r="O507" s="13"/>
      <c r="P507" s="13"/>
      <c r="Q507" s="13"/>
      <c r="R507" s="13"/>
      <c r="S507" s="13"/>
      <c r="T507" s="13"/>
      <c r="U507" s="13"/>
      <c r="V507" s="13"/>
      <c r="W507" s="13"/>
      <c r="X507" s="13"/>
      <c r="Y507" s="13"/>
      <c r="Z507" s="13"/>
      <c r="AA507" s="13"/>
    </row>
    <row r="508" ht="16.5" customHeight="1">
      <c r="A508" s="10"/>
      <c r="B508" s="10"/>
      <c r="C508" s="13"/>
      <c r="D508" s="13"/>
      <c r="E508" s="13"/>
      <c r="F508" s="205"/>
      <c r="G508" s="13"/>
      <c r="H508" s="13"/>
      <c r="I508" s="13"/>
      <c r="J508" s="13"/>
      <c r="K508" s="13"/>
      <c r="L508" s="13"/>
      <c r="M508" s="13"/>
      <c r="N508" s="13"/>
      <c r="O508" s="13"/>
      <c r="P508" s="13"/>
      <c r="Q508" s="13"/>
      <c r="R508" s="13"/>
      <c r="S508" s="13"/>
      <c r="T508" s="13"/>
      <c r="U508" s="13"/>
      <c r="V508" s="13"/>
      <c r="W508" s="13"/>
      <c r="X508" s="13"/>
      <c r="Y508" s="13"/>
      <c r="Z508" s="13"/>
      <c r="AA508" s="13"/>
    </row>
    <row r="509" ht="16.5" customHeight="1">
      <c r="A509" s="10"/>
      <c r="B509" s="10"/>
      <c r="C509" s="13"/>
      <c r="D509" s="13"/>
      <c r="E509" s="13"/>
      <c r="F509" s="205"/>
      <c r="G509" s="13"/>
      <c r="H509" s="13"/>
      <c r="I509" s="13"/>
      <c r="J509" s="13"/>
      <c r="K509" s="13"/>
      <c r="L509" s="13"/>
      <c r="M509" s="13"/>
      <c r="N509" s="13"/>
      <c r="O509" s="13"/>
      <c r="P509" s="13"/>
      <c r="Q509" s="13"/>
      <c r="R509" s="13"/>
      <c r="S509" s="13"/>
      <c r="T509" s="13"/>
      <c r="U509" s="13"/>
      <c r="V509" s="13"/>
      <c r="W509" s="13"/>
      <c r="X509" s="13"/>
      <c r="Y509" s="13"/>
      <c r="Z509" s="13"/>
      <c r="AA509" s="13"/>
    </row>
    <row r="510" ht="16.5" customHeight="1">
      <c r="A510" s="10"/>
      <c r="B510" s="10"/>
      <c r="C510" s="13"/>
      <c r="D510" s="13"/>
      <c r="E510" s="13"/>
      <c r="F510" s="205"/>
      <c r="G510" s="13"/>
      <c r="H510" s="13"/>
      <c r="I510" s="13"/>
      <c r="J510" s="13"/>
      <c r="K510" s="13"/>
      <c r="L510" s="13"/>
      <c r="M510" s="13"/>
      <c r="N510" s="13"/>
      <c r="O510" s="13"/>
      <c r="P510" s="13"/>
      <c r="Q510" s="13"/>
      <c r="R510" s="13"/>
      <c r="S510" s="13"/>
      <c r="T510" s="13"/>
      <c r="U510" s="13"/>
      <c r="V510" s="13"/>
      <c r="W510" s="13"/>
      <c r="X510" s="13"/>
      <c r="Y510" s="13"/>
      <c r="Z510" s="13"/>
      <c r="AA510" s="13"/>
    </row>
    <row r="511" ht="16.5" customHeight="1">
      <c r="A511" s="10"/>
      <c r="B511" s="10"/>
      <c r="C511" s="13"/>
      <c r="D511" s="13"/>
      <c r="E511" s="13"/>
      <c r="F511" s="205"/>
      <c r="G511" s="13"/>
      <c r="H511" s="13"/>
      <c r="I511" s="13"/>
      <c r="J511" s="13"/>
      <c r="K511" s="13"/>
      <c r="L511" s="13"/>
      <c r="M511" s="13"/>
      <c r="N511" s="13"/>
      <c r="O511" s="13"/>
      <c r="P511" s="13"/>
      <c r="Q511" s="13"/>
      <c r="R511" s="13"/>
      <c r="S511" s="13"/>
      <c r="T511" s="13"/>
      <c r="U511" s="13"/>
      <c r="V511" s="13"/>
      <c r="W511" s="13"/>
      <c r="X511" s="13"/>
      <c r="Y511" s="13"/>
      <c r="Z511" s="13"/>
      <c r="AA511" s="13"/>
    </row>
    <row r="512" ht="16.5" customHeight="1">
      <c r="A512" s="10"/>
      <c r="B512" s="10"/>
      <c r="C512" s="13"/>
      <c r="D512" s="13"/>
      <c r="E512" s="13"/>
      <c r="F512" s="205"/>
      <c r="G512" s="13"/>
      <c r="H512" s="13"/>
      <c r="I512" s="13"/>
      <c r="J512" s="13"/>
      <c r="K512" s="13"/>
      <c r="L512" s="13"/>
      <c r="M512" s="13"/>
      <c r="N512" s="13"/>
      <c r="O512" s="13"/>
      <c r="P512" s="13"/>
      <c r="Q512" s="13"/>
      <c r="R512" s="13"/>
      <c r="S512" s="13"/>
      <c r="T512" s="13"/>
      <c r="U512" s="13"/>
      <c r="V512" s="13"/>
      <c r="W512" s="13"/>
      <c r="X512" s="13"/>
      <c r="Y512" s="13"/>
      <c r="Z512" s="13"/>
      <c r="AA512" s="13"/>
    </row>
    <row r="513" ht="16.5" customHeight="1">
      <c r="A513" s="10"/>
      <c r="B513" s="10"/>
      <c r="C513" s="13"/>
      <c r="D513" s="13"/>
      <c r="E513" s="13"/>
      <c r="F513" s="205"/>
      <c r="G513" s="13"/>
      <c r="H513" s="13"/>
      <c r="I513" s="13"/>
      <c r="J513" s="13"/>
      <c r="K513" s="13"/>
      <c r="L513" s="13"/>
      <c r="M513" s="13"/>
      <c r="N513" s="13"/>
      <c r="O513" s="13"/>
      <c r="P513" s="13"/>
      <c r="Q513" s="13"/>
      <c r="R513" s="13"/>
      <c r="S513" s="13"/>
      <c r="T513" s="13"/>
      <c r="U513" s="13"/>
      <c r="V513" s="13"/>
      <c r="W513" s="13"/>
      <c r="X513" s="13"/>
      <c r="Y513" s="13"/>
      <c r="Z513" s="13"/>
      <c r="AA513" s="13"/>
    </row>
    <row r="514" ht="16.5" customHeight="1">
      <c r="A514" s="10"/>
      <c r="B514" s="10"/>
      <c r="C514" s="13"/>
      <c r="D514" s="13"/>
      <c r="E514" s="13"/>
      <c r="F514" s="205"/>
      <c r="G514" s="13"/>
      <c r="H514" s="13"/>
      <c r="I514" s="13"/>
      <c r="J514" s="13"/>
      <c r="K514" s="13"/>
      <c r="L514" s="13"/>
      <c r="M514" s="13"/>
      <c r="N514" s="13"/>
      <c r="O514" s="13"/>
      <c r="P514" s="13"/>
      <c r="Q514" s="13"/>
      <c r="R514" s="13"/>
      <c r="S514" s="13"/>
      <c r="T514" s="13"/>
      <c r="U514" s="13"/>
      <c r="V514" s="13"/>
      <c r="W514" s="13"/>
      <c r="X514" s="13"/>
      <c r="Y514" s="13"/>
      <c r="Z514" s="13"/>
      <c r="AA514" s="13"/>
    </row>
    <row r="515" ht="16.5" customHeight="1">
      <c r="A515" s="10"/>
      <c r="B515" s="10"/>
      <c r="C515" s="13"/>
      <c r="D515" s="13"/>
      <c r="E515" s="13"/>
      <c r="F515" s="205"/>
      <c r="G515" s="13"/>
      <c r="H515" s="13"/>
      <c r="I515" s="13"/>
      <c r="J515" s="13"/>
      <c r="K515" s="13"/>
      <c r="L515" s="13"/>
      <c r="M515" s="13"/>
      <c r="N515" s="13"/>
      <c r="O515" s="13"/>
      <c r="P515" s="13"/>
      <c r="Q515" s="13"/>
      <c r="R515" s="13"/>
      <c r="S515" s="13"/>
      <c r="T515" s="13"/>
      <c r="U515" s="13"/>
      <c r="V515" s="13"/>
      <c r="W515" s="13"/>
      <c r="X515" s="13"/>
      <c r="Y515" s="13"/>
      <c r="Z515" s="13"/>
      <c r="AA515" s="13"/>
    </row>
    <row r="516" ht="16.5" customHeight="1">
      <c r="A516" s="10"/>
      <c r="B516" s="10"/>
      <c r="C516" s="13"/>
      <c r="D516" s="13"/>
      <c r="E516" s="13"/>
      <c r="F516" s="205"/>
      <c r="G516" s="13"/>
      <c r="H516" s="13"/>
      <c r="I516" s="13"/>
      <c r="J516" s="13"/>
      <c r="K516" s="13"/>
      <c r="L516" s="13"/>
      <c r="M516" s="13"/>
      <c r="N516" s="13"/>
      <c r="O516" s="13"/>
      <c r="P516" s="13"/>
      <c r="Q516" s="13"/>
      <c r="R516" s="13"/>
      <c r="S516" s="13"/>
      <c r="T516" s="13"/>
      <c r="U516" s="13"/>
      <c r="V516" s="13"/>
      <c r="W516" s="13"/>
      <c r="X516" s="13"/>
      <c r="Y516" s="13"/>
      <c r="Z516" s="13"/>
      <c r="AA516" s="13"/>
    </row>
    <row r="517" ht="16.5" customHeight="1">
      <c r="A517" s="10"/>
      <c r="B517" s="10"/>
      <c r="C517" s="13"/>
      <c r="D517" s="13"/>
      <c r="E517" s="13"/>
      <c r="F517" s="205"/>
      <c r="G517" s="13"/>
      <c r="H517" s="13"/>
      <c r="I517" s="13"/>
      <c r="J517" s="13"/>
      <c r="K517" s="13"/>
      <c r="L517" s="13"/>
      <c r="M517" s="13"/>
      <c r="N517" s="13"/>
      <c r="O517" s="13"/>
      <c r="P517" s="13"/>
      <c r="Q517" s="13"/>
      <c r="R517" s="13"/>
      <c r="S517" s="13"/>
      <c r="T517" s="13"/>
      <c r="U517" s="13"/>
      <c r="V517" s="13"/>
      <c r="W517" s="13"/>
      <c r="X517" s="13"/>
      <c r="Y517" s="13"/>
      <c r="Z517" s="13"/>
      <c r="AA517" s="13"/>
    </row>
    <row r="518" ht="16.5" customHeight="1">
      <c r="A518" s="10"/>
      <c r="B518" s="10"/>
      <c r="C518" s="13"/>
      <c r="D518" s="13"/>
      <c r="E518" s="13"/>
      <c r="F518" s="205"/>
      <c r="G518" s="13"/>
      <c r="H518" s="13"/>
      <c r="I518" s="13"/>
      <c r="J518" s="13"/>
      <c r="K518" s="13"/>
      <c r="L518" s="13"/>
      <c r="M518" s="13"/>
      <c r="N518" s="13"/>
      <c r="O518" s="13"/>
      <c r="P518" s="13"/>
      <c r="Q518" s="13"/>
      <c r="R518" s="13"/>
      <c r="S518" s="13"/>
      <c r="T518" s="13"/>
      <c r="U518" s="13"/>
      <c r="V518" s="13"/>
      <c r="W518" s="13"/>
      <c r="X518" s="13"/>
      <c r="Y518" s="13"/>
      <c r="Z518" s="13"/>
      <c r="AA518" s="13"/>
    </row>
    <row r="519" ht="16.5" customHeight="1">
      <c r="A519" s="10"/>
      <c r="B519" s="10"/>
      <c r="C519" s="13"/>
      <c r="D519" s="13"/>
      <c r="E519" s="13"/>
      <c r="F519" s="205"/>
      <c r="G519" s="13"/>
      <c r="H519" s="13"/>
      <c r="I519" s="13"/>
      <c r="J519" s="13"/>
      <c r="K519" s="13"/>
      <c r="L519" s="13"/>
      <c r="M519" s="13"/>
      <c r="N519" s="13"/>
      <c r="O519" s="13"/>
      <c r="P519" s="13"/>
      <c r="Q519" s="13"/>
      <c r="R519" s="13"/>
      <c r="S519" s="13"/>
      <c r="T519" s="13"/>
      <c r="U519" s="13"/>
      <c r="V519" s="13"/>
      <c r="W519" s="13"/>
      <c r="X519" s="13"/>
      <c r="Y519" s="13"/>
      <c r="Z519" s="13"/>
      <c r="AA519" s="13"/>
    </row>
    <row r="520" ht="16.5" customHeight="1">
      <c r="A520" s="10"/>
      <c r="B520" s="10"/>
      <c r="C520" s="13"/>
      <c r="D520" s="13"/>
      <c r="E520" s="13"/>
      <c r="F520" s="205"/>
      <c r="G520" s="13"/>
      <c r="H520" s="13"/>
      <c r="I520" s="13"/>
      <c r="J520" s="13"/>
      <c r="K520" s="13"/>
      <c r="L520" s="13"/>
      <c r="M520" s="13"/>
      <c r="N520" s="13"/>
      <c r="O520" s="13"/>
      <c r="P520" s="13"/>
      <c r="Q520" s="13"/>
      <c r="R520" s="13"/>
      <c r="S520" s="13"/>
      <c r="T520" s="13"/>
      <c r="U520" s="13"/>
      <c r="V520" s="13"/>
      <c r="W520" s="13"/>
      <c r="X520" s="13"/>
      <c r="Y520" s="13"/>
      <c r="Z520" s="13"/>
      <c r="AA520" s="13"/>
    </row>
    <row r="521" ht="16.5" customHeight="1">
      <c r="A521" s="10"/>
      <c r="B521" s="10"/>
      <c r="C521" s="13"/>
      <c r="D521" s="13"/>
      <c r="E521" s="13"/>
      <c r="F521" s="205"/>
      <c r="G521" s="13"/>
      <c r="H521" s="13"/>
      <c r="I521" s="13"/>
      <c r="J521" s="13"/>
      <c r="K521" s="13"/>
      <c r="L521" s="13"/>
      <c r="M521" s="13"/>
      <c r="N521" s="13"/>
      <c r="O521" s="13"/>
      <c r="P521" s="13"/>
      <c r="Q521" s="13"/>
      <c r="R521" s="13"/>
      <c r="S521" s="13"/>
      <c r="T521" s="13"/>
      <c r="U521" s="13"/>
      <c r="V521" s="13"/>
      <c r="W521" s="13"/>
      <c r="X521" s="13"/>
      <c r="Y521" s="13"/>
      <c r="Z521" s="13"/>
      <c r="AA521" s="13"/>
    </row>
    <row r="522" ht="16.5" customHeight="1">
      <c r="A522" s="10"/>
      <c r="B522" s="10"/>
      <c r="C522" s="13"/>
      <c r="D522" s="13"/>
      <c r="E522" s="13"/>
      <c r="F522" s="205"/>
      <c r="G522" s="13"/>
      <c r="H522" s="13"/>
      <c r="I522" s="13"/>
      <c r="J522" s="13"/>
      <c r="K522" s="13"/>
      <c r="L522" s="13"/>
      <c r="M522" s="13"/>
      <c r="N522" s="13"/>
      <c r="O522" s="13"/>
      <c r="P522" s="13"/>
      <c r="Q522" s="13"/>
      <c r="R522" s="13"/>
      <c r="S522" s="13"/>
      <c r="T522" s="13"/>
      <c r="U522" s="13"/>
      <c r="V522" s="13"/>
      <c r="W522" s="13"/>
      <c r="X522" s="13"/>
      <c r="Y522" s="13"/>
      <c r="Z522" s="13"/>
      <c r="AA522" s="13"/>
    </row>
    <row r="523" ht="16.5" customHeight="1">
      <c r="A523" s="10"/>
      <c r="B523" s="10"/>
      <c r="C523" s="13"/>
      <c r="D523" s="13"/>
      <c r="E523" s="13"/>
      <c r="F523" s="205"/>
      <c r="G523" s="13"/>
      <c r="H523" s="13"/>
      <c r="I523" s="13"/>
      <c r="J523" s="13"/>
      <c r="K523" s="13"/>
      <c r="L523" s="13"/>
      <c r="M523" s="13"/>
      <c r="N523" s="13"/>
      <c r="O523" s="13"/>
      <c r="P523" s="13"/>
      <c r="Q523" s="13"/>
      <c r="R523" s="13"/>
      <c r="S523" s="13"/>
      <c r="T523" s="13"/>
      <c r="U523" s="13"/>
      <c r="V523" s="13"/>
      <c r="W523" s="13"/>
      <c r="X523" s="13"/>
      <c r="Y523" s="13"/>
      <c r="Z523" s="13"/>
      <c r="AA523" s="13"/>
    </row>
    <row r="524" ht="16.5" customHeight="1">
      <c r="A524" s="10"/>
      <c r="B524" s="10"/>
      <c r="C524" s="13"/>
      <c r="D524" s="13"/>
      <c r="E524" s="13"/>
      <c r="F524" s="205"/>
      <c r="G524" s="13"/>
      <c r="H524" s="13"/>
      <c r="I524" s="13"/>
      <c r="J524" s="13"/>
      <c r="K524" s="13"/>
      <c r="L524" s="13"/>
      <c r="M524" s="13"/>
      <c r="N524" s="13"/>
      <c r="O524" s="13"/>
      <c r="P524" s="13"/>
      <c r="Q524" s="13"/>
      <c r="R524" s="13"/>
      <c r="S524" s="13"/>
      <c r="T524" s="13"/>
      <c r="U524" s="13"/>
      <c r="V524" s="13"/>
      <c r="W524" s="13"/>
      <c r="X524" s="13"/>
      <c r="Y524" s="13"/>
      <c r="Z524" s="13"/>
      <c r="AA524" s="13"/>
    </row>
    <row r="525" ht="16.5" customHeight="1">
      <c r="A525" s="10"/>
      <c r="B525" s="10"/>
      <c r="C525" s="13"/>
      <c r="D525" s="13"/>
      <c r="E525" s="13"/>
      <c r="F525" s="205"/>
      <c r="G525" s="13"/>
      <c r="H525" s="13"/>
      <c r="I525" s="13"/>
      <c r="J525" s="13"/>
      <c r="K525" s="13"/>
      <c r="L525" s="13"/>
      <c r="M525" s="13"/>
      <c r="N525" s="13"/>
      <c r="O525" s="13"/>
      <c r="P525" s="13"/>
      <c r="Q525" s="13"/>
      <c r="R525" s="13"/>
      <c r="S525" s="13"/>
      <c r="T525" s="13"/>
      <c r="U525" s="13"/>
      <c r="V525" s="13"/>
      <c r="W525" s="13"/>
      <c r="X525" s="13"/>
      <c r="Y525" s="13"/>
      <c r="Z525" s="13"/>
      <c r="AA525" s="13"/>
    </row>
    <row r="526" ht="16.5" customHeight="1">
      <c r="A526" s="10"/>
      <c r="B526" s="10"/>
      <c r="C526" s="13"/>
      <c r="D526" s="13"/>
      <c r="E526" s="13"/>
      <c r="F526" s="205"/>
      <c r="G526" s="13"/>
      <c r="H526" s="13"/>
      <c r="I526" s="13"/>
      <c r="J526" s="13"/>
      <c r="K526" s="13"/>
      <c r="L526" s="13"/>
      <c r="M526" s="13"/>
      <c r="N526" s="13"/>
      <c r="O526" s="13"/>
      <c r="P526" s="13"/>
      <c r="Q526" s="13"/>
      <c r="R526" s="13"/>
      <c r="S526" s="13"/>
      <c r="T526" s="13"/>
      <c r="U526" s="13"/>
      <c r="V526" s="13"/>
      <c r="W526" s="13"/>
      <c r="X526" s="13"/>
      <c r="Y526" s="13"/>
      <c r="Z526" s="13"/>
      <c r="AA526" s="13"/>
    </row>
    <row r="527" ht="16.5" customHeight="1">
      <c r="A527" s="10"/>
      <c r="B527" s="10"/>
      <c r="C527" s="13"/>
      <c r="D527" s="13"/>
      <c r="E527" s="13"/>
      <c r="F527" s="205"/>
      <c r="G527" s="13"/>
      <c r="H527" s="13"/>
      <c r="I527" s="13"/>
      <c r="J527" s="13"/>
      <c r="K527" s="13"/>
      <c r="L527" s="13"/>
      <c r="M527" s="13"/>
      <c r="N527" s="13"/>
      <c r="O527" s="13"/>
      <c r="P527" s="13"/>
      <c r="Q527" s="13"/>
      <c r="R527" s="13"/>
      <c r="S527" s="13"/>
      <c r="T527" s="13"/>
      <c r="U527" s="13"/>
      <c r="V527" s="13"/>
      <c r="W527" s="13"/>
      <c r="X527" s="13"/>
      <c r="Y527" s="13"/>
      <c r="Z527" s="13"/>
      <c r="AA527" s="13"/>
    </row>
    <row r="528" ht="16.5" customHeight="1">
      <c r="A528" s="10"/>
      <c r="B528" s="10"/>
      <c r="C528" s="13"/>
      <c r="D528" s="13"/>
      <c r="E528" s="13"/>
      <c r="F528" s="205"/>
      <c r="G528" s="13"/>
      <c r="H528" s="13"/>
      <c r="I528" s="13"/>
      <c r="J528" s="13"/>
      <c r="K528" s="13"/>
      <c r="L528" s="13"/>
      <c r="M528" s="13"/>
      <c r="N528" s="13"/>
      <c r="O528" s="13"/>
      <c r="P528" s="13"/>
      <c r="Q528" s="13"/>
      <c r="R528" s="13"/>
      <c r="S528" s="13"/>
      <c r="T528" s="13"/>
      <c r="U528" s="13"/>
      <c r="V528" s="13"/>
      <c r="W528" s="13"/>
      <c r="X528" s="13"/>
      <c r="Y528" s="13"/>
      <c r="Z528" s="13"/>
      <c r="AA528" s="13"/>
    </row>
    <row r="529" ht="16.5" customHeight="1">
      <c r="A529" s="10"/>
      <c r="B529" s="10"/>
      <c r="C529" s="13"/>
      <c r="D529" s="13"/>
      <c r="E529" s="13"/>
      <c r="F529" s="205"/>
      <c r="G529" s="13"/>
      <c r="H529" s="13"/>
      <c r="I529" s="13"/>
      <c r="J529" s="13"/>
      <c r="K529" s="13"/>
      <c r="L529" s="13"/>
      <c r="M529" s="13"/>
      <c r="N529" s="13"/>
      <c r="O529" s="13"/>
      <c r="P529" s="13"/>
      <c r="Q529" s="13"/>
      <c r="R529" s="13"/>
      <c r="S529" s="13"/>
      <c r="T529" s="13"/>
      <c r="U529" s="13"/>
      <c r="V529" s="13"/>
      <c r="W529" s="13"/>
      <c r="X529" s="13"/>
      <c r="Y529" s="13"/>
      <c r="Z529" s="13"/>
      <c r="AA529" s="13"/>
    </row>
    <row r="530" ht="16.5" customHeight="1">
      <c r="A530" s="10"/>
      <c r="B530" s="10"/>
      <c r="C530" s="13"/>
      <c r="D530" s="13"/>
      <c r="E530" s="13"/>
      <c r="F530" s="205"/>
      <c r="G530" s="13"/>
      <c r="H530" s="13"/>
      <c r="I530" s="13"/>
      <c r="J530" s="13"/>
      <c r="K530" s="13"/>
      <c r="L530" s="13"/>
      <c r="M530" s="13"/>
      <c r="N530" s="13"/>
      <c r="O530" s="13"/>
      <c r="P530" s="13"/>
      <c r="Q530" s="13"/>
      <c r="R530" s="13"/>
      <c r="S530" s="13"/>
      <c r="T530" s="13"/>
      <c r="U530" s="13"/>
      <c r="V530" s="13"/>
      <c r="W530" s="13"/>
      <c r="X530" s="13"/>
      <c r="Y530" s="13"/>
      <c r="Z530" s="13"/>
      <c r="AA530" s="13"/>
    </row>
    <row r="531" ht="16.5" customHeight="1">
      <c r="A531" s="10"/>
      <c r="B531" s="10"/>
      <c r="C531" s="13"/>
      <c r="D531" s="13"/>
      <c r="E531" s="13"/>
      <c r="F531" s="205"/>
      <c r="G531" s="13"/>
      <c r="H531" s="13"/>
      <c r="I531" s="13"/>
      <c r="J531" s="13"/>
      <c r="K531" s="13"/>
      <c r="L531" s="13"/>
      <c r="M531" s="13"/>
      <c r="N531" s="13"/>
      <c r="O531" s="13"/>
      <c r="P531" s="13"/>
      <c r="Q531" s="13"/>
      <c r="R531" s="13"/>
      <c r="S531" s="13"/>
      <c r="T531" s="13"/>
      <c r="U531" s="13"/>
      <c r="V531" s="13"/>
      <c r="W531" s="13"/>
      <c r="X531" s="13"/>
      <c r="Y531" s="13"/>
      <c r="Z531" s="13"/>
      <c r="AA531" s="13"/>
    </row>
    <row r="532" ht="16.5" customHeight="1">
      <c r="A532" s="10"/>
      <c r="B532" s="10"/>
      <c r="C532" s="13"/>
      <c r="D532" s="13"/>
      <c r="E532" s="13"/>
      <c r="F532" s="205"/>
      <c r="G532" s="13"/>
      <c r="H532" s="13"/>
      <c r="I532" s="13"/>
      <c r="J532" s="13"/>
      <c r="K532" s="13"/>
      <c r="L532" s="13"/>
      <c r="M532" s="13"/>
      <c r="N532" s="13"/>
      <c r="O532" s="13"/>
      <c r="P532" s="13"/>
      <c r="Q532" s="13"/>
      <c r="R532" s="13"/>
      <c r="S532" s="13"/>
      <c r="T532" s="13"/>
      <c r="U532" s="13"/>
      <c r="V532" s="13"/>
      <c r="W532" s="13"/>
      <c r="X532" s="13"/>
      <c r="Y532" s="13"/>
      <c r="Z532" s="13"/>
      <c r="AA532" s="13"/>
    </row>
    <row r="533" ht="16.5" customHeight="1">
      <c r="A533" s="10"/>
      <c r="B533" s="10"/>
      <c r="C533" s="13"/>
      <c r="D533" s="13"/>
      <c r="E533" s="13"/>
      <c r="F533" s="205"/>
      <c r="G533" s="13"/>
      <c r="H533" s="13"/>
      <c r="I533" s="13"/>
      <c r="J533" s="13"/>
      <c r="K533" s="13"/>
      <c r="L533" s="13"/>
      <c r="M533" s="13"/>
      <c r="N533" s="13"/>
      <c r="O533" s="13"/>
      <c r="P533" s="13"/>
      <c r="Q533" s="13"/>
      <c r="R533" s="13"/>
      <c r="S533" s="13"/>
      <c r="T533" s="13"/>
      <c r="U533" s="13"/>
      <c r="V533" s="13"/>
      <c r="W533" s="13"/>
      <c r="X533" s="13"/>
      <c r="Y533" s="13"/>
      <c r="Z533" s="13"/>
      <c r="AA533" s="13"/>
    </row>
    <row r="534" ht="16.5" customHeight="1">
      <c r="A534" s="10"/>
      <c r="B534" s="10"/>
      <c r="C534" s="13"/>
      <c r="D534" s="13"/>
      <c r="E534" s="13"/>
      <c r="F534" s="205"/>
      <c r="G534" s="13"/>
      <c r="H534" s="13"/>
      <c r="I534" s="13"/>
      <c r="J534" s="13"/>
      <c r="K534" s="13"/>
      <c r="L534" s="13"/>
      <c r="M534" s="13"/>
      <c r="N534" s="13"/>
      <c r="O534" s="13"/>
      <c r="P534" s="13"/>
      <c r="Q534" s="13"/>
      <c r="R534" s="13"/>
      <c r="S534" s="13"/>
      <c r="T534" s="13"/>
      <c r="U534" s="13"/>
      <c r="V534" s="13"/>
      <c r="W534" s="13"/>
      <c r="X534" s="13"/>
      <c r="Y534" s="13"/>
      <c r="Z534" s="13"/>
      <c r="AA534" s="13"/>
    </row>
    <row r="535" ht="16.5" customHeight="1">
      <c r="A535" s="10"/>
      <c r="B535" s="10"/>
      <c r="C535" s="13"/>
      <c r="D535" s="13"/>
      <c r="E535" s="13"/>
      <c r="F535" s="205"/>
      <c r="G535" s="13"/>
      <c r="H535" s="13"/>
      <c r="I535" s="13"/>
      <c r="J535" s="13"/>
      <c r="K535" s="13"/>
      <c r="L535" s="13"/>
      <c r="M535" s="13"/>
      <c r="N535" s="13"/>
      <c r="O535" s="13"/>
      <c r="P535" s="13"/>
      <c r="Q535" s="13"/>
      <c r="R535" s="13"/>
      <c r="S535" s="13"/>
      <c r="T535" s="13"/>
      <c r="U535" s="13"/>
      <c r="V535" s="13"/>
      <c r="W535" s="13"/>
      <c r="X535" s="13"/>
      <c r="Y535" s="13"/>
      <c r="Z535" s="13"/>
      <c r="AA535" s="13"/>
    </row>
    <row r="536" ht="16.5" customHeight="1">
      <c r="A536" s="10"/>
      <c r="B536" s="10"/>
      <c r="C536" s="13"/>
      <c r="D536" s="13"/>
      <c r="E536" s="13"/>
      <c r="F536" s="205"/>
      <c r="G536" s="13"/>
      <c r="H536" s="13"/>
      <c r="I536" s="13"/>
      <c r="J536" s="13"/>
      <c r="K536" s="13"/>
      <c r="L536" s="13"/>
      <c r="M536" s="13"/>
      <c r="N536" s="13"/>
      <c r="O536" s="13"/>
      <c r="P536" s="13"/>
      <c r="Q536" s="13"/>
      <c r="R536" s="13"/>
      <c r="S536" s="13"/>
      <c r="T536" s="13"/>
      <c r="U536" s="13"/>
      <c r="V536" s="13"/>
      <c r="W536" s="13"/>
      <c r="X536" s="13"/>
      <c r="Y536" s="13"/>
      <c r="Z536" s="13"/>
      <c r="AA536" s="13"/>
    </row>
    <row r="537" ht="16.5" customHeight="1">
      <c r="A537" s="10"/>
      <c r="B537" s="10"/>
      <c r="C537" s="13"/>
      <c r="D537" s="13"/>
      <c r="E537" s="13"/>
      <c r="F537" s="205"/>
      <c r="G537" s="13"/>
      <c r="H537" s="13"/>
      <c r="I537" s="13"/>
      <c r="J537" s="13"/>
      <c r="K537" s="13"/>
      <c r="L537" s="13"/>
      <c r="M537" s="13"/>
      <c r="N537" s="13"/>
      <c r="O537" s="13"/>
      <c r="P537" s="13"/>
      <c r="Q537" s="13"/>
      <c r="R537" s="13"/>
      <c r="S537" s="13"/>
      <c r="T537" s="13"/>
      <c r="U537" s="13"/>
      <c r="V537" s="13"/>
      <c r="W537" s="13"/>
      <c r="X537" s="13"/>
      <c r="Y537" s="13"/>
      <c r="Z537" s="13"/>
      <c r="AA537" s="13"/>
    </row>
    <row r="538" ht="16.5" customHeight="1">
      <c r="A538" s="10"/>
      <c r="B538" s="10"/>
      <c r="C538" s="13"/>
      <c r="D538" s="13"/>
      <c r="E538" s="13"/>
      <c r="F538" s="205"/>
      <c r="G538" s="13"/>
      <c r="H538" s="13"/>
      <c r="I538" s="13"/>
      <c r="J538" s="13"/>
      <c r="K538" s="13"/>
      <c r="L538" s="13"/>
      <c r="M538" s="13"/>
      <c r="N538" s="13"/>
      <c r="O538" s="13"/>
      <c r="P538" s="13"/>
      <c r="Q538" s="13"/>
      <c r="R538" s="13"/>
      <c r="S538" s="13"/>
      <c r="T538" s="13"/>
      <c r="U538" s="13"/>
      <c r="V538" s="13"/>
      <c r="W538" s="13"/>
      <c r="X538" s="13"/>
      <c r="Y538" s="13"/>
      <c r="Z538" s="13"/>
      <c r="AA538" s="13"/>
    </row>
    <row r="539" ht="16.5" customHeight="1">
      <c r="A539" s="10"/>
      <c r="B539" s="10"/>
      <c r="C539" s="13"/>
      <c r="D539" s="13"/>
      <c r="E539" s="13"/>
      <c r="F539" s="205"/>
      <c r="G539" s="13"/>
      <c r="H539" s="13"/>
      <c r="I539" s="13"/>
      <c r="J539" s="13"/>
      <c r="K539" s="13"/>
      <c r="L539" s="13"/>
      <c r="M539" s="13"/>
      <c r="N539" s="13"/>
      <c r="O539" s="13"/>
      <c r="P539" s="13"/>
      <c r="Q539" s="13"/>
      <c r="R539" s="13"/>
      <c r="S539" s="13"/>
      <c r="T539" s="13"/>
      <c r="U539" s="13"/>
      <c r="V539" s="13"/>
      <c r="W539" s="13"/>
      <c r="X539" s="13"/>
      <c r="Y539" s="13"/>
      <c r="Z539" s="13"/>
      <c r="AA539" s="13"/>
    </row>
    <row r="540" ht="16.5" customHeight="1">
      <c r="A540" s="10"/>
      <c r="B540" s="10"/>
      <c r="C540" s="13"/>
      <c r="D540" s="13"/>
      <c r="E540" s="13"/>
      <c r="F540" s="205"/>
      <c r="G540" s="13"/>
      <c r="H540" s="13"/>
      <c r="I540" s="13"/>
      <c r="J540" s="13"/>
      <c r="K540" s="13"/>
      <c r="L540" s="13"/>
      <c r="M540" s="13"/>
      <c r="N540" s="13"/>
      <c r="O540" s="13"/>
      <c r="P540" s="13"/>
      <c r="Q540" s="13"/>
      <c r="R540" s="13"/>
      <c r="S540" s="13"/>
      <c r="T540" s="13"/>
      <c r="U540" s="13"/>
      <c r="V540" s="13"/>
      <c r="W540" s="13"/>
      <c r="X540" s="13"/>
      <c r="Y540" s="13"/>
      <c r="Z540" s="13"/>
      <c r="AA540" s="13"/>
    </row>
    <row r="541" ht="16.5" customHeight="1">
      <c r="A541" s="10"/>
      <c r="B541" s="10"/>
      <c r="C541" s="13"/>
      <c r="D541" s="13"/>
      <c r="E541" s="13"/>
      <c r="F541" s="205"/>
      <c r="G541" s="13"/>
      <c r="H541" s="13"/>
      <c r="I541" s="13"/>
      <c r="J541" s="13"/>
      <c r="K541" s="13"/>
      <c r="L541" s="13"/>
      <c r="M541" s="13"/>
      <c r="N541" s="13"/>
      <c r="O541" s="13"/>
      <c r="P541" s="13"/>
      <c r="Q541" s="13"/>
      <c r="R541" s="13"/>
      <c r="S541" s="13"/>
      <c r="T541" s="13"/>
      <c r="U541" s="13"/>
      <c r="V541" s="13"/>
      <c r="W541" s="13"/>
      <c r="X541" s="13"/>
      <c r="Y541" s="13"/>
      <c r="Z541" s="13"/>
      <c r="AA541" s="13"/>
    </row>
    <row r="542" ht="16.5" customHeight="1">
      <c r="A542" s="10"/>
      <c r="B542" s="10"/>
      <c r="C542" s="13"/>
      <c r="D542" s="13"/>
      <c r="E542" s="13"/>
      <c r="F542" s="205"/>
      <c r="G542" s="13"/>
      <c r="H542" s="13"/>
      <c r="I542" s="13"/>
      <c r="J542" s="13"/>
      <c r="K542" s="13"/>
      <c r="L542" s="13"/>
      <c r="M542" s="13"/>
      <c r="N542" s="13"/>
      <c r="O542" s="13"/>
      <c r="P542" s="13"/>
      <c r="Q542" s="13"/>
      <c r="R542" s="13"/>
      <c r="S542" s="13"/>
      <c r="T542" s="13"/>
      <c r="U542" s="13"/>
      <c r="V542" s="13"/>
      <c r="W542" s="13"/>
      <c r="X542" s="13"/>
      <c r="Y542" s="13"/>
      <c r="Z542" s="13"/>
      <c r="AA542" s="13"/>
    </row>
    <row r="543" ht="16.5" customHeight="1">
      <c r="A543" s="10"/>
      <c r="B543" s="10"/>
      <c r="C543" s="13"/>
      <c r="D543" s="13"/>
      <c r="E543" s="13"/>
      <c r="F543" s="205"/>
      <c r="G543" s="13"/>
      <c r="H543" s="13"/>
      <c r="I543" s="13"/>
      <c r="J543" s="13"/>
      <c r="K543" s="13"/>
      <c r="L543" s="13"/>
      <c r="M543" s="13"/>
      <c r="N543" s="13"/>
      <c r="O543" s="13"/>
      <c r="P543" s="13"/>
      <c r="Q543" s="13"/>
      <c r="R543" s="13"/>
      <c r="S543" s="13"/>
      <c r="T543" s="13"/>
      <c r="U543" s="13"/>
      <c r="V543" s="13"/>
      <c r="W543" s="13"/>
      <c r="X543" s="13"/>
      <c r="Y543" s="13"/>
      <c r="Z543" s="13"/>
      <c r="AA543" s="13"/>
    </row>
    <row r="544" ht="16.5" customHeight="1">
      <c r="A544" s="10"/>
      <c r="B544" s="10"/>
      <c r="C544" s="13"/>
      <c r="D544" s="13"/>
      <c r="E544" s="13"/>
      <c r="F544" s="205"/>
      <c r="G544" s="13"/>
      <c r="H544" s="13"/>
      <c r="I544" s="13"/>
      <c r="J544" s="13"/>
      <c r="K544" s="13"/>
      <c r="L544" s="13"/>
      <c r="M544" s="13"/>
      <c r="N544" s="13"/>
      <c r="O544" s="13"/>
      <c r="P544" s="13"/>
      <c r="Q544" s="13"/>
      <c r="R544" s="13"/>
      <c r="S544" s="13"/>
      <c r="T544" s="13"/>
      <c r="U544" s="13"/>
      <c r="V544" s="13"/>
      <c r="W544" s="13"/>
      <c r="X544" s="13"/>
      <c r="Y544" s="13"/>
      <c r="Z544" s="13"/>
      <c r="AA544" s="13"/>
    </row>
    <row r="545" ht="16.5" customHeight="1">
      <c r="A545" s="10"/>
      <c r="B545" s="10"/>
      <c r="C545" s="13"/>
      <c r="D545" s="13"/>
      <c r="E545" s="13"/>
      <c r="F545" s="205"/>
      <c r="G545" s="13"/>
      <c r="H545" s="13"/>
      <c r="I545" s="13"/>
      <c r="J545" s="13"/>
      <c r="K545" s="13"/>
      <c r="L545" s="13"/>
      <c r="M545" s="13"/>
      <c r="N545" s="13"/>
      <c r="O545" s="13"/>
      <c r="P545" s="13"/>
      <c r="Q545" s="13"/>
      <c r="R545" s="13"/>
      <c r="S545" s="13"/>
      <c r="T545" s="13"/>
      <c r="U545" s="13"/>
      <c r="V545" s="13"/>
      <c r="W545" s="13"/>
      <c r="X545" s="13"/>
      <c r="Y545" s="13"/>
      <c r="Z545" s="13"/>
      <c r="AA545" s="13"/>
    </row>
    <row r="546" ht="16.5" customHeight="1">
      <c r="A546" s="10"/>
      <c r="B546" s="10"/>
      <c r="C546" s="13"/>
      <c r="D546" s="13"/>
      <c r="E546" s="13"/>
      <c r="F546" s="205"/>
      <c r="G546" s="13"/>
      <c r="H546" s="13"/>
      <c r="I546" s="13"/>
      <c r="J546" s="13"/>
      <c r="K546" s="13"/>
      <c r="L546" s="13"/>
      <c r="M546" s="13"/>
      <c r="N546" s="13"/>
      <c r="O546" s="13"/>
      <c r="P546" s="13"/>
      <c r="Q546" s="13"/>
      <c r="R546" s="13"/>
      <c r="S546" s="13"/>
      <c r="T546" s="13"/>
      <c r="U546" s="13"/>
      <c r="V546" s="13"/>
      <c r="W546" s="13"/>
      <c r="X546" s="13"/>
      <c r="Y546" s="13"/>
      <c r="Z546" s="13"/>
      <c r="AA546" s="13"/>
    </row>
    <row r="547" ht="16.5" customHeight="1">
      <c r="A547" s="10"/>
      <c r="B547" s="10"/>
      <c r="C547" s="13"/>
      <c r="D547" s="13"/>
      <c r="E547" s="13"/>
      <c r="F547" s="205"/>
      <c r="G547" s="13"/>
      <c r="H547" s="13"/>
      <c r="I547" s="13"/>
      <c r="J547" s="13"/>
      <c r="K547" s="13"/>
      <c r="L547" s="13"/>
      <c r="M547" s="13"/>
      <c r="N547" s="13"/>
      <c r="O547" s="13"/>
      <c r="P547" s="13"/>
      <c r="Q547" s="13"/>
      <c r="R547" s="13"/>
      <c r="S547" s="13"/>
      <c r="T547" s="13"/>
      <c r="U547" s="13"/>
      <c r="V547" s="13"/>
      <c r="W547" s="13"/>
      <c r="X547" s="13"/>
      <c r="Y547" s="13"/>
      <c r="Z547" s="13"/>
      <c r="AA547" s="13"/>
    </row>
    <row r="548" ht="16.5" customHeight="1">
      <c r="A548" s="10"/>
      <c r="B548" s="10"/>
      <c r="C548" s="13"/>
      <c r="D548" s="13"/>
      <c r="E548" s="13"/>
      <c r="F548" s="205"/>
      <c r="G548" s="13"/>
      <c r="H548" s="13"/>
      <c r="I548" s="13"/>
      <c r="J548" s="13"/>
      <c r="K548" s="13"/>
      <c r="L548" s="13"/>
      <c r="M548" s="13"/>
      <c r="N548" s="13"/>
      <c r="O548" s="13"/>
      <c r="P548" s="13"/>
      <c r="Q548" s="13"/>
      <c r="R548" s="13"/>
      <c r="S548" s="13"/>
      <c r="T548" s="13"/>
      <c r="U548" s="13"/>
      <c r="V548" s="13"/>
      <c r="W548" s="13"/>
      <c r="X548" s="13"/>
      <c r="Y548" s="13"/>
      <c r="Z548" s="13"/>
      <c r="AA548" s="13"/>
    </row>
    <row r="549" ht="16.5" customHeight="1">
      <c r="A549" s="10"/>
      <c r="B549" s="10"/>
      <c r="C549" s="13"/>
      <c r="D549" s="13"/>
      <c r="E549" s="13"/>
      <c r="F549" s="205"/>
      <c r="G549" s="13"/>
      <c r="H549" s="13"/>
      <c r="I549" s="13"/>
      <c r="J549" s="13"/>
      <c r="K549" s="13"/>
      <c r="L549" s="13"/>
      <c r="M549" s="13"/>
      <c r="N549" s="13"/>
      <c r="O549" s="13"/>
      <c r="P549" s="13"/>
      <c r="Q549" s="13"/>
      <c r="R549" s="13"/>
      <c r="S549" s="13"/>
      <c r="T549" s="13"/>
      <c r="U549" s="13"/>
      <c r="V549" s="13"/>
      <c r="W549" s="13"/>
      <c r="X549" s="13"/>
      <c r="Y549" s="13"/>
      <c r="Z549" s="13"/>
      <c r="AA549" s="13"/>
    </row>
    <row r="550" ht="16.5" customHeight="1">
      <c r="A550" s="10"/>
      <c r="B550" s="10"/>
      <c r="C550" s="13"/>
      <c r="D550" s="13"/>
      <c r="E550" s="13"/>
      <c r="F550" s="205"/>
      <c r="G550" s="13"/>
      <c r="H550" s="13"/>
      <c r="I550" s="13"/>
      <c r="J550" s="13"/>
      <c r="K550" s="13"/>
      <c r="L550" s="13"/>
      <c r="M550" s="13"/>
      <c r="N550" s="13"/>
      <c r="O550" s="13"/>
      <c r="P550" s="13"/>
      <c r="Q550" s="13"/>
      <c r="R550" s="13"/>
      <c r="S550" s="13"/>
      <c r="T550" s="13"/>
      <c r="U550" s="13"/>
      <c r="V550" s="13"/>
      <c r="W550" s="13"/>
      <c r="X550" s="13"/>
      <c r="Y550" s="13"/>
      <c r="Z550" s="13"/>
      <c r="AA550" s="13"/>
    </row>
    <row r="551" ht="16.5" customHeight="1">
      <c r="A551" s="10"/>
      <c r="B551" s="10"/>
      <c r="C551" s="13"/>
      <c r="D551" s="13"/>
      <c r="E551" s="13"/>
      <c r="F551" s="205"/>
      <c r="G551" s="13"/>
      <c r="H551" s="13"/>
      <c r="I551" s="13"/>
      <c r="J551" s="13"/>
      <c r="K551" s="13"/>
      <c r="L551" s="13"/>
      <c r="M551" s="13"/>
      <c r="N551" s="13"/>
      <c r="O551" s="13"/>
      <c r="P551" s="13"/>
      <c r="Q551" s="13"/>
      <c r="R551" s="13"/>
      <c r="S551" s="13"/>
      <c r="T551" s="13"/>
      <c r="U551" s="13"/>
      <c r="V551" s="13"/>
      <c r="W551" s="13"/>
      <c r="X551" s="13"/>
      <c r="Y551" s="13"/>
      <c r="Z551" s="13"/>
      <c r="AA551" s="13"/>
    </row>
    <row r="552" ht="16.5" customHeight="1">
      <c r="A552" s="10"/>
      <c r="B552" s="10"/>
      <c r="C552" s="13"/>
      <c r="D552" s="13"/>
      <c r="E552" s="13"/>
      <c r="F552" s="205"/>
      <c r="G552" s="13"/>
      <c r="H552" s="13"/>
      <c r="I552" s="13"/>
      <c r="J552" s="13"/>
      <c r="K552" s="13"/>
      <c r="L552" s="13"/>
      <c r="M552" s="13"/>
      <c r="N552" s="13"/>
      <c r="O552" s="13"/>
      <c r="P552" s="13"/>
      <c r="Q552" s="13"/>
      <c r="R552" s="13"/>
      <c r="S552" s="13"/>
      <c r="T552" s="13"/>
      <c r="U552" s="13"/>
      <c r="V552" s="13"/>
      <c r="W552" s="13"/>
      <c r="X552" s="13"/>
      <c r="Y552" s="13"/>
      <c r="Z552" s="13"/>
      <c r="AA552" s="13"/>
    </row>
    <row r="553" ht="16.5" customHeight="1">
      <c r="A553" s="10"/>
      <c r="B553" s="10"/>
      <c r="C553" s="13"/>
      <c r="D553" s="13"/>
      <c r="E553" s="13"/>
      <c r="F553" s="205"/>
      <c r="G553" s="13"/>
      <c r="H553" s="13"/>
      <c r="I553" s="13"/>
      <c r="J553" s="13"/>
      <c r="K553" s="13"/>
      <c r="L553" s="13"/>
      <c r="M553" s="13"/>
      <c r="N553" s="13"/>
      <c r="O553" s="13"/>
      <c r="P553" s="13"/>
      <c r="Q553" s="13"/>
      <c r="R553" s="13"/>
      <c r="S553" s="13"/>
      <c r="T553" s="13"/>
      <c r="U553" s="13"/>
      <c r="V553" s="13"/>
      <c r="W553" s="13"/>
      <c r="X553" s="13"/>
      <c r="Y553" s="13"/>
      <c r="Z553" s="13"/>
      <c r="AA553" s="13"/>
    </row>
    <row r="554" ht="16.5" customHeight="1">
      <c r="A554" s="10"/>
      <c r="B554" s="10"/>
      <c r="C554" s="13"/>
      <c r="D554" s="13"/>
      <c r="E554" s="13"/>
      <c r="F554" s="205"/>
      <c r="G554" s="13"/>
      <c r="H554" s="13"/>
      <c r="I554" s="13"/>
      <c r="J554" s="13"/>
      <c r="K554" s="13"/>
      <c r="L554" s="13"/>
      <c r="M554" s="13"/>
      <c r="N554" s="13"/>
      <c r="O554" s="13"/>
      <c r="P554" s="13"/>
      <c r="Q554" s="13"/>
      <c r="R554" s="13"/>
      <c r="S554" s="13"/>
      <c r="T554" s="13"/>
      <c r="U554" s="13"/>
      <c r="V554" s="13"/>
      <c r="W554" s="13"/>
      <c r="X554" s="13"/>
      <c r="Y554" s="13"/>
      <c r="Z554" s="13"/>
      <c r="AA554" s="13"/>
    </row>
    <row r="555" ht="16.5" customHeight="1">
      <c r="A555" s="10"/>
      <c r="B555" s="10"/>
      <c r="C555" s="13"/>
      <c r="D555" s="13"/>
      <c r="E555" s="13"/>
      <c r="F555" s="205"/>
      <c r="G555" s="13"/>
      <c r="H555" s="13"/>
      <c r="I555" s="13"/>
      <c r="J555" s="13"/>
      <c r="K555" s="13"/>
      <c r="L555" s="13"/>
      <c r="M555" s="13"/>
      <c r="N555" s="13"/>
      <c r="O555" s="13"/>
      <c r="P555" s="13"/>
      <c r="Q555" s="13"/>
      <c r="R555" s="13"/>
      <c r="S555" s="13"/>
      <c r="T555" s="13"/>
      <c r="U555" s="13"/>
      <c r="V555" s="13"/>
      <c r="W555" s="13"/>
      <c r="X555" s="13"/>
      <c r="Y555" s="13"/>
      <c r="Z555" s="13"/>
      <c r="AA555" s="13"/>
    </row>
    <row r="556" ht="16.5" customHeight="1">
      <c r="A556" s="10"/>
      <c r="B556" s="10"/>
      <c r="C556" s="13"/>
      <c r="D556" s="13"/>
      <c r="E556" s="13"/>
      <c r="F556" s="205"/>
      <c r="G556" s="13"/>
      <c r="H556" s="13"/>
      <c r="I556" s="13"/>
      <c r="J556" s="13"/>
      <c r="K556" s="13"/>
      <c r="L556" s="13"/>
      <c r="M556" s="13"/>
      <c r="N556" s="13"/>
      <c r="O556" s="13"/>
      <c r="P556" s="13"/>
      <c r="Q556" s="13"/>
      <c r="R556" s="13"/>
      <c r="S556" s="13"/>
      <c r="T556" s="13"/>
      <c r="U556" s="13"/>
      <c r="V556" s="13"/>
      <c r="W556" s="13"/>
      <c r="X556" s="13"/>
      <c r="Y556" s="13"/>
      <c r="Z556" s="13"/>
      <c r="AA556" s="13"/>
    </row>
    <row r="557" ht="16.5" customHeight="1">
      <c r="A557" s="10"/>
      <c r="B557" s="10"/>
      <c r="C557" s="13"/>
      <c r="D557" s="13"/>
      <c r="E557" s="13"/>
      <c r="F557" s="205"/>
      <c r="G557" s="13"/>
      <c r="H557" s="13"/>
      <c r="I557" s="13"/>
      <c r="J557" s="13"/>
      <c r="K557" s="13"/>
      <c r="L557" s="13"/>
      <c r="M557" s="13"/>
      <c r="N557" s="13"/>
      <c r="O557" s="13"/>
      <c r="P557" s="13"/>
      <c r="Q557" s="13"/>
      <c r="R557" s="13"/>
      <c r="S557" s="13"/>
      <c r="T557" s="13"/>
      <c r="U557" s="13"/>
      <c r="V557" s="13"/>
      <c r="W557" s="13"/>
      <c r="X557" s="13"/>
      <c r="Y557" s="13"/>
      <c r="Z557" s="13"/>
      <c r="AA557" s="13"/>
    </row>
    <row r="558" ht="16.5" customHeight="1">
      <c r="A558" s="10"/>
      <c r="B558" s="10"/>
      <c r="C558" s="13"/>
      <c r="D558" s="13"/>
      <c r="E558" s="13"/>
      <c r="F558" s="205"/>
      <c r="G558" s="13"/>
      <c r="H558" s="13"/>
      <c r="I558" s="13"/>
      <c r="J558" s="13"/>
      <c r="K558" s="13"/>
      <c r="L558" s="13"/>
      <c r="M558" s="13"/>
      <c r="N558" s="13"/>
      <c r="O558" s="13"/>
      <c r="P558" s="13"/>
      <c r="Q558" s="13"/>
      <c r="R558" s="13"/>
      <c r="S558" s="13"/>
      <c r="T558" s="13"/>
      <c r="U558" s="13"/>
      <c r="V558" s="13"/>
      <c r="W558" s="13"/>
      <c r="X558" s="13"/>
      <c r="Y558" s="13"/>
      <c r="Z558" s="13"/>
      <c r="AA558" s="13"/>
    </row>
    <row r="559" ht="16.5" customHeight="1">
      <c r="A559" s="10"/>
      <c r="B559" s="10"/>
      <c r="C559" s="13"/>
      <c r="D559" s="13"/>
      <c r="E559" s="13"/>
      <c r="F559" s="205"/>
      <c r="G559" s="13"/>
      <c r="H559" s="13"/>
      <c r="I559" s="13"/>
      <c r="J559" s="13"/>
      <c r="K559" s="13"/>
      <c r="L559" s="13"/>
      <c r="M559" s="13"/>
      <c r="N559" s="13"/>
      <c r="O559" s="13"/>
      <c r="P559" s="13"/>
      <c r="Q559" s="13"/>
      <c r="R559" s="13"/>
      <c r="S559" s="13"/>
      <c r="T559" s="13"/>
      <c r="U559" s="13"/>
      <c r="V559" s="13"/>
      <c r="W559" s="13"/>
      <c r="X559" s="13"/>
      <c r="Y559" s="13"/>
      <c r="Z559" s="13"/>
      <c r="AA559" s="13"/>
    </row>
    <row r="560" ht="16.5" customHeight="1">
      <c r="A560" s="10"/>
      <c r="B560" s="10"/>
      <c r="C560" s="13"/>
      <c r="D560" s="13"/>
      <c r="E560" s="13"/>
      <c r="F560" s="205"/>
      <c r="G560" s="13"/>
      <c r="H560" s="13"/>
      <c r="I560" s="13"/>
      <c r="J560" s="13"/>
      <c r="K560" s="13"/>
      <c r="L560" s="13"/>
      <c r="M560" s="13"/>
      <c r="N560" s="13"/>
      <c r="O560" s="13"/>
      <c r="P560" s="13"/>
      <c r="Q560" s="13"/>
      <c r="R560" s="13"/>
      <c r="S560" s="13"/>
      <c r="T560" s="13"/>
      <c r="U560" s="13"/>
      <c r="V560" s="13"/>
      <c r="W560" s="13"/>
      <c r="X560" s="13"/>
      <c r="Y560" s="13"/>
      <c r="Z560" s="13"/>
      <c r="AA560" s="13"/>
    </row>
    <row r="561" ht="16.5" customHeight="1">
      <c r="A561" s="10"/>
      <c r="B561" s="10"/>
      <c r="C561" s="13"/>
      <c r="D561" s="13"/>
      <c r="E561" s="13"/>
      <c r="F561" s="205"/>
      <c r="G561" s="13"/>
      <c r="H561" s="13"/>
      <c r="I561" s="13"/>
      <c r="J561" s="13"/>
      <c r="K561" s="13"/>
      <c r="L561" s="13"/>
      <c r="M561" s="13"/>
      <c r="N561" s="13"/>
      <c r="O561" s="13"/>
      <c r="P561" s="13"/>
      <c r="Q561" s="13"/>
      <c r="R561" s="13"/>
      <c r="S561" s="13"/>
      <c r="T561" s="13"/>
      <c r="U561" s="13"/>
      <c r="V561" s="13"/>
      <c r="W561" s="13"/>
      <c r="X561" s="13"/>
      <c r="Y561" s="13"/>
      <c r="Z561" s="13"/>
      <c r="AA561" s="13"/>
    </row>
    <row r="562" ht="16.5" customHeight="1">
      <c r="A562" s="10"/>
      <c r="B562" s="10"/>
      <c r="C562" s="13"/>
      <c r="D562" s="13"/>
      <c r="E562" s="13"/>
      <c r="F562" s="205"/>
      <c r="G562" s="13"/>
      <c r="H562" s="13"/>
      <c r="I562" s="13"/>
      <c r="J562" s="13"/>
      <c r="K562" s="13"/>
      <c r="L562" s="13"/>
      <c r="M562" s="13"/>
      <c r="N562" s="13"/>
      <c r="O562" s="13"/>
      <c r="P562" s="13"/>
      <c r="Q562" s="13"/>
      <c r="R562" s="13"/>
      <c r="S562" s="13"/>
      <c r="T562" s="13"/>
      <c r="U562" s="13"/>
      <c r="V562" s="13"/>
      <c r="W562" s="13"/>
      <c r="X562" s="13"/>
      <c r="Y562" s="13"/>
      <c r="Z562" s="13"/>
      <c r="AA562" s="13"/>
    </row>
    <row r="563" ht="16.5" customHeight="1">
      <c r="A563" s="10"/>
      <c r="B563" s="10"/>
      <c r="C563" s="13"/>
      <c r="D563" s="13"/>
      <c r="E563" s="13"/>
      <c r="F563" s="205"/>
      <c r="G563" s="13"/>
      <c r="H563" s="13"/>
      <c r="I563" s="13"/>
      <c r="J563" s="13"/>
      <c r="K563" s="13"/>
      <c r="L563" s="13"/>
      <c r="M563" s="13"/>
      <c r="N563" s="13"/>
      <c r="O563" s="13"/>
      <c r="P563" s="13"/>
      <c r="Q563" s="13"/>
      <c r="R563" s="13"/>
      <c r="S563" s="13"/>
      <c r="T563" s="13"/>
      <c r="U563" s="13"/>
      <c r="V563" s="13"/>
      <c r="W563" s="13"/>
      <c r="X563" s="13"/>
      <c r="Y563" s="13"/>
      <c r="Z563" s="13"/>
      <c r="AA563" s="13"/>
    </row>
    <row r="564" ht="16.5" customHeight="1">
      <c r="A564" s="10"/>
      <c r="B564" s="10"/>
      <c r="C564" s="13"/>
      <c r="D564" s="13"/>
      <c r="E564" s="13"/>
      <c r="F564" s="205"/>
      <c r="G564" s="13"/>
      <c r="H564" s="13"/>
      <c r="I564" s="13"/>
      <c r="J564" s="13"/>
      <c r="K564" s="13"/>
      <c r="L564" s="13"/>
      <c r="M564" s="13"/>
      <c r="N564" s="13"/>
      <c r="O564" s="13"/>
      <c r="P564" s="13"/>
      <c r="Q564" s="13"/>
      <c r="R564" s="13"/>
      <c r="S564" s="13"/>
      <c r="T564" s="13"/>
      <c r="U564" s="13"/>
      <c r="V564" s="13"/>
      <c r="W564" s="13"/>
      <c r="X564" s="13"/>
      <c r="Y564" s="13"/>
      <c r="Z564" s="13"/>
      <c r="AA564" s="13"/>
    </row>
    <row r="565" ht="16.5" customHeight="1">
      <c r="A565" s="10"/>
      <c r="B565" s="10"/>
      <c r="C565" s="13"/>
      <c r="D565" s="13"/>
      <c r="E565" s="13"/>
      <c r="F565" s="205"/>
      <c r="G565" s="13"/>
      <c r="H565" s="13"/>
      <c r="I565" s="13"/>
      <c r="J565" s="13"/>
      <c r="K565" s="13"/>
      <c r="L565" s="13"/>
      <c r="M565" s="13"/>
      <c r="N565" s="13"/>
      <c r="O565" s="13"/>
      <c r="P565" s="13"/>
      <c r="Q565" s="13"/>
      <c r="R565" s="13"/>
      <c r="S565" s="13"/>
      <c r="T565" s="13"/>
      <c r="U565" s="13"/>
      <c r="V565" s="13"/>
      <c r="W565" s="13"/>
      <c r="X565" s="13"/>
      <c r="Y565" s="13"/>
      <c r="Z565" s="13"/>
      <c r="AA565" s="13"/>
    </row>
    <row r="566" ht="16.5" customHeight="1">
      <c r="A566" s="10"/>
      <c r="B566" s="10"/>
      <c r="C566" s="13"/>
      <c r="D566" s="13"/>
      <c r="E566" s="13"/>
      <c r="F566" s="205"/>
      <c r="G566" s="13"/>
      <c r="H566" s="13"/>
      <c r="I566" s="13"/>
      <c r="J566" s="13"/>
      <c r="K566" s="13"/>
      <c r="L566" s="13"/>
      <c r="M566" s="13"/>
      <c r="N566" s="13"/>
      <c r="O566" s="13"/>
      <c r="P566" s="13"/>
      <c r="Q566" s="13"/>
      <c r="R566" s="13"/>
      <c r="S566" s="13"/>
      <c r="T566" s="13"/>
      <c r="U566" s="13"/>
      <c r="V566" s="13"/>
      <c r="W566" s="13"/>
      <c r="X566" s="13"/>
      <c r="Y566" s="13"/>
      <c r="Z566" s="13"/>
      <c r="AA566" s="13"/>
    </row>
    <row r="567" ht="16.5" customHeight="1">
      <c r="A567" s="10"/>
      <c r="B567" s="10"/>
      <c r="C567" s="13"/>
      <c r="D567" s="13"/>
      <c r="E567" s="13"/>
      <c r="F567" s="205"/>
      <c r="G567" s="13"/>
      <c r="H567" s="13"/>
      <c r="I567" s="13"/>
      <c r="J567" s="13"/>
      <c r="K567" s="13"/>
      <c r="L567" s="13"/>
      <c r="M567" s="13"/>
      <c r="N567" s="13"/>
      <c r="O567" s="13"/>
      <c r="P567" s="13"/>
      <c r="Q567" s="13"/>
      <c r="R567" s="13"/>
      <c r="S567" s="13"/>
      <c r="T567" s="13"/>
      <c r="U567" s="13"/>
      <c r="V567" s="13"/>
      <c r="W567" s="13"/>
      <c r="X567" s="13"/>
      <c r="Y567" s="13"/>
      <c r="Z567" s="13"/>
      <c r="AA567" s="13"/>
    </row>
    <row r="568" ht="16.5" customHeight="1">
      <c r="A568" s="10"/>
      <c r="B568" s="10"/>
      <c r="C568" s="13"/>
      <c r="D568" s="13"/>
      <c r="E568" s="13"/>
      <c r="F568" s="205"/>
      <c r="G568" s="13"/>
      <c r="H568" s="13"/>
      <c r="I568" s="13"/>
      <c r="J568" s="13"/>
      <c r="K568" s="13"/>
      <c r="L568" s="13"/>
      <c r="M568" s="13"/>
      <c r="N568" s="13"/>
      <c r="O568" s="13"/>
      <c r="P568" s="13"/>
      <c r="Q568" s="13"/>
      <c r="R568" s="13"/>
      <c r="S568" s="13"/>
      <c r="T568" s="13"/>
      <c r="U568" s="13"/>
      <c r="V568" s="13"/>
      <c r="W568" s="13"/>
      <c r="X568" s="13"/>
      <c r="Y568" s="13"/>
      <c r="Z568" s="13"/>
      <c r="AA568" s="13"/>
    </row>
    <row r="569" ht="16.5" customHeight="1">
      <c r="A569" s="10"/>
      <c r="B569" s="10"/>
      <c r="C569" s="13"/>
      <c r="D569" s="13"/>
      <c r="E569" s="13"/>
      <c r="F569" s="205"/>
      <c r="G569" s="13"/>
      <c r="H569" s="13"/>
      <c r="I569" s="13"/>
      <c r="J569" s="13"/>
      <c r="K569" s="13"/>
      <c r="L569" s="13"/>
      <c r="M569" s="13"/>
      <c r="N569" s="13"/>
      <c r="O569" s="13"/>
      <c r="P569" s="13"/>
      <c r="Q569" s="13"/>
      <c r="R569" s="13"/>
      <c r="S569" s="13"/>
      <c r="T569" s="13"/>
      <c r="U569" s="13"/>
      <c r="V569" s="13"/>
      <c r="W569" s="13"/>
      <c r="X569" s="13"/>
      <c r="Y569" s="13"/>
      <c r="Z569" s="13"/>
      <c r="AA569" s="13"/>
    </row>
    <row r="570" ht="16.5" customHeight="1">
      <c r="A570" s="10"/>
      <c r="B570" s="10"/>
      <c r="C570" s="13"/>
      <c r="D570" s="13"/>
      <c r="E570" s="13"/>
      <c r="F570" s="205"/>
      <c r="G570" s="13"/>
      <c r="H570" s="13"/>
      <c r="I570" s="13"/>
      <c r="J570" s="13"/>
      <c r="K570" s="13"/>
      <c r="L570" s="13"/>
      <c r="M570" s="13"/>
      <c r="N570" s="13"/>
      <c r="O570" s="13"/>
      <c r="P570" s="13"/>
      <c r="Q570" s="13"/>
      <c r="R570" s="13"/>
      <c r="S570" s="13"/>
      <c r="T570" s="13"/>
      <c r="U570" s="13"/>
      <c r="V570" s="13"/>
      <c r="W570" s="13"/>
      <c r="X570" s="13"/>
      <c r="Y570" s="13"/>
      <c r="Z570" s="13"/>
      <c r="AA570" s="13"/>
    </row>
    <row r="571" ht="16.5" customHeight="1">
      <c r="A571" s="10"/>
      <c r="B571" s="10"/>
      <c r="C571" s="13"/>
      <c r="D571" s="13"/>
      <c r="E571" s="13"/>
      <c r="F571" s="205"/>
      <c r="G571" s="13"/>
      <c r="H571" s="13"/>
      <c r="I571" s="13"/>
      <c r="J571" s="13"/>
      <c r="K571" s="13"/>
      <c r="L571" s="13"/>
      <c r="M571" s="13"/>
      <c r="N571" s="13"/>
      <c r="O571" s="13"/>
      <c r="P571" s="13"/>
      <c r="Q571" s="13"/>
      <c r="R571" s="13"/>
      <c r="S571" s="13"/>
      <c r="T571" s="13"/>
      <c r="U571" s="13"/>
      <c r="V571" s="13"/>
      <c r="W571" s="13"/>
      <c r="X571" s="13"/>
      <c r="Y571" s="13"/>
      <c r="Z571" s="13"/>
      <c r="AA571" s="13"/>
    </row>
    <row r="572" ht="16.5" customHeight="1">
      <c r="A572" s="10"/>
      <c r="B572" s="10"/>
      <c r="C572" s="13"/>
      <c r="D572" s="13"/>
      <c r="E572" s="13"/>
      <c r="F572" s="205"/>
      <c r="G572" s="13"/>
      <c r="H572" s="13"/>
      <c r="I572" s="13"/>
      <c r="J572" s="13"/>
      <c r="K572" s="13"/>
      <c r="L572" s="13"/>
      <c r="M572" s="13"/>
      <c r="N572" s="13"/>
      <c r="O572" s="13"/>
      <c r="P572" s="13"/>
      <c r="Q572" s="13"/>
      <c r="R572" s="13"/>
      <c r="S572" s="13"/>
      <c r="T572" s="13"/>
      <c r="U572" s="13"/>
      <c r="V572" s="13"/>
      <c r="W572" s="13"/>
      <c r="X572" s="13"/>
      <c r="Y572" s="13"/>
      <c r="Z572" s="13"/>
      <c r="AA572" s="13"/>
    </row>
    <row r="573" ht="16.5" customHeight="1">
      <c r="A573" s="10"/>
      <c r="B573" s="10"/>
      <c r="C573" s="13"/>
      <c r="D573" s="13"/>
      <c r="E573" s="13"/>
      <c r="F573" s="205"/>
      <c r="G573" s="13"/>
      <c r="H573" s="13"/>
      <c r="I573" s="13"/>
      <c r="J573" s="13"/>
      <c r="K573" s="13"/>
      <c r="L573" s="13"/>
      <c r="M573" s="13"/>
      <c r="N573" s="13"/>
      <c r="O573" s="13"/>
      <c r="P573" s="13"/>
      <c r="Q573" s="13"/>
      <c r="R573" s="13"/>
      <c r="S573" s="13"/>
      <c r="T573" s="13"/>
      <c r="U573" s="13"/>
      <c r="V573" s="13"/>
      <c r="W573" s="13"/>
      <c r="X573" s="13"/>
      <c r="Y573" s="13"/>
      <c r="Z573" s="13"/>
      <c r="AA573" s="13"/>
    </row>
    <row r="574" ht="16.5" customHeight="1">
      <c r="A574" s="10"/>
      <c r="B574" s="10"/>
      <c r="C574" s="13"/>
      <c r="D574" s="13"/>
      <c r="E574" s="13"/>
      <c r="F574" s="205"/>
      <c r="G574" s="13"/>
      <c r="H574" s="13"/>
      <c r="I574" s="13"/>
      <c r="J574" s="13"/>
      <c r="K574" s="13"/>
      <c r="L574" s="13"/>
      <c r="M574" s="13"/>
      <c r="N574" s="13"/>
      <c r="O574" s="13"/>
      <c r="P574" s="13"/>
      <c r="Q574" s="13"/>
      <c r="R574" s="13"/>
      <c r="S574" s="13"/>
      <c r="T574" s="13"/>
      <c r="U574" s="13"/>
      <c r="V574" s="13"/>
      <c r="W574" s="13"/>
      <c r="X574" s="13"/>
      <c r="Y574" s="13"/>
      <c r="Z574" s="13"/>
      <c r="AA574" s="13"/>
    </row>
    <row r="575" ht="16.5" customHeight="1">
      <c r="A575" s="10"/>
      <c r="B575" s="10"/>
      <c r="C575" s="13"/>
      <c r="D575" s="13"/>
      <c r="E575" s="13"/>
      <c r="F575" s="205"/>
      <c r="G575" s="13"/>
      <c r="H575" s="13"/>
      <c r="I575" s="13"/>
      <c r="J575" s="13"/>
      <c r="K575" s="13"/>
      <c r="L575" s="13"/>
      <c r="M575" s="13"/>
      <c r="N575" s="13"/>
      <c r="O575" s="13"/>
      <c r="P575" s="13"/>
      <c r="Q575" s="13"/>
      <c r="R575" s="13"/>
      <c r="S575" s="13"/>
      <c r="T575" s="13"/>
      <c r="U575" s="13"/>
      <c r="V575" s="13"/>
      <c r="W575" s="13"/>
      <c r="X575" s="13"/>
      <c r="Y575" s="13"/>
      <c r="Z575" s="13"/>
      <c r="AA575" s="13"/>
    </row>
    <row r="576" ht="16.5" customHeight="1">
      <c r="A576" s="10"/>
      <c r="B576" s="10"/>
      <c r="C576" s="13"/>
      <c r="D576" s="13"/>
      <c r="E576" s="13"/>
      <c r="F576" s="205"/>
      <c r="G576" s="13"/>
      <c r="H576" s="13"/>
      <c r="I576" s="13"/>
      <c r="J576" s="13"/>
      <c r="K576" s="13"/>
      <c r="L576" s="13"/>
      <c r="M576" s="13"/>
      <c r="N576" s="13"/>
      <c r="O576" s="13"/>
      <c r="P576" s="13"/>
      <c r="Q576" s="13"/>
      <c r="R576" s="13"/>
      <c r="S576" s="13"/>
      <c r="T576" s="13"/>
      <c r="U576" s="13"/>
      <c r="V576" s="13"/>
      <c r="W576" s="13"/>
      <c r="X576" s="13"/>
      <c r="Y576" s="13"/>
      <c r="Z576" s="13"/>
      <c r="AA576" s="13"/>
    </row>
    <row r="577" ht="16.5" customHeight="1">
      <c r="A577" s="10"/>
      <c r="B577" s="10"/>
      <c r="C577" s="13"/>
      <c r="D577" s="13"/>
      <c r="E577" s="13"/>
      <c r="F577" s="205"/>
      <c r="G577" s="13"/>
      <c r="H577" s="13"/>
      <c r="I577" s="13"/>
      <c r="J577" s="13"/>
      <c r="K577" s="13"/>
      <c r="L577" s="13"/>
      <c r="M577" s="13"/>
      <c r="N577" s="13"/>
      <c r="O577" s="13"/>
      <c r="P577" s="13"/>
      <c r="Q577" s="13"/>
      <c r="R577" s="13"/>
      <c r="S577" s="13"/>
      <c r="T577" s="13"/>
      <c r="U577" s="13"/>
      <c r="V577" s="13"/>
      <c r="W577" s="13"/>
      <c r="X577" s="13"/>
      <c r="Y577" s="13"/>
      <c r="Z577" s="13"/>
      <c r="AA577" s="13"/>
    </row>
    <row r="578" ht="16.5" customHeight="1">
      <c r="A578" s="10"/>
      <c r="B578" s="10"/>
      <c r="C578" s="13"/>
      <c r="D578" s="13"/>
      <c r="E578" s="13"/>
      <c r="F578" s="205"/>
      <c r="G578" s="13"/>
      <c r="H578" s="13"/>
      <c r="I578" s="13"/>
      <c r="J578" s="13"/>
      <c r="K578" s="13"/>
      <c r="L578" s="13"/>
      <c r="M578" s="13"/>
      <c r="N578" s="13"/>
      <c r="O578" s="13"/>
      <c r="P578" s="13"/>
      <c r="Q578" s="13"/>
      <c r="R578" s="13"/>
      <c r="S578" s="13"/>
      <c r="T578" s="13"/>
      <c r="U578" s="13"/>
      <c r="V578" s="13"/>
      <c r="W578" s="13"/>
      <c r="X578" s="13"/>
      <c r="Y578" s="13"/>
      <c r="Z578" s="13"/>
      <c r="AA578" s="13"/>
    </row>
    <row r="579" ht="16.5" customHeight="1">
      <c r="A579" s="10"/>
      <c r="B579" s="10"/>
      <c r="C579" s="13"/>
      <c r="D579" s="13"/>
      <c r="E579" s="13"/>
      <c r="F579" s="205"/>
      <c r="G579" s="13"/>
      <c r="H579" s="13"/>
      <c r="I579" s="13"/>
      <c r="J579" s="13"/>
      <c r="K579" s="13"/>
      <c r="L579" s="13"/>
      <c r="M579" s="13"/>
      <c r="N579" s="13"/>
      <c r="O579" s="13"/>
      <c r="P579" s="13"/>
      <c r="Q579" s="13"/>
      <c r="R579" s="13"/>
      <c r="S579" s="13"/>
      <c r="T579" s="13"/>
      <c r="U579" s="13"/>
      <c r="V579" s="13"/>
      <c r="W579" s="13"/>
      <c r="X579" s="13"/>
      <c r="Y579" s="13"/>
      <c r="Z579" s="13"/>
      <c r="AA579" s="13"/>
    </row>
    <row r="580" ht="16.5" customHeight="1">
      <c r="A580" s="10"/>
      <c r="B580" s="10"/>
      <c r="C580" s="13"/>
      <c r="D580" s="13"/>
      <c r="E580" s="13"/>
      <c r="F580" s="205"/>
      <c r="G580" s="13"/>
      <c r="H580" s="13"/>
      <c r="I580" s="13"/>
      <c r="J580" s="13"/>
      <c r="K580" s="13"/>
      <c r="L580" s="13"/>
      <c r="M580" s="13"/>
      <c r="N580" s="13"/>
      <c r="O580" s="13"/>
      <c r="P580" s="13"/>
      <c r="Q580" s="13"/>
      <c r="R580" s="13"/>
      <c r="S580" s="13"/>
      <c r="T580" s="13"/>
      <c r="U580" s="13"/>
      <c r="V580" s="13"/>
      <c r="W580" s="13"/>
      <c r="X580" s="13"/>
      <c r="Y580" s="13"/>
      <c r="Z580" s="13"/>
      <c r="AA580" s="13"/>
    </row>
    <row r="581" ht="16.5" customHeight="1">
      <c r="A581" s="10"/>
      <c r="B581" s="10"/>
      <c r="C581" s="13"/>
      <c r="D581" s="13"/>
      <c r="E581" s="13"/>
      <c r="F581" s="205"/>
      <c r="G581" s="13"/>
      <c r="H581" s="13"/>
      <c r="I581" s="13"/>
      <c r="J581" s="13"/>
      <c r="K581" s="13"/>
      <c r="L581" s="13"/>
      <c r="M581" s="13"/>
      <c r="N581" s="13"/>
      <c r="O581" s="13"/>
      <c r="P581" s="13"/>
      <c r="Q581" s="13"/>
      <c r="R581" s="13"/>
      <c r="S581" s="13"/>
      <c r="T581" s="13"/>
      <c r="U581" s="13"/>
      <c r="V581" s="13"/>
      <c r="W581" s="13"/>
      <c r="X581" s="13"/>
      <c r="Y581" s="13"/>
      <c r="Z581" s="13"/>
      <c r="AA581" s="13"/>
    </row>
    <row r="582" ht="16.5" customHeight="1">
      <c r="A582" s="10"/>
      <c r="B582" s="10"/>
      <c r="C582" s="13"/>
      <c r="D582" s="13"/>
      <c r="E582" s="13"/>
      <c r="F582" s="205"/>
      <c r="G582" s="13"/>
      <c r="H582" s="13"/>
      <c r="I582" s="13"/>
      <c r="J582" s="13"/>
      <c r="K582" s="13"/>
      <c r="L582" s="13"/>
      <c r="M582" s="13"/>
      <c r="N582" s="13"/>
      <c r="O582" s="13"/>
      <c r="P582" s="13"/>
      <c r="Q582" s="13"/>
      <c r="R582" s="13"/>
      <c r="S582" s="13"/>
      <c r="T582" s="13"/>
      <c r="U582" s="13"/>
      <c r="V582" s="13"/>
      <c r="W582" s="13"/>
      <c r="X582" s="13"/>
      <c r="Y582" s="13"/>
      <c r="Z582" s="13"/>
      <c r="AA582" s="13"/>
    </row>
    <row r="583" ht="16.5" customHeight="1">
      <c r="A583" s="10"/>
      <c r="B583" s="10"/>
      <c r="C583" s="13"/>
      <c r="D583" s="13"/>
      <c r="E583" s="13"/>
      <c r="F583" s="205"/>
      <c r="G583" s="13"/>
      <c r="H583" s="13"/>
      <c r="I583" s="13"/>
      <c r="J583" s="13"/>
      <c r="K583" s="13"/>
      <c r="L583" s="13"/>
      <c r="M583" s="13"/>
      <c r="N583" s="13"/>
      <c r="O583" s="13"/>
      <c r="P583" s="13"/>
      <c r="Q583" s="13"/>
      <c r="R583" s="13"/>
      <c r="S583" s="13"/>
      <c r="T583" s="13"/>
      <c r="U583" s="13"/>
      <c r="V583" s="13"/>
      <c r="W583" s="13"/>
      <c r="X583" s="13"/>
      <c r="Y583" s="13"/>
      <c r="Z583" s="13"/>
      <c r="AA583" s="13"/>
    </row>
    <row r="584" ht="16.5" customHeight="1">
      <c r="A584" s="10"/>
      <c r="B584" s="10"/>
      <c r="C584" s="13"/>
      <c r="D584" s="13"/>
      <c r="E584" s="13"/>
      <c r="F584" s="205"/>
      <c r="G584" s="13"/>
      <c r="H584" s="13"/>
      <c r="I584" s="13"/>
      <c r="J584" s="13"/>
      <c r="K584" s="13"/>
      <c r="L584" s="13"/>
      <c r="M584" s="13"/>
      <c r="N584" s="13"/>
      <c r="O584" s="13"/>
      <c r="P584" s="13"/>
      <c r="Q584" s="13"/>
      <c r="R584" s="13"/>
      <c r="S584" s="13"/>
      <c r="T584" s="13"/>
      <c r="U584" s="13"/>
      <c r="V584" s="13"/>
      <c r="W584" s="13"/>
      <c r="X584" s="13"/>
      <c r="Y584" s="13"/>
      <c r="Z584" s="13"/>
      <c r="AA584" s="13"/>
    </row>
    <row r="585" ht="16.5" customHeight="1">
      <c r="A585" s="10"/>
      <c r="B585" s="10"/>
      <c r="C585" s="13"/>
      <c r="D585" s="13"/>
      <c r="E585" s="13"/>
      <c r="F585" s="205"/>
      <c r="G585" s="13"/>
      <c r="H585" s="13"/>
      <c r="I585" s="13"/>
      <c r="J585" s="13"/>
      <c r="K585" s="13"/>
      <c r="L585" s="13"/>
      <c r="M585" s="13"/>
      <c r="N585" s="13"/>
      <c r="O585" s="13"/>
      <c r="P585" s="13"/>
      <c r="Q585" s="13"/>
      <c r="R585" s="13"/>
      <c r="S585" s="13"/>
      <c r="T585" s="13"/>
      <c r="U585" s="13"/>
      <c r="V585" s="13"/>
      <c r="W585" s="13"/>
      <c r="X585" s="13"/>
      <c r="Y585" s="13"/>
      <c r="Z585" s="13"/>
      <c r="AA585" s="13"/>
    </row>
    <row r="586" ht="16.5" customHeight="1">
      <c r="A586" s="10"/>
      <c r="B586" s="10"/>
      <c r="C586" s="13"/>
      <c r="D586" s="13"/>
      <c r="E586" s="13"/>
      <c r="F586" s="205"/>
      <c r="G586" s="13"/>
      <c r="H586" s="13"/>
      <c r="I586" s="13"/>
      <c r="J586" s="13"/>
      <c r="K586" s="13"/>
      <c r="L586" s="13"/>
      <c r="M586" s="13"/>
      <c r="N586" s="13"/>
      <c r="O586" s="13"/>
      <c r="P586" s="13"/>
      <c r="Q586" s="13"/>
      <c r="R586" s="13"/>
      <c r="S586" s="13"/>
      <c r="T586" s="13"/>
      <c r="U586" s="13"/>
      <c r="V586" s="13"/>
      <c r="W586" s="13"/>
      <c r="X586" s="13"/>
      <c r="Y586" s="13"/>
      <c r="Z586" s="13"/>
      <c r="AA586" s="13"/>
    </row>
    <row r="587" ht="16.5" customHeight="1">
      <c r="A587" s="10"/>
      <c r="B587" s="10"/>
      <c r="C587" s="13"/>
      <c r="D587" s="13"/>
      <c r="E587" s="13"/>
      <c r="F587" s="205"/>
      <c r="G587" s="13"/>
      <c r="H587" s="13"/>
      <c r="I587" s="13"/>
      <c r="J587" s="13"/>
      <c r="K587" s="13"/>
      <c r="L587" s="13"/>
      <c r="M587" s="13"/>
      <c r="N587" s="13"/>
      <c r="O587" s="13"/>
      <c r="P587" s="13"/>
      <c r="Q587" s="13"/>
      <c r="R587" s="13"/>
      <c r="S587" s="13"/>
      <c r="T587" s="13"/>
      <c r="U587" s="13"/>
      <c r="V587" s="13"/>
      <c r="W587" s="13"/>
      <c r="X587" s="13"/>
      <c r="Y587" s="13"/>
      <c r="Z587" s="13"/>
      <c r="AA587" s="13"/>
    </row>
    <row r="588" ht="16.5" customHeight="1">
      <c r="A588" s="10"/>
      <c r="B588" s="10"/>
      <c r="C588" s="13"/>
      <c r="D588" s="13"/>
      <c r="E588" s="13"/>
      <c r="F588" s="205"/>
      <c r="G588" s="13"/>
      <c r="H588" s="13"/>
      <c r="I588" s="13"/>
      <c r="J588" s="13"/>
      <c r="K588" s="13"/>
      <c r="L588" s="13"/>
      <c r="M588" s="13"/>
      <c r="N588" s="13"/>
      <c r="O588" s="13"/>
      <c r="P588" s="13"/>
      <c r="Q588" s="13"/>
      <c r="R588" s="13"/>
      <c r="S588" s="13"/>
      <c r="T588" s="13"/>
      <c r="U588" s="13"/>
      <c r="V588" s="13"/>
      <c r="W588" s="13"/>
      <c r="X588" s="13"/>
      <c r="Y588" s="13"/>
      <c r="Z588" s="13"/>
      <c r="AA588" s="13"/>
    </row>
    <row r="589" ht="16.5" customHeight="1">
      <c r="A589" s="10"/>
      <c r="B589" s="10"/>
      <c r="C589" s="13"/>
      <c r="D589" s="13"/>
      <c r="E589" s="13"/>
      <c r="F589" s="205"/>
      <c r="G589" s="13"/>
      <c r="H589" s="13"/>
      <c r="I589" s="13"/>
      <c r="J589" s="13"/>
      <c r="K589" s="13"/>
      <c r="L589" s="13"/>
      <c r="M589" s="13"/>
      <c r="N589" s="13"/>
      <c r="O589" s="13"/>
      <c r="P589" s="13"/>
      <c r="Q589" s="13"/>
      <c r="R589" s="13"/>
      <c r="S589" s="13"/>
      <c r="T589" s="13"/>
      <c r="U589" s="13"/>
      <c r="V589" s="13"/>
      <c r="W589" s="13"/>
      <c r="X589" s="13"/>
      <c r="Y589" s="13"/>
      <c r="Z589" s="13"/>
      <c r="AA589" s="13"/>
    </row>
    <row r="590" ht="16.5" customHeight="1">
      <c r="A590" s="10"/>
      <c r="B590" s="10"/>
      <c r="C590" s="13"/>
      <c r="D590" s="13"/>
      <c r="E590" s="13"/>
      <c r="F590" s="205"/>
      <c r="G590" s="13"/>
      <c r="H590" s="13"/>
      <c r="I590" s="13"/>
      <c r="J590" s="13"/>
      <c r="K590" s="13"/>
      <c r="L590" s="13"/>
      <c r="M590" s="13"/>
      <c r="N590" s="13"/>
      <c r="O590" s="13"/>
      <c r="P590" s="13"/>
      <c r="Q590" s="13"/>
      <c r="R590" s="13"/>
      <c r="S590" s="13"/>
      <c r="T590" s="13"/>
      <c r="U590" s="13"/>
      <c r="V590" s="13"/>
      <c r="W590" s="13"/>
      <c r="X590" s="13"/>
      <c r="Y590" s="13"/>
      <c r="Z590" s="13"/>
      <c r="AA590" s="13"/>
    </row>
    <row r="591" ht="16.5" customHeight="1">
      <c r="A591" s="10"/>
      <c r="B591" s="10"/>
      <c r="C591" s="13"/>
      <c r="D591" s="13"/>
      <c r="E591" s="13"/>
      <c r="F591" s="205"/>
      <c r="G591" s="13"/>
      <c r="H591" s="13"/>
      <c r="I591" s="13"/>
      <c r="J591" s="13"/>
      <c r="K591" s="13"/>
      <c r="L591" s="13"/>
      <c r="M591" s="13"/>
      <c r="N591" s="13"/>
      <c r="O591" s="13"/>
      <c r="P591" s="13"/>
      <c r="Q591" s="13"/>
      <c r="R591" s="13"/>
      <c r="S591" s="13"/>
      <c r="T591" s="13"/>
      <c r="U591" s="13"/>
      <c r="V591" s="13"/>
      <c r="W591" s="13"/>
      <c r="X591" s="13"/>
      <c r="Y591" s="13"/>
      <c r="Z591" s="13"/>
      <c r="AA591" s="13"/>
    </row>
    <row r="592" ht="16.5" customHeight="1">
      <c r="A592" s="10"/>
      <c r="B592" s="10"/>
      <c r="C592" s="13"/>
      <c r="D592" s="13"/>
      <c r="E592" s="13"/>
      <c r="F592" s="205"/>
      <c r="G592" s="13"/>
      <c r="H592" s="13"/>
      <c r="I592" s="13"/>
      <c r="J592" s="13"/>
      <c r="K592" s="13"/>
      <c r="L592" s="13"/>
      <c r="M592" s="13"/>
      <c r="N592" s="13"/>
      <c r="O592" s="13"/>
      <c r="P592" s="13"/>
      <c r="Q592" s="13"/>
      <c r="R592" s="13"/>
      <c r="S592" s="13"/>
      <c r="T592" s="13"/>
      <c r="U592" s="13"/>
      <c r="V592" s="13"/>
      <c r="W592" s="13"/>
      <c r="X592" s="13"/>
      <c r="Y592" s="13"/>
      <c r="Z592" s="13"/>
      <c r="AA592" s="13"/>
    </row>
    <row r="593" ht="16.5" customHeight="1">
      <c r="A593" s="10"/>
      <c r="B593" s="10"/>
      <c r="C593" s="13"/>
      <c r="D593" s="13"/>
      <c r="E593" s="13"/>
      <c r="F593" s="205"/>
      <c r="G593" s="13"/>
      <c r="H593" s="13"/>
      <c r="I593" s="13"/>
      <c r="J593" s="13"/>
      <c r="K593" s="13"/>
      <c r="L593" s="13"/>
      <c r="M593" s="13"/>
      <c r="N593" s="13"/>
      <c r="O593" s="13"/>
      <c r="P593" s="13"/>
      <c r="Q593" s="13"/>
      <c r="R593" s="13"/>
      <c r="S593" s="13"/>
      <c r="T593" s="13"/>
      <c r="U593" s="13"/>
      <c r="V593" s="13"/>
      <c r="W593" s="13"/>
      <c r="X593" s="13"/>
      <c r="Y593" s="13"/>
      <c r="Z593" s="13"/>
      <c r="AA593" s="13"/>
    </row>
    <row r="594" ht="16.5" customHeight="1">
      <c r="A594" s="10"/>
      <c r="B594" s="10"/>
      <c r="C594" s="13"/>
      <c r="D594" s="13"/>
      <c r="E594" s="13"/>
      <c r="F594" s="205"/>
      <c r="G594" s="13"/>
      <c r="H594" s="13"/>
      <c r="I594" s="13"/>
      <c r="J594" s="13"/>
      <c r="K594" s="13"/>
      <c r="L594" s="13"/>
      <c r="M594" s="13"/>
      <c r="N594" s="13"/>
      <c r="O594" s="13"/>
      <c r="P594" s="13"/>
      <c r="Q594" s="13"/>
      <c r="R594" s="13"/>
      <c r="S594" s="13"/>
      <c r="T594" s="13"/>
      <c r="U594" s="13"/>
      <c r="V594" s="13"/>
      <c r="W594" s="13"/>
      <c r="X594" s="13"/>
      <c r="Y594" s="13"/>
      <c r="Z594" s="13"/>
      <c r="AA594" s="13"/>
    </row>
    <row r="595" ht="16.5" customHeight="1">
      <c r="A595" s="10"/>
      <c r="B595" s="10"/>
      <c r="C595" s="13"/>
      <c r="D595" s="13"/>
      <c r="E595" s="13"/>
      <c r="F595" s="205"/>
      <c r="G595" s="13"/>
      <c r="H595" s="13"/>
      <c r="I595" s="13"/>
      <c r="J595" s="13"/>
      <c r="K595" s="13"/>
      <c r="L595" s="13"/>
      <c r="M595" s="13"/>
      <c r="N595" s="13"/>
      <c r="O595" s="13"/>
      <c r="P595" s="13"/>
      <c r="Q595" s="13"/>
      <c r="R595" s="13"/>
      <c r="S595" s="13"/>
      <c r="T595" s="13"/>
      <c r="U595" s="13"/>
      <c r="V595" s="13"/>
      <c r="W595" s="13"/>
      <c r="X595" s="13"/>
      <c r="Y595" s="13"/>
      <c r="Z595" s="13"/>
      <c r="AA595" s="13"/>
    </row>
    <row r="596" ht="16.5" customHeight="1">
      <c r="A596" s="10"/>
      <c r="B596" s="10"/>
      <c r="C596" s="13"/>
      <c r="D596" s="13"/>
      <c r="E596" s="13"/>
      <c r="F596" s="205"/>
      <c r="G596" s="13"/>
      <c r="H596" s="13"/>
      <c r="I596" s="13"/>
      <c r="J596" s="13"/>
      <c r="K596" s="13"/>
      <c r="L596" s="13"/>
      <c r="M596" s="13"/>
      <c r="N596" s="13"/>
      <c r="O596" s="13"/>
      <c r="P596" s="13"/>
      <c r="Q596" s="13"/>
      <c r="R596" s="13"/>
      <c r="S596" s="13"/>
      <c r="T596" s="13"/>
      <c r="U596" s="13"/>
      <c r="V596" s="13"/>
      <c r="W596" s="13"/>
      <c r="X596" s="13"/>
      <c r="Y596" s="13"/>
      <c r="Z596" s="13"/>
      <c r="AA596" s="13"/>
    </row>
    <row r="597" ht="16.5" customHeight="1">
      <c r="A597" s="10"/>
      <c r="B597" s="10"/>
      <c r="C597" s="13"/>
      <c r="D597" s="13"/>
      <c r="E597" s="13"/>
      <c r="F597" s="205"/>
      <c r="G597" s="13"/>
      <c r="H597" s="13"/>
      <c r="I597" s="13"/>
      <c r="J597" s="13"/>
      <c r="K597" s="13"/>
      <c r="L597" s="13"/>
      <c r="M597" s="13"/>
      <c r="N597" s="13"/>
      <c r="O597" s="13"/>
      <c r="P597" s="13"/>
      <c r="Q597" s="13"/>
      <c r="R597" s="13"/>
      <c r="S597" s="13"/>
      <c r="T597" s="13"/>
      <c r="U597" s="13"/>
      <c r="V597" s="13"/>
      <c r="W597" s="13"/>
      <c r="X597" s="13"/>
      <c r="Y597" s="13"/>
      <c r="Z597" s="13"/>
      <c r="AA597" s="13"/>
    </row>
    <row r="598" ht="16.5" customHeight="1">
      <c r="A598" s="10"/>
      <c r="B598" s="10"/>
      <c r="C598" s="13"/>
      <c r="D598" s="13"/>
      <c r="E598" s="13"/>
      <c r="F598" s="205"/>
      <c r="G598" s="13"/>
      <c r="H598" s="13"/>
      <c r="I598" s="13"/>
      <c r="J598" s="13"/>
      <c r="K598" s="13"/>
      <c r="L598" s="13"/>
      <c r="M598" s="13"/>
      <c r="N598" s="13"/>
      <c r="O598" s="13"/>
      <c r="P598" s="13"/>
      <c r="Q598" s="13"/>
      <c r="R598" s="13"/>
      <c r="S598" s="13"/>
      <c r="T598" s="13"/>
      <c r="U598" s="13"/>
      <c r="V598" s="13"/>
      <c r="W598" s="13"/>
      <c r="X598" s="13"/>
      <c r="Y598" s="13"/>
      <c r="Z598" s="13"/>
      <c r="AA598" s="13"/>
    </row>
    <row r="599" ht="16.5" customHeight="1">
      <c r="A599" s="10"/>
      <c r="B599" s="10"/>
      <c r="C599" s="13"/>
      <c r="D599" s="13"/>
      <c r="E599" s="13"/>
      <c r="F599" s="205"/>
      <c r="G599" s="13"/>
      <c r="H599" s="13"/>
      <c r="I599" s="13"/>
      <c r="J599" s="13"/>
      <c r="K599" s="13"/>
      <c r="L599" s="13"/>
      <c r="M599" s="13"/>
      <c r="N599" s="13"/>
      <c r="O599" s="13"/>
      <c r="P599" s="13"/>
      <c r="Q599" s="13"/>
      <c r="R599" s="13"/>
      <c r="S599" s="13"/>
      <c r="T599" s="13"/>
      <c r="U599" s="13"/>
      <c r="V599" s="13"/>
      <c r="W599" s="13"/>
      <c r="X599" s="13"/>
      <c r="Y599" s="13"/>
      <c r="Z599" s="13"/>
      <c r="AA599" s="13"/>
    </row>
    <row r="600" ht="16.5" customHeight="1">
      <c r="A600" s="10"/>
      <c r="B600" s="10"/>
      <c r="C600" s="13"/>
      <c r="D600" s="13"/>
      <c r="E600" s="13"/>
      <c r="F600" s="205"/>
      <c r="G600" s="13"/>
      <c r="H600" s="13"/>
      <c r="I600" s="13"/>
      <c r="J600" s="13"/>
      <c r="K600" s="13"/>
      <c r="L600" s="13"/>
      <c r="M600" s="13"/>
      <c r="N600" s="13"/>
      <c r="O600" s="13"/>
      <c r="P600" s="13"/>
      <c r="Q600" s="13"/>
      <c r="R600" s="13"/>
      <c r="S600" s="13"/>
      <c r="T600" s="13"/>
      <c r="U600" s="13"/>
      <c r="V600" s="13"/>
      <c r="W600" s="13"/>
      <c r="X600" s="13"/>
      <c r="Y600" s="13"/>
      <c r="Z600" s="13"/>
      <c r="AA600" s="13"/>
    </row>
    <row r="601" ht="16.5" customHeight="1">
      <c r="A601" s="10"/>
      <c r="B601" s="10"/>
      <c r="C601" s="13"/>
      <c r="D601" s="13"/>
      <c r="E601" s="13"/>
      <c r="F601" s="205"/>
      <c r="G601" s="13"/>
      <c r="H601" s="13"/>
      <c r="I601" s="13"/>
      <c r="J601" s="13"/>
      <c r="K601" s="13"/>
      <c r="L601" s="13"/>
      <c r="M601" s="13"/>
      <c r="N601" s="13"/>
      <c r="O601" s="13"/>
      <c r="P601" s="13"/>
      <c r="Q601" s="13"/>
      <c r="R601" s="13"/>
      <c r="S601" s="13"/>
      <c r="T601" s="13"/>
      <c r="U601" s="13"/>
      <c r="V601" s="13"/>
      <c r="W601" s="13"/>
      <c r="X601" s="13"/>
      <c r="Y601" s="13"/>
      <c r="Z601" s="13"/>
      <c r="AA601" s="13"/>
    </row>
    <row r="602" ht="16.5" customHeight="1">
      <c r="A602" s="10"/>
      <c r="B602" s="10"/>
      <c r="C602" s="13"/>
      <c r="D602" s="13"/>
      <c r="E602" s="13"/>
      <c r="F602" s="205"/>
      <c r="G602" s="13"/>
      <c r="H602" s="13"/>
      <c r="I602" s="13"/>
      <c r="J602" s="13"/>
      <c r="K602" s="13"/>
      <c r="L602" s="13"/>
      <c r="M602" s="13"/>
      <c r="N602" s="13"/>
      <c r="O602" s="13"/>
      <c r="P602" s="13"/>
      <c r="Q602" s="13"/>
      <c r="R602" s="13"/>
      <c r="S602" s="13"/>
      <c r="T602" s="13"/>
      <c r="U602" s="13"/>
      <c r="V602" s="13"/>
      <c r="W602" s="13"/>
      <c r="X602" s="13"/>
      <c r="Y602" s="13"/>
      <c r="Z602" s="13"/>
      <c r="AA602" s="13"/>
    </row>
    <row r="603" ht="16.5" customHeight="1">
      <c r="A603" s="10"/>
      <c r="B603" s="10"/>
      <c r="C603" s="13"/>
      <c r="D603" s="13"/>
      <c r="E603" s="13"/>
      <c r="F603" s="205"/>
      <c r="G603" s="13"/>
      <c r="H603" s="13"/>
      <c r="I603" s="13"/>
      <c r="J603" s="13"/>
      <c r="K603" s="13"/>
      <c r="L603" s="13"/>
      <c r="M603" s="13"/>
      <c r="N603" s="13"/>
      <c r="O603" s="13"/>
      <c r="P603" s="13"/>
      <c r="Q603" s="13"/>
      <c r="R603" s="13"/>
      <c r="S603" s="13"/>
      <c r="T603" s="13"/>
      <c r="U603" s="13"/>
      <c r="V603" s="13"/>
      <c r="W603" s="13"/>
      <c r="X603" s="13"/>
      <c r="Y603" s="13"/>
      <c r="Z603" s="13"/>
      <c r="AA603" s="13"/>
    </row>
    <row r="604" ht="16.5" customHeight="1">
      <c r="A604" s="10"/>
      <c r="B604" s="10"/>
      <c r="C604" s="13"/>
      <c r="D604" s="13"/>
      <c r="E604" s="13"/>
      <c r="F604" s="205"/>
      <c r="G604" s="13"/>
      <c r="H604" s="13"/>
      <c r="I604" s="13"/>
      <c r="J604" s="13"/>
      <c r="K604" s="13"/>
      <c r="L604" s="13"/>
      <c r="M604" s="13"/>
      <c r="N604" s="13"/>
      <c r="O604" s="13"/>
      <c r="P604" s="13"/>
      <c r="Q604" s="13"/>
      <c r="R604" s="13"/>
      <c r="S604" s="13"/>
      <c r="T604" s="13"/>
      <c r="U604" s="13"/>
      <c r="V604" s="13"/>
      <c r="W604" s="13"/>
      <c r="X604" s="13"/>
      <c r="Y604" s="13"/>
      <c r="Z604" s="13"/>
      <c r="AA604" s="13"/>
    </row>
    <row r="605" ht="16.5" customHeight="1">
      <c r="A605" s="10"/>
      <c r="B605" s="10"/>
      <c r="C605" s="13"/>
      <c r="D605" s="13"/>
      <c r="E605" s="13"/>
      <c r="F605" s="205"/>
      <c r="G605" s="13"/>
      <c r="H605" s="13"/>
      <c r="I605" s="13"/>
      <c r="J605" s="13"/>
      <c r="K605" s="13"/>
      <c r="L605" s="13"/>
      <c r="M605" s="13"/>
      <c r="N605" s="13"/>
      <c r="O605" s="13"/>
      <c r="P605" s="13"/>
      <c r="Q605" s="13"/>
      <c r="R605" s="13"/>
      <c r="S605" s="13"/>
      <c r="T605" s="13"/>
      <c r="U605" s="13"/>
      <c r="V605" s="13"/>
      <c r="W605" s="13"/>
      <c r="X605" s="13"/>
      <c r="Y605" s="13"/>
      <c r="Z605" s="13"/>
      <c r="AA605" s="13"/>
    </row>
    <row r="606" ht="16.5" customHeight="1">
      <c r="A606" s="10"/>
      <c r="B606" s="10"/>
      <c r="C606" s="13"/>
      <c r="D606" s="13"/>
      <c r="E606" s="13"/>
      <c r="F606" s="205"/>
      <c r="G606" s="13"/>
      <c r="H606" s="13"/>
      <c r="I606" s="13"/>
      <c r="J606" s="13"/>
      <c r="K606" s="13"/>
      <c r="L606" s="13"/>
      <c r="M606" s="13"/>
      <c r="N606" s="13"/>
      <c r="O606" s="13"/>
      <c r="P606" s="13"/>
      <c r="Q606" s="13"/>
      <c r="R606" s="13"/>
      <c r="S606" s="13"/>
      <c r="T606" s="13"/>
      <c r="U606" s="13"/>
      <c r="V606" s="13"/>
      <c r="W606" s="13"/>
      <c r="X606" s="13"/>
      <c r="Y606" s="13"/>
      <c r="Z606" s="13"/>
      <c r="AA606" s="13"/>
    </row>
    <row r="607" ht="16.5" customHeight="1">
      <c r="A607" s="10"/>
      <c r="B607" s="10"/>
      <c r="C607" s="13"/>
      <c r="D607" s="13"/>
      <c r="E607" s="13"/>
      <c r="F607" s="205"/>
      <c r="G607" s="13"/>
      <c r="H607" s="13"/>
      <c r="I607" s="13"/>
      <c r="J607" s="13"/>
      <c r="K607" s="13"/>
      <c r="L607" s="13"/>
      <c r="M607" s="13"/>
      <c r="N607" s="13"/>
      <c r="O607" s="13"/>
      <c r="P607" s="13"/>
      <c r="Q607" s="13"/>
      <c r="R607" s="13"/>
      <c r="S607" s="13"/>
      <c r="T607" s="13"/>
      <c r="U607" s="13"/>
      <c r="V607" s="13"/>
      <c r="W607" s="13"/>
      <c r="X607" s="13"/>
      <c r="Y607" s="13"/>
      <c r="Z607" s="13"/>
      <c r="AA607" s="13"/>
    </row>
    <row r="608" ht="16.5" customHeight="1">
      <c r="A608" s="10"/>
      <c r="B608" s="10"/>
      <c r="C608" s="13"/>
      <c r="D608" s="13"/>
      <c r="E608" s="13"/>
      <c r="F608" s="205"/>
      <c r="G608" s="13"/>
      <c r="H608" s="13"/>
      <c r="I608" s="13"/>
      <c r="J608" s="13"/>
      <c r="K608" s="13"/>
      <c r="L608" s="13"/>
      <c r="M608" s="13"/>
      <c r="N608" s="13"/>
      <c r="O608" s="13"/>
      <c r="P608" s="13"/>
      <c r="Q608" s="13"/>
      <c r="R608" s="13"/>
      <c r="S608" s="13"/>
      <c r="T608" s="13"/>
      <c r="U608" s="13"/>
      <c r="V608" s="13"/>
      <c r="W608" s="13"/>
      <c r="X608" s="13"/>
      <c r="Y608" s="13"/>
      <c r="Z608" s="13"/>
      <c r="AA608" s="13"/>
    </row>
    <row r="609" ht="16.5" customHeight="1">
      <c r="A609" s="10"/>
      <c r="B609" s="10"/>
      <c r="C609" s="13"/>
      <c r="D609" s="13"/>
      <c r="E609" s="13"/>
      <c r="F609" s="205"/>
      <c r="G609" s="13"/>
      <c r="H609" s="13"/>
      <c r="I609" s="13"/>
      <c r="J609" s="13"/>
      <c r="K609" s="13"/>
      <c r="L609" s="13"/>
      <c r="M609" s="13"/>
      <c r="N609" s="13"/>
      <c r="O609" s="13"/>
      <c r="P609" s="13"/>
      <c r="Q609" s="13"/>
      <c r="R609" s="13"/>
      <c r="S609" s="13"/>
      <c r="T609" s="13"/>
      <c r="U609" s="13"/>
      <c r="V609" s="13"/>
      <c r="W609" s="13"/>
      <c r="X609" s="13"/>
      <c r="Y609" s="13"/>
      <c r="Z609" s="13"/>
      <c r="AA609" s="13"/>
    </row>
    <row r="610" ht="16.5" customHeight="1">
      <c r="A610" s="10"/>
      <c r="B610" s="10"/>
      <c r="C610" s="13"/>
      <c r="D610" s="13"/>
      <c r="E610" s="13"/>
      <c r="F610" s="205"/>
      <c r="G610" s="13"/>
      <c r="H610" s="13"/>
      <c r="I610" s="13"/>
      <c r="J610" s="13"/>
      <c r="K610" s="13"/>
      <c r="L610" s="13"/>
      <c r="M610" s="13"/>
      <c r="N610" s="13"/>
      <c r="O610" s="13"/>
      <c r="P610" s="13"/>
      <c r="Q610" s="13"/>
      <c r="R610" s="13"/>
      <c r="S610" s="13"/>
      <c r="T610" s="13"/>
      <c r="U610" s="13"/>
      <c r="V610" s="13"/>
      <c r="W610" s="13"/>
      <c r="X610" s="13"/>
      <c r="Y610" s="13"/>
      <c r="Z610" s="13"/>
      <c r="AA610" s="13"/>
    </row>
    <row r="611" ht="16.5" customHeight="1">
      <c r="A611" s="10"/>
      <c r="B611" s="10"/>
      <c r="C611" s="13"/>
      <c r="D611" s="13"/>
      <c r="E611" s="13"/>
      <c r="F611" s="205"/>
      <c r="G611" s="13"/>
      <c r="H611" s="13"/>
      <c r="I611" s="13"/>
      <c r="J611" s="13"/>
      <c r="K611" s="13"/>
      <c r="L611" s="13"/>
      <c r="M611" s="13"/>
      <c r="N611" s="13"/>
      <c r="O611" s="13"/>
      <c r="P611" s="13"/>
      <c r="Q611" s="13"/>
      <c r="R611" s="13"/>
      <c r="S611" s="13"/>
      <c r="T611" s="13"/>
      <c r="U611" s="13"/>
      <c r="V611" s="13"/>
      <c r="W611" s="13"/>
      <c r="X611" s="13"/>
      <c r="Y611" s="13"/>
      <c r="Z611" s="13"/>
      <c r="AA611" s="13"/>
    </row>
    <row r="612" ht="16.5" customHeight="1">
      <c r="A612" s="10"/>
      <c r="B612" s="10"/>
      <c r="C612" s="13"/>
      <c r="D612" s="13"/>
      <c r="E612" s="13"/>
      <c r="F612" s="205"/>
      <c r="G612" s="13"/>
      <c r="H612" s="13"/>
      <c r="I612" s="13"/>
      <c r="J612" s="13"/>
      <c r="K612" s="13"/>
      <c r="L612" s="13"/>
      <c r="M612" s="13"/>
      <c r="N612" s="13"/>
      <c r="O612" s="13"/>
      <c r="P612" s="13"/>
      <c r="Q612" s="13"/>
      <c r="R612" s="13"/>
      <c r="S612" s="13"/>
      <c r="T612" s="13"/>
      <c r="U612" s="13"/>
      <c r="V612" s="13"/>
      <c r="W612" s="13"/>
      <c r="X612" s="13"/>
      <c r="Y612" s="13"/>
      <c r="Z612" s="13"/>
      <c r="AA612" s="13"/>
    </row>
    <row r="613" ht="16.5" customHeight="1">
      <c r="A613" s="10"/>
      <c r="B613" s="10"/>
      <c r="C613" s="13"/>
      <c r="D613" s="13"/>
      <c r="E613" s="13"/>
      <c r="F613" s="205"/>
      <c r="G613" s="13"/>
      <c r="H613" s="13"/>
      <c r="I613" s="13"/>
      <c r="J613" s="13"/>
      <c r="K613" s="13"/>
      <c r="L613" s="13"/>
      <c r="M613" s="13"/>
      <c r="N613" s="13"/>
      <c r="O613" s="13"/>
      <c r="P613" s="13"/>
      <c r="Q613" s="13"/>
      <c r="R613" s="13"/>
      <c r="S613" s="13"/>
      <c r="T613" s="13"/>
      <c r="U613" s="13"/>
      <c r="V613" s="13"/>
      <c r="W613" s="13"/>
      <c r="X613" s="13"/>
      <c r="Y613" s="13"/>
      <c r="Z613" s="13"/>
      <c r="AA613" s="13"/>
    </row>
    <row r="614" ht="16.5" customHeight="1">
      <c r="A614" s="10"/>
      <c r="B614" s="10"/>
      <c r="C614" s="13"/>
      <c r="D614" s="13"/>
      <c r="E614" s="13"/>
      <c r="F614" s="205"/>
      <c r="G614" s="13"/>
      <c r="H614" s="13"/>
      <c r="I614" s="13"/>
      <c r="J614" s="13"/>
      <c r="K614" s="13"/>
      <c r="L614" s="13"/>
      <c r="M614" s="13"/>
      <c r="N614" s="13"/>
      <c r="O614" s="13"/>
      <c r="P614" s="13"/>
      <c r="Q614" s="13"/>
      <c r="R614" s="13"/>
      <c r="S614" s="13"/>
      <c r="T614" s="13"/>
      <c r="U614" s="13"/>
      <c r="V614" s="13"/>
      <c r="W614" s="13"/>
      <c r="X614" s="13"/>
      <c r="Y614" s="13"/>
      <c r="Z614" s="13"/>
      <c r="AA614" s="13"/>
    </row>
    <row r="615" ht="16.5" customHeight="1">
      <c r="A615" s="10"/>
      <c r="B615" s="10"/>
      <c r="C615" s="13"/>
      <c r="D615" s="13"/>
      <c r="E615" s="13"/>
      <c r="F615" s="205"/>
      <c r="G615" s="13"/>
      <c r="H615" s="13"/>
      <c r="I615" s="13"/>
      <c r="J615" s="13"/>
      <c r="K615" s="13"/>
      <c r="L615" s="13"/>
      <c r="M615" s="13"/>
      <c r="N615" s="13"/>
      <c r="O615" s="13"/>
      <c r="P615" s="13"/>
      <c r="Q615" s="13"/>
      <c r="R615" s="13"/>
      <c r="S615" s="13"/>
      <c r="T615" s="13"/>
      <c r="U615" s="13"/>
      <c r="V615" s="13"/>
      <c r="W615" s="13"/>
      <c r="X615" s="13"/>
      <c r="Y615" s="13"/>
      <c r="Z615" s="13"/>
      <c r="AA615" s="13"/>
    </row>
    <row r="616" ht="16.5" customHeight="1">
      <c r="A616" s="10"/>
      <c r="B616" s="10"/>
      <c r="C616" s="13"/>
      <c r="D616" s="13"/>
      <c r="E616" s="13"/>
      <c r="F616" s="205"/>
      <c r="G616" s="13"/>
      <c r="H616" s="13"/>
      <c r="I616" s="13"/>
      <c r="J616" s="13"/>
      <c r="K616" s="13"/>
      <c r="L616" s="13"/>
      <c r="M616" s="13"/>
      <c r="N616" s="13"/>
      <c r="O616" s="13"/>
      <c r="P616" s="13"/>
      <c r="Q616" s="13"/>
      <c r="R616" s="13"/>
      <c r="S616" s="13"/>
      <c r="T616" s="13"/>
      <c r="U616" s="13"/>
      <c r="V616" s="13"/>
      <c r="W616" s="13"/>
      <c r="X616" s="13"/>
      <c r="Y616" s="13"/>
      <c r="Z616" s="13"/>
      <c r="AA616" s="13"/>
    </row>
    <row r="617" ht="16.5" customHeight="1">
      <c r="A617" s="10"/>
      <c r="B617" s="10"/>
      <c r="C617" s="13"/>
      <c r="D617" s="13"/>
      <c r="E617" s="13"/>
      <c r="F617" s="205"/>
      <c r="G617" s="13"/>
      <c r="H617" s="13"/>
      <c r="I617" s="13"/>
      <c r="J617" s="13"/>
      <c r="K617" s="13"/>
      <c r="L617" s="13"/>
      <c r="M617" s="13"/>
      <c r="N617" s="13"/>
      <c r="O617" s="13"/>
      <c r="P617" s="13"/>
      <c r="Q617" s="13"/>
      <c r="R617" s="13"/>
      <c r="S617" s="13"/>
      <c r="T617" s="13"/>
      <c r="U617" s="13"/>
      <c r="V617" s="13"/>
      <c r="W617" s="13"/>
      <c r="X617" s="13"/>
      <c r="Y617" s="13"/>
      <c r="Z617" s="13"/>
      <c r="AA617" s="13"/>
    </row>
    <row r="618" ht="16.5" customHeight="1">
      <c r="A618" s="10"/>
      <c r="B618" s="10"/>
      <c r="C618" s="13"/>
      <c r="D618" s="13"/>
      <c r="E618" s="13"/>
      <c r="F618" s="205"/>
      <c r="G618" s="13"/>
      <c r="H618" s="13"/>
      <c r="I618" s="13"/>
      <c r="J618" s="13"/>
      <c r="K618" s="13"/>
      <c r="L618" s="13"/>
      <c r="M618" s="13"/>
      <c r="N618" s="13"/>
      <c r="O618" s="13"/>
      <c r="P618" s="13"/>
      <c r="Q618" s="13"/>
      <c r="R618" s="13"/>
      <c r="S618" s="13"/>
      <c r="T618" s="13"/>
      <c r="U618" s="13"/>
      <c r="V618" s="13"/>
      <c r="W618" s="13"/>
      <c r="X618" s="13"/>
      <c r="Y618" s="13"/>
      <c r="Z618" s="13"/>
      <c r="AA618" s="13"/>
    </row>
    <row r="619" ht="16.5" customHeight="1">
      <c r="A619" s="10"/>
      <c r="B619" s="10"/>
      <c r="C619" s="13"/>
      <c r="D619" s="13"/>
      <c r="E619" s="13"/>
      <c r="F619" s="205"/>
      <c r="G619" s="13"/>
      <c r="H619" s="13"/>
      <c r="I619" s="13"/>
      <c r="J619" s="13"/>
      <c r="K619" s="13"/>
      <c r="L619" s="13"/>
      <c r="M619" s="13"/>
      <c r="N619" s="13"/>
      <c r="O619" s="13"/>
      <c r="P619" s="13"/>
      <c r="Q619" s="13"/>
      <c r="R619" s="13"/>
      <c r="S619" s="13"/>
      <c r="T619" s="13"/>
      <c r="U619" s="13"/>
      <c r="V619" s="13"/>
      <c r="W619" s="13"/>
      <c r="X619" s="13"/>
      <c r="Y619" s="13"/>
      <c r="Z619" s="13"/>
      <c r="AA619" s="13"/>
    </row>
    <row r="620" ht="16.5" customHeight="1">
      <c r="A620" s="10"/>
      <c r="B620" s="10"/>
      <c r="C620" s="13"/>
      <c r="D620" s="13"/>
      <c r="E620" s="13"/>
      <c r="F620" s="205"/>
      <c r="G620" s="13"/>
      <c r="H620" s="13"/>
      <c r="I620" s="13"/>
      <c r="J620" s="13"/>
      <c r="K620" s="13"/>
      <c r="L620" s="13"/>
      <c r="M620" s="13"/>
      <c r="N620" s="13"/>
      <c r="O620" s="13"/>
      <c r="P620" s="13"/>
      <c r="Q620" s="13"/>
      <c r="R620" s="13"/>
      <c r="S620" s="13"/>
      <c r="T620" s="13"/>
      <c r="U620" s="13"/>
      <c r="V620" s="13"/>
      <c r="W620" s="13"/>
      <c r="X620" s="13"/>
      <c r="Y620" s="13"/>
      <c r="Z620" s="13"/>
      <c r="AA620" s="13"/>
    </row>
    <row r="621" ht="16.5" customHeight="1">
      <c r="A621" s="10"/>
      <c r="B621" s="10"/>
      <c r="C621" s="13"/>
      <c r="D621" s="13"/>
      <c r="E621" s="13"/>
      <c r="F621" s="205"/>
      <c r="G621" s="13"/>
      <c r="H621" s="13"/>
      <c r="I621" s="13"/>
      <c r="J621" s="13"/>
      <c r="K621" s="13"/>
      <c r="L621" s="13"/>
      <c r="M621" s="13"/>
      <c r="N621" s="13"/>
      <c r="O621" s="13"/>
      <c r="P621" s="13"/>
      <c r="Q621" s="13"/>
      <c r="R621" s="13"/>
      <c r="S621" s="13"/>
      <c r="T621" s="13"/>
      <c r="U621" s="13"/>
      <c r="V621" s="13"/>
      <c r="W621" s="13"/>
      <c r="X621" s="13"/>
      <c r="Y621" s="13"/>
      <c r="Z621" s="13"/>
      <c r="AA621" s="13"/>
    </row>
    <row r="622" ht="16.5" customHeight="1">
      <c r="A622" s="10"/>
      <c r="B622" s="10"/>
      <c r="C622" s="13"/>
      <c r="D622" s="13"/>
      <c r="E622" s="13"/>
      <c r="F622" s="205"/>
      <c r="G622" s="13"/>
      <c r="H622" s="13"/>
      <c r="I622" s="13"/>
      <c r="J622" s="13"/>
      <c r="K622" s="13"/>
      <c r="L622" s="13"/>
      <c r="M622" s="13"/>
      <c r="N622" s="13"/>
      <c r="O622" s="13"/>
      <c r="P622" s="13"/>
      <c r="Q622" s="13"/>
      <c r="R622" s="13"/>
      <c r="S622" s="13"/>
      <c r="T622" s="13"/>
      <c r="U622" s="13"/>
      <c r="V622" s="13"/>
      <c r="W622" s="13"/>
      <c r="X622" s="13"/>
      <c r="Y622" s="13"/>
      <c r="Z622" s="13"/>
      <c r="AA622" s="13"/>
    </row>
    <row r="623" ht="16.5" customHeight="1">
      <c r="A623" s="10"/>
      <c r="B623" s="10"/>
      <c r="C623" s="13"/>
      <c r="D623" s="13"/>
      <c r="E623" s="13"/>
      <c r="F623" s="205"/>
      <c r="G623" s="13"/>
      <c r="H623" s="13"/>
      <c r="I623" s="13"/>
      <c r="J623" s="13"/>
      <c r="K623" s="13"/>
      <c r="L623" s="13"/>
      <c r="M623" s="13"/>
      <c r="N623" s="13"/>
      <c r="O623" s="13"/>
      <c r="P623" s="13"/>
      <c r="Q623" s="13"/>
      <c r="R623" s="13"/>
      <c r="S623" s="13"/>
      <c r="T623" s="13"/>
      <c r="U623" s="13"/>
      <c r="V623" s="13"/>
      <c r="W623" s="13"/>
      <c r="X623" s="13"/>
      <c r="Y623" s="13"/>
      <c r="Z623" s="13"/>
      <c r="AA623" s="13"/>
    </row>
    <row r="624" ht="16.5" customHeight="1">
      <c r="A624" s="10"/>
      <c r="B624" s="10"/>
      <c r="C624" s="13"/>
      <c r="D624" s="13"/>
      <c r="E624" s="13"/>
      <c r="F624" s="205"/>
      <c r="G624" s="13"/>
      <c r="H624" s="13"/>
      <c r="I624" s="13"/>
      <c r="J624" s="13"/>
      <c r="K624" s="13"/>
      <c r="L624" s="13"/>
      <c r="M624" s="13"/>
      <c r="N624" s="13"/>
      <c r="O624" s="13"/>
      <c r="P624" s="13"/>
      <c r="Q624" s="13"/>
      <c r="R624" s="13"/>
      <c r="S624" s="13"/>
      <c r="T624" s="13"/>
      <c r="U624" s="13"/>
      <c r="V624" s="13"/>
      <c r="W624" s="13"/>
      <c r="X624" s="13"/>
      <c r="Y624" s="13"/>
      <c r="Z624" s="13"/>
      <c r="AA624" s="13"/>
    </row>
    <row r="625" ht="16.5" customHeight="1">
      <c r="A625" s="10"/>
      <c r="B625" s="10"/>
      <c r="C625" s="13"/>
      <c r="D625" s="13"/>
      <c r="E625" s="13"/>
      <c r="F625" s="205"/>
      <c r="G625" s="13"/>
      <c r="H625" s="13"/>
      <c r="I625" s="13"/>
      <c r="J625" s="13"/>
      <c r="K625" s="13"/>
      <c r="L625" s="13"/>
      <c r="M625" s="13"/>
      <c r="N625" s="13"/>
      <c r="O625" s="13"/>
      <c r="P625" s="13"/>
      <c r="Q625" s="13"/>
      <c r="R625" s="13"/>
      <c r="S625" s="13"/>
      <c r="T625" s="13"/>
      <c r="U625" s="13"/>
      <c r="V625" s="13"/>
      <c r="W625" s="13"/>
      <c r="X625" s="13"/>
      <c r="Y625" s="13"/>
      <c r="Z625" s="13"/>
      <c r="AA625" s="13"/>
    </row>
    <row r="626" ht="16.5" customHeight="1">
      <c r="A626" s="10"/>
      <c r="B626" s="10"/>
      <c r="C626" s="13"/>
      <c r="D626" s="13"/>
      <c r="E626" s="13"/>
      <c r="F626" s="205"/>
      <c r="G626" s="13"/>
      <c r="H626" s="13"/>
      <c r="I626" s="13"/>
      <c r="J626" s="13"/>
      <c r="K626" s="13"/>
      <c r="L626" s="13"/>
      <c r="M626" s="13"/>
      <c r="N626" s="13"/>
      <c r="O626" s="13"/>
      <c r="P626" s="13"/>
      <c r="Q626" s="13"/>
      <c r="R626" s="13"/>
      <c r="S626" s="13"/>
      <c r="T626" s="13"/>
      <c r="U626" s="13"/>
      <c r="V626" s="13"/>
      <c r="W626" s="13"/>
      <c r="X626" s="13"/>
      <c r="Y626" s="13"/>
      <c r="Z626" s="13"/>
      <c r="AA626" s="13"/>
    </row>
    <row r="627" ht="16.5" customHeight="1">
      <c r="A627" s="10"/>
      <c r="B627" s="10"/>
      <c r="C627" s="13"/>
      <c r="D627" s="13"/>
      <c r="E627" s="13"/>
      <c r="F627" s="205"/>
      <c r="G627" s="13"/>
      <c r="H627" s="13"/>
      <c r="I627" s="13"/>
      <c r="J627" s="13"/>
      <c r="K627" s="13"/>
      <c r="L627" s="13"/>
      <c r="M627" s="13"/>
      <c r="N627" s="13"/>
      <c r="O627" s="13"/>
      <c r="P627" s="13"/>
      <c r="Q627" s="13"/>
      <c r="R627" s="13"/>
      <c r="S627" s="13"/>
      <c r="T627" s="13"/>
      <c r="U627" s="13"/>
      <c r="V627" s="13"/>
      <c r="W627" s="13"/>
      <c r="X627" s="13"/>
      <c r="Y627" s="13"/>
      <c r="Z627" s="13"/>
      <c r="AA627" s="13"/>
    </row>
    <row r="628" ht="16.5" customHeight="1">
      <c r="A628" s="10"/>
      <c r="B628" s="10"/>
      <c r="C628" s="13"/>
      <c r="D628" s="13"/>
      <c r="E628" s="13"/>
      <c r="F628" s="205"/>
      <c r="G628" s="13"/>
      <c r="H628" s="13"/>
      <c r="I628" s="13"/>
      <c r="J628" s="13"/>
      <c r="K628" s="13"/>
      <c r="L628" s="13"/>
      <c r="M628" s="13"/>
      <c r="N628" s="13"/>
      <c r="O628" s="13"/>
      <c r="P628" s="13"/>
      <c r="Q628" s="13"/>
      <c r="R628" s="13"/>
      <c r="S628" s="13"/>
      <c r="T628" s="13"/>
      <c r="U628" s="13"/>
      <c r="V628" s="13"/>
      <c r="W628" s="13"/>
      <c r="X628" s="13"/>
      <c r="Y628" s="13"/>
      <c r="Z628" s="13"/>
      <c r="AA628" s="13"/>
    </row>
    <row r="629" ht="16.5" customHeight="1">
      <c r="A629" s="10"/>
      <c r="B629" s="10"/>
      <c r="C629" s="13"/>
      <c r="D629" s="13"/>
      <c r="E629" s="13"/>
      <c r="F629" s="205"/>
      <c r="G629" s="13"/>
      <c r="H629" s="13"/>
      <c r="I629" s="13"/>
      <c r="J629" s="13"/>
      <c r="K629" s="13"/>
      <c r="L629" s="13"/>
      <c r="M629" s="13"/>
      <c r="N629" s="13"/>
      <c r="O629" s="13"/>
      <c r="P629" s="13"/>
      <c r="Q629" s="13"/>
      <c r="R629" s="13"/>
      <c r="S629" s="13"/>
      <c r="T629" s="13"/>
      <c r="U629" s="13"/>
      <c r="V629" s="13"/>
      <c r="W629" s="13"/>
      <c r="X629" s="13"/>
      <c r="Y629" s="13"/>
      <c r="Z629" s="13"/>
      <c r="AA629" s="13"/>
    </row>
    <row r="630" ht="16.5" customHeight="1">
      <c r="A630" s="10"/>
      <c r="B630" s="10"/>
      <c r="C630" s="13"/>
      <c r="D630" s="13"/>
      <c r="E630" s="13"/>
      <c r="F630" s="205"/>
      <c r="G630" s="13"/>
      <c r="H630" s="13"/>
      <c r="I630" s="13"/>
      <c r="J630" s="13"/>
      <c r="K630" s="13"/>
      <c r="L630" s="13"/>
      <c r="M630" s="13"/>
      <c r="N630" s="13"/>
      <c r="O630" s="13"/>
      <c r="P630" s="13"/>
      <c r="Q630" s="13"/>
      <c r="R630" s="13"/>
      <c r="S630" s="13"/>
      <c r="T630" s="13"/>
      <c r="U630" s="13"/>
      <c r="V630" s="13"/>
      <c r="W630" s="13"/>
      <c r="X630" s="13"/>
      <c r="Y630" s="13"/>
      <c r="Z630" s="13"/>
      <c r="AA630" s="13"/>
    </row>
    <row r="631" ht="16.5" customHeight="1">
      <c r="A631" s="10"/>
      <c r="B631" s="10"/>
      <c r="C631" s="13"/>
      <c r="D631" s="13"/>
      <c r="E631" s="13"/>
      <c r="F631" s="205"/>
      <c r="G631" s="13"/>
      <c r="H631" s="13"/>
      <c r="I631" s="13"/>
      <c r="J631" s="13"/>
      <c r="K631" s="13"/>
      <c r="L631" s="13"/>
      <c r="M631" s="13"/>
      <c r="N631" s="13"/>
      <c r="O631" s="13"/>
      <c r="P631" s="13"/>
      <c r="Q631" s="13"/>
      <c r="R631" s="13"/>
      <c r="S631" s="13"/>
      <c r="T631" s="13"/>
      <c r="U631" s="13"/>
      <c r="V631" s="13"/>
      <c r="W631" s="13"/>
      <c r="X631" s="13"/>
      <c r="Y631" s="13"/>
      <c r="Z631" s="13"/>
      <c r="AA631" s="13"/>
    </row>
    <row r="632" ht="16.5" customHeight="1">
      <c r="A632" s="10"/>
      <c r="B632" s="10"/>
      <c r="C632" s="13"/>
      <c r="D632" s="13"/>
      <c r="E632" s="13"/>
      <c r="F632" s="205"/>
      <c r="G632" s="13"/>
      <c r="H632" s="13"/>
      <c r="I632" s="13"/>
      <c r="J632" s="13"/>
      <c r="K632" s="13"/>
      <c r="L632" s="13"/>
      <c r="M632" s="13"/>
      <c r="N632" s="13"/>
      <c r="O632" s="13"/>
      <c r="P632" s="13"/>
      <c r="Q632" s="13"/>
      <c r="R632" s="13"/>
      <c r="S632" s="13"/>
      <c r="T632" s="13"/>
      <c r="U632" s="13"/>
      <c r="V632" s="13"/>
      <c r="W632" s="13"/>
      <c r="X632" s="13"/>
      <c r="Y632" s="13"/>
      <c r="Z632" s="13"/>
      <c r="AA632" s="13"/>
    </row>
    <row r="633" ht="16.5" customHeight="1">
      <c r="A633" s="10"/>
      <c r="B633" s="10"/>
      <c r="C633" s="13"/>
      <c r="D633" s="13"/>
      <c r="E633" s="13"/>
      <c r="F633" s="205"/>
      <c r="G633" s="13"/>
      <c r="H633" s="13"/>
      <c r="I633" s="13"/>
      <c r="J633" s="13"/>
      <c r="K633" s="13"/>
      <c r="L633" s="13"/>
      <c r="M633" s="13"/>
      <c r="N633" s="13"/>
      <c r="O633" s="13"/>
      <c r="P633" s="13"/>
      <c r="Q633" s="13"/>
      <c r="R633" s="13"/>
      <c r="S633" s="13"/>
      <c r="T633" s="13"/>
      <c r="U633" s="13"/>
      <c r="V633" s="13"/>
      <c r="W633" s="13"/>
      <c r="X633" s="13"/>
      <c r="Y633" s="13"/>
      <c r="Z633" s="13"/>
      <c r="AA633" s="13"/>
    </row>
    <row r="634" ht="16.5" customHeight="1">
      <c r="A634" s="10"/>
      <c r="B634" s="10"/>
      <c r="C634" s="13"/>
      <c r="D634" s="13"/>
      <c r="E634" s="13"/>
      <c r="F634" s="205"/>
      <c r="G634" s="13"/>
      <c r="H634" s="13"/>
      <c r="I634" s="13"/>
      <c r="J634" s="13"/>
      <c r="K634" s="13"/>
      <c r="L634" s="13"/>
      <c r="M634" s="13"/>
      <c r="N634" s="13"/>
      <c r="O634" s="13"/>
      <c r="P634" s="13"/>
      <c r="Q634" s="13"/>
      <c r="R634" s="13"/>
      <c r="S634" s="13"/>
      <c r="T634" s="13"/>
      <c r="U634" s="13"/>
      <c r="V634" s="13"/>
      <c r="W634" s="13"/>
      <c r="X634" s="13"/>
      <c r="Y634" s="13"/>
      <c r="Z634" s="13"/>
      <c r="AA634" s="13"/>
    </row>
    <row r="635" ht="16.5" customHeight="1">
      <c r="A635" s="10"/>
      <c r="B635" s="10"/>
      <c r="C635" s="13"/>
      <c r="D635" s="13"/>
      <c r="E635" s="13"/>
      <c r="F635" s="205"/>
      <c r="G635" s="13"/>
      <c r="H635" s="13"/>
      <c r="I635" s="13"/>
      <c r="J635" s="13"/>
      <c r="K635" s="13"/>
      <c r="L635" s="13"/>
      <c r="M635" s="13"/>
      <c r="N635" s="13"/>
      <c r="O635" s="13"/>
      <c r="P635" s="13"/>
      <c r="Q635" s="13"/>
      <c r="R635" s="13"/>
      <c r="S635" s="13"/>
      <c r="T635" s="13"/>
      <c r="U635" s="13"/>
      <c r="V635" s="13"/>
      <c r="W635" s="13"/>
      <c r="X635" s="13"/>
      <c r="Y635" s="13"/>
      <c r="Z635" s="13"/>
      <c r="AA635" s="13"/>
    </row>
    <row r="636" ht="16.5" customHeight="1">
      <c r="A636" s="10"/>
      <c r="B636" s="10"/>
      <c r="C636" s="13"/>
      <c r="D636" s="13"/>
      <c r="E636" s="13"/>
      <c r="F636" s="205"/>
      <c r="G636" s="13"/>
      <c r="H636" s="13"/>
      <c r="I636" s="13"/>
      <c r="J636" s="13"/>
      <c r="K636" s="13"/>
      <c r="L636" s="13"/>
      <c r="M636" s="13"/>
      <c r="N636" s="13"/>
      <c r="O636" s="13"/>
      <c r="P636" s="13"/>
      <c r="Q636" s="13"/>
      <c r="R636" s="13"/>
      <c r="S636" s="13"/>
      <c r="T636" s="13"/>
      <c r="U636" s="13"/>
      <c r="V636" s="13"/>
      <c r="W636" s="13"/>
      <c r="X636" s="13"/>
      <c r="Y636" s="13"/>
      <c r="Z636" s="13"/>
      <c r="AA636" s="13"/>
    </row>
    <row r="637" ht="16.5" customHeight="1">
      <c r="A637" s="10"/>
      <c r="B637" s="10"/>
      <c r="C637" s="13"/>
      <c r="D637" s="13"/>
      <c r="E637" s="13"/>
      <c r="F637" s="205"/>
      <c r="G637" s="13"/>
      <c r="H637" s="13"/>
      <c r="I637" s="13"/>
      <c r="J637" s="13"/>
      <c r="K637" s="13"/>
      <c r="L637" s="13"/>
      <c r="M637" s="13"/>
      <c r="N637" s="13"/>
      <c r="O637" s="13"/>
      <c r="P637" s="13"/>
      <c r="Q637" s="13"/>
      <c r="R637" s="13"/>
      <c r="S637" s="13"/>
      <c r="T637" s="13"/>
      <c r="U637" s="13"/>
      <c r="V637" s="13"/>
      <c r="W637" s="13"/>
      <c r="X637" s="13"/>
      <c r="Y637" s="13"/>
      <c r="Z637" s="13"/>
      <c r="AA637" s="13"/>
    </row>
    <row r="638" ht="16.5" customHeight="1">
      <c r="A638" s="10"/>
      <c r="B638" s="10"/>
      <c r="C638" s="13"/>
      <c r="D638" s="13"/>
      <c r="E638" s="13"/>
      <c r="F638" s="205"/>
      <c r="G638" s="13"/>
      <c r="H638" s="13"/>
      <c r="I638" s="13"/>
      <c r="J638" s="13"/>
      <c r="K638" s="13"/>
      <c r="L638" s="13"/>
      <c r="M638" s="13"/>
      <c r="N638" s="13"/>
      <c r="O638" s="13"/>
      <c r="P638" s="13"/>
      <c r="Q638" s="13"/>
      <c r="R638" s="13"/>
      <c r="S638" s="13"/>
      <c r="T638" s="13"/>
      <c r="U638" s="13"/>
      <c r="V638" s="13"/>
      <c r="W638" s="13"/>
      <c r="X638" s="13"/>
      <c r="Y638" s="13"/>
      <c r="Z638" s="13"/>
      <c r="AA638" s="13"/>
    </row>
    <row r="639" ht="16.5" customHeight="1">
      <c r="A639" s="10"/>
      <c r="B639" s="10"/>
      <c r="C639" s="13"/>
      <c r="D639" s="13"/>
      <c r="E639" s="13"/>
      <c r="F639" s="205"/>
      <c r="G639" s="13"/>
      <c r="H639" s="13"/>
      <c r="I639" s="13"/>
      <c r="J639" s="13"/>
      <c r="K639" s="13"/>
      <c r="L639" s="13"/>
      <c r="M639" s="13"/>
      <c r="N639" s="13"/>
      <c r="O639" s="13"/>
      <c r="P639" s="13"/>
      <c r="Q639" s="13"/>
      <c r="R639" s="13"/>
      <c r="S639" s="13"/>
      <c r="T639" s="13"/>
      <c r="U639" s="13"/>
      <c r="V639" s="13"/>
      <c r="W639" s="13"/>
      <c r="X639" s="13"/>
      <c r="Y639" s="13"/>
      <c r="Z639" s="13"/>
      <c r="AA639" s="13"/>
    </row>
    <row r="640" ht="16.5" customHeight="1">
      <c r="A640" s="10"/>
      <c r="B640" s="10"/>
      <c r="C640" s="13"/>
      <c r="D640" s="13"/>
      <c r="E640" s="13"/>
      <c r="F640" s="205"/>
      <c r="G640" s="13"/>
      <c r="H640" s="13"/>
      <c r="I640" s="13"/>
      <c r="J640" s="13"/>
      <c r="K640" s="13"/>
      <c r="L640" s="13"/>
      <c r="M640" s="13"/>
      <c r="N640" s="13"/>
      <c r="O640" s="13"/>
      <c r="P640" s="13"/>
      <c r="Q640" s="13"/>
      <c r="R640" s="13"/>
      <c r="S640" s="13"/>
      <c r="T640" s="13"/>
      <c r="U640" s="13"/>
      <c r="V640" s="13"/>
      <c r="W640" s="13"/>
      <c r="X640" s="13"/>
      <c r="Y640" s="13"/>
      <c r="Z640" s="13"/>
      <c r="AA640" s="13"/>
    </row>
    <row r="641" ht="16.5" customHeight="1">
      <c r="A641" s="10"/>
      <c r="B641" s="10"/>
      <c r="C641" s="13"/>
      <c r="D641" s="13"/>
      <c r="E641" s="13"/>
      <c r="F641" s="205"/>
      <c r="G641" s="13"/>
      <c r="H641" s="13"/>
      <c r="I641" s="13"/>
      <c r="J641" s="13"/>
      <c r="K641" s="13"/>
      <c r="L641" s="13"/>
      <c r="M641" s="13"/>
      <c r="N641" s="13"/>
      <c r="O641" s="13"/>
      <c r="P641" s="13"/>
      <c r="Q641" s="13"/>
      <c r="R641" s="13"/>
      <c r="S641" s="13"/>
      <c r="T641" s="13"/>
      <c r="U641" s="13"/>
      <c r="V641" s="13"/>
      <c r="W641" s="13"/>
      <c r="X641" s="13"/>
      <c r="Y641" s="13"/>
      <c r="Z641" s="13"/>
      <c r="AA641" s="13"/>
    </row>
    <row r="642" ht="16.5" customHeight="1">
      <c r="A642" s="10"/>
      <c r="B642" s="10"/>
      <c r="C642" s="13"/>
      <c r="D642" s="13"/>
      <c r="E642" s="13"/>
      <c r="F642" s="205"/>
      <c r="G642" s="13"/>
      <c r="H642" s="13"/>
      <c r="I642" s="13"/>
      <c r="J642" s="13"/>
      <c r="K642" s="13"/>
      <c r="L642" s="13"/>
      <c r="M642" s="13"/>
      <c r="N642" s="13"/>
      <c r="O642" s="13"/>
      <c r="P642" s="13"/>
      <c r="Q642" s="13"/>
      <c r="R642" s="13"/>
      <c r="S642" s="13"/>
      <c r="T642" s="13"/>
      <c r="U642" s="13"/>
      <c r="V642" s="13"/>
      <c r="W642" s="13"/>
      <c r="X642" s="13"/>
      <c r="Y642" s="13"/>
      <c r="Z642" s="13"/>
      <c r="AA642" s="13"/>
    </row>
    <row r="643" ht="16.5" customHeight="1">
      <c r="A643" s="10"/>
      <c r="B643" s="10"/>
      <c r="C643" s="13"/>
      <c r="D643" s="13"/>
      <c r="E643" s="13"/>
      <c r="F643" s="205"/>
      <c r="G643" s="13"/>
      <c r="H643" s="13"/>
      <c r="I643" s="13"/>
      <c r="J643" s="13"/>
      <c r="K643" s="13"/>
      <c r="L643" s="13"/>
      <c r="M643" s="13"/>
      <c r="N643" s="13"/>
      <c r="O643" s="13"/>
      <c r="P643" s="13"/>
      <c r="Q643" s="13"/>
      <c r="R643" s="13"/>
      <c r="S643" s="13"/>
      <c r="T643" s="13"/>
      <c r="U643" s="13"/>
      <c r="V643" s="13"/>
      <c r="W643" s="13"/>
      <c r="X643" s="13"/>
      <c r="Y643" s="13"/>
      <c r="Z643" s="13"/>
      <c r="AA643" s="13"/>
    </row>
    <row r="644" ht="16.5" customHeight="1">
      <c r="A644" s="10"/>
      <c r="B644" s="10"/>
      <c r="C644" s="13"/>
      <c r="D644" s="13"/>
      <c r="E644" s="13"/>
      <c r="F644" s="205"/>
      <c r="G644" s="13"/>
      <c r="H644" s="13"/>
      <c r="I644" s="13"/>
      <c r="J644" s="13"/>
      <c r="K644" s="13"/>
      <c r="L644" s="13"/>
      <c r="M644" s="13"/>
      <c r="N644" s="13"/>
      <c r="O644" s="13"/>
      <c r="P644" s="13"/>
      <c r="Q644" s="13"/>
      <c r="R644" s="13"/>
      <c r="S644" s="13"/>
      <c r="T644" s="13"/>
      <c r="U644" s="13"/>
      <c r="V644" s="13"/>
      <c r="W644" s="13"/>
      <c r="X644" s="13"/>
      <c r="Y644" s="13"/>
      <c r="Z644" s="13"/>
      <c r="AA644" s="13"/>
    </row>
    <row r="645" ht="16.5" customHeight="1">
      <c r="A645" s="10"/>
      <c r="B645" s="10"/>
      <c r="C645" s="13"/>
      <c r="D645" s="13"/>
      <c r="E645" s="13"/>
      <c r="F645" s="205"/>
      <c r="G645" s="13"/>
      <c r="H645" s="13"/>
      <c r="I645" s="13"/>
      <c r="J645" s="13"/>
      <c r="K645" s="13"/>
      <c r="L645" s="13"/>
      <c r="M645" s="13"/>
      <c r="N645" s="13"/>
      <c r="O645" s="13"/>
      <c r="P645" s="13"/>
      <c r="Q645" s="13"/>
      <c r="R645" s="13"/>
      <c r="S645" s="13"/>
      <c r="T645" s="13"/>
      <c r="U645" s="13"/>
      <c r="V645" s="13"/>
      <c r="W645" s="13"/>
      <c r="X645" s="13"/>
      <c r="Y645" s="13"/>
      <c r="Z645" s="13"/>
      <c r="AA645" s="13"/>
    </row>
    <row r="646" ht="16.5" customHeight="1">
      <c r="A646" s="10"/>
      <c r="B646" s="10"/>
      <c r="C646" s="13"/>
      <c r="D646" s="13"/>
      <c r="E646" s="13"/>
      <c r="F646" s="205"/>
      <c r="G646" s="13"/>
      <c r="H646" s="13"/>
      <c r="I646" s="13"/>
      <c r="J646" s="13"/>
      <c r="K646" s="13"/>
      <c r="L646" s="13"/>
      <c r="M646" s="13"/>
      <c r="N646" s="13"/>
      <c r="O646" s="13"/>
      <c r="P646" s="13"/>
      <c r="Q646" s="13"/>
      <c r="R646" s="13"/>
      <c r="S646" s="13"/>
      <c r="T646" s="13"/>
      <c r="U646" s="13"/>
      <c r="V646" s="13"/>
      <c r="W646" s="13"/>
      <c r="X646" s="13"/>
      <c r="Y646" s="13"/>
      <c r="Z646" s="13"/>
      <c r="AA646" s="13"/>
    </row>
    <row r="647" ht="16.5" customHeight="1">
      <c r="A647" s="10"/>
      <c r="B647" s="10"/>
      <c r="C647" s="13"/>
      <c r="D647" s="13"/>
      <c r="E647" s="13"/>
      <c r="F647" s="205"/>
      <c r="G647" s="13"/>
      <c r="H647" s="13"/>
      <c r="I647" s="13"/>
      <c r="J647" s="13"/>
      <c r="K647" s="13"/>
      <c r="L647" s="13"/>
      <c r="M647" s="13"/>
      <c r="N647" s="13"/>
      <c r="O647" s="13"/>
      <c r="P647" s="13"/>
      <c r="Q647" s="13"/>
      <c r="R647" s="13"/>
      <c r="S647" s="13"/>
      <c r="T647" s="13"/>
      <c r="U647" s="13"/>
      <c r="V647" s="13"/>
      <c r="W647" s="13"/>
      <c r="X647" s="13"/>
      <c r="Y647" s="13"/>
      <c r="Z647" s="13"/>
      <c r="AA647" s="13"/>
    </row>
    <row r="648" ht="16.5" customHeight="1">
      <c r="A648" s="10"/>
      <c r="B648" s="10"/>
      <c r="C648" s="13"/>
      <c r="D648" s="13"/>
      <c r="E648" s="13"/>
      <c r="F648" s="205"/>
      <c r="G648" s="13"/>
      <c r="H648" s="13"/>
      <c r="I648" s="13"/>
      <c r="J648" s="13"/>
      <c r="K648" s="13"/>
      <c r="L648" s="13"/>
      <c r="M648" s="13"/>
      <c r="N648" s="13"/>
      <c r="O648" s="13"/>
      <c r="P648" s="13"/>
      <c r="Q648" s="13"/>
      <c r="R648" s="13"/>
      <c r="S648" s="13"/>
      <c r="T648" s="13"/>
      <c r="U648" s="13"/>
      <c r="V648" s="13"/>
      <c r="W648" s="13"/>
      <c r="X648" s="13"/>
      <c r="Y648" s="13"/>
      <c r="Z648" s="13"/>
      <c r="AA648" s="13"/>
    </row>
    <row r="649" ht="16.5" customHeight="1">
      <c r="A649" s="10"/>
      <c r="B649" s="10"/>
      <c r="C649" s="13"/>
      <c r="D649" s="13"/>
      <c r="E649" s="13"/>
      <c r="F649" s="205"/>
      <c r="G649" s="13"/>
      <c r="H649" s="13"/>
      <c r="I649" s="13"/>
      <c r="J649" s="13"/>
      <c r="K649" s="13"/>
      <c r="L649" s="13"/>
      <c r="M649" s="13"/>
      <c r="N649" s="13"/>
      <c r="O649" s="13"/>
      <c r="P649" s="13"/>
      <c r="Q649" s="13"/>
      <c r="R649" s="13"/>
      <c r="S649" s="13"/>
      <c r="T649" s="13"/>
      <c r="U649" s="13"/>
      <c r="V649" s="13"/>
      <c r="W649" s="13"/>
      <c r="X649" s="13"/>
      <c r="Y649" s="13"/>
      <c r="Z649" s="13"/>
      <c r="AA649" s="13"/>
    </row>
    <row r="650" ht="16.5" customHeight="1">
      <c r="A650" s="10"/>
      <c r="B650" s="10"/>
      <c r="C650" s="13"/>
      <c r="D650" s="13"/>
      <c r="E650" s="13"/>
      <c r="F650" s="205"/>
      <c r="G650" s="13"/>
      <c r="H650" s="13"/>
      <c r="I650" s="13"/>
      <c r="J650" s="13"/>
      <c r="K650" s="13"/>
      <c r="L650" s="13"/>
      <c r="M650" s="13"/>
      <c r="N650" s="13"/>
      <c r="O650" s="13"/>
      <c r="P650" s="13"/>
      <c r="Q650" s="13"/>
      <c r="R650" s="13"/>
      <c r="S650" s="13"/>
      <c r="T650" s="13"/>
      <c r="U650" s="13"/>
      <c r="V650" s="13"/>
      <c r="W650" s="13"/>
      <c r="X650" s="13"/>
      <c r="Y650" s="13"/>
      <c r="Z650" s="13"/>
      <c r="AA650" s="13"/>
    </row>
    <row r="651" ht="16.5" customHeight="1">
      <c r="A651" s="10"/>
      <c r="B651" s="10"/>
      <c r="C651" s="13"/>
      <c r="D651" s="13"/>
      <c r="E651" s="13"/>
      <c r="F651" s="205"/>
      <c r="G651" s="13"/>
      <c r="H651" s="13"/>
      <c r="I651" s="13"/>
      <c r="J651" s="13"/>
      <c r="K651" s="13"/>
      <c r="L651" s="13"/>
      <c r="M651" s="13"/>
      <c r="N651" s="13"/>
      <c r="O651" s="13"/>
      <c r="P651" s="13"/>
      <c r="Q651" s="13"/>
      <c r="R651" s="13"/>
      <c r="S651" s="13"/>
      <c r="T651" s="13"/>
      <c r="U651" s="13"/>
      <c r="V651" s="13"/>
      <c r="W651" s="13"/>
      <c r="X651" s="13"/>
      <c r="Y651" s="13"/>
      <c r="Z651" s="13"/>
      <c r="AA651" s="13"/>
    </row>
    <row r="652" ht="16.5" customHeight="1">
      <c r="A652" s="10"/>
      <c r="B652" s="10"/>
      <c r="C652" s="13"/>
      <c r="D652" s="13"/>
      <c r="E652" s="13"/>
      <c r="F652" s="205"/>
      <c r="G652" s="13"/>
      <c r="H652" s="13"/>
      <c r="I652" s="13"/>
      <c r="J652" s="13"/>
      <c r="K652" s="13"/>
      <c r="L652" s="13"/>
      <c r="M652" s="13"/>
      <c r="N652" s="13"/>
      <c r="O652" s="13"/>
      <c r="P652" s="13"/>
      <c r="Q652" s="13"/>
      <c r="R652" s="13"/>
      <c r="S652" s="13"/>
      <c r="T652" s="13"/>
      <c r="U652" s="13"/>
      <c r="V652" s="13"/>
      <c r="W652" s="13"/>
      <c r="X652" s="13"/>
      <c r="Y652" s="13"/>
      <c r="Z652" s="13"/>
      <c r="AA652" s="13"/>
    </row>
    <row r="653" ht="16.5" customHeight="1">
      <c r="A653" s="10"/>
      <c r="B653" s="10"/>
      <c r="C653" s="13"/>
      <c r="D653" s="13"/>
      <c r="E653" s="13"/>
      <c r="F653" s="205"/>
      <c r="G653" s="13"/>
      <c r="H653" s="13"/>
      <c r="I653" s="13"/>
      <c r="J653" s="13"/>
      <c r="K653" s="13"/>
      <c r="L653" s="13"/>
      <c r="M653" s="13"/>
      <c r="N653" s="13"/>
      <c r="O653" s="13"/>
      <c r="P653" s="13"/>
      <c r="Q653" s="13"/>
      <c r="R653" s="13"/>
      <c r="S653" s="13"/>
      <c r="T653" s="13"/>
      <c r="U653" s="13"/>
      <c r="V653" s="13"/>
      <c r="W653" s="13"/>
      <c r="X653" s="13"/>
      <c r="Y653" s="13"/>
      <c r="Z653" s="13"/>
      <c r="AA653" s="13"/>
    </row>
    <row r="654" ht="16.5" customHeight="1">
      <c r="A654" s="10"/>
      <c r="B654" s="10"/>
      <c r="C654" s="13"/>
      <c r="D654" s="13"/>
      <c r="E654" s="13"/>
      <c r="F654" s="205"/>
      <c r="G654" s="13"/>
      <c r="H654" s="13"/>
      <c r="I654" s="13"/>
      <c r="J654" s="13"/>
      <c r="K654" s="13"/>
      <c r="L654" s="13"/>
      <c r="M654" s="13"/>
      <c r="N654" s="13"/>
      <c r="O654" s="13"/>
      <c r="P654" s="13"/>
      <c r="Q654" s="13"/>
      <c r="R654" s="13"/>
      <c r="S654" s="13"/>
      <c r="T654" s="13"/>
      <c r="U654" s="13"/>
      <c r="V654" s="13"/>
      <c r="W654" s="13"/>
      <c r="X654" s="13"/>
      <c r="Y654" s="13"/>
      <c r="Z654" s="13"/>
      <c r="AA654" s="13"/>
    </row>
    <row r="655" ht="16.5" customHeight="1">
      <c r="A655" s="10"/>
      <c r="B655" s="10"/>
      <c r="C655" s="13"/>
      <c r="D655" s="13"/>
      <c r="E655" s="13"/>
      <c r="F655" s="205"/>
      <c r="G655" s="13"/>
      <c r="H655" s="13"/>
      <c r="I655" s="13"/>
      <c r="J655" s="13"/>
      <c r="K655" s="13"/>
      <c r="L655" s="13"/>
      <c r="M655" s="13"/>
      <c r="N655" s="13"/>
      <c r="O655" s="13"/>
      <c r="P655" s="13"/>
      <c r="Q655" s="13"/>
      <c r="R655" s="13"/>
      <c r="S655" s="13"/>
      <c r="T655" s="13"/>
      <c r="U655" s="13"/>
      <c r="V655" s="13"/>
      <c r="W655" s="13"/>
      <c r="X655" s="13"/>
      <c r="Y655" s="13"/>
      <c r="Z655" s="13"/>
      <c r="AA655" s="13"/>
    </row>
    <row r="656" ht="16.5" customHeight="1">
      <c r="A656" s="10"/>
      <c r="B656" s="10"/>
      <c r="C656" s="13"/>
      <c r="D656" s="13"/>
      <c r="E656" s="13"/>
      <c r="F656" s="205"/>
      <c r="G656" s="13"/>
      <c r="H656" s="13"/>
      <c r="I656" s="13"/>
      <c r="J656" s="13"/>
      <c r="K656" s="13"/>
      <c r="L656" s="13"/>
      <c r="M656" s="13"/>
      <c r="N656" s="13"/>
      <c r="O656" s="13"/>
      <c r="P656" s="13"/>
      <c r="Q656" s="13"/>
      <c r="R656" s="13"/>
      <c r="S656" s="13"/>
      <c r="T656" s="13"/>
      <c r="U656" s="13"/>
      <c r="V656" s="13"/>
      <c r="W656" s="13"/>
      <c r="X656" s="13"/>
      <c r="Y656" s="13"/>
      <c r="Z656" s="13"/>
      <c r="AA656" s="13"/>
    </row>
    <row r="657" ht="16.5" customHeight="1">
      <c r="A657" s="10"/>
      <c r="B657" s="10"/>
      <c r="C657" s="13"/>
      <c r="D657" s="13"/>
      <c r="E657" s="13"/>
      <c r="F657" s="205"/>
      <c r="G657" s="13"/>
      <c r="H657" s="13"/>
      <c r="I657" s="13"/>
      <c r="J657" s="13"/>
      <c r="K657" s="13"/>
      <c r="L657" s="13"/>
      <c r="M657" s="13"/>
      <c r="N657" s="13"/>
      <c r="O657" s="13"/>
      <c r="P657" s="13"/>
      <c r="Q657" s="13"/>
      <c r="R657" s="13"/>
      <c r="S657" s="13"/>
      <c r="T657" s="13"/>
      <c r="U657" s="13"/>
      <c r="V657" s="13"/>
      <c r="W657" s="13"/>
      <c r="X657" s="13"/>
      <c r="Y657" s="13"/>
      <c r="Z657" s="13"/>
      <c r="AA657" s="13"/>
    </row>
    <row r="658" ht="16.5" customHeight="1">
      <c r="A658" s="10"/>
      <c r="B658" s="10"/>
      <c r="C658" s="13"/>
      <c r="D658" s="13"/>
      <c r="E658" s="13"/>
      <c r="F658" s="205"/>
      <c r="G658" s="13"/>
      <c r="H658" s="13"/>
      <c r="I658" s="13"/>
      <c r="J658" s="13"/>
      <c r="K658" s="13"/>
      <c r="L658" s="13"/>
      <c r="M658" s="13"/>
      <c r="N658" s="13"/>
      <c r="O658" s="13"/>
      <c r="P658" s="13"/>
      <c r="Q658" s="13"/>
      <c r="R658" s="13"/>
      <c r="S658" s="13"/>
      <c r="T658" s="13"/>
      <c r="U658" s="13"/>
      <c r="V658" s="13"/>
      <c r="W658" s="13"/>
      <c r="X658" s="13"/>
      <c r="Y658" s="13"/>
      <c r="Z658" s="13"/>
      <c r="AA658" s="13"/>
    </row>
    <row r="659" ht="16.5" customHeight="1">
      <c r="A659" s="10"/>
      <c r="B659" s="10"/>
      <c r="C659" s="13"/>
      <c r="D659" s="13"/>
      <c r="E659" s="13"/>
      <c r="F659" s="205"/>
      <c r="G659" s="13"/>
      <c r="H659" s="13"/>
      <c r="I659" s="13"/>
      <c r="J659" s="13"/>
      <c r="K659" s="13"/>
      <c r="L659" s="13"/>
      <c r="M659" s="13"/>
      <c r="N659" s="13"/>
      <c r="O659" s="13"/>
      <c r="P659" s="13"/>
      <c r="Q659" s="13"/>
      <c r="R659" s="13"/>
      <c r="S659" s="13"/>
      <c r="T659" s="13"/>
      <c r="U659" s="13"/>
      <c r="V659" s="13"/>
      <c r="W659" s="13"/>
      <c r="X659" s="13"/>
      <c r="Y659" s="13"/>
      <c r="Z659" s="13"/>
      <c r="AA659" s="13"/>
    </row>
    <row r="660" ht="16.5" customHeight="1">
      <c r="A660" s="10"/>
      <c r="B660" s="10"/>
      <c r="C660" s="13"/>
      <c r="D660" s="13"/>
      <c r="E660" s="13"/>
      <c r="F660" s="205"/>
      <c r="G660" s="13"/>
      <c r="H660" s="13"/>
      <c r="I660" s="13"/>
      <c r="J660" s="13"/>
      <c r="K660" s="13"/>
      <c r="L660" s="13"/>
      <c r="M660" s="13"/>
      <c r="N660" s="13"/>
      <c r="O660" s="13"/>
      <c r="P660" s="13"/>
      <c r="Q660" s="13"/>
      <c r="R660" s="13"/>
      <c r="S660" s="13"/>
      <c r="T660" s="13"/>
      <c r="U660" s="13"/>
      <c r="V660" s="13"/>
      <c r="W660" s="13"/>
      <c r="X660" s="13"/>
      <c r="Y660" s="13"/>
      <c r="Z660" s="13"/>
      <c r="AA660" s="13"/>
    </row>
    <row r="661" ht="16.5" customHeight="1">
      <c r="A661" s="10"/>
      <c r="B661" s="10"/>
      <c r="C661" s="13"/>
      <c r="D661" s="13"/>
      <c r="E661" s="13"/>
      <c r="F661" s="205"/>
      <c r="G661" s="13"/>
      <c r="H661" s="13"/>
      <c r="I661" s="13"/>
      <c r="J661" s="13"/>
      <c r="K661" s="13"/>
      <c r="L661" s="13"/>
      <c r="M661" s="13"/>
      <c r="N661" s="13"/>
      <c r="O661" s="13"/>
      <c r="P661" s="13"/>
      <c r="Q661" s="13"/>
      <c r="R661" s="13"/>
      <c r="S661" s="13"/>
      <c r="T661" s="13"/>
      <c r="U661" s="13"/>
      <c r="V661" s="13"/>
      <c r="W661" s="13"/>
      <c r="X661" s="13"/>
      <c r="Y661" s="13"/>
      <c r="Z661" s="13"/>
      <c r="AA661" s="13"/>
    </row>
    <row r="662" ht="16.5" customHeight="1">
      <c r="A662" s="10"/>
      <c r="B662" s="10"/>
      <c r="C662" s="13"/>
      <c r="D662" s="13"/>
      <c r="E662" s="13"/>
      <c r="F662" s="205"/>
      <c r="G662" s="13"/>
      <c r="H662" s="13"/>
      <c r="I662" s="13"/>
      <c r="J662" s="13"/>
      <c r="K662" s="13"/>
      <c r="L662" s="13"/>
      <c r="M662" s="13"/>
      <c r="N662" s="13"/>
      <c r="O662" s="13"/>
      <c r="P662" s="13"/>
      <c r="Q662" s="13"/>
      <c r="R662" s="13"/>
      <c r="S662" s="13"/>
      <c r="T662" s="13"/>
      <c r="U662" s="13"/>
      <c r="V662" s="13"/>
      <c r="W662" s="13"/>
      <c r="X662" s="13"/>
      <c r="Y662" s="13"/>
      <c r="Z662" s="13"/>
      <c r="AA662" s="13"/>
    </row>
    <row r="663" ht="16.5" customHeight="1">
      <c r="A663" s="10"/>
      <c r="B663" s="10"/>
      <c r="C663" s="13"/>
      <c r="D663" s="13"/>
      <c r="E663" s="13"/>
      <c r="F663" s="205"/>
      <c r="G663" s="13"/>
      <c r="H663" s="13"/>
      <c r="I663" s="13"/>
      <c r="J663" s="13"/>
      <c r="K663" s="13"/>
      <c r="L663" s="13"/>
      <c r="M663" s="13"/>
      <c r="N663" s="13"/>
      <c r="O663" s="13"/>
      <c r="P663" s="13"/>
      <c r="Q663" s="13"/>
      <c r="R663" s="13"/>
      <c r="S663" s="13"/>
      <c r="T663" s="13"/>
      <c r="U663" s="13"/>
      <c r="V663" s="13"/>
      <c r="W663" s="13"/>
      <c r="X663" s="13"/>
      <c r="Y663" s="13"/>
      <c r="Z663" s="13"/>
      <c r="AA663" s="13"/>
    </row>
    <row r="664" ht="16.5" customHeight="1">
      <c r="A664" s="10"/>
      <c r="B664" s="10"/>
      <c r="C664" s="13"/>
      <c r="D664" s="13"/>
      <c r="E664" s="13"/>
      <c r="F664" s="205"/>
      <c r="G664" s="13"/>
      <c r="H664" s="13"/>
      <c r="I664" s="13"/>
      <c r="J664" s="13"/>
      <c r="K664" s="13"/>
      <c r="L664" s="13"/>
      <c r="M664" s="13"/>
      <c r="N664" s="13"/>
      <c r="O664" s="13"/>
      <c r="P664" s="13"/>
      <c r="Q664" s="13"/>
      <c r="R664" s="13"/>
      <c r="S664" s="13"/>
      <c r="T664" s="13"/>
      <c r="U664" s="13"/>
      <c r="V664" s="13"/>
      <c r="W664" s="13"/>
      <c r="X664" s="13"/>
      <c r="Y664" s="13"/>
      <c r="Z664" s="13"/>
      <c r="AA664" s="13"/>
    </row>
    <row r="665" ht="16.5" customHeight="1">
      <c r="A665" s="10"/>
      <c r="B665" s="10"/>
      <c r="C665" s="13"/>
      <c r="D665" s="13"/>
      <c r="E665" s="13"/>
      <c r="F665" s="205"/>
      <c r="G665" s="13"/>
      <c r="H665" s="13"/>
      <c r="I665" s="13"/>
      <c r="J665" s="13"/>
      <c r="K665" s="13"/>
      <c r="L665" s="13"/>
      <c r="M665" s="13"/>
      <c r="N665" s="13"/>
      <c r="O665" s="13"/>
      <c r="P665" s="13"/>
      <c r="Q665" s="13"/>
      <c r="R665" s="13"/>
      <c r="S665" s="13"/>
      <c r="T665" s="13"/>
      <c r="U665" s="13"/>
      <c r="V665" s="13"/>
      <c r="W665" s="13"/>
      <c r="X665" s="13"/>
      <c r="Y665" s="13"/>
      <c r="Z665" s="13"/>
      <c r="AA665" s="13"/>
    </row>
    <row r="666" ht="16.5" customHeight="1">
      <c r="A666" s="10"/>
      <c r="B666" s="10"/>
      <c r="C666" s="13"/>
      <c r="D666" s="13"/>
      <c r="E666" s="13"/>
      <c r="F666" s="205"/>
      <c r="G666" s="13"/>
      <c r="H666" s="13"/>
      <c r="I666" s="13"/>
      <c r="J666" s="13"/>
      <c r="K666" s="13"/>
      <c r="L666" s="13"/>
      <c r="M666" s="13"/>
      <c r="N666" s="13"/>
      <c r="O666" s="13"/>
      <c r="P666" s="13"/>
      <c r="Q666" s="13"/>
      <c r="R666" s="13"/>
      <c r="S666" s="13"/>
      <c r="T666" s="13"/>
      <c r="U666" s="13"/>
      <c r="V666" s="13"/>
      <c r="W666" s="13"/>
      <c r="X666" s="13"/>
      <c r="Y666" s="13"/>
      <c r="Z666" s="13"/>
      <c r="AA666" s="13"/>
    </row>
    <row r="667" ht="16.5" customHeight="1">
      <c r="A667" s="10"/>
      <c r="B667" s="10"/>
      <c r="C667" s="13"/>
      <c r="D667" s="13"/>
      <c r="E667" s="13"/>
      <c r="F667" s="205"/>
      <c r="G667" s="13"/>
      <c r="H667" s="13"/>
      <c r="I667" s="13"/>
      <c r="J667" s="13"/>
      <c r="K667" s="13"/>
      <c r="L667" s="13"/>
      <c r="M667" s="13"/>
      <c r="N667" s="13"/>
      <c r="O667" s="13"/>
      <c r="P667" s="13"/>
      <c r="Q667" s="13"/>
      <c r="R667" s="13"/>
      <c r="S667" s="13"/>
      <c r="T667" s="13"/>
      <c r="U667" s="13"/>
      <c r="V667" s="13"/>
      <c r="W667" s="13"/>
      <c r="X667" s="13"/>
      <c r="Y667" s="13"/>
      <c r="Z667" s="13"/>
      <c r="AA667" s="13"/>
    </row>
    <row r="668" ht="16.5" customHeight="1">
      <c r="A668" s="10"/>
      <c r="B668" s="10"/>
      <c r="C668" s="13"/>
      <c r="D668" s="13"/>
      <c r="E668" s="13"/>
      <c r="F668" s="205"/>
      <c r="G668" s="13"/>
      <c r="H668" s="13"/>
      <c r="I668" s="13"/>
      <c r="J668" s="13"/>
      <c r="K668" s="13"/>
      <c r="L668" s="13"/>
      <c r="M668" s="13"/>
      <c r="N668" s="13"/>
      <c r="O668" s="13"/>
      <c r="P668" s="13"/>
      <c r="Q668" s="13"/>
      <c r="R668" s="13"/>
      <c r="S668" s="13"/>
      <c r="T668" s="13"/>
      <c r="U668" s="13"/>
      <c r="V668" s="13"/>
      <c r="W668" s="13"/>
      <c r="X668" s="13"/>
      <c r="Y668" s="13"/>
      <c r="Z668" s="13"/>
      <c r="AA668" s="13"/>
    </row>
    <row r="669" ht="16.5" customHeight="1">
      <c r="A669" s="10"/>
      <c r="B669" s="10"/>
      <c r="C669" s="13"/>
      <c r="D669" s="13"/>
      <c r="E669" s="13"/>
      <c r="F669" s="205"/>
      <c r="G669" s="13"/>
      <c r="H669" s="13"/>
      <c r="I669" s="13"/>
      <c r="J669" s="13"/>
      <c r="K669" s="13"/>
      <c r="L669" s="13"/>
      <c r="M669" s="13"/>
      <c r="N669" s="13"/>
      <c r="O669" s="13"/>
      <c r="P669" s="13"/>
      <c r="Q669" s="13"/>
      <c r="R669" s="13"/>
      <c r="S669" s="13"/>
      <c r="T669" s="13"/>
      <c r="U669" s="13"/>
      <c r="V669" s="13"/>
      <c r="W669" s="13"/>
      <c r="X669" s="13"/>
      <c r="Y669" s="13"/>
      <c r="Z669" s="13"/>
      <c r="AA669" s="13"/>
    </row>
    <row r="670" ht="16.5" customHeight="1">
      <c r="A670" s="10"/>
      <c r="B670" s="10"/>
      <c r="C670" s="13"/>
      <c r="D670" s="13"/>
      <c r="E670" s="13"/>
      <c r="F670" s="205"/>
      <c r="G670" s="13"/>
      <c r="H670" s="13"/>
      <c r="I670" s="13"/>
      <c r="J670" s="13"/>
      <c r="K670" s="13"/>
      <c r="L670" s="13"/>
      <c r="M670" s="13"/>
      <c r="N670" s="13"/>
      <c r="O670" s="13"/>
      <c r="P670" s="13"/>
      <c r="Q670" s="13"/>
      <c r="R670" s="13"/>
      <c r="S670" s="13"/>
      <c r="T670" s="13"/>
      <c r="U670" s="13"/>
      <c r="V670" s="13"/>
      <c r="W670" s="13"/>
      <c r="X670" s="13"/>
      <c r="Y670" s="13"/>
      <c r="Z670" s="13"/>
      <c r="AA670" s="13"/>
    </row>
    <row r="671" ht="16.5" customHeight="1">
      <c r="A671" s="10"/>
      <c r="B671" s="10"/>
      <c r="C671" s="13"/>
      <c r="D671" s="13"/>
      <c r="E671" s="13"/>
      <c r="F671" s="205"/>
      <c r="G671" s="13"/>
      <c r="H671" s="13"/>
      <c r="I671" s="13"/>
      <c r="J671" s="13"/>
      <c r="K671" s="13"/>
      <c r="L671" s="13"/>
      <c r="M671" s="13"/>
      <c r="N671" s="13"/>
      <c r="O671" s="13"/>
      <c r="P671" s="13"/>
      <c r="Q671" s="13"/>
      <c r="R671" s="13"/>
      <c r="S671" s="13"/>
      <c r="T671" s="13"/>
      <c r="U671" s="13"/>
      <c r="V671" s="13"/>
      <c r="W671" s="13"/>
      <c r="X671" s="13"/>
      <c r="Y671" s="13"/>
      <c r="Z671" s="13"/>
      <c r="AA671" s="13"/>
    </row>
    <row r="672" ht="16.5" customHeight="1">
      <c r="A672" s="10"/>
      <c r="B672" s="10"/>
      <c r="C672" s="13"/>
      <c r="D672" s="13"/>
      <c r="E672" s="13"/>
      <c r="F672" s="205"/>
      <c r="G672" s="13"/>
      <c r="H672" s="13"/>
      <c r="I672" s="13"/>
      <c r="J672" s="13"/>
      <c r="K672" s="13"/>
      <c r="L672" s="13"/>
      <c r="M672" s="13"/>
      <c r="N672" s="13"/>
      <c r="O672" s="13"/>
      <c r="P672" s="13"/>
      <c r="Q672" s="13"/>
      <c r="R672" s="13"/>
      <c r="S672" s="13"/>
      <c r="T672" s="13"/>
      <c r="U672" s="13"/>
      <c r="V672" s="13"/>
      <c r="W672" s="13"/>
      <c r="X672" s="13"/>
      <c r="Y672" s="13"/>
      <c r="Z672" s="13"/>
      <c r="AA672" s="13"/>
    </row>
    <row r="673" ht="16.5" customHeight="1">
      <c r="A673" s="10"/>
      <c r="B673" s="10"/>
      <c r="C673" s="13"/>
      <c r="D673" s="13"/>
      <c r="E673" s="13"/>
      <c r="F673" s="205"/>
      <c r="G673" s="13"/>
      <c r="H673" s="13"/>
      <c r="I673" s="13"/>
      <c r="J673" s="13"/>
      <c r="K673" s="13"/>
      <c r="L673" s="13"/>
      <c r="M673" s="13"/>
      <c r="N673" s="13"/>
      <c r="O673" s="13"/>
      <c r="P673" s="13"/>
      <c r="Q673" s="13"/>
      <c r="R673" s="13"/>
      <c r="S673" s="13"/>
      <c r="T673" s="13"/>
      <c r="U673" s="13"/>
      <c r="V673" s="13"/>
      <c r="W673" s="13"/>
      <c r="X673" s="13"/>
      <c r="Y673" s="13"/>
      <c r="Z673" s="13"/>
      <c r="AA673" s="13"/>
    </row>
    <row r="674" ht="16.5" customHeight="1">
      <c r="A674" s="10"/>
      <c r="B674" s="10"/>
      <c r="C674" s="13"/>
      <c r="D674" s="13"/>
      <c r="E674" s="13"/>
      <c r="F674" s="205"/>
      <c r="G674" s="13"/>
      <c r="H674" s="13"/>
      <c r="I674" s="13"/>
      <c r="J674" s="13"/>
      <c r="K674" s="13"/>
      <c r="L674" s="13"/>
      <c r="M674" s="13"/>
      <c r="N674" s="13"/>
      <c r="O674" s="13"/>
      <c r="P674" s="13"/>
      <c r="Q674" s="13"/>
      <c r="R674" s="13"/>
      <c r="S674" s="13"/>
      <c r="T674" s="13"/>
      <c r="U674" s="13"/>
      <c r="V674" s="13"/>
      <c r="W674" s="13"/>
      <c r="X674" s="13"/>
      <c r="Y674" s="13"/>
      <c r="Z674" s="13"/>
      <c r="AA674" s="13"/>
    </row>
    <row r="675" ht="16.5" customHeight="1">
      <c r="A675" s="10"/>
      <c r="B675" s="10"/>
      <c r="C675" s="13"/>
      <c r="D675" s="13"/>
      <c r="E675" s="13"/>
      <c r="F675" s="205"/>
      <c r="G675" s="13"/>
      <c r="H675" s="13"/>
      <c r="I675" s="13"/>
      <c r="J675" s="13"/>
      <c r="K675" s="13"/>
      <c r="L675" s="13"/>
      <c r="M675" s="13"/>
      <c r="N675" s="13"/>
      <c r="O675" s="13"/>
      <c r="P675" s="13"/>
      <c r="Q675" s="13"/>
      <c r="R675" s="13"/>
      <c r="S675" s="13"/>
      <c r="T675" s="13"/>
      <c r="U675" s="13"/>
      <c r="V675" s="13"/>
      <c r="W675" s="13"/>
      <c r="X675" s="13"/>
      <c r="Y675" s="13"/>
      <c r="Z675" s="13"/>
      <c r="AA675" s="13"/>
    </row>
    <row r="676" ht="16.5" customHeight="1">
      <c r="A676" s="10"/>
      <c r="B676" s="10"/>
      <c r="C676" s="13"/>
      <c r="D676" s="13"/>
      <c r="E676" s="13"/>
      <c r="F676" s="205"/>
      <c r="G676" s="13"/>
      <c r="H676" s="13"/>
      <c r="I676" s="13"/>
      <c r="J676" s="13"/>
      <c r="K676" s="13"/>
      <c r="L676" s="13"/>
      <c r="M676" s="13"/>
      <c r="N676" s="13"/>
      <c r="O676" s="13"/>
      <c r="P676" s="13"/>
      <c r="Q676" s="13"/>
      <c r="R676" s="13"/>
      <c r="S676" s="13"/>
      <c r="T676" s="13"/>
      <c r="U676" s="13"/>
      <c r="V676" s="13"/>
      <c r="W676" s="13"/>
      <c r="X676" s="13"/>
      <c r="Y676" s="13"/>
      <c r="Z676" s="13"/>
      <c r="AA676" s="13"/>
    </row>
    <row r="677" ht="16.5" customHeight="1">
      <c r="A677" s="10"/>
      <c r="B677" s="10"/>
      <c r="C677" s="13"/>
      <c r="D677" s="13"/>
      <c r="E677" s="13"/>
      <c r="F677" s="205"/>
      <c r="G677" s="13"/>
      <c r="H677" s="13"/>
      <c r="I677" s="13"/>
      <c r="J677" s="13"/>
      <c r="K677" s="13"/>
      <c r="L677" s="13"/>
      <c r="M677" s="13"/>
      <c r="N677" s="13"/>
      <c r="O677" s="13"/>
      <c r="P677" s="13"/>
      <c r="Q677" s="13"/>
      <c r="R677" s="13"/>
      <c r="S677" s="13"/>
      <c r="T677" s="13"/>
      <c r="U677" s="13"/>
      <c r="V677" s="13"/>
      <c r="W677" s="13"/>
      <c r="X677" s="13"/>
      <c r="Y677" s="13"/>
      <c r="Z677" s="13"/>
      <c r="AA677" s="13"/>
    </row>
    <row r="678" ht="16.5" customHeight="1">
      <c r="A678" s="10"/>
      <c r="B678" s="10"/>
      <c r="C678" s="13"/>
      <c r="D678" s="13"/>
      <c r="E678" s="13"/>
      <c r="F678" s="205"/>
      <c r="G678" s="13"/>
      <c r="H678" s="13"/>
      <c r="I678" s="13"/>
      <c r="J678" s="13"/>
      <c r="K678" s="13"/>
      <c r="L678" s="13"/>
      <c r="M678" s="13"/>
      <c r="N678" s="13"/>
      <c r="O678" s="13"/>
      <c r="P678" s="13"/>
      <c r="Q678" s="13"/>
      <c r="R678" s="13"/>
      <c r="S678" s="13"/>
      <c r="T678" s="13"/>
      <c r="U678" s="13"/>
      <c r="V678" s="13"/>
      <c r="W678" s="13"/>
      <c r="X678" s="13"/>
      <c r="Y678" s="13"/>
      <c r="Z678" s="13"/>
      <c r="AA678" s="13"/>
    </row>
    <row r="679" ht="16.5" customHeight="1">
      <c r="A679" s="10"/>
      <c r="B679" s="10"/>
      <c r="C679" s="13"/>
      <c r="D679" s="13"/>
      <c r="E679" s="13"/>
      <c r="F679" s="205"/>
      <c r="G679" s="13"/>
      <c r="H679" s="13"/>
      <c r="I679" s="13"/>
      <c r="J679" s="13"/>
      <c r="K679" s="13"/>
      <c r="L679" s="13"/>
      <c r="M679" s="13"/>
      <c r="N679" s="13"/>
      <c r="O679" s="13"/>
      <c r="P679" s="13"/>
      <c r="Q679" s="13"/>
      <c r="R679" s="13"/>
      <c r="S679" s="13"/>
      <c r="T679" s="13"/>
      <c r="U679" s="13"/>
      <c r="V679" s="13"/>
      <c r="W679" s="13"/>
      <c r="X679" s="13"/>
      <c r="Y679" s="13"/>
      <c r="Z679" s="13"/>
      <c r="AA679" s="13"/>
    </row>
    <row r="680" ht="16.5" customHeight="1">
      <c r="A680" s="10"/>
      <c r="B680" s="10"/>
      <c r="C680" s="13"/>
      <c r="D680" s="13"/>
      <c r="E680" s="13"/>
      <c r="F680" s="205"/>
      <c r="G680" s="13"/>
      <c r="H680" s="13"/>
      <c r="I680" s="13"/>
      <c r="J680" s="13"/>
      <c r="K680" s="13"/>
      <c r="L680" s="13"/>
      <c r="M680" s="13"/>
      <c r="N680" s="13"/>
      <c r="O680" s="13"/>
      <c r="P680" s="13"/>
      <c r="Q680" s="13"/>
      <c r="R680" s="13"/>
      <c r="S680" s="13"/>
      <c r="T680" s="13"/>
      <c r="U680" s="13"/>
      <c r="V680" s="13"/>
      <c r="W680" s="13"/>
      <c r="X680" s="13"/>
      <c r="Y680" s="13"/>
      <c r="Z680" s="13"/>
      <c r="AA680" s="13"/>
    </row>
    <row r="681" ht="16.5" customHeight="1">
      <c r="A681" s="10"/>
      <c r="B681" s="10"/>
      <c r="C681" s="13"/>
      <c r="D681" s="13"/>
      <c r="E681" s="13"/>
      <c r="F681" s="205"/>
      <c r="G681" s="13"/>
      <c r="H681" s="13"/>
      <c r="I681" s="13"/>
      <c r="J681" s="13"/>
      <c r="K681" s="13"/>
      <c r="L681" s="13"/>
      <c r="M681" s="13"/>
      <c r="N681" s="13"/>
      <c r="O681" s="13"/>
      <c r="P681" s="13"/>
      <c r="Q681" s="13"/>
      <c r="R681" s="13"/>
      <c r="S681" s="13"/>
      <c r="T681" s="13"/>
      <c r="U681" s="13"/>
      <c r="V681" s="13"/>
      <c r="W681" s="13"/>
      <c r="X681" s="13"/>
      <c r="Y681" s="13"/>
      <c r="Z681" s="13"/>
      <c r="AA681" s="13"/>
    </row>
    <row r="682" ht="16.5" customHeight="1">
      <c r="A682" s="10"/>
      <c r="B682" s="10"/>
      <c r="C682" s="13"/>
      <c r="D682" s="13"/>
      <c r="E682" s="13"/>
      <c r="F682" s="205"/>
      <c r="G682" s="13"/>
      <c r="H682" s="13"/>
      <c r="I682" s="13"/>
      <c r="J682" s="13"/>
      <c r="K682" s="13"/>
      <c r="L682" s="13"/>
      <c r="M682" s="13"/>
      <c r="N682" s="13"/>
      <c r="O682" s="13"/>
      <c r="P682" s="13"/>
      <c r="Q682" s="13"/>
      <c r="R682" s="13"/>
      <c r="S682" s="13"/>
      <c r="T682" s="13"/>
      <c r="U682" s="13"/>
      <c r="V682" s="13"/>
      <c r="W682" s="13"/>
      <c r="X682" s="13"/>
      <c r="Y682" s="13"/>
      <c r="Z682" s="13"/>
      <c r="AA682" s="13"/>
    </row>
    <row r="683" ht="16.5" customHeight="1">
      <c r="A683" s="10"/>
      <c r="B683" s="10"/>
      <c r="C683" s="13"/>
      <c r="D683" s="13"/>
      <c r="E683" s="13"/>
      <c r="F683" s="205"/>
      <c r="G683" s="13"/>
      <c r="H683" s="13"/>
      <c r="I683" s="13"/>
      <c r="J683" s="13"/>
      <c r="K683" s="13"/>
      <c r="L683" s="13"/>
      <c r="M683" s="13"/>
      <c r="N683" s="13"/>
      <c r="O683" s="13"/>
      <c r="P683" s="13"/>
      <c r="Q683" s="13"/>
      <c r="R683" s="13"/>
      <c r="S683" s="13"/>
      <c r="T683" s="13"/>
      <c r="U683" s="13"/>
      <c r="V683" s="13"/>
      <c r="W683" s="13"/>
      <c r="X683" s="13"/>
      <c r="Y683" s="13"/>
      <c r="Z683" s="13"/>
      <c r="AA683" s="13"/>
    </row>
    <row r="684" ht="16.5" customHeight="1">
      <c r="A684" s="10"/>
      <c r="B684" s="10"/>
      <c r="C684" s="13"/>
      <c r="D684" s="13"/>
      <c r="E684" s="13"/>
      <c r="F684" s="205"/>
      <c r="G684" s="13"/>
      <c r="H684" s="13"/>
      <c r="I684" s="13"/>
      <c r="J684" s="13"/>
      <c r="K684" s="13"/>
      <c r="L684" s="13"/>
      <c r="M684" s="13"/>
      <c r="N684" s="13"/>
      <c r="O684" s="13"/>
      <c r="P684" s="13"/>
      <c r="Q684" s="13"/>
      <c r="R684" s="13"/>
      <c r="S684" s="13"/>
      <c r="T684" s="13"/>
      <c r="U684" s="13"/>
      <c r="V684" s="13"/>
      <c r="W684" s="13"/>
      <c r="X684" s="13"/>
      <c r="Y684" s="13"/>
      <c r="Z684" s="13"/>
      <c r="AA684" s="13"/>
    </row>
    <row r="685" ht="16.5" customHeight="1">
      <c r="A685" s="10"/>
      <c r="B685" s="10"/>
      <c r="C685" s="13"/>
      <c r="D685" s="13"/>
      <c r="E685" s="13"/>
      <c r="F685" s="205"/>
      <c r="G685" s="13"/>
      <c r="H685" s="13"/>
      <c r="I685" s="13"/>
      <c r="J685" s="13"/>
      <c r="K685" s="13"/>
      <c r="L685" s="13"/>
      <c r="M685" s="13"/>
      <c r="N685" s="13"/>
      <c r="O685" s="13"/>
      <c r="P685" s="13"/>
      <c r="Q685" s="13"/>
      <c r="R685" s="13"/>
      <c r="S685" s="13"/>
      <c r="T685" s="13"/>
      <c r="U685" s="13"/>
      <c r="V685" s="13"/>
      <c r="W685" s="13"/>
      <c r="X685" s="13"/>
      <c r="Y685" s="13"/>
      <c r="Z685" s="13"/>
      <c r="AA685" s="13"/>
    </row>
    <row r="686" ht="16.5" customHeight="1">
      <c r="A686" s="10"/>
      <c r="B686" s="10"/>
      <c r="C686" s="13"/>
      <c r="D686" s="13"/>
      <c r="E686" s="13"/>
      <c r="F686" s="205"/>
      <c r="G686" s="13"/>
      <c r="H686" s="13"/>
      <c r="I686" s="13"/>
      <c r="J686" s="13"/>
      <c r="K686" s="13"/>
      <c r="L686" s="13"/>
      <c r="M686" s="13"/>
      <c r="N686" s="13"/>
      <c r="O686" s="13"/>
      <c r="P686" s="13"/>
      <c r="Q686" s="13"/>
      <c r="R686" s="13"/>
      <c r="S686" s="13"/>
      <c r="T686" s="13"/>
      <c r="U686" s="13"/>
      <c r="V686" s="13"/>
      <c r="W686" s="13"/>
      <c r="X686" s="13"/>
      <c r="Y686" s="13"/>
      <c r="Z686" s="13"/>
      <c r="AA686" s="13"/>
    </row>
    <row r="687" ht="16.5" customHeight="1">
      <c r="A687" s="10"/>
      <c r="B687" s="10"/>
      <c r="C687" s="13"/>
      <c r="D687" s="13"/>
      <c r="E687" s="13"/>
      <c r="F687" s="205"/>
      <c r="G687" s="13"/>
      <c r="H687" s="13"/>
      <c r="I687" s="13"/>
      <c r="J687" s="13"/>
      <c r="K687" s="13"/>
      <c r="L687" s="13"/>
      <c r="M687" s="13"/>
      <c r="N687" s="13"/>
      <c r="O687" s="13"/>
      <c r="P687" s="13"/>
      <c r="Q687" s="13"/>
      <c r="R687" s="13"/>
      <c r="S687" s="13"/>
      <c r="T687" s="13"/>
      <c r="U687" s="13"/>
      <c r="V687" s="13"/>
      <c r="W687" s="13"/>
      <c r="X687" s="13"/>
      <c r="Y687" s="13"/>
      <c r="Z687" s="13"/>
      <c r="AA687" s="13"/>
    </row>
    <row r="688" ht="16.5" customHeight="1">
      <c r="A688" s="10"/>
      <c r="B688" s="10"/>
      <c r="C688" s="13"/>
      <c r="D688" s="13"/>
      <c r="E688" s="13"/>
      <c r="F688" s="205"/>
      <c r="G688" s="13"/>
      <c r="H688" s="13"/>
      <c r="I688" s="13"/>
      <c r="J688" s="13"/>
      <c r="K688" s="13"/>
      <c r="L688" s="13"/>
      <c r="M688" s="13"/>
      <c r="N688" s="13"/>
      <c r="O688" s="13"/>
      <c r="P688" s="13"/>
      <c r="Q688" s="13"/>
      <c r="R688" s="13"/>
      <c r="S688" s="13"/>
      <c r="T688" s="13"/>
      <c r="U688" s="13"/>
      <c r="V688" s="13"/>
      <c r="W688" s="13"/>
      <c r="X688" s="13"/>
      <c r="Y688" s="13"/>
      <c r="Z688" s="13"/>
      <c r="AA688" s="13"/>
    </row>
    <row r="689" ht="16.5" customHeight="1">
      <c r="A689" s="10"/>
      <c r="B689" s="10"/>
      <c r="C689" s="13"/>
      <c r="D689" s="13"/>
      <c r="E689" s="13"/>
      <c r="F689" s="205"/>
      <c r="G689" s="13"/>
      <c r="H689" s="13"/>
      <c r="I689" s="13"/>
      <c r="J689" s="13"/>
      <c r="K689" s="13"/>
      <c r="L689" s="13"/>
      <c r="M689" s="13"/>
      <c r="N689" s="13"/>
      <c r="O689" s="13"/>
      <c r="P689" s="13"/>
      <c r="Q689" s="13"/>
      <c r="R689" s="13"/>
      <c r="S689" s="13"/>
      <c r="T689" s="13"/>
      <c r="U689" s="13"/>
      <c r="V689" s="13"/>
      <c r="W689" s="13"/>
      <c r="X689" s="13"/>
      <c r="Y689" s="13"/>
      <c r="Z689" s="13"/>
      <c r="AA689" s="13"/>
    </row>
    <row r="690" ht="16.5" customHeight="1">
      <c r="A690" s="10"/>
      <c r="B690" s="10"/>
      <c r="C690" s="13"/>
      <c r="D690" s="13"/>
      <c r="E690" s="13"/>
      <c r="F690" s="205"/>
      <c r="G690" s="13"/>
      <c r="H690" s="13"/>
      <c r="I690" s="13"/>
      <c r="J690" s="13"/>
      <c r="K690" s="13"/>
      <c r="L690" s="13"/>
      <c r="M690" s="13"/>
      <c r="N690" s="13"/>
      <c r="O690" s="13"/>
      <c r="P690" s="13"/>
      <c r="Q690" s="13"/>
      <c r="R690" s="13"/>
      <c r="S690" s="13"/>
      <c r="T690" s="13"/>
      <c r="U690" s="13"/>
      <c r="V690" s="13"/>
      <c r="W690" s="13"/>
      <c r="X690" s="13"/>
      <c r="Y690" s="13"/>
      <c r="Z690" s="13"/>
      <c r="AA690" s="13"/>
    </row>
    <row r="691" ht="16.5" customHeight="1">
      <c r="A691" s="10"/>
      <c r="B691" s="10"/>
      <c r="C691" s="13"/>
      <c r="D691" s="13"/>
      <c r="E691" s="13"/>
      <c r="F691" s="205"/>
      <c r="G691" s="13"/>
      <c r="H691" s="13"/>
      <c r="I691" s="13"/>
      <c r="J691" s="13"/>
      <c r="K691" s="13"/>
      <c r="L691" s="13"/>
      <c r="M691" s="13"/>
      <c r="N691" s="13"/>
      <c r="O691" s="13"/>
      <c r="P691" s="13"/>
      <c r="Q691" s="13"/>
      <c r="R691" s="13"/>
      <c r="S691" s="13"/>
      <c r="T691" s="13"/>
      <c r="U691" s="13"/>
      <c r="V691" s="13"/>
      <c r="W691" s="13"/>
      <c r="X691" s="13"/>
      <c r="Y691" s="13"/>
      <c r="Z691" s="13"/>
      <c r="AA691" s="13"/>
    </row>
    <row r="692" ht="16.5" customHeight="1">
      <c r="A692" s="10"/>
      <c r="B692" s="10"/>
      <c r="C692" s="13"/>
      <c r="D692" s="13"/>
      <c r="E692" s="13"/>
      <c r="F692" s="205"/>
      <c r="G692" s="13"/>
      <c r="H692" s="13"/>
      <c r="I692" s="13"/>
      <c r="J692" s="13"/>
      <c r="K692" s="13"/>
      <c r="L692" s="13"/>
      <c r="M692" s="13"/>
      <c r="N692" s="13"/>
      <c r="O692" s="13"/>
      <c r="P692" s="13"/>
      <c r="Q692" s="13"/>
      <c r="R692" s="13"/>
      <c r="S692" s="13"/>
      <c r="T692" s="13"/>
      <c r="U692" s="13"/>
      <c r="V692" s="13"/>
      <c r="W692" s="13"/>
      <c r="X692" s="13"/>
      <c r="Y692" s="13"/>
      <c r="Z692" s="13"/>
      <c r="AA692" s="13"/>
    </row>
    <row r="693" ht="16.5" customHeight="1">
      <c r="A693" s="10"/>
      <c r="B693" s="10"/>
      <c r="C693" s="13"/>
      <c r="D693" s="13"/>
      <c r="E693" s="13"/>
      <c r="F693" s="205"/>
      <c r="G693" s="13"/>
      <c r="H693" s="13"/>
      <c r="I693" s="13"/>
      <c r="J693" s="13"/>
      <c r="K693" s="13"/>
      <c r="L693" s="13"/>
      <c r="M693" s="13"/>
      <c r="N693" s="13"/>
      <c r="O693" s="13"/>
      <c r="P693" s="13"/>
      <c r="Q693" s="13"/>
      <c r="R693" s="13"/>
      <c r="S693" s="13"/>
      <c r="T693" s="13"/>
      <c r="U693" s="13"/>
      <c r="V693" s="13"/>
      <c r="W693" s="13"/>
      <c r="X693" s="13"/>
      <c r="Y693" s="13"/>
      <c r="Z693" s="13"/>
      <c r="AA693" s="13"/>
    </row>
    <row r="694" ht="16.5" customHeight="1">
      <c r="A694" s="10"/>
      <c r="B694" s="10"/>
      <c r="C694" s="13"/>
      <c r="D694" s="13"/>
      <c r="E694" s="13"/>
      <c r="F694" s="205"/>
      <c r="G694" s="13"/>
      <c r="H694" s="13"/>
      <c r="I694" s="13"/>
      <c r="J694" s="13"/>
      <c r="K694" s="13"/>
      <c r="L694" s="13"/>
      <c r="M694" s="13"/>
      <c r="N694" s="13"/>
      <c r="O694" s="13"/>
      <c r="P694" s="13"/>
      <c r="Q694" s="13"/>
      <c r="R694" s="13"/>
      <c r="S694" s="13"/>
      <c r="T694" s="13"/>
      <c r="U694" s="13"/>
      <c r="V694" s="13"/>
      <c r="W694" s="13"/>
      <c r="X694" s="13"/>
      <c r="Y694" s="13"/>
      <c r="Z694" s="13"/>
      <c r="AA694" s="13"/>
    </row>
    <row r="695" ht="16.5" customHeight="1">
      <c r="A695" s="10"/>
      <c r="B695" s="10"/>
      <c r="C695" s="13"/>
      <c r="D695" s="13"/>
      <c r="E695" s="13"/>
      <c r="F695" s="205"/>
      <c r="G695" s="13"/>
      <c r="H695" s="13"/>
      <c r="I695" s="13"/>
      <c r="J695" s="13"/>
      <c r="K695" s="13"/>
      <c r="L695" s="13"/>
      <c r="M695" s="13"/>
      <c r="N695" s="13"/>
      <c r="O695" s="13"/>
      <c r="P695" s="13"/>
      <c r="Q695" s="13"/>
      <c r="R695" s="13"/>
      <c r="S695" s="13"/>
      <c r="T695" s="13"/>
      <c r="U695" s="13"/>
      <c r="V695" s="13"/>
      <c r="W695" s="13"/>
      <c r="X695" s="13"/>
      <c r="Y695" s="13"/>
      <c r="Z695" s="13"/>
      <c r="AA695" s="13"/>
    </row>
    <row r="696" ht="16.5" customHeight="1">
      <c r="A696" s="10"/>
      <c r="B696" s="10"/>
      <c r="C696" s="13"/>
      <c r="D696" s="13"/>
      <c r="E696" s="13"/>
      <c r="F696" s="205"/>
      <c r="G696" s="13"/>
      <c r="H696" s="13"/>
      <c r="I696" s="13"/>
      <c r="J696" s="13"/>
      <c r="K696" s="13"/>
      <c r="L696" s="13"/>
      <c r="M696" s="13"/>
      <c r="N696" s="13"/>
      <c r="O696" s="13"/>
      <c r="P696" s="13"/>
      <c r="Q696" s="13"/>
      <c r="R696" s="13"/>
      <c r="S696" s="13"/>
      <c r="T696" s="13"/>
      <c r="U696" s="13"/>
      <c r="V696" s="13"/>
      <c r="W696" s="13"/>
      <c r="X696" s="13"/>
      <c r="Y696" s="13"/>
      <c r="Z696" s="13"/>
      <c r="AA696" s="13"/>
    </row>
    <row r="697" ht="16.5" customHeight="1">
      <c r="A697" s="10"/>
      <c r="B697" s="10"/>
      <c r="C697" s="13"/>
      <c r="D697" s="13"/>
      <c r="E697" s="13"/>
      <c r="F697" s="205"/>
      <c r="G697" s="13"/>
      <c r="H697" s="13"/>
      <c r="I697" s="13"/>
      <c r="J697" s="13"/>
      <c r="K697" s="13"/>
      <c r="L697" s="13"/>
      <c r="M697" s="13"/>
      <c r="N697" s="13"/>
      <c r="O697" s="13"/>
      <c r="P697" s="13"/>
      <c r="Q697" s="13"/>
      <c r="R697" s="13"/>
      <c r="S697" s="13"/>
      <c r="T697" s="13"/>
      <c r="U697" s="13"/>
      <c r="V697" s="13"/>
      <c r="W697" s="13"/>
      <c r="X697" s="13"/>
      <c r="Y697" s="13"/>
      <c r="Z697" s="13"/>
      <c r="AA697" s="13"/>
    </row>
    <row r="698" ht="16.5" customHeight="1">
      <c r="A698" s="10"/>
      <c r="B698" s="10"/>
      <c r="C698" s="13"/>
      <c r="D698" s="13"/>
      <c r="E698" s="13"/>
      <c r="F698" s="205"/>
      <c r="G698" s="13"/>
      <c r="H698" s="13"/>
      <c r="I698" s="13"/>
      <c r="J698" s="13"/>
      <c r="K698" s="13"/>
      <c r="L698" s="13"/>
      <c r="M698" s="13"/>
      <c r="N698" s="13"/>
      <c r="O698" s="13"/>
      <c r="P698" s="13"/>
      <c r="Q698" s="13"/>
      <c r="R698" s="13"/>
      <c r="S698" s="13"/>
      <c r="T698" s="13"/>
      <c r="U698" s="13"/>
      <c r="V698" s="13"/>
      <c r="W698" s="13"/>
      <c r="X698" s="13"/>
      <c r="Y698" s="13"/>
      <c r="Z698" s="13"/>
      <c r="AA698" s="13"/>
    </row>
    <row r="699" ht="16.5" customHeight="1">
      <c r="A699" s="10"/>
      <c r="B699" s="10"/>
      <c r="C699" s="13"/>
      <c r="D699" s="13"/>
      <c r="E699" s="13"/>
      <c r="F699" s="205"/>
      <c r="G699" s="13"/>
      <c r="H699" s="13"/>
      <c r="I699" s="13"/>
      <c r="J699" s="13"/>
      <c r="K699" s="13"/>
      <c r="L699" s="13"/>
      <c r="M699" s="13"/>
      <c r="N699" s="13"/>
      <c r="O699" s="13"/>
      <c r="P699" s="13"/>
      <c r="Q699" s="13"/>
      <c r="R699" s="13"/>
      <c r="S699" s="13"/>
      <c r="T699" s="13"/>
      <c r="U699" s="13"/>
      <c r="V699" s="13"/>
      <c r="W699" s="13"/>
      <c r="X699" s="13"/>
      <c r="Y699" s="13"/>
      <c r="Z699" s="13"/>
      <c r="AA699" s="13"/>
    </row>
    <row r="700" ht="16.5" customHeight="1">
      <c r="A700" s="10"/>
      <c r="B700" s="10"/>
      <c r="C700" s="13"/>
      <c r="D700" s="13"/>
      <c r="E700" s="13"/>
      <c r="F700" s="205"/>
      <c r="G700" s="13"/>
      <c r="H700" s="13"/>
      <c r="I700" s="13"/>
      <c r="J700" s="13"/>
      <c r="K700" s="13"/>
      <c r="L700" s="13"/>
      <c r="M700" s="13"/>
      <c r="N700" s="13"/>
      <c r="O700" s="13"/>
      <c r="P700" s="13"/>
      <c r="Q700" s="13"/>
      <c r="R700" s="13"/>
      <c r="S700" s="13"/>
      <c r="T700" s="13"/>
      <c r="U700" s="13"/>
      <c r="V700" s="13"/>
      <c r="W700" s="13"/>
      <c r="X700" s="13"/>
      <c r="Y700" s="13"/>
      <c r="Z700" s="13"/>
      <c r="AA700" s="13"/>
    </row>
    <row r="701" ht="16.5" customHeight="1">
      <c r="A701" s="10"/>
      <c r="B701" s="10"/>
      <c r="C701" s="13"/>
      <c r="D701" s="13"/>
      <c r="E701" s="13"/>
      <c r="F701" s="205"/>
      <c r="G701" s="13"/>
      <c r="H701" s="13"/>
      <c r="I701" s="13"/>
      <c r="J701" s="13"/>
      <c r="K701" s="13"/>
      <c r="L701" s="13"/>
      <c r="M701" s="13"/>
      <c r="N701" s="13"/>
      <c r="O701" s="13"/>
      <c r="P701" s="13"/>
      <c r="Q701" s="13"/>
      <c r="R701" s="13"/>
      <c r="S701" s="13"/>
      <c r="T701" s="13"/>
      <c r="U701" s="13"/>
      <c r="V701" s="13"/>
      <c r="W701" s="13"/>
      <c r="X701" s="13"/>
      <c r="Y701" s="13"/>
      <c r="Z701" s="13"/>
      <c r="AA701" s="13"/>
    </row>
    <row r="702" ht="16.5" customHeight="1">
      <c r="A702" s="10"/>
      <c r="B702" s="10"/>
      <c r="C702" s="13"/>
      <c r="D702" s="13"/>
      <c r="E702" s="13"/>
      <c r="F702" s="205"/>
      <c r="G702" s="13"/>
      <c r="H702" s="13"/>
      <c r="I702" s="13"/>
      <c r="J702" s="13"/>
      <c r="K702" s="13"/>
      <c r="L702" s="13"/>
      <c r="M702" s="13"/>
      <c r="N702" s="13"/>
      <c r="O702" s="13"/>
      <c r="P702" s="13"/>
      <c r="Q702" s="13"/>
      <c r="R702" s="13"/>
      <c r="S702" s="13"/>
      <c r="T702" s="13"/>
      <c r="U702" s="13"/>
      <c r="V702" s="13"/>
      <c r="W702" s="13"/>
      <c r="X702" s="13"/>
      <c r="Y702" s="13"/>
      <c r="Z702" s="13"/>
      <c r="AA702" s="13"/>
    </row>
    <row r="703" ht="16.5" customHeight="1">
      <c r="A703" s="10"/>
      <c r="B703" s="10"/>
      <c r="C703" s="13"/>
      <c r="D703" s="13"/>
      <c r="E703" s="13"/>
      <c r="F703" s="205"/>
      <c r="G703" s="13"/>
      <c r="H703" s="13"/>
      <c r="I703" s="13"/>
      <c r="J703" s="13"/>
      <c r="K703" s="13"/>
      <c r="L703" s="13"/>
      <c r="M703" s="13"/>
      <c r="N703" s="13"/>
      <c r="O703" s="13"/>
      <c r="P703" s="13"/>
      <c r="Q703" s="13"/>
      <c r="R703" s="13"/>
      <c r="S703" s="13"/>
      <c r="T703" s="13"/>
      <c r="U703" s="13"/>
      <c r="V703" s="13"/>
      <c r="W703" s="13"/>
      <c r="X703" s="13"/>
      <c r="Y703" s="13"/>
      <c r="Z703" s="13"/>
      <c r="AA703" s="13"/>
    </row>
    <row r="704" ht="16.5" customHeight="1">
      <c r="A704" s="10"/>
      <c r="B704" s="10"/>
      <c r="C704" s="13"/>
      <c r="D704" s="13"/>
      <c r="E704" s="13"/>
      <c r="F704" s="205"/>
      <c r="G704" s="13"/>
      <c r="H704" s="13"/>
      <c r="I704" s="13"/>
      <c r="J704" s="13"/>
      <c r="K704" s="13"/>
      <c r="L704" s="13"/>
      <c r="M704" s="13"/>
      <c r="N704" s="13"/>
      <c r="O704" s="13"/>
      <c r="P704" s="13"/>
      <c r="Q704" s="13"/>
      <c r="R704" s="13"/>
      <c r="S704" s="13"/>
      <c r="T704" s="13"/>
      <c r="U704" s="13"/>
      <c r="V704" s="13"/>
      <c r="W704" s="13"/>
      <c r="X704" s="13"/>
      <c r="Y704" s="13"/>
      <c r="Z704" s="13"/>
      <c r="AA704" s="13"/>
    </row>
    <row r="705" ht="16.5" customHeight="1">
      <c r="A705" s="10"/>
      <c r="B705" s="10"/>
      <c r="C705" s="13"/>
      <c r="D705" s="13"/>
      <c r="E705" s="13"/>
      <c r="F705" s="205"/>
      <c r="G705" s="13"/>
      <c r="H705" s="13"/>
      <c r="I705" s="13"/>
      <c r="J705" s="13"/>
      <c r="K705" s="13"/>
      <c r="L705" s="13"/>
      <c r="M705" s="13"/>
      <c r="N705" s="13"/>
      <c r="O705" s="13"/>
      <c r="P705" s="13"/>
      <c r="Q705" s="13"/>
      <c r="R705" s="13"/>
      <c r="S705" s="13"/>
      <c r="T705" s="13"/>
      <c r="U705" s="13"/>
      <c r="V705" s="13"/>
      <c r="W705" s="13"/>
      <c r="X705" s="13"/>
      <c r="Y705" s="13"/>
      <c r="Z705" s="13"/>
      <c r="AA705" s="13"/>
    </row>
    <row r="706" ht="16.5" customHeight="1">
      <c r="A706" s="10"/>
      <c r="B706" s="10"/>
      <c r="C706" s="13"/>
      <c r="D706" s="13"/>
      <c r="E706" s="13"/>
      <c r="F706" s="205"/>
      <c r="G706" s="13"/>
      <c r="H706" s="13"/>
      <c r="I706" s="13"/>
      <c r="J706" s="13"/>
      <c r="K706" s="13"/>
      <c r="L706" s="13"/>
      <c r="M706" s="13"/>
      <c r="N706" s="13"/>
      <c r="O706" s="13"/>
      <c r="P706" s="13"/>
      <c r="Q706" s="13"/>
      <c r="R706" s="13"/>
      <c r="S706" s="13"/>
      <c r="T706" s="13"/>
      <c r="U706" s="13"/>
      <c r="V706" s="13"/>
      <c r="W706" s="13"/>
      <c r="X706" s="13"/>
      <c r="Y706" s="13"/>
      <c r="Z706" s="13"/>
      <c r="AA706" s="13"/>
    </row>
    <row r="707" ht="16.5" customHeight="1">
      <c r="A707" s="10"/>
      <c r="B707" s="10"/>
      <c r="C707" s="13"/>
      <c r="D707" s="13"/>
      <c r="E707" s="13"/>
      <c r="F707" s="205"/>
      <c r="G707" s="13"/>
      <c r="H707" s="13"/>
      <c r="I707" s="13"/>
      <c r="J707" s="13"/>
      <c r="K707" s="13"/>
      <c r="L707" s="13"/>
      <c r="M707" s="13"/>
      <c r="N707" s="13"/>
      <c r="O707" s="13"/>
      <c r="P707" s="13"/>
      <c r="Q707" s="13"/>
      <c r="R707" s="13"/>
      <c r="S707" s="13"/>
      <c r="T707" s="13"/>
      <c r="U707" s="13"/>
      <c r="V707" s="13"/>
      <c r="W707" s="13"/>
      <c r="X707" s="13"/>
      <c r="Y707" s="13"/>
      <c r="Z707" s="13"/>
      <c r="AA707" s="13"/>
    </row>
    <row r="708" ht="16.5" customHeight="1">
      <c r="A708" s="10"/>
      <c r="B708" s="10"/>
      <c r="C708" s="13"/>
      <c r="D708" s="13"/>
      <c r="E708" s="13"/>
      <c r="F708" s="205"/>
      <c r="G708" s="13"/>
      <c r="H708" s="13"/>
      <c r="I708" s="13"/>
      <c r="J708" s="13"/>
      <c r="K708" s="13"/>
      <c r="L708" s="13"/>
      <c r="M708" s="13"/>
      <c r="N708" s="13"/>
      <c r="O708" s="13"/>
      <c r="P708" s="13"/>
      <c r="Q708" s="13"/>
      <c r="R708" s="13"/>
      <c r="S708" s="13"/>
      <c r="T708" s="13"/>
      <c r="U708" s="13"/>
      <c r="V708" s="13"/>
      <c r="W708" s="13"/>
      <c r="X708" s="13"/>
      <c r="Y708" s="13"/>
      <c r="Z708" s="13"/>
      <c r="AA708" s="13"/>
    </row>
    <row r="709" ht="16.5" customHeight="1">
      <c r="A709" s="10"/>
      <c r="B709" s="10"/>
      <c r="C709" s="13"/>
      <c r="D709" s="13"/>
      <c r="E709" s="13"/>
      <c r="F709" s="205"/>
      <c r="G709" s="13"/>
      <c r="H709" s="13"/>
      <c r="I709" s="13"/>
      <c r="J709" s="13"/>
      <c r="K709" s="13"/>
      <c r="L709" s="13"/>
      <c r="M709" s="13"/>
      <c r="N709" s="13"/>
      <c r="O709" s="13"/>
      <c r="P709" s="13"/>
      <c r="Q709" s="13"/>
      <c r="R709" s="13"/>
      <c r="S709" s="13"/>
      <c r="T709" s="13"/>
      <c r="U709" s="13"/>
      <c r="V709" s="13"/>
      <c r="W709" s="13"/>
      <c r="X709" s="13"/>
      <c r="Y709" s="13"/>
      <c r="Z709" s="13"/>
      <c r="AA709" s="13"/>
    </row>
    <row r="710" ht="16.5" customHeight="1">
      <c r="A710" s="10"/>
      <c r="B710" s="10"/>
      <c r="C710" s="13"/>
      <c r="D710" s="13"/>
      <c r="E710" s="13"/>
      <c r="F710" s="205"/>
      <c r="G710" s="13"/>
      <c r="H710" s="13"/>
      <c r="I710" s="13"/>
      <c r="J710" s="13"/>
      <c r="K710" s="13"/>
      <c r="L710" s="13"/>
      <c r="M710" s="13"/>
      <c r="N710" s="13"/>
      <c r="O710" s="13"/>
      <c r="P710" s="13"/>
      <c r="Q710" s="13"/>
      <c r="R710" s="13"/>
      <c r="S710" s="13"/>
      <c r="T710" s="13"/>
      <c r="U710" s="13"/>
      <c r="V710" s="13"/>
      <c r="W710" s="13"/>
      <c r="X710" s="13"/>
      <c r="Y710" s="13"/>
      <c r="Z710" s="13"/>
      <c r="AA710" s="13"/>
    </row>
    <row r="711" ht="16.5" customHeight="1">
      <c r="A711" s="10"/>
      <c r="B711" s="10"/>
      <c r="C711" s="13"/>
      <c r="D711" s="13"/>
      <c r="E711" s="13"/>
      <c r="F711" s="205"/>
      <c r="G711" s="13"/>
      <c r="H711" s="13"/>
      <c r="I711" s="13"/>
      <c r="J711" s="13"/>
      <c r="K711" s="13"/>
      <c r="L711" s="13"/>
      <c r="M711" s="13"/>
      <c r="N711" s="13"/>
      <c r="O711" s="13"/>
      <c r="P711" s="13"/>
      <c r="Q711" s="13"/>
      <c r="R711" s="13"/>
      <c r="S711" s="13"/>
      <c r="T711" s="13"/>
      <c r="U711" s="13"/>
      <c r="V711" s="13"/>
      <c r="W711" s="13"/>
      <c r="X711" s="13"/>
      <c r="Y711" s="13"/>
      <c r="Z711" s="13"/>
      <c r="AA711" s="13"/>
    </row>
    <row r="712" ht="16.5" customHeight="1">
      <c r="A712" s="10"/>
      <c r="B712" s="10"/>
      <c r="C712" s="13"/>
      <c r="D712" s="13"/>
      <c r="E712" s="13"/>
      <c r="F712" s="205"/>
      <c r="G712" s="13"/>
      <c r="H712" s="13"/>
      <c r="I712" s="13"/>
      <c r="J712" s="13"/>
      <c r="K712" s="13"/>
      <c r="L712" s="13"/>
      <c r="M712" s="13"/>
      <c r="N712" s="13"/>
      <c r="O712" s="13"/>
      <c r="P712" s="13"/>
      <c r="Q712" s="13"/>
      <c r="R712" s="13"/>
      <c r="S712" s="13"/>
      <c r="T712" s="13"/>
      <c r="U712" s="13"/>
      <c r="V712" s="13"/>
      <c r="W712" s="13"/>
      <c r="X712" s="13"/>
      <c r="Y712" s="13"/>
      <c r="Z712" s="13"/>
      <c r="AA712" s="13"/>
    </row>
    <row r="713" ht="16.5" customHeight="1">
      <c r="A713" s="10"/>
      <c r="B713" s="10"/>
      <c r="C713" s="13"/>
      <c r="D713" s="13"/>
      <c r="E713" s="13"/>
      <c r="F713" s="205"/>
      <c r="G713" s="13"/>
      <c r="H713" s="13"/>
      <c r="I713" s="13"/>
      <c r="J713" s="13"/>
      <c r="K713" s="13"/>
      <c r="L713" s="13"/>
      <c r="M713" s="13"/>
      <c r="N713" s="13"/>
      <c r="O713" s="13"/>
      <c r="P713" s="13"/>
      <c r="Q713" s="13"/>
      <c r="R713" s="13"/>
      <c r="S713" s="13"/>
      <c r="T713" s="13"/>
      <c r="U713" s="13"/>
      <c r="V713" s="13"/>
      <c r="W713" s="13"/>
      <c r="X713" s="13"/>
      <c r="Y713" s="13"/>
      <c r="Z713" s="13"/>
      <c r="AA713" s="13"/>
    </row>
    <row r="714" ht="16.5" customHeight="1">
      <c r="A714" s="10"/>
      <c r="B714" s="10"/>
      <c r="C714" s="13"/>
      <c r="D714" s="13"/>
      <c r="E714" s="13"/>
      <c r="F714" s="205"/>
      <c r="G714" s="13"/>
      <c r="H714" s="13"/>
      <c r="I714" s="13"/>
      <c r="J714" s="13"/>
      <c r="K714" s="13"/>
      <c r="L714" s="13"/>
      <c r="M714" s="13"/>
      <c r="N714" s="13"/>
      <c r="O714" s="13"/>
      <c r="P714" s="13"/>
      <c r="Q714" s="13"/>
      <c r="R714" s="13"/>
      <c r="S714" s="13"/>
      <c r="T714" s="13"/>
      <c r="U714" s="13"/>
      <c r="V714" s="13"/>
      <c r="W714" s="13"/>
      <c r="X714" s="13"/>
      <c r="Y714" s="13"/>
      <c r="Z714" s="13"/>
      <c r="AA714" s="13"/>
    </row>
    <row r="715" ht="16.5" customHeight="1">
      <c r="A715" s="10"/>
      <c r="B715" s="10"/>
      <c r="C715" s="13"/>
      <c r="D715" s="13"/>
      <c r="E715" s="13"/>
      <c r="F715" s="205"/>
      <c r="G715" s="13"/>
      <c r="H715" s="13"/>
      <c r="I715" s="13"/>
      <c r="J715" s="13"/>
      <c r="K715" s="13"/>
      <c r="L715" s="13"/>
      <c r="M715" s="13"/>
      <c r="N715" s="13"/>
      <c r="O715" s="13"/>
      <c r="P715" s="13"/>
      <c r="Q715" s="13"/>
      <c r="R715" s="13"/>
      <c r="S715" s="13"/>
      <c r="T715" s="13"/>
      <c r="U715" s="13"/>
      <c r="V715" s="13"/>
      <c r="W715" s="13"/>
      <c r="X715" s="13"/>
      <c r="Y715" s="13"/>
      <c r="Z715" s="13"/>
      <c r="AA715" s="13"/>
    </row>
    <row r="716" ht="16.5" customHeight="1">
      <c r="A716" s="10"/>
      <c r="B716" s="10"/>
      <c r="C716" s="13"/>
      <c r="D716" s="13"/>
      <c r="E716" s="13"/>
      <c r="F716" s="205"/>
      <c r="G716" s="13"/>
      <c r="H716" s="13"/>
      <c r="I716" s="13"/>
      <c r="J716" s="13"/>
      <c r="K716" s="13"/>
      <c r="L716" s="13"/>
      <c r="M716" s="13"/>
      <c r="N716" s="13"/>
      <c r="O716" s="13"/>
      <c r="P716" s="13"/>
      <c r="Q716" s="13"/>
      <c r="R716" s="13"/>
      <c r="S716" s="13"/>
      <c r="T716" s="13"/>
      <c r="U716" s="13"/>
      <c r="V716" s="13"/>
      <c r="W716" s="13"/>
      <c r="X716" s="13"/>
      <c r="Y716" s="13"/>
      <c r="Z716" s="13"/>
      <c r="AA716" s="13"/>
    </row>
    <row r="717" ht="16.5" customHeight="1">
      <c r="A717" s="10"/>
      <c r="B717" s="10"/>
      <c r="C717" s="13"/>
      <c r="D717" s="13"/>
      <c r="E717" s="13"/>
      <c r="F717" s="205"/>
      <c r="G717" s="13"/>
      <c r="H717" s="13"/>
      <c r="I717" s="13"/>
      <c r="J717" s="13"/>
      <c r="K717" s="13"/>
      <c r="L717" s="13"/>
      <c r="M717" s="13"/>
      <c r="N717" s="13"/>
      <c r="O717" s="13"/>
      <c r="P717" s="13"/>
      <c r="Q717" s="13"/>
      <c r="R717" s="13"/>
      <c r="S717" s="13"/>
      <c r="T717" s="13"/>
      <c r="U717" s="13"/>
      <c r="V717" s="13"/>
      <c r="W717" s="13"/>
      <c r="X717" s="13"/>
      <c r="Y717" s="13"/>
      <c r="Z717" s="13"/>
      <c r="AA717" s="13"/>
    </row>
    <row r="718" ht="16.5" customHeight="1">
      <c r="A718" s="10"/>
      <c r="B718" s="10"/>
      <c r="C718" s="13"/>
      <c r="D718" s="13"/>
      <c r="E718" s="13"/>
      <c r="F718" s="205"/>
      <c r="G718" s="13"/>
      <c r="H718" s="13"/>
      <c r="I718" s="13"/>
      <c r="J718" s="13"/>
      <c r="K718" s="13"/>
      <c r="L718" s="13"/>
      <c r="M718" s="13"/>
      <c r="N718" s="13"/>
      <c r="O718" s="13"/>
      <c r="P718" s="13"/>
      <c r="Q718" s="13"/>
      <c r="R718" s="13"/>
      <c r="S718" s="13"/>
      <c r="T718" s="13"/>
      <c r="U718" s="13"/>
      <c r="V718" s="13"/>
      <c r="W718" s="13"/>
      <c r="X718" s="13"/>
      <c r="Y718" s="13"/>
      <c r="Z718" s="13"/>
      <c r="AA718" s="13"/>
    </row>
    <row r="719" ht="16.5" customHeight="1">
      <c r="A719" s="10"/>
      <c r="B719" s="10"/>
      <c r="C719" s="13"/>
      <c r="D719" s="13"/>
      <c r="E719" s="13"/>
      <c r="F719" s="205"/>
      <c r="G719" s="13"/>
      <c r="H719" s="13"/>
      <c r="I719" s="13"/>
      <c r="J719" s="13"/>
      <c r="K719" s="13"/>
      <c r="L719" s="13"/>
      <c r="M719" s="13"/>
      <c r="N719" s="13"/>
      <c r="O719" s="13"/>
      <c r="P719" s="13"/>
      <c r="Q719" s="13"/>
      <c r="R719" s="13"/>
      <c r="S719" s="13"/>
      <c r="T719" s="13"/>
      <c r="U719" s="13"/>
      <c r="V719" s="13"/>
      <c r="W719" s="13"/>
      <c r="X719" s="13"/>
      <c r="Y719" s="13"/>
      <c r="Z719" s="13"/>
      <c r="AA719" s="13"/>
    </row>
    <row r="720" ht="16.5" customHeight="1">
      <c r="A720" s="10"/>
      <c r="B720" s="10"/>
      <c r="C720" s="13"/>
      <c r="D720" s="13"/>
      <c r="E720" s="13"/>
      <c r="F720" s="205"/>
      <c r="G720" s="13"/>
      <c r="H720" s="13"/>
      <c r="I720" s="13"/>
      <c r="J720" s="13"/>
      <c r="K720" s="13"/>
      <c r="L720" s="13"/>
      <c r="M720" s="13"/>
      <c r="N720" s="13"/>
      <c r="O720" s="13"/>
      <c r="P720" s="13"/>
      <c r="Q720" s="13"/>
      <c r="R720" s="13"/>
      <c r="S720" s="13"/>
      <c r="T720" s="13"/>
      <c r="U720" s="13"/>
      <c r="V720" s="13"/>
      <c r="W720" s="13"/>
      <c r="X720" s="13"/>
      <c r="Y720" s="13"/>
      <c r="Z720" s="13"/>
      <c r="AA720" s="13"/>
    </row>
    <row r="721" ht="16.5" customHeight="1">
      <c r="A721" s="10"/>
      <c r="B721" s="10"/>
      <c r="C721" s="13"/>
      <c r="D721" s="13"/>
      <c r="E721" s="13"/>
      <c r="F721" s="205"/>
      <c r="G721" s="13"/>
      <c r="H721" s="13"/>
      <c r="I721" s="13"/>
      <c r="J721" s="13"/>
      <c r="K721" s="13"/>
      <c r="L721" s="13"/>
      <c r="M721" s="13"/>
      <c r="N721" s="13"/>
      <c r="O721" s="13"/>
      <c r="P721" s="13"/>
      <c r="Q721" s="13"/>
      <c r="R721" s="13"/>
      <c r="S721" s="13"/>
      <c r="T721" s="13"/>
      <c r="U721" s="13"/>
      <c r="V721" s="13"/>
      <c r="W721" s="13"/>
      <c r="X721" s="13"/>
      <c r="Y721" s="13"/>
      <c r="Z721" s="13"/>
      <c r="AA721" s="13"/>
    </row>
    <row r="722" ht="16.5" customHeight="1">
      <c r="A722" s="10"/>
      <c r="B722" s="10"/>
      <c r="C722" s="13"/>
      <c r="D722" s="13"/>
      <c r="E722" s="13"/>
      <c r="F722" s="205"/>
      <c r="G722" s="13"/>
      <c r="H722" s="13"/>
      <c r="I722" s="13"/>
      <c r="J722" s="13"/>
      <c r="K722" s="13"/>
      <c r="L722" s="13"/>
      <c r="M722" s="13"/>
      <c r="N722" s="13"/>
      <c r="O722" s="13"/>
      <c r="P722" s="13"/>
      <c r="Q722" s="13"/>
      <c r="R722" s="13"/>
      <c r="S722" s="13"/>
      <c r="T722" s="13"/>
      <c r="U722" s="13"/>
      <c r="V722" s="13"/>
      <c r="W722" s="13"/>
      <c r="X722" s="13"/>
      <c r="Y722" s="13"/>
      <c r="Z722" s="13"/>
      <c r="AA722" s="13"/>
    </row>
    <row r="723" ht="16.5" customHeight="1">
      <c r="A723" s="10"/>
      <c r="B723" s="10"/>
      <c r="C723" s="13"/>
      <c r="D723" s="13"/>
      <c r="E723" s="13"/>
      <c r="F723" s="205"/>
      <c r="G723" s="13"/>
      <c r="H723" s="13"/>
      <c r="I723" s="13"/>
      <c r="J723" s="13"/>
      <c r="K723" s="13"/>
      <c r="L723" s="13"/>
      <c r="M723" s="13"/>
      <c r="N723" s="13"/>
      <c r="O723" s="13"/>
      <c r="P723" s="13"/>
      <c r="Q723" s="13"/>
      <c r="R723" s="13"/>
      <c r="S723" s="13"/>
      <c r="T723" s="13"/>
      <c r="U723" s="13"/>
      <c r="V723" s="13"/>
      <c r="W723" s="13"/>
      <c r="X723" s="13"/>
      <c r="Y723" s="13"/>
      <c r="Z723" s="13"/>
      <c r="AA723" s="13"/>
    </row>
    <row r="724" ht="16.5" customHeight="1">
      <c r="A724" s="10"/>
      <c r="B724" s="10"/>
      <c r="C724" s="13"/>
      <c r="D724" s="13"/>
      <c r="E724" s="13"/>
      <c r="F724" s="205"/>
      <c r="G724" s="13"/>
      <c r="H724" s="13"/>
      <c r="I724" s="13"/>
      <c r="J724" s="13"/>
      <c r="K724" s="13"/>
      <c r="L724" s="13"/>
      <c r="M724" s="13"/>
      <c r="N724" s="13"/>
      <c r="O724" s="13"/>
      <c r="P724" s="13"/>
      <c r="Q724" s="13"/>
      <c r="R724" s="13"/>
      <c r="S724" s="13"/>
      <c r="T724" s="13"/>
      <c r="U724" s="13"/>
      <c r="V724" s="13"/>
      <c r="W724" s="13"/>
      <c r="X724" s="13"/>
      <c r="Y724" s="13"/>
      <c r="Z724" s="13"/>
      <c r="AA724" s="13"/>
    </row>
    <row r="725" ht="16.5" customHeight="1">
      <c r="A725" s="10"/>
      <c r="B725" s="10"/>
      <c r="C725" s="13"/>
      <c r="D725" s="13"/>
      <c r="E725" s="13"/>
      <c r="F725" s="205"/>
      <c r="G725" s="13"/>
      <c r="H725" s="13"/>
      <c r="I725" s="13"/>
      <c r="J725" s="13"/>
      <c r="K725" s="13"/>
      <c r="L725" s="13"/>
      <c r="M725" s="13"/>
      <c r="N725" s="13"/>
      <c r="O725" s="13"/>
      <c r="P725" s="13"/>
      <c r="Q725" s="13"/>
      <c r="R725" s="13"/>
      <c r="S725" s="13"/>
      <c r="T725" s="13"/>
      <c r="U725" s="13"/>
      <c r="V725" s="13"/>
      <c r="W725" s="13"/>
      <c r="X725" s="13"/>
      <c r="Y725" s="13"/>
      <c r="Z725" s="13"/>
      <c r="AA725" s="13"/>
    </row>
    <row r="726" ht="16.5" customHeight="1">
      <c r="A726" s="10"/>
      <c r="B726" s="10"/>
      <c r="C726" s="13"/>
      <c r="D726" s="13"/>
      <c r="E726" s="13"/>
      <c r="F726" s="205"/>
      <c r="G726" s="13"/>
      <c r="H726" s="13"/>
      <c r="I726" s="13"/>
      <c r="J726" s="13"/>
      <c r="K726" s="13"/>
      <c r="L726" s="13"/>
      <c r="M726" s="13"/>
      <c r="N726" s="13"/>
      <c r="O726" s="13"/>
      <c r="P726" s="13"/>
      <c r="Q726" s="13"/>
      <c r="R726" s="13"/>
      <c r="S726" s="13"/>
      <c r="T726" s="13"/>
      <c r="U726" s="13"/>
      <c r="V726" s="13"/>
      <c r="W726" s="13"/>
      <c r="X726" s="13"/>
      <c r="Y726" s="13"/>
      <c r="Z726" s="13"/>
      <c r="AA726" s="13"/>
    </row>
    <row r="727" ht="16.5" customHeight="1">
      <c r="A727" s="10"/>
      <c r="B727" s="10"/>
      <c r="C727" s="13"/>
      <c r="D727" s="13"/>
      <c r="E727" s="13"/>
      <c r="F727" s="205"/>
      <c r="G727" s="13"/>
      <c r="H727" s="13"/>
      <c r="I727" s="13"/>
      <c r="J727" s="13"/>
      <c r="K727" s="13"/>
      <c r="L727" s="13"/>
      <c r="M727" s="13"/>
      <c r="N727" s="13"/>
      <c r="O727" s="13"/>
      <c r="P727" s="13"/>
      <c r="Q727" s="13"/>
      <c r="R727" s="13"/>
      <c r="S727" s="13"/>
      <c r="T727" s="13"/>
      <c r="U727" s="13"/>
      <c r="V727" s="13"/>
      <c r="W727" s="13"/>
      <c r="X727" s="13"/>
      <c r="Y727" s="13"/>
      <c r="Z727" s="13"/>
      <c r="AA727" s="13"/>
    </row>
    <row r="728" ht="16.5" customHeight="1">
      <c r="A728" s="10"/>
      <c r="B728" s="10"/>
      <c r="C728" s="13"/>
      <c r="D728" s="13"/>
      <c r="E728" s="13"/>
      <c r="F728" s="205"/>
      <c r="G728" s="13"/>
      <c r="H728" s="13"/>
      <c r="I728" s="13"/>
      <c r="J728" s="13"/>
      <c r="K728" s="13"/>
      <c r="L728" s="13"/>
      <c r="M728" s="13"/>
      <c r="N728" s="13"/>
      <c r="O728" s="13"/>
      <c r="P728" s="13"/>
      <c r="Q728" s="13"/>
      <c r="R728" s="13"/>
      <c r="S728" s="13"/>
      <c r="T728" s="13"/>
      <c r="U728" s="13"/>
      <c r="V728" s="13"/>
      <c r="W728" s="13"/>
      <c r="X728" s="13"/>
      <c r="Y728" s="13"/>
      <c r="Z728" s="13"/>
      <c r="AA728" s="13"/>
    </row>
    <row r="729" ht="16.5" customHeight="1">
      <c r="A729" s="10"/>
      <c r="B729" s="10"/>
      <c r="C729" s="13"/>
      <c r="D729" s="13"/>
      <c r="E729" s="13"/>
      <c r="F729" s="205"/>
      <c r="G729" s="13"/>
      <c r="H729" s="13"/>
      <c r="I729" s="13"/>
      <c r="J729" s="13"/>
      <c r="K729" s="13"/>
      <c r="L729" s="13"/>
      <c r="M729" s="13"/>
      <c r="N729" s="13"/>
      <c r="O729" s="13"/>
      <c r="P729" s="13"/>
      <c r="Q729" s="13"/>
      <c r="R729" s="13"/>
      <c r="S729" s="13"/>
      <c r="T729" s="13"/>
      <c r="U729" s="13"/>
      <c r="V729" s="13"/>
      <c r="W729" s="13"/>
      <c r="X729" s="13"/>
      <c r="Y729" s="13"/>
      <c r="Z729" s="13"/>
      <c r="AA729" s="13"/>
    </row>
    <row r="730" ht="16.5" customHeight="1">
      <c r="A730" s="10"/>
      <c r="B730" s="10"/>
      <c r="C730" s="13"/>
      <c r="D730" s="13"/>
      <c r="E730" s="13"/>
      <c r="F730" s="205"/>
      <c r="G730" s="13"/>
      <c r="H730" s="13"/>
      <c r="I730" s="13"/>
      <c r="J730" s="13"/>
      <c r="K730" s="13"/>
      <c r="L730" s="13"/>
      <c r="M730" s="13"/>
      <c r="N730" s="13"/>
      <c r="O730" s="13"/>
      <c r="P730" s="13"/>
      <c r="Q730" s="13"/>
      <c r="R730" s="13"/>
      <c r="S730" s="13"/>
      <c r="T730" s="13"/>
      <c r="U730" s="13"/>
      <c r="V730" s="13"/>
      <c r="W730" s="13"/>
      <c r="X730" s="13"/>
      <c r="Y730" s="13"/>
      <c r="Z730" s="13"/>
      <c r="AA730" s="13"/>
    </row>
    <row r="731" ht="16.5" customHeight="1">
      <c r="A731" s="10"/>
      <c r="B731" s="10"/>
      <c r="C731" s="13"/>
      <c r="D731" s="13"/>
      <c r="E731" s="13"/>
      <c r="F731" s="205"/>
      <c r="G731" s="13"/>
      <c r="H731" s="13"/>
      <c r="I731" s="13"/>
      <c r="J731" s="13"/>
      <c r="K731" s="13"/>
      <c r="L731" s="13"/>
      <c r="M731" s="13"/>
      <c r="N731" s="13"/>
      <c r="O731" s="13"/>
      <c r="P731" s="13"/>
      <c r="Q731" s="13"/>
      <c r="R731" s="13"/>
      <c r="S731" s="13"/>
      <c r="T731" s="13"/>
      <c r="U731" s="13"/>
      <c r="V731" s="13"/>
      <c r="W731" s="13"/>
      <c r="X731" s="13"/>
      <c r="Y731" s="13"/>
      <c r="Z731" s="13"/>
      <c r="AA731" s="13"/>
    </row>
    <row r="732" ht="16.5" customHeight="1">
      <c r="A732" s="10"/>
      <c r="B732" s="10"/>
      <c r="C732" s="13"/>
      <c r="D732" s="13"/>
      <c r="E732" s="13"/>
      <c r="F732" s="205"/>
      <c r="G732" s="13"/>
      <c r="H732" s="13"/>
      <c r="I732" s="13"/>
      <c r="J732" s="13"/>
      <c r="K732" s="13"/>
      <c r="L732" s="13"/>
      <c r="M732" s="13"/>
      <c r="N732" s="13"/>
      <c r="O732" s="13"/>
      <c r="P732" s="13"/>
      <c r="Q732" s="13"/>
      <c r="R732" s="13"/>
      <c r="S732" s="13"/>
      <c r="T732" s="13"/>
      <c r="U732" s="13"/>
      <c r="V732" s="13"/>
      <c r="W732" s="13"/>
      <c r="X732" s="13"/>
      <c r="Y732" s="13"/>
      <c r="Z732" s="13"/>
      <c r="AA732" s="13"/>
    </row>
    <row r="733" ht="16.5" customHeight="1">
      <c r="A733" s="10"/>
      <c r="B733" s="10"/>
      <c r="C733" s="13"/>
      <c r="D733" s="13"/>
      <c r="E733" s="13"/>
      <c r="F733" s="205"/>
      <c r="G733" s="13"/>
      <c r="H733" s="13"/>
      <c r="I733" s="13"/>
      <c r="J733" s="13"/>
      <c r="K733" s="13"/>
      <c r="L733" s="13"/>
      <c r="M733" s="13"/>
      <c r="N733" s="13"/>
      <c r="O733" s="13"/>
      <c r="P733" s="13"/>
      <c r="Q733" s="13"/>
      <c r="R733" s="13"/>
      <c r="S733" s="13"/>
      <c r="T733" s="13"/>
      <c r="U733" s="13"/>
      <c r="V733" s="13"/>
      <c r="W733" s="13"/>
      <c r="X733" s="13"/>
      <c r="Y733" s="13"/>
      <c r="Z733" s="13"/>
      <c r="AA733" s="13"/>
    </row>
    <row r="734" ht="16.5" customHeight="1">
      <c r="A734" s="10"/>
      <c r="B734" s="10"/>
      <c r="C734" s="13"/>
      <c r="D734" s="13"/>
      <c r="E734" s="13"/>
      <c r="F734" s="205"/>
      <c r="G734" s="13"/>
      <c r="H734" s="13"/>
      <c r="I734" s="13"/>
      <c r="J734" s="13"/>
      <c r="K734" s="13"/>
      <c r="L734" s="13"/>
      <c r="M734" s="13"/>
      <c r="N734" s="13"/>
      <c r="O734" s="13"/>
      <c r="P734" s="13"/>
      <c r="Q734" s="13"/>
      <c r="R734" s="13"/>
      <c r="S734" s="13"/>
      <c r="T734" s="13"/>
      <c r="U734" s="13"/>
      <c r="V734" s="13"/>
      <c r="W734" s="13"/>
      <c r="X734" s="13"/>
      <c r="Y734" s="13"/>
      <c r="Z734" s="13"/>
      <c r="AA734" s="13"/>
    </row>
    <row r="735" ht="16.5" customHeight="1">
      <c r="A735" s="10"/>
      <c r="B735" s="10"/>
      <c r="C735" s="13"/>
      <c r="D735" s="13"/>
      <c r="E735" s="13"/>
      <c r="F735" s="205"/>
      <c r="G735" s="13"/>
      <c r="H735" s="13"/>
      <c r="I735" s="13"/>
      <c r="J735" s="13"/>
      <c r="K735" s="13"/>
      <c r="L735" s="13"/>
      <c r="M735" s="13"/>
      <c r="N735" s="13"/>
      <c r="O735" s="13"/>
      <c r="P735" s="13"/>
      <c r="Q735" s="13"/>
      <c r="R735" s="13"/>
      <c r="S735" s="13"/>
      <c r="T735" s="13"/>
      <c r="U735" s="13"/>
      <c r="V735" s="13"/>
      <c r="W735" s="13"/>
      <c r="X735" s="13"/>
      <c r="Y735" s="13"/>
      <c r="Z735" s="13"/>
      <c r="AA735" s="13"/>
    </row>
    <row r="736" ht="16.5" customHeight="1">
      <c r="A736" s="10"/>
      <c r="B736" s="10"/>
      <c r="C736" s="13"/>
      <c r="D736" s="13"/>
      <c r="E736" s="13"/>
      <c r="F736" s="205"/>
      <c r="G736" s="13"/>
      <c r="H736" s="13"/>
      <c r="I736" s="13"/>
      <c r="J736" s="13"/>
      <c r="K736" s="13"/>
      <c r="L736" s="13"/>
      <c r="M736" s="13"/>
      <c r="N736" s="13"/>
      <c r="O736" s="13"/>
      <c r="P736" s="13"/>
      <c r="Q736" s="13"/>
      <c r="R736" s="13"/>
      <c r="S736" s="13"/>
      <c r="T736" s="13"/>
      <c r="U736" s="13"/>
      <c r="V736" s="13"/>
      <c r="W736" s="13"/>
      <c r="X736" s="13"/>
      <c r="Y736" s="13"/>
      <c r="Z736" s="13"/>
      <c r="AA736" s="13"/>
    </row>
    <row r="737" ht="16.5" customHeight="1">
      <c r="A737" s="10"/>
      <c r="B737" s="10"/>
      <c r="C737" s="13"/>
      <c r="D737" s="13"/>
      <c r="E737" s="13"/>
      <c r="F737" s="205"/>
      <c r="G737" s="13"/>
      <c r="H737" s="13"/>
      <c r="I737" s="13"/>
      <c r="J737" s="13"/>
      <c r="K737" s="13"/>
      <c r="L737" s="13"/>
      <c r="M737" s="13"/>
      <c r="N737" s="13"/>
      <c r="O737" s="13"/>
      <c r="P737" s="13"/>
      <c r="Q737" s="13"/>
      <c r="R737" s="13"/>
      <c r="S737" s="13"/>
      <c r="T737" s="13"/>
      <c r="U737" s="13"/>
      <c r="V737" s="13"/>
      <c r="W737" s="13"/>
      <c r="X737" s="13"/>
      <c r="Y737" s="13"/>
      <c r="Z737" s="13"/>
      <c r="AA737" s="13"/>
    </row>
    <row r="738" ht="16.5" customHeight="1">
      <c r="A738" s="10"/>
      <c r="B738" s="10"/>
      <c r="C738" s="13"/>
      <c r="D738" s="13"/>
      <c r="E738" s="13"/>
      <c r="F738" s="205"/>
      <c r="G738" s="13"/>
      <c r="H738" s="13"/>
      <c r="I738" s="13"/>
      <c r="J738" s="13"/>
      <c r="K738" s="13"/>
      <c r="L738" s="13"/>
      <c r="M738" s="13"/>
      <c r="N738" s="13"/>
      <c r="O738" s="13"/>
      <c r="P738" s="13"/>
      <c r="Q738" s="13"/>
      <c r="R738" s="13"/>
      <c r="S738" s="13"/>
      <c r="T738" s="13"/>
      <c r="U738" s="13"/>
      <c r="V738" s="13"/>
      <c r="W738" s="13"/>
      <c r="X738" s="13"/>
      <c r="Y738" s="13"/>
      <c r="Z738" s="13"/>
      <c r="AA738" s="13"/>
    </row>
    <row r="739" ht="16.5" customHeight="1">
      <c r="A739" s="10"/>
      <c r="B739" s="10"/>
      <c r="C739" s="13"/>
      <c r="D739" s="13"/>
      <c r="E739" s="13"/>
      <c r="F739" s="205"/>
      <c r="G739" s="13"/>
      <c r="H739" s="13"/>
      <c r="I739" s="13"/>
      <c r="J739" s="13"/>
      <c r="K739" s="13"/>
      <c r="L739" s="13"/>
      <c r="M739" s="13"/>
      <c r="N739" s="13"/>
      <c r="O739" s="13"/>
      <c r="P739" s="13"/>
      <c r="Q739" s="13"/>
      <c r="R739" s="13"/>
      <c r="S739" s="13"/>
      <c r="T739" s="13"/>
      <c r="U739" s="13"/>
      <c r="V739" s="13"/>
      <c r="W739" s="13"/>
      <c r="X739" s="13"/>
      <c r="Y739" s="13"/>
      <c r="Z739" s="13"/>
      <c r="AA739" s="13"/>
    </row>
    <row r="740" ht="16.5" customHeight="1">
      <c r="A740" s="10"/>
      <c r="B740" s="10"/>
      <c r="C740" s="13"/>
      <c r="D740" s="13"/>
      <c r="E740" s="13"/>
      <c r="F740" s="205"/>
      <c r="G740" s="13"/>
      <c r="H740" s="13"/>
      <c r="I740" s="13"/>
      <c r="J740" s="13"/>
      <c r="K740" s="13"/>
      <c r="L740" s="13"/>
      <c r="M740" s="13"/>
      <c r="N740" s="13"/>
      <c r="O740" s="13"/>
      <c r="P740" s="13"/>
      <c r="Q740" s="13"/>
      <c r="R740" s="13"/>
      <c r="S740" s="13"/>
      <c r="T740" s="13"/>
      <c r="U740" s="13"/>
      <c r="V740" s="13"/>
      <c r="W740" s="13"/>
      <c r="X740" s="13"/>
      <c r="Y740" s="13"/>
      <c r="Z740" s="13"/>
      <c r="AA740" s="13"/>
    </row>
    <row r="741" ht="16.5" customHeight="1">
      <c r="A741" s="10"/>
      <c r="B741" s="10"/>
      <c r="C741" s="13"/>
      <c r="D741" s="13"/>
      <c r="E741" s="13"/>
      <c r="F741" s="205"/>
      <c r="G741" s="13"/>
      <c r="H741" s="13"/>
      <c r="I741" s="13"/>
      <c r="J741" s="13"/>
      <c r="K741" s="13"/>
      <c r="L741" s="13"/>
      <c r="M741" s="13"/>
      <c r="N741" s="13"/>
      <c r="O741" s="13"/>
      <c r="P741" s="13"/>
      <c r="Q741" s="13"/>
      <c r="R741" s="13"/>
      <c r="S741" s="13"/>
      <c r="T741" s="13"/>
      <c r="U741" s="13"/>
      <c r="V741" s="13"/>
      <c r="W741" s="13"/>
      <c r="X741" s="13"/>
      <c r="Y741" s="13"/>
      <c r="Z741" s="13"/>
      <c r="AA741" s="13"/>
    </row>
    <row r="742" ht="16.5" customHeight="1">
      <c r="A742" s="10"/>
      <c r="B742" s="10"/>
      <c r="C742" s="13"/>
      <c r="D742" s="13"/>
      <c r="E742" s="13"/>
      <c r="F742" s="205"/>
      <c r="G742" s="13"/>
      <c r="H742" s="13"/>
      <c r="I742" s="13"/>
      <c r="J742" s="13"/>
      <c r="K742" s="13"/>
      <c r="L742" s="13"/>
      <c r="M742" s="13"/>
      <c r="N742" s="13"/>
      <c r="O742" s="13"/>
      <c r="P742" s="13"/>
      <c r="Q742" s="13"/>
      <c r="R742" s="13"/>
      <c r="S742" s="13"/>
      <c r="T742" s="13"/>
      <c r="U742" s="13"/>
      <c r="V742" s="13"/>
      <c r="W742" s="13"/>
      <c r="X742" s="13"/>
      <c r="Y742" s="13"/>
      <c r="Z742" s="13"/>
      <c r="AA742" s="13"/>
    </row>
    <row r="743" ht="16.5" customHeight="1">
      <c r="A743" s="10"/>
      <c r="B743" s="10"/>
      <c r="C743" s="13"/>
      <c r="D743" s="13"/>
      <c r="E743" s="13"/>
      <c r="F743" s="205"/>
      <c r="G743" s="13"/>
      <c r="H743" s="13"/>
      <c r="I743" s="13"/>
      <c r="J743" s="13"/>
      <c r="K743" s="13"/>
      <c r="L743" s="13"/>
      <c r="M743" s="13"/>
      <c r="N743" s="13"/>
      <c r="O743" s="13"/>
      <c r="P743" s="13"/>
      <c r="Q743" s="13"/>
      <c r="R743" s="13"/>
      <c r="S743" s="13"/>
      <c r="T743" s="13"/>
      <c r="U743" s="13"/>
      <c r="V743" s="13"/>
      <c r="W743" s="13"/>
      <c r="X743" s="13"/>
      <c r="Y743" s="13"/>
      <c r="Z743" s="13"/>
      <c r="AA743" s="13"/>
    </row>
    <row r="744" ht="16.5" customHeight="1">
      <c r="A744" s="10"/>
      <c r="B744" s="10"/>
      <c r="C744" s="13"/>
      <c r="D744" s="13"/>
      <c r="E744" s="13"/>
      <c r="F744" s="205"/>
      <c r="G744" s="13"/>
      <c r="H744" s="13"/>
      <c r="I744" s="13"/>
      <c r="J744" s="13"/>
      <c r="K744" s="13"/>
      <c r="L744" s="13"/>
      <c r="M744" s="13"/>
      <c r="N744" s="13"/>
      <c r="O744" s="13"/>
      <c r="P744" s="13"/>
      <c r="Q744" s="13"/>
      <c r="R744" s="13"/>
      <c r="S744" s="13"/>
      <c r="T744" s="13"/>
      <c r="U744" s="13"/>
      <c r="V744" s="13"/>
      <c r="W744" s="13"/>
      <c r="X744" s="13"/>
      <c r="Y744" s="13"/>
      <c r="Z744" s="13"/>
      <c r="AA744" s="13"/>
    </row>
    <row r="745" ht="16.5" customHeight="1">
      <c r="A745" s="10"/>
      <c r="B745" s="10"/>
      <c r="C745" s="13"/>
      <c r="D745" s="13"/>
      <c r="E745" s="13"/>
      <c r="F745" s="205"/>
      <c r="G745" s="13"/>
      <c r="H745" s="13"/>
      <c r="I745" s="13"/>
      <c r="J745" s="13"/>
      <c r="K745" s="13"/>
      <c r="L745" s="13"/>
      <c r="M745" s="13"/>
      <c r="N745" s="13"/>
      <c r="O745" s="13"/>
      <c r="P745" s="13"/>
      <c r="Q745" s="13"/>
      <c r="R745" s="13"/>
      <c r="S745" s="13"/>
      <c r="T745" s="13"/>
      <c r="U745" s="13"/>
      <c r="V745" s="13"/>
      <c r="W745" s="13"/>
      <c r="X745" s="13"/>
      <c r="Y745" s="13"/>
      <c r="Z745" s="13"/>
      <c r="AA745" s="13"/>
    </row>
    <row r="746" ht="16.5" customHeight="1">
      <c r="A746" s="10"/>
      <c r="B746" s="10"/>
      <c r="C746" s="13"/>
      <c r="D746" s="13"/>
      <c r="E746" s="13"/>
      <c r="F746" s="205"/>
      <c r="G746" s="13"/>
      <c r="H746" s="13"/>
      <c r="I746" s="13"/>
      <c r="J746" s="13"/>
      <c r="K746" s="13"/>
      <c r="L746" s="13"/>
      <c r="M746" s="13"/>
      <c r="N746" s="13"/>
      <c r="O746" s="13"/>
      <c r="P746" s="13"/>
      <c r="Q746" s="13"/>
      <c r="R746" s="13"/>
      <c r="S746" s="13"/>
      <c r="T746" s="13"/>
      <c r="U746" s="13"/>
      <c r="V746" s="13"/>
      <c r="W746" s="13"/>
      <c r="X746" s="13"/>
      <c r="Y746" s="13"/>
      <c r="Z746" s="13"/>
      <c r="AA746" s="13"/>
    </row>
    <row r="747" ht="16.5" customHeight="1">
      <c r="A747" s="10"/>
      <c r="B747" s="10"/>
      <c r="C747" s="13"/>
      <c r="D747" s="13"/>
      <c r="E747" s="13"/>
      <c r="F747" s="205"/>
      <c r="G747" s="13"/>
      <c r="H747" s="13"/>
      <c r="I747" s="13"/>
      <c r="J747" s="13"/>
      <c r="K747" s="13"/>
      <c r="L747" s="13"/>
      <c r="M747" s="13"/>
      <c r="N747" s="13"/>
      <c r="O747" s="13"/>
      <c r="P747" s="13"/>
      <c r="Q747" s="13"/>
      <c r="R747" s="13"/>
      <c r="S747" s="13"/>
      <c r="T747" s="13"/>
      <c r="U747" s="13"/>
      <c r="V747" s="13"/>
      <c r="W747" s="13"/>
      <c r="X747" s="13"/>
      <c r="Y747" s="13"/>
      <c r="Z747" s="13"/>
      <c r="AA747" s="13"/>
    </row>
    <row r="748" ht="16.5" customHeight="1">
      <c r="A748" s="10"/>
      <c r="B748" s="10"/>
      <c r="C748" s="13"/>
      <c r="D748" s="13"/>
      <c r="E748" s="13"/>
      <c r="F748" s="205"/>
      <c r="G748" s="13"/>
      <c r="H748" s="13"/>
      <c r="I748" s="13"/>
      <c r="J748" s="13"/>
      <c r="K748" s="13"/>
      <c r="L748" s="13"/>
      <c r="M748" s="13"/>
      <c r="N748" s="13"/>
      <c r="O748" s="13"/>
      <c r="P748" s="13"/>
      <c r="Q748" s="13"/>
      <c r="R748" s="13"/>
      <c r="S748" s="13"/>
      <c r="T748" s="13"/>
      <c r="U748" s="13"/>
      <c r="V748" s="13"/>
      <c r="W748" s="13"/>
      <c r="X748" s="13"/>
      <c r="Y748" s="13"/>
      <c r="Z748" s="13"/>
      <c r="AA748" s="13"/>
    </row>
    <row r="749" ht="16.5" customHeight="1">
      <c r="A749" s="10"/>
      <c r="B749" s="10"/>
      <c r="C749" s="13"/>
      <c r="D749" s="13"/>
      <c r="E749" s="13"/>
      <c r="F749" s="205"/>
      <c r="G749" s="13"/>
      <c r="H749" s="13"/>
      <c r="I749" s="13"/>
      <c r="J749" s="13"/>
      <c r="K749" s="13"/>
      <c r="L749" s="13"/>
      <c r="M749" s="13"/>
      <c r="N749" s="13"/>
      <c r="O749" s="13"/>
      <c r="P749" s="13"/>
      <c r="Q749" s="13"/>
      <c r="R749" s="13"/>
      <c r="S749" s="13"/>
      <c r="T749" s="13"/>
      <c r="U749" s="13"/>
      <c r="V749" s="13"/>
      <c r="W749" s="13"/>
      <c r="X749" s="13"/>
      <c r="Y749" s="13"/>
      <c r="Z749" s="13"/>
      <c r="AA749" s="13"/>
    </row>
    <row r="750" ht="16.5" customHeight="1">
      <c r="A750" s="10"/>
      <c r="B750" s="10"/>
      <c r="C750" s="13"/>
      <c r="D750" s="13"/>
      <c r="E750" s="13"/>
      <c r="F750" s="205"/>
      <c r="G750" s="13"/>
      <c r="H750" s="13"/>
      <c r="I750" s="13"/>
      <c r="J750" s="13"/>
      <c r="K750" s="13"/>
      <c r="L750" s="13"/>
      <c r="M750" s="13"/>
      <c r="N750" s="13"/>
      <c r="O750" s="13"/>
      <c r="P750" s="13"/>
      <c r="Q750" s="13"/>
      <c r="R750" s="13"/>
      <c r="S750" s="13"/>
      <c r="T750" s="13"/>
      <c r="U750" s="13"/>
      <c r="V750" s="13"/>
      <c r="W750" s="13"/>
      <c r="X750" s="13"/>
      <c r="Y750" s="13"/>
      <c r="Z750" s="13"/>
      <c r="AA750" s="13"/>
    </row>
    <row r="751" ht="16.5" customHeight="1">
      <c r="A751" s="10"/>
      <c r="B751" s="10"/>
      <c r="C751" s="13"/>
      <c r="D751" s="13"/>
      <c r="E751" s="13"/>
      <c r="F751" s="205"/>
      <c r="G751" s="13"/>
      <c r="H751" s="13"/>
      <c r="I751" s="13"/>
      <c r="J751" s="13"/>
      <c r="K751" s="13"/>
      <c r="L751" s="13"/>
      <c r="M751" s="13"/>
      <c r="N751" s="13"/>
      <c r="O751" s="13"/>
      <c r="P751" s="13"/>
      <c r="Q751" s="13"/>
      <c r="R751" s="13"/>
      <c r="S751" s="13"/>
      <c r="T751" s="13"/>
      <c r="U751" s="13"/>
      <c r="V751" s="13"/>
      <c r="W751" s="13"/>
      <c r="X751" s="13"/>
      <c r="Y751" s="13"/>
      <c r="Z751" s="13"/>
      <c r="AA751" s="13"/>
    </row>
    <row r="752" ht="16.5" customHeight="1">
      <c r="A752" s="10"/>
      <c r="B752" s="10"/>
      <c r="C752" s="13"/>
      <c r="D752" s="13"/>
      <c r="E752" s="13"/>
      <c r="F752" s="205"/>
      <c r="G752" s="13"/>
      <c r="H752" s="13"/>
      <c r="I752" s="13"/>
      <c r="J752" s="13"/>
      <c r="K752" s="13"/>
      <c r="L752" s="13"/>
      <c r="M752" s="13"/>
      <c r="N752" s="13"/>
      <c r="O752" s="13"/>
      <c r="P752" s="13"/>
      <c r="Q752" s="13"/>
      <c r="R752" s="13"/>
      <c r="S752" s="13"/>
      <c r="T752" s="13"/>
      <c r="U752" s="13"/>
      <c r="V752" s="13"/>
      <c r="W752" s="13"/>
      <c r="X752" s="13"/>
      <c r="Y752" s="13"/>
      <c r="Z752" s="13"/>
      <c r="AA752" s="13"/>
    </row>
    <row r="753" ht="16.5" customHeight="1">
      <c r="A753" s="10"/>
      <c r="B753" s="10"/>
      <c r="C753" s="13"/>
      <c r="D753" s="13"/>
      <c r="E753" s="13"/>
      <c r="F753" s="205"/>
      <c r="G753" s="13"/>
      <c r="H753" s="13"/>
      <c r="I753" s="13"/>
      <c r="J753" s="13"/>
      <c r="K753" s="13"/>
      <c r="L753" s="13"/>
      <c r="M753" s="13"/>
      <c r="N753" s="13"/>
      <c r="O753" s="13"/>
      <c r="P753" s="13"/>
      <c r="Q753" s="13"/>
      <c r="R753" s="13"/>
      <c r="S753" s="13"/>
      <c r="T753" s="13"/>
      <c r="U753" s="13"/>
      <c r="V753" s="13"/>
      <c r="W753" s="13"/>
      <c r="X753" s="13"/>
      <c r="Y753" s="13"/>
      <c r="Z753" s="13"/>
      <c r="AA753" s="13"/>
    </row>
    <row r="754" ht="16.5" customHeight="1">
      <c r="A754" s="10"/>
      <c r="B754" s="10"/>
      <c r="C754" s="13"/>
      <c r="D754" s="13"/>
      <c r="E754" s="13"/>
      <c r="F754" s="205"/>
      <c r="G754" s="13"/>
      <c r="H754" s="13"/>
      <c r="I754" s="13"/>
      <c r="J754" s="13"/>
      <c r="K754" s="13"/>
      <c r="L754" s="13"/>
      <c r="M754" s="13"/>
      <c r="N754" s="13"/>
      <c r="O754" s="13"/>
      <c r="P754" s="13"/>
      <c r="Q754" s="13"/>
      <c r="R754" s="13"/>
      <c r="S754" s="13"/>
      <c r="T754" s="13"/>
      <c r="U754" s="13"/>
      <c r="V754" s="13"/>
      <c r="W754" s="13"/>
      <c r="X754" s="13"/>
      <c r="Y754" s="13"/>
      <c r="Z754" s="13"/>
      <c r="AA754" s="13"/>
    </row>
    <row r="755" ht="16.5" customHeight="1">
      <c r="A755" s="10"/>
      <c r="B755" s="10"/>
      <c r="C755" s="13"/>
      <c r="D755" s="13"/>
      <c r="E755" s="13"/>
      <c r="F755" s="205"/>
      <c r="G755" s="13"/>
      <c r="H755" s="13"/>
      <c r="I755" s="13"/>
      <c r="J755" s="13"/>
      <c r="K755" s="13"/>
      <c r="L755" s="13"/>
      <c r="M755" s="13"/>
      <c r="N755" s="13"/>
      <c r="O755" s="13"/>
      <c r="P755" s="13"/>
      <c r="Q755" s="13"/>
      <c r="R755" s="13"/>
      <c r="S755" s="13"/>
      <c r="T755" s="13"/>
      <c r="U755" s="13"/>
      <c r="V755" s="13"/>
      <c r="W755" s="13"/>
      <c r="X755" s="13"/>
      <c r="Y755" s="13"/>
      <c r="Z755" s="13"/>
      <c r="AA755" s="13"/>
    </row>
    <row r="756" ht="16.5" customHeight="1">
      <c r="A756" s="10"/>
      <c r="B756" s="10"/>
      <c r="C756" s="13"/>
      <c r="D756" s="13"/>
      <c r="E756" s="13"/>
      <c r="F756" s="205"/>
      <c r="G756" s="13"/>
      <c r="H756" s="13"/>
      <c r="I756" s="13"/>
      <c r="J756" s="13"/>
      <c r="K756" s="13"/>
      <c r="L756" s="13"/>
      <c r="M756" s="13"/>
      <c r="N756" s="13"/>
      <c r="O756" s="13"/>
      <c r="P756" s="13"/>
      <c r="Q756" s="13"/>
      <c r="R756" s="13"/>
      <c r="S756" s="13"/>
      <c r="T756" s="13"/>
      <c r="U756" s="13"/>
      <c r="V756" s="13"/>
      <c r="W756" s="13"/>
      <c r="X756" s="13"/>
      <c r="Y756" s="13"/>
      <c r="Z756" s="13"/>
      <c r="AA756" s="13"/>
    </row>
    <row r="757" ht="16.5" customHeight="1">
      <c r="A757" s="10"/>
      <c r="B757" s="10"/>
      <c r="C757" s="13"/>
      <c r="D757" s="13"/>
      <c r="E757" s="13"/>
      <c r="F757" s="205"/>
      <c r="G757" s="13"/>
      <c r="H757" s="13"/>
      <c r="I757" s="13"/>
      <c r="J757" s="13"/>
      <c r="K757" s="13"/>
      <c r="L757" s="13"/>
      <c r="M757" s="13"/>
      <c r="N757" s="13"/>
      <c r="O757" s="13"/>
      <c r="P757" s="13"/>
      <c r="Q757" s="13"/>
      <c r="R757" s="13"/>
      <c r="S757" s="13"/>
      <c r="T757" s="13"/>
      <c r="U757" s="13"/>
      <c r="V757" s="13"/>
      <c r="W757" s="13"/>
      <c r="X757" s="13"/>
      <c r="Y757" s="13"/>
      <c r="Z757" s="13"/>
      <c r="AA757" s="13"/>
    </row>
    <row r="758" ht="16.5" customHeight="1">
      <c r="A758" s="10"/>
      <c r="B758" s="10"/>
      <c r="C758" s="13"/>
      <c r="D758" s="13"/>
      <c r="E758" s="13"/>
      <c r="F758" s="205"/>
      <c r="G758" s="13"/>
      <c r="H758" s="13"/>
      <c r="I758" s="13"/>
      <c r="J758" s="13"/>
      <c r="K758" s="13"/>
      <c r="L758" s="13"/>
      <c r="M758" s="13"/>
      <c r="N758" s="13"/>
      <c r="O758" s="13"/>
      <c r="P758" s="13"/>
      <c r="Q758" s="13"/>
      <c r="R758" s="13"/>
      <c r="S758" s="13"/>
      <c r="T758" s="13"/>
      <c r="U758" s="13"/>
      <c r="V758" s="13"/>
      <c r="W758" s="13"/>
      <c r="X758" s="13"/>
      <c r="Y758" s="13"/>
      <c r="Z758" s="13"/>
      <c r="AA758" s="13"/>
    </row>
    <row r="759" ht="16.5" customHeight="1">
      <c r="A759" s="10"/>
      <c r="B759" s="10"/>
      <c r="C759" s="13"/>
      <c r="D759" s="13"/>
      <c r="E759" s="13"/>
      <c r="F759" s="205"/>
      <c r="G759" s="13"/>
      <c r="H759" s="13"/>
      <c r="I759" s="13"/>
      <c r="J759" s="13"/>
      <c r="K759" s="13"/>
      <c r="L759" s="13"/>
      <c r="M759" s="13"/>
      <c r="N759" s="13"/>
      <c r="O759" s="13"/>
      <c r="P759" s="13"/>
      <c r="Q759" s="13"/>
      <c r="R759" s="13"/>
      <c r="S759" s="13"/>
      <c r="T759" s="13"/>
      <c r="U759" s="13"/>
      <c r="V759" s="13"/>
      <c r="W759" s="13"/>
      <c r="X759" s="13"/>
      <c r="Y759" s="13"/>
      <c r="Z759" s="13"/>
      <c r="AA759" s="13"/>
    </row>
    <row r="760" ht="16.5" customHeight="1">
      <c r="A760" s="10"/>
      <c r="B760" s="10"/>
      <c r="C760" s="13"/>
      <c r="D760" s="13"/>
      <c r="E760" s="13"/>
      <c r="F760" s="205"/>
      <c r="G760" s="13"/>
      <c r="H760" s="13"/>
      <c r="I760" s="13"/>
      <c r="J760" s="13"/>
      <c r="K760" s="13"/>
      <c r="L760" s="13"/>
      <c r="M760" s="13"/>
      <c r="N760" s="13"/>
      <c r="O760" s="13"/>
      <c r="P760" s="13"/>
      <c r="Q760" s="13"/>
      <c r="R760" s="13"/>
      <c r="S760" s="13"/>
      <c r="T760" s="13"/>
      <c r="U760" s="13"/>
      <c r="V760" s="13"/>
      <c r="W760" s="13"/>
      <c r="X760" s="13"/>
      <c r="Y760" s="13"/>
      <c r="Z760" s="13"/>
      <c r="AA760" s="13"/>
    </row>
    <row r="761" ht="16.5" customHeight="1">
      <c r="A761" s="10"/>
      <c r="B761" s="10"/>
      <c r="C761" s="13"/>
      <c r="D761" s="13"/>
      <c r="E761" s="13"/>
      <c r="F761" s="205"/>
      <c r="G761" s="13"/>
      <c r="H761" s="13"/>
      <c r="I761" s="13"/>
      <c r="J761" s="13"/>
      <c r="K761" s="13"/>
      <c r="L761" s="13"/>
      <c r="M761" s="13"/>
      <c r="N761" s="13"/>
      <c r="O761" s="13"/>
      <c r="P761" s="13"/>
      <c r="Q761" s="13"/>
      <c r="R761" s="13"/>
      <c r="S761" s="13"/>
      <c r="T761" s="13"/>
      <c r="U761" s="13"/>
      <c r="V761" s="13"/>
      <c r="W761" s="13"/>
      <c r="X761" s="13"/>
      <c r="Y761" s="13"/>
      <c r="Z761" s="13"/>
      <c r="AA761" s="13"/>
    </row>
    <row r="762" ht="16.5" customHeight="1">
      <c r="A762" s="10"/>
      <c r="B762" s="10"/>
      <c r="C762" s="13"/>
      <c r="D762" s="13"/>
      <c r="E762" s="13"/>
      <c r="F762" s="205"/>
      <c r="G762" s="13"/>
      <c r="H762" s="13"/>
      <c r="I762" s="13"/>
      <c r="J762" s="13"/>
      <c r="K762" s="13"/>
      <c r="L762" s="13"/>
      <c r="M762" s="13"/>
      <c r="N762" s="13"/>
      <c r="O762" s="13"/>
      <c r="P762" s="13"/>
      <c r="Q762" s="13"/>
      <c r="R762" s="13"/>
      <c r="S762" s="13"/>
      <c r="T762" s="13"/>
      <c r="U762" s="13"/>
      <c r="V762" s="13"/>
      <c r="W762" s="13"/>
      <c r="X762" s="13"/>
      <c r="Y762" s="13"/>
      <c r="Z762" s="13"/>
      <c r="AA762" s="13"/>
    </row>
    <row r="763" ht="16.5" customHeight="1">
      <c r="A763" s="10"/>
      <c r="B763" s="10"/>
      <c r="C763" s="13"/>
      <c r="D763" s="13"/>
      <c r="E763" s="13"/>
      <c r="F763" s="205"/>
      <c r="G763" s="13"/>
      <c r="H763" s="13"/>
      <c r="I763" s="13"/>
      <c r="J763" s="13"/>
      <c r="K763" s="13"/>
      <c r="L763" s="13"/>
      <c r="M763" s="13"/>
      <c r="N763" s="13"/>
      <c r="O763" s="13"/>
      <c r="P763" s="13"/>
      <c r="Q763" s="13"/>
      <c r="R763" s="13"/>
      <c r="S763" s="13"/>
      <c r="T763" s="13"/>
      <c r="U763" s="13"/>
      <c r="V763" s="13"/>
      <c r="W763" s="13"/>
      <c r="X763" s="13"/>
      <c r="Y763" s="13"/>
      <c r="Z763" s="13"/>
      <c r="AA763" s="13"/>
    </row>
    <row r="764" ht="16.5" customHeight="1">
      <c r="A764" s="10"/>
      <c r="B764" s="10"/>
      <c r="C764" s="13"/>
      <c r="D764" s="13"/>
      <c r="E764" s="13"/>
      <c r="F764" s="205"/>
      <c r="G764" s="13"/>
      <c r="H764" s="13"/>
      <c r="I764" s="13"/>
      <c r="J764" s="13"/>
      <c r="K764" s="13"/>
      <c r="L764" s="13"/>
      <c r="M764" s="13"/>
      <c r="N764" s="13"/>
      <c r="O764" s="13"/>
      <c r="P764" s="13"/>
      <c r="Q764" s="13"/>
      <c r="R764" s="13"/>
      <c r="S764" s="13"/>
      <c r="T764" s="13"/>
      <c r="U764" s="13"/>
      <c r="V764" s="13"/>
      <c r="W764" s="13"/>
      <c r="X764" s="13"/>
      <c r="Y764" s="13"/>
      <c r="Z764" s="13"/>
      <c r="AA764" s="13"/>
    </row>
    <row r="765" ht="16.5" customHeight="1">
      <c r="A765" s="10"/>
      <c r="B765" s="10"/>
      <c r="C765" s="13"/>
      <c r="D765" s="13"/>
      <c r="E765" s="13"/>
      <c r="F765" s="205"/>
      <c r="G765" s="13"/>
      <c r="H765" s="13"/>
      <c r="I765" s="13"/>
      <c r="J765" s="13"/>
      <c r="K765" s="13"/>
      <c r="L765" s="13"/>
      <c r="M765" s="13"/>
      <c r="N765" s="13"/>
      <c r="O765" s="13"/>
      <c r="P765" s="13"/>
      <c r="Q765" s="13"/>
      <c r="R765" s="13"/>
      <c r="S765" s="13"/>
      <c r="T765" s="13"/>
      <c r="U765" s="13"/>
      <c r="V765" s="13"/>
      <c r="W765" s="13"/>
      <c r="X765" s="13"/>
      <c r="Y765" s="13"/>
      <c r="Z765" s="13"/>
      <c r="AA765" s="13"/>
    </row>
    <row r="766" ht="16.5" customHeight="1">
      <c r="A766" s="10"/>
      <c r="B766" s="10"/>
      <c r="C766" s="13"/>
      <c r="D766" s="13"/>
      <c r="E766" s="13"/>
      <c r="F766" s="205"/>
      <c r="G766" s="13"/>
      <c r="H766" s="13"/>
      <c r="I766" s="13"/>
      <c r="J766" s="13"/>
      <c r="K766" s="13"/>
      <c r="L766" s="13"/>
      <c r="M766" s="13"/>
      <c r="N766" s="13"/>
      <c r="O766" s="13"/>
      <c r="P766" s="13"/>
      <c r="Q766" s="13"/>
      <c r="R766" s="13"/>
      <c r="S766" s="13"/>
      <c r="T766" s="13"/>
      <c r="U766" s="13"/>
      <c r="V766" s="13"/>
      <c r="W766" s="13"/>
      <c r="X766" s="13"/>
      <c r="Y766" s="13"/>
      <c r="Z766" s="13"/>
      <c r="AA766" s="13"/>
    </row>
    <row r="767" ht="16.5" customHeight="1">
      <c r="A767" s="10"/>
      <c r="B767" s="10"/>
      <c r="C767" s="13"/>
      <c r="D767" s="13"/>
      <c r="E767" s="13"/>
      <c r="F767" s="205"/>
      <c r="G767" s="13"/>
      <c r="H767" s="13"/>
      <c r="I767" s="13"/>
      <c r="J767" s="13"/>
      <c r="K767" s="13"/>
      <c r="L767" s="13"/>
      <c r="M767" s="13"/>
      <c r="N767" s="13"/>
      <c r="O767" s="13"/>
      <c r="P767" s="13"/>
      <c r="Q767" s="13"/>
      <c r="R767" s="13"/>
      <c r="S767" s="13"/>
      <c r="T767" s="13"/>
      <c r="U767" s="13"/>
      <c r="V767" s="13"/>
      <c r="W767" s="13"/>
      <c r="X767" s="13"/>
      <c r="Y767" s="13"/>
      <c r="Z767" s="13"/>
      <c r="AA767" s="13"/>
    </row>
    <row r="768" ht="16.5" customHeight="1">
      <c r="A768" s="10"/>
      <c r="B768" s="10"/>
      <c r="C768" s="13"/>
      <c r="D768" s="13"/>
      <c r="E768" s="13"/>
      <c r="F768" s="205"/>
      <c r="G768" s="13"/>
      <c r="H768" s="13"/>
      <c r="I768" s="13"/>
      <c r="J768" s="13"/>
      <c r="K768" s="13"/>
      <c r="L768" s="13"/>
      <c r="M768" s="13"/>
      <c r="N768" s="13"/>
      <c r="O768" s="13"/>
      <c r="P768" s="13"/>
      <c r="Q768" s="13"/>
      <c r="R768" s="13"/>
      <c r="S768" s="13"/>
      <c r="T768" s="13"/>
      <c r="U768" s="13"/>
      <c r="V768" s="13"/>
      <c r="W768" s="13"/>
      <c r="X768" s="13"/>
      <c r="Y768" s="13"/>
      <c r="Z768" s="13"/>
      <c r="AA768" s="13"/>
    </row>
    <row r="769" ht="16.5" customHeight="1">
      <c r="A769" s="10"/>
      <c r="B769" s="10"/>
      <c r="C769" s="13"/>
      <c r="D769" s="13"/>
      <c r="E769" s="13"/>
      <c r="F769" s="205"/>
      <c r="G769" s="13"/>
      <c r="H769" s="13"/>
      <c r="I769" s="13"/>
      <c r="J769" s="13"/>
      <c r="K769" s="13"/>
      <c r="L769" s="13"/>
      <c r="M769" s="13"/>
      <c r="N769" s="13"/>
      <c r="O769" s="13"/>
      <c r="P769" s="13"/>
      <c r="Q769" s="13"/>
      <c r="R769" s="13"/>
      <c r="S769" s="13"/>
      <c r="T769" s="13"/>
      <c r="U769" s="13"/>
      <c r="V769" s="13"/>
      <c r="W769" s="13"/>
      <c r="X769" s="13"/>
      <c r="Y769" s="13"/>
      <c r="Z769" s="13"/>
      <c r="AA769" s="13"/>
    </row>
    <row r="770" ht="16.5" customHeight="1">
      <c r="A770" s="10"/>
      <c r="B770" s="10"/>
      <c r="C770" s="13"/>
      <c r="D770" s="13"/>
      <c r="E770" s="13"/>
      <c r="F770" s="205"/>
      <c r="G770" s="13"/>
      <c r="H770" s="13"/>
      <c r="I770" s="13"/>
      <c r="J770" s="13"/>
      <c r="K770" s="13"/>
      <c r="L770" s="13"/>
      <c r="M770" s="13"/>
      <c r="N770" s="13"/>
      <c r="O770" s="13"/>
      <c r="P770" s="13"/>
      <c r="Q770" s="13"/>
      <c r="R770" s="13"/>
      <c r="S770" s="13"/>
      <c r="T770" s="13"/>
      <c r="U770" s="13"/>
      <c r="V770" s="13"/>
      <c r="W770" s="13"/>
      <c r="X770" s="13"/>
      <c r="Y770" s="13"/>
      <c r="Z770" s="13"/>
      <c r="AA770" s="13"/>
    </row>
    <row r="771" ht="16.5" customHeight="1">
      <c r="A771" s="10"/>
      <c r="B771" s="10"/>
      <c r="C771" s="13"/>
      <c r="D771" s="13"/>
      <c r="E771" s="13"/>
      <c r="F771" s="205"/>
      <c r="G771" s="13"/>
      <c r="H771" s="13"/>
      <c r="I771" s="13"/>
      <c r="J771" s="13"/>
      <c r="K771" s="13"/>
      <c r="L771" s="13"/>
      <c r="M771" s="13"/>
      <c r="N771" s="13"/>
      <c r="O771" s="13"/>
      <c r="P771" s="13"/>
      <c r="Q771" s="13"/>
      <c r="R771" s="13"/>
      <c r="S771" s="13"/>
      <c r="T771" s="13"/>
      <c r="U771" s="13"/>
      <c r="V771" s="13"/>
      <c r="W771" s="13"/>
      <c r="X771" s="13"/>
      <c r="Y771" s="13"/>
      <c r="Z771" s="13"/>
      <c r="AA771" s="13"/>
    </row>
    <row r="772" ht="16.5" customHeight="1">
      <c r="A772" s="10"/>
      <c r="B772" s="10"/>
      <c r="C772" s="13"/>
      <c r="D772" s="13"/>
      <c r="E772" s="13"/>
      <c r="F772" s="205"/>
      <c r="G772" s="13"/>
      <c r="H772" s="13"/>
      <c r="I772" s="13"/>
      <c r="J772" s="13"/>
      <c r="K772" s="13"/>
      <c r="L772" s="13"/>
      <c r="M772" s="13"/>
      <c r="N772" s="13"/>
      <c r="O772" s="13"/>
      <c r="P772" s="13"/>
      <c r="Q772" s="13"/>
      <c r="R772" s="13"/>
      <c r="S772" s="13"/>
      <c r="T772" s="13"/>
      <c r="U772" s="13"/>
      <c r="V772" s="13"/>
      <c r="W772" s="13"/>
      <c r="X772" s="13"/>
      <c r="Y772" s="13"/>
      <c r="Z772" s="13"/>
      <c r="AA772" s="13"/>
    </row>
    <row r="773" ht="16.5" customHeight="1">
      <c r="A773" s="10"/>
      <c r="B773" s="10"/>
      <c r="C773" s="13"/>
      <c r="D773" s="13"/>
      <c r="E773" s="13"/>
      <c r="F773" s="205"/>
      <c r="G773" s="13"/>
      <c r="H773" s="13"/>
      <c r="I773" s="13"/>
      <c r="J773" s="13"/>
      <c r="K773" s="13"/>
      <c r="L773" s="13"/>
      <c r="M773" s="13"/>
      <c r="N773" s="13"/>
      <c r="O773" s="13"/>
      <c r="P773" s="13"/>
      <c r="Q773" s="13"/>
      <c r="R773" s="13"/>
      <c r="S773" s="13"/>
      <c r="T773" s="13"/>
      <c r="U773" s="13"/>
      <c r="V773" s="13"/>
      <c r="W773" s="13"/>
      <c r="X773" s="13"/>
      <c r="Y773" s="13"/>
      <c r="Z773" s="13"/>
      <c r="AA773" s="13"/>
    </row>
    <row r="774" ht="16.5" customHeight="1">
      <c r="A774" s="10"/>
      <c r="B774" s="10"/>
      <c r="C774" s="13"/>
      <c r="D774" s="13"/>
      <c r="E774" s="13"/>
      <c r="F774" s="205"/>
      <c r="G774" s="13"/>
      <c r="H774" s="13"/>
      <c r="I774" s="13"/>
      <c r="J774" s="13"/>
      <c r="K774" s="13"/>
      <c r="L774" s="13"/>
      <c r="M774" s="13"/>
      <c r="N774" s="13"/>
      <c r="O774" s="13"/>
      <c r="P774" s="13"/>
      <c r="Q774" s="13"/>
      <c r="R774" s="13"/>
      <c r="S774" s="13"/>
      <c r="T774" s="13"/>
      <c r="U774" s="13"/>
      <c r="V774" s="13"/>
      <c r="W774" s="13"/>
      <c r="X774" s="13"/>
      <c r="Y774" s="13"/>
      <c r="Z774" s="13"/>
      <c r="AA774" s="13"/>
    </row>
    <row r="775" ht="16.5" customHeight="1">
      <c r="A775" s="10"/>
      <c r="B775" s="10"/>
      <c r="C775" s="13"/>
      <c r="D775" s="13"/>
      <c r="E775" s="13"/>
      <c r="F775" s="205"/>
      <c r="G775" s="13"/>
      <c r="H775" s="13"/>
      <c r="I775" s="13"/>
      <c r="J775" s="13"/>
      <c r="K775" s="13"/>
      <c r="L775" s="13"/>
      <c r="M775" s="13"/>
      <c r="N775" s="13"/>
      <c r="O775" s="13"/>
      <c r="P775" s="13"/>
      <c r="Q775" s="13"/>
      <c r="R775" s="13"/>
      <c r="S775" s="13"/>
      <c r="T775" s="13"/>
      <c r="U775" s="13"/>
      <c r="V775" s="13"/>
      <c r="W775" s="13"/>
      <c r="X775" s="13"/>
      <c r="Y775" s="13"/>
      <c r="Z775" s="13"/>
      <c r="AA775" s="13"/>
    </row>
    <row r="776" ht="16.5" customHeight="1">
      <c r="A776" s="10"/>
      <c r="B776" s="10"/>
      <c r="C776" s="13"/>
      <c r="D776" s="13"/>
      <c r="E776" s="13"/>
      <c r="F776" s="205"/>
      <c r="G776" s="13"/>
      <c r="H776" s="13"/>
      <c r="I776" s="13"/>
      <c r="J776" s="13"/>
      <c r="K776" s="13"/>
      <c r="L776" s="13"/>
      <c r="M776" s="13"/>
      <c r="N776" s="13"/>
      <c r="O776" s="13"/>
      <c r="P776" s="13"/>
      <c r="Q776" s="13"/>
      <c r="R776" s="13"/>
      <c r="S776" s="13"/>
      <c r="T776" s="13"/>
      <c r="U776" s="13"/>
      <c r="V776" s="13"/>
      <c r="W776" s="13"/>
      <c r="X776" s="13"/>
      <c r="Y776" s="13"/>
      <c r="Z776" s="13"/>
      <c r="AA776" s="13"/>
    </row>
    <row r="777" ht="16.5" customHeight="1">
      <c r="A777" s="10"/>
      <c r="B777" s="10"/>
      <c r="C777" s="13"/>
      <c r="D777" s="13"/>
      <c r="E777" s="13"/>
      <c r="F777" s="205"/>
      <c r="G777" s="13"/>
      <c r="H777" s="13"/>
      <c r="I777" s="13"/>
      <c r="J777" s="13"/>
      <c r="K777" s="13"/>
      <c r="L777" s="13"/>
      <c r="M777" s="13"/>
      <c r="N777" s="13"/>
      <c r="O777" s="13"/>
      <c r="P777" s="13"/>
      <c r="Q777" s="13"/>
      <c r="R777" s="13"/>
      <c r="S777" s="13"/>
      <c r="T777" s="13"/>
      <c r="U777" s="13"/>
      <c r="V777" s="13"/>
      <c r="W777" s="13"/>
      <c r="X777" s="13"/>
      <c r="Y777" s="13"/>
      <c r="Z777" s="13"/>
      <c r="AA777" s="13"/>
    </row>
    <row r="778" ht="16.5" customHeight="1">
      <c r="A778" s="10"/>
      <c r="B778" s="10"/>
      <c r="C778" s="13"/>
      <c r="D778" s="13"/>
      <c r="E778" s="13"/>
      <c r="F778" s="205"/>
      <c r="G778" s="13"/>
      <c r="H778" s="13"/>
      <c r="I778" s="13"/>
      <c r="J778" s="13"/>
      <c r="K778" s="13"/>
      <c r="L778" s="13"/>
      <c r="M778" s="13"/>
      <c r="N778" s="13"/>
      <c r="O778" s="13"/>
      <c r="P778" s="13"/>
      <c r="Q778" s="13"/>
      <c r="R778" s="13"/>
      <c r="S778" s="13"/>
      <c r="T778" s="13"/>
      <c r="U778" s="13"/>
      <c r="V778" s="13"/>
      <c r="W778" s="13"/>
      <c r="X778" s="13"/>
      <c r="Y778" s="13"/>
      <c r="Z778" s="13"/>
      <c r="AA778" s="13"/>
    </row>
    <row r="779" ht="16.5" customHeight="1">
      <c r="A779" s="10"/>
      <c r="B779" s="10"/>
      <c r="C779" s="13"/>
      <c r="D779" s="13"/>
      <c r="E779" s="13"/>
      <c r="F779" s="205"/>
      <c r="G779" s="13"/>
      <c r="H779" s="13"/>
      <c r="I779" s="13"/>
      <c r="J779" s="13"/>
      <c r="K779" s="13"/>
      <c r="L779" s="13"/>
      <c r="M779" s="13"/>
      <c r="N779" s="13"/>
      <c r="O779" s="13"/>
      <c r="P779" s="13"/>
      <c r="Q779" s="13"/>
      <c r="R779" s="13"/>
      <c r="S779" s="13"/>
      <c r="T779" s="13"/>
      <c r="U779" s="13"/>
      <c r="V779" s="13"/>
      <c r="W779" s="13"/>
      <c r="X779" s="13"/>
      <c r="Y779" s="13"/>
      <c r="Z779" s="13"/>
      <c r="AA779" s="13"/>
    </row>
    <row r="780" ht="16.5" customHeight="1">
      <c r="A780" s="10"/>
      <c r="B780" s="10"/>
      <c r="C780" s="13"/>
      <c r="D780" s="13"/>
      <c r="E780" s="13"/>
      <c r="F780" s="205"/>
      <c r="G780" s="13"/>
      <c r="H780" s="13"/>
      <c r="I780" s="13"/>
      <c r="J780" s="13"/>
      <c r="K780" s="13"/>
      <c r="L780" s="13"/>
      <c r="M780" s="13"/>
      <c r="N780" s="13"/>
      <c r="O780" s="13"/>
      <c r="P780" s="13"/>
      <c r="Q780" s="13"/>
      <c r="R780" s="13"/>
      <c r="S780" s="13"/>
      <c r="T780" s="13"/>
      <c r="U780" s="13"/>
      <c r="V780" s="13"/>
      <c r="W780" s="13"/>
      <c r="X780" s="13"/>
      <c r="Y780" s="13"/>
      <c r="Z780" s="13"/>
      <c r="AA780" s="13"/>
    </row>
    <row r="781" ht="16.5" customHeight="1">
      <c r="A781" s="10"/>
      <c r="B781" s="10"/>
      <c r="C781" s="13"/>
      <c r="D781" s="13"/>
      <c r="E781" s="13"/>
      <c r="F781" s="205"/>
      <c r="G781" s="13"/>
      <c r="H781" s="13"/>
      <c r="I781" s="13"/>
      <c r="J781" s="13"/>
      <c r="K781" s="13"/>
      <c r="L781" s="13"/>
      <c r="M781" s="13"/>
      <c r="N781" s="13"/>
      <c r="O781" s="13"/>
      <c r="P781" s="13"/>
      <c r="Q781" s="13"/>
      <c r="R781" s="13"/>
      <c r="S781" s="13"/>
      <c r="T781" s="13"/>
      <c r="U781" s="13"/>
      <c r="V781" s="13"/>
      <c r="W781" s="13"/>
      <c r="X781" s="13"/>
      <c r="Y781" s="13"/>
      <c r="Z781" s="13"/>
      <c r="AA781" s="13"/>
    </row>
    <row r="782" ht="16.5" customHeight="1">
      <c r="A782" s="10"/>
      <c r="B782" s="10"/>
      <c r="C782" s="13"/>
      <c r="D782" s="13"/>
      <c r="E782" s="13"/>
      <c r="F782" s="205"/>
      <c r="G782" s="13"/>
      <c r="H782" s="13"/>
      <c r="I782" s="13"/>
      <c r="J782" s="13"/>
      <c r="K782" s="13"/>
      <c r="L782" s="13"/>
      <c r="M782" s="13"/>
      <c r="N782" s="13"/>
      <c r="O782" s="13"/>
      <c r="P782" s="13"/>
      <c r="Q782" s="13"/>
      <c r="R782" s="13"/>
      <c r="S782" s="13"/>
      <c r="T782" s="13"/>
      <c r="U782" s="13"/>
      <c r="V782" s="13"/>
      <c r="W782" s="13"/>
      <c r="X782" s="13"/>
      <c r="Y782" s="13"/>
      <c r="Z782" s="13"/>
      <c r="AA782" s="13"/>
    </row>
    <row r="783" ht="16.5" customHeight="1">
      <c r="A783" s="10"/>
      <c r="B783" s="10"/>
      <c r="C783" s="13"/>
      <c r="D783" s="13"/>
      <c r="E783" s="13"/>
      <c r="F783" s="205"/>
      <c r="G783" s="13"/>
      <c r="H783" s="13"/>
      <c r="I783" s="13"/>
      <c r="J783" s="13"/>
      <c r="K783" s="13"/>
      <c r="L783" s="13"/>
      <c r="M783" s="13"/>
      <c r="N783" s="13"/>
      <c r="O783" s="13"/>
      <c r="P783" s="13"/>
      <c r="Q783" s="13"/>
      <c r="R783" s="13"/>
      <c r="S783" s="13"/>
      <c r="T783" s="13"/>
      <c r="U783" s="13"/>
      <c r="V783" s="13"/>
      <c r="W783" s="13"/>
      <c r="X783" s="13"/>
      <c r="Y783" s="13"/>
      <c r="Z783" s="13"/>
      <c r="AA783" s="13"/>
    </row>
    <row r="784" ht="16.5" customHeight="1">
      <c r="A784" s="10"/>
      <c r="B784" s="10"/>
      <c r="C784" s="13"/>
      <c r="D784" s="13"/>
      <c r="E784" s="13"/>
      <c r="F784" s="205"/>
      <c r="G784" s="13"/>
      <c r="H784" s="13"/>
      <c r="I784" s="13"/>
      <c r="J784" s="13"/>
      <c r="K784" s="13"/>
      <c r="L784" s="13"/>
      <c r="M784" s="13"/>
      <c r="N784" s="13"/>
      <c r="O784" s="13"/>
      <c r="P784" s="13"/>
      <c r="Q784" s="13"/>
      <c r="R784" s="13"/>
      <c r="S784" s="13"/>
      <c r="T784" s="13"/>
      <c r="U784" s="13"/>
      <c r="V784" s="13"/>
      <c r="W784" s="13"/>
      <c r="X784" s="13"/>
      <c r="Y784" s="13"/>
      <c r="Z784" s="13"/>
      <c r="AA784" s="13"/>
    </row>
    <row r="785" ht="16.5" customHeight="1">
      <c r="A785" s="10"/>
      <c r="B785" s="10"/>
      <c r="C785" s="13"/>
      <c r="D785" s="13"/>
      <c r="E785" s="13"/>
      <c r="F785" s="205"/>
      <c r="G785" s="13"/>
      <c r="H785" s="13"/>
      <c r="I785" s="13"/>
      <c r="J785" s="13"/>
      <c r="K785" s="13"/>
      <c r="L785" s="13"/>
      <c r="M785" s="13"/>
      <c r="N785" s="13"/>
      <c r="O785" s="13"/>
      <c r="P785" s="13"/>
      <c r="Q785" s="13"/>
      <c r="R785" s="13"/>
      <c r="S785" s="13"/>
      <c r="T785" s="13"/>
      <c r="U785" s="13"/>
      <c r="V785" s="13"/>
      <c r="W785" s="13"/>
      <c r="X785" s="13"/>
      <c r="Y785" s="13"/>
      <c r="Z785" s="13"/>
      <c r="AA785" s="13"/>
    </row>
    <row r="786" ht="16.5" customHeight="1">
      <c r="A786" s="10"/>
      <c r="B786" s="10"/>
      <c r="C786" s="13"/>
      <c r="D786" s="13"/>
      <c r="E786" s="13"/>
      <c r="F786" s="205"/>
      <c r="G786" s="13"/>
      <c r="H786" s="13"/>
      <c r="I786" s="13"/>
      <c r="J786" s="13"/>
      <c r="K786" s="13"/>
      <c r="L786" s="13"/>
      <c r="M786" s="13"/>
      <c r="N786" s="13"/>
      <c r="O786" s="13"/>
      <c r="P786" s="13"/>
      <c r="Q786" s="13"/>
      <c r="R786" s="13"/>
      <c r="S786" s="13"/>
      <c r="T786" s="13"/>
      <c r="U786" s="13"/>
      <c r="V786" s="13"/>
      <c r="W786" s="13"/>
      <c r="X786" s="13"/>
      <c r="Y786" s="13"/>
      <c r="Z786" s="13"/>
      <c r="AA786" s="13"/>
    </row>
    <row r="787" ht="16.5" customHeight="1">
      <c r="A787" s="10"/>
      <c r="B787" s="10"/>
      <c r="C787" s="13"/>
      <c r="D787" s="13"/>
      <c r="E787" s="13"/>
      <c r="F787" s="205"/>
      <c r="G787" s="13"/>
      <c r="H787" s="13"/>
      <c r="I787" s="13"/>
      <c r="J787" s="13"/>
      <c r="K787" s="13"/>
      <c r="L787" s="13"/>
      <c r="M787" s="13"/>
      <c r="N787" s="13"/>
      <c r="O787" s="13"/>
      <c r="P787" s="13"/>
      <c r="Q787" s="13"/>
      <c r="R787" s="13"/>
      <c r="S787" s="13"/>
      <c r="T787" s="13"/>
      <c r="U787" s="13"/>
      <c r="V787" s="13"/>
      <c r="W787" s="13"/>
      <c r="X787" s="13"/>
      <c r="Y787" s="13"/>
      <c r="Z787" s="13"/>
      <c r="AA787" s="13"/>
    </row>
    <row r="788" ht="16.5" customHeight="1">
      <c r="A788" s="10"/>
      <c r="B788" s="10"/>
      <c r="C788" s="13"/>
      <c r="D788" s="13"/>
      <c r="E788" s="13"/>
      <c r="F788" s="205"/>
      <c r="G788" s="13"/>
      <c r="H788" s="13"/>
      <c r="I788" s="13"/>
      <c r="J788" s="13"/>
      <c r="K788" s="13"/>
      <c r="L788" s="13"/>
      <c r="M788" s="13"/>
      <c r="N788" s="13"/>
      <c r="O788" s="13"/>
      <c r="P788" s="13"/>
      <c r="Q788" s="13"/>
      <c r="R788" s="13"/>
      <c r="S788" s="13"/>
      <c r="T788" s="13"/>
      <c r="U788" s="13"/>
      <c r="V788" s="13"/>
      <c r="W788" s="13"/>
      <c r="X788" s="13"/>
      <c r="Y788" s="13"/>
      <c r="Z788" s="13"/>
      <c r="AA788" s="13"/>
    </row>
    <row r="789" ht="16.5" customHeight="1">
      <c r="A789" s="10"/>
      <c r="B789" s="10"/>
      <c r="C789" s="13"/>
      <c r="D789" s="13"/>
      <c r="E789" s="13"/>
      <c r="F789" s="205"/>
      <c r="G789" s="13"/>
      <c r="H789" s="13"/>
      <c r="I789" s="13"/>
      <c r="J789" s="13"/>
      <c r="K789" s="13"/>
      <c r="L789" s="13"/>
      <c r="M789" s="13"/>
      <c r="N789" s="13"/>
      <c r="O789" s="13"/>
      <c r="P789" s="13"/>
      <c r="Q789" s="13"/>
      <c r="R789" s="13"/>
      <c r="S789" s="13"/>
      <c r="T789" s="13"/>
      <c r="U789" s="13"/>
      <c r="V789" s="13"/>
      <c r="W789" s="13"/>
      <c r="X789" s="13"/>
      <c r="Y789" s="13"/>
      <c r="Z789" s="13"/>
      <c r="AA789" s="13"/>
    </row>
    <row r="790" ht="16.5" customHeight="1">
      <c r="A790" s="10"/>
      <c r="B790" s="10"/>
      <c r="C790" s="13"/>
      <c r="D790" s="13"/>
      <c r="E790" s="13"/>
      <c r="F790" s="205"/>
      <c r="G790" s="13"/>
      <c r="H790" s="13"/>
      <c r="I790" s="13"/>
      <c r="J790" s="13"/>
      <c r="K790" s="13"/>
      <c r="L790" s="13"/>
      <c r="M790" s="13"/>
      <c r="N790" s="13"/>
      <c r="O790" s="13"/>
      <c r="P790" s="13"/>
      <c r="Q790" s="13"/>
      <c r="R790" s="13"/>
      <c r="S790" s="13"/>
      <c r="T790" s="13"/>
      <c r="U790" s="13"/>
      <c r="V790" s="13"/>
      <c r="W790" s="13"/>
      <c r="X790" s="13"/>
      <c r="Y790" s="13"/>
      <c r="Z790" s="13"/>
      <c r="AA790" s="13"/>
    </row>
    <row r="791" ht="16.5" customHeight="1">
      <c r="A791" s="10"/>
      <c r="B791" s="10"/>
      <c r="C791" s="13"/>
      <c r="D791" s="13"/>
      <c r="E791" s="13"/>
      <c r="F791" s="205"/>
      <c r="G791" s="13"/>
      <c r="H791" s="13"/>
      <c r="I791" s="13"/>
      <c r="J791" s="13"/>
      <c r="K791" s="13"/>
      <c r="L791" s="13"/>
      <c r="M791" s="13"/>
      <c r="N791" s="13"/>
      <c r="O791" s="13"/>
      <c r="P791" s="13"/>
      <c r="Q791" s="13"/>
      <c r="R791" s="13"/>
      <c r="S791" s="13"/>
      <c r="T791" s="13"/>
      <c r="U791" s="13"/>
      <c r="V791" s="13"/>
      <c r="W791" s="13"/>
      <c r="X791" s="13"/>
      <c r="Y791" s="13"/>
      <c r="Z791" s="13"/>
      <c r="AA791" s="13"/>
    </row>
    <row r="792" ht="16.5" customHeight="1">
      <c r="A792" s="10"/>
      <c r="B792" s="10"/>
      <c r="C792" s="13"/>
      <c r="D792" s="13"/>
      <c r="E792" s="13"/>
      <c r="F792" s="205"/>
      <c r="G792" s="13"/>
      <c r="H792" s="13"/>
      <c r="I792" s="13"/>
      <c r="J792" s="13"/>
      <c r="K792" s="13"/>
      <c r="L792" s="13"/>
      <c r="M792" s="13"/>
      <c r="N792" s="13"/>
      <c r="O792" s="13"/>
      <c r="P792" s="13"/>
      <c r="Q792" s="13"/>
      <c r="R792" s="13"/>
      <c r="S792" s="13"/>
      <c r="T792" s="13"/>
      <c r="U792" s="13"/>
      <c r="V792" s="13"/>
      <c r="W792" s="13"/>
      <c r="X792" s="13"/>
      <c r="Y792" s="13"/>
      <c r="Z792" s="13"/>
      <c r="AA792" s="13"/>
    </row>
    <row r="793" ht="16.5" customHeight="1">
      <c r="A793" s="10"/>
      <c r="B793" s="10"/>
      <c r="C793" s="13"/>
      <c r="D793" s="13"/>
      <c r="E793" s="13"/>
      <c r="F793" s="205"/>
      <c r="G793" s="13"/>
      <c r="H793" s="13"/>
      <c r="I793" s="13"/>
      <c r="J793" s="13"/>
      <c r="K793" s="13"/>
      <c r="L793" s="13"/>
      <c r="M793" s="13"/>
      <c r="N793" s="13"/>
      <c r="O793" s="13"/>
      <c r="P793" s="13"/>
      <c r="Q793" s="13"/>
      <c r="R793" s="13"/>
      <c r="S793" s="13"/>
      <c r="T793" s="13"/>
      <c r="U793" s="13"/>
      <c r="V793" s="13"/>
      <c r="W793" s="13"/>
      <c r="X793" s="13"/>
      <c r="Y793" s="13"/>
      <c r="Z793" s="13"/>
      <c r="AA793" s="13"/>
    </row>
    <row r="794" ht="16.5" customHeight="1">
      <c r="A794" s="10"/>
      <c r="B794" s="10"/>
      <c r="C794" s="13"/>
      <c r="D794" s="13"/>
      <c r="E794" s="13"/>
      <c r="F794" s="205"/>
      <c r="G794" s="13"/>
      <c r="H794" s="13"/>
      <c r="I794" s="13"/>
      <c r="J794" s="13"/>
      <c r="K794" s="13"/>
      <c r="L794" s="13"/>
      <c r="M794" s="13"/>
      <c r="N794" s="13"/>
      <c r="O794" s="13"/>
      <c r="P794" s="13"/>
      <c r="Q794" s="13"/>
      <c r="R794" s="13"/>
      <c r="S794" s="13"/>
      <c r="T794" s="13"/>
      <c r="U794" s="13"/>
      <c r="V794" s="13"/>
      <c r="W794" s="13"/>
      <c r="X794" s="13"/>
      <c r="Y794" s="13"/>
      <c r="Z794" s="13"/>
      <c r="AA794" s="13"/>
    </row>
    <row r="795" ht="16.5" customHeight="1">
      <c r="A795" s="10"/>
      <c r="B795" s="10"/>
      <c r="C795" s="13"/>
      <c r="D795" s="13"/>
      <c r="E795" s="13"/>
      <c r="F795" s="205"/>
      <c r="G795" s="13"/>
      <c r="H795" s="13"/>
      <c r="I795" s="13"/>
      <c r="J795" s="13"/>
      <c r="K795" s="13"/>
      <c r="L795" s="13"/>
      <c r="M795" s="13"/>
      <c r="N795" s="13"/>
      <c r="O795" s="13"/>
      <c r="P795" s="13"/>
      <c r="Q795" s="13"/>
      <c r="R795" s="13"/>
      <c r="S795" s="13"/>
      <c r="T795" s="13"/>
      <c r="U795" s="13"/>
      <c r="V795" s="13"/>
      <c r="W795" s="13"/>
      <c r="X795" s="13"/>
      <c r="Y795" s="13"/>
      <c r="Z795" s="13"/>
      <c r="AA795" s="13"/>
    </row>
    <row r="796" ht="16.5" customHeight="1">
      <c r="A796" s="10"/>
      <c r="B796" s="10"/>
      <c r="C796" s="13"/>
      <c r="D796" s="13"/>
      <c r="E796" s="13"/>
      <c r="F796" s="205"/>
      <c r="G796" s="13"/>
      <c r="H796" s="13"/>
      <c r="I796" s="13"/>
      <c r="J796" s="13"/>
      <c r="K796" s="13"/>
      <c r="L796" s="13"/>
      <c r="M796" s="13"/>
      <c r="N796" s="13"/>
      <c r="O796" s="13"/>
      <c r="P796" s="13"/>
      <c r="Q796" s="13"/>
      <c r="R796" s="13"/>
      <c r="S796" s="13"/>
      <c r="T796" s="13"/>
      <c r="U796" s="13"/>
      <c r="V796" s="13"/>
      <c r="W796" s="13"/>
      <c r="X796" s="13"/>
      <c r="Y796" s="13"/>
      <c r="Z796" s="13"/>
      <c r="AA796" s="13"/>
    </row>
    <row r="797" ht="16.5" customHeight="1">
      <c r="A797" s="10"/>
      <c r="B797" s="10"/>
      <c r="C797" s="13"/>
      <c r="D797" s="13"/>
      <c r="E797" s="13"/>
      <c r="F797" s="205"/>
      <c r="G797" s="13"/>
      <c r="H797" s="13"/>
      <c r="I797" s="13"/>
      <c r="J797" s="13"/>
      <c r="K797" s="13"/>
      <c r="L797" s="13"/>
      <c r="M797" s="13"/>
      <c r="N797" s="13"/>
      <c r="O797" s="13"/>
      <c r="P797" s="13"/>
      <c r="Q797" s="13"/>
      <c r="R797" s="13"/>
      <c r="S797" s="13"/>
      <c r="T797" s="13"/>
      <c r="U797" s="13"/>
      <c r="V797" s="13"/>
      <c r="W797" s="13"/>
      <c r="X797" s="13"/>
      <c r="Y797" s="13"/>
      <c r="Z797" s="13"/>
      <c r="AA797" s="13"/>
    </row>
    <row r="798" ht="16.5" customHeight="1">
      <c r="A798" s="10"/>
      <c r="B798" s="10"/>
      <c r="C798" s="13"/>
      <c r="D798" s="13"/>
      <c r="E798" s="13"/>
      <c r="F798" s="205"/>
      <c r="G798" s="13"/>
      <c r="H798" s="13"/>
      <c r="I798" s="13"/>
      <c r="J798" s="13"/>
      <c r="K798" s="13"/>
      <c r="L798" s="13"/>
      <c r="M798" s="13"/>
      <c r="N798" s="13"/>
      <c r="O798" s="13"/>
      <c r="P798" s="13"/>
      <c r="Q798" s="13"/>
      <c r="R798" s="13"/>
      <c r="S798" s="13"/>
      <c r="T798" s="13"/>
      <c r="U798" s="13"/>
      <c r="V798" s="13"/>
      <c r="W798" s="13"/>
      <c r="X798" s="13"/>
      <c r="Y798" s="13"/>
      <c r="Z798" s="13"/>
      <c r="AA798" s="13"/>
    </row>
    <row r="799" ht="16.5" customHeight="1">
      <c r="A799" s="10"/>
      <c r="B799" s="10"/>
      <c r="C799" s="13"/>
      <c r="D799" s="13"/>
      <c r="E799" s="13"/>
      <c r="F799" s="205"/>
      <c r="G799" s="13"/>
      <c r="H799" s="13"/>
      <c r="I799" s="13"/>
      <c r="J799" s="13"/>
      <c r="K799" s="13"/>
      <c r="L799" s="13"/>
      <c r="M799" s="13"/>
      <c r="N799" s="13"/>
      <c r="O799" s="13"/>
      <c r="P799" s="13"/>
      <c r="Q799" s="13"/>
      <c r="R799" s="13"/>
      <c r="S799" s="13"/>
      <c r="T799" s="13"/>
      <c r="U799" s="13"/>
      <c r="V799" s="13"/>
      <c r="W799" s="13"/>
      <c r="X799" s="13"/>
      <c r="Y799" s="13"/>
      <c r="Z799" s="13"/>
      <c r="AA799" s="13"/>
    </row>
    <row r="800" ht="16.5" customHeight="1">
      <c r="A800" s="10"/>
      <c r="B800" s="10"/>
      <c r="C800" s="13"/>
      <c r="D800" s="13"/>
      <c r="E800" s="13"/>
      <c r="F800" s="205"/>
      <c r="G800" s="13"/>
      <c r="H800" s="13"/>
      <c r="I800" s="13"/>
      <c r="J800" s="13"/>
      <c r="K800" s="13"/>
      <c r="L800" s="13"/>
      <c r="M800" s="13"/>
      <c r="N800" s="13"/>
      <c r="O800" s="13"/>
      <c r="P800" s="13"/>
      <c r="Q800" s="13"/>
      <c r="R800" s="13"/>
      <c r="S800" s="13"/>
      <c r="T800" s="13"/>
      <c r="U800" s="13"/>
      <c r="V800" s="13"/>
      <c r="W800" s="13"/>
      <c r="X800" s="13"/>
      <c r="Y800" s="13"/>
      <c r="Z800" s="13"/>
      <c r="AA800" s="13"/>
    </row>
    <row r="801" ht="16.5" customHeight="1">
      <c r="A801" s="10"/>
      <c r="B801" s="10"/>
      <c r="C801" s="13"/>
      <c r="D801" s="13"/>
      <c r="E801" s="13"/>
      <c r="F801" s="205"/>
      <c r="G801" s="13"/>
      <c r="H801" s="13"/>
      <c r="I801" s="13"/>
      <c r="J801" s="13"/>
      <c r="K801" s="13"/>
      <c r="L801" s="13"/>
      <c r="M801" s="13"/>
      <c r="N801" s="13"/>
      <c r="O801" s="13"/>
      <c r="P801" s="13"/>
      <c r="Q801" s="13"/>
      <c r="R801" s="13"/>
      <c r="S801" s="13"/>
      <c r="T801" s="13"/>
      <c r="U801" s="13"/>
      <c r="V801" s="13"/>
      <c r="W801" s="13"/>
      <c r="X801" s="13"/>
      <c r="Y801" s="13"/>
      <c r="Z801" s="13"/>
      <c r="AA801" s="13"/>
    </row>
    <row r="802" ht="16.5" customHeight="1">
      <c r="A802" s="10"/>
      <c r="B802" s="10"/>
      <c r="C802" s="13"/>
      <c r="D802" s="13"/>
      <c r="E802" s="13"/>
      <c r="F802" s="205"/>
      <c r="G802" s="13"/>
      <c r="H802" s="13"/>
      <c r="I802" s="13"/>
      <c r="J802" s="13"/>
      <c r="K802" s="13"/>
      <c r="L802" s="13"/>
      <c r="M802" s="13"/>
      <c r="N802" s="13"/>
      <c r="O802" s="13"/>
      <c r="P802" s="13"/>
      <c r="Q802" s="13"/>
      <c r="R802" s="13"/>
      <c r="S802" s="13"/>
      <c r="T802" s="13"/>
      <c r="U802" s="13"/>
      <c r="V802" s="13"/>
      <c r="W802" s="13"/>
      <c r="X802" s="13"/>
      <c r="Y802" s="13"/>
      <c r="Z802" s="13"/>
      <c r="AA802" s="13"/>
    </row>
    <row r="803" ht="16.5" customHeight="1">
      <c r="A803" s="10"/>
      <c r="B803" s="10"/>
      <c r="C803" s="13"/>
      <c r="D803" s="13"/>
      <c r="E803" s="13"/>
      <c r="F803" s="205"/>
      <c r="G803" s="13"/>
      <c r="H803" s="13"/>
      <c r="I803" s="13"/>
      <c r="J803" s="13"/>
      <c r="K803" s="13"/>
      <c r="L803" s="13"/>
      <c r="M803" s="13"/>
      <c r="N803" s="13"/>
      <c r="O803" s="13"/>
      <c r="P803" s="13"/>
      <c r="Q803" s="13"/>
      <c r="R803" s="13"/>
      <c r="S803" s="13"/>
      <c r="T803" s="13"/>
      <c r="U803" s="13"/>
      <c r="V803" s="13"/>
      <c r="W803" s="13"/>
      <c r="X803" s="13"/>
      <c r="Y803" s="13"/>
      <c r="Z803" s="13"/>
      <c r="AA803" s="13"/>
    </row>
    <row r="804" ht="16.5" customHeight="1">
      <c r="A804" s="10"/>
      <c r="B804" s="10"/>
      <c r="C804" s="13"/>
      <c r="D804" s="13"/>
      <c r="E804" s="13"/>
      <c r="F804" s="205"/>
      <c r="G804" s="13"/>
      <c r="H804" s="13"/>
      <c r="I804" s="13"/>
      <c r="J804" s="13"/>
      <c r="K804" s="13"/>
      <c r="L804" s="13"/>
      <c r="M804" s="13"/>
      <c r="N804" s="13"/>
      <c r="O804" s="13"/>
      <c r="P804" s="13"/>
      <c r="Q804" s="13"/>
      <c r="R804" s="13"/>
      <c r="S804" s="13"/>
      <c r="T804" s="13"/>
      <c r="U804" s="13"/>
      <c r="V804" s="13"/>
      <c r="W804" s="13"/>
      <c r="X804" s="13"/>
      <c r="Y804" s="13"/>
      <c r="Z804" s="13"/>
      <c r="AA804" s="13"/>
    </row>
    <row r="805" ht="16.5" customHeight="1">
      <c r="A805" s="10"/>
      <c r="B805" s="10"/>
      <c r="C805" s="13"/>
      <c r="D805" s="13"/>
      <c r="E805" s="13"/>
      <c r="F805" s="205"/>
      <c r="G805" s="13"/>
      <c r="H805" s="13"/>
      <c r="I805" s="13"/>
      <c r="J805" s="13"/>
      <c r="K805" s="13"/>
      <c r="L805" s="13"/>
      <c r="M805" s="13"/>
      <c r="N805" s="13"/>
      <c r="O805" s="13"/>
      <c r="P805" s="13"/>
      <c r="Q805" s="13"/>
      <c r="R805" s="13"/>
      <c r="S805" s="13"/>
      <c r="T805" s="13"/>
      <c r="U805" s="13"/>
      <c r="V805" s="13"/>
      <c r="W805" s="13"/>
      <c r="X805" s="13"/>
      <c r="Y805" s="13"/>
      <c r="Z805" s="13"/>
      <c r="AA805" s="13"/>
    </row>
    <row r="806" ht="16.5" customHeight="1">
      <c r="A806" s="10"/>
      <c r="B806" s="10"/>
      <c r="C806" s="13"/>
      <c r="D806" s="13"/>
      <c r="E806" s="13"/>
      <c r="F806" s="205"/>
      <c r="G806" s="13"/>
      <c r="H806" s="13"/>
      <c r="I806" s="13"/>
      <c r="J806" s="13"/>
      <c r="K806" s="13"/>
      <c r="L806" s="13"/>
      <c r="M806" s="13"/>
      <c r="N806" s="13"/>
      <c r="O806" s="13"/>
      <c r="P806" s="13"/>
      <c r="Q806" s="13"/>
      <c r="R806" s="13"/>
      <c r="S806" s="13"/>
      <c r="T806" s="13"/>
      <c r="U806" s="13"/>
      <c r="V806" s="13"/>
      <c r="W806" s="13"/>
      <c r="X806" s="13"/>
      <c r="Y806" s="13"/>
      <c r="Z806" s="13"/>
      <c r="AA806" s="13"/>
    </row>
    <row r="807" ht="16.5" customHeight="1">
      <c r="A807" s="10"/>
      <c r="B807" s="10"/>
      <c r="C807" s="13"/>
      <c r="D807" s="13"/>
      <c r="E807" s="13"/>
      <c r="F807" s="205"/>
      <c r="G807" s="13"/>
      <c r="H807" s="13"/>
      <c r="I807" s="13"/>
      <c r="J807" s="13"/>
      <c r="K807" s="13"/>
      <c r="L807" s="13"/>
      <c r="M807" s="13"/>
      <c r="N807" s="13"/>
      <c r="O807" s="13"/>
      <c r="P807" s="13"/>
      <c r="Q807" s="13"/>
      <c r="R807" s="13"/>
      <c r="S807" s="13"/>
      <c r="T807" s="13"/>
      <c r="U807" s="13"/>
      <c r="V807" s="13"/>
      <c r="W807" s="13"/>
      <c r="X807" s="13"/>
      <c r="Y807" s="13"/>
      <c r="Z807" s="13"/>
      <c r="AA807" s="13"/>
    </row>
    <row r="808" ht="16.5" customHeight="1">
      <c r="A808" s="10"/>
      <c r="B808" s="10"/>
      <c r="C808" s="13"/>
      <c r="D808" s="13"/>
      <c r="E808" s="13"/>
      <c r="F808" s="205"/>
      <c r="G808" s="13"/>
      <c r="H808" s="13"/>
      <c r="I808" s="13"/>
      <c r="J808" s="13"/>
      <c r="K808" s="13"/>
      <c r="L808" s="13"/>
      <c r="M808" s="13"/>
      <c r="N808" s="13"/>
      <c r="O808" s="13"/>
      <c r="P808" s="13"/>
      <c r="Q808" s="13"/>
      <c r="R808" s="13"/>
      <c r="S808" s="13"/>
      <c r="T808" s="13"/>
      <c r="U808" s="13"/>
      <c r="V808" s="13"/>
      <c r="W808" s="13"/>
      <c r="X808" s="13"/>
      <c r="Y808" s="13"/>
      <c r="Z808" s="13"/>
      <c r="AA808" s="13"/>
    </row>
    <row r="809" ht="16.5" customHeight="1">
      <c r="A809" s="10"/>
      <c r="B809" s="10"/>
      <c r="C809" s="13"/>
      <c r="D809" s="13"/>
      <c r="E809" s="13"/>
      <c r="F809" s="205"/>
      <c r="G809" s="13"/>
      <c r="H809" s="13"/>
      <c r="I809" s="13"/>
      <c r="J809" s="13"/>
      <c r="K809" s="13"/>
      <c r="L809" s="13"/>
      <c r="M809" s="13"/>
      <c r="N809" s="13"/>
      <c r="O809" s="13"/>
      <c r="P809" s="13"/>
      <c r="Q809" s="13"/>
      <c r="R809" s="13"/>
      <c r="S809" s="13"/>
      <c r="T809" s="13"/>
      <c r="U809" s="13"/>
      <c r="V809" s="13"/>
      <c r="W809" s="13"/>
      <c r="X809" s="13"/>
      <c r="Y809" s="13"/>
      <c r="Z809" s="13"/>
      <c r="AA809" s="13"/>
    </row>
    <row r="810" ht="16.5" customHeight="1">
      <c r="A810" s="10"/>
      <c r="B810" s="10"/>
      <c r="C810" s="13"/>
      <c r="D810" s="13"/>
      <c r="E810" s="13"/>
      <c r="F810" s="205"/>
      <c r="G810" s="13"/>
      <c r="H810" s="13"/>
      <c r="I810" s="13"/>
      <c r="J810" s="13"/>
      <c r="K810" s="13"/>
      <c r="L810" s="13"/>
      <c r="M810" s="13"/>
      <c r="N810" s="13"/>
      <c r="O810" s="13"/>
      <c r="P810" s="13"/>
      <c r="Q810" s="13"/>
      <c r="R810" s="13"/>
      <c r="S810" s="13"/>
      <c r="T810" s="13"/>
      <c r="U810" s="13"/>
      <c r="V810" s="13"/>
      <c r="W810" s="13"/>
      <c r="X810" s="13"/>
      <c r="Y810" s="13"/>
      <c r="Z810" s="13"/>
      <c r="AA810" s="13"/>
    </row>
    <row r="811" ht="16.5" customHeight="1">
      <c r="A811" s="10"/>
      <c r="B811" s="10"/>
      <c r="C811" s="13"/>
      <c r="D811" s="13"/>
      <c r="E811" s="13"/>
      <c r="F811" s="205"/>
      <c r="G811" s="13"/>
      <c r="H811" s="13"/>
      <c r="I811" s="13"/>
      <c r="J811" s="13"/>
      <c r="K811" s="13"/>
      <c r="L811" s="13"/>
      <c r="M811" s="13"/>
      <c r="N811" s="13"/>
      <c r="O811" s="13"/>
      <c r="P811" s="13"/>
      <c r="Q811" s="13"/>
      <c r="R811" s="13"/>
      <c r="S811" s="13"/>
      <c r="T811" s="13"/>
      <c r="U811" s="13"/>
      <c r="V811" s="13"/>
      <c r="W811" s="13"/>
      <c r="X811" s="13"/>
      <c r="Y811" s="13"/>
      <c r="Z811" s="13"/>
      <c r="AA811" s="13"/>
    </row>
    <row r="812" ht="16.5" customHeight="1">
      <c r="A812" s="10"/>
      <c r="B812" s="10"/>
      <c r="C812" s="13"/>
      <c r="D812" s="13"/>
      <c r="E812" s="13"/>
      <c r="F812" s="205"/>
      <c r="G812" s="13"/>
      <c r="H812" s="13"/>
      <c r="I812" s="13"/>
      <c r="J812" s="13"/>
      <c r="K812" s="13"/>
      <c r="L812" s="13"/>
      <c r="M812" s="13"/>
      <c r="N812" s="13"/>
      <c r="O812" s="13"/>
      <c r="P812" s="13"/>
      <c r="Q812" s="13"/>
      <c r="R812" s="13"/>
      <c r="S812" s="13"/>
      <c r="T812" s="13"/>
      <c r="U812" s="13"/>
      <c r="V812" s="13"/>
      <c r="W812" s="13"/>
      <c r="X812" s="13"/>
      <c r="Y812" s="13"/>
      <c r="Z812" s="13"/>
      <c r="AA812" s="13"/>
    </row>
    <row r="813" ht="16.5" customHeight="1">
      <c r="A813" s="10"/>
      <c r="B813" s="10"/>
      <c r="C813" s="13"/>
      <c r="D813" s="13"/>
      <c r="E813" s="13"/>
      <c r="F813" s="205"/>
      <c r="G813" s="13"/>
      <c r="H813" s="13"/>
      <c r="I813" s="13"/>
      <c r="J813" s="13"/>
      <c r="K813" s="13"/>
      <c r="L813" s="13"/>
      <c r="M813" s="13"/>
      <c r="N813" s="13"/>
      <c r="O813" s="13"/>
      <c r="P813" s="13"/>
      <c r="Q813" s="13"/>
      <c r="R813" s="13"/>
      <c r="S813" s="13"/>
      <c r="T813" s="13"/>
      <c r="U813" s="13"/>
      <c r="V813" s="13"/>
      <c r="W813" s="13"/>
      <c r="X813" s="13"/>
      <c r="Y813" s="13"/>
      <c r="Z813" s="13"/>
      <c r="AA813" s="13"/>
    </row>
    <row r="814" ht="16.5" customHeight="1">
      <c r="A814" s="10"/>
      <c r="B814" s="10"/>
      <c r="C814" s="13"/>
      <c r="D814" s="13"/>
      <c r="E814" s="13"/>
      <c r="F814" s="205"/>
      <c r="G814" s="13"/>
      <c r="H814" s="13"/>
      <c r="I814" s="13"/>
      <c r="J814" s="13"/>
      <c r="K814" s="13"/>
      <c r="L814" s="13"/>
      <c r="M814" s="13"/>
      <c r="N814" s="13"/>
      <c r="O814" s="13"/>
      <c r="P814" s="13"/>
      <c r="Q814" s="13"/>
      <c r="R814" s="13"/>
      <c r="S814" s="13"/>
      <c r="T814" s="13"/>
      <c r="U814" s="13"/>
      <c r="V814" s="13"/>
      <c r="W814" s="13"/>
      <c r="X814" s="13"/>
      <c r="Y814" s="13"/>
      <c r="Z814" s="13"/>
      <c r="AA814" s="13"/>
    </row>
    <row r="815" ht="16.5" customHeight="1">
      <c r="A815" s="10"/>
      <c r="B815" s="10"/>
      <c r="C815" s="13"/>
      <c r="D815" s="13"/>
      <c r="E815" s="13"/>
      <c r="F815" s="205"/>
      <c r="G815" s="13"/>
      <c r="H815" s="13"/>
      <c r="I815" s="13"/>
      <c r="J815" s="13"/>
      <c r="K815" s="13"/>
      <c r="L815" s="13"/>
      <c r="M815" s="13"/>
      <c r="N815" s="13"/>
      <c r="O815" s="13"/>
      <c r="P815" s="13"/>
      <c r="Q815" s="13"/>
      <c r="R815" s="13"/>
      <c r="S815" s="13"/>
      <c r="T815" s="13"/>
      <c r="U815" s="13"/>
      <c r="V815" s="13"/>
      <c r="W815" s="13"/>
      <c r="X815" s="13"/>
      <c r="Y815" s="13"/>
      <c r="Z815" s="13"/>
      <c r="AA815" s="13"/>
    </row>
    <row r="816" ht="16.5" customHeight="1">
      <c r="A816" s="10"/>
      <c r="B816" s="10"/>
      <c r="C816" s="13"/>
      <c r="D816" s="13"/>
      <c r="E816" s="13"/>
      <c r="F816" s="205"/>
      <c r="G816" s="13"/>
      <c r="H816" s="13"/>
      <c r="I816" s="13"/>
      <c r="J816" s="13"/>
      <c r="K816" s="13"/>
      <c r="L816" s="13"/>
      <c r="M816" s="13"/>
      <c r="N816" s="13"/>
      <c r="O816" s="13"/>
      <c r="P816" s="13"/>
      <c r="Q816" s="13"/>
      <c r="R816" s="13"/>
      <c r="S816" s="13"/>
      <c r="T816" s="13"/>
      <c r="U816" s="13"/>
      <c r="V816" s="13"/>
      <c r="W816" s="13"/>
      <c r="X816" s="13"/>
      <c r="Y816" s="13"/>
      <c r="Z816" s="13"/>
      <c r="AA816" s="13"/>
    </row>
    <row r="817" ht="16.5" customHeight="1">
      <c r="A817" s="10"/>
      <c r="B817" s="10"/>
      <c r="C817" s="13"/>
      <c r="D817" s="13"/>
      <c r="E817" s="13"/>
      <c r="F817" s="205"/>
      <c r="G817" s="13"/>
      <c r="H817" s="13"/>
      <c r="I817" s="13"/>
      <c r="J817" s="13"/>
      <c r="K817" s="13"/>
      <c r="L817" s="13"/>
      <c r="M817" s="13"/>
      <c r="N817" s="13"/>
      <c r="O817" s="13"/>
      <c r="P817" s="13"/>
      <c r="Q817" s="13"/>
      <c r="R817" s="13"/>
      <c r="S817" s="13"/>
      <c r="T817" s="13"/>
      <c r="U817" s="13"/>
      <c r="V817" s="13"/>
      <c r="W817" s="13"/>
      <c r="X817" s="13"/>
      <c r="Y817" s="13"/>
      <c r="Z817" s="13"/>
      <c r="AA817" s="13"/>
    </row>
    <row r="818" ht="16.5" customHeight="1">
      <c r="A818" s="10"/>
      <c r="B818" s="10"/>
      <c r="C818" s="13"/>
      <c r="D818" s="13"/>
      <c r="E818" s="13"/>
      <c r="F818" s="205"/>
      <c r="G818" s="13"/>
      <c r="H818" s="13"/>
      <c r="I818" s="13"/>
      <c r="J818" s="13"/>
      <c r="K818" s="13"/>
      <c r="L818" s="13"/>
      <c r="M818" s="13"/>
      <c r="N818" s="13"/>
      <c r="O818" s="13"/>
      <c r="P818" s="13"/>
      <c r="Q818" s="13"/>
      <c r="R818" s="13"/>
      <c r="S818" s="13"/>
      <c r="T818" s="13"/>
      <c r="U818" s="13"/>
      <c r="V818" s="13"/>
      <c r="W818" s="13"/>
      <c r="X818" s="13"/>
      <c r="Y818" s="13"/>
      <c r="Z818" s="13"/>
      <c r="AA818" s="13"/>
    </row>
    <row r="819" ht="16.5" customHeight="1">
      <c r="A819" s="10"/>
      <c r="B819" s="10"/>
      <c r="C819" s="13"/>
      <c r="D819" s="13"/>
      <c r="E819" s="13"/>
      <c r="F819" s="205"/>
      <c r="G819" s="13"/>
      <c r="H819" s="13"/>
      <c r="I819" s="13"/>
      <c r="J819" s="13"/>
      <c r="K819" s="13"/>
      <c r="L819" s="13"/>
      <c r="M819" s="13"/>
      <c r="N819" s="13"/>
      <c r="O819" s="13"/>
      <c r="P819" s="13"/>
      <c r="Q819" s="13"/>
      <c r="R819" s="13"/>
      <c r="S819" s="13"/>
      <c r="T819" s="13"/>
      <c r="U819" s="13"/>
      <c r="V819" s="13"/>
      <c r="W819" s="13"/>
      <c r="X819" s="13"/>
      <c r="Y819" s="13"/>
      <c r="Z819" s="13"/>
      <c r="AA819" s="13"/>
    </row>
    <row r="820" ht="16.5" customHeight="1">
      <c r="A820" s="10"/>
      <c r="B820" s="10"/>
      <c r="C820" s="13"/>
      <c r="D820" s="13"/>
      <c r="E820" s="13"/>
      <c r="F820" s="205"/>
      <c r="G820" s="13"/>
      <c r="H820" s="13"/>
      <c r="I820" s="13"/>
      <c r="J820" s="13"/>
      <c r="K820" s="13"/>
      <c r="L820" s="13"/>
      <c r="M820" s="13"/>
      <c r="N820" s="13"/>
      <c r="O820" s="13"/>
      <c r="P820" s="13"/>
      <c r="Q820" s="13"/>
      <c r="R820" s="13"/>
      <c r="S820" s="13"/>
      <c r="T820" s="13"/>
      <c r="U820" s="13"/>
      <c r="V820" s="13"/>
      <c r="W820" s="13"/>
      <c r="X820" s="13"/>
      <c r="Y820" s="13"/>
      <c r="Z820" s="13"/>
      <c r="AA820" s="13"/>
    </row>
    <row r="821" ht="16.5" customHeight="1">
      <c r="A821" s="10"/>
      <c r="B821" s="10"/>
      <c r="C821" s="13"/>
      <c r="D821" s="13"/>
      <c r="E821" s="13"/>
      <c r="F821" s="205"/>
      <c r="G821" s="13"/>
      <c r="H821" s="13"/>
      <c r="I821" s="13"/>
      <c r="J821" s="13"/>
      <c r="K821" s="13"/>
      <c r="L821" s="13"/>
      <c r="M821" s="13"/>
      <c r="N821" s="13"/>
      <c r="O821" s="13"/>
      <c r="P821" s="13"/>
      <c r="Q821" s="13"/>
      <c r="R821" s="13"/>
      <c r="S821" s="13"/>
      <c r="T821" s="13"/>
      <c r="U821" s="13"/>
      <c r="V821" s="13"/>
      <c r="W821" s="13"/>
      <c r="X821" s="13"/>
      <c r="Y821" s="13"/>
      <c r="Z821" s="13"/>
      <c r="AA821" s="13"/>
    </row>
    <row r="822" ht="16.5" customHeight="1">
      <c r="A822" s="10"/>
      <c r="B822" s="10"/>
      <c r="C822" s="13"/>
      <c r="D822" s="13"/>
      <c r="E822" s="13"/>
      <c r="F822" s="205"/>
      <c r="G822" s="13"/>
      <c r="H822" s="13"/>
      <c r="I822" s="13"/>
      <c r="J822" s="13"/>
      <c r="K822" s="13"/>
      <c r="L822" s="13"/>
      <c r="M822" s="13"/>
      <c r="N822" s="13"/>
      <c r="O822" s="13"/>
      <c r="P822" s="13"/>
      <c r="Q822" s="13"/>
      <c r="R822" s="13"/>
      <c r="S822" s="13"/>
      <c r="T822" s="13"/>
      <c r="U822" s="13"/>
      <c r="V822" s="13"/>
      <c r="W822" s="13"/>
      <c r="X822" s="13"/>
      <c r="Y822" s="13"/>
      <c r="Z822" s="13"/>
      <c r="AA822" s="13"/>
    </row>
    <row r="823" ht="16.5" customHeight="1">
      <c r="A823" s="10"/>
      <c r="B823" s="10"/>
      <c r="C823" s="13"/>
      <c r="D823" s="13"/>
      <c r="E823" s="13"/>
      <c r="F823" s="205"/>
      <c r="G823" s="13"/>
      <c r="H823" s="13"/>
      <c r="I823" s="13"/>
      <c r="J823" s="13"/>
      <c r="K823" s="13"/>
      <c r="L823" s="13"/>
      <c r="M823" s="13"/>
      <c r="N823" s="13"/>
      <c r="O823" s="13"/>
      <c r="P823" s="13"/>
      <c r="Q823" s="13"/>
      <c r="R823" s="13"/>
      <c r="S823" s="13"/>
      <c r="T823" s="13"/>
      <c r="U823" s="13"/>
      <c r="V823" s="13"/>
      <c r="W823" s="13"/>
      <c r="X823" s="13"/>
      <c r="Y823" s="13"/>
      <c r="Z823" s="13"/>
      <c r="AA823" s="13"/>
    </row>
    <row r="824" ht="16.5" customHeight="1">
      <c r="A824" s="10"/>
      <c r="B824" s="10"/>
      <c r="C824" s="13"/>
      <c r="D824" s="13"/>
      <c r="E824" s="13"/>
      <c r="F824" s="205"/>
      <c r="G824" s="13"/>
      <c r="H824" s="13"/>
      <c r="I824" s="13"/>
      <c r="J824" s="13"/>
      <c r="K824" s="13"/>
      <c r="L824" s="13"/>
      <c r="M824" s="13"/>
      <c r="N824" s="13"/>
      <c r="O824" s="13"/>
      <c r="P824" s="13"/>
      <c r="Q824" s="13"/>
      <c r="R824" s="13"/>
      <c r="S824" s="13"/>
      <c r="T824" s="13"/>
      <c r="U824" s="13"/>
      <c r="V824" s="13"/>
      <c r="W824" s="13"/>
      <c r="X824" s="13"/>
      <c r="Y824" s="13"/>
      <c r="Z824" s="13"/>
      <c r="AA824" s="13"/>
    </row>
    <row r="825" ht="16.5" customHeight="1">
      <c r="A825" s="10"/>
      <c r="B825" s="10"/>
      <c r="C825" s="13"/>
      <c r="D825" s="13"/>
      <c r="E825" s="13"/>
      <c r="F825" s="205"/>
      <c r="G825" s="13"/>
      <c r="H825" s="13"/>
      <c r="I825" s="13"/>
      <c r="J825" s="13"/>
      <c r="K825" s="13"/>
      <c r="L825" s="13"/>
      <c r="M825" s="13"/>
      <c r="N825" s="13"/>
      <c r="O825" s="13"/>
      <c r="P825" s="13"/>
      <c r="Q825" s="13"/>
      <c r="R825" s="13"/>
      <c r="S825" s="13"/>
      <c r="T825" s="13"/>
      <c r="U825" s="13"/>
      <c r="V825" s="13"/>
      <c r="W825" s="13"/>
      <c r="X825" s="13"/>
      <c r="Y825" s="13"/>
      <c r="Z825" s="13"/>
      <c r="AA825" s="13"/>
    </row>
    <row r="826" ht="16.5" customHeight="1">
      <c r="A826" s="10"/>
      <c r="B826" s="10"/>
      <c r="C826" s="13"/>
      <c r="D826" s="13"/>
      <c r="E826" s="13"/>
      <c r="F826" s="205"/>
      <c r="G826" s="13"/>
      <c r="H826" s="13"/>
      <c r="I826" s="13"/>
      <c r="J826" s="13"/>
      <c r="K826" s="13"/>
      <c r="L826" s="13"/>
      <c r="M826" s="13"/>
      <c r="N826" s="13"/>
      <c r="O826" s="13"/>
      <c r="P826" s="13"/>
      <c r="Q826" s="13"/>
      <c r="R826" s="13"/>
      <c r="S826" s="13"/>
      <c r="T826" s="13"/>
      <c r="U826" s="13"/>
      <c r="V826" s="13"/>
      <c r="W826" s="13"/>
      <c r="X826" s="13"/>
      <c r="Y826" s="13"/>
      <c r="Z826" s="13"/>
      <c r="AA826" s="13"/>
    </row>
    <row r="827" ht="16.5" customHeight="1">
      <c r="A827" s="10"/>
      <c r="B827" s="10"/>
      <c r="C827" s="13"/>
      <c r="D827" s="13"/>
      <c r="E827" s="13"/>
      <c r="F827" s="205"/>
      <c r="G827" s="13"/>
      <c r="H827" s="13"/>
      <c r="I827" s="13"/>
      <c r="J827" s="13"/>
      <c r="K827" s="13"/>
      <c r="L827" s="13"/>
      <c r="M827" s="13"/>
      <c r="N827" s="13"/>
      <c r="O827" s="13"/>
      <c r="P827" s="13"/>
      <c r="Q827" s="13"/>
      <c r="R827" s="13"/>
      <c r="S827" s="13"/>
      <c r="T827" s="13"/>
      <c r="U827" s="13"/>
      <c r="V827" s="13"/>
      <c r="W827" s="13"/>
      <c r="X827" s="13"/>
      <c r="Y827" s="13"/>
      <c r="Z827" s="13"/>
      <c r="AA827" s="13"/>
    </row>
    <row r="828" ht="16.5" customHeight="1">
      <c r="A828" s="10"/>
      <c r="B828" s="10"/>
      <c r="C828" s="13"/>
      <c r="D828" s="13"/>
      <c r="E828" s="13"/>
      <c r="F828" s="205"/>
      <c r="G828" s="13"/>
      <c r="H828" s="13"/>
      <c r="I828" s="13"/>
      <c r="J828" s="13"/>
      <c r="K828" s="13"/>
      <c r="L828" s="13"/>
      <c r="M828" s="13"/>
      <c r="N828" s="13"/>
      <c r="O828" s="13"/>
      <c r="P828" s="13"/>
      <c r="Q828" s="13"/>
      <c r="R828" s="13"/>
      <c r="S828" s="13"/>
      <c r="T828" s="13"/>
      <c r="U828" s="13"/>
      <c r="V828" s="13"/>
      <c r="W828" s="13"/>
      <c r="X828" s="13"/>
      <c r="Y828" s="13"/>
      <c r="Z828" s="13"/>
      <c r="AA828" s="13"/>
    </row>
    <row r="829" ht="16.5" customHeight="1">
      <c r="A829" s="10"/>
      <c r="B829" s="10"/>
      <c r="C829" s="13"/>
      <c r="D829" s="13"/>
      <c r="E829" s="13"/>
      <c r="F829" s="205"/>
      <c r="G829" s="13"/>
      <c r="H829" s="13"/>
      <c r="I829" s="13"/>
      <c r="J829" s="13"/>
      <c r="K829" s="13"/>
      <c r="L829" s="13"/>
      <c r="M829" s="13"/>
      <c r="N829" s="13"/>
      <c r="O829" s="13"/>
      <c r="P829" s="13"/>
      <c r="Q829" s="13"/>
      <c r="R829" s="13"/>
      <c r="S829" s="13"/>
      <c r="T829" s="13"/>
      <c r="U829" s="13"/>
      <c r="V829" s="13"/>
      <c r="W829" s="13"/>
      <c r="X829" s="13"/>
      <c r="Y829" s="13"/>
      <c r="Z829" s="13"/>
      <c r="AA829" s="13"/>
    </row>
    <row r="830" ht="16.5" customHeight="1">
      <c r="A830" s="10"/>
      <c r="B830" s="10"/>
      <c r="C830" s="13"/>
      <c r="D830" s="13"/>
      <c r="E830" s="13"/>
      <c r="F830" s="205"/>
      <c r="G830" s="13"/>
      <c r="H830" s="13"/>
      <c r="I830" s="13"/>
      <c r="J830" s="13"/>
      <c r="K830" s="13"/>
      <c r="L830" s="13"/>
      <c r="M830" s="13"/>
      <c r="N830" s="13"/>
      <c r="O830" s="13"/>
      <c r="P830" s="13"/>
      <c r="Q830" s="13"/>
      <c r="R830" s="13"/>
      <c r="S830" s="13"/>
      <c r="T830" s="13"/>
      <c r="U830" s="13"/>
      <c r="V830" s="13"/>
      <c r="W830" s="13"/>
      <c r="X830" s="13"/>
      <c r="Y830" s="13"/>
      <c r="Z830" s="13"/>
      <c r="AA830" s="13"/>
    </row>
    <row r="831" ht="16.5" customHeight="1">
      <c r="A831" s="10"/>
      <c r="B831" s="10"/>
      <c r="C831" s="13"/>
      <c r="D831" s="13"/>
      <c r="E831" s="13"/>
      <c r="F831" s="205"/>
      <c r="G831" s="13"/>
      <c r="H831" s="13"/>
      <c r="I831" s="13"/>
      <c r="J831" s="13"/>
      <c r="K831" s="13"/>
      <c r="L831" s="13"/>
      <c r="M831" s="13"/>
      <c r="N831" s="13"/>
      <c r="O831" s="13"/>
      <c r="P831" s="13"/>
      <c r="Q831" s="13"/>
      <c r="R831" s="13"/>
      <c r="S831" s="13"/>
      <c r="T831" s="13"/>
      <c r="U831" s="13"/>
      <c r="V831" s="13"/>
      <c r="W831" s="13"/>
      <c r="X831" s="13"/>
      <c r="Y831" s="13"/>
      <c r="Z831" s="13"/>
      <c r="AA831" s="13"/>
    </row>
    <row r="832" ht="16.5" customHeight="1">
      <c r="A832" s="10"/>
      <c r="B832" s="10"/>
      <c r="C832" s="13"/>
      <c r="D832" s="13"/>
      <c r="E832" s="13"/>
      <c r="F832" s="205"/>
      <c r="G832" s="13"/>
      <c r="H832" s="13"/>
      <c r="I832" s="13"/>
      <c r="J832" s="13"/>
      <c r="K832" s="13"/>
      <c r="L832" s="13"/>
      <c r="M832" s="13"/>
      <c r="N832" s="13"/>
      <c r="O832" s="13"/>
      <c r="P832" s="13"/>
      <c r="Q832" s="13"/>
      <c r="R832" s="13"/>
      <c r="S832" s="13"/>
      <c r="T832" s="13"/>
      <c r="U832" s="13"/>
      <c r="V832" s="13"/>
      <c r="W832" s="13"/>
      <c r="X832" s="13"/>
      <c r="Y832" s="13"/>
      <c r="Z832" s="13"/>
      <c r="AA832" s="13"/>
    </row>
    <row r="833" ht="16.5" customHeight="1">
      <c r="A833" s="10"/>
      <c r="B833" s="10"/>
      <c r="C833" s="13"/>
      <c r="D833" s="13"/>
      <c r="E833" s="13"/>
      <c r="F833" s="205"/>
      <c r="G833" s="13"/>
      <c r="H833" s="13"/>
      <c r="I833" s="13"/>
      <c r="J833" s="13"/>
      <c r="K833" s="13"/>
      <c r="L833" s="13"/>
      <c r="M833" s="13"/>
      <c r="N833" s="13"/>
      <c r="O833" s="13"/>
      <c r="P833" s="13"/>
      <c r="Q833" s="13"/>
      <c r="R833" s="13"/>
      <c r="S833" s="13"/>
      <c r="T833" s="13"/>
      <c r="U833" s="13"/>
      <c r="V833" s="13"/>
      <c r="W833" s="13"/>
      <c r="X833" s="13"/>
      <c r="Y833" s="13"/>
      <c r="Z833" s="13"/>
      <c r="AA833" s="13"/>
    </row>
    <row r="834" ht="16.5" customHeight="1">
      <c r="A834" s="10"/>
      <c r="B834" s="10"/>
      <c r="C834" s="13"/>
      <c r="D834" s="13"/>
      <c r="E834" s="13"/>
      <c r="F834" s="205"/>
      <c r="G834" s="13"/>
      <c r="H834" s="13"/>
      <c r="I834" s="13"/>
      <c r="J834" s="13"/>
      <c r="K834" s="13"/>
      <c r="L834" s="13"/>
      <c r="M834" s="13"/>
      <c r="N834" s="13"/>
      <c r="O834" s="13"/>
      <c r="P834" s="13"/>
      <c r="Q834" s="13"/>
      <c r="R834" s="13"/>
      <c r="S834" s="13"/>
      <c r="T834" s="13"/>
      <c r="U834" s="13"/>
      <c r="V834" s="13"/>
      <c r="W834" s="13"/>
      <c r="X834" s="13"/>
      <c r="Y834" s="13"/>
      <c r="Z834" s="13"/>
      <c r="AA834" s="13"/>
    </row>
    <row r="835" ht="16.5" customHeight="1">
      <c r="A835" s="10"/>
      <c r="B835" s="10"/>
      <c r="C835" s="13"/>
      <c r="D835" s="13"/>
      <c r="E835" s="13"/>
      <c r="F835" s="205"/>
      <c r="G835" s="13"/>
      <c r="H835" s="13"/>
      <c r="I835" s="13"/>
      <c r="J835" s="13"/>
      <c r="K835" s="13"/>
      <c r="L835" s="13"/>
      <c r="M835" s="13"/>
      <c r="N835" s="13"/>
      <c r="O835" s="13"/>
      <c r="P835" s="13"/>
      <c r="Q835" s="13"/>
      <c r="R835" s="13"/>
      <c r="S835" s="13"/>
      <c r="T835" s="13"/>
      <c r="U835" s="13"/>
      <c r="V835" s="13"/>
      <c r="W835" s="13"/>
      <c r="X835" s="13"/>
      <c r="Y835" s="13"/>
      <c r="Z835" s="13"/>
      <c r="AA835" s="13"/>
    </row>
    <row r="836" ht="16.5" customHeight="1">
      <c r="A836" s="10"/>
      <c r="B836" s="10"/>
      <c r="C836" s="13"/>
      <c r="D836" s="13"/>
      <c r="E836" s="13"/>
      <c r="F836" s="205"/>
      <c r="G836" s="13"/>
      <c r="H836" s="13"/>
      <c r="I836" s="13"/>
      <c r="J836" s="13"/>
      <c r="K836" s="13"/>
      <c r="L836" s="13"/>
      <c r="M836" s="13"/>
      <c r="N836" s="13"/>
      <c r="O836" s="13"/>
      <c r="P836" s="13"/>
      <c r="Q836" s="13"/>
      <c r="R836" s="13"/>
      <c r="S836" s="13"/>
      <c r="T836" s="13"/>
      <c r="U836" s="13"/>
      <c r="V836" s="13"/>
      <c r="W836" s="13"/>
      <c r="X836" s="13"/>
      <c r="Y836" s="13"/>
      <c r="Z836" s="13"/>
      <c r="AA836" s="13"/>
    </row>
    <row r="837" ht="16.5" customHeight="1">
      <c r="A837" s="10"/>
      <c r="B837" s="10"/>
      <c r="C837" s="13"/>
      <c r="D837" s="13"/>
      <c r="E837" s="13"/>
      <c r="F837" s="205"/>
      <c r="G837" s="13"/>
      <c r="H837" s="13"/>
      <c r="I837" s="13"/>
      <c r="J837" s="13"/>
      <c r="K837" s="13"/>
      <c r="L837" s="13"/>
      <c r="M837" s="13"/>
      <c r="N837" s="13"/>
      <c r="O837" s="13"/>
      <c r="P837" s="13"/>
      <c r="Q837" s="13"/>
      <c r="R837" s="13"/>
      <c r="S837" s="13"/>
      <c r="T837" s="13"/>
      <c r="U837" s="13"/>
      <c r="V837" s="13"/>
      <c r="W837" s="13"/>
      <c r="X837" s="13"/>
      <c r="Y837" s="13"/>
      <c r="Z837" s="13"/>
      <c r="AA837" s="13"/>
    </row>
    <row r="838" ht="16.5" customHeight="1">
      <c r="A838" s="10"/>
      <c r="B838" s="10"/>
      <c r="C838" s="13"/>
      <c r="D838" s="13"/>
      <c r="E838" s="13"/>
      <c r="F838" s="205"/>
      <c r="G838" s="13"/>
      <c r="H838" s="13"/>
      <c r="I838" s="13"/>
      <c r="J838" s="13"/>
      <c r="K838" s="13"/>
      <c r="L838" s="13"/>
      <c r="M838" s="13"/>
      <c r="N838" s="13"/>
      <c r="O838" s="13"/>
      <c r="P838" s="13"/>
      <c r="Q838" s="13"/>
      <c r="R838" s="13"/>
      <c r="S838" s="13"/>
      <c r="T838" s="13"/>
      <c r="U838" s="13"/>
      <c r="V838" s="13"/>
      <c r="W838" s="13"/>
      <c r="X838" s="13"/>
      <c r="Y838" s="13"/>
      <c r="Z838" s="13"/>
      <c r="AA838" s="13"/>
    </row>
    <row r="839" ht="16.5" customHeight="1">
      <c r="A839" s="10"/>
      <c r="B839" s="10"/>
      <c r="C839" s="13"/>
      <c r="D839" s="13"/>
      <c r="E839" s="13"/>
      <c r="F839" s="205"/>
      <c r="G839" s="13"/>
      <c r="H839" s="13"/>
      <c r="I839" s="13"/>
      <c r="J839" s="13"/>
      <c r="K839" s="13"/>
      <c r="L839" s="13"/>
      <c r="M839" s="13"/>
      <c r="N839" s="13"/>
      <c r="O839" s="13"/>
      <c r="P839" s="13"/>
      <c r="Q839" s="13"/>
      <c r="R839" s="13"/>
      <c r="S839" s="13"/>
      <c r="T839" s="13"/>
      <c r="U839" s="13"/>
      <c r="V839" s="13"/>
      <c r="W839" s="13"/>
      <c r="X839" s="13"/>
      <c r="Y839" s="13"/>
      <c r="Z839" s="13"/>
      <c r="AA839" s="13"/>
    </row>
    <row r="840" ht="16.5" customHeight="1">
      <c r="A840" s="10"/>
      <c r="B840" s="10"/>
      <c r="C840" s="13"/>
      <c r="D840" s="13"/>
      <c r="E840" s="13"/>
      <c r="F840" s="205"/>
      <c r="G840" s="13"/>
      <c r="H840" s="13"/>
      <c r="I840" s="13"/>
      <c r="J840" s="13"/>
      <c r="K840" s="13"/>
      <c r="L840" s="13"/>
      <c r="M840" s="13"/>
      <c r="N840" s="13"/>
      <c r="O840" s="13"/>
      <c r="P840" s="13"/>
      <c r="Q840" s="13"/>
      <c r="R840" s="13"/>
      <c r="S840" s="13"/>
      <c r="T840" s="13"/>
      <c r="U840" s="13"/>
      <c r="V840" s="13"/>
      <c r="W840" s="13"/>
      <c r="X840" s="13"/>
      <c r="Y840" s="13"/>
      <c r="Z840" s="13"/>
      <c r="AA840" s="13"/>
    </row>
    <row r="841" ht="16.5" customHeight="1">
      <c r="A841" s="10"/>
      <c r="B841" s="10"/>
      <c r="C841" s="13"/>
      <c r="D841" s="13"/>
      <c r="E841" s="13"/>
      <c r="F841" s="205"/>
      <c r="G841" s="13"/>
      <c r="H841" s="13"/>
      <c r="I841" s="13"/>
      <c r="J841" s="13"/>
      <c r="K841" s="13"/>
      <c r="L841" s="13"/>
      <c r="M841" s="13"/>
      <c r="N841" s="13"/>
      <c r="O841" s="13"/>
      <c r="P841" s="13"/>
      <c r="Q841" s="13"/>
      <c r="R841" s="13"/>
      <c r="S841" s="13"/>
      <c r="T841" s="13"/>
      <c r="U841" s="13"/>
      <c r="V841" s="13"/>
      <c r="W841" s="13"/>
      <c r="X841" s="13"/>
      <c r="Y841" s="13"/>
      <c r="Z841" s="13"/>
      <c r="AA841" s="13"/>
    </row>
    <row r="842" ht="16.5" customHeight="1">
      <c r="A842" s="10"/>
      <c r="B842" s="10"/>
      <c r="C842" s="13"/>
      <c r="D842" s="13"/>
      <c r="E842" s="13"/>
      <c r="F842" s="205"/>
      <c r="G842" s="13"/>
      <c r="H842" s="13"/>
      <c r="I842" s="13"/>
      <c r="J842" s="13"/>
      <c r="K842" s="13"/>
      <c r="L842" s="13"/>
      <c r="M842" s="13"/>
      <c r="N842" s="13"/>
      <c r="O842" s="13"/>
      <c r="P842" s="13"/>
      <c r="Q842" s="13"/>
      <c r="R842" s="13"/>
      <c r="S842" s="13"/>
      <c r="T842" s="13"/>
      <c r="U842" s="13"/>
      <c r="V842" s="13"/>
      <c r="W842" s="13"/>
      <c r="X842" s="13"/>
      <c r="Y842" s="13"/>
      <c r="Z842" s="13"/>
      <c r="AA842" s="13"/>
    </row>
    <row r="843" ht="16.5" customHeight="1">
      <c r="A843" s="10"/>
      <c r="B843" s="10"/>
      <c r="C843" s="13"/>
      <c r="D843" s="13"/>
      <c r="E843" s="13"/>
      <c r="F843" s="205"/>
      <c r="G843" s="13"/>
      <c r="H843" s="13"/>
      <c r="I843" s="13"/>
      <c r="J843" s="13"/>
      <c r="K843" s="13"/>
      <c r="L843" s="13"/>
      <c r="M843" s="13"/>
      <c r="N843" s="13"/>
      <c r="O843" s="13"/>
      <c r="P843" s="13"/>
      <c r="Q843" s="13"/>
      <c r="R843" s="13"/>
      <c r="S843" s="13"/>
      <c r="T843" s="13"/>
      <c r="U843" s="13"/>
      <c r="V843" s="13"/>
      <c r="W843" s="13"/>
      <c r="X843" s="13"/>
      <c r="Y843" s="13"/>
      <c r="Z843" s="13"/>
      <c r="AA843" s="13"/>
    </row>
    <row r="844" ht="16.5" customHeight="1">
      <c r="A844" s="10"/>
      <c r="B844" s="10"/>
      <c r="C844" s="13"/>
      <c r="D844" s="13"/>
      <c r="E844" s="13"/>
      <c r="F844" s="205"/>
      <c r="G844" s="13"/>
      <c r="H844" s="13"/>
      <c r="I844" s="13"/>
      <c r="J844" s="13"/>
      <c r="K844" s="13"/>
      <c r="L844" s="13"/>
      <c r="M844" s="13"/>
      <c r="N844" s="13"/>
      <c r="O844" s="13"/>
      <c r="P844" s="13"/>
      <c r="Q844" s="13"/>
      <c r="R844" s="13"/>
      <c r="S844" s="13"/>
      <c r="T844" s="13"/>
      <c r="U844" s="13"/>
      <c r="V844" s="13"/>
      <c r="W844" s="13"/>
      <c r="X844" s="13"/>
      <c r="Y844" s="13"/>
      <c r="Z844" s="13"/>
      <c r="AA844" s="13"/>
    </row>
    <row r="845" ht="16.5" customHeight="1">
      <c r="A845" s="10"/>
      <c r="B845" s="10"/>
      <c r="C845" s="13"/>
      <c r="D845" s="13"/>
      <c r="E845" s="13"/>
      <c r="F845" s="205"/>
      <c r="G845" s="13"/>
      <c r="H845" s="13"/>
      <c r="I845" s="13"/>
      <c r="J845" s="13"/>
      <c r="K845" s="13"/>
      <c r="L845" s="13"/>
      <c r="M845" s="13"/>
      <c r="N845" s="13"/>
      <c r="O845" s="13"/>
      <c r="P845" s="13"/>
      <c r="Q845" s="13"/>
      <c r="R845" s="13"/>
      <c r="S845" s="13"/>
      <c r="T845" s="13"/>
      <c r="U845" s="13"/>
      <c r="V845" s="13"/>
      <c r="W845" s="13"/>
      <c r="X845" s="13"/>
      <c r="Y845" s="13"/>
      <c r="Z845" s="13"/>
      <c r="AA845" s="13"/>
    </row>
    <row r="846" ht="16.5" customHeight="1">
      <c r="A846" s="10"/>
      <c r="B846" s="10"/>
      <c r="C846" s="13"/>
      <c r="D846" s="13"/>
      <c r="E846" s="13"/>
      <c r="F846" s="205"/>
      <c r="G846" s="13"/>
      <c r="H846" s="13"/>
      <c r="I846" s="13"/>
      <c r="J846" s="13"/>
      <c r="K846" s="13"/>
      <c r="L846" s="13"/>
      <c r="M846" s="13"/>
      <c r="N846" s="13"/>
      <c r="O846" s="13"/>
      <c r="P846" s="13"/>
      <c r="Q846" s="13"/>
      <c r="R846" s="13"/>
      <c r="S846" s="13"/>
      <c r="T846" s="13"/>
      <c r="U846" s="13"/>
      <c r="V846" s="13"/>
      <c r="W846" s="13"/>
      <c r="X846" s="13"/>
      <c r="Y846" s="13"/>
      <c r="Z846" s="13"/>
      <c r="AA846" s="13"/>
    </row>
    <row r="847" ht="16.5" customHeight="1">
      <c r="A847" s="10"/>
      <c r="B847" s="10"/>
      <c r="C847" s="13"/>
      <c r="D847" s="13"/>
      <c r="E847" s="13"/>
      <c r="F847" s="205"/>
      <c r="G847" s="13"/>
      <c r="H847" s="13"/>
      <c r="I847" s="13"/>
      <c r="J847" s="13"/>
      <c r="K847" s="13"/>
      <c r="L847" s="13"/>
      <c r="M847" s="13"/>
      <c r="N847" s="13"/>
      <c r="O847" s="13"/>
      <c r="P847" s="13"/>
      <c r="Q847" s="13"/>
      <c r="R847" s="13"/>
      <c r="S847" s="13"/>
      <c r="T847" s="13"/>
      <c r="U847" s="13"/>
      <c r="V847" s="13"/>
      <c r="W847" s="13"/>
      <c r="X847" s="13"/>
      <c r="Y847" s="13"/>
      <c r="Z847" s="13"/>
      <c r="AA847" s="13"/>
    </row>
    <row r="848" ht="16.5" customHeight="1">
      <c r="A848" s="10"/>
      <c r="B848" s="10"/>
      <c r="C848" s="13"/>
      <c r="D848" s="13"/>
      <c r="E848" s="13"/>
      <c r="F848" s="205"/>
      <c r="G848" s="13"/>
      <c r="H848" s="13"/>
      <c r="I848" s="13"/>
      <c r="J848" s="13"/>
      <c r="K848" s="13"/>
      <c r="L848" s="13"/>
      <c r="M848" s="13"/>
      <c r="N848" s="13"/>
      <c r="O848" s="13"/>
      <c r="P848" s="13"/>
      <c r="Q848" s="13"/>
      <c r="R848" s="13"/>
      <c r="S848" s="13"/>
      <c r="T848" s="13"/>
      <c r="U848" s="13"/>
      <c r="V848" s="13"/>
      <c r="W848" s="13"/>
      <c r="X848" s="13"/>
      <c r="Y848" s="13"/>
      <c r="Z848" s="13"/>
      <c r="AA848" s="13"/>
    </row>
    <row r="849" ht="16.5" customHeight="1">
      <c r="A849" s="10"/>
      <c r="B849" s="10"/>
      <c r="C849" s="13"/>
      <c r="D849" s="13"/>
      <c r="E849" s="13"/>
      <c r="F849" s="205"/>
      <c r="G849" s="13"/>
      <c r="H849" s="13"/>
      <c r="I849" s="13"/>
      <c r="J849" s="13"/>
      <c r="K849" s="13"/>
      <c r="L849" s="13"/>
      <c r="M849" s="13"/>
      <c r="N849" s="13"/>
      <c r="O849" s="13"/>
      <c r="P849" s="13"/>
      <c r="Q849" s="13"/>
      <c r="R849" s="13"/>
      <c r="S849" s="13"/>
      <c r="T849" s="13"/>
      <c r="U849" s="13"/>
      <c r="V849" s="13"/>
      <c r="W849" s="13"/>
      <c r="X849" s="13"/>
      <c r="Y849" s="13"/>
      <c r="Z849" s="13"/>
      <c r="AA849" s="13"/>
    </row>
    <row r="850" ht="16.5" customHeight="1">
      <c r="A850" s="10"/>
      <c r="B850" s="10"/>
      <c r="C850" s="13"/>
      <c r="D850" s="13"/>
      <c r="E850" s="13"/>
      <c r="F850" s="205"/>
      <c r="G850" s="13"/>
      <c r="H850" s="13"/>
      <c r="I850" s="13"/>
      <c r="J850" s="13"/>
      <c r="K850" s="13"/>
      <c r="L850" s="13"/>
      <c r="M850" s="13"/>
      <c r="N850" s="13"/>
      <c r="O850" s="13"/>
      <c r="P850" s="13"/>
      <c r="Q850" s="13"/>
      <c r="R850" s="13"/>
      <c r="S850" s="13"/>
      <c r="T850" s="13"/>
      <c r="U850" s="13"/>
      <c r="V850" s="13"/>
      <c r="W850" s="13"/>
      <c r="X850" s="13"/>
      <c r="Y850" s="13"/>
      <c r="Z850" s="13"/>
      <c r="AA850" s="13"/>
    </row>
    <row r="851" ht="16.5" customHeight="1">
      <c r="A851" s="10"/>
      <c r="B851" s="10"/>
      <c r="C851" s="13"/>
      <c r="D851" s="13"/>
      <c r="E851" s="13"/>
      <c r="F851" s="205"/>
      <c r="G851" s="13"/>
      <c r="H851" s="13"/>
      <c r="I851" s="13"/>
      <c r="J851" s="13"/>
      <c r="K851" s="13"/>
      <c r="L851" s="13"/>
      <c r="M851" s="13"/>
      <c r="N851" s="13"/>
      <c r="O851" s="13"/>
      <c r="P851" s="13"/>
      <c r="Q851" s="13"/>
      <c r="R851" s="13"/>
      <c r="S851" s="13"/>
      <c r="T851" s="13"/>
      <c r="U851" s="13"/>
      <c r="V851" s="13"/>
      <c r="W851" s="13"/>
      <c r="X851" s="13"/>
      <c r="Y851" s="13"/>
      <c r="Z851" s="13"/>
      <c r="AA851" s="13"/>
    </row>
    <row r="852" ht="16.5" customHeight="1">
      <c r="A852" s="10"/>
      <c r="B852" s="10"/>
      <c r="C852" s="13"/>
      <c r="D852" s="13"/>
      <c r="E852" s="13"/>
      <c r="F852" s="205"/>
      <c r="G852" s="13"/>
      <c r="H852" s="13"/>
      <c r="I852" s="13"/>
      <c r="J852" s="13"/>
      <c r="K852" s="13"/>
      <c r="L852" s="13"/>
      <c r="M852" s="13"/>
      <c r="N852" s="13"/>
      <c r="O852" s="13"/>
      <c r="P852" s="13"/>
      <c r="Q852" s="13"/>
      <c r="R852" s="13"/>
      <c r="S852" s="13"/>
      <c r="T852" s="13"/>
      <c r="U852" s="13"/>
      <c r="V852" s="13"/>
      <c r="W852" s="13"/>
      <c r="X852" s="13"/>
      <c r="Y852" s="13"/>
      <c r="Z852" s="13"/>
      <c r="AA852" s="13"/>
    </row>
    <row r="853" ht="16.5" customHeight="1">
      <c r="A853" s="10"/>
      <c r="B853" s="10"/>
      <c r="C853" s="13"/>
      <c r="D853" s="13"/>
      <c r="E853" s="13"/>
      <c r="F853" s="205"/>
      <c r="G853" s="13"/>
      <c r="H853" s="13"/>
      <c r="I853" s="13"/>
      <c r="J853" s="13"/>
      <c r="K853" s="13"/>
      <c r="L853" s="13"/>
      <c r="M853" s="13"/>
      <c r="N853" s="13"/>
      <c r="O853" s="13"/>
      <c r="P853" s="13"/>
      <c r="Q853" s="13"/>
      <c r="R853" s="13"/>
      <c r="S853" s="13"/>
      <c r="T853" s="13"/>
      <c r="U853" s="13"/>
      <c r="V853" s="13"/>
      <c r="W853" s="13"/>
      <c r="X853" s="13"/>
      <c r="Y853" s="13"/>
      <c r="Z853" s="13"/>
      <c r="AA853" s="13"/>
    </row>
    <row r="854" ht="16.5" customHeight="1">
      <c r="A854" s="10"/>
      <c r="B854" s="10"/>
      <c r="C854" s="13"/>
      <c r="D854" s="13"/>
      <c r="E854" s="13"/>
      <c r="F854" s="205"/>
      <c r="G854" s="13"/>
      <c r="H854" s="13"/>
      <c r="I854" s="13"/>
      <c r="J854" s="13"/>
      <c r="K854" s="13"/>
      <c r="L854" s="13"/>
      <c r="M854" s="13"/>
      <c r="N854" s="13"/>
      <c r="O854" s="13"/>
      <c r="P854" s="13"/>
      <c r="Q854" s="13"/>
      <c r="R854" s="13"/>
      <c r="S854" s="13"/>
      <c r="T854" s="13"/>
      <c r="U854" s="13"/>
      <c r="V854" s="13"/>
      <c r="W854" s="13"/>
      <c r="X854" s="13"/>
      <c r="Y854" s="13"/>
      <c r="Z854" s="13"/>
      <c r="AA854" s="13"/>
    </row>
    <row r="855" ht="16.5" customHeight="1">
      <c r="A855" s="10"/>
      <c r="B855" s="10"/>
      <c r="C855" s="13"/>
      <c r="D855" s="13"/>
      <c r="E855" s="13"/>
      <c r="F855" s="205"/>
      <c r="G855" s="13"/>
      <c r="H855" s="13"/>
      <c r="I855" s="13"/>
      <c r="J855" s="13"/>
      <c r="K855" s="13"/>
      <c r="L855" s="13"/>
      <c r="M855" s="13"/>
      <c r="N855" s="13"/>
      <c r="O855" s="13"/>
      <c r="P855" s="13"/>
      <c r="Q855" s="13"/>
      <c r="R855" s="13"/>
      <c r="S855" s="13"/>
      <c r="T855" s="13"/>
      <c r="U855" s="13"/>
      <c r="V855" s="13"/>
      <c r="W855" s="13"/>
      <c r="X855" s="13"/>
      <c r="Y855" s="13"/>
      <c r="Z855" s="13"/>
      <c r="AA855" s="13"/>
    </row>
    <row r="856" ht="16.5" customHeight="1">
      <c r="A856" s="10"/>
      <c r="B856" s="10"/>
      <c r="C856" s="13"/>
      <c r="D856" s="13"/>
      <c r="E856" s="13"/>
      <c r="F856" s="205"/>
      <c r="G856" s="13"/>
      <c r="H856" s="13"/>
      <c r="I856" s="13"/>
      <c r="J856" s="13"/>
      <c r="K856" s="13"/>
      <c r="L856" s="13"/>
      <c r="M856" s="13"/>
      <c r="N856" s="13"/>
      <c r="O856" s="13"/>
      <c r="P856" s="13"/>
      <c r="Q856" s="13"/>
      <c r="R856" s="13"/>
      <c r="S856" s="13"/>
      <c r="T856" s="13"/>
      <c r="U856" s="13"/>
      <c r="V856" s="13"/>
      <c r="W856" s="13"/>
      <c r="X856" s="13"/>
      <c r="Y856" s="13"/>
      <c r="Z856" s="13"/>
      <c r="AA856" s="13"/>
    </row>
    <row r="857" ht="16.5" customHeight="1">
      <c r="A857" s="10"/>
      <c r="B857" s="10"/>
      <c r="C857" s="13"/>
      <c r="D857" s="13"/>
      <c r="E857" s="13"/>
      <c r="F857" s="205"/>
      <c r="G857" s="13"/>
      <c r="H857" s="13"/>
      <c r="I857" s="13"/>
      <c r="J857" s="13"/>
      <c r="K857" s="13"/>
      <c r="L857" s="13"/>
      <c r="M857" s="13"/>
      <c r="N857" s="13"/>
      <c r="O857" s="13"/>
      <c r="P857" s="13"/>
      <c r="Q857" s="13"/>
      <c r="R857" s="13"/>
      <c r="S857" s="13"/>
      <c r="T857" s="13"/>
      <c r="U857" s="13"/>
      <c r="V857" s="13"/>
      <c r="W857" s="13"/>
      <c r="X857" s="13"/>
      <c r="Y857" s="13"/>
      <c r="Z857" s="13"/>
      <c r="AA857" s="13"/>
    </row>
    <row r="858" ht="16.5" customHeight="1">
      <c r="A858" s="10"/>
      <c r="B858" s="10"/>
      <c r="C858" s="13"/>
      <c r="D858" s="13"/>
      <c r="E858" s="13"/>
      <c r="F858" s="205"/>
      <c r="G858" s="13"/>
      <c r="H858" s="13"/>
      <c r="I858" s="13"/>
      <c r="J858" s="13"/>
      <c r="K858" s="13"/>
      <c r="L858" s="13"/>
      <c r="M858" s="13"/>
      <c r="N858" s="13"/>
      <c r="O858" s="13"/>
      <c r="P858" s="13"/>
      <c r="Q858" s="13"/>
      <c r="R858" s="13"/>
      <c r="S858" s="13"/>
      <c r="T858" s="13"/>
      <c r="U858" s="13"/>
      <c r="V858" s="13"/>
      <c r="W858" s="13"/>
      <c r="X858" s="13"/>
      <c r="Y858" s="13"/>
      <c r="Z858" s="13"/>
      <c r="AA858" s="13"/>
    </row>
    <row r="859" ht="16.5" customHeight="1">
      <c r="A859" s="10"/>
      <c r="B859" s="10"/>
      <c r="C859" s="13"/>
      <c r="D859" s="13"/>
      <c r="E859" s="13"/>
      <c r="F859" s="205"/>
      <c r="G859" s="13"/>
      <c r="H859" s="13"/>
      <c r="I859" s="13"/>
      <c r="J859" s="13"/>
      <c r="K859" s="13"/>
      <c r="L859" s="13"/>
      <c r="M859" s="13"/>
      <c r="N859" s="13"/>
      <c r="O859" s="13"/>
      <c r="P859" s="13"/>
      <c r="Q859" s="13"/>
      <c r="R859" s="13"/>
      <c r="S859" s="13"/>
      <c r="T859" s="13"/>
      <c r="U859" s="13"/>
      <c r="V859" s="13"/>
      <c r="W859" s="13"/>
      <c r="X859" s="13"/>
      <c r="Y859" s="13"/>
      <c r="Z859" s="13"/>
      <c r="AA859" s="13"/>
    </row>
    <row r="860" ht="16.5" customHeight="1">
      <c r="A860" s="10"/>
      <c r="B860" s="10"/>
      <c r="C860" s="13"/>
      <c r="D860" s="13"/>
      <c r="E860" s="13"/>
      <c r="F860" s="205"/>
      <c r="G860" s="13"/>
      <c r="H860" s="13"/>
      <c r="I860" s="13"/>
      <c r="J860" s="13"/>
      <c r="K860" s="13"/>
      <c r="L860" s="13"/>
      <c r="M860" s="13"/>
      <c r="N860" s="13"/>
      <c r="O860" s="13"/>
      <c r="P860" s="13"/>
      <c r="Q860" s="13"/>
      <c r="R860" s="13"/>
      <c r="S860" s="13"/>
      <c r="T860" s="13"/>
      <c r="U860" s="13"/>
      <c r="V860" s="13"/>
      <c r="W860" s="13"/>
      <c r="X860" s="13"/>
      <c r="Y860" s="13"/>
      <c r="Z860" s="13"/>
      <c r="AA860" s="13"/>
    </row>
    <row r="861" ht="16.5" customHeight="1">
      <c r="A861" s="10"/>
      <c r="B861" s="10"/>
      <c r="C861" s="13"/>
      <c r="D861" s="13"/>
      <c r="E861" s="13"/>
      <c r="F861" s="205"/>
      <c r="G861" s="13"/>
      <c r="H861" s="13"/>
      <c r="I861" s="13"/>
      <c r="J861" s="13"/>
      <c r="K861" s="13"/>
      <c r="L861" s="13"/>
      <c r="M861" s="13"/>
      <c r="N861" s="13"/>
      <c r="O861" s="13"/>
      <c r="P861" s="13"/>
      <c r="Q861" s="13"/>
      <c r="R861" s="13"/>
      <c r="S861" s="13"/>
      <c r="T861" s="13"/>
      <c r="U861" s="13"/>
      <c r="V861" s="13"/>
      <c r="W861" s="13"/>
      <c r="X861" s="13"/>
      <c r="Y861" s="13"/>
      <c r="Z861" s="13"/>
      <c r="AA861" s="13"/>
    </row>
    <row r="862" ht="16.5" customHeight="1">
      <c r="A862" s="10"/>
      <c r="B862" s="10"/>
      <c r="C862" s="13"/>
      <c r="D862" s="13"/>
      <c r="E862" s="13"/>
      <c r="F862" s="205"/>
      <c r="G862" s="13"/>
      <c r="H862" s="13"/>
      <c r="I862" s="13"/>
      <c r="J862" s="13"/>
      <c r="K862" s="13"/>
      <c r="L862" s="13"/>
      <c r="M862" s="13"/>
      <c r="N862" s="13"/>
      <c r="O862" s="13"/>
      <c r="P862" s="13"/>
      <c r="Q862" s="13"/>
      <c r="R862" s="13"/>
      <c r="S862" s="13"/>
      <c r="T862" s="13"/>
      <c r="U862" s="13"/>
      <c r="V862" s="13"/>
      <c r="W862" s="13"/>
      <c r="X862" s="13"/>
      <c r="Y862" s="13"/>
      <c r="Z862" s="13"/>
      <c r="AA862" s="13"/>
    </row>
    <row r="863" ht="16.5" customHeight="1">
      <c r="A863" s="10"/>
      <c r="B863" s="10"/>
      <c r="C863" s="13"/>
      <c r="D863" s="13"/>
      <c r="E863" s="13"/>
      <c r="F863" s="205"/>
      <c r="G863" s="13"/>
      <c r="H863" s="13"/>
      <c r="I863" s="13"/>
      <c r="J863" s="13"/>
      <c r="K863" s="13"/>
      <c r="L863" s="13"/>
      <c r="M863" s="13"/>
      <c r="N863" s="13"/>
      <c r="O863" s="13"/>
      <c r="P863" s="13"/>
      <c r="Q863" s="13"/>
      <c r="R863" s="13"/>
      <c r="S863" s="13"/>
      <c r="T863" s="13"/>
      <c r="U863" s="13"/>
      <c r="V863" s="13"/>
      <c r="W863" s="13"/>
      <c r="X863" s="13"/>
      <c r="Y863" s="13"/>
      <c r="Z863" s="13"/>
      <c r="AA863" s="13"/>
    </row>
    <row r="864" ht="16.5" customHeight="1">
      <c r="A864" s="10"/>
      <c r="B864" s="10"/>
      <c r="C864" s="13"/>
      <c r="D864" s="13"/>
      <c r="E864" s="13"/>
      <c r="F864" s="205"/>
      <c r="G864" s="13"/>
      <c r="H864" s="13"/>
      <c r="I864" s="13"/>
      <c r="J864" s="13"/>
      <c r="K864" s="13"/>
      <c r="L864" s="13"/>
      <c r="M864" s="13"/>
      <c r="N864" s="13"/>
      <c r="O864" s="13"/>
      <c r="P864" s="13"/>
      <c r="Q864" s="13"/>
      <c r="R864" s="13"/>
      <c r="S864" s="13"/>
      <c r="T864" s="13"/>
      <c r="U864" s="13"/>
      <c r="V864" s="13"/>
      <c r="W864" s="13"/>
      <c r="X864" s="13"/>
      <c r="Y864" s="13"/>
      <c r="Z864" s="13"/>
      <c r="AA864" s="13"/>
    </row>
    <row r="865" ht="16.5" customHeight="1">
      <c r="A865" s="10"/>
      <c r="B865" s="10"/>
      <c r="C865" s="13"/>
      <c r="D865" s="13"/>
      <c r="E865" s="13"/>
      <c r="F865" s="205"/>
      <c r="G865" s="13"/>
      <c r="H865" s="13"/>
      <c r="I865" s="13"/>
      <c r="J865" s="13"/>
      <c r="K865" s="13"/>
      <c r="L865" s="13"/>
      <c r="M865" s="13"/>
      <c r="N865" s="13"/>
      <c r="O865" s="13"/>
      <c r="P865" s="13"/>
      <c r="Q865" s="13"/>
      <c r="R865" s="13"/>
      <c r="S865" s="13"/>
      <c r="T865" s="13"/>
      <c r="U865" s="13"/>
      <c r="V865" s="13"/>
      <c r="W865" s="13"/>
      <c r="X865" s="13"/>
      <c r="Y865" s="13"/>
      <c r="Z865" s="13"/>
      <c r="AA865" s="13"/>
    </row>
    <row r="866" ht="16.5" customHeight="1">
      <c r="A866" s="10"/>
      <c r="B866" s="10"/>
      <c r="C866" s="13"/>
      <c r="D866" s="13"/>
      <c r="E866" s="13"/>
      <c r="F866" s="205"/>
      <c r="G866" s="13"/>
      <c r="H866" s="13"/>
      <c r="I866" s="13"/>
      <c r="J866" s="13"/>
      <c r="K866" s="13"/>
      <c r="L866" s="13"/>
      <c r="M866" s="13"/>
      <c r="N866" s="13"/>
      <c r="O866" s="13"/>
      <c r="P866" s="13"/>
      <c r="Q866" s="13"/>
      <c r="R866" s="13"/>
      <c r="S866" s="13"/>
      <c r="T866" s="13"/>
      <c r="U866" s="13"/>
      <c r="V866" s="13"/>
      <c r="W866" s="13"/>
      <c r="X866" s="13"/>
      <c r="Y866" s="13"/>
      <c r="Z866" s="13"/>
      <c r="AA866" s="13"/>
    </row>
    <row r="867" ht="16.5" customHeight="1">
      <c r="A867" s="10"/>
      <c r="B867" s="10"/>
      <c r="C867" s="13"/>
      <c r="D867" s="13"/>
      <c r="E867" s="13"/>
      <c r="F867" s="205"/>
      <c r="G867" s="13"/>
      <c r="H867" s="13"/>
      <c r="I867" s="13"/>
      <c r="J867" s="13"/>
      <c r="K867" s="13"/>
      <c r="L867" s="13"/>
      <c r="M867" s="13"/>
      <c r="N867" s="13"/>
      <c r="O867" s="13"/>
      <c r="P867" s="13"/>
      <c r="Q867" s="13"/>
      <c r="R867" s="13"/>
      <c r="S867" s="13"/>
      <c r="T867" s="13"/>
      <c r="U867" s="13"/>
      <c r="V867" s="13"/>
      <c r="W867" s="13"/>
      <c r="X867" s="13"/>
      <c r="Y867" s="13"/>
      <c r="Z867" s="13"/>
      <c r="AA867" s="13"/>
    </row>
    <row r="868" ht="16.5" customHeight="1">
      <c r="A868" s="10"/>
      <c r="B868" s="10"/>
      <c r="C868" s="13"/>
      <c r="D868" s="13"/>
      <c r="E868" s="13"/>
      <c r="F868" s="205"/>
      <c r="G868" s="13"/>
      <c r="H868" s="13"/>
      <c r="I868" s="13"/>
      <c r="J868" s="13"/>
      <c r="K868" s="13"/>
      <c r="L868" s="13"/>
      <c r="M868" s="13"/>
      <c r="N868" s="13"/>
      <c r="O868" s="13"/>
      <c r="P868" s="13"/>
      <c r="Q868" s="13"/>
      <c r="R868" s="13"/>
      <c r="S868" s="13"/>
      <c r="T868" s="13"/>
      <c r="U868" s="13"/>
      <c r="V868" s="13"/>
      <c r="W868" s="13"/>
      <c r="X868" s="13"/>
      <c r="Y868" s="13"/>
      <c r="Z868" s="13"/>
      <c r="AA868" s="13"/>
    </row>
    <row r="869" ht="16.5" customHeight="1">
      <c r="A869" s="10"/>
      <c r="B869" s="10"/>
      <c r="C869" s="13"/>
      <c r="D869" s="13"/>
      <c r="E869" s="13"/>
      <c r="F869" s="205"/>
      <c r="G869" s="13"/>
      <c r="H869" s="13"/>
      <c r="I869" s="13"/>
      <c r="J869" s="13"/>
      <c r="K869" s="13"/>
      <c r="L869" s="13"/>
      <c r="M869" s="13"/>
      <c r="N869" s="13"/>
      <c r="O869" s="13"/>
      <c r="P869" s="13"/>
      <c r="Q869" s="13"/>
      <c r="R869" s="13"/>
      <c r="S869" s="13"/>
      <c r="T869" s="13"/>
      <c r="U869" s="13"/>
      <c r="V869" s="13"/>
      <c r="W869" s="13"/>
      <c r="X869" s="13"/>
      <c r="Y869" s="13"/>
      <c r="Z869" s="13"/>
      <c r="AA869" s="13"/>
    </row>
    <row r="870" ht="16.5" customHeight="1">
      <c r="A870" s="10"/>
      <c r="B870" s="10"/>
      <c r="C870" s="13"/>
      <c r="D870" s="13"/>
      <c r="E870" s="13"/>
      <c r="F870" s="205"/>
      <c r="G870" s="13"/>
      <c r="H870" s="13"/>
      <c r="I870" s="13"/>
      <c r="J870" s="13"/>
      <c r="K870" s="13"/>
      <c r="L870" s="13"/>
      <c r="M870" s="13"/>
      <c r="N870" s="13"/>
      <c r="O870" s="13"/>
      <c r="P870" s="13"/>
      <c r="Q870" s="13"/>
      <c r="R870" s="13"/>
      <c r="S870" s="13"/>
      <c r="T870" s="13"/>
      <c r="U870" s="13"/>
      <c r="V870" s="13"/>
      <c r="W870" s="13"/>
      <c r="X870" s="13"/>
      <c r="Y870" s="13"/>
      <c r="Z870" s="13"/>
      <c r="AA870" s="13"/>
    </row>
    <row r="871" ht="16.5" customHeight="1">
      <c r="A871" s="10"/>
      <c r="B871" s="10"/>
      <c r="C871" s="13"/>
      <c r="D871" s="13"/>
      <c r="E871" s="13"/>
      <c r="F871" s="205"/>
      <c r="G871" s="13"/>
      <c r="H871" s="13"/>
      <c r="I871" s="13"/>
      <c r="J871" s="13"/>
      <c r="K871" s="13"/>
      <c r="L871" s="13"/>
      <c r="M871" s="13"/>
      <c r="N871" s="13"/>
      <c r="O871" s="13"/>
      <c r="P871" s="13"/>
      <c r="Q871" s="13"/>
      <c r="R871" s="13"/>
      <c r="S871" s="13"/>
      <c r="T871" s="13"/>
      <c r="U871" s="13"/>
      <c r="V871" s="13"/>
      <c r="W871" s="13"/>
      <c r="X871" s="13"/>
      <c r="Y871" s="13"/>
      <c r="Z871" s="13"/>
      <c r="AA871" s="13"/>
    </row>
    <row r="872" ht="16.5" customHeight="1">
      <c r="A872" s="10"/>
      <c r="B872" s="10"/>
      <c r="C872" s="13"/>
      <c r="D872" s="13"/>
      <c r="E872" s="13"/>
      <c r="F872" s="205"/>
      <c r="G872" s="13"/>
      <c r="H872" s="13"/>
      <c r="I872" s="13"/>
      <c r="J872" s="13"/>
      <c r="K872" s="13"/>
      <c r="L872" s="13"/>
      <c r="M872" s="13"/>
      <c r="N872" s="13"/>
      <c r="O872" s="13"/>
      <c r="P872" s="13"/>
      <c r="Q872" s="13"/>
      <c r="R872" s="13"/>
      <c r="S872" s="13"/>
      <c r="T872" s="13"/>
      <c r="U872" s="13"/>
      <c r="V872" s="13"/>
      <c r="W872" s="13"/>
      <c r="X872" s="13"/>
      <c r="Y872" s="13"/>
      <c r="Z872" s="13"/>
      <c r="AA872" s="13"/>
    </row>
    <row r="873" ht="16.5" customHeight="1">
      <c r="A873" s="10"/>
      <c r="B873" s="10"/>
      <c r="C873" s="13"/>
      <c r="D873" s="13"/>
      <c r="E873" s="13"/>
      <c r="F873" s="205"/>
      <c r="G873" s="13"/>
      <c r="H873" s="13"/>
      <c r="I873" s="13"/>
      <c r="J873" s="13"/>
      <c r="K873" s="13"/>
      <c r="L873" s="13"/>
      <c r="M873" s="13"/>
      <c r="N873" s="13"/>
      <c r="O873" s="13"/>
      <c r="P873" s="13"/>
      <c r="Q873" s="13"/>
      <c r="R873" s="13"/>
      <c r="S873" s="13"/>
      <c r="T873" s="13"/>
      <c r="U873" s="13"/>
      <c r="V873" s="13"/>
      <c r="W873" s="13"/>
      <c r="X873" s="13"/>
      <c r="Y873" s="13"/>
      <c r="Z873" s="13"/>
      <c r="AA873" s="13"/>
    </row>
    <row r="874" ht="16.5" customHeight="1">
      <c r="A874" s="10"/>
      <c r="B874" s="10"/>
      <c r="C874" s="13"/>
      <c r="D874" s="13"/>
      <c r="E874" s="13"/>
      <c r="F874" s="205"/>
      <c r="G874" s="13"/>
      <c r="H874" s="13"/>
      <c r="I874" s="13"/>
      <c r="J874" s="13"/>
      <c r="K874" s="13"/>
      <c r="L874" s="13"/>
      <c r="M874" s="13"/>
      <c r="N874" s="13"/>
      <c r="O874" s="13"/>
      <c r="P874" s="13"/>
      <c r="Q874" s="13"/>
      <c r="R874" s="13"/>
      <c r="S874" s="13"/>
      <c r="T874" s="13"/>
      <c r="U874" s="13"/>
      <c r="V874" s="13"/>
      <c r="W874" s="13"/>
      <c r="X874" s="13"/>
      <c r="Y874" s="13"/>
      <c r="Z874" s="13"/>
      <c r="AA874" s="13"/>
    </row>
    <row r="875" ht="16.5" customHeight="1">
      <c r="A875" s="10"/>
      <c r="B875" s="10"/>
      <c r="C875" s="13"/>
      <c r="D875" s="13"/>
      <c r="E875" s="13"/>
      <c r="F875" s="205"/>
      <c r="G875" s="13"/>
      <c r="H875" s="13"/>
      <c r="I875" s="13"/>
      <c r="J875" s="13"/>
      <c r="K875" s="13"/>
      <c r="L875" s="13"/>
      <c r="M875" s="13"/>
      <c r="N875" s="13"/>
      <c r="O875" s="13"/>
      <c r="P875" s="13"/>
      <c r="Q875" s="13"/>
      <c r="R875" s="13"/>
      <c r="S875" s="13"/>
      <c r="T875" s="13"/>
      <c r="U875" s="13"/>
      <c r="V875" s="13"/>
      <c r="W875" s="13"/>
      <c r="X875" s="13"/>
      <c r="Y875" s="13"/>
      <c r="Z875" s="13"/>
      <c r="AA875" s="13"/>
    </row>
    <row r="876" ht="16.5" customHeight="1">
      <c r="A876" s="10"/>
      <c r="B876" s="10"/>
      <c r="C876" s="13"/>
      <c r="D876" s="13"/>
      <c r="E876" s="13"/>
      <c r="F876" s="205"/>
      <c r="G876" s="13"/>
      <c r="H876" s="13"/>
      <c r="I876" s="13"/>
      <c r="J876" s="13"/>
      <c r="K876" s="13"/>
      <c r="L876" s="13"/>
      <c r="M876" s="13"/>
      <c r="N876" s="13"/>
      <c r="O876" s="13"/>
      <c r="P876" s="13"/>
      <c r="Q876" s="13"/>
      <c r="R876" s="13"/>
      <c r="S876" s="13"/>
      <c r="T876" s="13"/>
      <c r="U876" s="13"/>
      <c r="V876" s="13"/>
      <c r="W876" s="13"/>
      <c r="X876" s="13"/>
      <c r="Y876" s="13"/>
      <c r="Z876" s="13"/>
      <c r="AA876" s="13"/>
    </row>
    <row r="877" ht="16.5" customHeight="1">
      <c r="A877" s="10"/>
      <c r="B877" s="10"/>
      <c r="C877" s="13"/>
      <c r="D877" s="13"/>
      <c r="E877" s="13"/>
      <c r="F877" s="205"/>
      <c r="G877" s="13"/>
      <c r="H877" s="13"/>
      <c r="I877" s="13"/>
      <c r="J877" s="13"/>
      <c r="K877" s="13"/>
      <c r="L877" s="13"/>
      <c r="M877" s="13"/>
      <c r="N877" s="13"/>
      <c r="O877" s="13"/>
      <c r="P877" s="13"/>
      <c r="Q877" s="13"/>
      <c r="R877" s="13"/>
      <c r="S877" s="13"/>
      <c r="T877" s="13"/>
      <c r="U877" s="13"/>
      <c r="V877" s="13"/>
      <c r="W877" s="13"/>
      <c r="X877" s="13"/>
      <c r="Y877" s="13"/>
      <c r="Z877" s="13"/>
      <c r="AA877" s="13"/>
    </row>
    <row r="878" ht="16.5" customHeight="1">
      <c r="A878" s="10"/>
      <c r="B878" s="10"/>
      <c r="C878" s="13"/>
      <c r="D878" s="13"/>
      <c r="E878" s="13"/>
      <c r="F878" s="205"/>
      <c r="G878" s="13"/>
      <c r="H878" s="13"/>
      <c r="I878" s="13"/>
      <c r="J878" s="13"/>
      <c r="K878" s="13"/>
      <c r="L878" s="13"/>
      <c r="M878" s="13"/>
      <c r="N878" s="13"/>
      <c r="O878" s="13"/>
      <c r="P878" s="13"/>
      <c r="Q878" s="13"/>
      <c r="R878" s="13"/>
      <c r="S878" s="13"/>
      <c r="T878" s="13"/>
      <c r="U878" s="13"/>
      <c r="V878" s="13"/>
      <c r="W878" s="13"/>
      <c r="X878" s="13"/>
      <c r="Y878" s="13"/>
      <c r="Z878" s="13"/>
      <c r="AA878" s="13"/>
    </row>
    <row r="879" ht="16.5" customHeight="1">
      <c r="A879" s="10"/>
      <c r="B879" s="10"/>
      <c r="C879" s="13"/>
      <c r="D879" s="13"/>
      <c r="E879" s="13"/>
      <c r="F879" s="205"/>
      <c r="G879" s="13"/>
      <c r="H879" s="13"/>
      <c r="I879" s="13"/>
      <c r="J879" s="13"/>
      <c r="K879" s="13"/>
      <c r="L879" s="13"/>
      <c r="M879" s="13"/>
      <c r="N879" s="13"/>
      <c r="O879" s="13"/>
      <c r="P879" s="13"/>
      <c r="Q879" s="13"/>
      <c r="R879" s="13"/>
      <c r="S879" s="13"/>
      <c r="T879" s="13"/>
      <c r="U879" s="13"/>
      <c r="V879" s="13"/>
      <c r="W879" s="13"/>
      <c r="X879" s="13"/>
      <c r="Y879" s="13"/>
      <c r="Z879" s="13"/>
      <c r="AA879" s="13"/>
    </row>
    <row r="880" ht="16.5" customHeight="1">
      <c r="A880" s="10"/>
      <c r="B880" s="10"/>
      <c r="C880" s="13"/>
      <c r="D880" s="13"/>
      <c r="E880" s="13"/>
      <c r="F880" s="205"/>
      <c r="G880" s="13"/>
      <c r="H880" s="13"/>
      <c r="I880" s="13"/>
      <c r="J880" s="13"/>
      <c r="K880" s="13"/>
      <c r="L880" s="13"/>
      <c r="M880" s="13"/>
      <c r="N880" s="13"/>
      <c r="O880" s="13"/>
      <c r="P880" s="13"/>
      <c r="Q880" s="13"/>
      <c r="R880" s="13"/>
      <c r="S880" s="13"/>
      <c r="T880" s="13"/>
      <c r="U880" s="13"/>
      <c r="V880" s="13"/>
      <c r="W880" s="13"/>
      <c r="X880" s="13"/>
      <c r="Y880" s="13"/>
      <c r="Z880" s="13"/>
      <c r="AA880" s="13"/>
    </row>
    <row r="881" ht="16.5" customHeight="1">
      <c r="A881" s="10"/>
      <c r="B881" s="10"/>
      <c r="C881" s="13"/>
      <c r="D881" s="13"/>
      <c r="E881" s="13"/>
      <c r="F881" s="205"/>
      <c r="G881" s="13"/>
      <c r="H881" s="13"/>
      <c r="I881" s="13"/>
      <c r="J881" s="13"/>
      <c r="K881" s="13"/>
      <c r="L881" s="13"/>
      <c r="M881" s="13"/>
      <c r="N881" s="13"/>
      <c r="O881" s="13"/>
      <c r="P881" s="13"/>
      <c r="Q881" s="13"/>
      <c r="R881" s="13"/>
      <c r="S881" s="13"/>
      <c r="T881" s="13"/>
      <c r="U881" s="13"/>
      <c r="V881" s="13"/>
      <c r="W881" s="13"/>
      <c r="X881" s="13"/>
      <c r="Y881" s="13"/>
      <c r="Z881" s="13"/>
      <c r="AA881" s="13"/>
    </row>
    <row r="882" ht="16.5" customHeight="1">
      <c r="A882" s="10"/>
      <c r="B882" s="10"/>
      <c r="C882" s="13"/>
      <c r="D882" s="13"/>
      <c r="E882" s="13"/>
      <c r="F882" s="205"/>
      <c r="G882" s="13"/>
      <c r="H882" s="13"/>
      <c r="I882" s="13"/>
      <c r="J882" s="13"/>
      <c r="K882" s="13"/>
      <c r="L882" s="13"/>
      <c r="M882" s="13"/>
      <c r="N882" s="13"/>
      <c r="O882" s="13"/>
      <c r="P882" s="13"/>
      <c r="Q882" s="13"/>
      <c r="R882" s="13"/>
      <c r="S882" s="13"/>
      <c r="T882" s="13"/>
      <c r="U882" s="13"/>
      <c r="V882" s="13"/>
      <c r="W882" s="13"/>
      <c r="X882" s="13"/>
      <c r="Y882" s="13"/>
      <c r="Z882" s="13"/>
      <c r="AA882" s="13"/>
    </row>
    <row r="883" ht="16.5" customHeight="1">
      <c r="A883" s="10"/>
      <c r="B883" s="10"/>
      <c r="C883" s="13"/>
      <c r="D883" s="13"/>
      <c r="E883" s="13"/>
      <c r="F883" s="205"/>
      <c r="G883" s="13"/>
      <c r="H883" s="13"/>
      <c r="I883" s="13"/>
      <c r="J883" s="13"/>
      <c r="K883" s="13"/>
      <c r="L883" s="13"/>
      <c r="M883" s="13"/>
      <c r="N883" s="13"/>
      <c r="O883" s="13"/>
      <c r="P883" s="13"/>
      <c r="Q883" s="13"/>
      <c r="R883" s="13"/>
      <c r="S883" s="13"/>
      <c r="T883" s="13"/>
      <c r="U883" s="13"/>
      <c r="V883" s="13"/>
      <c r="W883" s="13"/>
      <c r="X883" s="13"/>
      <c r="Y883" s="13"/>
      <c r="Z883" s="13"/>
      <c r="AA883" s="13"/>
    </row>
    <row r="884" ht="16.5" customHeight="1">
      <c r="A884" s="10"/>
      <c r="B884" s="10"/>
      <c r="C884" s="13"/>
      <c r="D884" s="13"/>
      <c r="E884" s="13"/>
      <c r="F884" s="205"/>
      <c r="G884" s="13"/>
      <c r="H884" s="13"/>
      <c r="I884" s="13"/>
      <c r="J884" s="13"/>
      <c r="K884" s="13"/>
      <c r="L884" s="13"/>
      <c r="M884" s="13"/>
      <c r="N884" s="13"/>
      <c r="O884" s="13"/>
      <c r="P884" s="13"/>
      <c r="Q884" s="13"/>
      <c r="R884" s="13"/>
      <c r="S884" s="13"/>
      <c r="T884" s="13"/>
      <c r="U884" s="13"/>
      <c r="V884" s="13"/>
      <c r="W884" s="13"/>
      <c r="X884" s="13"/>
      <c r="Y884" s="13"/>
      <c r="Z884" s="13"/>
      <c r="AA884" s="13"/>
    </row>
    <row r="885" ht="16.5" customHeight="1">
      <c r="A885" s="10"/>
      <c r="B885" s="10"/>
      <c r="C885" s="13"/>
      <c r="D885" s="13"/>
      <c r="E885" s="13"/>
      <c r="F885" s="205"/>
      <c r="G885" s="13"/>
      <c r="H885" s="13"/>
      <c r="I885" s="13"/>
      <c r="J885" s="13"/>
      <c r="K885" s="13"/>
      <c r="L885" s="13"/>
      <c r="M885" s="13"/>
      <c r="N885" s="13"/>
      <c r="O885" s="13"/>
      <c r="P885" s="13"/>
      <c r="Q885" s="13"/>
      <c r="R885" s="13"/>
      <c r="S885" s="13"/>
      <c r="T885" s="13"/>
      <c r="U885" s="13"/>
      <c r="V885" s="13"/>
      <c r="W885" s="13"/>
      <c r="X885" s="13"/>
      <c r="Y885" s="13"/>
      <c r="Z885" s="13"/>
      <c r="AA885" s="13"/>
    </row>
    <row r="886" ht="16.5" customHeight="1">
      <c r="A886" s="10"/>
      <c r="B886" s="10"/>
      <c r="C886" s="13"/>
      <c r="D886" s="13"/>
      <c r="E886" s="13"/>
      <c r="F886" s="205"/>
      <c r="G886" s="13"/>
      <c r="H886" s="13"/>
      <c r="I886" s="13"/>
      <c r="J886" s="13"/>
      <c r="K886" s="13"/>
      <c r="L886" s="13"/>
      <c r="M886" s="13"/>
      <c r="N886" s="13"/>
      <c r="O886" s="13"/>
      <c r="P886" s="13"/>
      <c r="Q886" s="13"/>
      <c r="R886" s="13"/>
      <c r="S886" s="13"/>
      <c r="T886" s="13"/>
      <c r="U886" s="13"/>
      <c r="V886" s="13"/>
      <c r="W886" s="13"/>
      <c r="X886" s="13"/>
      <c r="Y886" s="13"/>
      <c r="Z886" s="13"/>
      <c r="AA886" s="13"/>
    </row>
    <row r="887" ht="16.5" customHeight="1">
      <c r="A887" s="10"/>
      <c r="B887" s="10"/>
      <c r="C887" s="13"/>
      <c r="D887" s="13"/>
      <c r="E887" s="13"/>
      <c r="F887" s="205"/>
      <c r="G887" s="13"/>
      <c r="H887" s="13"/>
      <c r="I887" s="13"/>
      <c r="J887" s="13"/>
      <c r="K887" s="13"/>
      <c r="L887" s="13"/>
      <c r="M887" s="13"/>
      <c r="N887" s="13"/>
      <c r="O887" s="13"/>
      <c r="P887" s="13"/>
      <c r="Q887" s="13"/>
      <c r="R887" s="13"/>
      <c r="S887" s="13"/>
      <c r="T887" s="13"/>
      <c r="U887" s="13"/>
      <c r="V887" s="13"/>
      <c r="W887" s="13"/>
      <c r="X887" s="13"/>
      <c r="Y887" s="13"/>
      <c r="Z887" s="13"/>
      <c r="AA887" s="13"/>
    </row>
    <row r="888" ht="16.5" customHeight="1">
      <c r="A888" s="10"/>
      <c r="B888" s="10"/>
      <c r="C888" s="13"/>
      <c r="D888" s="13"/>
      <c r="E888" s="13"/>
      <c r="F888" s="205"/>
      <c r="G888" s="13"/>
      <c r="H888" s="13"/>
      <c r="I888" s="13"/>
      <c r="J888" s="13"/>
      <c r="K888" s="13"/>
      <c r="L888" s="13"/>
      <c r="M888" s="13"/>
      <c r="N888" s="13"/>
      <c r="O888" s="13"/>
      <c r="P888" s="13"/>
      <c r="Q888" s="13"/>
      <c r="R888" s="13"/>
      <c r="S888" s="13"/>
      <c r="T888" s="13"/>
      <c r="U888" s="13"/>
      <c r="V888" s="13"/>
      <c r="W888" s="13"/>
      <c r="X888" s="13"/>
      <c r="Y888" s="13"/>
      <c r="Z888" s="13"/>
      <c r="AA888" s="13"/>
    </row>
    <row r="889" ht="16.5" customHeight="1">
      <c r="A889" s="10"/>
      <c r="B889" s="10"/>
      <c r="C889" s="13"/>
      <c r="D889" s="13"/>
      <c r="E889" s="13"/>
      <c r="F889" s="205"/>
      <c r="G889" s="13"/>
      <c r="H889" s="13"/>
      <c r="I889" s="13"/>
      <c r="J889" s="13"/>
      <c r="K889" s="13"/>
      <c r="L889" s="13"/>
      <c r="M889" s="13"/>
      <c r="N889" s="13"/>
      <c r="O889" s="13"/>
      <c r="P889" s="13"/>
      <c r="Q889" s="13"/>
      <c r="R889" s="13"/>
      <c r="S889" s="13"/>
      <c r="T889" s="13"/>
      <c r="U889" s="13"/>
      <c r="V889" s="13"/>
      <c r="W889" s="13"/>
      <c r="X889" s="13"/>
      <c r="Y889" s="13"/>
      <c r="Z889" s="13"/>
      <c r="AA889" s="13"/>
    </row>
    <row r="890" ht="16.5" customHeight="1">
      <c r="A890" s="10"/>
      <c r="B890" s="10"/>
      <c r="C890" s="13"/>
      <c r="D890" s="13"/>
      <c r="E890" s="13"/>
      <c r="F890" s="205"/>
      <c r="G890" s="13"/>
      <c r="H890" s="13"/>
      <c r="I890" s="13"/>
      <c r="J890" s="13"/>
      <c r="K890" s="13"/>
      <c r="L890" s="13"/>
      <c r="M890" s="13"/>
      <c r="N890" s="13"/>
      <c r="O890" s="13"/>
      <c r="P890" s="13"/>
      <c r="Q890" s="13"/>
      <c r="R890" s="13"/>
      <c r="S890" s="13"/>
      <c r="T890" s="13"/>
      <c r="U890" s="13"/>
      <c r="V890" s="13"/>
      <c r="W890" s="13"/>
      <c r="X890" s="13"/>
      <c r="Y890" s="13"/>
      <c r="Z890" s="13"/>
      <c r="AA890" s="13"/>
    </row>
    <row r="891" ht="16.5" customHeight="1">
      <c r="A891" s="10"/>
      <c r="B891" s="10"/>
      <c r="C891" s="13"/>
      <c r="D891" s="13"/>
      <c r="E891" s="13"/>
      <c r="F891" s="205"/>
      <c r="G891" s="13"/>
      <c r="H891" s="13"/>
      <c r="I891" s="13"/>
      <c r="J891" s="13"/>
      <c r="K891" s="13"/>
      <c r="L891" s="13"/>
      <c r="M891" s="13"/>
      <c r="N891" s="13"/>
      <c r="O891" s="13"/>
      <c r="P891" s="13"/>
      <c r="Q891" s="13"/>
      <c r="R891" s="13"/>
      <c r="S891" s="13"/>
      <c r="T891" s="13"/>
      <c r="U891" s="13"/>
      <c r="V891" s="13"/>
      <c r="W891" s="13"/>
      <c r="X891" s="13"/>
      <c r="Y891" s="13"/>
      <c r="Z891" s="13"/>
      <c r="AA891" s="13"/>
    </row>
    <row r="892" ht="16.5" customHeight="1">
      <c r="A892" s="10"/>
      <c r="B892" s="10"/>
      <c r="C892" s="13"/>
      <c r="D892" s="13"/>
      <c r="E892" s="13"/>
      <c r="F892" s="205"/>
      <c r="G892" s="13"/>
      <c r="H892" s="13"/>
      <c r="I892" s="13"/>
      <c r="J892" s="13"/>
      <c r="K892" s="13"/>
      <c r="L892" s="13"/>
      <c r="M892" s="13"/>
      <c r="N892" s="13"/>
      <c r="O892" s="13"/>
      <c r="P892" s="13"/>
      <c r="Q892" s="13"/>
      <c r="R892" s="13"/>
      <c r="S892" s="13"/>
      <c r="T892" s="13"/>
      <c r="U892" s="13"/>
      <c r="V892" s="13"/>
      <c r="W892" s="13"/>
      <c r="X892" s="13"/>
      <c r="Y892" s="13"/>
      <c r="Z892" s="13"/>
      <c r="AA892" s="13"/>
    </row>
    <row r="893" ht="16.5" customHeight="1">
      <c r="A893" s="10"/>
      <c r="B893" s="10"/>
      <c r="C893" s="13"/>
      <c r="D893" s="13"/>
      <c r="E893" s="13"/>
      <c r="F893" s="205"/>
      <c r="G893" s="13"/>
      <c r="H893" s="13"/>
      <c r="I893" s="13"/>
      <c r="J893" s="13"/>
      <c r="K893" s="13"/>
      <c r="L893" s="13"/>
      <c r="M893" s="13"/>
      <c r="N893" s="13"/>
      <c r="O893" s="13"/>
      <c r="P893" s="13"/>
      <c r="Q893" s="13"/>
      <c r="R893" s="13"/>
      <c r="S893" s="13"/>
      <c r="T893" s="13"/>
      <c r="U893" s="13"/>
      <c r="V893" s="13"/>
      <c r="W893" s="13"/>
      <c r="X893" s="13"/>
      <c r="Y893" s="13"/>
      <c r="Z893" s="13"/>
      <c r="AA893" s="13"/>
    </row>
    <row r="894" ht="16.5" customHeight="1">
      <c r="A894" s="10"/>
      <c r="B894" s="10"/>
      <c r="C894" s="13"/>
      <c r="D894" s="13"/>
      <c r="E894" s="13"/>
      <c r="F894" s="205"/>
      <c r="G894" s="13"/>
      <c r="H894" s="13"/>
      <c r="I894" s="13"/>
      <c r="J894" s="13"/>
      <c r="K894" s="13"/>
      <c r="L894" s="13"/>
      <c r="M894" s="13"/>
      <c r="N894" s="13"/>
      <c r="O894" s="13"/>
      <c r="P894" s="13"/>
      <c r="Q894" s="13"/>
      <c r="R894" s="13"/>
      <c r="S894" s="13"/>
      <c r="T894" s="13"/>
      <c r="U894" s="13"/>
      <c r="V894" s="13"/>
      <c r="W894" s="13"/>
      <c r="X894" s="13"/>
      <c r="Y894" s="13"/>
      <c r="Z894" s="13"/>
      <c r="AA894" s="13"/>
    </row>
    <row r="895" ht="16.5" customHeight="1">
      <c r="A895" s="10"/>
      <c r="B895" s="10"/>
      <c r="C895" s="13"/>
      <c r="D895" s="13"/>
      <c r="E895" s="13"/>
      <c r="F895" s="205"/>
      <c r="G895" s="13"/>
      <c r="H895" s="13"/>
      <c r="I895" s="13"/>
      <c r="J895" s="13"/>
      <c r="K895" s="13"/>
      <c r="L895" s="13"/>
      <c r="M895" s="13"/>
      <c r="N895" s="13"/>
      <c r="O895" s="13"/>
      <c r="P895" s="13"/>
      <c r="Q895" s="13"/>
      <c r="R895" s="13"/>
      <c r="S895" s="13"/>
      <c r="T895" s="13"/>
      <c r="U895" s="13"/>
      <c r="V895" s="13"/>
      <c r="W895" s="13"/>
      <c r="X895" s="13"/>
      <c r="Y895" s="13"/>
      <c r="Z895" s="13"/>
      <c r="AA895" s="13"/>
    </row>
    <row r="896" ht="16.5" customHeight="1">
      <c r="A896" s="10"/>
      <c r="B896" s="10"/>
      <c r="C896" s="13"/>
      <c r="D896" s="13"/>
      <c r="E896" s="13"/>
      <c r="F896" s="205"/>
      <c r="G896" s="13"/>
      <c r="H896" s="13"/>
      <c r="I896" s="13"/>
      <c r="J896" s="13"/>
      <c r="K896" s="13"/>
      <c r="L896" s="13"/>
      <c r="M896" s="13"/>
      <c r="N896" s="13"/>
      <c r="O896" s="13"/>
      <c r="P896" s="13"/>
      <c r="Q896" s="13"/>
      <c r="R896" s="13"/>
      <c r="S896" s="13"/>
      <c r="T896" s="13"/>
      <c r="U896" s="13"/>
      <c r="V896" s="13"/>
      <c r="W896" s="13"/>
      <c r="X896" s="13"/>
      <c r="Y896" s="13"/>
      <c r="Z896" s="13"/>
      <c r="AA896" s="13"/>
    </row>
    <row r="897" ht="16.5" customHeight="1">
      <c r="A897" s="10"/>
      <c r="B897" s="10"/>
      <c r="C897" s="13"/>
      <c r="D897" s="13"/>
      <c r="E897" s="13"/>
      <c r="F897" s="205"/>
      <c r="G897" s="13"/>
      <c r="H897" s="13"/>
      <c r="I897" s="13"/>
      <c r="J897" s="13"/>
      <c r="K897" s="13"/>
      <c r="L897" s="13"/>
      <c r="M897" s="13"/>
      <c r="N897" s="13"/>
      <c r="O897" s="13"/>
      <c r="P897" s="13"/>
      <c r="Q897" s="13"/>
      <c r="R897" s="13"/>
      <c r="S897" s="13"/>
      <c r="T897" s="13"/>
      <c r="U897" s="13"/>
      <c r="V897" s="13"/>
      <c r="W897" s="13"/>
      <c r="X897" s="13"/>
      <c r="Y897" s="13"/>
      <c r="Z897" s="13"/>
      <c r="AA897" s="13"/>
    </row>
    <row r="898" ht="16.5" customHeight="1">
      <c r="A898" s="10"/>
      <c r="B898" s="10"/>
      <c r="C898" s="13"/>
      <c r="D898" s="13"/>
      <c r="E898" s="13"/>
      <c r="F898" s="205"/>
      <c r="G898" s="13"/>
      <c r="H898" s="13"/>
      <c r="I898" s="13"/>
      <c r="J898" s="13"/>
      <c r="K898" s="13"/>
      <c r="L898" s="13"/>
      <c r="M898" s="13"/>
      <c r="N898" s="13"/>
      <c r="O898" s="13"/>
      <c r="P898" s="13"/>
      <c r="Q898" s="13"/>
      <c r="R898" s="13"/>
      <c r="S898" s="13"/>
      <c r="T898" s="13"/>
      <c r="U898" s="13"/>
      <c r="V898" s="13"/>
      <c r="W898" s="13"/>
      <c r="X898" s="13"/>
      <c r="Y898" s="13"/>
      <c r="Z898" s="13"/>
      <c r="AA898" s="13"/>
    </row>
    <row r="899" ht="16.5" customHeight="1">
      <c r="A899" s="10"/>
      <c r="B899" s="10"/>
      <c r="C899" s="13"/>
      <c r="D899" s="13"/>
      <c r="E899" s="13"/>
      <c r="F899" s="205"/>
      <c r="G899" s="13"/>
      <c r="H899" s="13"/>
      <c r="I899" s="13"/>
      <c r="J899" s="13"/>
      <c r="K899" s="13"/>
      <c r="L899" s="13"/>
      <c r="M899" s="13"/>
      <c r="N899" s="13"/>
      <c r="O899" s="13"/>
      <c r="P899" s="13"/>
      <c r="Q899" s="13"/>
      <c r="R899" s="13"/>
      <c r="S899" s="13"/>
      <c r="T899" s="13"/>
      <c r="U899" s="13"/>
      <c r="V899" s="13"/>
      <c r="W899" s="13"/>
      <c r="X899" s="13"/>
      <c r="Y899" s="13"/>
      <c r="Z899" s="13"/>
      <c r="AA899" s="13"/>
    </row>
    <row r="900" ht="16.5" customHeight="1">
      <c r="A900" s="10"/>
      <c r="B900" s="10"/>
      <c r="C900" s="13"/>
      <c r="D900" s="13"/>
      <c r="E900" s="13"/>
      <c r="F900" s="205"/>
      <c r="G900" s="13"/>
      <c r="H900" s="13"/>
      <c r="I900" s="13"/>
      <c r="J900" s="13"/>
      <c r="K900" s="13"/>
      <c r="L900" s="13"/>
      <c r="M900" s="13"/>
      <c r="N900" s="13"/>
      <c r="O900" s="13"/>
      <c r="P900" s="13"/>
      <c r="Q900" s="13"/>
      <c r="R900" s="13"/>
      <c r="S900" s="13"/>
      <c r="T900" s="13"/>
      <c r="U900" s="13"/>
      <c r="V900" s="13"/>
      <c r="W900" s="13"/>
      <c r="X900" s="13"/>
      <c r="Y900" s="13"/>
      <c r="Z900" s="13"/>
      <c r="AA900" s="13"/>
    </row>
    <row r="901" ht="16.5" customHeight="1">
      <c r="A901" s="10"/>
      <c r="B901" s="10"/>
      <c r="C901" s="13"/>
      <c r="D901" s="13"/>
      <c r="E901" s="13"/>
      <c r="F901" s="205"/>
      <c r="G901" s="13"/>
      <c r="H901" s="13"/>
      <c r="I901" s="13"/>
      <c r="J901" s="13"/>
      <c r="K901" s="13"/>
      <c r="L901" s="13"/>
      <c r="M901" s="13"/>
      <c r="N901" s="13"/>
      <c r="O901" s="13"/>
      <c r="P901" s="13"/>
      <c r="Q901" s="13"/>
      <c r="R901" s="13"/>
      <c r="S901" s="13"/>
      <c r="T901" s="13"/>
      <c r="U901" s="13"/>
      <c r="V901" s="13"/>
      <c r="W901" s="13"/>
      <c r="X901" s="13"/>
      <c r="Y901" s="13"/>
      <c r="Z901" s="13"/>
      <c r="AA901" s="13"/>
    </row>
    <row r="902" ht="16.5" customHeight="1">
      <c r="A902" s="10"/>
      <c r="B902" s="10"/>
      <c r="C902" s="13"/>
      <c r="D902" s="13"/>
      <c r="E902" s="13"/>
      <c r="F902" s="205"/>
      <c r="G902" s="13"/>
      <c r="H902" s="13"/>
      <c r="I902" s="13"/>
      <c r="J902" s="13"/>
      <c r="K902" s="13"/>
      <c r="L902" s="13"/>
      <c r="M902" s="13"/>
      <c r="N902" s="13"/>
      <c r="O902" s="13"/>
      <c r="P902" s="13"/>
      <c r="Q902" s="13"/>
      <c r="R902" s="13"/>
      <c r="S902" s="13"/>
      <c r="T902" s="13"/>
      <c r="U902" s="13"/>
      <c r="V902" s="13"/>
      <c r="W902" s="13"/>
      <c r="X902" s="13"/>
      <c r="Y902" s="13"/>
      <c r="Z902" s="13"/>
      <c r="AA902" s="13"/>
    </row>
    <row r="903" ht="16.5" customHeight="1">
      <c r="A903" s="10"/>
      <c r="B903" s="10"/>
      <c r="C903" s="13"/>
      <c r="D903" s="13"/>
      <c r="E903" s="13"/>
      <c r="F903" s="205"/>
      <c r="G903" s="13"/>
      <c r="H903" s="13"/>
      <c r="I903" s="13"/>
      <c r="J903" s="13"/>
      <c r="K903" s="13"/>
      <c r="L903" s="13"/>
      <c r="M903" s="13"/>
      <c r="N903" s="13"/>
      <c r="O903" s="13"/>
      <c r="P903" s="13"/>
      <c r="Q903" s="13"/>
      <c r="R903" s="13"/>
      <c r="S903" s="13"/>
      <c r="T903" s="13"/>
      <c r="U903" s="13"/>
      <c r="V903" s="13"/>
      <c r="W903" s="13"/>
      <c r="X903" s="13"/>
      <c r="Y903" s="13"/>
      <c r="Z903" s="13"/>
      <c r="AA903" s="13"/>
    </row>
    <row r="904" ht="16.5" customHeight="1">
      <c r="A904" s="10"/>
      <c r="B904" s="10"/>
      <c r="C904" s="13"/>
      <c r="D904" s="13"/>
      <c r="E904" s="13"/>
      <c r="F904" s="205"/>
      <c r="G904" s="13"/>
      <c r="H904" s="13"/>
      <c r="I904" s="13"/>
      <c r="J904" s="13"/>
      <c r="K904" s="13"/>
      <c r="L904" s="13"/>
      <c r="M904" s="13"/>
      <c r="N904" s="13"/>
      <c r="O904" s="13"/>
      <c r="P904" s="13"/>
      <c r="Q904" s="13"/>
      <c r="R904" s="13"/>
      <c r="S904" s="13"/>
      <c r="T904" s="13"/>
      <c r="U904" s="13"/>
      <c r="V904" s="13"/>
      <c r="W904" s="13"/>
      <c r="X904" s="13"/>
      <c r="Y904" s="13"/>
      <c r="Z904" s="13"/>
      <c r="AA904" s="13"/>
    </row>
    <row r="905" ht="16.5" customHeight="1">
      <c r="A905" s="10"/>
      <c r="B905" s="10"/>
      <c r="C905" s="13"/>
      <c r="D905" s="13"/>
      <c r="E905" s="13"/>
      <c r="F905" s="205"/>
      <c r="G905" s="13"/>
      <c r="H905" s="13"/>
      <c r="I905" s="13"/>
      <c r="J905" s="13"/>
      <c r="K905" s="13"/>
      <c r="L905" s="13"/>
      <c r="M905" s="13"/>
      <c r="N905" s="13"/>
      <c r="O905" s="13"/>
      <c r="P905" s="13"/>
      <c r="Q905" s="13"/>
      <c r="R905" s="13"/>
      <c r="S905" s="13"/>
      <c r="T905" s="13"/>
      <c r="U905" s="13"/>
      <c r="V905" s="13"/>
      <c r="W905" s="13"/>
      <c r="X905" s="13"/>
      <c r="Y905" s="13"/>
      <c r="Z905" s="13"/>
      <c r="AA905" s="13"/>
    </row>
    <row r="906" ht="16.5" customHeight="1">
      <c r="A906" s="10"/>
      <c r="B906" s="10"/>
      <c r="C906" s="13"/>
      <c r="D906" s="13"/>
      <c r="E906" s="13"/>
      <c r="F906" s="205"/>
      <c r="G906" s="13"/>
      <c r="H906" s="13"/>
      <c r="I906" s="13"/>
      <c r="J906" s="13"/>
      <c r="K906" s="13"/>
      <c r="L906" s="13"/>
      <c r="M906" s="13"/>
      <c r="N906" s="13"/>
      <c r="O906" s="13"/>
      <c r="P906" s="13"/>
      <c r="Q906" s="13"/>
      <c r="R906" s="13"/>
      <c r="S906" s="13"/>
      <c r="T906" s="13"/>
      <c r="U906" s="13"/>
      <c r="V906" s="13"/>
      <c r="W906" s="13"/>
      <c r="X906" s="13"/>
      <c r="Y906" s="13"/>
      <c r="Z906" s="13"/>
      <c r="AA906" s="13"/>
    </row>
    <row r="907" ht="16.5" customHeight="1">
      <c r="A907" s="10"/>
      <c r="B907" s="10"/>
      <c r="C907" s="13"/>
      <c r="D907" s="13"/>
      <c r="E907" s="13"/>
      <c r="F907" s="205"/>
      <c r="G907" s="13"/>
      <c r="H907" s="13"/>
      <c r="I907" s="13"/>
      <c r="J907" s="13"/>
      <c r="K907" s="13"/>
      <c r="L907" s="13"/>
      <c r="M907" s="13"/>
      <c r="N907" s="13"/>
      <c r="O907" s="13"/>
      <c r="P907" s="13"/>
      <c r="Q907" s="13"/>
      <c r="R907" s="13"/>
      <c r="S907" s="13"/>
      <c r="T907" s="13"/>
      <c r="U907" s="13"/>
      <c r="V907" s="13"/>
      <c r="W907" s="13"/>
      <c r="X907" s="13"/>
      <c r="Y907" s="13"/>
      <c r="Z907" s="13"/>
      <c r="AA907" s="13"/>
    </row>
    <row r="908" ht="16.5" customHeight="1">
      <c r="A908" s="10"/>
      <c r="B908" s="10"/>
      <c r="C908" s="13"/>
      <c r="D908" s="13"/>
      <c r="E908" s="13"/>
      <c r="F908" s="205"/>
      <c r="G908" s="13"/>
      <c r="H908" s="13"/>
      <c r="I908" s="13"/>
      <c r="J908" s="13"/>
      <c r="K908" s="13"/>
      <c r="L908" s="13"/>
      <c r="M908" s="13"/>
      <c r="N908" s="13"/>
      <c r="O908" s="13"/>
      <c r="P908" s="13"/>
      <c r="Q908" s="13"/>
      <c r="R908" s="13"/>
      <c r="S908" s="13"/>
      <c r="T908" s="13"/>
      <c r="U908" s="13"/>
      <c r="V908" s="13"/>
      <c r="W908" s="13"/>
      <c r="X908" s="13"/>
      <c r="Y908" s="13"/>
      <c r="Z908" s="13"/>
      <c r="AA908" s="13"/>
    </row>
    <row r="909" ht="16.5" customHeight="1">
      <c r="A909" s="10"/>
      <c r="B909" s="10"/>
      <c r="C909" s="13"/>
      <c r="D909" s="13"/>
      <c r="E909" s="13"/>
      <c r="F909" s="205"/>
      <c r="G909" s="13"/>
      <c r="H909" s="13"/>
      <c r="I909" s="13"/>
      <c r="J909" s="13"/>
      <c r="K909" s="13"/>
      <c r="L909" s="13"/>
      <c r="M909" s="13"/>
      <c r="N909" s="13"/>
      <c r="O909" s="13"/>
      <c r="P909" s="13"/>
      <c r="Q909" s="13"/>
      <c r="R909" s="13"/>
      <c r="S909" s="13"/>
      <c r="T909" s="13"/>
      <c r="U909" s="13"/>
      <c r="V909" s="13"/>
      <c r="W909" s="13"/>
      <c r="X909" s="13"/>
      <c r="Y909" s="13"/>
      <c r="Z909" s="13"/>
      <c r="AA909" s="13"/>
    </row>
    <row r="910" ht="16.5" customHeight="1">
      <c r="A910" s="10"/>
      <c r="B910" s="10"/>
      <c r="C910" s="13"/>
      <c r="D910" s="13"/>
      <c r="E910" s="13"/>
      <c r="F910" s="205"/>
      <c r="G910" s="13"/>
      <c r="H910" s="13"/>
      <c r="I910" s="13"/>
      <c r="J910" s="13"/>
      <c r="K910" s="13"/>
      <c r="L910" s="13"/>
      <c r="M910" s="13"/>
      <c r="N910" s="13"/>
      <c r="O910" s="13"/>
      <c r="P910" s="13"/>
      <c r="Q910" s="13"/>
      <c r="R910" s="13"/>
      <c r="S910" s="13"/>
      <c r="T910" s="13"/>
      <c r="U910" s="13"/>
      <c r="V910" s="13"/>
      <c r="W910" s="13"/>
      <c r="X910" s="13"/>
      <c r="Y910" s="13"/>
      <c r="Z910" s="13"/>
      <c r="AA910" s="13"/>
    </row>
    <row r="911" ht="16.5" customHeight="1">
      <c r="A911" s="10"/>
      <c r="B911" s="10"/>
      <c r="C911" s="13"/>
      <c r="D911" s="13"/>
      <c r="E911" s="13"/>
      <c r="F911" s="205"/>
      <c r="G911" s="13"/>
      <c r="H911" s="13"/>
      <c r="I911" s="13"/>
      <c r="J911" s="13"/>
      <c r="K911" s="13"/>
      <c r="L911" s="13"/>
      <c r="M911" s="13"/>
      <c r="N911" s="13"/>
      <c r="O911" s="13"/>
      <c r="P911" s="13"/>
      <c r="Q911" s="13"/>
      <c r="R911" s="13"/>
      <c r="S911" s="13"/>
      <c r="T911" s="13"/>
      <c r="U911" s="13"/>
      <c r="V911" s="13"/>
      <c r="W911" s="13"/>
      <c r="X911" s="13"/>
      <c r="Y911" s="13"/>
      <c r="Z911" s="13"/>
      <c r="AA911" s="13"/>
    </row>
    <row r="912" ht="16.5" customHeight="1">
      <c r="A912" s="10"/>
      <c r="B912" s="10"/>
      <c r="C912" s="13"/>
      <c r="D912" s="13"/>
      <c r="E912" s="13"/>
      <c r="F912" s="205"/>
      <c r="G912" s="13"/>
      <c r="H912" s="13"/>
      <c r="I912" s="13"/>
      <c r="J912" s="13"/>
      <c r="K912" s="13"/>
      <c r="L912" s="13"/>
      <c r="M912" s="13"/>
      <c r="N912" s="13"/>
      <c r="O912" s="13"/>
      <c r="P912" s="13"/>
      <c r="Q912" s="13"/>
      <c r="R912" s="13"/>
      <c r="S912" s="13"/>
      <c r="T912" s="13"/>
      <c r="U912" s="13"/>
      <c r="V912" s="13"/>
      <c r="W912" s="13"/>
      <c r="X912" s="13"/>
      <c r="Y912" s="13"/>
      <c r="Z912" s="13"/>
      <c r="AA912" s="13"/>
    </row>
    <row r="913" ht="16.5" customHeight="1">
      <c r="A913" s="10"/>
      <c r="B913" s="10"/>
      <c r="C913" s="13"/>
      <c r="D913" s="13"/>
      <c r="E913" s="13"/>
      <c r="F913" s="205"/>
      <c r="G913" s="13"/>
      <c r="H913" s="13"/>
      <c r="I913" s="13"/>
      <c r="J913" s="13"/>
      <c r="K913" s="13"/>
      <c r="L913" s="13"/>
      <c r="M913" s="13"/>
      <c r="N913" s="13"/>
      <c r="O913" s="13"/>
      <c r="P913" s="13"/>
      <c r="Q913" s="13"/>
      <c r="R913" s="13"/>
      <c r="S913" s="13"/>
      <c r="T913" s="13"/>
      <c r="U913" s="13"/>
      <c r="V913" s="13"/>
      <c r="W913" s="13"/>
      <c r="X913" s="13"/>
      <c r="Y913" s="13"/>
      <c r="Z913" s="13"/>
      <c r="AA913" s="13"/>
    </row>
    <row r="914" ht="16.5" customHeight="1">
      <c r="A914" s="10"/>
      <c r="B914" s="10"/>
      <c r="C914" s="13"/>
      <c r="D914" s="13"/>
      <c r="E914" s="13"/>
      <c r="F914" s="205"/>
      <c r="G914" s="13"/>
      <c r="H914" s="13"/>
      <c r="I914" s="13"/>
      <c r="J914" s="13"/>
      <c r="K914" s="13"/>
      <c r="L914" s="13"/>
      <c r="M914" s="13"/>
      <c r="N914" s="13"/>
      <c r="O914" s="13"/>
      <c r="P914" s="13"/>
      <c r="Q914" s="13"/>
      <c r="R914" s="13"/>
      <c r="S914" s="13"/>
      <c r="T914" s="13"/>
      <c r="U914" s="13"/>
      <c r="V914" s="13"/>
      <c r="W914" s="13"/>
      <c r="X914" s="13"/>
      <c r="Y914" s="13"/>
      <c r="Z914" s="13"/>
      <c r="AA914" s="13"/>
    </row>
    <row r="915" ht="16.5" customHeight="1">
      <c r="A915" s="10"/>
      <c r="B915" s="10"/>
      <c r="C915" s="13"/>
      <c r="D915" s="13"/>
      <c r="E915" s="13"/>
      <c r="F915" s="205"/>
      <c r="G915" s="13"/>
      <c r="H915" s="13"/>
      <c r="I915" s="13"/>
      <c r="J915" s="13"/>
      <c r="K915" s="13"/>
      <c r="L915" s="13"/>
      <c r="M915" s="13"/>
      <c r="N915" s="13"/>
      <c r="O915" s="13"/>
      <c r="P915" s="13"/>
      <c r="Q915" s="13"/>
      <c r="R915" s="13"/>
      <c r="S915" s="13"/>
      <c r="T915" s="13"/>
      <c r="U915" s="13"/>
      <c r="V915" s="13"/>
      <c r="W915" s="13"/>
      <c r="X915" s="13"/>
      <c r="Y915" s="13"/>
      <c r="Z915" s="13"/>
      <c r="AA915" s="13"/>
    </row>
    <row r="916" ht="16.5" customHeight="1">
      <c r="A916" s="10"/>
      <c r="B916" s="10"/>
      <c r="C916" s="13"/>
      <c r="D916" s="13"/>
      <c r="E916" s="13"/>
      <c r="F916" s="205"/>
      <c r="G916" s="13"/>
      <c r="H916" s="13"/>
      <c r="I916" s="13"/>
      <c r="J916" s="13"/>
      <c r="K916" s="13"/>
      <c r="L916" s="13"/>
      <c r="M916" s="13"/>
      <c r="N916" s="13"/>
      <c r="O916" s="13"/>
      <c r="P916" s="13"/>
      <c r="Q916" s="13"/>
      <c r="R916" s="13"/>
      <c r="S916" s="13"/>
      <c r="T916" s="13"/>
      <c r="U916" s="13"/>
      <c r="V916" s="13"/>
      <c r="W916" s="13"/>
      <c r="X916" s="13"/>
      <c r="Y916" s="13"/>
      <c r="Z916" s="13"/>
      <c r="AA916" s="13"/>
    </row>
    <row r="917" ht="16.5" customHeight="1">
      <c r="A917" s="10"/>
      <c r="B917" s="10"/>
      <c r="C917" s="13"/>
      <c r="D917" s="13"/>
      <c r="E917" s="13"/>
      <c r="F917" s="205"/>
      <c r="G917" s="13"/>
      <c r="H917" s="13"/>
      <c r="I917" s="13"/>
      <c r="J917" s="13"/>
      <c r="K917" s="13"/>
      <c r="L917" s="13"/>
      <c r="M917" s="13"/>
      <c r="N917" s="13"/>
      <c r="O917" s="13"/>
      <c r="P917" s="13"/>
      <c r="Q917" s="13"/>
      <c r="R917" s="13"/>
      <c r="S917" s="13"/>
      <c r="T917" s="13"/>
      <c r="U917" s="13"/>
      <c r="V917" s="13"/>
      <c r="W917" s="13"/>
      <c r="X917" s="13"/>
      <c r="Y917" s="13"/>
      <c r="Z917" s="13"/>
      <c r="AA917" s="13"/>
    </row>
    <row r="918" ht="16.5" customHeight="1">
      <c r="A918" s="10"/>
      <c r="B918" s="10"/>
      <c r="C918" s="13"/>
      <c r="D918" s="13"/>
      <c r="E918" s="13"/>
      <c r="F918" s="205"/>
      <c r="G918" s="13"/>
      <c r="H918" s="13"/>
      <c r="I918" s="13"/>
      <c r="J918" s="13"/>
      <c r="K918" s="13"/>
      <c r="L918" s="13"/>
      <c r="M918" s="13"/>
      <c r="N918" s="13"/>
      <c r="O918" s="13"/>
      <c r="P918" s="13"/>
      <c r="Q918" s="13"/>
      <c r="R918" s="13"/>
      <c r="S918" s="13"/>
      <c r="T918" s="13"/>
      <c r="U918" s="13"/>
      <c r="V918" s="13"/>
      <c r="W918" s="13"/>
      <c r="X918" s="13"/>
      <c r="Y918" s="13"/>
      <c r="Z918" s="13"/>
      <c r="AA918" s="13"/>
    </row>
    <row r="919" ht="16.5" customHeight="1">
      <c r="A919" s="10"/>
      <c r="B919" s="10"/>
      <c r="C919" s="13"/>
      <c r="D919" s="13"/>
      <c r="E919" s="13"/>
      <c r="F919" s="205"/>
      <c r="G919" s="13"/>
      <c r="H919" s="13"/>
      <c r="I919" s="13"/>
      <c r="J919" s="13"/>
      <c r="K919" s="13"/>
      <c r="L919" s="13"/>
      <c r="M919" s="13"/>
      <c r="N919" s="13"/>
      <c r="O919" s="13"/>
      <c r="P919" s="13"/>
      <c r="Q919" s="13"/>
      <c r="R919" s="13"/>
      <c r="S919" s="13"/>
      <c r="T919" s="13"/>
      <c r="U919" s="13"/>
      <c r="V919" s="13"/>
      <c r="W919" s="13"/>
      <c r="X919" s="13"/>
      <c r="Y919" s="13"/>
      <c r="Z919" s="13"/>
      <c r="AA919" s="13"/>
    </row>
    <row r="920" ht="16.5" customHeight="1">
      <c r="A920" s="10"/>
      <c r="B920" s="10"/>
      <c r="C920" s="13"/>
      <c r="D920" s="13"/>
      <c r="E920" s="13"/>
      <c r="F920" s="205"/>
      <c r="G920" s="13"/>
      <c r="H920" s="13"/>
      <c r="I920" s="13"/>
      <c r="J920" s="13"/>
      <c r="K920" s="13"/>
      <c r="L920" s="13"/>
      <c r="M920" s="13"/>
      <c r="N920" s="13"/>
      <c r="O920" s="13"/>
      <c r="P920" s="13"/>
      <c r="Q920" s="13"/>
      <c r="R920" s="13"/>
      <c r="S920" s="13"/>
      <c r="T920" s="13"/>
      <c r="U920" s="13"/>
      <c r="V920" s="13"/>
      <c r="W920" s="13"/>
      <c r="X920" s="13"/>
      <c r="Y920" s="13"/>
      <c r="Z920" s="13"/>
      <c r="AA920" s="13"/>
    </row>
    <row r="921" ht="16.5" customHeight="1">
      <c r="A921" s="10"/>
      <c r="B921" s="10"/>
      <c r="C921" s="13"/>
      <c r="D921" s="13"/>
      <c r="E921" s="13"/>
      <c r="F921" s="205"/>
      <c r="G921" s="13"/>
      <c r="H921" s="13"/>
      <c r="I921" s="13"/>
      <c r="J921" s="13"/>
      <c r="K921" s="13"/>
      <c r="L921" s="13"/>
      <c r="M921" s="13"/>
      <c r="N921" s="13"/>
      <c r="O921" s="13"/>
      <c r="P921" s="13"/>
      <c r="Q921" s="13"/>
      <c r="R921" s="13"/>
      <c r="S921" s="13"/>
      <c r="T921" s="13"/>
      <c r="U921" s="13"/>
      <c r="V921" s="13"/>
      <c r="W921" s="13"/>
      <c r="X921" s="13"/>
      <c r="Y921" s="13"/>
      <c r="Z921" s="13"/>
      <c r="AA921" s="13"/>
    </row>
    <row r="922" ht="16.5" customHeight="1">
      <c r="A922" s="10"/>
      <c r="B922" s="10"/>
      <c r="C922" s="13"/>
      <c r="D922" s="13"/>
      <c r="E922" s="13"/>
      <c r="F922" s="205"/>
      <c r="G922" s="13"/>
      <c r="H922" s="13"/>
      <c r="I922" s="13"/>
      <c r="J922" s="13"/>
      <c r="K922" s="13"/>
      <c r="L922" s="13"/>
      <c r="M922" s="13"/>
      <c r="N922" s="13"/>
      <c r="O922" s="13"/>
      <c r="P922" s="13"/>
      <c r="Q922" s="13"/>
      <c r="R922" s="13"/>
      <c r="S922" s="13"/>
      <c r="T922" s="13"/>
      <c r="U922" s="13"/>
      <c r="V922" s="13"/>
      <c r="W922" s="13"/>
      <c r="X922" s="13"/>
      <c r="Y922" s="13"/>
      <c r="Z922" s="13"/>
      <c r="AA922" s="13"/>
    </row>
    <row r="923" ht="16.5" customHeight="1">
      <c r="A923" s="10"/>
      <c r="B923" s="10"/>
      <c r="C923" s="13"/>
      <c r="D923" s="13"/>
      <c r="E923" s="13"/>
      <c r="F923" s="205"/>
      <c r="G923" s="13"/>
      <c r="H923" s="13"/>
      <c r="I923" s="13"/>
      <c r="J923" s="13"/>
      <c r="K923" s="13"/>
      <c r="L923" s="13"/>
      <c r="M923" s="13"/>
      <c r="N923" s="13"/>
      <c r="O923" s="13"/>
      <c r="P923" s="13"/>
      <c r="Q923" s="13"/>
      <c r="R923" s="13"/>
      <c r="S923" s="13"/>
      <c r="T923" s="13"/>
      <c r="U923" s="13"/>
      <c r="V923" s="13"/>
      <c r="W923" s="13"/>
      <c r="X923" s="13"/>
      <c r="Y923" s="13"/>
      <c r="Z923" s="13"/>
      <c r="AA923" s="13"/>
    </row>
    <row r="924" ht="16.5" customHeight="1">
      <c r="A924" s="10"/>
      <c r="B924" s="10"/>
      <c r="C924" s="13"/>
      <c r="D924" s="13"/>
      <c r="E924" s="13"/>
      <c r="F924" s="205"/>
      <c r="G924" s="13"/>
      <c r="H924" s="13"/>
      <c r="I924" s="13"/>
      <c r="J924" s="13"/>
      <c r="K924" s="13"/>
      <c r="L924" s="13"/>
      <c r="M924" s="13"/>
      <c r="N924" s="13"/>
      <c r="O924" s="13"/>
      <c r="P924" s="13"/>
      <c r="Q924" s="13"/>
      <c r="R924" s="13"/>
      <c r="S924" s="13"/>
      <c r="T924" s="13"/>
      <c r="U924" s="13"/>
      <c r="V924" s="13"/>
      <c r="W924" s="13"/>
      <c r="X924" s="13"/>
      <c r="Y924" s="13"/>
      <c r="Z924" s="13"/>
      <c r="AA924" s="13"/>
    </row>
    <row r="925" ht="16.5" customHeight="1">
      <c r="A925" s="10"/>
      <c r="B925" s="10"/>
      <c r="C925" s="13"/>
      <c r="D925" s="13"/>
      <c r="E925" s="13"/>
      <c r="F925" s="205"/>
      <c r="G925" s="13"/>
      <c r="H925" s="13"/>
      <c r="I925" s="13"/>
      <c r="J925" s="13"/>
      <c r="K925" s="13"/>
      <c r="L925" s="13"/>
      <c r="M925" s="13"/>
      <c r="N925" s="13"/>
      <c r="O925" s="13"/>
      <c r="P925" s="13"/>
      <c r="Q925" s="13"/>
      <c r="R925" s="13"/>
      <c r="S925" s="13"/>
      <c r="T925" s="13"/>
      <c r="U925" s="13"/>
      <c r="V925" s="13"/>
      <c r="W925" s="13"/>
      <c r="X925" s="13"/>
      <c r="Y925" s="13"/>
      <c r="Z925" s="13"/>
      <c r="AA925" s="13"/>
    </row>
    <row r="926" ht="16.5" customHeight="1">
      <c r="A926" s="10"/>
      <c r="B926" s="10"/>
      <c r="C926" s="13"/>
      <c r="D926" s="13"/>
      <c r="E926" s="13"/>
      <c r="F926" s="205"/>
      <c r="G926" s="13"/>
      <c r="H926" s="13"/>
      <c r="I926" s="13"/>
      <c r="J926" s="13"/>
      <c r="K926" s="13"/>
      <c r="L926" s="13"/>
      <c r="M926" s="13"/>
      <c r="N926" s="13"/>
      <c r="O926" s="13"/>
      <c r="P926" s="13"/>
      <c r="Q926" s="13"/>
      <c r="R926" s="13"/>
      <c r="S926" s="13"/>
      <c r="T926" s="13"/>
      <c r="U926" s="13"/>
      <c r="V926" s="13"/>
      <c r="W926" s="13"/>
      <c r="X926" s="13"/>
      <c r="Y926" s="13"/>
      <c r="Z926" s="13"/>
      <c r="AA926" s="13"/>
    </row>
    <row r="927" ht="16.5" customHeight="1">
      <c r="A927" s="10"/>
      <c r="B927" s="10"/>
      <c r="C927" s="13"/>
      <c r="D927" s="13"/>
      <c r="E927" s="13"/>
      <c r="F927" s="205"/>
      <c r="G927" s="13"/>
      <c r="H927" s="13"/>
      <c r="I927" s="13"/>
      <c r="J927" s="13"/>
      <c r="K927" s="13"/>
      <c r="L927" s="13"/>
      <c r="M927" s="13"/>
      <c r="N927" s="13"/>
      <c r="O927" s="13"/>
      <c r="P927" s="13"/>
      <c r="Q927" s="13"/>
      <c r="R927" s="13"/>
      <c r="S927" s="13"/>
      <c r="T927" s="13"/>
      <c r="U927" s="13"/>
      <c r="V927" s="13"/>
      <c r="W927" s="13"/>
      <c r="X927" s="13"/>
      <c r="Y927" s="13"/>
      <c r="Z927" s="13"/>
      <c r="AA927" s="13"/>
    </row>
    <row r="928" ht="16.5" customHeight="1">
      <c r="A928" s="10"/>
      <c r="B928" s="10"/>
      <c r="C928" s="13"/>
      <c r="D928" s="13"/>
      <c r="E928" s="13"/>
      <c r="F928" s="205"/>
      <c r="G928" s="13"/>
      <c r="H928" s="13"/>
      <c r="I928" s="13"/>
      <c r="J928" s="13"/>
      <c r="K928" s="13"/>
      <c r="L928" s="13"/>
      <c r="M928" s="13"/>
      <c r="N928" s="13"/>
      <c r="O928" s="13"/>
      <c r="P928" s="13"/>
      <c r="Q928" s="13"/>
      <c r="R928" s="13"/>
      <c r="S928" s="13"/>
      <c r="T928" s="13"/>
      <c r="U928" s="13"/>
      <c r="V928" s="13"/>
      <c r="W928" s="13"/>
      <c r="X928" s="13"/>
      <c r="Y928" s="13"/>
      <c r="Z928" s="13"/>
      <c r="AA928" s="13"/>
    </row>
    <row r="929" ht="16.5" customHeight="1">
      <c r="A929" s="10"/>
      <c r="B929" s="10"/>
      <c r="C929" s="13"/>
      <c r="D929" s="13"/>
      <c r="E929" s="13"/>
      <c r="F929" s="205"/>
      <c r="G929" s="13"/>
      <c r="H929" s="13"/>
      <c r="I929" s="13"/>
      <c r="J929" s="13"/>
      <c r="K929" s="13"/>
      <c r="L929" s="13"/>
      <c r="M929" s="13"/>
      <c r="N929" s="13"/>
      <c r="O929" s="13"/>
      <c r="P929" s="13"/>
      <c r="Q929" s="13"/>
      <c r="R929" s="13"/>
      <c r="S929" s="13"/>
      <c r="T929" s="13"/>
      <c r="U929" s="13"/>
      <c r="V929" s="13"/>
      <c r="W929" s="13"/>
      <c r="X929" s="13"/>
      <c r="Y929" s="13"/>
      <c r="Z929" s="13"/>
      <c r="AA929" s="13"/>
    </row>
    <row r="930" ht="16.5" customHeight="1">
      <c r="A930" s="10"/>
      <c r="B930" s="10"/>
      <c r="C930" s="13"/>
      <c r="D930" s="13"/>
      <c r="E930" s="13"/>
      <c r="F930" s="205"/>
      <c r="G930" s="13"/>
      <c r="H930" s="13"/>
      <c r="I930" s="13"/>
      <c r="J930" s="13"/>
      <c r="K930" s="13"/>
      <c r="L930" s="13"/>
      <c r="M930" s="13"/>
      <c r="N930" s="13"/>
      <c r="O930" s="13"/>
      <c r="P930" s="13"/>
      <c r="Q930" s="13"/>
      <c r="R930" s="13"/>
      <c r="S930" s="13"/>
      <c r="T930" s="13"/>
      <c r="U930" s="13"/>
      <c r="V930" s="13"/>
      <c r="W930" s="13"/>
      <c r="X930" s="13"/>
      <c r="Y930" s="13"/>
      <c r="Z930" s="13"/>
      <c r="AA930" s="13"/>
    </row>
    <row r="931" ht="16.5" customHeight="1">
      <c r="A931" s="10"/>
      <c r="B931" s="10"/>
      <c r="C931" s="13"/>
      <c r="D931" s="13"/>
      <c r="E931" s="13"/>
      <c r="F931" s="205"/>
      <c r="G931" s="13"/>
      <c r="H931" s="13"/>
      <c r="I931" s="13"/>
      <c r="J931" s="13"/>
      <c r="K931" s="13"/>
      <c r="L931" s="13"/>
      <c r="M931" s="13"/>
      <c r="N931" s="13"/>
      <c r="O931" s="13"/>
      <c r="P931" s="13"/>
      <c r="Q931" s="13"/>
      <c r="R931" s="13"/>
      <c r="S931" s="13"/>
      <c r="T931" s="13"/>
      <c r="U931" s="13"/>
      <c r="V931" s="13"/>
      <c r="W931" s="13"/>
      <c r="X931" s="13"/>
      <c r="Y931" s="13"/>
      <c r="Z931" s="13"/>
      <c r="AA931" s="13"/>
    </row>
    <row r="932" ht="16.5" customHeight="1">
      <c r="A932" s="10"/>
      <c r="B932" s="10"/>
      <c r="C932" s="13"/>
      <c r="D932" s="13"/>
      <c r="E932" s="13"/>
      <c r="F932" s="205"/>
      <c r="G932" s="13"/>
      <c r="H932" s="13"/>
      <c r="I932" s="13"/>
      <c r="J932" s="13"/>
      <c r="K932" s="13"/>
      <c r="L932" s="13"/>
      <c r="M932" s="13"/>
      <c r="N932" s="13"/>
      <c r="O932" s="13"/>
      <c r="P932" s="13"/>
      <c r="Q932" s="13"/>
      <c r="R932" s="13"/>
      <c r="S932" s="13"/>
      <c r="T932" s="13"/>
      <c r="U932" s="13"/>
      <c r="V932" s="13"/>
      <c r="W932" s="13"/>
      <c r="X932" s="13"/>
      <c r="Y932" s="13"/>
      <c r="Z932" s="13"/>
      <c r="AA932" s="13"/>
    </row>
    <row r="933" ht="16.5" customHeight="1">
      <c r="A933" s="10"/>
      <c r="B933" s="10"/>
      <c r="C933" s="13"/>
      <c r="D933" s="13"/>
      <c r="E933" s="13"/>
      <c r="F933" s="205"/>
      <c r="G933" s="13"/>
      <c r="H933" s="13"/>
      <c r="I933" s="13"/>
      <c r="J933" s="13"/>
      <c r="K933" s="13"/>
      <c r="L933" s="13"/>
      <c r="M933" s="13"/>
      <c r="N933" s="13"/>
      <c r="O933" s="13"/>
      <c r="P933" s="13"/>
      <c r="Q933" s="13"/>
      <c r="R933" s="13"/>
      <c r="S933" s="13"/>
      <c r="T933" s="13"/>
      <c r="U933" s="13"/>
      <c r="V933" s="13"/>
      <c r="W933" s="13"/>
      <c r="X933" s="13"/>
      <c r="Y933" s="13"/>
      <c r="Z933" s="13"/>
      <c r="AA933" s="13"/>
    </row>
    <row r="934" ht="16.5" customHeight="1">
      <c r="A934" s="10"/>
      <c r="B934" s="10"/>
      <c r="C934" s="13"/>
      <c r="D934" s="13"/>
      <c r="E934" s="13"/>
      <c r="F934" s="205"/>
      <c r="G934" s="13"/>
      <c r="H934" s="13"/>
      <c r="I934" s="13"/>
      <c r="J934" s="13"/>
      <c r="K934" s="13"/>
      <c r="L934" s="13"/>
      <c r="M934" s="13"/>
      <c r="N934" s="13"/>
      <c r="O934" s="13"/>
      <c r="P934" s="13"/>
      <c r="Q934" s="13"/>
      <c r="R934" s="13"/>
      <c r="S934" s="13"/>
      <c r="T934" s="13"/>
      <c r="U934" s="13"/>
      <c r="V934" s="13"/>
      <c r="W934" s="13"/>
      <c r="X934" s="13"/>
      <c r="Y934" s="13"/>
      <c r="Z934" s="13"/>
      <c r="AA934" s="13"/>
    </row>
    <row r="935" ht="16.5" customHeight="1">
      <c r="A935" s="10"/>
      <c r="B935" s="10"/>
      <c r="C935" s="13"/>
      <c r="D935" s="13"/>
      <c r="E935" s="13"/>
      <c r="F935" s="205"/>
      <c r="G935" s="13"/>
      <c r="H935" s="13"/>
      <c r="I935" s="13"/>
      <c r="J935" s="13"/>
      <c r="K935" s="13"/>
      <c r="L935" s="13"/>
      <c r="M935" s="13"/>
      <c r="N935" s="13"/>
      <c r="O935" s="13"/>
      <c r="P935" s="13"/>
      <c r="Q935" s="13"/>
      <c r="R935" s="13"/>
      <c r="S935" s="13"/>
      <c r="T935" s="13"/>
      <c r="U935" s="13"/>
      <c r="V935" s="13"/>
      <c r="W935" s="13"/>
      <c r="X935" s="13"/>
      <c r="Y935" s="13"/>
      <c r="Z935" s="13"/>
      <c r="AA935" s="13"/>
    </row>
    <row r="936" ht="16.5" customHeight="1">
      <c r="A936" s="10"/>
      <c r="B936" s="10"/>
      <c r="C936" s="13"/>
      <c r="D936" s="13"/>
      <c r="E936" s="13"/>
      <c r="F936" s="205"/>
      <c r="G936" s="13"/>
      <c r="H936" s="13"/>
      <c r="I936" s="13"/>
      <c r="J936" s="13"/>
      <c r="K936" s="13"/>
      <c r="L936" s="13"/>
      <c r="M936" s="13"/>
      <c r="N936" s="13"/>
      <c r="O936" s="13"/>
      <c r="P936" s="13"/>
      <c r="Q936" s="13"/>
      <c r="R936" s="13"/>
      <c r="S936" s="13"/>
      <c r="T936" s="13"/>
      <c r="U936" s="13"/>
      <c r="V936" s="13"/>
      <c r="W936" s="13"/>
      <c r="X936" s="13"/>
      <c r="Y936" s="13"/>
      <c r="Z936" s="13"/>
      <c r="AA936" s="13"/>
    </row>
    <row r="937" ht="16.5" customHeight="1">
      <c r="A937" s="10"/>
      <c r="B937" s="10"/>
      <c r="C937" s="13"/>
      <c r="D937" s="13"/>
      <c r="E937" s="13"/>
      <c r="F937" s="205"/>
      <c r="G937" s="13"/>
      <c r="H937" s="13"/>
      <c r="I937" s="13"/>
      <c r="J937" s="13"/>
      <c r="K937" s="13"/>
      <c r="L937" s="13"/>
      <c r="M937" s="13"/>
      <c r="N937" s="13"/>
      <c r="O937" s="13"/>
      <c r="P937" s="13"/>
      <c r="Q937" s="13"/>
      <c r="R937" s="13"/>
      <c r="S937" s="13"/>
      <c r="T937" s="13"/>
      <c r="U937" s="13"/>
      <c r="V937" s="13"/>
      <c r="W937" s="13"/>
      <c r="X937" s="13"/>
      <c r="Y937" s="13"/>
      <c r="Z937" s="13"/>
      <c r="AA937" s="13"/>
    </row>
    <row r="938" ht="16.5" customHeight="1">
      <c r="A938" s="10"/>
      <c r="B938" s="10"/>
      <c r="C938" s="13"/>
      <c r="D938" s="13"/>
      <c r="E938" s="13"/>
      <c r="F938" s="205"/>
      <c r="G938" s="13"/>
      <c r="H938" s="13"/>
      <c r="I938" s="13"/>
      <c r="J938" s="13"/>
      <c r="K938" s="13"/>
      <c r="L938" s="13"/>
      <c r="M938" s="13"/>
      <c r="N938" s="13"/>
      <c r="O938" s="13"/>
      <c r="P938" s="13"/>
      <c r="Q938" s="13"/>
      <c r="R938" s="13"/>
      <c r="S938" s="13"/>
      <c r="T938" s="13"/>
      <c r="U938" s="13"/>
      <c r="V938" s="13"/>
      <c r="W938" s="13"/>
      <c r="X938" s="13"/>
      <c r="Y938" s="13"/>
      <c r="Z938" s="13"/>
      <c r="AA938" s="13"/>
    </row>
    <row r="939" ht="16.5" customHeight="1">
      <c r="A939" s="10"/>
      <c r="B939" s="10"/>
      <c r="C939" s="13"/>
      <c r="D939" s="13"/>
      <c r="E939" s="13"/>
      <c r="F939" s="205"/>
      <c r="G939" s="13"/>
      <c r="H939" s="13"/>
      <c r="I939" s="13"/>
      <c r="J939" s="13"/>
      <c r="K939" s="13"/>
      <c r="L939" s="13"/>
      <c r="M939" s="13"/>
      <c r="N939" s="13"/>
      <c r="O939" s="13"/>
      <c r="P939" s="13"/>
      <c r="Q939" s="13"/>
      <c r="R939" s="13"/>
      <c r="S939" s="13"/>
      <c r="T939" s="13"/>
      <c r="U939" s="13"/>
      <c r="V939" s="13"/>
      <c r="W939" s="13"/>
      <c r="X939" s="13"/>
      <c r="Y939" s="13"/>
      <c r="Z939" s="13"/>
      <c r="AA939" s="13"/>
    </row>
    <row r="940" ht="16.5" customHeight="1">
      <c r="A940" s="10"/>
      <c r="B940" s="10"/>
      <c r="C940" s="13"/>
      <c r="D940" s="13"/>
      <c r="E940" s="13"/>
      <c r="F940" s="205"/>
      <c r="G940" s="13"/>
      <c r="H940" s="13"/>
      <c r="I940" s="13"/>
      <c r="J940" s="13"/>
      <c r="K940" s="13"/>
      <c r="L940" s="13"/>
      <c r="M940" s="13"/>
      <c r="N940" s="13"/>
      <c r="O940" s="13"/>
      <c r="P940" s="13"/>
      <c r="Q940" s="13"/>
      <c r="R940" s="13"/>
      <c r="S940" s="13"/>
      <c r="T940" s="13"/>
      <c r="U940" s="13"/>
      <c r="V940" s="13"/>
      <c r="W940" s="13"/>
      <c r="X940" s="13"/>
      <c r="Y940" s="13"/>
      <c r="Z940" s="13"/>
      <c r="AA940" s="13"/>
    </row>
    <row r="941" ht="16.5" customHeight="1">
      <c r="A941" s="10"/>
      <c r="B941" s="10"/>
      <c r="C941" s="13"/>
      <c r="D941" s="13"/>
      <c r="E941" s="13"/>
      <c r="F941" s="205"/>
      <c r="G941" s="13"/>
      <c r="H941" s="13"/>
      <c r="I941" s="13"/>
      <c r="J941" s="13"/>
      <c r="K941" s="13"/>
      <c r="L941" s="13"/>
      <c r="M941" s="13"/>
      <c r="N941" s="13"/>
      <c r="O941" s="13"/>
      <c r="P941" s="13"/>
      <c r="Q941" s="13"/>
      <c r="R941" s="13"/>
      <c r="S941" s="13"/>
      <c r="T941" s="13"/>
      <c r="U941" s="13"/>
      <c r="V941" s="13"/>
      <c r="W941" s="13"/>
      <c r="X941" s="13"/>
      <c r="Y941" s="13"/>
      <c r="Z941" s="13"/>
      <c r="AA941" s="13"/>
    </row>
    <row r="942" ht="16.5" customHeight="1">
      <c r="A942" s="10"/>
      <c r="B942" s="10"/>
      <c r="C942" s="13"/>
      <c r="D942" s="13"/>
      <c r="E942" s="13"/>
      <c r="F942" s="205"/>
      <c r="G942" s="13"/>
      <c r="H942" s="13"/>
      <c r="I942" s="13"/>
      <c r="J942" s="13"/>
      <c r="K942" s="13"/>
      <c r="L942" s="13"/>
      <c r="M942" s="13"/>
      <c r="N942" s="13"/>
      <c r="O942" s="13"/>
      <c r="P942" s="13"/>
      <c r="Q942" s="13"/>
      <c r="R942" s="13"/>
      <c r="S942" s="13"/>
      <c r="T942" s="13"/>
      <c r="U942" s="13"/>
      <c r="V942" s="13"/>
      <c r="W942" s="13"/>
      <c r="X942" s="13"/>
      <c r="Y942" s="13"/>
      <c r="Z942" s="13"/>
      <c r="AA942" s="13"/>
    </row>
    <row r="943" ht="16.5" customHeight="1">
      <c r="A943" s="10"/>
      <c r="B943" s="10"/>
      <c r="C943" s="13"/>
      <c r="D943" s="13"/>
      <c r="E943" s="13"/>
      <c r="F943" s="205"/>
      <c r="G943" s="13"/>
      <c r="H943" s="13"/>
      <c r="I943" s="13"/>
      <c r="J943" s="13"/>
      <c r="K943" s="13"/>
      <c r="L943" s="13"/>
      <c r="M943" s="13"/>
      <c r="N943" s="13"/>
      <c r="O943" s="13"/>
      <c r="P943" s="13"/>
      <c r="Q943" s="13"/>
      <c r="R943" s="13"/>
      <c r="S943" s="13"/>
      <c r="T943" s="13"/>
      <c r="U943" s="13"/>
      <c r="V943" s="13"/>
      <c r="W943" s="13"/>
      <c r="X943" s="13"/>
      <c r="Y943" s="13"/>
      <c r="Z943" s="13"/>
      <c r="AA943" s="13"/>
    </row>
    <row r="944" ht="16.5" customHeight="1">
      <c r="A944" s="10"/>
      <c r="B944" s="10"/>
      <c r="C944" s="13"/>
      <c r="D944" s="13"/>
      <c r="E944" s="13"/>
      <c r="F944" s="205"/>
      <c r="G944" s="13"/>
      <c r="H944" s="13"/>
      <c r="I944" s="13"/>
      <c r="J944" s="13"/>
      <c r="K944" s="13"/>
      <c r="L944" s="13"/>
      <c r="M944" s="13"/>
      <c r="N944" s="13"/>
      <c r="O944" s="13"/>
      <c r="P944" s="13"/>
      <c r="Q944" s="13"/>
      <c r="R944" s="13"/>
      <c r="S944" s="13"/>
      <c r="T944" s="13"/>
      <c r="U944" s="13"/>
      <c r="V944" s="13"/>
      <c r="W944" s="13"/>
      <c r="X944" s="13"/>
      <c r="Y944" s="13"/>
      <c r="Z944" s="13"/>
      <c r="AA944" s="13"/>
    </row>
    <row r="945" ht="16.5" customHeight="1">
      <c r="A945" s="10"/>
      <c r="B945" s="10"/>
      <c r="C945" s="13"/>
      <c r="D945" s="13"/>
      <c r="E945" s="13"/>
      <c r="F945" s="205"/>
      <c r="G945" s="13"/>
      <c r="H945" s="13"/>
      <c r="I945" s="13"/>
      <c r="J945" s="13"/>
      <c r="K945" s="13"/>
      <c r="L945" s="13"/>
      <c r="M945" s="13"/>
      <c r="N945" s="13"/>
      <c r="O945" s="13"/>
      <c r="P945" s="13"/>
      <c r="Q945" s="13"/>
      <c r="R945" s="13"/>
      <c r="S945" s="13"/>
      <c r="T945" s="13"/>
      <c r="U945" s="13"/>
      <c r="V945" s="13"/>
      <c r="W945" s="13"/>
      <c r="X945" s="13"/>
      <c r="Y945" s="13"/>
      <c r="Z945" s="13"/>
      <c r="AA945" s="13"/>
    </row>
    <row r="946" ht="16.5" customHeight="1">
      <c r="A946" s="10"/>
      <c r="B946" s="10"/>
      <c r="C946" s="13"/>
      <c r="D946" s="13"/>
      <c r="E946" s="13"/>
      <c r="F946" s="205"/>
      <c r="G946" s="13"/>
      <c r="H946" s="13"/>
      <c r="I946" s="13"/>
      <c r="J946" s="13"/>
      <c r="K946" s="13"/>
      <c r="L946" s="13"/>
      <c r="M946" s="13"/>
      <c r="N946" s="13"/>
      <c r="O946" s="13"/>
      <c r="P946" s="13"/>
      <c r="Q946" s="13"/>
      <c r="R946" s="13"/>
      <c r="S946" s="13"/>
      <c r="T946" s="13"/>
      <c r="U946" s="13"/>
      <c r="V946" s="13"/>
      <c r="W946" s="13"/>
      <c r="X946" s="13"/>
      <c r="Y946" s="13"/>
      <c r="Z946" s="13"/>
      <c r="AA946" s="13"/>
    </row>
    <row r="947" ht="16.5" customHeight="1">
      <c r="A947" s="10"/>
      <c r="B947" s="10"/>
      <c r="C947" s="13"/>
      <c r="D947" s="13"/>
      <c r="E947" s="13"/>
      <c r="F947" s="205"/>
      <c r="G947" s="13"/>
      <c r="H947" s="13"/>
      <c r="I947" s="13"/>
      <c r="J947" s="13"/>
      <c r="K947" s="13"/>
      <c r="L947" s="13"/>
      <c r="M947" s="13"/>
      <c r="N947" s="13"/>
      <c r="O947" s="13"/>
      <c r="P947" s="13"/>
      <c r="Q947" s="13"/>
      <c r="R947" s="13"/>
      <c r="S947" s="13"/>
      <c r="T947" s="13"/>
      <c r="U947" s="13"/>
      <c r="V947" s="13"/>
      <c r="W947" s="13"/>
      <c r="X947" s="13"/>
      <c r="Y947" s="13"/>
      <c r="Z947" s="13"/>
      <c r="AA947" s="13"/>
    </row>
    <row r="948" ht="16.5" customHeight="1">
      <c r="A948" s="10"/>
      <c r="B948" s="10"/>
      <c r="C948" s="13"/>
      <c r="D948" s="13"/>
      <c r="E948" s="13"/>
      <c r="F948" s="205"/>
      <c r="G948" s="13"/>
      <c r="H948" s="13"/>
      <c r="I948" s="13"/>
      <c r="J948" s="13"/>
      <c r="K948" s="13"/>
      <c r="L948" s="13"/>
      <c r="M948" s="13"/>
      <c r="N948" s="13"/>
      <c r="O948" s="13"/>
      <c r="P948" s="13"/>
      <c r="Q948" s="13"/>
      <c r="R948" s="13"/>
      <c r="S948" s="13"/>
      <c r="T948" s="13"/>
      <c r="U948" s="13"/>
      <c r="V948" s="13"/>
      <c r="W948" s="13"/>
      <c r="X948" s="13"/>
      <c r="Y948" s="13"/>
      <c r="Z948" s="13"/>
      <c r="AA948" s="13"/>
    </row>
    <row r="949" ht="16.5" customHeight="1">
      <c r="A949" s="10"/>
      <c r="B949" s="10"/>
      <c r="C949" s="13"/>
      <c r="D949" s="13"/>
      <c r="E949" s="13"/>
      <c r="F949" s="205"/>
      <c r="G949" s="13"/>
      <c r="H949" s="13"/>
      <c r="I949" s="13"/>
      <c r="J949" s="13"/>
      <c r="K949" s="13"/>
      <c r="L949" s="13"/>
      <c r="M949" s="13"/>
      <c r="N949" s="13"/>
      <c r="O949" s="13"/>
      <c r="P949" s="13"/>
      <c r="Q949" s="13"/>
      <c r="R949" s="13"/>
      <c r="S949" s="13"/>
      <c r="T949" s="13"/>
      <c r="U949" s="13"/>
      <c r="V949" s="13"/>
      <c r="W949" s="13"/>
      <c r="X949" s="13"/>
      <c r="Y949" s="13"/>
      <c r="Z949" s="13"/>
      <c r="AA949" s="13"/>
    </row>
    <row r="950" ht="16.5" customHeight="1">
      <c r="A950" s="10"/>
      <c r="B950" s="10"/>
      <c r="C950" s="13"/>
      <c r="D950" s="13"/>
      <c r="E950" s="13"/>
      <c r="F950" s="205"/>
      <c r="G950" s="13"/>
      <c r="H950" s="13"/>
      <c r="I950" s="13"/>
      <c r="J950" s="13"/>
      <c r="K950" s="13"/>
      <c r="L950" s="13"/>
      <c r="M950" s="13"/>
      <c r="N950" s="13"/>
      <c r="O950" s="13"/>
      <c r="P950" s="13"/>
      <c r="Q950" s="13"/>
      <c r="R950" s="13"/>
      <c r="S950" s="13"/>
      <c r="T950" s="13"/>
      <c r="U950" s="13"/>
      <c r="V950" s="13"/>
      <c r="W950" s="13"/>
      <c r="X950" s="13"/>
      <c r="Y950" s="13"/>
      <c r="Z950" s="13"/>
      <c r="AA950" s="13"/>
    </row>
    <row r="951" ht="16.5" customHeight="1">
      <c r="A951" s="10"/>
      <c r="B951" s="10"/>
      <c r="C951" s="13"/>
      <c r="D951" s="13"/>
      <c r="E951" s="13"/>
      <c r="F951" s="205"/>
      <c r="G951" s="13"/>
      <c r="H951" s="13"/>
      <c r="I951" s="13"/>
      <c r="J951" s="13"/>
      <c r="K951" s="13"/>
      <c r="L951" s="13"/>
      <c r="M951" s="13"/>
      <c r="N951" s="13"/>
      <c r="O951" s="13"/>
      <c r="P951" s="13"/>
      <c r="Q951" s="13"/>
      <c r="R951" s="13"/>
      <c r="S951" s="13"/>
      <c r="T951" s="13"/>
      <c r="U951" s="13"/>
      <c r="V951" s="13"/>
      <c r="W951" s="13"/>
      <c r="X951" s="13"/>
      <c r="Y951" s="13"/>
      <c r="Z951" s="13"/>
      <c r="AA951" s="13"/>
    </row>
    <row r="952" ht="16.5" customHeight="1">
      <c r="A952" s="10"/>
      <c r="B952" s="10"/>
      <c r="C952" s="13"/>
      <c r="D952" s="13"/>
      <c r="E952" s="13"/>
      <c r="F952" s="205"/>
      <c r="G952" s="13"/>
      <c r="H952" s="13"/>
      <c r="I952" s="13"/>
      <c r="J952" s="13"/>
      <c r="K952" s="13"/>
      <c r="L952" s="13"/>
      <c r="M952" s="13"/>
      <c r="N952" s="13"/>
      <c r="O952" s="13"/>
      <c r="P952" s="13"/>
      <c r="Q952" s="13"/>
      <c r="R952" s="13"/>
      <c r="S952" s="13"/>
      <c r="T952" s="13"/>
      <c r="U952" s="13"/>
      <c r="V952" s="13"/>
      <c r="W952" s="13"/>
      <c r="X952" s="13"/>
      <c r="Y952" s="13"/>
      <c r="Z952" s="13"/>
      <c r="AA952" s="13"/>
    </row>
    <row r="953" ht="16.5" customHeight="1">
      <c r="A953" s="10"/>
      <c r="B953" s="10"/>
      <c r="C953" s="13"/>
      <c r="D953" s="13"/>
      <c r="E953" s="13"/>
      <c r="F953" s="205"/>
      <c r="G953" s="13"/>
      <c r="H953" s="13"/>
      <c r="I953" s="13"/>
      <c r="J953" s="13"/>
      <c r="K953" s="13"/>
      <c r="L953" s="13"/>
      <c r="M953" s="13"/>
      <c r="N953" s="13"/>
      <c r="O953" s="13"/>
      <c r="P953" s="13"/>
      <c r="Q953" s="13"/>
      <c r="R953" s="13"/>
      <c r="S953" s="13"/>
      <c r="T953" s="13"/>
      <c r="U953" s="13"/>
      <c r="V953" s="13"/>
      <c r="W953" s="13"/>
      <c r="X953" s="13"/>
      <c r="Y953" s="13"/>
      <c r="Z953" s="13"/>
      <c r="AA953" s="13"/>
    </row>
    <row r="954" ht="16.5" customHeight="1">
      <c r="A954" s="10"/>
      <c r="B954" s="10"/>
      <c r="C954" s="13"/>
      <c r="D954" s="13"/>
      <c r="E954" s="13"/>
      <c r="F954" s="205"/>
      <c r="G954" s="13"/>
      <c r="H954" s="13"/>
      <c r="I954" s="13"/>
      <c r="J954" s="13"/>
      <c r="K954" s="13"/>
      <c r="L954" s="13"/>
      <c r="M954" s="13"/>
      <c r="N954" s="13"/>
      <c r="O954" s="13"/>
      <c r="P954" s="13"/>
      <c r="Q954" s="13"/>
      <c r="R954" s="13"/>
      <c r="S954" s="13"/>
      <c r="T954" s="13"/>
      <c r="U954" s="13"/>
      <c r="V954" s="13"/>
      <c r="W954" s="13"/>
      <c r="X954" s="13"/>
      <c r="Y954" s="13"/>
      <c r="Z954" s="13"/>
      <c r="AA954" s="13"/>
    </row>
    <row r="955" ht="16.5" customHeight="1">
      <c r="A955" s="10"/>
      <c r="B955" s="10"/>
      <c r="C955" s="13"/>
      <c r="D955" s="13"/>
      <c r="E955" s="13"/>
      <c r="F955" s="205"/>
      <c r="G955" s="13"/>
      <c r="H955" s="13"/>
      <c r="I955" s="13"/>
      <c r="J955" s="13"/>
      <c r="K955" s="13"/>
      <c r="L955" s="13"/>
      <c r="M955" s="13"/>
      <c r="N955" s="13"/>
      <c r="O955" s="13"/>
      <c r="P955" s="13"/>
      <c r="Q955" s="13"/>
      <c r="R955" s="13"/>
      <c r="S955" s="13"/>
      <c r="T955" s="13"/>
      <c r="U955" s="13"/>
      <c r="V955" s="13"/>
      <c r="W955" s="13"/>
      <c r="X955" s="13"/>
      <c r="Y955" s="13"/>
      <c r="Z955" s="13"/>
      <c r="AA955" s="13"/>
    </row>
    <row r="956" ht="16.5" customHeight="1">
      <c r="A956" s="10"/>
      <c r="B956" s="10"/>
      <c r="C956" s="13"/>
      <c r="D956" s="13"/>
      <c r="E956" s="13"/>
      <c r="F956" s="205"/>
      <c r="G956" s="13"/>
      <c r="H956" s="13"/>
      <c r="I956" s="13"/>
      <c r="J956" s="13"/>
      <c r="K956" s="13"/>
      <c r="L956" s="13"/>
      <c r="M956" s="13"/>
      <c r="N956" s="13"/>
      <c r="O956" s="13"/>
      <c r="P956" s="13"/>
      <c r="Q956" s="13"/>
      <c r="R956" s="13"/>
      <c r="S956" s="13"/>
      <c r="T956" s="13"/>
      <c r="U956" s="13"/>
      <c r="V956" s="13"/>
      <c r="W956" s="13"/>
      <c r="X956" s="13"/>
      <c r="Y956" s="13"/>
      <c r="Z956" s="13"/>
      <c r="AA956" s="13"/>
    </row>
    <row r="957" ht="16.5" customHeight="1">
      <c r="A957" s="10"/>
      <c r="B957" s="10"/>
      <c r="C957" s="13"/>
      <c r="D957" s="13"/>
      <c r="E957" s="13"/>
      <c r="F957" s="205"/>
      <c r="G957" s="13"/>
      <c r="H957" s="13"/>
      <c r="I957" s="13"/>
      <c r="J957" s="13"/>
      <c r="K957" s="13"/>
      <c r="L957" s="13"/>
      <c r="M957" s="13"/>
      <c r="N957" s="13"/>
      <c r="O957" s="13"/>
      <c r="P957" s="13"/>
      <c r="Q957" s="13"/>
      <c r="R957" s="13"/>
      <c r="S957" s="13"/>
      <c r="T957" s="13"/>
      <c r="U957" s="13"/>
      <c r="V957" s="13"/>
      <c r="W957" s="13"/>
      <c r="X957" s="13"/>
      <c r="Y957" s="13"/>
      <c r="Z957" s="13"/>
      <c r="AA957" s="13"/>
    </row>
    <row r="958" ht="16.5" customHeight="1">
      <c r="A958" s="10"/>
      <c r="B958" s="10"/>
      <c r="C958" s="13"/>
      <c r="D958" s="13"/>
      <c r="E958" s="13"/>
      <c r="F958" s="205"/>
      <c r="G958" s="13"/>
      <c r="H958" s="13"/>
      <c r="I958" s="13"/>
      <c r="J958" s="13"/>
      <c r="K958" s="13"/>
      <c r="L958" s="13"/>
      <c r="M958" s="13"/>
      <c r="N958" s="13"/>
      <c r="O958" s="13"/>
      <c r="P958" s="13"/>
      <c r="Q958" s="13"/>
      <c r="R958" s="13"/>
      <c r="S958" s="13"/>
      <c r="T958" s="13"/>
      <c r="U958" s="13"/>
      <c r="V958" s="13"/>
      <c r="W958" s="13"/>
      <c r="X958" s="13"/>
      <c r="Y958" s="13"/>
      <c r="Z958" s="13"/>
      <c r="AA958" s="13"/>
    </row>
    <row r="959" ht="16.5" customHeight="1">
      <c r="A959" s="10"/>
      <c r="B959" s="10"/>
      <c r="C959" s="13"/>
      <c r="D959" s="13"/>
      <c r="E959" s="13"/>
      <c r="F959" s="205"/>
      <c r="G959" s="13"/>
      <c r="H959" s="13"/>
      <c r="I959" s="13"/>
      <c r="J959" s="13"/>
      <c r="K959" s="13"/>
      <c r="L959" s="13"/>
      <c r="M959" s="13"/>
      <c r="N959" s="13"/>
      <c r="O959" s="13"/>
      <c r="P959" s="13"/>
      <c r="Q959" s="13"/>
      <c r="R959" s="13"/>
      <c r="S959" s="13"/>
      <c r="T959" s="13"/>
      <c r="U959" s="13"/>
      <c r="V959" s="13"/>
      <c r="W959" s="13"/>
      <c r="X959" s="13"/>
      <c r="Y959" s="13"/>
      <c r="Z959" s="13"/>
      <c r="AA959" s="13"/>
    </row>
    <row r="960" ht="16.5" customHeight="1">
      <c r="A960" s="10"/>
      <c r="B960" s="10"/>
      <c r="C960" s="13"/>
      <c r="D960" s="13"/>
      <c r="E960" s="13"/>
      <c r="F960" s="205"/>
      <c r="G960" s="13"/>
      <c r="H960" s="13"/>
      <c r="I960" s="13"/>
      <c r="J960" s="13"/>
      <c r="K960" s="13"/>
      <c r="L960" s="13"/>
      <c r="M960" s="13"/>
      <c r="N960" s="13"/>
      <c r="O960" s="13"/>
      <c r="P960" s="13"/>
      <c r="Q960" s="13"/>
      <c r="R960" s="13"/>
      <c r="S960" s="13"/>
      <c r="T960" s="13"/>
      <c r="U960" s="13"/>
      <c r="V960" s="13"/>
      <c r="W960" s="13"/>
      <c r="X960" s="13"/>
      <c r="Y960" s="13"/>
      <c r="Z960" s="13"/>
      <c r="AA960" s="13"/>
    </row>
    <row r="961" ht="16.5" customHeight="1">
      <c r="A961" s="10"/>
      <c r="B961" s="10"/>
      <c r="C961" s="13"/>
      <c r="D961" s="13"/>
      <c r="E961" s="13"/>
      <c r="F961" s="205"/>
      <c r="G961" s="13"/>
      <c r="H961" s="13"/>
      <c r="I961" s="13"/>
      <c r="J961" s="13"/>
      <c r="K961" s="13"/>
      <c r="L961" s="13"/>
      <c r="M961" s="13"/>
      <c r="N961" s="13"/>
      <c r="O961" s="13"/>
      <c r="P961" s="13"/>
      <c r="Q961" s="13"/>
      <c r="R961" s="13"/>
      <c r="S961" s="13"/>
      <c r="T961" s="13"/>
      <c r="U961" s="13"/>
      <c r="V961" s="13"/>
      <c r="W961" s="13"/>
      <c r="X961" s="13"/>
      <c r="Y961" s="13"/>
      <c r="Z961" s="13"/>
      <c r="AA961" s="13"/>
    </row>
    <row r="962" ht="16.5" customHeight="1">
      <c r="A962" s="10"/>
      <c r="B962" s="10"/>
      <c r="C962" s="13"/>
      <c r="D962" s="13"/>
      <c r="E962" s="13"/>
      <c r="F962" s="205"/>
      <c r="G962" s="13"/>
      <c r="H962" s="13"/>
      <c r="I962" s="13"/>
      <c r="J962" s="13"/>
      <c r="K962" s="13"/>
      <c r="L962" s="13"/>
      <c r="M962" s="13"/>
      <c r="N962" s="13"/>
      <c r="O962" s="13"/>
      <c r="P962" s="13"/>
      <c r="Q962" s="13"/>
      <c r="R962" s="13"/>
      <c r="S962" s="13"/>
      <c r="T962" s="13"/>
      <c r="U962" s="13"/>
      <c r="V962" s="13"/>
      <c r="W962" s="13"/>
      <c r="X962" s="13"/>
      <c r="Y962" s="13"/>
      <c r="Z962" s="13"/>
      <c r="AA962" s="13"/>
    </row>
    <row r="963" ht="16.5" customHeight="1">
      <c r="A963" s="10"/>
      <c r="B963" s="10"/>
      <c r="C963" s="13"/>
      <c r="D963" s="13"/>
      <c r="E963" s="13"/>
      <c r="F963" s="205"/>
      <c r="G963" s="13"/>
      <c r="H963" s="13"/>
      <c r="I963" s="13"/>
      <c r="J963" s="13"/>
      <c r="K963" s="13"/>
      <c r="L963" s="13"/>
      <c r="M963" s="13"/>
      <c r="N963" s="13"/>
      <c r="O963" s="13"/>
      <c r="P963" s="13"/>
      <c r="Q963" s="13"/>
      <c r="R963" s="13"/>
      <c r="S963" s="13"/>
      <c r="T963" s="13"/>
      <c r="U963" s="13"/>
      <c r="V963" s="13"/>
      <c r="W963" s="13"/>
      <c r="X963" s="13"/>
      <c r="Y963" s="13"/>
      <c r="Z963" s="13"/>
      <c r="AA963" s="13"/>
    </row>
    <row r="964" ht="16.5" customHeight="1">
      <c r="A964" s="10"/>
      <c r="B964" s="10"/>
      <c r="C964" s="13"/>
      <c r="D964" s="13"/>
      <c r="E964" s="13"/>
      <c r="F964" s="205"/>
      <c r="G964" s="13"/>
      <c r="H964" s="13"/>
      <c r="I964" s="13"/>
      <c r="J964" s="13"/>
      <c r="K964" s="13"/>
      <c r="L964" s="13"/>
      <c r="M964" s="13"/>
      <c r="N964" s="13"/>
      <c r="O964" s="13"/>
      <c r="P964" s="13"/>
      <c r="Q964" s="13"/>
      <c r="R964" s="13"/>
      <c r="S964" s="13"/>
      <c r="T964" s="13"/>
      <c r="U964" s="13"/>
      <c r="V964" s="13"/>
      <c r="W964" s="13"/>
      <c r="X964" s="13"/>
      <c r="Y964" s="13"/>
      <c r="Z964" s="13"/>
      <c r="AA964" s="13"/>
    </row>
    <row r="965" ht="16.5" customHeight="1">
      <c r="A965" s="10"/>
      <c r="B965" s="10"/>
      <c r="C965" s="13"/>
      <c r="D965" s="13"/>
      <c r="E965" s="13"/>
      <c r="F965" s="205"/>
      <c r="G965" s="13"/>
      <c r="H965" s="13"/>
      <c r="I965" s="13"/>
      <c r="J965" s="13"/>
      <c r="K965" s="13"/>
      <c r="L965" s="13"/>
      <c r="M965" s="13"/>
      <c r="N965" s="13"/>
      <c r="O965" s="13"/>
      <c r="P965" s="13"/>
      <c r="Q965" s="13"/>
      <c r="R965" s="13"/>
      <c r="S965" s="13"/>
      <c r="T965" s="13"/>
      <c r="U965" s="13"/>
      <c r="V965" s="13"/>
      <c r="W965" s="13"/>
      <c r="X965" s="13"/>
      <c r="Y965" s="13"/>
      <c r="Z965" s="13"/>
      <c r="AA965" s="13"/>
    </row>
    <row r="966" ht="16.5" customHeight="1">
      <c r="A966" s="10"/>
      <c r="B966" s="10"/>
      <c r="C966" s="13"/>
      <c r="D966" s="13"/>
      <c r="E966" s="13"/>
      <c r="F966" s="205"/>
      <c r="G966" s="13"/>
      <c r="H966" s="13"/>
      <c r="I966" s="13"/>
      <c r="J966" s="13"/>
      <c r="K966" s="13"/>
      <c r="L966" s="13"/>
      <c r="M966" s="13"/>
      <c r="N966" s="13"/>
      <c r="O966" s="13"/>
      <c r="P966" s="13"/>
      <c r="Q966" s="13"/>
      <c r="R966" s="13"/>
      <c r="S966" s="13"/>
      <c r="T966" s="13"/>
      <c r="U966" s="13"/>
      <c r="V966" s="13"/>
      <c r="W966" s="13"/>
      <c r="X966" s="13"/>
      <c r="Y966" s="13"/>
      <c r="Z966" s="13"/>
      <c r="AA966" s="13"/>
    </row>
    <row r="967" ht="16.5" customHeight="1">
      <c r="A967" s="10"/>
      <c r="B967" s="10"/>
      <c r="C967" s="13"/>
      <c r="D967" s="13"/>
      <c r="E967" s="13"/>
      <c r="F967" s="205"/>
      <c r="G967" s="13"/>
      <c r="H967" s="13"/>
      <c r="I967" s="13"/>
      <c r="J967" s="13"/>
      <c r="K967" s="13"/>
      <c r="L967" s="13"/>
      <c r="M967" s="13"/>
      <c r="N967" s="13"/>
      <c r="O967" s="13"/>
      <c r="P967" s="13"/>
      <c r="Q967" s="13"/>
      <c r="R967" s="13"/>
      <c r="S967" s="13"/>
      <c r="T967" s="13"/>
      <c r="U967" s="13"/>
      <c r="V967" s="13"/>
      <c r="W967" s="13"/>
      <c r="X967" s="13"/>
      <c r="Y967" s="13"/>
      <c r="Z967" s="13"/>
      <c r="AA967" s="13"/>
    </row>
    <row r="968" ht="16.5" customHeight="1">
      <c r="A968" s="10"/>
      <c r="B968" s="10"/>
      <c r="C968" s="13"/>
      <c r="D968" s="13"/>
      <c r="E968" s="13"/>
      <c r="F968" s="205"/>
      <c r="G968" s="13"/>
      <c r="H968" s="13"/>
      <c r="I968" s="13"/>
      <c r="J968" s="13"/>
      <c r="K968" s="13"/>
      <c r="L968" s="13"/>
      <c r="M968" s="13"/>
      <c r="N968" s="13"/>
      <c r="O968" s="13"/>
      <c r="P968" s="13"/>
      <c r="Q968" s="13"/>
      <c r="R968" s="13"/>
      <c r="S968" s="13"/>
      <c r="T968" s="13"/>
      <c r="U968" s="13"/>
      <c r="V968" s="13"/>
      <c r="W968" s="13"/>
      <c r="X968" s="13"/>
      <c r="Y968" s="13"/>
      <c r="Z968" s="13"/>
      <c r="AA968" s="13"/>
    </row>
    <row r="969" ht="16.5" customHeight="1">
      <c r="A969" s="10"/>
      <c r="B969" s="10"/>
      <c r="C969" s="13"/>
      <c r="D969" s="13"/>
      <c r="E969" s="13"/>
      <c r="F969" s="205"/>
      <c r="G969" s="13"/>
      <c r="H969" s="13"/>
      <c r="I969" s="13"/>
      <c r="J969" s="13"/>
      <c r="K969" s="13"/>
      <c r="L969" s="13"/>
      <c r="M969" s="13"/>
      <c r="N969" s="13"/>
      <c r="O969" s="13"/>
      <c r="P969" s="13"/>
      <c r="Q969" s="13"/>
      <c r="R969" s="13"/>
      <c r="S969" s="13"/>
      <c r="T969" s="13"/>
      <c r="U969" s="13"/>
      <c r="V969" s="13"/>
      <c r="W969" s="13"/>
      <c r="X969" s="13"/>
      <c r="Y969" s="13"/>
      <c r="Z969" s="13"/>
      <c r="AA969" s="13"/>
    </row>
    <row r="970" ht="16.5" customHeight="1">
      <c r="A970" s="10"/>
      <c r="B970" s="10"/>
      <c r="C970" s="13"/>
      <c r="D970" s="13"/>
      <c r="E970" s="13"/>
      <c r="F970" s="205"/>
      <c r="G970" s="13"/>
      <c r="H970" s="13"/>
      <c r="I970" s="13"/>
      <c r="J970" s="13"/>
      <c r="K970" s="13"/>
      <c r="L970" s="13"/>
      <c r="M970" s="13"/>
      <c r="N970" s="13"/>
      <c r="O970" s="13"/>
      <c r="P970" s="13"/>
      <c r="Q970" s="13"/>
      <c r="R970" s="13"/>
      <c r="S970" s="13"/>
      <c r="T970" s="13"/>
      <c r="U970" s="13"/>
      <c r="V970" s="13"/>
      <c r="W970" s="13"/>
      <c r="X970" s="13"/>
      <c r="Y970" s="13"/>
      <c r="Z970" s="13"/>
      <c r="AA970" s="13"/>
    </row>
    <row r="971" ht="16.5" customHeight="1">
      <c r="A971" s="10"/>
      <c r="B971" s="10"/>
      <c r="C971" s="13"/>
      <c r="D971" s="13"/>
      <c r="E971" s="13"/>
      <c r="F971" s="205"/>
      <c r="G971" s="13"/>
      <c r="H971" s="13"/>
      <c r="I971" s="13"/>
      <c r="J971" s="13"/>
      <c r="K971" s="13"/>
      <c r="L971" s="13"/>
      <c r="M971" s="13"/>
      <c r="N971" s="13"/>
      <c r="O971" s="13"/>
      <c r="P971" s="13"/>
      <c r="Q971" s="13"/>
      <c r="R971" s="13"/>
      <c r="S971" s="13"/>
      <c r="T971" s="13"/>
      <c r="U971" s="13"/>
      <c r="V971" s="13"/>
      <c r="W971" s="13"/>
      <c r="X971" s="13"/>
      <c r="Y971" s="13"/>
      <c r="Z971" s="13"/>
      <c r="AA971" s="13"/>
    </row>
    <row r="972" ht="16.5" customHeight="1">
      <c r="A972" s="10"/>
      <c r="B972" s="10"/>
      <c r="C972" s="13"/>
      <c r="D972" s="13"/>
      <c r="E972" s="13"/>
      <c r="F972" s="205"/>
      <c r="G972" s="13"/>
      <c r="H972" s="13"/>
      <c r="I972" s="13"/>
      <c r="J972" s="13"/>
      <c r="K972" s="13"/>
      <c r="L972" s="13"/>
      <c r="M972" s="13"/>
      <c r="N972" s="13"/>
      <c r="O972" s="13"/>
      <c r="P972" s="13"/>
      <c r="Q972" s="13"/>
      <c r="R972" s="13"/>
      <c r="S972" s="13"/>
      <c r="T972" s="13"/>
      <c r="U972" s="13"/>
      <c r="V972" s="13"/>
      <c r="W972" s="13"/>
      <c r="X972" s="13"/>
      <c r="Y972" s="13"/>
      <c r="Z972" s="13"/>
      <c r="AA972" s="13"/>
    </row>
    <row r="973" ht="16.5" customHeight="1">
      <c r="A973" s="10"/>
      <c r="B973" s="10"/>
      <c r="C973" s="13"/>
      <c r="D973" s="13"/>
      <c r="E973" s="13"/>
      <c r="F973" s="205"/>
      <c r="G973" s="13"/>
      <c r="H973" s="13"/>
      <c r="I973" s="13"/>
      <c r="J973" s="13"/>
      <c r="K973" s="13"/>
      <c r="L973" s="13"/>
      <c r="M973" s="13"/>
      <c r="N973" s="13"/>
      <c r="O973" s="13"/>
      <c r="P973" s="13"/>
      <c r="Q973" s="13"/>
      <c r="R973" s="13"/>
      <c r="S973" s="13"/>
      <c r="T973" s="13"/>
      <c r="U973" s="13"/>
      <c r="V973" s="13"/>
      <c r="W973" s="13"/>
      <c r="X973" s="13"/>
      <c r="Y973" s="13"/>
      <c r="Z973" s="13"/>
      <c r="AA973" s="13"/>
    </row>
    <row r="974" ht="16.5" customHeight="1">
      <c r="A974" s="10"/>
      <c r="B974" s="10"/>
      <c r="C974" s="13"/>
      <c r="D974" s="13"/>
      <c r="E974" s="13"/>
      <c r="F974" s="205"/>
      <c r="G974" s="13"/>
      <c r="H974" s="13"/>
      <c r="I974" s="13"/>
      <c r="J974" s="13"/>
      <c r="K974" s="13"/>
      <c r="L974" s="13"/>
      <c r="M974" s="13"/>
      <c r="N974" s="13"/>
      <c r="O974" s="13"/>
      <c r="P974" s="13"/>
      <c r="Q974" s="13"/>
      <c r="R974" s="13"/>
      <c r="S974" s="13"/>
      <c r="T974" s="13"/>
      <c r="U974" s="13"/>
      <c r="V974" s="13"/>
      <c r="W974" s="13"/>
      <c r="X974" s="13"/>
      <c r="Y974" s="13"/>
      <c r="Z974" s="13"/>
      <c r="AA974" s="13"/>
    </row>
    <row r="975" ht="16.5" customHeight="1">
      <c r="A975" s="10"/>
      <c r="B975" s="10"/>
      <c r="C975" s="13"/>
      <c r="D975" s="13"/>
      <c r="E975" s="13"/>
      <c r="F975" s="205"/>
      <c r="G975" s="13"/>
      <c r="H975" s="13"/>
      <c r="I975" s="13"/>
      <c r="J975" s="13"/>
      <c r="K975" s="13"/>
      <c r="L975" s="13"/>
      <c r="M975" s="13"/>
      <c r="N975" s="13"/>
      <c r="O975" s="13"/>
      <c r="P975" s="13"/>
      <c r="Q975" s="13"/>
      <c r="R975" s="13"/>
      <c r="S975" s="13"/>
      <c r="T975" s="13"/>
      <c r="U975" s="13"/>
      <c r="V975" s="13"/>
      <c r="W975" s="13"/>
      <c r="X975" s="13"/>
      <c r="Y975" s="13"/>
      <c r="Z975" s="13"/>
      <c r="AA975" s="13"/>
    </row>
    <row r="976" ht="16.5" customHeight="1">
      <c r="A976" s="10"/>
      <c r="B976" s="10"/>
      <c r="C976" s="13"/>
      <c r="D976" s="13"/>
      <c r="E976" s="13"/>
      <c r="F976" s="205"/>
      <c r="G976" s="13"/>
      <c r="H976" s="13"/>
      <c r="I976" s="13"/>
      <c r="J976" s="13"/>
      <c r="K976" s="13"/>
      <c r="L976" s="13"/>
      <c r="M976" s="13"/>
      <c r="N976" s="13"/>
      <c r="O976" s="13"/>
      <c r="P976" s="13"/>
      <c r="Q976" s="13"/>
      <c r="R976" s="13"/>
      <c r="S976" s="13"/>
      <c r="T976" s="13"/>
      <c r="U976" s="13"/>
      <c r="V976" s="13"/>
      <c r="W976" s="13"/>
      <c r="X976" s="13"/>
      <c r="Y976" s="13"/>
      <c r="Z976" s="13"/>
      <c r="AA976" s="13"/>
    </row>
    <row r="977" ht="16.5" customHeight="1">
      <c r="A977" s="10"/>
      <c r="B977" s="10"/>
      <c r="C977" s="13"/>
      <c r="D977" s="13"/>
      <c r="E977" s="13"/>
      <c r="F977" s="205"/>
      <c r="G977" s="13"/>
      <c r="H977" s="13"/>
      <c r="I977" s="13"/>
      <c r="J977" s="13"/>
      <c r="K977" s="13"/>
      <c r="L977" s="13"/>
      <c r="M977" s="13"/>
      <c r="N977" s="13"/>
      <c r="O977" s="13"/>
      <c r="P977" s="13"/>
      <c r="Q977" s="13"/>
      <c r="R977" s="13"/>
      <c r="S977" s="13"/>
      <c r="T977" s="13"/>
      <c r="U977" s="13"/>
      <c r="V977" s="13"/>
      <c r="W977" s="13"/>
      <c r="X977" s="13"/>
      <c r="Y977" s="13"/>
      <c r="Z977" s="13"/>
      <c r="AA977" s="13"/>
    </row>
    <row r="978" ht="16.5" customHeight="1">
      <c r="A978" s="10"/>
      <c r="B978" s="10"/>
      <c r="C978" s="13"/>
      <c r="D978" s="13"/>
      <c r="E978" s="13"/>
      <c r="F978" s="205"/>
      <c r="G978" s="13"/>
      <c r="H978" s="13"/>
      <c r="I978" s="13"/>
      <c r="J978" s="13"/>
      <c r="K978" s="13"/>
      <c r="L978" s="13"/>
      <c r="M978" s="13"/>
      <c r="N978" s="13"/>
      <c r="O978" s="13"/>
      <c r="P978" s="13"/>
      <c r="Q978" s="13"/>
      <c r="R978" s="13"/>
      <c r="S978" s="13"/>
      <c r="T978" s="13"/>
      <c r="U978" s="13"/>
      <c r="V978" s="13"/>
      <c r="W978" s="13"/>
      <c r="X978" s="13"/>
      <c r="Y978" s="13"/>
      <c r="Z978" s="13"/>
      <c r="AA978" s="13"/>
    </row>
    <row r="979" ht="16.5" customHeight="1">
      <c r="A979" s="10"/>
      <c r="B979" s="10"/>
      <c r="C979" s="13"/>
      <c r="D979" s="13"/>
      <c r="E979" s="13"/>
      <c r="F979" s="205"/>
      <c r="G979" s="13"/>
      <c r="H979" s="13"/>
      <c r="I979" s="13"/>
      <c r="J979" s="13"/>
      <c r="K979" s="13"/>
      <c r="L979" s="13"/>
      <c r="M979" s="13"/>
      <c r="N979" s="13"/>
      <c r="O979" s="13"/>
      <c r="P979" s="13"/>
      <c r="Q979" s="13"/>
      <c r="R979" s="13"/>
      <c r="S979" s="13"/>
      <c r="T979" s="13"/>
      <c r="U979" s="13"/>
      <c r="V979" s="13"/>
      <c r="W979" s="13"/>
      <c r="X979" s="13"/>
      <c r="Y979" s="13"/>
      <c r="Z979" s="13"/>
      <c r="AA979" s="13"/>
    </row>
    <row r="980" ht="16.5" customHeight="1">
      <c r="A980" s="10"/>
      <c r="B980" s="10"/>
      <c r="C980" s="13"/>
      <c r="D980" s="13"/>
      <c r="E980" s="13"/>
      <c r="F980" s="205"/>
      <c r="G980" s="13"/>
      <c r="H980" s="13"/>
      <c r="I980" s="13"/>
      <c r="J980" s="13"/>
      <c r="K980" s="13"/>
      <c r="L980" s="13"/>
      <c r="M980" s="13"/>
      <c r="N980" s="13"/>
      <c r="O980" s="13"/>
      <c r="P980" s="13"/>
      <c r="Q980" s="13"/>
      <c r="R980" s="13"/>
      <c r="S980" s="13"/>
      <c r="T980" s="13"/>
      <c r="U980" s="13"/>
      <c r="V980" s="13"/>
      <c r="W980" s="13"/>
      <c r="X980" s="13"/>
      <c r="Y980" s="13"/>
      <c r="Z980" s="13"/>
      <c r="AA980" s="13"/>
    </row>
    <row r="981" ht="16.5" customHeight="1">
      <c r="A981" s="10"/>
      <c r="B981" s="10"/>
      <c r="C981" s="13"/>
      <c r="D981" s="13"/>
      <c r="E981" s="13"/>
      <c r="F981" s="205"/>
      <c r="G981" s="13"/>
      <c r="H981" s="13"/>
      <c r="I981" s="13"/>
      <c r="J981" s="13"/>
      <c r="K981" s="13"/>
      <c r="L981" s="13"/>
      <c r="M981" s="13"/>
      <c r="N981" s="13"/>
      <c r="O981" s="13"/>
      <c r="P981" s="13"/>
      <c r="Q981" s="13"/>
      <c r="R981" s="13"/>
      <c r="S981" s="13"/>
      <c r="T981" s="13"/>
      <c r="U981" s="13"/>
      <c r="V981" s="13"/>
      <c r="W981" s="13"/>
      <c r="X981" s="13"/>
      <c r="Y981" s="13"/>
      <c r="Z981" s="13"/>
      <c r="AA981" s="13"/>
    </row>
    <row r="982" ht="16.5" customHeight="1">
      <c r="A982" s="10"/>
      <c r="B982" s="10"/>
      <c r="C982" s="13"/>
      <c r="D982" s="13"/>
      <c r="E982" s="13"/>
      <c r="F982" s="205"/>
      <c r="G982" s="13"/>
      <c r="H982" s="13"/>
      <c r="I982" s="13"/>
      <c r="J982" s="13"/>
      <c r="K982" s="13"/>
      <c r="L982" s="13"/>
      <c r="M982" s="13"/>
      <c r="N982" s="13"/>
      <c r="O982" s="13"/>
      <c r="P982" s="13"/>
      <c r="Q982" s="13"/>
      <c r="R982" s="13"/>
      <c r="S982" s="13"/>
      <c r="T982" s="13"/>
      <c r="U982" s="13"/>
      <c r="V982" s="13"/>
      <c r="W982" s="13"/>
      <c r="X982" s="13"/>
      <c r="Y982" s="13"/>
      <c r="Z982" s="13"/>
      <c r="AA982" s="13"/>
    </row>
    <row r="983" ht="16.5" customHeight="1">
      <c r="A983" s="10"/>
      <c r="B983" s="10"/>
      <c r="C983" s="13"/>
      <c r="D983" s="13"/>
      <c r="E983" s="13"/>
      <c r="F983" s="205"/>
      <c r="G983" s="13"/>
      <c r="H983" s="13"/>
      <c r="I983" s="13"/>
      <c r="J983" s="13"/>
      <c r="K983" s="13"/>
      <c r="L983" s="13"/>
      <c r="M983" s="13"/>
      <c r="N983" s="13"/>
      <c r="O983" s="13"/>
      <c r="P983" s="13"/>
      <c r="Q983" s="13"/>
      <c r="R983" s="13"/>
      <c r="S983" s="13"/>
      <c r="T983" s="13"/>
      <c r="U983" s="13"/>
      <c r="V983" s="13"/>
      <c r="W983" s="13"/>
      <c r="X983" s="13"/>
      <c r="Y983" s="13"/>
      <c r="Z983" s="13"/>
      <c r="AA983" s="13"/>
    </row>
    <row r="984" ht="16.5" customHeight="1">
      <c r="A984" s="10"/>
      <c r="B984" s="10"/>
      <c r="C984" s="13"/>
      <c r="D984" s="13"/>
      <c r="E984" s="13"/>
      <c r="F984" s="205"/>
      <c r="G984" s="13"/>
      <c r="H984" s="13"/>
      <c r="I984" s="13"/>
      <c r="J984" s="13"/>
      <c r="K984" s="13"/>
      <c r="L984" s="13"/>
      <c r="M984" s="13"/>
      <c r="N984" s="13"/>
      <c r="O984" s="13"/>
      <c r="P984" s="13"/>
      <c r="Q984" s="13"/>
      <c r="R984" s="13"/>
      <c r="S984" s="13"/>
      <c r="T984" s="13"/>
      <c r="U984" s="13"/>
      <c r="V984" s="13"/>
      <c r="W984" s="13"/>
      <c r="X984" s="13"/>
      <c r="Y984" s="13"/>
      <c r="Z984" s="13"/>
      <c r="AA984" s="13"/>
    </row>
    <row r="985" ht="16.5" customHeight="1">
      <c r="A985" s="10"/>
      <c r="B985" s="10"/>
      <c r="C985" s="13"/>
      <c r="D985" s="13"/>
      <c r="E985" s="13"/>
      <c r="F985" s="205"/>
      <c r="G985" s="13"/>
      <c r="H985" s="13"/>
      <c r="I985" s="13"/>
      <c r="J985" s="13"/>
      <c r="K985" s="13"/>
      <c r="L985" s="13"/>
      <c r="M985" s="13"/>
      <c r="N985" s="13"/>
      <c r="O985" s="13"/>
      <c r="P985" s="13"/>
      <c r="Q985" s="13"/>
      <c r="R985" s="13"/>
      <c r="S985" s="13"/>
      <c r="T985" s="13"/>
      <c r="U985" s="13"/>
      <c r="V985" s="13"/>
      <c r="W985" s="13"/>
      <c r="X985" s="13"/>
      <c r="Y985" s="13"/>
      <c r="Z985" s="13"/>
      <c r="AA985" s="13"/>
    </row>
    <row r="986" ht="16.5" customHeight="1">
      <c r="A986" s="10"/>
      <c r="B986" s="10"/>
      <c r="C986" s="13"/>
      <c r="D986" s="13"/>
      <c r="E986" s="13"/>
      <c r="F986" s="205"/>
      <c r="G986" s="13"/>
      <c r="H986" s="13"/>
      <c r="I986" s="13"/>
      <c r="J986" s="13"/>
      <c r="K986" s="13"/>
      <c r="L986" s="13"/>
      <c r="M986" s="13"/>
      <c r="N986" s="13"/>
      <c r="O986" s="13"/>
      <c r="P986" s="13"/>
      <c r="Q986" s="13"/>
      <c r="R986" s="13"/>
      <c r="S986" s="13"/>
      <c r="T986" s="13"/>
      <c r="U986" s="13"/>
      <c r="V986" s="13"/>
      <c r="W986" s="13"/>
      <c r="X986" s="13"/>
      <c r="Y986" s="13"/>
      <c r="Z986" s="13"/>
      <c r="AA986" s="13"/>
    </row>
    <row r="987" ht="16.5" customHeight="1">
      <c r="A987" s="10"/>
      <c r="B987" s="10"/>
      <c r="C987" s="13"/>
      <c r="D987" s="13"/>
      <c r="E987" s="13"/>
      <c r="F987" s="205"/>
      <c r="G987" s="13"/>
      <c r="H987" s="13"/>
      <c r="I987" s="13"/>
      <c r="J987" s="13"/>
      <c r="K987" s="13"/>
      <c r="L987" s="13"/>
      <c r="M987" s="13"/>
      <c r="N987" s="13"/>
      <c r="O987" s="13"/>
      <c r="P987" s="13"/>
      <c r="Q987" s="13"/>
      <c r="R987" s="13"/>
      <c r="S987" s="13"/>
      <c r="T987" s="13"/>
      <c r="U987" s="13"/>
      <c r="V987" s="13"/>
      <c r="W987" s="13"/>
      <c r="X987" s="13"/>
      <c r="Y987" s="13"/>
      <c r="Z987" s="13"/>
      <c r="AA987" s="13"/>
    </row>
    <row r="988" ht="16.5" customHeight="1">
      <c r="A988" s="10"/>
      <c r="B988" s="10"/>
      <c r="C988" s="13"/>
      <c r="D988" s="13"/>
      <c r="E988" s="13"/>
      <c r="F988" s="205"/>
      <c r="G988" s="13"/>
      <c r="H988" s="13"/>
      <c r="I988" s="13"/>
      <c r="J988" s="13"/>
      <c r="K988" s="13"/>
      <c r="L988" s="13"/>
      <c r="M988" s="13"/>
      <c r="N988" s="13"/>
      <c r="O988" s="13"/>
      <c r="P988" s="13"/>
      <c r="Q988" s="13"/>
      <c r="R988" s="13"/>
      <c r="S988" s="13"/>
      <c r="T988" s="13"/>
      <c r="U988" s="13"/>
      <c r="V988" s="13"/>
      <c r="W988" s="13"/>
      <c r="X988" s="13"/>
      <c r="Y988" s="13"/>
      <c r="Z988" s="13"/>
      <c r="AA988" s="13"/>
    </row>
    <row r="989" ht="16.5" customHeight="1">
      <c r="A989" s="10"/>
      <c r="B989" s="10"/>
      <c r="C989" s="13"/>
      <c r="D989" s="13"/>
      <c r="E989" s="13"/>
      <c r="F989" s="205"/>
      <c r="G989" s="13"/>
      <c r="H989" s="13"/>
      <c r="I989" s="13"/>
      <c r="J989" s="13"/>
      <c r="K989" s="13"/>
      <c r="L989" s="13"/>
      <c r="M989" s="13"/>
      <c r="N989" s="13"/>
      <c r="O989" s="13"/>
      <c r="P989" s="13"/>
      <c r="Q989" s="13"/>
      <c r="R989" s="13"/>
      <c r="S989" s="13"/>
      <c r="T989" s="13"/>
      <c r="U989" s="13"/>
      <c r="V989" s="13"/>
      <c r="W989" s="13"/>
      <c r="X989" s="13"/>
      <c r="Y989" s="13"/>
      <c r="Z989" s="13"/>
      <c r="AA989" s="13"/>
    </row>
    <row r="990" ht="16.5" customHeight="1">
      <c r="A990" s="10"/>
      <c r="B990" s="10"/>
      <c r="C990" s="13"/>
      <c r="D990" s="13"/>
      <c r="E990" s="13"/>
      <c r="F990" s="205"/>
      <c r="G990" s="13"/>
      <c r="H990" s="13"/>
      <c r="I990" s="13"/>
      <c r="J990" s="13"/>
      <c r="K990" s="13"/>
      <c r="L990" s="13"/>
      <c r="M990" s="13"/>
      <c r="N990" s="13"/>
      <c r="O990" s="13"/>
      <c r="P990" s="13"/>
      <c r="Q990" s="13"/>
      <c r="R990" s="13"/>
      <c r="S990" s="13"/>
      <c r="T990" s="13"/>
      <c r="U990" s="13"/>
      <c r="V990" s="13"/>
      <c r="W990" s="13"/>
      <c r="X990" s="13"/>
      <c r="Y990" s="13"/>
      <c r="Z990" s="13"/>
      <c r="AA990" s="13"/>
    </row>
    <row r="991" ht="16.5" customHeight="1">
      <c r="A991" s="10"/>
      <c r="B991" s="10"/>
      <c r="C991" s="13"/>
      <c r="D991" s="13"/>
      <c r="E991" s="13"/>
      <c r="F991" s="205"/>
      <c r="G991" s="13"/>
      <c r="H991" s="13"/>
      <c r="I991" s="13"/>
      <c r="J991" s="13"/>
      <c r="K991" s="13"/>
      <c r="L991" s="13"/>
      <c r="M991" s="13"/>
      <c r="N991" s="13"/>
      <c r="O991" s="13"/>
      <c r="P991" s="13"/>
      <c r="Q991" s="13"/>
      <c r="R991" s="13"/>
      <c r="S991" s="13"/>
      <c r="T991" s="13"/>
      <c r="U991" s="13"/>
      <c r="V991" s="13"/>
      <c r="W991" s="13"/>
      <c r="X991" s="13"/>
      <c r="Y991" s="13"/>
      <c r="Z991" s="13"/>
      <c r="AA991" s="13"/>
    </row>
    <row r="992" ht="16.5" customHeight="1">
      <c r="A992" s="10"/>
      <c r="B992" s="10"/>
      <c r="C992" s="13"/>
      <c r="D992" s="13"/>
      <c r="E992" s="13"/>
      <c r="F992" s="205"/>
      <c r="G992" s="13"/>
      <c r="H992" s="13"/>
      <c r="I992" s="13"/>
      <c r="J992" s="13"/>
      <c r="K992" s="13"/>
      <c r="L992" s="13"/>
      <c r="M992" s="13"/>
      <c r="N992" s="13"/>
      <c r="O992" s="13"/>
      <c r="P992" s="13"/>
      <c r="Q992" s="13"/>
      <c r="R992" s="13"/>
      <c r="S992" s="13"/>
      <c r="T992" s="13"/>
      <c r="U992" s="13"/>
      <c r="V992" s="13"/>
      <c r="W992" s="13"/>
      <c r="X992" s="13"/>
      <c r="Y992" s="13"/>
      <c r="Z992" s="13"/>
      <c r="AA992" s="13"/>
    </row>
    <row r="993" ht="16.5" customHeight="1">
      <c r="A993" s="10"/>
      <c r="B993" s="10"/>
      <c r="C993" s="13"/>
      <c r="D993" s="13"/>
      <c r="E993" s="13"/>
      <c r="F993" s="205"/>
      <c r="G993" s="13"/>
      <c r="H993" s="13"/>
      <c r="I993" s="13"/>
      <c r="J993" s="13"/>
      <c r="K993" s="13"/>
      <c r="L993" s="13"/>
      <c r="M993" s="13"/>
      <c r="N993" s="13"/>
      <c r="O993" s="13"/>
      <c r="P993" s="13"/>
      <c r="Q993" s="13"/>
      <c r="R993" s="13"/>
      <c r="S993" s="13"/>
      <c r="T993" s="13"/>
      <c r="U993" s="13"/>
      <c r="V993" s="13"/>
      <c r="W993" s="13"/>
      <c r="X993" s="13"/>
      <c r="Y993" s="13"/>
      <c r="Z993" s="13"/>
      <c r="AA993" s="13"/>
    </row>
    <row r="994" ht="16.5" customHeight="1">
      <c r="A994" s="10"/>
      <c r="B994" s="10"/>
      <c r="C994" s="13"/>
      <c r="D994" s="13"/>
      <c r="E994" s="13"/>
      <c r="F994" s="205"/>
      <c r="G994" s="13"/>
      <c r="H994" s="13"/>
      <c r="I994" s="13"/>
      <c r="J994" s="13"/>
      <c r="K994" s="13"/>
      <c r="L994" s="13"/>
      <c r="M994" s="13"/>
      <c r="N994" s="13"/>
      <c r="O994" s="13"/>
      <c r="P994" s="13"/>
      <c r="Q994" s="13"/>
      <c r="R994" s="13"/>
      <c r="S994" s="13"/>
      <c r="T994" s="13"/>
      <c r="U994" s="13"/>
      <c r="V994" s="13"/>
      <c r="W994" s="13"/>
      <c r="X994" s="13"/>
      <c r="Y994" s="13"/>
      <c r="Z994" s="13"/>
      <c r="AA994" s="13"/>
    </row>
    <row r="995" ht="16.5" customHeight="1">
      <c r="A995" s="10"/>
      <c r="B995" s="10"/>
      <c r="C995" s="13"/>
      <c r="D995" s="13"/>
      <c r="E995" s="13"/>
      <c r="F995" s="205"/>
      <c r="G995" s="13"/>
      <c r="H995" s="13"/>
      <c r="I995" s="13"/>
      <c r="J995" s="13"/>
      <c r="K995" s="13"/>
      <c r="L995" s="13"/>
      <c r="M995" s="13"/>
      <c r="N995" s="13"/>
      <c r="O995" s="13"/>
      <c r="P995" s="13"/>
      <c r="Q995" s="13"/>
      <c r="R995" s="13"/>
      <c r="S995" s="13"/>
      <c r="T995" s="13"/>
      <c r="U995" s="13"/>
      <c r="V995" s="13"/>
      <c r="W995" s="13"/>
      <c r="X995" s="13"/>
      <c r="Y995" s="13"/>
      <c r="Z995" s="13"/>
      <c r="AA995" s="13"/>
    </row>
    <row r="996" ht="16.5" customHeight="1">
      <c r="A996" s="10"/>
      <c r="B996" s="10"/>
      <c r="C996" s="13"/>
      <c r="D996" s="13"/>
      <c r="E996" s="13"/>
      <c r="F996" s="205"/>
      <c r="G996" s="13"/>
      <c r="H996" s="13"/>
      <c r="I996" s="13"/>
      <c r="J996" s="13"/>
      <c r="K996" s="13"/>
      <c r="L996" s="13"/>
      <c r="M996" s="13"/>
      <c r="N996" s="13"/>
      <c r="O996" s="13"/>
      <c r="P996" s="13"/>
      <c r="Q996" s="13"/>
      <c r="R996" s="13"/>
      <c r="S996" s="13"/>
      <c r="T996" s="13"/>
      <c r="U996" s="13"/>
      <c r="V996" s="13"/>
      <c r="W996" s="13"/>
      <c r="X996" s="13"/>
      <c r="Y996" s="13"/>
      <c r="Z996" s="13"/>
      <c r="AA996" s="13"/>
    </row>
    <row r="997" ht="16.5" customHeight="1">
      <c r="A997" s="10"/>
      <c r="B997" s="10"/>
      <c r="C997" s="13"/>
      <c r="D997" s="13"/>
      <c r="E997" s="13"/>
      <c r="F997" s="205"/>
      <c r="G997" s="13"/>
      <c r="H997" s="13"/>
      <c r="I997" s="13"/>
      <c r="J997" s="13"/>
      <c r="K997" s="13"/>
      <c r="L997" s="13"/>
      <c r="M997" s="13"/>
      <c r="N997" s="13"/>
      <c r="O997" s="13"/>
      <c r="P997" s="13"/>
      <c r="Q997" s="13"/>
      <c r="R997" s="13"/>
      <c r="S997" s="13"/>
      <c r="T997" s="13"/>
      <c r="U997" s="13"/>
      <c r="V997" s="13"/>
      <c r="W997" s="13"/>
      <c r="X997" s="13"/>
      <c r="Y997" s="13"/>
      <c r="Z997" s="13"/>
      <c r="AA997" s="13"/>
    </row>
    <row r="998" ht="16.5" customHeight="1">
      <c r="A998" s="10"/>
      <c r="B998" s="10"/>
      <c r="C998" s="13"/>
      <c r="D998" s="13"/>
      <c r="E998" s="13"/>
      <c r="F998" s="205"/>
      <c r="G998" s="13"/>
      <c r="H998" s="13"/>
      <c r="I998" s="13"/>
      <c r="J998" s="13"/>
      <c r="K998" s="13"/>
      <c r="L998" s="13"/>
      <c r="M998" s="13"/>
      <c r="N998" s="13"/>
      <c r="O998" s="13"/>
      <c r="P998" s="13"/>
      <c r="Q998" s="13"/>
      <c r="R998" s="13"/>
      <c r="S998" s="13"/>
      <c r="T998" s="13"/>
      <c r="U998" s="13"/>
      <c r="V998" s="13"/>
      <c r="W998" s="13"/>
      <c r="X998" s="13"/>
      <c r="Y998" s="13"/>
      <c r="Z998" s="13"/>
      <c r="AA998" s="13"/>
    </row>
    <row r="999" ht="16.5" customHeight="1">
      <c r="A999" s="10"/>
      <c r="B999" s="10"/>
      <c r="C999" s="13"/>
      <c r="D999" s="13"/>
      <c r="E999" s="13"/>
      <c r="F999" s="205"/>
      <c r="G999" s="13"/>
      <c r="H999" s="13"/>
      <c r="I999" s="13"/>
      <c r="J999" s="13"/>
      <c r="K999" s="13"/>
      <c r="L999" s="13"/>
      <c r="M999" s="13"/>
      <c r="N999" s="13"/>
      <c r="O999" s="13"/>
      <c r="P999" s="13"/>
      <c r="Q999" s="13"/>
      <c r="R999" s="13"/>
      <c r="S999" s="13"/>
      <c r="T999" s="13"/>
      <c r="U999" s="13"/>
      <c r="V999" s="13"/>
      <c r="W999" s="13"/>
      <c r="X999" s="13"/>
      <c r="Y999" s="13"/>
      <c r="Z999" s="13"/>
      <c r="AA999" s="13"/>
    </row>
    <row r="1000" ht="16.5" customHeight="1">
      <c r="A1000" s="10"/>
      <c r="B1000" s="10"/>
      <c r="C1000" s="13"/>
      <c r="D1000" s="13"/>
      <c r="E1000" s="13"/>
      <c r="F1000" s="205"/>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autoFilter ref="$A$3:$M$270">
    <filterColumn colId="9">
      <filters>
        <filter val="반영"/>
      </filters>
    </filterColumn>
  </autoFilter>
  <mergeCells count="4">
    <mergeCell ref="A1:G2"/>
    <mergeCell ref="I1:I2"/>
    <mergeCell ref="L2:M2"/>
    <mergeCell ref="G134:G138"/>
  </mergeCells>
  <hyperlinks>
    <hyperlink r:id="rId1" location="J25:0" ref="F47"/>
    <hyperlink r:id="rId2" ref="F48"/>
    <hyperlink r:id="rId3" ref="G57"/>
    <hyperlink r:id="rId4" ref="E71"/>
    <hyperlink r:id="rId5" ref="E84"/>
    <hyperlink r:id="rId6" ref="F85"/>
    <hyperlink r:id="rId7" ref="F86"/>
    <hyperlink r:id="rId8" ref="F115"/>
    <hyperlink r:id="rId9" location="searchId1" ref="F119"/>
    <hyperlink r:id="rId10" ref="E134"/>
    <hyperlink r:id="rId11" ref="E135"/>
    <hyperlink r:id="rId12" ref="E136"/>
    <hyperlink r:id="rId13" ref="E138"/>
    <hyperlink r:id="rId14" ref="E140"/>
    <hyperlink r:id="rId15" ref="F142"/>
    <hyperlink r:id="rId16" ref="F143"/>
    <hyperlink r:id="rId17" ref="F144"/>
    <hyperlink r:id="rId18" ref="F145"/>
    <hyperlink r:id="rId19" ref="F177"/>
    <hyperlink r:id="rId20" ref="F178"/>
    <hyperlink r:id="rId21" ref="F179"/>
    <hyperlink r:id="rId22" ref="F180"/>
    <hyperlink r:id="rId23" ref="F181"/>
    <hyperlink r:id="rId24" ref="F182"/>
    <hyperlink r:id="rId25" ref="E187"/>
  </hyperlinks>
  <printOptions/>
  <pageMargins bottom="1.0" footer="0.0" header="0.0" left="0.75" right="0.75" top="1.0"/>
  <pageSetup paperSize="9" orientation="portrait"/>
  <drawing r:id="rId26"/>
</worksheet>
</file>