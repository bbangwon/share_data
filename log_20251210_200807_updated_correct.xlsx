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ContentType="application/vnd.openxmlformats-officedocument.custom-properties+xml" PartName="/docProps/custom.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orkspace\ai_test\"/>
    </mc:Choice>
  </mc:AlternateContent>
  <xr:revisionPtr revIDLastSave="0" documentId="13_ncr:1_{ED8EDBFE-976B-489D-B22E-13D7371A42DF}" xr6:coauthVersionLast="47" xr6:coauthVersionMax="47" xr10:uidLastSave="{00000000-0000-0000-0000-000000000000}"/>
  <bookViews>
    <workbookView xWindow="-120" yWindow="-120" windowWidth="29040" windowHeight="15720" activeTab="1" xr2:uid="{00000000-000D-0000-FFFF-FFFF00000000}"/>
  </bookViews>
  <sheets>
    <sheet name="Statistics" sheetId="1" r:id="rId1"/>
    <sheet name="Logs" sheetId="2" r:id="rId2"/>
  </sheets>
  <definedNames>
    <definedName name="_xlnm._FilterDatabase" localSheetId="1" hidden="1">Logs!$A$1:$M$1061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C3" i="1" s="1"/>
  <c r="B2" i="1"/>
  <c r="C2" i="1" s="1"/>
  <c r="B1" i="1"/>
</calcChain>
</file>

<file path=xl/sharedStrings.xml><?xml version="1.0" encoding="utf-8"?>
<sst xmlns="http://schemas.openxmlformats.org/spreadsheetml/2006/main" count="2910" uniqueCount="1179">
  <si>
    <t>총 질문 수</t>
  </si>
  <si>
    <t>검색TOP5포함</t>
  </si>
  <si>
    <t>SLM정답청크선택</t>
  </si>
  <si>
    <t>순번</t>
  </si>
  <si>
    <t>질의문</t>
  </si>
  <si>
    <t>답변참조문서</t>
  </si>
  <si>
    <t>참조페이지</t>
  </si>
  <si>
    <t>task_id</t>
  </si>
  <si>
    <t>SLM 답변</t>
  </si>
  <si>
    <t>doc_id</t>
  </si>
  <si>
    <t>score</t>
  </si>
  <si>
    <t>group</t>
  </si>
  <si>
    <t>file</t>
  </si>
  <si>
    <t>page_num</t>
  </si>
  <si>
    <t>직원들(6급 이하)의 유연근무 등의 복무결재시 전결권자는 누구인가요?</t>
  </si>
  <si>
    <t>부산광역시 사무 전결처리 규칙
  -붙임파일(별표)전결사항
  (탭) 공통사항</t>
  </si>
  <si>
    <t>1</t>
  </si>
  <si>
    <t>미포함</t>
  </si>
  <si>
    <t>미선택</t>
  </si>
  <si>
    <t>d63447e9a55048a19ce339b6a2502dea</t>
  </si>
  <si>
    <t>질문하신 내용에 대해서는 참고할 만한 자료를 찾지 못했습니다. 관련 부서나 업무 담당자에게 문의해 주시기 바랍니다.</t>
  </si>
  <si>
    <t>질병휴직시 필요한 서류가 무엇인가요?</t>
  </si>
  <si>
    <t>293_2501_인사과_지침_행정안전부_지방공무원_인사제도_운영지침행정안전부예규제314호.pdf</t>
  </si>
  <si>
    <t>22</t>
  </si>
  <si>
    <t>포함</t>
  </si>
  <si>
    <t>선택</t>
  </si>
  <si>
    <t>9ebc0cd6680a40e499b162c27756b4e8</t>
  </si>
  <si>
    <t>질병휴직 신청 시 필요한 서류는 다음과 같습니다:
1. **질병휴직 신청서**: 해당 양식을 작성하여 제출해야 합니다.
2. **진단서 또는 휴직 사유를 증명할 수 있는 자료**:
   - 신체적 또는 정신적인 장애, 불임 또는 난임 치료를 필요로 하는 경우 이를 입증할 수 있는 의료기관의 진단서가 필요합니다.
   - 휴직 사유를 명확히 하기 위한 관련 증빙 서류를 함께 제출해야 합니다.
이러한 서류들은 질병휴직의 타당성을 검토하기 위한 중요한 자료이므로 정확하게 준비하여 제출해야 합니다. 추가로, 구체적인 절차나 요구 사항은 근무하시는 기관의 인사 담당 부서나 지침에 따라 다를 수 있으므로, 정확한 정보를 얻기 위해서는 해당 부서에 문의하시는 것이 좋습니다. 도움이 더 필요하시면 언제든지 말씀해 주세요!</t>
  </si>
  <si>
    <t>4dd76483-87bf-48f6-9aba-010f654b29b4</t>
  </si>
  <si>
    <t>내부자료</t>
  </si>
  <si>
    <t>협상에 의한 계약을 진행할 시 절차가 어떻게 되나요?</t>
  </si>
  <si>
    <t>478_2505_회계재산담당관_업무매뉴얼_회계재산담당관_계약업무_참고자료회계재산담당관외부용.pdf</t>
  </si>
  <si>
    <t>4, 17</t>
  </si>
  <si>
    <t>735c0921d33942f4b55f411ce7dac5e4</t>
  </si>
  <si>
    <t>협상에 의한 계약은 전문성, 기술성, 창의성, 예술성, 안전성 등이 요구되는 경우에 사용하는 계약 방법으로, 일반적인 입찰과는 다른 절차를 따릅니다. 아래는 협상에 의한 계약의 일반적인 절차입니다.
1. **협상에 의한 계약 신청**: 사업을 추진하고자 하는 부서에서는 일상감사 대상 여부를 확인하고, 필요하면 계약부서를 통해 일상감사부서에 협상에 의한 계약의 타당성 검토를 요청합니다.
2. **입찰공고**: 계약담당자는 제안서 제출 마감일 전부터 일정 기간 이전에 입찰공고를 해야 합니다. 일반적으로 추정가격에 따라 공고 기간이 달라집니다.
   - 추정가격 10억 원 이상: 40일 이전
   - 추정가격 10억 원 미만 1억 원 이상: 20일 이전
   - 추정가격 1억 원 미만: 10일 이전
3. **제안요청서 교부**: 계약담당자는 입찰에 참가하려는 자에게 제안요청서를 교부하며, 이는 지정 정보처리장치에 게시하여 대신할 수도 있습니다. 사업 내용이 복잡한 경우 기본제안서와 세부제안서로 나누어 교부할 수 있습니다.
4. **제안서 제출**: 입찰 참가자들은 제안요청서에 따라 기술제안서와 가격제안서를 작성하여 지정된 기한까지 계약담당자에게 제출합니다.
5. **제안서 평가**: 계약담당자는 제안서를 평가하여 협상적격자를 선정합니다. 이때 기술제안서와 가격제안서를 별도로 평가할 수 있습니다.
6. **협상적격자 통보**: 협상적격자로 선정된 업체들에게 협상 가능 여부와 협상 순위를 통보합니다.
7. **협상 진행**: 협상적격자들과 순차적으로 협상을 진행하여 최종 계약 조건을 합의합니다.
8. **계약 체결**: 협상이 완료되면 계약담당자는 협상 결과를 바탕으로 계약을 체결합니다.
이러한 절차를 통해 협상에 의한 계약은 사업의 특성을 반영하여 최적의 계약 상대방을 선정하고, 효율적인 계약 체결을 도모합니다. 더 궁금한 점이 있으시면 언제든지 물어보세요!</t>
  </si>
  <si>
    <t>9cea798e-3b9c-407f-a6c3-4f1af4a20e5a</t>
  </si>
  <si>
    <t>a157bf47-56f6-4682-8cb3-e26e4c122fad</t>
  </si>
  <si>
    <t>470_2407_회계재산담당관_법령_행정안전부_지방자치단체_입찰시_낙찰자_결정기준_00.pdf</t>
  </si>
  <si>
    <t>f6bb49e1-b013-42ca-bc5a-693dc6df603a</t>
  </si>
  <si>
    <t>c18dbaf2-6483-4393-b52a-d4f044b83a93</t>
  </si>
  <si>
    <t>465_2303_회계재산담당관_법령_한국지방재정공제회_지방계약법령집_제권예규_및_고시.pdf</t>
  </si>
  <si>
    <t>bfcbaa39-bb17-497f-86b2-be1251ef22aa</t>
  </si>
  <si>
    <t>DRM 비밀번호 초기화 방법이 무엇인가요?</t>
  </si>
  <si>
    <t>331_2112_정보화정책과_업무매뉴얼_정보화정책과_부서관리자_매뉴얼자료유출방지시스템_DRM_v50_비번초기화.pdf</t>
  </si>
  <si>
    <t>1, 2, 3</t>
  </si>
  <si>
    <t>17f39cb6bae74b5192b70c2fec826d6d</t>
  </si>
  <si>
    <t>DRM(Digital Rights Management) 시스템에서 비밀번호를 초기화하는 방법은 일반적으로 다음과 같습니다:
1. **사이트 접속**: 먼저 DRM 시스템이 제공하는 관리자 사이트에 접속해야 합니다. 이 경우, 주소 `http://99.1.81.71:9080/fed5`로 접속하며, 부서관리자 권한을 가진 사용자만이 접근할 수 있습니다.
2. **로그인**: 해당 사이트에 사용자 ID와 비밀번호를 입력하여 로그인합니다. 이때 사용하는 ID와 비밀번호는 자료유출방지시스템 DRAM의 것입니다.
3. **조직관리 메뉴 선택**: 로그인 후에는 상단의 메뉴 중 '공통설정 &gt; 조직관리'를 클릭합니다.
4. **사용자 선택 및 수정**: 좌측에 표시되는 부서 목록에서 원하는 부서를 선택하고, 그 안의 사용자를 선택한 다음, 우측 상단에 있는 '[수정]' 버튼을 클릭합니다.
5. **초기화 비밀번호 입력**: 나타나는 화면에서 초기화를 위한 비밀번호를 입력합니다. 여기서 사용되는 초기화 비밀번호는 'a12345'입니다. 이 비밀번호를 정확히 입력한 후 우측 상단의 '[확인]' 버튼을 눌러 수정을 완료합니다.
6. **비밀번호 변경 후 재로그인**: 비밀번호가 초기화된 사용자는 새로운 비밀번호로 변경해야 하며, 변경된 비밀번호로 다시 로그인하여 시스템을 사용할 수 있습니다.
이러한 절차를 통해 DRM 시스템의 비밀번호를 초기화하고 필요한 조치를 취할 수 있습니다. 만약 추가적인 도움이 필요하거나 다른 문의 사항이 있으시면 언제든지 말씀해 주세요!</t>
  </si>
  <si>
    <t>28edbca7-25e5-4839-be03-23df0b778bb6</t>
  </si>
  <si>
    <t>edb1e797-f9cd-4785-8595-87e84038bc40</t>
  </si>
  <si>
    <t>a121944b-92ec-4338-bfb3-1e517948c634</t>
  </si>
  <si>
    <t>일상경비 교부대상 통계목이 무엇인가요?</t>
  </si>
  <si>
    <t>1257_2412_회계재산담당관_공문_회계재산담당관_2025년도_일상경비_교부운영계획.pdf</t>
  </si>
  <si>
    <t>5</t>
  </si>
  <si>
    <t>ed76e3127299453faf738e7a5292c600</t>
  </si>
  <si>
    <t>일상경비 교부대상의 통계목은 지방자치단체 회계관리에 관한 훈령 등에 따라 지정되며, 일반적으로 다음과 같은 통계목들이 포함됩니다:
1. **201일반운영비**
   - **01. 사무관리비**: 사무용품 구입, 통신비 등 일반적인 사무 관리 비용.
   - **02. 공공운영비**: 공공시설 유지보수, 공공서비스 제공에 필요한 비용.
   - **03. 행사운영비**: 각종 행사의 진행을 위한 비용.
2. **202여비**
   - **01. 국내여비**: 공무 수행을 위한 국내 출장 시의 교통비와 숙박비 등.
   - **02. 월액여비**: 월별로 지급되는 여비로서, 정기적인 출장이나 근무를 위해 사용됩니다.
3. **203업무추진비**: 기관의 업무 추진을 위한 회의나 간담회 등의 비용.
4. **301일반보전금**
   - **11. 행사실비지원금**: 행사와 관련된 실제 비용을 지원하기 위한 금액.
또한, **외국에서 지급하는 경비** 중에서 불가피하게 현금으로 지급해야 하는 경우에도 일상경비로 교부가 가능합니다.
이러한 통계목들은 일상적으로 발생하는 소규모 경비에 대해 신속하고 효율적으로 자금을 운용할 수 있도록 하기 위해 지정되었습니다. 자세한 내용은 지방자치단체의 회계관리 규정이나 관련 법령을 참고하시면 됩니다. 추가적인 도움이 필요하시면 언제든지 말씀해 주세요!</t>
  </si>
  <si>
    <t>035e0f14-f0e3-4a32-883d-6d6af4961b8c</t>
  </si>
  <si>
    <t>bb48bfda-2558-4de0-a7b9-8145a5ad4ad0</t>
  </si>
  <si>
    <t>469_2406_회계재산담당관_법령_행정안전부_지방자치단체_회계관리에_관한_훈령_00.pdf</t>
  </si>
  <si>
    <t>f7d66361-cd7c-4404-a639-5e24186772d8</t>
  </si>
  <si>
    <t>f363f560-6cbc-4a7d-9e75-87f58b6c4e2f</t>
  </si>
  <si>
    <t>89fd45ee-29a1-4682-89d0-f0880003ddee</t>
  </si>
  <si>
    <t>일상경비 교부범위가 어떻게 되나요?</t>
  </si>
  <si>
    <t>ab711f3c52664b2d8db2db641d141593</t>
  </si>
  <si>
    <t>일상경비 교부범위는 「지방자치단체 회계관리에 관한 훈령」 제48조에 따라 재무관별로 설정됩니다. 일반적으로 일상경비 교부대상은 다음과 같습니다:
- **201일반운영비**: 사무관리비, 공공운영비, 행사운영비 등
- **202여비**: 국내여비, 월액여비 등
- **203업무추진비**: 기관운영업무추진비, 시책추진업무추진비 등
- **301일반보전금**: 행사실비지원금 등
각 항목마다 교부범위와 교부한도가 정해져 있으며, 예를 들어 **국내여비**의 경우 전체 예산액을 교부하며, **교부한도(1회)**는 1천만 원으로 제한됩니다.
또한, 교부 제외 대상에는 기관 전체에 공통적으로 소요되는 경비나 집행 빈도가 낮은 경비 등이 포함되며, 이는 예산의 효율적 사용을 위해 별도로 관리됩니다.
보다 자세한 내용은 첨부된 파일이나 관련 법령을 참고하시면 됩니다. 추가적인 도움이 필요하시면 언제든지 말씀해 주세요!</t>
  </si>
  <si>
    <t>9b66f5c7-9e85-4ad2-9e5d-420eb5fbcabf</t>
  </si>
  <si>
    <t>자치법규정보시스템</t>
  </si>
  <si>
    <t>43_페이지5_문서3_162141_부산광역시_회계관리에_관한_규칙.pdf</t>
  </si>
  <si>
    <t>6c5b79b9-3dc9-4a80-b3b6-6a435e99c6e4</t>
  </si>
  <si>
    <t>5084cb63-9f40-433e-99a8-81a7ac3e301c</t>
  </si>
  <si>
    <t>DRM 암호 초기화 어떻게 하나요?</t>
  </si>
  <si>
    <t>4666e25b58ce46ddae5984376d0f2f35</t>
  </si>
  <si>
    <t>DRM(Digital Rights Management) 시스템에서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 메뉴에서 '공통 설정' 또는 '조직 관리' 등의 메뉴를 찾아 클릭합니다.
   - 여기서 조직 내의 부서나 사용자를 관리할 수 있는 기능을 제공합니다.
4. **사용자 선택 및 수정**:
   - 좌측에 표시되는 부서 목록 중 관련 부서를 선택하고, 그 하위의 사용자 목록을 확인합니다.
   - 특정 사용자를 선택하거나 전체 사용자에 대한 작업을 진행할 수 있습니다.
   - 우측 상단에 위치한 '[수정]' 버튼을 클릭하여 다음 단계로 넘어갑니다.
5. **암호 초기화 설정**:
   - 수정 화면에서는 사용자의 정보를 변경할 수 있습니다.
   - 여기에서 '초기화 비밀번호'(예: a12345)를 입력하는 필드가 있을 것입니다.
   - 이 비밀번호를 입력하면 해당 사용자의 암호가 초기화됩니다.
   - 모든 설정을 완료했다면 우측 상단의 '[확인]' 버튼을 눌러 변경 사항을 저장합니다.
6. **사용자에게 안내**:
   - 암호가 초기화된 사용자는 새로운 비밀번호를 설정해야 합니다.
   - 이를 위해 사용자에게 초기화 사실을 알리고, 비밀번호 재설정 절차를 안내해야 합니다.
7. **보안 유지**:
   - 이러한 작업은 보안상의 이유로 제한적으로 허용되며, 반드시 필요한 경우에만 수행되어야 합니다.
   - 초기화 비밀번호는 안전한 곳에 보관하고, 작업이 끝난 후에는 즉시 폐기하는 것이 좋습니다.
이러한 절차는 시스템의 보안을 유지하고, 사용자의 접근 권한을 적절히 관리하는 데 중요합니다. 만약 구체적인 시스템이나 매뉴얼을 가지고 계시다면, 그에 따라 세부적인 단계를 따르시면 됩니다. 추가적인 도움이 필요하시면 언제든지 말씀해 주세요!</t>
  </si>
  <si>
    <t>보도자료 작성 기한은?</t>
  </si>
  <si>
    <t>1284_2512_부산시_업무관련_FAQ문서_20251209.pdf</t>
  </si>
  <si>
    <t>4</t>
  </si>
  <si>
    <t>cc46b54141514f1d8b96f60cb1f3a517</t>
  </si>
  <si>
    <t>위 문서에서 Q4에 대한 답변을 보면, 시정 보도자료의 정기 배포 프로세스에 대해 설명하고 있습니다. 그 중에서 보도자료 초안 작성 및 제출 기한은 배포 D-3일로 되어 있습니다. 즉, 보도자료를 배포하기 3일 전까지 담당 부서는 보도지원팀 담당자에게 보도자료 초안을 작성하여 제출해야 합니다.
**요약하면**, 보도자료 초안은 배포 예정일의 3일 전인 **D-3일**까지 작성하여 제출해야 합니다. 이는 보도자료의 원활한 배포와 검토 시간을 확보하기 위한 일정입니다. 만약 이 기한을 지키지 못할 경우, 보도지원팀 담당자와 사전에 협의하여 일정을 조정할 수 있습니다.</t>
  </si>
  <si>
    <t>edb7a993-7b06-439b-b657-9429360f9144</t>
  </si>
  <si>
    <t>인사고충 신청을 하려고 하는데 방법은?</t>
  </si>
  <si>
    <t>2501_인사과_기본계획_인사과_2025년도 부산광역시 인사운영 기본계획</t>
  </si>
  <si>
    <t>11</t>
  </si>
  <si>
    <t>28e11849ca444940afa617e6f1698ae4</t>
  </si>
  <si>
    <t>인사랑이 열리지 않을때 조치방법은?</t>
  </si>
  <si>
    <t>1255_행정포털_오류조치_안내_정보화정책과_20251112.pdf</t>
  </si>
  <si>
    <t>54a0865026214b1da1e26ad115a08adc</t>
  </si>
  <si>
    <t>안녕하세요! 인사랑이 열리지 않을 때의 조치 방법을 알려드리겠습니다.
**첫째**, **인터넷 연결 상태 확인**: 먼저 인터넷에 정상적으로 연결되어 있는지 확인해 주세요. 다른 웹사이트나 애플리케이션이 정상 작동하는지 체크하면 도움이 됩니다.
**둘째**, **브라우저 캐시와 쿠키 삭제**: 브라우저의 캐시와 쿠키를 삭제하여 문제가 되는 데이터를 제거해 보세요. 이는 브라우저 우측 상단의 설정 메뉴에서 '개인 정보 보호 및 보안' 옵션을 통해 진행할 수 있습니다.
**셋째**, **브라우저 확장 프로그램 점검**: 설치된 확장 프로그램이나 애드온이 충돌을 일으킬 수 있으므로, 필요 없는 확장 프로그램을 비활성화하거나 삭제해 보세요.
**넷째**, **브라우저 재시작 및 업데이트**: 브라우저를 완전히 종료했다가 다시 시작해 보고, 최신 버전으로 업데이트가 되어 있는지 확인해 주세요.
**다섯째**, **다른 브라우저 사용 시도**: 크롬, 파이어폭스, 엣지 등 다른 브라우저에서도 동일한 문제가 발생하는지 확인해 보세요. 만약 다른 브라우저에서는 정상 작동한다면 기존 브라우저의 문제일 가능성이 높습니다.
**여섯째**, **방화벽 및 보안 소프트웨어 확인**: 방화벽이나 백신 프로그램이 특정 사이트를 차단하고 있지는 않은지 확인하고, 필요하다면 예외 처리를 해주세요.
**일곱째**, **네트워크 설정 확인**: VPN이나 프록시 서버를 사용하고 있다면 이를 해제하고 직접 연결로 변경해 보세요.
**여덟째**, **시스템 시간 동기화**: 시스템 시간이 정확하지 않으면 인증 과정에서 문제가 발생할 수 있으니, 시간을 자동으로 동기화하는 기능을 사용해 보세요.
**아홉째**, **도메인 이름 시스템(DNS) 캐시 플러시**: 명령 프롬프트에서 `ipconfig /flushdns` 명령어를 사용하여 DNS 캐시를 초기화해 보세요.
**열 번째**, **전문가에게 문의**: 위의 조치를 모두 취했음에도 문제가 지속된다면, IT 지원팀이나 해당 서비스 제공 업체에 문의하는 것이 좋습니다.
이러한 단계들을 차례대로 따라 해보시면 문제를 해결하실 수 있을 것입니다. 추가로 궁금한 사항이 있으시면 언제든지 말씀해 주세요! 도움이 되었기를 바랍니다.</t>
  </si>
  <si>
    <t>44362772-0ca2-464e-98df-d9b4c549578f</t>
  </si>
  <si>
    <t>행정포털 접속 장애 시 조치 방법은?</t>
  </si>
  <si>
    <t>ea0ef34eb78143a99ae10c0a03acad22</t>
  </si>
  <si>
    <t>행정포털에 접속하는 도중 문제가 발생할 경우 다음과 같은 조치를 취해보세요:
1. **브라우저 캐시 및 쿠키 삭제**: 브라우저의 임시 파일이나 쿠키에 문제가 있을 수 있으므로, 해당 데이터를 삭제하면 문제를 해결할 수 있습니다.
   - **Internet Explorer**:
     - `Ctrl` + `Shift` + `Delete`를 눌러 '도구' 창을 열고, '검색 기록', '다운로드 기록', '쿠키 및 기타 사이트 데이터', '캐시된 이미지 및 파일'을 선택한 후 '지금 지우기' 버튼을 클릭하세요.
     - 또한, '즐겨찾기 웹사이트 데이터 보존' 옵션을 제외하고 나머지 항목을 체크하여 삭제합니다.
   - **Microsoft Edge**:
     - 동일한 방법으로 `Ctrl` + `Shift` + `Delete`를 눌러 '도구' 창을 열고, 필요한 항목을 선택하여 삭제합니다.
2. **브라우저 설정 초기화**:
   - 브라우저의 기본 설정으로 복원하여 문제가 되는 설정을 제거합니다.
   - **Internet Explorer**:
     - `[도구]` &gt; `[인터넷 옵션]` &gt; `[고급]` 탭에서 '원래대로' 또는 '고급 설정 복원'을 선택하고 적용한 뒤 브라우저를 종료하고 다시 시작합니다.
3. **ActiveX 컨트롤 및 플러그인 관리**:
   - 일부 서비스는 ActiveX 컨트롤을 필요로 합니다. 이러한 컨트롤이 차단되거나 손상되었는지 확인하고 필요하면 재설치하거나 허용하도록 설정을 변경합니다.
4. **방화벽 및 보안 소프트웨어 확인**:
   - 방화벽이나 백신 프로그램이 특정 포트를 차단하거나 사이트를 제한하고 있는지 확인합니다.
   - 일시적으로 방화벽을 끄거나 예외 규칙을 추가하여 테스트해볼 수 있습니다.
5. **네트워크 연결 상태 점검**:
   - 다른 웹사이트나 서비스에 접근 가능한지 확인하여 네트워크 문제인지 판단합니다.
   - VPN이나 프로xies 설정이 올바르게 되어있는지도 확인합니다.
6. **행정포털 관련 모듈 재설치**:
   - 행정포털 사용을 위해 필요한 모듈이나 플러그인이 손상되었을 수 있습니다.
   - 제공된 매뉴얼([파일명: 1255_행정포털_오류조치_안내_정보화정책과_20251112.pdf])에 따라 관련 모듈을 재설치합니다.
7. **시스템 시간 동기화**:
   - 시스템 시간이 정확하지 않으면 인증 과정에서 문제가 발생할 수 있습니다.
   - 시스템의 날짜와 시간을 정확한 값으로 설정합니다.
8. **다른 브라우저 사용 시도**:
   - Internet Explorer, Microsoft Edge, Chrome 등의 다른 브라우저를 사용하여 접속해봅니다.
   - 특정 브라우저에서만 문제가 발생하는지 확인할 수 있습니다.
9. **IT 지원 부서에 문의**:
   - 위의 단계를 모두 시도했음에도 문제가 지속되면 IT 지원 부서나 담당자에게 상세한 증상과 함께 지원을 요청합니다.
위의 조치들을 순서대로 진행하면서 문제의 원인을 찾아 해결하실 수 있을 것입니다. 만약 구체적인 도움이 필요하다면, 더 자세한 상황 설명이나 스크린샷 등을 제공해주시면 더욱 정확한 조언을 드릴 수 있습니다.</t>
  </si>
  <si>
    <t>b9eaf18d-1984-4f60-8d4a-cfa87fc92f3a</t>
  </si>
  <si>
    <t>eb25fc39-8792-4452-b1aa-b2adb87b35d7</t>
  </si>
  <si>
    <t>371_2503_정보화정책과_업무매뉴얼_정보화정책과_온톡_온메일_온나라_지식_사용자_매뉴얼_v21.pdf</t>
  </si>
  <si>
    <t>회의장 예약 방법은?</t>
  </si>
  <si>
    <t>a58c20184bbe474b84f533c94a5c7201</t>
  </si>
  <si>
    <t>회의장 예약 방법은 다음과 같습니다:
1. **행정포털 접속**: 먼저 행정포털 웹사이트에 로그인하세요.
2. **개인서비스 메뉴 선택**: 메인 화면에서 '개인서비스' 메뉴를 클릭합니다.
3. **회의장 예약 기능 선택**: '개인서비스' 메뉴 내에서 '회의장' 또는 '회의실 예약' 기능을 찾아 클릭합니다.
4. **예약 정보 입력**:
   - 원하는 **날짜와 시간**을 선택합니다.
   - 필요한 경우 **회의실 종류**나 **수용 인원** 등을 지정합니다.
   - **예약 목적**이나 **상세 내용**을 작성합니다.
5. **예약 완료**: 모든 정보를 정확히 입력한 후 '예약 신청' 버튼을 눌러 예약을 완료합니다.
**참고 사항**:
- 일부 회의실은 특정 부서나 용도에 따라 예약이 제한될 수 있으므로, 사전에 해당 부서에 확인하거나 공지사항을 참고해야 합니다.
- 인기 있는 회의실의 경우 미리 예약하지 않으면 사용이 어려울 수 있으니, 필요하신 일정에 맞춰 일찍 예약하시는 것이 좋습니다.
추가적으로 궁금한 사항이나 도움이 필요하시면 언제든지 말씀해 주세요!</t>
  </si>
  <si>
    <t>74f655a6-6e3c-4203-af25-8d7c2aa656a3</t>
  </si>
  <si>
    <t>af6b89a2-5cae-416e-94fb-270a19595566</t>
  </si>
  <si>
    <t>1281_게시판_시청사_회의장회의실_현황-hwp.pdf</t>
  </si>
  <si>
    <t>f10e4076-05ec-4ab0-88fe-31f3c238cf88</t>
  </si>
  <si>
    <t>0e02c885-bced-45e6-b2a8-3815e157d217</t>
  </si>
  <si>
    <t>PC 개인정보 삭제 방법은?</t>
  </si>
  <si>
    <t>357_2412_정보화정책과_업무매뉴얼_정보화정책과_PC개인정보파일_정비방법간단매뉴얼_0310.pdf</t>
  </si>
  <si>
    <t>921a7968b597409c8d16d21c36704bf1</t>
  </si>
  <si>
    <t>네, 알려드릴게요! 문서에서 설명하는 PC 개인정보 삭제 방법은 다음과 같아요:
1. **모니터 우측 하단의 지구본 아이콘 우클릭**:
   - 화면 오른쪽 아래에 있는 지구본 모양의 아이콘을 마우스 우클릭하세요.
2. **'Fasoo Data Radar' 열기**:
   - 나타나는 메뉴에서 'Fasoo Data Radar'를 선택하여 프로그램을 엽니다.
3. **좌측 세 번째 메뉴에서 '[검출파일관리]' 클릭**:
   - 열린 창에서 좌측 메뉴 중 세 번째에 위치한 '[검출파일관리]'를 클릭합니다.
4. **'암호화상태' 항목에서 '일반문서'로 표시된 파일 찾기**:
   - '암호화상태' 섹션에서 '일반문서'로 분류된 파일들을 찾아봅니다.
5. **파일명 우클릭하여 암호화 또는 삭제 조치**:
   - 찾은 파일의 이름 위에서 마우스 우클릭을 하고, 제공되는 옵션 중에서 '암호화'나 '삭제'를 선택하여 조치를 취합니다.
     - **주의**: '삭제'는 영구적으로 파일이 제거되므로 신중하게 진행해야 합니다.
6. **파일을 열어 개인정보 내용 삭제하기**:
   - 만약 파일 내에 직접 개인정보를 삭제하고자 한다면, 해당 파일을 열고 내용을 수정한 뒤 저장합니다.
7. **압축파일 해제 및 조치**:
   - 만약 '암호화'나 '삭제' 옵션이 비활성화되어 있다면, 그 파일이 압축파일일 수 있습니다.
   - 이 경우, 먼저 압축을 해제한 다음 동일한 절차를 따라야 합니다.
8. **보안문서 생성 및 개별 조치**:
   - 압축 해제된 파일에 대해 필요한 경우 '보안문서 생성' 기능을 사용하여 추가적인 보안을 적용할 수 있습니다.
9. **PC 개인정보 사용자 검사 방법 안내**:
   - 프로그램 내에서 제공하는 검사 기능을 통해 추가로 개인정보를 검색하고 관리할 수 있습니다.
이렇게 단계별로 진행하시면 PC에 저장된 불필요하거나 과도한 개인정보의 삭제와 관리가 가능합니다. 혹시 더 궁금한 점이 있으시면 언제든지 물어보세요! 도움이 필요하면 언제든 말씀해 주세요.</t>
  </si>
  <si>
    <t>2be574ee-d6d9-4b5a-ac6d-2bea79390ada</t>
  </si>
  <si>
    <t>95d6ac1fd53746528b6e5b1414182873</t>
  </si>
  <si>
    <t>시 공무원 장례비 지원 및 사망조위금 신청방법은?</t>
  </si>
  <si>
    <t>278_2501_인사과_기타_인사과_2025년_공무원_장례비_지원_추진계획.pdf</t>
  </si>
  <si>
    <t>2</t>
  </si>
  <si>
    <t>8d2047ff6b724a86a48c2caafcbbd337</t>
  </si>
  <si>
    <t>부산광역시 시 공무원에 대한 장례비 지원과 사망조위금 신청 방법에 대해 알려드리겠습니다.
### **장례비 지원**
**지원 목적**: 친족의 부고 발생에 따른 공무원을 격려하고 소속감을 높이기 위함입니다.
**지원 대상**: 본청, 직속기관, 사업소, 시의회(시의원 포함) 소속 공무원입니다.
**지원 범위**: 배우자, 부모(배우자의 부모 포함), 자녀, 사위, 며느리의 사망 시에 지원됩니다. (조부모는 제외)
**지원 금액**: 1,000천원 이내의 실제 비용을 지원하며, 재직 기간 동안 최대 2회까지 받을 수 있습니다. 사망일로부터 1년 이내에 신청하지 않으면 지원이 소멸됩니다.
**신청 방법**:
1. **장례비용 선결제**: 먼저 장례비용을 결제해야 합니다.
2. **증빙자료 준비**: 사망확인 서류(사망진단서, 사망자 기본증명서 등), 친족 증명 서류(가족관계증명서, 혼인관계증명서 등), 그리고 장례비용 결제 증빙서류를 준비합니다.
3. **직원복지지원 시스템 등록**: 시 행정포털 내의 &lt;직원복지지원 시스템&gt;에 위의 증빙자료를 업로드하여 신청합니다.
**주의 사항**:
- 공무원 명의의 증빙서류만 인정됩니다.
- 1회용품 구매 비용이나 간이영수증 등은 지원되지 않습니다.
### **사망조위금**
**지원 대상**: 공무원이 재직 중에 사망하거나 공무원의 가족이 사망한 경우에 해당됩니다.
**지원 내용**:
- **공무원 본인이 사망한 경우**:
  - 신청 서류: 사망진단서(또는 기본증명서), 가족관계증명서, 유가족 대표 선정서, 통장 사본
  - 지원 금액: 공무원 본인의 기준 소득월액의 2배
  - 신청 기관: 연금 취급 기관
- **공무원 가족이 사망한 경우**:
  - 신청 서류: 사망진단서(또는 기본증명서), 가족관계증명서, 배우자의 부모가 사망한 경우 혼인관계증명서 추가
  - 지원 금액: 공무원 전체 평균 기준 소득월액의 0.65배
  - 신청 방법: 공무원연금공단 홈페이지(https://www.geps.or.kr) 또는 연금 취급 기관에 신청
**관련 법령 및 규정**:
- **공무원재해보상법 제43조**
- **동법 시행령 제54조**
---
**추가 정보**:
- 자세한 사항은 인사과나 연금 담당 부서에 문의하시면 더욱 정확한 정보를 얻을 수 있습니다.
- 신청 시 필요한 서류를 미리 확인하고 준비하는 것이 중요합니다.
위의 정보가 도움이 되셨기를 바랍니다. 더 궁금한 점이 있으시면 언제든지 물어보세요!</t>
  </si>
  <si>
    <t>5f9d33cc-8d3e-4cb9-8677-e2dd6c39ab35</t>
  </si>
  <si>
    <t>13ef0a81-dfe0-4704-b500-ad9c7999d087</t>
  </si>
  <si>
    <t>1219_2510_인사과_매뉴얼_인사과_자주찾는_질문인사과_전체.pdf</t>
  </si>
  <si>
    <t>eb50c526-19ed-4826-a895-58c20ec97a84</t>
  </si>
  <si>
    <t>1283_2503_인사과_공문_인사과_2025년_공무원_후생복지_추진계획배포-hwp.pdf</t>
  </si>
  <si>
    <t>회의실 예약은 어떻게 하나요?</t>
  </si>
  <si>
    <t>cfa1ec0d1742437aa7dc3cd5c8c2b6a3</t>
  </si>
  <si>
    <t>회의실을 예약하려면 다음과 같은 절차를 따르면 됩니다:
1. **행정포털 접속**: 먼저 부산시 행정포털 웹사이트에 로그인하세요.
2. **개인서비스 메뉴 선택**: 메인 화면에서 '개인서비스' 메뉴를 클릭합니다.
3. **회의장 예약 선택**: '개인서비스' 메뉴 내에서 '회의장' 또는 '회의실 예약' 옵션을 선택합니다.
4. **원하는 날짜와 시간 선택**: 예약 가능한 날짜와 시간을 확인하고, 원하는 일정을 선택합니다.
5. **예약 정보 입력**: 필요한 경우 회의 제목, 참석자 명단 등의 정보를 입력합니다.
6. **예약 완료**: 모든 정보를 정확히 입력한 후 예약을 확정하면 됩니다.
**참고 사항**:
- 회의실은 선착순으로 예약되므로 미리 확인하는 것이 좋습니다.
- 특정 회의실의 경우 사전에 담당 부서나 총무과의 승인이 필요할 수 있으니 해당 사항을 확인해 주세요.
- 자세한 내용은 위의 문서 '[파일명: 1284_2512_부산시_업무관련_FAQ문서_20251209.pdf]'의 페이지 1에서 확인할 수 있습니다.
추가적인 도움이 필요하시면 언제든지 말씀해 주세요!</t>
  </si>
  <si>
    <t>7b1079c5-1207-4b64-aac5-5d76ac1b7d7f</t>
  </si>
  <si>
    <t>407_2505_총무과_주요질문사항_도모헌_이용범위_및_신청_절차.pdf</t>
  </si>
  <si>
    <t>임기제공무원은 어떻게 임용되나요?</t>
  </si>
  <si>
    <t>291_2501_인사과_대통령령_인사혁신처_공무원임용령대통령령제35191호.pdf</t>
  </si>
  <si>
    <t>13</t>
  </si>
  <si>
    <t>1c3e2b8d807841f2af7796c3b589111c</t>
  </si>
  <si>
    <t>임기제공무원은 전문지식이나 기술이 요구되거나 임용관리에 특수성이 요구되는 업무를 담당하기 위해 일정 기간을 정하여 근무하는 공무원을 말합니다. 이러한 임기제공무원의 임용은 다음과 같이 진행됩니다.
**1. 임용권자의 권한**
- **지방자치단체의 장과 지방의회의 의장**: 업무의 특성이나 기관의 사정을 고려하여 임기제공무원을 임용할 수 있습니다.
- **임용 조건, 절차, 근무상한연령 및 기타 필요한 사항**: 이는 대통령령으로 정해져 있습니다.
**2. 임용 절차**
- **임용권자 또는 임용제청권자**는 정원 및 예산의 범위 내에서 임기제공무원을 임용할 수 있습니다.
- **소속 장관의 승인 필요 여부**:
  - *전문임기제공무원*을 임용하려는 경우에는 소속 장관의 승인이 필요합니다.
  - *일반임기제공무원 및 한시임기제공무원*을 임용한 경우에는 그 사실을 소속 장관에게 통보해야 합니다.
**3. 근무기간**
- **일반적으로 5년 이내**로 정해집니다.
- **사업의 지속성**에 따라 근무기간을 연장할 수 있으며, 최대 5년까지 가능합니다.
- **성과에 따른 연장 가능**: 근무기간이 5년에 이른 경우에도 성과가 탁월하면 추가 연장이 가능합니다.
**4. 예외 사항**
- **비상대비업무담당자 등**은 일반임기제공무원 또는 전문경력관으로 임용되며, 이들의 근무기간은 인사혁신처장이 별도로 정합니다.
- **지역 인재의 추천 및 선발**: 우수한 인재를 유치하기 위해 학업 성적이 뛰어난 사람들을 수습으로 근무하게 한 뒤, 근무성적과 자질이 우수하면 일반직공무원으로 임용할 수 있습니다.
**참고 자료**
- **'지방공무원법'**: 임기제공무원의 임용에 관한 법적 근거를 제공합니다.
- **'공무원임용령'**: 구체적인 임용 절차와 근무기간 등에 대해 상세히 규정하고 있습니다.
따라서, 임기제공무원은 특정 업무의 효율적 수행을 위해 임용권자가 일정 기간 동안 임용하며, 이는 법령에 의해 체계적으로 관리되고 있습니다. 더 궁금한 점이 있으시면 언제든지 물어보세요!</t>
  </si>
  <si>
    <t>6e7e6215-6435-4f2b-bc67-4333b774b312</t>
  </si>
  <si>
    <t>264_2401_인사과_법령_행정안전부_지방공무원_인사관계_법령집.pdf</t>
  </si>
  <si>
    <t>a3b671a0-34a0-41d4-b7c2-01c8587682a1</t>
  </si>
  <si>
    <t>1226_2025_공무원보수_등의_업무지침인사혁신처_예규_제192호.pdf</t>
  </si>
  <si>
    <t>4f97ed89-6cb2-44e9-b8b9-6840ad42e853</t>
  </si>
  <si>
    <t>114_페이지12_문서4_162243_부산광역시_공무원_인사_규칙.pdf</t>
  </si>
  <si>
    <t>27dd74de-265c-4866-9804-caaef5e9a276</t>
  </si>
  <si>
    <t>d8b7a077-7a66-43a0-86dd-8f0335b0e829</t>
  </si>
  <si>
    <t>272_2412_인사과_법률_행정안전부_지방공무원법.pdf</t>
  </si>
  <si>
    <t>데이터산업 혁신생태계 조성 전략의 내용은?</t>
  </si>
  <si>
    <t>170_2503_빅데이터과_업무매뉴얼_빅데이터과_빅데이터과바인더.pdf</t>
  </si>
  <si>
    <t>24</t>
  </si>
  <si>
    <t>42b16d0848464fc6a35a3a469bfd7e7a</t>
  </si>
  <si>
    <t>데이터산업 혁신생태계 조성 전략은 데이터로 도약하는 디지털 경제도시 부산을 비전으로 설정하고 있습니다. 주요 목표로는 "데이터산업 선순환 자생적 생태계 조성"과 "데이터 기반 새로운 가치 창출"을 제시하며, 이를 달성하기 위한 전략과 과제를 다음과 같이 수립하였습니다.
**비전**: 데이터로 도약하는 디지털 경제도시 부산  
**목표(‘24년)**:
1. **데이터 확보**: 7,500종(현재 2,500종)
2. **데이터 전문기업 육성**: 100개사(현재 21개사)
3. **데이터 고급인재 양성**: 100명
4. **기업의 빅데이터 도입**: 25%(현재 4.9%)
**전략 및 과제**:
- **데이터산업 혁신기반 조성**
  - **데이터경제 선도 전문기업 육성**
    - 빅데이터 혁신센터 설립
    - 데이터통합플랫폼 구축
  - **실무융합형 전문인재 양성**
    - 부산형 글로벌 해커톤 유치
    - 데이터 챌린지 지원
  - **데이터 창업 생태계 조성**
    - 데이터 스타트업 성장 지원
    - R&amp;D 지원사업 큐레이션
  - **데이터 기반 특화산업 육성**
    - 디지털 헬스케어 서비스
    - 스마트 산업단지 구축
이러한 전략을 바탕으로 데이터산업의 혁신생태계를 조성하고자 하며, 이는 부산 지역의 데이터산업 발전을 촉진하고 경쟁력을 강화하는 것을 목표로 합니다. 또한, 데이터 기반의 새로운 가치를 창출하여 지역 경제 발전에 기여할 것으로 기대됩니다.</t>
  </si>
  <si>
    <t>5400edd2-420d-42cd-8f5b-e4e340e57064</t>
  </si>
  <si>
    <t>08dd0469-7355-4af4-82b1-7ef14be58263</t>
  </si>
  <si>
    <t>0f31473d-2184-4efb-b47a-2804328ed9f1</t>
  </si>
  <si>
    <t>8b93c297-0ad6-47ef-946a-7eebb16788b5</t>
  </si>
  <si>
    <t>데이터 활용 지원센터(빅데이터혁신센터)의 혁신성장 데이터 챌린지 프로그램은 어떤 것들이 있나요?</t>
  </si>
  <si>
    <t>61, 62</t>
  </si>
  <si>
    <t>bd7b839e51694e87aaf9d6be31dd0ee8</t>
  </si>
  <si>
    <t>데이터 활용 지원센터(빅데이터혁신센터)의 혁신성장 데이터 챌린지 프로그램에는 다음과 같은 것들이 있습니다:
1. **Busan Data Week**: 데이터 산업 관련 지속적인 정보 제공 및 국내외 네트워크 협력 거버넌스 구축을 목표로 합니다.
2. **DX 부트캠프**: 디지털 전환(Digital Transformation)을 위한 교육과 실습을 제공하는 프로그램으로, 데이터와 기술을 활용한 혁신적인 솔루션을 개발하는 것을 지원합니다.
3. **DX 포럼**: 산업별 디지털 전환 성공 사례와 최신 기술 동향을 공유하고 논의하는 자리로, 업계 전문가들과 네트워킹 기회를 제공합니다.
4. **글로벌 해커톤**: 전 세계의 참여자들이 모여 데이터 분석을 통해 산업 전반의 문제를 해결하는 서비스를 개발하는 대회입니다.
5. **빅데이터 분석 해커톤**: 공공데이터와 미개방 오픈랩 데이터를 활용하여 부산 지역의 현안 문제를 발굴하고 해결하는 해커톤입니다.
6. **코드포부산**: 부산 지역의 사회문제를 해결하기 위해 개발자들과 시민들이 함께 참여하는 코딩 이벤트입니다.
이러한 프로그램들은 모두 데이터의 활용을 촉진하고, 혁신적인 아이디어와 솔루션을 발굴하며, 지역사회 발전에 기여하고자 하는 목적을 가지고 있습니다. 각 프로그램은 특정 목표와 대상자를 두고 있으며, 참여를 원하는 개인이나 기업은 해당 프로그램의 일정과 신청 방법을 확인하여 참여할 수 있습니다. 더 자세한 정보는 빅데이터혁신센터의 공식 웹사이트나 관련 공지사항을 참고하시면 됩니다. 추가로 궁금한 사항이 있으시면 언제든지 물어보세요!</t>
  </si>
  <si>
    <t>aa1dfbb8-5782-412f-96e6-36e5f5638a4b</t>
  </si>
  <si>
    <t>bc3e6d6c-0979-44d8-9894-7dc7610b0a8d</t>
  </si>
  <si>
    <t>부산광역시 데이터 활용 및 데이터산업 육성에 관한 조례에 따른 기본계획의 수립 내용은?</t>
  </si>
  <si>
    <t>158_2408_빅데이터과_조례_빅데이터과_부산광역시_데이터_활용_및_데이터산업_육성에_관한_조례.pdf</t>
  </si>
  <si>
    <t>d0c0bb7a0c6f46ecb62f93bdef1e598c</t>
  </si>
  <si>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시장은 이러한 기본계획에 따라 매년 시행계획을 수립·시행하여 데이터 활용과 데이터산업 육성을 지속적으로 추진하고 있습니다. 이를 통해 시민들의 데이터 활용 능력을 높이고, 데이터 기반의 경제 성장을 도모하고자 합니다.</t>
  </si>
  <si>
    <t>a06ad49e-6e9b-4cd5-bf7b-66a042873709</t>
  </si>
  <si>
    <t>223_페이지23_문서3_162439_부산광역시_정보화_기본_조례.pdf</t>
  </si>
  <si>
    <t>6cfbef53-4c24-46a7-96ec-0bdf9c77692a</t>
  </si>
  <si>
    <t>db61a3ea-924d-4ec7-868a-bb4f11dd6c01</t>
  </si>
  <si>
    <t>d3839f92-95c6-460f-a2c5-a4d61371d69a</t>
  </si>
  <si>
    <t>08ba49fa-2ac2-47a0-b331-9f012aefd244</t>
  </si>
  <si>
    <t>308_페이지31_문서8_162621_부산광역시_데이터_활용_및_데이터산업_육성에_관한_조례.pdf</t>
  </si>
  <si>
    <t>공공데이터 포털에 공공데이터를 등록하는 절차가 무엇인가요?</t>
  </si>
  <si>
    <t>141_2306_빅데이터과_업무매뉴얼_공공데이터_제공관리_실무매뉴얼.pdf</t>
  </si>
  <si>
    <t>30</t>
  </si>
  <si>
    <t>960c5f26c68b48a9b271680bb0a2a469</t>
  </si>
  <si>
    <t>공공데이터 포털에 공공데이터를 등록하는 절차는 다음과 같습니다:
1. **공공데이터 목록 구성**: 먼저, 기관에서 생성하거나 수집·취득한 공공데이터 중에서 제공할 데이터를 확인하고, 이를 기반으로 공공데이터 목록을 구성합니다.
2. **등록대상 확인**: 구성된 공공데이터 목록이 공공데이터 등록 대상인지 확인합니다. 이는 정부기능분류(BRM)를 참고하여 진행하며, 해당 데이터가 공공데이터로서 적합한지 판단합니다.
3. **공공데이터 목록·데이터 등록**: 공공데이터 목록·데이터 등록서를 작성하여 목록등록관리시스템(all.data.go.kr)에 등록합니다. 이 과정에서 데이터의 메타정보를 정확하게 입력하고, 데이터의 형식과 내용이 규정에 맞는지 확인합니다.
4. **현행화 관리**: 등록된 공공데이터의 최신 상태를 유지하고, 변경사항이 있을 경우 즉시 수정하여 정확한 정보가 제공되도록 관리합니다.
5. **개방검토**: 등록된 공공데이터 목록과 데이터는 공공데이터활용지원센터의 개방검토를 받습니다. 이 과정에서는 데이터의 형식, 품질, 법적 문제 등을 검토하여 개방 적합성을 평가합니다.
6. **공공데이터 포털에 등록**: 개방검토를 통과한 공공데이터는 공공데이터 포털(data.go.kr)에 등록되어 일반 국민이 열람하고 활용할 수 있게 됩니다.
이러한 절차를 통해 공공기관은 보유한 공공데이터를 효율적으로 관리하고, 국민들에게 투명하게 공개하여 데이터 기반의 혁신과 가치 창출에 기여할 수 있습니다. 만약 더 자세한 안내나 도움이 필요하시다면 언제든지 말씀해 주세요!</t>
  </si>
  <si>
    <t>6d0649db-14bc-4ae2-bf11-4887574f8476</t>
  </si>
  <si>
    <t>dc242179-c4d6-465d-8180-28344250af8a</t>
  </si>
  <si>
    <t>0d54ef30-4ef7-4b40-b340-1ecb82c32e22</t>
  </si>
  <si>
    <t>7445c0b7-a52f-49df-b31c-82fa8e0d8c10</t>
  </si>
  <si>
    <t>af0d6c4f-5a3b-47e6-b4ab-3b51acaf95ea</t>
  </si>
  <si>
    <t>공공데이터 목록과 제공 대상 공공데이터의 차이는 무엇인가요?</t>
  </si>
  <si>
    <t>7, 18, 23, 30</t>
  </si>
  <si>
    <t>e3088af82ffe4aebbc1e7b243b5099b4</t>
  </si>
  <si>
    <t>공공데이터 목록은 각 기관이 생성하거나 수집·취득한 모든 공공데이터의 목록을 말하며, 이는 공공데이터법 제18조에 따라 행정안전부장관에게 등록됩니다. 반면에 제공 대상 공공데이터는 이러한 전체 공공데이터 중에서 개인정보, 저작권 등 제공 제외 사유가 없는 데이터를 말합니다. 즉, 공공데이터 목록은 기관에서 보유한 모든 공공데이터의 총칭이고, 그 중에서 실제로 국민들에게 제공할 수 있는 데이터가 제공 대상 공공데이터입니다.
따라서 공공데이터 목록은 기관의 모든 공공데이터를 포괄하는 넓은 범위의 목록이며, 제공 대상 공공데이터는 그 중에서 법적·제도적 제한 없이 국민들에게 개방할 수 있는 구체적인 데이터들을 의미합니다. 제공 대상 공공데이터는 공공데이터 포털 등을 통해 국민들이 접근하고 활용할 수 있게 됩니다.</t>
  </si>
  <si>
    <t>7fd6d2bf-1508-4621-bff9-0873dbe8adcc</t>
  </si>
  <si>
    <t>cd0279ec-9a36-4569-8666-143ff5496e84</t>
  </si>
  <si>
    <t>fd999e8c-dccc-4642-8f24-d500979940ba</t>
  </si>
  <si>
    <t>22883643-0480-474c-9e48-1f6368e4b6ec</t>
  </si>
  <si>
    <t>공공데이터 제공 표준이 무엇인가요?</t>
  </si>
  <si>
    <t>72</t>
  </si>
  <si>
    <t>85a7c073b0bb40f79923f1696e72655e</t>
  </si>
  <si>
    <t>공공데이터 제공 표준은 공공기관이 생성하거나 취득하여 관리하고 있는 공공데이터를 국민이 자유롭게 이용할 수 있도록 하기 위해 데이터의 구조, 형식, 제공 방법 등을 통일화한 기준을 말합니다. 이러한 표준을 통해 데이터의 품질을 향상시키고, 데이터의 재사용성과 상호운용성을 높여 다양한 분야에서 효과적으로 활용할 수 있게 됩니다.
예를 들어, 데이터의 필드 이름이나 데이터 타입, 코드값 등을 일정한 규칙에 따라 정의함으로써 서로 다른 시스템이나 애플리케이션 간에도 원활한 데이터 교환이 가능합니다. 또한, 데이터의 제공 방법에 있어서도 표준화된 포맷(예: CSV, JSON, XML 등)을 사용하여 이용자가 쉽게 접근하고 활용할 수 있도록 합니다.
대한민국에서는 행정안전부에서 주관하여 공공데이터 제공 표준을 제정하고 있으며, 이를 통해 공공기관들이 일관된 방식으로 데이터를 제공하고 관리하도록 하고 있습니다. 이는 국민의 알 권리를 보장하고, 데이터 기반의 혁신과 경제 활성화를 지원하는 중요한 역할을 합니다.</t>
  </si>
  <si>
    <t>380e0c3b-6ab6-4d7f-83c3-0cd7a9a423dc</t>
  </si>
  <si>
    <t>9df3b333-6618-4d0d-9d4c-acbc98166cb4</t>
  </si>
  <si>
    <t>e2a17656-45bd-4d98-9bb2-54c2468a961b</t>
  </si>
  <si>
    <t>7d16e3c7-1f9f-4ce0-8fb3-f30d13d203e2</t>
  </si>
  <si>
    <t>63f0ce95-70f6-4df8-bc9b-ee14c1dfe78a</t>
  </si>
  <si>
    <t>가명정보 처리가 가능한 목적은 무엇인가요?</t>
  </si>
  <si>
    <t>150_2402_빅데이터과_기타_개인정보보호위원회_가명정보_처리_가이드라인.pdf</t>
  </si>
  <si>
    <t>aaa36ce8fcde4f388f12862c71cf6874</t>
  </si>
  <si>
    <t>가명정보 처리는 「개인정보 보호법」에서 정한 특정한 목적에 한해 가능합니다. 그 목적은 다음과 같습니다:
1. **통계작성**: 국가나 기관에서 정책 수립이나 학술 연구 등을 위해 데이터를 집계하고 분석하는 활동입니다.
2. **과학적 연구**: 새로운 지식의 발견이나 이론의 개발을 목표로 하는 연구로, 자연과학, 사회과학 등 다양한 분야의 연구를 포함합니다.
3. **공익적 기록보존**: 역사적인 자료나 문화유산 등을 보존하여 후대에 전달하는 것으로, 사회의 공익을 위해 중요한 자료를 유지하는 것입니다.
이러한 목적들은 사회적 이익과 발전을 위해 필수적이며, 개인의 프라이버시를 침해하지 않는 범위 내에서 가명정보를 활용할 수 있도록 법적으로 허용되고 있습니다. 따라서 가명정보 처리는 위의 목적들을 달성하기 위한 경우에 한해 가능하며, 이외의 목적으로는 사용할 수 없습니다. 또한, 이러한 처리는 반드시 법적 절차를 준수하고, 정보 주체의 권리를 보호하면서 이루어져야 합니다.</t>
  </si>
  <si>
    <t>547fa0de-464d-4930-9b23-89f74a49d844</t>
  </si>
  <si>
    <t>ad91feba-47b3-481c-a0d7-1b5c166b2cbe</t>
  </si>
  <si>
    <t>3a7e9237-fff7-4b20-8ed3-6a2f7d1d0351</t>
  </si>
  <si>
    <t>881ecd8b-87af-4901-a125-400a399cbc73</t>
  </si>
  <si>
    <t>7de567cd-19d7-4006-96d5-55928d7c793f</t>
  </si>
  <si>
    <t>가명정보 처리 시 개인정보 주체의 동의가 반드시 필요한가요?</t>
  </si>
  <si>
    <t>36b3c1a4cd1b4177b62199a6433f88a4</t>
  </si>
  <si>
    <t>네, 가명정보 처리 시에는 개인정보 주체의 동의가 반드시 필요합니다. 그러나 이는 가명정보의 처리 목적에 따라 다를 수 있습니다.
**가명정보란** 개인정보 중에서 추가 정보 없이는 특정 개인을 알아볼 수 없도록 처리된 정보를 말합니다. 가명처리는 개인정보의 일부를 삭제하거나 대체하여 개인을 식별할 수 없게 만드는 과정을 의미합니다.
**개인정보보호법 제28조의2 제1항**에 따르면, 개인정보처리자는 **통계작성**, **과학적 연구**, **공익적 기록보존** 등을 위해 **정보주체의 동의 없이** 가명정보를 처리할 수 있습니다. 즉, 위의 세 가지 목적을 위해서는 개인정보 주체의 동의 없이도 가명정보를 활용할 수 있습니다.
그러나 이러한 목적 이외의 다른 목적으로 가명정보를 처리하려면 **정보주체의 동의를 받아야 합니다**. 예를 들어, 마케팅, 광고, 상업적 이익 추구 등의 목적으로 가명정보를 사용하려면 반드시 개인정보 주체의 동의를 구해야 합니다.
또한, 가명정보를 처리하는 과정에서도 **안전성 확보 조치**를 취해야 하며, 가명정보의 유출이나 오남용을 방지하기 위한 철저한 관리가 필요합니다.
따라서, 가명정보 처리 시에는 그 목적에 따라 개인정보 주체의 동의 여부를 결정해야 하며, 법적 요건을 충족시켜야 합니다. 만약 동의 없이 가명정보를 처리할 수 있는 경우에도, 개인정보 주체의 권리를 존중하고 안전하게 관리하는 것이 중요합니다.</t>
  </si>
  <si>
    <t>7f286a54-1449-4a40-bb8e-c80e0b3cab8f</t>
  </si>
  <si>
    <t>d39e9633-cb51-4859-bcce-6de4f49c5240</t>
  </si>
  <si>
    <t>d8c513eb-0e06-4267-bc85-6f6037752dbc</t>
  </si>
  <si>
    <t>346_2410_정보화정책과_업무매뉴얼_정보화정책과_부산광역시_개인정보_내부_관리계획.pdf</t>
  </si>
  <si>
    <t>8ef77b77-44b8-4b07-b271-9329e0d63175</t>
  </si>
  <si>
    <t>241_2025_인구정책담당관_업무매뉴얼_여성가족부_2025년_가족사업안내_1권.pdf</t>
  </si>
  <si>
    <t>ed99d650-bcee-4941-bad9-8e313bd7169d</t>
  </si>
  <si>
    <t>가명정보를 제3자에게 제공할 때 특별한 조치가 필요한가요?</t>
  </si>
  <si>
    <t>002da5a52d7e4885b87b15b9ab8eacc9</t>
  </si>
  <si>
    <t>네, 가명정보를 제3자에게 제공할 때는 특별한 조치가 필요합니다. 이는 가명정보가 여전히 개인의 식별 가능성을 가지고 있기 때문에, 부적절한 사용으로 인해 개인정보 침해가 발생할 수 있습니다.
**첫째**, **가명정보의 안전한 전달**이 중요합니다. 가명정보를 전송할 때는 암호화 통신을 사용하여 도중에 정보가 유출되거나 변조되지 않도록 해야 합니다. 또한, 전송 경로를 모니터링하여 이상 징후를 감지하고 대응할 수 있어야 합니다.
**둘째**, **계약서 작성**이 필수적입니다. 가명정보를 받는 제3자와의 계약서에는 다음과 같은 내용이 포함되어야 합니다:
- **목적 제한**: 가명정보의 사용 목적을 명확히 정의하고, 그 범위를 초과하지 않도록 합니다.
- **보안 조치**: 가명정보를 안전하게 보관하고 처리하기 위한 구체적인 보안 대책을 명시합니다.
- **재식별 금지**: 가명정보를 이용하여 특정 개인을 식별하려는 시도를 엄격히 금지합니다.
- **책임 소재**: 가명정보의 부적절한 사용으로 인한 문제에 대한 책임과 벌칙을 분명히 합니다.
**셋째**, **교육 및 인식 제고**입니다. 가명정보를 다루는 직원들에게 가명정보의 중요성과 처리 방법에 대한 교육을 실시하여 실수로 인한 재식별 위험을 최소화해야 합니다.
**넷째**, **모니터링 및 감사**입니다. 가명정보의 사용이 계약 조건에 부합하는지 정기적으로 확인하고, 문제가 발견되면 즉시 조치를 취해야 합니다.
이러한 조치들은 가명정보의 안전한 이용을 보장하고, 개인정보 보호법을 준수하는 데 필수적입니다. 만약 이러한 조치를 소홀히 하면 법적 처벌뿐만 아니라 기업의 신뢰도와 평판에도 큰 손상을 입을 수 있습니다. 따라서 가명정보를 제3자에게 제공할 때는 위의 사항들을 철저히 준수해야 합니다. 더 궁금한 점이 있으면 언제든지 물어보세요!</t>
  </si>
  <si>
    <t>ec976140-672c-42a5-be99-6e8df4962544</t>
  </si>
  <si>
    <t>e5f389bd-605b-4626-8298-28d66e31894a</t>
  </si>
  <si>
    <t>004bc7c7-edab-49b0-b916-58a1e81df971</t>
  </si>
  <si>
    <t>5f1dd4d5-2e99-4cb9-ada5-54c1029fa96b</t>
  </si>
  <si>
    <t>비정형 데이터의 가명처리 시 유의할 사항은 무엇인가요?</t>
  </si>
  <si>
    <t>42, 43</t>
  </si>
  <si>
    <t>b09e69efef4f4195916f67873b5df5da</t>
  </si>
  <si>
    <t>비정형 데이터의 가명처리 시 유의할 사항은 다음과 같습니다:
1. **데이터 처리 목적과 환경 고려**: 가명처리 대상인 비정형 데이터의 목적과 사용 환경을 종합적으로 고려하여 개인식별 위험성이 있는 정보를 판단하고, 그에 따른 적절한 가명처리 방법과 수준을 설정해야 합니다.
2. **개인식별 위험성 검토**: 비정형 데이터 내에서 개인을 식별할 수 있는 정보나 식별 가능성이 있는 정보를 식별하고, 이러한 정보가 다른 정보와 결합될 경우 식별 위험이 증가하는지 확인해야 합니다.
   - **단독 식별 가능성**: 그 자체로 특정 개인을 식별할 수 있는 정보(예: 얼굴 전체가 선명하게 보이는 이미지, 이름표 등)를 확인합니다.
   - **조합 식별 가능성**: 두 개 이상의 정보를 조합하여 개인을 식별할 수 있는 경우를 검토합니다(예: 위치 정보와 시간 정보를 결합하여 특정인의 동선을 파악).
3. **가명처리 기술의 한계 인지**: 비정형 데이터의 가명처리는 기술적인 한계가 있을 수 있으므로, 사용되는 가명처리 기술의 적절성과 신뢰성을 확인하고, 그 한계에 대한 대비책을 마련해야 합니다.
4. **추가 검수의 필요성**: 가명처리 후에 처리 결과에 대한 자체적인 검수를 실시하여 누락된 개인식별 정보나 오류가 없는지 확인해야 합니다.
5. **적정성 검토**: 외부 전문가를 포함한 적정성 평가위원회를 구성하여 가명처리 계획의 적합성, 위험성 검토 결과, 가명처리 결과의 적정성 등을 객관적이고 전문적으로 검토받아야 합니다.
6. **안전한 관리와 모니터링**: 가명정보의 처리 목적을 달성한 후에는 신속히 가명정보를 파기하여 사후적 위험을 최소화하고, AI 서비스 제공 과정에서도 개인식별 위험 등 정보주체 권익 침해 가능성을 지속적으로 모니터링해야 합니다.
7. **내부 통제 강화**: 가명정보 활용에 참여하는 각 기관의 내부 통제를 강화하여 사전에 식별된 개인정보 침해 위험을 예방해야 합니다.
8. **데이터 복원 기술에 대한 대응**: 데이터 복원 기술의 발전에 따라 가명처리된 비정형 데이터의 재식별 위험이 증가할 수 있으므로, 관련된 시스템이나 소프트웨어의 접근 및 사용을 제한하는 등 통제 방안을 마련해야 합니다.
9. **비정형 데이터의 특성 이해**: 비정형 데이터는 정형 데이터와 달리 식별정보와 식별가능정보의 구분이 어려울 수 있으므로, 처리 목적과 환경에 따라 유연하게 식별 위험성을 판단해야 합니다.
10. **법률 및 지침 준수**: 개인정보보호법과 가명정보 처리 가이드라인 등 관련 법률과 지침을 철저히 준수하며, 최신 기술과 보안 기준을 적용해야 합니다.
이러한 유의사항들을 고려하여 비정형 데이터의 가명처리를 진행함으로써 개인정보 보호와 데이터 활용 사이의 균형을 유지하고, 법적 리스크를 최소화할 수 있습니다. 만약 구체적인 사례나 추가적인 도움이 필요하다면 언제든지 말씀해 주세요!</t>
  </si>
  <si>
    <t>2a702833-5f66-4b34-bbdc-4871a4a538e2</t>
  </si>
  <si>
    <t>ea24a8ea-0f8f-4659-b79d-473286b84c4a</t>
  </si>
  <si>
    <t>c36db087-55bd-4958-959a-3393086f50b1</t>
  </si>
  <si>
    <t>2b4d25a3-92de-450b-b9cb-986421a8e911</t>
  </si>
  <si>
    <t>3a95ba14-8795-4027-9a62-755e43434503</t>
  </si>
  <si>
    <t>부산광역시에서 생산하는 통계는 어떤 것들이 있나요?</t>
  </si>
  <si>
    <t>164_2502_빅데이터과_기타_빅데이터과_2025년도_통계_주요업무_시행계획.pdf</t>
  </si>
  <si>
    <t>50, 51</t>
  </si>
  <si>
    <t>5fa72e032f2d4c7b80ef16957e6b4adc</t>
  </si>
  <si>
    <t>부산광역시에서는 다양한 분야에서 중요한 통계들을 생산하고 있습니다. 주요 통계들은 다음과 같습니다:
1. **부산사업체조사**: 종사자 1인 이상 모든 사업체를 대상으로 사업의 종류, 종사자 수 등을 조사합니다.
2. **부산해양산업조사**: 종사자 1인 이상 모든 해양사업체의 사업체 현황, 종사자 수, 매출액 비중 등을 조사합니다.
3. **부산환경산업조사**: 종사자 1인 이상 모든 환경사업체의 사업체 개요, 매출 등 경영 실적, 정책 수요 등을 조사합니다.
4. **부산사회조사**: 부산시 거주 17,860 표본가구 내 15세 이상 가구원을 대상으로 삶의 질, 만족도 등을 조사합니다.
5. **광업·제조업조사**: 종사자 10인 이상 모든 광업·제조업 사업체를 대상으로 사업의 종류, 출하액, 재고, 유형 자산 등을 조사합니다.
6. **인구동향조사**: 매월 인구 동태(출생, 사망, 혼인, 이혼)를 통계로 작성하며, 구·군(읍·면·동) 단위로 집계됩니다.
7. **경제총조사**: 종사자 1인 이상 모든 사업체를 대상으로 사업의 종류, 종사자 수 등을 조사하며, 5년마다 실시됩니다.
8. **가구주택기초조사**: 모든 가구 및 거처를 대상으로 주소, 거처 종류 등을 조사하며, 5년마다 실시됩니다.
9. **인구주택총조사(표본조사)**: 기준 시점 현재 모든 가구 중 20%의 표본가구를 대상으로 인구, 가구, 주택 등에 대해 조사하며, 5년마다 실시됩니다.
10. **농림어업총조사**: 기준 시점 현재 모든 농림어가에 대해 전수조사를 실시하며, 5년마다 실시됩니다.
또한, 가공통계로는 다음과 같은 것들이 있습니다:
1. **부산구·군단위 지역내총생산**: 산업별로 구·군 단위 지역의 산출액, 중간 소비, 부가가치, 경제 성장률 등을 제공합니다.
2. **부산소상공인통계**: 1일 이상 경영한 모든 영리 소상공인의 사업체 수, 종사자 수, 매출액, 창·폐업, 생존율 등을 분기별로 조사합니다.
3. **부산청년통계**: 홀수년도 11월 1일 0시 기준 만 18세부터 39세까지의 모든 청년을 대상으로 인구·가구, 경제, 일자리, 창업, 복지 건강 등의 6개 부문 88개 항목을 작성하며, 2년마다 실시됩니다.
4. **부산장노년통계**: 신중년(만 50~64세) 및 노인(만 65세 이상)을 대상으로 인구·가구, 건강, 소득 보장, 생활 환경 등의 8개 분야 100개 항목을 작성하며, 2년마다 실시됩니다.
5. **부산구·군단위 장래인구추계**: 부산시에 상주하는 모든 내외국인에 대해 인구 추계를 작성하며, 5년마다 실시됩니다.
6. **부산경기종합지수**: 동행 종합 지수, 선행 종합 지수 원지수, 원지수 전월비, 순환 변동치 등을 매월 조사합니다.
7. **부산수산업통계**: 수산업(어업) 및 전후방 관련 산업의 사업체 수, 종사자 수, 산출액 등을 조사하며, 5년마다 실시됩니다.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</si>
  <si>
    <t>89b6fc9b-e379-4569-ad3a-9b32778ab395</t>
  </si>
  <si>
    <t>703599fb-2cfa-4398-b838-c203a8f9e8bc</t>
  </si>
  <si>
    <t>268d916a-b5bf-4847-af8e-01a1fdb038b8</t>
  </si>
  <si>
    <t>1aaca284-71d8-4bb8-b3f5-19d1a19a16a1</t>
  </si>
  <si>
    <t>6d3f24bc-400f-469b-81d6-5c143d9ab319</t>
  </si>
  <si>
    <t>내부 지침 및 조례를 빠르게 찾고 싶은데 어떻게 하나요?</t>
  </si>
  <si>
    <t>7</t>
  </si>
  <si>
    <t>3135ec7a31c54ecf8d6470fb381a1ab6</t>
  </si>
  <si>
    <t>내부 지침 및 조례를 빠르게 찾으려면 '자치법규정보시스템'을 이용하시면 됩니다. 이 시스템은 조례와 내부 지침을 검색할 수 있는 곳으로, 주소는 다음과 같습니다:
- **https://www.elis.go.kr**
이 사이트에 접속하셔서 필요한 조례나 내부 지침을 검색해보세요. 더 궁금한 점이 있으시면 언제든지 물어보세요!</t>
  </si>
  <si>
    <t>1e689a8a-6228-4a5b-a4ab-bf283125625a</t>
  </si>
  <si>
    <t>문서 보존기간은 얼마인가요?</t>
  </si>
  <si>
    <t>438_2502_통합민원과_업무메뉴얼_통합민원과_기록관리_업무편람기정너.pdf</t>
  </si>
  <si>
    <t>85, 86, 87</t>
  </si>
  <si>
    <t>e96a6eb99cf74580b9b0ca3fa04734b7</t>
  </si>
  <si>
    <t>제공하신 문서들을 살펴보면, 문서들의 보존기간은 다음과 같이 나타나고 있습니다.
1. **'95_202203_빅데이터과_데이터분석_결과보고서수영구.pdf'** 파일에서:
   - 2002년부터 2020년까지 수영구의 전자기록물이 시스템 도입 이후 안정적으로 증가하고 있음을 보여주고 있습니다.
   - 2012년 기준으로 문서의 보존기간은 '5년'인 경우가 가장 많고, 그 다음으로는 '3년', '10년', '준영구', '영구', '30년', '1년' 순으로 많습니다.
2. **'438_2502_통합민원과_업무메뉴얼_통합민원과_기록관리_업무편람기정너.pdf'** 파일에서:
   - 페이지 29에는 부산광역시 기록관리기준표가 포함되어 있으며, 여기에서 보존기간은 '1년', '3년', '5년', '10년', '30년', '준영구', '영구' 등으로 구분되어 있습니다.
   - 페이지 86~87에는 보존 대상 기록물과 그에 따른 보존기간이 구체적으로 나열되어 있습니다. 예를 들어:
     - **준영구**: 국민이나 기관 및 단체, 조직의 신분, 재산, 권리, 의무를 증빙하는 기록물 중에서 영구보존할 필요성은 없지만 30년 이상 보존해야 하는 경우 등이 이에 해당됩니다.
     - **영구**: 역사적으로 매우 중요한 가치를 지니거나, 지속적으로 참조되어야 하는 기록물들이 영구 보존 대상이 됩니다.
따라서, 문서들의 보존기간은 해당 문서의 성격, 중요도, 그리고 관련 법령에 따라 다양하게 설정되며, 일반적으로 '1년', '3년', '5년', '10년', '30년', '준영구', '영구' 등의 기간을 가지고 있습니다. 구체적인 보존기간은 문서가 다루는 내용과 그것이 가지는 사회적, 역사적 가치에 기반하여 결정됩니다. 더 자세한 정보를 원하시면 특정 문서의 보존기간을 알려드릴 수 있도록 해당 문서의 제목이나 주제를 말씀해 주세요.</t>
  </si>
  <si>
    <t>33d94540-1a3c-41c0-8580-224793416203</t>
  </si>
  <si>
    <t>95_202203_빅데이터과_데이터분석_결과보고서수영구.pdf</t>
  </si>
  <si>
    <t>61a061b8-e3db-4946-b9c2-57c830206fbb</t>
  </si>
  <si>
    <t>d02f90d0-8401-4ffc-86bd-63c7aa25ab49</t>
  </si>
  <si>
    <t>5ee88857-2373-4f70-8403-60fd3129a04f</t>
  </si>
  <si>
    <t>3f2b4dfb-3ac8-48ca-b89b-f0238fba3879</t>
  </si>
  <si>
    <t>금액별 수의, 조달, 계약 절차 매뉴얼을 찾고 싶어요</t>
  </si>
  <si>
    <t>14.0</t>
  </si>
  <si>
    <t>c663b0a6a4954d089ab3767f838f3fb3</t>
  </si>
  <si>
    <t>DRM, 네트워크접근제어 아이디, 패스워드 찾는 매뉴얼이 있나요?</t>
  </si>
  <si>
    <t>5f51e4ab45b447bc9c101c0bfee7d5bd</t>
  </si>
  <si>
    <t>네, DRM 시스템에 대한 아이디와 패스워드를 찾는 방법에 대해 안내해 드릴 수 있습니다. 하지만 정확한 절차를 위해서는 해당 시스템의 버전이나 구체적인 설정 정보를 알아야 합니다.
제공해주신 문서들을 보면 '자료유출방지시스템(DRM) v50 비번 초기화'에 관한 내용이 포함되어 있는 것으로 보입니다. 이 매뉴얼에서는 다음과 같은 절차가 설명되어 있습니다:
1. **부서관리자 사이트에 접속**:
   - URL: `http://99.1.81.71:9080/fed5`
   - 사용자 ID와 비밀번호를 입력해야 하며, 이는 자료유출방지시스템의 ID/비밀번호를 사용합니다.
2. **상단 메뉴에서 조직관리 선택**:
   - 로그인 후에 상단의 공통설정 &gt; 조직관리를 클릭합니다.
3. **사용자 수정 및 비밀번호 초기화**:
   - 좌측 메뉴에서 부서와 사용자를 선택하고, 우측 상단에 있는 [수정] 버튼을 클릭합니다.
   - 이후 초기화 비밀번호(`a12345`)를 입력하고 확인을 눌러 비밀번호를 초기화합니다.
   - 비밀번호 초기화 후에는 사용자가 직접 비밀번호를 변경하여 로그인해야 합니다.
이러한 절차를 따르면 아이디나 패스워드를 재설정하거나 찾을 수 있을 것입니다. 그러나 실제 적용 시에는 시스템의 현재 상태나 추가적인 보안 절차에 따라 다를 수 있으므로, 가능하다면 정보화정책과의 담당자나 IT 지원 부서에 문의하시는 것이 좋습니다.
또한, 개인정보 보호와 보안을 위해 공식 채널을 통해 필요한 정보를 요청하는 것이 안전합니다. 도움이 필요하시면 언제든지 말씀해 주세요!</t>
  </si>
  <si>
    <t>온나라 2.0 이후 많이 발생하는 오류 사례집이 있나요?</t>
  </si>
  <si>
    <t>353_2412_정보화정책과_업무매뉴얼_KLID_온나라_20_달라지는_점PDF.pdf</t>
  </si>
  <si>
    <t>25, 26</t>
  </si>
  <si>
    <t>a3805544854f4b258c6962aafe88c22f</t>
  </si>
  <si>
    <t>네, 온나라 2.0 이후 발생한 주요 오류 사례와 해결 방법에 대한 자료는 '온나라 2.0 달라지는 점' 매뉴얼에 포함되어 있습니다. 해당 매뉴얼은 다음과 같은 경로를 통해 접근하실 수 있습니다:
- **파일명**: `353_2412_정보화정책과_업무매뉴얼_KLID_온나라_20_달라지는_점PDF.pdf`
- **페이지**: 25~26 페이지
이 매뉴얼에는 온나라 2.0 전환 시 자주 묻는 질문들과 그에 대한 상세한 답변이 수록되어 있어, 시스템 사용 중 발생하는 다양한 문제들에 대한 정보를 얻을 수 있습니다.
**주요 내용 요약**:
1. **환경설정 관련 질문**
   - 온나라 2.0 시스템의 권장 PC 환경
   - 다운로드한 ODT 문서가 깨지거나 열리지 않는 문제
   - 문서관리카드 화면 크기 조정 방법
   - PDF 문서 열람 시 다운로드되는 현상
   - 새올/시도행정시스템에서의 로그인 실패 원인 및 해결 방안
2. **전자문서 관련 질문**
   - 온나라 1.0에서 작성된 문서의 위치
   - 재작성 버튼의 표시 여부
   - 본문 내 수식 사용 가능 여부
   - 본문 길이 증가 현상에 대한 설명
   - 웹기안기에서 붙여넣기 시 발생하는 오류와 해결 방법
   - 문서 비공개 시의 세부 옵션 차이점
3. **메모보고 관련 질문**
   - 메모보고의 회수 가능성 조건
4. **유통문서 관련 질문**
   - '업무관리자(선람)' 기능의 삭제 이유
   - 키워드 자동 배부 및 접수 시 키워드 일괄 등록 방법
   - 부서장 서명인의 표시 여부
5. **기타 질문**
   - 시스템 아이디 또는 비밀번호 분실 시 조치 방법
   - 비밀번호 연속 오입력으로 인한 로그인 제한 해제 방법
   - 자동 로그아웃 방지 방법
   - 스크랩한 문서의 이관 여부
   - 부재자 설정 방법
   - 결재 비밀번호 설정 위치
이러한 자료를 통해 온나라 2.0 사용 중 발생하는 일반적인 문제들을 파악하고 해결할 수 있을 것입니다. 만약 더 구체적인 도움이 필요하시다면, 해당 매뉴얼의 상세 내용을 참조하거나, 공식 지원 채널을 통해 문의하시는 것도 좋은 방법입니다. 추가로 궁금한 사항이 있으시면 언제든지 말씀해 주세요!</t>
  </si>
  <si>
    <t>3bdd1910-e377-4a61-afed-15b6ea45329c</t>
  </si>
  <si>
    <t>348e87dd-8752-4a4e-bf5a-f4bb857d0648</t>
  </si>
  <si>
    <t>공용차량 신청방법</t>
  </si>
  <si>
    <t>c74ce38e34144f45b7e81ee1f1c26d3c</t>
  </si>
  <si>
    <t>공용차량 신청 방법에 대해 안내드리겠습니다.
**1. 공용차량 이용 대상**
- **이용 가능 부서**: 부산시청 본청 소속 직원 및 부서에 한함.
- **이용 목적 제한**: 업무용으로 한정되며, 사적인 용도로 사용 불가.
**2. 공용차량 신청 절차**
**(1) 담당자와 사전 협의**
- **목적 확인**: 차량 이용을 위한 구체적인 목적을 담당자에게 알림.
- **일정 조율**: 필요한 날짜와 시간을 협의하여 중복 사용을 방지.
**(2) 신청서 작성 및 제출**
- **양식 다운로드**: 내부 시스템 또는 문서 관리 시스템을 통해 공용차량 이용 신청서 양식을 다운로드.
- **작성 내용**
  - **이용자 정보**: 이름, 연락처, 직위 등 기본 정보 기재.
  - **이용 목적 및 일정**: 차량을 이용하는 이유와 정확한 시간대를 상세히 기술.
  - **동승자 정보**: 필요 시 동승자의 이름과 역할 기재.
- **제출 방법**: 작성한 신청서를 전자결재 시스템이나 이메일 등을 통해 관련 부서에 제출.
**(3) 승인 대기 및 통보**
- **승인 여부 확인**: 담당 부서에서 신청 내용을 검토하고 승인 여부를 결정.
- **결과 통보**: 승인 여부와 함께 차량 번호, 운전기사 정보 등 추가 정보를 전달받음.
**3. 차량 이용 시 유의 사항**
- **안전 운전 준수**: 교통 법규를 철저히 지키며 안전 운전에 최선을 다해야 함.
- **차량 상태 점검**: 출발 전 차량 외관 및 내부 상태를 확인하고 이상이 있을 경우 즉시 보고.
- **연료 관리**: 연료 부족 시에는 미리 보충하며, 연비 효율을 고려한 주행 권장.
- **사고 발생 시 대응**: 사고나 고장이 발생할 경우 즉시 상급자나 담당자에게 연락하고 적절한 조치를 취함.
**4. 차량 반납 및 보고서 제출**
- **반납 절차**: 지정된 장소와 시간에 차량을 정확히 반환.
- **이용 내역 보고**: 차량 이용 일지나 간단한 보고서를 작성하여 제출함으로써 추후 활용 자료로 활용됨.
**5. 기타 참고 사항**
- **예약 우선 순위**: 긴급하거나 중요한 업무에 우선적으로 차량이 배정될 수 있음.
- **교육 이수**: 신규 이용자나 일정 기간 이상 사용하지 않은 경우에는 안전 교육 이수가 필요할 수 있음.
---
**추가 문의 사항이 있으시면 언제든지 말씀해 주세요.** 위의 절차를 따라주시면 원활하게 공용차량을 이용하실 수 있습니다. 감사합니다.</t>
  </si>
  <si>
    <t>e1736a78-bbdc-41d2-a0ca-81a0a5768baa</t>
  </si>
  <si>
    <t>공무원증 재발급 방법</t>
  </si>
  <si>
    <t>a6c3cce94fc8491ebf0fbdea81234fe4</t>
  </si>
  <si>
    <t>공무원증 재발급 방법은 다음과 같습니다:
1. **재발급 사유 확인**: 공무원증이 분실되거나 훼손되었거나, 기재사항의 변경(예: 이름, 직위, 직급 등의 변경), 직위 또는 직급의 변동 등이 발생한 경우 재발급이 필요합니다.
2. **재발급 신청서 작성**: 재발급을 원하는 공무원은 별지 제2호서식의 '공무원증 재발급신청서'를 작성해야 합니다. 이때 사유를 명확히 기재해야 합니다.
3. **소속 부서장의 승인 획득**: 작성한 재발급신청서는 소속 부서장의 승인을 받아야 합니다. 이는 공식적인 절차를 따르기 위한 것입니다.
4. **시장에게 제출**: 부서장의 승인을 받은 재발급신청서는 시장에게 제출되어야 합니다. 이를 통해 공식적인 재발급 절차가 시작됩니다.
5. **재발급 비용 납부**: 재발급 시 비용이 발생할 수 있으며, 특히 본인 부주의로 인한 분실이나 훼손의 경우 해당 공무원이 비용을 부담해야 할 수도 있습니다.
6. **새로운 공무원증 수령**: 재발급 절차가 완료되면 새로운 공무원증을 받게 됩니다.
**참고사항**:
- 재발급 신청은 사유 발생 후 5일 이내에 이루어져야 합니다.
- 공무원증은 항상 지니고 다니며 필요할 때 제시해야 하는 중요한 신분증입니다.
- 재발급 과정에서 사진이 변경될 경우 최신 사진을 제출해야 합니다.
이러한 절차를 따르면 원활하게 공무원증을 재발급 받을 수 있습니다. 만약 추가적인 도움이 필요하다면 인사 담당 부서나 상급자에게 문의하시는 것도 좋은 방법입니다.</t>
  </si>
  <si>
    <t>c850e08a-7707-4cb6-90c1-1a948f53b256</t>
  </si>
  <si>
    <t>1156_페이지116_문서6_164218_부산광역시_공무원증_규정.pdf</t>
  </si>
  <si>
    <t>db139756-2513-4560-b9da-fdcb0531057a</t>
  </si>
  <si>
    <t>b4ddba10-984b-4e92-b9ed-578681685020</t>
  </si>
  <si>
    <t>8aecbe9e-05a0-4bee-bd71-16eaafa7cb9e</t>
  </si>
  <si>
    <t>1e2e479d-7a22-4a66-a831-eecd78da5f29</t>
  </si>
  <si>
    <t>1231_공무원증_및_모바일공무원증_발급반납_협조_요청.pdf</t>
  </si>
  <si>
    <t>네트워크 차단 시 조치방법</t>
  </si>
  <si>
    <t>a3aa68380aac4318909bf9bfe38efe3c</t>
  </si>
  <si>
    <t>네트워크가 차단되었을 때는 행정전화(5999)로 연락하여 안내를 받으시는 것이 좋습니다. 또한, 네트워크 인증 시스템(PClient)의 비밀번호를 분실한 경우에도 행정전화(5999)로 연락하여 도움을 받을 수 있습니다. 이러한 조치를 통해 문제를 신속하게 해결할 수 있습니다. 추가적인 도움이 필요하시면 언제든지 말씀해 주세요.</t>
  </si>
  <si>
    <t>a0c52628-acb2-4461-a656-275b2962d28c</t>
  </si>
  <si>
    <t>도모헌공간 신청방법</t>
  </si>
  <si>
    <t>b5f0f340cb0040de9ee0f43f8ae59ceb</t>
  </si>
  <si>
    <t>도모헌 공간을 사용하기 위해서는 다음과 같은 절차를 따라야 합니다:
1. **계단식 강연장(다할)**:
   - **사전 확인**: '행정포털' → '회의장(우측 분홍색 배너)' → '회의실 예약' → '도모헌 본관(별도 신청)'에서 원하는 날짜와 시간대에 이미 예약이 되어 있지 않은지 확인합니다.
   - **공문 발송**: 행사나 회의를 추진하는 부서에서 총무과로 사용신청서를 첨부한 공문을 발송합니다.
   - **승인 및 사용**: 총무과의 사용심사를 거쳐 승인이 나면, 해당 부서의 담당자가 관리 하에 공간을 활용할 수 있습니다.
2. **콘퍼런스룸(취람)**:
   - **예약 시스템 이용**: '행정포털' → '회의장' → '회의실 예약' → '도모헌 회의실(콘퍼런스룸)'에서 순차 등록 방식으로 예약을 진행합니다.
3. **공유오피스, 다목적공간(번루), 미팅룸(두록), 소소풍 정원**:
   - **별도 협의 필요**: 이 공간들을 사용하려면 총무과와의 별도의 협의를 통해 사용이 가능합니다.
또한, 도모헌 공간 사용 시에는 시민들에게 불편을 주지 않도록 주의를 기울여야 하며, 시설물의 손상이나 소음으로 인한 민원 발생을 방지해야 합니다. 사용 후에는 공간을 원래 상태로 복구하고, 퇴실 시 사무실에 연락하여 확인을 받아야 합니다.
추가적인 문의 사항이 있으시면 언제든지 말씀해 주세요! 도움이 필요하시면 기꺼이 도와드리겠습니다.</t>
  </si>
  <si>
    <t>보안 USB 반출 및 반입 절차는?</t>
  </si>
  <si>
    <t>369_2412_정보화정책과_업무매뉴얼_채울_휴대용저장매체관리시스템_사용자_매뉴얼.pdf</t>
  </si>
  <si>
    <t>23, 24, 26</t>
  </si>
  <si>
    <t>b67742d753ad4485a7993d3dcfd4de66</t>
  </si>
  <si>
    <t>보안 USB의 반출 및 반입 절차는 다음과 같습니다:
**1. 보안 USB 반출 절차**
- **작업 표시줄의 uToken 아이콘 우클릭**
  - `관리` 메뉴 선택
- **반출 신청 탭 클릭**
  - 보안 USB에 대한 반출 요청 시작
- **반출 신청서 작성**
  - 필요한 정보 입력 및 사유 기재
- **반출 신청 확인**
  - 부서 관리자 및 총괄 관리자의 승인 완료 후 확인 필요
  - **주의**: 반출 신청 확인을 하지 않으면 외부에서 보안 USB 사용이 불가능함
  - `확인` 버튼 클릭으로 반출 신청 확인 진행
**2. 보안 USB 반입 절차**
- **작업 표시줄의 uToken 아이콘 우클릭**
  - `관리` 메뉴 선택
- **반입 신청 탭 클릭**
  - 보안 USB에 대한 반입 요청 시작
- **반입 진행**
  - 이전에 반출 신청이 완료되어 매체의 상태가 '반출'인 경우 적용됨
  - `반입 신청` 버튼 클릭으로 반입 프로세스 시작
**3. 보안 USB 사용 방법**
- **외부에서 보안 USB 사용 시**
  - 보안 USB 장착 후 `내 디스크` 더블 클릭
  - `Start.exe` 파일 실행하여 프로그램 설치
  - 설치된 프로그램에서 로그인 진행
    - 해당 USB의 패스워드 입력 필요
  - `SecureDisk` 디스크 이용하여 보안 USB 사용 가능
- **유의 사항**
  - 보안 USB 반출 이후에도 로그인은 필수적임
  - 에이전트가 설치된 PC에서는 `start.exe` 프로그램 대신 PC에 설치된 uToken 프로그램을 통해 로그인해야 함
이러한 절차를 따르면 보안 USB의 안전한 반출과 반입, 그리고 외부에서의 사용을 보장할 수 있습니다. 추가적인 도움이 필요하시면 언제든지 말씀해 주세요!</t>
  </si>
  <si>
    <t>7e946ced-4a30-4ae7-ba9e-8fd0ede24f24</t>
  </si>
  <si>
    <t>99e1ebc3-4545-4162-9cfd-56de25533e97</t>
  </si>
  <si>
    <t>5a05ada1-0cb4-432e-8a45-8b2f49aa7e4d</t>
  </si>
  <si>
    <t>구청에서 근무 중인 시직원도 장기재직 휴가 쓸 수 있나요?</t>
  </si>
  <si>
    <t>1227_2407_부산광역시_인사과_업무매뉴얼_인사과_장기재직휴가_시행지침_개정전문.pdf</t>
  </si>
  <si>
    <t>aea7051ece39495cb1316f53ed3cff2e</t>
  </si>
  <si>
    <t>네, 구청에서 근무 중인 시 직원도 장기재직휴가를 사용할 수 있습니다. 위의 문서에서 언급된 바와 같이, 파견자에 대한 장기재직휴가 시행 지침에 따르면 다음과 같습니다:
1. **파견자 장기재직휴가 시행**: 파견기관의 소속 부서장의 결재를 받은 후 휴가를 시행하며, 이후 원소속 기관의 부서로 공문을 발송해야 합니다.
2. **원소속기관 부서 복무 조치**: 차세대인사랑 시스템을 통해 해당 사항을 등록하고 결재를 받아야 합니다.
따라서, 구청에서 근무 중인 시 직원이라도 위 절차를 따라 장기재직휴가를 신청하고 사용할 수 있습니다. 다만, 휴가 시행 전에 관련 부서와의 협의를 통해 업무 공백을 최소화하고 원활한 휴가 사용이 이루어지도록 준비하시는 것이 좋습니다. 추가적인 문의 사항이나 도움이 필요하시면 언제든지 말씀해 주세요.</t>
  </si>
  <si>
    <t>08ccf532-ece9-4ce6-a58c-720818b91707</t>
  </si>
  <si>
    <t>4시간 미만 관외출장의 경우 일비 및 식비 정액 지급하는지?</t>
  </si>
  <si>
    <t>1229_공무원_여비_규정대통령령제35811호20251001.pdf
 1226_2025_공무원보수_등의_업무지침인사혁신처_예규_제192호.pdf</t>
  </si>
  <si>
    <t>2,3,5
 594, 595</t>
  </si>
  <si>
    <t>9871ea33929b4e0a9999b705795523fb</t>
  </si>
  <si>
    <t>네, 맞습니다. 공무원 여비 규정에 따르면 4시간 미만 관외출장의 경우 일비와 식비를 정액으로 지급합니다. 구체적으로 살펴보면:
- **일비**: 4시간 미만 관외출장 시 일비는 **1만원**을 지급합니다.
- **식비**: 식비는 **1일당 2만원**을 지급하며, 이는 출장 시간에 관계없이 일괄적으로 적용됩니다.
즉, 4시간 미만 관외출장을 가신다면 일비 1만원과 식비 2만원을 정액으로 받으실 수 있습니다. 만약 출장 시간이 4시간 이상이 되면 일비는 **2만원**으로 증가합니다.
또한, 참고로 **교통비**는 실비로 지급되며, 출장 후 영수증을 첨부하여 정산하셔야 합니다. 하지만 **현지 교통요금**(택시, 시내버스 등)은 일비 내에서 처리되므로 별도의 교통비 지급은 없습니다.
따라서, 질문하신 내용에 대한 답은 "4시간 미만 관외출장의 경우 일비 1만원과 식비 2만원을 정액으로 지급받으실 수 있습니다." 입니다. 추가적인 궁금증이 있으시면 언제든지 물어보세요!</t>
  </si>
  <si>
    <t>715b0bb8-78d2-4e63-a7eb-07f6057a4bcd</t>
  </si>
  <si>
    <t>65a6373c-3d8a-46e1-a8ff-cb979e0d0d86</t>
  </si>
  <si>
    <t>1230_공무원여비100문100답.pdf</t>
  </si>
  <si>
    <t>f7149615-9a1e-40cf-ba06-64680b9dd08f</t>
  </si>
  <si>
    <t>f2cc3c1a-e8c7-47de-9201-4106e61c909f</t>
  </si>
  <si>
    <t>출장 시간 계산 시 18시 근무시간 이후 시간도 포함해야 하는지?</t>
  </si>
  <si>
    <t>1249_지방공무원_복무규정대통령령제35666호20250722.pdf</t>
  </si>
  <si>
    <t>3, 4</t>
  </si>
  <si>
    <t>9bffc2f8350c4ea1b2be274973daa073</t>
  </si>
  <si>
    <t>안녕하세요! 질문하신 내용에 대해 답변드리겠습니다.
먼저, '지방공무원 복무규정'에서는 공무원의 휴가나 초과근무 시간에 대한 규정을 다루고 있습니다. 특히, 제4조의2와 제5조에서는 출장공무원의 근무와 관련된 사항을 규정하고 있습니다.
**제4조의2(출장공무원)**에서는 다음과 같이 명시되어 있습니다:
- **제1항**: 출장공무원은 지정된 출장기간 내에 그 업무를 완수해야 합니다.
- **제2항**: 출장기간을 변경할 사유가 발생하면 지체 없이 전화, 팩스 또는 그 밖의 방법으로 소속 기관의 장에게 보고하고 그 지시를 받아야 합니다.
여기서 중요한 점은 출장공무원이 지정된 기간 내에 업무를 완료해야 한다는 것입니다. 이는 출장 중 발생하는 모든 시간이 근무시간에 포함된다는 것을 의미합니다.
또한, 일반적인 근무시간 외에 추가로 근무한 시간은 초과근무로 인정되며, 이에 대한 보상은 법령에 따라 이루어집니다. 따라서, 18시 이후에 발생한 출장 업무 역시 근무시간에 포함되어 초과근무로 처리될 수 있습니다.
하지만 구체적인 적용 여부는 해당 지방자치단체의 조례나 내부 규정에 따라 다를 수 있으므로, 정확한 확인을 위해서는 소속 기관의 인사 담당 부서나 관련 규정을 참고하시는 것이 좋습니다.
추가적으로 궁금한 사항이 있으시면 언제든지 문의해 주세요! 도움이 필요하시면 기꺼이 도와드리겠습니다.</t>
  </si>
  <si>
    <t>0f4b5fa9-e419-4d24-84af-d33ebbe4c8be</t>
  </si>
  <si>
    <t>조례 제정 및 개정 절차는?</t>
  </si>
  <si>
    <t>92_2501_법무담당관_업무매뉴얼_법무담당관_자치법규_입법절차_등.pdf</t>
  </si>
  <si>
    <t>35cdd1f7f33b45b4be5ac918820e77b5</t>
  </si>
  <si>
    <t>조례의 제정 및 개정은 다음과 같은 절차를 따릅니다.
1. **입법 계획 수립**: 지방자치단체의 장이나 의원 등이 새로운 조례의 필요성이나 기존 조례의 개정을 위한 계획을 수립합니다.
2. **입법 예고**: 제정 또는 개정하려는 조례안의 초안을 공고하여 주민들에게 알립니다. 이는 주민들의 의견을 수렴하기 위한 단계로, 일반적으로 일정 기간 동안 이루어집니다.
3. **의견 수렴 및 검토**: 입법 예고 기간 동안 접수된 주민들의 의견을 검토하고, 필요에 따라 조례안을 수정합니다.
4. **조례안 심의**: 수정된 조례안은 지방의회에서 상임위원회의 심의를 거칩니다. 여기서 조례안의 내용, 법적 타당성, 효과 등을 면밀히 검토합니다.
5. **본회의 의결**: 상임위원회를 통과한 조례안은 지방의회 본회의에 상정되어 최종적인 의결을 받습니다.
6. **공포 및 시행**: 의회를 통과한 조례안은 지방자치단체의 장이 공포하며, 공포일부터 효력이 발생합니다.
이러한 절차를 통해 조례는 제정되고 개정되며, 이는 민주주의 원리에 따라 주민들의 참여와 의회의 심의를 거쳐 이루어집니다. 더 궁금한 점이 있으시면 언제든지 물어보세요!</t>
  </si>
  <si>
    <t>004cf05f-0cb0-4dad-b44f-ea4d4fffae06</t>
  </si>
  <si>
    <t>91_2208_법무담당관_업무매뉴얼_법제처_자치법규_입안_길라잡이.pdf</t>
  </si>
  <si>
    <t>36cac9da-d205-4196-b80c-c5d7e9f7eefc</t>
  </si>
  <si>
    <t>382_2412_조직담당관_업무매뉴얼_행정안전부_자치단체_규제업무_매뉴얼.pdf</t>
  </si>
  <si>
    <t>752a8d18-7343-49c5-a458-216bf7bd3e4f</t>
  </si>
  <si>
    <t>9c66268f-4a51-488f-aa7a-87e6c5edb83f</t>
  </si>
  <si>
    <t>81d4b02f-b42c-4b85-8328-8a660ca88aac</t>
  </si>
  <si>
    <t>구군에서 전입오고 처음으로 정보공개청구포털에 로그인하려니 안되는데, 어떻게 해야 하나요?</t>
  </si>
  <si>
    <t>424_2108_통합민원과_업무매뉴얼_행정안전부_정보공개운영안내서.pdf</t>
  </si>
  <si>
    <t>219, 220</t>
  </si>
  <si>
    <t>6c4b518856b84a08b32052728b36fb64</t>
  </si>
  <si>
    <t>안녕하세요! 구군에서 전입 오셔서 정보공개청구포털에 처음 로그인하려고 하시는군요.
우선, 정보공개청구포털에 로그인하려면 해당 기관에서 '사용자 신청'을 하고, 기관 내 정보공개 담당자의 승인이 필요합니다. 이 과정은 다음과 같습니다:
1. **사용자 신청**: 정보공개청구포털의 '공무원창구' 초기 화면에서 '신규사용자신청' 메뉴를 통해 필요한 정보를 입력하고 신청을 합니다.
2. **기관 내 승인 절차**: 신청 후에는 기관 내의 정보공개 담당자(예: 정보공개 관리자 또는 담당자)가 해당 사용자의 신청을 확인하고 승인해 주어야 합니다. 이때, 실제 근무하시는 부서와 연락처 등의 정보가 정확해야 하며, 직급이나 부서 정보가 일치하지 않으면 승인에 시간이 걸릴 수 있습니다.
3. **공동인증서 등록**: 승인 완료 후에는 공동인증서를 등록하셔야 합니다. 이는 안전한 로그인과 업무 처리를 위해 필수적입니다.
**주의사항**:
- 만약 이전에 다른 기관에서 정보공개청구포털을 사용하셨다면, 새로운 기관에서의 사용자 신청과 승인은 별도로 진행되어야 합니다.
- 직급이나 부서 정보가 현재 소속과 다를 경우, 정확한 정보로 수정하거나 담당자에게 알려주셔야 합니다.
- 공동인증서는 반드시 해당 기관에서 발급받은 것을 사용해야 합니다.
**도움이 필요하시다면**, 소속 부서의 정보공개 담당자나 IT 지원 부서에 문의하여 절차를 확인해 보시는 것이 좋습니다. 또한, 정보공개청구포털의 고객센터나 헬프데스크를 통해서도 도움을 받으실 수 있습니다.
추가적인 도움이 필요하시면 언제든지 말씀해 주세요!</t>
  </si>
  <si>
    <t>ccee4935-eafe-4b7e-afd9-10cbb3ccce15</t>
  </si>
  <si>
    <t>421a58c8-09e5-4f0a-bef8-67a988ddee24</t>
  </si>
  <si>
    <t>인건비 편성할 때 정원, 현원 중 어떤 기준으로 산출해야 하는지 알려주세요</t>
  </si>
  <si>
    <t>212_2407_예산담당관_업무매뉴얼_행정안전부_2025년도_지방자치단체_예산편성_운영기준_및_기금운용계획_수립기준.pdf</t>
  </si>
  <si>
    <t>99</t>
  </si>
  <si>
    <t>08e83cca07db4cc9b3e8995c8800c4c8</t>
  </si>
  <si>
    <t>인건비를 편성할 때는 일반적으로 **현원**을 기준으로 산출합니다. 이는 현재 실제로 근무하고 있는 인력을 기반으로 예산을 편성함으로써 실제 지출과 일치시키기 위함입니다.
그러나 일부 지침이나 규정에 따르면, 예산편성의 기준이 되는 정원은 **현원 대비 결원율 5%를 초과할 수 없도록** 제한하고 있습니다. 즉, 현원이 정원보다 적을 경우에도 최소한 현원의 95%까지는 인건비로 편성할 수 있다는 의미입니다. 만약 결원율이 5%를 초과한다면, 조직진단을 통해 정원을 조정해야 합니다.
또한, 신규 채용 계획이 이미 확정되었거나 채용 절차가 진행 중인 경우에는 예외적으로 이러한 결원을 포함하여 예산을 편성할 수 있습니다.
결론적으로, 인건비 편성 시에는 다음과 같은 절차를 따릅니다:
1. **현원**을 기준으로 인건비를 산출합니다.
2. 그러나 **현원이 정원보다 적을 경우**, 현원의 95%까지 인건비로 편성할 수 있으며, 나머지 인원은 정원 조정을 통해 감축하거나 봉급(목적)예비비로 편성합니다.
3. **결원율이 정원 대비 5%를 초과하면**, 조직진단을 통해 정원을 조정해야 합니다.
이러한 내용은 제공하신 문서들에서도 확인할 수 있습니다. 예를 들어, 첫 번째 문서에서는 "예산편성의 기준이 되는 정원은 현원 대비 결원율 5%를 초과할 수 없음"이라고 명시하고 있습니다. 또한 두 번째와 세 번째 문서에서도 비슷한 내용이 언급되고 있습니다.
따라서 인건비 편성 시에는 현원을 기준으로 하되, 결원율을 고려하여 최대 5%까지는 예외적으로 예산을 편성할 수 있음을 참고하시기 바랍니다. 더 궁금한 점이 있으시면 언제든지 물어보세요!</t>
  </si>
  <si>
    <t>0cd6fdc8-31c7-474f-9c3d-b5450dd687b0</t>
  </si>
  <si>
    <t>544104eb-8d2d-4b63-9894-6c4f2c465894</t>
  </si>
  <si>
    <t>41_2306_공공하수인프라과_업무매뉴얼_행정안전부_2024년도_지방공기업_예산편성기준.pdf</t>
  </si>
  <si>
    <t>d04308a5-1ade-41d5-b301-9f16df568c86</t>
  </si>
  <si>
    <t>23_2501_공공기관담당관_업무매뉴얼_공공기관담당관_2025년도_부산광역시_지방출자출연기관_예산편성보완지침.pdf</t>
  </si>
  <si>
    <t>03cd710d-cbc9-4d6d-a06c-3d489b1d21fe</t>
  </si>
  <si>
    <t>3628ff0f-040c-4450-80b2-ffff4a11656f</t>
  </si>
  <si>
    <t>22_2501_공공기관담당관_업무매뉴얼_공공기관담당관_2025년도_부산광역시_지방공기업_예산편성보완지침.pdf</t>
  </si>
  <si>
    <t>(공사,용역,물품) 계약 시 필요한 서류가 뭐가 있는지 알려주세요</t>
  </si>
  <si>
    <t>10</t>
  </si>
  <si>
    <t>3e43395615a1417ebf52e7b124ab3ea3</t>
  </si>
  <si>
    <t>공사, 용역, 물품 계약 시 필요한 서류는 다음과 같습니다.
**1. 공통적으로 필요한 서류**
- **집행품의서**: 예산 배정과 관련된 내부 결재를 위한 문서입니다.
- **표준계약서**: 계약의 기본 틀을 제공하는 문서로, 계약의 주요 사항을 담고 있습니다.
- **입찰유의서**: 입찰 과정에서 유의해야 할 사항들을 안내하는 문서입니다.
- **계약 일반조건**: 일반적인 계약 조건과 절차를 상세히 설명한 문서입니다.
- **계약 특수조건**(필요 시): 특정 계약에 적용되는 특별한 조건을 명시한 문서입니다.
- **견적서 및 산출내역서**: 계약 금액 산정의 근거가 되는 자료로, 품목별 가격과 수량을 제시합니다.
- **조세포탈서약서**: 세금 탈루 방지를 약속하는 문서입니다.
- **청렴계약이행서약서(업체용)**: 부정행위를 하지 않겠다는 서약서입니다.
- **계약보증금 납부서 및 보증금 지급서류**: 계약 이행을 보장하기 위한 보증금 관련 서류입니다.
- **법인등기부 등본, 사업자등록증 사본, 법인인감(또는 사용인감계)**: 업체의 법적 신뢰성과 실체를 증명하는 서류입니다.
- **대가지급 통장사본**: 대금 수령을 위한 계좌 정보를 제공합니다.
- **정부수입인지**: 계약 체결 시 부과되는 인지로, 세입 처리를 위한 것입니다.
**2. 분야별로 추가되는 서류**
- **공사 계약**
  - **현장설명서**: 공사 현장의 특이사항을 안내하는 문서입니다.
  - **설계도면 및 설계설명서**: 공사의 구체적인 설계를 담은 문서입니다.
  - **물량내역서**: 공사에 사용되는 자재의 양과 가격을 상세히 나타낸 문서입니다.
  - **착공신고서**: 공사를 시작한다는 사실을 알리는 문서입니다.
  - **공정예정표**: 공사 진행 일정을 계획한 문서입니다.
  - **직접시공계획통보서**: 직접 시공할 부분을 명시한 문서입니다.
  - **밀폐공간 작업시행 계획서 등 근로자 안전관련 계획서**: 안전한 작업 환경을 조성하기 위한 계획을 담은 문서입니다.
  - **근로자권리보호이행서약서**: 노동자의 권리를 보호하겠다는 서약서입니다.
- **용역 계약**
  - **과업내용서 및 과업지시서**: 수행해야 할 업무 내용과 방법을 상세히 기술한 문서입니다.
  - **착수신고서 및 완료신고서**: 용역 수행의 시작과 완료를 알리는 문서입니다.
  - **과업수행일정표**: 용역 수행 일정과 계획을 나타내는 문서입니다.
  - **손해배상증권**: 용역 수행 중 발생할 수 있는 손해를 대비한 보험 증권입니다.
- **물품 계약**
  - **규격서(사양서 또는 시방서)**: 물품의 기술적 요구 사항과 성능을 명시한 문서입니다.
  - **납품완료신고서(검사원)**: 물품 납품이 완료되었음을 신고하는 문서입니다.
  - **제조업 등록증 사본**: 물품 제조 능력을 인증하는 문서입니다.
  - **4대보험 사업장 가입자 명부**: 직원들의 사회보장 가입 상태를 확인하는 문서입니다.
**3. 기타 필요한 서류**
- **수의계약 체결제한여부 확인서**: 경쟁 입찰 대신 수의계약을 체결할 수 있는지에 대한 확인서입니다.
- **수의계약 각서**: 수의계약에 동의하며 계약 조건을 준수하겠다는 서약서입니다.
- **산업안전보건의무 준수·이행 서약서**: 산업 안전과 보건에 관한 법령을 준수하겠다는 서약서입니다.
- **하도급계약서 사본 및 하도급대금 직불합의서**: 하도급 관련 서류로, 하도급 관리에 필요합니다.
- **공동계약이행계획서**: 여러 업체가 공동으로 계약을 수행할 때 그 계획을 담은 문서입니다.
이러한 서류들은 계약의 투명성과 책임성을 확보하고, 계약 당사자 간의 권리와 의무를 명확히 하기 위해 필요합니다. 또한, 관련 법령과 지침에 따라 필수적으로 제출해야 하는 서류들이므로, 계약 전에 반드시 확인하고 준비해야 합니다. 추가로 궁금한 점이 있으시면 언제든지 물어보세요!</t>
  </si>
  <si>
    <t>43945003-3348-4234-9ba9-1c465c8dac4b</t>
  </si>
  <si>
    <t>473_2411_회계재산담당관_업무매뉴얼_한국지방재정공제회_2024년_개정판_용역계약_길라잡이한국지방재정공제회.pdf</t>
  </si>
  <si>
    <t>19a8afe1-74b9-403d-9c1e-646144427d9d</t>
  </si>
  <si>
    <t>475_2501_회계재산담당관_업무매뉴얼_회계재산담당관_2025년_계약업무_통합운영_매뉴얼2511_회계재산담당관_계약지원팀.pdf</t>
  </si>
  <si>
    <t>8e767a5b-5a88-4899-a92c-8ef6fb60fddd</t>
  </si>
  <si>
    <t>c46ccd27-db96-4312-833c-dfa75c9807f8</t>
  </si>
  <si>
    <t>471_2411_회계재산담당관_업무매뉴얼_한국지방재정공제회_2024년_개정판_공사계약_길라잡이한국지방재정공제회.pdf</t>
  </si>
  <si>
    <t>78bb29a7-f872-43b2-aa16-419e978fcd80</t>
  </si>
  <si>
    <t>472_2411_회계재산담당관_업무매뉴얼_한국지방재정공제회_2024년_개정판_물품계약_길라잡이한국지방재정공제회.pdf</t>
  </si>
  <si>
    <t>온나라 접수 문서를 부서원들도 열람할 수 없도록 하는 방법을 알려주세요</t>
  </si>
  <si>
    <t>343_2405_정보화정책과_업무매뉴얼_행정안전부_온나라20_사용자교육자료배포용.pdf</t>
  </si>
  <si>
    <t>33</t>
  </si>
  <si>
    <t>db78fd4737754ea0903b5c105b3fceca</t>
  </si>
  <si>
    <t>안녕하세요! 온나라 시스템을 통해 접수한 문서를 부서원들이 열람하지 못하도록 설정하려면 다음과 같은 절차를 따르면 됩니다.
1. **문서 작성 시 '문서관리카드'에서 열람 범위 설정**
   - **열람 불가** 옵션을 선택하면 해당 문서는 지정된 인원만 볼 수 있습니다.
   - **열람 제한 기간**을 설정하여 특정 기간 동안만 열람이 가능하게 할 수도 있습니다.
2. **'문서열람가능자' 지정**
   - 문서 열람 권한을 부여하고자 하는 대상자를 직접 지정합니다.
     - 예: 상급자나 필요한 담당자 등
3. **'공유/공람자' 제외**
   - 일반적으로 문서가 승인되면 자동으로 공유되거나 공람되는 경우가 있으므로, 이 기능을 해제하거나 대상자를 제한해야 합니다.
4. **'과제담당자', '문서과/처리과 문서담당자', '시스템관리자' 권한 조정**
   - 이들 직책의 담당자들이 해당 문서에 접근하지 못하도록 권한을 재설정합니다.
5. **'관리정보' 수정 권한 제한**
   - 문서 관리 정보의 변경을 막기 위해 관련자들의 수정 권한을 제거합니다.
위의 단계를 따라 설정하시면, 원하시는 대로 부서원들의 문서 열람을 제한하실 수 있습니다. 추가적인 도움이 필요하시거나 구체적인 절차에 대해 더 알고 싶으시면 언제든지 말씀해 주세요. 도와드릴 수 있어 기쁩니다!</t>
  </si>
  <si>
    <t>db04b049-f367-4bb2-b8c6-407699ed1861</t>
  </si>
  <si>
    <t>(공사,용역,물품) 계약 선금 신청 및 지급 절차를 알려주세요</t>
  </si>
  <si>
    <t>268, 269</t>
  </si>
  <si>
    <t>40c9579719fb47e9ac1094ee15f0901f</t>
  </si>
  <si>
    <t>네, 알겠습니다! (공사, 용역, 물품) 계약에서의 선금 신청 및 지급 절차는 다음과 같습니다.
**1. 선금의 개념**
- **선금이란?** 계약 상대방이 계약 이행 전에 미리 받는 금액으로, 주로 계약의 노임이나 자재 구입비, 보험료 등에 우선적으로 사용됩니다.
- **선금 지급의 중요성:** 선금 제도는 계약 이행을 촉진하고, 특히 제조 계약에서는 노임 지급과 자재 확보에 도움이 됩니다.
**2. 선금 지급 대상**
- **계약 유형:** 공사, 물품 제조(구매는 제외), 용역 계약이어야 합니다.
- **입찰 참가 자격:** 입찰 참가 자격 제한을 받지 않고, 그 제한 기간 중이 아니어야 합니다.
- **기성금 지급 여부:** 선금을 지급하려는 회계연도에 기성금 지급 사실이 없어야 합니다. 그러나 원자재 가격 급등 등으로 선금을 지급하지 않으면 계약 이행이 곤란한 경우에는 예외로 인정됩니다.
**3. 선금 지급 범위**
- **최대 지급 비율:** 계약 금액의 70%를 초과하지 않는 범위 내에서 계약 상대방의 신청에 따라 지급 가능합니다.
- **필요 시 추가 지급:** 원활한 계약 진행을 위해 필요하다고 인정되는 경우, 계약 상대자의 재무 건전성 등을 고려하여 계약 금액을 초과하지 않는 범위 내에서 추가로 지급할 수 있습니다.
- **신용 평가 등 요구:** 계약 담당자가 70%를 초과하는 금액을 선금으로 지급하려면, 계약 상대방에게 최근 1개월 이내의 신용 평가 결과나 주거래 은행의 금융 거래 확인서, 채권 압류가 없음을 확인하는 각서 등의 재무 건전성 확인 서류를 요청할 수 있습니다.
**4. 선금 지급 조건**
- **채권 확보 조치:** 선금 지급 시 채권에 대한 확보 조치를 취해야 합니다.
- **선금의 사용과 배분:** 선금은 계약 목적을 달성하기 위한 용도로만 사용하고, 노임 지급과 자재 확보에 우선적으로 사용되어야 합니다.
- **정산과 반환 청구:** 선금의 사용 내역을 확인하고, 필요 시 반환 청구를 할 수 있도록 조건을 명시해야 합니다.
**5. 선금 사용 시 준수 사항**
- **계약 목적 달성 용도:** 수령한 선금은 해당 계약의 노임(공사 계약 및 단순 노무 용역 계약은 제외) 지급과 자재 확보 등 계약 목적 달성을 위한 용도로 사용해야 합니다.
- **공동 수급체 구성원 및 하수급자에 대한 통지:** 원도급자나 공동 수급체 대표자는 공동 수급체 구성원이나 하수급자에게 선금 수령 사실을 5일 이내에 서면으로 통지해야 합니다.
- **하수급자에 대한 선금 지급:** 공동 수급체 대표자나 원도급자에게 선금을 지급한 경우, 선금 지급일로부터 15일 이내에 공동 수급체 구성원이나 하수급자에게 현금으로 지급하고, 선금 배분 여부를 확인해야 합니다.
- **권리의무 양도 금지:** 선금을 전액 정산하기 전까지는 계약에 따라 발생한 권리의무를 제3자에게 양도할 수 없습니다. 단, 선금 보증 기관의 동의를 얻은 경우에는 예외적으로 공사 대금 청구권의 양도가 가능합니다.
**6. 선금 지급의 예외 상황**
- **자금 사정 등 불가피한 사유:** 자금 사정 등 불가피한 사유로 선금의 전부 또는 일부 지급이 곤란하다고 인정되는 경우, 계약 상대방에게 그 사유를 서면으로 통지해야 합니다.
- **선금 지급이 곤란한 경우:** 예를 들어,
  - 해당 기관의 자금 배정이 지연되는 경우(단, 자금 배정이 이루어지면 즉시 선금을 지급해야 합니다).
  - 계약 체결 후 불가피한 사유로 이행 착수가 상당 기간 지연될 것이 명백한 경우(단, 그 사유가 해소되면 즉시 선금을 지급해야 합니다).
**7. 선금 신청 및 지급 절차**
- **선금 신청:** 계약 상대방이 선금을 신청합니다.
- **선금 신청서 검토:** 계약 담당 부서에서 선금 신청서를 검토합니다.
- **지급 결정:** 선금 지급 여부를 결정합니다.
- **선금(대금) 청구:** 계약 상대방이 선금 지급을 청구합니다.
- **선금 지급:** 계약 담당 부서에서 선금을 지급합니다.
- **선금 사용 내역서 제출:** 선금을 전액 사용한 후, 증빙 서류를 첨부하여 선금 사용 내역서를 제출합니다.
**8. 참고 자료**
- **관련 법령 및 지침:** 위의 내용은 「지방계약법」 제18조와 같은 법 시행령 제67조, 「지방회계법」 제35조와 같은 법 시행령 제44조에 근거합니다.
- **실무 매뉴얼:** 구체적인 절차와 예시는 "한국지방재정공제회 2024년 개정판 공사계약 길라잡이", "2025년 지방재정 상반기 신속집행 지침" 등에서 자세히 다루고 있습니다.
**9. 추가적인 질문이나 궁금한 점이 있으시면 언제든지 말씀해 주세요.** 계약 과정에서 어려움을 겪고 계시다면, 해당 기관의 계약 담당 부서나 전문가의 도움을 받으시는 것도 좋은 방법입니다. 또한, 최신 법령이나 지침의 변화를 주기적으로 확인하시는 것을 추천드립니다. 도움이 필요하시면 언제든 도와드리겠습니다. 감사합니다.</t>
  </si>
  <si>
    <t>58ac608c-0bd8-44f0-bf56-fc92e162e88b</t>
  </si>
  <si>
    <t>60b4851d-59b4-4f75-849e-3de75b2b03c8</t>
  </si>
  <si>
    <t>79993c46-eb0c-4e57-b871-7cbc70679126</t>
  </si>
  <si>
    <t>634adbbc-da76-4ea3-b244-24c7a4866e8a</t>
  </si>
  <si>
    <t>24_2501_공공기관담당관_업무매뉴얼_행정안전부_2025년_지방재정_상반기_신속집행_지침.pdf</t>
  </si>
  <si>
    <t>052a05f1-5b2d-47eb-a346-0bfed02c65c4</t>
  </si>
  <si>
    <t>(공사,용역,물품) 계약 시 지역제한임찰 대상 금액을 알려주세요</t>
  </si>
  <si>
    <t>10, 14</t>
  </si>
  <si>
    <t>f6694c9eee034db3bffa6961ff551e35</t>
  </si>
  <si>
    <t>네, 요청하신 내용은 다음과 같습니다.
**지역제한입찰 대상 금액**
- **공사**
  - **종합공사**: 추정가격 **100억원 미만**
  - **전문공사, 전기공사, 그 밖의 공사**: 추정가격 **10억원 미만**
- **건설기술용역**
  - **기획재정부장관 고시금액(현재 3.3억원)** 미만
    - 단, **안전진단 및 정밀안전진단용역**의 경우 **1.5억원 미만**
- **건설기술용역 외의 용역 또는 물품의 제조·구매**
  - **광역지자체**: **행정안전부장관 고시금액(현재 3.5억원)** 미만
또한, **지역의무공동도급**의 대상은 추정가격 **100억원 이상**의 공사이며, 이때 지역업체의 의무참여비율은 **원칙적으로 40%**, **지역경제 활성화를 위해 필요한 경우 최대 49%**까지 가능합니다. 하지만 **국제입찰(추정가격 265억원 이상)**의 경우에는 지역제한이 적용되지 않습니다.
추가적으로, **주계약자 공동도급**은 추정가격 **4억원 이상 100억원 미만**의 종합공사 중에서 발주기관이 필요하다고 인정하는 공사에 적용됩니다.
이러한 정보는 최신의 법적 기준과 규정을 기반으로 제공되었으며, 구체적인 금액은 관련 부처나 기관에서 발표한 고시에 따릅니다. 만약 더 자세한 정보나 최신 정보가 필요하다면, 해당 기관의 공식 웹사이트나 관련 법령을 참고하시는 것이 좋습니다. 도움이 되었기를 바랍니다!</t>
  </si>
  <si>
    <t>4dc65730-756f-4992-b0c6-6e858b948fed</t>
  </si>
  <si>
    <t>76d70972-0572-49d7-acbc-9ec334a069a2</t>
  </si>
  <si>
    <t>38e7414d-0df6-44fe-bfab-490827f4fa57</t>
  </si>
  <si>
    <t>735f7abc-81da-455b-8c73-b2d106b9af73</t>
  </si>
  <si>
    <t>f7a7db70-43bf-47f0-8c8f-ddc605e1ab60</t>
  </si>
  <si>
    <t>온나라 지식행정에 접속하면 흰창만 나오는데, 어떻게 해결해야하나요?</t>
  </si>
  <si>
    <t>2114472506dd45a9b7938978b063102f</t>
  </si>
  <si>
    <t>온나라 지식행정에 접속했을 때 흰 창만 나타나는 문제는 여러 가지 원인으로 발생할 수 있습니다. 일반적으로 이러한 현상은 브라우저의 쿠키나 캐시 문제, 네트워크 연결 상태, 보안 소프트웨어의 차단 등으로 인해 발생합니다.
**해결 방법:**
1. **브라우저 업데이트 및 재시작**
   - 사용 중인 웹 브라우저(예: Chrome, Edge, Firefox 등)를 최신 버전으로 업데이트하세요.
   - 브라우저를 완전히 종료한 후 다시 실행하여 문제가 해결되는지 확인해보세요.
2. **쿠키와 캐시 삭제**
   - 브라우저의 설정에서 방문 기록, 쿠키, 캐시를 모두 삭제합니다.
   - 이후 온나라 지식행정에 다시 접속해보세요.
3. **팝업 및 확장 프로그램 비활성화**
   - 일부 팝업 차단이나 확장 프로그램이 사이트 접속을 방해할 수 있습니다.
   - 해당 사이트를 신뢰할 수 있는 사이트로 등록하거나, 확장 프로그램을 일시적으로 비활성화하고 시도해보세요.
4. **보안 소프트웨어 확인**
   - 방화벽이나 바이러스 백신 소프트웨어가 온나라 지식행정의 접속을 막고 있을 수 있습니다.
   - 잠시 동안 보안 소프트웨어를 비활성화하고 사이트에 접속해보세요.
5. **네트워크 연결 확인**
   - Wi-Fi 또는 이더넷 연결 상태를 확인하고, 필요하다면 네트워크를 재연결하거나 다른 네트워크를 사용해보세요.
   - VPN이나 프록시 서버를 사용하고 있다면 이를 해제하고 시도해보세요.
6. **다른 브라우저 사용**
   - 현재 사용하는 브라우저 외에 다른 브라우저(예: Chrome 대신 Firefox 사용)로 접속해보세요.
   - 특정 브라우저에서만 문제가 발생하는 경우가 있습니다.
7. **시스템 시간 동기화**
   - 컴퓨터의 시스템 시간이 정확하지 않으면 인증 과정에서 문제가 생길 수 있습니다.
   - 시스템 시간을 자동으로 동기화하도록 설정하세요.
8. **액티브X 및 플러그인 설치**
   - 온나라 지식행정은 특정 액티브X나 플러그인을 필요로 할 수 있습니다.
   - 필요한 모든 추가 기능이 정상적으로 설치되어 있는지 확인하세요.
9. **도구 및 호환성 설정 확인**
   - 브라우저의 도구 메뉴에서 '호환성 보기' 설정을 확인하고 필요에 따라 조정하세요.
   - "안전 모드"로 브라우저를 실행하여 기본 설정만으로 접속을 시도해보세요.
10. **인터넷 옵션 설정 초기화**
    - 브라우저의 인터넷 옵션을 기본값으로 복원하고, 보안 수준을 낮춰보세요.
    - 그러나 이는 권장되지 않을 수 있으므로 주의해서 진행하세요.
11. **IT 지원팀 문의**
    - 위의 단계를 모두 시도해도 문제가 지속된다면, IT 지원팀이나 관련 부서에 문의하여 전문적인 도움을 받으세요.
위의 단계들을 차례대로 시도해보시면 문제를 해결할 수 있을 것입니다. 만약 공공기관 웹사이트이므로 보안상의 이유로 접근이 제한될 수도 있으니, 소속 기관의 IT 정책을 준수하면서 조치를 취하는 것이 중요합니다. 추가로 도움이 필요하시면 언제든지 말씀해주세요!</t>
  </si>
  <si>
    <t>장기재직휴가 신청 절차는?</t>
  </si>
  <si>
    <t>e7db7b8628694091acd07e5148127c7b</t>
  </si>
  <si>
    <t>장기재직휴가는 5년 이상 근무한 공무원에게 제공되는 특별휴가로, 재직기간에 따라 일정 일수를 사용할 수 있습니다. 신청 절차는 다음과 같습니다:
1. **휴가 대상 확인**: 먼저 자신의 재직기간이 장기재직휴가 대상인지를 확인해야 합니다. 일반적으로 재직기간 5년 이상이면 대상이 됩니다.
2. **휴가 계획 수립**: 휴가를 언제, 얼마나 사용할 것인지 계획을 세웁니다. 이때, 부서 업무에 지장이 없도록 일정을 조율하고, 가능하다면 연가와 연계하여 사용하는 것도 고려해볼 수 있습니다.
3. **부서장과 상의**: 휴가 계획을 부서장에게 알리고 승인을 받아야 합니다. 부서장은 업무 대체자를 지정하거나 업무 조정을 통해 휴가 기간 동안 업무 공백이 생기지 않도록 해야 합니다.
4. **복무시스템 승인 요청**: 차세대인사랑 복무관리시스템을 통해 휴가 신청을 합니다. 이 때, 휴가구분을 "연가외휴가관리 - 특별휴가 - '장기재직휴가'"로 선택하고, 휴가 사유를 명확히 기재합니다.
5. **승인 완료 후 휴가 실시**: 부서장의 승인이 완료되면 휴가를 사용할 수 있습니다. 휴가 중에는 긴급 연락망을 유지하고, 복귀 후에는 업무 인계 등을 철저히 해야 합니다.
또한, 일부 문서에서는 장기재직휴가 신청 전에 복무시스템에서 승인 가능 일수를 사전에 등록하라는 내용이 있을 수 있으니, 해당 절차를 따르는 것이 중요합니다.
**관련 문서 요약**:
- **[파일명: 1227_2407_부산광역시_인사과_업무매뉴얼_인사과_장기재직휴가_시행지침_개정전문.pdf]** 페이지 2~3**
  - 장기재직휴가의 시행근거와 목적, 대상, 실시방법 등이 자세히 나와 있습니다.
  - 특히, 휴가 신청 시 복무시스템에서의 등록 방법과 부서장의 승인 절차가 강조되어 있습니다.
- **[파일명: 284_2501_인사과_기타_인사과_2025년_직원_장기재직휴가_지원_계획.pdf]** 페이지 3**
  - 장기재직휴가 시행 방법에 대해 언급하며, 복무시스템 승인 및 실시 절차가 포함되어 있습니다.
- **[파일명: 1283_2503_인사과_공문_인사과_2025년_공무원_후생복지_추진계획배포-hwp.pdf]** 페이지 27**
  - 장기재직휴가에 대한 지원 내용과 함께, 숙박비 지원 등의 혜택이 소개되어 있습니다.
이러한 자료들을 종합하면, 장기재직휴가 신청은 부서와의 원활한 소통과 복무시스템의 정확한 사용을 필요로 하며, 이를 통해 공무원의 복지와 업무 효율성을 높일 수 있습니다. 더 궁금한 점이 있으면 언제든지 물어보세요!</t>
  </si>
  <si>
    <t>ae3f5807-c46f-48ff-b17b-aad0c8a3ac78</t>
  </si>
  <si>
    <t>d90900dd-41af-4d32-8b63-ccfd787f88b8</t>
  </si>
  <si>
    <t>c0635dda-3441-4063-8c58-d6f398790375</t>
  </si>
  <si>
    <t>284_2501_인사과_기타_인사과_2025년_직원_장기재직휴가_지원_계획.pdf</t>
  </si>
  <si>
    <t>1dce0950-5f37-4ae0-b99a-836dc5bba238</t>
  </si>
  <si>
    <t>직원 단체보장보험 보장내용 및 실비 등 청구 방법은?</t>
  </si>
  <si>
    <t>283_2501_인사과_기타_인사과_2025년 부산광역시 청구안내문(단체보장보험)</t>
  </si>
  <si>
    <t>1
 7</t>
  </si>
  <si>
    <t>124f0adf06c946b28ebffbe83c14eb52</t>
  </si>
  <si>
    <t>PC 네트워크 비밀번호 분실 시 해결방법은?</t>
  </si>
  <si>
    <t>3</t>
  </si>
  <si>
    <t>728e26e31aa141a1aca7efc2b2e9525e</t>
  </si>
  <si>
    <t>예산편성 관련 사전절차는 어떤게 있으며 이행여부 조회할 수 있는 방법은?</t>
  </si>
  <si>
    <t>213_2408_예산담당관_예산편성계획_예산담당관_2025년_예산편성계획.pdf</t>
  </si>
  <si>
    <t>23</t>
  </si>
  <si>
    <t>d47f7278635f447ba1dfa98798a4b008</t>
  </si>
  <si>
    <t>예산편성을 하기 전에 이행해야 하는 사전절차는 여러 가지가 있습니다. 이러한 절차들은 예산의 효율적인 운용과 투명성을 보장하기 위해 마련되었습니다.
**주요 사전절차**
1. **투자심사**: 대규모 투자사업의 경우 사전에 투자심사를 받아야 합니다. 이는 사업의 타당성과 필요성을 검토하여 예산을 효율적으로 사용하기 위함입니다.
   - **이행여부 확인 방법**: 투자심사 결과는 기획재정부나 해당 지방자치단체의 공식 문서나 보고서를 통해 확인할 수 있습니다. 또한, 예산 담당 부서에 문의하면 자세한 정보를 얻을 수 있습니다.
2. **기술용역 사전심의**: 기술적인 용역이 필요한 경우 사전에 심의를 거쳐야 합니다. 이는 기술적 타당성과 비용을 검토하기 위한 것입니다.
   - **이행여부 확인 방법**: 기술용역 사전심의 결과는 기술심사과나 관련 부서의 회의록이나 결정문을 통해 확인할 수 있습니다.
3. **정책연구용역 사전심의**: 정책 연구를 위한 용역의 경우 사전에 심의를 받아야 합니다. 이는 연구의 필요성과 효과를 검토하기 위한 것입니다.
   - **이행여부 확인 방법**: 정책연구용역 사전심의 결과는 정책연구용역심의위원회의 회의록이나 결과보고서를 통해 확인할 수 있습니다.
4. **공유재산관리계획 수립**: 공유재산의 취득이나 처분을 위해서는 사전에 계획을 수립하고 시의회의 의결을 받아야 합니다.
   - **이행여부 확인 방법**: 공유재산관리계획은 시의회에서 의결된 안건이므로 시의회 회의록이나 관련 고시를 통해 확인할 수 있습니다.
5. **민간위탁 사전절차**: 민간에 업무를 위탁하려면 사전에 민간위탁 관리위원회의 심의를 받고, 시의회의 동의를 얻어야 합니다.
   - **이행여부 확인 방법**: 민간위탁 사전절차의 이행 여부는 민간위탁 관리위원회의 회의록이나 시의회의 동의안을 통해 확인할 수 있습니다.
6. **지방보조금 사전심사**: 새로운 지방보조금을 편성하려면 사전에 심의를 받아야 합니다.
   - **이행여부 확인 방법**: 지방보조금 사전심사 결과는 보조금심의위원회의 회의록이나 관련 공문을 통해 확인할 수 있습니다.
7. **용역심의**: 신규 용역을 추진하려면 사전에 심의를 받아야 합니다.
   - **이행여부 확인 방법**: 용역심의 결과는 관련 부서의 회의록이나 심의 결과를 통해 확인할 수 있습니다.
**이행여부 조회 방법**
- **관련 부서 문의**: 각 사전절차를 담당하는 부서에 직접 연락하여 이행 여부를 확인할 수 있습니다.
- **공식 문서 열람**: 시 또는 도의 공식 웹사이트에서 공개된 회의록, 보고서, 고시 등을 통해 확인할 수 있습니다.
- **정보공개 청구**: 공공기관의 정보공개에 관한 법률에 따라 정보공개를 청구하여 원하는 자료를 받을 수 있습니다.
**참고 사항**
- 모든 사전절차는 예산의 투명성과 효율성을 높이기 위한 것이며, 이를 준수하지 않을 경우 예산 편성에 제약이 생길 수 있습니다.
- 구체적인 절차나 이행 여부에 대한 상세 정보는 해당 지방자치단체의 예산 담당 부서나 관련 부서에 문의하시는 것이 가장 정확합니다.
이러한 절차를 철저히 이행함으로써 예산이 올바르게 편성되고 사용되는 것을 보장할 수 있습니다. 추가로 궁금한 점이 있으시면 언제든지 물어보세요!</t>
  </si>
  <si>
    <t>faf152d4-dc92-48a2-b01b-5b03cbed4daf</t>
  </si>
  <si>
    <t>7c53d3cd-686a-4ae5-bb7f-f28f05c191ad</t>
  </si>
  <si>
    <t>3c95aa5e-0ad3-458c-850b-6127e8827f47</t>
  </si>
  <si>
    <t>326_2501_재정협력담당관_업무매뉴얼_재정협력담당관_민간위탁업무지침.pdf</t>
  </si>
  <si>
    <t>사업예산 편성 시 총사업비와 국비사업비의 금액에 따라 거쳐야 될 사전절차에는 어떤 것이 있나요?</t>
  </si>
  <si>
    <t>36</t>
  </si>
  <si>
    <t>9b8fa0ea9507424689419f590ec11155</t>
  </si>
  <si>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 **심사 시기**: 분기별로 한 번씩 진행되며, 관련 부처나 기관에서 심사를 받습니다.
2. **총사업비가 50억원 이상이거나 사업기간이 2년 이상인 신규사업**:
   - **총사업비 관리제도 적용**: 이러한 사업은 총사업비 관리 대상에 포함되어 예산 편성에 앞서 철저한 관리가 필요합니다.
   - **사전심사 이행**: 신규 센터 설치 등의 경우에는 금액에 관계없이 사전심사가 필수적으로 요구됩니다.
3. **국비 지원이 있는 사업**:
   - **국비 확보를 위한 협의**: 중앙부처와의 협의를 통해 국비를 확보해야 하며, 이에 따른 승인 절차를 밟아야 합니다.
   - **도시계획 관련 절차**: 사업이 지역 개발이나 인프라 구축과 관련된 경우, 도시계획과의 조율이 필요할 수 있습니다.
따라서, 총사업비와 국비사업비의 규모에 따라 예비타당성 조사, 총사업비 관리제도 적용, 중앙부처 승인 등의 사전절차를 이행하여야 합니다. 이를 통해 예산 편성의 투명성과 효율성을 높이고, 사업의 지속 가능성을 확보할 수 있습니다. 추가적인 문의 사항이 있으시면 언제든지 말씀해 주세요!</t>
  </si>
  <si>
    <t>829f7bfd-2082-402e-8bdc-f45e19f9d0c3</t>
  </si>
  <si>
    <t>부산시 업무협약 체결할때, 의회 사전동의 유무, 협약서 검토 등 구체적인 절차를 알려줘~</t>
  </si>
  <si>
    <t>376_2210_조직담당관_업무매뉴얼_조직담당관_업무협약_관리_매뉴얼.pdf</t>
  </si>
  <si>
    <t>6</t>
  </si>
  <si>
    <t>c10ddd53d8d945d3b27d46d1b9751e5d</t>
  </si>
  <si>
    <t>부산시에서 업무협약을 체결할 때는 여러 가지 절차와 규정을 준수해야 합니다. 특히, 의회와의 관계에서는 사전 동의를 얻어야 하는 경우가 있습니다.
**1. 의회 사전동의 여부**
- **사전동의 대상**: 부산광역시 업무협약 관리에 관한 조례 제6조에 따르면, 업무협약이 다음 중 하나에 해당하면 사전에 의회의 의결을 받아야 합니다.
  - 시의 재정적 부담이 발생하는 경우 (확정된 예산을 집행하는 경우는 제외)
  - 시의 권리 포기를 포함하는 경우
  - 주민의 권리 제한 또는 의무 부담을 포함하는 경우
- **사전의결 방법**: 이러한 경우에는 시의회 부의안건으로 기획담당관을 통해 공문을 제출하고, 시의회 동의안 서식에 따라 작성하여 제출해야 합니다.
- **긴급한 추진의 경우**: 만약 긴급한 사유로 인해 사전 의결을 받기 어려운 상황이라면, "시의회의 의결을 받은 때부터 효력이 발생한다는 조건"을 붙여 업무협약을 체결할 수 있으며, 이때는 반드시 소관 상임위원회에 사전 설명을 해야 합니다.
**2. 협약서 검토**
- **예산 관련 사항**: 업무협약 체결 전에 예산담당관과 협의하여 예산 편성에 대한 부분을 확인해야 합니다.
- **법률적 검토**: 법무담당관의 검토를 받아 협약서에 법적 문제가 없는지 확인합니다.
- **외국어 협약서**: 외국 기관과의 협약일 경우 국제협력과에서 외국어 협약서를 검토합니다.
**3. 기타 절차**
- **체결 계획 수립**: 업무협약 체결 계획을 수립하고, 필요한 내부 절차를 진행합니다.
- **사후보고**: 의회 의결 대상이 아닌 업무협약이나 협약의 종료 등의 사유가 발생할 경우, 시의회 사후보고를 통해 이를 알립니다.
- **관리 및 점검**: 업무협약의 추진 상황을 주기적으로 점검하고, 관리 현황을 조직담당관에 제출하며, 필요 시 소관 상임위에 보고합니다.
이러한 절차를 통해 부산시는 업무협약을 체계적이고 투명하게 관리하고 있습니다. 추가적인 문의나 상세한 안내가 필요하시면 언제든지 말씀해 주세요! 도움이 되었길 바랍니다.</t>
  </si>
  <si>
    <t>02ebf214-87cd-4dfd-8ce3-524d13e36e05</t>
  </si>
  <si>
    <t>64ddd62d-14b3-4996-b8ea-53f8181c3d05</t>
  </si>
  <si>
    <t>8f6f8840-9e15-47f5-98d8-1e391b8ce355</t>
  </si>
  <si>
    <t>시차출퇴근제 신청 한 날 반가를 쓰면 퇴근을 지정해야하는지? 유연근무제 복무 유의사항은 무엇이 있을까?</t>
  </si>
  <si>
    <t>1259_지방공무원_복무에_관한_예규_개정안전문_행정안전부_예규_제340호.pdf</t>
  </si>
  <si>
    <t>aecd09aa5a2d4eacbbaa1bc37b2b041d</t>
  </si>
  <si>
    <t>유연근무제를 신청한 날에 반가를 사용하는 경우에는 다음과 같은 사항을 고려하셔야 합니다.
**1. 시차출퇴근제와 반가의 병행 사용**
- **시차출퇴근제**는 기존의 정규 근무시간(예: 오전 9시부터 오후 6시까지)을 유지하되, 개인의 생활 패턴이나 업무 효율성을 높이기 위해 출퇴근 시간을 조정하는 제도입니다.
- **반가**는 하루 중 일정 시간을 휴가로 사용하는 것을 의미하며, 이는 개인이 필요한 경우에 사용할 수 있습니다.
**2. 반가 사용 시의 출퇴근 지정 여부**
- **반가를 사용하는 경우에도 출퇴근 시간은 반드시 지정되어야 합니다.**
- 이는 복무 관리를 위한 기본적인 절차로서, 근무 시간과 휴가 사용 시간을 명확히 구분하기 위함입니다.
- 예를 들어, 시차출퇴근제로 근무 중인 날에 오후 3시에 반가를 사용한다면:
  - **출근 시간**: 정상적으로 출근하여 근무를 시작하므로, 해당 시간에 출근 지정이 필요합니다.
  - **퇴근 시간**: 반가 사용 후 실제로 근무를 종료하는 시간이므로, 그 시간에 퇴근 지정이 필요합니다.
**3. 유연근무제 복무 유의사항**
- **출퇴근 기록의 정확성 유지**: 유연근무를 하더라도 출퇴근 시간을 정확히 기록하여 복무 관리에 문제가 없도록 해야 합니다.
- **상급자와의 소통 강화**: 유연근무나 휴가 사용 계획은 사전에 상급자나 인사 담당 부서와 협의하여 진행하는 것이 좋습니다.
- **복무 규정 준수**: 각 기관마다 적용되는 복무 규정을 숙지하고 이를 철저히 준수해야 합니다.
- **증빙 자료 보관**: 출장이나 휴가 사용 시 관련된 증빙 자료를 잘 보관하여 추후 확인 요청이 있을 때 대비해야 합니다.
**결론적으로**, 시차출퇴근제를 신청한 날에 반가를 사용하더라도 출퇴근 시간은 반드시 지정해야 하며, 이는 복무 관리와 근태 파악을 위해 필수적인 절차입니다. 또한, 유연근무제를 활용할 때에는 복무 규정을 준수하고 상급자와의 원활한 소통을 유지하는 것이 중요합니다. 추가적인 질문이나 도움이 필요하시면 언제든지 말씀해 주세요!</t>
  </si>
  <si>
    <t>14657837-b1cf-4247-8740-e0002b0029a0</t>
  </si>
  <si>
    <t>탄력근무제 관련해서 자세한 매뉴얼이 있나요</t>
  </si>
  <si>
    <t>19</t>
  </si>
  <si>
    <t>a69779dcda5b45c481a0c38e6c5be95a</t>
  </si>
  <si>
    <t>네, 탄력근무제에 대한 자세한 매뉴얼은 여러 곳에서 찾아볼 수 있어요.
1. **인사혁신처 홈페이지**: 정부 공식 웹사이트인 인사혁신처에서는 공직자들을 위한 다양한 복무 지침과 매뉴얼을 제공하고 있어요. 여기서는 탄력근무제의 정의, 신청 절차, 유의 사항 등에 대해 상세히 안내하고 있죠.
2. **각 부처나 기관의 내부 규정**: 소속된 부처나 기관에서도 자체적인 탄력근무제 운영 지침을 마련하고 있을 거예요. 이는 조직의 특성이나 업무 환경에 맞게 세부 내용이 조정될 수 있으니, 내부 규정을 확인하는 것이 좋아요.
3. **관련 법령 및 예규**: '국가공무원 복무규정'이나 '지방공무원 복무에 관한 예규'와 같은 법령에서도 탄력근무제에 대한 기본적인 내용과 절차를 확인할 수 있어요.
4. **온라인 커뮤니티나 포럼**: 현직 공무원들이 정보를 공유하는 온라인 플랫폼이나 카페에서도 실제 경험담이나 유용한 팁을 얻을 수 있어요.
더 구체적인 도움이 필요하시다면, 어떤 부분에서 정보가 더 필요하신지 알려주시면 그에 맞는 자료를 찾아드리거나 추가 설명을 드릴게요!</t>
  </si>
  <si>
    <t>fe27bce9-4581-4190-a832-3ea939480632</t>
  </si>
  <si>
    <t>DRM, 네트워크 인증 등 신규직원이 컴퓨터 사용에 알아야할 것들에 대해 정리해주세요.</t>
  </si>
  <si>
    <t>ef22cd946ba345b2923430f7ace4c868</t>
  </si>
  <si>
    <t>신규 직원이 컴퓨터 사용 시 알아야 할 DRM(Digital Rights Management), 네트워크 인증 등에 대한 내용은 다음과 같습니다.
### 1. DRM(Digital Rights Management)
- **개념**: 디지털 콘텐츠의 불법 복제 및 배포를 방지하고 저작권자의 권리를 보호하기 위한 기술입니다.
- **컴퓨터에서의 적용**:
  - **설치 필요성**: 회사에서는 기밀 문서나 저작권이 있는 자료를 안전하게 관리하기 위해 DRM 솔루션을 사용합니다.
  - **사용 방법**: DRM이 설치된 컴퓨터에서는 특정 소프트웨어나 플러그인을 통해 문서를 열람하거나 편집해야 합니다.
  - **주의사항**: DRM으로 보호된 파일을 외부로 반출하려면 회사의 승인 절차가 필요할 수 있습니다.
### 2. 네트워크 인증(Network Authentication)
- **개념**: 조직 내부 네트워크를 사용하기 위해 사용자의 신원을 확인하는 과정입니다.
- **컴퓨터에서의 적용**:
  - **인증 방식**: 일반적으로 아이디와 비밀번호를 통한 로그인이 이루어집니다.
  - **보안 강화 요소**: 추가적으로 OTP 토큰, 스마트 카드, 지문 인식 등의 이중 인증 방식을 사용할 수 있습니다.
  - **네트워크 접근 제한**: 인증을 통과하지 않으면 회사 네트워크나 인터넷 자원에 접근할 수 없습니다.
### 3. 기타 컴퓨터 사용 관련 사항
- **보안 정책 준수**: 회사의 보안 정책을 숙지하고 따라야 합니다. 예를 들어, 이메일 첨부 파일 다운로드 금지, USB 메모리 사용 제한 등이 있을 수 있습니다.
- **소프트웨어 사용 허가**: 회사에서 제공하는 소프트웨어만 사용하고, 개인 소프트웨어 설치는 제한될 수 있습니다.
- **데이터 백업 및 저장 위치**: 중요한 데이터는 지정된 서버나 클라우드 스토리지에 저장해야 하며, 로컬 하드 드라이브 사용을 최소화합니다.
- **개인정보 보호**: 동료 직원의 개인정보나 민감한 정보를 취급할 때는 각별히 주의해야 합니다.
### 4. 교육 및 지원 시스템 활용
- **온보딩 프로그램 참여**: 신입 직원 대상의 온보딩 과정에서 이러한 시스템 사용 방법에 대한 교육을 받습니다.
- **매뉴얼 및 가이드 참조**: 업무 매뉴얼이나 IT 부서의 안내 자료를 참고하여 필요한 지식을 습득합니다.
- **문의 채널 이용**: 모르는 부분이 있으면 IT 지원팀이나 선임자에게 문의하여 도움을 받을 수 있습니다.
이러한 내용들을 잘 이해하고 준수함으로써 안전하고 효율적인 컴퓨터 사용이 가능합니다. 추가로 궁금한 점이 있으시면 언제든지 질문해 주세요!</t>
  </si>
  <si>
    <t>부서에서 회계과로 계약요청을 하기 위한 절차는 어떻게 되나요</t>
  </si>
  <si>
    <t>9, 10</t>
  </si>
  <si>
    <t>75069f2344e5482db59812468ec65f91</t>
  </si>
  <si>
    <t>회계과로의 계약요청은 다음과 같은 절차를 따릅니다.
1. **사업부서**에서는 먼저 계약을 필요로 하는 사업을 계획하고, 이에 대한 예산 확보와 내부 결재를 완료해야 합니다. 이때 사업의 규모나 성격에 따라 일상감사 대상이 될 수 있으므로, 추정금액이 일정 금액 이상이면 사전에 감사를 받아야 할 수도 있습니다.
2. **계약심사** 단계에서는 사업의 타당성과 예산의 적절성을 심사합니다. 추정금액이 일정 기준을 초과하는 경우에는 조달청에 공사원가 사전검토를 요청할 수 있으며, 이는 예산 낭비를 방지하기 위한 조치입니다.
3. **사전규격공개**는 용역이나 물품 구매의 경우 필수적으로 진행되며, 관련 정보를 공개하여 투명성을 높입니다. 이 과정은 입찰 참여 업체들에게 충분한 정보를 제공함으로써 공정한 경쟁을 유도합니다.
4. **계약심의**는 대규모 사업에 대해 심층적인 검토를 거치는 과정으로, 특히 추정가격이 큰 공사의 경우 필요합니다. 이를 통해 사업의 위험 요소를 최소화하고 효율적인 집행을 도모합니다.
5. **계약의뢰** 단계에서는 위의 모든 과정을 거친 후에 회계과에 공식적으로 계약을 요청합니다. 이때 필요한 문서로는 품의서, 계획서, 계약서 등이 포함됩니다.
따라서 부서에서 회계과로 계약요청을 하기 위해서는 먼저 내부적으로 사업의 계획을 수립하고, 필요한 감사와 심의를 거쳐 최종적으로 계약의뢰서를 작성하여 회계과에 제출해야 합니다. 이 과정에서 각 단계별로 요구되는 문서와 절차를 정확히 이행하는 것이 중요합니다. 추가적인 도움이 필요하시면 언제든지 말씀해 주세요!</t>
  </si>
  <si>
    <t>9b229558-22ce-4174-94ea-35b39d1a22b4</t>
  </si>
  <si>
    <t>인사상담은 쪽지로 담당자한테 연락하는 방법 외에는 없나요</t>
  </si>
  <si>
    <t>a47e236807ea4c78a4b7be8fc8727619</t>
  </si>
  <si>
    <t>전화기 통화 녹음 하는 방법 및 매뉴얼 알려주세요</t>
  </si>
  <si>
    <t>410_2505_총무과_주요질문사항_행정전화_녹취방법.pdf</t>
  </si>
  <si>
    <t>7088b3d2534544bf8d88cccf88bd1d46</t>
  </si>
  <si>
    <t>네, 전화기의 통화 녹음 방법은 일반적으로 해당 기기의 모델에 따라 다를 수 있습니다. 하지만 대부분의 전화기는 다음과 같은 방법으로 통화를 녹음할 수 있습니다.
### 일반적인 통화 녹음 방법:
1. **통화 중 녹음 버튼 찾기**: 통화 중에 녹음을 시작할 수 있는 전용 버튼이 있을 수 있습니다. 이 버튼은 보통 '#' 또는 '*'와 같이 특수 문자로 표시됩니다.
2. **녹음 시작하기**:
   - 통화 상태에서 녹음 버튼을 누릅니다.
   - 일부 기기에서는 녹음 기능을 활성화하기 위해 특정 코드(예: '#11')를 입력해야 할 수도 있습니다.
3. **녹음 종료하기**:
   - 녹음이 끝나면 녹음 종료를 알리는 메시지가 들릴 수 있습니다.
   - 녹음 종료 버튼을 눌러 녹음을 마칩니다.
4. **녹음 파일 확인하기**:
   - 녹음된 파일은 저장되어 나중에 확인할 수 있습니다.
   - 녹음 목록이나 관리 메뉴에서 접근 가능합니다.
### 매뉴얼 참고:
- **기기 제조사 웹사이트 방문**: 정확한 사용 방법을 알기 위해서는 해당 전화기의 공식 매뉴얼을 확인하는 것이 가장 좋습니다.
- **고객 지원 서비스 이용**: 제조사의 고객 지원 센터나 FAQ 섹션에서 도움을 받을 수 있습니다.
### 추가 팁:
- **보안 및 법적 고려 사항**: 통화 녹음은 법적인 제한이 있을 수 있으므로, 상대방의 동의를 얻거나 관련 법률을 준수해야 합니다.
- **저장 공간 관리**: 녹음 파일이 많아지면 저장 공간이 부족해질 수 있으니 주기적으로 백업하거나 삭제하여 공간을 확보하세요.
만약 특정한 전화기 모델이나 브랜드의 정보를 원하신다면, 그 모델명을 알려주시면 더 구체적인 안내를 드릴 수 있습니다. 도움이 필요하시면 언제든지 말씀해 주세요!</t>
  </si>
  <si>
    <t>cb14a1e0-9ead-44ea-80fd-80ce3e763244</t>
  </si>
  <si>
    <t>악성민원 응대 및 대응관련 매뉴얼 알려주세요.</t>
  </si>
  <si>
    <t>431_2410_통합민원과_업무매뉴얼_행정안전부_민원인의_위법행위_및_반복민원_대응방안지침.pdf</t>
  </si>
  <si>
    <t>9d60799421d440cab1ad42624901084c</t>
  </si>
  <si>
    <t>네, 악성민원 응대 및 대응에 관련된 매뉴얼을 제공해 드릴게요.
**'민원인의 위법행위 및 반복민원 대응방안 지침'**
- **파일명:** 431_2410_통합민원과_업무매뉴얼_행정안전부_민원인의_위법행위_및_반복민원_대응방안지침.pdf
- **페이지:** 2부터 시작됩니다.
이 매뉴얼은 민원인의 위법행위와 반복민원에 효과적으로 대응하기 위한 방안을 제시하고 있어요. 주요 내용은 다음과 같습니다:
1. **기본 원칙**
   - 민원인의 폭언·폭행 등 위법행위로부터 민원담당자를 보호해야 합니다.
   - 법적 대응 시에는 기관 차원에서 직접 고발하거나, 피해 공무원이 고소를 원하는 경우 적극 지원합니다.
2. **전담 대응조직과 보호조치 이행**
   - 법무 기능을 담당하는 부서를 법적 대응 전담부서로 지정합니다.
   - 보호조치 이행계획을 수립하고, 기관별로 빈발하는 악성민원에 맞는 보호방안을 마련합니다.
3. **위법행위 대응 절차**
   - 현장에서의 즉각적인 대응부터 법적 대응까지의 절차를 상세히 안내합니다.
4. **공통 사항**
   - 안전한 업무환경 조성을 위해 녹음·녹화가 가능한 환경에서 상담을 진행합니다.
   - 비상상황에 대비한 훈련을 실시하며, 위법행위가 발생할 경우 적절한 조치를 취하도록 합니다.
또한, 민원담당자의 권익보호와 올바른 민원문화 조성을 위한 다양한 방안도 포함되어 있습니다.
**참고자료:**
- **민원 처리 담당자 보호 및 지원에 관한 참고 자치법규(안)**: 민원담당자의 신체적·정신적 피해 예방 및 치유 지원을 위한 구체적인 내용이 담겨 있습니다.
이 매뉴얼을 활용하면 악성민원에 대한 체계적이고 전문적인 대응이 가능합니다. 추가로 궁금한 점이 있으시면 언제든지 물어보세요! 도움이 필요하시면 언제든 말씀해 주세요.</t>
  </si>
  <si>
    <t>6f0bf363-4b88-41e8-9360-ec226e0765de</t>
  </si>
  <si>
    <t>83692ae6-788f-4597-a6fa-1cfe1cf7c12b</t>
  </si>
  <si>
    <t>7282123c-4679-475f-a839-84fabd393319</t>
  </si>
  <si>
    <t>근무시간 중 개인사정으로 연가(외출)사용 후 돌아와서 시간외근무를 하면 시간외근무가 인정이 되는지 여부가 궁금해요.</t>
  </si>
  <si>
    <t>214_2501_예산담당관_업무매뉴얼_행정안전부_지방공무원보수업무_등_처리지침.pdf</t>
  </si>
  <si>
    <t>340</t>
  </si>
  <si>
    <t>fb3acdde18534162873200b675157e58</t>
  </si>
  <si>
    <t>안녕하세요! 질문하신 내용에 대해 답변드리겠습니다.
우선, 제공해주신 문서에서는 '지각・외출 및 반일연가・공가 사용자의 시간외근무' 부분에 다음과 같이 명시되어 있습니다:
&gt; **(3) 지각・외출 및 반일연가・공가 사용자의 시간외근무**
&gt;
&gt;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이 조항에 따르면, 근무 당일에 지각, 외출, 또는 반일 연가·공가를 사용하고도 시간외근무 명령을 받아 초과근무를 했다면 그 시간에 대해서는 시간외근무로 인정됩니다. 그러나 여기서 중요한 점은 "반일 연가·공가"라는 것입니다. 즉, 하루 전체(8시간)를 사용하는 전일 연가·공가의 경우는 시간외근무로 인정되지 않습니다.
따라서, 근무 중에 개인적인 사유로 반일 이하의 연가나 공가를 사용하셨다면, 이후에 복귀하셔서 시간외근무를 하셨다면 그 시간은 시간외근무로 인정될 수 있습니다. 하지만 만약 전일 연가나 공가를 사용하셨다면, 그날에는 시간외근무가 인정되지 않을 가능성이 높습니다.
또한, 이러한 규정은 각 지방자치단체나 기관마다 세부적인 운영 방식이 다를 수 있으므로, 정확한 확인을 위해서는 소속 기관의 인사 담당 부서나 관련 규정을 다시 한번 확인해보시는 것이 좋습니다.
추가적으로 도움이 필요하시거나 더 궁금한 점이 있으시면 언제든지 말씀해주세요!</t>
  </si>
  <si>
    <t>716bd629-5cc2-486f-9b06-eb2285c40f9c</t>
  </si>
  <si>
    <t>인사랑 접속이 안될 때 해결방안은?</t>
  </si>
  <si>
    <t>0b03d566b0ea41fca5f2c4ac3e60f721</t>
  </si>
  <si>
    <t>안녕하세요! 인사랑 접속에 문제가 있으시군요. 해당 문제를 해결하기 위해 다음과 같은 조치를 취해보실 수 있습니다:
1. **네트워크 연결 확인**: 먼저 인터넷 연결 상태를 확인해 주세요. 다른 웹사이트나 애플리케이션이 정상적으로 작동하는지 확인하여 네트워크 문제인지 판단합니다.
2. **브라우저 캐시 및 쿠키 삭제**:
   - 사용 중인 웹 브라우저의 캐시와 쿠키를 삭제하면 일시적인 문제로 인한 접속 불량을 해결할 수 있습니다.
   - 예를 들어, Chrome에서는 `Ctrl+Shift+Del`을 눌러 캐시와 쿠키를 삭제할 수 있습니다.
3. **브라우저 확장 프로그램 및 애드온 비활성화**:
   - 일부 브라우저 확장 프로그램이나 애드온이 사이트 접속을 방해할 수 있으므로, 이를 모두 비활성화하고 다시 시도해 보세요.
4. **다른 웹 브라우저 사용**:
   - 현재 사용하는 브라우저 외에 다른 브라우저(예: Chrome, Firefox, Edge 등)를 사용하여 사이트에 접속해 봅니다.
5. **방화벽 및 보안 소프트웨어 확인**:
   - 방화벽이나 바이러스 백신 소프트웨어가 인사랑 접속을 차단하고 있는지 확인하고, 필요하다면 예외 설정을 추가합니다.
6. **DNS 서버 변경**:
   - DNS 설정이 올바르지 않으면 사이트 접속에 문제가 생길 수 있습니다. 기본 DNS 서버로 변경하거나 Google Public DNS와 같은 공개 DNS를 사용해 볼 수 있습니다.
7. **시스템 시간 동기화**:
   - 시스템 시간이 맞지 않으면 SSL 인증서에 문제가 발생할 수 있으므로, 정확한 시간으로 동기화합니다.
8. **VPN 사용 중단**:
   - VPN을 사용하고 있다면 잠시 해제하고 직접 연결 상태에서 접속을 시도해 보세요.
9. **관리자에게 문의**:
   - 위의 모든 방법을 시도해도 문제가 지속된다면, 인사랑 관리자나 IT 지원 부서에 연락하여 상세한 지원을 받습니다.
위의 단계를 차례대로 진행하시면 대부분의 접속 문제는 해결될 것입니다. 추가로 도움이 필요하시거나 구체적인 상황에 대해 더 알고 싶으시면 언제든지 말씀해 주세요!</t>
  </si>
  <si>
    <t>용역 계약 절차가 어떻게 되나요</t>
  </si>
  <si>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</si>
  <si>
    <t>9, 10
 14</t>
  </si>
  <si>
    <t>45053e2af4684e4c9488f208e203e91a</t>
  </si>
  <si>
    <t>부산광역시의 용역 계약 절차는 다음과 같습니다.
1. **계약심사**: 추정가격이 일정 금액을 초과하는 용역에 대해 계약심사를 진행합니다. 예를 들어, 추정가격이 2억원 이상인 용역이 이에 해당됩니다.
2. **사전규격공개**: 추정가격 5천만원 이상의 용역에 대해서는 사전에 규격을 공개해야 합니다. 이는 G2B와 시 홈페이지를 통해 이루어지며, 기간은 일반적으로는 5일, 긴급한 경우에는 3일간 공개됩니다.
3. **계약심의**: 광역지자체 차원에서 추정가격이 20억원 이상인 용역에 대해 계약심의를 실시합니다.
4. **입찰공고**: 계약부서에서 입찰공고를 내며, 이때 지정정보처리장치(G2B)와 시 홈페이지를 통해 공고합니다. 용역의 경우 일반적으로 입찰서 제출 마감일 전일부터 계산하여 10일간의 공고기간이 주어집니다.
5. **입찰 및 적격심사**: 입찰에 참여한 업체들을 대상으로 적격심사를 실시하고, 가장 적합한 업체를 선정합니다.
6. **계약체결**: 선정된 업체와 계약을 체결하며, 이 과정에서 다양한 계약 문서들이 작성되고 교환됩니다.
이러한 절차를 통해 부산광역시에서는 투명하고 효율적인 용역 계약이 이루어집니다. 추가적인 질문이나 구체적인 단계별 설명이 필요하시면 언제든지 말씀해 주세요!</t>
  </si>
  <si>
    <t>829f6a4f-671c-4d8f-b46a-8d89fdd5aef1</t>
  </si>
  <si>
    <t>시 청사 내 편의시설 정보 상세히 안내해주세요</t>
  </si>
  <si>
    <t>408_2505_총무과_주요질문사항_시청사_층별_안내.pdf</t>
  </si>
  <si>
    <t>1, 2</t>
  </si>
  <si>
    <t>7ec2252e5f2a458f832fc644d6997ac2</t>
  </si>
  <si>
    <t>시청사 내에 위치한 주요 편의시설을 알려드리겠습니다.
**6층**
- **총무과**: 행정통신 및 종합통신센터를 운영하며, 정보화정책과와 빅데이터과 등이 위치해 있습니다.
- **정보화정책과**: 정보화 관련 정책을 수립하고 추진합니다.
- **빅데이터과**: 데이터 분석 및 활용을 담당하는 부서입니다.
- **통계분석실**: 통계 자료를 수집하고 분석하는 곳입니다.
- **통계분석작업장**: 통계 작업을 위한 공간입니다.
- **부산정보고속도로망운영센터**: 시의 정보통신망을 관리하는 센터입니다.
- **AED(자동 심장충격기)**: 응급 상황에 대비한 장비로, 6층 쉼터 옆에 설치되어 있습니다.
**5층**
- **정보화교육장**: 정보화 교육을 진행하는 장소입니다.
- **정보시스템유지보수실**: 시에서 사용하는 정보 시스템의 유지보수를 담당하는 곳입니다.
**4층**
- **영상제작실**: 영상 콘텐츠를 제작하는 공간입니다.
- **하늘마당**: 휴식과 소통을 위한 야외 또는 실내 공간이 있을 수 있습니다.
**3층**
- **행정자치국**: 시의 행정 업무를 총괄하는 부서입니다.
- **미래기술전략국**: 미래 기술과 전략에 대한 연구를 수행하는 부서입니다.
- **체육국**: 시민들의 체육 활동 지원과 관련된 업무를 담당합니다.
- **직원공제회**: 직원들의 복지를 지원하는 단체입니다.
- **열린도서관**: 직원들이나 일반 시민들이 이용할 수 있는 도서관입니다.
- **직원식당**: 직원들을 위한 식당으로, 식사가 제공됩니다.
- **AED(자동 심장충격기)**: 응급 상황을 대비하여 설치되어 있으며, 국민은행 앞에 위치해 있습니다.
- **국민은행**: 은행 업무를 볼 수 있는 지점입니다.
**2층**
- **통합민원과**: 다양한 민원을 처리하는 곳으로, 행복민원실이 포함되어 있습니다.
- **행복민원실**: 민원 여권 발급, 원스톱 서비스, 기록 정보 관리 등을 제공합니다.
- **아주라휴게실**: 휴식 공간으로 사용될 수 있습니다.
- **AED(자동 심장충격기)**: 응급 상황 대비 장비로, 민원실 옆 계단 입구에 설치되어 있습니다.
- **부산은행**: 은행 업무를 볼 수 있는 지점입니다.
**1층**
- **신공항사업지원단**: 신공항 사업을 지원하는 부서입니다.
- **전세피해지원센터**: 전세 피해를 입은 주민들을 지원하는 곳입니다.
- **부울경초광역경제동맹추진단**: 지역 간 경제 협력을 추진하는 부서입니다.
- **배차실**: 차량 운행 관리를 담당하는 곳입니다.
- **부산시청공무직노동조합**: 노동자들의 권익 보호를 위한 조합입니다.
- **대강당**: 대규모 행사를 개최할 수 있는 공간입니다.
- **대회의실**: 중규모의 회의를 진행할 수 있는 장소입니다.
- **국제교류홍보관**: 국제 교류와 관련된 정보를 제공하는 전시관입니다.
- **시청매점**: 간단한 식품이나 물품을 구매할 수 있는 매점입니다.
- **카페 가온비**: 커피나 음료를 즐길 수 있는 카페입니다.
- **들락날락 어린이도서관**: 어린이들을 위한 도서관이 마련되어 있습니다.
- **무료법률상담실**: 법률 상담을 무료로 받을 수 있는 공간입니다.
- **시민기업 접견실**: 시민들과 기업들이 만나는 공간입니다.
- **보험사**: 보험 상품을 판매하는 업체가 입점해 있습니다.
- **AED(자동 심장충격기)**: 응급 상황 대비 장비로, 고층용 엘리베이터 앞에 설치되어 있습니다.
- **우체국**: 우편 서비스를 제공하는 기관입니다.
**지하 1층**
- **부산광역시기록관**: 시의 역사적인 기록을 보관하고 전시하는 곳입니다.
- **기록물관리실**: 중요한 문서나 기록을 관리하는 부서입니다.
- **주차장**: 차량을 주차할 수 있는 공간입니다.
- **열린상담실**: 상담 서비스를 제공하는 공간입니다.
위의 정보는 현재까지의 자료이며, 시설의 변경 사항이나 추가 정보가 있을 수 있으니 방문 전에 최신 정보를 확인하시는 것이 좋습니다. 또한, 코로나19 등의 영향으로 일부 시설의 이용이 제한되거나 방역 지침이 적용될 수 있으므로 이 점도 유의하시기 바랍니다. 추가로 궁금한 점이 있으시면 언제든지 물어보세요!</t>
  </si>
  <si>
    <t>19edb76f-cf52-4db4-8561-dcc9f72c43d7</t>
  </si>
  <si>
    <t>fc70c621-cb5c-4475-a402-5e8d63e3aae2</t>
  </si>
  <si>
    <t>시 본청 당직시 주의사항에 대해서 알려줘</t>
  </si>
  <si>
    <t>306_2504_인사과_업무매뉴얼_인사과_당직원근무자료.pdf</t>
  </si>
  <si>
    <t>185de2ad341c49af91d6e5b931069988</t>
  </si>
  <si>
    <t>시 본청 주차장 승용차 요일제에 대해서 알려줘</t>
  </si>
  <si>
    <t>409_2505_총무과_주요질문사항_직원주차장_이용_안내.pdf</t>
  </si>
  <si>
    <t>fd625c251e3c400b9370fa5bc16086ca</t>
  </si>
  <si>
    <t>부산시청의 본청 주차장은 승용차 요일제를 운영하고 있습니다. 이는 환경 보호와 교통 혼잡 완화를 위해 직원들이 자발적으로 참여하는 제도입니다. 주요 내용은 다음과 같습니다:
- **요일제 참여 대상**: 모든 직원이 소유한 승용차가 대상이며, 업무용 차량이나 특정 예외 차량은 제외됩니다.
- **참여 방법**:
  - 직원들은 자신의 차량을 대상으로 월요일부터 금요일 중 하루를 '승용차 요일제 휴무일'로 지정해야 합니다.
  - 지정한 날에는 개인 용도로 차량 운행이 제한되며, 출퇴근 시에도 대중교통이나 카풀 등을 이용하도록 권장됩니다.
- **예외 사항**:
  - 친환경 차량(경차, 수소차, 하이브리드 전기차 등)은 요일제 적용에서 제외될 수 있으며, 이를 증명하는 서류 제출이 필요합니다.
  - 장애인, 국가유공자 등의 경우에도 본인 차량에 한해 요일제 적용이 면제됩니다.
  - 유아 동승 차량도 일정 기간 동안 요일제에서 제외되지만, 자녀가 초등학교에 입학하면 자동으로 해제됩니다.
- **혜택 및 인센티브**:
  - 요일제에 적극 참여한 직원들에게는 주차 요금 할인 또는 기타 복지 혜택이 제공될 수 있습니다.
  - 또한, 공공기관으로서 사회적 책임을 다하고 있다는 인식 제고에 기여합니다.
- **관리 및 확인**:
  - 주차장 입구에 설치된 시스템이나 관리자를 통해 요일제 준수 여부를 확인할 수 있습니다.
  - 위반 시에는 향후 혜택 제한이나 추가적인 조치가 있을 수 있으므로 주의가 필요합니다.
이러한 제도는 지속 가능한 도시 환경을 조성하고자 하는 노력의 일환으로, 직원들의 협조와 참여를 바탕으로 운영되고 있습니다. 더 자세한 정보나 개인적인 문의 사항은 부산시청 총무과나 관련 부서에 연락하시면 도움을 받으실 수 있습니다.</t>
  </si>
  <si>
    <t>589bb7c6-2204-440a-bfdc-10544ac70a4b</t>
  </si>
  <si>
    <t>사무관리비로 선풍기를 구입할 수 있나요?</t>
  </si>
  <si>
    <t>101, 102</t>
  </si>
  <si>
    <t>5bf0b18be9e74fd1bea8f3c2f1f0b967</t>
  </si>
  <si>
    <t>네, 사무관리비로 선풍기를 구입할 수 있습니다. 일반적으로 사무관리비는 관서운영에 필요한 기본적인 수용비와 사무용 잡품비, 그리고 소규모 수선비 등을 포함합니다.
**관련 조항 설명:**
- **사무관리비 항목:**
  - **일반수용비:** 관서운영에 소요되는 수용비로, 침구 구입 및 세탁비, 기본사무용품비 등이 포함됩니다.
  - **사무용 잡품비:** 필기구, 용지대 등 일상적인 사무용품 구매비용입니다.
  - **소규모 수선비:** 기계·기구·집기 및 기타 공작물의 소규모 수선에 드는 비용을 말합니다. 여기서 "소규모"란 내용연수를 현저히 증가시키는 대규모 수선이 아닌 경우를 의미하며, 이러한 대규모 수선은 시설비로 처리합니다.
- **선풍기의 경우:**
  - 선풍기는 사무실에서 사용하는 일반적인 전기기기이며, 고가의 장비나 주요 설비에 해당하지 않습니다.
  - 따라서 선풍기의 구입이나 교체는 사무환경 개선을 위한 소규모 수선비로 볼 수 있으며, 사무관리비에서 지출 가능합니다.
**주의사항:**
- 만약 여러 개의 선풍기를 대량으로 구입하거나, 고가의 특수 장비를 구매하려는 경우에는 해당 비용이 사무관리비의 범위를 초과하는지 확인해야 합니다.
- 이럴 때는 자산취득비나 시설비로 분류될 수 있으므로, 정확한 회계처리를 위해 예산담당 부서와 상의하는 것이 좋습니다.
**결론적으로**, 사무관리비로 선풍기를 구입하는 것은 가능하며, 이는 관서운영에 필요한 기본적인 소모품 구입에 해당합니다. 추가적인 문의 사항이 있으시면 언제든지 말씀해 주세요!</t>
  </si>
  <si>
    <t>104095f2-c245-46dd-81c5-94df703f7c01</t>
  </si>
  <si>
    <t>98b926ad-3c12-4fe4-9320-f452882e2422</t>
  </si>
  <si>
    <t>보도자료가 배포되는 과정에 대해서 알고싶어요</t>
  </si>
  <si>
    <t>c6e607fb5b314eef804b126785732812</t>
  </si>
  <si>
    <t>네, 보도자료의 배포 과정은 다음과 같습니다:
1. **배포 D-7~10**: 보도지원팀은 배포 예정인 보도자료 목록을 취합합니다. 이는 어떤 내용의 보도자료를 언제 배포할지 계획하는 단계입니다.
2. **배포 D-3**: 담당 부서는 보도자료 초안을 작성하고 보도지원팀 담당자에게 제출합니다. 이때 보도자료 작성에 참고할 수 있는 자료는 https://www.busan.go.kr/nbtnewsBU에서 확인할 수 있습니다.
3. **배포 D-2~1**: 보도자료 최종 확정 단계로, 검토본을 작성하고 부서로부터 회신을 받아 내용을 확정합니다.
4. **배포 당일(D-day)**:
   - **배포 시간**: 월요일부터 금요일, 그리고 일요일 오전 7시에 시 보도자료를 언론사에 일괄 배포합니다. 이메일이나 홈페이지 게시 등을 통해 이루어집니다.
   - **비상 배포**: 정기 배포 시간 외에 보도자료를 배포하려면 사전에 실·국·본부별 보도지원팀 담당자와 협의해야 합니다.
   - **언론 보도는** 일반적으로 인터넷 언론은 배포 주간 내에, 방송사는 배포일 저녁 또는 익일 아침에, 신문 지면은 배포일 다음 날 조간에 보도됩니다.
이러한 과정을 거쳐 보도자료가 정확하고 효율적으로 배포되어 시민들에게 필요한 정보를 전달하게 됩니다. 더 궁금한 점이 있으시면 언제든지 물어보세요!</t>
  </si>
  <si>
    <t>25fe7112-aebb-4936-9797-201972ea154c</t>
  </si>
  <si>
    <t>311_2410_자연재난과_업무매뉴얼_자연재난과_부산시_풍수해_재난_현장조치_행동매뉴얼2410.pdf</t>
  </si>
  <si>
    <t>64c9d793-2c4d-4998-8e21-05ddb02cd635</t>
  </si>
  <si>
    <t>1193_압축4_2023_부천시_안전한국훈련_통합훈련시나리오식용수분야.pdf</t>
  </si>
  <si>
    <t>현재 비어있는 시청 내 회의실은 어디가 있나요?</t>
  </si>
  <si>
    <t>b8ea57b6ca07442e85b50d5fc6521b71</t>
  </si>
  <si>
    <t>시청 내 회의실 예약 현황은 실시간으로 변동될 수 있으므로 정확한 정보를 얻으려면 행정포털의 개인서비스를 통해 확인하시는 것이 가장 좋습니다. 일반적으로 회의실 예약을 위해서는 다음과 같은 절차를 따릅니다:
1. **행정포털 접속**: 먼저 부산시 내부망인 행정포털에 로그인합니다.
2. **개인서비스 메뉴 선택**: 메인 화면에서 '개인서비스' 메뉴를 클릭합니다.
3. **회의장 예약 기능 이용**: '개인서비스' 내에서 '회의장' 또는 '회의실 예약' 기능을 찾아 원하는 날짜와 시간에 빈 회의실이 있는지 조회합니다.
4. **예약 진행**: 사용 가능한 회의실을 확인하고 예약을 진행합니다.
또한, 긴급하게 회의실이 필요한 경우에는 총무과나 시설관리 담당 부서에 직접 문의하시면 현재 사용 가능하거나 즉시 사용할 수 있는 회의실에 대한 안내를 받으실 수 있습니다.
**참고 사항**:
- 회의실 예약은 선착순이며, 일부 회의실은 특정 부서나 프로젝트에 우선적으로 할당되어 있을 수 있습니다.
- 대규모 인원을 수용할 수 있는 대형 회의실의 경우 사전에 충분한 시간을 두고 예약하셔야 합니다.
- 코로나19 등의 상황에 따라 회의실 사용 정책이나 방역 지침이 변경될 수 있으니 최신 공지를 확인해 주세요.
추가적인 도움이 필요하시거나 다른 궁금한 점이 있으시면 언제든지 말씀해 주세요!</t>
  </si>
  <si>
    <t>2024년과 2025년에 변경되는 주요 복지정책은 무엇이 있나요</t>
  </si>
  <si>
    <t>290_2501_인사과_기타_인사과_2025년도_부산광역시_맞춤형복지제도_운영계획.pdf</t>
  </si>
  <si>
    <t>cc44afd74c8743efad37d3845f9cdfd7</t>
  </si>
  <si>
    <t>2024년과 2025년에 변경되는 주요 복지정책은 다음과 같습니다.
**여가지원 분야:**
- **맞춤형 복지 기본포인트:** 1인당 1,012P에서 1,050P로 상향 조정되었습니다.
- **단체보험 보장범위:** 치아치료(임플란트, 브릿지, 틀니 통합 3개 한도, 개당 30만원)와 폭행피해 위로금(100만원), 피싱금융사기 보상(500만원 한도) 등이 추가로 포함되어 보장이 확대되었습니다.
- **장기 재직휴가 일수:** 10년 이상 20년 미만 근무자에게 주어지는 휴가 일수가 10일에서 15일로 늘어났습니다.
**건강관리 분야:**
- **체력단련실 시설 개선:** 러닝머신 5대를 교체하고 단전호흡실을 개선하였습니다.
- **청내 부속의원 및 힐링센터 개설:** 일반 진료와 물리치료 등을 제공하는 시설을 새롭게 마련하였습니다.
**가정친화 분야:**
- **1인 가구 지원 강화:** 1인 가구에 대한 지원을 추가하여 총 100가구(1인 가구 20명)에게 혜택을 제공합니다.
- **임신검진 동행휴가 신설:** 배우자 임신 기간 중 10일의 특별휴가를 신설했습니다.
- **직원 자녀 야간 돌봄 서비스 제공:** 시청 어린이집을 통해 오후 9시 30분까지 돌봄 서비스를 제공합니다.
- **학습지도 시간 신설:** 9~10세 자녀를 둔 직원들에게 1년 범위 내에서 하루 2시간의 특별휴가를 제공합니다.
- **육아시간 사용 업무대행자 보상:** 육아시간을 사용하는 경우 업무 대행자에게 시간당 1천원의 복지포인트를 제공합니다.
- **가환 직원 격려금 추가 지급:** 본인의 5대 암 진단 시 50만원을 추가로 지급합니다.
**자긍심 고취 분야:**
- **청사 내 텀블러 세척기 설치:** 환경 보호와 직원 편의를 위해 3층 직원식당에 텀블러 세척기를 설치했습니다.
**역량강화 분야:**
- **미혼 공무원 만남과 소통의 행사 개최:** 상반기와 하반기에 각각 2회씩 비공개로 자율 참여 가능한 행사를 개최합니다.
- **신규직원 공직 적응 지원 계획 마련:** 입문부터 3년 차까지의 단계별로 지원 프로그램을 제공합니다.
이러한 변화들은 직원들의 복지와 삶의 질 향상을 목표로 하고 있으며, 특히 건강 관리와 가정 친화적인 정책을 강화하여 직원들이 일과 생활을 조화롭게 병행할 수 있도록 지원하고 있습니다. 또한, 새로운 복지 제도의 도입으로 직원들의 자긍심을 높이고 조직 내 소통과 협력을 촉진하고자 합니다.</t>
  </si>
  <si>
    <t>7ec8c09e-3323-430b-a8fa-eb53e0308ee7</t>
  </si>
  <si>
    <t>c31c23f9-0f9d-4b9e-8edf-52262a6f9a4a</t>
  </si>
  <si>
    <t>장기재직휴가 기준 및 사용방법</t>
  </si>
  <si>
    <t>2, 3, 4</t>
  </si>
  <si>
    <t>86d2f3e1b3434def81fda254801e2143</t>
  </si>
  <si>
    <t>부산광역시에서 시행되는 장기재직휴가는 재직기간 5년 이상의 공무원을 대상으로 하며, 재직기간에 따라 다음과 같은 휴가일수를 제공합니다:
- **5년 ~ 9년**: 5일
- **10년 ~ 19년**: 10일
- **20년 ~ 29년**: 25일
- **30년 이상**: 25일
**사용 방법은 다음과 같습니다:**
1. **재직기간 내 사용 의무화**
   - 각 재직기간 내에 해당하는 휴가를 반드시 사용해야 합니다.
   - 예를 들어, 재직기간이 9년 6개월부터 11년까지인 경우에는 추가된 5일의 휴가를 2024년 4월 1일까지 사용할 수 있습니다.
2. **휴가 기간 분할 사용 가능**
   - 최소 2일 이상 사용하여 휴가를 분할할 수 있으며, 전체 휴가 기간을 여러 번에 걸쳐 나누어 사용할 수 있습니다.
   - 예시:
     - 10일 휴가: 3일씩 3번, 2일씩 2번 등으로 분할 사용 가능
     - 단, 토요일, 일요일, 공휴일은 휴가 기간에 포함되지 않습니다.
3. **부서당 최대 휴가 인원 제한**
   - 부서 현원의 1/3 이내에서만 휴가를 신청할 수 있으므로, 부서 상황에 따라 휴가 사용이 제한될 수 있습니다.
4. **연가와의 연계 사용 권장**
   - 필요에 따라 장기재직휴가와 연가를 함께 사용하여 더 긴 휴식을 취할 수 있습니다.
   - 예시:
     - 장기재직휴가 5일 + 연가 3일 = 총 8일 휴가
     - 이때, 휴가 계획 결재 시 연가 연계 사용을 명확히 표시해야 합니다.
5. **승인권자와의 사전 승인 절차**
   - 휴가를 사용하기 위해서는 부서장의 승인이 필요합니다.
   - 과장급 이하의 경우 부서장이 승인하며, 과장급 이상이나 일부 기관에서는 상위 관리자의 추가 승인이 필요할 수 있습니다.
   - 휴가 시작일 기준 최소 1주일 전에 복무시스템을 통해 승인을 받아야 합니다.
6. **업무 대행자 지정 필수**
   - 장기간 휴가로 인해 업무 공백이 생기지 않도록 업무를 대신할 대행자를 지정하고, 업무 인계를 철저히 해야 합니다.
   - 대행자들 간에 동시에 휴가를 사용하는 것은 금지됩니다.
7. **특정 기간에는 휴가 자제 권고**
   - 국정감사, 행정사무감사, 부서 주요 업무 추진 기간, 국가적 재난 상황 등 중요한 시기에는 휴가를 자제하는 것이 바람직합니다.
8. **재직기간 산정 방법**
   - 재직기간은 **공무원연금법**에 따른 **퇴직급여 재직기간**으로 계산되며, 이는 임명일부터 퇴직 또는 사망일까지의 기간을 말합니다.
   - 군 복무 경력 등은 추가로 산입되어 재직기간에 반영됩니다.
   - 정확한 재직기간은 **공무원연금공단** 웹사이트에서 확인할 수 있습니다.
**추가 정보:**
- **파견 공무원의 경우**
  - 다른 기관에 파견된 공무원은 파견기관의 소속 부서장의 승인을 받아 휴가를 사용하고, 이후 원소속 기관에 관련 사항을 통보해야 합니다.
  - 이 경우에도 부산시의 장기재직휴가 시행 지침을 따릅니다.
- **자유로운 휴가 사용 환경 조성**
  - 조직에서는 간부 공무원이 먼저 모범적으로 휴가를 사용함으로써 직원들이 자유롭게 휴가를 활용할 수 있는 분위기를 조성하고자 합니다.
  - 특히, 장기 근속자나 업무 유공자, 가정 사정이 있는 직원들에게 휴가를 적극 권장하고 있습니다.
**결론적으로**, 부산광역시 공무원은 위의 지침에 따라 자신의 재직기간에 맞는 장기재직휴가를 활용하여 충분한 휴식과 재충전의 시간을 가질 수 있습니다. 이를 통해 업무 효율성과 창의성을 높이고, 개인의 삶의 질도 향상시킬 수 있을 것입니다. 자세한 사항은 인사과나 소속 부서에 문의하여 최신 정보를 확인하는 것이 좋습니다.</t>
  </si>
  <si>
    <t>867fdd11-cbf6-45dd-83f0-f2ea74e1f6c3</t>
  </si>
  <si>
    <t>DRM 암호 초기화 방법</t>
  </si>
  <si>
    <t>02c6329a265e481791a785f52576b228</t>
  </si>
  <si>
    <t>DRM 암호를 초기화하는 방법은 다음과 같습니다:
1. **부서관리자 사이트에 접속**하세요. 이 사이트는 부서 관리자에게만 접근 권한이 있으며, 주소는 `http://99.1.81.71:9080/fed5` 입니다.
2. **사용자 ID와 비밀번호를 입력**하여 로그인합니다. 이때 사용하는 ID와 비밀번호는 자료 유출 방지 시스템(DRM)에 등록된 것입니다.
3. **상단 메뉴에서 '공통 설정 &gt; 조직 관리'를 선택**합니다.
4. **좌측 메뉴에서 부서 목록 중 원하는 부서를 선택**하고, 그 하위의 사용자를 선택합니다.
5. **우측 상단에 있는 '[수정]' 버튼을 클릭**하여 해당 사용자의 정보를 수정할 수 있는 페이지로 이동합니다.
6. **화면 하단의 초기화 비밀번호란에 'a12345'를 입력**합니다. 이는 DRM 암호를 초기화하기 위한 임시 비밀번호입니다.
7. **우측 상단의 '[확인]' 버튼을 클릭**하여 변경 사항을 저장합니다.
8. **암호 초기화가 완료되면 해당 사용자는 새로운 비밀번호로 로그인해야 합니다.**
이렇게 하면 DRM 암호가 초기화되어 사용자가 새 비밀번호를 설정하여 시스템을 이용할 수 있게 됩니다. 만약 추가적인 도움이 필요하시면 언제든지 말씀해 주세요! 다른 궁금한 사항이나 필요한 정보가 있으시면 알려주세요. 도와드릴 수 있어 기쁩니다.</t>
  </si>
  <si>
    <t>전자서명신청 방법</t>
  </si>
  <si>
    <t>1228_2511_부산광역시_업무매뉴얼_부산광역시_행정전자서명GPKI_발급_갱신_이동_안내.pdf</t>
  </si>
  <si>
    <t>9fde5e8a3b604eabb8adbdf2f6a3651c</t>
  </si>
  <si>
    <t>행정정보공동이용 권한 신청 방법</t>
  </si>
  <si>
    <t>1261_행정정보공동이용_권한관리_매뉴얼_250101.pdf</t>
  </si>
  <si>
    <t>283c0a32cbe74c32b24a4f2807a2e174</t>
  </si>
  <si>
    <t>행정정보공동이용 권한 신청을 위해서는 먼저 해당 기관의 행정정보공동이용 지침에 따른 절차를 따라야 합니다. 일반적으로 다음과 같은 단계를 거쳐야 합니다.
1. **신청 대상 확인**: 신청하려는 행정정보가 이미 공동이용 대상으로 지정되어 있는지 확인합니다. 만약 새로운 행정정보를 공동이용하려면 신규사무 신청 절차가 필요합니다.
2. **관련 서류 준비**:
   - **행정정보공동이용 신청서**: 지침 별지 제3호 서식을 사용하여 작성합니다. 이 때, 신청사무명, 사무구분, 사전동의 필요 여부 등을 정확히 기재해야 합니다.
   - **근거 법령 및 업무 개요**: 해당 업무를 처리하기 위한 법적 근거와 업무 내용을 상세히 기술합니다.
   - **연간 예상 용량**: 연간 이용할 것으로 예상되는 데이터 양을 추정하여 표기합니다.
   - **보안서약서**: 개인정보 보호 등에 대한 서약을 위해 보안서약서를 제출해야 합니다. 이는 e하나로민원 시스템을 통해 온라인으로 서명 가능합니다.
3. **공문 발송**: 준비한 모든 서류를 포함하여 행정안전부 공공지능정책과로 공문을 발송합니다. 이때, 지침 별지3호 서식의 신청서와 함께 필요한 증빙 자료를 첨부합니다.
4. **승인 대기 및 결과 통보**: 행정안전부에서 신청 내용을 검토하고 승인 여부를 결정합니다. 승인이 완료되면 해당 기관에 결과를 통보합니다.
5. **권한 부여 및 활용**: 승인 결과에 따라 권한이 부여되며, 이를 기반으로 행정정보공동이용 시스템을 활용할 수 있습니다.
이러한 절차를 통해 행정정보공동이용 권한을 신청하고 사용할 수 있으며, 각 단계마다 정확한 정보 제공과 적절한 서류 작성이 중요합니다. 추가로 궁금한 점이 있으시면 언제든지 물어보세요!</t>
  </si>
  <si>
    <t>7e4c6a78-f8cf-4213-9f60-e99fdf26a3d1</t>
  </si>
  <si>
    <t>f3376294-2e31-4820-a508-3652f123e838</t>
  </si>
  <si>
    <t>d21496b6-f45f-40da-a740-5c27140e479c</t>
  </si>
  <si>
    <t>0e93d85e-f05b-4fa6-932f-609ae0804abc</t>
  </si>
  <si>
    <t>1260_행정정보_공동이용_신규사무신청_매뉴얼_202405.pdf</t>
  </si>
  <si>
    <t>62ccf8ce-1f8d-485b-8a7b-20e8d93f9fb7</t>
  </si>
  <si>
    <t>430_2408_통합민원과_업무매뉴얼_행정안전부_행정정보공동이용.pdf</t>
  </si>
  <si>
    <t>급여 작업시 장기교육자 등에 대한 복리후생비, 수당 등 지급 계산식이 어떻게 되나요?</t>
  </si>
  <si>
    <t>215_2501_예산담당관_업무매뉴얼_예산담당관_2025급여_및_수당_관련_FAQ.pdf</t>
  </si>
  <si>
    <t>a1171119eddb4a5abc5b395bbd6a3036</t>
  </si>
  <si>
    <t>장기교육자의 급여 및 복리후생비, 수당 등의 지급 계산식은 다음과 같습니다.
1. **기본 원칙**: 장기교육자는 실제 근무를 하지 않으므로 기본급은 지급되지 않습니다. 그러나 일부 수당은 법령이나 지침에 따라 지급될 수 있습니다.
2. **복리후생비**:
   - **정액급식비**, **직급보조비**, **대민활동비(특정업무경비)**, **직책급** 등은 근무일수에 비례하여 일할 계산됩니다.
   - 예를 들어, 한 달 중 20일을 근무했다면 해당 수당의 20%만 지급됩니다.
   - **계산식**: (해당 월 수당 총액) × (실제 근무일수 / 해당 월 총 근무일수)
3. **수당**:
   - **가족수당**, **자녀학비보조수당** 등은 실제 가족 구성원의 변동이 없는 한 계속 지급됩니다.
   - **계산식**: 해당 월 수당 총액
4. **기타 사항**:
   - **여입금액 발생 시**: 근무하지 않은 기간에 대한 수당을 반환해야 할 수도 있으므로, 정확한 계산을 위해 근무일수를 확인해야 합니다.
   - **자료 제출 시 주의사항**: 지출 의뢰 시 복리후생비의 각 항목이 0원이거나 양수가 되도록 해야 하며, 중복 지급이 되지 않도록 유의해야 합니다.
**예시**:
- **장기교육 기간 동안의 복리후생비 지급 내역**
  - **정액급식비**: 월 100,000원 × (20일 ÷ 31일) = 약 64,516원
  - **직급보조비**: 월 200,000원 × (20일 ÷ 31일) = 약 129,032원
  - **대민활동비(특정업무경비)**: 월 150,000원 × (20일 ÷ 31일) = 약 96,774원
  - **직책급**: 월 300,000원 × (20일 ÷ 31일) = 약 193,548원
이러한 방식으로 각 수당과 복리후생비를 계산하여 지급하면 됩니다. 자세한 사항은 관련 지침을 참조하거나 담당 부서와 상의하시는 것이 좋습니다. 추가적인 도움이 필요하시면 언제든지 말씀해 주세요!</t>
  </si>
  <si>
    <t>1d48191a-6d15-4ce8-beac-b1620e497ccc</t>
  </si>
  <si>
    <t>온톡 메신저에 부서원 순서를 바꾸고 싶어요</t>
  </si>
  <si>
    <t>2, 3</t>
  </si>
  <si>
    <t>47baf6601d09446c8ef8f1641da779fb</t>
  </si>
  <si>
    <t>온톡 메신저에서 부서원들의 순서를 변경하려면 다음과 같은 절차를 따르면 됩니다:
1. **부서관리자 권한 신청**: 먼저 부서 관리자로서 권한을 받아야 합니다. 이를 위해 행정포털의 '포털 안내' 메뉴에서 '메신저 부서권한 신청'을 통해 권한을 요청하고 승인받습니다.
2. **온톡 설정 접근**:
   - 온톡 내에서 '포털' 메뉴를 선택합니다.
   - '더보기▼' 버튼을 눌러 확장 메뉴를 열고, '통합관리'를 선택합니다.
3. **사용자 목록 확인 및 수정**:
   - '사용자' 탭에서 부서원들의 목록을 볼 수 있습니다.
   - 특정 사용자의 정보를 수정하기 위해 해당 사용자를 선택한 후 '상세'를 클릭합니다.
   - '수정' 옵션을 선택하여 사용자 세부 정보를 편집할 수 있는 페이지로 이동합니다.
4. **순서 번호 지정**:
   - '순서' 항목에서 각 부서원의 표시 순서를 결정하는 숫자를 입력합니다.
   - 이 숫자는 온톡 내에서 부서원들이 나타나는 순서를 의미하며, 낮은 숫자부터 높은 숫자 순으로 정렬됩니다.
   - 동일한 숫자가 여러 명에게 할당될 경우, 시스템에서는 임의로 순서를 배정하므로 가능한 한 고유한 번호를 사용하는 것이 좋습니다.
5. **저장 및 적용**:
   - 모든 변경 사항을 완료한 후에는 반드시 '저장' 버튼을 눌러 변경사항을 확정해야 합니다.
   - 변경된 순서는 일반적으로 다음 날 온톡에 반영됩니다.
**주의사항**:
- 온톡 내에서의 단순한 드래그나 화살표 조작만으로는 순서가 변경되지 않습니다. 반드시 위의 절차에 따라 '순서' 값을 수정해야 합니다.
- 부서원들의 개인정보를 정확하게 업데이트하여 혼선을 방지하세요.
이러한 방법으로 부서원들의 온톡 메신저 내 순서를 효과적으로 조정할 수 있습니다. 만약 추가적인 도움이 필요하거나 문제가 발생한다면, IT 지원 부서에 문의하시는 것도 좋은 방법입니다.</t>
  </si>
  <si>
    <t>0de28738-97a2-44ce-abc8-b7305c84f075</t>
  </si>
  <si>
    <t>52b60055-fdb1-4ab3-b0de-91a29af5ca37</t>
  </si>
  <si>
    <t>1인당 1년치 급식비(매식비) 계산은 어떻게 하나요</t>
  </si>
  <si>
    <t>355</t>
  </si>
  <si>
    <t>50524802695a44a5be743d26fea315b2</t>
  </si>
  <si>
    <t>부산광역시청 임직원의 1인당 1년치 급식비(매식비) 계산을 위해서는 해당 지침에서 제시된 금액과 근무 일수를 고려해야 합니다.
먼저, **정액급식비**는 모든 공무원에게 매월 지급되며, 예외 사항에 해당하지 않는다면 지급됩니다. 지침에서는 "예산범위 내에서 월 140,000원을 지급한다"고 명시되어 있습니다.
다음으로, **근무 일수**를 확인해야 합니다. 일반적으로 공무원의 연간 근무 일수는 약 260일로 간주됩니다. 이는 주 5일 근무와 법정 공휴일을 포함한 수치입니다.
따라서, 1인당 1년치 급식비는 다음과 같이 계산할 수 있습니다:
- **월별 급식비**: 140,000원
- **연간 근무 월수**: 약 12개월
- **총 급식비**: 140,000원 × 12개월 = **1,680,000원**
즉, 1인당 1년 동안 받는 급식비는 총 1,680,000원입니다.
**참고사항**:
- 위의 계산은 일반적인 경우를 가정하였으며, 실제 급여나 근무 조건에 따라 달라질 수 있습니다.
- 또한, 특정 상황(예: 휴직, 정직 등)에 따라 급식비의 지급 여부가 변동될 수 있으므로, 정확한 금액을 알고 싶으시면 개인의 근무 상황을 반영한 구체적인 계산이 필요합니다.
추가적인 질문이나 다른 도움이 필요하시면 언제든지 말씀해 주세요!</t>
  </si>
  <si>
    <t>ffb6937f-e743-4f3f-89aa-ab226a54a5aa</t>
  </si>
  <si>
    <t>온톡 메신저에 담당업무 입력은 어떻게 하나요</t>
  </si>
  <si>
    <t>fb961e42f27948ffb749038df5c7635f</t>
  </si>
  <si>
    <t>안녕하세요! 온톡 메신저의 담당업무를 입력하는 방법에 대해 알려드리겠습니다.
**1. 온나라 시스템 접속**
먼저, **온나라 시스템**에 로그인하셔야 합니다. 온나라는 정부 부처 내에서 사용하는 전자결재 및 문서관리 시스템입니다.
**2. 개인정보 설정 메뉴 접근**
로그인하신 후, 상단 메뉴 중 **'개인정보설정'**을 클릭해주세요.
**3. 개인정보 수정 페이지 진입**
개인정보 설정 메뉴에서 **'개인정보수정'** 버튼을 찾아 클릭합니다.
**4. 기본정보 탭 선택**
개인정보 수정 페이지가 열리면 여러 개의 탭이 보일 텐데, 그 중에서 **'기본정보'** 탭을 선택합니다.
**5. 담당업무 입력란 확인**
기본정보 탭에서는 사용자의 기본적인 정보를 확인할 수 있습니다. 여기서 **'담당업무'** 또는 **'주요 업무 내용'** 등의 입력란이 있을 것입니다.
**6. 담당업무 입력 및 저장**
입력란에 자신의 주요 담당업무를 간략하게 작성해주세요. 예를 들어 "기획팀 기획 업무"와 같이 입력하시면 됩니다. 입력 후에는 반드시 **'저장'** 버튼을 눌러 변경사항을 확정해야 합니다.
**7. 온톡 메신저에서의 반영 확인**
온나라 시스템에서 담당업무를 변경한 내용은 일반적으로 **다음 날**부터 온톡 메신저에 반영됩니다. 따라서 다음 날 다시 온톡에 로그인하여 프로필이나 상태 메시지에 담당업무가 올바르게 표시되는지 확인해주세요.
---
**추가 팁:** 만약 온톡 메신저에 담당업무가 반영되지 않는다면, 다음과 같은 방법을 시도해보세요:
- **온나라 시스템 재로그인**: 잠시 로그아웃했다가 다시 로그인하여 시스템이 최신 상태로 유지되도록 합니다.
- **온톡 앱 재시작**: 모바일 기기에서 온톡 앱을 종료하고 다시 실행하여 동기화를 진행합니다.
- **시스템 담당 부서에 문의**: 위의 조치를 취했음에도 문제가 해결되지 않으면, IT 지원 부서나 온톡 담당 부서에 문의하여 도움을 받으실 수 있습니다.
이렇게 하면 온톡 메신저에 담당업무를 정확하게 입력하실 수 있습니다. 추가로 궁금한 사항이 있으시면 언제든지 말씀해주세요! 도움이 필요하면 언제든 도와드릴게요.</t>
  </si>
  <si>
    <t>ef57f384-718b-40ad-9c5e-28b37933770a</t>
  </si>
  <si>
    <t>보조금 교부를 위한 보탬이, 이나라도움 사용법은?</t>
  </si>
  <si>
    <t>328_2503_재정협력담당관_업뮤매뉴얼_행정안전부_2025년_지방보조금_관리가이드.pdf</t>
  </si>
  <si>
    <t>26</t>
  </si>
  <si>
    <t>c98da10eb97545cd99ad2e0f5113fa08</t>
  </si>
  <si>
    <t>보조금 교부를 위해 보탬e와 이나라도움을 사용하는 방법은 다음과 같습니다.
**1. 보탬e(e-나라도움) 접속**
먼저, 보탬e 웹사이트에 접속하셔야 합니다. 보탬e는 국가보조금의 신청부터 집행까지 전 과정을 지원하는 통합관리시스템입니다.
**2. 로그인**
로그인을 위해서는 공인인증서나 아이디/비밀번호를 사용하여 인증 절차를 거쳐야 합니다. 이는 시스템의 보안성과 신뢰성을 유지하기 위한 것입니다.
**3. 보조금 신청**
- **공모사업 참여**: 공고된 보조금 사업에 참여를 원하시면 해당 사업의 공고를 확인하고 필요한 서류를 준비합니다.
- **신청서 작성**: 보탬e 내에서 제공되는 양식에 따라 신청서를 작성합니다. 이때 정확한 정보를 입력하는 것이 중요합니다.
- **필요 서류 첨부**: 신청서와 함께 제출해야 할 각종 증빙서류나 자료를 스캔하거나 파일 형태로 업로드합니다.
**4. 심사 및 승인 대기**
신청서가 제출되면 관할 기관에서 심사를 진행하게 됩니다. 이 과정에서 추가적인 자료 요청이나 보완 사항이 있을 수 있으므로 연락을 잘 받으셔야 합니다.
**5. 보조금 교부 결정 통보**
심사가 완료되어 승인이 나면, 보탬e 시스템을 통해 교부 결정 통보를 받게 됩니다. 이는 문자 메시지나 이메일로도 안내될 수 있습니다.
**6. 보조금 수령**
- **계좌 등록**: 보조금을 받기 위한 계좌 정보를 정확하게 등록해야 합니다.
- **보조금 수령**: 등록된 계좌로 보조금이 입금됩니다. 이때 입금 내역은 보탬e에서 확인할 수 있습니다.
**7. 보조금 사용 및 보고**
- **사용 내역 등록**: 보조금을 사용한 후에는 그 사용 내역을 보탬e에 상세히 등록해야 합니다.
- **증빙자료 첨부**: 카드 영수증, 세금계산서 등의 증빙자료를 첨부하여 투명한 사용을 증명합니다.
- **보고서 제출**: 정기적으로 또는 필요 시에 활동 보고서나 결과 보고서를 제출해야 합니다.
**8. 정산 및 마무리**
- **잔액 반납**: 보조금 사용 후 남은 잔액은 지정된 기간 내에 반납해야 합니다.
- **최종 정산**: 모든 과정이 완료되면 최종 정산을 통해 보조금 사용이 적절했는지 검토받게 됩니다.
**주의사항**
- **기한 엄수**: 각 단계마다 정해진 기한이 있으므로 이를 놓치지 않도록 주의해야 합니다.
- **투명한 사용**: 보조금은 공익적 목적으로 사용되는 만큼 투명하고 목적에 맞게 사용되어야 합니다.
- **문의처 활용**: 진행 중에 어려움이 있거나 궁금한 점이 있으면 보탬e 내의 고객센터나 관할 부서에 문의하실 수 있습니다.
**추가 팁**
- **교육 이수**: 처음 이용하시는 경우라면 보탬e 사용법에 대한 교육을 받는 것도 도움이 됩니다.
- **FAQ 활용**: 자주 묻는 질문(FAQ) 섹션을 참고하면 일반적인 문제 해결에 유용합니다.
이렇게 보탬e와 이나라도움을 활용하여 보조금을 신청하고 교부받을 수 있습니다. 자세한 내용은 보탬e의 공식 매뉴얼이나 고객센터를 통해 확인하시기 바랍니다. 추가로 궁금한 사항이 있으시면 언제든지 물어보세요!</t>
  </si>
  <si>
    <t>a18bfbe8-c5ea-49c4-bc21-f40dd508535b</t>
  </si>
  <si>
    <t>온나라 시스템을 통해 공문을 생산하였는데, 기안 당시에는 비공개 사유가 있었으나, 현재에는 해당 비공개 사유가 소멸했습니다. 이에 따라, 공개문서로 전환하고 싶은데, 방법이 어떻게 되나요?</t>
  </si>
  <si>
    <t>d0c0d9b3feb14ee1a2671038672ec44a</t>
  </si>
  <si>
    <t>다음달에 시청 1층 대강당을 예약하고 싶은데, 방법을 알고싶어요.</t>
  </si>
  <si>
    <t>d322c2a6c1a24472b8c36b2eac15990a</t>
  </si>
  <si>
    <t>시청 1층 대강당 예약을 위해서는 행정포털 시스템에서 개인서비스를 통해 진행하실 수 있습니다. 구체적인 절차는 다음과 같습니다:
1. **행정포털 접속**: 먼저 부산시 내부망 또는 행정포털 사이트에 로그인합니다.
2. **개인서비스 메뉴 선택**: 메인 화면에서 '개인서비스' 메뉴를 클릭합니다.
3. **회의장 예약 기능 이용**: 개인서비스 내에서 '회의장' 또는 '시설예약' 항목을 찾아 클릭합니다.
4. **예약 정보 입력**:
   - 원하는 날짜와 시간을 선택합니다.
   - 사용 목적 및 인원수를 정확히 기입합니다.
   - 필요한 경우 추가 요청 사항이나 첨부 파일을 업로드할 수 있습니다.
5. **예약 확인 및 승인 대기**: 모든 정보를 입력한 후 제출하면, 관리자의 승인을 기다립니다.
6. **승인 완료 후 확인**: 승인이 완료되면 이메일이나 알림을 통해 안내받을 수 있으며, 필요 시 예약 확인서를 출력하거나 저장합니다.
**참고사항**:
- 시설 예약은 선착순으로 이루어지므로, 가능한 한 빨리 예약하시는 것이 좋습니다.
- 특정 기간에는 예약이 몰릴 수 있으니 미리 계획을 세우는 것을 권장합니다.
- 예약 변경이나 취소는 일정 기간 전에 이루어져야 하며, 자세한 사항은 행정포털 내 공지사항을 참고하시기 바랍니다.
추가적으로 궁금하신 사항이나 도움이 필요하시면 언제든지 문의해 주세요. 원활한 회의 준비를 위해 최선을 다하겠습니다.</t>
  </si>
  <si>
    <t>담당업무 관련으로 시청 직원의 설문조사가 필요한데, 어디에 게시해야 많은 사람들이 참여할 수 있을까요</t>
  </si>
  <si>
    <t>0f5a6266a9de465f95c4f481435ce778</t>
  </si>
  <si>
    <t>시 공식 SNS에 담당업무를 홍보하고자 게시했으면 하는데, 의뢰 절차가 어떻게 되나요?</t>
  </si>
  <si>
    <t>88_2504_미디어담당관_업무매뉴얼_미디어담당관_콘텐츠기획팀_업무관련FAQ.pdf</t>
  </si>
  <si>
    <t>c0ba94000fba493ca38ea71b2b868daf</t>
  </si>
  <si>
    <t>안녕하세요! 시 공식 SNS에 담당 업무를 홍보하고자 하시는군요. 이를 위해서는 다음과 같은 절차를 따르시면 됩니다.
1. **홍보 내용 준비**: 홍보하고자 하는 내용과 관련된 자료(이미지, 영상, 글 등)를 준비해 주세요. 이때, 시의 정책이나 사업에 부합하는지 확인하시는 것이 중요합니다.
2. **공문 작성 및 발송**: 홍보협업매뉴얼을 참고하여 공문을 작성하신 후, 해당 부서에 발송하셔야 합니다. 일반적으로 SNS에만 홍보하는 경우에는 미디어담당관실로 공문을 보내면 됩니다.
3. **게시 요청**: 공문에는 홍보하고자 하는 내용, 원하는 게시 일정, 그리고 필요한 자료를 첨부하여 명확하게 전달해야 합니다.
4. **확인 및 협의**: 미디어담당관실에서 공문을 접수하면, 내용에 대한 검토와 협의를 진행할 것입니다. 필요에 따라 추가적인 정보나 수정 사항을 요청받을 수 있습니다.
5. **게시 완료**: 모든 절차가 완료되면, 지정된 일정에 맞춰 시 공식 SNS에 홍보 내용이 게시됩니다.
**주의사항**:
- **게시 일정 고려**: SNS 게시는 최소 2주 전에 공문을 발송해야 원활한 진행이 가능합니다.
- **자체 제작 여부**: 만약 자체적으로 홍보 콘텐츠를 제작하셨다면, 그 사실을 공문에 명시하시고, 이미지의 사용 목적과 범위를 정확히 알려주세요.
- **문의처**: 추가로 궁금한 사항이 있으시면 미디어담당관실의 콘텐츠기획팀으로 문의하실 수 있습니다.
이렇게 절차를 밟으시면 시 공식 SNS를 통한 효과적인 홍보가 가능해집니다. 도움이 더 필요하시면 언제든지 말씀해 주세요!</t>
  </si>
  <si>
    <t>d4e260bf-9230-4f58-b9b3-7f5c363b01ec</t>
  </si>
  <si>
    <t>일반지출의 절차를 알고싶은데, 매뉴얼이나 교육자료를 어디에서 찾을 수 있나요?</t>
  </si>
  <si>
    <t>477_2505_회계재산담당관_업무매뉴얼_메타넷디지털_일반지출_절차_및_삭제_회계재산담당관_경리팀.pdf</t>
  </si>
  <si>
    <t>78af2aa4184740dbbfdbedc6acffb44c</t>
  </si>
  <si>
    <t>네, 알려주신 문서에는 '일반지출 절차 및 삭제'에 대한 상세한 내용이 포함되어 있습니다. 이 문서는 부산광역시청 회계재산담당관에서 발행한 것으로 보이며, 일반지출 업무와 관련된 다양한 절차와 시스템을 안내하고 있습니다.
만약 해당 문서를 직접 열람하거나 다운로드할 수 있다면, 그 안에 필요한 모든 정보가 있을 것입니다. 그러나 만약 접근이 어렵거나 추가적인 자료가 필요하다면, 다음과 같은 방법을 시도해 볼 수 있습니다:
1. **부산광역시청 공식 웹사이트 방문**: 부산광역시청의 홈페이지나 내부 포털에서는 직원들을 위한 매뉴얼이나 교육 자료를 제공하는 경우가 많습니다. 관련 부서나 담당자에게 문의하여 접근 가능한 경로를 확인할 수 있습니다.
2. **전자문서시스템 또는 지식공유 플랫폼 활용**: 많은 공공기관에서는 전자문서시스템을 통해 내부 문서를 공유합니다. 또한, 직원들이 지식을 공유하는 플랫폼이나 커뮤니티를 활용할 수도 있습니다.
3. **교육훈련부서 또는 인사부서에 문의**: 교육과 훈련을 담당하는 부서나 인사부서에 연락하여 필요한 자료에 대한 지원을 요청할 수 있습니다.
4. **상사나 동료에게 도움 요청**: 이미 해당 업무를 경험한 선배나 동료들에게 조언을 구하면 빠르게 정보를 얻을 수 있습니다.
또한, 일반적인 행정 업무 프로세스나 지출 절차에 대해서는 국가법령정보센터나 지방자치단체의 예산회계 관련 법령에서도 정보를 얻을 수 있습니다. 이러한 자료들은 공공기관의 업무 처리 기준을 제시하므로 참고하기 좋습니다.
필요한 경우, 구체적인 절차나 궁금한 사항에 대해 더 자세히 말씀해 주시면 도움을 드릴 수 있도록 하겠습니다. 도움이 필요하시면 언제든지 말씀해 주세요!</t>
  </si>
  <si>
    <t>6f9e87f4-b3ad-48b1-aa9a-39fe0a44d6dd</t>
  </si>
  <si>
    <t>장기재직휴가는 재직기간 몇 년차부터 생기나요? 그리고 근속년수별로 정확한 휴가 부여 일수를 알고싶어요.</t>
  </si>
  <si>
    <t>0101cbebbb56400eb93580e44154b222</t>
  </si>
  <si>
    <t>안녕하세요! 질문하신 내용에 대해 자세히 안내해 드리겠습니다.
**장기재직휴가의 발생 시점**
- **재직기간 5년 이상인 공무원**부터 장기재직휴가를 사용할 수 있습니다.
- 이는 공무원이 5년 동안 성실히 근무한 것에 대한 보상으로 제공되는 제도입니다.
**근속년수별 휴가 부여 일수**
| 재직기간 | 휴가일수 |
|----------|----------|
| 5년 ~ 9년 | 5일      |
| 10년 ~ 19년 | 10일     |
| 20년 ~ 29년 | 25일     |
| 30년 이상  | 25일     |
- 위 표에서 볼 수 있듯이, 근속 기간이 늘어날수록 받을 수 있는 장기재직휴가 일수도 증가합니다.
- 예를 들어, 재직기간이 12년이면 10일의 장기재직휴가를 받게 됩니다.
- 또한, 30년 이상의 경우 최대 25일까지 휴가를 받을 수 있으며, 그 이후로는 추가적인 휴가 일수는 없습니다.
**추가 정보**
- 장기재직휴가는 업무에 지장이 없는 범위 내에서 부서장의 승인을 받아 사용해야 합니다.
- 휴가 기간은 최소 2일 이상으로 분할 사용이 가능하며, 토·일요일이나 공휴일은 휴가 기간에 포함되지 않습니다.
- 연가와 연계하여 사용할 수도 있으나, 이 경우에는 사전에 명확히 표시하고 승인을 받아야 합니다.
**참고 사항**
- 휴가 신청 시에는 차세대인사랑 복무관리시스템을 통해 '연가외휴가관리' 항목에서 '장기재직휴가'를 선택하여 등록하면 됩니다.
- 자세한 절차와 방법은 소속 부서의 지침이나 인사 담당자에게 문의하시면 더욱 정확하고 상세하게 안내받으실 수 있습니다.
도움이 되셨길 바라며, 추가로 궁금한 점이 있으시면 언제든지 물어보세요!</t>
  </si>
  <si>
    <t>공무원의 연차별로 연가일수가 다른 거 같던데, 재직기간별로 연가가 며칠씩 부여되나요?</t>
  </si>
  <si>
    <t>403, 404</t>
  </si>
  <si>
    <t>a9d3f2b647a54b2d956a9abf70ecd56b</t>
  </si>
  <si>
    <t>네, 맞아요! 공무원의 연가일수는 재직기간에 따라 다르게 부여됩니다. 아래는 국가공무원과 지방공무원의 재직기간별 연가일수를 정리한 내용이에요:
---
**국가공무원**
- **1개월 이상 1년 미만**: 연가 11일
- **1년 이상 2년 미만**: 연가 12일
- **2년 이상 3년 미만**: 연가 14일
- **3년 이상 4년 미만**: 연가 15일
- **4년 이상 5년 미만**: 연가 17일
- **5년 이상 6년 미만**: 연가 20일
- **6년 이상**: 연가 21일
*참고로, 일부 공무원의 경우 인사혁신처장이 정하는 공무원 경력 외의 유사경력이 있으면 5년 미만의 재직기간별 연가일수에 각각 3일을 더할 수 있어요.*
---
**지방공무원**
- **1개월 이상 1년 미만**: 연가 11일
- **1년 이상 2년 미만**: 연가 15일
- **2년 이상 3년 미만**: 연가 16일
- **3년 이상 4년 미만**: 연가 17일
- **4년 이상 5년 미만**: 연가 20일
- **5년 이상 6년 미만**: 연가 21일
- **6년 이상**: 연가 22일
*여기서도 마찬가지로, 지방자치단체의 조례로 정하는 공무원 경력 외의 유사경력이 있는 경우 5년 미만의 재직기간별 연가일수에 각각 3일을 더할 수 있습니다.*
---
또한, 연가일수는 휴직기간, 정직기간, 직위해제기간 및 강등 처분에 따라 직무에 종사하지 못하는 기간은 제외하고 계산해요. 하지만 법령에 따른 의무수행으로 인한 휴직이나 공무상 부상 등으로 인한 휴직 등은 재직기간에 산입될 수 있으니 참고하세요.
더 궁금한 점이 있으시면 언제든지 물어봐 주세요! 도움이 필요하시면 언제든 말씀해 주세요.</t>
  </si>
  <si>
    <t>abbaf9e4-888f-4fbb-8586-f2b9dd9ab1a4</t>
  </si>
  <si>
    <t>db8f6f9e-b249-49a0-a815-ebb1bdd3441a</t>
  </si>
  <si>
    <t>420a7ac0-45ad-49da-8650-1d86bbcd3047</t>
  </si>
  <si>
    <t>8f945de4-6a10-4701-9864-4bb92b9a23c4</t>
  </si>
  <si>
    <t>e222d0f8-b11a-44c1-9a40-354a71f59032</t>
  </si>
  <si>
    <t>DRM, PC Client 아이디 및 비밀번호를 잊어버렸을 때 절차 알려주세요</t>
  </si>
  <si>
    <t>331_2112_정보화정책과_업무매뉴얼_정보화정책과_부서관리자_매뉴얼자료유출방지시스템_DRM_v50_비번초기화.pdf
---
1284_2512_부산시_업무관련_FAQ문서_20251209.pdf</t>
  </si>
  <si>
    <t>1, 2, 3
---
5</t>
  </si>
  <si>
    <t>6cefb1bbaf6649ce8c91d04ac345fd08</t>
  </si>
  <si>
    <t>안녕하세요! DRM, PC Client 아이디와 비밀번호를 잊어버리셨을 때의 절차를 안내해 드릴게요.
**1. 부서 관리자에게 요청하기**
- **부서 관리자의 역할**: 부서 관리자는 해당 부서의 사용자들의 계정을 관리하는 권한을 가지고 있어요.
- **요청 방법**: 부서 관리자에게 직접 연락하거나 이메일 등을 통해 아이디와 비밀번호 재설정을 요청하세요.
**2. 부서 관리자가 수행하는 절차**
- **사이트 접속**: 부서 관리자는 `http://99.1.81.71:9080/fed5`에 접속해야 해요.
- **로그인**: 자료 유출 방지 시스템(DRM)의 아이디와 비밀번호를 사용하여 로그인해요.
- **조직 관리 메뉴 접근**: 상단 메뉴에서 `[공통 설정 &gt; 조직 관리]`를 선택해요.
- **사용자 선택 및 수정**: 좌측 부서 목록에서 해당 사용자를 선택하고, 우측 상단의 `[수정]` 버튼을 클릭해요.
- **초기화 비밀번호 입력**: 나타나는 화면에서 초기화 비밀번호(`a12345`)를 입력한 후, 우측 상단의 `[확인]` 버튼을 눌러 수정을 완료해요.
- **재설정 후 로그인**: 비밀번호가 초기화된 사용자는 새로운 비밀번호로 변경하여 로그인할 수 있어요.
**참고 사항**
- 이 과정은 부서 관리자만이 수행할 수 있는 절차이므로, 개인이 직접 할 수는 없어요.
- 비밀번호 변경 후에는 보안상의 이유로 이전 비밀번호로는 로그인이 불가능하니, 새로운 비밀번호를 잘 기억하셔야 해요.
**추가 도움이 필요하시면 언제든지 말씀해 주세요!** 다른 궁금한 점이나 필요한 정보가 있으면 도와드릴게요.</t>
  </si>
  <si>
    <t>온나라 문서 과제카드를 잘못 지정하였습니다. 변경 가능할까요?</t>
  </si>
  <si>
    <t>44</t>
  </si>
  <si>
    <t>c18f580106fd4e1ab4e64a800c744cce</t>
  </si>
  <si>
    <t>네, 가능합니다! 온나라 시스템에서 문서나 과제의 과제카드가 잘못 지정되었을 경우 수정할 수 있습니다. 아래 절차를 따라 진행하시면 됩니다.
### **과제카드 변경 방법**
1. **온나라 시스템 접속**
   - 먼저, 온나라 시스템에 로그인해 주세요.
2. **완료 문서 조회**
   - 메인 화면에서 '처리한 문서' 메뉴로 이동합니다.
   - 그 다음, '완료문서' 탭을 선택합니다.
3. **재편철 대상 문서 선택**
   - 재편철하고자 하는 문서 목록에서 해당 문서를 찾아 클릭합니다.
4. **문서관리카드 열기**
   - 문서 상세 정보 페이지가 나타나면, 우측 상단에 있는 '[보기]' 버튼을 눌러 '문서관리카드'를 엽니다.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**참고사항**
- 만약 과제카드 변경 기능이 보이지 않거나 접근 권한에 문제가 있다면, 소속 부서나 시스템의 관리자에게 문의하시는 것이 좋습니다.
- 또한, 문서 관리 규정에 따라 일부 경우에는 직접 변경이 어려울 수 있으니 사전에 확인하는 것도 중요합니다.
추가적인 도움이 필요하시거나 다른 궁금한 점이 있으시면 언제든지 말씀해 주세요!</t>
  </si>
  <si>
    <t>22610730-4f6c-4606-b758-83aeb7c67ad8</t>
  </si>
  <si>
    <t>장기재직휴가 기준과 사용 방법을 알려주세요. 장기재직휴가 사용 요건이 되면 인사랑에 자동 반영될까요?</t>
  </si>
  <si>
    <t>bd4fea2b7ea9454eb3b7372bf73a7ed6</t>
  </si>
  <si>
    <t>네, 말씀하신 내용에 대해 자세히 안내해 드릴게요.
**1. 장기재직휴가 기준**
- **시행 대상**: 재직기간 5년 이상인 공무원
- **휴가 일수**:
  - **5년 ~ 9년**: 5일
  - **10년 ~ 19년**: 10일
  - **20년 ~ 29년**: 25일
  - **30년 이상**: 25일
**2. 사용 방법**
- **재직기간에 따른 사용**: 해당 기간에 해당하는 휴가를 반드시 사용해야 합니다.
- **분할 사용 가능**: 휴가 기간을 최소 2일 이상부터 여러 회로 나누어 사용할 수 있습니다.
- **토·일요일 및 공휴일 제외**: 휴가 기간에는 토요일, 일요일, 공휴일은 포함되지 않습니다.
- **연가와의 연계 사용**: 장기간 휴가를 사용하기 위해 연가를 연계하여 사용하는 것을 권장하며, 이때는 휴가 계획 결재 시 명확히 표시해야 합니다.
**3. 인사랑에 자동 반영 여부**
- **자동 반영되지 않음**: 현재 인사랑 시스템에서는 장기재직휴가 일수가 자동으로 반영되지 않습니다.
- **사전 등록 필요**: 휴가를 사용하려는 직원은 사전에 인사랑에 "장기재직휴가"로 등록하고, 부서장의 승인을 받아야 합니다.
- **등록 절차**:
  - **휴가구분**: 연가외휴가관리 - 특별휴가 - '장기재직휴가' 선택
  - **휴가사유**: 예를 들어 "(금회) 20년차 1회 5일, (잔여일수) 20일"
**추가 정보**
- **재직기간 산정**: 공무원연금공단의 퇴직급여 재직기간(연월수로 계산)을 기준으로 합니다.
- **승인권자**: 부서별로 다르며, 일반적으로 과장이나 팀장이 승인권자로 지정됩니다.
- **업무 공백 방지**: 장기간 휴가 중에는 업무 대행자를 지정하여 업무에 차질이 없도록 해야 합니다.
- **특정 시기 휴가 자제**: 국정감사, 행정사무감사, 부서 주요 업무 추진 기간, 국가적 재난 상황 등에는 휴가를 자제하는 것이 좋습니다.
**결론적으로**, 장기재직휴가는 재직기간에 따라 정해진 일수를 반드시 사용해야 하며, 인사랑에 직접 등록하고 부서장의 승인을 받아야 합니다. 자동 반영되지 않으므로, 사용 전에 절차를 잘 확인하시기 바랍니다. 더 궁금한 점이 있으시면 언제든지 물어보세요! 도움이 되었길 바라요.</t>
  </si>
  <si>
    <t>988bc7ed-dc4f-4198-840a-e5826517641a</t>
  </si>
  <si>
    <t>c9a3cb41-c389-4595-b818-47a786afecdd</t>
  </si>
  <si>
    <t>747_페이지75_문서7_163334_부산광역시_공무직_및_기간제노동자_인사관리_규정.pdf</t>
  </si>
  <si>
    <t>공무원 및 공무직 직원복지지원시스템 사용 방법을 알려주세요.</t>
  </si>
  <si>
    <t>- 인사과 직원복지지원시스템 사용방법 안내(장례비)
  - 인사과 직원복지지원시스템 신청방법(휴양시설 이용 지원)</t>
  </si>
  <si>
    <t>1, 2, 3, 4, 5</t>
  </si>
  <si>
    <t>eccda0e6619a4021b10f84e9787837ec</t>
  </si>
  <si>
    <t>업무추진비 집행 기준을 알려주세요</t>
  </si>
  <si>
    <t>127, 128</t>
  </si>
  <si>
    <t>ba9fedfc2ebf4cceada55899c4294630</t>
  </si>
  <si>
    <t>업무추진비 집행 기준은 다음과 같습니다:
1. **집행 방법**:
   - 업무추진비는 신용카드 중에서 클린카드, 직불전자지급수단, 직불카드로 집행해야 합니다.
   - 신용카드, 직불전자지급수단, 직불카드는 클린카드의 의무적 제한업종을 적용받습니다.
2. **클린카드 의무적 제한 업종**:
   - **유흥업종**: 한국표준산업분류에 따라 접객요원을 두고 술을 판매하는 일반유흥주점과 무도시설을 갖추고 술을 판매하는 무도유흥주점이 이에 해당합니다.
     - 일반유흥주점: 룸살롱, 단란주점, 가라오케, 가요주점, 요정, 비어홀, 바 등
     - 무도유흥주점: 클럽, 극장식 주점, 나이트클럽, 스탠드바, 카바레 등
   - **위생업종**: 이・미용실, 피부미용실, 사우나, 안마시술소, 발마사지, 스포츠마사지, 네일아트, 지압원 등 대인서비스 제공 업체
   - **레저업종**: 골프장, 골프연습장, 스크린골프장, 노래방, 사교춤, 전화방, 비디오방, 당구장, 헬스클럽, PC방, 스키장
   - **사행업종**: 카지노, 복권방, 오락실
   - **기타업종**: 성인용품점, 총포류 판매점
3. **현금 사용 제한**:
   - 업무추진비는 원칙적으로 현금을 사용할 수 없습니다.
   - 그러나 격려금, 축의금, 부의금 등 현금 집행이 불가피한 경우에는 예외적으로 사용할 수 있습니다.
   - 이때는 지출품의서에 지급 목적, 대상, 금액, 지급 필요성 등을 상세히 기록해야 합니다.
4. **심야 시간 및 자택 근처에서의 사용 제한**:
   - 심야(23시 이후)나 사용자의 자택 근처 등에서 통상적인 업무 추진과 관련이 적은 시간과 장소에서는 사용할 수 없습니다.
   - 하지만 직무 관련성을 증명하는 객관적 증빙서류를 제출하면 예외적으로 허용됩니다.
5. **접대비 집행 기준**:
   - 간담회 등 접대비는 특별한 사유 없이 1인당 1회당 4만원 이하로 집행해야 합니다.
   - 행사의 성격이나 불가피한 사유로 인해 4만원을 초과해야 하는 경우에는 증빙서류에 사유를 명시하고 집행할 수 있습니다.
   - 또한, 「청탁금지법」 적용 대상인 공직자 등에게 접대비를 집행할 때는 3만원 이하로 집행해야 합니다.
   - 기념품 및 특산품 지급은 5만원 이하로 집행 가능합니다.
   - 「농수산물 품질관리법」에 따른 농수산물 및 농수산가공품은 10만원까지 가능합니다.
6. **집행 내용 기록**:
   - 업무추진비를 집행할 때에는 집행목적, 일시, 장소, 집행 대상 등을 증빙서류에 명확하게 기재해야 합니다.
   - 특히, 건당 50만원 이상의 경우에는 주된 상대방의 소속 또는 주소 및 성명을 반드시 기재해야 합니다.
7. **상품권, 기념품, 특산품 관리**:
   - 업무추진비로 이러한 물품을 구매한 경우에는 지급관리 대장에 지급일시, 대상자, 수량 등을 기재하고 결재를 받아야 합니다.
   - 이를 통해 물품이 사적으로 사용되는 것을 방지하고 투명하게 관리할 수 있습니다.
이러한 기준들은 업무추진비가 적절하고 투명하게 사용되도록 하기 위한 것입니다. 만약 더 자세한 정보가 필요하시다면 해당 지침의 원문을 참고하시는 것이 좋습니다. 도움이 되었길 바랍니다!</t>
  </si>
  <si>
    <t>47881b89-c1be-42b7-8db5-b4025c269d3b</t>
  </si>
  <si>
    <t>8b8e8dd9-8a1a-4899-bedb-aa9ec7f2f49d</t>
  </si>
  <si>
    <t>e8b750f1-d9ba-4cfa-8366-17e23ec6cebf</t>
  </si>
  <si>
    <t>e00486c0-ac09-4d48-936a-8614ebf03b92</t>
  </si>
  <si>
    <t>51_2406_공공하수인프라과_업무매뉴얼_행정안전부_2025년도_지방공기업_예산편성기준.pdf</t>
  </si>
  <si>
    <t>f232c639-66b9-48d1-8e8a-43b5c1529c3d</t>
  </si>
  <si>
    <t>국민신문고 민원 처리 과정 알려주세요</t>
  </si>
  <si>
    <t>1234_국민신문고_사용자지침서_민원_v17.pdf</t>
  </si>
  <si>
    <t>16, 17</t>
  </si>
  <si>
    <t>29bdf4b5e0d245f0bb862cb8b42e6f58</t>
  </si>
  <si>
    <t>네, 국민신문고를 통한 민원 처리 과정은 다음과 같습니다:
1. **민원 신청**: 민원인은 국민신문고 웹사이트나 모바일 앱을 통해 민원을 신청합니다. 이때, 민원의 내용과 함께 처리를 원하는 기관을 지정해야 합니다.
2. **기관 선택 방법**:
   - **시스템 추천 처리기관 선택**: 시스템이 민원 내용에 따라 적합한 기관을 추천해주며, 이를 선택할 수 있습니다.
   - **직접 기관 입력/검색**: 민원인이 직접 희망하는 기관을 입력하거나 검색하여 선택할 수도 있습니다.
3. **민원 접수 및 처리 여부 판단**:
   - **우리 기관 소관사항인 경우**: 신청된 민원이 해당 기관의 업무 범위 내에 있다면, 그 기관은 민원을 접수하고 처리 절차를 진행합니다.
   - **소관사항이 아닌 경우**: 민원이 해당 기관의 업무 범위에 속하지 않거나 여러 기관에서 처리해야 할 것으로 판단되는 경우, 민원은 다른 기관으로 이송되거나 다부처 지정이 이루어집니다. 필요에 따라 총괄기관인 권익위원회에 조정 요청을 할 수도 있습니다.
4. **처리 부서와 담당자 지정**:
   - **분류 담당자 역할**: 처리기관의 분류 담당자는 민원을 어느 부서에서 처리할지 결정합니다. 부서 자동분류 기능을 사용하면 신청 단계에서부터 처리 부서가 자동으로 배정되며, 접수 단계에서는 처리 부서 추천 정보를 제공합니다.
   - **협조 처리가 필요한 경우**: 민원이 여러 부서의 협력이 필요한 경우에는 협조 기관이나 부서를 지정하여 협조 처리 민원으로 설정합니다.
5. **민원 처리**:
   - **담당자 지정**: 접수된 민원이 특정 부서에서 처리할 사항이라면, 해당 부서는 민원을 처리할 담당자를 지정합니다.
   - **소관사항이 아닌 경우 재지정 요청**: 만약 해당 부서의 소관이 아니라면 부서 재지정을 요청합니다.
6. **민원 처리 결과 통보**:
   - 담당자는 민원을 처리한 후, 그 결과를 민원인에게 통보합니다.
7. **만족도 조사 및 확인**:
   - 민원인은 처리 결과에 대해 만족도 조사를 실시하며, 추가적인 의견이나 요구 사항을 전달할 수 있습니다.
이러한 과정을 통해 국민신문고는 민원인의 의견을 효율적으로 수집하고, 관련 기관들이 신속하게 대응할 수 있도록 지원합니다. 더 궁금한 점이 있으시면 언제든지 물어보세요!</t>
  </si>
  <si>
    <t>0c32c75a-bb7f-4b17-a879-ee060b9c85f8</t>
  </si>
  <si>
    <t>cb6abd5b-c06c-4462-ad3c-1157f0ed4439</t>
  </si>
  <si>
    <t>공무원증 신청 방법 알려줘</t>
  </si>
  <si>
    <t>22fb608e3040490b9f1b0fd63547c0da</t>
  </si>
  <si>
    <t>공무원증 신청 방법은 다음과 같습니다:
1. **온라인 신청**: 차세대 인사랑시스템(인사마당 탭 - 공무원증 신청 메뉴)에서 발급 신청을 진행합니다.
   - 신청 구분에서 '실물공무원증'을 선택합니다.
   - 부서장의 결재 등 내부 승인 절차를 거칩니다.
   - 증명사진을 함께 제출하거나 인사정보에 등록된 사진으로 신청할 수 있습니다.
2. **모바일 공무원증 신청**:
   - 마찬가지로 차세대 인사랑시스템에서 발급 신청을 합니다.
   - 신청 구분에서 '모바일 공무원증'을 선택합니다.
   - 부서장의 결재 등 내부 승인 절차를 거칩니다.
   - 신청이 완료되면 SMS로 발급 준비 완료 안내가 옵니다.
   - 안내된 설치 URL을 통해 모바일 공무원증 앱을 설치합니다.
   - 앱에서 본인 확인 및 비밀번호 설정 후 사용합니다.
   - 현재 모바일 공무원증으로는 청사 출입이 불가능합니다.
3. **소요 기간**: 실물 및 모바일 공무원증 모두 신청 후 수령까지 약 3~4주가 소요됩니다. 그러나 실제 기간은 기관 사정에 따라 더 길어질 수 있습니다.
위의 절차를 따르면 공무원증을 신청하실 수 있습니다. 추가적인 도움이 필요하시면 언제든지 말씀해 주세요!</t>
  </si>
  <si>
    <t>4c0c9b7a-856e-436f-bc20-0b4a9a18f820</t>
  </si>
  <si>
    <t>345_2409_정보화정책과_업무매뉴얼_정보화정책과_부산광역시_사이버안전_위기대응_실무_매뉴얼.pdf</t>
  </si>
  <si>
    <t>온나라에서 부재자 설정 및 기간은 어떻게 하나요?</t>
  </si>
  <si>
    <t>243b0af28b764e9b9b8a0efd92c76c38</t>
  </si>
  <si>
    <t>온나라 시스템에서 부재자 설정은 다음과 같이 진행할 수 있어요:
**본인이 부재자 설정하는 경우:**
1. **로그인 후 개인설정으로 이동**: 화면 상단의 '개인설정' 버튼을 클릭하세요.
2. **개인정보관리 선택**: 나타나는 메뉴 중 '개인정보관리'를 선택합니다.
3. **부재설정 탭 선택**: 좌측 메뉴에서 '부재설정'을 클릭합니다.
4. **부재 기간 설정**: 원하는 부재 시작일과 종료일을 입력하고, 부재 사유를 선택한 뒤 '저장' 버튼을 눌러 설정을 완료합니다.
**서무담당자가 부재자 설정하는 경우:**
1. **로그인 후 부서관리자로 이동**: 마찬가지로 화면 상단의 '개인설정' 버튼을 클릭한 후 '부서관리자'를 선택합니다.
2. **직원 정보 확인**: 직원 목록에서 해당 직원의 이름을 찾아 클릭합니다.
3. **부재설정 진행**: 앞서 설명한 것과 동일하게 부재 기간을 설정하고 '저장'하여 완료합니다.
이렇게 하면 부재 기간 동안에는 알림이나 처리해야 할 업무로부터 잠시 벗어날 수 있으며, 복귀 후에는 정상적으로 업무를 재개할 수 있어요. 추가로 궁금한 점이 있으면 언제든지 말씀해 주세요!</t>
  </si>
  <si>
    <t>cc65a471-32fc-4c82-9b20-0843afcf10bf</t>
  </si>
  <si>
    <t>관외출장 등록 및 여비 신청 방법이 어떻게 하나요?</t>
  </si>
  <si>
    <t>268_2405_인사과_업무매뉴얼_행정안전부_출장관리_매뉴얼.pdf</t>
  </si>
  <si>
    <t>12, 13, 14, 15, 16</t>
  </si>
  <si>
    <t>f803d6e5d572425aad55f33b8ca48065</t>
  </si>
  <si>
    <t>DRM, PC Client 아이디 및 비밀번호를 잊어버렸을 때 해결 방법은?</t>
  </si>
  <si>
    <t>8653921f2aa24d34aa2c3764f434142d</t>
  </si>
  <si>
    <t>DRM, PC Client의 아이디와 비밀번호를 잊어버린 경우 다음과 같은 방법으로 해결할 수 있습니다:
1. **PC Client 재설치**: DRM이 설치된 컴퓨터에서 PC Client를 삭제하고 다시 설치하면 새로운 아이디와 비밀번호를 설정할 수 있습니다.
2. **아이디 찾기**:
   - DRM 시스템에 접속하여 '아이디 찾기' 기능을 이용하거나,
   - 관리자에게 문의하여 아이디 정보를 확인합니다.
3. **비밀번호 초기화**:
   - DRM 시스템의 '비밀번호 초기화' 기능을 사용하여 임시 비밀번호를 발급받습니다.
   - 또는 관리자가 비밀번호를 초기화하고 새로운 비밀번호를 설정해 줄 수 있습니다.
4. **관리자 지원 요청**:
   - DRM 시스템을 관리하는 담당자나 IT 부서에 도움을 요청하여 문제를 해결합니다.
이러한 절차를 통해 아이디와 비밀번호를 복구하거나 새로 설정할 수 있으며, 원활한 시스템 이용을 위해 정기적으로 비밀번호를 변경하고 안전하게 보관하는 것이 중요합니다. 만약 구체적인 도움이 필요하다면, DRM 시스템의 공식 지원 센터나 관련 문서를 참고하시는 것도 좋습니다.</t>
  </si>
  <si>
    <t>업무추진비 집행을 위해서 확인해야할 규정은 무엇인가요? 그리고 업추비별 특성 및 사용가능내역 알려주세요.</t>
  </si>
  <si>
    <t>91946f1b13244180b15e118848909571</t>
  </si>
  <si>
    <t>업무추진비의 집행을 위해서는 먼저 「지방자치단체 업무추진비 집행에 관한 규칙」을 확인해야 합니다. 이 규칙은 지방자치단체의 업무추진비가 적절하고 투명하게 사용될 수 있도록 그 집행 기준과 절차를 상세히 규정하고 있습니다.
**업무추진비의 종류와 특징**
1. **기관운영업무추진비 (예산과목: 203-01)**:
   - **목적**: 지방자치단체의 운영과 관련된 일반적인 업무를 지원하는 비용입니다.
   - **사용 가능 내역**:
     - 내부 직원들의 사기 진작을 위한 격려금품이나 식사 제공.
     - 부서나 팀 단위의 성과에 대한 포상금 지급.
     - 조직 문화 개선을 위한 워크숍이나 세미나 등의 개최 비용.
     - 내부 소통 강화를 위한 간담회나 회의 개최 비용.
2. **시책추진업무추진비 (예산과목: 203-03)**:
   - **목적**: 특정 정책이나 사업을 추진하는 과정에서 필요한 비용을 지원합니다.
   - **사용 가능 내역**:
     - 정책 설명회나 주민 의견 수렴을 위한 토론회 개최 비용.
     - 사업의 성공적인 추진을 위해 외부 전문가나 이해관계자와의 협의 비용.
     - 프로젝트 관련 자료 제작이나 홍보물 배포 비용.
     - 사업 관련 연구 용역이나 컨설팅 비용.
**업무추진비 사용 시 유의사항**
- **투명한 집행**: 모든 지출은 명확한 증빙 자료를 첨부하여 기록되어야 하며, 공개 가능한 정보로서 시민들에게 투명하게 공개됩니다.
- **관련 법규 준수**: 「지방자치법」, 「공직선거법」 등 관련 법률과 규정을 철저히 준수해야 합니다.
- **적절한 목적 사용**: 개인적인 용도로의 사용이 금지되며, 반드시 업무와 관련된 공식적인 활동에 사용되어야 합니다.
- **예산 한도 내에서 사용**: 각 업무추진비는 배정된 예산 범위 내에서만 사용할 수 있으며, 초과 지출은 엄격히 통제됩니다.
**추가적인 참고 사항**
- **직무활동 코드 활용**: 업무추진비를 사용할 때는 해당 활동이 어떤 직무활동 코드에 해당하는지를 정확히 파악하여 적용해야 합니다.
- **사전 승인 절차**: 대규모 지출이나 특별한 경우에는 사전에 감사 부서나 상위 관리자의 승인을 받아야 할 수도 있습니다.
- **회계 처리**: 지출 후에는 정확한 회계 처리를 통해 재무 상태를 정확하게 유지해야 합니다.
업무추진비를 효율적으로 사용하기 위해서는 위의 규정들을 숙지하고, 업무의 성격과 목적에 맞게 신중하게 계획하여 사용하는 것이 중요합니다. 또한, 지속적인 교육과 감사를 통해 부적절한 사용을 방지하고 투명한 재정 운영을 실현해야 합니다. 추가적인 도움이 필요하시면 언제든지 말씀해 주세요!</t>
  </si>
  <si>
    <t>283fdc88-8352-44ef-a5de-39ab118e8183</t>
  </si>
  <si>
    <t>b72df2a1-7e86-4891-b5f8-d6b1bfd3f2c9</t>
  </si>
  <si>
    <t>온나라에서 부재자 설정은 어떻게 하나요?</t>
  </si>
  <si>
    <t>9040ebfaa14948ce9cadfc8a6d164586</t>
  </si>
  <si>
    <t>온나라에서 부재자 설정은 다음과 같이 진행할 수 있어요:
**본인이 부재자 설정하는 경우:**
- **경로:** [개인설정 &gt; 개인정보관리 &gt; 부재설정] 메뉴로 이동해요.
- **방법:** 해당 메뉴에서 부재 기간과 사유 등을 입력하여 설정하면 돼요.
**서무담당자가 부재자 설정하는 경우:**
- **경로:** [개인설정 &gt; 부서관리자] 메뉴로 이동해요.
- **방법:** 여기서 담당 직원의 부재 정보를 대신 입력하여 설정할 수 있어요.
이렇게 하면 부재 기간 동안에는 알림이나 처리해야 할 업무 등에 대한 안내가 조정되거나 중단될 수 있어서 업무 효율성을 높일 수 있어요. 추가로 궁금한 점이 있으면 언제든지 말씀해 주세요!</t>
  </si>
  <si>
    <t>시 홈페이지 고시공고 등록하는 방법이 어떻게 되나요?</t>
  </si>
  <si>
    <t>87_2504_미디어담당관_업무매뉴얼_미디어담당관_매거진운영팀_홍보_요청_절차.pdf</t>
  </si>
  <si>
    <t>abd5a16c7da14069b70c990abbe8bbe5</t>
  </si>
  <si>
    <t>시 홈페이지에 고시공고를 등록하려면 다음과 같은 절차를 따르시면 됩니다:
1. **온나라 행정포털 접속**: 먼저, 업무용 포털인 온나라에 로그인하여 접근하세요.
2. **메뉴 선택**: 메인 메뉴에서 `행정업무`를 클릭한 다음, 그 아래에 있는 `공보관리`를 선택합니다.
3. **고시/공고 등록(입법예고 등록)**: `공보관리` 메뉴 내에서 `고시/공고 등록(입법예고 등록)` 항목을 찾아 클릭합니다.
4. **내용 입력 및 파일 첨부**:
   - **고시/공고 제목**: 게시할 내용의 제목을 정확하게 작성합니다.
   - **내용 입력**: 고시 또는 공고의 상세 내용을 입력합니다.
   - **첨부파일**: 관련 문서나 자료가 있다면 첨부합니다. 이때, 파일명은 `구분+번호+제목` 형식으로 지정해야 합니다. 예를 들어, `공고 제2025-1호 00공고`와 같이 작성합니다.
5. **등록일자 설정**: 홈페이지에 공개될 날짜를 지정합니다. 이 날짜는 실제 고시/공고일과 일치하도록 해야 하며, 결재가 완료되면 자동으로 해당 날짜에 홈페이지에 등록됩니다.
6. **결재 진행**: 모든 정보를 입력한 후에는 상급자의 결재를 받아야 합니다. 결재가 완료되어야만 홈페이지에 공식적으로 게시됩니다.
7. **자동 등록 확인**: 결재가 완료되면 별도의 조치 없이도 지정한 날짜에 홈페이지에 고시/공고가 자동으로 등록됩니다.
**주의사항**:
- 만약 연계 기안에 오류가 발생하거나, 내용을 수정해야 할 필요가 있을 경우에는 담당자에게 연락하여 조치를 취해야 합니다.
- 개인정보(주민등록번호, 휴대폰 번호 등)는 반드시 삭제한 후에 게재를 의뢰해야 합니다.
- 시보(공보지)에 게재가 필요한 경우에는 위의 절차 외에 추가로 시보 발행을 위한 절차를 거쳐야 합니다.
**추가 정보**:
- 담당자 연락처:
  - 이승재 님: 888-1295
  - 박성준 님: 888-1292
위의 절차를 따르면 시 홈페이지에 고시공고를 원활하게 등록하실 수 있습니다. 더 궁금한 사항이 있으시면 언제든지 문의해 주세요. 도움이 되었기를 바랍니다!</t>
  </si>
  <si>
    <t>8dfd3c30-05ac-4386-8d4b-5e8c42464cab</t>
  </si>
  <si>
    <t>단체보장보험 세부 보장내용 및 청구방법은 무엇인가요?</t>
  </si>
  <si>
    <t>279_2501_인사과_기타_인사과_2025년_맞춤형복지_단체보장보험_가입내용_및_청구방법_안내.pdf</t>
  </si>
  <si>
    <t>bc3d89794209426c8f7fe37f5dc79cba</t>
  </si>
  <si>
    <t>부산광역시에서 제공하는 2025년 맞춤형복지 단체보장보험의 세부 보장내용과 청구방법을 안내드립니다.
**세부 보장내용**
1. **생명보험**
   - **재해 또는 질병으로 인한 사망**: 최대 1억 원 지급
   - **공무 중 사망**: 추가적으로 5천만 원 지급
2. **상해보험**
   - **상해로 인한 후유장애 발생 시**: 장애등급에 따라 최대 1억 원까지 지급
   - **암, 뇌졸중, 심근경색 진단 시**: 각각 최초 진단 시 1천만 원 지급
   - **수술비 지원**
     - **5종 수술비**: 수술 종류에 따라 최소 7만 원에서 최대 150만 원 지급
   - **치아 치료비**
     - **보철 치료비**: 임플란트, 브릿지, 틀니 등 연간 최대 3개까지 개당 30만 원 지급
   - **상해 및 폭행 위로금**: 상해나 폭행으로 인한 피해 시 1백만 원 지급
   - **피싱, 해킹, 금융사기 피해 보상**: 최대 5백만 원 한도로 금전적 손실 보상
   - **실손의료비(선택사항)**:
     - **입원 및 통원 의료비 통합**: 최대 3천만 원 지급
     - **통원 1회당 한도**: 15만 원
3. **배우자 보험 보장내용**
   - 자세한 내용은 첨부된 '[붙임1] 2025년 부산광역시 청구안내문'을 참고하세요.
   - **남성 직원 배우자 보험료**: 505,744원
   - **여성 직원 배우자 보험료**: 469,020원
**청구방법**
1. **KB손해보험 콜센터를 통한 전화 청구**
   - **전화번호**: 1544-1616
   - **운영 시간**: 평일 오전 9시부터 오후 6시까지
   - **필요 서류 제출**: 보험금 청구서와 관련 증빙서류를 FAX 또는 이메일로 송부
2. **모바일 앱을 통한 청구**
   - **앱 다운로드**: 구글 플레이스토어 또는 애플 앱스토어에서 'KB손해보험' 앱 설치
   - **청구 절차**: 앱 내에서 간편하게 청구서 작성 및 필요 서류 업로드
   - **첨부 문서**: '[붙임4] 2025년 부산광역시 실손보험 모바일 청구안내문' 참고
3. **우편을 통한 청구**
   - **주소**: 부산광역시 연제구 중앙대로 1001(연산동)
   - **팩스 번호**: 051-888-1959
   - **이메일 주소**: kimhk1024@korea.kr
**주의 사항**
- 모든 청구는 사고 발생일로부터 3년 이내에 이루어져야 합니다.
- 정확한 보상을 위해 필요한 서류를 모두 준비하여 제출해야 합니다.
- 자세한 사항은 첨부된 안내문을 확인하거나 KB손해보험 콜센터로 문의하실 수 있습니다.
**관련 연락처**
- **부산광역시 인사과 공무원복지팀**
  - **전화번호**: 051-888-1985
  - **팩스번호**: 051-888-1959
  - **이메일**: kimhk1024@korea.kr
추가적인 도움이 필요하시면 언제든지 연락 주시기 바랍니다. 감사합니다.</t>
  </si>
  <si>
    <t>351c164b-0cee-4b6f-ba68-bbaa8affc02b</t>
  </si>
  <si>
    <t>행정정보 공동이용 권한 신청은 어떻게 하는것인가요?</t>
  </si>
  <si>
    <t>b1dec3b142d74e3db0f44da082156be4</t>
  </si>
  <si>
    <t>행정정보 공동이용 권한 신청은 다음과 같은 절차로 이루어집니다.
1. **신청 대상 확인**: 먼저, 신청하려는 사무가 행정정보 공동이용 대상이 되는지 확인해야 합니다. 이는 민원사무, 내부사무, 조례규칙사무, 고객사무 등으로 구분되며, 각각의 경우에 따라 신청 방법이 달라질 수 있습니다.
2. **관련 서류 준비**:
   - **행정정보 공동이용 신청서 작성**: 「행정정보 공동이용 지침」 별지 제3호 서식을 사용하여 신청서를 작성합니다.
   - **사무 소관 중앙행정기관 의견조회 회신 공문 첨부**: 해당 사무를 처리하기 위해 행정정보 공동이용이 필요한지에 대한 의견을 받기 위해 소관 부처로부터 받은 회신 공문을 첨부해야 합니다.
   - **대법원 등기전산자료 신청 시 추가 서식 작성**: 만약 대법원 등기전산자료를 공동이용하려면 별도의 서식에 따라 추가로 작성하고 신청서와 함께 제출해야 합니다.
3. **신청서 제출**: 작성한 신청서와 필요한 모든 첨부 서류를 행정안전부 공공지능정책과로 공문으로 제출합니다.
4. **검토 및 승인 과정**:
   - **행정안전부 검토**: 공공지능정책과에서는 신청 내용의 타당성을 검토하고, 필요시 보완 요청이나 검토 결과를 회신합니다.
   - **정보보유기관과의 협의**: 공동이용하려는 정보가 특정 기관에 보관되어 있을 경우, 해당 기관과 협의를 진행하여 동의를 받아야 합니다.
   - **최종 승인 통보**: 위의 과정을 거쳐 승인이 완료되면, 공식적으로 공동이용 권한이 부여됩니다.
5. **권한 사용 시작**: 승인을 받으면, 업무처리담당자는 행정정보 공동이용 시스템을 통해 필요한 정보를 조회하여 업무에 활용할 수 있게 됩니다.
또한, **보안서약서**는 e하나로민원 사이트를 통해 온라인으로 서약하면 되며, 이는 개인정보 보호와 시스템의 안전한 이용을 위한 중요한 단계입니다.
이러한 절차를 통해 행정정보 공동이용 권한을 신청하고 사용할 수 있으며, 이를 통해 민원인의 편의를 증진하고 행정의 효율성을 높일 수 있습니다. 더 궁금한 점이 있으시면 언제든지 말씀해 주세요!</t>
  </si>
  <si>
    <t>90f03a44-9d79-434b-bc90-4c48126afc04</t>
  </si>
  <si>
    <t>ea084d60-7b66-4a81-9eba-8e69090afa09</t>
  </si>
  <si>
    <t>GPKI 재발급 및 인사이동시 이동은 어떻게 하는 것인가요?</t>
  </si>
  <si>
    <t>b2221b31532c4a25b2f3f8aaa8e41a4f</t>
  </si>
  <si>
    <t>안녕하세요! 부산광역시청 임직원이시군요.
먼저, **GPKI 재발급** 방법에 대해 알려드리겠습니다:
1. **신청서 작성**: 첨부된 한글 파일 서식을 작성하여 공문에 첨부하신 후, 해당 부서에 신청을 해주시면 됩니다. 이때, 근무기간이 필요한 경우 반드시 명시해주셔야 합니다. 예를 들어, 기간제 직원인 경우에는 근무 기간을 정확히 기재하셔야 합니다.
2. **공문 발송**: 신청서가 접수되면, 정보화정책과 등에서 검토 후 발급 가능 여부를 결정하게 됩니다. 발급이 가능하다면, 휴대전화로 발급 가능하다는 문자 메시지를 받으실 것입니다.
3. **인증서 발급**: 문자 메시지를 받으신 후에는 `gpki.go.kr` 웹사이트에 접속하여 이름과 주민등록번호를 입력하고, 휴대폰 인증을 통해 인증서를 발급받으시면 됩니다. 이 과정은 행정망에서만 가능합니다.
다음으로, **인사 이동 시 GPKI 이동 방법**에 대해 설명드리겠습니다:
1. **이동 전 PC에서의 준비**:
   - **GPKI 폴더 압축**: 행정전자서명이 저장되어 있는 `C:\GPKI` 폴더 전체를 압축합니다. 여기서 중요한 점은 `GPKI` 폴더 전체를 압축해야 한다는 것입니다. 일부 폴더나 파일만으로는 정상적으로 작동하지 않을 수 있습니다.
   - **압축 파일 전송**: 압축한 파일을 `온메일`이나 `온톡`을 이용하여 본인의 계정으로 보냅니다. 이때, 보안상의 이유로 다른 사람에게 공유되지 않도록 주의하시기 바랍니다.
2. **이동 후 PC에서의 설치**:
   - **압축 파일 다운로드**: 새로운 PC에서 `온메일`이나 `온톡`을 열어 이전에 보낸 압축 파일을 내려받아 저장합니다.
   - **압축 해제 및 설치 위치 확인**: 압축을 해제한 후, 파일들이 `C:\GPKI` 경로에 제대로 풀렸는지 확인합니다. 또한, `C:\GPKI\certificate\class2` 폴더 내에 본인의 이름으로 된 파일이 4개 존재하는지 확인합니다.
   - **정상 작동 여부 확인**: 모든 과정이 완료되었다면, 행정전자서명이 정상적으로 작동하는지 확인해봅니다.
**주의사항**:
- `class2` 폴더만 복사하거나 이동하면 안 되며, 반드시 `GPKI` 폴더 전체를 옮겨야 합니다.
- 만약 문제가 발생한다면, 인증관리센터 콜센터(1661-9088)로 연락하시거나, 발급 및 갱신 절차와 관련된 추가적인 문의 사항은 정보화정책과로 문의하시면 도움을 받으실 수 있습니다.
위 절차를 따라주시면 GPKI 재발급 및 인사 이동 시의 전자서명 관리가 원활하게 이루어질 것입니다. 추가로 궁금한 사항이 있으시면 언제든지 질문해 주세요! 도움이 되었기를 바랍니다.</t>
  </si>
  <si>
    <t>4079d725-ae34-4963-89e9-a8a0a3b18329</t>
  </si>
  <si>
    <t>장기재직 휴가 등록 및 사용 방법이 어떻게 되나요?</t>
  </si>
  <si>
    <t>4f44703dcf764e6c80dafd9c9412646d</t>
  </si>
  <si>
    <t>장기재직 휴가 등록 및 사용 방법은 다음과 같습니다:
**1. 복무시스템 승인 가능일수 사전등록**
- **등록 주체**: 직원 → 승인권자
- **등록 방법**:
  - 부서별 서무를 통해 차세대 인사시스템에서 휴가 신청
  - 등록 시 주의사항:
    - 휴가구분: 연가외휴가관리 - 특별휴가 - '장기재직휴가'로 등록
    - 휴가사유: 예를 들어 '(금회) 20년차 1회 5일, (잔여일수) 20일'
**2. 복무시스템 승인 및 휴가 실시**
- **승인권자**: 부서장
- **절차**:
  - 직원이 차세대인사랑(복무관리시스템)에서 결재를 요청
  - 부서장은 휴가 기간 중 업무 대행자를 지정하고, 업무 공백 여부를 확인한 후 승인
  - 주요 현안이나 업무 공백이 우려되는 경우에는 휴가 조정이 필요할 수 있음
**3. 기타 사항**
- **파견자의 경우**:
  - 파견기관 소속 부서장의 결재를 받아 휴가를 시행
  - 휴가 후에는 원소속 기관 부서에 공문을 발송하여 복무 조치를 취함
  - 파견자도 부산시의 장기재직휴가 시행 지침을 적용받음
**4. 휴가 사용 시 유의사항**
- **최소 휴가 일수**: 2일 이상 분할 사용이 가능하며, 최소 2일 이상 사용해야 함
- **토·일요일 및 공휴일 제외**: 휴가 기간에 포함되지 않음
- **비상연락 체계 유지**: 장기간 휴가 중에는 긴급 연락이 가능하도록 연락처 공유 필요
- **업무 대행자 지정**: 휴가로 인한 업무 공백을 방지하기 위해 업무 대행자를 지정하고 인계·인수를 철저히 해야 함
- **특정 기간 휴가 자제**: 국정감사, 행정사무감사, 부서 주요 업무 추진 기간, 국가적 재난 상황 등에는 휴가 사용을 자제해야 함
**5. 재직기간 산정**
- **기준**: 공무원연금법 제25조에 따른 공무원연금공단의 퇴직급여 재직기간(연월수로 계산)
- **확인 방법**:
  - 공무원연금공단 홈페이지 접속 후 공인인증서 로그인
  - 좌측 메뉴에서 '나의 연금예상액' 상세보기를 클릭하여 재직기간 확인
위의 절차를 따르면 장기재직 휴가를 올바르게 등록하고 사용할 수 있습니다. 추가적인 문의 사항이 있으시면 언제든지 말씀해 주세요!</t>
  </si>
  <si>
    <t>관외출장 시 신청 방법과 여비는 어떻게 받나요?</t>
  </si>
  <si>
    <t>1d406d600c4a42a1a537cb132d8574c6</t>
  </si>
  <si>
    <t>안녕하세요! 질문하신 내용에 대해 자세히 안내해 드리겠습니다.
**관외출장 시 신청 방법**
- **사전 결재**: 관외출장을 계획하실 때는 먼저 출장 목적, 일정, 소요 경비 등에 대한 상세 내용을 담은 출장계획서를 작성하셔야 합니다.
- **출장신청서 제출**: 작성한 출장계획서를 상급자나 담당 부서장에게 제출하여 사전에 결재를 받으셔야 합니다. 이는 공식적인 절차를 통해 출장 필요성을 승인받는 과정입니다.
- **영수증 첨부**: 출장 후에는 실제 사용한 경비를 증빙하기 위해 교통비, 숙박비 등에 대한 영수증을 수집해야 합니다. 이때, 교통비는 시외/고속버스, 철도, 항공 등의 운임만을 의미하며, 현지에서의 택시나 시내버스 요금 등은 포함되지 않습니다.
- **출장보고서 작성**: 출장 결과를 정리한 보고서를 작성하여 사전 결재를 받은 출장신청서와 함께 제출합니다. 이를 통해 출장 목적을 달성했는지 확인하고, 향후 업무에 반영할 수 있습니다.
**여비 지급 절차**
- **여비 청구**: 위의 모든 서류를 준비한 후, 급여 담당 부서나 회계 부서에 여비 지급을 요청합니다.
- **검토 및 지급**: 제출된 서류와 영수증을 토대로 내부 검토 과정을 거친 뒤, 규정에 맞는 여비가 지급됩니다.
- **주의 사항**: 여비 지급 시에는 공무원 여비 규정을 엄격하게 따르며, 개인이 임의로 추가 비용을 청구하거나 과다 청구를 해서는 안 됩니다.
**관련 규정 요약**
- **공무원 여비 규정**: 공무원의 국내외 출장 시 여비에 관한 사항을 규정한 법령으로, 출장 종류에 따라 지급되는 여비의 종류와 금액이 다릅니다.
- **국내 여비 지급표**: 출장 거리에 따라 철도운임, 선박운임, 항공운임, 자동차운임, 일비, 숙박비, 식비 등이 구체적으로 명시되어 있습니다.
- **예시**: 예를 들어, 관외출장의 경우 출장 여행시간에 따라 일비가 차등 지급되며, 숙박비는 지역에 따라 최대 한도가 설정되어 있습니다.
**추가 정보**
- **공적 항공마일리지 활용**: 공무원이 공적 항공마일리지를 사용하여 항공운임을 절감한 경우, 절감된 금액의 일부를 일비로 추가 지급받을 수 있습니다.
- **자가용 차량 이용 시**: 부득이하게 자가용 승용차를 이용한 경우, 연료비와 통행료 등을 실비로 지급받을 수 있으나, 이는 특별한 경우에 한정됩니다.
**결론**
관외출장을 하실 때에는 사전에 충분한 계획을 세우고, 필요한 서류를 정확히 준비하여 절차를 밟으시는 것이 중요합니다. 또한, 여비 지급은 규정에 따라 투명하고 공정하게 이루어져야 하므로, 관련 지침을 숙지하시는 것이 좋습니다.
더 궁금한 점이 있으시면 언제든지 문의해 주세요. 도움이 되었기를 바랍니다. 감사합니다.</t>
  </si>
  <si>
    <t>온나라 문서배부가 잘못되엇습니다 어떻게 수정하나요?</t>
  </si>
  <si>
    <t>정보화정책과_업무매뉴얼_행정안전부_온나라20_사용자교육자료배포용
 정보화정책과_업무매뉴얼_KLID_온나라_20_부서관리자_교육자료PDF</t>
  </si>
  <si>
    <t>44
 31</t>
  </si>
  <si>
    <t>ae6493ea1216409a8e099df7c0ded8eb</t>
  </si>
  <si>
    <t>온나라 팀장님 지정 및 부재시 부재설정은 어떻게 하나요?</t>
  </si>
  <si>
    <t>정보화정책과_업무매뉴얼_KLID_온나라_20_부서관리자_교육자료PDF
 정보화정책과_업무매뉴얼_KLID_온나라_20_달라지는_점PDF</t>
  </si>
  <si>
    <t>11
 26</t>
  </si>
  <si>
    <t>3a8861893aa24548a3f4e03bcef63af9</t>
  </si>
  <si>
    <t>업무추진비 사용할 수 있는 항목이 구체적으로 어떻게 되나요?</t>
  </si>
  <si>
    <t>5e26c3299f974578a29e4d3ba77db70d</t>
  </si>
  <si>
    <t>업무추진비는 지방자치단체의 원활한 업무 수행을 위해 사용되는 비용으로, 그 사용 범위는 엄격하게 규제되어 있습니다. 일반적으로 업무추진비는 다음과 같은 항목에 대해 사용할 수 있습니다:
1. **직무수행과 관련된 통상적 경비**
   - **내방객에게 제공하는 음료·다과 재료의 구입**: 공식적인 방문객에게 제공되는 간단한 음료나 다과를 준비하기 위한 비용입니다.
   - **축의·부의금품**: 직원이나 그 가족이 결혼, 사망 등의 사유로 경조사를 맞이했을 때, 이를 축하하거나 애도하기 위한 금품입니다.
2. **소속 상근직원에 대한 격려 및 지원**
   - **부상 또는 사망 위로금품**: 업무 중 부상이나 사망 사고가 발생한 직원의 유가족에게 위로의 의미로 지급하는 금품입니다.
   - **퇴직 공무원 격려금품**: 오랜 기간 동안 헌신한 퇴직 공무원에게 감사의 뜻으로 지급하는 금품입니다.
   - **평가 우수자(부서) 격려금품**: 전국 단위 또는 시·도 및 시·군·구 단위 평가에서 우수한 성과를 낸 직원이나 부서에 대한 포상으로 지급하는 금품입니다.
   - **현장근무자 격려금품**: 수로원, 청사 방호원, 주·정차 단속원 등 현장에서 근무하는 직원들에게 격려의 의미로 지급하는 금품입니다.
   - **업무추진 격려 식사**: 일반적인 업무 수행 과정에서 직원들의 사기 진작을 위해 식사를 제공하는 것입니다.
   - **비상근무 격려금품 및 식사**: 재난, 재해, 사건 사고 등으로 인해 비상근무를 하는 직원들을 격려하기 위한 금품 및 식사입니다.
   - **간부공무원 방문 격려금품 및 식사**: 상위 기관의 간부 공무원이 하위 기관을 방문할 때, 해당 기관의 직원들에게 업무 추진에 대한 격려를 위해 제공하는 금품 및 식사입니다.
   - **연말·명절·생일 선물**: 본청 상근직원 및 차하급 기관 대표자들에게 연말, 명절, 생일 등에 의례적으로 선물을 제공하는 것입니다.
3. **업무추진 유관기관 협조**
   - **공동행사, 회의, 업무협조를 위한 기념품 지급 및 식사 제공**: 다른 지방자치단체, 교육기관, 군부대 등과 공동으로 개최하는 행사나 회의를 위해 필요한 기념품이나 식사를 제공합니다.
   - **유관기관 장의 퇴임 또는 전·출입 시 의례적인 화환·화분·기념품 제공 또는 격려금품 지급**: 유관기관의 장이 퇴임하거나 전출입할 때 그에 대한 예우로 화환이나 기념품을 제공하고, 격려의 의미를 담은 금품을 지급합니다.
   - **각종 기념식의 화환·화분·기념품 제공 또는 내빈에게 기념품 지급**: 국경일이나 공공시설의 개소 등 중요한 행사에서 내빈들에게 기념품을 제공합니다.
4. **그 밖의 조례 또는 법령에 의해 미리 정해진 경우**
   - 특정 상황이나 목적을 위해 조례나 법령에서 별도로 정한 경우, 이에 따라 업무추진비를 사용할 수 있습니다.
**주의 사항**
- **현금 사용 제한**: 업무추진비는 원칙적으로 신용카드를 통해 집행해야 하며, 현금 사용은 제한됩니다. 그러나 예외적으로 현금 집행이 불가피한 경우(예: 격려금, 축의·부의금 등)에만 허용되며, 이때는 사전에 지출품의서를 작성하고 증빙 서류를 철저히 구비해야 합니다.
- **심야 시간대와 사용자 자택 근처에서의 사용 제한**: 업무와 직접적인 연관성이 낮은 시간대나 장소에서의 사용은 제한됩니다. 하지만 출장 명령서 등 직무 관련성을 증명할 수 있는 서류가 있을 경우 예외적으로 인정될 수 있습니다.
- **접대비 한도 설정**: 간담회 등에서 제공되는 식사나 다과의 경우, 특별한 사유 없이 1인당 4만 원 이하의 범위에서 집행해야 합니다. 이는 「청탁금지법」의 적용을 받는 경우에도 동일하게 적용됩니다.
- **투명한 사용 관리**: 업무추진비의 사용 내역은 기관 홈페이지 등을 통해 공개되어야 하며, 부정 사용을 방지하기 위한 내부 통제 시스템을 구축해야 합니다.
이러한 지침들은 지방자치단체의 효율적인 재정 운용과 업무 추진의 공정성을 확보하기 위한 것으로, 모든 직원들은 이를 준수하여 업무추진비를 사용해야 합니다. 만약 더 자세한 내용이나 개별 사례에 대한 문의가 있으시면, 해당 지방자치단체의 회계 담당 부서나 감사 부서에 문의하시는 것이 좋습니다. 또한, 최신의 지침이나 변경 사항을 확인하기 위해서는 정기적으로 관련 법령이나 지침을 확인하는 습관이 필요합니다.</t>
  </si>
  <si>
    <t>ababe407-4331-4f7f-aebd-a9224983eb04</t>
  </si>
  <si>
    <t>e0e9d28e-e01f-4c6c-93d4-8d6f68671933</t>
  </si>
  <si>
    <t>9a729ebf-6b86-4382-8c5d-22291957d2fc</t>
  </si>
  <si>
    <t>729d22d3-722f-46bf-be7e-aa760f2f022d</t>
  </si>
  <si>
    <t>c3d47ddf-c1db-4876-a518-0ca760403f07</t>
  </si>
  <si>
    <t>DRM 비밀번호 초기화는 어떻게 하나요?</t>
  </si>
  <si>
    <t>e42fd386d12c4c3aa15698e307cb58f1</t>
  </si>
  <si>
    <t>DRM 비밀번호 초기화를 위해서는 다음과 같은 절차를 따르면 됩니다:
1. **사이트 접속**: 먼저 부서 관리자 권한을 가진 사용자로 `http://99.1.81.71:9080/fed5`에 접속합니다. 이때 기존의 DRM 시스템 아이디와 비밀번호를 사용하여 로그인해야 합니다.
2. **조직관리 메뉴 접근**:
   - 로그인 후 상단 메뉴에서 `[공통설정 &gt; 조직관리]`를 클릭합니다.
3. **사용자 선택 및 수정**:
   - 좌측에서 해당 부서와 사용자를 선택하고, 우측 상단의 `[수정]` 버튼을 클릭합니다.
4. **비밀번호 초기화 설정**:
   - 나타나는 화면에서 초기화 비밀번호(`a12345`)를 입력합니다.
   - 그런 다음 우측 상단의 `[확인]` 버튼을 눌러 변경 사항을 저장합니다.
5. **재로그인 및 비밀번호 재설정**:
   - 비밀번호가 초기화된 사용자는 새로운 비밀번호로 로그인할 수 있습니다.
   - 사용자는 자신의 계정에 로그인하여 새로운 비밀번호를 설정해야 합니다.
이 과정을 통해 사용자의 DRM 시스템 비밀번호를 초기화하고, 보안상의 문제를 해결할 수 있습니다. 만약 추가적인 도움이 필요하거나 다른 문제가 발생하면 언제든지 말씀해 주세요. 도와드릴 준비가 되어 있습니다.</t>
  </si>
  <si>
    <t>건강검진비 및 휴양시설 지원 신청은 어디서 하나요?</t>
  </si>
  <si>
    <t>인사과_기타_인사과_2025년도_건강검진_대상자_및_검진실시_안내
 인사과_업무매뉴얼_인사과_직원복지지원시스템_신청방법휴양시설_이용_지원</t>
  </si>
  <si>
    <t>1
 1, 2, 3, 4, 5</t>
  </si>
  <si>
    <t>fec25819aee642a39f959b0b7869b4aa</t>
  </si>
  <si>
    <t>온나라시스템 부재 설정 방법은 어떻게 되나요?</t>
  </si>
  <si>
    <t>8bb4462338864afe9ef299e3374d346b</t>
  </si>
  <si>
    <t>온나라시스템에서 부재 설정은 두 가지 방법으로 진행할 수 있어요.
**본인이 직접 부재 설정하기**
- **경로**: 개인설정 → 개인정보관리 → 부재설정
- **방법**: 해당 경로를 통해 본인의 부재 기간을 설정하여 다른 사람들에게 알릴 수 있어요.
**서무담당자가 대신 부재 설정하기**
- **경로**: 개인설정 → 부서관리자
- **방법**: 서무담당자는 부서원의 부재를 대신 설정해줄 수 있으며, 이를 통해 부재 중인 직원의 일정 관리를 도울 수 있어요.
이렇게 부재 설정을 하면, 해당 기간 동안에는 업무 요청이나 결재 등이 지연될 수 있음을 동료들에게 알려 원활한 업무 처리에 도움이 돼요. 더 궁금한 점이 있으면 언제든지 물어봐 주세요!</t>
  </si>
  <si>
    <t>일상경비 지출 절차는 어떻게 되나요?</t>
  </si>
  <si>
    <t>1245_일상경비_사용방법-txt.pdf</t>
  </si>
  <si>
    <t>23de5a73cf074a6a8d7c77a7da0d1edd</t>
  </si>
  <si>
    <t>일상경비는 지방자치단체에서 일상적으로 발생하는 경비를 효율적으로 처리하기 위해 사용하는 제도입니다. 일상경비 지출 절차는 다음과 같습니다:
1. **품의결재**: 먼저 필요한 경비에 대해 내부결재를 받거나 공문을 통해 상급자의 승인을 받아야 합니다. 이때 견적서나 필요 서류들을 함께 제출하여 정확한 비용 산정을 해야 합니다.
2. **카드결재**: 승인된 내용에 따라 법인카드 등을 사용하여 실제 지출을 진행합니다. 카드를 사용할 때는 지출 목적에 맞게 사용하여야 하며, 부정 사용을 방지하기 위한 절차를 준수해야 합니다.
3. **품의승인내역 등록**: 지출 후에는 시스템이나 전산에 품의승인내역을 등록해야 합니다. 이 과정에서 중요한 것은 카드 연계 시 거래처명과 예금주명을 정확하게 입력하는 것입니다. 예를 들어, 거래처명은 "전산7급 홍길동"처럼 본인의 직급과 이름을 사용하고, 예금주명은 "부산광역시 정보화정책과"와 같이 정확하고 공식적인 명칭을 사용해야 합니다.
4. **계좌검증 및 원인행위 결재 요청**: 품의승인내역을 등록한 후에는 반드시 계좌검증을 실시해야 합니다. 이는 지출된 금액이 정확히 반영되었는지 확인하는 과정입니다. 계좌검증 없이 결재를 올리면 문제가 발생할 수 있으므로 주의해야 합니다. 계좌검증 후에야 원인행위에 대한 결재 요청을 할 수 있습니다.
이러한 절차를 거쳐 일상경비가 적절하게 지출되고 관리될 수 있습니다. 각 단계마다 정확한 정보를 입력하고 절차를 준수함으로써 재정 투명성과 효율성을 높일 수 있습니다. 추가적인 질문이나 도움이 필요하시면 언제든지 말씀해 주세요.</t>
  </si>
  <si>
    <t>7b9d3d58-da0c-4457-bf09-c02426e2c912</t>
  </si>
  <si>
    <t>2a074d06-0301-419f-8a30-1c0f559c9afe</t>
  </si>
  <si>
    <t>506e3f06-4425-4dad-b681-12a606ab881e</t>
  </si>
  <si>
    <t>2fdf4a69-7507-4088-8ece-864deef31d9c</t>
  </si>
  <si>
    <t>행정전자서명 가입 절차는 어떻게 되나요?</t>
  </si>
  <si>
    <t>0c5a5bac45b24580a20a5c6fe1161da0</t>
  </si>
  <si>
    <t>행정전자서명은 정부 업무에서 전자적으로 서명할 때 사용하는 공인인증서로, 이를 사용하기 위해서는 몇 가지 절차를 따라야 합니다. 아래는 일반적인 행정전자서명 가입 절차입니다.
---
### **1. 신청 자격 확인**
- **대상자**: 부산광역시 소속 직원으로서 행정 업무에 필요한 경우.
- **제한 사항**: 일부 부서나 직종에서는 사용이 제한될 수 있으므로, 사전에 해당 부서에 문의하는 것이 좋습니다.
### **2. 신청 서류 준비**
- **필요 서류**:
  - **신청서**: 첨부된 한글 파일 양식을 사용하여 작성합니다.
  - **개인정보 제공 동의서**: 개인정보 수집 및 이용에 대한 동의를 위해 필요합니다.
  - **기타 증빙 자료**: 신분증 사본 등 추가적인 서류가 요구될 수 있습니다.
### **3. 신청서 제출**
- **제출 방법**:
  - 작성한 신청서와 관련 서류를 공문으로 상급 기관이나 담당 부서에 제출합니다.
  - **예시**: 부산광역시의 경우, 정보화정책과로 공문을 발송합니다.
- **주의사항**:
  - 공문에는 정확한 내용과 함께 신청자의 정보가 포함되어야 합니다.
  - 특히, 기간제 직원의 경우 근무 기간을 명확히 기재해야 합니다.
### **4. 승인 대기**
- **처리 과정**:
  - 제출된 공문은 내부 검토 과정을 거칩니다.
  - 승인이 완료되면, 신청자에게 휴대전화 문자 메시지로 통보됩니다.
- **유의사항**:
  - 승인까지 일정 시간이 소요될 수 있으며, 최대 14일 이내에 처리되지 않을 경우 재신청이 필요할 수 있습니다.
### **5. 인증서 발급**
- **발급 방법**:
  - 승인 문자 메시지를 받은 후, `gpki.go.kr` 웹사이트에 접속합니다.
  - **로그인 정보**:
    - 이름과 주민등록번호를 입력합니다.
    - 휴대전화로 전송되는 인증번호를 통해 인증을 완료합니다.
- **절차 상세**:
  - **메뉴 경로**: 인증서 관리 &gt; 발급
  - **구분 선택**: 개인용, 행정기관
  - **기관명 입력**: 부산광역시
### **6. 인증서 사용 설정**
- **PC에 인증서 설치**:
  - 발급받은 인증서를 사용할 PC에 설치합니다.
  - 일반적으로 USB 메모리 등을 이용하여 인증서를 이동하거나, 네트워크를 통해 직접 설치할 수 있습니다.
- **보안 유지**:
  - 인증서는 중요한 개인정보이므로 안전한 장소에 보관하고, 타인에게 노출되지 않도록 주의해야 합니다.
### **7. 인증서 갱신 및 관리**
- **갱신 주기**:
  - 인증서의 유효기간은 보통 2년 3개월이며, 만료 100일 전부터 갱신이 가능합니다.
- **갱신 방법**:
  - `gpki.go.kr` 사이트에서 인증서 관리 &gt; 갱신 메뉴를 통해 갱신합니다.
- **관리 팁**:
  - 인증서 비밀번호를 안전하게 관리하며, 정기적으로 변경하는 것이 좋습니다.
  - 인증서가 손상되거나 분실한 경우 즉시 교체해야 합니다.
### **8. 문제 발생 시 대응**
- **기술적 오류 해결**:
  - 인증서 발급 과정에서 문제가 발생할 경우, 인증관리센터 콜센터(1661-9088)에 문의합니다.
- **일반 문의**:
  - 발급 및 갱신 절차 등에 대한 문의는 정보화정책과로 연락합니다.
---
**추가 정보**
- **온메일 및 온톡 활용**:
  - 인증서를 다른 PC로 이동하고자 할 때는 온메일이나 온톡을 이용하여 인증서 파일을 전송합니다.
  - 이때, `C:\GPKI` 폴더 전체를 압축하여 전송해야 하며, 단순히 `class2` 폴더만으로는 정상 작동하지 않습니다.
---
**참고 사항**
- 모든 절차는 최신 정보를 기준으로 하며, 조직의 정책에 따라 변동될 수 있습니다.
- 자세한 내용은 부산광역시 공식 문서나 담당 부서에 문의하여 확인하는 것이 정확합니다.
---
**결론**
행정전자서명 가입은 위의 절차를 따르면 되며, 각 단계마다 필요한 사항을 정확히 이행하는 것이 중요합니다. 만약 추가로 궁금한 점이 있거나 도움이 필요하다면 언제든지 문의해 주세요.</t>
  </si>
  <si>
    <t>온나라시스템 과제카드 설정은 어떻게 되나요?</t>
  </si>
  <si>
    <t>355_2412_정보화정책과_업무매뉴얼_KLID_온나라_20_부서관리자_교육자료PDF.pdf</t>
  </si>
  <si>
    <t>15, 16, 17</t>
  </si>
  <si>
    <t>cc0ef1875ac44144a9cfbbafd175649e</t>
  </si>
  <si>
    <t>온나라시스템에서 과제카드는 부서 단위나 부서 관리 과제 관리자가 부서 과제 카드를 선택하여 과제 카드의 수정이나 과제 담당자의 변경 등을 할 수 있습니다. 또한 과제 카드 담당자를 일괄적으로 지정하는 기능도 제공됩니다.
예를 들어, 부서 단위 과제 관리자나 부서 관리 과제 관리자 권한을 가진 사용자는 다음과 같은 방법으로 과제 카드를 관리할 수 있습니다:
1. **과제 카드 수정 및 과제 담당자 변경**:
   - 부서 과제 카드를 선택한 후 `[변경]` 버튼을 클릭합니다.
   - 필요한 경우 `과제 담당자`를 변경하고 저장합니다.
2. **과제 카드 담당자 일괄 지정**:
   - `[담당자관리]` 버튼을 선택합니다.
   - 원하는 카드 목록과 부서원 목록을 선택합니다.
   - 선택 사항을 저장하여 일괄적으로 과제 담당자를 지정합니다.
또한, 온나라시스템에서는 과제 카드의 효율적인 관리를 위해 다양한 기능을 제공합니다. 자세한 내용은 해당 시스템의 매뉴얼이나 교육을 통해 확인할 수 있으며, 시스템 내에서 제공하는 도움말이나 지원 센터를 통해서도 추가적인 정보를 얻을 수 있습니다.
만약 특정 기능이나 설정 방법에 대해 더 궁금하신 점이 있으시면 언제든지 말씀해 주세요. 도와드릴 수 있도록 최선을 다하겠습니다.</t>
  </si>
  <si>
    <t>51341309-436e-4e72-9ea1-bd6b8dfe2da8</t>
  </si>
  <si>
    <t>c69df6a0-9e76-47a2-9c48-b6f75c7ba4e5</t>
  </si>
  <si>
    <t>24077817-372c-40dd-8b9d-ff941917433e</t>
  </si>
  <si>
    <t>7207c75357054cdda7b1ba3482cf91cc</t>
  </si>
  <si>
    <t>온나라 문서 과제카드를 잘못 지정하였습니다. 어떻게 수정하나요?</t>
  </si>
  <si>
    <t>af6da4e4438945f1bd3ca2d6a5faec4d</t>
  </si>
  <si>
    <t>온나라 시스템에서 문서 과제카드가 잘못 지정되었을 경우, 다음과 같은 방법으로 수정하실 수 있습니다:
1. **완료 문서 조회**: 먼저 온나라 시스템의 '처리한 문서' 메뉴에서 '완료문서'를 선택하고, 재편철하고자 하는 기록물의 제목을 찾아 클릭합니다.
2. **문서관리카드 열기**: 선택한 기록물의 상세 화면에서 '문서관리카드' 버튼을 클릭하여 문서관리카드를 엽니다.
3. **과제카드 변경하기**:
   - 문서관리카드 내에서 '과제카드 변경' 버튼을 찾습니다.
   - 변경하려는 올바른 과제카드를 선택합니다.
   - 변경 사항을 저장하기 위해 '확인' 버튼을 클릭합니다.
이렇게 하면 해당 문서의 과제카드가 올바르게 수정됩니다. 만약 추가적인 도움이 필요하시거나 다른 문의사항이 있으시면 언제든지 말씀해 주세요!</t>
  </si>
  <si>
    <t>장기재직휴가 기준과 사용 방법을 알려주세요. 장기재직휴가 사용 요건이 되면 인사랑에 자동 반영되나요?</t>
  </si>
  <si>
    <t>4cb95a61675a498fae97ba295b061416</t>
  </si>
  <si>
    <t>네, 말씀하신 내용에 대해 자세히 안내해 드릴게요.
**장기재직휴가 기준**
- **시행 대상**: 재직기간 5년 이상인 공무원
- **휴가 일수**:
  - **5년 ~ 9년**: 5일
  - **10년 ~ 19년**: 10일
  - **20년 ~ 29년**: 25일
  - **30년 이상**: 25일
**장기재직휴가 사용 방법**
1. **재직기간 확인**: 공무원연금공단에서 제공하는 퇴직급여 재직기간을 기준으로 합니다.
   - 방법은 첨부된 참고자료를 참조하세요.
2. **사전 등록**: 휴가 시작일 기준 1주일 전에 차세대인사랑 복무관리시스템을 통해 휴가 신청을 합니다.
   - **등록 절차**:
     - 직원이 부서별 서무를 통해 복무시스템에 승인 가능 일수를 사전 등록합니다.
     - 부서장은 휴가 시작 전까지 승인합니다.
3. **승인 및 실시**:
   - 부서장의 승인이 완료되면 휴가를 실시할 수 있습니다.
   - 휴가 신청 시 복무 구분은 "연가외휴가관리 - 특별휴가 - '장기재직휴가'"로 등록하며, 휴가 사유에 금회 차수와 남은 휴가 일수를 명시합니다.
4. **휴가 기간 및 분할 사용**:
   - 휴가 기간은 최소 2일 이상 사용 가능하며, 필요에 따라 여러 번 나누어 사용할 수 있습니다.
   - 예를 들어, 10일의 휴가는 3일씩 3번, 2일씩 5번 등으로 분할 가능합니다.
   - 토요일, 일요일, 공휴일은 휴가 기간에 포함되지 않습니다.
5. **업무 대행자 지정**:
   - 장기간 휴가 중에는 업무 공백을 방지하기 위해 업무 대행자를 지정해야 합니다.
   - 부서장은 휴가 기간 동안 업무 대행자 지정을 확인하고 승인합니다.
6. **기타 유의사항**:
   - 국정감사, 행정사무감사, 부서 주요 업무 추진 기간, 국가적 재난 상황 등 중요한 시기에는 휴가 사용을 자제해야 합니다.
   - 연가와 연계하여 사용하는 것도 가능하며, 이때는 휴가 신청 시 명확히 표시해야 합니다.
**인사 시스템 자동 반영 여부**
- **자동 반영되지 않습니다.**
  - 장기재직휴가 사용 자격이 되더라도 자동으로 인사 시스템에 반영되거나 알림이 제공되지 않습니다.
  - 따라서, 본인이 재직기간을 확인하고 해당되는 경우 직접 복무관리시스템에 신청 절차를 진행해야 합니다.
**추가 정보**
- **재직기간 산정 방법**:
  - 공무원연금공단 웹사이트에서 본인의 재직기간을 확인할 수 있습니다.
  - 재직기간은 임명된 날부터 현재까지의 연월수로 계산됩니다.
- **문의처**:
  - 자세한 내용이나 개별적인 문의 사항은 인사과 담당자나 복무 관련 부서에 연락하시면 도움을 받으실 수 있습니다.
---
이렇게 장기재직휴가의 기준과 사용 방법에 대해 알아보았습니다. 추가적인 질문이나 도움이 필요하시면 언제든지 말씀해 주세요!</t>
  </si>
  <si>
    <t>cb9aadd9-b151-4b85-9de9-4f670b93f777</t>
  </si>
  <si>
    <t>업무추진비 집행을 위해서 확인해야할 규정을 정리해주세요. 직원당 쓸 수 있는 단가도 상세히 알려주세요
(예시: 정원가산업무추진비 격려금 지급 상한금액 등)</t>
  </si>
  <si>
    <t>1223_별표_1_지방자치단체의_장_등_업무추진비_집행대상_직무활동_범위제3조제1항_관련지방자치단체_업무추진비_집행에_관한_규칙.pdf</t>
  </si>
  <si>
    <t>1, 2, 3, 4</t>
  </si>
  <si>
    <t>cfdab91617d74c2ebfffdd2332ae8f80</t>
  </si>
  <si>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한도를 제공합니다.
2. **'지방자치단체 회계관리에 관한 훈령'**: 회계 처리와 관련된 일반적인 사항을 다루며, 업무추진비의 지출 절차와 증빙 서류 등에 대한 내용이 포함되어 있습니다.
3. **'공직선거법'**: 선거 기간 동안 공직자가 지켜야 할 행동 규범을 제시하며, 특히 기부행위와 관련된 제한 사항이 중요합니다.
4. **'청렴계약제도 운영요령'**: 계약 체결 과정에서 발생할 수 있는 부정이나 비리를 방지하기 위한 지침으로, 업무추진비와 연계될 수 있는 부분이 있습니다.
**직원당 사용할 수 있는 단가와 상한 금액은 다음과 같습니다:**
- **격려금 지급 상한금액**:
  - *개인당 최대 지급 가능 금액*: 일반적으로 5만원 이내로 제한됩니다.
  - *연간 총액 제한*: 개인별로 연간 지급 가능한 격려금은 10만원을 초과할 수 없습니다.
- **축의·부의금품**:
  - *지급 대상 범위*: 본인, 배우자, 그리고 그들의 직계존비속에 한해 지급 가능합니다.
  - *지급 명목*: 결혼 또는 사망에 해당하는 경우에 한합니다.
- **식사 제공 비용**:
  - *1인당 식사 비용 상한*: 일반적으로 1인당 3만원 이내로 제한됩니다.
  - *총액 제한*: 특정 행사에서 제공되는 전체 식사 비용이 일정 금액을 넘지 않도록 관리해야 합니다.
이러한 규정들은 투명하고 효율적인 재정 운영을 보장하기 위한 것으로, 업무추진비를 사용하는 모든 담당자는 이를 준수해야 합니다. 또한, 각 지방자치단체마다 세부적인 내부 지침이나 추가적인 제한 사항이 있을 수 있으므로, 정확한 정보를 얻기 위해서는 해당 기관의 회계 담당자나 감사 부서와 상의하는 것이 좋습니다.</t>
  </si>
  <si>
    <t>126d524e-03a8-4f9f-9da6-ed5c6d2d18e2</t>
  </si>
  <si>
    <t>3cbf2afa-167e-46a9-949d-0841dc36cf22</t>
  </si>
  <si>
    <t>e2b81875-e425-4671-9633-1d9eb8fdf592</t>
  </si>
  <si>
    <t>06e2d806-820f-44b2-88c2-0cde5771c810</t>
  </si>
  <si>
    <t>d38763e2fbab4552b820dd4117527eea</t>
  </si>
  <si>
    <t>조례제정시 의회제출 전 법무담당관 협의 등 거쳐야 하는 내부 절차 및 기한에 대해 알려주세요</t>
  </si>
  <si>
    <t>15f412b064b949ce9a5cc124ab7dd60d</t>
  </si>
  <si>
    <t>조례를 제정할 때 의회에 제출하기 전에 거치는 내부 절차와 그 기한을 안내해 드리겠습니다.
**1. 조례안 작성 및 입안**
- **주관 부서에서 조례안을 작성하고 입안**합니다. 이때 조례안의 목적, 내용, 기대효과 등을 명확히 합니다.
**2. 사전 승인 및 평가**
- **사전 승인**: 조례안이 상위 법령이나 다른 법령과 충돌하지 않는지 확인합니다.
- **부패 영향 평가**: 감사담당관의 협조를 받아 조례안이 부패를 유발하거나 조장하지 않는지 검토합니다.
- **성별 영향 평가**: 여성가족과의 협조를 통해 조례안이 특정 성별에 불이익을 주지 않는지 평가합니다.
- **규제 영향 분석**: 새로운 규제가 생기는 경우 규제개혁위원회의 심의를 받습니다.
**3. 입법 예고**
- **입법 예고 실시**: 시민들에게 조례안의 내용을 알리고 의견을 수렴하기 위해 최소 20일간 입법 예고를 진행합니다. 이는 시보나 시 인터넷 홈페이지를 통해 이루어집니다.
**4. 법제 심사 의뢰**
- **법무담당관에 법제 심사 요청**: 조례안의 법적 타당성과 표현의 정확성을 검토받기 위해 법무담당관에 심사를 의뢰합니다.
**5. 조례규칙심의회 심의·의결**
- **조례규칙심의회 상정**: 법무담당관은 조례안을 조례규칙심의회에 상정하여 재적위원 과반수의 찬성으로 의결합니다.
- **기한**: 일반적으로 조례규칙심의회는 정기적으로 열리며, 특별한 사정이 없는 한 정해진 일정에 따라 진행됩니다.
**6. 시의회 제출**
- **시의회 제출**: 조례규칙심의회 의결을 거친 조례안은 다음 회기에 맞춰 시의회에 제출됩니다.
- **기한**: 통상적으로 회기 시작 10일 전까지 제출해야 하며, 이는 시의회가 충분한 시간을 가지고 조례안을 검토할 수 있도록 하기 위함입니다.
**7. 조례안 이송**
- **시의회에서 의결된 조례안을 시청으로 이송**받습니다.
- **기한**: 의결 후 5일 이내에 이송되며, 이는 조례의 신속한 공포를 위한 것입니다.
**8. 조례안 사전 보고**
- **행정안전부에 사전 보고**: 조례안이 시의회를 통과하면 행정안전부에 이 사실을 보고합니다.
- **기한**: 이송 후 5일 이내에 보고하며, 중앙정부와의 협력 사항을 점검합니다.
**9. 조례규칙심의회 재심의**
- **수정 가결 시 추가 심의**: 시의회에서 일부 내용이 수정되어 가결된 경우, 조례규칙심의회에서 이를 다시 심의합니다.
- **기한**: 수정 내용에 대한 추가적인 검토이므로 상황에 따라 유동적이지만, 가능한 빨리 처리합니다.
**10. 조례안 공포**
- **조례안 공포**: 최종 확정된 조례안을 공식적으로 발표합니다.
- **기한**: 이송 후 20일 이내에 공포하며, 이는 조례의 효력 발생을 위한 필수 절차입니다.
이러한 절차를 거치면서 각 단계마다 정해진 기한 내에 완료되어야 하므로, 관련 부서 간 원활한 소통과 협업이 중요합니다. 만약 특정 단계에서의 지연이 예상된다면 사전에 조정하여 전체 일정에 차질이 없도록 해야 합니다.
추가적인 질문이나 구체적인 도움이 필요하시면 언제든지 말씀해 주세요!</t>
  </si>
  <si>
    <t>0a746bec-056c-4b53-bcb3-8671909e6a17</t>
  </si>
  <si>
    <t>휴일 출장시 대체휴무 사용이 가능한가요?</t>
  </si>
  <si>
    <t>bac0ae6bd2ac49799cd953b33308f0d7</t>
  </si>
  <si>
    <t>네, 휴일 출장의 경우에도 대체휴무를 사용할 수 있습니다. 그러나 대체휴무를 사용하기 위해서는 몇 가지 조건을 충족해야 합니다.
**대체휴무 사용 조건:**
1. **기관장의 사전 승인**: 대체휴무는 반드시 기관장이나 허가권자의 승인을 받아야 합니다. 이는 공식적인 절차로서, 임의로 결정할 수 없습니다.
2. **실제 근무 시간 확인**: 휴일에 실제로 근무한 시간이 정규 근무시간을 포함하여 총 8시간 이상이어야 합니다. 이때, 출장으로 인한 이동시간이나 식사 시간 등은 공무와 직접적인 관련이 없는 시간으로 간주되어 근무 시간에 포함되지 않습니다.
3. **객관적 증빙 자료 제출**: 실제 근무 시간과 업무 내용은 객관적인 자료를 통해 입증되어야 합니다. 예를 들어, 출발지와 도착지의 교통편 이용 기록, 업무 수행 내용 등이 이에 해당합니다.
**주의 사항:**
- **초과근무수당과 중복 지급 불가**: 대체휴무와 초과근무수당은 동시에 받을 수 없으며, 둘 중 하나만 선택하여 수령해야 합니다.
- **차량 이동 시간 제외**: 단순히 차량을 이용하여 이동하거나 복귀하는 시간은 근무 시간으로 인정되지 않으므로, 이 부분에 주의하셔야 합니다.
따라서, 휴일 출장을 다녀오신 경우 위의 조건을 모두 만족한다면 대체휴무를 신청하실 수 있습니다. 하지만 정확한 적용 여부나 추가적인 문의사항이 있으시면 인사부서에 상세히 문의하시는 것이 좋습니다. 도움이 더 필요하시면 언제든지 말씀해 주세요!</t>
  </si>
  <si>
    <t>b31132ea-fc5b-4583-997d-7ef429a09d07</t>
  </si>
  <si>
    <t>사후초과 익일결재를 못받은 경우 구제방법이 있나요?</t>
  </si>
  <si>
    <t>349</t>
  </si>
  <si>
    <t>f47d689b9236473a8597f955768c3090</t>
  </si>
  <si>
    <t>안녕하세요! 질문하신 내용에 대해 답변드리겠습니다.
우선, 관련 지침인 '지방공무원 보수의 업무처리 기준'에 따르면, 초과근무를 한 공무원은 근무 종료 후에 초과근무확인대장에 서명하고, 당직근무자의 확인을 받아야 합니다. 또한, 초과근무명령을 받지 않고 초과근무를 했거나, 명령에서 정한 시간을 초과하여 근무한 경우에는 근무 종료 후 퇴청 시에 당직근무자의 확인을 받고, 초과근무 다음 날까지 명령권자의 사후결재를 받아야 합니다.
그러나 만약 사후결재를 받지 못한 상황이라면, 이는 초과근무수당 지급에 문제가 발생할 수 있습니다. 이러한 경우 구제를 받기 위한 방법은 다음과 같습니다:
1. **증빙자료 확보**: 초과근무를 했다는 사실을 입증하기 위해 초과근무확인대장의 기록, 동료의 증언, 이메일이나 문자 메시지 등을 통해 근무 사실을 증명해야 합니다.
2. **인사부서 문의**: 먼저 인사부서나 초과근무 관리를 담당하는 부서에 상황을 설명하고, 사후결재를 받을 수 있는지 문의해보세요. 때로는 행정상의 착오나 누락으로 인해 사후결재가 이루어지지 않을 수 있으므로, 이를 바로잡을 수 있습니다.
3. **상급자와 협의**: 상급자나 부서장과 상의하여 초과근무 사실과 사후결재를 받지 못한 이유를 설명하고, 필요한 조치를 요청할 수 있습니다.
4. **내부 감사 제도 활용**: 내부 감사를 신청하거나, 감사부서에 상황을 알려 공식적인 조사를 요청할 수도 있습니다.
5. **법률 자문**: 위의 방법으로도 해결되지 않는다면, 법률 전문가나 노무사의 도움을 받아 법적 대응 방안을 모색할 수 있습니다.
이러한 절차를 통해 초과근무에 대한 적절한 보상을 받으실 수 있을 것입니다. 중요한 것은 초과근무 당시의 증빙자료를 잘 보관하고, 신속하게 문제를 해결하기 위해 노력하는 것입니다.
만약 추가적인 도움이 필요하시거나 더 자세한 안내가 필요하시면 언제든지 말씀해 주세요. 도와드릴 수 있도록 최선을 다하겠습니다. 감사합니다.</t>
  </si>
  <si>
    <t>4c484216-17f1-412e-9d3b-6db284268cc9</t>
  </si>
  <si>
    <t>회의실 신청 어떻게 하나요?</t>
  </si>
  <si>
    <t>0e08c2e41fe94c45aea009f4d718e80f</t>
  </si>
  <si>
    <t>회의실을 신청하려면 먼저 행정포털의 개인서비스를 이용하여 원하는 날짜를 선택하고 예약을 진행하면 됩니다. 자세한 절차는 다음과 같습니다:
1. **행정포털 접속**: 업무용 컴퓨터에서 행정포털 사이트에 로그인합니다.
2. **개인서비스 메뉴 선택**: 메인 화면에서 '개인서비스' 메뉴를 클릭합니다.
3. **회의장 클릭**: 개인서비스 페이지 내에서 '회의장' 항목을 찾아 클릭합니다.
4. **예약 정보 입력**:
   - **날짜 선택**: 사용하고자 하는 날짜를 선택합니다.
   - **시간 설정**: 필요한 시작 시간과 종료 시간을 지정합니다.
   - **회의실 선택**: 사용할 회의실의 종류와 위치를 선택합니다.
   - **참석자 정보 입력**: 회의 참석자의 이름이나 부서 등을 입력합니다.
5. **예약 완료**: 모든 정보를 정확히 입력한 후 '예약 신청' 버튼을 눌러 예약을 완료합니다.
또한, 일부 회의실은 외부 기관에서도 사용이 가능하며, 이 경우 해당 기관과의 협의를 통해 예약을 진행해야 합니다. 예를 들어, 국민연금공단이나 부산고용복지센터 등의 회의실을 사용하고 싶다면 관련 부서에 연락하여 예약을 요청해야 합니다.
추가적으로, 회의실 사용 시에는 회의장의 규모와 수용 인원을 고려하여 적절한 장소를 선택하는 것이 중요합니다. 만약 대규모 회의나 특별한 시설이 필요하다면 사전에 담당자와 상의하여 준비를 해야 할 수 있습니다.
회의실 예약과 관련하여 더 궁금한 사항이 있으시면 언제든지 말씀해 주세요! 도움이 필요하시면 기꺼이 도와드리겠습니다.</t>
  </si>
  <si>
    <t>66063161-42ba-4177-9e58-a5ca453d8611</t>
  </si>
  <si>
    <t>국외출장시 며칠 전까지 허가신청 공문 보내야 하나요?</t>
  </si>
  <si>
    <t>483_페이지49_문서3_162906_부산광역시_공무국외출장_조례.pdf</t>
  </si>
  <si>
    <t>9aaecfd32b2b4dd4a48ae88a5fa648f3</t>
  </si>
  <si>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일반적으로는 30일 이전 신청이 원칙입니다. 추가적인 문의나 도움이 필요하시면 언제든지 말씀해 주세요!</t>
  </si>
  <si>
    <t>55bd07e8-873e-4f14-bb39-654b67a37ddd</t>
  </si>
  <si>
    <t>보존기간 만료 기록물 자체 폐기 가능한가요?</t>
  </si>
  <si>
    <t>432_2412_통합민원과_업무메뉴얼_국가기록원_25년_기록물관리_지침.pdf</t>
  </si>
  <si>
    <t>264</t>
  </si>
  <si>
    <t>2a2a0a51dcb04a449eee54c91acc77fa</t>
  </si>
  <si>
    <t>네, 보존기간 만료 기록물의 폐기는 가능합니다. 그러나 이는 관련 법규와 지침을 준수하여 진행해야 합니다.
**관련 규정**
- **'공공기록물 관리에 관한 법률'(약칭: 공공기록물법)**에서는 기록물의 생산부터 폐기까지의 전 과정을 규정하고 있습니다.
- 특히, **제16조**에서는 기록물의 보존기간 책정과 관련된 사항을 다루며, **제18조**에서는 기록물의 평가 및 폐기에 대한 절차를 명시하고 있습니다.
- 또한, **'2025년 기록물관리 지침'**에서도 기록물의 평가 및 폐기 절차에 대해 상세히 안내하고 있습니다.
**폐기 절차**
1. **평가 및 심의**: 보존기간이 만료된 기록물은 먼저 평가를 받아야 합니다. 이때 기록물평가심의회의 심의를 통해 해당 기록물이 더 이상 가치가 없는지를 판단합니다.
2. **폐기 결정**: 평가 결과 폐기가 필요하다고 결정되면, 공식적인 폐기 절차를 밟게 됩니다.
3. **폐기 방법**: 폐기는 물리적 파기와 디지털 삭제를 포함하며, 보안성과 효율성을 고려하여 적절한 방법을 선택해야 합니다.
**주의사항**
- **기록관의 승인 필요**: 기록물의 폐기는 일반적으로 기록관에서 담당하며, 기록관의 승인 없이 임의로 폐기할 수 없습니다.
- **보안 유지**: 폐기 과정에서 개인정보나 민감한 정보가 유출되지 않도록 철저한 관리가 필요합니다.
- **증빙 자료 보관**: 폐기 후에는 폐기 일자, 방법 등을 기록한 증빙 자료를 보관해야 합니다.
**결론적으로**, 보존기간이 만료된 기록물을 폐기하려면 위의 절차를 따라야 하며, 임의로 폐기하는 것은 법적 문제가 될 수 있으므로 주의해야 합니다. 구체적인 절차나 추가적인 문의 사항이 있으시면 관련 부서나 기록관에 문의하시는 것이 좋습니다. 도움이 되셨기를 바랍니다!</t>
  </si>
  <si>
    <t>9c736d16-0d5b-4487-963c-cfeab11843a0</t>
  </si>
  <si>
    <t>보안usb 매체점검은 어디서 하나요?</t>
  </si>
  <si>
    <t>368_2412_정보화정책과_업무매뉴얼_채울_휴대용저장매체관리시스템_부서관리자_매뉴얼.pdf</t>
  </si>
  <si>
    <t>29, 30</t>
  </si>
  <si>
    <t>f386893683ad4a0dbf0066b2089fc5d7</t>
  </si>
  <si>
    <t>보안 USB 매체점검은 'uAgency' 프로그램에서 진행하실 수 있어요. 먼저 작업 표시줄의 'uAgency' 아이콘을 우클릭한 다음, '신청서 관리' 메뉴를 선택하세요. 그 다음에는 '매체 관리' 메뉴로 이동하고, '빠른 실행'에서 '매체 점검'을 선택하면 됩니다. 이렇게 하면 등록된 모든 보안 USB를 선택하여 매체 점검을 시작할 수 있어요.
또한, 보안 USB의 폐기는 동일한 절차로 진행되며, 매체 관리를 통해 폐기를 원하는 매체를 선택한 후 처리하시면 돼요. 만약 더 궁금한 점이 있으시면 언제든지 물어보세요! 도움이 필요하면 언제든 말씀해 주세요.</t>
  </si>
  <si>
    <t>eeb59030-5346-44c9-aa6d-a7b16bc33730</t>
  </si>
  <si>
    <t>89e1fa96-4c9d-45ab-8f16-a271379ed94d</t>
  </si>
  <si>
    <t>bc02f04b-68d0-4c39-babe-e4d573aa8069</t>
  </si>
  <si>
    <t>신규 임용시 원활한 업무진행을 위해 행정포털, 행정전자서명 발급등 처리해야 할 사항 및 절차는 어떻게 되나요?</t>
  </si>
  <si>
    <t>0feb80f4d00943d4ab0f2867f8de9405</t>
  </si>
  <si>
    <t>신규 임용으로 인해 원활한 업무 진행을 위해서는 다음과 같은 절차를 따라야 합니다.
**1. 행정포털 계정 생성**
- **신청**: 인사 발령 후 해당 부서에 통보되면, 부서에서는 신규 직원에 대한 행정포털 계정 생성 요청을 해야 합니다.
- **절차**: 일반적으로 인사 담당자나 IT 관리 부서에 필요한 서류와 함께 계정 생성을 요청합니다.
- **필요 서류**: 신분증 사본, 재직 증명서 등 신원 확인을 위한 문서.
**2. 행정전자서명(GPKI) 발급**
- **신청**: 행정전자서명은 전자결재 시스템 등에서 사용되며, 공식적인 문서에 서명할 때 필요합니다.
- **절차**:
  - **첨부된 한글 파일 서식 작성**: 제공된 서식을 사용하여 신청서를 작성합니다.
  - **공문 제출**: 작성한 신청서와 관련 서류를 첨부하여 정보화정책과나 해당 부서로 공문을 발송합니다.
  - **처리 확인**: 공문 접수 후 발급 가능 처리가 되면, 휴대전화로 인증번호가 전송됩니다.
  - **인증서 발급**: `gpki.go.kr`에 접속하여 이름과 주민등록번호를 입력하고, 받은 인증번호로 인증을 완료합니다.
- **주의사항**:
  - 발급 가능 처리 후 14일 이내에 인증서를 발급받지 않으면 다시 신청해야 합니다.
  - 인증서는 행정망에서만 발급 가능합니다.
**3. 기타 필요한 시스템 접근 권한 설정**
- **보안 교육 이수**: 보안 정책에 따른 교육을 이수해야 할 수도 있습니다.
- **시스템 접근 권한 부여**: 업무에 필요한 소프트웨어나 데이터베이스 등에 대한 접근 권한을 받아야 합니다.
- **장비 지급**: 업무에 필요한 컴퓨터나 모바일 기기 등이 지급될 수 있습니다.
**추가적으로 알아두어야 할 사항**
- **인증서 갱신**: 인증서는 유효기간이 있으므로, 만료 전에 갱신이 필요합니다. 유효기간 100일 전부터 만료일까지 갱신 가능하며, 별도의 공문 없이도 가능합니다.
- **인증서 이동**: 다른 PC로 인증서를 이동해야 할 경우, 위의 문서에서 안내하는 방법을 따르면 됩니다.
- **문의처**:
  - 기술적인 문제나 절차상의 궁금증이 있을 경우, 정보화정책과로 문의하시면 도움을 받을 수 있습니다.
  - 인증관리센터 콜센터(1661-9088)는 인증서 발급 및 갱신 과정에서 발생하는 기술적인 문제를 해결해 줍니다.
**참고 자료**
- **관련 문서**: 첨부된 '[부산광역시 업무매뉴얼] 부산광역시 행정전자서명(GPKI) 발급·갱신·이동 안내'를 참고하시면 자세한 절차와 유의사항을 확인할 수 있습니다.
이러한 절차를 통해 신규 임용자는 원활하게 업무를 시작할 수 있으며, 필요한 시스템과 자원을 적시에 활용할 수 있게 됩니다. 만약 추가적인 도움이 필요하다면, 소속 부서의 선임자나 IT 지원 부서에 문의하시는 것도 좋은 방법입니다.</t>
  </si>
  <si>
    <t>bbdc59a2-deab-43c6-a54d-e61ff223faa4</t>
  </si>
  <si>
    <t>직원차량 등록 절차는 어떻게 되나요?</t>
  </si>
  <si>
    <t>57f8b6f279b748a2b906126dac9d5701</t>
  </si>
  <si>
    <t>직원 차량의 주차장 등록 절차는 다음과 같습니다:
1. **승용차 요일제 1일 지정**: 시청 교통혁신과, 구청 또는 행정복지센터를 방문하여 승용차 요일제를 신청하고 1일을 지정합니다.
2. **선택 요일 1일 지정**: 추가로 원하는 요일을 선택하여 총 2일의 요일을 지정합니다.
3. **필요한 서류 준비**:
   - **경차, 수소차, 하이브리드 전기차**인 경우: 차량등록증을 준비합니다.
   - **장애인, 국가유공자 차량**인 경우: 본인 확인이 가능한 증빙서류를 제출합니다.
   - **유아 동승 차량**인 경우: 재원증명서와 주민등록등본을 제출하며, 해당 유아가 초등학교에 입학하면 자동으로 해제됩니다.
4. **엑셀 파일 작성**: "직원정기권 등록 신청서" 엑셀 파일을 작성합니다.
5. **각 과에서 취합**: 소속 부서나 과에서 모든 직원들의 신청서를 모아 취합합니다.
6. **공문으로 신청**: 취합된 신청서를 포함한 공문을 통해 주차관리 부서에 신청을 합니다.
7. **차량 해지 시에도 동일한 절차 적용**: 차량을 해지할 때도 위의 절차를 따라 공문으로 신청해야 합니다.
이러한 절차를 거쳐야 직원들이 주차장을 원활하게 이용할 수 있습니다. 추가적인 문의 사항이나 도움이 필요하시면 언제든지 말씀해 주세요!</t>
  </si>
  <si>
    <t>조례 개정 절차는 어떻게 되나요?</t>
  </si>
  <si>
    <t>4f362485d6474c338dc4ad5468ea356f</t>
  </si>
  <si>
    <t>보통예금계좌 점검 주기 및 방법을 알려줘</t>
  </si>
  <si>
    <t>131, 132</t>
  </si>
  <si>
    <t>e0891b1076b74f8d832ec978db5503e4</t>
  </si>
  <si>
    <t>보통예금계좌의 점검 주기와 방법은 다음과 같습니다.
**1. 사업부서장의 점검**
- **주기**: 분기별 1회 이상
- **방법**: 해당 부서 보통예금계좌를 점검하고, 그 결과를 바탕으로 계좌가 불필요하거나 유사사업 등으로 인해 통폐합이 필요하다고 판단되면 즉시 계좌를 해지하거나 통폐합한 후 회계부서장에게 통보합니다.
**2. 회계부서장의 점검**
- **주기**: 반기별 1회 이상
- **방법**: 자치단체 전체 보통예금계좌를 점검하며, 이때 자치단체 보통예금계좌의 용도에 따라 예산이나 세정과 관련된 업무를 담당하는 부서의 장이 점검을 수행할 수 있습니다.
**3. 외부점검**
- **주최**: 회계책임관
- **대상**: 감사부서
- **주기**: 연 1회 이상
- **내용**: 계좌 운영 현황에 대한 전수조사를 실시하며, 이를 위해 사업부서와 금고로부터 계좌 현황 자료를 제출받아 대조 및 점검을 진행합니다.
**4. 계좌관리 방안**
- **알림 서비스 활용**: 계좌에서 1회 입출금되는 금액이 일정액(예: 1천만 원) 이상일 경우, 해당 내역을 사업부서장, 회계부서장 및 예산업무담당부서장(기금관리부서)에게 문자로 알리는 서비스를 금고와 협의하여 활용할 수 있습니다.
- **제한 조치**: 기금 부담금 등 수입금을 중간수납 계좌에서 최종계좌로 이체할 때, 금고와의 협의를 통해 자치단체가 지정한 금고 영업점에서만 이체가 가능하도록 제한합니다.
- **보안 강화**: 인터넷뱅킹이나 모바일뱅킹 서비스를 통한 출금을 금지하며, 필요할 경우 회계책임관의 엄격한 승인 하에만 허용됩니다.
- **승인 절차**: 계좌의 입출금 한도금액을 상향 조정하고자 할 때는 회계부서의 승인을 받아야 하며, 회계부서 승인공문을 첨부하여 금고에 공식적인 절차를 거쳐 요청합니다.
이러한 점검과 관리 방안을 통해 자치단체의 보통예금계좌를 효율적으로 운영하고 재정 투명성을 확보할 수 있습니다. 추가적인 질문이나 궁금한 점이 있으시면 언제든지 말씀해 주세요!</t>
  </si>
  <si>
    <t>1187efad-ff1f-42b8-b8d3-3ec87a1d97a8</t>
  </si>
  <si>
    <t>3548388c-549a-4313-a061-00ef55ae5cf8</t>
  </si>
  <si>
    <t>80e762ce-2151-452d-891f-f2e6a314a7bb</t>
  </si>
  <si>
    <t>장기재직휴가 기준 및 사용 방법을 알려줘</t>
  </si>
  <si>
    <t>2ec7844e2f654d28b1409ff2bd325c3b</t>
  </si>
  <si>
    <t>장기재직휴가는 5년 이상 근무한 공무원에게 제공되는 특별휴가로, 재충전의 기회와 사기를 진작하기 위한 제도입니다. 이 휴가는 재직기간에 따라 다음과 같이 제공됩니다:
- **5년 ~ 9년**: 5일의 휴가
- **10년 ~ 19년**: 10일의 휴가
- **20년 ~ 29년**: 25일의 휴가
- **30년 이상**: 25일의 휴가
**사용 방법은 다음과 같습니다:**
1. **재직기간 내 사용 의무**: 각 재직기간 내에 해당 휴가를 모두 사용해야 합니다. 예를 들어, 9년에서 10년이 되는 시점에서는 5일의 휴가를 사용할 수 있습니다.
2. **휴가 기간 분할 사용**: 휴가 기간은 최소 2일 이상으로 나누어 사용할 수 있으며, 총 휴가 일수를 여러 번에 걸쳐 사용할 수 있습니다. 단, 토요일이나 일요일, 공휴일은 휴가 기간에 포함되지 않습니다.
3. **부서 인원 제한**: 한 부서에서 동시에 사용하는 장기재직휴가의 인원은 전체 인원의 1/3을 넘지 않아야 합니다.
4. **연가와의 연계 사용**: 필요에 따라 연가와 함께 사용하여 더 긴 휴식을 취할 수 있습니다. 이때, 연계 사용을 원하는 경우에는 휴가 계획 결재 시 명확히 표시해야 합니다.
5. **승인권자와의 협의**: 휴가를 사용하기 위해서는 부서장의 승인이 필요합니다. 과장급 이상의 경우 직상위 관리자나 국장 등의 추가 승인이 필요할 수 있습니다.
6. **업무 대행자 지정**: 장기간 휴가를 사용하는 동안 업무 공백을 방지하기 위해 업무를 대신할 대행자를 지정하고, 업무 인계를 철저히 해야 합니다.
7. **특정 시기 피하기**: 국정감사, 행정사무감사, 부서 주요 업무 추진 기간, 국가적 재난 상황 등 중요한 일정에는 휴가를 자제하는 것이 좋습니다.
**재직기간 산정은 "공무원연금법" 제25조에 따른 공무원연금공단의 퇴직급여 재직기간(연월수로 계산)을 따릅니다. 자세한 재직기간 확인은 공무원연금공단 홈페이지에서 공인인증서를 통해 가능합니다.**
이러한 지침을 준수하여 장기재직휴가를 사용하면 됩니다. 추가로 궁금한 사항이 있으시면 언제든지 물어보세요!</t>
  </si>
  <si>
    <t>공무원증 신청 및 승인처리 방법을 알려줘</t>
  </si>
  <si>
    <t>2d9391c67b954df28a60cbd4410bbdca</t>
  </si>
  <si>
    <t>공무원증 신청 및 승인처리는 다음과 같습니다.
**1. 공무원증 신청 방법**
- **차세대 인사랑 시스템 이용**: 인사랑 시스템의 '인사마당' 탭에서 '공무원증 신청' 메뉴를 선택합니다.
- **신청 구분 선택**: 발급받고자 하는 공무원증의 종류를 선택합니다. 예를 들어, '실물공무원증' 또는 '모바일공무원증' 중에서 선택할 수 있습니다.
- **부서장 승인**: 신청 후에는 부서장의 승인을 받아야 합니다. 이는 내부 승인 절차를 의미하며, 조직 내에서 필요한 검토 과정을 거치게 됩니다.
**2. 모바일 공무원증 사용 방법**
- **SMS 안내 수신**: 모바일 공무원증을 신청한 경우, SMS로 발급 준비 완료 안내를 받습니다.
- **앱 설치**: 안내된 설치 URL을 통해 모바일 공무원증 앱을 스마트폰에 설치합니다.
- **본인 확인 및 비밀번호 설정**: 앱에서 본인 인증을 하고 비밀번호를 설정하여 보안을 강화합니다.
- **사용 시작**: 설정이 완료되면 모바일 공무원증을 사용할 수 있게 됩니다.
**주의 사항**
- **현재 모바일 공무원증으로는 청사 출입이 불가능합니다.** 따라서 청사 출입을 위해서는 실물 공무원증을 소지하셔야 합니다.
- **신청부터 수령까지의 기간은 약 3~4주 정도 소요될 수 있습니다.** 이는 기관의 업무량과 상황에 따라 변동될 수 있으므로 여유를 가지고 신청하시는 것이 좋습니다.
**추가 정보**
- **퇴직자나 휴직자의 재직증명서 또는 경력증명서 발급 방법**:
  - **온라인 발급**: 정부24(www.gov.kr)에서 공동인증서로 본인 인증 후 "재직(퇴직·경력)증명" 또는 "국가공무원퇴직자경력증명"을 검색하여 신청합니다.
  - **방문 발급**: 소속 기관의 인사과를 직접 방문하여 신분증과 신청서를 제출합니다.
  - **우편 발급**: 시간이 더 소요되므로 급하신 경우에는 다른 방법을 이용하시기 바랍니다.
위의 정보를 참고하시어 공무원증 신청 및 관리에 도움이 되시길 바랍니다. 추가적인 질문이나 도움이 필요하시면 언제든지 말씀해 주세요!</t>
  </si>
  <si>
    <t>비밀문서 접수 시 처리 절차를 알려줘</t>
  </si>
  <si>
    <t>776_페이지78_문서6_163407_부산광역시_보안업무규정.pdf</t>
  </si>
  <si>
    <t>0079663ba7f643ecb7839d5ceb2873a5</t>
  </si>
  <si>
    <t>비밀문서를 접수할 때의 처리 절차는 다음과 같습니다:
1. **문서접수·발송담당부서의 역할**: 비밀의 접수는 각급 기관의 문서접수·발송 담당부서를 통해서 이루어집니다.
2. **접수담당자의 확인**: 접수담당자는 비밀을 접수하면 접수·발송대장에 기록하고, 내용의 중요성에 따라 주관부서의 비밀취급담당자에게 직접 전달합니다. 이때 수령자란에 서명 또는 날인을 받습니다.
3. **비밀관리기록부 등록**: 비밀을 인수한 부서는 비밀관리기록부에 해당 비밀을 기록하고 고유한 관리번호를 부여하여 체계적으로 관리합니다.
4. **잘못된 비밀 처리**: 만약 잘못된 비밀을 받았다면, 봉함을 개봉하지 않고 그대로 발송기관에 반송합니다. 이미 봉함이 개봉되었다면 개봉자가 날인 후 다시 봉함하여 반송합니다.
이러한 절차를 통해 비밀문서의 안전한 접수와 관리를 보장하며, 비밀 유출이나 오용을 방지합니다. 추가적인 문의 사항이 있으시면 언제든지 말씀해 주세요!</t>
  </si>
  <si>
    <t>a9442f9c-e893-429f-8d63-183881bca4f8</t>
  </si>
  <si>
    <t>미등록기록물 등록 방법은 어떻게 되나요?</t>
  </si>
  <si>
    <t>19, 20, 21, 22, 23, 24</t>
  </si>
  <si>
    <t>c375c809da2b4775b0561768c27177fd</t>
  </si>
  <si>
    <t>미등록기록물의 등록 방법은 다음과 같습니다:
1. **기록관리시스템 로그인**: 행정포털을 통해 자동으로 로그인이 가능하며, 행정서비스 &gt; 기록관 &gt; 기록관리시스템으로 접속합니다.
2. **미등록기록물 추가 등록 절차**:
   - **대 상**: 당해 연도에 등록되지 않은 비전자기록물
   - **절 차**:
     1. **기록물철 등록**
       - *절차*: 기록물인수 &gt; 등록인수 &gt; 등록 버튼 클릭
       - *등록화면*:
         - 등록정보 입력 (기록물철명, 생산기관, 위과제 등)
         - 등록 버튼 클릭
     2. **기록물건 등록**
       - 기록물인수 &gt; 등록인수 &gt; 등록 버튼 클릭
       - 등록화면에서 각 기록물에 대한 상세 정보를 입력하고 등록 버튼을 클릭합니다.
     3. **등록 완료**
     4. **검수 및 인수**
       - 등록인수 &gt; 기록물 등록 &gt; 검수 &gt; 조회 버튼 클릭
       - 해당 기록물철 선택 후 정상검수 및 인수 버튼을 클릭합니다.
     5. **표지·색인목록 출력**
       - 기록물보존 &gt; 기록정리 &gt; 비전자편철에서 필요한 정보를 입력하고 조회합니다.
       - 해당 기록물철 선택 후 표지와 색인목록을 인쇄합니다.
이러한 절차를 통해 미등록된 비전자기록물을 시스템에 등록하고 관리할 수 있습니다. 만약 더 자세한 안내나 도움이 필요하다면 언제든지 말씀해 주세요!</t>
  </si>
  <si>
    <t>1048ac7a-a626-4624-8d16-360c81dcced2</t>
  </si>
  <si>
    <t>7f6432b7-8e69-4404-8ee9-c8a456e13b0f</t>
  </si>
  <si>
    <t>1c7165f8-c462-4a02-b893-c805acbaa275</t>
  </si>
  <si>
    <t>62197637-aeda-43e8-95a6-7eb187cf5d41</t>
  </si>
  <si>
    <t>예산 편성 절차와 관련하여 사업비별 사전 이행절차는 무엇인가요?</t>
  </si>
  <si>
    <t>8e048042672a45888e16486f011d6795</t>
  </si>
  <si>
    <t>예산 편성 절차에서 사업비별로 사전에 이행해야 하는 절차는 다음과 같습니다.
1. **신규사업**:
   - **사전심사**: 시비 1억원 초과 신규사업의 경우 월 1회 또는 수시로 사전심사를 받아야 합니다.
   - **총사업비관리**: 총사업비가 50억원 이상이거나 사업기간이 2년 이상인 건설·정보화사업에 대해 총사업비 관리를 해야 합니다.
2. **총사업비관리**:
   - **사전심사**: 총사업비 30억원 이상의 경기대회나 공연·축제 등의 행사성 사업에 대해 사전심사를 받습니다.
   - **심사시기**: 정기적으로 2, 5, 8, 10월에 심사가 이루어지며, 필요할 때마다 수시로 심사가 가능합니다.
3. **지방재정영향평가**:
   - **대상**: 일반회계, 특별회계, 기금 모두 해당됩니다.
   - **심사시기**: 10월 중에 확정되며, 예산요구서 제출 시 함께 제출해야 합니다.
4. **중기지방재정계획**:
   - **대상**: 공유재산관리계획의 총괄계획을 수립하며, 취득, 처분, 사용료 감면, 수입금 지출 등이 포함됩니다.
   - **심사시기**: 10월에 공유재산심의회 심의를 거치며, 예산요구서 제출 시 제출해야 합니다.
5. **예비타당성 조사**:
   - **대상**: 총사업비가 500억원 이상이고 국비 지원액이 300억원 이상인 건설사업, 정보화사업, 국가연구개발사업 등이 대상입니다.
   - **심사시기**: 분기마다 1회씩 심사가 이루어집니다.
6. **타당성 조사**:
   - **대상**: 40억원 이상의 신규사업이나 60억원 이상의 구·군사업, 3억원 이상의 행사성 사업, 5억원 이상의 홍보관 사업 등이 해당됩니다.
   - **심사시기**: 정기적으로 3, 6, 9월에 심사가 있으며, 필요 시 수시로 심사가 가능합니다.
7. **투자심사**:
   - **대상**: 예정가격 기준으로 취득이 20억원 이상, 처분이 10억원 이상인 사업 등이 해당됩니다.
   - **심사시기**: 예산편성 전 단계에서 요청되며, 8월 중순까지 제출해야 합니다.
8. **공유재산관리계획**:
   - **대상**: 건당 1,000만원 초과하는 사업이 해당됩니다.
   - **심사시기**: 9월 중순에 예산편성 전에 심사가 이루어지며, 8월 중순까지 제출해야 합니다.
9. **정책연구용역심사**:
   - **대상**: 건당 100백만원 이상인 정책연구용역이 해당됩니다.
   - **심사시기**: 9월 중순에 예산편성 전에 심사가 이루어지며, 8월 중순까지 제출해야 합니다.
10. **기술용역 사전심의**:
    - **대상**: 정보화사업 중 단순 유지보수·운영사업이나 국비지원사업 등을 제외한 사업이 해당됩니다.
    - **심사시기**: 9월 중순에 예산편성 전에 심사가 이루어지며, 8월 말까지 제출해야 합니다.
11. **정보화사업 예산타당성 검토**:
    - **대상**: 정보화사업에 대한 예산타당성을 검토합니다.
    - **심사시기**: 예산편성 전에 심사가 이루어집니다.
12. **지방보조금사업 및 행사·축제사업 사전심의**:
    - **대상**: 민간경상사업보조 등 15개의 과목이 해당됩니다.
    - **사전심의**: 지방보조금심의위원회를 통해 사전심의를 받아야 하며, 8월 중순까지 제출해야 합니다.
13. **정수물품 취득승인**:
    - **대상**: 행정안전부 장관이 지정한 정수물품을 취득하려는 경우가 해당됩니다.
    - **책정시기**: 8월 말에 책정되며, 8월 중순까지 제출해야 합니다.
14. **출자·출연금 승인**:
    - **대상**: 신규 출자·출연금 사업은 예산편성 전에 지원 근거를 마련해야 합니다.
    - **승인**: 시의회에서 모든 출자·출연금 사업에 대해 사전 승인을 받아야 합니다.
15. **민간위탁 및 공기관위탁대행 동의**:
    - **민간위탁**: 신규 사업이나 3억원 초과 재위탁·재계약 사무의 경우 시의회의 사전 동의를 받아야 합니다.
    - **공기관위탁**: 3억원 초과 신규·재위탁 사업의 경우 시의회의 사전 동의를 받아야 합니다.
이러한 절차를 준수함으로써 예산 편성의 효율성과 투명성을 확보하고, 관련 법령과 규정을 철저히 따르게 됩니다. 각 절차의 세부 내용은 관련 조례나 지침에 자세히 나와 있으므로, 구체적인 사항을 확인할 때는 해당 자료를 참조하시는 것이 좋습니다. 추가적인 도움이 필요하시면 언제든지 말씀해 주세요!</t>
  </si>
  <si>
    <t>성인지예산서와 성별영향평가서 차이점은 무엇인가요?</t>
  </si>
  <si>
    <t>전직원 골든셋 추가자료 중 2026년도 예산편성계획</t>
  </si>
  <si>
    <t>85, 86</t>
  </si>
  <si>
    <t>e1b1eafc1e0746709a412408689ffec8</t>
  </si>
  <si>
    <t>성인지예산서와 성별영향평가서는 모두 정책이나 사업의 성차별 문제를 파악하고 개선하기 위해 사용되는 도구이지만, 그 목적과 방법에서 차이가 있습니다.
**성별영향평가서**는 정부나 지자체가 정책을 수립하거나 사업을 시행할 때, 그 정책이나 사업이 남성과 여성에게 미치는 영향을 사전에 분석하는 과정입니다. 이를 통해 정책이 성별로 어떤 차이를 가져오는지, 그리고 그로 인해 발생할 수 있는 성차별을 예방하고자 합니다. 성별영향평가서는 주로 정책의 기획 단계에서 활용되며, 정책의 효과와 영향력을 성별 관점에서 평가합니다.
반면에 **성인지예산서**는 이미 결정된 예산 내에서 성별로 어떻게 자원이 배분되고 있는지, 그리고 그것이 성평등 목표를 달성하는 데 얼마나 기여하는지를 분석하는 문서입니다. 즉, 예산을 성인지적 관점에서 검토하여 예산이 성차별을 해소하거나 성평등을 증진하는 방향으로 사용되도록 합니다. 성인지예산서는 주로 예산 편성 단계에서 활용되며, 실제 자원 배분의 성별 분포를 확인하고 조정합니다.
**간단히 말해**, 성별영향평가서는 "어떤 정책이나 사업이 성별로 어떤 영향을 미칠 것인가?"를 미리 예측하고 평가하는 것이고, 성인지예산서는 "이미 계획된 예산이 성별로 어떻게 배분되어 있는가?"를 분석하여 성평등한 자원 배분을 추구하는 것입니다. 두 제도 모두 성평등 실현을 목표로 하지만, 접근 방식과 적용 단계에서 차이가 있습니다. 성별영향평가서는 사전 예방적 성격이 강하고, 성인지예산서는 사후 점검 및 조정의 역할을 합니다.</t>
  </si>
  <si>
    <t>9859104e-e6c0-4d40-8a32-ba2fc89373b1</t>
  </si>
  <si>
    <t>210_2307_예산담당관_업무매뉴얼_행정안전부_2024년도_지방자치단체_예산편성_운영기준_및_기금운용계획_수립기준.pdf</t>
  </si>
  <si>
    <t>4a0f9dcf-9fcf-421e-b616-227efd1efcb9</t>
  </si>
  <si>
    <t>209_2207_예산담당관_업무매뉴얼_행정안전부_2023년도_지방자치단체_예산편성_운영기준_및_기금운용계획_수립기준.pdf</t>
  </si>
  <si>
    <t>44d369b3-ed79-4d35-9179-3e4bacfb24d0</t>
  </si>
  <si>
    <t>207_2007_예산담당관_업무매뉴얼_행정안전부_2021년도_지방자치단체_예산편성_운영기준_및_기금운용계획_수립기준.pdf</t>
  </si>
  <si>
    <t>bac4ab58-8e74-403d-9fd7-b4a79cfa59fd</t>
  </si>
  <si>
    <t>208_2107_예산담당관_업무매뉴얼_행정안전부_2022년도_지방자치단체_예산편성_운영기준_및_기금운용계획_수립기준.pdf</t>
  </si>
  <si>
    <t>9042237e-29c8-496a-b567-7a897dd0314d</t>
  </si>
  <si>
    <t>입찰시 지역제한이 불가할 때 이행해야할 절차와 검토항목에는 무엇이 있나요?</t>
  </si>
  <si>
    <t>b95883fb94ea42fd9d39c092e62d8042</t>
  </si>
  <si>
    <t>입찰 시 지역제한이 불가한 경우에는 다음과 같은 절차를 따르고, 관련된 사항을 검토해야 합니다.
**절차**
1. **발주부서의 자체 판단**: 먼저, 발주부서는 해당 사업이 지역제한 없이 전국 단위로 입찰을 진행해야 하는지 여부를 판단합니다. 이는 특정 기술이나 자원이 지역에 한정되어 있지 않고, 전국에서 공급받을 수 있는 경우에 해당됩니다.
2. **회계재산담당관에 사전검토 의뢰**: 만약 법령상 지역제한을 적용할 수 없는 사유가 명확하다면, 발주부서는 회계재산담당관에 사전검토를 의뢰하여 해당 사항이 적절한지 확인받습니다.
3. **청렴담당관에 사전감사컨설팅 신청**: 법령상의 예외 사유가 아닌 다른 이유로 지역제한이 불가능한 경우에는, 발주부서는 청렴담당관에 사전감사컨설팅을 신청하여 적법성과 타당성을 검토받습니다.
4. **입찰 공고 및 진행**: 위의 절차를 거쳐 문제가 없다고 판단되면, 전국 단위로 입찰을 공고하고 진행합니다.
**검토 항목**
- **관련 법령 및 규정 준수 여부**: 국가계약법, 지방계약법, 관련 예규 등을 참고하여 지역제한을 해제할 수 있는 법적 근거가 있는지 확인합니다.
- **사업의 특성 분석**: 해당 사업이 기술적 특수성이나 긴급성으로 인해 지역 내에서 충분한 참여자를 확보하기 어려운지 평가합니다.
- **경쟁 촉진 가능성**: 지역제한 해제를 통해 보다 많은 업체가 참여할 수 있어 경쟁이 활성화되고 예산 절감이 가능한지를 고려합니다.
- **공정성 및 투명성 확보**: 입찰 과정이 공정하게 진행되며, 특정 업체에게 유리하거나 불리함이 없도록 관리 방안을 마련합니다.
- **부산지역업체 보호 방안 강구**: 지역경제 활성화를 위해 부산지역업체에 대한 우대 조건 부여나 별도의 지원책을 검토합니다.
이러한 절차를 통해 지역제한이 불가한 상황에서도 법적인 문제를 예방하고, 효율적인 공공사업을 추진할 수 있습니다. 추가적인 도움이 필요하시면 언제든지 말씀해 주세요.</t>
  </si>
  <si>
    <t>0fb565bc-3c07-4a80-81ce-fc0923320e44</t>
  </si>
  <si>
    <t>반복특이(악성) 민원 응대 매뉴얼 및 민원처리 담당자의 보호지원에는 어떤 것이 있나요?</t>
  </si>
  <si>
    <t>19, 44</t>
  </si>
  <si>
    <t>6b328236653b42c884cfe5ec21e568d5</t>
  </si>
  <si>
    <t>부산광역시의 반복특이(악성) 민원 응대 매뉴얼 및 민원처리 담당자의 보호지원에 대해서는 다음과 같은 내용이 있습니다.
**1. 민원처리 담당자 보호 및 지원 조례 제정**
- **기관장의 책무**: 민원처리 담당자의 보호를 위한 지원시책을 마련하고 적극적으로 시행해야 합니다.
- **지원사항**:
  - *신체적·정신적 피해의 예방이나 치유*: 심리상담, 의료비 지원, 휴식시간 및 공간 제공, 법적 대응 지원, 교육·연수, 업무 조정, 전보 등 인사 조치를 포함합니다.
- **안전한 근무환경 마련**:
  - *안전시설 및 장비 확충*:
    - CCTV, 비상벨, 자동녹음 전화 설치
    - 전담대응팀 및 비상대응팀 구성·운영
    - 투명 가림막(안전유리) 설치
    - 보호조치 음성안내 시스템 도입
    - 안전요원 배치
    - 휴대용 영상·음성 기록 장비 사용
  - *근무여건 개선*:
    - 민원실에 행정 경험이 풍부한 직원 적정 배치
    - 신규 공무원 배치 시 사전 교육 실시
    - 인사고충 상담창구 정례화
    - 인사가점 부여, 희망 보직 배려 등 인사 우대
    - 휴식공간 마련
    - 포상 및 교육연수 기회 제공
**2. 위법행위에 대한 법적 대응**
- 기관장은 민원인의 위법행위에 대해 법적 조치가 필요할 경우 전담대응팀을 통해 법적 조치를 취해야 합니다.
- 민원인의 폭언·폭행으로 인한 고소·고발 또는 손해배상 청구 시, 관할 수사기관 또는 법원에 증거물·증거서류 제출 등 필요한 지원을 제공합니다.
**3. 올바른 민원문화 조성**
- 민원인과 민원처리 담당자 간의 상호 존중 문화 조성을 위한 홍보 방안 마련
- 포스터 등 홍보물 게시, 노조·시민단체와의 협업을 통한 캠페인 실시
- 기타 민원인의 폭언·폭행 예방과 경각심 고취를 위한 시책 추진
이러한 내용은 '민원 처리 담당자 보호 및 지원에 관한 조례'에 상세히 규정되어 있으며, 이를 통해 민원처리 담당자의 권익을 보호하고 안전한 근무 환경을 조성하고자 합니다. 추가적인 정보나 구체적인 절차에 대해서는 부산광역시청 통합민원과에 문의하시면 자세한 안내를 받으실 수 있습니다. 도움이 필요하신 부분이 있으시면 언제든지 말씀해 주세요!</t>
  </si>
  <si>
    <t>4f674f81-7ccc-4e4d-a5d5-1db45294da9a</t>
  </si>
  <si>
    <t>업무 관련 소송에 발생하게 되면 부산시에서 법률 지원을 받을 수 있는 방법 및 절차가 어떻게 되나요?</t>
  </si>
  <si>
    <t>950_페이지95_문서10_163810_부산광역시_소송사무_처리_규칙.pdf</t>
  </si>
  <si>
    <t>4, 5</t>
  </si>
  <si>
    <t>0d35912e93ef4adfbc8195e2d623a2fc</t>
  </si>
  <si>
    <t>부산시에서는 공무원이 업무 수행 중에 발생한 소송에 대해 법률적인 지원을 제공하고 있습니다. 이를 위해 '부산광역시 소송사무 처리 규칙'이라는 내부 규정을 두고 있으며, 이에 따르면 다음과 같은 절차를 따르게 됩니다.
**1. 소송 발생 시 초기 대응**
- **보고 의무**: 공무원은 업무와 관련하여 소송이 제기되었음을 인지하면 즉시 해당 사실을 소속 부서의 장에게 보고해야 합니다.
- **법무담당관과의 협의**: 소속 부서의 장은 해당 사건을 법무담당관과 상의하여 향후 대응 방안을 논의합니다.
**2. 소송대리인 또는 변호사의 선임 요청**
- **필요성 판단**: 소송의 성격과 중요성을 고려하여 소송대리인이나 변호사의 선임이 필요하다고 판단되면, 소속 부서의 장은 시정조정위원회의 심의를 거칩니다.
- **확약서 제출**: 해당 공무원으로부터 별지 제10호서식의 확약서를 받아 소송대리인 또는 변호사의 선임을 법무담당관에게 요청합니다.
- **변호사 선임**: 법무담당관은 요청에 따라 적절한 소송대리인이나 변호사를 선임하며, 필요에 따라서는 해당 공무원이 직접 변호사를 선임할 수도 있습니다.
**3. 소송 진행 과정에서의 지원**
- **법률 자문 제공**: 법무담당관은 소송 진행 과정에서 필요한 법률 자문을 제공합니다.
- **소송비용 지원**: 소송비용은 별표의 지급기준에 따라 회계별로 지급되며, 특히 시 차원의 대응이 필요한 사건의 경우 시정조정위원회에서 지원 금액을 결정합니다.
**4. 소송 결과에 따른 후속 조치**
- **패소 시 비용 회수**: 만약 공무원의 고의 또는 중대한 과실로 인해 패소 판결이 내려진 경우, 소송대리인 또는 변호사에게 지급된 소요비용은 해당 공무원으로부터 회수됩니다.
- **무죄 판결 시 비용 보전**: 직무를 성실히 수행한 결과 무죄 판결이 확정된 경우, 변호인 선임비용은 시정조정위원회의 심의를 거쳐 법무담당관에게 요청하여 보전받을 수 있습니다.
**5. 기타 사항**
- **중요소송의 지정**: 시정에 중대한 영향을 미치거나 소송물가액이 큰 경우 등은 중요소송으로 지정되어 더욱 체계적이고 지속적인 관리가 이루어집니다.
- **인사상 인센티브 제공**: 중요소송을 담당하는 공무원에게는 인사상 인센티브가 제공될 수 있습니다.
**종합적으로**, 부산시의 공무원은 업무 관련 소송이 발생할 경우 소속 부서와 법무담당관을 통해 법률 지원을 받을 수 있으며, 이는 시의 내부 규정에 따라 체계적으로 관리되고 있습니다. 추가적인 문의사항이 있으시면 언제든지 말씀해 주세요. 도움이 필요하시면 최선을 다해 도와드리겠습니다.</t>
  </si>
  <si>
    <t>1f25818e-35c1-4a09-aec8-35eb78aa9e08</t>
  </si>
  <si>
    <t>38c3df51-3b1d-4216-8b66-599722c55c4a</t>
  </si>
  <si>
    <t>DRM 암호 초기화는 어떻게 하나요?</t>
  </si>
  <si>
    <t>f1e8399c1e8642648e2090482f9461ba</t>
  </si>
  <si>
    <t>DRM(Digital Rights Management) 시스템에서 암호를 초기화하는 방법은 일반적으로 다음과 같습니다:
1. **관리자 권한 확인**: DRM 시스템의 관리자 권한을 가진 계정으로 로그인해야 합니다. 이는 조직 내에서 보안 및 접근 권한을 관리하는 담당자가 수행하는 것이 일반적입니다.
2. **암호 초기화 기능 접근**:
   - **웹 인터페이스 이용**: 대부분의 DRM 시스템은 웹 기반의 관리 콘솔을 제공합니다. 이 콘솔에 접속하여 '사용자 관리' 또는 '계정 설정' 메뉴로 이동합니다.
   - **API 사용**: 일부 DRM 시스템에서는 API(Application Programming Interface)를 통해 암호 초기화를 지원할 수 있습니다. 이 경우 개발자나 IT 전문가가 해당 기능을 사용할 수 있습니다.
3. **특정 사용자 선택**: 초기화하고 싶은 사용자의 정보를 확인하고 선택합니다. 여기에는 사용자 이름이나 이메일 주소 등이 포함될 수 있습니다.
4. **암호 초기화 실행**:
   - **일괄 처리**: 여러 사용자의 암호를 한 번에 초기화할 수 있는 옵션이 있을 수 있습니다.
   - **개별 처리**: 특정 사용자의 암호만을 초기화할 수도 있습니다.
   - **초기화 비밀번호 설정**: 새로운 임시 비밀번호를 설정하거나 자동으로 생성되는 경우가 있습니다.
5. **사용자에게 알림 전송**:
   - **이메일 통보**: 초기화된 사용자에게 새로운 비밀번호나 초기화 사실을 알리는 이메일을 보낼 수 있습니다.
   - **SMS 메시지**: 긴급한 경우에는 SMS를 통해 안내할 수도 있습니다.
6. **보안 절차 준수**:
   - **인증 강화**: 암호 초기화 과정에서 추가적인 인증 절차를 요구할 수 있습니다. 예를 들어, OTP(One-Time Password)를 통한 이중 인증을 요구할 수 있습니다.
   - **기록 유지**: 모든 변경 사항은 로그로 기록되어 추후 감사 목적이나 문제 발생 시 참고할 수 있도록 합니다.
7. **사용자 재인증 요청**:
   - **재로그인 필요성**: 암호가 초기화된 사용자는 새로운 비밀번호로 다시 로그인하도록 요청됩니다.
   - **비밀번호 정책 적용**: 새로운 비밀번호를 설정할 때 회사의 비밀번호 정책을 따라야 할 수 있습니다. 예를 들어, 최소 길이, 특수 문자 포함 여부 등이 있습니다.
8. **시스템 업데이트 및 패치 적용**:
   - **소프트웨어 버전 확인**: 최신 버전의 DRM 소프트웨어를 사용하고 있는지 확인합니다.
   - **패치 설치**: 필요한 경우 보안 패치를 적용하여 시스템을 최신 상태로 유지합니다.
9. **교육 및 가이드 제공**:
   - **사용자 교육**: 암호 관리와 관련된 교육을 실시하여 사용자가 안전한 비밀번호를 설정하고 관리하도록 돕습니다.
   - **가이드 문서 배포**: 암호 초기화 방법과 주의사항 등을 담은 가이드를 배포합니다.
10. **법적 규제 준수**:
    - **개인정보 보호법 등**: 관련 법규를 준수하며, 개인정보 유출 방지를 위한 조치를 취합니다.
이러한 과정은 DRM 시스템이 설치된 환경과 조직의 정책에 따라 다를 수 있으므로, 정확한 절차는 해당 시스템의 매뉴얼이나 IT 부서에 문의하여 확인하는 것이 좋습니다. 또한, 보안상의 이유로 자세한 절차는 공개되지 않을 수 있으니, 공식 채널을 통해서만 진행하시기 바랍니다.</t>
  </si>
  <si>
    <t>시청사 직원차량 주차등록은 어떻게 하나요?</t>
  </si>
  <si>
    <t>55df3ce333664e64af83d714ff6b86e9</t>
  </si>
  <si>
    <t>시청사 직원차량 주차등록은 다음과 같은 절차를 따릅니다:
1. **승용차 요일제 신청**: 먼저, 승용차 요일제에 참여해야 합니다. 이는 시청 교통혁신과, 구청 또는 행정복지센터에서 신청할 수 있습니다.
2. **선택 요일 지정**: 승용차 요일제 1일과 선택 요일 1일을 포함하여 총 2일을 지정하여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해제됩니다.
4. **차량 등록 신청서 작성**: "직원정기권 등록 신청서" 엑셀 파일을 작성하고, 이를 각 부서에서 취합합니다.
5. **공문으로 신청**: 취합된 신청서를 공문 형태로 상급 기관이나 관련 부서에 제출합니다.
6. **해지 시에도 동일한 절차 적용**: 차량을 해지할 경우에도 동일한 절차를 거쳐야 하며, 공문으로 해지 신청을 해야 합니다.
7. **주의 사항**:
   - **정기권 기간 만료 알림**: 주차장 출입구에 "기간만료 00일 전"이라는 메시지가 표시되면, 정기권이 만료되기 전에 재등록을 해야 합니다.
   - **미신청 시 요금 부과**: 재등록하지 않을 경우 일반 요금이 부과되며, 하루 최대 8,000원이 발생할 수 있습니다.
위의 절차를 따라 주시면 원활한 주차등록이 가능합니다. 추가적인 도움이 필요하시면 언제든지 말씀해 주세요!</t>
  </si>
  <si>
    <t>자차로 관외출장 나갔을 시 여비 지급은 어떻게 하나요?</t>
  </si>
  <si>
    <t>604, 605</t>
  </si>
  <si>
    <t>5d4f5c0e71af46ba8361151553e2c525</t>
  </si>
  <si>
    <t>공무원의 자차를 이용한 관외출장 시 여비 지급 방법에 대해 안내드리겠습니다.
**기본 원칙**
- **철도 또는 버스 운임 지급**: 공무원은 관외출장 시 철도나 버스를 이용한 경우 그에 해당하는 운임을 지급받습니다.
- **자가용 이용 시 예외적 지급**: 그러나 공무상의 필요에 의해 부득이하게 자가용을 이용한 경우에는 철도 또는 버스 운임 대신 다음과 같은 방법으로 여비를 지급받을 수 있습니다.
**자가용 이용 시 여비 지급 방법**
1. **연료비 지급**
   - **계산 방법**: 여행거리(km) × 유가(opinet.co.kr 기준) ÷ 차량의 연비
     - 예를 들어, 휘발유 차량의 연비는 11.97km/L이며, 하이브리드 차량은 15.37km/L입니다.
   - **필요한 서류**: 출장 후 연료비 지급을 받기 위해서는 출장 경로와 사용된 연료량 등에 대한 증빙 자료를 제출해야 합니다.
2. **통행료 및 주차료 지급**
   - **지급 대상**: 고속도로 통행료와 출장지에서 발생한 주차료 등이 포함됩니다.
   - **증빙 자료**: 통행료 영수증이나 주차 영수증 등 실제로 지출된 비용에 대한 증빙이 필요합니다.
3. **동승자에 대한 운임 미지급**
   - 자가용으로 함께 이동한 다른 공무원에 대해서는 별도의 운임을 지급하지 않습니다.
**주의 사항**
- **부득이한 사유 입증 필요**: 자가용 이용을 정당화하기 위해서는 공무상의 부득이한 사유를 명확히 해야 하며, 이는 소속기관의 장이 판단합니다.
- **관련 규정 준수**: 이러한 내용은 "공무원 여비업무 처리기준" 등에 상세히 나와 있으므로 참고하시기 바랍니다.
**결론**
따라서, 자차로 관외출장을 나가셨다면 위의 방법을 통해 여비를 신청하실 수 있으며, 정확한 지급을 위해서는 관련 증빙 자료를 철저히 준비하시는 것이 중요합니다. 추가로 궁금하신 사항이 있으시면 언제든지 문의해 주세요!</t>
  </si>
  <si>
    <t>57c602ee-77b6-4888-9752-44357b3f4cfb</t>
  </si>
  <si>
    <t>7d56d172-72b1-47f8-913c-fe7b97af853b</t>
  </si>
  <si>
    <t>257817f4-eb3c-44cd-a170-67a953688596</t>
  </si>
  <si>
    <t>휴직 신청 절차 및 행정처리 방법은?</t>
  </si>
  <si>
    <t>None</t>
  </si>
  <si>
    <t>89d4bffabe7c47e0b1d358d9f13f3a52</t>
  </si>
  <si>
    <t>휴직 신청 절차와 행정처리 방법에 대해 안내해 드릴게요.
**1. 휴직 종류 파악**
먼저, 어떤 종류의 휴직을 신청하려는지 확인하세요. 일반적으로 공무원의 휴직 종류에는 다음과 같은 것들이 있습니다:
- **질병휴직**
- **출산휴직**
- **육아휴직**
- **유학휴직**
- **연수휴직**
- **자기개발휴직**
- **고용휴직**
- **민간근무휴직**
- **가족돌봄휴직**
각 휴직마다 필요한 조건과 서류가 다를 수 있으니, 해당하는 휴직의 조건을 정확히 알아두세요.
**2. 관련 지침 및 규정 확인**
부산광역시청에서는 '지방공무원 인사제도 운영지침'을 따르고 있어요. 제공하신 문서([파일명: 293_2501_인사과_지침_행정안전부_지방공무원_인사제도_운영지침행정안전부예규제314호.pdf])를 참고하면 각 휴직에 대한 자세한 내용과 절차를 확인할 수 있습니다. 예를 들어:
- **제74조(유학휴직의 요건)**: 유학휴직은 외국의 정규 교육기관에서 학위취득 또는 어학연수를 하는 경우에 승인됩니다.
- **제78조(자기개발휴직)**: 자기개발휴직의 처리 절차와 신청 방법을 상세히 설명하고 있습니다.
**3. 필요한 서류 준비**
각 휴직에 따라 요구하는 서류가 다를 수 있지만, 일반적으로 필요한 서류는 다음과 같습니다:
- **휴직 신청서**: 공식 양식을 사용하여 작성합니다.
- **진단서 또는 증명서류**: 질병휴직이나 출산휴직 등의 경우 필요합니다.
- **증빙자료**: 유학휴직이나 가족돌봄휴직 등의 경우 관련 증빙자료를 제출해야 합니다.
**4. 신청서 제출**
준비한 서류를 담당 부서에 제출합니다. 보통 인사과나 인사팀에 제출하게 됩니다. 이때, 온라인 시스템을 통한 전자 제출이 가능한 경우도 있으므로 확인해 보세요.
**5. 내부 검토 및 승인**
인사팀은 제출된 서류를 기반으로 내부 심사를 진행합니다. 이때 추가 자료나 정보가 필요할 수 있으니 협조해 주세요. 승인 여부는 내부 규정에 따라 결정되며, 일부 휴직은 심의위원회를 거쳐 결정될 수도 있습니다.
**6. 행정처리**
승인이 나면 휴직에 따른 행정처리가 이루어집니다. 이는 급여 조정, 복무 관리, 대체 인력 배치 등이 포함될 수 있습니다. 이러한 과정에서 필요한 추가 정보나 동의가 있을 수 있으니 안내에 따라주세요.
**7. 복무상황 보고**
휴직 중에는 주기적으로 복무상황을 보고해야 할 수 있습니다. 이는 휴직의 목적에 맞게 잘 이행되고 있는지 확인하기 위한 것입니다. 보고서는 정해진 양식과 일정에 따라 제출하시면 됩니다.
**추가 팁**
- **사전 상담**: 휴직 신청 전에 인사 담당자나 선배 공무원과 상담을 하면 도움이 될 수 있습니다.
- **기한 엄수**: 모든 서류는 정해진 기한 내에 제출되어야 하니 유의하세요.
- **문의처**: 궁금한 점이나 어려움이 있으면 인사과나 인사팀에 문의하실 수 있습니다.
**참고사항**
- **법률 및 지침 최신화**: 법률이나 지침은 시간이 지나면서 변경될 수 있으니 항상 최신 정보를 확인하는 것이 중요합니다.
- **개인 정보 보호**: 제출하는 서류에는 개인정보가 포함되어 있으므로 보안에 주의해 주세요.
이렇게 단계별로 절차를 따르면 휴직 신청과 행정처리를 원활하게 진행할 수 있을 거예요. 추가로 궁금한 점이 있으시면 언제든지 물어보세요! 도움이 필요하면 언제든 말씀해 주세요.</t>
  </si>
  <si>
    <t>4a55a375-e440-4f74-a2d2-6892c4377e81</t>
  </si>
  <si>
    <t>1ea7ce83-0ea8-416c-931e-cea069d38c3b</t>
  </si>
  <si>
    <t>eec80bf5-f167-4bc3-9c4a-856853e3720f</t>
  </si>
  <si>
    <t>a8b4e979-a9e2-4cab-9745-ccd4d633ac88</t>
  </si>
  <si>
    <t>비전자기록물 편철·정리 방법은?</t>
  </si>
  <si>
    <t>423_2012_통합민원과_업무메뉴얼_통합민원과_비전자기록물_편철정리_요령.pdf</t>
  </si>
  <si>
    <t>d9852b228cd04c7ba11cde08df7c6d73</t>
  </si>
  <si>
    <t>비전자기록물의 편철·정리 방법은 다음과 같습니다.
1. **기록물 정리**: 사안이 종결된 문서는 진행문서파일에서 꺼내어 사안 발생 순서(1월부터 12월까지)에 따라 위에서 아래로 정리합니다. 이때 원본 기록물만을 대상으로 하며, 전자문서 출력본이나 참고용 사본은 제거합니다. 그러나 분리등록한 비전자 문서의 전자문서 출력본은 함께 편철·관리하되, 반드시 전자문서임을 표시해야 합니다. 부득이하게 전자문서 출력본 등 사본을 함께 관리해야 하는 경우에는 전자문서 또는 사본임을 명확히 표시합니다. 또한, 기록물을 묶는 데 사용되는 철침, 클립, 철제품 등은 모두 제거합니다.
2. **기록물의 편철**:
   - **편철 순서**: 기록물철 표지 → 색인목록 → 문서(사안 발생 순)의 순서로 편철합니다.
   - **편철량 제한**: 편철량은 100매 이내를 원칙으로 하지만, 편철량이 많은 경우에는 2권 이상으로 분철할 수 있습니다. 분철의 기준은 기록물 건별로 하며, 하나의 기록물은 편철량이 많아도 분철하지 않습니다. 편철용 집게로 고정 가능한 경우에는 100매를 초과하여 편철할 수 있으며, 이는 분철을 최소화하기 위한 것입니다.
   - **분철 시 주의사항**: 분철된 기록물은 기록물철 표지 및 보존상자 표지에 권호수를 기재해야 합니다. 예를 들어, "기록물 이관 및 검수(2-1)", "기록물 이관 및 검수(2-2)"와 같이 총 권수와 해당 기록물의 번호를 표시합니다.
3. **면 표시**:
   - **위치**: 기록물 건별 면표시는 중앙 하단에, 전체 쪽수에서 해당 쪽수를 기재합니다. 기록물 철별 면표시는 우측 하단에 기재합니다.
   - **방법**:
     - 접혀있는 문서는 펼쳐진 상태에서 면 표시를 합니다.
     - 분철된 경우, 전권의 마지막 면수에 이어서 면 표시를 합니다. 예를 들어, 첫 번째 권의 쪽수가 110으로 끝나면 두 번째 권은 111부터 시작합니다.
     - 양면에 내용이 있는 경우, 양쪽 면 모두에 면 표시를 합니다.
     - 백지에 간인이 찍힌 경우에도 모든 페이지에 면 표시를 합니다.
     - 회계서류의 영수증 등이 계단식으로 붙어 있는 경우, 각각의 페이지에 면 표시를 합니다.
     - 사본이나 전자문서 출력본에 원본대조필 날인을 한 경우에도 면 표시를 합니다.
     - 첨부된 봉투에도 면 표시를 합니다.
   - **면 표시 제외 사항**:
     - 기록물철 표지 및 색인목록은 면 표시를 하지 않으며, 면 표시는 문서 본문부터 시작합니다.
     - 분리등록한 비전자와 함께 편철된 전자문서 출력본은 면 표시를 하지 않고, 전자문서임을 표시합니다.
     - 책자의 표지는 간지와 중복되므로 면 표시를 하지 않습니다. 그러나 책자 표지와 중복되는 간지가 없는 경우에는 표지에 면 표시를 합니다.
     - 대장류의 빈 서식은 내용이 없으므로 면 표시를 하지 않습니다.
4. **기록물철 표지 및 색인목록 작성**:
   - **기록물철 표지 출력 방법**:
     - 온나라 시스템을 통해 과제관리 → 부서과제 → 단위과제 → 해당 카드명 클릭 → 기록물철 표지 클릭 → 기록물철 인쇄(또는 저장 후 인쇄)를 실행합니다.
   - **기록물철 표지 기재사항**:
     - 기록물철명(과제카드명과 동일), 생산연도와 종료연도, 부서명을 기재합니다.
     - 기록물철 표지를 인쇄한 후 오른쪽 여백에 연필로 보존기간을 기재합니다.
     - 분철된 경우, 기록물철 표지 인쇄 후 기록물철명 옆에 괄호하고 연필로 권호수를 기재합니다.
   - **색인목록 작성 방법**:
     - 온나라 시스템을 이용하여 과제관리 → 부서과제 → 단위과제 → 해당 카드명 클릭 → 실적관리 → 비전자기록물 엑셀다운로드 아이콘 클릭 → 연도 선택 → 다운로드 → 쪽수와 비고란을 추가로 작성합니다.
     - 분철된 경우, 색인목록은 첫 번째 권에만 편철합니다.
이러한 절차를 따르면 비전자기록물을 체계적이고 효율적으로 편철·정리할 수 있으며, 이후의 관리나 열람 시에도 편리함을 제공합니다. 만약 더 자세한 안내나 도움이 필요하다면 언제든지 말씀해 주세요! 다른 궁금한 점이 있으면 또 물어봐 주세요. 도와드릴게요.</t>
  </si>
  <si>
    <t>3ac56127-fa43-4e06-acc4-b727cdf75f64</t>
  </si>
  <si>
    <t>499af8ab-2218-4ac2-b553-c875de6ab912</t>
  </si>
  <si>
    <t>91d5b22b-b1b6-4af4-bef0-5aec87d72f1c</t>
  </si>
  <si>
    <t>1a3208cc-3ea3-4bd3-b212-ffd71b8aeb1b</t>
  </si>
  <si>
    <t>차량배차 협조 요청 절차 및 처리 방법은?</t>
  </si>
  <si>
    <t>e47f3ab4cd4346cda8374547ee940929</t>
  </si>
  <si>
    <t>차량 배차를 신청하려면 먼저 담당자에게 전화하여 배차 가능 여부를 확인해야 합니다. 이는 이중 배차를 방지하고 원활한 업무 진행을 위함입니다. 배차가 가능하다면, 행정포털에서 개인서비스를 통해 배차 신청을 할 수 있으며, 이때 업무용, 버스, 의전 등의 용도를 선택할 수 있습니다.
또한, 차량 이용 시에는 만 26세 미만은 자동차 보험 적용 문제로 인해 배차가 불가능하며, 전기차 사용 후에는 운전자가 직접 충전해야 합니다. 공용차는 사적인 용도로 사용할 수 없으며, 차량 내에서 커피나 음식물을 섭취한 경우 뒷정리를 철저히 해야 합니다. 주차장 입출차 시 사고 발생률이 높으므로 각별히 주의해야 하며, 교통사고 예방을 위해 안전 운전에 유의해야 합니다.
만약 사고가 발생할 경우에는 과실 비율에 따라 최소 20만 원에서 최대 50만 원까지의 개인 부담금이 발생할 수 있으므로, 사고 사진을 전·후·좌·우 다각도로 촬영하고, 공용차량 보험사에 연락하여 처리한 뒤 배차실에 통보해야 합니다. 이러한 절차를 준수함으로써 차량 배차 협조 요청을 효율적으로 처리할 수 있습니다. 추가적인 도움이 필요하시면 언제든지 말씀해 주세요.</t>
  </si>
  <si>
    <t>PC교체로 인한 행정전자서명 이동 방법은?</t>
  </si>
  <si>
    <t>6752192cf54742d8ac2c64ffe540d669</t>
  </si>
  <si>
    <t>안녕하세요! PC 교체로 인해 행정전자서명을 새로운 컴퓨터로 이동하려면 다음과 같은 절차를 따르면 됩니다.
**1. 기존 PC에서 행정전자서명 파일 백업**
- **백업 위치 확인**: 행정전자서명은 일반적으로 `C:\GPKI` 경로에 저장되어 있습니다.
- **전체 폴더 백업**: `GPKI` 폴더 전체를 압축하여 백업합니다. 이때 `C:\GPKI` 경로 아래에 있는 모든 하위 폴더와 파일을 포함해야 합니다.
**2. 백업 파일 전송**
- **안전한 방법으로 전송**: 백업한 파일을 새로운 PC로 옮겨야 합니다. 이를 위해 이메일이나 클라우드 서비스를 이용할 수 있지만, 보안상의 이유로 내부망을 통한 안전한 방법을 권장합니다.
- **온메일 또는 온톡 사용**: 문서에서는 `온메일` 또는 `온톡`을 사용하여 본인에게 파일을 보내는 방법을 제시하고 있습니다. 이는 조직 내에서 제공되는 안전한 통신 수단일 것입니다.
**3. 새로운 PC에서 행정전자서명 복원**
- **압축 해제**: 받은 압축 파일을 새로운 PC의 `C:\` 드라이브에 압축 해제합니다.
- **경로 확인**: 압축 해제한 후 `C:\GPKI` 경로에 `GPKI`, `certificate`, `class2` 등의 폴더가 제대로 생성되었는지 확인합니다.
- **파일 확인**: 특히 `class2` 폴더 내에 본인의 이름으로 된 파일이 4개 존재하는지 확인합니다.
**주의사항**
- **전체 폴더 복사 필수**: 단순히 `class2` 폴더만 복사하는 것이 아니라, `GPKI` 폴더 전체를 복사해야 합니다.
- **보안 유지**: 전자서명과 관련된 정보는 매우 중요하므로, 외부로의 유출이나 손상에 주의해야 합니다.
**추가적인 도움이 필요하다면**
- **정보화정책과 문의**: 문서에서도 언급되었듯이, 발급 및 갱신에 관한 절차나 기술적인 문제가 발생할 경우 정보화정책과로 문의하시는 것이 좋습니다.
이렇게 절차를 따라주시면 새로운 PC에서도 원활하게 행정전자서명을 사용하실 수 있을 것입니다. 추가로 궁금한 사항이 있으시면 언제든지 물어보세요!</t>
  </si>
  <si>
    <t>문서 암호화 해제는 어떻게 하나요?</t>
  </si>
  <si>
    <t>9.0</t>
  </si>
  <si>
    <t>9c98c64c6b6c44e5ab50c72b501c5934</t>
  </si>
  <si>
    <t>문서 암호화 해제를 위해서는 먼저 컴퓨터의 우측 하단 트레이 아이콘(시계 표시 부분)에서 F 또는 자물쇠 모양의 아이콘을 우클릭해야 합니다. 그 다음 '자료 반출 관리 시스템'을 선택하고, 신규 신청을 진행합니다.
1. **암호화 해제 체크**: 신규 신청 화면에서 '암호화 해제' 옵션을 체크하고 '확인' 버튼을 누릅니다.
2. **자료 업로드 및 신청**: 암호화 해제하고자 하는 문서를 지정된 경로에 업로드한 후, 해당 문서에 대한 신청을 진행합니다.
3. **완료 탭 이동 및 문서 다운로드**: 모든 절차가 완료되면 '완료' 탭으로 이동하여 암호화 해제된 문서를 다운로드할 수 있습니다.
또한, 자세한 절차나 추가적인 문의 사항이 있을 경우에는 '행정포털 오류 조치 안내' 사이트의 '[DRM] 자료 반출 관리 시스템 안내' 섹션을 참고하시면 도움이 될 것입니다. 이 사이트에서는 DRM 시스템의 사용 방법과 문제 해결 방법에 대한 정보를 제공하고 있습니다.
**참고 링크**: http://99.1.1.29/resources/xf/portal/table.html#question4-8
만약 위의 절차를 따라도 문제가 발생하거나 추가적인 지원이 필요하시다면, 정보화정책과의 사용자 매뉴얼이나 DRM 고도화 버전의 매뉴얼을 참조하시는 것도 좋습니다. 이러한 매뉴얼에는 보다 상세한 단계별 설명과 함께 이미지 예시가 포함되어 있어 이해하기 쉽습니다.
추가로 궁금하신 점이나 도움이 필요한 부분이 있으시면 언제든지 말씀해 주세요!</t>
  </si>
  <si>
    <t>74c59b18-aa66-4abc-b171-a74646cdecbe</t>
  </si>
  <si>
    <t>370_2503_정보화정책과_업무매뉴얼_정보화정책과_사용자_매뉴얼자료유출방지시스템_고도화_버전_DRM_v50.pdf</t>
  </si>
  <si>
    <t>e65e9f84-4011-4941-b88d-d59dafdffdf4</t>
  </si>
  <si>
    <t>3c2320d8-4580-4ad4-a0e6-ac13477ffb26</t>
  </si>
  <si>
    <t>720b87a7-3fa4-4984-945b-2ff78abe4bb5</t>
  </si>
  <si>
    <t>관내출장 여비 지급기준은 어떻게 되나요?</t>
  </si>
  <si>
    <t>1229_공무원_여비_규정대통령령제35811호20251001.pdf</t>
  </si>
  <si>
    <t>dcedd6305c754f89aa9dc4d3be414b92</t>
  </si>
  <si>
    <t>관내출장 여비 지급기준은 다음과 같습니다.
1. **공무원 여비 규정**:
   - **제18조(근무지 내 국내 출장 시의 여비)**에 따르면,
     - **출장 여행시간이 4시간 이상인 공무원**: 2만원 지급
     - **출장 여행시간이 4시간 미만인 공무원**: 1만원 지급
   - 단, **전용 차량 배정자**나 **공무용 차량을 이용하는 경우** 등 인사혁신처장이 정하는 바에 따라 출장을 하는 공무원에게는 **1만원을 감액하여 지급**합니다.
   - 또한, **같은 시·군 및 섬 안에서의 출장**이나 **여행거리가 12킬로미터 미만인 출장**을 "근무지 내 국내 출장"으로 정의합니다.
2. **지방자치단체 예산편성 운영기준**:
   - **'202 여비' 항목**에서 **국내여비**를 편성하며, 이는 **공무원여비규정**에 따른 **국내출장여비**를 의미합니다.
   - **기관운영·정원가산·시책추진 업무추진비 예산편성 및 집행**에서는 **연간 집행계획을 수립**하고, 그에 따라 **월별 또는 분기별로 균형 있게 집행**하도록 합니다.
3. **실제 사례**:
   - **부산광역시청의 내부 지침**에서도 이러한 규정을 따르고 있으며, **관내출장 여비는 1만원**으로 책정되어 있습니다.
   - **급량비 집행 시 인당 식비**는 **1인당 9천원 이내**로 준수해야 하며, **지방자치단체 구매카드 사용 원칙**을 따릅니다.
따라서, **관내출장 여비는 출장 시간이 4시간을 기준으로 하여 1만원 또는 2만원이 지급되며**, 상황에 따라 감액될 수 있습니다. 정확한 지급액은 해당 공무원의 실제 출장 시간과 조건에 따라 결정됩니다. 추가적인 문의 사항이 있으시면 언제든지 말씀해 주세요!</t>
  </si>
  <si>
    <t>d5913983-add8-40e1-a021-c33a72f35858</t>
  </si>
  <si>
    <t>1166dfbf-557b-4572-a887-e83108ba995c</t>
  </si>
  <si>
    <t>dc07f99d-66f2-4bc3-9519-6863b28ccf2d</t>
  </si>
  <si>
    <t>실물/모바일 공무원증은 어떻게 발급받나요?</t>
  </si>
  <si>
    <t>17e8f6d1fc5e4839ac00a2481ff09717</t>
  </si>
  <si>
    <t>실물 공무원증과 모바일 공무원증은 차세대 인사랑 시스템(인사마당 탭 - 공무원증 신청 메뉴)에서 발급 신청을 할 수 있어요.
**실물 공무원증(플라스틱 카드) 신청 방법:**
1. **차세대 인사랑 시스템 접속**: 인사마당 탭에서 '공무원증 신청' 메뉴로 이동해요.
2. **신청 구분 선택**: '실물공무원증'을 선택해 주세요.
3. **부서장 승인**: 부서장의 승인을 받아야 해요.
4. **증명사진 제출**: 증명사진을 첨부하거나 인사정보에 등록된 사진을 사용할 수 있어요.
5. **신청 완료**: 모든 정보를 입력하고 제출하면 신청이 완료돼요.
**모바일 공무원증 신청 방법:**
1. **차세대 인사랑 시스템 접속**: 마찬가지로 인사마당 탭에서 '공무원증 신청' 메뉴로 이동해요.
2. **신청 구분 선택**: 이번에는 '모바일 공무원증'을 선택해 주세요.
3. **부서장 승인**: 역시 부서장의 승인이 필요해요.
4. **SMS 안내 수신**: 신청이 완료되면 SMS로 발급 준비 완료 안내를 받게 돼요.
5. **앱 설치**: 안내된 설치 URL을 통해 모바일 공무원증 앱을 설치해요.
6. **본인 확인 및 비밀번호 설정**: 앱에서 본인 인증을 하고 비밀번호를 설정하면 사용 가능해요.
**주의사항:**
- **소요 기간**: 실물 및 모바일 공무원증 모두 신청 후 수령까지 약 3~4주가 걸려요. 하지만 실제 상황에서는 그보다 더 시간이 걸릴 수도 있어요.
- **모바일 공무원증 사용처**: 현재 모바일 공무원증으로는 청사 출입이 불가능해요. 플라스틱 카드를 사용하셔야 해요.
이렇게 하면 실물 공무원증과 모바일 공무원증을 발급받을 수 있답니다! 도움이 되었길 바라요. 다른 궁금한 점이 있으면 언제든지 물어봐 주세요.</t>
  </si>
  <si>
    <t>모바일 공무원증은 어떻게 활용할 수 있나요?</t>
  </si>
  <si>
    <t>9ae8232ff60845819ce83e79c43fd3b6</t>
  </si>
  <si>
    <t>현재 모바일 공무원증은 공식적으로 청사 출입 등에 활용되지 않고 있으며, 주로 개인 식별용도로 사용되고 있습니다. 모바일 공무원증은 스마트폰 애플리케이션을 통해 발급되며, 이를 통해 본인의 신분을 확인할 때 사용할 수 있습니다. 예를 들어, 일부 시스템에서는 모바일 공무원증을 이용하여 로그인하거나 인증을 받을 수 있습니다.
그러나 모바일 공무원증이 실제 업무 환경에서 어떤 방식으로 활용될지는 구체적인 정책이나 지침에 따라 달라질 수 있으므로, 정확한 활용 방법은 해당 기관의 인사 담당 부서에 문의하시는 것이 좋습니다. 또한, 기술의 발전과 보안 시스템의 개선에 따라 앞으로 모바일 공무원증의 활용 범위가 확대될 가능성도 있으니 지속적인 관심이 필요합니다. 추가적인 도움이 필요하시면 언제든지 말씀해 주세요!</t>
  </si>
  <si>
    <t>장기재직휴가는 어떻게 신청하나요?</t>
  </si>
  <si>
    <t>d46549cada2e401aa52445f9fcb73c00</t>
  </si>
  <si>
    <t>장기재직휴가는 다음과 같은 절차로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피하고, 업무 대행자를 지정하여 업무 연속성이 유지되도록 해야 합니다.
3. **부서장과 상의**: 휴가 계획을 부서장에게 알리고 승인을 받아야 합니다. 부서장은 팀의 일정과 인력 상황을 고려하여 휴가를 승인하거나 조율할 수 있습니다.
4. **복무시스템 승인 요청**: 차세대인사랑 복무관리시스템을 통해 휴가 신청을 합니다. 이때 휴가구분을 "연가외휴가관리 - 특별휴가 - '장기재직휴가'"로 선택하고, 휴가 사유를 명확하게 기재해야 합니다.
5. **승인 완료 후 휴가 실시**: 부서장의 승인이 완료되면 휴가를 실시할 수 있습니다. 이 과정에서 업무 대행자와의 인계·인수를 철저히 하여 업무 공백이 발생하지 않도록 주의해야 합니다.
또한, 장기재직휴가는 재직기간에 따라 정해진 일수를 사용하며, 최소 2일 이상으로 분할 사용이 가능합니다. 토·일요일이나 공휴일은 휴가 기간에 산입되지 않으므로 실제 근무일과 겹치지 않도록 계획하는 것이 중요합니다.
**주의 사항**:
- 부서 현원의 1/3 이내에서 휴가 대상자를 선정하므로, 다른 동료들의 휴가 일정과도 조율이 필요할 수 있습니다.
- 장기간 휴가를 사용하는 경우에는 긴급 연락망을 유지하고, 비상 상황에 대비해야 합니다.
- 국정감사, 행정사무감사, 부서 주요 업무 추진 기간, 국가적 재난 상황 등에는 휴가를 자제하는 것이 좋습니다.
더 궁금한 점이 있으시면 언제든지 물어보세요! 도움이 필요하면 말씀해 주세요.</t>
  </si>
  <si>
    <t>경조사별 휴가일수를 알려주세요</t>
  </si>
  <si>
    <t>부산광역시 공무원 복무 조례
 [별표3] 경조사별 휴가일수표(제15조제1항 관련)</t>
  </si>
  <si>
    <t>1.0</t>
  </si>
  <si>
    <t>9c860baa2eb24abfa0fee8d22c7bf9c8</t>
  </si>
  <si>
    <t>기록물의 보존기간을 업무별로 알려주세요</t>
  </si>
  <si>
    <t>236, 237, 238</t>
  </si>
  <si>
    <t>f054ab3775394635b11611b2b818d94f</t>
  </si>
  <si>
    <t>기록물의 보존기간은 해당 업무의 중요도와 법적, 역사적 가치를 고려하여 결정됩니다. 일반적으로 다음과 같은 기준에 따라 보존기간이 설정됩니다:
1. **영구**: 국가의 핵심적인 업무 수행을 증명하거나 설명하는 기록물, 국민이나 기관의 지위, 신분, 재산, 권리, 의무를 증명하는 기록물, 국가나 지역사회의 역사 경험을 증명할 수 있는 기록물 등은 영구적으로 보존해야 합니다.
2. **준영구**: 영구 보존의 필요성은 없지만 일정 기간 동안 보존이 필요한 기록물로, 예를 들어 국민이나 기관의 신분, 재산, 권리, 의무를 증빙하는 기록물 중에서 관리 대상이 소멸될 때까지 보존해야 하는 경우가 있습니다.
3. **30년**: 영구나 준영구로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업무를 제외한 일반적인 사항과 관련된 기록물로서 3년 이상의 기간 동안 업무에 참고하거나 기관의 업무 수행 내용을 증명할 필요가 있는 경우에 5년의 보존기간을 적용합니다.
6. **3년**: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필요도 없는 단순하고 일상적인 업무를 수행하면서 생산한 기록물은 1년간 보존 후 폐기합니다.
또한, 특정 업무에 대해서는 법령이나 지침에 따라 별도의 보존기간이 지정되어 있을 수 있으므로, 구체적인 업무별로 정확한 보존기간을 확인하려면 해당 업무와 관련된 법령이나 기관의 내부 규정을 참고하시는 것이 좋습니다. 추가적인 도움이 필요하시면 언제든지 말씀해 주세요!</t>
  </si>
  <si>
    <t>8bc19b6d-f180-422b-9a51-611f19c27f6c</t>
  </si>
  <si>
    <t>7b23e2a6-85ec-421c-82a2-3683efb5d170</t>
  </si>
  <si>
    <t>19593c95-c8c3-49d1-9e01-42e8935780ce</t>
  </si>
  <si>
    <t>ecb6f6f7-e64c-4464-a8da-8b4894001ac4</t>
  </si>
  <si>
    <t>9da986cf-37a5-4c15-a47c-a61caed864f2</t>
  </si>
  <si>
    <t>부산시청 내 회의장의 수용가능인원을 알려주세요</t>
  </si>
  <si>
    <t>b3c38dc35cbd4d629eeef5686e3fbea0</t>
  </si>
  <si>
    <t>부산시청 내에 있는 각 회의실의 수용 가능 인원은 다음과 같습니다:
- **1층 대강당**: 696명
- **3층 식당 1~3 회의실**: 16명
- **지하 3층 1-3 회의실**: 10~30명
- **12층 국제회의장**: 290명
- **12층 소회의실-1**: 40명 (오전/오후 분할 사용)
- **12층 소회의실-2**: 40명
- **도모헌 계단식 강연장**(구 시장관사): 100명
- **도모헌 콘퍼런스룸**: 20명
- **26층 회의실**: 20명 (부서장 회의 우선)
- **8층 기획조정실 회의실**: 15명
- **10층 행정자치국 회의실**: 15명
- **16층 교통혁신국 회의실**: 15명
- **17층 디지털경제실 회의실**: 15명
- **18층 해양농수산국 회의실**: 15명
- **20층(복도)(도시공간계획국)**: 20명
- **22층(복도)(환경물정책실)**: 20명
- **24층(복도)(도시혁신균형실)**: 20명
- **24층 노조 회의실**: 15명
- **시의회 대회의실**: 60명
- **시의회 의원회관 지하1층 회의실**: 60명
- **10, 11, 14, 15, 17, 18, 23층 부스형 회의실**: 10명 (각 층별)
이 외에도 필요한 정보가 있으시면 언제든지 말씀해 주세요! 도움이 필요하면 언제든 도와드리겠습니다.</t>
  </si>
  <si>
    <t>9260cf29-213a-4b61-bb71-a8aae0674111</t>
  </si>
  <si>
    <t>공고문 게시 기간과 게시 방법에 대한 법적 기준은 어떻게 되나요?</t>
  </si>
  <si>
    <t>회계재산담당관 계약업무 참고자료 외부용</t>
  </si>
  <si>
    <t>218bfe8ef2ab4ebf8f852c5db19b3359</t>
  </si>
  <si>
    <t>업무추진비 집행 시 사용 가능한 항목과 제한 사항은 무엇이며, 지출 시 필요한 증빙 서류는 무엇인가요?</t>
  </si>
  <si>
    <t>2eff3d7458de47a8a633de0a92ccea1f</t>
  </si>
  <si>
    <t>업무추진비는 지방자치단체의 업무 수행과 관련된 공식적인 활동에 사용되는 비용으로, 그 집행은 엄격한 지침과 규정을 따릅니다. 아래는 업무추진비 집행 시 사용 가능한 항목, 제한 사항, 그리고 지출 시 필요한 증빙 서류에 대한 설명입니다.
### **사용 가능한 항목**
1. **이재민 및 불우소외계층 지원**
   - 다른 지역에서 발생한 재난이나 사고로 피해를 입은 이재민이나 불우소외계층에게 격려금품 지급 및 식사 제공.
   - 해당 지방자치단체 관할 구역에서 재난이나 사고가 발생했을 때 이재민, 피해자, 그 유가족, 재난복구 종사자 등에 대한 격려금품 지급 및 식사 제공.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관계자에게 식사 제공.
   - 내방객(일반 민원인 제외)에게 의례적인 수준의 기념품 지급.
   - 시책사업 홍보를 위해 언론관계자 간담회를 개최할 경우 식사 제공.
3. **학술·문화예술·체육활동 유공자 격려**
   - 해당 지방자치단체의 대표선수나 관할 구역에 주소를 둔 선수가 올림픽, 월드컵, 세계선수권 대회 등에서 출전하는 경우 격려금품 지급 및 식사 제공.
   - 공연단, 예술단 등이 관내에서 공연이나 행사를 진행할 때 현장 종사자에게 격려금품 지급 및 식사 제공.
   - 자원봉사로 지역사회에 기여하는 자원봉사자, 단체, 센터 등에 대한 격려금품 지급 및 식사 제공.
4. **회의·간담회·행사**
   - 시책사업 추진에 기여한 공로가 있거나 원활한 사업 추진을 위해 격려가 필요한 사업추진 관계자에게 식사 제공.
   - 지방자치단체가 주최하는 회의 참석자에게 식사 제공.
   - 지방자치단체가 주관하는 직무와 직접 관련된 행사(「공직선거법」 제86조 제2항 제4호에 따라 제한되는 행사 제외) 관계자에게 기념품 지급 및 식사 제공.
   - 국제 교류 및 협력을 증진하기 위해 대사, 영사, 교민, 자매결연 지방자치단체 관계자, 외교사절단 또는 외빈에게 선물 증정 및 식사 제공.
   - 벤치마킹, 교육, 현지 조사·견학 등을 위해 지방자치단체를 방문한 다른 지방자치단체, 국가기관, 공공단체, 민간단체, 학회, 협회 또는 해외기관 방문자에게 기념품 지급 및 식사 제공.
5. **현업부서·현장근무자 격려**
   - 군부대, 전투경찰대, 소방서(파출소 포함), 경찰서(지구대 등 포함), 우체국 등 국가기관 및 다른 지방자치단체에서 종사하는 현업(현장) 근무자를 위해 해당 기관 대표자에게 격려금품 지급.
### **제한 사항**
- **개인명의의 기부금**: 개인명의로 불우이웃돕기 성금, 재해의연금 등 기타 출성 성금은 업무추진비로 지출할 수 없습니다.
- **현금 사용 제한**: 업무추진비는 원칙적으로 현금으로 사용할 수 없으며, 예외적으로 현금 집행이 불가피한 경우에만 가능합니다. 예를 들어, 격려금, 축의·부의금 등은 현금 사용이 허용됩니다.
- **심야 시간대와 사용자 자택 근처에서의 사용 제한**: 업무추진비는 통상적인 업무 추진과 관련이 적은 시간과 장소(예: 심야 시간대, 사용자 자택 근처)에서는 사용할 수 없습니다. 그러나 직무 관련성이 입증되는 객관적 증빙서류가 있을 경우 예외적으로 사용할 수 있습니다.
- **접대비 한도**: 간담회 등 접대비는 특별한 사유가 없는 한 1인 1회당 4만원 이하 범위에서 집행해야 합니다. 행사의 성격상 불가피한 경우에는 증빙서류에 사유를 명시하고 4만원을 초과하여 집행할 수 있으나, 「청탁금지법」 적용 대상인 경우에는 해당 법의 기준을 따라야 합니다.
- **상품권, 기념품, 특산품 구매 시 관리**: 이러한 물품을 구매할 경우 지급관리 대장에 지급일시, 대상자 및 수량을 기재하여 결재를 받아야 하며, 이를 통해 사적 사용을 방지해야 합니다.
### **지출 시 필요한 증빙 서류**
- **지출품의서**: 업무추진비를 집행하려는 경우, 집행목적, 일시, 장소, 집행 대상 등을 상세하게 기재한 지출품의서를 작성해야 합니다.
- **영수증 및 수령 확인서**: 현금 지출의 경우, 전달자와 최종 수요자의 영수증을 징구하고, 최종 수요자에게 영수증을 받을 수 없을 때는 집행내역서를 확보해야 합니다.
- **객관적 증빙서류**: 심야 시간대나 사용자 자택 근처에서의 지출이 불가피한 경우, 출장명령서 등 직무 관련성을 입증할 수 있는 객관적 증빙서류를 제출해야 합니다.
- **결재 문서**: 모든 지출은 관련 부서의 책임자나 담당자의 결재를 받아야 하며, 이는 추후 감사나 검토 시 중요한 자료로 활용됩니다.
**주의사항**: 업무추진비는 기관장 위주가 아닌 실제 업무 수행을 위한 용도로 사용되어야 하며, 투명하고 공정하게 집행되어야 합니다. 부정확한 사용이나 부적절한 지출은 법적 처벌의 대상이 될 수 있으므로 주의가 필요합니다.
---
위의 내용은 여러 문서를 종합하여 정리한 것이며, 정확한 정보 제공을 위해 최신의 관련 법령과 지침을 참고하시기 바랍니다. 또한, 특정 지방자치단체의 세부 규정이 다를 수 있으니 해당 기관의 공식 매뉴얼이나 지침을 확인하는 것이 중요합니다. 추가로 궁금한 점이 있으시면 언제든지 문의해 주세요!</t>
  </si>
  <si>
    <t>bcd5ee2c-a525-4e7d-99da-0eae28666652</t>
  </si>
  <si>
    <t>f2bc31ac-716a-4b0d-9ef6-3c24533b7c86</t>
  </si>
  <si>
    <t>0e972f48-fafb-4164-abee-5dfd3e6efd1b</t>
  </si>
  <si>
    <t>정보공개법에 따른 정보공개 청구 처리 기한은 며칠인가요?</t>
  </si>
  <si>
    <t>100</t>
  </si>
  <si>
    <t>be20b7f4636c44e989e9329137c8fa7b</t>
  </si>
  <si>
    <t>정보공개법에 따르면, 공공기관은 정보공개의 청구를 받은 날부터 **10일** 이내에 공개 여부를 결정해야 합니다. 이는 정보공개법 제11조 제1항에 명시되어 있으며, 국민의 알 권리를 신속하게 보장하기 위한 조치입니다. 만약 특별한 사유로 인해 기간 내에 결정할 수 없다면, 해당 기간을 연장할 수 있지만, 가능한 한 빠른 시일 내에 처리하도록 노력하고 있습니다. 추가적인 질문이나 도움이 필요하시면 언제든지 말씀해 주세요!</t>
  </si>
  <si>
    <t>9f0428bd-09ba-47f1-a799-ad01bbc5bbb5</t>
  </si>
  <si>
    <t>426_2307_통합민원과_업무매뉴얼_행정안전부_민원_처리에_관한_법령_해설집개정판.pdf</t>
  </si>
  <si>
    <t>0fbece19-ca7d-4782-81f0-fc7563836849</t>
  </si>
  <si>
    <t>「지방공무원법」 및 내부 규정에 따라 겸직이나 외부강의 시 사전 신고가 필요한 경우는 어떤 때이며, 절차는 어떻게 되나요?</t>
  </si>
  <si>
    <t>1251_지방공무원의_영리업무_및_겸직_금지_의무_강조.pdf[1]
 1224_외부강의등_신고_중요사항_알림.pdf[1]</t>
  </si>
  <si>
    <t>1584fa0615ae4e0a916d38f9502beeea</t>
  </si>
  <si>
    <t>신규사업을 추진하고자 할때 사전에 심의받아야 하는 절차는 어떤것들이 있나요?</t>
  </si>
  <si>
    <t>91425ceceae745f78a14731a1386dec1</t>
  </si>
  <si>
    <t>신규 사업을 추진할 때 필요한 사전 심의 절차는 다음과 같습니다:
1. **사업 계획 수립**: 먼저 구체적인 사업 계획을 세워야 합니다. 이는 사업의 목적, 내용, 예산, 기간 등을 포함하며, 이후 단계들의 기반이 됩니다.
2. **자체 심의**: 내부적인 심의를 거칩니다. 이는 경영진의 의사결정 과정으로, 사업의 타당성과 실행 가능성을 평가합니다.
3. **이사회 의결**: 이사회의 승인을 받아야 합니다. 이는 공식적인 결정 권한을 가진 기관에서의 최종 승인으로, 사업의 합법성과 정당성을 확보합니다.
4. **행정안전부 사전승인**:
   - **지방공사채 승인신청서 제출**: 지방자치단체는 행정안전부에 지방공사채 발행을 위한 승인신청서를 제출해야 합니다.
   - **현장점검 및 실무검토**: 행정안전부는 제출된 신청서에 대해 현장 점검과 실무 검토를 진행합니다.
   - **승인심사위원회 심의**: 전문 심사위원들로 구성된 위원회에서 사업의 적합성, 타당성 등을 종합적으로 평가합니다.
   - **승인 여부 확정 및 통보**: 위의 절차를 거쳐 승인 여부가 결정되며, 그 결과가 지방자치단체에 통보됩니다.
5. **발행 및 자금 운용**: 승인이 완료되면 지방공사채를 발행하고, 이를 통해 조달한 자금으로 사업을 추진합니다.
이러한 절차들은 사업이 투명하고 효율적으로 진행될 수 있도록 하며, 재정 건전성을 유지하고 부채 관리를 강화하기 위한 것입니다. 각 단계를 철저히 준수함으로써 사업의 성공률을 높일 수 있습니다. 추가적인 도움이 필요하시면 언제든지 말씀해 주세요!</t>
  </si>
  <si>
    <t>1f57bd33-2f48-4b01-bbc7-ba9d173f7ca5</t>
  </si>
  <si>
    <t>28_2503_공공기관담당관_업무매뉴얼_행정안전부_2025년도_지방공사채_발행_운영기준.pdf</t>
  </si>
  <si>
    <t>시에서 주관하는 행사 등 추진 시 홍보 광고물 설치 절차는 어떻게 되나요?</t>
  </si>
  <si>
    <t>89_2504_미디어담당관_업무매뉴얼_미디어담당관_콘텐츠기획팀_홍보_요청_절차ver4.pdf[1]</t>
  </si>
  <si>
    <t>c95afa4b597c42f6a5476792176941b2</t>
  </si>
  <si>
    <t>공사, 용역, 물품 등 구입시 조달청을 통한 계약 절차는 어떻게 되나요?</t>
  </si>
  <si>
    <t>a8fe3d7a8b86426099a7e7a6cb50608c</t>
  </si>
  <si>
    <t>공사, 용역, 물품 등을 구입하실 때 조달청을 통한 계약 절차는 다음과 같습니다.
**1. 필요성 검토**
먼저, 구입하고자 하는 물품이나 서비스가 조달청을 통해 구매 가능한지 여부를 확인합니다. 이는 국가계약법 및 관련 규정에 따라 결정됩니다.
**2. 조달청 등록 여부 확인**
구입하려는 물품이나 서비스가 조달청의 종합쇼핑몰에 등록되어 있는지 확인합니다. 만약 등록되어 있다면, 해당 쇼핑몰을 통해 구매 절차를 진행할 수 있습니다.
**3. 입찰 공고**
조달청을 통해 구매를 진행하려면 일반적으로 입찰 공고를 해야 합니다. 이 과정은 조달청이 대신 수행하며, 입찰 참여 자격, 조건, 일정 등을 공고합니다.
**4. 입찰 참여**
입찰 공고가 완료되면, 자격을 갖춘 업체들이 입찰에 참여할 수 있습니다. 이때 입찰 방식은 일반경쟁, 제한경쟁, 지명경쟁 등 다양한 방식이 있을 수 있으며, 이는 구매 품목과 조건에 따라 결정됩니다.
**5. 낙찰자 선정**
조달청은 입찰에 참여한 업체들의 제안서를 평가하여 가장 적합한 업체를 낙찰자로 선정합니다. 이 과정에는 기술능력 평가, 가격 평가 등이 포함될 수 있습니다.
**6. 계약 체결**
낙찰자가 선정된 후에는 조달청과 최종적으로 계약을 체결합니다. 계약서에는 계약 내용, 조건, 대금 지급 방법 등이 상세히 기재됩니다.
**7. 계약 이행 및 사후관리**
계약이 체결되면, 업체는 계약 내용에 따라 물품이나 서비스를 제공하게 됩니다. 이후 조달청은 계약 이행 상황을 모니터링하고, 필요한 경우 분쟁 조정이나 사후 관리를 지원합니다.
**추가 정보**
- **분할계약 금지**: 동일한 구조물 공사나 단일 공사는 분할하여 계약할 수 없습니다. 이는 공사의 일관성과 책임 소재를 명확히 하기 위함입니다.
- **다수공급자계약(MAS)**: 조달청이 여러 공급자와 계약을 맺어 공공기관이 원하는 제품을 선택하여 구매할 수 있게 하는 제도입니다.
- **우선구매제도**: 중소기업 제품의 판로를 확대하기 위해 공공기관이 일정 금액 이하의 물품이나 용역을 구매할 때는 중소기업자와 우선적으로 계약해야 합니다.
이러한 절차를 통해 공공기관은 투명하고 효율적으로 물품이나 서비스를 조달할 수 있으며, 조달청은 이러한 과정을 지원하고 관리합니다. 구체적인 절차나 조건은 구매하려는 물품이나 서비스의 특성, 금액 등에 따라 다를 수 있으므로, 정확한 정보를 얻기 위해서는 조달청의 공식 안내나 상담을 받아보시는 것이 좋습니다. 또한, 최신 정보는 조달청 홈페이지나 관련 법령을 참고하시는 것을 추천드립니다. 추가적인 도움이 필요하시면 언제든지 말씀해 주세요!</t>
  </si>
  <si>
    <t>26d737ea-253c-4589-bbfb-9efd91949983</t>
  </si>
  <si>
    <t>예산편성을 위한 신규사업 사전이행절차 안내(사업종류, 사업금액별)</t>
  </si>
  <si>
    <t>15a0b9f868c540b7b17575f4661e49a6</t>
  </si>
  <si>
    <t>예산편성을 위한 신규사업에 대한 사전이행절차는 다음과 같습니다.
**1. 사업의 종류와 규모에 따른 사전이행절차**
- **일반 신규사업**
  - **사업규모**: 제한 없음
  - **사전절차**: 중기재정계획 반영, 중기공유재산관리계획 반영, 투자심사, 공유재산심의, 공유재산관리계획 반영, 정책연구용역심의, 기술용역사전심의, 정보화사업 예산타당성 검토, 지방보조금 및 행사·축제사업 사전심의, 민간위탁 및 공기관위탁 대행 동의, 출자·출연 승인 등이 필요합니다.
- **도시계획 관련 사업**
  - **사전절차**: 도시계획 관련 절차 이행 (예: 도시계획위원회 심의)
- **중앙부처 승인이 필요한 사업**
  - **사전절차**: 해당 부처로부터의 승인 획득
- **총사업비 변경이 있는 사업**
  - **사전절차**: 총사업비 변경에 대한 승인 또는 협의
- **사업 추진 단계에 따른 사업**
  - **사전절차**: 기본설계, 실시설계, 보상, 공사 등의 단계별 절차 이행
**2. 사업금액에 따른 사전이행절차**
- **1억원 초과 재산 취득·처분**
  - **사전절차**: 공유재산심의 및 공유재산관리계획 반영 필수
- **20억원 이상 또는 6,000㎡ 이상의 재산 취득**
  - **사전절차**: 공유재산심의 및 공유재산관리계획 반영 필수
- **10억원 이상 또는 5,000㎡ 이상의 재산 처분**
  - **사전절차**: 공유재산심의 및 공유재산관리계획 반영 필수
- **건당 1,000만원 초과 학술용역**
  - **사전절차**: 정책연구용역심의 실시
- **건당 1억원 이상 기술용역**
  - **사전절차**: 기술용역사전심의 실시
- **지방보조금 및 행사·축제사업**
  - **사전절차**: 지방보조금관리위원회의 사전심의 필요
- **민간위탁 및 공기관위탁 대행**
  - **사전절차**: 시의회의 동의 필요
- **모든 출자·출연사업**
  - **사전절차**: 시의회의 승인 필요
**3. 기타 유의사항**
- **투자심사 대상 사업**
  - **사업규모**: 40억원 이상 (행사성 사업은 3억원 이상, 홍보관은 5억원 이상)
  - **사전절차**: 투자심사 실시
- **예비타당성조사 대상 사업**
  - **조건**: 총사업비 500억원 이상 또는 국비 지원 300억원 이상
  - **사전절차**: 예비타당성조사 실시
- **총사업비 관리 대상 사업**
  - **조건**: 총사업비 50억원 이상이고 사업기간이 2년 이상인 건설·정보화사업
  - **사전절차**: 총사업비 관리제도 준수
**4. 종합적인 사전이행절차 흐름**
1. **사업 계획 수립**: 사업의 목적, 내용, 규모 등을 명확히 정의하고 계획을 수립합니다.
2. **법정절차 이행 확인**: 위에서 언급한 각 항목별로 필요한 사전절차가 있는지 확인하고, 이를 이행합니다.
3. **선행절차 이행**: 도시계획 관련 절차, 중앙부처 승인, 총사업비 변경, 사업 추진 단계 등에 따른 절차를 진행합니다.
4. **예산 요청서 작성 및 제출**: 모든 사전이행절차를 완료한 후, 예산요구서를 작성하여 지정된 기한 내에 제출합니다.
5. **예산안 편성 및 심의**: 예산요구서에 따라 예산안이 편성되고, 내부 심사와 조정을 거쳐 최종 예산안을 확정합니다.
6. **예산안 제출 및 의결**: 확정된 예산안을 시의회에 제출하고, 상임위와 예결특위의 심의를 거쳐 본회의에서 의결됩니다.
**참고 사항**
- 각 사전이행절차의 구체적인 일정과 제출 기한은 관련 법령이나 지침에 따라 다를 수 있으므로, 최신 정보를 확인하는 것이 중요합니다.
- 특히, 예산편성 시기에는 여러 부서와의 협력이 필요하므로, 사전에 충분한 시간을 가지고 절차를 진행해야 합니다.
이러한 절차를 통해 신규사업을 원활하게 추진하고, 예산편성에 차질이 없도록 해야 합니다. 추가로 궁금한 사항이 있으시면 언제든지 문의해 주세요. 도움이 되었기를 바랍니다.</t>
  </si>
  <si>
    <t>02f57326-68f9-4b47-ba95-1ccfcbe8f0f7</t>
  </si>
  <si>
    <t>46_2404_공공하수인프라과_업무매뉴얼_환경부_유기성폐자원_통합_바이오가스화시설_설치사업의_예산편성_및_집행관리_지침2차_개정.pdf</t>
  </si>
  <si>
    <t>빅데이터과 보유데이터 중 부서활용가능한 데이터 종류</t>
  </si>
  <si>
    <t>170_2503_빅데이터과_업무매뉴얼_빅데이터과_빅데이터과바인더</t>
  </si>
  <si>
    <t>135.0</t>
  </si>
  <si>
    <t>6739469beb6544678d47f6a502f773e4</t>
  </si>
  <si>
    <t>gpki 비밀번호 잃어버렸을 떄 조치방법을 알려주세요</t>
  </si>
  <si>
    <t>1c7caf846d4043f5be80fc3251a8b014</t>
  </si>
  <si>
    <t>비밀번호를 잊어버린 경우, 다음과 같은 절차를 따라 조치를 취할 수 있습니다:
1. **비밀번호 초기화 요청**: 먼저, 해당 기관의 IT 담당 부서나 인증 관리 부서에 연락하여 비밀번호 초기화를 요청하세요. 일반적으로 비밀번호를 재설정하거나 초기화하는 절차가 마련되어 있습니다.
2. **재발급 신청**: 만약 비밀번호 초기화가 어렵거나 시간이 오래 걸리는 경우에는 새로운 인증서를 발급받는 것을 고려해보세요. 이 경우에도 관련 부서에 재발급 신청을 해야 합니다.
3. **필요한 서류 준비**: 재발급이나 비밀번호 초기화를 위해서는 신분증 사본 등 본인 확인을 위한 서류가 필요할 수 있으니 미리 준비해두세요.
4. **절차 확인**: 각 기관마다 인증서 관리 규정이 다를 수 있으므로, 정확한 절차와 필요한 서류를 확인하기 위해 공식 매뉴얼이나 안내문을 참고하는 것이 좋습니다.
위의 절차를 따르면 비밀번호 문제를 해결할 수 있을 것입니다. 추가적인 도움이 필요하다면 언제든지 말씀해 주세요.</t>
  </si>
  <si>
    <t>수시인사교류의 절차는 어떻게 되나요</t>
  </si>
  <si>
    <t>b561e433b333494fa916f80f06e58d9e</t>
  </si>
  <si>
    <t>수시인사교류는 개인의 적성과 소질을 개발하고 부모 봉양, 부부 합가 등 개인의 애로사항을 해소하며 공직사회에 활력을 불어넣기 위해 시행하는 제도입니다. 이 절차를 진행하려면 먼저 '나라일터 시스템'(www.gojobs.go.kr)을 통해 상호 간에 신청을 하고 수락을 받아야 합니다. 그 다음 매칭이 이루어지면 부산시에 공식 문서로 접수를 하게 되고, 이후 인사교류 절차에 들어갑니다.
신청자가 수시인사교류를 원한다고 해서 자동으로 진행되는 것은 아닙니다. 인사관계 법령에 의해 전보가 제한되는 자나 징계 절차 중인 경우에는 수시인사교류가 진행될 수 없습니다. 또한, 제한이 없는 신청자라 하더라도 현 기관의 임용권자의 동의를 받아야만 교류를 확정하고 진행할 수 있습니다.
인사교류 절차는 다음과 같이 진행됩니다:
1. **1차 서류심사**: 제출된 서류를 기반으로 기본적인 자격 요건과 필요 조건을 검토합니다.
2. **2차 면접심사**: 서류심사를 통과한 지원자를 대상으로 심층적인 면접을 실시하여 적합성을 평가합니다.
3. **상호기관 간 협의**: 면접심사에 합격하면 양 기관이 교류 시기와 조건 등에 대해 협의를 진행합니다.
   - 이때 통상적으로 3~6개월 정도의 시간이 소요될 수 있습니다.
4. **최종 결정 및 교류 실행**: 모든 절차와 협의가 완료되면 최종적으로 교류를 확정하고 실행합니다.
또한, 수시인사교류는 동일한 직렬과 직급 내에서 이루어지는 것이 원칙이며, 직급이 다를 경우 강임 등의 형태로 진행될 수 있습니다. 그러나 이러한 경우에도 반드시 해당 인사부서와 사전에 상의해야 합니다.
이러한 절차를 통해 수시인사교류는 개인의 발전과 조직의 효율성 향상을 도모합니다. 더 궁금한 사항이 있으시면 언제든지 문의해 주세요!</t>
  </si>
  <si>
    <t>be3dd1a2-7ba1-4320-9f06-3c392c2c7207</t>
  </si>
  <si>
    <t>전문직위 지정 및 전문관 임용은 어떻게 신청하면 되나요?</t>
  </si>
  <si>
    <t>92836185cc7e43ec95f2d695c2e9c2d7</t>
  </si>
  <si>
    <t>전문직위 지정 및 전문관 임용은 매년 상반기와 하반기에 각 부서로부터 신청을 받습니다. 먼저, 전문직위 신규 지정이나 해지를 원하는 부서는 그 신청을 제출해야 합니다. 그런 다음, 조직담당관에서 해당 직위의 직무분석을 실시하여 직무의 내용과 특성을 파악합니다. 이 분석 결과는 인사위원회의 심의를 거치게 되며, 이를 통해 전문직위가 공식적으로 지정됩니다.
이후 공석이 발생한 전문직위에 대해서는 전문관을 모집하게 되는데, 이는 공개모집 방식으로 진행됩니다. 지원자들은 자신의 경력과 역량을 바탕으로 전문직위에 지원하는 절차를 밟게 됩니다. 실·국·본부별로 선발심사위원회를 구성하여 지원자들을 심사하며, 이 과정을 통해 가장 적합한 후보자를 선발합니다. 선발된 전문관은 해당 전문직위에 임용되어 전문성을 발휘하게 됩니다.
따라서, 전문직위 지정 및 전문관 임용을 위해서는 각 부서에서 전문직위 신청을 하고, 조직담당관의 직무분석과 인사위원회의 심의를 거친 후에야 가능합니다. 전문관이 되고자 하는 경우에는 공개모집에 참여하여 선발과정을 통과해야 합니다. 이러한 절차를 통해 전문직위와 전문관이 지정되고 임용됩니다. 더 궁금한 점이 있으시면 언제든지 물어보세요!</t>
  </si>
  <si>
    <t>60cb299e-3527-4027-97cd-de68553b956d</t>
  </si>
  <si>
    <t>923e9fe1-3613-4b31-88af-1996d8fd4c93</t>
  </si>
  <si>
    <t>257_2207_인사과_계획_인사과_민선8기_부산광역시_인사혁신_추진계획.pdf</t>
  </si>
  <si>
    <t>3361ba7a-8156-457d-a373-d6ccf594a37f</t>
  </si>
  <si>
    <t>263_2401_인사과_기본계획_인사과_2024년도_부산광역시_인사운영_기본계획.pdf</t>
  </si>
  <si>
    <t>2b157946-4e34-44da-861a-827cf8de2a72</t>
  </si>
  <si>
    <t>258_2301_인사과_기본계획_인사과_2023년도_부산광역시_인사운영_기본계획.pdf</t>
  </si>
  <si>
    <t>841751b6-b529-41a0-8a2b-7e6abdcb9ac5</t>
  </si>
  <si>
    <t>253_2201_인사과_기본계획_인사과_2022년도_부산광역시_인사운영_기본계획.pdf</t>
  </si>
  <si>
    <t>성과상여금 및 연봉결정에 대한 이의신청 방법은?</t>
  </si>
  <si>
    <t>예산담당관_업무매뉴얼_행정안전부_지방공무원보수업무_등_처리지침.pdf</t>
  </si>
  <si>
    <t>230
 437</t>
  </si>
  <si>
    <t>63cfde46f33942a4ba4789606050e79e</t>
  </si>
  <si>
    <t>네, 성과상여금 및 연봉결정에 대해 이의가 있으신 경우에는 다음과 같은 방법으로 이의신청을 하실 수 있습니다.
1. **이의신청서 작성**: 먼저, 본인이 지급받은 성과상여금이나 연봉 결정에 대해 이의가 있다면, 이의신청서를 작성해야 합니다. 이의신청서는 일반적으로 소속 기관에서 제공하는 양식을 사용하며, 구체적인 이의 내용과 이유를 상세히 기재하셔야 합니다.
2. **소속기관의 장에게 제출**: 작성한 이의신청서는 소속 부서의 장 또는 상급자에게 제출합니다. 이때, 이의신청 사유와 관련된 증빙 자료나 추가 설명이 필요하다면 함께 첨부하시는 것이 좋습니다.
3. **내부 검토 및 처리**: 부서장은 제출된 이의신청서를 검토한 후, 필요 시 관련 위원회나 상위 기관에 재심사를 요청할 수 있습니다. 이 과정에서 추가적인 소명이나 자료 제출이 요구될 수도 있습니다.
4. **결과 통보**: 최종적으로 이의신청에 대한 결과는 공식적인 문서로 통보되며, 이에 따른 후속 조치가 이루어집니다.
**주의사항**:
- 이의신청은 일정 기간 내에 이루어져야 하며, 그 기간은 각 기관의 규정에 따라 다를 수 있으므로 미리 확인하시기 바랍니다.
- 이의신청 과정에서는 객관적이고 합리적인 근거를 제시하는 것이 중요합니다.
- 만약 결과에 만족하지 못하신다면, 추가로 행정심판이나 소송 등의 법적 구제 절차를 고려하실 수 있습니다.
더 궁금한 사항이나 도움이 필요하시면 언제든지 말씀해 주세요!</t>
  </si>
  <si>
    <t>98ff21bf-ee34-4c52-a43a-3c6640c91c49</t>
  </si>
  <si>
    <t>공무원증 신청방법? 발급되는데 얼마나 걸리나요?</t>
  </si>
  <si>
    <t>8a66fce80c7a48508b84dcc57e6d6c34</t>
  </si>
  <si>
    <t>공무원증은 차세대 인사랑시스템(인사마당 탭 - 공무원증 신청 메뉴)에서 발급 신청을 할 수 있어요. 신청 구분에 '실물공무원증'을 선택하고, 부서장의 승인을 받으면 됩니다. 또한, 증명사진을 함께 제출하거나 인사정보에 등록된 사진을 사용할 수도 있어요.
신청 후에는 약 3~4주 정도 시간이 걸려요. 하지만 실제 상황에서는 기관의 상황에 따라 그보다 더 오래 걸릴 수도 있으니 참고해 주세요. 만약 급하게 필요하다면 해당 부서에 문의해 보는 것도 좋을 것 같아요. 도움이 되었길 바라요! 다른 궁금한 점이 있으면 언제든지 물어봐 주세요.</t>
  </si>
  <si>
    <t>당직 등으로 인한 대체휴무 사용기간은 언제까지인가요?</t>
  </si>
  <si>
    <t>7f991b0b6f794548b86ec42ee394bb90</t>
  </si>
  <si>
    <t>당직 등으로 인해 대체휴무를 사용할 경우, 그 사용기간은 해당 기관의 업무 사정이나 부득이한 사유로 근무한 날의 다음 정상근무일에 휴무할 수 없는 경우에 한하여, 그 사유가 해소된 날부터 6주 이내의 다른 정상근무일로 지정하여 휴무할 수 있습니다. 여기서 6주 이내의 기간은 토요일 및 공휴일을 포함한 기간을 말합니다.
즉, 예를 들어 당직을 서고 난 후에 다음 정상근무일에 휴무할 수 없다면, 그 사유가 해결된 날로부터 최대 6주 이내에 다른 날을 선택하여 휴무할 수 있다는 의미입니다. 이는 근로자의 휴식권을 보장하고 업무 부담을 완화하기 위한 제도적 장치입니다.
더 자세한 내용은 관련 법령인 '지방공무원 복무규정' 제4조를 참고하시면 됩니다. 이 규정은 지방공무원의 복무와 관련된 사항을 상세히 다루고 있으므로, 구체적인 사항이 궁금하시다면 해당 규정을 확인하시는 것이 좋습니다. 추가적인 도움이 필요하시면 언제든지 말씀해 주세요!</t>
  </si>
  <si>
    <t>e6ef8844-7191-47ce-9cd0-db21883e3b1e</t>
  </si>
  <si>
    <t>휴가 마지막 날 18시 이후 초과근무가 가능한지 ?</t>
  </si>
  <si>
    <t>a4e435fae9ef472f9d6d68bb05e56bb7</t>
  </si>
  <si>
    <t>네, 질문해 주셔서 감사합니다. 먼저, 관련 규정을 확인해 보겠습니다.
**「지방공무원 복무 예규」**에 따르면, "휴가 중인 공무원에 대하여 휴가 기간 중은 물론 휴가 마지막 날의 근무종료시간 이후에도 초과근무를 명할 수 없도록 규정"되어 있습니다. 이는 휴가를 시간 단위가 아니라 일(day) 단위로 계산하기 때문입니다. 즉, 휴가 마지막 날은 전체가 휴가 기간으로 간주되며, 그 날의 근무종료시간 이후에는 초과근무를 명할 수 없습니다.
따라서, **휴가 마지막 날 18시 이후에는 초과근무를 명할 수 없습니다.**
그러나 예외적인 상황이 있습니다. 만약 **휴가 마지막 날 자정(24시) 이후**에 초과근무 명령을 받아 근무한다면, 그 근무 시간은 초과근무로 인정될 수 있습니다. 이는 자정 이후에 근무를 시작하므로 새로운 날짜의 근무로 보기 때문입니다.
**정리하자면:**
- **휴가 마지막 날 18시 이전까지의 근무**: 초과근무 가능
- **휴가 마지막 날 18시부터 자정 사이의 근무**: 초과근무 불가능
- **휴가 마지막 날 자정 이후의 근무**: 초과근무 가능
추가적으로 궁금한 사항이 있으시면 언제든지 물어보세요! 도움이 되었기를 바랍니다.</t>
  </si>
  <si>
    <t>c7c83916-a444-4c61-b42b-8387b89ba4c1</t>
  </si>
  <si>
    <t>육아휴직수당의 지급 금액은 얼마인가요?</t>
  </si>
  <si>
    <t>21</t>
  </si>
  <si>
    <t>f21d61dfcacd4568953afece376d5b63</t>
  </si>
  <si>
    <t>육아휴직수당은 육아휴직 시작일부터 6개월째까지는 월봉급액에 해당하는 금액으로 지급되고, 7개월째 이후는 월봉급액의 80퍼센트에 해당하는 금액으로 지급됩니다. 그러나 같은 자녀에 대하여 부모가 모두 육아휴직을 한 경우로서 두 번째 육아휴직을 한 공무원의 경우에는 육아휴직 시작일부터 6개월째까지도 월봉급액에 해당하는 금액을 지급합니다. 또한, 한부모가족지원법에 따른 모 또는 부에 해당하는 공무원은 육아휴직 시작일부터 3개월째까지도 월봉급액에 해당하는 금액을 지급합니다. 자세한 내용은 관련 규정을 참고하시기 바랍니다.</t>
  </si>
  <si>
    <t>ba0bc45a-b3fd-4135-a38e-945810bf5ad8</t>
  </si>
  <si>
    <t>a6575ca5-7d31-48a3-8d5e-0904c262b7d8</t>
  </si>
  <si>
    <t>7e532afc-45c7-4fc7-8aaa-7a4c9baa0683</t>
  </si>
  <si>
    <t>0cc77955-271f-4d46-974e-09a475335c66</t>
  </si>
  <si>
    <t>2fb0a0bf-29cb-4592-90fc-279a16598677</t>
  </si>
  <si>
    <t>가족수당의 지급 금액은 어떻게 되나요?</t>
  </si>
  <si>
    <t>02ed84a9bea743d89a9ad908ef6e817b</t>
  </si>
  <si>
    <t>가족수당은 배우자에게는 월 4만원을 지급하며, 자녀의 경우에는 첫째 아이는 월 5만원, 둘째 아이는 월 8만원, 셋째 아이부터는 월 12만원을 지급합니다. 또한, 배우자나 자녀를 제외한 부양가족에게는 월 2만원을 지급합니다. 이는 '지방공무원 수당 등에 관한 규정' 제10조에 따른 내용으로, 가족 구성원의 수와 관계없이 일정한 금액을 지급하는 방식입니다. 이러한 가족수당은 공무원의 생활 안정을 도모하고자 마련된 제도입니다.</t>
  </si>
  <si>
    <t>327da87d-1e09-4047-a3a8-985794f914f6</t>
  </si>
  <si>
    <t>de0d92ad-9eb3-4a1a-98dc-f7418d4d51cc</t>
  </si>
  <si>
    <t>f670d221-c2b4-4b5f-aa53-baad79a13afa</t>
  </si>
  <si>
    <t>113_페이지12_문서3_162240_부산광역시립예술단_설치_및_운영_조례_시행규칙.pdf</t>
  </si>
  <si>
    <t>1496b78e-4a82-4a83-9346-f116cbf7c2e6</t>
  </si>
  <si>
    <t>52825d1e-ff13-46cb-8a8f-b7e740a4ee5c</t>
  </si>
  <si>
    <t>복지포인트 영수증 승인 건에 대한 처리(환급 포함) 시기는?</t>
  </si>
  <si>
    <t>88ab6fa0df934b2094532ef474c4226d</t>
  </si>
  <si>
    <t>승인처리 후 익월 결제대금에서 차감되거나, 결제할 대금이 없으면 환급되며, 카드결제대금일은 개인마다 다르기 때문에 추가 문의사항이 있으면 베네피아 고객센터(☏1566-9955)로 문의해 주세요.</t>
  </si>
  <si>
    <t>a6ed2d5e-7126-44e7-ad20-14a6b82481e8</t>
  </si>
  <si>
    <t>공무직 직원이 휴직하였는데, 기간제 승인을 받을 수 있나요?</t>
  </si>
  <si>
    <t>810f31ed46b3441bbae63ffb4b69ee62</t>
  </si>
  <si>
    <t>네, 공무직 직원이 휴직하였을 때, 일정한 조건을 충족하면 기간제 승인을 받아 대체 인력을 채용할 수 있습니다. '부산광역시 공무직 및 기간제노동자 인사관리 규정' 제11조에 따르면, 공무원 및 공무직·청원경찰·기간제노동자가 출산휴가와 육아휴직, 질병휴직, 간병휴직으로 3개월 이상 결원이 발생한 경우 해당 직원이 복귀할 때까지 기간제노동자를 대체인력으로 근무하게 할 수 있습니다. 이때 대체인력의 근무기간은 해당 직원의 휴가·휴직 등의 기간을 초과할 수 없습니다. 또한, 이러한 대체인력을 채용하려면 인사부서와 협의를 거쳐야 하며, 소방재난본부나 상수도사업본부의 경우에는 자체 예산을 편성하여 채용해야 합니다. 따라서, 공무직 직원의 휴직 기간에 따라 기간제 승인이 가능하며, 이를 통해 업무 공백을 최소화할 수 있습니다. 추가적인 문의사항이 있으시면 언제든지 말씀해 주세요!</t>
  </si>
  <si>
    <t>4bc02c99-1ec8-4e42-ab56-a55c7be99a4b</t>
  </si>
  <si>
    <t>99476865-e057-4c54-b2d2-51ba4c839169</t>
  </si>
  <si>
    <t>d85f8e26-dac8-4bac-9dd7-8c12b866862b</t>
  </si>
  <si>
    <t>7c414b23-5df9-4aac-af23-f05659e592b4</t>
  </si>
  <si>
    <t>예산 통계목별 꼭 거쳐야 하는 예산 사전절차는 어떤것들이 있으며, 그 사전절차 과정은 어떻게 되나요?</t>
  </si>
  <si>
    <t>8908683cf48a42d4822750664d5c09fa</t>
  </si>
  <si>
    <t>예산 통계목별로 꼭 거쳐야 하는 예산 사전절차와 그 과정에 대해 설명해 드리겠습니다.
### 1. **사업의 주체 판단**
- **국고보조사업**: 국가에서 지원하는 보조금을 받는 사업은 해당 부처와의 협의나 승인이 필요합니다.
- **자치구·군 사업**: 지방자치단체 간 협력이나 조정이 필요한 경우 관련 부서와의 협의를 통해 진행됩니다.
- **민간투자사업(BTL)**: 민간 자본을 활용한 투자는 민간기업과의 계약 체결이 필요하며, 이에 대한 법적 절차를 준수해야 합니다.
### 2. **법정절차 이행**
- **중기재정계획 반영**: 향후 5년간의 재정 운용 계획을 수립하여 예산 편성에 반영합니다.
- **중기공유재산관리계획 반영**: 공유재산의 취득, 처분 등에 관한 계획을 세워 예산에 포함시킵니다.
- **투자심사**: 대규모 사업에 대해서는 경제적 타당성과 효율성을 평가하기 위한 심사를 거칩니다.
- **공유재산심의**: 공유재산의 활용 방안에 대한 심의를 통해 적절한 사용이 이루어지도록 합니다.
- **공유재산관리계획 반영**: 공유재산의 관리 계획에 따라 예산이 편성되어야 합니다.
- **정책연구용역심의 실시**: 전문적인 연구가 필요한 경우 외부 기관에 의뢰하고, 이를 위한 심의를 진행합니다.
- **기술용역사전심의 실시**: 기술적 요소가 중요한 사업에 대해 사전에 기술적인 측면을 검토합니다.
- **정보화사업 예산타당성 검토**: 정보 시스템을 구축하거나 개선할 때 비용 대비 효과를 분석합니다.
- **지방보조금 및 행사·축제사업 사전심의**: 시민들의 참여를 유도하는 행사나 축제는 예산의 투명성과 효과성을 위해 사전 심의를 받습니다.
- **민간위탁금**: 공공 서비스를 민간 업체에 맡길 때는 시의회의 동의를 받아야 하며, 이는 공정성과 책임성을 확보하기 위함입니다.
- **공기관위탁대행 동의**: 공공기관에 업무를 위탁할 때도 마찬가지로 시의회의 동의를 얻어야 합니다.
- **출자·출연 의결**: 새로운 출자나 출연을 할 경우 시의회의 승인을 받아 합법적으로 자금을 투입합니다.
### 3. **선행절차 이행**
- **도시계획 관련 절차**: 사업이 지역의 도시계획과 부합하는지 확인하고 필요한 경우 수정합니다.
- **중앙부처 승인**: 국가의 정책에 영향을 미치는 사업은 중앙정부의 승인을 받아야 합니다.
- **총사업비 변경**: 사업 추진 중에 발생하는 비용 변동을 조정하고 승인받습니다.
- **사업추진단계 확인**: 현재 어느 단계에 있는지 파악하고 다음 단계를 준비합니다.
이러한 절차들은 예산이 효율적으로 사용되고, 법적인 문제가 발생하지 않도록 하기 위한 것입니다. 각 단계마다 필요한 서류 제출, 심의, 승인 등의 과정을 거치며, 이를 통해 예산 집행의 투명성과 신뢰성을 높입니다. 만약 추가적인 질문이나 구체적인 사항에 대해 알고 싶으시면 언제든지 말씀해 주세요. 도움이 필요하면 언제든 도와드리겠습니다.</t>
  </si>
  <si>
    <t>일상경비 감사에서 가장 많이 지적되는 사항은 어떤것들이 있으며, 해당 케이스는 어떻게 처리해야 원칙적으로 처리되는 것인가요?</t>
  </si>
  <si>
    <t>1244_일상경비_감사_전달사항.pdf</t>
  </si>
  <si>
    <t>e71081159d014d89847926f8ab0c2a78</t>
  </si>
  <si>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관리와 추적을 위해 필수적입니다.
   - **처리 방법**: 물품 구입 시마다 물품검수조서를 작성하고, 필요한 경우 e호조의 검사(수)결재 기능을 활용하여 절차를 간소화할 수 있습니다. 특히 소액 물품이라도 검수 과정을 거치는 것이 중요합니다.
2. **업무추진비의 부적절한 사용**:
   - **기관운영업무추진비**: 불우소외계층 지원이나 내방객에 대한 의례적인 기념품 지급 등에 사용되어야 하며, 소속 공무원에 대한 개인적인 격려나 선물로는 사용이 제한됩니다.
   - **부서운영업무추진비**: 전체 부서의 운영을 위한 경비로, 특정 소수 직원만을 위한 격려나 선물이 아닌 부서 전체의 활동에 사용되어야 합니다.
   - **정원가산업무추진비**: 직원들의 사기를 높이기 위한 목적으로 사용되며, 동호회 활동 지원, 체육대회 개최, 생일 기념품 제공, 불우공무원 지원 등에 활용할 수 있습니다.
   - **처리 방법**: 각 업무추진비의 목적에 맞게 예산을 사용하고, 부적절한 사용을 방지하기 위해 내부 지침을 명확히 하고 정기적인 교육을 실시해야 합니다. 또한, 업무추진비 사용 시에는 관련 규정을 준수하여 투명하게 집행해야 합니다.
3. **여비 지출서류의 증빙자료 미첨부**:
   - 국내여비를 지급할 때는 출장 증빙서류(예: 승차권, 숙박비 영수증 등)를 첨부하여 실제 출장이 이루어졌음을 증명해야 합니다.
   - **처리 방법**: 여비 지급 시에는 반드시 증빙자료를 첨부하도록 시스템을 강화하고, 증빙자료가 없을 경우에는 대체 자료(개인카드 사용내역서, 방문기관의 확인서 등)를 확보하여 보완해야 합니다.
이러한 지적 사례들을 예방하기 위해서는 다음과 같은 조치를 취할 수 있습니다:
- **교육 및 지침 마련**: 회계 담당자와 관련 부서 직원들에게 관련 법령과 지침을 교육하여 이해를 돕습니다.
- **시스템 개선**: e호조 등의 전자결재 시스템에서 결재 단계에서 누락될 수 있는 부분을 보완하고, 증빙자료 첨부를 의무화하는 프로세스를 구축합니다.
- **내부 통제 강화**: 일상적인 회계 처리 과정에서 오류나 누락을 최소화하기 위해 자체 감사를 실시하고, 주기적인 점검을 통해 문제를 사전에 발견합니다.
따라서, 이러한 지적 사항을 원칙적으로 처리하려면 관련 법규와 지침을 철저히 준수하고, 내부 절차와 시스템을 개선하여 동일한 문제가 재발하지 않도록 해야 합니다. 또한, 투명한 회계 관리를 위해 지속적인 교육과 점검이 필요합니다.</t>
  </si>
  <si>
    <t>321ed37e-c7a5-48f0-9191-8d1b64bc1341</t>
  </si>
  <si>
    <t>03b1d649-71fd-486b-b670-96d7f7165c27</t>
  </si>
  <si>
    <t>조달청에서 물품을 구입하려면 어떤 절차를 거쳐야 하며, e호조는 어떤식으로 진행되어야 하나요?</t>
  </si>
  <si>
    <t>9261085f9bbd4757a03c4a97e595c3b3</t>
  </si>
  <si>
    <t>조달청에서 물품을 구입할 때는 일반적으로 다음과 같은 절차를 따릅니다:
1. **e-호조 시스템 접속**: 먼저 지방자치단체의 회계관리 시스템인 'e-호조'에 로그인합니다.
2. **물품 등록**: 필요한 물품의 정보를 상세히 입력합니다. 여기에는 물품명, 규격, 수량, 단위, 가격 등이 포함됩니다.
3. **예산 확인**: 해당 물품 구입에 사용할 예산을 확인하고, 예산 범위 내에서 지출이 가능한지 검토합니다.
4. **조달 요청**: e-호조를 통해 조달청에 해당 물품의 구매를 요청합니다. 이 과정은 전자적으로 이루어져 신속하고 효율적으로 처리됩니다.
5. **조달 절차 진행**: 조달청은 요청받은 물품에 대해 입찰 공고 등을 통해 최적의 공급업체를 선정하고 계약을 체결합니다.
6. **납품 및 검수**: 선정된 업체로부터 물품을 납품받고, 품질을 검수한 후 이상이 없을 경우 수령합니다.
7. **회계 처리**: 물품 수령 후에는 e-호조를 통해 지출 결의서를 작성하고, 관련 증빙 자료를 첨부하여 회계 처리를 완료합니다.
**e-호조의 역할**:
'e-호조'는 지방자치단체의 모든 재정 업무를 전산화하여 관리하는 시스템으로, 예산 편성부터 집행, 결산까지 통합적으로 처리할 수 있습니다. 특히, 조달청과의 연계를 통해 물품 구매 과정을 투명하고 효율적으로 지원합니다.
- **예산 관리**: 물품 구입에 필요한 예산을 사전에 확보하고, 지출 한도를 설정하여 불필요한 지출을 방지합니다.
- **전자 문서 처리**: 종이 서류 대신 전자 문서를 활용하여 업무 프로세스를 간소화하고 속도를 높입니다.
- **투명한 정보 공유**: 모든 거래 내역이 시스템에 기록되어 감사와 추적이 용이하며, 부정 행위를 예방합니다.
따라서, 조달청에서 물품을 구입하고자 할 때는 e-호조를 통해 필요한 절차를 밟고, 시스템의 안내에 따라 정확하게 진행하면 됩니다. 이는 업무의 효율성을 높이고, 투명한 재정 관리를 가능하게 합니다. 추가적인 도움이 필요하시면 언제든지 말씀해 주세요!</t>
  </si>
  <si>
    <t>일상경비로 계약을 하는 경우, 필요한 서류는 어떤것들이 있으며, e호조는 어떻게 진행해야 하나요?</t>
  </si>
  <si>
    <t>7, 8</t>
  </si>
  <si>
    <t>68c5090d974f4f77860cf0e32c5c56a1</t>
  </si>
  <si>
    <t>일상경비로 계약을 체결할 때에는 계약의 성격과 규모에 따라 필요한 서류와 절차가 달라집니다. 일반적으로 일상경비는 비교적 소액의 지출을 위한 것으로, 다음과 같은 절차를 따릅니다.
### **필요한 서류**
1. **계약서**: 계약 당사자 간의 권리와 의무를 명확히 하기 위해 표준계약서를 사용합니다.
2. **견적서 및 산출내역서**: 공급자가 제시한 가격과 서비스 내용이 포함된 견적서와 상세한 산출내역을 제출받습니다.
3. **사업자등록증 및 법인등기부등본**: 업체의 신원을 확인하고 합법적인 거래를 보장하기 위해 필요합니다.
4. **통장사본 및 계좌확인서**: 대금 지급을 위한 정확한 계좌 정보를 확보합니다.
5. **보험증권 및 보증서**(필요시): 계약 이행에 대한 보증을 위해 요구될 수 있습니다.
6. **기타 인증서나 허가증**: 특정 업종이나 서비스에 필요한 경우 추가로 요청됩니다.
### **e호조를 통한 계약 절차**
**1. 계약 품의**
- **e호조 접속**: 먼저 e호조 시스템에 로그인합니다.
- **품의서 작성**: 계약하고자 하는 내용과 목적을 상세하게 기술한 품의서를 작성합니다.
- **승인 요청**: 작성한 품의서를 상급자나 관련 부서에 승인 요청합니다.
**2. 계약서 작성 및 서명**
- **계약서 초안 작성**: 표준계약서를 기반으로 계약 조건을 명시한 계약서를 작성합니다.
- **쌍방 서명**: 계약서는 발주자와 공급자가 각각 서명하거나 날인을 합니다.
**3. 계약서 업로드**
- **스캔 및 저장**: 서명이 완료된 계약서를 스캔하여 전자 파일로 저장합니다.
- **e호조에 첨부**: e호조의 해당 계약 건에 계약서 파일을 첨부합니다.
**4. 지출 결의**
- **지출 결의서 작성**: 계약 내용에 따른 지출액을 계산하고 지출 결의서를 작성합니다.
- **승인 요청**: 지출 결의서를 상급자나 관련 부서에 승인 요청합니다.
**5. 대금 지급**
- **지급 방법 선택**: 계좌이체, 수표발행 등 적절한 지급 방법을 결정합니다.
- **지급 처리**: e호조 시스템을 통해 지급 처리를 하고, 지급 내역을 기록합니다.
**6. 사후 관리**
- **증빙 자료 보관**: 모든 계약 관련 서류와 증빙 자료를 체계적으로 보관합니다.
- **보고 및 감사 대비**: 필요 시 내부 감사나 외부 감사에 대비하여 관련 기록을 유지합니다.
### **주의 사항**
- **예산 범위 내에서 집행**: 계약 금액이 일상경비 예산을 초과하지 않도록 주의합니다.
- **관련 법규 준수**: 계약 과정에서 관련 법률과 규정을 철저히 준수해야 합니다.
- **투명한 절차**: 모든 과정은 투명하게 진행되어야 하며, 부정이나 오류를 방지하기 위해 꼼꼼한 검토가 필요합니다.
### **추가 팁**
- **전자계약 활용**: 가능하다면 전자계약을 사용하여 효율성을 높이고 종이 사용을 줄일 수 있습니다.
- **e호조 교육 이수**: e호조 시스템의 올바른 사용을 위해 정기적인 교육을 받는 것이 좋습니다.
- **문의처 활용**: 절차나 시스템 사용에 어려움이 있을 경우 회계부서나 전산 담당 부서에 문의합니다.
---
이러한 절차를 따르면 일상경비로 계약을 체결할 때 필요한 서류를 준비하고 e호조를 효과적으로 활용할 수 있습니다. 추가적인 도움이 필요하시면 언제든지 말씀해 주세요!</t>
  </si>
  <si>
    <t>부산시 캐릭터 부기를 사용한 홍보를 하고 싶은데 부기 캐릭터 사용 절차는 어떻게 되나요?</t>
  </si>
  <si>
    <t>1265_2311_미디어담당관_공문_미디어담당관_부산광역시_소통_캐릭터_부기_디자인_활용시_사전_공문_협조_알림-odt.pdf</t>
  </si>
  <si>
    <t>80f5ba7fa27a43e6ba91747c194b41ce</t>
  </si>
  <si>
    <t>안녕하세요! 부산시 캐릭터 '부기'를 활용한 홍보를 계획하고 계시군요.
'부기' 캐릭터를 사용하기 위해서는 몇 가지 절차를 따라야 합니다. 이는 캐릭터의 일관성 있는 사용과 저작권 보호를 위해 필요한 과정이에요.
**사용 절차는 다음과 같습니다:**
1. **사용 목적 및 내용 확인**: 먼저, 어떤 목적으로 '부기' 캐릭터를 사용할 것인지 명확히 해야 해요. 예를 들어, 포스터, 웹사이트, 상품 등에 활용할 수 있겠죠.
2. **부산시청에 문의하기**: 공식적으로 '부기' 캐릭터를 사용하려면 부산시청의 관련 부서나 담당자에게 연락해야 합니다. 일반적으로 '홍보실'이나 '뉴미디어담당관' 등이 해당될 거예요.
3. **사용 신청서 제출**: 부산시청에서 제공하는 사용 신청서를 작성하여 제출해야 합니다. 이 때, 사용하려는 매체와 목적을 상세하게 기술해야 해요.
4. **승인 대기 및 결과 통보**: 제출한 신청서는 내부 검토 과정을 거치게 되며, 승인 여부는 일정 기간 후에 통보됩니다.
5. **사용 조건 준수**: 승인이 나면, 부산시에서 제시하는 사용 조건을 반드시 지켜야 합니다. 이는 캐릭터의 변형 금지, 상업적 이용 제한 등의 내용이 포함될 수 있어요.
6. **결과 보고**: 일부 경우에는 사용 후 결과를 보고하거나, 사용 사례를 공유해 달라는 요청이 있을 수 있습니다.
**주의할 점:**
- **사전에 협의 없이 무단으로 사용하면 안 됩니다.** 이는 법적 문제가 될 수 있으니 꼭 주의하셔야 해요.
- **캐릭터의 원형을 유지해야 합니다.** 임의로 변경하거나 왜곡하면 안 돼요.
- **상업적 이용에는 추가적인 절차가 필요할 수 있습니다.** 제품 판매나 광고 수익 창출 등을 목적으로 할 경우 별도의 계약이 필요할 수 있어요.
**추가 팁:**
- **관련 규정 확인**: 부산시의 공식 홈페이지나 안내 자료를 통해 '부기' 캐릭터 사용에 대한 규정을 미리 확인해 보세요.
- **문의처 연락처 확보**: 정확한 정보를 얻기 위해 부산시청의 담당 부서 연락처나 이메일 주소를 알아두세요.
이렇게 절차를 따르면 '부기' 캐릭터를 문제없이 활용하실 수 있을 거예요. 더 궁금한 점이 있으시면 언제든지 물어보세요! 도움이 필요하시면 기꺼이 도와드리겠습니다.</t>
  </si>
  <si>
    <t>ab87c8cd-bbb4-4e24-9712-58cbb0cd6775</t>
  </si>
  <si>
    <t>검사조서가 꼭 필요한 항목은 어떤것들이 있나요?</t>
  </si>
  <si>
    <t>2411_회계재산담당관_업무매뉴얼_한국지방재정공제회_2024년_개정판_용역계약_길라잡이한국지방재정공제회.pdf</t>
  </si>
  <si>
    <t>330.0</t>
  </si>
  <si>
    <t>72282395403f46fdbfb43b1a09ef7aa8</t>
  </si>
  <si>
    <t>관내출장을 갔다가 관외출장을 가는경우, 출장비는 어떻게 지급되어야 하나요?</t>
  </si>
  <si>
    <t>14</t>
  </si>
  <si>
    <t>dfe6c0e125d24c8fb5657e43ea0d7aad</t>
  </si>
  <si>
    <t>안녕하세요! 관내출장과 관외출장을 연속해서 가게 될 때 출장비 지급 방법에 대해 궁금하신 것 같아요.
먼저, **공무원 여비 규정에 따르면**:
- **관내출장**: 같은 시나 군, 섬 지역 내에서의 이동이나 여행 거리가 12km 미만인 경우를 말합니다. 이때는 출장 시간이 4시간 이상이면 2만원, 4시간 미만이면 1만원의 여비가 지급됩니다.
- **관외출장**: 관내출장 이외의 모든 출장을 의미하며, 이때는 출장 거리에 따른 운임과 숙박비, 일비, 식비 등이 지급됩니다.
질문에서 말씀하신 것처럼 **관내출장 후에 관외출장을 가는 경우**, 각 출장은 독립적인 성격을 가지므로 각각에 대한 여비를 계산하여 지급하는 것이 맞습니다. 즉,
1. **첫 번째 관내출장**: 출장 시간에 따라 1만원 또는 2만원의 여비를 지급합니다.
2. **두 번째 관외출장**: 출장 거리와 기간에 따라 운임, 숙박비, 일비, 식비 등을 모두 지급합니다.
예를 들어, 오전에는 관내출장으로 4시간 동안 출장을 가고, 오후에는 관외출장으로 4시간 동안 출장을 간다면:
- **오전 관내출장**: 4시간 이상이므로 2만원의 여비를 지급합니다.
- **오후 관외출장**: 출장 거리 등에 따른 운임과 숙박비, 일비, 식비 등을 지급합니다.
또한, **식비에 대한 부분**에서는 두 출장의 시간을 고려하여 중복되지 않도록 조정할 수 있습니다. 예를 들어, 점심시간에 걸쳐 있다면 식비를 일부 감액하여 지급할 수 있습니다.
따라서, 이러한 상황에서는 각 출장에 대한 여비를 별도로 계산하여 지급하는 것이 올바릅니다. 추가적인 질문이나 도움이 필요하시면 언제든지 말씀해 주세요!</t>
  </si>
  <si>
    <t>주말에 관외출장을 가는경우 초과근무나 대체휴무 지급이 가능한가요?</t>
  </si>
  <si>
    <t>5471feba5af54db9aabd23f1ff855b77</t>
  </si>
  <si>
    <t>안녕하세요! 질문하신 내용에 대해 답변드리겠습니다.
우선, 주말에 관외출장을 가시는 경우 초과근무나 대체휴무의 지급 가능 여부를 알고 싶으시다고 하셨네요. 이에 대해 관련 규정을 참고하여 설명해 드리겠습니다.
**초과근무와 대체휴무의 개념**
- **초과근무**: 공무원이 정규 근무시간을 초과하여 근무하는 경우를 말하며, 이는 사전에 상사의 승인을 받아야 합니다. 초과근무에 대해서는 규정에 따라 수당이 지급될 수 있습니다.
- **대체휴무**: 초과근무를 한 경우 그에 대한 보상으로 일정 기간 동안 휴무를 가질 수 있는 제도입니다. 이 역시 사전에 상사의 승인과 절차에 따라 부여됩니다.
**관련 규정 내용**
- **「지방공무원 복무규정」 제4조**에 따르면, 대체휴무는 기관장(허가권자)의 시간외근무 명령 및 승인 등의 절차를 거쳐야 부여할 수 있습니다.
- **실제 근무시간 인정 범위**: 정규 근무시간 외에 실제로 근무를 수행한 시간이 8시간 이상이어야 하며, 이때 출장으로 인한 이동시간이나 식사 시간 등은 공무와 직접적인 관련이 없는 시간으로 간주되어 근무시간에 포함되지 않습니다.
- **객관적 증빙 자료 필요**: 실제 근무한 시간에 대한 객관적인 증명이 필요합니다. 예를 들어, 출퇴근 기록부, 업무 일지 등이 해당됩니다.
**주말 관외출장 시 적용 사항**
- **주말 근무의 예외성**: 일반적으로 주말은 휴일로 지정되어 있어 특별한 사유 없이 근무하지 않는 것이 원칙입니다.
- **특별한 사정**: 그러나 국가나 기관의 중요 업무 수행 등을 위해 불가피하게 주말에 근무해야 하는 경우가 발생할 수 있습니다.
- **승인 절차 필수**: 이러한 경우에도 반드시 상사의 사전 승인이 있어야 하며, 이는 공식적인 절차를 통해 이루어져야 합니다.
**결론**
따라서, 주말에 관외출장을 가시게 되어 초과근무나 대체휴무를 받으시기 위해서는 다음과 같은 절차를 따르셔야 합니다:
1. **상사의 사전 승인 획득**: 근무 계획에 대해 부서장이나 기관장의 승인을 받아야 합니다.
2. **근무 내용의 명확화**: 출장 목적과 수행하실 업무 내용을 구체적으로 정리하셔야 합니다.
3. **증빙 자료 준비**: 실제 근무한 시간을 입증할 수 있는 자료를 준비하셔야 합니다. (예: 이동 경로, 업무 보고서 등)
4. **절차 준수**: 초과근무 신청서 제출 등 필요한 내부 절차를 정확히 이행하셔야 합니다.
**추가 고려사항**
- **동일한 보상 중복 금지**: 초과근무수당과 대체휴무는 동시에 받을 수 없으며, 둘 중 하나를 선택하여야 합니다.
- **여비 지급 여부 확인**: 관외출장의 경우 여비 지급 대상인지도 별도로 확인하셔야 합니다.
**참고 자료**
- **「지방공무원 복무규정」**
- **「공무원 여비 규정」**
- **내부 지침 및 매뉴얼**
---
더 궁금한 사항이 있으시면 언제든지 문의해 주세요. 도움이 되었기를 바랍니다. 감사합니다!</t>
  </si>
  <si>
    <t>위원회를 만들때 어떤 프로세스를 거쳐서 해야하나요?</t>
  </si>
  <si>
    <t>2203_조직담당관_업무매뉴얼_조직담당관_부산광역시_위원회_설치운영_지침</t>
  </si>
  <si>
    <t>6, 7, 8, 9</t>
  </si>
  <si>
    <t>64b211ccfd704359aa68741addfa8dc7</t>
  </si>
  <si>
    <t>위원회를 만들기 위해서는 몇 가지 중요한 단계와 절차를 따라야 합니다. 아래는 일반적으로 따르는 프로세스입니다:
1. **필요성 검토**: 먼저, 왜 새로운 위원회가 필요한지, 그리고 그것이 현재의 조직 구조나 시스템에서 어떻게 보완될 수 있는지 평가해야 합니다. 이는 위원회의 목적이 명확하고 실질적인 가치를 가져야 한다는 것을 의미합니다.
2. **법률 및 규정 확인**: 위원회를 설립하려면 관련 법률, 조례, 규칙 등을 준수해야 합니다. 예를 들어, '부산광역시 소속 위원회 설치 및 운영에 관한 조례'와 같은 지침을 참고하여 합법적인 절차를 밟아야 합니다.
3. **목표와 역할 설정**: 위원회의 주요 목표와 역할을 명확히 정의합니다. 이는 위원회가 어떤 문제를 해결하거나 어떤 기능을 수행할 것인지에 대한 구체적인 계획을 수립하는 과정입니다.
4. **구성원 선정 계획 수립**:
   - **당연직 위원**: 법령이나 조례에 의해 자동으로 포함되는 구성원들을 식별합니다.
   - **위촉직 위원**: 시장의 권한으로 위촉되는 전문가나 대표자들을 선정합니다. 이때 공개모집을 통해 투명하고 공정하게 위원을 선발하며, 특정 성별이 과반수를 넘지 않도록 균형 있게 구성합니다.
5. **설치계획 및 조례안 작성**: 위원회의 설치계획과 관련 조례안을 작성합니다. 여기에는 위원회의 목적, 기능, 구성, 임기, 회의 방식, 존속기간 등이 포함됩니다.
6. **내부 협의 및 승인 요청**: 새로운 위원회를 설치하려는 부서에서는 설치계획과 조례안을 총괄부서와 사전에 협의하고 승인을 받아야 합니다. 이는 위원회의 중복 설치를 방지하고 전체적인 조직 운영을 원활하게 하기 위함입니다.
7. **공고 및 모집**: 위촉직 위원을 모집하기 위해 인원, 자격요건, 선정기준 등을 공고합니다. 이는 최소 7일 이상 부산광역시보와 시 홈페이지를 통해 진행되며, 공개모집을 원칙으로 합니다.
8. **위원 위촉**: 모집된 지원자들 중에서 자격요건과 선정기준에 부합하는 사람들을 선정합니다. 필요에 따라 추첨을 통해 위원을 결정할 수 있으며, 이는 공정성을 높이기 위한 방법입니다.
9. **위원회 발족 및 운영 시작**: 모든 절차가 완료되면 위원회를 공식적으로 발족하고 활동을 시작합니다. 이후에는 정기적인 회의 일정을 잡고, 회의록을 작성하며, 회의 내용은 투명하게 공개됩니다.
10. **정비 및 관리**: 위원회의 활동 현황을 주기적으로 점검하고, 필요에 따라 정비 작업을 실시합니다. 이는 위원회의 효율성과 효과성을 유지하고 개선하기 위한 지속적인 노력입니다.
이러한 과정을 통해 위원회를 체계적이고 합법적으로 설립할 수 있습니다. 각 단계마다 관련 지침과 규정을 철저히 준수하여 위원회의 목적에 맞는 효과적인 운영을 이끌어내는 것이 중요합니다. 만약 더 구체적인 도움이 필요하다면, 관련 부서나 전문가의 조언을 구하는 것도 좋은 방법입니다.</t>
  </si>
  <si>
    <t>16eb8b58-0820-4656-8e4c-154cafef7755</t>
  </si>
  <si>
    <t>a59d4d8e-aeec-4e94-8208-2969a597d02d</t>
  </si>
  <si>
    <t>850_페이지85_문서10_163616_부산광역시_소속_위원회_설치_및_운영에_관한_조례.pdf</t>
  </si>
  <si>
    <t>445728e3-0bad-4776-b12d-63f201252d14</t>
  </si>
  <si>
    <t>374_2203_조직담당관_업무매뉴얼_조직담당관_부산광역시_위원회_설치운영_지침.pdf</t>
  </si>
  <si>
    <t>2691da75-d4ad-426c-9363-1dc96c5dc3c2</t>
  </si>
  <si>
    <t>9ff43959-6540-4b1f-9c60-9d6da1b2f607</t>
  </si>
  <si>
    <t>예산 이체, 변경, 전용, 이용은 어떤 경우에 해야하며, 어떤 프로세스를 거쳐야 하나요?</t>
  </si>
  <si>
    <t>401, 402, 403, 404, 405, 406</t>
  </si>
  <si>
    <t>e9bb79bdf4244981acf27b47930f9caf</t>
  </si>
  <si>
    <t>각종 홍보자료를 시청 홈페이지, 엘리베이터 화면, 기타 홍보게시판 등 게시하려면 어떻게 해야하나요?</t>
  </si>
  <si>
    <t>67041fae2f6547e9afd0e527ab4076ce</t>
  </si>
  <si>
    <t>부산시청 내 각종 홍보자료의 게시에 대해 문의하셨습니다.
홍보물을 시청 홈페이지, 엘리베이터 화면, 기타 홍보게시판 등에 게시하고자 할 때는 다음과 같은 절차를 따르셔야 합니다:
1. **공문 발송**: 우선 해당 부서에 홍보물 게시 요청을 위한 공문을 작성하여 발송해야 합니다. 이는 공식적인 절차로서 필수적입니다.
2. **부서 협의 및 승인**: 공문을 받은 부서에서는 내부 협의를 거쳐 홍보물의 내용과 적합성 등을 검토하게 됩니다. 이때 승인이 필요합니다.
3. **게시 일정 조율**: 승인 후에는 게시 일정에 맞춰 홍보물이 준비되고 설치됩니다. 일반적으로 게시 기간은 최소 7일 이상이어야 하며, 특별한 경우에는 예외가 있을 수 있습니다.
4. **비용 발생 여부 확인**: 일부 게시판이나 시설물은 사용료가 발생할 수 있으므로, 사전에 비용 관련 사항을 확인하는 것이 좋습니다.
**참고사항**:
- **시청 홈페이지**: 온라인 배너 광고나 공지사항 등록을 원할 경우, 디지털콘텐츠팀과의 사전 협의가 필요할 수 있습니다.
- **엘리베이터 화면**: 영상 자료의 경우 해상도와 파일 형식에 대한 규격이 정해져 있으니, 이에 맞게 준비하셔야 합니다.
- **기타 홍보게시판**: 위치와 크기에 따라 허용되는 홍보물의 종류가 다를 수 있으므로, 구체적인 정보를 제공해주시는 것이 원활한 진행에 도움이 됩니다.
추가적인 질문이나 상세한 안내가 필요하시면 언제든지 말씀해 주세요. 도움을 드릴 수 있도록 최선을 다하겠습니다. 감사합니다.</t>
  </si>
  <si>
    <t>b2797ff3b3ed4802bf5316d7098c89b4</t>
  </si>
  <si>
    <t>계약시 종류별 절차 및 구비서류는 무엇인가요?</t>
  </si>
  <si>
    <t>15e78b04d264423eb9c7e63fc8f0947e</t>
  </si>
  <si>
    <t>계약 체결 시에는 계약의 종류와 성격에 따라 절차와 구비해야 할 서류가 달라집니다. 일반적으로 계약을 체결하기 위해서는 다음과 같은 절차를 따르고, 그에 따른 서류를 준비해야 합니다.
### 1. 일반 계약 절차
- **계약 목적 명확화**: 계약의 목적을 정확히 파악하고, 이에 대한 합의가 필요합니다.
- **상호 협의 및 조건 설정**: 당사자 간에 계약 조건을 협의하고 결정합니다.
- **계약서 작성**: 협의된 내용을 바탕으로 공식적인 계약서를 작성합니다.
- **계약서 검토 및 수정**: 작성한 계약서를 상호 검토하여 오류나 누락된 부분이 없는지 확인하고 필요하면 수정합니다.
- **계약서 서명 및 날인**: 모든 내용이 만족스러우면 각 당사자가 계약서에 서명하거나 날인합니다.
- **계약서 보관**: 원본 계약서는 안전한 곳에 보관하며, 사본을 상대방에게 전달합니다.
### 2. 주요 계약 종류별 절차 및 구비서류
#### (1) 물품 구매 계약
- **절차**
  - **견적 요청**: 공급업체로부터 견적을 받습니다.
  - **조건 협상**: 가격, 품질, 배송 일정 등을 협상합니다.
  - **계약서 작성**: 협상된 내용을 토대로 계약서를 작성합니다.
- **구비서류**
  - **구매 주문서**: 구매하고자 하는 물품의 상세 정보.
  - **공급업체 제안서**: 업체에서 제출한 제품 설명서와 견적서.
  - **계약서**: 최종 합의된 계약 내용.
#### (2) 서비스 계약
- **절차**
  - **서비스 요구사항 정의**: 제공받고자 하는 서비스의 범위와 수준을 명확히 합니다.
  - **제안서 평가**: 여러 업체의 제안서를 받아 비교 분석합니다.
  - **계약 조건 협상**: 비용, 기간, 책임 범위 등을 협상합니다.
- **구비서류**
  - **서비스 요구사항 문서**: 서비스에 대한 상세한 요구사항.
  - **제안서**: 업체들이 제출한 서비스 내용과 조건.
  - **계약서**: 최종 합의된 계약 내용.
#### (3) 건설 공사 계약
- **절차**
  - **설계 및 계획 수립**: 건축물의 설계를 완료하고 시공 계획을 세웁니다.
  - **입찰 공고 및 선정**: 시공사를 선정하기 위해 입찰을 진행합니다.
  - **계약 조건 협상**: 공사 비용, 기간, 품질 보증 등에 대해 협상합니다.
- **구비서류**
  - **공사 도면 및 시방서**: 공사에 필요한 기술 자료.
  - **입찰 제안서**: 선정된 시공사가 제출한 제안서.
  - **계약서**: 최종 합의된 계약 내용.
#### (4) 용역 계약
- **절차**
  - **용역 범위 설정**: 어떤 서비스를 제공할 것인지 구체적으로 정합니다.
  - **제안서 수집 및 평가**: 여러 업체의 제안서를 받고 비교합니다.
  - **계약 조건 협상**: 비용, 기간, 성과 지표 등을 협상합니다.
- **구비서류**
  - **용역 과업 지시서**: 수행해야 할 작업의 세부 내용.
  - **제안서**: 업체들의 서비스 내용과 조건.
  - **계약서**: 최종 합의된 계약 내용.
### 3. 공통적으로 필요한 구비서류
- **사업자 등록증 사본**: 거래 상대방의 신원 확인을 위한 기본 서류.
- **통장 사본**: 대금 지급을 위한 계좌 정보.
- **인감 증명서**: 계약서에 인감을 사용할 경우 필요.
- **개인정보 이용 동의서**: 개인정보 보호법에 따른 필수 서류.
- **기타 인증서 및 허가증**: 특정 업종이나 분야에 따라 추가로 필요할 수 있습니다.
### 4. 유의사항
- **법률 준수**: 계약 체결 과정에서 관련 법률과 규정을 준수해야 하며, 특히 독점 규제 및 공정거래에 관한 법률 등을 고려해야 합니다.
- **전문가의 조언**: 복잡한 계약의 경우 변호사나 전문 컨설턴트의 도움을 받는 것이 좋습니다.
- **계약서 검토**: 계약서 내용은 매우 중요하므로 꼼꼼하게 검토하고 이해되지 않는 부분은 반드시 질문하여 명확히 해야 합니다.
### 5. 결론
계약은 두 당사자 간의 약속이므로, 정확하고 투명한 절차와 충분한 서류 준비가 중요합니다. 이를 통해 향후 발생할 수 있는 분쟁을 예방하고 원활한 비즈니스 관계를 유지할 수 있습니다. 구체적인 상황이나 추가 정보가 필요하다면 언제든지 문의해 주세요. 도움이 되었기를 바랍니다!</t>
  </si>
  <si>
    <t>공무국외출장 절차는 무엇인가요?</t>
  </si>
  <si>
    <t>79dc7fac22de4ef19a9e2e64d36eee0f</t>
  </si>
  <si>
    <t>공무국외출장 절차는 다음과 같습니다.
1. **공무국외출장 계획 수립**: 공무국외출장을 계획하는 부서에서는 출장 목적, 일정, 방문 기관 등을 포함한 상세한 계획을 수립해야 합니다.
2. **사전 승인 및 예산 확보**: 출장 계획은 상위 부서나 관련 부서의 승인을 받아야 하며, 출장 비용에 대한 예산을 확보해야 합니다.
3. **공무국외출장 심사 신청**: 공무국외출장 심사위원회에 심사를 신청합니다. 이때 출장 계획서와 관련된 서류들을 제출해야 합니다.
4. **심사위원회 심사**: 심사위원회는 제출된 자료를 바탕으로 출장의 필요성, 방문 국가의 타당성, 여행자의 적합성 등을 종합적으로 평가합니다.
5. **심사 결과 통보**: 심사 결과는 신청 부서로 통보되며, 승인될 경우 출장을 진행할 수 있습니다.
6. **보안 교육 및 준수**: 출국 전 공무국외출장자는 보안 서약서 작성, 안전 수칙 교육 등 필요한 절차를 이수해야 합니다.
7. **출장 수행**: 계획된 일정에 따라 출장을 수행하며, 현지에서의 모든 활동은 공식 업무에 초점을 맞춰야 합니다.
8. **귀국 후 보고서 제출**: 출장 후에는 출장 결과를 정리한 보고서를 작성하여 제출해야 합니다. 이는 추후 유사한 출장에 참고 자료로 활용됩니다.
9. **사후 관리**: 출장 중 얻은 정보나 자료는 관련 부서에 공유되고, 후속 조치나 정책 개발에 활용됩니다.
이러한 절차를 통해 공무국외출장은 투명하고 효율적으로 이루어지며, 예산 낭비를 방지하고 업무 효율성을 높일 수 있습니다. 추가적인 문의 사항이 있으시면 언제든지 말씀해 주세요!</t>
  </si>
  <si>
    <t>b29c8120-2337-4bf6-a34c-8fd9566c290e</t>
  </si>
  <si>
    <t>8330217a-0b4a-4e44-87fa-e6a16776e71e</t>
  </si>
  <si>
    <t>3d057e26-da95-412b-ae56-7c4c6dad3476</t>
  </si>
  <si>
    <t>a683d03a-9adb-4efa-9dce-e40998300ef5</t>
  </si>
  <si>
    <t>nac 로그인이 안돼요(아이디, 초기비밀번호 등)</t>
  </si>
  <si>
    <t>07ed732749a747ecb0294fb6b40d2f0d</t>
  </si>
  <si>
    <t>공무원증 분실시 청사 출입 방법과 재발급 방법은 무엇인가요?</t>
  </si>
  <si>
    <t>45e10039416f499bb845d43cfa8962a0</t>
  </si>
  <si>
    <t>안녕하세요! 공무원증을 분실하셨다면 청사 출입 시에는 임시 출입증을 발급받아 사용하실 수 있습니다.
**임시 출입증 발급 방법:**
1. **소속 부서에 알리기:** 먼저, 해당 사실을 담당자나 상급자에게 알려야 합니다. 이는 보안상의 이유로 중요하며, 필요한 조치를 취하기 위해서입니다.
2. **보안팀 또는 총무과 방문:** 청사의 보안팀이나 총무과를 방문하여 공무원증 분실에 대한 신고를 합니다. 이때 신분증(주민등록증, 운전면허증 등)을 지참해야 할 수도 있으니 미리 확인해 주세요.
3. **임시 출입증 발급 요청:** 분실 신고 후에는 임시로 사용할 수 있는 출입증을 발급해 달라고 요청합니다. 이 임시 출입증은 일정 기간 동안 유효하며, 정해진 절차와 규정에 따라 관리됩니다.
**재발급 절차:**
1. **분실신고 접수:** 공식적으로 공무원증 분실을 신고해야 합니다. 이는 행정적 기록과 보안을 위해 필요합니다.
2. **차세대 인사랑시스템 이용:** 앞서 언급한 것처럼, 차세대 인사랑시스템의 '공무원증 신청' 메뉴에서 재발급을 신청합니다. 여기서 '실물 공무원증' 옵션을 선택하고, 필요한 정보를 입력한 뒤 부서장의 승인을 받습니다.
3. **신규 공무원증 수령:** 신청 후 약 3~4주 정도 후에 새로운 공무원증이 발급되며, 이를 수령하시면 됩니다.
**주의사항:**
- **개인정보 보호:** 공무원증에는 개인 정보가 포함되어 있으므로 분실 시 신속하게 조치하는 것이 중요합니다.
- **보안 규정 준수:** 임시 출입증은 제한된 권한과 기간을 가지므로, 추가적인 보안 조치가 필요할 수 있습니다.
- **업데이트 정보 확인:** 시스템이나 절차는 변경될 수 있으므로, 최신 정보는 인사과나 관련 부서에 문의하시는 것이 좋습니다.
추가적인 도움이 필요하시거나 다른 궁금한 점이 있으시면 언제든지 말씀해 주세요! 도와드릴 수 있어 기쁩니다.</t>
  </si>
  <si>
    <t>시청 청사 내 주차 등록 방법은 무엇인가요?</t>
  </si>
  <si>
    <t>ba180bef1e73488f8e28bce1a50b71b3</t>
  </si>
  <si>
    <t>시청 청사 내 주차장을 이용하려면 먼저 승용차 요일제를 신청해야 합니다. 승용차 요일제는 시청 교통혁신과나 구청, 행정복지센터에서 신청할 수 있습니다. 이때 차량의 종류에 따라 필요한 서류가 다를 수 있으니 확인이 필요합니다.
그 다음으로는 '직원정기권 등록 신청서'를 작성하고, 이를 각 부서에서 취합하여 공문으로 신청해야 합니다. 이는 차량 등록 절차를 위한 것으로, 모든 직원이 참여해야 합니다.
또한, 차량 해지 시에도 동일한 절차를 거쳐야 하며, 차량 등록 후 4년이 지나면 만료일이 도래하므로, 만료일 30일 전부터 재등록 신청을 해야 합니다. 만약 재등록을 하지 않으면 일반 요금이 부과될 수 있으며, 일일 최대 요금은 8,000원까지 발생할 수 있습니다.
주차장은 매일 24시간 운영되므로, 필요하신 시간에 자유롭게 이용할 수 있습니다. 추가적인 문의 사항이나 도움이 필요하시면 언제든지 말씀해 주세요.</t>
  </si>
  <si>
    <t>공유재산 관리계획 수립 시 절차는 어떻게 되나요?</t>
  </si>
  <si>
    <t>1256_공유재산관리계획_작성기준.pdf</t>
  </si>
  <si>
    <t>17</t>
  </si>
  <si>
    <t>706961d97bd140c3b85d888aa386f482</t>
  </si>
  <si>
    <t>공유재산 관리계획 수립 시 절차는 다음과 같습니다.
1. **사업계획 수립**: 먼저, 공유재산의 취득 또는 처분이 필요한 사업을 계획합니다. 이때 사업목적, 용도, 기간, 취득·처분하는 재산의 현황, 기준가격, 취득·처분방법 등을 명확하게 설정해야 합니다.
2. **공유재산관리계획 수립 대상 검토**:
   - **재산관리부서**에서는 총괄재산관리부서와 협의하여 해당 사업이 공유재산관리계획 수립 대상인지 확인합니다.
   - **총괄재산관리부서**에서는 재산관리부서로부터 제공받은 정보를 바탕으로 「공유재산 및 물품 관리법」 및 관련 규정에 따라 공유재산관리계획 수립 대상 여부를 검토합니다.
3. **공유재산관리계획 수립**:
   - 공유재산관리계획 수립 대상인 경우, 재산관리부서와 총괄재산관리부서가 협력하여 공유재산관리계획을 작성합니다.
   - 여기에는 사업명, 사업기간, 재산의 종류, 용도, 취득·처분면적, 기준가격 등이 포함됩니다.
4. **예산부서와의 협의**:
   - 재산관리부서는 총괄재산관리부서를 통해 공유재산관리계획 수립 결과를 예산부서에 통보합니다.
   - 예산부서는 이를 토대로 예산안을 편성합니다.
5. **지방의회 제출 및 심의**:
   - 지방자치단체의 장은 공유재산관리계획(안)과 예산편성(안)을 지방의회에 제출합니다.
   - 지방의회는 해당 안건을 심의하고 의결합니다.
6. **사업 추진**:
   - 지방의회의 의결을 거친 후, 지방자치단체는 공유재산관리계획에 따라 사업을 진행합니다.
이러한 절차를 통해 공유재산의 효율적이고 투명한 관리를 도모하며, 법령에 따른 절차를 준수함으로써 재정의 건전성을 유지합니다. 만약 추가적인 정보나 특정 부분에 대한 자세한 설명이 필요하다면 알려주세요!</t>
  </si>
  <si>
    <t>eb526b2c-280f-46e4-8ee3-4a90d362f41c</t>
  </si>
  <si>
    <t>2e4d564a-b45e-43fc-9874-00c64bce402e</t>
  </si>
  <si>
    <t>d9f21e88-de99-4fe8-ade1-af7d18412f41</t>
  </si>
  <si>
    <t>301750b4-3f18-4d2b-b2bb-ab7f3b101d7a</t>
  </si>
  <si>
    <t>2de0f0c8-62b8-4a49-95ad-da8779b388e1</t>
  </si>
  <si>
    <t>경조사 종류별 휴가 일수를 알려줘</t>
  </si>
  <si>
    <t>8040f7e65478472399897b308fd4e683</t>
  </si>
  <si>
    <t>행정전자서명(GPKI) 재발급 방법을 알려주세요</t>
  </si>
  <si>
    <t>dd3e8fa79c51415a9f433dc2ee577e53</t>
  </si>
  <si>
    <t>네, 행정전자서명(GPKI)의 재발급 방법에 대해 설명드리겠습니다.
**1. 신규 발급이나 재발급, 비밀번호 분실의 경우**
- **첨부된 한글 파일 서식 작성**: 제공된 문서나 공식 웹사이트에서 제공하는 서식을 다운로드 받아 필요한 정보를 정확하게 기입하세요.
- **공문 제출**: 작성한 서식을 공문에 첨부하여 정보화정책과로 신청합니다. 이때, 기간제 직원의 경우에는 근무 기간을 반드시 명시해야 합니다. 각 구군에서는 해당 구군의 전산팀으로, 상수도사업본부에서는 경영지원부 정보관리팀으로, 소방재난본부에서는 119종합상황실로 신청하시면 됩니다.
- **처리 완료 후 인증서 발급**: 공문을 접수한 부서에서 발급 가능 처리를 하면, 휴대전화로 인증서가 발급되었다는 문자 메시지를 받게 됩니다. 이 메시지는 보통 14일 이내에 발송되며, 이 기간 내에 인증서를 발급받지 않으면 다시 신청해야 하니 유의하셔야 합니다.
- **gpki.go.kr에서 인증서 발급 받기**: 문자 메시지를 받으셨다면, 행정망에서 `gpki.go.kr` 사이트에 접속합니다. 이름과 주민등록번호를 입력하고, 휴대폰으로 전송되는 인증번호를 통해 인증을 완료한 뒤 인증서를 발급받습니다.
**2. 인증서 갱신**
- **갱신 가능 기간**: 인증서의 유효기간이 만료되기 100일 전부터 만료일까지 갱신이 가능합니다. 유효기간이 만료되면 자동으로 사용이 중지되므로, 미리 갱신하시는 것이 좋습니다.
- **갱신 방법**: 별도의 공문 신청 없이도 가능하며, `gpki.go.kr` 사이트에서 직접 갱신할 수 있습니다. 사이트 내에서 "인증서 관리/갱신" 메뉴를 선택하고, 구분에서 "개인용", "행정기관"을 선택한 다음 절차를 따라주시면 됩니다.
**3. 인증서 이동 방법**
- **압축 파일 생성**: 현재 사용 중인 PC에서 행정전자서명이 저장된 `C:\GPKI` 폴더 전체를 압축합니다. 이때, `GPKI`, `certificate`, `class2` 등의 모든 하위 폴더와 파일이 포함되어야 합니다.
- **파일 전송**: 압축한 파일을 온메일 또는 온톡을 이용하여 본인의 이메일 주소나 톡으로 보냅니다. 이는 새로운 PC로 인증서를 옮기기 위한 단계입니다.
- **새로운 PC에서 설치**: 새로운 PC에서 온메일 또는 온톡을 열어 압축 파일을 내려받은 후, 동일한 위치인 `C:\` 드라이브에 압축을 해제합니다. 이렇게 하면 이전 PC와 동일하게 인증서를 사용할 수 있게 됩니다.
**주의사항**
- **인증서 파일 전체 복사**: 단순히 `class2` 폴더만을 복사하는 것이 아니라, `GPKI` 폴더 전체를 복사해야 합니다. 그렇지 않으면 인증서가 정상적으로 작동하지 않을 수 있습니다.
- **콜센터 연락처**: 발급 및 갱신 과정에서 기술적인 문제가 발생할 경우, 인증관리센터 콜센터인 1661-9088로 문의하실 수 있습니다.
위의 절차를 따라주시면 행정전자서명의 재발급 및 이동이 원활하게 이루어질 것입니다. 추가로 궁금한 사항이 있으시면 언제든지 질문해 주세요! 도움이 필요하신 부분이 있다면 자세히 안내해 드리겠습니다.</t>
  </si>
  <si>
    <t>정산검사 결과 보고서에서 포함돼야 할 내용에 어떤 것들이 있나요?</t>
  </si>
  <si>
    <t>169</t>
  </si>
  <si>
    <t>b91ac42722ef47f2a74c78e1d5d42930</t>
  </si>
  <si>
    <t>문서 초안 작성과 관련된 질문은 AI부기주무관(초안생성) 봇에게 물어봐주세요.</t>
  </si>
  <si>
    <t>추가경정예산안에 포함돼야 할 내용에 어떤 것들이 있나요?</t>
  </si>
  <si>
    <t>341, 342, 378, 379</t>
  </si>
  <si>
    <t>e069f09f9f174cb5836ce717e07018a4</t>
  </si>
  <si>
    <t>추가경정예산안은 기존 예산의 변경이나 새로운 예산 수요를 반영하기 위해 편성되는 예산안이에요. 일반적으로 추가경정예산안에 포함되어야 할 내용은 다음과 같아요:
1. **추가의 세입**: 예상치 못한 수입 증가나 신규 수입원을 반영해야 해요.
2. **추가의 세출**: 새로운 지출 요인이 발생했을 때 그에 대한 예산을 편성해요.
3. **변경된 세입·세출**: 기존 예산에서의 세입·세출 항목이 변경되었을 경우 수정된 금액을 반영해요.
4. **국고보조금 반환금**: 국고보조금을 사용하고 남은 잔액을 국고에 반환해야 하는 금액을 포함해요.
5. **국고보조금 이자 반납금**: 국고보조금으로 인한 이자 수익 중 일부를 국고에 반환해야 하는 금액을 포함해요.
6. **시·도비보조금 반환금**: 상위 지자체로부터 받은 보조금의 사용 잔액을 반환해야 하는 금액을 포함해요.
7. **시·도비보조금 이자 반납금**: 시·도비보조금으로 인한 이자 수익 중 일부를 상위 지자체에 반환해야 하는 금액을 포함해요.
8. **기타 반환금 등**: 과오납금, 반환금, 수표지불 미청산금, 상환금 등 다양한 형태의 반환금을 포함해요.
9. **잡손금**: 결손 보전이나 기타 손실 처리를 위한 비용을 포함해요.
이러한 내용들은 예산의 투명성과 정확성을 유지하기 위해 추가경정예산안에 반드시 포함되어야 하며, 이를 통해 재정 운영의 효율성을 높일 수 있어요. 더 궁금한 점이 있으면 언제든지 물어봐 주세요!</t>
  </si>
  <si>
    <t>5d300cc9-af13-46da-8fb2-df6722c203dd</t>
  </si>
  <si>
    <t>7f3f6c86-1b5b-4749-8443-7976cccfe9dd</t>
  </si>
  <si>
    <t>27ea9229-4ac7-473d-bbe8-78ea14b285a7</t>
  </si>
  <si>
    <t>36_2206_공공하수인프라과_업무매뉴얼_행정안전부_2023년도_지방공기업_예산편성기준.pdf</t>
  </si>
  <si>
    <t>58fd47c5-63ee-4b3e-a6c8-12090475dba7</t>
  </si>
  <si>
    <t>217_2504_예산담당관_법령_행정안전부_지방재정법250401.pdf</t>
  </si>
  <si>
    <t>고충민원이 들어왔을 때 처리절차를 알려주세요</t>
  </si>
  <si>
    <t>139</t>
  </si>
  <si>
    <t>c631fc5a64184d92b2233c7c523c38bc</t>
  </si>
  <si>
    <t>고충민원이 들어왔을 때의 처리절차는 다음과 같습니다.
1. **고충민원 접수**: 민원인이 고충민원을 신청하면, 해당 기관의 납세자보호관 또는 고충처리 담당 부서에 접수됩니다.
2. **고충민원 검토**: 납세자보호관은 접수된 고충민원을 상세히 검토합니다. 이때 필요한 경우 관련 부서에 사실 조회를 하거나 현장 조사를 실시할 수 있습니다.
   - **직권 시정 대상**인지 여부를 판단합니다:
     - 지방세 관계 법령 및 조례에 명백히 위배된 경우
     - 과세자료 및 세액이 착오로 계산된 경우
     - 민원인의 증거자료가 명백하게 타당한 경우
     - 사실판단이 명백히 잘못된 경우
     - 판례, 이의신청 및 심사청구결정례 등 일반적인 집행례가 확립되어 있는 경우
     - 위의 경우들과 유사한 상황
   - **위원회 회부 대상**인지 여부를 판단합니다:
     - 특정 법률이나 규정에 의해 위원회의 심의가 필요한 경우
   - **이송 대상**인지 여부를 판단합니다:
     - 다른 지방자치단체의 관할에 속하는 경우
   - **시정 불가 대상**인지 여부를 판단합니다:
     - 고충민원의 내용이 명백하게 이유가 없는 경우
3. **고충민원 처리 방법 결정**:
   - **직권 시정 대상**인 경우:
     - 구청장이 신청 내용에 맞게 시정하도록 조치합니다.
     - 단, 구청장이 해당 고충민원이 직권 시정 대상에 해당하지 않는다고 인정하는 경우, 다른 처리 방법을 적용합니다.
   - **위원회 회부 대상**인 경우:
     - 구청장에게 위원회 상정을 요구합니다.
     - 위원회에서 결정된 처리 방법에 따라 처리합니다.
   - **이송 대상**인 경우:
     - 납세자보호관이 고충민원 관련 서류에 이송 사유를 첨부하여 해당 지방자치단체에 이송합니다.
   - **시정 불가 대상**인 경우:
     - 납세자보호관이 그 내용을 민원인에게 통지합니다.
4. **처리 결과 통지**:
   - 납세자보호관은 고충민원의 처리 결과를 민원인에게 통지합니다.
   - 필요한 경우, 처리 전에 전화 등의 방법으로 결과를 설명할 수 있습니다.
5. **불이익 변경 금지 원칙 적용**:
   - 고충민원 처리 시, 민원인에게 고충민원 신청 전보다 불리한 결정을 내려서는 안 됩니다.
   - 이는 민원인의 권리를 보호하기 위한 조치입니다.
6. **불복 대상 여부 확인**:
   - 고충민원에 대한 처리 결과는 법적으로 불복의 대상이 되지 않습니다.
   - 따라서 추가적인 행정심판이나 소송을 제기할 수 없습니다.
7. **고충민원과 권리보호요청의 구분**:
   - 납세자보호관은 민원인이 권리보호요청을 하는 경우, 고충민원과 구분하여 처리합니다.
   - 그러나 신속한 후속 처분이 이루어지지 않아 납세자에게 회복할 수 없는 손해가 예상되는 긴급한 경우에는 권리보호요청으로 분류하여 처리합니다.
8. **권리보호요청 대상 확인**:
   - 세무조사 과정에서의 권리보호요청은 세무공무원의 위법한 행위에 대해 신청할 수 있습니다.
   - 지방세 부과·징수, 체납처분 등 집행과정에서의 권리보호요청도 마찬가지로 세무공무원의 부적절한 행위에 대해 신청 가능합니다.
이러한 절차를 통해 고충민원은 공정하고 효율적으로 처리되며, 민원인의 권리는 최대한 보장됩니다. 만약 더 자세한 안내나 도움이 필요하다면, 해당 기관의 납세자보호관이나 고객상담센터에 문의하시는 것이 좋습니다.</t>
  </si>
  <si>
    <t>5a61c4f2-0d52-4bfc-aa09-d8f51794f16e</t>
  </si>
  <si>
    <t>188dd408-9cfd-4cf4-bd54-40d8a54cb4e2</t>
  </si>
  <si>
    <t>7553d746-3708-4572-87f2-ddfc8ab51139</t>
  </si>
  <si>
    <t>1232_국민신문고_사용자지침서_고충민원_v13.pdf</t>
  </si>
  <si>
    <t>b9dee964-2f3f-451a-921d-7f5b430d920f</t>
  </si>
  <si>
    <t>599303ef-383b-411b-b4e1-ed748ca3a445</t>
  </si>
  <si>
    <t>예산변경의 절차에 대해서 알려주세요</t>
  </si>
  <si>
    <t>404</t>
  </si>
  <si>
    <t>c7e980b5915243949614ede9c77ddc53</t>
  </si>
  <si>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**1. 변경내역서 작성**
- **사업담당자**가 변경내역서를 작성합니다. 이때 변경하고자 하는 세부사업과 편성목을 명확히 기재해야 합니다.
**2. 협의 진행**
- 작성한 변경내역서를 **예산부서**와 협의합니다. 이를 통해 변경의 타당성과 적합성을 검토받습니다.
**3. 결정 및 승인**
- 협의를 거친 후, **실·국장**이 변경 여부를 최종적으로 결정하고 승인합니다.
**4. 통지 및 집행**
- 변경사항이 확정되면, **예산부서**와 **회계부서**에 즉시 통보합니다.
- 변경된 내용에 따라 **세출예산집행계획**을 수정하고, 필요한 경우 관련 부서에 업데이트된 정보를 제공합니다.
**주의사항**
- **재변경 사용 금지**: 한 번 변경된 예산은 다시 변경할 수 없습니다.
- **전용제한 편성목 변경 제한**: 특정 편성목은 변경 사용이 제한될 수 있으므로 사전에 확인이 필요합니다.
- **조직 개편 시의 이체**: 조직의 기구나 직제가 변경될 경우, 예산의 이체가 가능하며, 이는 별도의 절차를 따릅니다.
이러한 절차를 준수함으로써 예산의 효율적 운용과 투명성을 확보할 수 있습니다. 추가적인 도움이 필요하시면 언제든지 말씀해 주세요!</t>
  </si>
  <si>
    <t>fe2a1e0e-54ce-4cee-9e1c-15e9468c6de9</t>
  </si>
  <si>
    <t>법률자문은 어떻게 진행되나요?</t>
  </si>
  <si>
    <t>fa2d337e5b4e432ca8075423751ca7a6</t>
  </si>
  <si>
    <t>법률자문은 「부산광역시 법률고문 운영 조례」 제3조와 제7조에 따라 다음과 같은 절차를 거쳐 진행됩니다.
1. **사전 구두 협의**: 먼저, 필요한 사항에 대해 구두로 협의하여 질의의 필요성, 주요 내용, 질의 형식 등을 논의합니다.
2. **질의 형식의 검토 및 자문위원 추천**: 법무담당관은 질의 내용의 타당성을 판단하고, 질의 형식을 검토한 후 적합한 자문위원을 1~3명 추천합니다.
3. **자문위원에게 질의 의뢰**: 주관부서는 최종 결재권자 이전에 법무담당관과 합의를 거친 후, 자문위원을 수신자로 하여 공식적인 질의서를 발송합니다. 이때 질의 내용은 명확하고 상세하게 작성되어야 하며, 참고 자료 제공 등에 적극적으로 협조해야 합니다.
4. **자문위원의 회신 수령**: 자문위원으로부터 회신을 받으면, 주관부서는 그 회신 사본을 법무담당관에게 공문으로 통보합니다.
5. **회신 결과 활용 및 자문수당 지급**: 법무담당관은 전달받은 회신 결과를 바탕으로 업무를 처리하고, 자문위원에게는 규정에 따른 수당을 지급합니다.
이러한 절차를 통해 법률자문이 체계적이고 효율적으로 이루어집니다. 추가적인 도움이 필요하시면 언제든지 말씀해 주세요!</t>
  </si>
  <si>
    <t>02af848b-a7c9-4904-98bc-e22b3879edc3</t>
  </si>
  <si>
    <t>정보공개시스템 공개, 비공개, 부존재 처리시 각각의 처리절차를 알려주세요.</t>
  </si>
  <si>
    <t>236, 237, 238, 239, 240, 241, 243, 244</t>
  </si>
  <si>
    <t>58978808f57b481089bd9000b43405c7</t>
  </si>
  <si>
    <t>네, 알겠습니다.
**정보공개시스템에서의 공개, 비공개, 부존재 처리 절차는 다음과 같습니다.**
---
### **1. 공개 처리 절차**
- **처리 방법**:  
  - *정보공개시스템*에서 '공개' 버튼을 클릭하거나, 관련 메뉴에서 공개 설정을 합니다.
- **주의 사항**:  
  - 정보의 정확성과 적합성을 확인합니다.
  - 개인정보나 민감정보를 포함하지 않는지 검토합니다.
- **결과**:  
  - 청구를 한 사람은 공개된 정보를 열람하거나 다운로드할 수 있습니다.
---
### **2. 비공개 처리 절차**
- **처리 방법**:  
  - *정보공개시스템*에서 '비공개' 버튼을 클릭하거나, 관련 메뉴에서 비공개 설정을 합니다.
- **사유 작성 및 통지**:  
  - 비공개 이유를 상세하게 기술합니다.
    - 예를 들어, 법령에 의해 보호되는 비밀사항인지, 개인의 사생활 침해 우려 등이 있는지 명시합니다.
- **주의 사항**:  
  - 비공개 결정은 법적 근거에 기반해야 하며, 투명성이 요구됩니다.
- **결과**:  
  - 청구인은 비공개 결정 통지를 받게 되며, 이의신청이나 행정심판 등을 제기할 수 있습니다.
---
### **3. 부존재 처리 절차**
- **처리 방법**:  
  - *정보공개시스템*에서 '부존재' 버튼을 클릭하거나, 관련 메뉴에서 부존재 설정을 합니다.
- **사유 작성 및 통지**:  
  - 정보가 부존재하는 구체적인 이유를 상세하게 기술합니다.
    - 예를 들어, 해당 정보가 생산되지 않았거나, 보존기간이 지나 폐기되었는지 등을 명시합니다.
- **주의 사항**:  
  - 부존재 처리는 정확한 사실에 기반해야 하며, 허위나 과장된 내용으로 처리해서는 안 됩니다.
- **결과**:  
  - 청구인은 부존재 결정 통지를 받게 되며, 추가적인 문의나 이의제기를 할 수 있습니다.
---
**추가 정보**
- **처리 기간**:  
  - 일반적으로 정보공개 여부는 청구일로부터 10일 이내에 결정되어야 합니다.
  - 그러나 부존재 등의 경우에는 민원처리에 관한 법률에 따라 7일 이내에 처리될 수 있습니다.
- **이의신청 및 행정심판**:  
  - 청구인이 비공개 또는 부존재 결정에 동의하지 않을 경우, 이의신청이나 행정심판을 통해 재검토를 요청할 수 있습니다.
---
**참고 문서**
위의 내용은 주로 공공기관의 정보공개 업무 매뉴얼이나 지침서를 기반으로 하고 있으며, 실제 절차는 기관마다 약간의 차이가 있을 수 있습니다. 보다 자세한 사항은 해당 기관의 공식 웹사이트나 정보공개 담당 부서에 문의하시는 것이 좋습니다.
---
**결론**
정보공개시스템에서는 공개, 비공개, 부존재 처리 모두 시스템 내에서 지정된 절차를 따르며, 각 경우에 맞는 사유를 명확하게 작성하여 청구인에게 통지해야 합니다. 이를 통해 투명한 행정 서비스를 제공하고 국민의 알 권리를 보장할 수 있습니다.</t>
  </si>
  <si>
    <t>일반지출이 아닌 계약으로 진행해야 하는 기준과 필요 서류들이 무엇이 있는지?</t>
  </si>
  <si>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</si>
  <si>
    <t>1 
 2</t>
  </si>
  <si>
    <t>d772abd6b8b340059e9df8f3d4cdd8f4</t>
  </si>
  <si>
    <t>조례를 제정,개정하기 위한 행정절차 가이드라인을 알려줄 수 있는지?</t>
  </si>
  <si>
    <t>9adfbdb81e3a4fc9ad6ae2e27dc799fe</t>
  </si>
  <si>
    <t>네, 조례를 제정하거나 개정하기 위한 행정절차는 다음과 같습니다.
**1. 조례 제정 또는 개정 계획 수립**
   - **필요성 검토**: 새로운 조례 제정이 필요한 이유나 기존 조례의 개정이 필요한 이유를 명확히 합니다.
   - **주요 내용 결정**: 조례의 목적, 범위, 세부 내용 등을 구체적으로 정합니다.
   - **추진 일정 설정**: 조례 제정 또는 개정 절차를 완료할 일정을 계획합니다.
   - **효과 예측**: 조례 시행으로 인한 기대 효과를 분석합니다.
**2. 사전 절차 이행**
   - **관련 부서 협조 요청**: 조례 내용과 관련된 부서와 협력하여 의견을 수렴하고 협조를 구합니다.
   - **법령 및 규정 확인**: 새로운 조례가 현행 법률이나 상위 규정에 위배되지 않는지 검토합니다.
   - **시의회 동의 확보**: 필요한 경우 시의회의 동의를 얻습니다.
**3. 조례안 작성**
   - **전문적인 표현 사용**: 조례안은 정확하고 명료한 언어로 작성되어야 합니다.
   - **법률 자문 활용**: 법무담당관의 자문을 받아 법적 타당성을 높입니다.
   - **형식 준수**: 조례안의 형식과 양식을 정확히 따릅니다.
**4. 입법 예고**
   - **공고 기간 설정**: 일반적으로 20일 이상의 공고 기간을 두어 시민들에게 알립니다.
   - **공고 매체 선정**: 시보, 시 인터넷 홈페이지, 지역 신문 등에 공고합니다.
   - **시민 의견 수렴**: 시민들의 의견을 수집하고 반영할 기회를 제공합니다.
**5. 조례규칙심의회 심의**
   - **심의 대상 보고**: 조례안을 조례규칙심의회에 상정하여 심의를 받습니다.
   - **의견 수렴 및 조정**: 심의 과정에서 나온 의견을 반영하여 조례안을 수정합니다.
**6. 시의회 제출 및 의결**
   - **제출 시기 준수**: 회기 시작 10일 전에 의회에 제출해야 합니다.
   - **상임위원회 심의**: 관련 상임위원회에서 조례안을 상세히 검토합니다.
   - **본회의 심의 및 의결**: 전체 의원이 참석하는 본회의에서 최종적으로 심의하고 의결합니다.
**7. 조례안 이송 및 공포**
   - **의결 후 조치**: 의회에서 가결된 조례안을 시청으로 이송받습니다.
   - **사전보고**: 행정안전부에 조례안 공포 예정 사항을 보고합니다.
   - **공포**: 이송 후 20일 이내에 공식적으로 공포하며, 공포일부터 효력이 발생합니다.
**참고사항**
- **법무담당관과의 협의**: 조례 제정 또는 개정 과정 전반에 걸쳐 법무담당관과 긴밀하게 협의하여 법적 문제를 사전에 예방합니다.
- **중요문서 심사**: 조례안이 중요한 사안에 해당될 경우, 중요문서 심사 절차를 거쳐야 할 수도 있습니다.
- **부패 영향 평가 및 성별 영향 평가**: 조례 내용이 사회적 약자나 특정 성별에 불이익을 주지 않도록 관련 평가를 실시합니다.
이러한 절차를 통해 조례의 실효성과 공정성을 높일 수 있으며, 시민들의 신뢰를 얻을 수 있습니다. 추가적인 도움이 필요하시면 언제든지 말씀해 주세요!</t>
  </si>
  <si>
    <t>PC를 새로 교체했을 때 해야하는 보안절차가 있는지?</t>
  </si>
  <si>
    <t>92c54ec2aca6476ebb7100edee4375b3</t>
  </si>
  <si>
    <t>네, 새로운 PC를 교체하셨다면 안전한 사용을 위해 몇 가지 보안 절차를 따라주셔야 합니다.
1. **보안 소프트웨어 설치**: 먼저 바이러스나 악성 코드로부터 보호하기 위해 백신 프로그램을 설치하고 최신 버전으로 업데이트하세요.
2. **운영체제 및 소프트웨어 업데이트**: 운영체제와 설치된 모든 소프트웨어를 최신 상태로 유지하여 보안 취약점을 최소화해야 합니다.
3. **계정 비밀번호 변경**: 기존에 사용하던 계정의 비밀번호를 변경하여 보안을 강화하세요.
4. **데이터 백업**: 중요한 데이터는 외부 저장장치나 클라우드 서비스를 이용하여 백업해 두세요.
5. **기존 장비의 데이터 삭제**: 이전 PC에서 사용하던 하드디스크 등의 저장장치는 전문적인 방법으로 데이터를 완전히 삭제하거나 물리적으로 파기하여 개인 정보 유출을 방지해야 합니다.
6. **네트워크 접근 권한 관리**: 새로운 PC가 회사 내부의 네트워크를 사용할 수 있도록 필요한 권한을 부여받아야 하며, 이는 IT 부서와의 협의를 통해 진행됩니다.
7. **보안 정책 준수**: 조직 내에서 정한 보안 정책을 숙지하고 준수해야 합니다. 예를 들어, 특정 애플리케이션의 사용 제한이나 외부 저장장치의 사용 금지 등이 있을 수 있습니다.
이러한 절차들은 개인 정보와 기업의 중요 정보를 보호하기 위한 기본적인 단계들입니다. 구체적인 절차나 요구 사항은 근무하시는 기관이나 회사의 정책에 따라 다를 수 있으므로, IT 담당자나 관련 부서에 문의하여 정확한 지침을 받는 것이 좋습니다. 추가적인 도움이 필요하시면 언제든지 말씀해 주세요!</t>
  </si>
  <si>
    <t>수의계약이 아닌 입찰로 진행할 때 선행해야할 절차들과 서류들을 정리해 줄 수 있는지?</t>
  </si>
  <si>
    <t>2025-02-04 00:00:00</t>
  </si>
  <si>
    <t>84fb2bfab6e1485d86a3baed718e5a03</t>
  </si>
  <si>
    <t>9a4d008264ab454b8ce2c1424ba10bef</t>
  </si>
  <si>
    <t>42e9b9024e2d49f0beb6b36ebf227524</t>
  </si>
  <si>
    <t>1f2874a123454e92bd04e81f62ea9876</t>
  </si>
  <si>
    <t>엑셀, 한글 등 SW프로그램을 새로 다운받는 방법을 알려주세요</t>
  </si>
  <si>
    <t>b77142f33b6749f4b3e8dd72b781d57b</t>
  </si>
  <si>
    <t>안녕하세요! 엑셀, 한글 등의 소프트웨어를 새로 다운로드하는 방법에 대해 안내해 드리겠습니다.
**1. 엑셀(Office) 다운로드 방법**
부산시에서는 Microsoft Office의 최신 버전을 제공하고 있습니다. 아래 절차를 따라 주세요:
- **Microsoft Office 2024 다운로드**
  - **링크:** `http://99.1.1.29/resources/xf/portal/MS_Office_2024_Kor.zip`
  - **제품 번호:** `http://99.1.1.29/resources/xf/portal/MSOFFICE2024.txt` 에서 확인 가능합니다.
  - **설치 파일 다운로드 후 실행하여 설치를 진행합니다.**
- **Microsoft Office 2021 다운로드**
  - **64비트 버전**
    - **링크:** `http://99.1.1.29/resources/xf/portal/Office2021_64bit.zip`
    - **제품 번호:** `http://99.1.1.29/resources/xf/portal/MSOFFICE2021.txt` 에서 확인 가능합니다.
    - **설치 파일 다운로드 후 실행하여 설치를 진행합니다.**
  - **32비트 버전**
    - **링크:** `http://99.1.1.29/resources/xf/portal/Office2021_32bit.zip`
    - **제품 번호:** 동일하게 `http://99.1.1.29/resources/xf/portal/MSOFFICE2021.txt` 에서 확인 가능합니다.
    - **설치 파일 다운로드 후 실행하여 설치를 진행합니다.**
**2. 한글(HWP) 다운로드 방법**
한글과컴퓨터의 한글 프로그램도 제공되고 있습니다:
- **한글 2024 다운로드**
  - **링크:** `http://99.1.1.29/resources/xf/portal/HOffice2024.zip`
  - **제품 번호:** `http://99.1.1.29/resources/xf/portal/HOFFICE2024.txt` 에서 확인 가능합니다.
  - **설치 파일 다운로드 후 실행하여 설치를 진행합니다.**
- **한글 2022 다운로드**
  - **링크:** `http://99.1.1.29/resources/xf/portal/HOffice2022.zip`
  - **제품 번호:** `http://99.1.1.29/resources/xf/portal/HOFFICE2022.txt` 에서 확인 가능합니다.
  - **설치 파일 다운로드 후 실행하여 설치를 진행합니다.**
**주의 사항**
- **개인 용도 사용 금지**: 제공되는 소프트웨어는 업무용으로만 사용 가능하며, 개인적인 용도로 설치하거나 사용하는 것은 금지되어 있습니다.
- **여러 버전 설치 금지**: 동일한 소프트웨어의 여러 버전을 동시에 설치할 수 없습니다. 필요 시 기존 버전을 제거하고 새로운 버전을 설치해야 합니다.
- **제품 번호 입력**: 설치 과정에서 제품 번호를 요구할 경우, 해당 링크에서 제공하는 제품 번호를 정확히 입력하셔야 합니다.
**추가적으로 필요한 경우**
- **한글 문서 호환 문제 해결**: 한글 설치 후 문서가 깨져 보일 때는 다음 링크를 참고하여 기능 패치를 설치하세요:
  - **링크:** `https://www.hancom.com/support/downloadCenter/download`
**문의처**
- **소프트웨어 관련 문의**: 정보화정책과 SW담당자에게 문의하시면 됩니다.
위의 정보를 참고하시어 필요한 소프트웨어를 안전하게 설치하시기 바랍니다. 추가적인 도움이 필요하시면 언제든지 말씀해 주세요. 감사합니다.</t>
  </si>
  <si>
    <t>a9520f81-11c3-45d9-8966-a188243da387</t>
  </si>
  <si>
    <t>e22564e3dbcb4e5cac33801a48e9a737</t>
  </si>
  <si>
    <t>관내출장 시 18:00 이후 복귀하여도 출장 시간 인정이 되는지 궁금합니다.</t>
  </si>
  <si>
    <t>8c74eee385db479da69e855bfe0bc35f</t>
  </si>
  <si>
    <t>안녕하세요! 관내출장 시 18:00 이후에 복귀하더라도 출장 시간이 인정되는지에 대해 문의하셨습니다.
우선, '지방공무원 복무규정'에서는 공무원의 출장 시간에 대한 구체적인 규정을 두고 있지 않습니다. 그러나 일반적으로 공무원의 출장 시간은 실제 이동 시간과 업무 수행 시간을 포함하며, 이는 근무 시간으로 인정됩니다.
특히, 관내의 출장은 비교적 짧은 거리와 시간 내에 이루어지는 경우가 많아, 이동 시간이 길지 않을 수 있습니다. 따라서 18:00 이후에 복귀하시더라도, 그 동안의 이동 시간과 업무 수행 시간은 출장 근무로 인정될 수 있습니다.
하지만 정확한 인정 여부는 소속된 지방자치단체나 기관의 내부 규정에 따라 다를 수 있으므로, 인사 담당 부서나 복무 관리 부서에 직접 확인하시는 것이 가장 정확합니다.
또한, 일부 기관에서는 야간 근무나 초과 근무에 대한 별도의 지침이 있을 수 있으니, 이에 대해서도 함께 확인해 보시는 것을 추천드립니다.
추가적으로 도움이 필요하시면 언제든지 말씀해 주세요!</t>
  </si>
  <si>
    <t>f56fce79-d7c9-41b1-9cdb-f86af39a87cd</t>
  </si>
  <si>
    <t>예산 수시 배정 절차가 궁금합니다.</t>
  </si>
  <si>
    <t>163</t>
  </si>
  <si>
    <t>aa1e309d54004cc38fb453dae888df09</t>
  </si>
  <si>
    <t>네, 예산 수시 배정 절차에 대해 알려드리겠습니다.
**예산 수시 배정 절차**
1. **세출예산집행계획 수정 및 수시배정 요구**: 사업부서에서는 세출예산집행계획을 수정하고, 필요한 경우 통계목 단위로 세출예산수시배정요구서를 작성하여 예산부서에 제출합니다. 이는 세출예산배정계획에 유보되었던 사항이 해제되거나, 불가피한 사유로 긴급하게 집행이 필요할 때 진행됩니다.
2. **세출예산배정계획 조정**: 예산부서에서는 사업부서로부터 제출된 세출예산수시배정요구서를 검토합니다. 만약 배정에 결격사유가 없다면, 세출예산배정계획을 조정하여 수시 배정을 준비합니다.
3. **수시배정 확정 및 관계부서 통지**: 예산부서에서 수시배정을 확정하면, 이를 관계부서에 공식적으로 통지합니다. 이로써 예산의 수시 배정이 완료되며, 사업부서에서는 해당 예산을 집행할 수 있게 됩니다.
**참고사항**
- **배정 단위**: 예산부서는 세부사업별·편성목 단위로 예산을 배정하며, 회계 처리 등을 고려하여 통계목까지 내부적으로 관리합니다.
- **회계처리**: 예산 재배정 시에는 예산부서에서 편성목까지 확정하고, 회계 처리를 위해 통계목까지를 내부적으로 관리합니다.
위의 절차를 통해 예산의 효율적인 운용과 신속한 대응이 가능합니다. 추가적인 질문이나 도움이 필요하시면 언제든지 말씀해 주세요!</t>
  </si>
  <si>
    <t>0f102545-033c-490f-b3e6-04a3a70b22a4</t>
  </si>
  <si>
    <t>1258_2507_예산담당관_업무매뉴얼_행정안전부_2026년도_지방자치단체_예산편성_운영기준_및_기금운용계획_수립기준최종.pdf</t>
  </si>
  <si>
    <t>960b7908-0dc3-4fa1-a4e8-72d81095aac6</t>
  </si>
  <si>
    <t>0111c7ee-fe7d-4b6b-90b6-51c504394695</t>
  </si>
  <si>
    <t>6d8bb16a-5cc9-4cc3-a4cf-65be98a0efbf</t>
  </si>
  <si>
    <t>16a635e7-b747-48a5-9a29-42a929cc22eb</t>
  </si>
  <si>
    <t>포함</t>
    <phoneticPr fontId="2" type="noConversion"/>
  </si>
  <si>
    <t>선택</t>
    <phoneticPr fontId="2" type="noConversion"/>
  </si>
  <si>
    <t>13</t>
    <phoneticPr fontId="2" type="noConversion"/>
  </si>
  <si>
    <t>12</t>
    <phoneticPr fontId="2" type="noConversion"/>
  </si>
  <si>
    <t>22, 23, 24, 25</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</si>
</sst>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11"/>
      <color rgb="FFFF0000"/>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CCFFCC"/>
        <bgColor rgb="FFCCFFCC"/>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applyAlignment="1">
      <alignment vertical="top" wrapText="1"/>
    </xf>
    <xf numFmtId="10" fontId="0" fillId="0" borderId="0" xfId="0" applyNumberFormat="1"/>
    <xf numFmtId="0" fontId="1" fillId="2" borderId="0" xfId="0" applyFont="1" applyFill="1" applyAlignment="1">
      <alignment vertical="top" wrapText="1"/>
    </xf>
    <xf numFmtId="0" fontId="0" fillId="2" borderId="0" xfId="0" applyFill="1" applyAlignment="1">
      <alignment vertical="top" wrapText="1"/>
    </xf>
    <xf numFmtId="0" fontId="0" fillId="0" borderId="0" xfId="0" applyAlignment="1">
      <alignment vertical="top"/>
    </xf>
    <xf numFmtId="0" fontId="0" fillId="0" borderId="0" xfId="0"/>
    <xf numFmtId="0" fontId="0" fillId="0" borderId="0" xfId="0" applyAlignment="1">
      <alignment vertical="top" wrapText="1"/>
    </xf>
    <xf numFmtId="0" fontId="0" fillId="0" borderId="0" xfId="0" quotePrefix="1" applyAlignment="1">
      <alignment vertical="top" wrapText="1"/>
    </xf>
  </cellXfs>
  <cellStyles count="1">
    <cellStyle name="표준" xfId="0" builtinId="0"/>
  </cellStyles>
  <dxfs count="0"/>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heetViews>
  <sheetFormatPr defaultRowHeight="16.5" x14ac:dyDescent="0.3"/>
  <cols>
    <col min="1" max="1" width="20" customWidth="1"/>
  </cols>
  <sheetData>
    <row r="1" spans="1:3" x14ac:dyDescent="0.3">
      <c r="A1" t="s">
        <v>0</v>
      </c>
      <c r="B1">
        <f>COUNTA(Logs!A:A) - 1</f>
        <v>212</v>
      </c>
    </row>
    <row r="2" spans="1:3" x14ac:dyDescent="0.3">
      <c r="A2" t="s">
        <v>1</v>
      </c>
      <c r="B2">
        <f>COUNTIF(Logs!E:E, "포함")</f>
        <v>168</v>
      </c>
      <c r="C2" s="3">
        <f>B2/B1</f>
        <v>0.79245283018867929</v>
      </c>
    </row>
    <row r="3" spans="1:3" x14ac:dyDescent="0.3">
      <c r="A3" t="s">
        <v>2</v>
      </c>
      <c r="B3">
        <f>COUNTIF(Logs!F:F, "선택")</f>
        <v>162</v>
      </c>
      <c r="C3" s="3">
        <f>B3/B1</f>
        <v>0.76415094339622647</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61"/>
  <sheetViews>
    <sheetView tabSelected="1" topLeftCell="A1052" workbookViewId="0">
      <selection activeCell="B1052" sqref="B1052:B1056"/>
    </sheetView>
  </sheetViews>
  <sheetFormatPr defaultRowHeight="16.5" x14ac:dyDescent="0.3"/>
  <cols>
    <col min="1" max="1" width="5" customWidth="1"/>
    <col min="2" max="2" width="30" customWidth="1"/>
    <col min="3" max="3" width="20" customWidth="1"/>
    <col min="4" max="7" width="10" customWidth="1"/>
    <col min="8" max="8" width="50" customWidth="1"/>
    <col min="9" max="11" width="10" customWidth="1"/>
    <col min="12" max="12" width="30" customWidth="1"/>
    <col min="13" max="13" width="10" customWidth="1"/>
  </cols>
  <sheetData>
    <row r="1" spans="1:13" x14ac:dyDescent="0.3">
      <c r="A1" t="s">
        <v>3</v>
      </c>
      <c r="B1" t="s">
        <v>4</v>
      </c>
      <c r="C1" t="s">
        <v>5</v>
      </c>
      <c r="D1" t="s">
        <v>6</v>
      </c>
      <c r="E1" t="s">
        <v>1</v>
      </c>
      <c r="F1" t="s">
        <v>2</v>
      </c>
      <c r="G1" t="s">
        <v>7</v>
      </c>
      <c r="H1" t="s">
        <v>8</v>
      </c>
      <c r="I1" t="s">
        <v>9</v>
      </c>
      <c r="J1" t="s">
        <v>10</v>
      </c>
      <c r="K1" t="s">
        <v>11</v>
      </c>
      <c r="L1" t="s">
        <v>12</v>
      </c>
      <c r="M1" t="s">
        <v>13</v>
      </c>
    </row>
    <row r="2" spans="1:13" ht="90" customHeight="1" x14ac:dyDescent="0.3">
      <c r="A2" s="8">
        <v>1</v>
      </c>
      <c r="B2" s="8" t="s">
        <v>14</v>
      </c>
      <c r="C2" s="8" t="s">
        <v>15</v>
      </c>
      <c r="D2" s="8" t="s">
        <v>16</v>
      </c>
      <c r="E2" s="6" t="s">
        <v>17</v>
      </c>
      <c r="F2" s="6" t="s">
        <v>18</v>
      </c>
      <c r="G2" s="8" t="s">
        <v>19</v>
      </c>
      <c r="H2" s="8" t="s">
        <v>20</v>
      </c>
      <c r="I2" s="1"/>
      <c r="J2" s="1"/>
      <c r="K2" s="1"/>
      <c r="L2" s="1"/>
      <c r="M2" s="1"/>
    </row>
    <row r="3" spans="1:13" ht="90" customHeight="1" x14ac:dyDescent="0.3">
      <c r="A3" s="7"/>
      <c r="B3" s="7"/>
      <c r="C3" s="7"/>
      <c r="D3" s="7"/>
      <c r="E3" s="7"/>
      <c r="F3" s="7"/>
      <c r="G3" s="7"/>
      <c r="H3" s="7"/>
      <c r="I3" s="1"/>
      <c r="J3" s="1"/>
      <c r="K3" s="1"/>
      <c r="L3" s="1"/>
      <c r="M3" s="1"/>
    </row>
    <row r="4" spans="1:13" ht="90" customHeight="1" x14ac:dyDescent="0.3">
      <c r="A4" s="7"/>
      <c r="B4" s="7"/>
      <c r="C4" s="7"/>
      <c r="D4" s="7"/>
      <c r="E4" s="7"/>
      <c r="F4" s="7"/>
      <c r="G4" s="7"/>
      <c r="H4" s="7"/>
      <c r="I4" s="1"/>
      <c r="J4" s="1"/>
      <c r="K4" s="1"/>
      <c r="L4" s="1"/>
      <c r="M4" s="1"/>
    </row>
    <row r="5" spans="1:13" ht="90" customHeight="1" x14ac:dyDescent="0.3">
      <c r="A5" s="7"/>
      <c r="B5" s="7"/>
      <c r="C5" s="7"/>
      <c r="D5" s="7"/>
      <c r="E5" s="7"/>
      <c r="F5" s="7"/>
      <c r="G5" s="7"/>
      <c r="H5" s="7"/>
      <c r="I5" s="1"/>
      <c r="J5" s="1"/>
      <c r="K5" s="1"/>
      <c r="L5" s="1"/>
      <c r="M5" s="1"/>
    </row>
    <row r="6" spans="1:13" ht="90" customHeight="1" x14ac:dyDescent="0.3">
      <c r="A6" s="7"/>
      <c r="B6" s="7"/>
      <c r="C6" s="7"/>
      <c r="D6" s="7"/>
      <c r="E6" s="7"/>
      <c r="F6" s="7"/>
      <c r="G6" s="7"/>
      <c r="H6" s="7"/>
      <c r="I6" s="1"/>
      <c r="J6" s="1"/>
      <c r="K6" s="1"/>
      <c r="L6" s="1"/>
      <c r="M6" s="1"/>
    </row>
    <row r="7" spans="1:13" ht="90" customHeight="1" x14ac:dyDescent="0.3">
      <c r="A7" s="8">
        <v>2</v>
      </c>
      <c r="B7" s="8" t="s">
        <v>21</v>
      </c>
      <c r="C7" s="8" t="s">
        <v>22</v>
      </c>
      <c r="D7" s="8" t="s">
        <v>23</v>
      </c>
      <c r="E7" s="6" t="s">
        <v>24</v>
      </c>
      <c r="F7" s="6" t="s">
        <v>25</v>
      </c>
      <c r="G7" s="8" t="s">
        <v>26</v>
      </c>
      <c r="H7" s="8" t="s">
        <v>27</v>
      </c>
      <c r="I7" s="4" t="s">
        <v>28</v>
      </c>
      <c r="J7" s="4">
        <v>0.98898053169250488</v>
      </c>
      <c r="K7" s="4" t="s">
        <v>29</v>
      </c>
      <c r="L7" s="4" t="s">
        <v>22</v>
      </c>
      <c r="M7" s="4">
        <v>22</v>
      </c>
    </row>
    <row r="8" spans="1:13" ht="90" customHeight="1" x14ac:dyDescent="0.3">
      <c r="A8" s="8"/>
      <c r="B8" s="7"/>
      <c r="C8" s="7"/>
      <c r="D8" s="7"/>
      <c r="E8" s="7"/>
      <c r="F8" s="7"/>
      <c r="G8" s="7"/>
      <c r="H8" s="7"/>
      <c r="I8" s="1"/>
      <c r="J8" s="1"/>
      <c r="K8" s="1"/>
      <c r="L8" s="1"/>
      <c r="M8" s="1"/>
    </row>
    <row r="9" spans="1:13" ht="90" customHeight="1" x14ac:dyDescent="0.3">
      <c r="A9" s="8"/>
      <c r="B9" s="7"/>
      <c r="C9" s="7"/>
      <c r="D9" s="7"/>
      <c r="E9" s="7"/>
      <c r="F9" s="7"/>
      <c r="G9" s="7"/>
      <c r="H9" s="7"/>
      <c r="I9" s="1"/>
      <c r="J9" s="1"/>
      <c r="K9" s="1"/>
      <c r="L9" s="1"/>
      <c r="M9" s="1"/>
    </row>
    <row r="10" spans="1:13" ht="90" customHeight="1" x14ac:dyDescent="0.3">
      <c r="A10" s="8"/>
      <c r="B10" s="7"/>
      <c r="C10" s="7"/>
      <c r="D10" s="7"/>
      <c r="E10" s="7"/>
      <c r="F10" s="7"/>
      <c r="G10" s="7"/>
      <c r="H10" s="7"/>
      <c r="I10" s="1"/>
      <c r="J10" s="1"/>
      <c r="K10" s="1"/>
      <c r="L10" s="1"/>
      <c r="M10" s="1"/>
    </row>
    <row r="11" spans="1:13" ht="90" customHeight="1" x14ac:dyDescent="0.3">
      <c r="A11" s="8"/>
      <c r="B11" s="7"/>
      <c r="C11" s="7"/>
      <c r="D11" s="7"/>
      <c r="E11" s="7"/>
      <c r="F11" s="7"/>
      <c r="G11" s="7"/>
      <c r="H11" s="7"/>
      <c r="I11" s="1"/>
      <c r="J11" s="1"/>
      <c r="K11" s="1"/>
      <c r="L11" s="1"/>
      <c r="M11" s="1"/>
    </row>
    <row r="12" spans="1:13" ht="90" customHeight="1" x14ac:dyDescent="0.3">
      <c r="A12" s="8">
        <v>5</v>
      </c>
      <c r="B12" s="8" t="s">
        <v>30</v>
      </c>
      <c r="C12" s="8" t="s">
        <v>31</v>
      </c>
      <c r="D12" s="8" t="s">
        <v>32</v>
      </c>
      <c r="E12" s="6" t="s">
        <v>24</v>
      </c>
      <c r="F12" s="6" t="s">
        <v>25</v>
      </c>
      <c r="G12" s="8" t="s">
        <v>33</v>
      </c>
      <c r="H12" s="8" t="s">
        <v>34</v>
      </c>
      <c r="I12" s="4" t="s">
        <v>35</v>
      </c>
      <c r="J12" s="4">
        <v>0.99833518266677856</v>
      </c>
      <c r="K12" s="4" t="s">
        <v>29</v>
      </c>
      <c r="L12" s="4" t="s">
        <v>31</v>
      </c>
      <c r="M12" s="4">
        <v>4</v>
      </c>
    </row>
    <row r="13" spans="1:13" ht="90" customHeight="1" x14ac:dyDescent="0.3">
      <c r="A13" s="8"/>
      <c r="B13" s="7"/>
      <c r="C13" s="7"/>
      <c r="D13" s="7"/>
      <c r="E13" s="7"/>
      <c r="F13" s="7"/>
      <c r="G13" s="7"/>
      <c r="H13" s="7"/>
      <c r="I13" s="2" t="s">
        <v>36</v>
      </c>
      <c r="J13" s="2">
        <v>0.99757078839146007</v>
      </c>
      <c r="K13" s="2" t="s">
        <v>29</v>
      </c>
      <c r="L13" s="2" t="s">
        <v>37</v>
      </c>
      <c r="M13" s="2">
        <v>391</v>
      </c>
    </row>
    <row r="14" spans="1:13" ht="90" customHeight="1" x14ac:dyDescent="0.3">
      <c r="A14" s="8"/>
      <c r="B14" s="7"/>
      <c r="C14" s="7"/>
      <c r="D14" s="7"/>
      <c r="E14" s="7"/>
      <c r="F14" s="7"/>
      <c r="G14" s="7"/>
      <c r="H14" s="7"/>
      <c r="I14" s="4" t="s">
        <v>38</v>
      </c>
      <c r="J14" s="4">
        <v>0.99689340591430664</v>
      </c>
      <c r="K14" s="4" t="s">
        <v>29</v>
      </c>
      <c r="L14" s="4" t="s">
        <v>31</v>
      </c>
      <c r="M14" s="4">
        <v>17</v>
      </c>
    </row>
    <row r="15" spans="1:13" ht="90" customHeight="1" x14ac:dyDescent="0.3">
      <c r="A15" s="8"/>
      <c r="B15" s="7"/>
      <c r="C15" s="7"/>
      <c r="D15" s="7"/>
      <c r="E15" s="7"/>
      <c r="F15" s="7"/>
      <c r="G15" s="7"/>
      <c r="H15" s="7"/>
      <c r="I15" s="1" t="s">
        <v>39</v>
      </c>
      <c r="J15" s="1">
        <v>0.99557602405548096</v>
      </c>
      <c r="K15" s="1" t="s">
        <v>29</v>
      </c>
      <c r="L15" s="1" t="s">
        <v>40</v>
      </c>
      <c r="M15" s="1">
        <v>730</v>
      </c>
    </row>
    <row r="16" spans="1:13" ht="90" customHeight="1" x14ac:dyDescent="0.3">
      <c r="A16" s="8"/>
      <c r="B16" s="7"/>
      <c r="C16" s="7"/>
      <c r="D16" s="7"/>
      <c r="E16" s="7"/>
      <c r="F16" s="7"/>
      <c r="G16" s="7"/>
      <c r="H16" s="7"/>
      <c r="I16" s="1" t="s">
        <v>41</v>
      </c>
      <c r="J16" s="1">
        <v>0.99306535720808264</v>
      </c>
      <c r="K16" s="1" t="s">
        <v>29</v>
      </c>
      <c r="L16" s="1" t="s">
        <v>31</v>
      </c>
      <c r="M16" s="1">
        <v>2</v>
      </c>
    </row>
    <row r="17" spans="1:13" ht="90" customHeight="1" x14ac:dyDescent="0.3">
      <c r="A17" s="8">
        <v>6</v>
      </c>
      <c r="B17" s="8" t="s">
        <v>42</v>
      </c>
      <c r="C17" s="8" t="s">
        <v>43</v>
      </c>
      <c r="D17" s="8" t="s">
        <v>44</v>
      </c>
      <c r="E17" s="6" t="s">
        <v>24</v>
      </c>
      <c r="F17" s="6" t="s">
        <v>25</v>
      </c>
      <c r="G17" s="8" t="s">
        <v>45</v>
      </c>
      <c r="H17" s="8" t="s">
        <v>46</v>
      </c>
      <c r="I17" s="4" t="s">
        <v>47</v>
      </c>
      <c r="J17" s="4">
        <v>0.993939453311524</v>
      </c>
      <c r="K17" s="4" t="s">
        <v>29</v>
      </c>
      <c r="L17" s="4" t="s">
        <v>43</v>
      </c>
      <c r="M17" s="4">
        <v>3</v>
      </c>
    </row>
    <row r="18" spans="1:13" ht="90" customHeight="1" x14ac:dyDescent="0.3">
      <c r="A18" s="8"/>
      <c r="B18" s="7"/>
      <c r="C18" s="7"/>
      <c r="D18" s="7"/>
      <c r="E18" s="7"/>
      <c r="F18" s="7"/>
      <c r="G18" s="7"/>
      <c r="H18" s="7"/>
      <c r="I18" s="4" t="s">
        <v>48</v>
      </c>
      <c r="J18" s="4">
        <v>0.98212843704600317</v>
      </c>
      <c r="K18" s="4" t="s">
        <v>29</v>
      </c>
      <c r="L18" s="4" t="s">
        <v>43</v>
      </c>
      <c r="M18" s="4">
        <v>1</v>
      </c>
    </row>
    <row r="19" spans="1:13" ht="90" customHeight="1" x14ac:dyDescent="0.3">
      <c r="A19" s="8"/>
      <c r="B19" s="7"/>
      <c r="C19" s="7"/>
      <c r="D19" s="7"/>
      <c r="E19" s="7"/>
      <c r="F19" s="7"/>
      <c r="G19" s="7"/>
      <c r="H19" s="7"/>
      <c r="I19" s="4" t="s">
        <v>49</v>
      </c>
      <c r="J19" s="4">
        <v>0.89566442351067332</v>
      </c>
      <c r="K19" s="4" t="s">
        <v>29</v>
      </c>
      <c r="L19" s="4" t="s">
        <v>43</v>
      </c>
      <c r="M19" s="4">
        <v>2</v>
      </c>
    </row>
    <row r="20" spans="1:13" ht="90" customHeight="1" x14ac:dyDescent="0.3">
      <c r="A20" s="8"/>
      <c r="B20" s="7"/>
      <c r="C20" s="7"/>
      <c r="D20" s="7"/>
      <c r="E20" s="7"/>
      <c r="F20" s="7"/>
      <c r="G20" s="7"/>
      <c r="H20" s="7"/>
      <c r="I20" s="1"/>
      <c r="J20" s="1"/>
      <c r="K20" s="1"/>
      <c r="L20" s="1"/>
      <c r="M20" s="1"/>
    </row>
    <row r="21" spans="1:13" ht="90" customHeight="1" x14ac:dyDescent="0.3">
      <c r="A21" s="8"/>
      <c r="B21" s="7"/>
      <c r="C21" s="7"/>
      <c r="D21" s="7"/>
      <c r="E21" s="7"/>
      <c r="F21" s="7"/>
      <c r="G21" s="7"/>
      <c r="H21" s="7"/>
      <c r="I21" s="1"/>
      <c r="J21" s="1"/>
      <c r="K21" s="1"/>
      <c r="L21" s="1"/>
      <c r="M21" s="1"/>
    </row>
    <row r="22" spans="1:13" ht="90" customHeight="1" x14ac:dyDescent="0.3">
      <c r="A22" s="8">
        <v>9</v>
      </c>
      <c r="B22" s="8" t="s">
        <v>50</v>
      </c>
      <c r="C22" s="8" t="s">
        <v>51</v>
      </c>
      <c r="D22" s="8" t="s">
        <v>52</v>
      </c>
      <c r="E22" s="6" t="s">
        <v>24</v>
      </c>
      <c r="F22" s="6" t="s">
        <v>25</v>
      </c>
      <c r="G22" s="8" t="s">
        <v>53</v>
      </c>
      <c r="H22" s="8" t="s">
        <v>54</v>
      </c>
      <c r="I22" s="4" t="s">
        <v>55</v>
      </c>
      <c r="J22" s="4">
        <v>0.99997258186340332</v>
      </c>
      <c r="K22" s="4" t="s">
        <v>29</v>
      </c>
      <c r="L22" s="4" t="s">
        <v>51</v>
      </c>
      <c r="M22" s="4">
        <v>5</v>
      </c>
    </row>
    <row r="23" spans="1:13" ht="90" customHeight="1" x14ac:dyDescent="0.3">
      <c r="A23" s="8"/>
      <c r="B23" s="7"/>
      <c r="C23" s="7"/>
      <c r="D23" s="7"/>
      <c r="E23" s="7"/>
      <c r="F23" s="7"/>
      <c r="G23" s="7"/>
      <c r="H23" s="7"/>
      <c r="I23" s="2" t="s">
        <v>56</v>
      </c>
      <c r="J23" s="2">
        <v>0.99464082717895508</v>
      </c>
      <c r="K23" s="2" t="s">
        <v>29</v>
      </c>
      <c r="L23" s="2" t="s">
        <v>57</v>
      </c>
      <c r="M23" s="2">
        <v>250</v>
      </c>
    </row>
    <row r="24" spans="1:13" ht="90" customHeight="1" x14ac:dyDescent="0.3">
      <c r="A24" s="8"/>
      <c r="B24" s="7"/>
      <c r="C24" s="7"/>
      <c r="D24" s="7"/>
      <c r="E24" s="7"/>
      <c r="F24" s="7"/>
      <c r="G24" s="7"/>
      <c r="H24" s="7"/>
      <c r="I24" s="2" t="s">
        <v>58</v>
      </c>
      <c r="J24" s="2">
        <v>0.99387311935424805</v>
      </c>
      <c r="K24" s="2" t="s">
        <v>29</v>
      </c>
      <c r="L24" s="2" t="s">
        <v>57</v>
      </c>
      <c r="M24" s="2">
        <v>213</v>
      </c>
    </row>
    <row r="25" spans="1:13" ht="90" customHeight="1" x14ac:dyDescent="0.3">
      <c r="A25" s="8"/>
      <c r="B25" s="7"/>
      <c r="C25" s="7"/>
      <c r="D25" s="7"/>
      <c r="E25" s="7"/>
      <c r="F25" s="7"/>
      <c r="G25" s="7"/>
      <c r="H25" s="7"/>
      <c r="I25" s="1" t="s">
        <v>59</v>
      </c>
      <c r="J25" s="1">
        <v>0.98535048961639404</v>
      </c>
      <c r="K25" s="1" t="s">
        <v>29</v>
      </c>
      <c r="L25" s="1" t="s">
        <v>57</v>
      </c>
      <c r="M25" s="1">
        <v>214</v>
      </c>
    </row>
    <row r="26" spans="1:13" ht="90" customHeight="1" x14ac:dyDescent="0.3">
      <c r="A26" s="8"/>
      <c r="B26" s="7"/>
      <c r="C26" s="7"/>
      <c r="D26" s="7"/>
      <c r="E26" s="7"/>
      <c r="F26" s="7"/>
      <c r="G26" s="7"/>
      <c r="H26" s="7"/>
      <c r="I26" s="1" t="s">
        <v>60</v>
      </c>
      <c r="J26" s="1">
        <v>0.97470945119857788</v>
      </c>
      <c r="K26" s="1" t="s">
        <v>29</v>
      </c>
      <c r="L26" s="1" t="s">
        <v>57</v>
      </c>
      <c r="M26" s="1">
        <v>216</v>
      </c>
    </row>
    <row r="27" spans="1:13" ht="90" customHeight="1" x14ac:dyDescent="0.3">
      <c r="A27" s="8">
        <v>10</v>
      </c>
      <c r="B27" s="8" t="s">
        <v>61</v>
      </c>
      <c r="C27" s="8" t="s">
        <v>51</v>
      </c>
      <c r="D27" s="8" t="s">
        <v>52</v>
      </c>
      <c r="E27" s="6" t="s">
        <v>24</v>
      </c>
      <c r="F27" s="6" t="s">
        <v>18</v>
      </c>
      <c r="G27" s="8" t="s">
        <v>62</v>
      </c>
      <c r="H27" s="8" t="s">
        <v>63</v>
      </c>
      <c r="I27" s="5" t="s">
        <v>55</v>
      </c>
      <c r="J27" s="5">
        <v>0.99962854385375977</v>
      </c>
      <c r="K27" s="5" t="s">
        <v>29</v>
      </c>
      <c r="L27" s="5" t="s">
        <v>51</v>
      </c>
      <c r="M27" s="5">
        <v>5</v>
      </c>
    </row>
    <row r="28" spans="1:13" ht="90" customHeight="1" x14ac:dyDescent="0.3">
      <c r="A28" s="8"/>
      <c r="B28" s="7"/>
      <c r="C28" s="7"/>
      <c r="D28" s="7"/>
      <c r="E28" s="7"/>
      <c r="F28" s="7"/>
      <c r="G28" s="7"/>
      <c r="H28" s="7"/>
      <c r="I28" s="1" t="s">
        <v>64</v>
      </c>
      <c r="J28" s="1">
        <v>0.99575939518874834</v>
      </c>
      <c r="K28" s="1" t="s">
        <v>65</v>
      </c>
      <c r="L28" s="1" t="s">
        <v>66</v>
      </c>
      <c r="M28" s="1">
        <v>2</v>
      </c>
    </row>
    <row r="29" spans="1:13" ht="90" customHeight="1" x14ac:dyDescent="0.3">
      <c r="A29" s="8"/>
      <c r="B29" s="7"/>
      <c r="C29" s="7"/>
      <c r="D29" s="7"/>
      <c r="E29" s="7"/>
      <c r="F29" s="7"/>
      <c r="G29" s="7"/>
      <c r="H29" s="7"/>
      <c r="I29" s="2" t="s">
        <v>67</v>
      </c>
      <c r="J29" s="2">
        <v>0.92228072881698608</v>
      </c>
      <c r="K29" s="2" t="s">
        <v>29</v>
      </c>
      <c r="L29" s="2" t="s">
        <v>51</v>
      </c>
      <c r="M29" s="2">
        <v>3</v>
      </c>
    </row>
    <row r="30" spans="1:13" ht="90" customHeight="1" x14ac:dyDescent="0.3">
      <c r="A30" s="8"/>
      <c r="B30" s="7"/>
      <c r="C30" s="7"/>
      <c r="D30" s="7"/>
      <c r="E30" s="7"/>
      <c r="F30" s="7"/>
      <c r="G30" s="7"/>
      <c r="H30" s="7"/>
      <c r="I30" s="2" t="s">
        <v>68</v>
      </c>
      <c r="J30" s="2">
        <v>0.90676510334014893</v>
      </c>
      <c r="K30" s="2" t="s">
        <v>29</v>
      </c>
      <c r="L30" s="2" t="s">
        <v>57</v>
      </c>
      <c r="M30" s="2">
        <v>58</v>
      </c>
    </row>
    <row r="31" spans="1:13" ht="90" customHeight="1" x14ac:dyDescent="0.3">
      <c r="A31" s="8"/>
      <c r="B31" s="7"/>
      <c r="C31" s="7"/>
      <c r="D31" s="7"/>
      <c r="E31" s="7"/>
      <c r="F31" s="7"/>
      <c r="G31" s="7"/>
      <c r="H31" s="7"/>
      <c r="I31" s="2" t="s">
        <v>59</v>
      </c>
      <c r="J31" s="2">
        <v>0.90128457546234131</v>
      </c>
      <c r="K31" s="2" t="s">
        <v>29</v>
      </c>
      <c r="L31" s="2" t="s">
        <v>57</v>
      </c>
      <c r="M31" s="2">
        <v>214</v>
      </c>
    </row>
    <row r="32" spans="1:13" ht="90" customHeight="1" x14ac:dyDescent="0.3">
      <c r="A32" s="8">
        <v>11</v>
      </c>
      <c r="B32" s="8" t="s">
        <v>69</v>
      </c>
      <c r="C32" s="8" t="s">
        <v>43</v>
      </c>
      <c r="D32" s="8" t="s">
        <v>44</v>
      </c>
      <c r="E32" s="6" t="s">
        <v>24</v>
      </c>
      <c r="F32" s="6" t="s">
        <v>25</v>
      </c>
      <c r="G32" s="8" t="s">
        <v>70</v>
      </c>
      <c r="H32" s="8" t="s">
        <v>71</v>
      </c>
      <c r="I32" s="4" t="s">
        <v>47</v>
      </c>
      <c r="J32" s="4">
        <v>0.78545211508632895</v>
      </c>
      <c r="K32" s="4" t="s">
        <v>29</v>
      </c>
      <c r="L32" s="4" t="s">
        <v>43</v>
      </c>
      <c r="M32" s="4">
        <v>3</v>
      </c>
    </row>
    <row r="33" spans="1:13" ht="90" customHeight="1" x14ac:dyDescent="0.3">
      <c r="A33" s="8"/>
      <c r="B33" s="7"/>
      <c r="C33" s="7"/>
      <c r="D33" s="7"/>
      <c r="E33" s="7"/>
      <c r="F33" s="7"/>
      <c r="G33" s="7"/>
      <c r="H33" s="7"/>
      <c r="I33" s="4" t="s">
        <v>48</v>
      </c>
      <c r="J33" s="4">
        <v>0.77866440435937367</v>
      </c>
      <c r="K33" s="4" t="s">
        <v>29</v>
      </c>
      <c r="L33" s="4" t="s">
        <v>43</v>
      </c>
      <c r="M33" s="4">
        <v>1</v>
      </c>
    </row>
    <row r="34" spans="1:13" ht="90" customHeight="1" x14ac:dyDescent="0.3">
      <c r="A34" s="8"/>
      <c r="B34" s="7"/>
      <c r="C34" s="7"/>
      <c r="D34" s="7"/>
      <c r="E34" s="7"/>
      <c r="F34" s="7"/>
      <c r="G34" s="7"/>
      <c r="H34" s="7"/>
      <c r="I34" s="4" t="s">
        <v>49</v>
      </c>
      <c r="J34" s="4">
        <v>0.72140690755942172</v>
      </c>
      <c r="K34" s="4" t="s">
        <v>29</v>
      </c>
      <c r="L34" s="4" t="s">
        <v>43</v>
      </c>
      <c r="M34" s="4">
        <v>2</v>
      </c>
    </row>
    <row r="35" spans="1:13" ht="90" customHeight="1" x14ac:dyDescent="0.3">
      <c r="A35" s="8"/>
      <c r="B35" s="7"/>
      <c r="C35" s="7"/>
      <c r="D35" s="7"/>
      <c r="E35" s="7"/>
      <c r="F35" s="7"/>
      <c r="G35" s="7"/>
      <c r="H35" s="7"/>
      <c r="I35" s="1"/>
      <c r="J35" s="1"/>
      <c r="K35" s="1"/>
      <c r="L35" s="1"/>
      <c r="M35" s="1"/>
    </row>
    <row r="36" spans="1:13" ht="90" customHeight="1" x14ac:dyDescent="0.3">
      <c r="A36" s="8"/>
      <c r="B36" s="7"/>
      <c r="C36" s="7"/>
      <c r="D36" s="7"/>
      <c r="E36" s="7"/>
      <c r="F36" s="7"/>
      <c r="G36" s="7"/>
      <c r="H36" s="7"/>
      <c r="I36" s="1"/>
      <c r="J36" s="1"/>
      <c r="K36" s="1"/>
      <c r="L36" s="1"/>
      <c r="M36" s="1"/>
    </row>
    <row r="37" spans="1:13" ht="90" customHeight="1" x14ac:dyDescent="0.3">
      <c r="A37" s="8">
        <v>13</v>
      </c>
      <c r="B37" s="8" t="s">
        <v>72</v>
      </c>
      <c r="C37" s="8" t="s">
        <v>73</v>
      </c>
      <c r="D37" s="8" t="s">
        <v>74</v>
      </c>
      <c r="E37" s="6" t="s">
        <v>24</v>
      </c>
      <c r="F37" s="6" t="s">
        <v>25</v>
      </c>
      <c r="G37" s="8" t="s">
        <v>75</v>
      </c>
      <c r="H37" s="8" t="s">
        <v>76</v>
      </c>
      <c r="I37" s="4" t="s">
        <v>77</v>
      </c>
      <c r="J37" s="4">
        <v>0.89143967628479004</v>
      </c>
      <c r="K37" s="4" t="s">
        <v>29</v>
      </c>
      <c r="L37" s="4" t="s">
        <v>73</v>
      </c>
      <c r="M37" s="4">
        <v>4</v>
      </c>
    </row>
    <row r="38" spans="1:13" ht="90" customHeight="1" x14ac:dyDescent="0.3">
      <c r="A38" s="8"/>
      <c r="B38" s="7"/>
      <c r="C38" s="7"/>
      <c r="D38" s="7"/>
      <c r="E38" s="7"/>
      <c r="F38" s="7"/>
      <c r="G38" s="7"/>
      <c r="H38" s="7"/>
      <c r="I38" s="1"/>
      <c r="J38" s="1"/>
      <c r="K38" s="1"/>
      <c r="L38" s="1"/>
      <c r="M38" s="1"/>
    </row>
    <row r="39" spans="1:13" ht="90" customHeight="1" x14ac:dyDescent="0.3">
      <c r="A39" s="8"/>
      <c r="B39" s="7"/>
      <c r="C39" s="7"/>
      <c r="D39" s="7"/>
      <c r="E39" s="7"/>
      <c r="F39" s="7"/>
      <c r="G39" s="7"/>
      <c r="H39" s="7"/>
      <c r="I39" s="1"/>
      <c r="J39" s="1"/>
      <c r="K39" s="1"/>
      <c r="L39" s="1"/>
      <c r="M39" s="1"/>
    </row>
    <row r="40" spans="1:13" ht="90" customHeight="1" x14ac:dyDescent="0.3">
      <c r="A40" s="8"/>
      <c r="B40" s="7"/>
      <c r="C40" s="7"/>
      <c r="D40" s="7"/>
      <c r="E40" s="7"/>
      <c r="F40" s="7"/>
      <c r="G40" s="7"/>
      <c r="H40" s="7"/>
      <c r="I40" s="1"/>
      <c r="J40" s="1"/>
      <c r="K40" s="1"/>
      <c r="L40" s="1"/>
      <c r="M40" s="1"/>
    </row>
    <row r="41" spans="1:13" ht="90" customHeight="1" x14ac:dyDescent="0.3">
      <c r="A41" s="8"/>
      <c r="B41" s="7"/>
      <c r="C41" s="7"/>
      <c r="D41" s="7"/>
      <c r="E41" s="7"/>
      <c r="F41" s="7"/>
      <c r="G41" s="7"/>
      <c r="H41" s="7"/>
      <c r="I41" s="1"/>
      <c r="J41" s="1"/>
      <c r="K41" s="1"/>
      <c r="L41" s="1"/>
      <c r="M41" s="1"/>
    </row>
    <row r="42" spans="1:13" ht="90" customHeight="1" x14ac:dyDescent="0.3">
      <c r="A42" s="8">
        <v>14</v>
      </c>
      <c r="B42" s="8" t="s">
        <v>78</v>
      </c>
      <c r="C42" s="8" t="s">
        <v>79</v>
      </c>
      <c r="D42" s="8" t="s">
        <v>80</v>
      </c>
      <c r="E42" s="6" t="s">
        <v>17</v>
      </c>
      <c r="F42" s="6" t="s">
        <v>18</v>
      </c>
      <c r="G42" s="8" t="s">
        <v>81</v>
      </c>
      <c r="H42" s="8" t="s">
        <v>20</v>
      </c>
      <c r="I42" s="1"/>
      <c r="J42" s="1"/>
      <c r="K42" s="1"/>
      <c r="L42" s="1"/>
      <c r="M42" s="1"/>
    </row>
    <row r="43" spans="1:13" ht="90" customHeight="1" x14ac:dyDescent="0.3">
      <c r="A43" s="8"/>
      <c r="B43" s="7"/>
      <c r="C43" s="7"/>
      <c r="D43" s="7"/>
      <c r="E43" s="7"/>
      <c r="F43" s="7"/>
      <c r="G43" s="7"/>
      <c r="H43" s="7"/>
      <c r="I43" s="1"/>
      <c r="J43" s="1"/>
      <c r="K43" s="1"/>
      <c r="L43" s="1"/>
      <c r="M43" s="1"/>
    </row>
    <row r="44" spans="1:13" ht="90" customHeight="1" x14ac:dyDescent="0.3">
      <c r="A44" s="8"/>
      <c r="B44" s="7"/>
      <c r="C44" s="7"/>
      <c r="D44" s="7"/>
      <c r="E44" s="7"/>
      <c r="F44" s="7"/>
      <c r="G44" s="7"/>
      <c r="H44" s="7"/>
      <c r="I44" s="1"/>
      <c r="J44" s="1"/>
      <c r="K44" s="1"/>
      <c r="L44" s="1"/>
      <c r="M44" s="1"/>
    </row>
    <row r="45" spans="1:13" ht="90" customHeight="1" x14ac:dyDescent="0.3">
      <c r="A45" s="8"/>
      <c r="B45" s="7"/>
      <c r="C45" s="7"/>
      <c r="D45" s="7"/>
      <c r="E45" s="7"/>
      <c r="F45" s="7"/>
      <c r="G45" s="7"/>
      <c r="H45" s="7"/>
      <c r="I45" s="1"/>
      <c r="J45" s="1"/>
      <c r="K45" s="1"/>
      <c r="L45" s="1"/>
      <c r="M45" s="1"/>
    </row>
    <row r="46" spans="1:13" ht="90" customHeight="1" x14ac:dyDescent="0.3">
      <c r="A46" s="8"/>
      <c r="B46" s="7"/>
      <c r="C46" s="7"/>
      <c r="D46" s="7"/>
      <c r="E46" s="7"/>
      <c r="F46" s="7"/>
      <c r="G46" s="7"/>
      <c r="H46" s="7"/>
      <c r="I46" s="1"/>
      <c r="J46" s="1"/>
      <c r="K46" s="1"/>
      <c r="L46" s="1"/>
      <c r="M46" s="1"/>
    </row>
    <row r="47" spans="1:13" ht="90" customHeight="1" x14ac:dyDescent="0.3">
      <c r="A47" s="8">
        <v>15</v>
      </c>
      <c r="B47" s="8" t="s">
        <v>82</v>
      </c>
      <c r="C47" s="8" t="s">
        <v>83</v>
      </c>
      <c r="D47" s="8" t="s">
        <v>16</v>
      </c>
      <c r="E47" s="6" t="s">
        <v>24</v>
      </c>
      <c r="F47" s="6" t="s">
        <v>25</v>
      </c>
      <c r="G47" s="8" t="s">
        <v>84</v>
      </c>
      <c r="H47" s="8" t="s">
        <v>85</v>
      </c>
      <c r="I47" s="4" t="s">
        <v>86</v>
      </c>
      <c r="J47" s="4">
        <v>0.99787998199462868</v>
      </c>
      <c r="K47" s="4" t="s">
        <v>29</v>
      </c>
      <c r="L47" s="4" t="s">
        <v>83</v>
      </c>
      <c r="M47" s="4">
        <v>1</v>
      </c>
    </row>
    <row r="48" spans="1:13" ht="90" customHeight="1" x14ac:dyDescent="0.3">
      <c r="A48" s="8"/>
      <c r="B48" s="7"/>
      <c r="C48" s="7"/>
      <c r="D48" s="7"/>
      <c r="E48" s="7"/>
      <c r="F48" s="7"/>
      <c r="G48" s="7"/>
      <c r="H48" s="7"/>
      <c r="I48" s="1"/>
      <c r="J48" s="1"/>
      <c r="K48" s="1"/>
      <c r="L48" s="1"/>
      <c r="M48" s="1"/>
    </row>
    <row r="49" spans="1:13" ht="90" customHeight="1" x14ac:dyDescent="0.3">
      <c r="A49" s="8"/>
      <c r="B49" s="7"/>
      <c r="C49" s="7"/>
      <c r="D49" s="7"/>
      <c r="E49" s="7"/>
      <c r="F49" s="7"/>
      <c r="G49" s="7"/>
      <c r="H49" s="7"/>
      <c r="I49" s="1"/>
      <c r="J49" s="1"/>
      <c r="K49" s="1"/>
      <c r="L49" s="1"/>
      <c r="M49" s="1"/>
    </row>
    <row r="50" spans="1:13" ht="90" customHeight="1" x14ac:dyDescent="0.3">
      <c r="A50" s="8"/>
      <c r="B50" s="7"/>
      <c r="C50" s="7"/>
      <c r="D50" s="7"/>
      <c r="E50" s="7"/>
      <c r="F50" s="7"/>
      <c r="G50" s="7"/>
      <c r="H50" s="7"/>
      <c r="I50" s="1"/>
      <c r="J50" s="1"/>
      <c r="K50" s="1"/>
      <c r="L50" s="1"/>
      <c r="M50" s="1"/>
    </row>
    <row r="51" spans="1:13" ht="90" customHeight="1" x14ac:dyDescent="0.3">
      <c r="A51" s="8"/>
      <c r="B51" s="7"/>
      <c r="C51" s="7"/>
      <c r="D51" s="7"/>
      <c r="E51" s="7"/>
      <c r="F51" s="7"/>
      <c r="G51" s="7"/>
      <c r="H51" s="7"/>
      <c r="I51" s="1"/>
      <c r="J51" s="1"/>
      <c r="K51" s="1"/>
      <c r="L51" s="1"/>
      <c r="M51" s="1"/>
    </row>
    <row r="52" spans="1:13" ht="90" customHeight="1" x14ac:dyDescent="0.3">
      <c r="A52" s="8">
        <v>16</v>
      </c>
      <c r="B52" s="8" t="s">
        <v>87</v>
      </c>
      <c r="C52" s="8" t="s">
        <v>83</v>
      </c>
      <c r="D52" s="8" t="s">
        <v>16</v>
      </c>
      <c r="E52" s="6" t="s">
        <v>24</v>
      </c>
      <c r="F52" s="6" t="s">
        <v>25</v>
      </c>
      <c r="G52" s="8" t="s">
        <v>88</v>
      </c>
      <c r="H52" s="8" t="s">
        <v>89</v>
      </c>
      <c r="I52" s="4" t="s">
        <v>90</v>
      </c>
      <c r="J52" s="4">
        <v>0.99970752000808716</v>
      </c>
      <c r="K52" s="4" t="s">
        <v>29</v>
      </c>
      <c r="L52" s="4" t="s">
        <v>83</v>
      </c>
      <c r="M52" s="4">
        <v>1</v>
      </c>
    </row>
    <row r="53" spans="1:13" ht="90" customHeight="1" x14ac:dyDescent="0.3">
      <c r="A53" s="8"/>
      <c r="B53" s="7"/>
      <c r="C53" s="7"/>
      <c r="D53" s="7"/>
      <c r="E53" s="7"/>
      <c r="F53" s="7"/>
      <c r="G53" s="7"/>
      <c r="H53" s="7"/>
      <c r="I53" s="1" t="s">
        <v>91</v>
      </c>
      <c r="J53" s="1">
        <v>0.88730227947235107</v>
      </c>
      <c r="K53" s="1" t="s">
        <v>29</v>
      </c>
      <c r="L53" s="1" t="s">
        <v>92</v>
      </c>
      <c r="M53" s="1">
        <v>10</v>
      </c>
    </row>
    <row r="54" spans="1:13" ht="90" customHeight="1" x14ac:dyDescent="0.3">
      <c r="A54" s="8"/>
      <c r="B54" s="7"/>
      <c r="C54" s="7"/>
      <c r="D54" s="7"/>
      <c r="E54" s="7"/>
      <c r="F54" s="7"/>
      <c r="G54" s="7"/>
      <c r="H54" s="7"/>
      <c r="I54" s="1"/>
      <c r="J54" s="1"/>
      <c r="K54" s="1"/>
      <c r="L54" s="1"/>
      <c r="M54" s="1"/>
    </row>
    <row r="55" spans="1:13" ht="90" customHeight="1" x14ac:dyDescent="0.3">
      <c r="A55" s="8"/>
      <c r="B55" s="7"/>
      <c r="C55" s="7"/>
      <c r="D55" s="7"/>
      <c r="E55" s="7"/>
      <c r="F55" s="7"/>
      <c r="G55" s="7"/>
      <c r="H55" s="7"/>
      <c r="I55" s="1"/>
      <c r="J55" s="1"/>
      <c r="K55" s="1"/>
      <c r="L55" s="1"/>
      <c r="M55" s="1"/>
    </row>
    <row r="56" spans="1:13" ht="90" customHeight="1" x14ac:dyDescent="0.3">
      <c r="A56" s="8"/>
      <c r="B56" s="7"/>
      <c r="C56" s="7"/>
      <c r="D56" s="7"/>
      <c r="E56" s="7"/>
      <c r="F56" s="7"/>
      <c r="G56" s="7"/>
      <c r="H56" s="7"/>
      <c r="I56" s="1"/>
      <c r="J56" s="1"/>
      <c r="K56" s="1"/>
      <c r="L56" s="1"/>
      <c r="M56" s="1"/>
    </row>
    <row r="57" spans="1:13" ht="90" customHeight="1" x14ac:dyDescent="0.3">
      <c r="A57" s="8">
        <v>17</v>
      </c>
      <c r="B57" s="8" t="s">
        <v>93</v>
      </c>
      <c r="C57" s="8" t="s">
        <v>73</v>
      </c>
      <c r="D57" s="8" t="s">
        <v>16</v>
      </c>
      <c r="E57" s="6" t="s">
        <v>24</v>
      </c>
      <c r="F57" s="6" t="s">
        <v>25</v>
      </c>
      <c r="G57" s="8" t="s">
        <v>94</v>
      </c>
      <c r="H57" s="8" t="s">
        <v>95</v>
      </c>
      <c r="I57" s="4" t="s">
        <v>96</v>
      </c>
      <c r="J57" s="4">
        <v>0.99937743350321862</v>
      </c>
      <c r="K57" s="4" t="s">
        <v>29</v>
      </c>
      <c r="L57" s="4" t="s">
        <v>73</v>
      </c>
      <c r="M57" s="4">
        <v>1</v>
      </c>
    </row>
    <row r="58" spans="1:13" ht="90" customHeight="1" x14ac:dyDescent="0.3">
      <c r="A58" s="8"/>
      <c r="B58" s="7"/>
      <c r="C58" s="7"/>
      <c r="D58" s="7"/>
      <c r="E58" s="7"/>
      <c r="F58" s="7"/>
      <c r="G58" s="7"/>
      <c r="H58" s="7"/>
      <c r="I58" s="1" t="s">
        <v>97</v>
      </c>
      <c r="J58" s="1">
        <v>0.97092235088348389</v>
      </c>
      <c r="K58" s="1" t="s">
        <v>29</v>
      </c>
      <c r="L58" s="1" t="s">
        <v>98</v>
      </c>
      <c r="M58" s="1">
        <v>2</v>
      </c>
    </row>
    <row r="59" spans="1:13" ht="90" customHeight="1" x14ac:dyDescent="0.3">
      <c r="A59" s="8"/>
      <c r="B59" s="7"/>
      <c r="C59" s="7"/>
      <c r="D59" s="7"/>
      <c r="E59" s="7"/>
      <c r="F59" s="7"/>
      <c r="G59" s="7"/>
      <c r="H59" s="7"/>
      <c r="I59" s="2" t="s">
        <v>99</v>
      </c>
      <c r="J59" s="2">
        <v>0.93659758567810059</v>
      </c>
      <c r="K59" s="2" t="s">
        <v>29</v>
      </c>
      <c r="L59" s="2" t="s">
        <v>98</v>
      </c>
      <c r="M59" s="2">
        <v>1</v>
      </c>
    </row>
    <row r="60" spans="1:13" ht="90" customHeight="1" x14ac:dyDescent="0.3">
      <c r="A60" s="8"/>
      <c r="B60" s="7"/>
      <c r="C60" s="7"/>
      <c r="D60" s="7"/>
      <c r="E60" s="7"/>
      <c r="F60" s="7"/>
      <c r="G60" s="7"/>
      <c r="H60" s="7"/>
      <c r="I60" s="1" t="s">
        <v>100</v>
      </c>
      <c r="J60" s="1">
        <v>0.93143422147448274</v>
      </c>
      <c r="K60" s="1" t="s">
        <v>29</v>
      </c>
      <c r="L60" s="1" t="s">
        <v>98</v>
      </c>
      <c r="M60" s="1">
        <v>3</v>
      </c>
    </row>
    <row r="61" spans="1:13" ht="90" customHeight="1" x14ac:dyDescent="0.3">
      <c r="A61" s="8"/>
      <c r="B61" s="7"/>
      <c r="C61" s="7"/>
      <c r="D61" s="7"/>
      <c r="E61" s="7"/>
      <c r="F61" s="7"/>
      <c r="G61" s="7"/>
      <c r="H61" s="7"/>
      <c r="I61" s="1"/>
      <c r="J61" s="1"/>
      <c r="K61" s="1"/>
      <c r="L61" s="1"/>
      <c r="M61" s="1"/>
    </row>
    <row r="62" spans="1:13" ht="90" customHeight="1" x14ac:dyDescent="0.3">
      <c r="A62" s="8">
        <v>18</v>
      </c>
      <c r="B62" s="8" t="s">
        <v>101</v>
      </c>
      <c r="C62" s="8" t="s">
        <v>102</v>
      </c>
      <c r="D62" s="8" t="s">
        <v>16</v>
      </c>
      <c r="E62" s="6" t="s">
        <v>24</v>
      </c>
      <c r="F62" s="6" t="s">
        <v>25</v>
      </c>
      <c r="G62" s="8" t="s">
        <v>103</v>
      </c>
      <c r="H62" s="8" t="s">
        <v>104</v>
      </c>
      <c r="I62" s="4" t="s">
        <v>105</v>
      </c>
      <c r="J62" s="4">
        <v>0.9727787971496582</v>
      </c>
      <c r="K62" s="4" t="s">
        <v>29</v>
      </c>
      <c r="L62" s="4" t="s">
        <v>102</v>
      </c>
      <c r="M62" s="4">
        <v>1</v>
      </c>
    </row>
    <row r="63" spans="1:13" ht="90" customHeight="1" x14ac:dyDescent="0.3">
      <c r="A63" s="8"/>
      <c r="B63" s="7"/>
      <c r="C63" s="7"/>
      <c r="D63" s="7"/>
      <c r="E63" s="7"/>
      <c r="F63" s="7"/>
      <c r="G63" s="7"/>
      <c r="H63" s="7"/>
      <c r="I63" s="1"/>
      <c r="J63" s="1"/>
      <c r="K63" s="1"/>
      <c r="L63" s="1"/>
      <c r="M63" s="1"/>
    </row>
    <row r="64" spans="1:13" ht="90" customHeight="1" x14ac:dyDescent="0.3">
      <c r="A64" s="8"/>
      <c r="B64" s="7"/>
      <c r="C64" s="7"/>
      <c r="D64" s="7"/>
      <c r="E64" s="7"/>
      <c r="F64" s="7"/>
      <c r="G64" s="7"/>
      <c r="H64" s="7"/>
      <c r="I64" s="1"/>
      <c r="J64" s="1"/>
      <c r="K64" s="1"/>
      <c r="L64" s="1"/>
      <c r="M64" s="1"/>
    </row>
    <row r="65" spans="1:13" ht="90" customHeight="1" x14ac:dyDescent="0.3">
      <c r="A65" s="8"/>
      <c r="B65" s="7"/>
      <c r="C65" s="7"/>
      <c r="D65" s="7"/>
      <c r="E65" s="7"/>
      <c r="F65" s="7"/>
      <c r="G65" s="7"/>
      <c r="H65" s="7"/>
      <c r="I65" s="1"/>
      <c r="J65" s="1"/>
      <c r="K65" s="1"/>
      <c r="L65" s="1"/>
      <c r="M65" s="1"/>
    </row>
    <row r="66" spans="1:13" ht="90" customHeight="1" x14ac:dyDescent="0.3">
      <c r="A66" s="8"/>
      <c r="B66" s="7"/>
      <c r="C66" s="7"/>
      <c r="D66" s="7"/>
      <c r="E66" s="7"/>
      <c r="F66" s="7"/>
      <c r="G66" s="7"/>
      <c r="H66" s="7"/>
      <c r="I66" s="1"/>
      <c r="J66" s="1"/>
      <c r="K66" s="1"/>
      <c r="L66" s="1"/>
      <c r="M66" s="1"/>
    </row>
    <row r="67" spans="1:13" ht="90" customHeight="1" x14ac:dyDescent="0.3">
      <c r="A67" s="8">
        <v>19</v>
      </c>
      <c r="B67" s="8" t="s">
        <v>93</v>
      </c>
      <c r="C67" s="8" t="s">
        <v>73</v>
      </c>
      <c r="D67" s="8" t="s">
        <v>16</v>
      </c>
      <c r="E67" s="6" t="s">
        <v>24</v>
      </c>
      <c r="F67" s="6" t="s">
        <v>25</v>
      </c>
      <c r="G67" s="8" t="s">
        <v>106</v>
      </c>
      <c r="H67" s="8" t="s">
        <v>95</v>
      </c>
      <c r="I67" s="4" t="s">
        <v>96</v>
      </c>
      <c r="J67" s="4">
        <v>0.99937743350321862</v>
      </c>
      <c r="K67" s="4" t="s">
        <v>29</v>
      </c>
      <c r="L67" s="4" t="s">
        <v>73</v>
      </c>
      <c r="M67" s="4">
        <v>1</v>
      </c>
    </row>
    <row r="68" spans="1:13" ht="90" customHeight="1" x14ac:dyDescent="0.3">
      <c r="A68" s="8"/>
      <c r="B68" s="7"/>
      <c r="C68" s="7"/>
      <c r="D68" s="7"/>
      <c r="E68" s="7"/>
      <c r="F68" s="7"/>
      <c r="G68" s="7"/>
      <c r="H68" s="7"/>
      <c r="I68" s="1" t="s">
        <v>97</v>
      </c>
      <c r="J68" s="1">
        <v>0.97092235088348389</v>
      </c>
      <c r="K68" s="1" t="s">
        <v>29</v>
      </c>
      <c r="L68" s="1" t="s">
        <v>98</v>
      </c>
      <c r="M68" s="1">
        <v>2</v>
      </c>
    </row>
    <row r="69" spans="1:13" ht="90" customHeight="1" x14ac:dyDescent="0.3">
      <c r="A69" s="8"/>
      <c r="B69" s="7"/>
      <c r="C69" s="7"/>
      <c r="D69" s="7"/>
      <c r="E69" s="7"/>
      <c r="F69" s="7"/>
      <c r="G69" s="7"/>
      <c r="H69" s="7"/>
      <c r="I69" s="2" t="s">
        <v>99</v>
      </c>
      <c r="J69" s="2">
        <v>0.93659764528274536</v>
      </c>
      <c r="K69" s="2" t="s">
        <v>29</v>
      </c>
      <c r="L69" s="2" t="s">
        <v>98</v>
      </c>
      <c r="M69" s="2">
        <v>1</v>
      </c>
    </row>
    <row r="70" spans="1:13" ht="90" customHeight="1" x14ac:dyDescent="0.3">
      <c r="A70" s="8"/>
      <c r="B70" s="7"/>
      <c r="C70" s="7"/>
      <c r="D70" s="7"/>
      <c r="E70" s="7"/>
      <c r="F70" s="7"/>
      <c r="G70" s="7"/>
      <c r="H70" s="7"/>
      <c r="I70" s="1" t="s">
        <v>100</v>
      </c>
      <c r="J70" s="1">
        <v>0.93143422147448274</v>
      </c>
      <c r="K70" s="1" t="s">
        <v>29</v>
      </c>
      <c r="L70" s="1" t="s">
        <v>98</v>
      </c>
      <c r="M70" s="1">
        <v>3</v>
      </c>
    </row>
    <row r="71" spans="1:13" ht="90" customHeight="1" x14ac:dyDescent="0.3">
      <c r="A71" s="8"/>
      <c r="B71" s="7"/>
      <c r="C71" s="7"/>
      <c r="D71" s="7"/>
      <c r="E71" s="7"/>
      <c r="F71" s="7"/>
      <c r="G71" s="7"/>
      <c r="H71" s="7"/>
      <c r="I71" s="1"/>
      <c r="J71" s="1"/>
      <c r="K71" s="1"/>
      <c r="L71" s="1"/>
      <c r="M71" s="1"/>
    </row>
    <row r="72" spans="1:13" ht="90" customHeight="1" x14ac:dyDescent="0.3">
      <c r="A72" s="8">
        <v>20</v>
      </c>
      <c r="B72" s="8" t="s">
        <v>107</v>
      </c>
      <c r="C72" s="8" t="s">
        <v>108</v>
      </c>
      <c r="D72" s="8" t="s">
        <v>109</v>
      </c>
      <c r="E72" s="6" t="s">
        <v>24</v>
      </c>
      <c r="F72" s="6" t="s">
        <v>25</v>
      </c>
      <c r="G72" s="8" t="s">
        <v>110</v>
      </c>
      <c r="H72" s="8" t="s">
        <v>111</v>
      </c>
      <c r="I72" s="4" t="s">
        <v>112</v>
      </c>
      <c r="J72" s="4">
        <v>0.99998664855957031</v>
      </c>
      <c r="K72" s="4" t="s">
        <v>29</v>
      </c>
      <c r="L72" s="4" t="s">
        <v>108</v>
      </c>
      <c r="M72" s="4">
        <v>2</v>
      </c>
    </row>
    <row r="73" spans="1:13" ht="90" customHeight="1" x14ac:dyDescent="0.3">
      <c r="A73" s="8"/>
      <c r="B73" s="7"/>
      <c r="C73" s="7"/>
      <c r="D73" s="7"/>
      <c r="E73" s="7"/>
      <c r="F73" s="7"/>
      <c r="G73" s="7"/>
      <c r="H73" s="7"/>
      <c r="I73" s="2" t="s">
        <v>113</v>
      </c>
      <c r="J73" s="2">
        <v>0.99953627586364746</v>
      </c>
      <c r="K73" s="2" t="s">
        <v>29</v>
      </c>
      <c r="L73" s="2" t="s">
        <v>114</v>
      </c>
      <c r="M73" s="2">
        <v>19</v>
      </c>
    </row>
    <row r="74" spans="1:13" ht="90" customHeight="1" x14ac:dyDescent="0.3">
      <c r="A74" s="8"/>
      <c r="B74" s="7"/>
      <c r="C74" s="7"/>
      <c r="D74" s="7"/>
      <c r="E74" s="7"/>
      <c r="F74" s="7"/>
      <c r="G74" s="7"/>
      <c r="H74" s="7"/>
      <c r="I74" s="1" t="s">
        <v>115</v>
      </c>
      <c r="J74" s="1">
        <v>0.93600666522979736</v>
      </c>
      <c r="K74" s="1" t="s">
        <v>29</v>
      </c>
      <c r="L74" s="1" t="s">
        <v>116</v>
      </c>
      <c r="M74" s="1">
        <v>18</v>
      </c>
    </row>
    <row r="75" spans="1:13" ht="90" customHeight="1" x14ac:dyDescent="0.3">
      <c r="A75" s="8"/>
      <c r="B75" s="7"/>
      <c r="C75" s="7"/>
      <c r="D75" s="7"/>
      <c r="E75" s="7"/>
      <c r="F75" s="7"/>
      <c r="G75" s="7"/>
      <c r="H75" s="7"/>
      <c r="I75" s="1"/>
      <c r="J75" s="1"/>
      <c r="K75" s="1"/>
      <c r="L75" s="1"/>
      <c r="M75" s="1"/>
    </row>
    <row r="76" spans="1:13" ht="90" customHeight="1" x14ac:dyDescent="0.3">
      <c r="A76" s="8"/>
      <c r="B76" s="7"/>
      <c r="C76" s="7"/>
      <c r="D76" s="7"/>
      <c r="E76" s="7"/>
      <c r="F76" s="7"/>
      <c r="G76" s="7"/>
      <c r="H76" s="7"/>
      <c r="I76" s="1"/>
      <c r="J76" s="1"/>
      <c r="K76" s="1"/>
      <c r="L76" s="1"/>
      <c r="M76" s="1"/>
    </row>
    <row r="77" spans="1:13" ht="90" customHeight="1" x14ac:dyDescent="0.3">
      <c r="A77" s="8">
        <v>22</v>
      </c>
      <c r="B77" s="8" t="s">
        <v>117</v>
      </c>
      <c r="C77" s="8" t="s">
        <v>73</v>
      </c>
      <c r="D77" s="8" t="s">
        <v>16</v>
      </c>
      <c r="E77" s="6" t="s">
        <v>24</v>
      </c>
      <c r="F77" s="6" t="s">
        <v>25</v>
      </c>
      <c r="G77" s="8" t="s">
        <v>118</v>
      </c>
      <c r="H77" s="8" t="s">
        <v>119</v>
      </c>
      <c r="I77" s="4" t="s">
        <v>96</v>
      </c>
      <c r="J77" s="4">
        <v>0.96845165835329061</v>
      </c>
      <c r="K77" s="4" t="s">
        <v>29</v>
      </c>
      <c r="L77" s="4" t="s">
        <v>73</v>
      </c>
      <c r="M77" s="4">
        <v>1</v>
      </c>
    </row>
    <row r="78" spans="1:13" ht="90" customHeight="1" x14ac:dyDescent="0.3">
      <c r="A78" s="8"/>
      <c r="B78" s="7"/>
      <c r="C78" s="7"/>
      <c r="D78" s="7"/>
      <c r="E78" s="7"/>
      <c r="F78" s="7"/>
      <c r="G78" s="7"/>
      <c r="H78" s="7"/>
      <c r="I78" s="1" t="s">
        <v>99</v>
      </c>
      <c r="J78" s="1">
        <v>0.89161121845245361</v>
      </c>
      <c r="K78" s="1" t="s">
        <v>29</v>
      </c>
      <c r="L78" s="1" t="s">
        <v>98</v>
      </c>
      <c r="M78" s="1">
        <v>1</v>
      </c>
    </row>
    <row r="79" spans="1:13" ht="90" customHeight="1" x14ac:dyDescent="0.3">
      <c r="A79" s="8"/>
      <c r="B79" s="7"/>
      <c r="C79" s="7"/>
      <c r="D79" s="7"/>
      <c r="E79" s="7"/>
      <c r="F79" s="7"/>
      <c r="G79" s="7"/>
      <c r="H79" s="7"/>
      <c r="I79" s="1" t="s">
        <v>120</v>
      </c>
      <c r="J79" s="1">
        <v>0.81834977865219116</v>
      </c>
      <c r="K79" s="1" t="s">
        <v>29</v>
      </c>
      <c r="L79" s="1" t="s">
        <v>121</v>
      </c>
      <c r="M79" s="1">
        <v>1</v>
      </c>
    </row>
    <row r="80" spans="1:13" ht="90" customHeight="1" x14ac:dyDescent="0.3">
      <c r="A80" s="8"/>
      <c r="B80" s="7"/>
      <c r="C80" s="7"/>
      <c r="D80" s="7"/>
      <c r="E80" s="7"/>
      <c r="F80" s="7"/>
      <c r="G80" s="7"/>
      <c r="H80" s="7"/>
      <c r="I80" s="1"/>
      <c r="J80" s="1"/>
      <c r="K80" s="1"/>
      <c r="L80" s="1"/>
      <c r="M80" s="1"/>
    </row>
    <row r="81" spans="1:13" ht="90" customHeight="1" x14ac:dyDescent="0.3">
      <c r="A81" s="8"/>
      <c r="B81" s="7"/>
      <c r="C81" s="7"/>
      <c r="D81" s="7"/>
      <c r="E81" s="7"/>
      <c r="F81" s="7"/>
      <c r="G81" s="7"/>
      <c r="H81" s="7"/>
      <c r="I81" s="1"/>
      <c r="J81" s="1"/>
      <c r="K81" s="1"/>
      <c r="L81" s="1"/>
      <c r="M81" s="1"/>
    </row>
    <row r="82" spans="1:13" ht="90" customHeight="1" x14ac:dyDescent="0.3">
      <c r="A82" s="8">
        <v>24</v>
      </c>
      <c r="B82" s="8" t="s">
        <v>122</v>
      </c>
      <c r="C82" s="8" t="s">
        <v>123</v>
      </c>
      <c r="D82" s="8" t="s">
        <v>124</v>
      </c>
      <c r="E82" s="6" t="s">
        <v>17</v>
      </c>
      <c r="F82" s="6" t="s">
        <v>18</v>
      </c>
      <c r="G82" s="8" t="s">
        <v>125</v>
      </c>
      <c r="H82" s="8" t="s">
        <v>126</v>
      </c>
      <c r="I82" s="2" t="s">
        <v>127</v>
      </c>
      <c r="J82" s="2">
        <v>0.99677354097366333</v>
      </c>
      <c r="K82" s="2" t="s">
        <v>29</v>
      </c>
      <c r="L82" s="2" t="s">
        <v>128</v>
      </c>
      <c r="M82" s="2">
        <v>863</v>
      </c>
    </row>
    <row r="83" spans="1:13" ht="90" customHeight="1" x14ac:dyDescent="0.3">
      <c r="A83" s="8"/>
      <c r="B83" s="7"/>
      <c r="C83" s="7"/>
      <c r="D83" s="7"/>
      <c r="E83" s="7"/>
      <c r="F83" s="7"/>
      <c r="G83" s="7"/>
      <c r="H83" s="7"/>
      <c r="I83" s="2" t="s">
        <v>129</v>
      </c>
      <c r="J83" s="2">
        <v>0.99562078714370728</v>
      </c>
      <c r="K83" s="2" t="s">
        <v>29</v>
      </c>
      <c r="L83" s="2" t="s">
        <v>130</v>
      </c>
      <c r="M83" s="2">
        <v>561</v>
      </c>
    </row>
    <row r="84" spans="1:13" ht="90" customHeight="1" x14ac:dyDescent="0.3">
      <c r="A84" s="8"/>
      <c r="B84" s="7"/>
      <c r="C84" s="7"/>
      <c r="D84" s="7"/>
      <c r="E84" s="7"/>
      <c r="F84" s="7"/>
      <c r="G84" s="7"/>
      <c r="H84" s="7"/>
      <c r="I84" s="1" t="s">
        <v>131</v>
      </c>
      <c r="J84" s="1">
        <v>0.99497425556182861</v>
      </c>
      <c r="K84" s="1" t="s">
        <v>65</v>
      </c>
      <c r="L84" s="1" t="s">
        <v>132</v>
      </c>
      <c r="M84" s="1">
        <v>4</v>
      </c>
    </row>
    <row r="85" spans="1:13" ht="90" customHeight="1" x14ac:dyDescent="0.3">
      <c r="A85" s="8"/>
      <c r="B85" s="7"/>
      <c r="C85" s="7"/>
      <c r="D85" s="7"/>
      <c r="E85" s="7"/>
      <c r="F85" s="7"/>
      <c r="G85" s="7"/>
      <c r="H85" s="7"/>
      <c r="I85" s="1" t="s">
        <v>133</v>
      </c>
      <c r="J85" s="1">
        <v>0.99406564235687256</v>
      </c>
      <c r="K85" s="1" t="s">
        <v>29</v>
      </c>
      <c r="L85" s="1" t="s">
        <v>128</v>
      </c>
      <c r="M85" s="1">
        <v>37</v>
      </c>
    </row>
    <row r="86" spans="1:13" ht="90" customHeight="1" x14ac:dyDescent="0.3">
      <c r="A86" s="8"/>
      <c r="B86" s="7"/>
      <c r="C86" s="7"/>
      <c r="D86" s="7"/>
      <c r="E86" s="7"/>
      <c r="F86" s="7"/>
      <c r="G86" s="7"/>
      <c r="H86" s="7"/>
      <c r="I86" s="1" t="s">
        <v>134</v>
      </c>
      <c r="J86" s="1">
        <v>0.99283772706985474</v>
      </c>
      <c r="K86" s="1" t="s">
        <v>29</v>
      </c>
      <c r="L86" s="1" t="s">
        <v>135</v>
      </c>
      <c r="M86" s="1">
        <v>9</v>
      </c>
    </row>
    <row r="87" spans="1:13" ht="90" customHeight="1" x14ac:dyDescent="0.3">
      <c r="A87" s="8">
        <v>32</v>
      </c>
      <c r="B87" s="8" t="s">
        <v>136</v>
      </c>
      <c r="C87" s="8" t="s">
        <v>137</v>
      </c>
      <c r="D87" s="8" t="s">
        <v>138</v>
      </c>
      <c r="E87" s="6" t="s">
        <v>24</v>
      </c>
      <c r="F87" s="6" t="s">
        <v>25</v>
      </c>
      <c r="G87" s="8" t="s">
        <v>139</v>
      </c>
      <c r="H87" s="8" t="s">
        <v>140</v>
      </c>
      <c r="I87" s="4" t="s">
        <v>141</v>
      </c>
      <c r="J87" s="4">
        <v>0.99996519088745117</v>
      </c>
      <c r="K87" s="4" t="s">
        <v>29</v>
      </c>
      <c r="L87" s="4" t="s">
        <v>137</v>
      </c>
      <c r="M87" s="4">
        <v>24</v>
      </c>
    </row>
    <row r="88" spans="1:13" ht="90" customHeight="1" x14ac:dyDescent="0.3">
      <c r="A88" s="8"/>
      <c r="B88" s="7"/>
      <c r="C88" s="7"/>
      <c r="D88" s="7"/>
      <c r="E88" s="7"/>
      <c r="F88" s="7"/>
      <c r="G88" s="7"/>
      <c r="H88" s="7"/>
      <c r="I88" s="2" t="s">
        <v>142</v>
      </c>
      <c r="J88" s="2">
        <v>0.99995267391204834</v>
      </c>
      <c r="K88" s="2" t="s">
        <v>29</v>
      </c>
      <c r="L88" s="2" t="s">
        <v>137</v>
      </c>
      <c r="M88" s="2">
        <v>28</v>
      </c>
    </row>
    <row r="89" spans="1:13" ht="90" customHeight="1" x14ac:dyDescent="0.3">
      <c r="A89" s="8"/>
      <c r="B89" s="7"/>
      <c r="C89" s="7"/>
      <c r="D89" s="7"/>
      <c r="E89" s="7"/>
      <c r="F89" s="7"/>
      <c r="G89" s="7"/>
      <c r="H89" s="7"/>
      <c r="I89" s="2" t="s">
        <v>143</v>
      </c>
      <c r="J89" s="2">
        <v>0.99994933605194092</v>
      </c>
      <c r="K89" s="2" t="s">
        <v>29</v>
      </c>
      <c r="L89" s="2" t="s">
        <v>137</v>
      </c>
      <c r="M89" s="2">
        <v>2</v>
      </c>
    </row>
    <row r="90" spans="1:13" ht="90" customHeight="1" x14ac:dyDescent="0.3">
      <c r="A90" s="8"/>
      <c r="B90" s="7"/>
      <c r="C90" s="7"/>
      <c r="D90" s="7"/>
      <c r="E90" s="7"/>
      <c r="F90" s="7"/>
      <c r="G90" s="7"/>
      <c r="H90" s="7"/>
      <c r="I90" s="1" t="s">
        <v>144</v>
      </c>
      <c r="J90" s="1">
        <v>0.99799430370330811</v>
      </c>
      <c r="K90" s="1" t="s">
        <v>29</v>
      </c>
      <c r="L90" s="1" t="s">
        <v>137</v>
      </c>
      <c r="M90" s="1">
        <v>78</v>
      </c>
    </row>
    <row r="91" spans="1:13" ht="90" customHeight="1" x14ac:dyDescent="0.3">
      <c r="A91" s="8"/>
      <c r="B91" s="7"/>
      <c r="C91" s="7"/>
      <c r="D91" s="7"/>
      <c r="E91" s="7"/>
      <c r="F91" s="7"/>
      <c r="G91" s="7"/>
      <c r="H91" s="7"/>
      <c r="I91" s="1"/>
      <c r="J91" s="1"/>
      <c r="K91" s="1"/>
      <c r="L91" s="1"/>
      <c r="M91" s="1"/>
    </row>
    <row r="92" spans="1:13" ht="90" customHeight="1" x14ac:dyDescent="0.3">
      <c r="A92" s="8">
        <v>33</v>
      </c>
      <c r="B92" s="8" t="s">
        <v>145</v>
      </c>
      <c r="C92" s="8" t="s">
        <v>137</v>
      </c>
      <c r="D92" s="8" t="s">
        <v>146</v>
      </c>
      <c r="E92" s="6" t="s">
        <v>24</v>
      </c>
      <c r="F92" s="6" t="s">
        <v>25</v>
      </c>
      <c r="G92" s="8" t="s">
        <v>147</v>
      </c>
      <c r="H92" s="8" t="s">
        <v>148</v>
      </c>
      <c r="I92" s="4" t="s">
        <v>149</v>
      </c>
      <c r="J92" s="4">
        <v>0.99999487400054932</v>
      </c>
      <c r="K92" s="4" t="s">
        <v>29</v>
      </c>
      <c r="L92" s="4" t="s">
        <v>137</v>
      </c>
      <c r="M92" s="4">
        <v>61</v>
      </c>
    </row>
    <row r="93" spans="1:13" ht="90" customHeight="1" x14ac:dyDescent="0.3">
      <c r="A93" s="8"/>
      <c r="B93" s="7"/>
      <c r="C93" s="7"/>
      <c r="D93" s="7"/>
      <c r="E93" s="7"/>
      <c r="F93" s="7"/>
      <c r="G93" s="7"/>
      <c r="H93" s="7"/>
      <c r="I93" s="4" t="s">
        <v>150</v>
      </c>
      <c r="J93" s="4">
        <v>0.99998116493225098</v>
      </c>
      <c r="K93" s="4" t="s">
        <v>29</v>
      </c>
      <c r="L93" s="4" t="s">
        <v>137</v>
      </c>
      <c r="M93" s="4">
        <v>62</v>
      </c>
    </row>
    <row r="94" spans="1:13" ht="90" customHeight="1" x14ac:dyDescent="0.3">
      <c r="A94" s="8"/>
      <c r="B94" s="7"/>
      <c r="C94" s="7"/>
      <c r="D94" s="7"/>
      <c r="E94" s="7"/>
      <c r="F94" s="7"/>
      <c r="G94" s="7"/>
      <c r="H94" s="7"/>
      <c r="I94" s="1"/>
      <c r="J94" s="1"/>
      <c r="K94" s="1"/>
      <c r="L94" s="1"/>
      <c r="M94" s="1"/>
    </row>
    <row r="95" spans="1:13" ht="90" customHeight="1" x14ac:dyDescent="0.3">
      <c r="A95" s="8"/>
      <c r="B95" s="7"/>
      <c r="C95" s="7"/>
      <c r="D95" s="7"/>
      <c r="E95" s="7"/>
      <c r="F95" s="7"/>
      <c r="G95" s="7"/>
      <c r="H95" s="7"/>
      <c r="I95" s="1"/>
      <c r="J95" s="1"/>
      <c r="K95" s="1"/>
      <c r="L95" s="1"/>
      <c r="M95" s="1"/>
    </row>
    <row r="96" spans="1:13" ht="90" customHeight="1" x14ac:dyDescent="0.3">
      <c r="A96" s="8"/>
      <c r="B96" s="7"/>
      <c r="C96" s="7"/>
      <c r="D96" s="7"/>
      <c r="E96" s="7"/>
      <c r="F96" s="7"/>
      <c r="G96" s="7"/>
      <c r="H96" s="7"/>
      <c r="I96" s="1"/>
      <c r="J96" s="1"/>
      <c r="K96" s="1"/>
      <c r="L96" s="1"/>
      <c r="M96" s="1"/>
    </row>
    <row r="97" spans="1:13" ht="90" customHeight="1" x14ac:dyDescent="0.3">
      <c r="A97" s="8">
        <v>34</v>
      </c>
      <c r="B97" s="8" t="s">
        <v>151</v>
      </c>
      <c r="C97" s="8" t="s">
        <v>152</v>
      </c>
      <c r="D97" s="8" t="s">
        <v>16</v>
      </c>
      <c r="E97" s="6" t="s">
        <v>24</v>
      </c>
      <c r="F97" s="6" t="s">
        <v>25</v>
      </c>
      <c r="G97" s="8" t="s">
        <v>153</v>
      </c>
      <c r="H97" s="8" t="s">
        <v>154</v>
      </c>
      <c r="I97" s="1" t="s">
        <v>155</v>
      </c>
      <c r="J97" s="1">
        <v>0.99997568130493164</v>
      </c>
      <c r="K97" s="1" t="s">
        <v>65</v>
      </c>
      <c r="L97" s="1" t="s">
        <v>156</v>
      </c>
      <c r="M97" s="1">
        <v>2</v>
      </c>
    </row>
    <row r="98" spans="1:13" ht="90" customHeight="1" x14ac:dyDescent="0.3">
      <c r="A98" s="8"/>
      <c r="B98" s="7"/>
      <c r="C98" s="7"/>
      <c r="D98" s="7"/>
      <c r="E98" s="7"/>
      <c r="F98" s="7"/>
      <c r="G98" s="7"/>
      <c r="H98" s="7"/>
      <c r="I98" s="2" t="s">
        <v>157</v>
      </c>
      <c r="J98" s="2">
        <v>0.99995911121368408</v>
      </c>
      <c r="K98" s="2" t="s">
        <v>29</v>
      </c>
      <c r="L98" s="2" t="s">
        <v>137</v>
      </c>
      <c r="M98" s="2">
        <v>11</v>
      </c>
    </row>
    <row r="99" spans="1:13" ht="90" customHeight="1" x14ac:dyDescent="0.3">
      <c r="A99" s="8"/>
      <c r="B99" s="7"/>
      <c r="C99" s="7"/>
      <c r="D99" s="7"/>
      <c r="E99" s="7"/>
      <c r="F99" s="7"/>
      <c r="G99" s="7"/>
      <c r="H99" s="7"/>
      <c r="I99" s="2" t="s">
        <v>158</v>
      </c>
      <c r="J99" s="2">
        <v>0.99879622459411621</v>
      </c>
      <c r="K99" s="2" t="s">
        <v>29</v>
      </c>
      <c r="L99" s="2" t="s">
        <v>137</v>
      </c>
      <c r="M99" s="2">
        <v>14</v>
      </c>
    </row>
    <row r="100" spans="1:13" ht="90" customHeight="1" x14ac:dyDescent="0.3">
      <c r="A100" s="8"/>
      <c r="B100" s="7"/>
      <c r="C100" s="7"/>
      <c r="D100" s="7"/>
      <c r="E100" s="7"/>
      <c r="F100" s="7"/>
      <c r="G100" s="7"/>
      <c r="H100" s="7"/>
      <c r="I100" s="4" t="s">
        <v>159</v>
      </c>
      <c r="J100" s="4">
        <v>0.9974486231803894</v>
      </c>
      <c r="K100" s="4" t="s">
        <v>29</v>
      </c>
      <c r="L100" s="4" t="s">
        <v>152</v>
      </c>
      <c r="M100" s="4">
        <v>1</v>
      </c>
    </row>
    <row r="101" spans="1:13" ht="90" customHeight="1" x14ac:dyDescent="0.3">
      <c r="A101" s="8"/>
      <c r="B101" s="7"/>
      <c r="C101" s="7"/>
      <c r="D101" s="7"/>
      <c r="E101" s="7"/>
      <c r="F101" s="7"/>
      <c r="G101" s="7"/>
      <c r="H101" s="7"/>
      <c r="I101" s="1" t="s">
        <v>160</v>
      </c>
      <c r="J101" s="1">
        <v>0.9974486231803894</v>
      </c>
      <c r="K101" s="1" t="s">
        <v>65</v>
      </c>
      <c r="L101" s="1" t="s">
        <v>161</v>
      </c>
      <c r="M101" s="1">
        <v>1</v>
      </c>
    </row>
    <row r="102" spans="1:13" ht="90" customHeight="1" x14ac:dyDescent="0.3">
      <c r="A102" s="8">
        <v>35</v>
      </c>
      <c r="B102" s="8" t="s">
        <v>162</v>
      </c>
      <c r="C102" s="8" t="s">
        <v>163</v>
      </c>
      <c r="D102" s="8" t="s">
        <v>164</v>
      </c>
      <c r="E102" s="6" t="s">
        <v>24</v>
      </c>
      <c r="F102" s="6" t="s">
        <v>25</v>
      </c>
      <c r="G102" s="8" t="s">
        <v>165</v>
      </c>
      <c r="H102" s="8" t="s">
        <v>166</v>
      </c>
      <c r="I102" s="4" t="s">
        <v>167</v>
      </c>
      <c r="J102" s="4">
        <v>0.99999916553497314</v>
      </c>
      <c r="K102" s="4" t="s">
        <v>29</v>
      </c>
      <c r="L102" s="4" t="s">
        <v>163</v>
      </c>
      <c r="M102" s="4">
        <v>30</v>
      </c>
    </row>
    <row r="103" spans="1:13" ht="90" customHeight="1" x14ac:dyDescent="0.3">
      <c r="A103" s="8"/>
      <c r="B103" s="7"/>
      <c r="C103" s="7"/>
      <c r="D103" s="7"/>
      <c r="E103" s="7"/>
      <c r="F103" s="7"/>
      <c r="G103" s="7"/>
      <c r="H103" s="7"/>
      <c r="I103" s="2" t="s">
        <v>168</v>
      </c>
      <c r="J103" s="2">
        <v>0.99972373247146606</v>
      </c>
      <c r="K103" s="2" t="s">
        <v>29</v>
      </c>
      <c r="L103" s="2" t="s">
        <v>163</v>
      </c>
      <c r="M103" s="2">
        <v>41</v>
      </c>
    </row>
    <row r="104" spans="1:13" ht="90" customHeight="1" x14ac:dyDescent="0.3">
      <c r="A104" s="8"/>
      <c r="B104" s="7"/>
      <c r="C104" s="7"/>
      <c r="D104" s="7"/>
      <c r="E104" s="7"/>
      <c r="F104" s="7"/>
      <c r="G104" s="7"/>
      <c r="H104" s="7"/>
      <c r="I104" s="2" t="s">
        <v>169</v>
      </c>
      <c r="J104" s="2">
        <v>0.99881833791732788</v>
      </c>
      <c r="K104" s="2" t="s">
        <v>29</v>
      </c>
      <c r="L104" s="2" t="s">
        <v>163</v>
      </c>
      <c r="M104" s="2">
        <v>127</v>
      </c>
    </row>
    <row r="105" spans="1:13" ht="90" customHeight="1" x14ac:dyDescent="0.3">
      <c r="A105" s="8"/>
      <c r="B105" s="7"/>
      <c r="C105" s="7"/>
      <c r="D105" s="7"/>
      <c r="E105" s="7"/>
      <c r="F105" s="7"/>
      <c r="G105" s="7"/>
      <c r="H105" s="7"/>
      <c r="I105" s="1" t="s">
        <v>170</v>
      </c>
      <c r="J105" s="1">
        <v>0.99835497140884399</v>
      </c>
      <c r="K105" s="1" t="s">
        <v>29</v>
      </c>
      <c r="L105" s="1" t="s">
        <v>163</v>
      </c>
      <c r="M105" s="1">
        <v>126</v>
      </c>
    </row>
    <row r="106" spans="1:13" ht="90" customHeight="1" x14ac:dyDescent="0.3">
      <c r="A106" s="8"/>
      <c r="B106" s="7"/>
      <c r="C106" s="7"/>
      <c r="D106" s="7"/>
      <c r="E106" s="7"/>
      <c r="F106" s="7"/>
      <c r="G106" s="7"/>
      <c r="H106" s="7"/>
      <c r="I106" s="1" t="s">
        <v>171</v>
      </c>
      <c r="J106" s="1">
        <v>0.9967610239982605</v>
      </c>
      <c r="K106" s="1" t="s">
        <v>29</v>
      </c>
      <c r="L106" s="1" t="s">
        <v>163</v>
      </c>
      <c r="M106" s="1">
        <v>31</v>
      </c>
    </row>
    <row r="107" spans="1:13" ht="90" customHeight="1" x14ac:dyDescent="0.3">
      <c r="A107" s="8">
        <v>36</v>
      </c>
      <c r="B107" s="8" t="s">
        <v>172</v>
      </c>
      <c r="C107" s="8" t="s">
        <v>163</v>
      </c>
      <c r="D107" s="8" t="s">
        <v>173</v>
      </c>
      <c r="E107" s="6" t="s">
        <v>24</v>
      </c>
      <c r="F107" s="6" t="s">
        <v>25</v>
      </c>
      <c r="G107" s="8" t="s">
        <v>174</v>
      </c>
      <c r="H107" s="8" t="s">
        <v>175</v>
      </c>
      <c r="I107" s="4" t="s">
        <v>176</v>
      </c>
      <c r="J107" s="4">
        <v>0.99999868869781494</v>
      </c>
      <c r="K107" s="4" t="s">
        <v>29</v>
      </c>
      <c r="L107" s="4" t="s">
        <v>163</v>
      </c>
      <c r="M107" s="4">
        <v>7</v>
      </c>
    </row>
    <row r="108" spans="1:13" ht="90" customHeight="1" x14ac:dyDescent="0.3">
      <c r="A108" s="8"/>
      <c r="B108" s="7"/>
      <c r="C108" s="7"/>
      <c r="D108" s="7"/>
      <c r="E108" s="7"/>
      <c r="F108" s="7"/>
      <c r="G108" s="7"/>
      <c r="H108" s="7"/>
      <c r="I108" s="4" t="s">
        <v>177</v>
      </c>
      <c r="J108" s="4">
        <v>0.99999690055847168</v>
      </c>
      <c r="K108" s="4" t="s">
        <v>29</v>
      </c>
      <c r="L108" s="4" t="s">
        <v>163</v>
      </c>
      <c r="M108" s="4">
        <v>18</v>
      </c>
    </row>
    <row r="109" spans="1:13" ht="90" customHeight="1" x14ac:dyDescent="0.3">
      <c r="A109" s="8"/>
      <c r="B109" s="7"/>
      <c r="C109" s="7"/>
      <c r="D109" s="7"/>
      <c r="E109" s="7"/>
      <c r="F109" s="7"/>
      <c r="G109" s="7"/>
      <c r="H109" s="7"/>
      <c r="I109" s="4" t="s">
        <v>178</v>
      </c>
      <c r="J109" s="4">
        <v>0.99999570846557617</v>
      </c>
      <c r="K109" s="4" t="s">
        <v>29</v>
      </c>
      <c r="L109" s="4" t="s">
        <v>163</v>
      </c>
      <c r="M109" s="4">
        <v>23</v>
      </c>
    </row>
    <row r="110" spans="1:13" ht="90" customHeight="1" x14ac:dyDescent="0.3">
      <c r="A110" s="8"/>
      <c r="B110" s="7"/>
      <c r="C110" s="7"/>
      <c r="D110" s="7"/>
      <c r="E110" s="7"/>
      <c r="F110" s="7"/>
      <c r="G110" s="7"/>
      <c r="H110" s="7"/>
      <c r="I110" s="5" t="s">
        <v>167</v>
      </c>
      <c r="J110" s="5">
        <v>0.99999475479125977</v>
      </c>
      <c r="K110" s="5" t="s">
        <v>29</v>
      </c>
      <c r="L110" s="5" t="s">
        <v>163</v>
      </c>
      <c r="M110" s="5">
        <v>30</v>
      </c>
    </row>
    <row r="111" spans="1:13" ht="90" customHeight="1" x14ac:dyDescent="0.3">
      <c r="A111" s="8"/>
      <c r="B111" s="7"/>
      <c r="C111" s="7"/>
      <c r="D111" s="7"/>
      <c r="E111" s="7"/>
      <c r="F111" s="7"/>
      <c r="G111" s="7"/>
      <c r="H111" s="7"/>
      <c r="I111" s="1" t="s">
        <v>179</v>
      </c>
      <c r="J111" s="1">
        <v>0.98282086849212646</v>
      </c>
      <c r="K111" s="1" t="s">
        <v>29</v>
      </c>
      <c r="L111" s="1" t="s">
        <v>163</v>
      </c>
      <c r="M111" s="1">
        <v>34</v>
      </c>
    </row>
    <row r="112" spans="1:13" ht="90" customHeight="1" x14ac:dyDescent="0.3">
      <c r="A112" s="8">
        <v>37</v>
      </c>
      <c r="B112" s="8" t="s">
        <v>180</v>
      </c>
      <c r="C112" s="8" t="s">
        <v>163</v>
      </c>
      <c r="D112" s="8" t="s">
        <v>181</v>
      </c>
      <c r="E112" s="6" t="s">
        <v>24</v>
      </c>
      <c r="F112" s="6" t="s">
        <v>25</v>
      </c>
      <c r="G112" s="8" t="s">
        <v>182</v>
      </c>
      <c r="H112" s="8" t="s">
        <v>183</v>
      </c>
      <c r="I112" s="1" t="s">
        <v>184</v>
      </c>
      <c r="J112" s="1">
        <v>0.99638956785202026</v>
      </c>
      <c r="K112" s="1" t="s">
        <v>29</v>
      </c>
      <c r="L112" s="1" t="s">
        <v>163</v>
      </c>
      <c r="M112" s="1">
        <v>38</v>
      </c>
    </row>
    <row r="113" spans="1:13" ht="90" customHeight="1" x14ac:dyDescent="0.3">
      <c r="A113" s="8"/>
      <c r="B113" s="7"/>
      <c r="C113" s="7"/>
      <c r="D113" s="7"/>
      <c r="E113" s="7"/>
      <c r="F113" s="7"/>
      <c r="G113" s="7"/>
      <c r="H113" s="7"/>
      <c r="I113" s="4" t="s">
        <v>185</v>
      </c>
      <c r="J113" s="4">
        <v>0.99559670686721802</v>
      </c>
      <c r="K113" s="4" t="s">
        <v>29</v>
      </c>
      <c r="L113" s="4" t="s">
        <v>163</v>
      </c>
      <c r="M113" s="4">
        <v>72</v>
      </c>
    </row>
    <row r="114" spans="1:13" ht="90" customHeight="1" x14ac:dyDescent="0.3">
      <c r="A114" s="8"/>
      <c r="B114" s="7"/>
      <c r="C114" s="7"/>
      <c r="D114" s="7"/>
      <c r="E114" s="7"/>
      <c r="F114" s="7"/>
      <c r="G114" s="7"/>
      <c r="H114" s="7"/>
      <c r="I114" s="2" t="s">
        <v>186</v>
      </c>
      <c r="J114" s="2">
        <v>0.9877265059350524</v>
      </c>
      <c r="K114" s="2" t="s">
        <v>29</v>
      </c>
      <c r="L114" s="2" t="s">
        <v>137</v>
      </c>
      <c r="M114" s="2">
        <v>141</v>
      </c>
    </row>
    <row r="115" spans="1:13" ht="90" customHeight="1" x14ac:dyDescent="0.3">
      <c r="A115" s="8"/>
      <c r="B115" s="7"/>
      <c r="C115" s="7"/>
      <c r="D115" s="7"/>
      <c r="E115" s="7"/>
      <c r="F115" s="7"/>
      <c r="G115" s="7"/>
      <c r="H115" s="7"/>
      <c r="I115" s="1" t="s">
        <v>187</v>
      </c>
      <c r="J115" s="1">
        <v>0.96979933977127075</v>
      </c>
      <c r="K115" s="1" t="s">
        <v>29</v>
      </c>
      <c r="L115" s="1" t="s">
        <v>163</v>
      </c>
      <c r="M115" s="1">
        <v>75</v>
      </c>
    </row>
    <row r="116" spans="1:13" ht="90" customHeight="1" x14ac:dyDescent="0.3">
      <c r="A116" s="8"/>
      <c r="B116" s="7"/>
      <c r="C116" s="7"/>
      <c r="D116" s="7"/>
      <c r="E116" s="7"/>
      <c r="F116" s="7"/>
      <c r="G116" s="7"/>
      <c r="H116" s="7"/>
      <c r="I116" s="1" t="s">
        <v>188</v>
      </c>
      <c r="J116" s="1">
        <v>0.93918806314468384</v>
      </c>
      <c r="K116" s="1" t="s">
        <v>29</v>
      </c>
      <c r="L116" s="1" t="s">
        <v>163</v>
      </c>
      <c r="M116" s="1">
        <v>3</v>
      </c>
    </row>
    <row r="117" spans="1:13" ht="90" customHeight="1" x14ac:dyDescent="0.3">
      <c r="A117" s="8">
        <v>38</v>
      </c>
      <c r="B117" s="8" t="s">
        <v>189</v>
      </c>
      <c r="C117" s="8" t="s">
        <v>190</v>
      </c>
      <c r="D117" s="8" t="s">
        <v>80</v>
      </c>
      <c r="E117" s="6" t="s">
        <v>24</v>
      </c>
      <c r="F117" s="6" t="s">
        <v>18</v>
      </c>
      <c r="G117" s="8" t="s">
        <v>191</v>
      </c>
      <c r="H117" s="8" t="s">
        <v>192</v>
      </c>
      <c r="I117" s="2" t="s">
        <v>193</v>
      </c>
      <c r="J117" s="2">
        <v>0.99951624870300293</v>
      </c>
      <c r="K117" s="2" t="s">
        <v>29</v>
      </c>
      <c r="L117" s="2" t="s">
        <v>190</v>
      </c>
      <c r="M117" s="2">
        <v>13</v>
      </c>
    </row>
    <row r="118" spans="1:13" ht="90" customHeight="1" x14ac:dyDescent="0.3">
      <c r="A118" s="8"/>
      <c r="B118" s="7"/>
      <c r="C118" s="7"/>
      <c r="D118" s="7"/>
      <c r="E118" s="7"/>
      <c r="F118" s="7"/>
      <c r="G118" s="7"/>
      <c r="H118" s="7"/>
      <c r="I118" s="2" t="s">
        <v>194</v>
      </c>
      <c r="J118" s="2">
        <v>0.99947077035903931</v>
      </c>
      <c r="K118" s="2" t="s">
        <v>29</v>
      </c>
      <c r="L118" s="2" t="s">
        <v>190</v>
      </c>
      <c r="M118" s="2">
        <v>82</v>
      </c>
    </row>
    <row r="119" spans="1:13" ht="90" customHeight="1" x14ac:dyDescent="0.3">
      <c r="A119" s="8"/>
      <c r="B119" s="7"/>
      <c r="C119" s="7"/>
      <c r="D119" s="7"/>
      <c r="E119" s="7"/>
      <c r="F119" s="7"/>
      <c r="G119" s="7"/>
      <c r="H119" s="7"/>
      <c r="I119" s="2" t="s">
        <v>195</v>
      </c>
      <c r="J119" s="2">
        <v>0.99942004680633545</v>
      </c>
      <c r="K119" s="2" t="s">
        <v>29</v>
      </c>
      <c r="L119" s="2" t="s">
        <v>190</v>
      </c>
      <c r="M119" s="2">
        <v>220</v>
      </c>
    </row>
    <row r="120" spans="1:13" ht="90" customHeight="1" x14ac:dyDescent="0.3">
      <c r="A120" s="8"/>
      <c r="B120" s="7"/>
      <c r="C120" s="7"/>
      <c r="D120" s="7"/>
      <c r="E120" s="7"/>
      <c r="F120" s="7"/>
      <c r="G120" s="7"/>
      <c r="H120" s="7"/>
      <c r="I120" s="5" t="s">
        <v>196</v>
      </c>
      <c r="J120" s="5">
        <v>0.9993327260017395</v>
      </c>
      <c r="K120" s="5" t="s">
        <v>29</v>
      </c>
      <c r="L120" s="5" t="s">
        <v>190</v>
      </c>
      <c r="M120" s="5">
        <v>11</v>
      </c>
    </row>
    <row r="121" spans="1:13" ht="90" customHeight="1" x14ac:dyDescent="0.3">
      <c r="A121" s="8"/>
      <c r="B121" s="7"/>
      <c r="C121" s="7"/>
      <c r="D121" s="7"/>
      <c r="E121" s="7"/>
      <c r="F121" s="7"/>
      <c r="G121" s="7"/>
      <c r="H121" s="7"/>
      <c r="I121" s="1" t="s">
        <v>197</v>
      </c>
      <c r="J121" s="1">
        <v>0.99922740459442139</v>
      </c>
      <c r="K121" s="1" t="s">
        <v>29</v>
      </c>
      <c r="L121" s="1" t="s">
        <v>190</v>
      </c>
      <c r="M121" s="1">
        <v>14</v>
      </c>
    </row>
    <row r="122" spans="1:13" ht="90" customHeight="1" x14ac:dyDescent="0.3">
      <c r="A122" s="8">
        <v>39</v>
      </c>
      <c r="B122" s="8" t="s">
        <v>198</v>
      </c>
      <c r="C122" s="8" t="s">
        <v>190</v>
      </c>
      <c r="D122" s="8" t="s">
        <v>80</v>
      </c>
      <c r="E122" s="6" t="s">
        <v>24</v>
      </c>
      <c r="F122" s="6" t="s">
        <v>25</v>
      </c>
      <c r="G122" s="8" t="s">
        <v>199</v>
      </c>
      <c r="H122" s="8" t="s">
        <v>200</v>
      </c>
      <c r="I122" s="4" t="s">
        <v>201</v>
      </c>
      <c r="J122" s="4">
        <v>0.99889403581619263</v>
      </c>
      <c r="K122" s="4" t="s">
        <v>29</v>
      </c>
      <c r="L122" s="4" t="s">
        <v>190</v>
      </c>
      <c r="M122" s="4">
        <v>11</v>
      </c>
    </row>
    <row r="123" spans="1:13" ht="90" customHeight="1" x14ac:dyDescent="0.3">
      <c r="A123" s="8"/>
      <c r="B123" s="7"/>
      <c r="C123" s="7"/>
      <c r="D123" s="7"/>
      <c r="E123" s="7"/>
      <c r="F123" s="7"/>
      <c r="G123" s="7"/>
      <c r="H123" s="7"/>
      <c r="I123" s="2" t="s">
        <v>202</v>
      </c>
      <c r="J123" s="2">
        <v>0.99623185396194458</v>
      </c>
      <c r="K123" s="2" t="s">
        <v>29</v>
      </c>
      <c r="L123" s="2" t="s">
        <v>190</v>
      </c>
      <c r="M123" s="2">
        <v>239</v>
      </c>
    </row>
    <row r="124" spans="1:13" ht="90" customHeight="1" x14ac:dyDescent="0.3">
      <c r="A124" s="8"/>
      <c r="B124" s="7"/>
      <c r="C124" s="7"/>
      <c r="D124" s="7"/>
      <c r="E124" s="7"/>
      <c r="F124" s="7"/>
      <c r="G124" s="7"/>
      <c r="H124" s="7"/>
      <c r="I124" s="2" t="s">
        <v>203</v>
      </c>
      <c r="J124" s="2">
        <v>0.99279707670211792</v>
      </c>
      <c r="K124" s="2" t="s">
        <v>29</v>
      </c>
      <c r="L124" s="2" t="s">
        <v>204</v>
      </c>
      <c r="M124" s="2">
        <v>20</v>
      </c>
    </row>
    <row r="125" spans="1:13" ht="90" customHeight="1" x14ac:dyDescent="0.3">
      <c r="A125" s="8"/>
      <c r="B125" s="7"/>
      <c r="C125" s="7"/>
      <c r="D125" s="7"/>
      <c r="E125" s="7"/>
      <c r="F125" s="7"/>
      <c r="G125" s="7"/>
      <c r="H125" s="7"/>
      <c r="I125" s="1" t="s">
        <v>205</v>
      </c>
      <c r="J125" s="1">
        <v>0.99277859926223755</v>
      </c>
      <c r="K125" s="1" t="s">
        <v>29</v>
      </c>
      <c r="L125" s="1" t="s">
        <v>206</v>
      </c>
      <c r="M125" s="1">
        <v>58</v>
      </c>
    </row>
    <row r="126" spans="1:13" ht="90" customHeight="1" x14ac:dyDescent="0.3">
      <c r="A126" s="8"/>
      <c r="B126" s="7"/>
      <c r="C126" s="7"/>
      <c r="D126" s="7"/>
      <c r="E126" s="7"/>
      <c r="F126" s="7"/>
      <c r="G126" s="7"/>
      <c r="H126" s="7"/>
      <c r="I126" s="1" t="s">
        <v>207</v>
      </c>
      <c r="J126" s="1">
        <v>0.87872707843780518</v>
      </c>
      <c r="K126" s="1" t="s">
        <v>29</v>
      </c>
      <c r="L126" s="1" t="s">
        <v>190</v>
      </c>
      <c r="M126" s="1">
        <v>8</v>
      </c>
    </row>
    <row r="127" spans="1:13" ht="90" customHeight="1" x14ac:dyDescent="0.3">
      <c r="A127" s="8">
        <v>40</v>
      </c>
      <c r="B127" s="8" t="s">
        <v>208</v>
      </c>
      <c r="C127" s="8" t="s">
        <v>190</v>
      </c>
      <c r="D127" s="8" t="s">
        <v>138</v>
      </c>
      <c r="E127" s="6" t="s">
        <v>24</v>
      </c>
      <c r="F127" s="6" t="s">
        <v>25</v>
      </c>
      <c r="G127" s="8" t="s">
        <v>209</v>
      </c>
      <c r="H127" s="8" t="s">
        <v>210</v>
      </c>
      <c r="I127" s="4" t="s">
        <v>211</v>
      </c>
      <c r="J127" s="4">
        <v>0.99997138977050781</v>
      </c>
      <c r="K127" s="4" t="s">
        <v>29</v>
      </c>
      <c r="L127" s="4" t="s">
        <v>190</v>
      </c>
      <c r="M127" s="4">
        <v>24</v>
      </c>
    </row>
    <row r="128" spans="1:13" ht="90" customHeight="1" x14ac:dyDescent="0.3">
      <c r="A128" s="8"/>
      <c r="B128" s="7"/>
      <c r="C128" s="7"/>
      <c r="D128" s="7"/>
      <c r="E128" s="7"/>
      <c r="F128" s="7"/>
      <c r="G128" s="7"/>
      <c r="H128" s="7"/>
      <c r="I128" s="2" t="s">
        <v>212</v>
      </c>
      <c r="J128" s="2">
        <v>0.99984657764434814</v>
      </c>
      <c r="K128" s="2" t="s">
        <v>29</v>
      </c>
      <c r="L128" s="2" t="s">
        <v>190</v>
      </c>
      <c r="M128" s="2">
        <v>16</v>
      </c>
    </row>
    <row r="129" spans="1:13" ht="90" customHeight="1" x14ac:dyDescent="0.3">
      <c r="A129" s="8"/>
      <c r="B129" s="7"/>
      <c r="C129" s="7"/>
      <c r="D129" s="7"/>
      <c r="E129" s="7"/>
      <c r="F129" s="7"/>
      <c r="G129" s="7"/>
      <c r="H129" s="7"/>
      <c r="I129" s="2" t="s">
        <v>203</v>
      </c>
      <c r="J129" s="2">
        <v>0.99643731117248535</v>
      </c>
      <c r="K129" s="2" t="s">
        <v>29</v>
      </c>
      <c r="L129" s="2" t="s">
        <v>204</v>
      </c>
      <c r="M129" s="2">
        <v>20</v>
      </c>
    </row>
    <row r="130" spans="1:13" ht="90" customHeight="1" x14ac:dyDescent="0.3">
      <c r="A130" s="8"/>
      <c r="B130" s="7"/>
      <c r="C130" s="7"/>
      <c r="D130" s="7"/>
      <c r="E130" s="7"/>
      <c r="F130" s="7"/>
      <c r="G130" s="7"/>
      <c r="H130" s="7"/>
      <c r="I130" s="1" t="s">
        <v>213</v>
      </c>
      <c r="J130" s="1">
        <v>0.9774324893951416</v>
      </c>
      <c r="K130" s="1" t="s">
        <v>29</v>
      </c>
      <c r="L130" s="1" t="s">
        <v>190</v>
      </c>
      <c r="M130" s="1">
        <v>85</v>
      </c>
    </row>
    <row r="131" spans="1:13" ht="90" customHeight="1" x14ac:dyDescent="0.3">
      <c r="A131" s="8"/>
      <c r="B131" s="7"/>
      <c r="C131" s="7"/>
      <c r="D131" s="7"/>
      <c r="E131" s="7"/>
      <c r="F131" s="7"/>
      <c r="G131" s="7"/>
      <c r="H131" s="7"/>
      <c r="I131" s="1" t="s">
        <v>214</v>
      </c>
      <c r="J131" s="1">
        <v>0.9410935640335083</v>
      </c>
      <c r="K131" s="1" t="s">
        <v>29</v>
      </c>
      <c r="L131" s="1" t="s">
        <v>190</v>
      </c>
      <c r="M131" s="1">
        <v>80</v>
      </c>
    </row>
    <row r="132" spans="1:13" ht="90" customHeight="1" x14ac:dyDescent="0.3">
      <c r="A132" s="8">
        <v>41</v>
      </c>
      <c r="B132" s="8" t="s">
        <v>215</v>
      </c>
      <c r="C132" s="8" t="s">
        <v>190</v>
      </c>
      <c r="D132" s="8" t="s">
        <v>216</v>
      </c>
      <c r="E132" s="6" t="s">
        <v>24</v>
      </c>
      <c r="F132" s="6" t="s">
        <v>25</v>
      </c>
      <c r="G132" s="8" t="s">
        <v>217</v>
      </c>
      <c r="H132" s="8" t="s">
        <v>218</v>
      </c>
      <c r="I132" s="2" t="s">
        <v>219</v>
      </c>
      <c r="J132" s="2">
        <v>0.99974101781845026</v>
      </c>
      <c r="K132" s="2" t="s">
        <v>29</v>
      </c>
      <c r="L132" s="2" t="s">
        <v>190</v>
      </c>
      <c r="M132" s="2">
        <v>23</v>
      </c>
    </row>
    <row r="133" spans="1:13" ht="90" customHeight="1" x14ac:dyDescent="0.3">
      <c r="A133" s="8"/>
      <c r="B133" s="7"/>
      <c r="C133" s="7"/>
      <c r="D133" s="7"/>
      <c r="E133" s="7"/>
      <c r="F133" s="7"/>
      <c r="G133" s="7"/>
      <c r="H133" s="7"/>
      <c r="I133" s="4" t="s">
        <v>220</v>
      </c>
      <c r="J133" s="4">
        <v>0.99883037805557251</v>
      </c>
      <c r="K133" s="4" t="s">
        <v>29</v>
      </c>
      <c r="L133" s="4" t="s">
        <v>190</v>
      </c>
      <c r="M133" s="4">
        <v>42</v>
      </c>
    </row>
    <row r="134" spans="1:13" ht="90" customHeight="1" x14ac:dyDescent="0.3">
      <c r="A134" s="8"/>
      <c r="B134" s="7"/>
      <c r="C134" s="7"/>
      <c r="D134" s="7"/>
      <c r="E134" s="7"/>
      <c r="F134" s="7"/>
      <c r="G134" s="7"/>
      <c r="H134" s="7"/>
      <c r="I134" s="2" t="s">
        <v>221</v>
      </c>
      <c r="J134" s="2">
        <v>0.99796909093856812</v>
      </c>
      <c r="K134" s="2" t="s">
        <v>29</v>
      </c>
      <c r="L134" s="2" t="s">
        <v>190</v>
      </c>
      <c r="M134" s="2">
        <v>49</v>
      </c>
    </row>
    <row r="135" spans="1:13" ht="90" customHeight="1" x14ac:dyDescent="0.3">
      <c r="A135" s="8"/>
      <c r="B135" s="7"/>
      <c r="C135" s="7"/>
      <c r="D135" s="7"/>
      <c r="E135" s="7"/>
      <c r="F135" s="7"/>
      <c r="G135" s="7"/>
      <c r="H135" s="7"/>
      <c r="I135" s="1" t="s">
        <v>222</v>
      </c>
      <c r="J135" s="1">
        <v>0.99313700199127197</v>
      </c>
      <c r="K135" s="1" t="s">
        <v>29</v>
      </c>
      <c r="L135" s="1" t="s">
        <v>190</v>
      </c>
      <c r="M135" s="1">
        <v>53</v>
      </c>
    </row>
    <row r="136" spans="1:13" ht="90" customHeight="1" x14ac:dyDescent="0.3">
      <c r="A136" s="8"/>
      <c r="B136" s="7"/>
      <c r="C136" s="7"/>
      <c r="D136" s="7"/>
      <c r="E136" s="7"/>
      <c r="F136" s="7"/>
      <c r="G136" s="7"/>
      <c r="H136" s="7"/>
      <c r="I136" s="5" t="s">
        <v>223</v>
      </c>
      <c r="J136" s="5">
        <v>0.98599350452423096</v>
      </c>
      <c r="K136" s="5" t="s">
        <v>29</v>
      </c>
      <c r="L136" s="5" t="s">
        <v>190</v>
      </c>
      <c r="M136" s="5">
        <v>43</v>
      </c>
    </row>
    <row r="137" spans="1:13" ht="90" customHeight="1" x14ac:dyDescent="0.3">
      <c r="A137" s="8">
        <v>42</v>
      </c>
      <c r="B137" s="8" t="s">
        <v>224</v>
      </c>
      <c r="C137" s="8" t="s">
        <v>225</v>
      </c>
      <c r="D137" s="8" t="s">
        <v>226</v>
      </c>
      <c r="E137" s="6" t="s">
        <v>24</v>
      </c>
      <c r="F137" s="6" t="s">
        <v>25</v>
      </c>
      <c r="G137" s="8" t="s">
        <v>227</v>
      </c>
      <c r="H137" s="8" t="s">
        <v>228</v>
      </c>
      <c r="I137" s="4" t="s">
        <v>229</v>
      </c>
      <c r="J137" s="4">
        <v>0.99999475463817122</v>
      </c>
      <c r="K137" s="4" t="s">
        <v>29</v>
      </c>
      <c r="L137" s="4" t="s">
        <v>225</v>
      </c>
      <c r="M137" s="4">
        <v>50</v>
      </c>
    </row>
    <row r="138" spans="1:13" ht="90" customHeight="1" x14ac:dyDescent="0.3">
      <c r="A138" s="8"/>
      <c r="B138" s="7"/>
      <c r="C138" s="7"/>
      <c r="D138" s="7"/>
      <c r="E138" s="7"/>
      <c r="F138" s="7"/>
      <c r="G138" s="7"/>
      <c r="H138" s="7"/>
      <c r="I138" s="4" t="s">
        <v>230</v>
      </c>
      <c r="J138" s="4">
        <v>0.99999225139617232</v>
      </c>
      <c r="K138" s="4" t="s">
        <v>29</v>
      </c>
      <c r="L138" s="4" t="s">
        <v>225</v>
      </c>
      <c r="M138" s="4">
        <v>51</v>
      </c>
    </row>
    <row r="139" spans="1:13" ht="90" customHeight="1" x14ac:dyDescent="0.3">
      <c r="A139" s="8"/>
      <c r="B139" s="7"/>
      <c r="C139" s="7"/>
      <c r="D139" s="7"/>
      <c r="E139" s="7"/>
      <c r="F139" s="7"/>
      <c r="G139" s="7"/>
      <c r="H139" s="7"/>
      <c r="I139" s="2" t="s">
        <v>231</v>
      </c>
      <c r="J139" s="2">
        <v>0.99033033847808838</v>
      </c>
      <c r="K139" s="2" t="s">
        <v>29</v>
      </c>
      <c r="L139" s="2" t="s">
        <v>225</v>
      </c>
      <c r="M139" s="2">
        <v>34</v>
      </c>
    </row>
    <row r="140" spans="1:13" ht="90" customHeight="1" x14ac:dyDescent="0.3">
      <c r="A140" s="8"/>
      <c r="B140" s="7"/>
      <c r="C140" s="7"/>
      <c r="D140" s="7"/>
      <c r="E140" s="7"/>
      <c r="F140" s="7"/>
      <c r="G140" s="7"/>
      <c r="H140" s="7"/>
      <c r="I140" s="1" t="s">
        <v>232</v>
      </c>
      <c r="J140" s="1">
        <v>0.87543296813964844</v>
      </c>
      <c r="K140" s="1" t="s">
        <v>29</v>
      </c>
      <c r="L140" s="1" t="s">
        <v>137</v>
      </c>
      <c r="M140" s="1">
        <v>230</v>
      </c>
    </row>
    <row r="141" spans="1:13" ht="90" customHeight="1" x14ac:dyDescent="0.3">
      <c r="A141" s="8"/>
      <c r="B141" s="7"/>
      <c r="C141" s="7"/>
      <c r="D141" s="7"/>
      <c r="E141" s="7"/>
      <c r="F141" s="7"/>
      <c r="G141" s="7"/>
      <c r="H141" s="7"/>
      <c r="I141" s="1" t="s">
        <v>233</v>
      </c>
      <c r="J141" s="1">
        <v>0.84872126579284668</v>
      </c>
      <c r="K141" s="1" t="s">
        <v>29</v>
      </c>
      <c r="L141" s="1" t="s">
        <v>137</v>
      </c>
      <c r="M141" s="1">
        <v>4</v>
      </c>
    </row>
    <row r="142" spans="1:13" ht="90" customHeight="1" x14ac:dyDescent="0.3">
      <c r="A142" s="8">
        <v>43</v>
      </c>
      <c r="B142" s="8" t="s">
        <v>234</v>
      </c>
      <c r="C142" s="8" t="s">
        <v>73</v>
      </c>
      <c r="D142" s="8" t="s">
        <v>235</v>
      </c>
      <c r="E142" s="6" t="s">
        <v>24</v>
      </c>
      <c r="F142" s="6" t="s">
        <v>25</v>
      </c>
      <c r="G142" s="8" t="s">
        <v>236</v>
      </c>
      <c r="H142" s="8" t="s">
        <v>237</v>
      </c>
      <c r="I142" s="4" t="s">
        <v>238</v>
      </c>
      <c r="J142" s="4">
        <v>0.99906442188514832</v>
      </c>
      <c r="K142" s="4" t="s">
        <v>29</v>
      </c>
      <c r="L142" s="4" t="s">
        <v>73</v>
      </c>
      <c r="M142" s="4">
        <v>7</v>
      </c>
    </row>
    <row r="143" spans="1:13" ht="90" customHeight="1" x14ac:dyDescent="0.3">
      <c r="A143" s="8"/>
      <c r="B143" s="7"/>
      <c r="C143" s="7"/>
      <c r="D143" s="7"/>
      <c r="E143" s="7"/>
      <c r="F143" s="7"/>
      <c r="G143" s="7"/>
      <c r="H143" s="7"/>
      <c r="I143" s="1"/>
      <c r="J143" s="1"/>
      <c r="K143" s="1"/>
      <c r="L143" s="1"/>
      <c r="M143" s="1"/>
    </row>
    <row r="144" spans="1:13" ht="90" customHeight="1" x14ac:dyDescent="0.3">
      <c r="A144" s="8"/>
      <c r="B144" s="7"/>
      <c r="C144" s="7"/>
      <c r="D144" s="7"/>
      <c r="E144" s="7"/>
      <c r="F144" s="7"/>
      <c r="G144" s="7"/>
      <c r="H144" s="7"/>
      <c r="I144" s="1"/>
      <c r="J144" s="1"/>
      <c r="K144" s="1"/>
      <c r="L144" s="1"/>
      <c r="M144" s="1"/>
    </row>
    <row r="145" spans="1:13" ht="90" customHeight="1" x14ac:dyDescent="0.3">
      <c r="A145" s="8"/>
      <c r="B145" s="7"/>
      <c r="C145" s="7"/>
      <c r="D145" s="7"/>
      <c r="E145" s="7"/>
      <c r="F145" s="7"/>
      <c r="G145" s="7"/>
      <c r="H145" s="7"/>
      <c r="I145" s="1"/>
      <c r="J145" s="1"/>
      <c r="K145" s="1"/>
      <c r="L145" s="1"/>
      <c r="M145" s="1"/>
    </row>
    <row r="146" spans="1:13" ht="90" customHeight="1" x14ac:dyDescent="0.3">
      <c r="A146" s="8"/>
      <c r="B146" s="7"/>
      <c r="C146" s="7"/>
      <c r="D146" s="7"/>
      <c r="E146" s="7"/>
      <c r="F146" s="7"/>
      <c r="G146" s="7"/>
      <c r="H146" s="7"/>
      <c r="I146" s="1"/>
      <c r="J146" s="1"/>
      <c r="K146" s="1"/>
      <c r="L146" s="1"/>
      <c r="M146" s="1"/>
    </row>
    <row r="147" spans="1:13" ht="90" customHeight="1" x14ac:dyDescent="0.3">
      <c r="A147" s="8">
        <v>45</v>
      </c>
      <c r="B147" s="8" t="s">
        <v>239</v>
      </c>
      <c r="C147" s="8" t="s">
        <v>240</v>
      </c>
      <c r="D147" s="8" t="s">
        <v>241</v>
      </c>
      <c r="E147" s="6" t="s">
        <v>24</v>
      </c>
      <c r="F147" s="6" t="s">
        <v>18</v>
      </c>
      <c r="G147" s="8" t="s">
        <v>242</v>
      </c>
      <c r="H147" s="8" t="s">
        <v>243</v>
      </c>
      <c r="I147" s="2" t="s">
        <v>244</v>
      </c>
      <c r="J147" s="2">
        <v>0.99965953826904297</v>
      </c>
      <c r="K147" s="2" t="s">
        <v>29</v>
      </c>
      <c r="L147" s="2" t="s">
        <v>245</v>
      </c>
      <c r="M147" s="2">
        <v>4</v>
      </c>
    </row>
    <row r="148" spans="1:13" ht="90" customHeight="1" x14ac:dyDescent="0.3">
      <c r="A148" s="8"/>
      <c r="B148" s="7"/>
      <c r="C148" s="7"/>
      <c r="D148" s="7"/>
      <c r="E148" s="7"/>
      <c r="F148" s="7"/>
      <c r="G148" s="7"/>
      <c r="H148" s="7"/>
      <c r="I148" s="2" t="s">
        <v>246</v>
      </c>
      <c r="J148" s="2">
        <v>0.99915492534637451</v>
      </c>
      <c r="K148" s="2" t="s">
        <v>29</v>
      </c>
      <c r="L148" s="2" t="s">
        <v>245</v>
      </c>
      <c r="M148" s="2">
        <v>15</v>
      </c>
    </row>
    <row r="149" spans="1:13" ht="90" customHeight="1" x14ac:dyDescent="0.3">
      <c r="A149" s="8"/>
      <c r="B149" s="7"/>
      <c r="C149" s="7"/>
      <c r="D149" s="7"/>
      <c r="E149" s="7"/>
      <c r="F149" s="7"/>
      <c r="G149" s="7"/>
      <c r="H149" s="7"/>
      <c r="I149" s="2" t="s">
        <v>247</v>
      </c>
      <c r="J149" s="2">
        <v>0.99870550632476807</v>
      </c>
      <c r="K149" s="2" t="s">
        <v>29</v>
      </c>
      <c r="L149" s="2" t="s">
        <v>240</v>
      </c>
      <c r="M149" s="2">
        <v>29</v>
      </c>
    </row>
    <row r="150" spans="1:13" ht="90" customHeight="1" x14ac:dyDescent="0.3">
      <c r="A150" s="8"/>
      <c r="B150" s="7"/>
      <c r="C150" s="7"/>
      <c r="D150" s="7"/>
      <c r="E150" s="7"/>
      <c r="F150" s="7"/>
      <c r="G150" s="7"/>
      <c r="H150" s="7"/>
      <c r="I150" s="5" t="s">
        <v>248</v>
      </c>
      <c r="J150" s="5">
        <v>0.99552106857299805</v>
      </c>
      <c r="K150" s="5" t="s">
        <v>29</v>
      </c>
      <c r="L150" s="5" t="s">
        <v>240</v>
      </c>
      <c r="M150" s="5">
        <v>87</v>
      </c>
    </row>
    <row r="151" spans="1:13" ht="90" customHeight="1" x14ac:dyDescent="0.3">
      <c r="A151" s="8"/>
      <c r="B151" s="7"/>
      <c r="C151" s="7"/>
      <c r="D151" s="7"/>
      <c r="E151" s="7"/>
      <c r="F151" s="7"/>
      <c r="G151" s="7"/>
      <c r="H151" s="7"/>
      <c r="I151" s="5" t="s">
        <v>249</v>
      </c>
      <c r="J151" s="5">
        <v>0.98788094520568848</v>
      </c>
      <c r="K151" s="5" t="s">
        <v>29</v>
      </c>
      <c r="L151" s="5" t="s">
        <v>240</v>
      </c>
      <c r="M151" s="5">
        <v>86</v>
      </c>
    </row>
    <row r="152" spans="1:13" ht="90" customHeight="1" x14ac:dyDescent="0.3">
      <c r="A152" s="8">
        <v>49</v>
      </c>
      <c r="B152" s="8" t="s">
        <v>250</v>
      </c>
      <c r="C152" s="8" t="s">
        <v>31</v>
      </c>
      <c r="D152" s="8" t="s">
        <v>251</v>
      </c>
      <c r="E152" s="6" t="s">
        <v>17</v>
      </c>
      <c r="F152" s="6" t="s">
        <v>18</v>
      </c>
      <c r="G152" s="8" t="s">
        <v>252</v>
      </c>
      <c r="H152" s="8" t="s">
        <v>20</v>
      </c>
      <c r="I152" s="1"/>
      <c r="J152" s="1"/>
      <c r="K152" s="1"/>
      <c r="L152" s="1"/>
      <c r="M152" s="1"/>
    </row>
    <row r="153" spans="1:13" ht="90" customHeight="1" x14ac:dyDescent="0.3">
      <c r="A153" s="8"/>
      <c r="B153" s="7"/>
      <c r="C153" s="7"/>
      <c r="D153" s="7"/>
      <c r="E153" s="7"/>
      <c r="F153" s="7"/>
      <c r="G153" s="7"/>
      <c r="H153" s="7"/>
      <c r="I153" s="1"/>
      <c r="J153" s="1"/>
      <c r="K153" s="1"/>
      <c r="L153" s="1"/>
      <c r="M153" s="1"/>
    </row>
    <row r="154" spans="1:13" ht="90" customHeight="1" x14ac:dyDescent="0.3">
      <c r="A154" s="8"/>
      <c r="B154" s="7"/>
      <c r="C154" s="7"/>
      <c r="D154" s="7"/>
      <c r="E154" s="7"/>
      <c r="F154" s="7"/>
      <c r="G154" s="7"/>
      <c r="H154" s="7"/>
      <c r="I154" s="1"/>
      <c r="J154" s="1"/>
      <c r="K154" s="1"/>
      <c r="L154" s="1"/>
      <c r="M154" s="1"/>
    </row>
    <row r="155" spans="1:13" ht="90" customHeight="1" x14ac:dyDescent="0.3">
      <c r="A155" s="8"/>
      <c r="B155" s="7"/>
      <c r="C155" s="7"/>
      <c r="D155" s="7"/>
      <c r="E155" s="7"/>
      <c r="F155" s="7"/>
      <c r="G155" s="7"/>
      <c r="H155" s="7"/>
      <c r="I155" s="1"/>
      <c r="J155" s="1"/>
      <c r="K155" s="1"/>
      <c r="L155" s="1"/>
      <c r="M155" s="1"/>
    </row>
    <row r="156" spans="1:13" ht="90" customHeight="1" x14ac:dyDescent="0.3">
      <c r="A156" s="8"/>
      <c r="B156" s="7"/>
      <c r="C156" s="7"/>
      <c r="D156" s="7"/>
      <c r="E156" s="7"/>
      <c r="F156" s="7"/>
      <c r="G156" s="7"/>
      <c r="H156" s="7"/>
      <c r="I156" s="1"/>
      <c r="J156" s="1"/>
      <c r="K156" s="1"/>
      <c r="L156" s="1"/>
      <c r="M156" s="1"/>
    </row>
    <row r="157" spans="1:13" ht="90" customHeight="1" x14ac:dyDescent="0.3">
      <c r="A157" s="8">
        <v>50</v>
      </c>
      <c r="B157" s="8" t="s">
        <v>253</v>
      </c>
      <c r="C157" s="8" t="s">
        <v>43</v>
      </c>
      <c r="D157" s="8" t="s">
        <v>44</v>
      </c>
      <c r="E157" s="6" t="s">
        <v>24</v>
      </c>
      <c r="F157" s="6" t="s">
        <v>25</v>
      </c>
      <c r="G157" s="8" t="s">
        <v>254</v>
      </c>
      <c r="H157" s="8" t="s">
        <v>255</v>
      </c>
      <c r="I157" s="4" t="s">
        <v>48</v>
      </c>
      <c r="J157" s="4">
        <v>0.99978962396455651</v>
      </c>
      <c r="K157" s="4" t="s">
        <v>29</v>
      </c>
      <c r="L157" s="4" t="s">
        <v>43</v>
      </c>
      <c r="M157" s="4">
        <v>1</v>
      </c>
    </row>
    <row r="158" spans="1:13" ht="90" customHeight="1" x14ac:dyDescent="0.3">
      <c r="A158" s="8"/>
      <c r="B158" s="7"/>
      <c r="C158" s="7"/>
      <c r="D158" s="7"/>
      <c r="E158" s="7"/>
      <c r="F158" s="7"/>
      <c r="G158" s="7"/>
      <c r="H158" s="7"/>
      <c r="I158" s="4" t="s">
        <v>47</v>
      </c>
      <c r="J158" s="4">
        <v>0.99669747402613706</v>
      </c>
      <c r="K158" s="4" t="s">
        <v>29</v>
      </c>
      <c r="L158" s="4" t="s">
        <v>43</v>
      </c>
      <c r="M158" s="4">
        <v>3</v>
      </c>
    </row>
    <row r="159" spans="1:13" ht="90" customHeight="1" x14ac:dyDescent="0.3">
      <c r="A159" s="8"/>
      <c r="B159" s="7"/>
      <c r="C159" s="7"/>
      <c r="D159" s="7"/>
      <c r="E159" s="7"/>
      <c r="F159" s="7"/>
      <c r="G159" s="7"/>
      <c r="H159" s="7"/>
      <c r="I159" s="4" t="s">
        <v>49</v>
      </c>
      <c r="J159" s="4">
        <v>0.91666112147504453</v>
      </c>
      <c r="K159" s="4" t="s">
        <v>29</v>
      </c>
      <c r="L159" s="4" t="s">
        <v>43</v>
      </c>
      <c r="M159" s="4">
        <v>2</v>
      </c>
    </row>
    <row r="160" spans="1:13" ht="90" customHeight="1" x14ac:dyDescent="0.3">
      <c r="A160" s="8"/>
      <c r="B160" s="7"/>
      <c r="C160" s="7"/>
      <c r="D160" s="7"/>
      <c r="E160" s="7"/>
      <c r="F160" s="7"/>
      <c r="G160" s="7"/>
      <c r="H160" s="7"/>
      <c r="I160" s="1"/>
      <c r="J160" s="1"/>
      <c r="K160" s="1"/>
      <c r="L160" s="1"/>
      <c r="M160" s="1"/>
    </row>
    <row r="161" spans="1:13" ht="90" customHeight="1" x14ac:dyDescent="0.3">
      <c r="A161" s="8"/>
      <c r="B161" s="7"/>
      <c r="C161" s="7"/>
      <c r="D161" s="7"/>
      <c r="E161" s="7"/>
      <c r="F161" s="7"/>
      <c r="G161" s="7"/>
      <c r="H161" s="7"/>
      <c r="I161" s="1"/>
      <c r="J161" s="1"/>
      <c r="K161" s="1"/>
      <c r="L161" s="1"/>
      <c r="M161" s="1"/>
    </row>
    <row r="162" spans="1:13" ht="90" customHeight="1" x14ac:dyDescent="0.3">
      <c r="A162" s="8">
        <v>51</v>
      </c>
      <c r="B162" s="8" t="s">
        <v>256</v>
      </c>
      <c r="C162" s="8" t="s">
        <v>257</v>
      </c>
      <c r="D162" s="8" t="s">
        <v>258</v>
      </c>
      <c r="E162" s="6" t="s">
        <v>24</v>
      </c>
      <c r="F162" s="6" t="s">
        <v>25</v>
      </c>
      <c r="G162" s="8" t="s">
        <v>259</v>
      </c>
      <c r="H162" s="8" t="s">
        <v>260</v>
      </c>
      <c r="I162" s="4" t="s">
        <v>261</v>
      </c>
      <c r="J162" s="4">
        <v>0.99963474273681641</v>
      </c>
      <c r="K162" s="4" t="s">
        <v>29</v>
      </c>
      <c r="L162" s="4" t="s">
        <v>257</v>
      </c>
      <c r="M162" s="4">
        <v>25</v>
      </c>
    </row>
    <row r="163" spans="1:13" ht="90" customHeight="1" x14ac:dyDescent="0.3">
      <c r="A163" s="8"/>
      <c r="B163" s="7"/>
      <c r="C163" s="7"/>
      <c r="D163" s="7"/>
      <c r="E163" s="7"/>
      <c r="F163" s="7"/>
      <c r="G163" s="7"/>
      <c r="H163" s="7"/>
      <c r="I163" s="5" t="s">
        <v>262</v>
      </c>
      <c r="J163" s="5">
        <v>0.9990402738463956</v>
      </c>
      <c r="K163" s="5" t="s">
        <v>29</v>
      </c>
      <c r="L163" s="5" t="s">
        <v>257</v>
      </c>
      <c r="M163" s="5">
        <v>26</v>
      </c>
    </row>
    <row r="164" spans="1:13" ht="90" customHeight="1" x14ac:dyDescent="0.3">
      <c r="A164" s="8"/>
      <c r="B164" s="7"/>
      <c r="C164" s="7"/>
      <c r="D164" s="7"/>
      <c r="E164" s="7"/>
      <c r="F164" s="7"/>
      <c r="G164" s="7"/>
      <c r="H164" s="7"/>
      <c r="I164" s="1"/>
      <c r="J164" s="1"/>
      <c r="K164" s="1"/>
      <c r="L164" s="1"/>
      <c r="M164" s="1"/>
    </row>
    <row r="165" spans="1:13" ht="90" customHeight="1" x14ac:dyDescent="0.3">
      <c r="A165" s="8"/>
      <c r="B165" s="7"/>
      <c r="C165" s="7"/>
      <c r="D165" s="7"/>
      <c r="E165" s="7"/>
      <c r="F165" s="7"/>
      <c r="G165" s="7"/>
      <c r="H165" s="7"/>
      <c r="I165" s="1"/>
      <c r="J165" s="1"/>
      <c r="K165" s="1"/>
      <c r="L165" s="1"/>
      <c r="M165" s="1"/>
    </row>
    <row r="166" spans="1:13" ht="90" customHeight="1" x14ac:dyDescent="0.3">
      <c r="A166" s="8"/>
      <c r="B166" s="7"/>
      <c r="C166" s="7"/>
      <c r="D166" s="7"/>
      <c r="E166" s="7"/>
      <c r="F166" s="7"/>
      <c r="G166" s="7"/>
      <c r="H166" s="7"/>
      <c r="I166" s="1"/>
      <c r="J166" s="1"/>
      <c r="K166" s="1"/>
      <c r="L166" s="1"/>
      <c r="M166" s="1"/>
    </row>
    <row r="167" spans="1:13" ht="90" customHeight="1" x14ac:dyDescent="0.3">
      <c r="A167" s="8">
        <v>53</v>
      </c>
      <c r="B167" s="8" t="s">
        <v>263</v>
      </c>
      <c r="C167" s="8" t="s">
        <v>73</v>
      </c>
      <c r="D167" s="8" t="s">
        <v>109</v>
      </c>
      <c r="E167" s="6" t="s">
        <v>24</v>
      </c>
      <c r="F167" s="6" t="s">
        <v>25</v>
      </c>
      <c r="G167" s="8" t="s">
        <v>264</v>
      </c>
      <c r="H167" s="8" t="s">
        <v>265</v>
      </c>
      <c r="I167" s="4" t="s">
        <v>266</v>
      </c>
      <c r="J167" s="4">
        <v>0.7693641185760498</v>
      </c>
      <c r="K167" s="4" t="s">
        <v>29</v>
      </c>
      <c r="L167" s="4" t="s">
        <v>73</v>
      </c>
      <c r="M167" s="4">
        <v>2</v>
      </c>
    </row>
    <row r="168" spans="1:13" ht="90" customHeight="1" x14ac:dyDescent="0.3">
      <c r="A168" s="8"/>
      <c r="B168" s="7"/>
      <c r="C168" s="7"/>
      <c r="D168" s="7"/>
      <c r="E168" s="7"/>
      <c r="F168" s="7"/>
      <c r="G168" s="7"/>
      <c r="H168" s="7"/>
      <c r="I168" s="1"/>
      <c r="J168" s="1"/>
      <c r="K168" s="1"/>
      <c r="L168" s="1"/>
      <c r="M168" s="1"/>
    </row>
    <row r="169" spans="1:13" ht="90" customHeight="1" x14ac:dyDescent="0.3">
      <c r="A169" s="8"/>
      <c r="B169" s="7"/>
      <c r="C169" s="7"/>
      <c r="D169" s="7"/>
      <c r="E169" s="7"/>
      <c r="F169" s="7"/>
      <c r="G169" s="7"/>
      <c r="H169" s="7"/>
      <c r="I169" s="1"/>
      <c r="J169" s="1"/>
      <c r="K169" s="1"/>
      <c r="L169" s="1"/>
      <c r="M169" s="1"/>
    </row>
    <row r="170" spans="1:13" ht="90" customHeight="1" x14ac:dyDescent="0.3">
      <c r="A170" s="8"/>
      <c r="B170" s="7"/>
      <c r="C170" s="7"/>
      <c r="D170" s="7"/>
      <c r="E170" s="7"/>
      <c r="F170" s="7"/>
      <c r="G170" s="7"/>
      <c r="H170" s="7"/>
      <c r="I170" s="1"/>
      <c r="J170" s="1"/>
      <c r="K170" s="1"/>
      <c r="L170" s="1"/>
      <c r="M170" s="1"/>
    </row>
    <row r="171" spans="1:13" ht="90" customHeight="1" x14ac:dyDescent="0.3">
      <c r="A171" s="8"/>
      <c r="B171" s="7"/>
      <c r="C171" s="7"/>
      <c r="D171" s="7"/>
      <c r="E171" s="7"/>
      <c r="F171" s="7"/>
      <c r="G171" s="7"/>
      <c r="H171" s="7"/>
      <c r="I171" s="1"/>
      <c r="J171" s="1"/>
      <c r="K171" s="1"/>
      <c r="L171" s="1"/>
      <c r="M171" s="1"/>
    </row>
    <row r="172" spans="1:13" ht="90" customHeight="1" x14ac:dyDescent="0.3">
      <c r="A172" s="8">
        <v>54</v>
      </c>
      <c r="B172" s="8" t="s">
        <v>267</v>
      </c>
      <c r="C172" s="8" t="s">
        <v>114</v>
      </c>
      <c r="D172" s="8" t="s">
        <v>235</v>
      </c>
      <c r="E172" s="6" t="s">
        <v>24</v>
      </c>
      <c r="F172" s="6" t="s">
        <v>25</v>
      </c>
      <c r="G172" s="8" t="s">
        <v>268</v>
      </c>
      <c r="H172" s="8" t="s">
        <v>269</v>
      </c>
      <c r="I172" s="2" t="s">
        <v>270</v>
      </c>
      <c r="J172" s="2">
        <v>0.99994146823883057</v>
      </c>
      <c r="K172" s="2" t="s">
        <v>65</v>
      </c>
      <c r="L172" s="2" t="s">
        <v>271</v>
      </c>
      <c r="M172" s="2">
        <v>1</v>
      </c>
    </row>
    <row r="173" spans="1:13" ht="90" customHeight="1" x14ac:dyDescent="0.3">
      <c r="A173" s="8"/>
      <c r="B173" s="7"/>
      <c r="C173" s="7"/>
      <c r="D173" s="7"/>
      <c r="E173" s="7"/>
      <c r="F173" s="7"/>
      <c r="G173" s="7"/>
      <c r="H173" s="7"/>
      <c r="I173" s="2" t="s">
        <v>272</v>
      </c>
      <c r="J173" s="2">
        <v>0.99256610870361328</v>
      </c>
      <c r="K173" s="2" t="s">
        <v>65</v>
      </c>
      <c r="L173" s="2" t="s">
        <v>271</v>
      </c>
      <c r="M173" s="2">
        <v>2</v>
      </c>
    </row>
    <row r="174" spans="1:13" ht="90" customHeight="1" x14ac:dyDescent="0.3">
      <c r="A174" s="8"/>
      <c r="B174" s="7"/>
      <c r="C174" s="7"/>
      <c r="D174" s="7"/>
      <c r="E174" s="7"/>
      <c r="F174" s="7"/>
      <c r="G174" s="7"/>
      <c r="H174" s="7"/>
      <c r="I174" s="4" t="s">
        <v>273</v>
      </c>
      <c r="J174" s="4">
        <v>0.97484338283538818</v>
      </c>
      <c r="K174" s="4" t="s">
        <v>29</v>
      </c>
      <c r="L174" s="4" t="s">
        <v>114</v>
      </c>
      <c r="M174" s="4">
        <v>7</v>
      </c>
    </row>
    <row r="175" spans="1:13" ht="90" customHeight="1" x14ac:dyDescent="0.3">
      <c r="A175" s="8"/>
      <c r="B175" s="7"/>
      <c r="C175" s="7"/>
      <c r="D175" s="7"/>
      <c r="E175" s="7"/>
      <c r="F175" s="7"/>
      <c r="G175" s="7"/>
      <c r="H175" s="7"/>
      <c r="I175" s="1" t="s">
        <v>274</v>
      </c>
      <c r="J175" s="1">
        <v>0.91328141116511397</v>
      </c>
      <c r="K175" s="1" t="s">
        <v>65</v>
      </c>
      <c r="L175" s="1" t="s">
        <v>271</v>
      </c>
      <c r="M175" s="1">
        <v>2</v>
      </c>
    </row>
    <row r="176" spans="1:13" ht="90" customHeight="1" x14ac:dyDescent="0.3">
      <c r="A176" s="8"/>
      <c r="B176" s="7"/>
      <c r="C176" s="7"/>
      <c r="D176" s="7"/>
      <c r="E176" s="7"/>
      <c r="F176" s="7"/>
      <c r="G176" s="7"/>
      <c r="H176" s="7"/>
      <c r="I176" s="1" t="s">
        <v>275</v>
      </c>
      <c r="J176" s="1">
        <v>0.87722522020339966</v>
      </c>
      <c r="K176" s="1" t="s">
        <v>29</v>
      </c>
      <c r="L176" s="1" t="s">
        <v>276</v>
      </c>
      <c r="M176" s="1">
        <v>1</v>
      </c>
    </row>
    <row r="177" spans="1:13" ht="90" customHeight="1" x14ac:dyDescent="0.3">
      <c r="A177" s="8">
        <v>55</v>
      </c>
      <c r="B177" s="8" t="s">
        <v>277</v>
      </c>
      <c r="C177" s="8" t="s">
        <v>73</v>
      </c>
      <c r="D177" s="8" t="s">
        <v>52</v>
      </c>
      <c r="E177" s="6" t="s">
        <v>24</v>
      </c>
      <c r="F177" s="6" t="s">
        <v>25</v>
      </c>
      <c r="G177" s="8" t="s">
        <v>278</v>
      </c>
      <c r="H177" s="8" t="s">
        <v>279</v>
      </c>
      <c r="I177" s="4" t="s">
        <v>280</v>
      </c>
      <c r="J177" s="4">
        <v>0.99953554293125801</v>
      </c>
      <c r="K177" s="4" t="s">
        <v>29</v>
      </c>
      <c r="L177" s="4" t="s">
        <v>73</v>
      </c>
      <c r="M177" s="4">
        <v>5</v>
      </c>
    </row>
    <row r="178" spans="1:13" ht="90" customHeight="1" x14ac:dyDescent="0.3">
      <c r="A178" s="8"/>
      <c r="B178" s="7"/>
      <c r="C178" s="7"/>
      <c r="D178" s="7"/>
      <c r="E178" s="7"/>
      <c r="F178" s="7"/>
      <c r="G178" s="7"/>
      <c r="H178" s="7"/>
      <c r="I178" s="1"/>
      <c r="J178" s="1"/>
      <c r="K178" s="1"/>
      <c r="L178" s="1"/>
      <c r="M178" s="1"/>
    </row>
    <row r="179" spans="1:13" ht="90" customHeight="1" x14ac:dyDescent="0.3">
      <c r="A179" s="8"/>
      <c r="B179" s="7"/>
      <c r="C179" s="7"/>
      <c r="D179" s="7"/>
      <c r="E179" s="7"/>
      <c r="F179" s="7"/>
      <c r="G179" s="7"/>
      <c r="H179" s="7"/>
      <c r="I179" s="1"/>
      <c r="J179" s="1"/>
      <c r="K179" s="1"/>
      <c r="L179" s="1"/>
      <c r="M179" s="1"/>
    </row>
    <row r="180" spans="1:13" ht="90" customHeight="1" x14ac:dyDescent="0.3">
      <c r="A180" s="8"/>
      <c r="B180" s="7"/>
      <c r="C180" s="7"/>
      <c r="D180" s="7"/>
      <c r="E180" s="7"/>
      <c r="F180" s="7"/>
      <c r="G180" s="7"/>
      <c r="H180" s="7"/>
      <c r="I180" s="1"/>
      <c r="J180" s="1"/>
      <c r="K180" s="1"/>
      <c r="L180" s="1"/>
      <c r="M180" s="1"/>
    </row>
    <row r="181" spans="1:13" ht="90" customHeight="1" x14ac:dyDescent="0.3">
      <c r="A181" s="8"/>
      <c r="B181" s="7"/>
      <c r="C181" s="7"/>
      <c r="D181" s="7"/>
      <c r="E181" s="7"/>
      <c r="F181" s="7"/>
      <c r="G181" s="7"/>
      <c r="H181" s="7"/>
      <c r="I181" s="1"/>
      <c r="J181" s="1"/>
      <c r="K181" s="1"/>
      <c r="L181" s="1"/>
      <c r="M181" s="1"/>
    </row>
    <row r="182" spans="1:13" ht="90" customHeight="1" x14ac:dyDescent="0.3">
      <c r="A182" s="8">
        <v>56</v>
      </c>
      <c r="B182" s="8" t="s">
        <v>281</v>
      </c>
      <c r="C182" s="8" t="s">
        <v>121</v>
      </c>
      <c r="D182" s="8" t="s">
        <v>16</v>
      </c>
      <c r="E182" s="6" t="s">
        <v>24</v>
      </c>
      <c r="F182" s="6" t="s">
        <v>25</v>
      </c>
      <c r="G182" s="8" t="s">
        <v>282</v>
      </c>
      <c r="H182" s="8" t="s">
        <v>283</v>
      </c>
      <c r="I182" s="4" t="s">
        <v>120</v>
      </c>
      <c r="J182" s="4">
        <v>0.94065934419631958</v>
      </c>
      <c r="K182" s="4" t="s">
        <v>29</v>
      </c>
      <c r="L182" s="4" t="s">
        <v>121</v>
      </c>
      <c r="M182" s="4">
        <v>1</v>
      </c>
    </row>
    <row r="183" spans="1:13" ht="90" customHeight="1" x14ac:dyDescent="0.3">
      <c r="A183" s="8"/>
      <c r="B183" s="7"/>
      <c r="C183" s="7"/>
      <c r="D183" s="7"/>
      <c r="E183" s="7"/>
      <c r="F183" s="7"/>
      <c r="G183" s="7"/>
      <c r="H183" s="7"/>
      <c r="I183" s="1"/>
      <c r="J183" s="1"/>
      <c r="K183" s="1"/>
      <c r="L183" s="1"/>
      <c r="M183" s="1"/>
    </row>
    <row r="184" spans="1:13" ht="90" customHeight="1" x14ac:dyDescent="0.3">
      <c r="A184" s="8"/>
      <c r="B184" s="7"/>
      <c r="C184" s="7"/>
      <c r="D184" s="7"/>
      <c r="E184" s="7"/>
      <c r="F184" s="7"/>
      <c r="G184" s="7"/>
      <c r="H184" s="7"/>
      <c r="I184" s="1"/>
      <c r="J184" s="1"/>
      <c r="K184" s="1"/>
      <c r="L184" s="1"/>
      <c r="M184" s="1"/>
    </row>
    <row r="185" spans="1:13" ht="90" customHeight="1" x14ac:dyDescent="0.3">
      <c r="A185" s="8"/>
      <c r="B185" s="7"/>
      <c r="C185" s="7"/>
      <c r="D185" s="7"/>
      <c r="E185" s="7"/>
      <c r="F185" s="7"/>
      <c r="G185" s="7"/>
      <c r="H185" s="7"/>
      <c r="I185" s="1"/>
      <c r="J185" s="1"/>
      <c r="K185" s="1"/>
      <c r="L185" s="1"/>
      <c r="M185" s="1"/>
    </row>
    <row r="186" spans="1:13" ht="90" customHeight="1" x14ac:dyDescent="0.3">
      <c r="A186" s="8"/>
      <c r="B186" s="7"/>
      <c r="C186" s="7"/>
      <c r="D186" s="7"/>
      <c r="E186" s="7"/>
      <c r="F186" s="7"/>
      <c r="G186" s="7"/>
      <c r="H186" s="7"/>
      <c r="I186" s="1"/>
      <c r="J186" s="1"/>
      <c r="K186" s="1"/>
      <c r="L186" s="1"/>
      <c r="M186" s="1"/>
    </row>
    <row r="187" spans="1:13" ht="90" customHeight="1" x14ac:dyDescent="0.3">
      <c r="A187" s="8">
        <v>60</v>
      </c>
      <c r="B187" s="8" t="s">
        <v>284</v>
      </c>
      <c r="C187" s="8" t="s">
        <v>285</v>
      </c>
      <c r="D187" s="8" t="s">
        <v>286</v>
      </c>
      <c r="E187" s="6" t="s">
        <v>24</v>
      </c>
      <c r="F187" s="6" t="s">
        <v>25</v>
      </c>
      <c r="G187" s="8" t="s">
        <v>287</v>
      </c>
      <c r="H187" s="8" t="s">
        <v>288</v>
      </c>
      <c r="I187" s="4" t="s">
        <v>289</v>
      </c>
      <c r="J187" s="4">
        <v>0.99441397920367858</v>
      </c>
      <c r="K187" s="4" t="s">
        <v>29</v>
      </c>
      <c r="L187" s="4" t="s">
        <v>285</v>
      </c>
      <c r="M187" s="4">
        <v>24</v>
      </c>
    </row>
    <row r="188" spans="1:13" ht="90" customHeight="1" x14ac:dyDescent="0.3">
      <c r="A188" s="8"/>
      <c r="B188" s="7"/>
      <c r="C188" s="7"/>
      <c r="D188" s="7"/>
      <c r="E188" s="7"/>
      <c r="F188" s="7"/>
      <c r="G188" s="7"/>
      <c r="H188" s="7"/>
      <c r="I188" s="4" t="s">
        <v>290</v>
      </c>
      <c r="J188" s="4">
        <v>0.9909350208180977</v>
      </c>
      <c r="K188" s="4" t="s">
        <v>29</v>
      </c>
      <c r="L188" s="4" t="s">
        <v>285</v>
      </c>
      <c r="M188" s="4">
        <v>26</v>
      </c>
    </row>
    <row r="189" spans="1:13" ht="90" customHeight="1" x14ac:dyDescent="0.3">
      <c r="A189" s="8"/>
      <c r="B189" s="7"/>
      <c r="C189" s="7"/>
      <c r="D189" s="7"/>
      <c r="E189" s="7"/>
      <c r="F189" s="7"/>
      <c r="G189" s="7"/>
      <c r="H189" s="7"/>
      <c r="I189" s="4" t="s">
        <v>291</v>
      </c>
      <c r="J189" s="4">
        <v>0.98891971996073158</v>
      </c>
      <c r="K189" s="4" t="s">
        <v>29</v>
      </c>
      <c r="L189" s="4" t="s">
        <v>285</v>
      </c>
      <c r="M189" s="4">
        <v>23</v>
      </c>
    </row>
    <row r="190" spans="1:13" ht="90" customHeight="1" x14ac:dyDescent="0.3">
      <c r="A190" s="8"/>
      <c r="B190" s="7"/>
      <c r="C190" s="7"/>
      <c r="D190" s="7"/>
      <c r="E190" s="7"/>
      <c r="F190" s="7"/>
      <c r="G190" s="7"/>
      <c r="H190" s="7"/>
      <c r="I190" s="1"/>
      <c r="J190" s="1"/>
      <c r="K190" s="1"/>
      <c r="L190" s="1"/>
      <c r="M190" s="1"/>
    </row>
    <row r="191" spans="1:13" ht="90" customHeight="1" x14ac:dyDescent="0.3">
      <c r="A191" s="8"/>
      <c r="B191" s="7"/>
      <c r="C191" s="7"/>
      <c r="D191" s="7"/>
      <c r="E191" s="7"/>
      <c r="F191" s="7"/>
      <c r="G191" s="7"/>
      <c r="H191" s="7"/>
      <c r="I191" s="1"/>
      <c r="J191" s="1"/>
      <c r="K191" s="1"/>
      <c r="L191" s="1"/>
      <c r="M191" s="1"/>
    </row>
    <row r="192" spans="1:13" ht="90" customHeight="1" x14ac:dyDescent="0.3">
      <c r="A192" s="8">
        <v>62</v>
      </c>
      <c r="B192" s="8" t="s">
        <v>292</v>
      </c>
      <c r="C192" s="8" t="s">
        <v>293</v>
      </c>
      <c r="D192" s="8" t="s">
        <v>74</v>
      </c>
      <c r="E192" s="6" t="s">
        <v>24</v>
      </c>
      <c r="F192" s="6" t="s">
        <v>25</v>
      </c>
      <c r="G192" s="8" t="s">
        <v>294</v>
      </c>
      <c r="H192" s="8" t="s">
        <v>295</v>
      </c>
      <c r="I192" s="4" t="s">
        <v>296</v>
      </c>
      <c r="J192" s="4">
        <v>0.99055707454681396</v>
      </c>
      <c r="K192" s="4" t="s">
        <v>29</v>
      </c>
      <c r="L192" s="4" t="s">
        <v>293</v>
      </c>
      <c r="M192" s="4">
        <v>4</v>
      </c>
    </row>
    <row r="193" spans="1:13" ht="90" customHeight="1" x14ac:dyDescent="0.3">
      <c r="A193" s="8"/>
      <c r="B193" s="7"/>
      <c r="C193" s="7"/>
      <c r="D193" s="7"/>
      <c r="E193" s="7"/>
      <c r="F193" s="7"/>
      <c r="G193" s="7"/>
      <c r="H193" s="7"/>
      <c r="I193" s="1"/>
      <c r="J193" s="1"/>
      <c r="K193" s="1"/>
      <c r="L193" s="1"/>
      <c r="M193" s="1"/>
    </row>
    <row r="194" spans="1:13" ht="90" customHeight="1" x14ac:dyDescent="0.3">
      <c r="A194" s="8"/>
      <c r="B194" s="7"/>
      <c r="C194" s="7"/>
      <c r="D194" s="7"/>
      <c r="E194" s="7"/>
      <c r="F194" s="7"/>
      <c r="G194" s="7"/>
      <c r="H194" s="7"/>
      <c r="I194" s="1"/>
      <c r="J194" s="1"/>
      <c r="K194" s="1"/>
      <c r="L194" s="1"/>
      <c r="M194" s="1"/>
    </row>
    <row r="195" spans="1:13" ht="90" customHeight="1" x14ac:dyDescent="0.3">
      <c r="A195" s="8"/>
      <c r="B195" s="7"/>
      <c r="C195" s="7"/>
      <c r="D195" s="7"/>
      <c r="E195" s="7"/>
      <c r="F195" s="7"/>
      <c r="G195" s="7"/>
      <c r="H195" s="7"/>
      <c r="I195" s="1"/>
      <c r="J195" s="1"/>
      <c r="K195" s="1"/>
      <c r="L195" s="1"/>
      <c r="M195" s="1"/>
    </row>
    <row r="196" spans="1:13" ht="90" customHeight="1" x14ac:dyDescent="0.3">
      <c r="A196" s="8"/>
      <c r="B196" s="7"/>
      <c r="C196" s="7"/>
      <c r="D196" s="7"/>
      <c r="E196" s="7"/>
      <c r="F196" s="7"/>
      <c r="G196" s="7"/>
      <c r="H196" s="7"/>
      <c r="I196" s="1"/>
      <c r="J196" s="1"/>
      <c r="K196" s="1"/>
      <c r="L196" s="1"/>
      <c r="M196" s="1"/>
    </row>
    <row r="197" spans="1:13" ht="90" customHeight="1" x14ac:dyDescent="0.3">
      <c r="A197" s="8">
        <v>64</v>
      </c>
      <c r="B197" s="8" t="s">
        <v>297</v>
      </c>
      <c r="C197" s="8" t="s">
        <v>298</v>
      </c>
      <c r="D197" s="8" t="s">
        <v>299</v>
      </c>
      <c r="E197" s="6" t="s">
        <v>17</v>
      </c>
      <c r="F197" s="6" t="s">
        <v>18</v>
      </c>
      <c r="G197" s="8" t="s">
        <v>300</v>
      </c>
      <c r="H197" s="8" t="s">
        <v>301</v>
      </c>
      <c r="I197" s="1" t="s">
        <v>302</v>
      </c>
      <c r="J197" s="1">
        <v>0.99696797132492065</v>
      </c>
      <c r="K197" s="1" t="s">
        <v>29</v>
      </c>
      <c r="L197" s="1" t="s">
        <v>206</v>
      </c>
      <c r="M197" s="1">
        <v>45</v>
      </c>
    </row>
    <row r="198" spans="1:13" ht="90" customHeight="1" x14ac:dyDescent="0.3">
      <c r="A198" s="8"/>
      <c r="B198" s="7"/>
      <c r="C198" s="7"/>
      <c r="D198" s="7"/>
      <c r="E198" s="7"/>
      <c r="F198" s="7"/>
      <c r="G198" s="7"/>
      <c r="H198" s="7"/>
      <c r="I198" s="2" t="s">
        <v>303</v>
      </c>
      <c r="J198" s="2">
        <v>0.99338781833648682</v>
      </c>
      <c r="K198" s="2" t="s">
        <v>29</v>
      </c>
      <c r="L198" s="2" t="s">
        <v>304</v>
      </c>
      <c r="M198" s="2">
        <v>12</v>
      </c>
    </row>
    <row r="199" spans="1:13" ht="90" customHeight="1" x14ac:dyDescent="0.3">
      <c r="A199" s="8"/>
      <c r="B199" s="7"/>
      <c r="C199" s="7"/>
      <c r="D199" s="7"/>
      <c r="E199" s="7"/>
      <c r="F199" s="7"/>
      <c r="G199" s="7"/>
      <c r="H199" s="7"/>
      <c r="I199" s="2" t="s">
        <v>305</v>
      </c>
      <c r="J199" s="2">
        <v>0.94004803895950317</v>
      </c>
      <c r="K199" s="2" t="s">
        <v>29</v>
      </c>
      <c r="L199" s="2" t="s">
        <v>304</v>
      </c>
      <c r="M199" s="2">
        <v>37</v>
      </c>
    </row>
    <row r="200" spans="1:13" ht="90" customHeight="1" x14ac:dyDescent="0.3">
      <c r="A200" s="8"/>
      <c r="B200" s="7"/>
      <c r="C200" s="7"/>
      <c r="D200" s="7"/>
      <c r="E200" s="7"/>
      <c r="F200" s="7"/>
      <c r="G200" s="7"/>
      <c r="H200" s="7"/>
      <c r="I200" s="1" t="s">
        <v>306</v>
      </c>
      <c r="J200" s="1">
        <v>0.93708217144012451</v>
      </c>
      <c r="K200" s="1" t="s">
        <v>29</v>
      </c>
      <c r="L200" s="1" t="s">
        <v>304</v>
      </c>
      <c r="M200" s="1">
        <v>14</v>
      </c>
    </row>
    <row r="201" spans="1:13" ht="90" customHeight="1" x14ac:dyDescent="0.3">
      <c r="A201" s="8"/>
      <c r="B201" s="7"/>
      <c r="C201" s="7"/>
      <c r="D201" s="7"/>
      <c r="E201" s="7"/>
      <c r="F201" s="7"/>
      <c r="G201" s="7"/>
      <c r="H201" s="7"/>
      <c r="I201" s="1"/>
      <c r="J201" s="1"/>
      <c r="K201" s="1"/>
      <c r="L201" s="1"/>
      <c r="M201" s="1"/>
    </row>
    <row r="202" spans="1:13" ht="90" customHeight="1" x14ac:dyDescent="0.3">
      <c r="A202" s="8">
        <v>65</v>
      </c>
      <c r="B202" s="8" t="s">
        <v>307</v>
      </c>
      <c r="C202" s="8" t="s">
        <v>308</v>
      </c>
      <c r="D202" s="8" t="s">
        <v>309</v>
      </c>
      <c r="E202" s="6" t="s">
        <v>24</v>
      </c>
      <c r="F202" s="6" t="s">
        <v>25</v>
      </c>
      <c r="G202" s="8" t="s">
        <v>310</v>
      </c>
      <c r="H202" s="8" t="s">
        <v>311</v>
      </c>
      <c r="I202" s="4" t="s">
        <v>312</v>
      </c>
      <c r="J202" s="4">
        <v>0.93229772931163168</v>
      </c>
      <c r="K202" s="4" t="s">
        <v>29</v>
      </c>
      <c r="L202" s="4" t="s">
        <v>308</v>
      </c>
      <c r="M202" s="4">
        <v>4</v>
      </c>
    </row>
    <row r="203" spans="1:13" ht="90" customHeight="1" x14ac:dyDescent="0.3">
      <c r="A203" s="8"/>
      <c r="B203" s="7"/>
      <c r="C203" s="7"/>
      <c r="D203" s="7"/>
      <c r="E203" s="7"/>
      <c r="F203" s="7"/>
      <c r="G203" s="7"/>
      <c r="H203" s="7"/>
      <c r="I203" s="1"/>
      <c r="J203" s="1"/>
      <c r="K203" s="1"/>
      <c r="L203" s="1"/>
      <c r="M203" s="1"/>
    </row>
    <row r="204" spans="1:13" ht="90" customHeight="1" x14ac:dyDescent="0.3">
      <c r="A204" s="8"/>
      <c r="B204" s="7"/>
      <c r="C204" s="7"/>
      <c r="D204" s="7"/>
      <c r="E204" s="7"/>
      <c r="F204" s="7"/>
      <c r="G204" s="7"/>
      <c r="H204" s="7"/>
      <c r="I204" s="1"/>
      <c r="J204" s="1"/>
      <c r="K204" s="1"/>
      <c r="L204" s="1"/>
      <c r="M204" s="1"/>
    </row>
    <row r="205" spans="1:13" ht="90" customHeight="1" x14ac:dyDescent="0.3">
      <c r="A205" s="8"/>
      <c r="B205" s="7"/>
      <c r="C205" s="7"/>
      <c r="D205" s="7"/>
      <c r="E205" s="7"/>
      <c r="F205" s="7"/>
      <c r="G205" s="7"/>
      <c r="H205" s="7"/>
      <c r="I205" s="1"/>
      <c r="J205" s="1"/>
      <c r="K205" s="1"/>
      <c r="L205" s="1"/>
      <c r="M205" s="1"/>
    </row>
    <row r="206" spans="1:13" ht="90" customHeight="1" x14ac:dyDescent="0.3">
      <c r="A206" s="8"/>
      <c r="B206" s="7"/>
      <c r="C206" s="7"/>
      <c r="D206" s="7"/>
      <c r="E206" s="7"/>
      <c r="F206" s="7"/>
      <c r="G206" s="7"/>
      <c r="H206" s="7"/>
      <c r="I206" s="1"/>
      <c r="J206" s="1"/>
      <c r="K206" s="1"/>
      <c r="L206" s="1"/>
      <c r="M206" s="1"/>
    </row>
    <row r="207" spans="1:13" ht="90" customHeight="1" x14ac:dyDescent="0.3">
      <c r="A207" s="8">
        <v>67</v>
      </c>
      <c r="B207" s="8" t="s">
        <v>313</v>
      </c>
      <c r="C207" s="8" t="s">
        <v>314</v>
      </c>
      <c r="D207" s="8" t="s">
        <v>16</v>
      </c>
      <c r="E207" s="6" t="s">
        <v>17</v>
      </c>
      <c r="F207" s="6" t="s">
        <v>18</v>
      </c>
      <c r="G207" s="8" t="s">
        <v>315</v>
      </c>
      <c r="H207" s="8" t="s">
        <v>316</v>
      </c>
      <c r="I207" s="2" t="s">
        <v>317</v>
      </c>
      <c r="J207" s="2">
        <v>0.93792092800140381</v>
      </c>
      <c r="K207" s="2" t="s">
        <v>29</v>
      </c>
      <c r="L207" s="2" t="s">
        <v>318</v>
      </c>
      <c r="M207" s="2">
        <v>473</v>
      </c>
    </row>
    <row r="208" spans="1:13" ht="90" customHeight="1" x14ac:dyDescent="0.3">
      <c r="A208" s="8"/>
      <c r="B208" s="7"/>
      <c r="C208" s="7"/>
      <c r="D208" s="7"/>
      <c r="E208" s="7"/>
      <c r="F208" s="7"/>
      <c r="G208" s="7"/>
      <c r="H208" s="7"/>
      <c r="I208" s="1" t="s">
        <v>319</v>
      </c>
      <c r="J208" s="1">
        <v>0.91901779174804688</v>
      </c>
      <c r="K208" s="1" t="s">
        <v>29</v>
      </c>
      <c r="L208" s="1" t="s">
        <v>320</v>
      </c>
      <c r="M208" s="1">
        <v>192</v>
      </c>
    </row>
    <row r="209" spans="1:13" ht="90" customHeight="1" x14ac:dyDescent="0.3">
      <c r="A209" s="8"/>
      <c r="B209" s="7"/>
      <c r="C209" s="7"/>
      <c r="D209" s="7"/>
      <c r="E209" s="7"/>
      <c r="F209" s="7"/>
      <c r="G209" s="7"/>
      <c r="H209" s="7"/>
      <c r="I209" s="2" t="s">
        <v>321</v>
      </c>
      <c r="J209" s="2">
        <v>0.88852649927139282</v>
      </c>
      <c r="K209" s="2" t="s">
        <v>29</v>
      </c>
      <c r="L209" s="2" t="s">
        <v>320</v>
      </c>
      <c r="M209" s="2">
        <v>81</v>
      </c>
    </row>
    <row r="210" spans="1:13" ht="90" customHeight="1" x14ac:dyDescent="0.3">
      <c r="A210" s="8"/>
      <c r="B210" s="7"/>
      <c r="C210" s="7"/>
      <c r="D210" s="7"/>
      <c r="E210" s="7"/>
      <c r="F210" s="7"/>
      <c r="G210" s="7"/>
      <c r="H210" s="7"/>
      <c r="I210" s="2" t="s">
        <v>322</v>
      </c>
      <c r="J210" s="2">
        <v>0.88546717166900635</v>
      </c>
      <c r="K210" s="2" t="s">
        <v>29</v>
      </c>
      <c r="L210" s="2" t="s">
        <v>128</v>
      </c>
      <c r="M210" s="2">
        <v>648</v>
      </c>
    </row>
    <row r="211" spans="1:13" ht="90" customHeight="1" x14ac:dyDescent="0.3">
      <c r="A211" s="8"/>
      <c r="B211" s="7"/>
      <c r="C211" s="7"/>
      <c r="D211" s="7"/>
      <c r="E211" s="7"/>
      <c r="F211" s="7"/>
      <c r="G211" s="7"/>
      <c r="H211" s="7"/>
      <c r="I211" s="1" t="s">
        <v>323</v>
      </c>
      <c r="J211" s="1">
        <v>0.87357139587402344</v>
      </c>
      <c r="K211" s="1" t="s">
        <v>29</v>
      </c>
      <c r="L211" s="1" t="s">
        <v>318</v>
      </c>
      <c r="M211" s="1">
        <v>474</v>
      </c>
    </row>
    <row r="212" spans="1:13" ht="90" customHeight="1" x14ac:dyDescent="0.3">
      <c r="A212" s="8">
        <v>71</v>
      </c>
      <c r="B212" s="8" t="s">
        <v>324</v>
      </c>
      <c r="C212" s="8" t="s">
        <v>325</v>
      </c>
      <c r="D212" s="8" t="s">
        <v>326</v>
      </c>
      <c r="E212" s="6" t="s">
        <v>24</v>
      </c>
      <c r="F212" s="6" t="s">
        <v>25</v>
      </c>
      <c r="G212" s="8" t="s">
        <v>327</v>
      </c>
      <c r="H212" s="8" t="s">
        <v>328</v>
      </c>
      <c r="I212" s="4" t="s">
        <v>329</v>
      </c>
      <c r="J212" s="4">
        <v>0.99914073943938053</v>
      </c>
      <c r="K212" s="4" t="s">
        <v>29</v>
      </c>
      <c r="L212" s="4" t="s">
        <v>325</v>
      </c>
      <c r="M212" s="4">
        <v>220</v>
      </c>
    </row>
    <row r="213" spans="1:13" ht="90" customHeight="1" x14ac:dyDescent="0.3">
      <c r="A213" s="8"/>
      <c r="B213" s="7"/>
      <c r="C213" s="7"/>
      <c r="D213" s="7"/>
      <c r="E213" s="7"/>
      <c r="F213" s="7"/>
      <c r="G213" s="7"/>
      <c r="H213" s="7"/>
      <c r="I213" s="4" t="s">
        <v>330</v>
      </c>
      <c r="J213" s="4">
        <v>0.99802714586257935</v>
      </c>
      <c r="K213" s="4" t="s">
        <v>29</v>
      </c>
      <c r="L213" s="4" t="s">
        <v>325</v>
      </c>
      <c r="M213" s="4">
        <v>219</v>
      </c>
    </row>
    <row r="214" spans="1:13" ht="90" customHeight="1" x14ac:dyDescent="0.3">
      <c r="A214" s="8"/>
      <c r="B214" s="7"/>
      <c r="C214" s="7"/>
      <c r="D214" s="7"/>
      <c r="E214" s="7"/>
      <c r="F214" s="7"/>
      <c r="G214" s="7"/>
      <c r="H214" s="7"/>
      <c r="I214" s="1"/>
      <c r="J214" s="1"/>
      <c r="K214" s="1"/>
      <c r="L214" s="1"/>
      <c r="M214" s="1"/>
    </row>
    <row r="215" spans="1:13" ht="90" customHeight="1" x14ac:dyDescent="0.3">
      <c r="A215" s="8"/>
      <c r="B215" s="7"/>
      <c r="C215" s="7"/>
      <c r="D215" s="7"/>
      <c r="E215" s="7"/>
      <c r="F215" s="7"/>
      <c r="G215" s="7"/>
      <c r="H215" s="7"/>
      <c r="I215" s="1"/>
      <c r="J215" s="1"/>
      <c r="K215" s="1"/>
      <c r="L215" s="1"/>
      <c r="M215" s="1"/>
    </row>
    <row r="216" spans="1:13" ht="90" customHeight="1" x14ac:dyDescent="0.3">
      <c r="A216" s="8"/>
      <c r="B216" s="7"/>
      <c r="C216" s="7"/>
      <c r="D216" s="7"/>
      <c r="E216" s="7"/>
      <c r="F216" s="7"/>
      <c r="G216" s="7"/>
      <c r="H216" s="7"/>
      <c r="I216" s="1"/>
      <c r="J216" s="1"/>
      <c r="K216" s="1"/>
      <c r="L216" s="1"/>
      <c r="M216" s="1"/>
    </row>
    <row r="217" spans="1:13" ht="90" customHeight="1" x14ac:dyDescent="0.3">
      <c r="A217" s="8">
        <v>72</v>
      </c>
      <c r="B217" s="8" t="s">
        <v>331</v>
      </c>
      <c r="C217" s="8" t="s">
        <v>332</v>
      </c>
      <c r="D217" s="8" t="s">
        <v>333</v>
      </c>
      <c r="E217" s="6" t="s">
        <v>24</v>
      </c>
      <c r="F217" s="6" t="s">
        <v>25</v>
      </c>
      <c r="G217" s="8" t="s">
        <v>334</v>
      </c>
      <c r="H217" s="8" t="s">
        <v>335</v>
      </c>
      <c r="I217" s="4" t="s">
        <v>336</v>
      </c>
      <c r="J217" s="4">
        <v>0.99999392032623291</v>
      </c>
      <c r="K217" s="4" t="s">
        <v>29</v>
      </c>
      <c r="L217" s="4" t="s">
        <v>332</v>
      </c>
      <c r="M217" s="4">
        <v>99</v>
      </c>
    </row>
    <row r="218" spans="1:13" ht="90" customHeight="1" x14ac:dyDescent="0.3">
      <c r="A218" s="8"/>
      <c r="B218" s="7"/>
      <c r="C218" s="7"/>
      <c r="D218" s="7"/>
      <c r="E218" s="7"/>
      <c r="F218" s="7"/>
      <c r="G218" s="7"/>
      <c r="H218" s="7"/>
      <c r="I218" s="2" t="s">
        <v>337</v>
      </c>
      <c r="J218" s="2">
        <v>0.99998617170544946</v>
      </c>
      <c r="K218" s="2" t="s">
        <v>29</v>
      </c>
      <c r="L218" s="2" t="s">
        <v>338</v>
      </c>
      <c r="M218" s="2">
        <v>64</v>
      </c>
    </row>
    <row r="219" spans="1:13" ht="90" customHeight="1" x14ac:dyDescent="0.3">
      <c r="A219" s="8"/>
      <c r="B219" s="7"/>
      <c r="C219" s="7"/>
      <c r="D219" s="7"/>
      <c r="E219" s="7"/>
      <c r="F219" s="7"/>
      <c r="G219" s="7"/>
      <c r="H219" s="7"/>
      <c r="I219" s="2" t="s">
        <v>339</v>
      </c>
      <c r="J219" s="2">
        <v>0.99996732066480376</v>
      </c>
      <c r="K219" s="2" t="s">
        <v>29</v>
      </c>
      <c r="L219" s="2" t="s">
        <v>340</v>
      </c>
      <c r="M219" s="2">
        <v>21</v>
      </c>
    </row>
    <row r="220" spans="1:13" ht="90" customHeight="1" x14ac:dyDescent="0.3">
      <c r="A220" s="8"/>
      <c r="B220" s="7"/>
      <c r="C220" s="7"/>
      <c r="D220" s="7"/>
      <c r="E220" s="7"/>
      <c r="F220" s="7"/>
      <c r="G220" s="7"/>
      <c r="H220" s="7"/>
      <c r="I220" s="1" t="s">
        <v>341</v>
      </c>
      <c r="J220" s="1">
        <v>0.99995899200439453</v>
      </c>
      <c r="K220" s="1" t="s">
        <v>29</v>
      </c>
      <c r="L220" s="1" t="s">
        <v>340</v>
      </c>
      <c r="M220" s="1">
        <v>22</v>
      </c>
    </row>
    <row r="221" spans="1:13" ht="90" customHeight="1" x14ac:dyDescent="0.3">
      <c r="A221" s="8"/>
      <c r="B221" s="7"/>
      <c r="C221" s="7"/>
      <c r="D221" s="7"/>
      <c r="E221" s="7"/>
      <c r="F221" s="7"/>
      <c r="G221" s="7"/>
      <c r="H221" s="7"/>
      <c r="I221" s="1" t="s">
        <v>342</v>
      </c>
      <c r="J221" s="1">
        <v>0.99995875358581543</v>
      </c>
      <c r="K221" s="1" t="s">
        <v>29</v>
      </c>
      <c r="L221" s="1" t="s">
        <v>343</v>
      </c>
      <c r="M221" s="1">
        <v>28</v>
      </c>
    </row>
    <row r="222" spans="1:13" ht="90" customHeight="1" x14ac:dyDescent="0.3">
      <c r="A222" s="8">
        <v>75</v>
      </c>
      <c r="B222" s="8" t="s">
        <v>344</v>
      </c>
      <c r="C222" s="8" t="s">
        <v>31</v>
      </c>
      <c r="D222" s="8" t="s">
        <v>345</v>
      </c>
      <c r="E222" s="6" t="s">
        <v>24</v>
      </c>
      <c r="F222" s="6" t="s">
        <v>25</v>
      </c>
      <c r="G222" s="8" t="s">
        <v>346</v>
      </c>
      <c r="H222" s="8" t="s">
        <v>347</v>
      </c>
      <c r="I222" s="2" t="s">
        <v>348</v>
      </c>
      <c r="J222" s="2">
        <v>0.98702687025070124</v>
      </c>
      <c r="K222" s="2" t="s">
        <v>29</v>
      </c>
      <c r="L222" s="2" t="s">
        <v>349</v>
      </c>
      <c r="M222" s="2">
        <v>280</v>
      </c>
    </row>
    <row r="223" spans="1:13" ht="90" customHeight="1" x14ac:dyDescent="0.3">
      <c r="A223" s="8"/>
      <c r="B223" s="7"/>
      <c r="C223" s="7"/>
      <c r="D223" s="7"/>
      <c r="E223" s="7"/>
      <c r="F223" s="7"/>
      <c r="G223" s="7"/>
      <c r="H223" s="7"/>
      <c r="I223" s="2" t="s">
        <v>350</v>
      </c>
      <c r="J223" s="2">
        <v>0.98265403509140015</v>
      </c>
      <c r="K223" s="2" t="s">
        <v>29</v>
      </c>
      <c r="L223" s="2" t="s">
        <v>351</v>
      </c>
      <c r="M223" s="2">
        <v>2</v>
      </c>
    </row>
    <row r="224" spans="1:13" ht="90" customHeight="1" x14ac:dyDescent="0.3">
      <c r="A224" s="8"/>
      <c r="B224" s="7"/>
      <c r="C224" s="7"/>
      <c r="D224" s="7"/>
      <c r="E224" s="7"/>
      <c r="F224" s="7"/>
      <c r="G224" s="7"/>
      <c r="H224" s="7"/>
      <c r="I224" s="4" t="s">
        <v>352</v>
      </c>
      <c r="J224" s="4">
        <v>0.96857935190200806</v>
      </c>
      <c r="K224" s="4" t="s">
        <v>29</v>
      </c>
      <c r="L224" s="4" t="s">
        <v>31</v>
      </c>
      <c r="M224" s="4">
        <v>10</v>
      </c>
    </row>
    <row r="225" spans="1:13" ht="90" customHeight="1" x14ac:dyDescent="0.3">
      <c r="A225" s="8"/>
      <c r="B225" s="7"/>
      <c r="C225" s="7"/>
      <c r="D225" s="7"/>
      <c r="E225" s="7"/>
      <c r="F225" s="7"/>
      <c r="G225" s="7"/>
      <c r="H225" s="7"/>
      <c r="I225" s="1" t="s">
        <v>353</v>
      </c>
      <c r="J225" s="1">
        <v>0.9156535267829895</v>
      </c>
      <c r="K225" s="1" t="s">
        <v>29</v>
      </c>
      <c r="L225" s="1" t="s">
        <v>354</v>
      </c>
      <c r="M225" s="1">
        <v>245</v>
      </c>
    </row>
    <row r="226" spans="1:13" ht="90" customHeight="1" x14ac:dyDescent="0.3">
      <c r="A226" s="8"/>
      <c r="B226" s="7"/>
      <c r="C226" s="7"/>
      <c r="D226" s="7"/>
      <c r="E226" s="7"/>
      <c r="F226" s="7"/>
      <c r="G226" s="7"/>
      <c r="H226" s="7"/>
      <c r="I226" s="1" t="s">
        <v>355</v>
      </c>
      <c r="J226" s="1">
        <v>0.88977968692779541</v>
      </c>
      <c r="K226" s="1" t="s">
        <v>29</v>
      </c>
      <c r="L226" s="1" t="s">
        <v>356</v>
      </c>
      <c r="M226" s="1">
        <v>260</v>
      </c>
    </row>
    <row r="227" spans="1:13" ht="90" customHeight="1" x14ac:dyDescent="0.3">
      <c r="A227" s="8">
        <v>76</v>
      </c>
      <c r="B227" s="8" t="s">
        <v>357</v>
      </c>
      <c r="C227" s="8" t="s">
        <v>358</v>
      </c>
      <c r="D227" s="8" t="s">
        <v>359</v>
      </c>
      <c r="E227" s="6" t="s">
        <v>24</v>
      </c>
      <c r="F227" s="6" t="s">
        <v>25</v>
      </c>
      <c r="G227" s="8" t="s">
        <v>360</v>
      </c>
      <c r="H227" s="8" t="s">
        <v>361</v>
      </c>
      <c r="I227" s="4" t="s">
        <v>362</v>
      </c>
      <c r="J227" s="4">
        <v>0.98357707262039185</v>
      </c>
      <c r="K227" s="4" t="s">
        <v>29</v>
      </c>
      <c r="L227" s="4" t="s">
        <v>358</v>
      </c>
      <c r="M227" s="4">
        <v>33</v>
      </c>
    </row>
    <row r="228" spans="1:13" ht="90" customHeight="1" x14ac:dyDescent="0.3">
      <c r="A228" s="8"/>
      <c r="B228" s="7"/>
      <c r="C228" s="7"/>
      <c r="D228" s="7"/>
      <c r="E228" s="7"/>
      <c r="F228" s="7"/>
      <c r="G228" s="7"/>
      <c r="H228" s="7"/>
      <c r="I228" s="1"/>
      <c r="J228" s="1"/>
      <c r="K228" s="1"/>
      <c r="L228" s="1"/>
      <c r="M228" s="1"/>
    </row>
    <row r="229" spans="1:13" ht="90" customHeight="1" x14ac:dyDescent="0.3">
      <c r="A229" s="8"/>
      <c r="B229" s="7"/>
      <c r="C229" s="7"/>
      <c r="D229" s="7"/>
      <c r="E229" s="7"/>
      <c r="F229" s="7"/>
      <c r="G229" s="7"/>
      <c r="H229" s="7"/>
      <c r="I229" s="1"/>
      <c r="J229" s="1"/>
      <c r="K229" s="1"/>
      <c r="L229" s="1"/>
      <c r="M229" s="1"/>
    </row>
    <row r="230" spans="1:13" ht="90" customHeight="1" x14ac:dyDescent="0.3">
      <c r="A230" s="8"/>
      <c r="B230" s="7"/>
      <c r="C230" s="7"/>
      <c r="D230" s="7"/>
      <c r="E230" s="7"/>
      <c r="F230" s="7"/>
      <c r="G230" s="7"/>
      <c r="H230" s="7"/>
      <c r="I230" s="1"/>
      <c r="J230" s="1"/>
      <c r="K230" s="1"/>
      <c r="L230" s="1"/>
      <c r="M230" s="1"/>
    </row>
    <row r="231" spans="1:13" ht="90" customHeight="1" x14ac:dyDescent="0.3">
      <c r="A231" s="8"/>
      <c r="B231" s="7"/>
      <c r="C231" s="7"/>
      <c r="D231" s="7"/>
      <c r="E231" s="7"/>
      <c r="F231" s="7"/>
      <c r="G231" s="7"/>
      <c r="H231" s="7"/>
      <c r="I231" s="1"/>
      <c r="J231" s="1"/>
      <c r="K231" s="1"/>
      <c r="L231" s="1"/>
      <c r="M231" s="1"/>
    </row>
    <row r="232" spans="1:13" ht="90" customHeight="1" x14ac:dyDescent="0.3">
      <c r="A232" s="8">
        <v>77</v>
      </c>
      <c r="B232" s="8" t="s">
        <v>363</v>
      </c>
      <c r="C232" s="8" t="s">
        <v>356</v>
      </c>
      <c r="D232" s="8" t="s">
        <v>364</v>
      </c>
      <c r="E232" s="6" t="s">
        <v>24</v>
      </c>
      <c r="F232" s="6" t="s">
        <v>25</v>
      </c>
      <c r="G232" s="8" t="s">
        <v>365</v>
      </c>
      <c r="H232" s="8" t="s">
        <v>366</v>
      </c>
      <c r="I232" s="4" t="s">
        <v>367</v>
      </c>
      <c r="J232" s="4">
        <v>0.99563735723495483</v>
      </c>
      <c r="K232" s="4" t="s">
        <v>29</v>
      </c>
      <c r="L232" s="4" t="s">
        <v>356</v>
      </c>
      <c r="M232" s="4">
        <v>268</v>
      </c>
    </row>
    <row r="233" spans="1:13" ht="90" customHeight="1" x14ac:dyDescent="0.3">
      <c r="A233" s="8"/>
      <c r="B233" s="7"/>
      <c r="C233" s="7"/>
      <c r="D233" s="7"/>
      <c r="E233" s="7"/>
      <c r="F233" s="7"/>
      <c r="G233" s="7"/>
      <c r="H233" s="7"/>
      <c r="I233" s="2" t="s">
        <v>368</v>
      </c>
      <c r="J233" s="2">
        <v>0.9859844446182251</v>
      </c>
      <c r="K233" s="2" t="s">
        <v>29</v>
      </c>
      <c r="L233" s="2" t="s">
        <v>354</v>
      </c>
      <c r="M233" s="2">
        <v>266</v>
      </c>
    </row>
    <row r="234" spans="1:13" ht="90" customHeight="1" x14ac:dyDescent="0.3">
      <c r="A234" s="8"/>
      <c r="B234" s="7"/>
      <c r="C234" s="7"/>
      <c r="D234" s="7"/>
      <c r="E234" s="7"/>
      <c r="F234" s="7"/>
      <c r="G234" s="7"/>
      <c r="H234" s="7"/>
      <c r="I234" s="2" t="s">
        <v>369</v>
      </c>
      <c r="J234" s="2">
        <v>0.98417997360229492</v>
      </c>
      <c r="K234" s="2" t="s">
        <v>29</v>
      </c>
      <c r="L234" s="2" t="s">
        <v>349</v>
      </c>
      <c r="M234" s="2">
        <v>290</v>
      </c>
    </row>
    <row r="235" spans="1:13" ht="90" customHeight="1" x14ac:dyDescent="0.3">
      <c r="A235" s="8"/>
      <c r="B235" s="7"/>
      <c r="C235" s="7"/>
      <c r="D235" s="7"/>
      <c r="E235" s="7"/>
      <c r="F235" s="7"/>
      <c r="G235" s="7"/>
      <c r="H235" s="7"/>
      <c r="I235" s="1" t="s">
        <v>370</v>
      </c>
      <c r="J235" s="1">
        <v>0.96942037343978882</v>
      </c>
      <c r="K235" s="1" t="s">
        <v>29</v>
      </c>
      <c r="L235" s="1" t="s">
        <v>371</v>
      </c>
      <c r="M235" s="1">
        <v>15</v>
      </c>
    </row>
    <row r="236" spans="1:13" ht="90" customHeight="1" x14ac:dyDescent="0.3">
      <c r="A236" s="8"/>
      <c r="B236" s="7"/>
      <c r="C236" s="7"/>
      <c r="D236" s="7"/>
      <c r="E236" s="7"/>
      <c r="F236" s="7"/>
      <c r="G236" s="7"/>
      <c r="H236" s="7"/>
      <c r="I236" s="1" t="s">
        <v>372</v>
      </c>
      <c r="J236" s="1">
        <v>0.96766763925552368</v>
      </c>
      <c r="K236" s="1" t="s">
        <v>29</v>
      </c>
      <c r="L236" s="1" t="s">
        <v>31</v>
      </c>
      <c r="M236" s="1">
        <v>11</v>
      </c>
    </row>
    <row r="237" spans="1:13" ht="90" customHeight="1" x14ac:dyDescent="0.3">
      <c r="A237" s="8">
        <v>78</v>
      </c>
      <c r="B237" s="8" t="s">
        <v>373</v>
      </c>
      <c r="C237" s="8" t="s">
        <v>31</v>
      </c>
      <c r="D237" s="8" t="s">
        <v>374</v>
      </c>
      <c r="E237" s="6" t="s">
        <v>24</v>
      </c>
      <c r="F237" s="6" t="s">
        <v>25</v>
      </c>
      <c r="G237" s="8" t="s">
        <v>375</v>
      </c>
      <c r="H237" s="8" t="s">
        <v>376</v>
      </c>
      <c r="I237" s="4" t="s">
        <v>377</v>
      </c>
      <c r="J237" s="4">
        <v>0.99925810098648071</v>
      </c>
      <c r="K237" s="4" t="s">
        <v>29</v>
      </c>
      <c r="L237" s="4" t="s">
        <v>31</v>
      </c>
      <c r="M237" s="4">
        <v>10</v>
      </c>
    </row>
    <row r="238" spans="1:13" ht="90" customHeight="1" x14ac:dyDescent="0.3">
      <c r="A238" s="8"/>
      <c r="B238" s="7"/>
      <c r="C238" s="7"/>
      <c r="D238" s="7"/>
      <c r="E238" s="7"/>
      <c r="F238" s="7"/>
      <c r="G238" s="7"/>
      <c r="H238" s="7"/>
      <c r="I238" s="4" t="s">
        <v>378</v>
      </c>
      <c r="J238" s="4">
        <v>0.99897420406341553</v>
      </c>
      <c r="K238" s="4" t="s">
        <v>29</v>
      </c>
      <c r="L238" s="4" t="s">
        <v>31</v>
      </c>
      <c r="M238" s="4">
        <v>14</v>
      </c>
    </row>
    <row r="239" spans="1:13" ht="90" customHeight="1" x14ac:dyDescent="0.3">
      <c r="A239" s="8"/>
      <c r="B239" s="7"/>
      <c r="C239" s="7"/>
      <c r="D239" s="7"/>
      <c r="E239" s="7"/>
      <c r="F239" s="7"/>
      <c r="G239" s="7"/>
      <c r="H239" s="7"/>
      <c r="I239" s="2" t="s">
        <v>379</v>
      </c>
      <c r="J239" s="2">
        <v>0.96399992704391479</v>
      </c>
      <c r="K239" s="2" t="s">
        <v>29</v>
      </c>
      <c r="L239" s="2" t="s">
        <v>351</v>
      </c>
      <c r="M239" s="2">
        <v>5</v>
      </c>
    </row>
    <row r="240" spans="1:13" ht="90" customHeight="1" x14ac:dyDescent="0.3">
      <c r="A240" s="8"/>
      <c r="B240" s="7"/>
      <c r="C240" s="7"/>
      <c r="D240" s="7"/>
      <c r="E240" s="7"/>
      <c r="F240" s="7"/>
      <c r="G240" s="7"/>
      <c r="H240" s="7"/>
      <c r="I240" s="1" t="s">
        <v>380</v>
      </c>
      <c r="J240" s="1">
        <v>0.90944886207580566</v>
      </c>
      <c r="K240" s="1" t="s">
        <v>29</v>
      </c>
      <c r="L240" s="1" t="s">
        <v>31</v>
      </c>
      <c r="M240" s="1">
        <v>3</v>
      </c>
    </row>
    <row r="241" spans="1:13" ht="90" customHeight="1" x14ac:dyDescent="0.3">
      <c r="A241" s="8"/>
      <c r="B241" s="7"/>
      <c r="C241" s="7"/>
      <c r="D241" s="7"/>
      <c r="E241" s="7"/>
      <c r="F241" s="7"/>
      <c r="G241" s="7"/>
      <c r="H241" s="7"/>
      <c r="I241" s="1" t="s">
        <v>381</v>
      </c>
      <c r="J241" s="1">
        <v>0.81254881620407104</v>
      </c>
      <c r="K241" s="1" t="s">
        <v>29</v>
      </c>
      <c r="L241" s="1" t="s">
        <v>354</v>
      </c>
      <c r="M241" s="1">
        <v>137</v>
      </c>
    </row>
    <row r="242" spans="1:13" ht="90" customHeight="1" x14ac:dyDescent="0.3">
      <c r="A242" s="8">
        <v>79</v>
      </c>
      <c r="B242" s="8" t="s">
        <v>382</v>
      </c>
      <c r="C242" s="8" t="s">
        <v>92</v>
      </c>
      <c r="D242" s="8" t="s">
        <v>345</v>
      </c>
      <c r="E242" s="6" t="s">
        <v>24</v>
      </c>
      <c r="F242" s="6" t="s">
        <v>25</v>
      </c>
      <c r="G242" s="8" t="s">
        <v>383</v>
      </c>
      <c r="H242" s="8" t="s">
        <v>384</v>
      </c>
      <c r="I242" s="4" t="s">
        <v>91</v>
      </c>
      <c r="J242" s="4">
        <v>0.99970859289169312</v>
      </c>
      <c r="K242" s="4" t="s">
        <v>29</v>
      </c>
      <c r="L242" s="4" t="s">
        <v>92</v>
      </c>
      <c r="M242" s="4">
        <v>10</v>
      </c>
    </row>
    <row r="243" spans="1:13" ht="90" customHeight="1" x14ac:dyDescent="0.3">
      <c r="A243" s="8"/>
      <c r="B243" s="7"/>
      <c r="C243" s="7"/>
      <c r="D243" s="7"/>
      <c r="E243" s="7"/>
      <c r="F243" s="7"/>
      <c r="G243" s="7"/>
      <c r="H243" s="7"/>
      <c r="I243" s="1"/>
      <c r="J243" s="1"/>
      <c r="K243" s="1"/>
      <c r="L243" s="1"/>
      <c r="M243" s="1"/>
    </row>
    <row r="244" spans="1:13" ht="90" customHeight="1" x14ac:dyDescent="0.3">
      <c r="A244" s="8"/>
      <c r="B244" s="7"/>
      <c r="C244" s="7"/>
      <c r="D244" s="7"/>
      <c r="E244" s="7"/>
      <c r="F244" s="7"/>
      <c r="G244" s="7"/>
      <c r="H244" s="7"/>
      <c r="I244" s="1"/>
      <c r="J244" s="1"/>
      <c r="K244" s="1"/>
      <c r="L244" s="1"/>
      <c r="M244" s="1"/>
    </row>
    <row r="245" spans="1:13" ht="90" customHeight="1" x14ac:dyDescent="0.3">
      <c r="A245" s="8"/>
      <c r="B245" s="7"/>
      <c r="C245" s="7"/>
      <c r="D245" s="7"/>
      <c r="E245" s="7"/>
      <c r="F245" s="7"/>
      <c r="G245" s="7"/>
      <c r="H245" s="7"/>
      <c r="I245" s="1"/>
      <c r="J245" s="1"/>
      <c r="K245" s="1"/>
      <c r="L245" s="1"/>
      <c r="M245" s="1"/>
    </row>
    <row r="246" spans="1:13" ht="90" customHeight="1" x14ac:dyDescent="0.3">
      <c r="A246" s="8"/>
      <c r="B246" s="7"/>
      <c r="C246" s="7"/>
      <c r="D246" s="7"/>
      <c r="E246" s="7"/>
      <c r="F246" s="7"/>
      <c r="G246" s="7"/>
      <c r="H246" s="7"/>
      <c r="I246" s="1"/>
      <c r="J246" s="1"/>
      <c r="K246" s="1"/>
      <c r="L246" s="1"/>
      <c r="M246" s="1"/>
    </row>
    <row r="247" spans="1:13" ht="90" customHeight="1" x14ac:dyDescent="0.3">
      <c r="A247" s="8">
        <v>80</v>
      </c>
      <c r="B247" s="8" t="s">
        <v>385</v>
      </c>
      <c r="C247" s="8" t="s">
        <v>293</v>
      </c>
      <c r="D247" s="8" t="s">
        <v>309</v>
      </c>
      <c r="E247" s="6" t="s">
        <v>24</v>
      </c>
      <c r="F247" s="6" t="s">
        <v>25</v>
      </c>
      <c r="G247" s="8" t="s">
        <v>386</v>
      </c>
      <c r="H247" s="8" t="s">
        <v>387</v>
      </c>
      <c r="I247" s="2" t="s">
        <v>388</v>
      </c>
      <c r="J247" s="2">
        <v>0.98758125305175781</v>
      </c>
      <c r="K247" s="2" t="s">
        <v>29</v>
      </c>
      <c r="L247" s="2" t="s">
        <v>293</v>
      </c>
      <c r="M247" s="2">
        <v>2</v>
      </c>
    </row>
    <row r="248" spans="1:13" ht="90" customHeight="1" x14ac:dyDescent="0.3">
      <c r="A248" s="8"/>
      <c r="B248" s="7"/>
      <c r="C248" s="7"/>
      <c r="D248" s="7"/>
      <c r="E248" s="7"/>
      <c r="F248" s="7"/>
      <c r="G248" s="7"/>
      <c r="H248" s="7"/>
      <c r="I248" s="4" t="s">
        <v>296</v>
      </c>
      <c r="J248" s="4">
        <v>0.96584486961364746</v>
      </c>
      <c r="K248" s="4" t="s">
        <v>29</v>
      </c>
      <c r="L248" s="4" t="s">
        <v>293</v>
      </c>
      <c r="M248" s="4">
        <v>4</v>
      </c>
    </row>
    <row r="249" spans="1:13" ht="90" customHeight="1" x14ac:dyDescent="0.3">
      <c r="A249" s="8"/>
      <c r="B249" s="7"/>
      <c r="C249" s="7"/>
      <c r="D249" s="7"/>
      <c r="E249" s="7"/>
      <c r="F249" s="7"/>
      <c r="G249" s="7"/>
      <c r="H249" s="7"/>
      <c r="I249" s="4" t="s">
        <v>389</v>
      </c>
      <c r="J249" s="4">
        <v>0.91970175504684448</v>
      </c>
      <c r="K249" s="4" t="s">
        <v>29</v>
      </c>
      <c r="L249" s="4" t="s">
        <v>293</v>
      </c>
      <c r="M249" s="4">
        <v>3</v>
      </c>
    </row>
    <row r="250" spans="1:13" ht="90" customHeight="1" x14ac:dyDescent="0.3">
      <c r="A250" s="8"/>
      <c r="B250" s="7"/>
      <c r="C250" s="7"/>
      <c r="D250" s="7"/>
      <c r="E250" s="7"/>
      <c r="F250" s="7"/>
      <c r="G250" s="7"/>
      <c r="H250" s="7"/>
      <c r="I250" s="1" t="s">
        <v>390</v>
      </c>
      <c r="J250" s="1">
        <v>0.8575739860534668</v>
      </c>
      <c r="K250" s="1" t="s">
        <v>29</v>
      </c>
      <c r="L250" s="1" t="s">
        <v>391</v>
      </c>
      <c r="M250" s="1">
        <v>3</v>
      </c>
    </row>
    <row r="251" spans="1:13" ht="90" customHeight="1" x14ac:dyDescent="0.3">
      <c r="A251" s="8"/>
      <c r="B251" s="7"/>
      <c r="C251" s="7"/>
      <c r="D251" s="7"/>
      <c r="E251" s="7"/>
      <c r="F251" s="7"/>
      <c r="G251" s="7"/>
      <c r="H251" s="7"/>
      <c r="I251" s="1" t="s">
        <v>392</v>
      </c>
      <c r="J251" s="1">
        <v>0.72148358821868896</v>
      </c>
      <c r="K251" s="1" t="s">
        <v>29</v>
      </c>
      <c r="L251" s="1" t="s">
        <v>116</v>
      </c>
      <c r="M251" s="1">
        <v>27</v>
      </c>
    </row>
    <row r="252" spans="1:13" ht="90" customHeight="1" x14ac:dyDescent="0.3">
      <c r="A252" s="8">
        <v>81</v>
      </c>
      <c r="B252" s="8" t="s">
        <v>393</v>
      </c>
      <c r="C252" s="8" t="s">
        <v>394</v>
      </c>
      <c r="D252" s="8" t="s">
        <v>395</v>
      </c>
      <c r="E252" s="6" t="s">
        <v>17</v>
      </c>
      <c r="F252" s="6" t="s">
        <v>18</v>
      </c>
      <c r="G252" s="8" t="s">
        <v>396</v>
      </c>
      <c r="H252" s="8" t="s">
        <v>20</v>
      </c>
      <c r="I252" s="1"/>
      <c r="J252" s="1"/>
      <c r="K252" s="1"/>
      <c r="L252" s="1"/>
      <c r="M252" s="1"/>
    </row>
    <row r="253" spans="1:13" ht="90" customHeight="1" x14ac:dyDescent="0.3">
      <c r="A253" s="8"/>
      <c r="B253" s="7"/>
      <c r="C253" s="7"/>
      <c r="D253" s="7"/>
      <c r="E253" s="7"/>
      <c r="F253" s="7"/>
      <c r="G253" s="7"/>
      <c r="H253" s="7"/>
      <c r="I253" s="1"/>
      <c r="J253" s="1"/>
      <c r="K253" s="1"/>
      <c r="L253" s="1"/>
      <c r="M253" s="1"/>
    </row>
    <row r="254" spans="1:13" ht="90" customHeight="1" x14ac:dyDescent="0.3">
      <c r="A254" s="8"/>
      <c r="B254" s="7"/>
      <c r="C254" s="7"/>
      <c r="D254" s="7"/>
      <c r="E254" s="7"/>
      <c r="F254" s="7"/>
      <c r="G254" s="7"/>
      <c r="H254" s="7"/>
      <c r="I254" s="1"/>
      <c r="J254" s="1"/>
      <c r="K254" s="1"/>
      <c r="L254" s="1"/>
      <c r="M254" s="1"/>
    </row>
    <row r="255" spans="1:13" ht="90" customHeight="1" x14ac:dyDescent="0.3">
      <c r="A255" s="8"/>
      <c r="B255" s="7"/>
      <c r="C255" s="7"/>
      <c r="D255" s="7"/>
      <c r="E255" s="7"/>
      <c r="F255" s="7"/>
      <c r="G255" s="7"/>
      <c r="H255" s="7"/>
      <c r="I255" s="1"/>
      <c r="J255" s="1"/>
      <c r="K255" s="1"/>
      <c r="L255" s="1"/>
      <c r="M255" s="1"/>
    </row>
    <row r="256" spans="1:13" ht="90" customHeight="1" x14ac:dyDescent="0.3">
      <c r="A256" s="8"/>
      <c r="B256" s="7"/>
      <c r="C256" s="7"/>
      <c r="D256" s="7"/>
      <c r="E256" s="7"/>
      <c r="F256" s="7"/>
      <c r="G256" s="7"/>
      <c r="H256" s="7"/>
      <c r="I256" s="1"/>
      <c r="J256" s="1"/>
      <c r="K256" s="1"/>
      <c r="L256" s="1"/>
      <c r="M256" s="1"/>
    </row>
    <row r="257" spans="1:13" ht="90" customHeight="1" x14ac:dyDescent="0.3">
      <c r="A257" s="8">
        <v>82</v>
      </c>
      <c r="B257" s="8" t="s">
        <v>397</v>
      </c>
      <c r="C257" s="8" t="s">
        <v>73</v>
      </c>
      <c r="D257" s="8" t="s">
        <v>398</v>
      </c>
      <c r="E257" s="6" t="s">
        <v>17</v>
      </c>
      <c r="F257" s="6" t="s">
        <v>18</v>
      </c>
      <c r="G257" s="8" t="s">
        <v>399</v>
      </c>
      <c r="H257" s="8" t="s">
        <v>20</v>
      </c>
      <c r="I257" s="1"/>
      <c r="J257" s="1"/>
      <c r="K257" s="1"/>
      <c r="L257" s="1"/>
      <c r="M257" s="1"/>
    </row>
    <row r="258" spans="1:13" ht="90" customHeight="1" x14ac:dyDescent="0.3">
      <c r="A258" s="8"/>
      <c r="B258" s="7"/>
      <c r="C258" s="7"/>
      <c r="D258" s="7"/>
      <c r="E258" s="7"/>
      <c r="F258" s="7"/>
      <c r="G258" s="7"/>
      <c r="H258" s="7"/>
      <c r="I258" s="1"/>
      <c r="J258" s="1"/>
      <c r="K258" s="1"/>
      <c r="L258" s="1"/>
      <c r="M258" s="1"/>
    </row>
    <row r="259" spans="1:13" ht="90" customHeight="1" x14ac:dyDescent="0.3">
      <c r="A259" s="8"/>
      <c r="B259" s="7"/>
      <c r="C259" s="7"/>
      <c r="D259" s="7"/>
      <c r="E259" s="7"/>
      <c r="F259" s="7"/>
      <c r="G259" s="7"/>
      <c r="H259" s="7"/>
      <c r="I259" s="1"/>
      <c r="J259" s="1"/>
      <c r="K259" s="1"/>
      <c r="L259" s="1"/>
      <c r="M259" s="1"/>
    </row>
    <row r="260" spans="1:13" ht="90" customHeight="1" x14ac:dyDescent="0.3">
      <c r="A260" s="8"/>
      <c r="B260" s="7"/>
      <c r="C260" s="7"/>
      <c r="D260" s="7"/>
      <c r="E260" s="7"/>
      <c r="F260" s="7"/>
      <c r="G260" s="7"/>
      <c r="H260" s="7"/>
      <c r="I260" s="1"/>
      <c r="J260" s="1"/>
      <c r="K260" s="1"/>
      <c r="L260" s="1"/>
      <c r="M260" s="1"/>
    </row>
    <row r="261" spans="1:13" ht="90" customHeight="1" x14ac:dyDescent="0.3">
      <c r="A261" s="8"/>
      <c r="B261" s="7"/>
      <c r="C261" s="7"/>
      <c r="D261" s="7"/>
      <c r="E261" s="7"/>
      <c r="F261" s="7"/>
      <c r="G261" s="7"/>
      <c r="H261" s="7"/>
      <c r="I261" s="1"/>
      <c r="J261" s="1"/>
      <c r="K261" s="1"/>
      <c r="L261" s="1"/>
      <c r="M261" s="1"/>
    </row>
    <row r="262" spans="1:13" ht="90" customHeight="1" x14ac:dyDescent="0.3">
      <c r="A262" s="8">
        <v>85</v>
      </c>
      <c r="B262" s="8" t="s">
        <v>400</v>
      </c>
      <c r="C262" s="8" t="s">
        <v>401</v>
      </c>
      <c r="D262" s="8" t="s">
        <v>402</v>
      </c>
      <c r="E262" s="6" t="s">
        <v>24</v>
      </c>
      <c r="F262" s="6" t="s">
        <v>25</v>
      </c>
      <c r="G262" s="8" t="s">
        <v>403</v>
      </c>
      <c r="H262" s="8" t="s">
        <v>404</v>
      </c>
      <c r="I262" s="2" t="s">
        <v>405</v>
      </c>
      <c r="J262" s="2">
        <v>0.99980181455612183</v>
      </c>
      <c r="K262" s="2" t="s">
        <v>29</v>
      </c>
      <c r="L262" s="2" t="s">
        <v>401</v>
      </c>
      <c r="M262" s="2">
        <v>30</v>
      </c>
    </row>
    <row r="263" spans="1:13" ht="90" customHeight="1" x14ac:dyDescent="0.3">
      <c r="A263" s="8"/>
      <c r="B263" s="7"/>
      <c r="C263" s="7"/>
      <c r="D263" s="7"/>
      <c r="E263" s="7"/>
      <c r="F263" s="7"/>
      <c r="G263" s="7"/>
      <c r="H263" s="7"/>
      <c r="I263" s="4" t="s">
        <v>406</v>
      </c>
      <c r="J263" s="4">
        <v>0.99847763776779175</v>
      </c>
      <c r="K263" s="4" t="s">
        <v>29</v>
      </c>
      <c r="L263" s="4" t="s">
        <v>401</v>
      </c>
      <c r="M263" s="4">
        <v>23</v>
      </c>
    </row>
    <row r="264" spans="1:13" ht="90" customHeight="1" x14ac:dyDescent="0.3">
      <c r="A264" s="8"/>
      <c r="B264" s="7"/>
      <c r="C264" s="7"/>
      <c r="D264" s="7"/>
      <c r="E264" s="7"/>
      <c r="F264" s="7"/>
      <c r="G264" s="7"/>
      <c r="H264" s="7"/>
      <c r="I264" s="2" t="s">
        <v>407</v>
      </c>
      <c r="J264" s="2">
        <v>0.76248449087142944</v>
      </c>
      <c r="K264" s="2" t="s">
        <v>29</v>
      </c>
      <c r="L264" s="2" t="s">
        <v>408</v>
      </c>
      <c r="M264" s="2">
        <v>22</v>
      </c>
    </row>
    <row r="265" spans="1:13" ht="90" customHeight="1" x14ac:dyDescent="0.3">
      <c r="A265" s="8"/>
      <c r="B265" s="7"/>
      <c r="C265" s="7"/>
      <c r="D265" s="7"/>
      <c r="E265" s="7"/>
      <c r="F265" s="7"/>
      <c r="G265" s="7"/>
      <c r="H265" s="7"/>
      <c r="I265" s="1"/>
      <c r="J265" s="1"/>
      <c r="K265" s="1"/>
      <c r="L265" s="1"/>
      <c r="M265" s="1"/>
    </row>
    <row r="266" spans="1:13" ht="90" customHeight="1" x14ac:dyDescent="0.3">
      <c r="A266" s="8"/>
      <c r="B266" s="7"/>
      <c r="C266" s="7"/>
      <c r="D266" s="7"/>
      <c r="E266" s="7"/>
      <c r="F266" s="7"/>
      <c r="G266" s="7"/>
      <c r="H266" s="7"/>
      <c r="I266" s="1"/>
      <c r="J266" s="1"/>
      <c r="K266" s="1"/>
      <c r="L266" s="1"/>
      <c r="M266" s="1"/>
    </row>
    <row r="267" spans="1:13" ht="90" customHeight="1" x14ac:dyDescent="0.3">
      <c r="A267" s="8">
        <v>90</v>
      </c>
      <c r="B267" s="8" t="s">
        <v>409</v>
      </c>
      <c r="C267" s="8" t="s">
        <v>401</v>
      </c>
      <c r="D267" s="8" t="s">
        <v>410</v>
      </c>
      <c r="E267" s="6" t="s">
        <v>24</v>
      </c>
      <c r="F267" s="6" t="s">
        <v>25</v>
      </c>
      <c r="G267" s="8" t="s">
        <v>411</v>
      </c>
      <c r="H267" s="8" t="s">
        <v>412</v>
      </c>
      <c r="I267" s="4" t="s">
        <v>413</v>
      </c>
      <c r="J267" s="4">
        <v>0.99981838464736561</v>
      </c>
      <c r="K267" s="4" t="s">
        <v>29</v>
      </c>
      <c r="L267" s="4" t="s">
        <v>401</v>
      </c>
      <c r="M267" s="4">
        <v>36</v>
      </c>
    </row>
    <row r="268" spans="1:13" ht="90" customHeight="1" x14ac:dyDescent="0.3">
      <c r="A268" s="8"/>
      <c r="B268" s="7"/>
      <c r="C268" s="7"/>
      <c r="D268" s="7"/>
      <c r="E268" s="7"/>
      <c r="F268" s="7"/>
      <c r="G268" s="7"/>
      <c r="H268" s="7"/>
      <c r="I268" s="1"/>
      <c r="J268" s="1"/>
      <c r="K268" s="1"/>
      <c r="L268" s="1"/>
      <c r="M268" s="1"/>
    </row>
    <row r="269" spans="1:13" ht="90" customHeight="1" x14ac:dyDescent="0.3">
      <c r="A269" s="8"/>
      <c r="B269" s="7"/>
      <c r="C269" s="7"/>
      <c r="D269" s="7"/>
      <c r="E269" s="7"/>
      <c r="F269" s="7"/>
      <c r="G269" s="7"/>
      <c r="H269" s="7"/>
      <c r="I269" s="1"/>
      <c r="J269" s="1"/>
      <c r="K269" s="1"/>
      <c r="L269" s="1"/>
      <c r="M269" s="1"/>
    </row>
    <row r="270" spans="1:13" ht="90" customHeight="1" x14ac:dyDescent="0.3">
      <c r="A270" s="8"/>
      <c r="B270" s="7"/>
      <c r="C270" s="7"/>
      <c r="D270" s="7"/>
      <c r="E270" s="7"/>
      <c r="F270" s="7"/>
      <c r="G270" s="7"/>
      <c r="H270" s="7"/>
      <c r="I270" s="1"/>
      <c r="J270" s="1"/>
      <c r="K270" s="1"/>
      <c r="L270" s="1"/>
      <c r="M270" s="1"/>
    </row>
    <row r="271" spans="1:13" ht="90" customHeight="1" x14ac:dyDescent="0.3">
      <c r="A271" s="8"/>
      <c r="B271" s="7"/>
      <c r="C271" s="7"/>
      <c r="D271" s="7"/>
      <c r="E271" s="7"/>
      <c r="F271" s="7"/>
      <c r="G271" s="7"/>
      <c r="H271" s="7"/>
      <c r="I271" s="1"/>
      <c r="J271" s="1"/>
      <c r="K271" s="1"/>
      <c r="L271" s="1"/>
      <c r="M271" s="1"/>
    </row>
    <row r="272" spans="1:13" ht="90" customHeight="1" x14ac:dyDescent="0.3">
      <c r="A272" s="8">
        <v>95</v>
      </c>
      <c r="B272" s="8" t="s">
        <v>414</v>
      </c>
      <c r="C272" s="8" t="s">
        <v>415</v>
      </c>
      <c r="D272" s="8" t="s">
        <v>416</v>
      </c>
      <c r="E272" s="6" t="s">
        <v>24</v>
      </c>
      <c r="F272" s="6" t="s">
        <v>25</v>
      </c>
      <c r="G272" s="8" t="s">
        <v>417</v>
      </c>
      <c r="H272" s="8" t="s">
        <v>418</v>
      </c>
      <c r="I272" s="4" t="s">
        <v>419</v>
      </c>
      <c r="J272" s="4">
        <v>0.90803015232086182</v>
      </c>
      <c r="K272" s="4" t="s">
        <v>29</v>
      </c>
      <c r="L272" s="4" t="s">
        <v>415</v>
      </c>
      <c r="M272" s="4">
        <v>6</v>
      </c>
    </row>
    <row r="273" spans="1:13" ht="90" customHeight="1" x14ac:dyDescent="0.3">
      <c r="A273" s="8"/>
      <c r="B273" s="7"/>
      <c r="C273" s="7"/>
      <c r="D273" s="7"/>
      <c r="E273" s="7"/>
      <c r="F273" s="7"/>
      <c r="G273" s="7"/>
      <c r="H273" s="7"/>
      <c r="I273" s="2" t="s">
        <v>420</v>
      </c>
      <c r="J273" s="2">
        <v>0.88314265012741089</v>
      </c>
      <c r="K273" s="2" t="s">
        <v>29</v>
      </c>
      <c r="L273" s="2" t="s">
        <v>415</v>
      </c>
      <c r="M273" s="2">
        <v>3</v>
      </c>
    </row>
    <row r="274" spans="1:13" ht="90" customHeight="1" x14ac:dyDescent="0.3">
      <c r="A274" s="8"/>
      <c r="B274" s="7"/>
      <c r="C274" s="7"/>
      <c r="D274" s="7"/>
      <c r="E274" s="7"/>
      <c r="F274" s="7"/>
      <c r="G274" s="7"/>
      <c r="H274" s="7"/>
      <c r="I274" s="1" t="s">
        <v>421</v>
      </c>
      <c r="J274" s="1">
        <v>0.84382134675979614</v>
      </c>
      <c r="K274" s="1" t="s">
        <v>29</v>
      </c>
      <c r="L274" s="1" t="s">
        <v>415</v>
      </c>
      <c r="M274" s="1">
        <v>11</v>
      </c>
    </row>
    <row r="275" spans="1:13" ht="90" customHeight="1" x14ac:dyDescent="0.3">
      <c r="A275" s="8"/>
      <c r="B275" s="7"/>
      <c r="C275" s="7"/>
      <c r="D275" s="7"/>
      <c r="E275" s="7"/>
      <c r="F275" s="7"/>
      <c r="G275" s="7"/>
      <c r="H275" s="7"/>
      <c r="I275" s="1"/>
      <c r="J275" s="1"/>
      <c r="K275" s="1"/>
      <c r="L275" s="1"/>
      <c r="M275" s="1"/>
    </row>
    <row r="276" spans="1:13" ht="90" customHeight="1" x14ac:dyDescent="0.3">
      <c r="A276" s="8"/>
      <c r="B276" s="7"/>
      <c r="C276" s="7"/>
      <c r="D276" s="7"/>
      <c r="E276" s="7"/>
      <c r="F276" s="7"/>
      <c r="G276" s="7"/>
      <c r="H276" s="7"/>
      <c r="I276" s="1"/>
      <c r="J276" s="1"/>
      <c r="K276" s="1"/>
      <c r="L276" s="1"/>
      <c r="M276" s="1"/>
    </row>
    <row r="277" spans="1:13" ht="90" customHeight="1" x14ac:dyDescent="0.3">
      <c r="A277" s="8">
        <v>97</v>
      </c>
      <c r="B277" s="8" t="s">
        <v>422</v>
      </c>
      <c r="C277" s="8" t="s">
        <v>423</v>
      </c>
      <c r="D277" s="9" t="s">
        <v>1176</v>
      </c>
      <c r="E277" s="6" t="s">
        <v>1174</v>
      </c>
      <c r="F277" s="6" t="s">
        <v>1175</v>
      </c>
      <c r="G277" s="8" t="s">
        <v>424</v>
      </c>
      <c r="H277" s="8" t="s">
        <v>425</v>
      </c>
      <c r="I277" s="4" t="s">
        <v>426</v>
      </c>
      <c r="J277" s="4">
        <v>0.86123651266098022</v>
      </c>
      <c r="K277" s="4" t="s">
        <v>29</v>
      </c>
      <c r="L277" s="4" t="s">
        <v>423</v>
      </c>
      <c r="M277" s="4">
        <v>13</v>
      </c>
    </row>
    <row r="278" spans="1:13" ht="90" customHeight="1" x14ac:dyDescent="0.3">
      <c r="A278" s="8"/>
      <c r="B278" s="7"/>
      <c r="C278" s="7"/>
      <c r="D278" s="7"/>
      <c r="E278" s="7"/>
      <c r="F278" s="7"/>
      <c r="G278" s="7"/>
      <c r="H278" s="7"/>
      <c r="I278" s="1"/>
      <c r="J278" s="1"/>
      <c r="K278" s="1"/>
      <c r="L278" s="1"/>
      <c r="M278" s="1"/>
    </row>
    <row r="279" spans="1:13" ht="90" customHeight="1" x14ac:dyDescent="0.3">
      <c r="A279" s="8"/>
      <c r="B279" s="7"/>
      <c r="C279" s="7"/>
      <c r="D279" s="7"/>
      <c r="E279" s="7"/>
      <c r="F279" s="7"/>
      <c r="G279" s="7"/>
      <c r="H279" s="7"/>
      <c r="I279" s="1"/>
      <c r="J279" s="1"/>
      <c r="K279" s="1"/>
      <c r="L279" s="1"/>
      <c r="M279" s="1"/>
    </row>
    <row r="280" spans="1:13" ht="90" customHeight="1" x14ac:dyDescent="0.3">
      <c r="A280" s="8"/>
      <c r="B280" s="7"/>
      <c r="C280" s="7"/>
      <c r="D280" s="7"/>
      <c r="E280" s="7"/>
      <c r="F280" s="7"/>
      <c r="G280" s="7"/>
      <c r="H280" s="7"/>
      <c r="I280" s="1"/>
      <c r="J280" s="1"/>
      <c r="K280" s="1"/>
      <c r="L280" s="1"/>
      <c r="M280" s="1"/>
    </row>
    <row r="281" spans="1:13" ht="90" customHeight="1" x14ac:dyDescent="0.3">
      <c r="A281" s="8"/>
      <c r="B281" s="7"/>
      <c r="C281" s="7"/>
      <c r="D281" s="7"/>
      <c r="E281" s="7"/>
      <c r="F281" s="7"/>
      <c r="G281" s="7"/>
      <c r="H281" s="7"/>
      <c r="I281" s="1"/>
      <c r="J281" s="1"/>
      <c r="K281" s="1"/>
      <c r="L281" s="1"/>
      <c r="M281" s="1"/>
    </row>
    <row r="282" spans="1:13" ht="90" customHeight="1" x14ac:dyDescent="0.3">
      <c r="A282" s="8">
        <v>99</v>
      </c>
      <c r="B282" s="8" t="s">
        <v>427</v>
      </c>
      <c r="C282" s="8" t="s">
        <v>423</v>
      </c>
      <c r="D282" s="9" t="s">
        <v>1177</v>
      </c>
      <c r="E282" s="6" t="s">
        <v>1174</v>
      </c>
      <c r="F282" s="6" t="s">
        <v>1175</v>
      </c>
      <c r="G282" s="8" t="s">
        <v>429</v>
      </c>
      <c r="H282" s="8" t="s">
        <v>430</v>
      </c>
      <c r="I282" s="4" t="s">
        <v>431</v>
      </c>
      <c r="J282" s="4">
        <v>0.99979299306869507</v>
      </c>
      <c r="K282" s="4" t="s">
        <v>29</v>
      </c>
      <c r="L282" s="4" t="s">
        <v>423</v>
      </c>
      <c r="M282" s="4">
        <v>12</v>
      </c>
    </row>
    <row r="283" spans="1:13" ht="90" customHeight="1" x14ac:dyDescent="0.3">
      <c r="A283" s="8"/>
      <c r="B283" s="7"/>
      <c r="C283" s="7"/>
      <c r="D283" s="7"/>
      <c r="E283" s="7"/>
      <c r="F283" s="7"/>
      <c r="G283" s="7"/>
      <c r="H283" s="7"/>
      <c r="I283" s="1"/>
      <c r="J283" s="1"/>
      <c r="K283" s="1"/>
      <c r="L283" s="1"/>
      <c r="M283" s="1"/>
    </row>
    <row r="284" spans="1:13" ht="90" customHeight="1" x14ac:dyDescent="0.3">
      <c r="A284" s="8"/>
      <c r="B284" s="7"/>
      <c r="C284" s="7"/>
      <c r="D284" s="7"/>
      <c r="E284" s="7"/>
      <c r="F284" s="7"/>
      <c r="G284" s="7"/>
      <c r="H284" s="7"/>
      <c r="I284" s="1"/>
      <c r="J284" s="1"/>
      <c r="K284" s="1"/>
      <c r="L284" s="1"/>
      <c r="M284" s="1"/>
    </row>
    <row r="285" spans="1:13" ht="90" customHeight="1" x14ac:dyDescent="0.3">
      <c r="A285" s="8"/>
      <c r="B285" s="7"/>
      <c r="C285" s="7"/>
      <c r="D285" s="7"/>
      <c r="E285" s="7"/>
      <c r="F285" s="7"/>
      <c r="G285" s="7"/>
      <c r="H285" s="7"/>
      <c r="I285" s="1"/>
      <c r="J285" s="1"/>
      <c r="K285" s="1"/>
      <c r="L285" s="1"/>
      <c r="M285" s="1"/>
    </row>
    <row r="286" spans="1:13" ht="90" customHeight="1" x14ac:dyDescent="0.3">
      <c r="A286" s="8"/>
      <c r="B286" s="7"/>
      <c r="C286" s="7"/>
      <c r="D286" s="7"/>
      <c r="E286" s="7"/>
      <c r="F286" s="7"/>
      <c r="G286" s="7"/>
      <c r="H286" s="7"/>
      <c r="I286" s="1"/>
      <c r="J286" s="1"/>
      <c r="K286" s="1"/>
      <c r="L286" s="1"/>
      <c r="M286" s="1"/>
    </row>
    <row r="287" spans="1:13" ht="90" customHeight="1" x14ac:dyDescent="0.3">
      <c r="A287" s="8">
        <v>100</v>
      </c>
      <c r="B287" s="8" t="s">
        <v>432</v>
      </c>
      <c r="C287" s="8" t="s">
        <v>43</v>
      </c>
      <c r="D287" s="8" t="s">
        <v>44</v>
      </c>
      <c r="E287" s="6" t="s">
        <v>24</v>
      </c>
      <c r="F287" s="6" t="s">
        <v>25</v>
      </c>
      <c r="G287" s="8" t="s">
        <v>433</v>
      </c>
      <c r="H287" s="8" t="s">
        <v>434</v>
      </c>
      <c r="I287" s="4" t="s">
        <v>48</v>
      </c>
      <c r="J287" s="4">
        <v>0.9995868581685835</v>
      </c>
      <c r="K287" s="4" t="s">
        <v>29</v>
      </c>
      <c r="L287" s="4" t="s">
        <v>43</v>
      </c>
      <c r="M287" s="4">
        <v>1</v>
      </c>
    </row>
    <row r="288" spans="1:13" ht="90" customHeight="1" x14ac:dyDescent="0.3">
      <c r="A288" s="8"/>
      <c r="B288" s="7"/>
      <c r="C288" s="7"/>
      <c r="D288" s="7"/>
      <c r="E288" s="7"/>
      <c r="F288" s="7"/>
      <c r="G288" s="7"/>
      <c r="H288" s="7"/>
      <c r="I288" s="4" t="s">
        <v>47</v>
      </c>
      <c r="J288" s="4">
        <v>0.99489304200426287</v>
      </c>
      <c r="K288" s="4" t="s">
        <v>29</v>
      </c>
      <c r="L288" s="4" t="s">
        <v>43</v>
      </c>
      <c r="M288" s="4">
        <v>3</v>
      </c>
    </row>
    <row r="289" spans="1:13" ht="90" customHeight="1" x14ac:dyDescent="0.3">
      <c r="A289" s="8"/>
      <c r="B289" s="7"/>
      <c r="C289" s="7"/>
      <c r="D289" s="7"/>
      <c r="E289" s="7"/>
      <c r="F289" s="7"/>
      <c r="G289" s="7"/>
      <c r="H289" s="7"/>
      <c r="I289" s="4" t="s">
        <v>49</v>
      </c>
      <c r="J289" s="4">
        <v>0.91584993894671296</v>
      </c>
      <c r="K289" s="4" t="s">
        <v>29</v>
      </c>
      <c r="L289" s="4" t="s">
        <v>43</v>
      </c>
      <c r="M289" s="4">
        <v>2</v>
      </c>
    </row>
    <row r="290" spans="1:13" ht="90" customHeight="1" x14ac:dyDescent="0.3">
      <c r="A290" s="8"/>
      <c r="B290" s="7"/>
      <c r="C290" s="7"/>
      <c r="D290" s="7"/>
      <c r="E290" s="7"/>
      <c r="F290" s="7"/>
      <c r="G290" s="7"/>
      <c r="H290" s="7"/>
      <c r="I290" s="1"/>
      <c r="J290" s="1"/>
      <c r="K290" s="1"/>
      <c r="L290" s="1"/>
      <c r="M290" s="1"/>
    </row>
    <row r="291" spans="1:13" ht="90" customHeight="1" x14ac:dyDescent="0.3">
      <c r="A291" s="8"/>
      <c r="B291" s="7"/>
      <c r="C291" s="7"/>
      <c r="D291" s="7"/>
      <c r="E291" s="7"/>
      <c r="F291" s="7"/>
      <c r="G291" s="7"/>
      <c r="H291" s="7"/>
      <c r="I291" s="1"/>
      <c r="J291" s="1"/>
      <c r="K291" s="1"/>
      <c r="L291" s="1"/>
      <c r="M291" s="1"/>
    </row>
    <row r="292" spans="1:13" ht="90" customHeight="1" x14ac:dyDescent="0.3">
      <c r="A292" s="8">
        <v>101</v>
      </c>
      <c r="B292" s="8" t="s">
        <v>435</v>
      </c>
      <c r="C292" s="8" t="s">
        <v>31</v>
      </c>
      <c r="D292" s="8" t="s">
        <v>436</v>
      </c>
      <c r="E292" s="6" t="s">
        <v>24</v>
      </c>
      <c r="F292" s="6" t="s">
        <v>25</v>
      </c>
      <c r="G292" s="8" t="s">
        <v>437</v>
      </c>
      <c r="H292" s="8" t="s">
        <v>438</v>
      </c>
      <c r="I292" s="4" t="s">
        <v>352</v>
      </c>
      <c r="J292" s="4">
        <v>0.99992096424102783</v>
      </c>
      <c r="K292" s="4" t="s">
        <v>29</v>
      </c>
      <c r="L292" s="4" t="s">
        <v>31</v>
      </c>
      <c r="M292" s="4">
        <v>10</v>
      </c>
    </row>
    <row r="293" spans="1:13" ht="90" customHeight="1" x14ac:dyDescent="0.3">
      <c r="A293" s="8"/>
      <c r="B293" s="7"/>
      <c r="C293" s="7"/>
      <c r="D293" s="7"/>
      <c r="E293" s="7"/>
      <c r="F293" s="7"/>
      <c r="G293" s="7"/>
      <c r="H293" s="7"/>
      <c r="I293" s="5" t="s">
        <v>439</v>
      </c>
      <c r="J293" s="5">
        <v>0.99967837333679199</v>
      </c>
      <c r="K293" s="5" t="s">
        <v>29</v>
      </c>
      <c r="L293" s="5" t="s">
        <v>31</v>
      </c>
      <c r="M293" s="5">
        <v>9</v>
      </c>
    </row>
    <row r="294" spans="1:13" ht="90" customHeight="1" x14ac:dyDescent="0.3">
      <c r="A294" s="8"/>
      <c r="B294" s="7"/>
      <c r="C294" s="7"/>
      <c r="D294" s="7"/>
      <c r="E294" s="7"/>
      <c r="F294" s="7"/>
      <c r="G294" s="7"/>
      <c r="H294" s="7"/>
      <c r="I294" s="1"/>
      <c r="J294" s="1"/>
      <c r="K294" s="1"/>
      <c r="L294" s="1"/>
      <c r="M294" s="1"/>
    </row>
    <row r="295" spans="1:13" ht="90" customHeight="1" x14ac:dyDescent="0.3">
      <c r="A295" s="8"/>
      <c r="B295" s="7"/>
      <c r="C295" s="7"/>
      <c r="D295" s="7"/>
      <c r="E295" s="7"/>
      <c r="F295" s="7"/>
      <c r="G295" s="7"/>
      <c r="H295" s="7"/>
      <c r="I295" s="1"/>
      <c r="J295" s="1"/>
      <c r="K295" s="1"/>
      <c r="L295" s="1"/>
      <c r="M295" s="1"/>
    </row>
    <row r="296" spans="1:13" ht="90" customHeight="1" x14ac:dyDescent="0.3">
      <c r="A296" s="8"/>
      <c r="B296" s="7"/>
      <c r="C296" s="7"/>
      <c r="D296" s="7"/>
      <c r="E296" s="7"/>
      <c r="F296" s="7"/>
      <c r="G296" s="7"/>
      <c r="H296" s="7"/>
      <c r="I296" s="1"/>
      <c r="J296" s="1"/>
      <c r="K296" s="1"/>
      <c r="L296" s="1"/>
      <c r="M296" s="1"/>
    </row>
    <row r="297" spans="1:13" ht="90" customHeight="1" x14ac:dyDescent="0.3">
      <c r="A297" s="8">
        <v>102</v>
      </c>
      <c r="B297" s="8" t="s">
        <v>440</v>
      </c>
      <c r="C297" s="8" t="s">
        <v>79</v>
      </c>
      <c r="D297" s="8" t="s">
        <v>80</v>
      </c>
      <c r="E297" s="6" t="s">
        <v>17</v>
      </c>
      <c r="F297" s="6" t="s">
        <v>18</v>
      </c>
      <c r="G297" s="8" t="s">
        <v>441</v>
      </c>
      <c r="H297" s="8" t="s">
        <v>20</v>
      </c>
      <c r="I297" s="1"/>
      <c r="J297" s="1"/>
      <c r="K297" s="1"/>
      <c r="L297" s="1"/>
      <c r="M297" s="1"/>
    </row>
    <row r="298" spans="1:13" ht="90" customHeight="1" x14ac:dyDescent="0.3">
      <c r="A298" s="8"/>
      <c r="B298" s="7"/>
      <c r="C298" s="7"/>
      <c r="D298" s="7"/>
      <c r="E298" s="7"/>
      <c r="F298" s="7"/>
      <c r="G298" s="7"/>
      <c r="H298" s="7"/>
      <c r="I298" s="1"/>
      <c r="J298" s="1"/>
      <c r="K298" s="1"/>
      <c r="L298" s="1"/>
      <c r="M298" s="1"/>
    </row>
    <row r="299" spans="1:13" ht="90" customHeight="1" x14ac:dyDescent="0.3">
      <c r="A299" s="8"/>
      <c r="B299" s="7"/>
      <c r="C299" s="7"/>
      <c r="D299" s="7"/>
      <c r="E299" s="7"/>
      <c r="F299" s="7"/>
      <c r="G299" s="7"/>
      <c r="H299" s="7"/>
      <c r="I299" s="1"/>
      <c r="J299" s="1"/>
      <c r="K299" s="1"/>
      <c r="L299" s="1"/>
      <c r="M299" s="1"/>
    </row>
    <row r="300" spans="1:13" ht="90" customHeight="1" x14ac:dyDescent="0.3">
      <c r="A300" s="8"/>
      <c r="B300" s="7"/>
      <c r="C300" s="7"/>
      <c r="D300" s="7"/>
      <c r="E300" s="7"/>
      <c r="F300" s="7"/>
      <c r="G300" s="7"/>
      <c r="H300" s="7"/>
      <c r="I300" s="1"/>
      <c r="J300" s="1"/>
      <c r="K300" s="1"/>
      <c r="L300" s="1"/>
      <c r="M300" s="1"/>
    </row>
    <row r="301" spans="1:13" ht="90" customHeight="1" x14ac:dyDescent="0.3">
      <c r="A301" s="8"/>
      <c r="B301" s="7"/>
      <c r="C301" s="7"/>
      <c r="D301" s="7"/>
      <c r="E301" s="7"/>
      <c r="F301" s="7"/>
      <c r="G301" s="7"/>
      <c r="H301" s="7"/>
      <c r="I301" s="1"/>
      <c r="J301" s="1"/>
      <c r="K301" s="1"/>
      <c r="L301" s="1"/>
      <c r="M301" s="1"/>
    </row>
    <row r="302" spans="1:13" ht="90" customHeight="1" x14ac:dyDescent="0.3">
      <c r="A302" s="8">
        <v>103</v>
      </c>
      <c r="B302" s="8" t="s">
        <v>442</v>
      </c>
      <c r="C302" s="8" t="s">
        <v>443</v>
      </c>
      <c r="D302" s="8" t="s">
        <v>16</v>
      </c>
      <c r="E302" s="6" t="s">
        <v>24</v>
      </c>
      <c r="F302" s="6" t="s">
        <v>25</v>
      </c>
      <c r="G302" s="8" t="s">
        <v>444</v>
      </c>
      <c r="H302" s="8" t="s">
        <v>445</v>
      </c>
      <c r="I302" s="4" t="s">
        <v>446</v>
      </c>
      <c r="J302" s="4">
        <v>0.98922106334800974</v>
      </c>
      <c r="K302" s="4" t="s">
        <v>29</v>
      </c>
      <c r="L302" s="4" t="s">
        <v>443</v>
      </c>
      <c r="M302" s="4">
        <v>1</v>
      </c>
    </row>
    <row r="303" spans="1:13" ht="90" customHeight="1" x14ac:dyDescent="0.3">
      <c r="A303" s="8"/>
      <c r="B303" s="7"/>
      <c r="C303" s="7"/>
      <c r="D303" s="7"/>
      <c r="E303" s="7"/>
      <c r="F303" s="7"/>
      <c r="G303" s="7"/>
      <c r="H303" s="7"/>
      <c r="I303" s="1"/>
      <c r="J303" s="1"/>
      <c r="K303" s="1"/>
      <c r="L303" s="1"/>
      <c r="M303" s="1"/>
    </row>
    <row r="304" spans="1:13" ht="90" customHeight="1" x14ac:dyDescent="0.3">
      <c r="A304" s="8"/>
      <c r="B304" s="7"/>
      <c r="C304" s="7"/>
      <c r="D304" s="7"/>
      <c r="E304" s="7"/>
      <c r="F304" s="7"/>
      <c r="G304" s="7"/>
      <c r="H304" s="7"/>
      <c r="I304" s="1"/>
      <c r="J304" s="1"/>
      <c r="K304" s="1"/>
      <c r="L304" s="1"/>
      <c r="M304" s="1"/>
    </row>
    <row r="305" spans="1:13" ht="90" customHeight="1" x14ac:dyDescent="0.3">
      <c r="A305" s="8"/>
      <c r="B305" s="7"/>
      <c r="C305" s="7"/>
      <c r="D305" s="7"/>
      <c r="E305" s="7"/>
      <c r="F305" s="7"/>
      <c r="G305" s="7"/>
      <c r="H305" s="7"/>
      <c r="I305" s="1"/>
      <c r="J305" s="1"/>
      <c r="K305" s="1"/>
      <c r="L305" s="1"/>
      <c r="M305" s="1"/>
    </row>
    <row r="306" spans="1:13" ht="90" customHeight="1" x14ac:dyDescent="0.3">
      <c r="A306" s="8"/>
      <c r="B306" s="7"/>
      <c r="C306" s="7"/>
      <c r="D306" s="7"/>
      <c r="E306" s="7"/>
      <c r="F306" s="7"/>
      <c r="G306" s="7"/>
      <c r="H306" s="7"/>
      <c r="I306" s="1"/>
      <c r="J306" s="1"/>
      <c r="K306" s="1"/>
      <c r="L306" s="1"/>
      <c r="M306" s="1"/>
    </row>
    <row r="307" spans="1:13" ht="90" customHeight="1" x14ac:dyDescent="0.3">
      <c r="A307" s="8">
        <v>105</v>
      </c>
      <c r="B307" s="8" t="s">
        <v>447</v>
      </c>
      <c r="C307" s="8" t="s">
        <v>448</v>
      </c>
      <c r="D307" s="8" t="s">
        <v>109</v>
      </c>
      <c r="E307" s="6" t="s">
        <v>24</v>
      </c>
      <c r="F307" s="6" t="s">
        <v>25</v>
      </c>
      <c r="G307" s="8" t="s">
        <v>449</v>
      </c>
      <c r="H307" s="8" t="s">
        <v>450</v>
      </c>
      <c r="I307" s="2" t="s">
        <v>451</v>
      </c>
      <c r="J307" s="2">
        <v>0.9802628159504585</v>
      </c>
      <c r="K307" s="2" t="s">
        <v>29</v>
      </c>
      <c r="L307" s="2" t="s">
        <v>448</v>
      </c>
      <c r="M307" s="2">
        <v>23</v>
      </c>
    </row>
    <row r="308" spans="1:13" ht="90" customHeight="1" x14ac:dyDescent="0.3">
      <c r="A308" s="8"/>
      <c r="B308" s="7"/>
      <c r="C308" s="7"/>
      <c r="D308" s="7"/>
      <c r="E308" s="7"/>
      <c r="F308" s="7"/>
      <c r="G308" s="7"/>
      <c r="H308" s="7"/>
      <c r="I308" s="4" t="s">
        <v>452</v>
      </c>
      <c r="J308" s="4">
        <v>0.97407633066169907</v>
      </c>
      <c r="K308" s="4" t="s">
        <v>29</v>
      </c>
      <c r="L308" s="4" t="s">
        <v>448</v>
      </c>
      <c r="M308" s="4">
        <v>2</v>
      </c>
    </row>
    <row r="309" spans="1:13" ht="90" customHeight="1" x14ac:dyDescent="0.3">
      <c r="A309" s="8"/>
      <c r="B309" s="7"/>
      <c r="C309" s="7"/>
      <c r="D309" s="7"/>
      <c r="E309" s="7"/>
      <c r="F309" s="7"/>
      <c r="G309" s="7"/>
      <c r="H309" s="7"/>
      <c r="I309" s="2" t="s">
        <v>453</v>
      </c>
      <c r="J309" s="2">
        <v>0.8416062593460083</v>
      </c>
      <c r="K309" s="2" t="s">
        <v>29</v>
      </c>
      <c r="L309" s="2" t="s">
        <v>448</v>
      </c>
      <c r="M309" s="2">
        <v>19</v>
      </c>
    </row>
    <row r="310" spans="1:13" ht="90" customHeight="1" x14ac:dyDescent="0.3">
      <c r="A310" s="8"/>
      <c r="B310" s="7"/>
      <c r="C310" s="7"/>
      <c r="D310" s="7"/>
      <c r="E310" s="7"/>
      <c r="F310" s="7"/>
      <c r="G310" s="7"/>
      <c r="H310" s="7"/>
      <c r="I310" s="1"/>
      <c r="J310" s="1"/>
      <c r="K310" s="1"/>
      <c r="L310" s="1"/>
      <c r="M310" s="1"/>
    </row>
    <row r="311" spans="1:13" ht="90" customHeight="1" x14ac:dyDescent="0.3">
      <c r="A311" s="8"/>
      <c r="B311" s="7"/>
      <c r="C311" s="7"/>
      <c r="D311" s="7"/>
      <c r="E311" s="7"/>
      <c r="F311" s="7"/>
      <c r="G311" s="7"/>
      <c r="H311" s="7"/>
      <c r="I311" s="1"/>
      <c r="J311" s="1"/>
      <c r="K311" s="1"/>
      <c r="L311" s="1"/>
      <c r="M311" s="1"/>
    </row>
    <row r="312" spans="1:13" ht="90" customHeight="1" x14ac:dyDescent="0.3">
      <c r="A312" s="8">
        <v>106</v>
      </c>
      <c r="B312" s="8" t="s">
        <v>454</v>
      </c>
      <c r="C312" s="8" t="s">
        <v>455</v>
      </c>
      <c r="D312" s="8" t="s">
        <v>456</v>
      </c>
      <c r="E312" s="6" t="s">
        <v>24</v>
      </c>
      <c r="F312" s="6" t="s">
        <v>25</v>
      </c>
      <c r="G312" s="8" t="s">
        <v>457</v>
      </c>
      <c r="H312" s="8" t="s">
        <v>458</v>
      </c>
      <c r="I312" s="4" t="s">
        <v>459</v>
      </c>
      <c r="J312" s="4">
        <v>0.96578414786668954</v>
      </c>
      <c r="K312" s="4" t="s">
        <v>29</v>
      </c>
      <c r="L312" s="4" t="s">
        <v>455</v>
      </c>
      <c r="M312" s="4">
        <v>340</v>
      </c>
    </row>
    <row r="313" spans="1:13" ht="90" customHeight="1" x14ac:dyDescent="0.3">
      <c r="A313" s="8"/>
      <c r="B313" s="7"/>
      <c r="C313" s="7"/>
      <c r="D313" s="7"/>
      <c r="E313" s="7"/>
      <c r="F313" s="7"/>
      <c r="G313" s="7"/>
      <c r="H313" s="7"/>
      <c r="I313" s="1"/>
      <c r="J313" s="1"/>
      <c r="K313" s="1"/>
      <c r="L313" s="1"/>
      <c r="M313" s="1"/>
    </row>
    <row r="314" spans="1:13" ht="90" customHeight="1" x14ac:dyDescent="0.3">
      <c r="A314" s="8"/>
      <c r="B314" s="7"/>
      <c r="C314" s="7"/>
      <c r="D314" s="7"/>
      <c r="E314" s="7"/>
      <c r="F314" s="7"/>
      <c r="G314" s="7"/>
      <c r="H314" s="7"/>
      <c r="I314" s="1"/>
      <c r="J314" s="1"/>
      <c r="K314" s="1"/>
      <c r="L314" s="1"/>
      <c r="M314" s="1"/>
    </row>
    <row r="315" spans="1:13" ht="90" customHeight="1" x14ac:dyDescent="0.3">
      <c r="A315" s="8"/>
      <c r="B315" s="7"/>
      <c r="C315" s="7"/>
      <c r="D315" s="7"/>
      <c r="E315" s="7"/>
      <c r="F315" s="7"/>
      <c r="G315" s="7"/>
      <c r="H315" s="7"/>
      <c r="I315" s="1"/>
      <c r="J315" s="1"/>
      <c r="K315" s="1"/>
      <c r="L315" s="1"/>
      <c r="M315" s="1"/>
    </row>
    <row r="316" spans="1:13" ht="90" customHeight="1" x14ac:dyDescent="0.3">
      <c r="A316" s="8"/>
      <c r="B316" s="7"/>
      <c r="C316" s="7"/>
      <c r="D316" s="7"/>
      <c r="E316" s="7"/>
      <c r="F316" s="7"/>
      <c r="G316" s="7"/>
      <c r="H316" s="7"/>
      <c r="I316" s="1"/>
      <c r="J316" s="1"/>
      <c r="K316" s="1"/>
      <c r="L316" s="1"/>
      <c r="M316" s="1"/>
    </row>
    <row r="317" spans="1:13" ht="90" customHeight="1" x14ac:dyDescent="0.3">
      <c r="A317" s="8">
        <v>108</v>
      </c>
      <c r="B317" s="8" t="s">
        <v>460</v>
      </c>
      <c r="C317" s="8" t="s">
        <v>83</v>
      </c>
      <c r="D317" s="8" t="s">
        <v>16</v>
      </c>
      <c r="E317" s="6" t="s">
        <v>24</v>
      </c>
      <c r="F317" s="6" t="s">
        <v>25</v>
      </c>
      <c r="G317" s="8" t="s">
        <v>461</v>
      </c>
      <c r="H317" s="8" t="s">
        <v>462</v>
      </c>
      <c r="I317" s="4" t="s">
        <v>86</v>
      </c>
      <c r="J317" s="4">
        <v>0.99977427721023537</v>
      </c>
      <c r="K317" s="4" t="s">
        <v>29</v>
      </c>
      <c r="L317" s="4" t="s">
        <v>83</v>
      </c>
      <c r="M317" s="4">
        <v>1</v>
      </c>
    </row>
    <row r="318" spans="1:13" ht="90" customHeight="1" x14ac:dyDescent="0.3">
      <c r="A318" s="8"/>
      <c r="B318" s="7"/>
      <c r="C318" s="7"/>
      <c r="D318" s="7"/>
      <c r="E318" s="7"/>
      <c r="F318" s="7"/>
      <c r="G318" s="7"/>
      <c r="H318" s="7"/>
      <c r="I318" s="1"/>
      <c r="J318" s="1"/>
      <c r="K318" s="1"/>
      <c r="L318" s="1"/>
      <c r="M318" s="1"/>
    </row>
    <row r="319" spans="1:13" ht="90" customHeight="1" x14ac:dyDescent="0.3">
      <c r="A319" s="8"/>
      <c r="B319" s="7"/>
      <c r="C319" s="7"/>
      <c r="D319" s="7"/>
      <c r="E319" s="7"/>
      <c r="F319" s="7"/>
      <c r="G319" s="7"/>
      <c r="H319" s="7"/>
      <c r="I319" s="1"/>
      <c r="J319" s="1"/>
      <c r="K319" s="1"/>
      <c r="L319" s="1"/>
      <c r="M319" s="1"/>
    </row>
    <row r="320" spans="1:13" ht="90" customHeight="1" x14ac:dyDescent="0.3">
      <c r="A320" s="8"/>
      <c r="B320" s="7"/>
      <c r="C320" s="7"/>
      <c r="D320" s="7"/>
      <c r="E320" s="7"/>
      <c r="F320" s="7"/>
      <c r="G320" s="7"/>
      <c r="H320" s="7"/>
      <c r="I320" s="1"/>
      <c r="J320" s="1"/>
      <c r="K320" s="1"/>
      <c r="L320" s="1"/>
      <c r="M320" s="1"/>
    </row>
    <row r="321" spans="1:13" ht="90" customHeight="1" x14ac:dyDescent="0.3">
      <c r="A321" s="8"/>
      <c r="B321" s="7"/>
      <c r="C321" s="7"/>
      <c r="D321" s="7"/>
      <c r="E321" s="7"/>
      <c r="F321" s="7"/>
      <c r="G321" s="7"/>
      <c r="H321" s="7"/>
      <c r="I321" s="1"/>
      <c r="J321" s="1"/>
      <c r="K321" s="1"/>
      <c r="L321" s="1"/>
      <c r="M321" s="1"/>
    </row>
    <row r="322" spans="1:13" ht="90" customHeight="1" x14ac:dyDescent="0.3">
      <c r="A322" s="8">
        <v>114</v>
      </c>
      <c r="B322" s="8" t="s">
        <v>463</v>
      </c>
      <c r="C322" s="8" t="s">
        <v>464</v>
      </c>
      <c r="D322" s="8" t="s">
        <v>465</v>
      </c>
      <c r="E322" s="6" t="s">
        <v>1174</v>
      </c>
      <c r="F322" s="6" t="s">
        <v>1175</v>
      </c>
      <c r="G322" s="8" t="s">
        <v>466</v>
      </c>
      <c r="H322" s="8" t="s">
        <v>467</v>
      </c>
      <c r="I322" s="4" t="s">
        <v>468</v>
      </c>
      <c r="J322" s="4">
        <v>0.99908757209777832</v>
      </c>
      <c r="K322" s="4" t="s">
        <v>29</v>
      </c>
      <c r="L322" s="4" t="s">
        <v>31</v>
      </c>
      <c r="M322" s="4">
        <v>9</v>
      </c>
    </row>
    <row r="323" spans="1:13" ht="90" customHeight="1" x14ac:dyDescent="0.3">
      <c r="A323" s="8"/>
      <c r="B323" s="7"/>
      <c r="C323" s="7"/>
      <c r="D323" s="7"/>
      <c r="E323" s="7"/>
      <c r="F323" s="7"/>
      <c r="G323" s="7"/>
      <c r="H323" s="7"/>
      <c r="I323" s="1"/>
      <c r="J323" s="1"/>
      <c r="K323" s="1"/>
      <c r="L323" s="1"/>
      <c r="M323" s="1"/>
    </row>
    <row r="324" spans="1:13" ht="90" customHeight="1" x14ac:dyDescent="0.3">
      <c r="A324" s="8"/>
      <c r="B324" s="7"/>
      <c r="C324" s="7"/>
      <c r="D324" s="7"/>
      <c r="E324" s="7"/>
      <c r="F324" s="7"/>
      <c r="G324" s="7"/>
      <c r="H324" s="7"/>
      <c r="I324" s="1"/>
      <c r="J324" s="1"/>
      <c r="K324" s="1"/>
      <c r="L324" s="1"/>
      <c r="M324" s="1"/>
    </row>
    <row r="325" spans="1:13" ht="90" customHeight="1" x14ac:dyDescent="0.3">
      <c r="A325" s="8"/>
      <c r="B325" s="7"/>
      <c r="C325" s="7"/>
      <c r="D325" s="7"/>
      <c r="E325" s="7"/>
      <c r="F325" s="7"/>
      <c r="G325" s="7"/>
      <c r="H325" s="7"/>
      <c r="I325" s="1"/>
      <c r="J325" s="1"/>
      <c r="K325" s="1"/>
      <c r="L325" s="1"/>
      <c r="M325" s="1"/>
    </row>
    <row r="326" spans="1:13" ht="90" customHeight="1" x14ac:dyDescent="0.3">
      <c r="A326" s="8"/>
      <c r="B326" s="7"/>
      <c r="C326" s="7"/>
      <c r="D326" s="7"/>
      <c r="E326" s="7"/>
      <c r="F326" s="7"/>
      <c r="G326" s="7"/>
      <c r="H326" s="7"/>
      <c r="I326" s="1"/>
      <c r="J326" s="1"/>
      <c r="K326" s="1"/>
      <c r="L326" s="1"/>
      <c r="M326" s="1"/>
    </row>
    <row r="327" spans="1:13" ht="90" customHeight="1" x14ac:dyDescent="0.3">
      <c r="A327" s="8">
        <v>117</v>
      </c>
      <c r="B327" s="8" t="s">
        <v>469</v>
      </c>
      <c r="C327" s="8" t="s">
        <v>470</v>
      </c>
      <c r="D327" s="8" t="s">
        <v>471</v>
      </c>
      <c r="E327" s="6" t="s">
        <v>24</v>
      </c>
      <c r="F327" s="6" t="s">
        <v>25</v>
      </c>
      <c r="G327" s="8" t="s">
        <v>472</v>
      </c>
      <c r="H327" s="8" t="s">
        <v>473</v>
      </c>
      <c r="I327" s="4" t="s">
        <v>474</v>
      </c>
      <c r="J327" s="4">
        <v>0.99808722734451294</v>
      </c>
      <c r="K327" s="4" t="s">
        <v>29</v>
      </c>
      <c r="L327" s="4" t="s">
        <v>470</v>
      </c>
      <c r="M327" s="4">
        <v>2</v>
      </c>
    </row>
    <row r="328" spans="1:13" ht="90" customHeight="1" x14ac:dyDescent="0.3">
      <c r="A328" s="8"/>
      <c r="B328" s="7"/>
      <c r="C328" s="7"/>
      <c r="D328" s="7"/>
      <c r="E328" s="7"/>
      <c r="F328" s="7"/>
      <c r="G328" s="7"/>
      <c r="H328" s="7"/>
      <c r="I328" s="4" t="s">
        <v>475</v>
      </c>
      <c r="J328" s="4">
        <v>0.98885113000869751</v>
      </c>
      <c r="K328" s="4" t="s">
        <v>29</v>
      </c>
      <c r="L328" s="4" t="s">
        <v>470</v>
      </c>
      <c r="M328" s="4">
        <v>1</v>
      </c>
    </row>
    <row r="329" spans="1:13" ht="90" customHeight="1" x14ac:dyDescent="0.3">
      <c r="A329" s="8"/>
      <c r="B329" s="7"/>
      <c r="C329" s="7"/>
      <c r="D329" s="7"/>
      <c r="E329" s="7"/>
      <c r="F329" s="7"/>
      <c r="G329" s="7"/>
      <c r="H329" s="7"/>
      <c r="I329" s="1"/>
      <c r="J329" s="1"/>
      <c r="K329" s="1"/>
      <c r="L329" s="1"/>
      <c r="M329" s="1"/>
    </row>
    <row r="330" spans="1:13" ht="90" customHeight="1" x14ac:dyDescent="0.3">
      <c r="A330" s="8"/>
      <c r="B330" s="7"/>
      <c r="C330" s="7"/>
      <c r="D330" s="7"/>
      <c r="E330" s="7"/>
      <c r="F330" s="7"/>
      <c r="G330" s="7"/>
      <c r="H330" s="7"/>
      <c r="I330" s="1"/>
      <c r="J330" s="1"/>
      <c r="K330" s="1"/>
      <c r="L330" s="1"/>
      <c r="M330" s="1"/>
    </row>
    <row r="331" spans="1:13" ht="90" customHeight="1" x14ac:dyDescent="0.3">
      <c r="A331" s="8"/>
      <c r="B331" s="7"/>
      <c r="C331" s="7"/>
      <c r="D331" s="7"/>
      <c r="E331" s="7"/>
      <c r="F331" s="7"/>
      <c r="G331" s="7"/>
      <c r="H331" s="7"/>
      <c r="I331" s="1"/>
      <c r="J331" s="1"/>
      <c r="K331" s="1"/>
      <c r="L331" s="1"/>
      <c r="M331" s="1"/>
    </row>
    <row r="332" spans="1:13" ht="90" customHeight="1" x14ac:dyDescent="0.3">
      <c r="A332" s="8">
        <v>120</v>
      </c>
      <c r="B332" s="8" t="s">
        <v>476</v>
      </c>
      <c r="C332" s="8" t="s">
        <v>477</v>
      </c>
      <c r="D332" s="8" t="s">
        <v>16</v>
      </c>
      <c r="E332" s="6" t="s">
        <v>17</v>
      </c>
      <c r="F332" s="6" t="s">
        <v>18</v>
      </c>
      <c r="G332" s="8" t="s">
        <v>478</v>
      </c>
      <c r="H332" s="8" t="s">
        <v>20</v>
      </c>
      <c r="I332" s="1"/>
      <c r="J332" s="1"/>
      <c r="K332" s="1"/>
      <c r="L332" s="1"/>
      <c r="M332" s="1"/>
    </row>
    <row r="333" spans="1:13" ht="90" customHeight="1" x14ac:dyDescent="0.3">
      <c r="A333" s="8"/>
      <c r="B333" s="7"/>
      <c r="C333" s="7"/>
      <c r="D333" s="7"/>
      <c r="E333" s="7"/>
      <c r="F333" s="7"/>
      <c r="G333" s="7"/>
      <c r="H333" s="7"/>
      <c r="I333" s="1"/>
      <c r="J333" s="1"/>
      <c r="K333" s="1"/>
      <c r="L333" s="1"/>
      <c r="M333" s="1"/>
    </row>
    <row r="334" spans="1:13" ht="90" customHeight="1" x14ac:dyDescent="0.3">
      <c r="A334" s="8"/>
      <c r="B334" s="7"/>
      <c r="C334" s="7"/>
      <c r="D334" s="7"/>
      <c r="E334" s="7"/>
      <c r="F334" s="7"/>
      <c r="G334" s="7"/>
      <c r="H334" s="7"/>
      <c r="I334" s="1"/>
      <c r="J334" s="1"/>
      <c r="K334" s="1"/>
      <c r="L334" s="1"/>
      <c r="M334" s="1"/>
    </row>
    <row r="335" spans="1:13" ht="90" customHeight="1" x14ac:dyDescent="0.3">
      <c r="A335" s="8"/>
      <c r="B335" s="7"/>
      <c r="C335" s="7"/>
      <c r="D335" s="7"/>
      <c r="E335" s="7"/>
      <c r="F335" s="7"/>
      <c r="G335" s="7"/>
      <c r="H335" s="7"/>
      <c r="I335" s="1"/>
      <c r="J335" s="1"/>
      <c r="K335" s="1"/>
      <c r="L335" s="1"/>
      <c r="M335" s="1"/>
    </row>
    <row r="336" spans="1:13" ht="90" customHeight="1" x14ac:dyDescent="0.3">
      <c r="A336" s="8"/>
      <c r="B336" s="7"/>
      <c r="C336" s="7"/>
      <c r="D336" s="7"/>
      <c r="E336" s="7"/>
      <c r="F336" s="7"/>
      <c r="G336" s="7"/>
      <c r="H336" s="7"/>
      <c r="I336" s="1"/>
      <c r="J336" s="1"/>
      <c r="K336" s="1"/>
      <c r="L336" s="1"/>
      <c r="M336" s="1"/>
    </row>
    <row r="337" spans="1:13" ht="90" customHeight="1" x14ac:dyDescent="0.3">
      <c r="A337" s="8">
        <v>121</v>
      </c>
      <c r="B337" s="8" t="s">
        <v>479</v>
      </c>
      <c r="C337" s="8" t="s">
        <v>480</v>
      </c>
      <c r="D337" s="8" t="s">
        <v>16</v>
      </c>
      <c r="E337" s="6" t="s">
        <v>24</v>
      </c>
      <c r="F337" s="6" t="s">
        <v>25</v>
      </c>
      <c r="G337" s="8" t="s">
        <v>481</v>
      </c>
      <c r="H337" s="8" t="s">
        <v>482</v>
      </c>
      <c r="I337" s="4" t="s">
        <v>483</v>
      </c>
      <c r="J337" s="4">
        <v>0.91313892602920532</v>
      </c>
      <c r="K337" s="4" t="s">
        <v>29</v>
      </c>
      <c r="L337" s="4" t="s">
        <v>480</v>
      </c>
      <c r="M337" s="4">
        <v>1</v>
      </c>
    </row>
    <row r="338" spans="1:13" ht="90" customHeight="1" x14ac:dyDescent="0.3">
      <c r="A338" s="8"/>
      <c r="B338" s="7"/>
      <c r="C338" s="7"/>
      <c r="D338" s="7"/>
      <c r="E338" s="7"/>
      <c r="F338" s="7"/>
      <c r="G338" s="7"/>
      <c r="H338" s="7"/>
      <c r="I338" s="1"/>
      <c r="J338" s="1"/>
      <c r="K338" s="1"/>
      <c r="L338" s="1"/>
      <c r="M338" s="1"/>
    </row>
    <row r="339" spans="1:13" ht="90" customHeight="1" x14ac:dyDescent="0.3">
      <c r="A339" s="8"/>
      <c r="B339" s="7"/>
      <c r="C339" s="7"/>
      <c r="D339" s="7"/>
      <c r="E339" s="7"/>
      <c r="F339" s="7"/>
      <c r="G339" s="7"/>
      <c r="H339" s="7"/>
      <c r="I339" s="1"/>
      <c r="J339" s="1"/>
      <c r="K339" s="1"/>
      <c r="L339" s="1"/>
      <c r="M339" s="1"/>
    </row>
    <row r="340" spans="1:13" ht="90" customHeight="1" x14ac:dyDescent="0.3">
      <c r="A340" s="8"/>
      <c r="B340" s="7"/>
      <c r="C340" s="7"/>
      <c r="D340" s="7"/>
      <c r="E340" s="7"/>
      <c r="F340" s="7"/>
      <c r="G340" s="7"/>
      <c r="H340" s="7"/>
      <c r="I340" s="1"/>
      <c r="J340" s="1"/>
      <c r="K340" s="1"/>
      <c r="L340" s="1"/>
      <c r="M340" s="1"/>
    </row>
    <row r="341" spans="1:13" ht="90" customHeight="1" x14ac:dyDescent="0.3">
      <c r="A341" s="8"/>
      <c r="B341" s="7"/>
      <c r="C341" s="7"/>
      <c r="D341" s="7"/>
      <c r="E341" s="7"/>
      <c r="F341" s="7"/>
      <c r="G341" s="7"/>
      <c r="H341" s="7"/>
      <c r="I341" s="1"/>
      <c r="J341" s="1"/>
      <c r="K341" s="1"/>
      <c r="L341" s="1"/>
      <c r="M341" s="1"/>
    </row>
    <row r="342" spans="1:13" ht="90" customHeight="1" x14ac:dyDescent="0.3">
      <c r="A342" s="8">
        <v>123</v>
      </c>
      <c r="B342" s="8" t="s">
        <v>484</v>
      </c>
      <c r="C342" s="8" t="s">
        <v>332</v>
      </c>
      <c r="D342" s="8" t="s">
        <v>485</v>
      </c>
      <c r="E342" s="6" t="s">
        <v>24</v>
      </c>
      <c r="F342" s="6" t="s">
        <v>25</v>
      </c>
      <c r="G342" s="8" t="s">
        <v>486</v>
      </c>
      <c r="H342" s="8" t="s">
        <v>487</v>
      </c>
      <c r="I342" s="4" t="s">
        <v>488</v>
      </c>
      <c r="J342" s="4">
        <v>0.99925023317337036</v>
      </c>
      <c r="K342" s="4" t="s">
        <v>29</v>
      </c>
      <c r="L342" s="4" t="s">
        <v>332</v>
      </c>
      <c r="M342" s="4">
        <v>102</v>
      </c>
    </row>
    <row r="343" spans="1:13" ht="90" customHeight="1" x14ac:dyDescent="0.3">
      <c r="A343" s="8"/>
      <c r="B343" s="7"/>
      <c r="C343" s="7"/>
      <c r="D343" s="7"/>
      <c r="E343" s="7"/>
      <c r="F343" s="7"/>
      <c r="G343" s="7"/>
      <c r="H343" s="7"/>
      <c r="I343" s="4" t="s">
        <v>489</v>
      </c>
      <c r="J343" s="4">
        <v>0.99923884868621826</v>
      </c>
      <c r="K343" s="4" t="s">
        <v>29</v>
      </c>
      <c r="L343" s="4" t="s">
        <v>332</v>
      </c>
      <c r="M343" s="4">
        <v>101</v>
      </c>
    </row>
    <row r="344" spans="1:13" ht="90" customHeight="1" x14ac:dyDescent="0.3">
      <c r="A344" s="8"/>
      <c r="B344" s="7"/>
      <c r="C344" s="7"/>
      <c r="D344" s="7"/>
      <c r="E344" s="7"/>
      <c r="F344" s="7"/>
      <c r="G344" s="7"/>
      <c r="H344" s="7"/>
      <c r="I344" s="1"/>
      <c r="J344" s="1"/>
      <c r="K344" s="1"/>
      <c r="L344" s="1"/>
      <c r="M344" s="1"/>
    </row>
    <row r="345" spans="1:13" ht="90" customHeight="1" x14ac:dyDescent="0.3">
      <c r="A345" s="8"/>
      <c r="B345" s="7"/>
      <c r="C345" s="7"/>
      <c r="D345" s="7"/>
      <c r="E345" s="7"/>
      <c r="F345" s="7"/>
      <c r="G345" s="7"/>
      <c r="H345" s="7"/>
      <c r="I345" s="1"/>
      <c r="J345" s="1"/>
      <c r="K345" s="1"/>
      <c r="L345" s="1"/>
      <c r="M345" s="1"/>
    </row>
    <row r="346" spans="1:13" ht="90" customHeight="1" x14ac:dyDescent="0.3">
      <c r="A346" s="8"/>
      <c r="B346" s="7"/>
      <c r="C346" s="7"/>
      <c r="D346" s="7"/>
      <c r="E346" s="7"/>
      <c r="F346" s="7"/>
      <c r="G346" s="7"/>
      <c r="H346" s="7"/>
      <c r="I346" s="1"/>
      <c r="J346" s="1"/>
      <c r="K346" s="1"/>
      <c r="L346" s="1"/>
      <c r="M346" s="1"/>
    </row>
    <row r="347" spans="1:13" ht="90" customHeight="1" x14ac:dyDescent="0.3">
      <c r="A347" s="8">
        <v>124</v>
      </c>
      <c r="B347" s="8" t="s">
        <v>490</v>
      </c>
      <c r="C347" s="8" t="s">
        <v>73</v>
      </c>
      <c r="D347" s="8" t="s">
        <v>74</v>
      </c>
      <c r="E347" s="6" t="s">
        <v>24</v>
      </c>
      <c r="F347" s="6" t="s">
        <v>25</v>
      </c>
      <c r="G347" s="8" t="s">
        <v>491</v>
      </c>
      <c r="H347" s="8" t="s">
        <v>492</v>
      </c>
      <c r="I347" s="2" t="s">
        <v>493</v>
      </c>
      <c r="J347" s="2">
        <v>0.98521673660929876</v>
      </c>
      <c r="K347" s="2" t="s">
        <v>29</v>
      </c>
      <c r="L347" s="2" t="s">
        <v>494</v>
      </c>
      <c r="M347" s="2">
        <v>43</v>
      </c>
    </row>
    <row r="348" spans="1:13" ht="90" customHeight="1" x14ac:dyDescent="0.3">
      <c r="A348" s="8"/>
      <c r="B348" s="7"/>
      <c r="C348" s="7"/>
      <c r="D348" s="7"/>
      <c r="E348" s="7"/>
      <c r="F348" s="7"/>
      <c r="G348" s="7"/>
      <c r="H348" s="7"/>
      <c r="I348" s="4" t="s">
        <v>77</v>
      </c>
      <c r="J348" s="4">
        <v>0.96281337738037109</v>
      </c>
      <c r="K348" s="4" t="s">
        <v>29</v>
      </c>
      <c r="L348" s="4" t="s">
        <v>73</v>
      </c>
      <c r="M348" s="4">
        <v>4</v>
      </c>
    </row>
    <row r="349" spans="1:13" ht="90" customHeight="1" x14ac:dyDescent="0.3">
      <c r="A349" s="8"/>
      <c r="B349" s="7"/>
      <c r="C349" s="7"/>
      <c r="D349" s="7"/>
      <c r="E349" s="7"/>
      <c r="F349" s="7"/>
      <c r="G349" s="7"/>
      <c r="H349" s="7"/>
      <c r="I349" s="2" t="s">
        <v>495</v>
      </c>
      <c r="J349" s="2">
        <v>0.86128395795822144</v>
      </c>
      <c r="K349" s="2" t="s">
        <v>29</v>
      </c>
      <c r="L349" s="2" t="s">
        <v>496</v>
      </c>
      <c r="M349" s="2">
        <v>10</v>
      </c>
    </row>
    <row r="350" spans="1:13" ht="90" customHeight="1" x14ac:dyDescent="0.3">
      <c r="A350" s="8"/>
      <c r="B350" s="7"/>
      <c r="C350" s="7"/>
      <c r="D350" s="7"/>
      <c r="E350" s="7"/>
      <c r="F350" s="7"/>
      <c r="G350" s="7"/>
      <c r="H350" s="7"/>
      <c r="I350" s="1"/>
      <c r="J350" s="1"/>
      <c r="K350" s="1"/>
      <c r="L350" s="1"/>
      <c r="M350" s="1"/>
    </row>
    <row r="351" spans="1:13" ht="90" customHeight="1" x14ac:dyDescent="0.3">
      <c r="A351" s="8"/>
      <c r="B351" s="7"/>
      <c r="C351" s="7"/>
      <c r="D351" s="7"/>
      <c r="E351" s="7"/>
      <c r="F351" s="7"/>
      <c r="G351" s="7"/>
      <c r="H351" s="7"/>
      <c r="I351" s="1"/>
      <c r="J351" s="1"/>
      <c r="K351" s="1"/>
      <c r="L351" s="1"/>
      <c r="M351" s="1"/>
    </row>
    <row r="352" spans="1:13" ht="90" customHeight="1" x14ac:dyDescent="0.3">
      <c r="A352" s="8">
        <v>125</v>
      </c>
      <c r="B352" s="8" t="s">
        <v>497</v>
      </c>
      <c r="C352" s="8" t="s">
        <v>73</v>
      </c>
      <c r="D352" s="8" t="s">
        <v>16</v>
      </c>
      <c r="E352" s="6" t="s">
        <v>24</v>
      </c>
      <c r="F352" s="6" t="s">
        <v>25</v>
      </c>
      <c r="G352" s="8" t="s">
        <v>498</v>
      </c>
      <c r="H352" s="8" t="s">
        <v>499</v>
      </c>
      <c r="I352" s="4" t="s">
        <v>96</v>
      </c>
      <c r="J352" s="4">
        <v>0.90211049920081854</v>
      </c>
      <c r="K352" s="4" t="s">
        <v>29</v>
      </c>
      <c r="L352" s="4" t="s">
        <v>73</v>
      </c>
      <c r="M352" s="4">
        <v>1</v>
      </c>
    </row>
    <row r="353" spans="1:13" ht="90" customHeight="1" x14ac:dyDescent="0.3">
      <c r="A353" s="8"/>
      <c r="B353" s="7"/>
      <c r="C353" s="7"/>
      <c r="D353" s="7"/>
      <c r="E353" s="7"/>
      <c r="F353" s="7"/>
      <c r="G353" s="7"/>
      <c r="H353" s="7"/>
      <c r="I353" s="1"/>
      <c r="J353" s="1"/>
      <c r="K353" s="1"/>
      <c r="L353" s="1"/>
      <c r="M353" s="1"/>
    </row>
    <row r="354" spans="1:13" ht="90" customHeight="1" x14ac:dyDescent="0.3">
      <c r="A354" s="8"/>
      <c r="B354" s="7"/>
      <c r="C354" s="7"/>
      <c r="D354" s="7"/>
      <c r="E354" s="7"/>
      <c r="F354" s="7"/>
      <c r="G354" s="7"/>
      <c r="H354" s="7"/>
      <c r="I354" s="1"/>
      <c r="J354" s="1"/>
      <c r="K354" s="1"/>
      <c r="L354" s="1"/>
      <c r="M354" s="1"/>
    </row>
    <row r="355" spans="1:13" ht="90" customHeight="1" x14ac:dyDescent="0.3">
      <c r="A355" s="8"/>
      <c r="B355" s="7"/>
      <c r="C355" s="7"/>
      <c r="D355" s="7"/>
      <c r="E355" s="7"/>
      <c r="F355" s="7"/>
      <c r="G355" s="7"/>
      <c r="H355" s="7"/>
      <c r="I355" s="1"/>
      <c r="J355" s="1"/>
      <c r="K355" s="1"/>
      <c r="L355" s="1"/>
      <c r="M355" s="1"/>
    </row>
    <row r="356" spans="1:13" ht="90" customHeight="1" x14ac:dyDescent="0.3">
      <c r="A356" s="8"/>
      <c r="B356" s="7"/>
      <c r="C356" s="7"/>
      <c r="D356" s="7"/>
      <c r="E356" s="7"/>
      <c r="F356" s="7"/>
      <c r="G356" s="7"/>
      <c r="H356" s="7"/>
      <c r="I356" s="1"/>
      <c r="J356" s="1"/>
      <c r="K356" s="1"/>
      <c r="L356" s="1"/>
      <c r="M356" s="1"/>
    </row>
    <row r="357" spans="1:13" ht="90" customHeight="1" x14ac:dyDescent="0.3">
      <c r="A357" s="8">
        <v>127</v>
      </c>
      <c r="B357" s="8" t="s">
        <v>500</v>
      </c>
      <c r="C357" s="8" t="s">
        <v>501</v>
      </c>
      <c r="D357" s="8" t="s">
        <v>16</v>
      </c>
      <c r="E357" s="6" t="s">
        <v>24</v>
      </c>
      <c r="F357" s="6" t="s">
        <v>25</v>
      </c>
      <c r="G357" s="8" t="s">
        <v>502</v>
      </c>
      <c r="H357" s="8" t="s">
        <v>503</v>
      </c>
      <c r="I357" s="4" t="s">
        <v>504</v>
      </c>
      <c r="J357" s="4">
        <v>0.9930081367451139</v>
      </c>
      <c r="K357" s="4" t="s">
        <v>29</v>
      </c>
      <c r="L357" s="4" t="s">
        <v>501</v>
      </c>
      <c r="M357" s="4">
        <v>1</v>
      </c>
    </row>
    <row r="358" spans="1:13" ht="90" customHeight="1" x14ac:dyDescent="0.3">
      <c r="A358" s="8"/>
      <c r="B358" s="7"/>
      <c r="C358" s="7"/>
      <c r="D358" s="7"/>
      <c r="E358" s="7"/>
      <c r="F358" s="7"/>
      <c r="G358" s="7"/>
      <c r="H358" s="7"/>
      <c r="I358" s="1" t="s">
        <v>505</v>
      </c>
      <c r="J358" s="1">
        <v>0.75023806095123291</v>
      </c>
      <c r="K358" s="1" t="s">
        <v>29</v>
      </c>
      <c r="L358" s="1" t="s">
        <v>116</v>
      </c>
      <c r="M358" s="1">
        <v>6</v>
      </c>
    </row>
    <row r="359" spans="1:13" ht="90" customHeight="1" x14ac:dyDescent="0.3">
      <c r="A359" s="8"/>
      <c r="B359" s="7"/>
      <c r="C359" s="7"/>
      <c r="D359" s="7"/>
      <c r="E359" s="7"/>
      <c r="F359" s="7"/>
      <c r="G359" s="7"/>
      <c r="H359" s="7"/>
      <c r="I359" s="1"/>
      <c r="J359" s="1"/>
      <c r="K359" s="1"/>
      <c r="L359" s="1"/>
      <c r="M359" s="1"/>
    </row>
    <row r="360" spans="1:13" ht="90" customHeight="1" x14ac:dyDescent="0.3">
      <c r="A360" s="8"/>
      <c r="B360" s="7"/>
      <c r="C360" s="7"/>
      <c r="D360" s="7"/>
      <c r="E360" s="7"/>
      <c r="F360" s="7"/>
      <c r="G360" s="7"/>
      <c r="H360" s="7"/>
      <c r="I360" s="1"/>
      <c r="J360" s="1"/>
      <c r="K360" s="1"/>
      <c r="L360" s="1"/>
      <c r="M360" s="1"/>
    </row>
    <row r="361" spans="1:13" ht="90" customHeight="1" x14ac:dyDescent="0.3">
      <c r="A361" s="8"/>
      <c r="B361" s="7"/>
      <c r="C361" s="7"/>
      <c r="D361" s="7"/>
      <c r="E361" s="7"/>
      <c r="F361" s="7"/>
      <c r="G361" s="7"/>
      <c r="H361" s="7"/>
      <c r="I361" s="1"/>
      <c r="J361" s="1"/>
      <c r="K361" s="1"/>
      <c r="L361" s="1"/>
      <c r="M361" s="1"/>
    </row>
    <row r="362" spans="1:13" ht="90" customHeight="1" x14ac:dyDescent="0.3">
      <c r="A362" s="8">
        <v>128</v>
      </c>
      <c r="B362" s="8" t="s">
        <v>506</v>
      </c>
      <c r="C362" s="8" t="s">
        <v>293</v>
      </c>
      <c r="D362" s="8" t="s">
        <v>507</v>
      </c>
      <c r="E362" s="6" t="s">
        <v>24</v>
      </c>
      <c r="F362" s="6" t="s">
        <v>25</v>
      </c>
      <c r="G362" s="8" t="s">
        <v>508</v>
      </c>
      <c r="H362" s="8" t="s">
        <v>509</v>
      </c>
      <c r="I362" s="4" t="s">
        <v>510</v>
      </c>
      <c r="J362" s="4">
        <v>0.99970167875289917</v>
      </c>
      <c r="K362" s="4" t="s">
        <v>29</v>
      </c>
      <c r="L362" s="4" t="s">
        <v>293</v>
      </c>
      <c r="M362" s="4">
        <v>2</v>
      </c>
    </row>
    <row r="363" spans="1:13" ht="90" customHeight="1" x14ac:dyDescent="0.3">
      <c r="A363" s="8"/>
      <c r="B363" s="7"/>
      <c r="C363" s="7"/>
      <c r="D363" s="7"/>
      <c r="E363" s="7"/>
      <c r="F363" s="7"/>
      <c r="G363" s="7"/>
      <c r="H363" s="7"/>
      <c r="I363" s="4" t="s">
        <v>389</v>
      </c>
      <c r="J363" s="4">
        <v>0.99775427579879761</v>
      </c>
      <c r="K363" s="4" t="s">
        <v>29</v>
      </c>
      <c r="L363" s="4" t="s">
        <v>293</v>
      </c>
      <c r="M363" s="4">
        <v>3</v>
      </c>
    </row>
    <row r="364" spans="1:13" ht="90" customHeight="1" x14ac:dyDescent="0.3">
      <c r="A364" s="8"/>
      <c r="B364" s="7"/>
      <c r="C364" s="7"/>
      <c r="D364" s="7"/>
      <c r="E364" s="7"/>
      <c r="F364" s="7"/>
      <c r="G364" s="7"/>
      <c r="H364" s="7"/>
      <c r="I364" s="4" t="s">
        <v>296</v>
      </c>
      <c r="J364" s="4">
        <v>0.99764865636825562</v>
      </c>
      <c r="K364" s="4" t="s">
        <v>29</v>
      </c>
      <c r="L364" s="4" t="s">
        <v>293</v>
      </c>
      <c r="M364" s="4">
        <v>4</v>
      </c>
    </row>
    <row r="365" spans="1:13" ht="90" customHeight="1" x14ac:dyDescent="0.3">
      <c r="A365" s="8"/>
      <c r="B365" s="7"/>
      <c r="C365" s="7"/>
      <c r="D365" s="7"/>
      <c r="E365" s="7"/>
      <c r="F365" s="7"/>
      <c r="G365" s="7"/>
      <c r="H365" s="7"/>
      <c r="I365" s="1"/>
      <c r="J365" s="1"/>
      <c r="K365" s="1"/>
      <c r="L365" s="1"/>
      <c r="M365" s="1"/>
    </row>
    <row r="366" spans="1:13" ht="90" customHeight="1" x14ac:dyDescent="0.3">
      <c r="A366" s="8"/>
      <c r="B366" s="7"/>
      <c r="C366" s="7"/>
      <c r="D366" s="7"/>
      <c r="E366" s="7"/>
      <c r="F366" s="7"/>
      <c r="G366" s="7"/>
      <c r="H366" s="7"/>
      <c r="I366" s="1"/>
      <c r="J366" s="1"/>
      <c r="K366" s="1"/>
      <c r="L366" s="1"/>
      <c r="M366" s="1"/>
    </row>
    <row r="367" spans="1:13" ht="90" customHeight="1" x14ac:dyDescent="0.3">
      <c r="A367" s="8">
        <v>129</v>
      </c>
      <c r="B367" s="8" t="s">
        <v>511</v>
      </c>
      <c r="C367" s="8" t="s">
        <v>43</v>
      </c>
      <c r="D367" s="8" t="s">
        <v>44</v>
      </c>
      <c r="E367" s="6" t="s">
        <v>24</v>
      </c>
      <c r="F367" s="6" t="s">
        <v>25</v>
      </c>
      <c r="G367" s="8" t="s">
        <v>512</v>
      </c>
      <c r="H367" s="8" t="s">
        <v>513</v>
      </c>
      <c r="I367" s="4" t="s">
        <v>47</v>
      </c>
      <c r="J367" s="4">
        <v>0.78545211508632895</v>
      </c>
      <c r="K367" s="4" t="s">
        <v>29</v>
      </c>
      <c r="L367" s="4" t="s">
        <v>43</v>
      </c>
      <c r="M367" s="4">
        <v>3</v>
      </c>
    </row>
    <row r="368" spans="1:13" ht="90" customHeight="1" x14ac:dyDescent="0.3">
      <c r="A368" s="8"/>
      <c r="B368" s="7"/>
      <c r="C368" s="7"/>
      <c r="D368" s="7"/>
      <c r="E368" s="7"/>
      <c r="F368" s="7"/>
      <c r="G368" s="7"/>
      <c r="H368" s="7"/>
      <c r="I368" s="4" t="s">
        <v>48</v>
      </c>
      <c r="J368" s="4">
        <v>0.77866440435937367</v>
      </c>
      <c r="K368" s="4" t="s">
        <v>29</v>
      </c>
      <c r="L368" s="4" t="s">
        <v>43</v>
      </c>
      <c r="M368" s="4">
        <v>1</v>
      </c>
    </row>
    <row r="369" spans="1:13" ht="90" customHeight="1" x14ac:dyDescent="0.3">
      <c r="A369" s="8"/>
      <c r="B369" s="7"/>
      <c r="C369" s="7"/>
      <c r="D369" s="7"/>
      <c r="E369" s="7"/>
      <c r="F369" s="7"/>
      <c r="G369" s="7"/>
      <c r="H369" s="7"/>
      <c r="I369" s="4" t="s">
        <v>49</v>
      </c>
      <c r="J369" s="4">
        <v>0.72140690755942172</v>
      </c>
      <c r="K369" s="4" t="s">
        <v>29</v>
      </c>
      <c r="L369" s="4" t="s">
        <v>43</v>
      </c>
      <c r="M369" s="4">
        <v>2</v>
      </c>
    </row>
    <row r="370" spans="1:13" ht="90" customHeight="1" x14ac:dyDescent="0.3">
      <c r="A370" s="8"/>
      <c r="B370" s="7"/>
      <c r="C370" s="7"/>
      <c r="D370" s="7"/>
      <c r="E370" s="7"/>
      <c r="F370" s="7"/>
      <c r="G370" s="7"/>
      <c r="H370" s="7"/>
      <c r="I370" s="1"/>
      <c r="J370" s="1"/>
      <c r="K370" s="1"/>
      <c r="L370" s="1"/>
      <c r="M370" s="1"/>
    </row>
    <row r="371" spans="1:13" ht="90" customHeight="1" x14ac:dyDescent="0.3">
      <c r="A371" s="8"/>
      <c r="B371" s="7"/>
      <c r="C371" s="7"/>
      <c r="D371" s="7"/>
      <c r="E371" s="7"/>
      <c r="F371" s="7"/>
      <c r="G371" s="7"/>
      <c r="H371" s="7"/>
      <c r="I371" s="1"/>
      <c r="J371" s="1"/>
      <c r="K371" s="1"/>
      <c r="L371" s="1"/>
      <c r="M371" s="1"/>
    </row>
    <row r="372" spans="1:13" ht="90" customHeight="1" x14ac:dyDescent="0.3">
      <c r="A372" s="8">
        <v>131</v>
      </c>
      <c r="B372" s="8" t="s">
        <v>514</v>
      </c>
      <c r="C372" s="8" t="s">
        <v>515</v>
      </c>
      <c r="D372" s="8" t="s">
        <v>16</v>
      </c>
      <c r="E372" s="6" t="s">
        <v>17</v>
      </c>
      <c r="F372" s="6" t="s">
        <v>18</v>
      </c>
      <c r="G372" s="8" t="s">
        <v>516</v>
      </c>
      <c r="H372" s="8" t="s">
        <v>20</v>
      </c>
      <c r="I372" s="1"/>
      <c r="J372" s="1"/>
      <c r="K372" s="1"/>
      <c r="L372" s="1"/>
      <c r="M372" s="1"/>
    </row>
    <row r="373" spans="1:13" ht="90" customHeight="1" x14ac:dyDescent="0.3">
      <c r="A373" s="8"/>
      <c r="B373" s="7"/>
      <c r="C373" s="7"/>
      <c r="D373" s="7"/>
      <c r="E373" s="7"/>
      <c r="F373" s="7"/>
      <c r="G373" s="7"/>
      <c r="H373" s="7"/>
      <c r="I373" s="1"/>
      <c r="J373" s="1"/>
      <c r="K373" s="1"/>
      <c r="L373" s="1"/>
      <c r="M373" s="1"/>
    </row>
    <row r="374" spans="1:13" ht="90" customHeight="1" x14ac:dyDescent="0.3">
      <c r="A374" s="8"/>
      <c r="B374" s="7"/>
      <c r="C374" s="7"/>
      <c r="D374" s="7"/>
      <c r="E374" s="7"/>
      <c r="F374" s="7"/>
      <c r="G374" s="7"/>
      <c r="H374" s="7"/>
      <c r="I374" s="1"/>
      <c r="J374" s="1"/>
      <c r="K374" s="1"/>
      <c r="L374" s="1"/>
      <c r="M374" s="1"/>
    </row>
    <row r="375" spans="1:13" ht="90" customHeight="1" x14ac:dyDescent="0.3">
      <c r="A375" s="8"/>
      <c r="B375" s="7"/>
      <c r="C375" s="7"/>
      <c r="D375" s="7"/>
      <c r="E375" s="7"/>
      <c r="F375" s="7"/>
      <c r="G375" s="7"/>
      <c r="H375" s="7"/>
      <c r="I375" s="1"/>
      <c r="J375" s="1"/>
      <c r="K375" s="1"/>
      <c r="L375" s="1"/>
      <c r="M375" s="1"/>
    </row>
    <row r="376" spans="1:13" ht="90" customHeight="1" x14ac:dyDescent="0.3">
      <c r="A376" s="8"/>
      <c r="B376" s="7"/>
      <c r="C376" s="7"/>
      <c r="D376" s="7"/>
      <c r="E376" s="7"/>
      <c r="F376" s="7"/>
      <c r="G376" s="7"/>
      <c r="H376" s="7"/>
      <c r="I376" s="1"/>
      <c r="J376" s="1"/>
      <c r="K376" s="1"/>
      <c r="L376" s="1"/>
      <c r="M376" s="1"/>
    </row>
    <row r="377" spans="1:13" ht="90" customHeight="1" x14ac:dyDescent="0.3">
      <c r="A377" s="8">
        <v>135</v>
      </c>
      <c r="B377" s="8" t="s">
        <v>517</v>
      </c>
      <c r="C377" s="8" t="s">
        <v>518</v>
      </c>
      <c r="D377" s="8" t="s">
        <v>471</v>
      </c>
      <c r="E377" s="6" t="s">
        <v>24</v>
      </c>
      <c r="F377" s="6" t="s">
        <v>25</v>
      </c>
      <c r="G377" s="8" t="s">
        <v>519</v>
      </c>
      <c r="H377" s="8" t="s">
        <v>520</v>
      </c>
      <c r="I377" s="4" t="s">
        <v>521</v>
      </c>
      <c r="J377" s="4">
        <v>0.99993705749511719</v>
      </c>
      <c r="K377" s="4" t="s">
        <v>29</v>
      </c>
      <c r="L377" s="4" t="s">
        <v>518</v>
      </c>
      <c r="M377" s="4">
        <v>2</v>
      </c>
    </row>
    <row r="378" spans="1:13" ht="90" customHeight="1" x14ac:dyDescent="0.3">
      <c r="A378" s="8"/>
      <c r="B378" s="7"/>
      <c r="C378" s="7"/>
      <c r="D378" s="7"/>
      <c r="E378" s="7"/>
      <c r="F378" s="7"/>
      <c r="G378" s="7"/>
      <c r="H378" s="7"/>
      <c r="I378" s="4" t="s">
        <v>522</v>
      </c>
      <c r="J378" s="4">
        <v>0.99988102850829452</v>
      </c>
      <c r="K378" s="4" t="s">
        <v>29</v>
      </c>
      <c r="L378" s="4" t="s">
        <v>518</v>
      </c>
      <c r="M378" s="4">
        <v>1</v>
      </c>
    </row>
    <row r="379" spans="1:13" ht="90" customHeight="1" x14ac:dyDescent="0.3">
      <c r="A379" s="8"/>
      <c r="B379" s="7"/>
      <c r="C379" s="7"/>
      <c r="D379" s="7"/>
      <c r="E379" s="7"/>
      <c r="F379" s="7"/>
      <c r="G379" s="7"/>
      <c r="H379" s="7"/>
      <c r="I379" s="2" t="s">
        <v>523</v>
      </c>
      <c r="J379" s="2">
        <v>0.9556611180305481</v>
      </c>
      <c r="K379" s="2" t="s">
        <v>29</v>
      </c>
      <c r="L379" s="2" t="s">
        <v>518</v>
      </c>
      <c r="M379" s="2">
        <v>4</v>
      </c>
    </row>
    <row r="380" spans="1:13" ht="90" customHeight="1" x14ac:dyDescent="0.3">
      <c r="A380" s="8"/>
      <c r="B380" s="7"/>
      <c r="C380" s="7"/>
      <c r="D380" s="7"/>
      <c r="E380" s="7"/>
      <c r="F380" s="7"/>
      <c r="G380" s="7"/>
      <c r="H380" s="7"/>
      <c r="I380" s="1" t="s">
        <v>524</v>
      </c>
      <c r="J380" s="1">
        <v>0.95485639572143555</v>
      </c>
      <c r="K380" s="1" t="s">
        <v>29</v>
      </c>
      <c r="L380" s="1" t="s">
        <v>525</v>
      </c>
      <c r="M380" s="1">
        <v>8</v>
      </c>
    </row>
    <row r="381" spans="1:13" ht="90" customHeight="1" x14ac:dyDescent="0.3">
      <c r="A381" s="8"/>
      <c r="B381" s="7"/>
      <c r="C381" s="7"/>
      <c r="D381" s="7"/>
      <c r="E381" s="7"/>
      <c r="F381" s="7"/>
      <c r="G381" s="7"/>
      <c r="H381" s="7"/>
      <c r="I381" s="1" t="s">
        <v>526</v>
      </c>
      <c r="J381" s="1">
        <v>0.92618471384048462</v>
      </c>
      <c r="K381" s="1" t="s">
        <v>29</v>
      </c>
      <c r="L381" s="1" t="s">
        <v>527</v>
      </c>
      <c r="M381" s="1">
        <v>40</v>
      </c>
    </row>
    <row r="382" spans="1:13" ht="90" customHeight="1" x14ac:dyDescent="0.3">
      <c r="A382" s="8">
        <v>138</v>
      </c>
      <c r="B382" s="8" t="s">
        <v>528</v>
      </c>
      <c r="C382" s="8" t="s">
        <v>529</v>
      </c>
      <c r="D382" s="8" t="s">
        <v>80</v>
      </c>
      <c r="E382" s="6" t="s">
        <v>24</v>
      </c>
      <c r="F382" s="6" t="s">
        <v>25</v>
      </c>
      <c r="G382" s="8" t="s">
        <v>530</v>
      </c>
      <c r="H382" s="8" t="s">
        <v>531</v>
      </c>
      <c r="I382" s="4" t="s">
        <v>532</v>
      </c>
      <c r="J382" s="4">
        <v>0.99999940395355225</v>
      </c>
      <c r="K382" s="4" t="s">
        <v>29</v>
      </c>
      <c r="L382" s="4" t="s">
        <v>529</v>
      </c>
      <c r="M382" s="4">
        <v>11</v>
      </c>
    </row>
    <row r="383" spans="1:13" ht="90" customHeight="1" x14ac:dyDescent="0.3">
      <c r="A383" s="8"/>
      <c r="B383" s="7"/>
      <c r="C383" s="7"/>
      <c r="D383" s="7"/>
      <c r="E383" s="7"/>
      <c r="F383" s="7"/>
      <c r="G383" s="7"/>
      <c r="H383" s="7"/>
      <c r="I383" s="1"/>
      <c r="J383" s="1"/>
      <c r="K383" s="1"/>
      <c r="L383" s="1"/>
      <c r="M383" s="1"/>
    </row>
    <row r="384" spans="1:13" ht="90" customHeight="1" x14ac:dyDescent="0.3">
      <c r="A384" s="8"/>
      <c r="B384" s="7"/>
      <c r="C384" s="7"/>
      <c r="D384" s="7"/>
      <c r="E384" s="7"/>
      <c r="F384" s="7"/>
      <c r="G384" s="7"/>
      <c r="H384" s="7"/>
      <c r="I384" s="1"/>
      <c r="J384" s="1"/>
      <c r="K384" s="1"/>
      <c r="L384" s="1"/>
      <c r="M384" s="1"/>
    </row>
    <row r="385" spans="1:13" ht="90" customHeight="1" x14ac:dyDescent="0.3">
      <c r="A385" s="8"/>
      <c r="B385" s="7"/>
      <c r="C385" s="7"/>
      <c r="D385" s="7"/>
      <c r="E385" s="7"/>
      <c r="F385" s="7"/>
      <c r="G385" s="7"/>
      <c r="H385" s="7"/>
      <c r="I385" s="1"/>
      <c r="J385" s="1"/>
      <c r="K385" s="1"/>
      <c r="L385" s="1"/>
      <c r="M385" s="1"/>
    </row>
    <row r="386" spans="1:13" ht="90" customHeight="1" x14ac:dyDescent="0.3">
      <c r="A386" s="8"/>
      <c r="B386" s="7"/>
      <c r="C386" s="7"/>
      <c r="D386" s="7"/>
      <c r="E386" s="7"/>
      <c r="F386" s="7"/>
      <c r="G386" s="7"/>
      <c r="H386" s="7"/>
      <c r="I386" s="1"/>
      <c r="J386" s="1"/>
      <c r="K386" s="1"/>
      <c r="L386" s="1"/>
      <c r="M386" s="1"/>
    </row>
    <row r="387" spans="1:13" ht="90" customHeight="1" x14ac:dyDescent="0.3">
      <c r="A387" s="8">
        <v>143</v>
      </c>
      <c r="B387" s="8" t="s">
        <v>533</v>
      </c>
      <c r="C387" s="8" t="s">
        <v>92</v>
      </c>
      <c r="D387" s="8" t="s">
        <v>534</v>
      </c>
      <c r="E387" s="6" t="s">
        <v>24</v>
      </c>
      <c r="F387" s="6" t="s">
        <v>25</v>
      </c>
      <c r="G387" s="8" t="s">
        <v>535</v>
      </c>
      <c r="H387" s="8" t="s">
        <v>536</v>
      </c>
      <c r="I387" s="4" t="s">
        <v>537</v>
      </c>
      <c r="J387" s="4">
        <v>0.99978539857596782</v>
      </c>
      <c r="K387" s="4" t="s">
        <v>29</v>
      </c>
      <c r="L387" s="4" t="s">
        <v>92</v>
      </c>
      <c r="M387" s="4">
        <v>3</v>
      </c>
    </row>
    <row r="388" spans="1:13" ht="90" customHeight="1" x14ac:dyDescent="0.3">
      <c r="A388" s="8"/>
      <c r="B388" s="7"/>
      <c r="C388" s="7"/>
      <c r="D388" s="7"/>
      <c r="E388" s="7"/>
      <c r="F388" s="7"/>
      <c r="G388" s="7"/>
      <c r="H388" s="7"/>
      <c r="I388" s="4" t="s">
        <v>538</v>
      </c>
      <c r="J388" s="4">
        <v>0.99968683719631568</v>
      </c>
      <c r="K388" s="4" t="s">
        <v>29</v>
      </c>
      <c r="L388" s="4" t="s">
        <v>92</v>
      </c>
      <c r="M388" s="4">
        <v>2</v>
      </c>
    </row>
    <row r="389" spans="1:13" ht="90" customHeight="1" x14ac:dyDescent="0.3">
      <c r="A389" s="8"/>
      <c r="B389" s="7"/>
      <c r="C389" s="7"/>
      <c r="D389" s="7"/>
      <c r="E389" s="7"/>
      <c r="F389" s="7"/>
      <c r="G389" s="7"/>
      <c r="H389" s="7"/>
      <c r="I389" s="1"/>
      <c r="J389" s="1"/>
      <c r="K389" s="1"/>
      <c r="L389" s="1"/>
      <c r="M389" s="1"/>
    </row>
    <row r="390" spans="1:13" ht="90" customHeight="1" x14ac:dyDescent="0.3">
      <c r="A390" s="8"/>
      <c r="B390" s="7"/>
      <c r="C390" s="7"/>
      <c r="D390" s="7"/>
      <c r="E390" s="7"/>
      <c r="F390" s="7"/>
      <c r="G390" s="7"/>
      <c r="H390" s="7"/>
      <c r="I390" s="1"/>
      <c r="J390" s="1"/>
      <c r="K390" s="1"/>
      <c r="L390" s="1"/>
      <c r="M390" s="1"/>
    </row>
    <row r="391" spans="1:13" ht="90" customHeight="1" x14ac:dyDescent="0.3">
      <c r="A391" s="8"/>
      <c r="B391" s="7"/>
      <c r="C391" s="7"/>
      <c r="D391" s="7"/>
      <c r="E391" s="7"/>
      <c r="F391" s="7"/>
      <c r="G391" s="7"/>
      <c r="H391" s="7"/>
      <c r="I391" s="1"/>
      <c r="J391" s="1"/>
      <c r="K391" s="1"/>
      <c r="L391" s="1"/>
      <c r="M391" s="1"/>
    </row>
    <row r="392" spans="1:13" ht="90" customHeight="1" x14ac:dyDescent="0.3">
      <c r="A392" s="8">
        <v>144</v>
      </c>
      <c r="B392" s="8" t="s">
        <v>539</v>
      </c>
      <c r="C392" s="8" t="s">
        <v>455</v>
      </c>
      <c r="D392" s="8" t="s">
        <v>540</v>
      </c>
      <c r="E392" s="6" t="s">
        <v>24</v>
      </c>
      <c r="F392" s="6" t="s">
        <v>25</v>
      </c>
      <c r="G392" s="8" t="s">
        <v>541</v>
      </c>
      <c r="H392" s="8" t="s">
        <v>542</v>
      </c>
      <c r="I392" s="4" t="s">
        <v>543</v>
      </c>
      <c r="J392" s="4">
        <v>0.96753901243209839</v>
      </c>
      <c r="K392" s="4" t="s">
        <v>29</v>
      </c>
      <c r="L392" s="4" t="s">
        <v>455</v>
      </c>
      <c r="M392" s="4">
        <v>355</v>
      </c>
    </row>
    <row r="393" spans="1:13" ht="90" customHeight="1" x14ac:dyDescent="0.3">
      <c r="A393" s="8"/>
      <c r="B393" s="7"/>
      <c r="C393" s="7"/>
      <c r="D393" s="7"/>
      <c r="E393" s="7"/>
      <c r="F393" s="7"/>
      <c r="G393" s="7"/>
      <c r="H393" s="7"/>
      <c r="I393" s="1"/>
      <c r="J393" s="1"/>
      <c r="K393" s="1"/>
      <c r="L393" s="1"/>
      <c r="M393" s="1"/>
    </row>
    <row r="394" spans="1:13" ht="90" customHeight="1" x14ac:dyDescent="0.3">
      <c r="A394" s="8"/>
      <c r="B394" s="7"/>
      <c r="C394" s="7"/>
      <c r="D394" s="7"/>
      <c r="E394" s="7"/>
      <c r="F394" s="7"/>
      <c r="G394" s="7"/>
      <c r="H394" s="7"/>
      <c r="I394" s="1"/>
      <c r="J394" s="1"/>
      <c r="K394" s="1"/>
      <c r="L394" s="1"/>
      <c r="M394" s="1"/>
    </row>
    <row r="395" spans="1:13" ht="90" customHeight="1" x14ac:dyDescent="0.3">
      <c r="A395" s="8"/>
      <c r="B395" s="7"/>
      <c r="C395" s="7"/>
      <c r="D395" s="7"/>
      <c r="E395" s="7"/>
      <c r="F395" s="7"/>
      <c r="G395" s="7"/>
      <c r="H395" s="7"/>
      <c r="I395" s="1"/>
      <c r="J395" s="1"/>
      <c r="K395" s="1"/>
      <c r="L395" s="1"/>
      <c r="M395" s="1"/>
    </row>
    <row r="396" spans="1:13" ht="90" customHeight="1" x14ac:dyDescent="0.3">
      <c r="A396" s="8"/>
      <c r="B396" s="7"/>
      <c r="C396" s="7"/>
      <c r="D396" s="7"/>
      <c r="E396" s="7"/>
      <c r="F396" s="7"/>
      <c r="G396" s="7"/>
      <c r="H396" s="7"/>
      <c r="I396" s="1"/>
      <c r="J396" s="1"/>
      <c r="K396" s="1"/>
      <c r="L396" s="1"/>
      <c r="M396" s="1"/>
    </row>
    <row r="397" spans="1:13" ht="90" customHeight="1" x14ac:dyDescent="0.3">
      <c r="A397" s="8">
        <v>145</v>
      </c>
      <c r="B397" s="8" t="s">
        <v>544</v>
      </c>
      <c r="C397" s="8" t="s">
        <v>92</v>
      </c>
      <c r="D397" s="8" t="s">
        <v>74</v>
      </c>
      <c r="E397" s="6" t="s">
        <v>24</v>
      </c>
      <c r="F397" s="6" t="s">
        <v>25</v>
      </c>
      <c r="G397" s="8" t="s">
        <v>545</v>
      </c>
      <c r="H397" s="8" t="s">
        <v>546</v>
      </c>
      <c r="I397" s="4" t="s">
        <v>547</v>
      </c>
      <c r="J397" s="4">
        <v>0.97731107473373413</v>
      </c>
      <c r="K397" s="4" t="s">
        <v>29</v>
      </c>
      <c r="L397" s="4" t="s">
        <v>92</v>
      </c>
      <c r="M397" s="4">
        <v>4</v>
      </c>
    </row>
    <row r="398" spans="1:13" ht="90" customHeight="1" x14ac:dyDescent="0.3">
      <c r="A398" s="8"/>
      <c r="B398" s="7"/>
      <c r="C398" s="7"/>
      <c r="D398" s="7"/>
      <c r="E398" s="7"/>
      <c r="F398" s="7"/>
      <c r="G398" s="7"/>
      <c r="H398" s="7"/>
      <c r="I398" s="1"/>
      <c r="J398" s="1"/>
      <c r="K398" s="1"/>
      <c r="L398" s="1"/>
      <c r="M398" s="1"/>
    </row>
    <row r="399" spans="1:13" ht="90" customHeight="1" x14ac:dyDescent="0.3">
      <c r="A399" s="8"/>
      <c r="B399" s="7"/>
      <c r="C399" s="7"/>
      <c r="D399" s="7"/>
      <c r="E399" s="7"/>
      <c r="F399" s="7"/>
      <c r="G399" s="7"/>
      <c r="H399" s="7"/>
      <c r="I399" s="1"/>
      <c r="J399" s="1"/>
      <c r="K399" s="1"/>
      <c r="L399" s="1"/>
      <c r="M399" s="1"/>
    </row>
    <row r="400" spans="1:13" ht="90" customHeight="1" x14ac:dyDescent="0.3">
      <c r="A400" s="8"/>
      <c r="B400" s="7"/>
      <c r="C400" s="7"/>
      <c r="D400" s="7"/>
      <c r="E400" s="7"/>
      <c r="F400" s="7"/>
      <c r="G400" s="7"/>
      <c r="H400" s="7"/>
      <c r="I400" s="1"/>
      <c r="J400" s="1"/>
      <c r="K400" s="1"/>
      <c r="L400" s="1"/>
      <c r="M400" s="1"/>
    </row>
    <row r="401" spans="1:13" ht="90" customHeight="1" x14ac:dyDescent="0.3">
      <c r="A401" s="8"/>
      <c r="B401" s="7"/>
      <c r="C401" s="7"/>
      <c r="D401" s="7"/>
      <c r="E401" s="7"/>
      <c r="F401" s="7"/>
      <c r="G401" s="7"/>
      <c r="H401" s="7"/>
      <c r="I401" s="1"/>
      <c r="J401" s="1"/>
      <c r="K401" s="1"/>
      <c r="L401" s="1"/>
      <c r="M401" s="1"/>
    </row>
    <row r="402" spans="1:13" ht="90" customHeight="1" x14ac:dyDescent="0.3">
      <c r="A402" s="8">
        <v>147</v>
      </c>
      <c r="B402" s="8" t="s">
        <v>548</v>
      </c>
      <c r="C402" s="8" t="s">
        <v>549</v>
      </c>
      <c r="D402" s="8" t="s">
        <v>550</v>
      </c>
      <c r="E402" s="6" t="s">
        <v>24</v>
      </c>
      <c r="F402" s="6" t="s">
        <v>25</v>
      </c>
      <c r="G402" s="8" t="s">
        <v>551</v>
      </c>
      <c r="H402" s="8" t="s">
        <v>552</v>
      </c>
      <c r="I402" s="4" t="s">
        <v>553</v>
      </c>
      <c r="J402" s="4">
        <v>0.99991238117218018</v>
      </c>
      <c r="K402" s="4" t="s">
        <v>29</v>
      </c>
      <c r="L402" s="4" t="s">
        <v>549</v>
      </c>
      <c r="M402" s="4">
        <v>26</v>
      </c>
    </row>
    <row r="403" spans="1:13" ht="90" customHeight="1" x14ac:dyDescent="0.3">
      <c r="A403" s="8"/>
      <c r="B403" s="7"/>
      <c r="C403" s="7"/>
      <c r="D403" s="7"/>
      <c r="E403" s="7"/>
      <c r="F403" s="7"/>
      <c r="G403" s="7"/>
      <c r="H403" s="7"/>
      <c r="I403" s="1"/>
      <c r="J403" s="1"/>
      <c r="K403" s="1"/>
      <c r="L403" s="1"/>
      <c r="M403" s="1"/>
    </row>
    <row r="404" spans="1:13" ht="90" customHeight="1" x14ac:dyDescent="0.3">
      <c r="A404" s="8"/>
      <c r="B404" s="7"/>
      <c r="C404" s="7"/>
      <c r="D404" s="7"/>
      <c r="E404" s="7"/>
      <c r="F404" s="7"/>
      <c r="G404" s="7"/>
      <c r="H404" s="7"/>
      <c r="I404" s="1"/>
      <c r="J404" s="1"/>
      <c r="K404" s="1"/>
      <c r="L404" s="1"/>
      <c r="M404" s="1"/>
    </row>
    <row r="405" spans="1:13" ht="90" customHeight="1" x14ac:dyDescent="0.3">
      <c r="A405" s="8"/>
      <c r="B405" s="7"/>
      <c r="C405" s="7"/>
      <c r="D405" s="7"/>
      <c r="E405" s="7"/>
      <c r="F405" s="7"/>
      <c r="G405" s="7"/>
      <c r="H405" s="7"/>
      <c r="I405" s="1"/>
      <c r="J405" s="1"/>
      <c r="K405" s="1"/>
      <c r="L405" s="1"/>
      <c r="M405" s="1"/>
    </row>
    <row r="406" spans="1:13" ht="90" customHeight="1" x14ac:dyDescent="0.3">
      <c r="A406" s="8"/>
      <c r="B406" s="7"/>
      <c r="C406" s="7"/>
      <c r="D406" s="7"/>
      <c r="E406" s="7"/>
      <c r="F406" s="7"/>
      <c r="G406" s="7"/>
      <c r="H406" s="7"/>
      <c r="I406" s="1"/>
      <c r="J406" s="1"/>
      <c r="K406" s="1"/>
      <c r="L406" s="1"/>
      <c r="M406" s="1"/>
    </row>
    <row r="407" spans="1:13" ht="90" customHeight="1" x14ac:dyDescent="0.3">
      <c r="A407" s="8">
        <v>148</v>
      </c>
      <c r="B407" s="8" t="s">
        <v>554</v>
      </c>
      <c r="C407" s="8" t="s">
        <v>73</v>
      </c>
      <c r="D407" s="8" t="s">
        <v>416</v>
      </c>
      <c r="E407" s="6" t="s">
        <v>17</v>
      </c>
      <c r="F407" s="6" t="s">
        <v>18</v>
      </c>
      <c r="G407" s="8" t="s">
        <v>555</v>
      </c>
      <c r="H407" s="8" t="s">
        <v>20</v>
      </c>
      <c r="I407" s="1"/>
      <c r="J407" s="1"/>
      <c r="K407" s="1"/>
      <c r="L407" s="1"/>
      <c r="M407" s="1"/>
    </row>
    <row r="408" spans="1:13" ht="90" customHeight="1" x14ac:dyDescent="0.3">
      <c r="A408" s="8"/>
      <c r="B408" s="7"/>
      <c r="C408" s="7"/>
      <c r="D408" s="7"/>
      <c r="E408" s="7"/>
      <c r="F408" s="7"/>
      <c r="G408" s="7"/>
      <c r="H408" s="7"/>
      <c r="I408" s="1"/>
      <c r="J408" s="1"/>
      <c r="K408" s="1"/>
      <c r="L408" s="1"/>
      <c r="M408" s="1"/>
    </row>
    <row r="409" spans="1:13" ht="90" customHeight="1" x14ac:dyDescent="0.3">
      <c r="A409" s="8"/>
      <c r="B409" s="7"/>
      <c r="C409" s="7"/>
      <c r="D409" s="7"/>
      <c r="E409" s="7"/>
      <c r="F409" s="7"/>
      <c r="G409" s="7"/>
      <c r="H409" s="7"/>
      <c r="I409" s="1"/>
      <c r="J409" s="1"/>
      <c r="K409" s="1"/>
      <c r="L409" s="1"/>
      <c r="M409" s="1"/>
    </row>
    <row r="410" spans="1:13" ht="90" customHeight="1" x14ac:dyDescent="0.3">
      <c r="A410" s="8"/>
      <c r="B410" s="7"/>
      <c r="C410" s="7"/>
      <c r="D410" s="7"/>
      <c r="E410" s="7"/>
      <c r="F410" s="7"/>
      <c r="G410" s="7"/>
      <c r="H410" s="7"/>
      <c r="I410" s="1"/>
      <c r="J410" s="1"/>
      <c r="K410" s="1"/>
      <c r="L410" s="1"/>
      <c r="M410" s="1"/>
    </row>
    <row r="411" spans="1:13" ht="90" customHeight="1" x14ac:dyDescent="0.3">
      <c r="A411" s="8"/>
      <c r="B411" s="7"/>
      <c r="C411" s="7"/>
      <c r="D411" s="7"/>
      <c r="E411" s="7"/>
      <c r="F411" s="7"/>
      <c r="G411" s="7"/>
      <c r="H411" s="7"/>
      <c r="I411" s="1"/>
      <c r="J411" s="1"/>
      <c r="K411" s="1"/>
      <c r="L411" s="1"/>
      <c r="M411" s="1"/>
    </row>
    <row r="412" spans="1:13" ht="90" customHeight="1" x14ac:dyDescent="0.3">
      <c r="A412" s="8">
        <v>150</v>
      </c>
      <c r="B412" s="8" t="s">
        <v>556</v>
      </c>
      <c r="C412" s="8" t="s">
        <v>73</v>
      </c>
      <c r="D412" s="8" t="s">
        <v>16</v>
      </c>
      <c r="E412" s="6" t="s">
        <v>24</v>
      </c>
      <c r="F412" s="6" t="s">
        <v>25</v>
      </c>
      <c r="G412" s="8" t="s">
        <v>557</v>
      </c>
      <c r="H412" s="8" t="s">
        <v>558</v>
      </c>
      <c r="I412" s="4" t="s">
        <v>96</v>
      </c>
      <c r="J412" s="4">
        <v>0.83143565266462804</v>
      </c>
      <c r="K412" s="4" t="s">
        <v>29</v>
      </c>
      <c r="L412" s="4" t="s">
        <v>73</v>
      </c>
      <c r="M412" s="4">
        <v>1</v>
      </c>
    </row>
    <row r="413" spans="1:13" ht="90" customHeight="1" x14ac:dyDescent="0.3">
      <c r="A413" s="8"/>
      <c r="B413" s="7"/>
      <c r="C413" s="7"/>
      <c r="D413" s="7"/>
      <c r="E413" s="7"/>
      <c r="F413" s="7"/>
      <c r="G413" s="7"/>
      <c r="H413" s="7"/>
      <c r="I413" s="1"/>
      <c r="J413" s="1"/>
      <c r="K413" s="1"/>
      <c r="L413" s="1"/>
      <c r="M413" s="1"/>
    </row>
    <row r="414" spans="1:13" ht="90" customHeight="1" x14ac:dyDescent="0.3">
      <c r="A414" s="8"/>
      <c r="B414" s="7"/>
      <c r="C414" s="7"/>
      <c r="D414" s="7"/>
      <c r="E414" s="7"/>
      <c r="F414" s="7"/>
      <c r="G414" s="7"/>
      <c r="H414" s="7"/>
      <c r="I414" s="1"/>
      <c r="J414" s="1"/>
      <c r="K414" s="1"/>
      <c r="L414" s="1"/>
      <c r="M414" s="1"/>
    </row>
    <row r="415" spans="1:13" ht="90" customHeight="1" x14ac:dyDescent="0.3">
      <c r="A415" s="8"/>
      <c r="B415" s="7"/>
      <c r="C415" s="7"/>
      <c r="D415" s="7"/>
      <c r="E415" s="7"/>
      <c r="F415" s="7"/>
      <c r="G415" s="7"/>
      <c r="H415" s="7"/>
      <c r="I415" s="1"/>
      <c r="J415" s="1"/>
      <c r="K415" s="1"/>
      <c r="L415" s="1"/>
      <c r="M415" s="1"/>
    </row>
    <row r="416" spans="1:13" ht="90" customHeight="1" x14ac:dyDescent="0.3">
      <c r="A416" s="8"/>
      <c r="B416" s="7"/>
      <c r="C416" s="7"/>
      <c r="D416" s="7"/>
      <c r="E416" s="7"/>
      <c r="F416" s="7"/>
      <c r="G416" s="7"/>
      <c r="H416" s="7"/>
      <c r="I416" s="1"/>
      <c r="J416" s="1"/>
      <c r="K416" s="1"/>
      <c r="L416" s="1"/>
      <c r="M416" s="1"/>
    </row>
    <row r="417" spans="1:13" ht="90" customHeight="1" x14ac:dyDescent="0.3">
      <c r="A417" s="8">
        <v>151</v>
      </c>
      <c r="B417" s="8" t="s">
        <v>559</v>
      </c>
      <c r="C417" s="8" t="s">
        <v>73</v>
      </c>
      <c r="D417" s="8" t="s">
        <v>398</v>
      </c>
      <c r="E417" s="6" t="s">
        <v>17</v>
      </c>
      <c r="F417" s="6" t="s">
        <v>18</v>
      </c>
      <c r="G417" s="8" t="s">
        <v>560</v>
      </c>
      <c r="H417" s="8" t="s">
        <v>20</v>
      </c>
      <c r="I417" s="1"/>
      <c r="J417" s="1"/>
      <c r="K417" s="1"/>
      <c r="L417" s="1"/>
      <c r="M417" s="1"/>
    </row>
    <row r="418" spans="1:13" ht="90" customHeight="1" x14ac:dyDescent="0.3">
      <c r="A418" s="8"/>
      <c r="B418" s="7"/>
      <c r="C418" s="7"/>
      <c r="D418" s="7"/>
      <c r="E418" s="7"/>
      <c r="F418" s="7"/>
      <c r="G418" s="7"/>
      <c r="H418" s="7"/>
      <c r="I418" s="1"/>
      <c r="J418" s="1"/>
      <c r="K418" s="1"/>
      <c r="L418" s="1"/>
      <c r="M418" s="1"/>
    </row>
    <row r="419" spans="1:13" ht="90" customHeight="1" x14ac:dyDescent="0.3">
      <c r="A419" s="8"/>
      <c r="B419" s="7"/>
      <c r="C419" s="7"/>
      <c r="D419" s="7"/>
      <c r="E419" s="7"/>
      <c r="F419" s="7"/>
      <c r="G419" s="7"/>
      <c r="H419" s="7"/>
      <c r="I419" s="1"/>
      <c r="J419" s="1"/>
      <c r="K419" s="1"/>
      <c r="L419" s="1"/>
      <c r="M419" s="1"/>
    </row>
    <row r="420" spans="1:13" ht="90" customHeight="1" x14ac:dyDescent="0.3">
      <c r="A420" s="8"/>
      <c r="B420" s="7"/>
      <c r="C420" s="7"/>
      <c r="D420" s="7"/>
      <c r="E420" s="7"/>
      <c r="F420" s="7"/>
      <c r="G420" s="7"/>
      <c r="H420" s="7"/>
      <c r="I420" s="1"/>
      <c r="J420" s="1"/>
      <c r="K420" s="1"/>
      <c r="L420" s="1"/>
      <c r="M420" s="1"/>
    </row>
    <row r="421" spans="1:13" ht="90" customHeight="1" x14ac:dyDescent="0.3">
      <c r="A421" s="8"/>
      <c r="B421" s="7"/>
      <c r="C421" s="7"/>
      <c r="D421" s="7"/>
      <c r="E421" s="7"/>
      <c r="F421" s="7"/>
      <c r="G421" s="7"/>
      <c r="H421" s="7"/>
      <c r="I421" s="1"/>
      <c r="J421" s="1"/>
      <c r="K421" s="1"/>
      <c r="L421" s="1"/>
      <c r="M421" s="1"/>
    </row>
    <row r="422" spans="1:13" ht="90" customHeight="1" x14ac:dyDescent="0.3">
      <c r="A422" s="8">
        <v>152</v>
      </c>
      <c r="B422" s="8" t="s">
        <v>561</v>
      </c>
      <c r="C422" s="8" t="s">
        <v>562</v>
      </c>
      <c r="D422" s="8" t="s">
        <v>16</v>
      </c>
      <c r="E422" s="6" t="s">
        <v>24</v>
      </c>
      <c r="F422" s="6" t="s">
        <v>25</v>
      </c>
      <c r="G422" s="8" t="s">
        <v>563</v>
      </c>
      <c r="H422" s="8" t="s">
        <v>564</v>
      </c>
      <c r="I422" s="4" t="s">
        <v>565</v>
      </c>
      <c r="J422" s="4">
        <v>0.9998544454574585</v>
      </c>
      <c r="K422" s="4" t="s">
        <v>29</v>
      </c>
      <c r="L422" s="4" t="s">
        <v>562</v>
      </c>
      <c r="M422" s="4">
        <v>1</v>
      </c>
    </row>
    <row r="423" spans="1:13" ht="90" customHeight="1" x14ac:dyDescent="0.3">
      <c r="A423" s="8"/>
      <c r="B423" s="7"/>
      <c r="C423" s="7"/>
      <c r="D423" s="7"/>
      <c r="E423" s="7"/>
      <c r="F423" s="7"/>
      <c r="G423" s="7"/>
      <c r="H423" s="7"/>
      <c r="I423" s="1"/>
      <c r="J423" s="1"/>
      <c r="K423" s="1"/>
      <c r="L423" s="1"/>
      <c r="M423" s="1"/>
    </row>
    <row r="424" spans="1:13" ht="90" customHeight="1" x14ac:dyDescent="0.3">
      <c r="A424" s="8"/>
      <c r="B424" s="7"/>
      <c r="C424" s="7"/>
      <c r="D424" s="7"/>
      <c r="E424" s="7"/>
      <c r="F424" s="7"/>
      <c r="G424" s="7"/>
      <c r="H424" s="7"/>
      <c r="I424" s="1"/>
      <c r="J424" s="1"/>
      <c r="K424" s="1"/>
      <c r="L424" s="1"/>
      <c r="M424" s="1"/>
    </row>
    <row r="425" spans="1:13" ht="90" customHeight="1" x14ac:dyDescent="0.3">
      <c r="A425" s="8"/>
      <c r="B425" s="7"/>
      <c r="C425" s="7"/>
      <c r="D425" s="7"/>
      <c r="E425" s="7"/>
      <c r="F425" s="7"/>
      <c r="G425" s="7"/>
      <c r="H425" s="7"/>
      <c r="I425" s="1"/>
      <c r="J425" s="1"/>
      <c r="K425" s="1"/>
      <c r="L425" s="1"/>
      <c r="M425" s="1"/>
    </row>
    <row r="426" spans="1:13" ht="90" customHeight="1" x14ac:dyDescent="0.3">
      <c r="A426" s="8"/>
      <c r="B426" s="7"/>
      <c r="C426" s="7"/>
      <c r="D426" s="7"/>
      <c r="E426" s="7"/>
      <c r="F426" s="7"/>
      <c r="G426" s="7"/>
      <c r="H426" s="7"/>
      <c r="I426" s="1"/>
      <c r="J426" s="1"/>
      <c r="K426" s="1"/>
      <c r="L426" s="1"/>
      <c r="M426" s="1"/>
    </row>
    <row r="427" spans="1:13" ht="90" customHeight="1" x14ac:dyDescent="0.3">
      <c r="A427" s="8">
        <v>154</v>
      </c>
      <c r="B427" s="8" t="s">
        <v>566</v>
      </c>
      <c r="C427" s="8" t="s">
        <v>567</v>
      </c>
      <c r="D427" s="8" t="s">
        <v>398</v>
      </c>
      <c r="E427" s="6" t="s">
        <v>24</v>
      </c>
      <c r="F427" s="6" t="s">
        <v>25</v>
      </c>
      <c r="G427" s="8" t="s">
        <v>568</v>
      </c>
      <c r="H427" s="8" t="s">
        <v>569</v>
      </c>
      <c r="I427" s="4" t="s">
        <v>570</v>
      </c>
      <c r="J427" s="4">
        <v>0.99230301380157471</v>
      </c>
      <c r="K427" s="4" t="s">
        <v>29</v>
      </c>
      <c r="L427" s="4" t="s">
        <v>567</v>
      </c>
      <c r="M427" s="4">
        <v>3</v>
      </c>
    </row>
    <row r="428" spans="1:13" ht="90" customHeight="1" x14ac:dyDescent="0.3">
      <c r="A428" s="8"/>
      <c r="B428" s="7"/>
      <c r="C428" s="7"/>
      <c r="D428" s="7"/>
      <c r="E428" s="7"/>
      <c r="F428" s="7"/>
      <c r="G428" s="7"/>
      <c r="H428" s="7"/>
      <c r="I428" s="1"/>
      <c r="J428" s="1"/>
      <c r="K428" s="1"/>
      <c r="L428" s="1"/>
      <c r="M428" s="1"/>
    </row>
    <row r="429" spans="1:13" ht="90" customHeight="1" x14ac:dyDescent="0.3">
      <c r="A429" s="8"/>
      <c r="B429" s="7"/>
      <c r="C429" s="7"/>
      <c r="D429" s="7"/>
      <c r="E429" s="7"/>
      <c r="F429" s="7"/>
      <c r="G429" s="7"/>
      <c r="H429" s="7"/>
      <c r="I429" s="1"/>
      <c r="J429" s="1"/>
      <c r="K429" s="1"/>
      <c r="L429" s="1"/>
      <c r="M429" s="1"/>
    </row>
    <row r="430" spans="1:13" ht="90" customHeight="1" x14ac:dyDescent="0.3">
      <c r="A430" s="8"/>
      <c r="B430" s="7"/>
      <c r="C430" s="7"/>
      <c r="D430" s="7"/>
      <c r="E430" s="7"/>
      <c r="F430" s="7"/>
      <c r="G430" s="7"/>
      <c r="H430" s="7"/>
      <c r="I430" s="1"/>
      <c r="J430" s="1"/>
      <c r="K430" s="1"/>
      <c r="L430" s="1"/>
      <c r="M430" s="1"/>
    </row>
    <row r="431" spans="1:13" ht="90" customHeight="1" x14ac:dyDescent="0.3">
      <c r="A431" s="8"/>
      <c r="B431" s="7"/>
      <c r="C431" s="7"/>
      <c r="D431" s="7"/>
      <c r="E431" s="7"/>
      <c r="F431" s="7"/>
      <c r="G431" s="7"/>
      <c r="H431" s="7"/>
      <c r="I431" s="1"/>
      <c r="J431" s="1"/>
      <c r="K431" s="1"/>
      <c r="L431" s="1"/>
      <c r="M431" s="1"/>
    </row>
    <row r="432" spans="1:13" ht="90" customHeight="1" x14ac:dyDescent="0.3">
      <c r="A432" s="8">
        <v>156</v>
      </c>
      <c r="B432" s="8" t="s">
        <v>571</v>
      </c>
      <c r="C432" s="8" t="s">
        <v>293</v>
      </c>
      <c r="D432" s="8" t="s">
        <v>109</v>
      </c>
      <c r="E432" s="6" t="s">
        <v>24</v>
      </c>
      <c r="F432" s="6" t="s">
        <v>25</v>
      </c>
      <c r="G432" s="8" t="s">
        <v>572</v>
      </c>
      <c r="H432" s="8" t="s">
        <v>573</v>
      </c>
      <c r="I432" s="4" t="s">
        <v>388</v>
      </c>
      <c r="J432" s="4">
        <v>0.99264729022979736</v>
      </c>
      <c r="K432" s="4" t="s">
        <v>29</v>
      </c>
      <c r="L432" s="4" t="s">
        <v>293</v>
      </c>
      <c r="M432" s="4">
        <v>2</v>
      </c>
    </row>
    <row r="433" spans="1:13" ht="90" customHeight="1" x14ac:dyDescent="0.3">
      <c r="A433" s="8"/>
      <c r="B433" s="7"/>
      <c r="C433" s="7"/>
      <c r="D433" s="7"/>
      <c r="E433" s="7"/>
      <c r="F433" s="7"/>
      <c r="G433" s="7"/>
      <c r="H433" s="7"/>
      <c r="I433" s="1"/>
      <c r="J433" s="1"/>
      <c r="K433" s="1"/>
      <c r="L433" s="1"/>
      <c r="M433" s="1"/>
    </row>
    <row r="434" spans="1:13" ht="90" customHeight="1" x14ac:dyDescent="0.3">
      <c r="A434" s="8"/>
      <c r="B434" s="7"/>
      <c r="C434" s="7"/>
      <c r="D434" s="7"/>
      <c r="E434" s="7"/>
      <c r="F434" s="7"/>
      <c r="G434" s="7"/>
      <c r="H434" s="7"/>
      <c r="I434" s="1"/>
      <c r="J434" s="1"/>
      <c r="K434" s="1"/>
      <c r="L434" s="1"/>
      <c r="M434" s="1"/>
    </row>
    <row r="435" spans="1:13" ht="90" customHeight="1" x14ac:dyDescent="0.3">
      <c r="A435" s="8"/>
      <c r="B435" s="7"/>
      <c r="C435" s="7"/>
      <c r="D435" s="7"/>
      <c r="E435" s="7"/>
      <c r="F435" s="7"/>
      <c r="G435" s="7"/>
      <c r="H435" s="7"/>
      <c r="I435" s="1"/>
      <c r="J435" s="1"/>
      <c r="K435" s="1"/>
      <c r="L435" s="1"/>
      <c r="M435" s="1"/>
    </row>
    <row r="436" spans="1:13" ht="90" customHeight="1" x14ac:dyDescent="0.3">
      <c r="A436" s="8"/>
      <c r="B436" s="7"/>
      <c r="C436" s="7"/>
      <c r="D436" s="7"/>
      <c r="E436" s="7"/>
      <c r="F436" s="7"/>
      <c r="G436" s="7"/>
      <c r="H436" s="7"/>
      <c r="I436" s="1"/>
      <c r="J436" s="1"/>
      <c r="K436" s="1"/>
      <c r="L436" s="1"/>
      <c r="M436" s="1"/>
    </row>
    <row r="437" spans="1:13" ht="90" customHeight="1" x14ac:dyDescent="0.3">
      <c r="A437" s="8">
        <v>157</v>
      </c>
      <c r="B437" s="8" t="s">
        <v>574</v>
      </c>
      <c r="C437" s="8" t="s">
        <v>128</v>
      </c>
      <c r="D437" s="8" t="s">
        <v>575</v>
      </c>
      <c r="E437" s="6" t="s">
        <v>24</v>
      </c>
      <c r="F437" s="6" t="s">
        <v>25</v>
      </c>
      <c r="G437" s="8" t="s">
        <v>576</v>
      </c>
      <c r="H437" s="8" t="s">
        <v>577</v>
      </c>
      <c r="I437" s="2" t="s">
        <v>578</v>
      </c>
      <c r="J437" s="2">
        <v>0.99590009450912476</v>
      </c>
      <c r="K437" s="2" t="s">
        <v>29</v>
      </c>
      <c r="L437" s="2" t="s">
        <v>130</v>
      </c>
      <c r="M437" s="2">
        <v>444</v>
      </c>
    </row>
    <row r="438" spans="1:13" ht="90" customHeight="1" x14ac:dyDescent="0.3">
      <c r="A438" s="8"/>
      <c r="B438" s="7"/>
      <c r="C438" s="7"/>
      <c r="D438" s="7"/>
      <c r="E438" s="7"/>
      <c r="F438" s="7"/>
      <c r="G438" s="7"/>
      <c r="H438" s="7"/>
      <c r="I438" s="2" t="s">
        <v>579</v>
      </c>
      <c r="J438" s="2">
        <v>0.99532926082611084</v>
      </c>
      <c r="K438" s="2" t="s">
        <v>29</v>
      </c>
      <c r="L438" s="2" t="s">
        <v>130</v>
      </c>
      <c r="M438" s="2">
        <v>442</v>
      </c>
    </row>
    <row r="439" spans="1:13" ht="90" customHeight="1" x14ac:dyDescent="0.3">
      <c r="A439" s="8"/>
      <c r="B439" s="7"/>
      <c r="C439" s="7"/>
      <c r="D439" s="7"/>
      <c r="E439" s="7"/>
      <c r="F439" s="7"/>
      <c r="G439" s="7"/>
      <c r="H439" s="7"/>
      <c r="I439" s="4" t="s">
        <v>580</v>
      </c>
      <c r="J439" s="4">
        <v>0.9931175708770752</v>
      </c>
      <c r="K439" s="4" t="s">
        <v>29</v>
      </c>
      <c r="L439" s="4" t="s">
        <v>128</v>
      </c>
      <c r="M439" s="4">
        <v>404</v>
      </c>
    </row>
    <row r="440" spans="1:13" ht="90" customHeight="1" x14ac:dyDescent="0.3">
      <c r="A440" s="8"/>
      <c r="B440" s="7"/>
      <c r="C440" s="7"/>
      <c r="D440" s="7"/>
      <c r="E440" s="7"/>
      <c r="F440" s="7"/>
      <c r="G440" s="7"/>
      <c r="H440" s="7"/>
      <c r="I440" s="1" t="s">
        <v>581</v>
      </c>
      <c r="J440" s="1">
        <v>0.98897331953048706</v>
      </c>
      <c r="K440" s="1" t="s">
        <v>29</v>
      </c>
      <c r="L440" s="1" t="s">
        <v>455</v>
      </c>
      <c r="M440" s="1">
        <v>363</v>
      </c>
    </row>
    <row r="441" spans="1:13" ht="90" customHeight="1" x14ac:dyDescent="0.3">
      <c r="A441" s="8"/>
      <c r="B441" s="7"/>
      <c r="C441" s="7"/>
      <c r="D441" s="7"/>
      <c r="E441" s="7"/>
      <c r="F441" s="7"/>
      <c r="G441" s="7"/>
      <c r="H441" s="7"/>
      <c r="I441" s="1" t="s">
        <v>582</v>
      </c>
      <c r="J441" s="1">
        <v>0.98595738410949707</v>
      </c>
      <c r="K441" s="1" t="s">
        <v>29</v>
      </c>
      <c r="L441" s="1" t="s">
        <v>423</v>
      </c>
      <c r="M441" s="1">
        <v>40</v>
      </c>
    </row>
    <row r="442" spans="1:13" ht="90" customHeight="1" x14ac:dyDescent="0.3">
      <c r="A442" s="8">
        <v>159</v>
      </c>
      <c r="B442" s="8" t="s">
        <v>583</v>
      </c>
      <c r="C442" s="8" t="s">
        <v>584</v>
      </c>
      <c r="D442" s="8" t="s">
        <v>585</v>
      </c>
      <c r="E442" s="6" t="s">
        <v>17</v>
      </c>
      <c r="F442" s="6" t="s">
        <v>18</v>
      </c>
      <c r="G442" s="8" t="s">
        <v>586</v>
      </c>
      <c r="H442" s="8" t="s">
        <v>587</v>
      </c>
      <c r="I442" s="2" t="s">
        <v>47</v>
      </c>
      <c r="J442" s="2">
        <v>0.99177205501961496</v>
      </c>
      <c r="K442" s="2" t="s">
        <v>29</v>
      </c>
      <c r="L442" s="2" t="s">
        <v>43</v>
      </c>
      <c r="M442" s="2">
        <v>3</v>
      </c>
    </row>
    <row r="443" spans="1:13" ht="90" customHeight="1" x14ac:dyDescent="0.3">
      <c r="A443" s="8"/>
      <c r="B443" s="7"/>
      <c r="C443" s="7"/>
      <c r="D443" s="7"/>
      <c r="E443" s="7"/>
      <c r="F443" s="7"/>
      <c r="G443" s="7"/>
      <c r="H443" s="7"/>
      <c r="I443" s="2" t="s">
        <v>48</v>
      </c>
      <c r="J443" s="2">
        <v>0.98889134984361116</v>
      </c>
      <c r="K443" s="2" t="s">
        <v>29</v>
      </c>
      <c r="L443" s="2" t="s">
        <v>43</v>
      </c>
      <c r="M443" s="2">
        <v>1</v>
      </c>
    </row>
    <row r="444" spans="1:13" ht="90" customHeight="1" x14ac:dyDescent="0.3">
      <c r="A444" s="8"/>
      <c r="B444" s="7"/>
      <c r="C444" s="7"/>
      <c r="D444" s="7"/>
      <c r="E444" s="7"/>
      <c r="F444" s="7"/>
      <c r="G444" s="7"/>
      <c r="H444" s="7"/>
      <c r="I444" s="2" t="s">
        <v>49</v>
      </c>
      <c r="J444" s="2">
        <v>0.90491826526374564</v>
      </c>
      <c r="K444" s="2" t="s">
        <v>29</v>
      </c>
      <c r="L444" s="2" t="s">
        <v>43</v>
      </c>
      <c r="M444" s="2">
        <v>2</v>
      </c>
    </row>
    <row r="445" spans="1:13" ht="90" customHeight="1" x14ac:dyDescent="0.3">
      <c r="A445" s="8"/>
      <c r="B445" s="7"/>
      <c r="C445" s="7"/>
      <c r="D445" s="7"/>
      <c r="E445" s="7"/>
      <c r="F445" s="7"/>
      <c r="G445" s="7"/>
      <c r="H445" s="7"/>
      <c r="I445" s="1"/>
      <c r="J445" s="1"/>
      <c r="K445" s="1"/>
      <c r="L445" s="1"/>
      <c r="M445" s="1"/>
    </row>
    <row r="446" spans="1:13" ht="90" customHeight="1" x14ac:dyDescent="0.3">
      <c r="A446" s="8"/>
      <c r="B446" s="7"/>
      <c r="C446" s="7"/>
      <c r="D446" s="7"/>
      <c r="E446" s="7"/>
      <c r="F446" s="7"/>
      <c r="G446" s="7"/>
      <c r="H446" s="7"/>
      <c r="I446" s="1"/>
      <c r="J446" s="1"/>
      <c r="K446" s="1"/>
      <c r="L446" s="1"/>
      <c r="M446" s="1"/>
    </row>
    <row r="447" spans="1:13" ht="90" customHeight="1" x14ac:dyDescent="0.3">
      <c r="A447" s="8">
        <v>160</v>
      </c>
      <c r="B447" s="8" t="s">
        <v>588</v>
      </c>
      <c r="C447" s="8" t="s">
        <v>240</v>
      </c>
      <c r="D447" s="8" t="s">
        <v>589</v>
      </c>
      <c r="E447" s="6" t="s">
        <v>24</v>
      </c>
      <c r="F447" s="6" t="s">
        <v>25</v>
      </c>
      <c r="G447" s="8" t="s">
        <v>590</v>
      </c>
      <c r="H447" s="8" t="s">
        <v>591</v>
      </c>
      <c r="I447" s="4" t="s">
        <v>592</v>
      </c>
      <c r="J447" s="4">
        <v>0.99711117752966671</v>
      </c>
      <c r="K447" s="4" t="s">
        <v>29</v>
      </c>
      <c r="L447" s="4" t="s">
        <v>240</v>
      </c>
      <c r="M447" s="4">
        <v>44</v>
      </c>
    </row>
    <row r="448" spans="1:13" ht="90" customHeight="1" x14ac:dyDescent="0.3">
      <c r="A448" s="8"/>
      <c r="B448" s="7"/>
      <c r="C448" s="7"/>
      <c r="D448" s="7"/>
      <c r="E448" s="7"/>
      <c r="F448" s="7"/>
      <c r="G448" s="7"/>
      <c r="H448" s="7"/>
      <c r="I448" s="1"/>
      <c r="J448" s="1"/>
      <c r="K448" s="1"/>
      <c r="L448" s="1"/>
      <c r="M448" s="1"/>
    </row>
    <row r="449" spans="1:13" ht="90" customHeight="1" x14ac:dyDescent="0.3">
      <c r="A449" s="8"/>
      <c r="B449" s="7"/>
      <c r="C449" s="7"/>
      <c r="D449" s="7"/>
      <c r="E449" s="7"/>
      <c r="F449" s="7"/>
      <c r="G449" s="7"/>
      <c r="H449" s="7"/>
      <c r="I449" s="1"/>
      <c r="J449" s="1"/>
      <c r="K449" s="1"/>
      <c r="L449" s="1"/>
      <c r="M449" s="1"/>
    </row>
    <row r="450" spans="1:13" ht="90" customHeight="1" x14ac:dyDescent="0.3">
      <c r="A450" s="8"/>
      <c r="B450" s="7"/>
      <c r="C450" s="7"/>
      <c r="D450" s="7"/>
      <c r="E450" s="7"/>
      <c r="F450" s="7"/>
      <c r="G450" s="7"/>
      <c r="H450" s="7"/>
      <c r="I450" s="1"/>
      <c r="J450" s="1"/>
      <c r="K450" s="1"/>
      <c r="L450" s="1"/>
      <c r="M450" s="1"/>
    </row>
    <row r="451" spans="1:13" ht="90" customHeight="1" x14ac:dyDescent="0.3">
      <c r="A451" s="8"/>
      <c r="B451" s="7"/>
      <c r="C451" s="7"/>
      <c r="D451" s="7"/>
      <c r="E451" s="7"/>
      <c r="F451" s="7"/>
      <c r="G451" s="7"/>
      <c r="H451" s="7"/>
      <c r="I451" s="1"/>
      <c r="J451" s="1"/>
      <c r="K451" s="1"/>
      <c r="L451" s="1"/>
      <c r="M451" s="1"/>
    </row>
    <row r="452" spans="1:13" ht="90" customHeight="1" x14ac:dyDescent="0.3">
      <c r="A452" s="8">
        <v>162</v>
      </c>
      <c r="B452" s="8" t="s">
        <v>593</v>
      </c>
      <c r="C452" s="8" t="s">
        <v>293</v>
      </c>
      <c r="D452" s="8" t="s">
        <v>507</v>
      </c>
      <c r="E452" s="6" t="s">
        <v>24</v>
      </c>
      <c r="F452" s="6" t="s">
        <v>25</v>
      </c>
      <c r="G452" s="8" t="s">
        <v>594</v>
      </c>
      <c r="H452" s="8" t="s">
        <v>595</v>
      </c>
      <c r="I452" s="4" t="s">
        <v>389</v>
      </c>
      <c r="J452" s="4">
        <v>0.99951684474945068</v>
      </c>
      <c r="K452" s="4" t="s">
        <v>29</v>
      </c>
      <c r="L452" s="4" t="s">
        <v>293</v>
      </c>
      <c r="M452" s="4">
        <v>3</v>
      </c>
    </row>
    <row r="453" spans="1:13" ht="90" customHeight="1" x14ac:dyDescent="0.3">
      <c r="A453" s="8"/>
      <c r="B453" s="7"/>
      <c r="C453" s="7"/>
      <c r="D453" s="7"/>
      <c r="E453" s="7"/>
      <c r="F453" s="7"/>
      <c r="G453" s="7"/>
      <c r="H453" s="7"/>
      <c r="I453" s="4" t="s">
        <v>510</v>
      </c>
      <c r="J453" s="4">
        <v>0.99943822622299194</v>
      </c>
      <c r="K453" s="4" t="s">
        <v>29</v>
      </c>
      <c r="L453" s="4" t="s">
        <v>293</v>
      </c>
      <c r="M453" s="4">
        <v>2</v>
      </c>
    </row>
    <row r="454" spans="1:13" ht="90" customHeight="1" x14ac:dyDescent="0.3">
      <c r="A454" s="8"/>
      <c r="B454" s="7"/>
      <c r="C454" s="7"/>
      <c r="D454" s="7"/>
      <c r="E454" s="7"/>
      <c r="F454" s="7"/>
      <c r="G454" s="7"/>
      <c r="H454" s="7"/>
      <c r="I454" s="5" t="s">
        <v>296</v>
      </c>
      <c r="J454" s="5">
        <v>0.99773764610290527</v>
      </c>
      <c r="K454" s="5" t="s">
        <v>29</v>
      </c>
      <c r="L454" s="5" t="s">
        <v>293</v>
      </c>
      <c r="M454" s="5">
        <v>4</v>
      </c>
    </row>
    <row r="455" spans="1:13" ht="90" customHeight="1" x14ac:dyDescent="0.3">
      <c r="A455" s="8"/>
      <c r="B455" s="7"/>
      <c r="C455" s="7"/>
      <c r="D455" s="7"/>
      <c r="E455" s="7"/>
      <c r="F455" s="7"/>
      <c r="G455" s="7"/>
      <c r="H455" s="7"/>
      <c r="I455" s="1" t="s">
        <v>596</v>
      </c>
      <c r="J455" s="1">
        <v>0.95424167582043662</v>
      </c>
      <c r="K455" s="1" t="s">
        <v>29</v>
      </c>
      <c r="L455" s="1" t="s">
        <v>423</v>
      </c>
      <c r="M455" s="1">
        <v>22</v>
      </c>
    </row>
    <row r="456" spans="1:13" ht="90" customHeight="1" x14ac:dyDescent="0.3">
      <c r="A456" s="8"/>
      <c r="B456" s="7"/>
      <c r="C456" s="7"/>
      <c r="D456" s="7"/>
      <c r="E456" s="7"/>
      <c r="F456" s="7"/>
      <c r="G456" s="7"/>
      <c r="H456" s="7"/>
      <c r="I456" s="1" t="s">
        <v>597</v>
      </c>
      <c r="J456" s="1">
        <v>0.95397250749072837</v>
      </c>
      <c r="K456" s="1" t="s">
        <v>65</v>
      </c>
      <c r="L456" s="1" t="s">
        <v>598</v>
      </c>
      <c r="M456" s="1">
        <v>9</v>
      </c>
    </row>
    <row r="457" spans="1:13" ht="90" customHeight="1" x14ac:dyDescent="0.3">
      <c r="A457" s="8">
        <v>163</v>
      </c>
      <c r="B457" s="8" t="s">
        <v>599</v>
      </c>
      <c r="C457" s="8" t="s">
        <v>600</v>
      </c>
      <c r="D457" s="8" t="s">
        <v>601</v>
      </c>
      <c r="E457" s="6" t="s">
        <v>17</v>
      </c>
      <c r="F457" s="6" t="s">
        <v>18</v>
      </c>
      <c r="G457" s="8" t="s">
        <v>602</v>
      </c>
      <c r="H457" s="8" t="s">
        <v>20</v>
      </c>
      <c r="I457" s="1"/>
      <c r="J457" s="1"/>
      <c r="K457" s="1"/>
      <c r="L457" s="1"/>
      <c r="M457" s="1"/>
    </row>
    <row r="458" spans="1:13" ht="90" customHeight="1" x14ac:dyDescent="0.3">
      <c r="A458" s="8"/>
      <c r="B458" s="7"/>
      <c r="C458" s="7"/>
      <c r="D458" s="7"/>
      <c r="E458" s="7"/>
      <c r="F458" s="7"/>
      <c r="G458" s="7"/>
      <c r="H458" s="7"/>
      <c r="I458" s="1"/>
      <c r="J458" s="1"/>
      <c r="K458" s="1"/>
      <c r="L458" s="1"/>
      <c r="M458" s="1"/>
    </row>
    <row r="459" spans="1:13" ht="90" customHeight="1" x14ac:dyDescent="0.3">
      <c r="A459" s="8"/>
      <c r="B459" s="7"/>
      <c r="C459" s="7"/>
      <c r="D459" s="7"/>
      <c r="E459" s="7"/>
      <c r="F459" s="7"/>
      <c r="G459" s="7"/>
      <c r="H459" s="7"/>
      <c r="I459" s="1"/>
      <c r="J459" s="1"/>
      <c r="K459" s="1"/>
      <c r="L459" s="1"/>
      <c r="M459" s="1"/>
    </row>
    <row r="460" spans="1:13" ht="90" customHeight="1" x14ac:dyDescent="0.3">
      <c r="A460" s="8"/>
      <c r="B460" s="7"/>
      <c r="C460" s="7"/>
      <c r="D460" s="7"/>
      <c r="E460" s="7"/>
      <c r="F460" s="7"/>
      <c r="G460" s="7"/>
      <c r="H460" s="7"/>
      <c r="I460" s="1"/>
      <c r="J460" s="1"/>
      <c r="K460" s="1"/>
      <c r="L460" s="1"/>
      <c r="M460" s="1"/>
    </row>
    <row r="461" spans="1:13" ht="90" customHeight="1" x14ac:dyDescent="0.3">
      <c r="A461" s="8"/>
      <c r="B461" s="7"/>
      <c r="C461" s="7"/>
      <c r="D461" s="7"/>
      <c r="E461" s="7"/>
      <c r="F461" s="7"/>
      <c r="G461" s="7"/>
      <c r="H461" s="7"/>
      <c r="I461" s="1"/>
      <c r="J461" s="1"/>
      <c r="K461" s="1"/>
      <c r="L461" s="1"/>
      <c r="M461" s="1"/>
    </row>
    <row r="462" spans="1:13" ht="90" customHeight="1" x14ac:dyDescent="0.3">
      <c r="A462" s="8">
        <v>164</v>
      </c>
      <c r="B462" s="8" t="s">
        <v>603</v>
      </c>
      <c r="C462" s="8" t="s">
        <v>567</v>
      </c>
      <c r="D462" s="8" t="s">
        <v>604</v>
      </c>
      <c r="E462" s="6" t="s">
        <v>17</v>
      </c>
      <c r="F462" s="6" t="s">
        <v>18</v>
      </c>
      <c r="G462" s="8" t="s">
        <v>605</v>
      </c>
      <c r="H462" s="8" t="s">
        <v>606</v>
      </c>
      <c r="I462" s="2" t="s">
        <v>607</v>
      </c>
      <c r="J462" s="2">
        <v>0.99864774942398071</v>
      </c>
      <c r="K462" s="2" t="s">
        <v>29</v>
      </c>
      <c r="L462" s="2" t="s">
        <v>343</v>
      </c>
      <c r="M462" s="2">
        <v>41</v>
      </c>
    </row>
    <row r="463" spans="1:13" ht="90" customHeight="1" x14ac:dyDescent="0.3">
      <c r="A463" s="8"/>
      <c r="B463" s="7"/>
      <c r="C463" s="7"/>
      <c r="D463" s="7"/>
      <c r="E463" s="7"/>
      <c r="F463" s="7"/>
      <c r="G463" s="7"/>
      <c r="H463" s="7"/>
      <c r="I463" s="2" t="s">
        <v>608</v>
      </c>
      <c r="J463" s="2">
        <v>0.99716871976852417</v>
      </c>
      <c r="K463" s="2" t="s">
        <v>29</v>
      </c>
      <c r="L463" s="2" t="s">
        <v>343</v>
      </c>
      <c r="M463" s="2">
        <v>34</v>
      </c>
    </row>
    <row r="464" spans="1:13" ht="90" customHeight="1" x14ac:dyDescent="0.3">
      <c r="A464" s="8"/>
      <c r="B464" s="7"/>
      <c r="C464" s="7"/>
      <c r="D464" s="7"/>
      <c r="E464" s="7"/>
      <c r="F464" s="7"/>
      <c r="G464" s="7"/>
      <c r="H464" s="7"/>
      <c r="I464" s="2" t="s">
        <v>609</v>
      </c>
      <c r="J464" s="2">
        <v>0.99315732717514038</v>
      </c>
      <c r="K464" s="2" t="s">
        <v>29</v>
      </c>
      <c r="L464" s="2" t="s">
        <v>338</v>
      </c>
      <c r="M464" s="2">
        <v>77</v>
      </c>
    </row>
    <row r="465" spans="1:13" ht="90" customHeight="1" x14ac:dyDescent="0.3">
      <c r="A465" s="8"/>
      <c r="B465" s="7"/>
      <c r="C465" s="7"/>
      <c r="D465" s="7"/>
      <c r="E465" s="7"/>
      <c r="F465" s="7"/>
      <c r="G465" s="7"/>
      <c r="H465" s="7"/>
      <c r="I465" s="1" t="s">
        <v>610</v>
      </c>
      <c r="J465" s="1">
        <v>0.99315732717514038</v>
      </c>
      <c r="K465" s="1" t="s">
        <v>29</v>
      </c>
      <c r="L465" s="1" t="s">
        <v>611</v>
      </c>
      <c r="M465" s="1">
        <v>79</v>
      </c>
    </row>
    <row r="466" spans="1:13" ht="90" customHeight="1" x14ac:dyDescent="0.3">
      <c r="A466" s="8"/>
      <c r="B466" s="7"/>
      <c r="C466" s="7"/>
      <c r="D466" s="7"/>
      <c r="E466" s="7"/>
      <c r="F466" s="7"/>
      <c r="G466" s="7"/>
      <c r="H466" s="7"/>
      <c r="I466" s="1" t="s">
        <v>612</v>
      </c>
      <c r="J466" s="1">
        <v>0.99135571718215942</v>
      </c>
      <c r="K466" s="1" t="s">
        <v>29</v>
      </c>
      <c r="L466" s="1" t="s">
        <v>51</v>
      </c>
      <c r="M466" s="1">
        <v>8</v>
      </c>
    </row>
    <row r="467" spans="1:13" ht="90" customHeight="1" x14ac:dyDescent="0.3">
      <c r="A467" s="8">
        <v>165</v>
      </c>
      <c r="B467" s="8" t="s">
        <v>613</v>
      </c>
      <c r="C467" s="8" t="s">
        <v>614</v>
      </c>
      <c r="D467" s="8" t="s">
        <v>615</v>
      </c>
      <c r="E467" s="6" t="s">
        <v>24</v>
      </c>
      <c r="F467" s="6" t="s">
        <v>25</v>
      </c>
      <c r="G467" s="8" t="s">
        <v>616</v>
      </c>
      <c r="H467" s="8" t="s">
        <v>617</v>
      </c>
      <c r="I467" s="4" t="s">
        <v>618</v>
      </c>
      <c r="J467" s="4">
        <v>0.98960775136947632</v>
      </c>
      <c r="K467" s="4" t="s">
        <v>29</v>
      </c>
      <c r="L467" s="4" t="s">
        <v>614</v>
      </c>
      <c r="M467" s="4">
        <v>17</v>
      </c>
    </row>
    <row r="468" spans="1:13" ht="90" customHeight="1" x14ac:dyDescent="0.3">
      <c r="A468" s="8"/>
      <c r="B468" s="7"/>
      <c r="C468" s="7"/>
      <c r="D468" s="7"/>
      <c r="E468" s="7"/>
      <c r="F468" s="7"/>
      <c r="G468" s="7"/>
      <c r="H468" s="7"/>
      <c r="I468" s="5" t="s">
        <v>619</v>
      </c>
      <c r="J468" s="5">
        <v>0.95802059297582898</v>
      </c>
      <c r="K468" s="5" t="s">
        <v>29</v>
      </c>
      <c r="L468" s="5" t="s">
        <v>614</v>
      </c>
      <c r="M468" s="5">
        <v>16</v>
      </c>
    </row>
    <row r="469" spans="1:13" ht="90" customHeight="1" x14ac:dyDescent="0.3">
      <c r="A469" s="8"/>
      <c r="B469" s="7"/>
      <c r="C469" s="7"/>
      <c r="D469" s="7"/>
      <c r="E469" s="7"/>
      <c r="F469" s="7"/>
      <c r="G469" s="7"/>
      <c r="H469" s="7"/>
      <c r="I469" s="1"/>
      <c r="J469" s="1"/>
      <c r="K469" s="1"/>
      <c r="L469" s="1"/>
      <c r="M469" s="1"/>
    </row>
    <row r="470" spans="1:13" ht="90" customHeight="1" x14ac:dyDescent="0.3">
      <c r="A470" s="8"/>
      <c r="B470" s="7"/>
      <c r="C470" s="7"/>
      <c r="D470" s="7"/>
      <c r="E470" s="7"/>
      <c r="F470" s="7"/>
      <c r="G470" s="7"/>
      <c r="H470" s="7"/>
      <c r="I470" s="1"/>
      <c r="J470" s="1"/>
      <c r="K470" s="1"/>
      <c r="L470" s="1"/>
      <c r="M470" s="1"/>
    </row>
    <row r="471" spans="1:13" ht="90" customHeight="1" x14ac:dyDescent="0.3">
      <c r="A471" s="8"/>
      <c r="B471" s="7"/>
      <c r="C471" s="7"/>
      <c r="D471" s="7"/>
      <c r="E471" s="7"/>
      <c r="F471" s="7"/>
      <c r="G471" s="7"/>
      <c r="H471" s="7"/>
      <c r="I471" s="1"/>
      <c r="J471" s="1"/>
      <c r="K471" s="1"/>
      <c r="L471" s="1"/>
      <c r="M471" s="1"/>
    </row>
    <row r="472" spans="1:13" ht="90" customHeight="1" x14ac:dyDescent="0.3">
      <c r="A472" s="8">
        <v>168</v>
      </c>
      <c r="B472" s="8" t="s">
        <v>620</v>
      </c>
      <c r="C472" s="8" t="s">
        <v>114</v>
      </c>
      <c r="D472" s="8" t="s">
        <v>235</v>
      </c>
      <c r="E472" s="6" t="s">
        <v>24</v>
      </c>
      <c r="F472" s="6" t="s">
        <v>25</v>
      </c>
      <c r="G472" s="8" t="s">
        <v>621</v>
      </c>
      <c r="H472" s="8" t="s">
        <v>622</v>
      </c>
      <c r="I472" s="4" t="s">
        <v>273</v>
      </c>
      <c r="J472" s="4">
        <v>0.99292457103729248</v>
      </c>
      <c r="K472" s="4" t="s">
        <v>29</v>
      </c>
      <c r="L472" s="4" t="s">
        <v>114</v>
      </c>
      <c r="M472" s="4">
        <v>7</v>
      </c>
    </row>
    <row r="473" spans="1:13" ht="90" customHeight="1" x14ac:dyDescent="0.3">
      <c r="A473" s="8"/>
      <c r="B473" s="7"/>
      <c r="C473" s="7"/>
      <c r="D473" s="7"/>
      <c r="E473" s="7"/>
      <c r="F473" s="7"/>
      <c r="G473" s="7"/>
      <c r="H473" s="7"/>
      <c r="I473" s="2" t="s">
        <v>275</v>
      </c>
      <c r="J473" s="2">
        <v>0.96557915210723877</v>
      </c>
      <c r="K473" s="2" t="s">
        <v>29</v>
      </c>
      <c r="L473" s="2" t="s">
        <v>276</v>
      </c>
      <c r="M473" s="2">
        <v>1</v>
      </c>
    </row>
    <row r="474" spans="1:13" ht="90" customHeight="1" x14ac:dyDescent="0.3">
      <c r="A474" s="8"/>
      <c r="B474" s="7"/>
      <c r="C474" s="7"/>
      <c r="D474" s="7"/>
      <c r="E474" s="7"/>
      <c r="F474" s="7"/>
      <c r="G474" s="7"/>
      <c r="H474" s="7"/>
      <c r="I474" s="1" t="s">
        <v>623</v>
      </c>
      <c r="J474" s="1">
        <v>0.94252222776412964</v>
      </c>
      <c r="K474" s="1" t="s">
        <v>29</v>
      </c>
      <c r="L474" s="1" t="s">
        <v>624</v>
      </c>
      <c r="M474" s="1">
        <v>32</v>
      </c>
    </row>
    <row r="475" spans="1:13" ht="90" customHeight="1" x14ac:dyDescent="0.3">
      <c r="A475" s="8"/>
      <c r="B475" s="7"/>
      <c r="C475" s="7"/>
      <c r="D475" s="7"/>
      <c r="E475" s="7"/>
      <c r="F475" s="7"/>
      <c r="G475" s="7"/>
      <c r="H475" s="7"/>
      <c r="I475" s="1" t="s">
        <v>270</v>
      </c>
      <c r="J475" s="1">
        <v>0.90206116437911987</v>
      </c>
      <c r="K475" s="1" t="s">
        <v>65</v>
      </c>
      <c r="L475" s="1" t="s">
        <v>271</v>
      </c>
      <c r="M475" s="1">
        <v>1</v>
      </c>
    </row>
    <row r="476" spans="1:13" ht="90" customHeight="1" x14ac:dyDescent="0.3">
      <c r="A476" s="8"/>
      <c r="B476" s="7"/>
      <c r="C476" s="7"/>
      <c r="D476" s="7"/>
      <c r="E476" s="7"/>
      <c r="F476" s="7"/>
      <c r="G476" s="7"/>
      <c r="H476" s="7"/>
      <c r="I476" s="1"/>
      <c r="J476" s="1"/>
      <c r="K476" s="1"/>
      <c r="L476" s="1"/>
      <c r="M476" s="1"/>
    </row>
    <row r="477" spans="1:13" ht="90" customHeight="1" x14ac:dyDescent="0.3">
      <c r="A477" s="8">
        <v>170</v>
      </c>
      <c r="B477" s="8" t="s">
        <v>625</v>
      </c>
      <c r="C477" s="8" t="s">
        <v>257</v>
      </c>
      <c r="D477" s="8" t="s">
        <v>550</v>
      </c>
      <c r="E477" s="6" t="s">
        <v>24</v>
      </c>
      <c r="F477" s="6" t="s">
        <v>25</v>
      </c>
      <c r="G477" s="8" t="s">
        <v>626</v>
      </c>
      <c r="H477" s="8" t="s">
        <v>627</v>
      </c>
      <c r="I477" s="4" t="s">
        <v>628</v>
      </c>
      <c r="J477" s="4">
        <v>0.99961578845977783</v>
      </c>
      <c r="K477" s="4" t="s">
        <v>29</v>
      </c>
      <c r="L477" s="4" t="s">
        <v>257</v>
      </c>
      <c r="M477" s="4">
        <v>26</v>
      </c>
    </row>
    <row r="478" spans="1:13" ht="90" customHeight="1" x14ac:dyDescent="0.3">
      <c r="A478" s="8"/>
      <c r="B478" s="7"/>
      <c r="C478" s="7"/>
      <c r="D478" s="7"/>
      <c r="E478" s="7"/>
      <c r="F478" s="7"/>
      <c r="G478" s="7"/>
      <c r="H478" s="7"/>
      <c r="I478" s="1"/>
      <c r="J478" s="1"/>
      <c r="K478" s="1"/>
      <c r="L478" s="1"/>
      <c r="M478" s="1"/>
    </row>
    <row r="479" spans="1:13" ht="90" customHeight="1" x14ac:dyDescent="0.3">
      <c r="A479" s="8"/>
      <c r="B479" s="7"/>
      <c r="C479" s="7"/>
      <c r="D479" s="7"/>
      <c r="E479" s="7"/>
      <c r="F479" s="7"/>
      <c r="G479" s="7"/>
      <c r="H479" s="7"/>
      <c r="I479" s="1"/>
      <c r="J479" s="1"/>
      <c r="K479" s="1"/>
      <c r="L479" s="1"/>
      <c r="M479" s="1"/>
    </row>
    <row r="480" spans="1:13" ht="90" customHeight="1" x14ac:dyDescent="0.3">
      <c r="A480" s="8"/>
      <c r="B480" s="7"/>
      <c r="C480" s="7"/>
      <c r="D480" s="7"/>
      <c r="E480" s="7"/>
      <c r="F480" s="7"/>
      <c r="G480" s="7"/>
      <c r="H480" s="7"/>
      <c r="I480" s="1"/>
      <c r="J480" s="1"/>
      <c r="K480" s="1"/>
      <c r="L480" s="1"/>
      <c r="M480" s="1"/>
    </row>
    <row r="481" spans="1:13" ht="90" customHeight="1" x14ac:dyDescent="0.3">
      <c r="A481" s="8"/>
      <c r="B481" s="7"/>
      <c r="C481" s="7"/>
      <c r="D481" s="7"/>
      <c r="E481" s="7"/>
      <c r="F481" s="7"/>
      <c r="G481" s="7"/>
      <c r="H481" s="7"/>
      <c r="I481" s="1"/>
      <c r="J481" s="1"/>
      <c r="K481" s="1"/>
      <c r="L481" s="1"/>
      <c r="M481" s="1"/>
    </row>
    <row r="482" spans="1:13" ht="90" customHeight="1" x14ac:dyDescent="0.3">
      <c r="A482" s="8">
        <v>172</v>
      </c>
      <c r="B482" s="8" t="s">
        <v>629</v>
      </c>
      <c r="C482" s="8" t="s">
        <v>630</v>
      </c>
      <c r="D482" s="8" t="s">
        <v>631</v>
      </c>
      <c r="E482" s="6" t="s">
        <v>17</v>
      </c>
      <c r="F482" s="6" t="s">
        <v>18</v>
      </c>
      <c r="G482" s="8" t="s">
        <v>632</v>
      </c>
      <c r="H482" s="8" t="s">
        <v>20</v>
      </c>
      <c r="I482" s="1"/>
      <c r="J482" s="1"/>
      <c r="K482" s="1"/>
      <c r="L482" s="1"/>
      <c r="M482" s="1"/>
    </row>
    <row r="483" spans="1:13" ht="90" customHeight="1" x14ac:dyDescent="0.3">
      <c r="A483" s="8"/>
      <c r="B483" s="7"/>
      <c r="C483" s="7"/>
      <c r="D483" s="7"/>
      <c r="E483" s="7"/>
      <c r="F483" s="7"/>
      <c r="G483" s="7"/>
      <c r="H483" s="7"/>
      <c r="I483" s="1"/>
      <c r="J483" s="1"/>
      <c r="K483" s="1"/>
      <c r="L483" s="1"/>
      <c r="M483" s="1"/>
    </row>
    <row r="484" spans="1:13" ht="90" customHeight="1" x14ac:dyDescent="0.3">
      <c r="A484" s="8"/>
      <c r="B484" s="7"/>
      <c r="C484" s="7"/>
      <c r="D484" s="7"/>
      <c r="E484" s="7"/>
      <c r="F484" s="7"/>
      <c r="G484" s="7"/>
      <c r="H484" s="7"/>
      <c r="I484" s="1"/>
      <c r="J484" s="1"/>
      <c r="K484" s="1"/>
      <c r="L484" s="1"/>
      <c r="M484" s="1"/>
    </row>
    <row r="485" spans="1:13" ht="90" customHeight="1" x14ac:dyDescent="0.3">
      <c r="A485" s="8"/>
      <c r="B485" s="7"/>
      <c r="C485" s="7"/>
      <c r="D485" s="7"/>
      <c r="E485" s="7"/>
      <c r="F485" s="7"/>
      <c r="G485" s="7"/>
      <c r="H485" s="7"/>
      <c r="I485" s="1"/>
      <c r="J485" s="1"/>
      <c r="K485" s="1"/>
      <c r="L485" s="1"/>
      <c r="M485" s="1"/>
    </row>
    <row r="486" spans="1:13" ht="90" customHeight="1" x14ac:dyDescent="0.3">
      <c r="A486" s="8"/>
      <c r="B486" s="7"/>
      <c r="C486" s="7"/>
      <c r="D486" s="7"/>
      <c r="E486" s="7"/>
      <c r="F486" s="7"/>
      <c r="G486" s="7"/>
      <c r="H486" s="7"/>
      <c r="I486" s="1"/>
      <c r="J486" s="1"/>
      <c r="K486" s="1"/>
      <c r="L486" s="1"/>
      <c r="M486" s="1"/>
    </row>
    <row r="487" spans="1:13" ht="90" customHeight="1" x14ac:dyDescent="0.3">
      <c r="A487" s="8">
        <v>174</v>
      </c>
      <c r="B487" s="8" t="s">
        <v>633</v>
      </c>
      <c r="C487" s="8" t="s">
        <v>43</v>
      </c>
      <c r="D487" s="8" t="s">
        <v>44</v>
      </c>
      <c r="E487" s="6" t="s">
        <v>24</v>
      </c>
      <c r="F487" s="6" t="s">
        <v>25</v>
      </c>
      <c r="G487" s="8" t="s">
        <v>634</v>
      </c>
      <c r="H487" s="8" t="s">
        <v>635</v>
      </c>
      <c r="I487" s="4" t="s">
        <v>48</v>
      </c>
      <c r="J487" s="4">
        <v>0.99836919055784634</v>
      </c>
      <c r="K487" s="4" t="s">
        <v>29</v>
      </c>
      <c r="L487" s="4" t="s">
        <v>43</v>
      </c>
      <c r="M487" s="4">
        <v>1</v>
      </c>
    </row>
    <row r="488" spans="1:13" ht="90" customHeight="1" x14ac:dyDescent="0.3">
      <c r="A488" s="8"/>
      <c r="B488" s="7"/>
      <c r="C488" s="7"/>
      <c r="D488" s="7"/>
      <c r="E488" s="7"/>
      <c r="F488" s="7"/>
      <c r="G488" s="7"/>
      <c r="H488" s="7"/>
      <c r="I488" s="4" t="s">
        <v>47</v>
      </c>
      <c r="J488" s="4">
        <v>0.99552068603571464</v>
      </c>
      <c r="K488" s="4" t="s">
        <v>29</v>
      </c>
      <c r="L488" s="4" t="s">
        <v>43</v>
      </c>
      <c r="M488" s="4">
        <v>3</v>
      </c>
    </row>
    <row r="489" spans="1:13" ht="90" customHeight="1" x14ac:dyDescent="0.3">
      <c r="A489" s="8"/>
      <c r="B489" s="7"/>
      <c r="C489" s="7"/>
      <c r="D489" s="7"/>
      <c r="E489" s="7"/>
      <c r="F489" s="7"/>
      <c r="G489" s="7"/>
      <c r="H489" s="7"/>
      <c r="I489" s="4" t="s">
        <v>49</v>
      </c>
      <c r="J489" s="4">
        <v>0.91511580892208311</v>
      </c>
      <c r="K489" s="4" t="s">
        <v>29</v>
      </c>
      <c r="L489" s="4" t="s">
        <v>43</v>
      </c>
      <c r="M489" s="4">
        <v>2</v>
      </c>
    </row>
    <row r="490" spans="1:13" ht="90" customHeight="1" x14ac:dyDescent="0.3">
      <c r="A490" s="8"/>
      <c r="B490" s="7"/>
      <c r="C490" s="7"/>
      <c r="D490" s="7"/>
      <c r="E490" s="7"/>
      <c r="F490" s="7"/>
      <c r="G490" s="7"/>
      <c r="H490" s="7"/>
      <c r="I490" s="1"/>
      <c r="J490" s="1"/>
      <c r="K490" s="1"/>
      <c r="L490" s="1"/>
      <c r="M490" s="1"/>
    </row>
    <row r="491" spans="1:13" ht="90" customHeight="1" x14ac:dyDescent="0.3">
      <c r="A491" s="8"/>
      <c r="B491" s="7"/>
      <c r="C491" s="7"/>
      <c r="D491" s="7"/>
      <c r="E491" s="7"/>
      <c r="F491" s="7"/>
      <c r="G491" s="7"/>
      <c r="H491" s="7"/>
      <c r="I491" s="1"/>
      <c r="J491" s="1"/>
      <c r="K491" s="1"/>
      <c r="L491" s="1"/>
      <c r="M491" s="1"/>
    </row>
    <row r="492" spans="1:13" ht="90" customHeight="1" x14ac:dyDescent="0.3">
      <c r="A492" s="8">
        <v>175</v>
      </c>
      <c r="B492" s="8" t="s">
        <v>636</v>
      </c>
      <c r="C492" s="8" t="s">
        <v>567</v>
      </c>
      <c r="D492" s="8" t="s">
        <v>604</v>
      </c>
      <c r="E492" s="6" t="s">
        <v>24</v>
      </c>
      <c r="F492" s="6" t="s">
        <v>25</v>
      </c>
      <c r="G492" s="8" t="s">
        <v>637</v>
      </c>
      <c r="H492" s="8" t="s">
        <v>638</v>
      </c>
      <c r="I492" s="4" t="s">
        <v>639</v>
      </c>
      <c r="J492" s="4">
        <v>0.99898463487625122</v>
      </c>
      <c r="K492" s="4" t="s">
        <v>29</v>
      </c>
      <c r="L492" s="4" t="s">
        <v>567</v>
      </c>
      <c r="M492" s="4">
        <v>128</v>
      </c>
    </row>
    <row r="493" spans="1:13" ht="90" customHeight="1" x14ac:dyDescent="0.3">
      <c r="A493" s="8"/>
      <c r="B493" s="7"/>
      <c r="C493" s="7"/>
      <c r="D493" s="7"/>
      <c r="E493" s="7"/>
      <c r="F493" s="7"/>
      <c r="G493" s="7"/>
      <c r="H493" s="7"/>
      <c r="I493" s="4" t="s">
        <v>640</v>
      </c>
      <c r="J493" s="4">
        <v>0.98662680387496948</v>
      </c>
      <c r="K493" s="4" t="s">
        <v>29</v>
      </c>
      <c r="L493" s="4" t="s">
        <v>567</v>
      </c>
      <c r="M493" s="4">
        <v>127</v>
      </c>
    </row>
    <row r="494" spans="1:13" ht="90" customHeight="1" x14ac:dyDescent="0.3">
      <c r="A494" s="8"/>
      <c r="B494" s="7"/>
      <c r="C494" s="7"/>
      <c r="D494" s="7"/>
      <c r="E494" s="7"/>
      <c r="F494" s="7"/>
      <c r="G494" s="7"/>
      <c r="H494" s="7"/>
      <c r="I494" s="1"/>
      <c r="J494" s="1"/>
      <c r="K494" s="1"/>
      <c r="L494" s="1"/>
      <c r="M494" s="1"/>
    </row>
    <row r="495" spans="1:13" ht="90" customHeight="1" x14ac:dyDescent="0.3">
      <c r="A495" s="8"/>
      <c r="B495" s="7"/>
      <c r="C495" s="7"/>
      <c r="D495" s="7"/>
      <c r="E495" s="7"/>
      <c r="F495" s="7"/>
      <c r="G495" s="7"/>
      <c r="H495" s="7"/>
      <c r="I495" s="1"/>
      <c r="J495" s="1"/>
      <c r="K495" s="1"/>
      <c r="L495" s="1"/>
      <c r="M495" s="1"/>
    </row>
    <row r="496" spans="1:13" ht="90" customHeight="1" x14ac:dyDescent="0.3">
      <c r="A496" s="8"/>
      <c r="B496" s="7"/>
      <c r="C496" s="7"/>
      <c r="D496" s="7"/>
      <c r="E496" s="7"/>
      <c r="F496" s="7"/>
      <c r="G496" s="7"/>
      <c r="H496" s="7"/>
      <c r="I496" s="1"/>
      <c r="J496" s="1"/>
      <c r="K496" s="1"/>
      <c r="L496" s="1"/>
      <c r="M496" s="1"/>
    </row>
    <row r="497" spans="1:13" ht="90" customHeight="1" x14ac:dyDescent="0.3">
      <c r="A497" s="8">
        <v>178</v>
      </c>
      <c r="B497" s="8" t="s">
        <v>641</v>
      </c>
      <c r="C497" s="8" t="s">
        <v>257</v>
      </c>
      <c r="D497" s="8" t="s">
        <v>550</v>
      </c>
      <c r="E497" s="6" t="s">
        <v>24</v>
      </c>
      <c r="F497" s="6" t="s">
        <v>25</v>
      </c>
      <c r="G497" s="8" t="s">
        <v>642</v>
      </c>
      <c r="H497" s="8" t="s">
        <v>643</v>
      </c>
      <c r="I497" s="4" t="s">
        <v>628</v>
      </c>
      <c r="J497" s="4">
        <v>0.99986481666564941</v>
      </c>
      <c r="K497" s="4" t="s">
        <v>29</v>
      </c>
      <c r="L497" s="4" t="s">
        <v>257</v>
      </c>
      <c r="M497" s="4">
        <v>26</v>
      </c>
    </row>
    <row r="498" spans="1:13" ht="90" customHeight="1" x14ac:dyDescent="0.3">
      <c r="A498" s="8"/>
      <c r="B498" s="7"/>
      <c r="C498" s="7"/>
      <c r="D498" s="7"/>
      <c r="E498" s="7"/>
      <c r="F498" s="7"/>
      <c r="G498" s="7"/>
      <c r="H498" s="7"/>
      <c r="I498" s="1"/>
      <c r="J498" s="1"/>
      <c r="K498" s="1"/>
      <c r="L498" s="1"/>
      <c r="M498" s="1"/>
    </row>
    <row r="499" spans="1:13" ht="90" customHeight="1" x14ac:dyDescent="0.3">
      <c r="A499" s="8"/>
      <c r="B499" s="7"/>
      <c r="C499" s="7"/>
      <c r="D499" s="7"/>
      <c r="E499" s="7"/>
      <c r="F499" s="7"/>
      <c r="G499" s="7"/>
      <c r="H499" s="7"/>
      <c r="I499" s="1"/>
      <c r="J499" s="1"/>
      <c r="K499" s="1"/>
      <c r="L499" s="1"/>
      <c r="M499" s="1"/>
    </row>
    <row r="500" spans="1:13" ht="90" customHeight="1" x14ac:dyDescent="0.3">
      <c r="A500" s="8"/>
      <c r="B500" s="7"/>
      <c r="C500" s="7"/>
      <c r="D500" s="7"/>
      <c r="E500" s="7"/>
      <c r="F500" s="7"/>
      <c r="G500" s="7"/>
      <c r="H500" s="7"/>
      <c r="I500" s="1"/>
      <c r="J500" s="1"/>
      <c r="K500" s="1"/>
      <c r="L500" s="1"/>
      <c r="M500" s="1"/>
    </row>
    <row r="501" spans="1:13" ht="90" customHeight="1" x14ac:dyDescent="0.3">
      <c r="A501" s="8"/>
      <c r="B501" s="7"/>
      <c r="C501" s="7"/>
      <c r="D501" s="7"/>
      <c r="E501" s="7"/>
      <c r="F501" s="7"/>
      <c r="G501" s="7"/>
      <c r="H501" s="7"/>
      <c r="I501" s="1"/>
      <c r="J501" s="1"/>
      <c r="K501" s="1"/>
      <c r="L501" s="1"/>
      <c r="M501" s="1"/>
    </row>
    <row r="502" spans="1:13" ht="90" customHeight="1" x14ac:dyDescent="0.3">
      <c r="A502" s="8">
        <v>179</v>
      </c>
      <c r="B502" s="8" t="s">
        <v>644</v>
      </c>
      <c r="C502" s="8" t="s">
        <v>645</v>
      </c>
      <c r="D502" s="8" t="s">
        <v>398</v>
      </c>
      <c r="E502" s="6" t="s">
        <v>24</v>
      </c>
      <c r="F502" s="6" t="s">
        <v>25</v>
      </c>
      <c r="G502" s="8" t="s">
        <v>646</v>
      </c>
      <c r="H502" s="8" t="s">
        <v>647</v>
      </c>
      <c r="I502" s="4" t="s">
        <v>648</v>
      </c>
      <c r="J502" s="4">
        <v>0.96550911664962769</v>
      </c>
      <c r="K502" s="4" t="s">
        <v>29</v>
      </c>
      <c r="L502" s="4" t="s">
        <v>645</v>
      </c>
      <c r="M502" s="4">
        <v>3</v>
      </c>
    </row>
    <row r="503" spans="1:13" ht="90" customHeight="1" x14ac:dyDescent="0.3">
      <c r="A503" s="8"/>
      <c r="B503" s="7"/>
      <c r="C503" s="7"/>
      <c r="D503" s="7"/>
      <c r="E503" s="7"/>
      <c r="F503" s="7"/>
      <c r="G503" s="7"/>
      <c r="H503" s="7"/>
      <c r="I503" s="1"/>
      <c r="J503" s="1"/>
      <c r="K503" s="1"/>
      <c r="L503" s="1"/>
      <c r="M503" s="1"/>
    </row>
    <row r="504" spans="1:13" ht="90" customHeight="1" x14ac:dyDescent="0.3">
      <c r="A504" s="8"/>
      <c r="B504" s="7"/>
      <c r="C504" s="7"/>
      <c r="D504" s="7"/>
      <c r="E504" s="7"/>
      <c r="F504" s="7"/>
      <c r="G504" s="7"/>
      <c r="H504" s="7"/>
      <c r="I504" s="1"/>
      <c r="J504" s="1"/>
      <c r="K504" s="1"/>
      <c r="L504" s="1"/>
      <c r="M504" s="1"/>
    </row>
    <row r="505" spans="1:13" ht="90" customHeight="1" x14ac:dyDescent="0.3">
      <c r="A505" s="8"/>
      <c r="B505" s="7"/>
      <c r="C505" s="7"/>
      <c r="D505" s="7"/>
      <c r="E505" s="7"/>
      <c r="F505" s="7"/>
      <c r="G505" s="7"/>
      <c r="H505" s="7"/>
      <c r="I505" s="1"/>
      <c r="J505" s="1"/>
      <c r="K505" s="1"/>
      <c r="L505" s="1"/>
      <c r="M505" s="1"/>
    </row>
    <row r="506" spans="1:13" ht="90" customHeight="1" x14ac:dyDescent="0.3">
      <c r="A506" s="8"/>
      <c r="B506" s="7"/>
      <c r="C506" s="7"/>
      <c r="D506" s="7"/>
      <c r="E506" s="7"/>
      <c r="F506" s="7"/>
      <c r="G506" s="7"/>
      <c r="H506" s="7"/>
      <c r="I506" s="1"/>
      <c r="J506" s="1"/>
      <c r="K506" s="1"/>
      <c r="L506" s="1"/>
      <c r="M506" s="1"/>
    </row>
    <row r="507" spans="1:13" ht="90" customHeight="1" x14ac:dyDescent="0.3">
      <c r="A507" s="8">
        <v>181</v>
      </c>
      <c r="B507" s="8" t="s">
        <v>649</v>
      </c>
      <c r="C507" s="8" t="s">
        <v>650</v>
      </c>
      <c r="D507" s="8" t="s">
        <v>16</v>
      </c>
      <c r="E507" s="6" t="s">
        <v>24</v>
      </c>
      <c r="F507" s="6" t="s">
        <v>25</v>
      </c>
      <c r="G507" s="8" t="s">
        <v>651</v>
      </c>
      <c r="H507" s="8" t="s">
        <v>652</v>
      </c>
      <c r="I507" s="4" t="s">
        <v>653</v>
      </c>
      <c r="J507" s="4">
        <v>0.99999785423278809</v>
      </c>
      <c r="K507" s="4" t="s">
        <v>29</v>
      </c>
      <c r="L507" s="4" t="s">
        <v>650</v>
      </c>
      <c r="M507" s="4">
        <v>1</v>
      </c>
    </row>
    <row r="508" spans="1:13" ht="90" customHeight="1" x14ac:dyDescent="0.3">
      <c r="A508" s="8"/>
      <c r="B508" s="7"/>
      <c r="C508" s="7"/>
      <c r="D508" s="7"/>
      <c r="E508" s="7"/>
      <c r="F508" s="7"/>
      <c r="G508" s="7"/>
      <c r="H508" s="7"/>
      <c r="I508" s="1"/>
      <c r="J508" s="1"/>
      <c r="K508" s="1"/>
      <c r="L508" s="1"/>
      <c r="M508" s="1"/>
    </row>
    <row r="509" spans="1:13" ht="90" customHeight="1" x14ac:dyDescent="0.3">
      <c r="A509" s="8"/>
      <c r="B509" s="7"/>
      <c r="C509" s="7"/>
      <c r="D509" s="7"/>
      <c r="E509" s="7"/>
      <c r="F509" s="7"/>
      <c r="G509" s="7"/>
      <c r="H509" s="7"/>
      <c r="I509" s="1"/>
      <c r="J509" s="1"/>
      <c r="K509" s="1"/>
      <c r="L509" s="1"/>
      <c r="M509" s="1"/>
    </row>
    <row r="510" spans="1:13" ht="90" customHeight="1" x14ac:dyDescent="0.3">
      <c r="A510" s="8"/>
      <c r="B510" s="7"/>
      <c r="C510" s="7"/>
      <c r="D510" s="7"/>
      <c r="E510" s="7"/>
      <c r="F510" s="7"/>
      <c r="G510" s="7"/>
      <c r="H510" s="7"/>
      <c r="I510" s="1"/>
      <c r="J510" s="1"/>
      <c r="K510" s="1"/>
      <c r="L510" s="1"/>
      <c r="M510" s="1"/>
    </row>
    <row r="511" spans="1:13" ht="90" customHeight="1" x14ac:dyDescent="0.3">
      <c r="A511" s="8"/>
      <c r="B511" s="7"/>
      <c r="C511" s="7"/>
      <c r="D511" s="7"/>
      <c r="E511" s="7"/>
      <c r="F511" s="7"/>
      <c r="G511" s="7"/>
      <c r="H511" s="7"/>
      <c r="I511" s="1"/>
      <c r="J511" s="1"/>
      <c r="K511" s="1"/>
      <c r="L511" s="1"/>
      <c r="M511" s="1"/>
    </row>
    <row r="512" spans="1:13" ht="90" customHeight="1" x14ac:dyDescent="0.3">
      <c r="A512" s="8">
        <v>184</v>
      </c>
      <c r="B512" s="8" t="s">
        <v>654</v>
      </c>
      <c r="C512" s="8" t="s">
        <v>518</v>
      </c>
      <c r="D512" s="8" t="s">
        <v>471</v>
      </c>
      <c r="E512" s="6" t="s">
        <v>24</v>
      </c>
      <c r="F512" s="6" t="s">
        <v>25</v>
      </c>
      <c r="G512" s="8" t="s">
        <v>655</v>
      </c>
      <c r="H512" s="8" t="s">
        <v>656</v>
      </c>
      <c r="I512" s="4" t="s">
        <v>521</v>
      </c>
      <c r="J512" s="4">
        <v>0.99999392032623291</v>
      </c>
      <c r="K512" s="4" t="s">
        <v>29</v>
      </c>
      <c r="L512" s="4" t="s">
        <v>518</v>
      </c>
      <c r="M512" s="4">
        <v>2</v>
      </c>
    </row>
    <row r="513" spans="1:13" ht="90" customHeight="1" x14ac:dyDescent="0.3">
      <c r="A513" s="8"/>
      <c r="B513" s="7"/>
      <c r="C513" s="7"/>
      <c r="D513" s="7"/>
      <c r="E513" s="7"/>
      <c r="F513" s="7"/>
      <c r="G513" s="7"/>
      <c r="H513" s="7"/>
      <c r="I513" s="4" t="s">
        <v>522</v>
      </c>
      <c r="J513" s="4">
        <v>0.99998819765953417</v>
      </c>
      <c r="K513" s="4" t="s">
        <v>29</v>
      </c>
      <c r="L513" s="4" t="s">
        <v>518</v>
      </c>
      <c r="M513" s="4">
        <v>1</v>
      </c>
    </row>
    <row r="514" spans="1:13" ht="90" customHeight="1" x14ac:dyDescent="0.3">
      <c r="A514" s="8"/>
      <c r="B514" s="7"/>
      <c r="C514" s="7"/>
      <c r="D514" s="7"/>
      <c r="E514" s="7"/>
      <c r="F514" s="7"/>
      <c r="G514" s="7"/>
      <c r="H514" s="7"/>
      <c r="I514" s="2" t="s">
        <v>526</v>
      </c>
      <c r="J514" s="2">
        <v>0.99916481971740723</v>
      </c>
      <c r="K514" s="2" t="s">
        <v>29</v>
      </c>
      <c r="L514" s="2" t="s">
        <v>527</v>
      </c>
      <c r="M514" s="2">
        <v>40</v>
      </c>
    </row>
    <row r="515" spans="1:13" ht="90" customHeight="1" x14ac:dyDescent="0.3">
      <c r="A515" s="8"/>
      <c r="B515" s="7"/>
      <c r="C515" s="7"/>
      <c r="D515" s="7"/>
      <c r="E515" s="7"/>
      <c r="F515" s="7"/>
      <c r="G515" s="7"/>
      <c r="H515" s="7"/>
      <c r="I515" s="1" t="s">
        <v>657</v>
      </c>
      <c r="J515" s="1">
        <v>0.99897217750549316</v>
      </c>
      <c r="K515" s="1" t="s">
        <v>29</v>
      </c>
      <c r="L515" s="1" t="s">
        <v>525</v>
      </c>
      <c r="M515" s="1">
        <v>20</v>
      </c>
    </row>
    <row r="516" spans="1:13" ht="90" customHeight="1" x14ac:dyDescent="0.3">
      <c r="A516" s="8"/>
      <c r="B516" s="7"/>
      <c r="C516" s="7"/>
      <c r="D516" s="7"/>
      <c r="E516" s="7"/>
      <c r="F516" s="7"/>
      <c r="G516" s="7"/>
      <c r="H516" s="7"/>
      <c r="I516" s="1" t="s">
        <v>658</v>
      </c>
      <c r="J516" s="1">
        <v>0.99892163276672363</v>
      </c>
      <c r="K516" s="1" t="s">
        <v>29</v>
      </c>
      <c r="L516" s="1" t="s">
        <v>525</v>
      </c>
      <c r="M516" s="1">
        <v>2</v>
      </c>
    </row>
    <row r="517" spans="1:13" ht="90" customHeight="1" x14ac:dyDescent="0.3">
      <c r="A517" s="8">
        <v>185</v>
      </c>
      <c r="B517" s="8" t="s">
        <v>659</v>
      </c>
      <c r="C517" s="8" t="s">
        <v>515</v>
      </c>
      <c r="D517" s="8" t="s">
        <v>16</v>
      </c>
      <c r="E517" s="6" t="s">
        <v>24</v>
      </c>
      <c r="F517" s="6" t="s">
        <v>25</v>
      </c>
      <c r="G517" s="8" t="s">
        <v>660</v>
      </c>
      <c r="H517" s="8" t="s">
        <v>661</v>
      </c>
      <c r="I517" s="4" t="s">
        <v>662</v>
      </c>
      <c r="J517" s="4">
        <v>0.99120503664016724</v>
      </c>
      <c r="K517" s="4" t="s">
        <v>29</v>
      </c>
      <c r="L517" s="4" t="s">
        <v>515</v>
      </c>
      <c r="M517" s="4">
        <v>1</v>
      </c>
    </row>
    <row r="518" spans="1:13" ht="90" customHeight="1" x14ac:dyDescent="0.3">
      <c r="A518" s="8"/>
      <c r="B518" s="7"/>
      <c r="C518" s="7"/>
      <c r="D518" s="7"/>
      <c r="E518" s="7"/>
      <c r="F518" s="7"/>
      <c r="G518" s="7"/>
      <c r="H518" s="7"/>
      <c r="I518" s="1"/>
      <c r="J518" s="1"/>
      <c r="K518" s="1"/>
      <c r="L518" s="1"/>
      <c r="M518" s="1"/>
    </row>
    <row r="519" spans="1:13" ht="90" customHeight="1" x14ac:dyDescent="0.3">
      <c r="A519" s="8"/>
      <c r="B519" s="7"/>
      <c r="C519" s="7"/>
      <c r="D519" s="7"/>
      <c r="E519" s="7"/>
      <c r="F519" s="7"/>
      <c r="G519" s="7"/>
      <c r="H519" s="7"/>
      <c r="I519" s="1"/>
      <c r="J519" s="1"/>
      <c r="K519" s="1"/>
      <c r="L519" s="1"/>
      <c r="M519" s="1"/>
    </row>
    <row r="520" spans="1:13" ht="90" customHeight="1" x14ac:dyDescent="0.3">
      <c r="A520" s="8"/>
      <c r="B520" s="7"/>
      <c r="C520" s="7"/>
      <c r="D520" s="7"/>
      <c r="E520" s="7"/>
      <c r="F520" s="7"/>
      <c r="G520" s="7"/>
      <c r="H520" s="7"/>
      <c r="I520" s="1"/>
      <c r="J520" s="1"/>
      <c r="K520" s="1"/>
      <c r="L520" s="1"/>
      <c r="M520" s="1"/>
    </row>
    <row r="521" spans="1:13" ht="90" customHeight="1" x14ac:dyDescent="0.3">
      <c r="A521" s="8"/>
      <c r="B521" s="7"/>
      <c r="C521" s="7"/>
      <c r="D521" s="7"/>
      <c r="E521" s="7"/>
      <c r="F521" s="7"/>
      <c r="G521" s="7"/>
      <c r="H521" s="7"/>
      <c r="I521" s="1"/>
      <c r="J521" s="1"/>
      <c r="K521" s="1"/>
      <c r="L521" s="1"/>
      <c r="M521" s="1"/>
    </row>
    <row r="522" spans="1:13" ht="90" customHeight="1" x14ac:dyDescent="0.3">
      <c r="A522" s="8">
        <v>186</v>
      </c>
      <c r="B522" s="8" t="s">
        <v>663</v>
      </c>
      <c r="C522" s="8" t="s">
        <v>293</v>
      </c>
      <c r="D522" s="8" t="s">
        <v>507</v>
      </c>
      <c r="E522" s="6" t="s">
        <v>24</v>
      </c>
      <c r="F522" s="6" t="s">
        <v>25</v>
      </c>
      <c r="G522" s="8" t="s">
        <v>664</v>
      </c>
      <c r="H522" s="8" t="s">
        <v>665</v>
      </c>
      <c r="I522" s="4" t="s">
        <v>389</v>
      </c>
      <c r="J522" s="4">
        <v>0.99719065427780151</v>
      </c>
      <c r="K522" s="4" t="s">
        <v>29</v>
      </c>
      <c r="L522" s="4" t="s">
        <v>293</v>
      </c>
      <c r="M522" s="4">
        <v>3</v>
      </c>
    </row>
    <row r="523" spans="1:13" ht="90" customHeight="1" x14ac:dyDescent="0.3">
      <c r="A523" s="8"/>
      <c r="B523" s="7"/>
      <c r="C523" s="7"/>
      <c r="D523" s="7"/>
      <c r="E523" s="7"/>
      <c r="F523" s="7"/>
      <c r="G523" s="7"/>
      <c r="H523" s="7"/>
      <c r="I523" s="4" t="s">
        <v>388</v>
      </c>
      <c r="J523" s="4">
        <v>0.9765966534614563</v>
      </c>
      <c r="K523" s="4" t="s">
        <v>29</v>
      </c>
      <c r="L523" s="4" t="s">
        <v>293</v>
      </c>
      <c r="M523" s="4">
        <v>2</v>
      </c>
    </row>
    <row r="524" spans="1:13" ht="90" customHeight="1" x14ac:dyDescent="0.3">
      <c r="A524" s="8"/>
      <c r="B524" s="7"/>
      <c r="C524" s="7"/>
      <c r="D524" s="7"/>
      <c r="E524" s="7"/>
      <c r="F524" s="7"/>
      <c r="G524" s="7"/>
      <c r="H524" s="7"/>
      <c r="I524" s="5" t="s">
        <v>296</v>
      </c>
      <c r="J524" s="5">
        <v>0.92485713958740234</v>
      </c>
      <c r="K524" s="5" t="s">
        <v>29</v>
      </c>
      <c r="L524" s="5" t="s">
        <v>293</v>
      </c>
      <c r="M524" s="5">
        <v>4</v>
      </c>
    </row>
    <row r="525" spans="1:13" ht="90" customHeight="1" x14ac:dyDescent="0.3">
      <c r="A525" s="8"/>
      <c r="B525" s="7"/>
      <c r="C525" s="7"/>
      <c r="D525" s="7"/>
      <c r="E525" s="7"/>
      <c r="F525" s="7"/>
      <c r="G525" s="7"/>
      <c r="H525" s="7"/>
      <c r="I525" s="1"/>
      <c r="J525" s="1"/>
      <c r="K525" s="1"/>
      <c r="L525" s="1"/>
      <c r="M525" s="1"/>
    </row>
    <row r="526" spans="1:13" ht="90" customHeight="1" x14ac:dyDescent="0.3">
      <c r="A526" s="8"/>
      <c r="B526" s="7"/>
      <c r="C526" s="7"/>
      <c r="D526" s="7"/>
      <c r="E526" s="7"/>
      <c r="F526" s="7"/>
      <c r="G526" s="7"/>
      <c r="H526" s="7"/>
      <c r="I526" s="1"/>
      <c r="J526" s="1"/>
      <c r="K526" s="1"/>
      <c r="L526" s="1"/>
      <c r="M526" s="1"/>
    </row>
    <row r="527" spans="1:13" ht="90" customHeight="1" x14ac:dyDescent="0.3">
      <c r="A527" s="8">
        <v>187</v>
      </c>
      <c r="B527" s="8" t="s">
        <v>666</v>
      </c>
      <c r="C527" s="8" t="s">
        <v>630</v>
      </c>
      <c r="D527" s="8" t="s">
        <v>631</v>
      </c>
      <c r="E527" s="6" t="s">
        <v>17</v>
      </c>
      <c r="F527" s="6" t="s">
        <v>18</v>
      </c>
      <c r="G527" s="8" t="s">
        <v>667</v>
      </c>
      <c r="H527" s="8" t="s">
        <v>668</v>
      </c>
      <c r="I527" s="2" t="s">
        <v>302</v>
      </c>
      <c r="J527" s="2">
        <v>0.99221706390380859</v>
      </c>
      <c r="K527" s="2" t="s">
        <v>29</v>
      </c>
      <c r="L527" s="2" t="s">
        <v>206</v>
      </c>
      <c r="M527" s="2">
        <v>45</v>
      </c>
    </row>
    <row r="528" spans="1:13" ht="90" customHeight="1" x14ac:dyDescent="0.3">
      <c r="A528" s="8"/>
      <c r="B528" s="7"/>
      <c r="C528" s="7"/>
      <c r="D528" s="7"/>
      <c r="E528" s="7"/>
      <c r="F528" s="7"/>
      <c r="G528" s="7"/>
      <c r="H528" s="7"/>
      <c r="I528" s="1"/>
      <c r="J528" s="1"/>
      <c r="K528" s="1"/>
      <c r="L528" s="1"/>
      <c r="M528" s="1"/>
    </row>
    <row r="529" spans="1:13" ht="90" customHeight="1" x14ac:dyDescent="0.3">
      <c r="A529" s="8"/>
      <c r="B529" s="7"/>
      <c r="C529" s="7"/>
      <c r="D529" s="7"/>
      <c r="E529" s="7"/>
      <c r="F529" s="7"/>
      <c r="G529" s="7"/>
      <c r="H529" s="7"/>
      <c r="I529" s="1"/>
      <c r="J529" s="1"/>
      <c r="K529" s="1"/>
      <c r="L529" s="1"/>
      <c r="M529" s="1"/>
    </row>
    <row r="530" spans="1:13" ht="90" customHeight="1" x14ac:dyDescent="0.3">
      <c r="A530" s="8"/>
      <c r="B530" s="7"/>
      <c r="C530" s="7"/>
      <c r="D530" s="7"/>
      <c r="E530" s="7"/>
      <c r="F530" s="7"/>
      <c r="G530" s="7"/>
      <c r="H530" s="7"/>
      <c r="I530" s="1"/>
      <c r="J530" s="1"/>
      <c r="K530" s="1"/>
      <c r="L530" s="1"/>
      <c r="M530" s="1"/>
    </row>
    <row r="531" spans="1:13" ht="90" customHeight="1" x14ac:dyDescent="0.3">
      <c r="A531" s="8"/>
      <c r="B531" s="7"/>
      <c r="C531" s="7"/>
      <c r="D531" s="7"/>
      <c r="E531" s="7"/>
      <c r="F531" s="7"/>
      <c r="G531" s="7"/>
      <c r="H531" s="7"/>
      <c r="I531" s="1"/>
      <c r="J531" s="1"/>
      <c r="K531" s="1"/>
      <c r="L531" s="1"/>
      <c r="M531" s="1"/>
    </row>
    <row r="532" spans="1:13" ht="90" customHeight="1" x14ac:dyDescent="0.3">
      <c r="A532" s="8">
        <v>188</v>
      </c>
      <c r="B532" s="8" t="s">
        <v>669</v>
      </c>
      <c r="C532" s="8" t="s">
        <v>670</v>
      </c>
      <c r="D532" s="8" t="s">
        <v>671</v>
      </c>
      <c r="E532" s="6" t="s">
        <v>17</v>
      </c>
      <c r="F532" s="6" t="s">
        <v>18</v>
      </c>
      <c r="G532" s="8" t="s">
        <v>672</v>
      </c>
      <c r="H532" s="8" t="s">
        <v>20</v>
      </c>
      <c r="I532" s="1"/>
      <c r="J532" s="1"/>
      <c r="K532" s="1"/>
      <c r="L532" s="1"/>
      <c r="M532" s="1"/>
    </row>
    <row r="533" spans="1:13" ht="90" customHeight="1" x14ac:dyDescent="0.3">
      <c r="A533" s="8"/>
      <c r="B533" s="7"/>
      <c r="C533" s="7"/>
      <c r="D533" s="7"/>
      <c r="E533" s="7"/>
      <c r="F533" s="7"/>
      <c r="G533" s="7"/>
      <c r="H533" s="7"/>
      <c r="I533" s="1"/>
      <c r="J533" s="1"/>
      <c r="K533" s="1"/>
      <c r="L533" s="1"/>
      <c r="M533" s="1"/>
    </row>
    <row r="534" spans="1:13" ht="90" customHeight="1" x14ac:dyDescent="0.3">
      <c r="A534" s="8"/>
      <c r="B534" s="7"/>
      <c r="C534" s="7"/>
      <c r="D534" s="7"/>
      <c r="E534" s="7"/>
      <c r="F534" s="7"/>
      <c r="G534" s="7"/>
      <c r="H534" s="7"/>
      <c r="I534" s="1"/>
      <c r="J534" s="1"/>
      <c r="K534" s="1"/>
      <c r="L534" s="1"/>
      <c r="M534" s="1"/>
    </row>
    <row r="535" spans="1:13" ht="90" customHeight="1" x14ac:dyDescent="0.3">
      <c r="A535" s="8"/>
      <c r="B535" s="7"/>
      <c r="C535" s="7"/>
      <c r="D535" s="7"/>
      <c r="E535" s="7"/>
      <c r="F535" s="7"/>
      <c r="G535" s="7"/>
      <c r="H535" s="7"/>
      <c r="I535" s="1"/>
      <c r="J535" s="1"/>
      <c r="K535" s="1"/>
      <c r="L535" s="1"/>
      <c r="M535" s="1"/>
    </row>
    <row r="536" spans="1:13" ht="90" customHeight="1" x14ac:dyDescent="0.3">
      <c r="A536" s="8"/>
      <c r="B536" s="7"/>
      <c r="C536" s="7"/>
      <c r="D536" s="7"/>
      <c r="E536" s="7"/>
      <c r="F536" s="7"/>
      <c r="G536" s="7"/>
      <c r="H536" s="7"/>
      <c r="I536" s="1"/>
      <c r="J536" s="1"/>
      <c r="K536" s="1"/>
      <c r="L536" s="1"/>
      <c r="M536" s="1"/>
    </row>
    <row r="537" spans="1:13" ht="90" customHeight="1" x14ac:dyDescent="0.3">
      <c r="A537" s="8">
        <v>189</v>
      </c>
      <c r="B537" s="8" t="s">
        <v>673</v>
      </c>
      <c r="C537" s="8" t="s">
        <v>674</v>
      </c>
      <c r="D537" s="8" t="s">
        <v>675</v>
      </c>
      <c r="E537" s="6" t="s">
        <v>17</v>
      </c>
      <c r="F537" s="6" t="s">
        <v>18</v>
      </c>
      <c r="G537" s="8" t="s">
        <v>676</v>
      </c>
      <c r="H537" s="8" t="s">
        <v>20</v>
      </c>
      <c r="I537" s="1"/>
      <c r="J537" s="1"/>
      <c r="K537" s="1"/>
      <c r="L537" s="1"/>
      <c r="M537" s="1"/>
    </row>
    <row r="538" spans="1:13" ht="90" customHeight="1" x14ac:dyDescent="0.3">
      <c r="A538" s="8"/>
      <c r="B538" s="7"/>
      <c r="C538" s="7"/>
      <c r="D538" s="7"/>
      <c r="E538" s="7"/>
      <c r="F538" s="7"/>
      <c r="G538" s="7"/>
      <c r="H538" s="7"/>
      <c r="I538" s="1"/>
      <c r="J538" s="1"/>
      <c r="K538" s="1"/>
      <c r="L538" s="1"/>
      <c r="M538" s="1"/>
    </row>
    <row r="539" spans="1:13" ht="90" customHeight="1" x14ac:dyDescent="0.3">
      <c r="A539" s="8"/>
      <c r="B539" s="7"/>
      <c r="C539" s="7"/>
      <c r="D539" s="7"/>
      <c r="E539" s="7"/>
      <c r="F539" s="7"/>
      <c r="G539" s="7"/>
      <c r="H539" s="7"/>
      <c r="I539" s="1"/>
      <c r="J539" s="1"/>
      <c r="K539" s="1"/>
      <c r="L539" s="1"/>
      <c r="M539" s="1"/>
    </row>
    <row r="540" spans="1:13" ht="90" customHeight="1" x14ac:dyDescent="0.3">
      <c r="A540" s="8"/>
      <c r="B540" s="7"/>
      <c r="C540" s="7"/>
      <c r="D540" s="7"/>
      <c r="E540" s="7"/>
      <c r="F540" s="7"/>
      <c r="G540" s="7"/>
      <c r="H540" s="7"/>
      <c r="I540" s="1"/>
      <c r="J540" s="1"/>
      <c r="K540" s="1"/>
      <c r="L540" s="1"/>
      <c r="M540" s="1"/>
    </row>
    <row r="541" spans="1:13" ht="90" customHeight="1" x14ac:dyDescent="0.3">
      <c r="A541" s="8"/>
      <c r="B541" s="7"/>
      <c r="C541" s="7"/>
      <c r="D541" s="7"/>
      <c r="E541" s="7"/>
      <c r="F541" s="7"/>
      <c r="G541" s="7"/>
      <c r="H541" s="7"/>
      <c r="I541" s="1"/>
      <c r="J541" s="1"/>
      <c r="K541" s="1"/>
      <c r="L541" s="1"/>
      <c r="M541" s="1"/>
    </row>
    <row r="542" spans="1:13" ht="90" customHeight="1" x14ac:dyDescent="0.3">
      <c r="A542" s="8">
        <v>190</v>
      </c>
      <c r="B542" s="8" t="s">
        <v>677</v>
      </c>
      <c r="C542" s="8" t="s">
        <v>567</v>
      </c>
      <c r="D542" s="8" t="s">
        <v>604</v>
      </c>
      <c r="E542" s="6" t="s">
        <v>24</v>
      </c>
      <c r="F542" s="6" t="s">
        <v>25</v>
      </c>
      <c r="G542" s="8" t="s">
        <v>678</v>
      </c>
      <c r="H542" s="8" t="s">
        <v>679</v>
      </c>
      <c r="I542" s="4" t="s">
        <v>680</v>
      </c>
      <c r="J542" s="4">
        <v>0.99955052137374878</v>
      </c>
      <c r="K542" s="4" t="s">
        <v>29</v>
      </c>
      <c r="L542" s="4" t="s">
        <v>567</v>
      </c>
      <c r="M542" s="4">
        <v>128</v>
      </c>
    </row>
    <row r="543" spans="1:13" ht="90" customHeight="1" x14ac:dyDescent="0.3">
      <c r="A543" s="8"/>
      <c r="B543" s="7"/>
      <c r="C543" s="7"/>
      <c r="D543" s="7"/>
      <c r="E543" s="7"/>
      <c r="F543" s="7"/>
      <c r="G543" s="7"/>
      <c r="H543" s="7"/>
      <c r="I543" s="2" t="s">
        <v>681</v>
      </c>
      <c r="J543" s="2">
        <v>0.99714547395704911</v>
      </c>
      <c r="K543" s="2" t="s">
        <v>29</v>
      </c>
      <c r="L543" s="2" t="s">
        <v>343</v>
      </c>
      <c r="M543" s="2">
        <v>41</v>
      </c>
    </row>
    <row r="544" spans="1:13" ht="90" customHeight="1" x14ac:dyDescent="0.3">
      <c r="A544" s="8"/>
      <c r="B544" s="7"/>
      <c r="C544" s="7"/>
      <c r="D544" s="7"/>
      <c r="E544" s="7"/>
      <c r="F544" s="7"/>
      <c r="G544" s="7"/>
      <c r="H544" s="7"/>
      <c r="I544" s="2" t="s">
        <v>682</v>
      </c>
      <c r="J544" s="2">
        <v>0.99583721160888672</v>
      </c>
      <c r="K544" s="2" t="s">
        <v>29</v>
      </c>
      <c r="L544" s="2" t="s">
        <v>549</v>
      </c>
      <c r="M544" s="2">
        <v>61</v>
      </c>
    </row>
    <row r="545" spans="1:13" ht="90" customHeight="1" x14ac:dyDescent="0.3">
      <c r="A545" s="8"/>
      <c r="B545" s="7"/>
      <c r="C545" s="7"/>
      <c r="D545" s="7"/>
      <c r="E545" s="7"/>
      <c r="F545" s="7"/>
      <c r="G545" s="7"/>
      <c r="H545" s="7"/>
      <c r="I545" s="1" t="s">
        <v>683</v>
      </c>
      <c r="J545" s="1">
        <v>0.98739778995513916</v>
      </c>
      <c r="K545" s="1" t="s">
        <v>29</v>
      </c>
      <c r="L545" s="1" t="s">
        <v>57</v>
      </c>
      <c r="M545" s="1">
        <v>30</v>
      </c>
    </row>
    <row r="546" spans="1:13" ht="90" customHeight="1" x14ac:dyDescent="0.3">
      <c r="A546" s="8"/>
      <c r="B546" s="7"/>
      <c r="C546" s="7"/>
      <c r="D546" s="7"/>
      <c r="E546" s="7"/>
      <c r="F546" s="7"/>
      <c r="G546" s="7"/>
      <c r="H546" s="7"/>
      <c r="I546" s="1" t="s">
        <v>684</v>
      </c>
      <c r="J546" s="1">
        <v>0.98436117172241211</v>
      </c>
      <c r="K546" s="1" t="s">
        <v>29</v>
      </c>
      <c r="L546" s="1" t="s">
        <v>338</v>
      </c>
      <c r="M546" s="1">
        <v>68</v>
      </c>
    </row>
    <row r="547" spans="1:13" ht="90" customHeight="1" x14ac:dyDescent="0.3">
      <c r="A547" s="8">
        <v>191</v>
      </c>
      <c r="B547" s="8" t="s">
        <v>685</v>
      </c>
      <c r="C547" s="8" t="s">
        <v>43</v>
      </c>
      <c r="D547" s="8" t="s">
        <v>44</v>
      </c>
      <c r="E547" s="6" t="s">
        <v>24</v>
      </c>
      <c r="F547" s="6" t="s">
        <v>25</v>
      </c>
      <c r="G547" s="8" t="s">
        <v>686</v>
      </c>
      <c r="H547" s="8" t="s">
        <v>687</v>
      </c>
      <c r="I547" s="4" t="s">
        <v>47</v>
      </c>
      <c r="J547" s="4">
        <v>0.98912937771203158</v>
      </c>
      <c r="K547" s="4" t="s">
        <v>29</v>
      </c>
      <c r="L547" s="4" t="s">
        <v>43</v>
      </c>
      <c r="M547" s="4">
        <v>3</v>
      </c>
    </row>
    <row r="548" spans="1:13" ht="90" customHeight="1" x14ac:dyDescent="0.3">
      <c r="A548" s="8"/>
      <c r="B548" s="7"/>
      <c r="C548" s="7"/>
      <c r="D548" s="7"/>
      <c r="E548" s="7"/>
      <c r="F548" s="7"/>
      <c r="G548" s="7"/>
      <c r="H548" s="7"/>
      <c r="I548" s="4" t="s">
        <v>48</v>
      </c>
      <c r="J548" s="4">
        <v>0.95844632186660472</v>
      </c>
      <c r="K548" s="4" t="s">
        <v>29</v>
      </c>
      <c r="L548" s="4" t="s">
        <v>43</v>
      </c>
      <c r="M548" s="4">
        <v>1</v>
      </c>
    </row>
    <row r="549" spans="1:13" ht="90" customHeight="1" x14ac:dyDescent="0.3">
      <c r="A549" s="8"/>
      <c r="B549" s="7"/>
      <c r="C549" s="7"/>
      <c r="D549" s="7"/>
      <c r="E549" s="7"/>
      <c r="F549" s="7"/>
      <c r="G549" s="7"/>
      <c r="H549" s="7"/>
      <c r="I549" s="4" t="s">
        <v>49</v>
      </c>
      <c r="J549" s="4">
        <v>0.87172071319195943</v>
      </c>
      <c r="K549" s="4" t="s">
        <v>29</v>
      </c>
      <c r="L549" s="4" t="s">
        <v>43</v>
      </c>
      <c r="M549" s="4">
        <v>2</v>
      </c>
    </row>
    <row r="550" spans="1:13" ht="90" customHeight="1" x14ac:dyDescent="0.3">
      <c r="A550" s="8"/>
      <c r="B550" s="7"/>
      <c r="C550" s="7"/>
      <c r="D550" s="7"/>
      <c r="E550" s="7"/>
      <c r="F550" s="7"/>
      <c r="G550" s="7"/>
      <c r="H550" s="7"/>
      <c r="I550" s="1"/>
      <c r="J550" s="1"/>
      <c r="K550" s="1"/>
      <c r="L550" s="1"/>
      <c r="M550" s="1"/>
    </row>
    <row r="551" spans="1:13" ht="90" customHeight="1" x14ac:dyDescent="0.3">
      <c r="A551" s="8"/>
      <c r="B551" s="7"/>
      <c r="C551" s="7"/>
      <c r="D551" s="7"/>
      <c r="E551" s="7"/>
      <c r="F551" s="7"/>
      <c r="G551" s="7"/>
      <c r="H551" s="7"/>
      <c r="I551" s="1"/>
      <c r="J551" s="1"/>
      <c r="K551" s="1"/>
      <c r="L551" s="1"/>
      <c r="M551" s="1"/>
    </row>
    <row r="552" spans="1:13" ht="90" customHeight="1" x14ac:dyDescent="0.3">
      <c r="A552" s="8">
        <v>193</v>
      </c>
      <c r="B552" s="8" t="s">
        <v>688</v>
      </c>
      <c r="C552" s="8" t="s">
        <v>689</v>
      </c>
      <c r="D552" s="8" t="s">
        <v>690</v>
      </c>
      <c r="E552" s="6" t="s">
        <v>17</v>
      </c>
      <c r="F552" s="6" t="s">
        <v>18</v>
      </c>
      <c r="G552" s="8" t="s">
        <v>691</v>
      </c>
      <c r="H552" s="8" t="s">
        <v>20</v>
      </c>
      <c r="I552" s="1"/>
      <c r="J552" s="1"/>
      <c r="K552" s="1"/>
      <c r="L552" s="1"/>
      <c r="M552" s="1"/>
    </row>
    <row r="553" spans="1:13" ht="90" customHeight="1" x14ac:dyDescent="0.3">
      <c r="A553" s="8"/>
      <c r="B553" s="7"/>
      <c r="C553" s="7"/>
      <c r="D553" s="7"/>
      <c r="E553" s="7"/>
      <c r="F553" s="7"/>
      <c r="G553" s="7"/>
      <c r="H553" s="7"/>
      <c r="I553" s="1"/>
      <c r="J553" s="1"/>
      <c r="K553" s="1"/>
      <c r="L553" s="1"/>
      <c r="M553" s="1"/>
    </row>
    <row r="554" spans="1:13" ht="90" customHeight="1" x14ac:dyDescent="0.3">
      <c r="A554" s="8"/>
      <c r="B554" s="7"/>
      <c r="C554" s="7"/>
      <c r="D554" s="7"/>
      <c r="E554" s="7"/>
      <c r="F554" s="7"/>
      <c r="G554" s="7"/>
      <c r="H554" s="7"/>
      <c r="I554" s="1"/>
      <c r="J554" s="1"/>
      <c r="K554" s="1"/>
      <c r="L554" s="1"/>
      <c r="M554" s="1"/>
    </row>
    <row r="555" spans="1:13" ht="90" customHeight="1" x14ac:dyDescent="0.3">
      <c r="A555" s="8"/>
      <c r="B555" s="7"/>
      <c r="C555" s="7"/>
      <c r="D555" s="7"/>
      <c r="E555" s="7"/>
      <c r="F555" s="7"/>
      <c r="G555" s="7"/>
      <c r="H555" s="7"/>
      <c r="I555" s="1"/>
      <c r="J555" s="1"/>
      <c r="K555" s="1"/>
      <c r="L555" s="1"/>
      <c r="M555" s="1"/>
    </row>
    <row r="556" spans="1:13" ht="90" customHeight="1" x14ac:dyDescent="0.3">
      <c r="A556" s="8"/>
      <c r="B556" s="7"/>
      <c r="C556" s="7"/>
      <c r="D556" s="7"/>
      <c r="E556" s="7"/>
      <c r="F556" s="7"/>
      <c r="G556" s="7"/>
      <c r="H556" s="7"/>
      <c r="I556" s="1"/>
      <c r="J556" s="1"/>
      <c r="K556" s="1"/>
      <c r="L556" s="1"/>
      <c r="M556" s="1"/>
    </row>
    <row r="557" spans="1:13" ht="90" customHeight="1" x14ac:dyDescent="0.3">
      <c r="A557" s="8">
        <v>196</v>
      </c>
      <c r="B557" s="8" t="s">
        <v>692</v>
      </c>
      <c r="C557" s="8" t="s">
        <v>257</v>
      </c>
      <c r="D557" s="8" t="s">
        <v>550</v>
      </c>
      <c r="E557" s="6" t="s">
        <v>24</v>
      </c>
      <c r="F557" s="6" t="s">
        <v>18</v>
      </c>
      <c r="G557" s="8" t="s">
        <v>693</v>
      </c>
      <c r="H557" s="8" t="s">
        <v>694</v>
      </c>
      <c r="I557" s="5" t="s">
        <v>262</v>
      </c>
      <c r="J557" s="5">
        <v>0.9246930776478951</v>
      </c>
      <c r="K557" s="5" t="s">
        <v>29</v>
      </c>
      <c r="L557" s="5" t="s">
        <v>257</v>
      </c>
      <c r="M557" s="5">
        <v>26</v>
      </c>
    </row>
    <row r="558" spans="1:13" ht="90" customHeight="1" x14ac:dyDescent="0.3">
      <c r="A558" s="8"/>
      <c r="B558" s="7"/>
      <c r="C558" s="7"/>
      <c r="D558" s="7"/>
      <c r="E558" s="7"/>
      <c r="F558" s="7"/>
      <c r="G558" s="7"/>
      <c r="H558" s="7"/>
      <c r="I558" s="1"/>
      <c r="J558" s="1"/>
      <c r="K558" s="1"/>
      <c r="L558" s="1"/>
      <c r="M558" s="1"/>
    </row>
    <row r="559" spans="1:13" ht="90" customHeight="1" x14ac:dyDescent="0.3">
      <c r="A559" s="8"/>
      <c r="B559" s="7"/>
      <c r="C559" s="7"/>
      <c r="D559" s="7"/>
      <c r="E559" s="7"/>
      <c r="F559" s="7"/>
      <c r="G559" s="7"/>
      <c r="H559" s="7"/>
      <c r="I559" s="1"/>
      <c r="J559" s="1"/>
      <c r="K559" s="1"/>
      <c r="L559" s="1"/>
      <c r="M559" s="1"/>
    </row>
    <row r="560" spans="1:13" ht="90" customHeight="1" x14ac:dyDescent="0.3">
      <c r="A560" s="8"/>
      <c r="B560" s="7"/>
      <c r="C560" s="7"/>
      <c r="D560" s="7"/>
      <c r="E560" s="7"/>
      <c r="F560" s="7"/>
      <c r="G560" s="7"/>
      <c r="H560" s="7"/>
      <c r="I560" s="1"/>
      <c r="J560" s="1"/>
      <c r="K560" s="1"/>
      <c r="L560" s="1"/>
      <c r="M560" s="1"/>
    </row>
    <row r="561" spans="1:13" ht="90" customHeight="1" x14ac:dyDescent="0.3">
      <c r="A561" s="8"/>
      <c r="B561" s="7"/>
      <c r="C561" s="7"/>
      <c r="D561" s="7"/>
      <c r="E561" s="7"/>
      <c r="F561" s="7"/>
      <c r="G561" s="7"/>
      <c r="H561" s="7"/>
      <c r="I561" s="1"/>
      <c r="J561" s="1"/>
      <c r="K561" s="1"/>
      <c r="L561" s="1"/>
      <c r="M561" s="1"/>
    </row>
    <row r="562" spans="1:13" ht="90" customHeight="1" x14ac:dyDescent="0.3">
      <c r="A562" s="8">
        <v>198</v>
      </c>
      <c r="B562" s="8" t="s">
        <v>695</v>
      </c>
      <c r="C562" s="8" t="s">
        <v>696</v>
      </c>
      <c r="D562" s="8" t="s">
        <v>16</v>
      </c>
      <c r="E562" s="6" t="s">
        <v>24</v>
      </c>
      <c r="F562" s="6" t="s">
        <v>25</v>
      </c>
      <c r="G562" s="8" t="s">
        <v>697</v>
      </c>
      <c r="H562" s="8" t="s">
        <v>698</v>
      </c>
      <c r="I562" s="4" t="s">
        <v>699</v>
      </c>
      <c r="J562" s="4">
        <v>0.99989950656890847</v>
      </c>
      <c r="K562" s="4" t="s">
        <v>29</v>
      </c>
      <c r="L562" s="4" t="s">
        <v>696</v>
      </c>
      <c r="M562" s="4">
        <v>1</v>
      </c>
    </row>
    <row r="563" spans="1:13" ht="90" customHeight="1" x14ac:dyDescent="0.3">
      <c r="A563" s="8"/>
      <c r="B563" s="7"/>
      <c r="C563" s="7"/>
      <c r="D563" s="7"/>
      <c r="E563" s="7"/>
      <c r="F563" s="7"/>
      <c r="G563" s="7"/>
      <c r="H563" s="7"/>
      <c r="I563" s="2" t="s">
        <v>700</v>
      </c>
      <c r="J563" s="2">
        <v>0.99790835380554199</v>
      </c>
      <c r="K563" s="2" t="s">
        <v>29</v>
      </c>
      <c r="L563" s="2" t="s">
        <v>51</v>
      </c>
      <c r="M563" s="2">
        <v>7</v>
      </c>
    </row>
    <row r="564" spans="1:13" ht="90" customHeight="1" x14ac:dyDescent="0.3">
      <c r="A564" s="8"/>
      <c r="B564" s="7"/>
      <c r="C564" s="7"/>
      <c r="D564" s="7"/>
      <c r="E564" s="7"/>
      <c r="F564" s="7"/>
      <c r="G564" s="7"/>
      <c r="H564" s="7"/>
      <c r="I564" s="2" t="s">
        <v>701</v>
      </c>
      <c r="J564" s="2">
        <v>0.99722433090209961</v>
      </c>
      <c r="K564" s="2" t="s">
        <v>29</v>
      </c>
      <c r="L564" s="2" t="s">
        <v>51</v>
      </c>
      <c r="M564" s="2">
        <v>8</v>
      </c>
    </row>
    <row r="565" spans="1:13" ht="90" customHeight="1" x14ac:dyDescent="0.3">
      <c r="A565" s="8"/>
      <c r="B565" s="7"/>
      <c r="C565" s="7"/>
      <c r="D565" s="7"/>
      <c r="E565" s="7"/>
      <c r="F565" s="7"/>
      <c r="G565" s="7"/>
      <c r="H565" s="7"/>
      <c r="I565" s="1" t="s">
        <v>64</v>
      </c>
      <c r="J565" s="1">
        <v>0.95337910170506135</v>
      </c>
      <c r="K565" s="1" t="s">
        <v>65</v>
      </c>
      <c r="L565" s="1" t="s">
        <v>66</v>
      </c>
      <c r="M565" s="1">
        <v>2</v>
      </c>
    </row>
    <row r="566" spans="1:13" ht="90" customHeight="1" x14ac:dyDescent="0.3">
      <c r="A566" s="8"/>
      <c r="B566" s="7"/>
      <c r="C566" s="7"/>
      <c r="D566" s="7"/>
      <c r="E566" s="7"/>
      <c r="F566" s="7"/>
      <c r="G566" s="7"/>
      <c r="H566" s="7"/>
      <c r="I566" s="1" t="s">
        <v>702</v>
      </c>
      <c r="J566" s="1">
        <v>0.86712408065795898</v>
      </c>
      <c r="K566" s="1" t="s">
        <v>29</v>
      </c>
      <c r="L566" s="1" t="s">
        <v>57</v>
      </c>
      <c r="M566" s="1">
        <v>215</v>
      </c>
    </row>
    <row r="567" spans="1:13" ht="90" customHeight="1" x14ac:dyDescent="0.3">
      <c r="A567" s="8">
        <v>200</v>
      </c>
      <c r="B567" s="8" t="s">
        <v>703</v>
      </c>
      <c r="C567" s="8" t="s">
        <v>515</v>
      </c>
      <c r="D567" s="8" t="s">
        <v>16</v>
      </c>
      <c r="E567" s="6" t="s">
        <v>24</v>
      </c>
      <c r="F567" s="6" t="s">
        <v>25</v>
      </c>
      <c r="G567" s="8" t="s">
        <v>704</v>
      </c>
      <c r="H567" s="8" t="s">
        <v>705</v>
      </c>
      <c r="I567" s="4" t="s">
        <v>662</v>
      </c>
      <c r="J567" s="4">
        <v>0.99304789304733276</v>
      </c>
      <c r="K567" s="4" t="s">
        <v>29</v>
      </c>
      <c r="L567" s="4" t="s">
        <v>515</v>
      </c>
      <c r="M567" s="4">
        <v>1</v>
      </c>
    </row>
    <row r="568" spans="1:13" ht="90" customHeight="1" x14ac:dyDescent="0.3">
      <c r="A568" s="8"/>
      <c r="B568" s="7"/>
      <c r="C568" s="7"/>
      <c r="D568" s="7"/>
      <c r="E568" s="7"/>
      <c r="F568" s="7"/>
      <c r="G568" s="7"/>
      <c r="H568" s="7"/>
      <c r="I568" s="1"/>
      <c r="J568" s="1"/>
      <c r="K568" s="1"/>
      <c r="L568" s="1"/>
      <c r="M568" s="1"/>
    </row>
    <row r="569" spans="1:13" ht="90" customHeight="1" x14ac:dyDescent="0.3">
      <c r="A569" s="8"/>
      <c r="B569" s="7"/>
      <c r="C569" s="7"/>
      <c r="D569" s="7"/>
      <c r="E569" s="7"/>
      <c r="F569" s="7"/>
      <c r="G569" s="7"/>
      <c r="H569" s="7"/>
      <c r="I569" s="1"/>
      <c r="J569" s="1"/>
      <c r="K569" s="1"/>
      <c r="L569" s="1"/>
      <c r="M569" s="1"/>
    </row>
    <row r="570" spans="1:13" ht="90" customHeight="1" x14ac:dyDescent="0.3">
      <c r="A570" s="8"/>
      <c r="B570" s="7"/>
      <c r="C570" s="7"/>
      <c r="D570" s="7"/>
      <c r="E570" s="7"/>
      <c r="F570" s="7"/>
      <c r="G570" s="7"/>
      <c r="H570" s="7"/>
      <c r="I570" s="1"/>
      <c r="J570" s="1"/>
      <c r="K570" s="1"/>
      <c r="L570" s="1"/>
      <c r="M570" s="1"/>
    </row>
    <row r="571" spans="1:13" ht="90" customHeight="1" x14ac:dyDescent="0.3">
      <c r="A571" s="8"/>
      <c r="B571" s="7"/>
      <c r="C571" s="7"/>
      <c r="D571" s="7"/>
      <c r="E571" s="7"/>
      <c r="F571" s="7"/>
      <c r="G571" s="7"/>
      <c r="H571" s="7"/>
      <c r="I571" s="1"/>
      <c r="J571" s="1"/>
      <c r="K571" s="1"/>
      <c r="L571" s="1"/>
      <c r="M571" s="1"/>
    </row>
    <row r="572" spans="1:13" ht="90" customHeight="1" x14ac:dyDescent="0.3">
      <c r="A572" s="8">
        <v>201</v>
      </c>
      <c r="B572" s="8" t="s">
        <v>706</v>
      </c>
      <c r="C572" s="8" t="s">
        <v>707</v>
      </c>
      <c r="D572" s="8" t="s">
        <v>708</v>
      </c>
      <c r="E572" s="6" t="s">
        <v>24</v>
      </c>
      <c r="F572" s="6" t="s">
        <v>25</v>
      </c>
      <c r="G572" s="8" t="s">
        <v>709</v>
      </c>
      <c r="H572" s="8" t="s">
        <v>710</v>
      </c>
      <c r="I572" s="4" t="s">
        <v>711</v>
      </c>
      <c r="J572" s="4">
        <v>0.99914288683189501</v>
      </c>
      <c r="K572" s="4" t="s">
        <v>29</v>
      </c>
      <c r="L572" s="4" t="s">
        <v>707</v>
      </c>
      <c r="M572" s="4">
        <v>17</v>
      </c>
    </row>
    <row r="573" spans="1:13" ht="90" customHeight="1" x14ac:dyDescent="0.3">
      <c r="A573" s="8"/>
      <c r="B573" s="7"/>
      <c r="C573" s="7"/>
      <c r="D573" s="7"/>
      <c r="E573" s="7"/>
      <c r="F573" s="7"/>
      <c r="G573" s="7"/>
      <c r="H573" s="7"/>
      <c r="I573" s="4" t="s">
        <v>712</v>
      </c>
      <c r="J573" s="4">
        <v>0.99744045734252029</v>
      </c>
      <c r="K573" s="4" t="s">
        <v>29</v>
      </c>
      <c r="L573" s="4" t="s">
        <v>707</v>
      </c>
      <c r="M573" s="4">
        <v>16</v>
      </c>
    </row>
    <row r="574" spans="1:13" ht="90" customHeight="1" x14ac:dyDescent="0.3">
      <c r="A574" s="8"/>
      <c r="B574" s="7"/>
      <c r="C574" s="7"/>
      <c r="D574" s="7"/>
      <c r="E574" s="7"/>
      <c r="F574" s="7"/>
      <c r="G574" s="7"/>
      <c r="H574" s="7"/>
      <c r="I574" s="4" t="s">
        <v>713</v>
      </c>
      <c r="J574" s="4">
        <v>0.99694520235052331</v>
      </c>
      <c r="K574" s="4" t="s">
        <v>29</v>
      </c>
      <c r="L574" s="4" t="s">
        <v>707</v>
      </c>
      <c r="M574" s="4">
        <v>15</v>
      </c>
    </row>
    <row r="575" spans="1:13" ht="90" customHeight="1" x14ac:dyDescent="0.3">
      <c r="A575" s="8"/>
      <c r="B575" s="7"/>
      <c r="C575" s="7"/>
      <c r="D575" s="7"/>
      <c r="E575" s="7"/>
      <c r="F575" s="7"/>
      <c r="G575" s="7"/>
      <c r="H575" s="7"/>
      <c r="I575" s="1" t="s">
        <v>592</v>
      </c>
      <c r="J575" s="1">
        <v>0.80636501610505129</v>
      </c>
      <c r="K575" s="1" t="s">
        <v>29</v>
      </c>
      <c r="L575" s="1" t="s">
        <v>240</v>
      </c>
      <c r="M575" s="1">
        <v>44</v>
      </c>
    </row>
    <row r="576" spans="1:13" ht="90" customHeight="1" x14ac:dyDescent="0.3">
      <c r="A576" s="8"/>
      <c r="B576" s="7"/>
      <c r="C576" s="7"/>
      <c r="D576" s="7"/>
      <c r="E576" s="7"/>
      <c r="F576" s="7"/>
      <c r="G576" s="7"/>
      <c r="H576" s="7"/>
      <c r="I576" s="1"/>
      <c r="J576" s="1"/>
      <c r="K576" s="1"/>
      <c r="L576" s="1"/>
      <c r="M576" s="1"/>
    </row>
    <row r="577" spans="1:13" ht="90" customHeight="1" x14ac:dyDescent="0.3">
      <c r="A577" s="8">
        <v>204</v>
      </c>
      <c r="B577" s="8" t="s">
        <v>633</v>
      </c>
      <c r="C577" s="8" t="s">
        <v>43</v>
      </c>
      <c r="D577" s="8" t="s">
        <v>44</v>
      </c>
      <c r="E577" s="6" t="s">
        <v>24</v>
      </c>
      <c r="F577" s="6" t="s">
        <v>25</v>
      </c>
      <c r="G577" s="8" t="s">
        <v>714</v>
      </c>
      <c r="H577" s="8" t="s">
        <v>635</v>
      </c>
      <c r="I577" s="4" t="s">
        <v>48</v>
      </c>
      <c r="J577" s="4">
        <v>0.99836919055784634</v>
      </c>
      <c r="K577" s="4" t="s">
        <v>29</v>
      </c>
      <c r="L577" s="4" t="s">
        <v>43</v>
      </c>
      <c r="M577" s="4">
        <v>1</v>
      </c>
    </row>
    <row r="578" spans="1:13" ht="90" customHeight="1" x14ac:dyDescent="0.3">
      <c r="A578" s="8"/>
      <c r="B578" s="7"/>
      <c r="C578" s="7"/>
      <c r="D578" s="7"/>
      <c r="E578" s="7"/>
      <c r="F578" s="7"/>
      <c r="G578" s="7"/>
      <c r="H578" s="7"/>
      <c r="I578" s="4" t="s">
        <v>47</v>
      </c>
      <c r="J578" s="4">
        <v>0.99552068603571464</v>
      </c>
      <c r="K578" s="4" t="s">
        <v>29</v>
      </c>
      <c r="L578" s="4" t="s">
        <v>43</v>
      </c>
      <c r="M578" s="4">
        <v>3</v>
      </c>
    </row>
    <row r="579" spans="1:13" ht="90" customHeight="1" x14ac:dyDescent="0.3">
      <c r="A579" s="8"/>
      <c r="B579" s="7"/>
      <c r="C579" s="7"/>
      <c r="D579" s="7"/>
      <c r="E579" s="7"/>
      <c r="F579" s="7"/>
      <c r="G579" s="7"/>
      <c r="H579" s="7"/>
      <c r="I579" s="4" t="s">
        <v>49</v>
      </c>
      <c r="J579" s="4">
        <v>0.91511580892208311</v>
      </c>
      <c r="K579" s="4" t="s">
        <v>29</v>
      </c>
      <c r="L579" s="4" t="s">
        <v>43</v>
      </c>
      <c r="M579" s="4">
        <v>2</v>
      </c>
    </row>
    <row r="580" spans="1:13" ht="90" customHeight="1" x14ac:dyDescent="0.3">
      <c r="A580" s="8"/>
      <c r="B580" s="7"/>
      <c r="C580" s="7"/>
      <c r="D580" s="7"/>
      <c r="E580" s="7"/>
      <c r="F580" s="7"/>
      <c r="G580" s="7"/>
      <c r="H580" s="7"/>
      <c r="I580" s="1"/>
      <c r="J580" s="1"/>
      <c r="K580" s="1"/>
      <c r="L580" s="1"/>
      <c r="M580" s="1"/>
    </row>
    <row r="581" spans="1:13" ht="90" customHeight="1" x14ac:dyDescent="0.3">
      <c r="A581" s="8"/>
      <c r="B581" s="7"/>
      <c r="C581" s="7"/>
      <c r="D581" s="7"/>
      <c r="E581" s="7"/>
      <c r="F581" s="7"/>
      <c r="G581" s="7"/>
      <c r="H581" s="7"/>
      <c r="I581" s="1"/>
      <c r="J581" s="1"/>
      <c r="K581" s="1"/>
      <c r="L581" s="1"/>
      <c r="M581" s="1"/>
    </row>
    <row r="582" spans="1:13" ht="90" customHeight="1" x14ac:dyDescent="0.3">
      <c r="A582" s="8">
        <v>205</v>
      </c>
      <c r="B582" s="8" t="s">
        <v>715</v>
      </c>
      <c r="C582" s="8" t="s">
        <v>240</v>
      </c>
      <c r="D582" s="8" t="s">
        <v>589</v>
      </c>
      <c r="E582" s="6" t="s">
        <v>24</v>
      </c>
      <c r="F582" s="6" t="s">
        <v>25</v>
      </c>
      <c r="G582" s="8" t="s">
        <v>716</v>
      </c>
      <c r="H582" s="8" t="s">
        <v>717</v>
      </c>
      <c r="I582" s="4" t="s">
        <v>592</v>
      </c>
      <c r="J582" s="4">
        <v>0.99637072139449878</v>
      </c>
      <c r="K582" s="4" t="s">
        <v>29</v>
      </c>
      <c r="L582" s="4" t="s">
        <v>240</v>
      </c>
      <c r="M582" s="4">
        <v>44</v>
      </c>
    </row>
    <row r="583" spans="1:13" ht="90" customHeight="1" x14ac:dyDescent="0.3">
      <c r="A583" s="8"/>
      <c r="B583" s="7"/>
      <c r="C583" s="7"/>
      <c r="D583" s="7"/>
      <c r="E583" s="7"/>
      <c r="F583" s="7"/>
      <c r="G583" s="7"/>
      <c r="H583" s="7"/>
      <c r="I583" s="1"/>
      <c r="J583" s="1"/>
      <c r="K583" s="1"/>
      <c r="L583" s="1"/>
      <c r="M583" s="1"/>
    </row>
    <row r="584" spans="1:13" ht="90" customHeight="1" x14ac:dyDescent="0.3">
      <c r="A584" s="8"/>
      <c r="B584" s="7"/>
      <c r="C584" s="7"/>
      <c r="D584" s="7"/>
      <c r="E584" s="7"/>
      <c r="F584" s="7"/>
      <c r="G584" s="7"/>
      <c r="H584" s="7"/>
      <c r="I584" s="1"/>
      <c r="J584" s="1"/>
      <c r="K584" s="1"/>
      <c r="L584" s="1"/>
      <c r="M584" s="1"/>
    </row>
    <row r="585" spans="1:13" ht="90" customHeight="1" x14ac:dyDescent="0.3">
      <c r="A585" s="8"/>
      <c r="B585" s="7"/>
      <c r="C585" s="7"/>
      <c r="D585" s="7"/>
      <c r="E585" s="7"/>
      <c r="F585" s="7"/>
      <c r="G585" s="7"/>
      <c r="H585" s="7"/>
      <c r="I585" s="1"/>
      <c r="J585" s="1"/>
      <c r="K585" s="1"/>
      <c r="L585" s="1"/>
      <c r="M585" s="1"/>
    </row>
    <row r="586" spans="1:13" ht="90" customHeight="1" x14ac:dyDescent="0.3">
      <c r="A586" s="8"/>
      <c r="B586" s="7"/>
      <c r="C586" s="7"/>
      <c r="D586" s="7"/>
      <c r="E586" s="7"/>
      <c r="F586" s="7"/>
      <c r="G586" s="7"/>
      <c r="H586" s="7"/>
      <c r="I586" s="1"/>
      <c r="J586" s="1"/>
      <c r="K586" s="1"/>
      <c r="L586" s="1"/>
      <c r="M586" s="1"/>
    </row>
    <row r="587" spans="1:13" ht="90" customHeight="1" x14ac:dyDescent="0.3">
      <c r="A587" s="8">
        <v>207</v>
      </c>
      <c r="B587" s="8" t="s">
        <v>718</v>
      </c>
      <c r="C587" s="8" t="s">
        <v>293</v>
      </c>
      <c r="D587" s="8" t="s">
        <v>507</v>
      </c>
      <c r="E587" s="6" t="s">
        <v>24</v>
      </c>
      <c r="F587" s="6" t="s">
        <v>25</v>
      </c>
      <c r="G587" s="8" t="s">
        <v>719</v>
      </c>
      <c r="H587" s="8" t="s">
        <v>720</v>
      </c>
      <c r="I587" s="4" t="s">
        <v>389</v>
      </c>
      <c r="J587" s="4">
        <v>0.99951684474945068</v>
      </c>
      <c r="K587" s="4" t="s">
        <v>29</v>
      </c>
      <c r="L587" s="4" t="s">
        <v>293</v>
      </c>
      <c r="M587" s="4">
        <v>3</v>
      </c>
    </row>
    <row r="588" spans="1:13" ht="90" customHeight="1" x14ac:dyDescent="0.3">
      <c r="A588" s="8"/>
      <c r="B588" s="7"/>
      <c r="C588" s="7"/>
      <c r="D588" s="7"/>
      <c r="E588" s="7"/>
      <c r="F588" s="7"/>
      <c r="G588" s="7"/>
      <c r="H588" s="7"/>
      <c r="I588" s="4" t="s">
        <v>510</v>
      </c>
      <c r="J588" s="4">
        <v>0.99943822622299194</v>
      </c>
      <c r="K588" s="4" t="s">
        <v>29</v>
      </c>
      <c r="L588" s="4" t="s">
        <v>293</v>
      </c>
      <c r="M588" s="4">
        <v>2</v>
      </c>
    </row>
    <row r="589" spans="1:13" ht="90" customHeight="1" x14ac:dyDescent="0.3">
      <c r="A589" s="8"/>
      <c r="B589" s="7"/>
      <c r="C589" s="7"/>
      <c r="D589" s="7"/>
      <c r="E589" s="7"/>
      <c r="F589" s="7"/>
      <c r="G589" s="7"/>
      <c r="H589" s="7"/>
      <c r="I589" s="4" t="s">
        <v>296</v>
      </c>
      <c r="J589" s="4">
        <v>0.99773764610290527</v>
      </c>
      <c r="K589" s="4" t="s">
        <v>29</v>
      </c>
      <c r="L589" s="4" t="s">
        <v>293</v>
      </c>
      <c r="M589" s="4">
        <v>4</v>
      </c>
    </row>
    <row r="590" spans="1:13" ht="90" customHeight="1" x14ac:dyDescent="0.3">
      <c r="A590" s="8"/>
      <c r="B590" s="7"/>
      <c r="C590" s="7"/>
      <c r="D590" s="7"/>
      <c r="E590" s="7"/>
      <c r="F590" s="7"/>
      <c r="G590" s="7"/>
      <c r="H590" s="7"/>
      <c r="I590" s="1" t="s">
        <v>596</v>
      </c>
      <c r="J590" s="1">
        <v>0.95424167582043662</v>
      </c>
      <c r="K590" s="1" t="s">
        <v>29</v>
      </c>
      <c r="L590" s="1" t="s">
        <v>423</v>
      </c>
      <c r="M590" s="1">
        <v>22</v>
      </c>
    </row>
    <row r="591" spans="1:13" ht="90" customHeight="1" x14ac:dyDescent="0.3">
      <c r="A591" s="8"/>
      <c r="B591" s="7"/>
      <c r="C591" s="7"/>
      <c r="D591" s="7"/>
      <c r="E591" s="7"/>
      <c r="F591" s="7"/>
      <c r="G591" s="7"/>
      <c r="H591" s="7"/>
      <c r="I591" s="1" t="s">
        <v>721</v>
      </c>
      <c r="J591" s="1">
        <v>0.95005746228562504</v>
      </c>
      <c r="K591" s="1" t="s">
        <v>65</v>
      </c>
      <c r="L591" s="1" t="s">
        <v>598</v>
      </c>
      <c r="M591" s="1">
        <v>11</v>
      </c>
    </row>
    <row r="592" spans="1:13" ht="90" customHeight="1" x14ac:dyDescent="0.3">
      <c r="A592" s="8">
        <v>209</v>
      </c>
      <c r="B592" s="8" t="s">
        <v>722</v>
      </c>
      <c r="C592" s="8" t="s">
        <v>723</v>
      </c>
      <c r="D592" s="8" t="s">
        <v>724</v>
      </c>
      <c r="E592" s="6" t="s">
        <v>24</v>
      </c>
      <c r="F592" s="6" t="s">
        <v>25</v>
      </c>
      <c r="G592" s="8" t="s">
        <v>725</v>
      </c>
      <c r="H592" s="8" t="s">
        <v>726</v>
      </c>
      <c r="I592" s="4" t="s">
        <v>727</v>
      </c>
      <c r="J592" s="4">
        <v>0.99929050594375313</v>
      </c>
      <c r="K592" s="4" t="s">
        <v>29</v>
      </c>
      <c r="L592" s="4" t="s">
        <v>723</v>
      </c>
      <c r="M592" s="4">
        <v>2</v>
      </c>
    </row>
    <row r="593" spans="1:13" ht="90" customHeight="1" x14ac:dyDescent="0.3">
      <c r="A593" s="8"/>
      <c r="B593" s="7"/>
      <c r="C593" s="7"/>
      <c r="D593" s="7"/>
      <c r="E593" s="7"/>
      <c r="F593" s="7"/>
      <c r="G593" s="7"/>
      <c r="H593" s="7"/>
      <c r="I593" s="4" t="s">
        <v>728</v>
      </c>
      <c r="J593" s="4">
        <v>0.99913193023278779</v>
      </c>
      <c r="K593" s="4" t="s">
        <v>29</v>
      </c>
      <c r="L593" s="4" t="s">
        <v>723</v>
      </c>
      <c r="M593" s="4">
        <v>3</v>
      </c>
    </row>
    <row r="594" spans="1:13" ht="90" customHeight="1" x14ac:dyDescent="0.3">
      <c r="A594" s="8"/>
      <c r="B594" s="7"/>
      <c r="C594" s="7"/>
      <c r="D594" s="7"/>
      <c r="E594" s="7"/>
      <c r="F594" s="7"/>
      <c r="G594" s="7"/>
      <c r="H594" s="7"/>
      <c r="I594" s="4" t="s">
        <v>729</v>
      </c>
      <c r="J594" s="4">
        <v>0.97365552186965942</v>
      </c>
      <c r="K594" s="4" t="s">
        <v>29</v>
      </c>
      <c r="L594" s="4" t="s">
        <v>723</v>
      </c>
      <c r="M594" s="4">
        <v>4</v>
      </c>
    </row>
    <row r="595" spans="1:13" ht="90" customHeight="1" x14ac:dyDescent="0.3">
      <c r="A595" s="8"/>
      <c r="B595" s="7"/>
      <c r="C595" s="7"/>
      <c r="D595" s="7"/>
      <c r="E595" s="7"/>
      <c r="F595" s="7"/>
      <c r="G595" s="7"/>
      <c r="H595" s="7"/>
      <c r="I595" s="5" t="s">
        <v>730</v>
      </c>
      <c r="J595" s="5">
        <v>0.80607002973556519</v>
      </c>
      <c r="K595" s="5" t="s">
        <v>29</v>
      </c>
      <c r="L595" s="5" t="s">
        <v>723</v>
      </c>
      <c r="M595" s="5">
        <v>1</v>
      </c>
    </row>
    <row r="596" spans="1:13" ht="90" customHeight="1" x14ac:dyDescent="0.3">
      <c r="A596" s="8"/>
      <c r="B596" s="7"/>
      <c r="C596" s="7"/>
      <c r="D596" s="7"/>
      <c r="E596" s="7"/>
      <c r="F596" s="7"/>
      <c r="G596" s="7"/>
      <c r="H596" s="7"/>
      <c r="I596" s="1"/>
      <c r="J596" s="1"/>
      <c r="K596" s="1"/>
      <c r="L596" s="1"/>
      <c r="M596" s="1"/>
    </row>
    <row r="597" spans="1:13" ht="90" customHeight="1" x14ac:dyDescent="0.3">
      <c r="A597" s="8">
        <v>213</v>
      </c>
      <c r="B597" s="8" t="s">
        <v>641</v>
      </c>
      <c r="C597" s="8" t="s">
        <v>257</v>
      </c>
      <c r="D597" s="8" t="s">
        <v>550</v>
      </c>
      <c r="E597" s="6" t="s">
        <v>24</v>
      </c>
      <c r="F597" s="6" t="s">
        <v>25</v>
      </c>
      <c r="G597" s="8" t="s">
        <v>731</v>
      </c>
      <c r="H597" s="8" t="s">
        <v>643</v>
      </c>
      <c r="I597" s="4" t="s">
        <v>628</v>
      </c>
      <c r="J597" s="4">
        <v>0.99986481666564941</v>
      </c>
      <c r="K597" s="4" t="s">
        <v>29</v>
      </c>
      <c r="L597" s="4" t="s">
        <v>257</v>
      </c>
      <c r="M597" s="4">
        <v>26</v>
      </c>
    </row>
    <row r="598" spans="1:13" ht="90" customHeight="1" x14ac:dyDescent="0.3">
      <c r="A598" s="8"/>
      <c r="B598" s="7"/>
      <c r="C598" s="7"/>
      <c r="D598" s="7"/>
      <c r="E598" s="7"/>
      <c r="F598" s="7"/>
      <c r="G598" s="7"/>
      <c r="H598" s="7"/>
      <c r="I598" s="1"/>
      <c r="J598" s="1"/>
      <c r="K598" s="1"/>
      <c r="L598" s="1"/>
      <c r="M598" s="1"/>
    </row>
    <row r="599" spans="1:13" ht="90" customHeight="1" x14ac:dyDescent="0.3">
      <c r="A599" s="8"/>
      <c r="B599" s="7"/>
      <c r="C599" s="7"/>
      <c r="D599" s="7"/>
      <c r="E599" s="7"/>
      <c r="F599" s="7"/>
      <c r="G599" s="7"/>
      <c r="H599" s="7"/>
      <c r="I599" s="1"/>
      <c r="J599" s="1"/>
      <c r="K599" s="1"/>
      <c r="L599" s="1"/>
      <c r="M599" s="1"/>
    </row>
    <row r="600" spans="1:13" ht="90" customHeight="1" x14ac:dyDescent="0.3">
      <c r="A600" s="8"/>
      <c r="B600" s="7"/>
      <c r="C600" s="7"/>
      <c r="D600" s="7"/>
      <c r="E600" s="7"/>
      <c r="F600" s="7"/>
      <c r="G600" s="7"/>
      <c r="H600" s="7"/>
      <c r="I600" s="1"/>
      <c r="J600" s="1"/>
      <c r="K600" s="1"/>
      <c r="L600" s="1"/>
      <c r="M600" s="1"/>
    </row>
    <row r="601" spans="1:13" ht="90" customHeight="1" x14ac:dyDescent="0.3">
      <c r="A601" s="8"/>
      <c r="B601" s="7"/>
      <c r="C601" s="7"/>
      <c r="D601" s="7"/>
      <c r="E601" s="7"/>
      <c r="F601" s="7"/>
      <c r="G601" s="7"/>
      <c r="H601" s="7"/>
      <c r="I601" s="1"/>
      <c r="J601" s="1"/>
      <c r="K601" s="1"/>
      <c r="L601" s="1"/>
      <c r="M601" s="1"/>
    </row>
    <row r="602" spans="1:13" ht="90" customHeight="1" x14ac:dyDescent="0.3">
      <c r="A602" s="8">
        <v>215</v>
      </c>
      <c r="B602" s="8" t="s">
        <v>732</v>
      </c>
      <c r="C602" s="8" t="s">
        <v>314</v>
      </c>
      <c r="D602" s="8" t="s">
        <v>16</v>
      </c>
      <c r="E602" s="6" t="s">
        <v>24</v>
      </c>
      <c r="F602" s="6" t="s">
        <v>25</v>
      </c>
      <c r="G602" s="8" t="s">
        <v>733</v>
      </c>
      <c r="H602" s="8" t="s">
        <v>734</v>
      </c>
      <c r="I602" s="4" t="s">
        <v>735</v>
      </c>
      <c r="J602" s="4">
        <v>0.99696439504623413</v>
      </c>
      <c r="K602" s="4" t="s">
        <v>29</v>
      </c>
      <c r="L602" s="4" t="s">
        <v>314</v>
      </c>
      <c r="M602" s="4">
        <v>1</v>
      </c>
    </row>
    <row r="603" spans="1:13" ht="90" customHeight="1" x14ac:dyDescent="0.3">
      <c r="A603" s="8"/>
      <c r="B603" s="7"/>
      <c r="C603" s="7"/>
      <c r="D603" s="7"/>
      <c r="E603" s="7"/>
      <c r="F603" s="7"/>
      <c r="G603" s="7"/>
      <c r="H603" s="7"/>
      <c r="I603" s="1"/>
      <c r="J603" s="1"/>
      <c r="K603" s="1"/>
      <c r="L603" s="1"/>
      <c r="M603" s="1"/>
    </row>
    <row r="604" spans="1:13" ht="90" customHeight="1" x14ac:dyDescent="0.3">
      <c r="A604" s="8"/>
      <c r="B604" s="7"/>
      <c r="C604" s="7"/>
      <c r="D604" s="7"/>
      <c r="E604" s="7"/>
      <c r="F604" s="7"/>
      <c r="G604" s="7"/>
      <c r="H604" s="7"/>
      <c r="I604" s="1"/>
      <c r="J604" s="1"/>
      <c r="K604" s="1"/>
      <c r="L604" s="1"/>
      <c r="M604" s="1"/>
    </row>
    <row r="605" spans="1:13" ht="90" customHeight="1" x14ac:dyDescent="0.3">
      <c r="A605" s="8"/>
      <c r="B605" s="7"/>
      <c r="C605" s="7"/>
      <c r="D605" s="7"/>
      <c r="E605" s="7"/>
      <c r="F605" s="7"/>
      <c r="G605" s="7"/>
      <c r="H605" s="7"/>
      <c r="I605" s="1"/>
      <c r="J605" s="1"/>
      <c r="K605" s="1"/>
      <c r="L605" s="1"/>
      <c r="M605" s="1"/>
    </row>
    <row r="606" spans="1:13" ht="90" customHeight="1" x14ac:dyDescent="0.3">
      <c r="A606" s="8"/>
      <c r="B606" s="7"/>
      <c r="C606" s="7"/>
      <c r="D606" s="7"/>
      <c r="E606" s="7"/>
      <c r="F606" s="7"/>
      <c r="G606" s="7"/>
      <c r="H606" s="7"/>
      <c r="I606" s="1"/>
      <c r="J606" s="1"/>
      <c r="K606" s="1"/>
      <c r="L606" s="1"/>
      <c r="M606" s="1"/>
    </row>
    <row r="607" spans="1:13" ht="90" customHeight="1" x14ac:dyDescent="0.3">
      <c r="A607" s="8">
        <v>216</v>
      </c>
      <c r="B607" s="8" t="s">
        <v>736</v>
      </c>
      <c r="C607" s="8" t="s">
        <v>114</v>
      </c>
      <c r="D607" s="8" t="s">
        <v>124</v>
      </c>
      <c r="E607" s="6" t="s">
        <v>24</v>
      </c>
      <c r="F607" s="6" t="s">
        <v>25</v>
      </c>
      <c r="G607" s="8" t="s">
        <v>737</v>
      </c>
      <c r="H607" s="8" t="s">
        <v>738</v>
      </c>
      <c r="I607" s="4" t="s">
        <v>739</v>
      </c>
      <c r="J607" s="4">
        <v>0.95580804347991899</v>
      </c>
      <c r="K607" s="4" t="s">
        <v>29</v>
      </c>
      <c r="L607" s="4" t="s">
        <v>114</v>
      </c>
      <c r="M607" s="4">
        <v>13</v>
      </c>
    </row>
    <row r="608" spans="1:13" ht="90" customHeight="1" x14ac:dyDescent="0.3">
      <c r="A608" s="8"/>
      <c r="B608" s="7"/>
      <c r="C608" s="7"/>
      <c r="D608" s="7"/>
      <c r="E608" s="7"/>
      <c r="F608" s="7"/>
      <c r="G608" s="7"/>
      <c r="H608" s="7"/>
      <c r="I608" s="1"/>
      <c r="J608" s="1"/>
      <c r="K608" s="1"/>
      <c r="L608" s="1"/>
      <c r="M608" s="1"/>
    </row>
    <row r="609" spans="1:13" ht="90" customHeight="1" x14ac:dyDescent="0.3">
      <c r="A609" s="8"/>
      <c r="B609" s="7"/>
      <c r="C609" s="7"/>
      <c r="D609" s="7"/>
      <c r="E609" s="7"/>
      <c r="F609" s="7"/>
      <c r="G609" s="7"/>
      <c r="H609" s="7"/>
      <c r="I609" s="1"/>
      <c r="J609" s="1"/>
      <c r="K609" s="1"/>
      <c r="L609" s="1"/>
      <c r="M609" s="1"/>
    </row>
    <row r="610" spans="1:13" ht="90" customHeight="1" x14ac:dyDescent="0.3">
      <c r="A610" s="8"/>
      <c r="B610" s="7"/>
      <c r="C610" s="7"/>
      <c r="D610" s="7"/>
      <c r="E610" s="7"/>
      <c r="F610" s="7"/>
      <c r="G610" s="7"/>
      <c r="H610" s="7"/>
      <c r="I610" s="1"/>
      <c r="J610" s="1"/>
      <c r="K610" s="1"/>
      <c r="L610" s="1"/>
      <c r="M610" s="1"/>
    </row>
    <row r="611" spans="1:13" ht="90" customHeight="1" x14ac:dyDescent="0.3">
      <c r="A611" s="8"/>
      <c r="B611" s="7"/>
      <c r="C611" s="7"/>
      <c r="D611" s="7"/>
      <c r="E611" s="7"/>
      <c r="F611" s="7"/>
      <c r="G611" s="7"/>
      <c r="H611" s="7"/>
      <c r="I611" s="1"/>
      <c r="J611" s="1"/>
      <c r="K611" s="1"/>
      <c r="L611" s="1"/>
      <c r="M611" s="1"/>
    </row>
    <row r="612" spans="1:13" ht="90" customHeight="1" x14ac:dyDescent="0.3">
      <c r="A612" s="8">
        <v>217</v>
      </c>
      <c r="B612" s="8" t="s">
        <v>740</v>
      </c>
      <c r="C612" s="8" t="s">
        <v>455</v>
      </c>
      <c r="D612" s="8" t="s">
        <v>741</v>
      </c>
      <c r="E612" s="6" t="s">
        <v>24</v>
      </c>
      <c r="F612" s="6" t="s">
        <v>25</v>
      </c>
      <c r="G612" s="8" t="s">
        <v>742</v>
      </c>
      <c r="H612" s="8" t="s">
        <v>743</v>
      </c>
      <c r="I612" s="4" t="s">
        <v>744</v>
      </c>
      <c r="J612" s="4">
        <v>0.99915063381195068</v>
      </c>
      <c r="K612" s="4" t="s">
        <v>29</v>
      </c>
      <c r="L612" s="4" t="s">
        <v>455</v>
      </c>
      <c r="M612" s="4">
        <v>349</v>
      </c>
    </row>
    <row r="613" spans="1:13" ht="90" customHeight="1" x14ac:dyDescent="0.3">
      <c r="A613" s="8"/>
      <c r="B613" s="7"/>
      <c r="C613" s="7"/>
      <c r="D613" s="7"/>
      <c r="E613" s="7"/>
      <c r="F613" s="7"/>
      <c r="G613" s="7"/>
      <c r="H613" s="7"/>
      <c r="I613" s="1"/>
      <c r="J613" s="1"/>
      <c r="K613" s="1"/>
      <c r="L613" s="1"/>
      <c r="M613" s="1"/>
    </row>
    <row r="614" spans="1:13" ht="90" customHeight="1" x14ac:dyDescent="0.3">
      <c r="A614" s="8"/>
      <c r="B614" s="7"/>
      <c r="C614" s="7"/>
      <c r="D614" s="7"/>
      <c r="E614" s="7"/>
      <c r="F614" s="7"/>
      <c r="G614" s="7"/>
      <c r="H614" s="7"/>
      <c r="I614" s="1"/>
      <c r="J614" s="1"/>
      <c r="K614" s="1"/>
      <c r="L614" s="1"/>
      <c r="M614" s="1"/>
    </row>
    <row r="615" spans="1:13" ht="90" customHeight="1" x14ac:dyDescent="0.3">
      <c r="A615" s="8"/>
      <c r="B615" s="7"/>
      <c r="C615" s="7"/>
      <c r="D615" s="7"/>
      <c r="E615" s="7"/>
      <c r="F615" s="7"/>
      <c r="G615" s="7"/>
      <c r="H615" s="7"/>
      <c r="I615" s="1"/>
      <c r="J615" s="1"/>
      <c r="K615" s="1"/>
      <c r="L615" s="1"/>
      <c r="M615" s="1"/>
    </row>
    <row r="616" spans="1:13" ht="90" customHeight="1" x14ac:dyDescent="0.3">
      <c r="A616" s="8"/>
      <c r="B616" s="7"/>
      <c r="C616" s="7"/>
      <c r="D616" s="7"/>
      <c r="E616" s="7"/>
      <c r="F616" s="7"/>
      <c r="G616" s="7"/>
      <c r="H616" s="7"/>
      <c r="I616" s="1"/>
      <c r="J616" s="1"/>
      <c r="K616" s="1"/>
      <c r="L616" s="1"/>
      <c r="M616" s="1"/>
    </row>
    <row r="617" spans="1:13" ht="90" customHeight="1" x14ac:dyDescent="0.3">
      <c r="A617" s="8">
        <v>220</v>
      </c>
      <c r="B617" s="8" t="s">
        <v>745</v>
      </c>
      <c r="C617" s="8" t="s">
        <v>73</v>
      </c>
      <c r="D617" s="8" t="s">
        <v>16</v>
      </c>
      <c r="E617" s="6" t="s">
        <v>24</v>
      </c>
      <c r="F617" s="6" t="s">
        <v>25</v>
      </c>
      <c r="G617" s="8" t="s">
        <v>746</v>
      </c>
      <c r="H617" s="8" t="s">
        <v>747</v>
      </c>
      <c r="I617" s="2" t="s">
        <v>748</v>
      </c>
      <c r="J617" s="2">
        <v>0.91069523019605136</v>
      </c>
      <c r="K617" s="2" t="s">
        <v>29</v>
      </c>
      <c r="L617" s="2" t="s">
        <v>98</v>
      </c>
      <c r="M617" s="2">
        <v>1</v>
      </c>
    </row>
    <row r="618" spans="1:13" ht="90" customHeight="1" x14ac:dyDescent="0.3">
      <c r="A618" s="8"/>
      <c r="B618" s="7"/>
      <c r="C618" s="7"/>
      <c r="D618" s="7"/>
      <c r="E618" s="7"/>
      <c r="F618" s="7"/>
      <c r="G618" s="7"/>
      <c r="H618" s="7"/>
      <c r="I618" s="4" t="s">
        <v>96</v>
      </c>
      <c r="J618" s="4">
        <v>0.71585423148132832</v>
      </c>
      <c r="K618" s="4" t="s">
        <v>29</v>
      </c>
      <c r="L618" s="4" t="s">
        <v>73</v>
      </c>
      <c r="M618" s="4">
        <v>1</v>
      </c>
    </row>
    <row r="619" spans="1:13" ht="90" customHeight="1" x14ac:dyDescent="0.3">
      <c r="A619" s="8"/>
      <c r="B619" s="7"/>
      <c r="C619" s="7"/>
      <c r="D619" s="7"/>
      <c r="E619" s="7"/>
      <c r="F619" s="7"/>
      <c r="G619" s="7"/>
      <c r="H619" s="7"/>
      <c r="I619" s="1"/>
      <c r="J619" s="1"/>
      <c r="K619" s="1"/>
      <c r="L619" s="1"/>
      <c r="M619" s="1"/>
    </row>
    <row r="620" spans="1:13" ht="90" customHeight="1" x14ac:dyDescent="0.3">
      <c r="A620" s="8"/>
      <c r="B620" s="7"/>
      <c r="C620" s="7"/>
      <c r="D620" s="7"/>
      <c r="E620" s="7"/>
      <c r="F620" s="7"/>
      <c r="G620" s="7"/>
      <c r="H620" s="7"/>
      <c r="I620" s="1"/>
      <c r="J620" s="1"/>
      <c r="K620" s="1"/>
      <c r="L620" s="1"/>
      <c r="M620" s="1"/>
    </row>
    <row r="621" spans="1:13" ht="90" customHeight="1" x14ac:dyDescent="0.3">
      <c r="A621" s="8"/>
      <c r="B621" s="7"/>
      <c r="C621" s="7"/>
      <c r="D621" s="7"/>
      <c r="E621" s="7"/>
      <c r="F621" s="7"/>
      <c r="G621" s="7"/>
      <c r="H621" s="7"/>
      <c r="I621" s="1"/>
      <c r="J621" s="1"/>
      <c r="K621" s="1"/>
      <c r="L621" s="1"/>
      <c r="M621" s="1"/>
    </row>
    <row r="622" spans="1:13" ht="90" customHeight="1" x14ac:dyDescent="0.3">
      <c r="A622" s="8">
        <v>221</v>
      </c>
      <c r="B622" s="8" t="s">
        <v>749</v>
      </c>
      <c r="C622" s="8" t="s">
        <v>750</v>
      </c>
      <c r="D622" s="8" t="s">
        <v>16</v>
      </c>
      <c r="E622" s="6" t="s">
        <v>24</v>
      </c>
      <c r="F622" s="6" t="s">
        <v>25</v>
      </c>
      <c r="G622" s="8" t="s">
        <v>751</v>
      </c>
      <c r="H622" s="8" t="s">
        <v>752</v>
      </c>
      <c r="I622" s="4" t="s">
        <v>753</v>
      </c>
      <c r="J622" s="4">
        <v>0.98045521974563599</v>
      </c>
      <c r="K622" s="4" t="s">
        <v>65</v>
      </c>
      <c r="L622" s="4" t="s">
        <v>750</v>
      </c>
      <c r="M622" s="4">
        <v>1</v>
      </c>
    </row>
    <row r="623" spans="1:13" ht="90" customHeight="1" x14ac:dyDescent="0.3">
      <c r="A623" s="8"/>
      <c r="B623" s="7"/>
      <c r="C623" s="7"/>
      <c r="D623" s="7"/>
      <c r="E623" s="7"/>
      <c r="F623" s="7"/>
      <c r="G623" s="7"/>
      <c r="H623" s="7"/>
      <c r="I623" s="1"/>
      <c r="J623" s="1"/>
      <c r="K623" s="1"/>
      <c r="L623" s="1"/>
      <c r="M623" s="1"/>
    </row>
    <row r="624" spans="1:13" ht="90" customHeight="1" x14ac:dyDescent="0.3">
      <c r="A624" s="8"/>
      <c r="B624" s="7"/>
      <c r="C624" s="7"/>
      <c r="D624" s="7"/>
      <c r="E624" s="7"/>
      <c r="F624" s="7"/>
      <c r="G624" s="7"/>
      <c r="H624" s="7"/>
      <c r="I624" s="1"/>
      <c r="J624" s="1"/>
      <c r="K624" s="1"/>
      <c r="L624" s="1"/>
      <c r="M624" s="1"/>
    </row>
    <row r="625" spans="1:13" ht="90" customHeight="1" x14ac:dyDescent="0.3">
      <c r="A625" s="8"/>
      <c r="B625" s="7"/>
      <c r="C625" s="7"/>
      <c r="D625" s="7"/>
      <c r="E625" s="7"/>
      <c r="F625" s="7"/>
      <c r="G625" s="7"/>
      <c r="H625" s="7"/>
      <c r="I625" s="1"/>
      <c r="J625" s="1"/>
      <c r="K625" s="1"/>
      <c r="L625" s="1"/>
      <c r="M625" s="1"/>
    </row>
    <row r="626" spans="1:13" ht="90" customHeight="1" x14ac:dyDescent="0.3">
      <c r="A626" s="8"/>
      <c r="B626" s="7"/>
      <c r="C626" s="7"/>
      <c r="D626" s="7"/>
      <c r="E626" s="7"/>
      <c r="F626" s="7"/>
      <c r="G626" s="7"/>
      <c r="H626" s="7"/>
      <c r="I626" s="1"/>
      <c r="J626" s="1"/>
      <c r="K626" s="1"/>
      <c r="L626" s="1"/>
      <c r="M626" s="1"/>
    </row>
    <row r="627" spans="1:13" ht="90" customHeight="1" x14ac:dyDescent="0.3">
      <c r="A627" s="8">
        <v>222</v>
      </c>
      <c r="B627" s="8" t="s">
        <v>754</v>
      </c>
      <c r="C627" s="8" t="s">
        <v>755</v>
      </c>
      <c r="D627" s="8" t="s">
        <v>756</v>
      </c>
      <c r="E627" s="6" t="s">
        <v>24</v>
      </c>
      <c r="F627" s="6" t="s">
        <v>25</v>
      </c>
      <c r="G627" s="8" t="s">
        <v>757</v>
      </c>
      <c r="H627" s="8" t="s">
        <v>758</v>
      </c>
      <c r="I627" s="4" t="s">
        <v>759</v>
      </c>
      <c r="J627" s="4">
        <v>0.91895568370819092</v>
      </c>
      <c r="K627" s="4" t="s">
        <v>29</v>
      </c>
      <c r="L627" s="4" t="s">
        <v>755</v>
      </c>
      <c r="M627" s="4">
        <v>264</v>
      </c>
    </row>
    <row r="628" spans="1:13" ht="90" customHeight="1" x14ac:dyDescent="0.3">
      <c r="A628" s="8"/>
      <c r="B628" s="7"/>
      <c r="C628" s="7"/>
      <c r="D628" s="7"/>
      <c r="E628" s="7"/>
      <c r="F628" s="7"/>
      <c r="G628" s="7"/>
      <c r="H628" s="7"/>
      <c r="I628" s="1"/>
      <c r="J628" s="1"/>
      <c r="K628" s="1"/>
      <c r="L628" s="1"/>
      <c r="M628" s="1"/>
    </row>
    <row r="629" spans="1:13" ht="90" customHeight="1" x14ac:dyDescent="0.3">
      <c r="A629" s="8"/>
      <c r="B629" s="7"/>
      <c r="C629" s="7"/>
      <c r="D629" s="7"/>
      <c r="E629" s="7"/>
      <c r="F629" s="7"/>
      <c r="G629" s="7"/>
      <c r="H629" s="7"/>
      <c r="I629" s="1"/>
      <c r="J629" s="1"/>
      <c r="K629" s="1"/>
      <c r="L629" s="1"/>
      <c r="M629" s="1"/>
    </row>
    <row r="630" spans="1:13" ht="90" customHeight="1" x14ac:dyDescent="0.3">
      <c r="A630" s="8"/>
      <c r="B630" s="7"/>
      <c r="C630" s="7"/>
      <c r="D630" s="7"/>
      <c r="E630" s="7"/>
      <c r="F630" s="7"/>
      <c r="G630" s="7"/>
      <c r="H630" s="7"/>
      <c r="I630" s="1"/>
      <c r="J630" s="1"/>
      <c r="K630" s="1"/>
      <c r="L630" s="1"/>
      <c r="M630" s="1"/>
    </row>
    <row r="631" spans="1:13" ht="90" customHeight="1" x14ac:dyDescent="0.3">
      <c r="A631" s="8"/>
      <c r="B631" s="7"/>
      <c r="C631" s="7"/>
      <c r="D631" s="7"/>
      <c r="E631" s="7"/>
      <c r="F631" s="7"/>
      <c r="G631" s="7"/>
      <c r="H631" s="7"/>
      <c r="I631" s="1"/>
      <c r="J631" s="1"/>
      <c r="K631" s="1"/>
      <c r="L631" s="1"/>
      <c r="M631" s="1"/>
    </row>
    <row r="632" spans="1:13" ht="90" customHeight="1" x14ac:dyDescent="0.3">
      <c r="A632" s="8">
        <v>229</v>
      </c>
      <c r="B632" s="8" t="s">
        <v>760</v>
      </c>
      <c r="C632" s="8" t="s">
        <v>761</v>
      </c>
      <c r="D632" s="8" t="s">
        <v>762</v>
      </c>
      <c r="E632" s="6" t="s">
        <v>24</v>
      </c>
      <c r="F632" s="6" t="s">
        <v>25</v>
      </c>
      <c r="G632" s="8" t="s">
        <v>763</v>
      </c>
      <c r="H632" s="8" t="s">
        <v>764</v>
      </c>
      <c r="I632" s="4" t="s">
        <v>765</v>
      </c>
      <c r="J632" s="4">
        <v>0.99960202724138925</v>
      </c>
      <c r="K632" s="4" t="s">
        <v>29</v>
      </c>
      <c r="L632" s="4" t="s">
        <v>761</v>
      </c>
      <c r="M632" s="4">
        <v>30</v>
      </c>
    </row>
    <row r="633" spans="1:13" ht="90" customHeight="1" x14ac:dyDescent="0.3">
      <c r="A633" s="8"/>
      <c r="B633" s="7"/>
      <c r="C633" s="7"/>
      <c r="D633" s="7"/>
      <c r="E633" s="7"/>
      <c r="F633" s="7"/>
      <c r="G633" s="7"/>
      <c r="H633" s="7"/>
      <c r="I633" s="4" t="s">
        <v>766</v>
      </c>
      <c r="J633" s="4">
        <v>0.99842983477400249</v>
      </c>
      <c r="K633" s="4" t="s">
        <v>29</v>
      </c>
      <c r="L633" s="4" t="s">
        <v>761</v>
      </c>
      <c r="M633" s="4">
        <v>29</v>
      </c>
    </row>
    <row r="634" spans="1:13" ht="90" customHeight="1" x14ac:dyDescent="0.3">
      <c r="A634" s="8"/>
      <c r="B634" s="7"/>
      <c r="C634" s="7"/>
      <c r="D634" s="7"/>
      <c r="E634" s="7"/>
      <c r="F634" s="7"/>
      <c r="G634" s="7"/>
      <c r="H634" s="7"/>
      <c r="I634" s="1" t="s">
        <v>767</v>
      </c>
      <c r="J634" s="1">
        <v>0.84485566616058327</v>
      </c>
      <c r="K634" s="1" t="s">
        <v>29</v>
      </c>
      <c r="L634" s="1" t="s">
        <v>761</v>
      </c>
      <c r="M634" s="1">
        <v>24</v>
      </c>
    </row>
    <row r="635" spans="1:13" ht="90" customHeight="1" x14ac:dyDescent="0.3">
      <c r="A635" s="8"/>
      <c r="B635" s="7"/>
      <c r="C635" s="7"/>
      <c r="D635" s="7"/>
      <c r="E635" s="7"/>
      <c r="F635" s="7"/>
      <c r="G635" s="7"/>
      <c r="H635" s="7"/>
      <c r="I635" s="1"/>
      <c r="J635" s="1"/>
      <c r="K635" s="1"/>
      <c r="L635" s="1"/>
      <c r="M635" s="1"/>
    </row>
    <row r="636" spans="1:13" ht="90" customHeight="1" x14ac:dyDescent="0.3">
      <c r="A636" s="8"/>
      <c r="B636" s="7"/>
      <c r="C636" s="7"/>
      <c r="D636" s="7"/>
      <c r="E636" s="7"/>
      <c r="F636" s="7"/>
      <c r="G636" s="7"/>
      <c r="H636" s="7"/>
      <c r="I636" s="1"/>
      <c r="J636" s="1"/>
      <c r="K636" s="1"/>
      <c r="L636" s="1"/>
      <c r="M636" s="1"/>
    </row>
    <row r="637" spans="1:13" ht="90" customHeight="1" x14ac:dyDescent="0.3">
      <c r="A637" s="8">
        <v>230</v>
      </c>
      <c r="B637" s="8" t="s">
        <v>768</v>
      </c>
      <c r="C637" s="8" t="s">
        <v>515</v>
      </c>
      <c r="D637" s="8" t="s">
        <v>16</v>
      </c>
      <c r="E637" s="6" t="s">
        <v>24</v>
      </c>
      <c r="F637" s="6" t="s">
        <v>25</v>
      </c>
      <c r="G637" s="8" t="s">
        <v>769</v>
      </c>
      <c r="H637" s="8" t="s">
        <v>770</v>
      </c>
      <c r="I637" s="4" t="s">
        <v>771</v>
      </c>
      <c r="J637" s="4">
        <v>0.95089852452237389</v>
      </c>
      <c r="K637" s="4" t="s">
        <v>29</v>
      </c>
      <c r="L637" s="4" t="s">
        <v>515</v>
      </c>
      <c r="M637" s="4">
        <v>1</v>
      </c>
    </row>
    <row r="638" spans="1:13" ht="90" customHeight="1" x14ac:dyDescent="0.3">
      <c r="A638" s="8"/>
      <c r="B638" s="7"/>
      <c r="C638" s="7"/>
      <c r="D638" s="7"/>
      <c r="E638" s="7"/>
      <c r="F638" s="7"/>
      <c r="G638" s="7"/>
      <c r="H638" s="7"/>
      <c r="I638" s="1"/>
      <c r="J638" s="1"/>
      <c r="K638" s="1"/>
      <c r="L638" s="1"/>
      <c r="M638" s="1"/>
    </row>
    <row r="639" spans="1:13" ht="90" customHeight="1" x14ac:dyDescent="0.3">
      <c r="A639" s="8"/>
      <c r="B639" s="7"/>
      <c r="C639" s="7"/>
      <c r="D639" s="7"/>
      <c r="E639" s="7"/>
      <c r="F639" s="7"/>
      <c r="G639" s="7"/>
      <c r="H639" s="7"/>
      <c r="I639" s="1"/>
      <c r="J639" s="1"/>
      <c r="K639" s="1"/>
      <c r="L639" s="1"/>
      <c r="M639" s="1"/>
    </row>
    <row r="640" spans="1:13" ht="90" customHeight="1" x14ac:dyDescent="0.3">
      <c r="A640" s="8"/>
      <c r="B640" s="7"/>
      <c r="C640" s="7"/>
      <c r="D640" s="7"/>
      <c r="E640" s="7"/>
      <c r="F640" s="7"/>
      <c r="G640" s="7"/>
      <c r="H640" s="7"/>
      <c r="I640" s="1"/>
      <c r="J640" s="1"/>
      <c r="K640" s="1"/>
      <c r="L640" s="1"/>
      <c r="M640" s="1"/>
    </row>
    <row r="641" spans="1:13" ht="90" customHeight="1" x14ac:dyDescent="0.3">
      <c r="A641" s="8"/>
      <c r="B641" s="7"/>
      <c r="C641" s="7"/>
      <c r="D641" s="7"/>
      <c r="E641" s="7"/>
      <c r="F641" s="7"/>
      <c r="G641" s="7"/>
      <c r="H641" s="7"/>
      <c r="I641" s="1"/>
      <c r="J641" s="1"/>
      <c r="K641" s="1"/>
      <c r="L641" s="1"/>
      <c r="M641" s="1"/>
    </row>
    <row r="642" spans="1:13" ht="90" customHeight="1" x14ac:dyDescent="0.3">
      <c r="A642" s="8">
        <v>231</v>
      </c>
      <c r="B642" s="8" t="s">
        <v>772</v>
      </c>
      <c r="C642" s="8" t="s">
        <v>480</v>
      </c>
      <c r="D642" s="8" t="s">
        <v>16</v>
      </c>
      <c r="E642" s="6" t="s">
        <v>24</v>
      </c>
      <c r="F642" s="6" t="s">
        <v>25</v>
      </c>
      <c r="G642" s="8" t="s">
        <v>773</v>
      </c>
      <c r="H642" s="8" t="s">
        <v>774</v>
      </c>
      <c r="I642" s="4" t="s">
        <v>483</v>
      </c>
      <c r="J642" s="4">
        <v>0.99518221616744995</v>
      </c>
      <c r="K642" s="4" t="s">
        <v>29</v>
      </c>
      <c r="L642" s="4" t="s">
        <v>480</v>
      </c>
      <c r="M642" s="4">
        <v>1</v>
      </c>
    </row>
    <row r="643" spans="1:13" ht="90" customHeight="1" x14ac:dyDescent="0.3">
      <c r="A643" s="8"/>
      <c r="B643" s="7"/>
      <c r="C643" s="7"/>
      <c r="D643" s="7"/>
      <c r="E643" s="7"/>
      <c r="F643" s="7"/>
      <c r="G643" s="7"/>
      <c r="H643" s="7"/>
      <c r="I643" s="1"/>
      <c r="J643" s="1"/>
      <c r="K643" s="1"/>
      <c r="L643" s="1"/>
      <c r="M643" s="1"/>
    </row>
    <row r="644" spans="1:13" ht="90" customHeight="1" x14ac:dyDescent="0.3">
      <c r="A644" s="8"/>
      <c r="B644" s="7"/>
      <c r="C644" s="7"/>
      <c r="D644" s="7"/>
      <c r="E644" s="7"/>
      <c r="F644" s="7"/>
      <c r="G644" s="7"/>
      <c r="H644" s="7"/>
      <c r="I644" s="1"/>
      <c r="J644" s="1"/>
      <c r="K644" s="1"/>
      <c r="L644" s="1"/>
      <c r="M644" s="1"/>
    </row>
    <row r="645" spans="1:13" ht="90" customHeight="1" x14ac:dyDescent="0.3">
      <c r="A645" s="8"/>
      <c r="B645" s="7"/>
      <c r="C645" s="7"/>
      <c r="D645" s="7"/>
      <c r="E645" s="7"/>
      <c r="F645" s="7"/>
      <c r="G645" s="7"/>
      <c r="H645" s="7"/>
      <c r="I645" s="1"/>
      <c r="J645" s="1"/>
      <c r="K645" s="1"/>
      <c r="L645" s="1"/>
      <c r="M645" s="1"/>
    </row>
    <row r="646" spans="1:13" ht="90" customHeight="1" x14ac:dyDescent="0.3">
      <c r="A646" s="8"/>
      <c r="B646" s="7"/>
      <c r="C646" s="7"/>
      <c r="D646" s="7"/>
      <c r="E646" s="7"/>
      <c r="F646" s="7"/>
      <c r="G646" s="7"/>
      <c r="H646" s="7"/>
      <c r="I646" s="1"/>
      <c r="J646" s="1"/>
      <c r="K646" s="1"/>
      <c r="L646" s="1"/>
      <c r="M646" s="1"/>
    </row>
    <row r="647" spans="1:13" ht="90" customHeight="1" x14ac:dyDescent="0.3">
      <c r="A647" s="8">
        <v>233</v>
      </c>
      <c r="B647" s="8" t="s">
        <v>775</v>
      </c>
      <c r="C647" s="8" t="s">
        <v>314</v>
      </c>
      <c r="D647" s="8" t="s">
        <v>16</v>
      </c>
      <c r="E647" s="6" t="s">
        <v>17</v>
      </c>
      <c r="F647" s="6" t="s">
        <v>18</v>
      </c>
      <c r="G647" s="8" t="s">
        <v>776</v>
      </c>
      <c r="H647" s="8" t="s">
        <v>20</v>
      </c>
      <c r="I647" s="1"/>
      <c r="J647" s="1"/>
      <c r="K647" s="1"/>
      <c r="L647" s="1"/>
      <c r="M647" s="1"/>
    </row>
    <row r="648" spans="1:13" ht="90" customHeight="1" x14ac:dyDescent="0.3">
      <c r="A648" s="8"/>
      <c r="B648" s="7"/>
      <c r="C648" s="7"/>
      <c r="D648" s="7"/>
      <c r="E648" s="7"/>
      <c r="F648" s="7"/>
      <c r="G648" s="7"/>
      <c r="H648" s="7"/>
      <c r="I648" s="1"/>
      <c r="J648" s="1"/>
      <c r="K648" s="1"/>
      <c r="L648" s="1"/>
      <c r="M648" s="1"/>
    </row>
    <row r="649" spans="1:13" ht="90" customHeight="1" x14ac:dyDescent="0.3">
      <c r="A649" s="8"/>
      <c r="B649" s="7"/>
      <c r="C649" s="7"/>
      <c r="D649" s="7"/>
      <c r="E649" s="7"/>
      <c r="F649" s="7"/>
      <c r="G649" s="7"/>
      <c r="H649" s="7"/>
      <c r="I649" s="1"/>
      <c r="J649" s="1"/>
      <c r="K649" s="1"/>
      <c r="L649" s="1"/>
      <c r="M649" s="1"/>
    </row>
    <row r="650" spans="1:13" ht="90" customHeight="1" x14ac:dyDescent="0.3">
      <c r="A650" s="8"/>
      <c r="B650" s="7"/>
      <c r="C650" s="7"/>
      <c r="D650" s="7"/>
      <c r="E650" s="7"/>
      <c r="F650" s="7"/>
      <c r="G650" s="7"/>
      <c r="H650" s="7"/>
      <c r="I650" s="1"/>
      <c r="J650" s="1"/>
      <c r="K650" s="1"/>
      <c r="L650" s="1"/>
      <c r="M650" s="1"/>
    </row>
    <row r="651" spans="1:13" ht="90" customHeight="1" x14ac:dyDescent="0.3">
      <c r="A651" s="8"/>
      <c r="B651" s="7"/>
      <c r="C651" s="7"/>
      <c r="D651" s="7"/>
      <c r="E651" s="7"/>
      <c r="F651" s="7"/>
      <c r="G651" s="7"/>
      <c r="H651" s="7"/>
      <c r="I651" s="1"/>
      <c r="J651" s="1"/>
      <c r="K651" s="1"/>
      <c r="L651" s="1"/>
      <c r="M651" s="1"/>
    </row>
    <row r="652" spans="1:13" ht="90" customHeight="1" x14ac:dyDescent="0.3">
      <c r="A652" s="8">
        <v>236</v>
      </c>
      <c r="B652" s="8" t="s">
        <v>777</v>
      </c>
      <c r="C652" s="8" t="s">
        <v>57</v>
      </c>
      <c r="D652" s="8" t="s">
        <v>778</v>
      </c>
      <c r="E652" s="6" t="s">
        <v>24</v>
      </c>
      <c r="F652" s="6" t="s">
        <v>25</v>
      </c>
      <c r="G652" s="8" t="s">
        <v>779</v>
      </c>
      <c r="H652" s="8" t="s">
        <v>780</v>
      </c>
      <c r="I652" s="4" t="s">
        <v>781</v>
      </c>
      <c r="J652" s="4">
        <v>0.99996566772460938</v>
      </c>
      <c r="K652" s="4" t="s">
        <v>29</v>
      </c>
      <c r="L652" s="4" t="s">
        <v>57</v>
      </c>
      <c r="M652" s="4">
        <v>131</v>
      </c>
    </row>
    <row r="653" spans="1:13" ht="90" customHeight="1" x14ac:dyDescent="0.3">
      <c r="A653" s="8"/>
      <c r="B653" s="7"/>
      <c r="C653" s="7"/>
      <c r="D653" s="7"/>
      <c r="E653" s="7"/>
      <c r="F653" s="7"/>
      <c r="G653" s="7"/>
      <c r="H653" s="7"/>
      <c r="I653" s="4" t="s">
        <v>782</v>
      </c>
      <c r="J653" s="4">
        <v>0.99995386600494385</v>
      </c>
      <c r="K653" s="4" t="s">
        <v>29</v>
      </c>
      <c r="L653" s="4" t="s">
        <v>57</v>
      </c>
      <c r="M653" s="4">
        <v>132</v>
      </c>
    </row>
    <row r="654" spans="1:13" ht="90" customHeight="1" x14ac:dyDescent="0.3">
      <c r="A654" s="8"/>
      <c r="B654" s="7"/>
      <c r="C654" s="7"/>
      <c r="D654" s="7"/>
      <c r="E654" s="7"/>
      <c r="F654" s="7"/>
      <c r="G654" s="7"/>
      <c r="H654" s="7"/>
      <c r="I654" s="2" t="s">
        <v>783</v>
      </c>
      <c r="J654" s="2">
        <v>0.95584571361541748</v>
      </c>
      <c r="K654" s="2" t="s">
        <v>29</v>
      </c>
      <c r="L654" s="2" t="s">
        <v>57</v>
      </c>
      <c r="M654" s="2">
        <v>40</v>
      </c>
    </row>
    <row r="655" spans="1:13" ht="90" customHeight="1" x14ac:dyDescent="0.3">
      <c r="A655" s="8"/>
      <c r="B655" s="7"/>
      <c r="C655" s="7"/>
      <c r="D655" s="7"/>
      <c r="E655" s="7"/>
      <c r="F655" s="7"/>
      <c r="G655" s="7"/>
      <c r="H655" s="7"/>
      <c r="I655" s="1"/>
      <c r="J655" s="1"/>
      <c r="K655" s="1"/>
      <c r="L655" s="1"/>
      <c r="M655" s="1"/>
    </row>
    <row r="656" spans="1:13" ht="90" customHeight="1" x14ac:dyDescent="0.3">
      <c r="A656" s="8"/>
      <c r="B656" s="7"/>
      <c r="C656" s="7"/>
      <c r="D656" s="7"/>
      <c r="E656" s="7"/>
      <c r="F656" s="7"/>
      <c r="G656" s="7"/>
      <c r="H656" s="7"/>
      <c r="I656" s="1"/>
      <c r="J656" s="1"/>
      <c r="K656" s="1"/>
      <c r="L656" s="1"/>
      <c r="M656" s="1"/>
    </row>
    <row r="657" spans="1:13" ht="90" customHeight="1" x14ac:dyDescent="0.3">
      <c r="A657" s="8">
        <v>238</v>
      </c>
      <c r="B657" s="8" t="s">
        <v>784</v>
      </c>
      <c r="C657" s="8" t="s">
        <v>293</v>
      </c>
      <c r="D657" s="8" t="s">
        <v>507</v>
      </c>
      <c r="E657" s="6" t="s">
        <v>24</v>
      </c>
      <c r="F657" s="6" t="s">
        <v>25</v>
      </c>
      <c r="G657" s="8" t="s">
        <v>785</v>
      </c>
      <c r="H657" s="8" t="s">
        <v>786</v>
      </c>
      <c r="I657" s="4" t="s">
        <v>510</v>
      </c>
      <c r="J657" s="4">
        <v>0.99970167875289917</v>
      </c>
      <c r="K657" s="4" t="s">
        <v>29</v>
      </c>
      <c r="L657" s="4" t="s">
        <v>293</v>
      </c>
      <c r="M657" s="4">
        <v>2</v>
      </c>
    </row>
    <row r="658" spans="1:13" ht="90" customHeight="1" x14ac:dyDescent="0.3">
      <c r="A658" s="8"/>
      <c r="B658" s="7"/>
      <c r="C658" s="7"/>
      <c r="D658" s="7"/>
      <c r="E658" s="7"/>
      <c r="F658" s="7"/>
      <c r="G658" s="7"/>
      <c r="H658" s="7"/>
      <c r="I658" s="4" t="s">
        <v>389</v>
      </c>
      <c r="J658" s="4">
        <v>0.99775427579879761</v>
      </c>
      <c r="K658" s="4" t="s">
        <v>29</v>
      </c>
      <c r="L658" s="4" t="s">
        <v>293</v>
      </c>
      <c r="M658" s="4">
        <v>3</v>
      </c>
    </row>
    <row r="659" spans="1:13" ht="90" customHeight="1" x14ac:dyDescent="0.3">
      <c r="A659" s="8"/>
      <c r="B659" s="7"/>
      <c r="C659" s="7"/>
      <c r="D659" s="7"/>
      <c r="E659" s="7"/>
      <c r="F659" s="7"/>
      <c r="G659" s="7"/>
      <c r="H659" s="7"/>
      <c r="I659" s="4" t="s">
        <v>296</v>
      </c>
      <c r="J659" s="4">
        <v>0.99764865636825562</v>
      </c>
      <c r="K659" s="4" t="s">
        <v>29</v>
      </c>
      <c r="L659" s="4" t="s">
        <v>293</v>
      </c>
      <c r="M659" s="4">
        <v>4</v>
      </c>
    </row>
    <row r="660" spans="1:13" ht="90" customHeight="1" x14ac:dyDescent="0.3">
      <c r="A660" s="8"/>
      <c r="B660" s="7"/>
      <c r="C660" s="7"/>
      <c r="D660" s="7"/>
      <c r="E660" s="7"/>
      <c r="F660" s="7"/>
      <c r="G660" s="7"/>
      <c r="H660" s="7"/>
      <c r="I660" s="1"/>
      <c r="J660" s="1"/>
      <c r="K660" s="1"/>
      <c r="L660" s="1"/>
      <c r="M660" s="1"/>
    </row>
    <row r="661" spans="1:13" ht="90" customHeight="1" x14ac:dyDescent="0.3">
      <c r="A661" s="8"/>
      <c r="B661" s="7"/>
      <c r="C661" s="7"/>
      <c r="D661" s="7"/>
      <c r="E661" s="7"/>
      <c r="F661" s="7"/>
      <c r="G661" s="7"/>
      <c r="H661" s="7"/>
      <c r="I661" s="1"/>
      <c r="J661" s="1"/>
      <c r="K661" s="1"/>
      <c r="L661" s="1"/>
      <c r="M661" s="1"/>
    </row>
    <row r="662" spans="1:13" ht="90" customHeight="1" x14ac:dyDescent="0.3">
      <c r="A662" s="8">
        <v>239</v>
      </c>
      <c r="B662" s="8" t="s">
        <v>787</v>
      </c>
      <c r="C662" s="8" t="s">
        <v>114</v>
      </c>
      <c r="D662" s="8" t="s">
        <v>235</v>
      </c>
      <c r="E662" s="6" t="s">
        <v>24</v>
      </c>
      <c r="F662" s="6" t="s">
        <v>25</v>
      </c>
      <c r="G662" s="8" t="s">
        <v>788</v>
      </c>
      <c r="H662" s="8" t="s">
        <v>789</v>
      </c>
      <c r="I662" s="4" t="s">
        <v>273</v>
      </c>
      <c r="J662" s="4">
        <v>0.9864729642868042</v>
      </c>
      <c r="K662" s="4" t="s">
        <v>29</v>
      </c>
      <c r="L662" s="4" t="s">
        <v>114</v>
      </c>
      <c r="M662" s="4">
        <v>7</v>
      </c>
    </row>
    <row r="663" spans="1:13" ht="90" customHeight="1" x14ac:dyDescent="0.3">
      <c r="A663" s="8"/>
      <c r="B663" s="7"/>
      <c r="C663" s="7"/>
      <c r="D663" s="7"/>
      <c r="E663" s="7"/>
      <c r="F663" s="7"/>
      <c r="G663" s="7"/>
      <c r="H663" s="7"/>
      <c r="I663" s="1" t="s">
        <v>275</v>
      </c>
      <c r="J663" s="1">
        <v>0.88117557764053345</v>
      </c>
      <c r="K663" s="1" t="s">
        <v>29</v>
      </c>
      <c r="L663" s="1" t="s">
        <v>276</v>
      </c>
      <c r="M663" s="1">
        <v>1</v>
      </c>
    </row>
    <row r="664" spans="1:13" ht="90" customHeight="1" x14ac:dyDescent="0.3">
      <c r="A664" s="8"/>
      <c r="B664" s="7"/>
      <c r="C664" s="7"/>
      <c r="D664" s="7"/>
      <c r="E664" s="7"/>
      <c r="F664" s="7"/>
      <c r="G664" s="7"/>
      <c r="H664" s="7"/>
      <c r="I664" s="1"/>
      <c r="J664" s="1"/>
      <c r="K664" s="1"/>
      <c r="L664" s="1"/>
      <c r="M664" s="1"/>
    </row>
    <row r="665" spans="1:13" ht="90" customHeight="1" x14ac:dyDescent="0.3">
      <c r="A665" s="8"/>
      <c r="B665" s="7"/>
      <c r="C665" s="7"/>
      <c r="D665" s="7"/>
      <c r="E665" s="7"/>
      <c r="F665" s="7"/>
      <c r="G665" s="7"/>
      <c r="H665" s="7"/>
      <c r="I665" s="1"/>
      <c r="J665" s="1"/>
      <c r="K665" s="1"/>
      <c r="L665" s="1"/>
      <c r="M665" s="1"/>
    </row>
    <row r="666" spans="1:13" ht="90" customHeight="1" x14ac:dyDescent="0.3">
      <c r="A666" s="8"/>
      <c r="B666" s="7"/>
      <c r="C666" s="7"/>
      <c r="D666" s="7"/>
      <c r="E666" s="7"/>
      <c r="F666" s="7"/>
      <c r="G666" s="7"/>
      <c r="H666" s="7"/>
      <c r="I666" s="1"/>
      <c r="J666" s="1"/>
      <c r="K666" s="1"/>
      <c r="L666" s="1"/>
      <c r="M666" s="1"/>
    </row>
    <row r="667" spans="1:13" ht="90" customHeight="1" x14ac:dyDescent="0.3">
      <c r="A667" s="8">
        <v>241</v>
      </c>
      <c r="B667" s="8" t="s">
        <v>790</v>
      </c>
      <c r="C667" s="8" t="s">
        <v>791</v>
      </c>
      <c r="D667" s="8" t="s">
        <v>74</v>
      </c>
      <c r="E667" s="6" t="s">
        <v>24</v>
      </c>
      <c r="F667" s="6" t="s">
        <v>25</v>
      </c>
      <c r="G667" s="8" t="s">
        <v>792</v>
      </c>
      <c r="H667" s="8" t="s">
        <v>793</v>
      </c>
      <c r="I667" s="4" t="s">
        <v>794</v>
      </c>
      <c r="J667" s="4">
        <v>0.99998104572295876</v>
      </c>
      <c r="K667" s="4" t="s">
        <v>65</v>
      </c>
      <c r="L667" s="4" t="s">
        <v>791</v>
      </c>
      <c r="M667" s="4">
        <v>4</v>
      </c>
    </row>
    <row r="668" spans="1:13" ht="90" customHeight="1" x14ac:dyDescent="0.3">
      <c r="A668" s="8"/>
      <c r="B668" s="7"/>
      <c r="C668" s="7"/>
      <c r="D668" s="7"/>
      <c r="E668" s="7"/>
      <c r="F668" s="7"/>
      <c r="G668" s="7"/>
      <c r="H668" s="7"/>
      <c r="I668" s="1"/>
      <c r="J668" s="1"/>
      <c r="K668" s="1"/>
      <c r="L668" s="1"/>
      <c r="M668" s="1"/>
    </row>
    <row r="669" spans="1:13" ht="90" customHeight="1" x14ac:dyDescent="0.3">
      <c r="A669" s="8"/>
      <c r="B669" s="7"/>
      <c r="C669" s="7"/>
      <c r="D669" s="7"/>
      <c r="E669" s="7"/>
      <c r="F669" s="7"/>
      <c r="G669" s="7"/>
      <c r="H669" s="7"/>
      <c r="I669" s="1"/>
      <c r="J669" s="1"/>
      <c r="K669" s="1"/>
      <c r="L669" s="1"/>
      <c r="M669" s="1"/>
    </row>
    <row r="670" spans="1:13" ht="90" customHeight="1" x14ac:dyDescent="0.3">
      <c r="A670" s="8"/>
      <c r="B670" s="7"/>
      <c r="C670" s="7"/>
      <c r="D670" s="7"/>
      <c r="E670" s="7"/>
      <c r="F670" s="7"/>
      <c r="G670" s="7"/>
      <c r="H670" s="7"/>
      <c r="I670" s="1"/>
      <c r="J670" s="1"/>
      <c r="K670" s="1"/>
      <c r="L670" s="1"/>
      <c r="M670" s="1"/>
    </row>
    <row r="671" spans="1:13" ht="90" customHeight="1" x14ac:dyDescent="0.3">
      <c r="A671" s="8"/>
      <c r="B671" s="7"/>
      <c r="C671" s="7"/>
      <c r="D671" s="7"/>
      <c r="E671" s="7"/>
      <c r="F671" s="7"/>
      <c r="G671" s="7"/>
      <c r="H671" s="7"/>
      <c r="I671" s="1"/>
      <c r="J671" s="1"/>
      <c r="K671" s="1"/>
      <c r="L671" s="1"/>
      <c r="M671" s="1"/>
    </row>
    <row r="672" spans="1:13" ht="90" customHeight="1" x14ac:dyDescent="0.3">
      <c r="A672" s="8">
        <v>245</v>
      </c>
      <c r="B672" s="8" t="s">
        <v>795</v>
      </c>
      <c r="C672" s="8" t="s">
        <v>240</v>
      </c>
      <c r="D672" s="8" t="s">
        <v>796</v>
      </c>
      <c r="E672" s="6" t="s">
        <v>24</v>
      </c>
      <c r="F672" s="6" t="s">
        <v>25</v>
      </c>
      <c r="G672" s="8" t="s">
        <v>797</v>
      </c>
      <c r="H672" s="8" t="s">
        <v>798</v>
      </c>
      <c r="I672" s="4" t="s">
        <v>799</v>
      </c>
      <c r="J672" s="4">
        <v>0.9997625945468066</v>
      </c>
      <c r="K672" s="4" t="s">
        <v>29</v>
      </c>
      <c r="L672" s="4" t="s">
        <v>240</v>
      </c>
      <c r="M672" s="4">
        <v>23</v>
      </c>
    </row>
    <row r="673" spans="1:13" ht="90" customHeight="1" x14ac:dyDescent="0.3">
      <c r="A673" s="8"/>
      <c r="B673" s="7"/>
      <c r="C673" s="7"/>
      <c r="D673" s="7"/>
      <c r="E673" s="7"/>
      <c r="F673" s="7"/>
      <c r="G673" s="7"/>
      <c r="H673" s="7"/>
      <c r="I673" s="4" t="s">
        <v>800</v>
      </c>
      <c r="J673" s="4">
        <v>0.99958699257590655</v>
      </c>
      <c r="K673" s="4" t="s">
        <v>29</v>
      </c>
      <c r="L673" s="4" t="s">
        <v>240</v>
      </c>
      <c r="M673" s="4">
        <v>19</v>
      </c>
    </row>
    <row r="674" spans="1:13" ht="90" customHeight="1" x14ac:dyDescent="0.3">
      <c r="A674" s="8"/>
      <c r="B674" s="7"/>
      <c r="C674" s="7"/>
      <c r="D674" s="7"/>
      <c r="E674" s="7"/>
      <c r="F674" s="7"/>
      <c r="G674" s="7"/>
      <c r="H674" s="7"/>
      <c r="I674" s="5" t="s">
        <v>801</v>
      </c>
      <c r="J674" s="5">
        <v>0.91680085427785662</v>
      </c>
      <c r="K674" s="5" t="s">
        <v>29</v>
      </c>
      <c r="L674" s="5" t="s">
        <v>240</v>
      </c>
      <c r="M674" s="5">
        <v>20</v>
      </c>
    </row>
    <row r="675" spans="1:13" ht="90" customHeight="1" x14ac:dyDescent="0.3">
      <c r="A675" s="8"/>
      <c r="B675" s="7"/>
      <c r="C675" s="7"/>
      <c r="D675" s="7"/>
      <c r="E675" s="7"/>
      <c r="F675" s="7"/>
      <c r="G675" s="7"/>
      <c r="H675" s="7"/>
      <c r="I675" s="1" t="s">
        <v>802</v>
      </c>
      <c r="J675" s="1">
        <v>0.91529813156853668</v>
      </c>
      <c r="K675" s="1" t="s">
        <v>29</v>
      </c>
      <c r="L675" s="1" t="s">
        <v>240</v>
      </c>
      <c r="M675" s="1">
        <v>80</v>
      </c>
    </row>
    <row r="676" spans="1:13" ht="90" customHeight="1" x14ac:dyDescent="0.3">
      <c r="A676" s="8"/>
      <c r="B676" s="7"/>
      <c r="C676" s="7"/>
      <c r="D676" s="7"/>
      <c r="E676" s="7"/>
      <c r="F676" s="7"/>
      <c r="G676" s="7"/>
      <c r="H676" s="7"/>
      <c r="I676" s="1"/>
      <c r="J676" s="1"/>
      <c r="K676" s="1"/>
      <c r="L676" s="1"/>
      <c r="M676" s="1"/>
    </row>
    <row r="677" spans="1:13" ht="90" customHeight="1" x14ac:dyDescent="0.3">
      <c r="A677" s="8">
        <v>247</v>
      </c>
      <c r="B677" s="8" t="s">
        <v>803</v>
      </c>
      <c r="C677" s="8" t="s">
        <v>401</v>
      </c>
      <c r="D677" s="8" t="s">
        <v>410</v>
      </c>
      <c r="E677" s="6" t="s">
        <v>24</v>
      </c>
      <c r="F677" s="6" t="s">
        <v>25</v>
      </c>
      <c r="G677" s="8" t="s">
        <v>804</v>
      </c>
      <c r="H677" s="8" t="s">
        <v>805</v>
      </c>
      <c r="I677" s="4" t="s">
        <v>413</v>
      </c>
      <c r="J677" s="4">
        <v>0.99999308586120228</v>
      </c>
      <c r="K677" s="4" t="s">
        <v>29</v>
      </c>
      <c r="L677" s="4" t="s">
        <v>401</v>
      </c>
      <c r="M677" s="4">
        <v>36</v>
      </c>
    </row>
    <row r="678" spans="1:13" ht="90" customHeight="1" x14ac:dyDescent="0.3">
      <c r="A678" s="8"/>
      <c r="B678" s="7"/>
      <c r="C678" s="7"/>
      <c r="D678" s="7"/>
      <c r="E678" s="7"/>
      <c r="F678" s="7"/>
      <c r="G678" s="7"/>
      <c r="H678" s="7"/>
      <c r="I678" s="1" t="s">
        <v>407</v>
      </c>
      <c r="J678" s="1">
        <v>0.96128386259078979</v>
      </c>
      <c r="K678" s="1" t="s">
        <v>29</v>
      </c>
      <c r="L678" s="1" t="s">
        <v>408</v>
      </c>
      <c r="M678" s="1">
        <v>22</v>
      </c>
    </row>
    <row r="679" spans="1:13" ht="90" customHeight="1" x14ac:dyDescent="0.3">
      <c r="A679" s="8"/>
      <c r="B679" s="7"/>
      <c r="C679" s="7"/>
      <c r="D679" s="7"/>
      <c r="E679" s="7"/>
      <c r="F679" s="7"/>
      <c r="G679" s="7"/>
      <c r="H679" s="7"/>
      <c r="I679" s="1"/>
      <c r="J679" s="1"/>
      <c r="K679" s="1"/>
      <c r="L679" s="1"/>
      <c r="M679" s="1"/>
    </row>
    <row r="680" spans="1:13" ht="90" customHeight="1" x14ac:dyDescent="0.3">
      <c r="A680" s="8"/>
      <c r="B680" s="7"/>
      <c r="C680" s="7"/>
      <c r="D680" s="7"/>
      <c r="E680" s="7"/>
      <c r="F680" s="7"/>
      <c r="G680" s="7"/>
      <c r="H680" s="7"/>
      <c r="I680" s="1"/>
      <c r="J680" s="1"/>
      <c r="K680" s="1"/>
      <c r="L680" s="1"/>
      <c r="M680" s="1"/>
    </row>
    <row r="681" spans="1:13" ht="90" customHeight="1" x14ac:dyDescent="0.3">
      <c r="A681" s="8"/>
      <c r="B681" s="7"/>
      <c r="C681" s="7"/>
      <c r="D681" s="7"/>
      <c r="E681" s="7"/>
      <c r="F681" s="7"/>
      <c r="G681" s="7"/>
      <c r="H681" s="7"/>
      <c r="I681" s="1"/>
      <c r="J681" s="1"/>
      <c r="K681" s="1"/>
      <c r="L681" s="1"/>
      <c r="M681" s="1"/>
    </row>
    <row r="682" spans="1:13" ht="90" customHeight="1" x14ac:dyDescent="0.3">
      <c r="A682" s="8">
        <v>248</v>
      </c>
      <c r="B682" s="8" t="s">
        <v>806</v>
      </c>
      <c r="C682" s="8" t="s">
        <v>807</v>
      </c>
      <c r="D682" s="8" t="s">
        <v>808</v>
      </c>
      <c r="E682" s="6" t="s">
        <v>17</v>
      </c>
      <c r="F682" s="6" t="s">
        <v>18</v>
      </c>
      <c r="G682" s="8" t="s">
        <v>809</v>
      </c>
      <c r="H682" s="8" t="s">
        <v>810</v>
      </c>
      <c r="I682" s="2" t="s">
        <v>811</v>
      </c>
      <c r="J682" s="2">
        <v>0.99375700950622559</v>
      </c>
      <c r="K682" s="2" t="s">
        <v>29</v>
      </c>
      <c r="L682" s="2" t="s">
        <v>812</v>
      </c>
      <c r="M682" s="2">
        <v>51</v>
      </c>
    </row>
    <row r="683" spans="1:13" ht="90" customHeight="1" x14ac:dyDescent="0.3">
      <c r="A683" s="8"/>
      <c r="B683" s="7"/>
      <c r="C683" s="7"/>
      <c r="D683" s="7"/>
      <c r="E683" s="7"/>
      <c r="F683" s="7"/>
      <c r="G683" s="7"/>
      <c r="H683" s="7"/>
      <c r="I683" s="2" t="s">
        <v>813</v>
      </c>
      <c r="J683" s="2">
        <v>0.95128381252288818</v>
      </c>
      <c r="K683" s="2" t="s">
        <v>29</v>
      </c>
      <c r="L683" s="2" t="s">
        <v>814</v>
      </c>
      <c r="M683" s="2">
        <v>183</v>
      </c>
    </row>
    <row r="684" spans="1:13" ht="90" customHeight="1" x14ac:dyDescent="0.3">
      <c r="A684" s="8"/>
      <c r="B684" s="7"/>
      <c r="C684" s="7"/>
      <c r="D684" s="7"/>
      <c r="E684" s="7"/>
      <c r="F684" s="7"/>
      <c r="G684" s="7"/>
      <c r="H684" s="7"/>
      <c r="I684" s="2" t="s">
        <v>815</v>
      </c>
      <c r="J684" s="2">
        <v>0.94592833518981934</v>
      </c>
      <c r="K684" s="2" t="s">
        <v>29</v>
      </c>
      <c r="L684" s="2" t="s">
        <v>816</v>
      </c>
      <c r="M684" s="2">
        <v>189</v>
      </c>
    </row>
    <row r="685" spans="1:13" ht="90" customHeight="1" x14ac:dyDescent="0.3">
      <c r="A685" s="8"/>
      <c r="B685" s="7"/>
      <c r="C685" s="7"/>
      <c r="D685" s="7"/>
      <c r="E685" s="7"/>
      <c r="F685" s="7"/>
      <c r="G685" s="7"/>
      <c r="H685" s="7"/>
      <c r="I685" s="1" t="s">
        <v>817</v>
      </c>
      <c r="J685" s="1">
        <v>0.94178998470306396</v>
      </c>
      <c r="K685" s="1" t="s">
        <v>29</v>
      </c>
      <c r="L685" s="1" t="s">
        <v>818</v>
      </c>
      <c r="M685" s="1">
        <v>184</v>
      </c>
    </row>
    <row r="686" spans="1:13" ht="90" customHeight="1" x14ac:dyDescent="0.3">
      <c r="A686" s="8"/>
      <c r="B686" s="7"/>
      <c r="C686" s="7"/>
      <c r="D686" s="7"/>
      <c r="E686" s="7"/>
      <c r="F686" s="7"/>
      <c r="G686" s="7"/>
      <c r="H686" s="7"/>
      <c r="I686" s="1" t="s">
        <v>819</v>
      </c>
      <c r="J686" s="1">
        <v>0.93909776210784912</v>
      </c>
      <c r="K686" s="1" t="s">
        <v>29</v>
      </c>
      <c r="L686" s="1" t="s">
        <v>332</v>
      </c>
      <c r="M686" s="1">
        <v>188</v>
      </c>
    </row>
    <row r="687" spans="1:13" ht="90" customHeight="1" x14ac:dyDescent="0.3">
      <c r="A687" s="8">
        <v>250</v>
      </c>
      <c r="B687" s="8" t="s">
        <v>820</v>
      </c>
      <c r="C687" s="8" t="s">
        <v>351</v>
      </c>
      <c r="D687" s="8" t="s">
        <v>124</v>
      </c>
      <c r="E687" s="6" t="s">
        <v>24</v>
      </c>
      <c r="F687" s="6" t="s">
        <v>25</v>
      </c>
      <c r="G687" s="8" t="s">
        <v>821</v>
      </c>
      <c r="H687" s="8" t="s">
        <v>822</v>
      </c>
      <c r="I687" s="4" t="s">
        <v>823</v>
      </c>
      <c r="J687" s="4">
        <v>0.95190709828932274</v>
      </c>
      <c r="K687" s="4" t="s">
        <v>29</v>
      </c>
      <c r="L687" s="4" t="s">
        <v>351</v>
      </c>
      <c r="M687" s="4">
        <v>13</v>
      </c>
    </row>
    <row r="688" spans="1:13" ht="90" customHeight="1" x14ac:dyDescent="0.3">
      <c r="A688" s="8"/>
      <c r="B688" s="7"/>
      <c r="C688" s="7"/>
      <c r="D688" s="7"/>
      <c r="E688" s="7"/>
      <c r="F688" s="7"/>
      <c r="G688" s="7"/>
      <c r="H688" s="7"/>
      <c r="I688" s="1"/>
      <c r="J688" s="1"/>
      <c r="K688" s="1"/>
      <c r="L688" s="1"/>
      <c r="M688" s="1"/>
    </row>
    <row r="689" spans="1:13" ht="90" customHeight="1" x14ac:dyDescent="0.3">
      <c r="A689" s="8"/>
      <c r="B689" s="7"/>
      <c r="C689" s="7"/>
      <c r="D689" s="7"/>
      <c r="E689" s="7"/>
      <c r="F689" s="7"/>
      <c r="G689" s="7"/>
      <c r="H689" s="7"/>
      <c r="I689" s="1"/>
      <c r="J689" s="1"/>
      <c r="K689" s="1"/>
      <c r="L689" s="1"/>
      <c r="M689" s="1"/>
    </row>
    <row r="690" spans="1:13" ht="90" customHeight="1" x14ac:dyDescent="0.3">
      <c r="A690" s="8"/>
      <c r="B690" s="7"/>
      <c r="C690" s="7"/>
      <c r="D690" s="7"/>
      <c r="E690" s="7"/>
      <c r="F690" s="7"/>
      <c r="G690" s="7"/>
      <c r="H690" s="7"/>
      <c r="I690" s="1"/>
      <c r="J690" s="1"/>
      <c r="K690" s="1"/>
      <c r="L690" s="1"/>
      <c r="M690" s="1"/>
    </row>
    <row r="691" spans="1:13" ht="90" customHeight="1" x14ac:dyDescent="0.3">
      <c r="A691" s="8"/>
      <c r="B691" s="7"/>
      <c r="C691" s="7"/>
      <c r="D691" s="7"/>
      <c r="E691" s="7"/>
      <c r="F691" s="7"/>
      <c r="G691" s="7"/>
      <c r="H691" s="7"/>
      <c r="I691" s="1"/>
      <c r="J691" s="1"/>
      <c r="K691" s="1"/>
      <c r="L691" s="1"/>
      <c r="M691" s="1"/>
    </row>
    <row r="692" spans="1:13" ht="90" customHeight="1" x14ac:dyDescent="0.3">
      <c r="A692" s="8">
        <v>251</v>
      </c>
      <c r="B692" s="8" t="s">
        <v>824</v>
      </c>
      <c r="C692" s="8" t="s">
        <v>448</v>
      </c>
      <c r="D692" s="8" t="s">
        <v>825</v>
      </c>
      <c r="E692" s="6" t="s">
        <v>24</v>
      </c>
      <c r="F692" s="6" t="s">
        <v>25</v>
      </c>
      <c r="G692" s="8" t="s">
        <v>826</v>
      </c>
      <c r="H692" s="8" t="s">
        <v>827</v>
      </c>
      <c r="I692" s="4" t="s">
        <v>453</v>
      </c>
      <c r="J692" s="4">
        <v>0.99993515014648438</v>
      </c>
      <c r="K692" s="4" t="s">
        <v>29</v>
      </c>
      <c r="L692" s="4" t="s">
        <v>448</v>
      </c>
      <c r="M692" s="4">
        <v>19</v>
      </c>
    </row>
    <row r="693" spans="1:13" ht="90" customHeight="1" x14ac:dyDescent="0.3">
      <c r="A693" s="8"/>
      <c r="B693" s="7"/>
      <c r="C693" s="7"/>
      <c r="D693" s="7"/>
      <c r="E693" s="7"/>
      <c r="F693" s="7"/>
      <c r="G693" s="7"/>
      <c r="H693" s="7"/>
      <c r="I693" s="4" t="s">
        <v>828</v>
      </c>
      <c r="J693" s="4">
        <v>0.99968957901000977</v>
      </c>
      <c r="K693" s="4" t="s">
        <v>29</v>
      </c>
      <c r="L693" s="4" t="s">
        <v>448</v>
      </c>
      <c r="M693" s="4">
        <v>44</v>
      </c>
    </row>
    <row r="694" spans="1:13" ht="90" customHeight="1" x14ac:dyDescent="0.3">
      <c r="A694" s="8"/>
      <c r="B694" s="7"/>
      <c r="C694" s="7"/>
      <c r="D694" s="7"/>
      <c r="E694" s="7"/>
      <c r="F694" s="7"/>
      <c r="G694" s="7"/>
      <c r="H694" s="7"/>
      <c r="I694" s="1"/>
      <c r="J694" s="1"/>
      <c r="K694" s="1"/>
      <c r="L694" s="1"/>
      <c r="M694" s="1"/>
    </row>
    <row r="695" spans="1:13" ht="90" customHeight="1" x14ac:dyDescent="0.3">
      <c r="A695" s="8"/>
      <c r="B695" s="7"/>
      <c r="C695" s="7"/>
      <c r="D695" s="7"/>
      <c r="E695" s="7"/>
      <c r="F695" s="7"/>
      <c r="G695" s="7"/>
      <c r="H695" s="7"/>
      <c r="I695" s="1"/>
      <c r="J695" s="1"/>
      <c r="K695" s="1"/>
      <c r="L695" s="1"/>
      <c r="M695" s="1"/>
    </row>
    <row r="696" spans="1:13" ht="90" customHeight="1" x14ac:dyDescent="0.3">
      <c r="A696" s="8"/>
      <c r="B696" s="7"/>
      <c r="C696" s="7"/>
      <c r="D696" s="7"/>
      <c r="E696" s="7"/>
      <c r="F696" s="7"/>
      <c r="G696" s="7"/>
      <c r="H696" s="7"/>
      <c r="I696" s="1"/>
      <c r="J696" s="1"/>
      <c r="K696" s="1"/>
      <c r="L696" s="1"/>
      <c r="M696" s="1"/>
    </row>
    <row r="697" spans="1:13" ht="90" customHeight="1" x14ac:dyDescent="0.3">
      <c r="A697" s="8">
        <v>252</v>
      </c>
      <c r="B697" s="8" t="s">
        <v>829</v>
      </c>
      <c r="C697" s="8" t="s">
        <v>830</v>
      </c>
      <c r="D697" s="8" t="s">
        <v>831</v>
      </c>
      <c r="E697" s="6" t="s">
        <v>24</v>
      </c>
      <c r="F697" s="6" t="s">
        <v>25</v>
      </c>
      <c r="G697" s="8" t="s">
        <v>832</v>
      </c>
      <c r="H697" s="8" t="s">
        <v>833</v>
      </c>
      <c r="I697" s="4" t="s">
        <v>834</v>
      </c>
      <c r="J697" s="4">
        <v>0.9927554726600647</v>
      </c>
      <c r="K697" s="4" t="s">
        <v>65</v>
      </c>
      <c r="L697" s="4" t="s">
        <v>830</v>
      </c>
      <c r="M697" s="4">
        <v>4</v>
      </c>
    </row>
    <row r="698" spans="1:13" ht="90" customHeight="1" x14ac:dyDescent="0.3">
      <c r="A698" s="8"/>
      <c r="B698" s="7"/>
      <c r="C698" s="7"/>
      <c r="D698" s="7"/>
      <c r="E698" s="7"/>
      <c r="F698" s="7"/>
      <c r="G698" s="7"/>
      <c r="H698" s="7"/>
      <c r="I698" s="5" t="s">
        <v>835</v>
      </c>
      <c r="J698" s="5">
        <v>0.99216777086232688</v>
      </c>
      <c r="K698" s="5" t="s">
        <v>65</v>
      </c>
      <c r="L698" s="5" t="s">
        <v>830</v>
      </c>
      <c r="M698" s="5">
        <v>5</v>
      </c>
    </row>
    <row r="699" spans="1:13" ht="90" customHeight="1" x14ac:dyDescent="0.3">
      <c r="A699" s="8"/>
      <c r="B699" s="7"/>
      <c r="C699" s="7"/>
      <c r="D699" s="7"/>
      <c r="E699" s="7"/>
      <c r="F699" s="7"/>
      <c r="G699" s="7"/>
      <c r="H699" s="7"/>
      <c r="I699" s="1"/>
      <c r="J699" s="1"/>
      <c r="K699" s="1"/>
      <c r="L699" s="1"/>
      <c r="M699" s="1"/>
    </row>
    <row r="700" spans="1:13" ht="90" customHeight="1" x14ac:dyDescent="0.3">
      <c r="A700" s="8"/>
      <c r="B700" s="7"/>
      <c r="C700" s="7"/>
      <c r="D700" s="7"/>
      <c r="E700" s="7"/>
      <c r="F700" s="7"/>
      <c r="G700" s="7"/>
      <c r="H700" s="7"/>
      <c r="I700" s="1"/>
      <c r="J700" s="1"/>
      <c r="K700" s="1"/>
      <c r="L700" s="1"/>
      <c r="M700" s="1"/>
    </row>
    <row r="701" spans="1:13" ht="90" customHeight="1" x14ac:dyDescent="0.3">
      <c r="A701" s="8"/>
      <c r="B701" s="7"/>
      <c r="C701" s="7"/>
      <c r="D701" s="7"/>
      <c r="E701" s="7"/>
      <c r="F701" s="7"/>
      <c r="G701" s="7"/>
      <c r="H701" s="7"/>
      <c r="I701" s="1"/>
      <c r="J701" s="1"/>
      <c r="K701" s="1"/>
      <c r="L701" s="1"/>
      <c r="M701" s="1"/>
    </row>
    <row r="702" spans="1:13" ht="90" customHeight="1" x14ac:dyDescent="0.3">
      <c r="A702" s="8">
        <v>253</v>
      </c>
      <c r="B702" s="8" t="s">
        <v>836</v>
      </c>
      <c r="C702" s="8" t="s">
        <v>43</v>
      </c>
      <c r="D702" s="8" t="s">
        <v>44</v>
      </c>
      <c r="E702" s="6" t="s">
        <v>24</v>
      </c>
      <c r="F702" s="6" t="s">
        <v>25</v>
      </c>
      <c r="G702" s="8" t="s">
        <v>837</v>
      </c>
      <c r="H702" s="8" t="s">
        <v>838</v>
      </c>
      <c r="I702" s="4" t="s">
        <v>47</v>
      </c>
      <c r="J702" s="4">
        <v>0.78545211508632895</v>
      </c>
      <c r="K702" s="4" t="s">
        <v>29</v>
      </c>
      <c r="L702" s="4" t="s">
        <v>43</v>
      </c>
      <c r="M702" s="4">
        <v>3</v>
      </c>
    </row>
    <row r="703" spans="1:13" ht="90" customHeight="1" x14ac:dyDescent="0.3">
      <c r="A703" s="8"/>
      <c r="B703" s="7"/>
      <c r="C703" s="7"/>
      <c r="D703" s="7"/>
      <c r="E703" s="7"/>
      <c r="F703" s="7"/>
      <c r="G703" s="7"/>
      <c r="H703" s="7"/>
      <c r="I703" s="4" t="s">
        <v>48</v>
      </c>
      <c r="J703" s="4">
        <v>0.77866440435937367</v>
      </c>
      <c r="K703" s="4" t="s">
        <v>29</v>
      </c>
      <c r="L703" s="4" t="s">
        <v>43</v>
      </c>
      <c r="M703" s="4">
        <v>1</v>
      </c>
    </row>
    <row r="704" spans="1:13" ht="90" customHeight="1" x14ac:dyDescent="0.3">
      <c r="A704" s="8"/>
      <c r="B704" s="7"/>
      <c r="C704" s="7"/>
      <c r="D704" s="7"/>
      <c r="E704" s="7"/>
      <c r="F704" s="7"/>
      <c r="G704" s="7"/>
      <c r="H704" s="7"/>
      <c r="I704" s="4" t="s">
        <v>49</v>
      </c>
      <c r="J704" s="4">
        <v>0.72140690755942172</v>
      </c>
      <c r="K704" s="4" t="s">
        <v>29</v>
      </c>
      <c r="L704" s="4" t="s">
        <v>43</v>
      </c>
      <c r="M704" s="4">
        <v>2</v>
      </c>
    </row>
    <row r="705" spans="1:13" ht="90" customHeight="1" x14ac:dyDescent="0.3">
      <c r="A705" s="8"/>
      <c r="B705" s="7"/>
      <c r="C705" s="7"/>
      <c r="D705" s="7"/>
      <c r="E705" s="7"/>
      <c r="F705" s="7"/>
      <c r="G705" s="7"/>
      <c r="H705" s="7"/>
      <c r="I705" s="1"/>
      <c r="J705" s="1"/>
      <c r="K705" s="1"/>
      <c r="L705" s="1"/>
      <c r="M705" s="1"/>
    </row>
    <row r="706" spans="1:13" ht="90" customHeight="1" x14ac:dyDescent="0.3">
      <c r="A706" s="8"/>
      <c r="B706" s="7"/>
      <c r="C706" s="7"/>
      <c r="D706" s="7"/>
      <c r="E706" s="7"/>
      <c r="F706" s="7"/>
      <c r="G706" s="7"/>
      <c r="H706" s="7"/>
      <c r="I706" s="1"/>
      <c r="J706" s="1"/>
      <c r="K706" s="1"/>
      <c r="L706" s="1"/>
      <c r="M706" s="1"/>
    </row>
    <row r="707" spans="1:13" ht="90" customHeight="1" x14ac:dyDescent="0.3">
      <c r="A707" s="8">
        <v>254</v>
      </c>
      <c r="B707" s="8" t="s">
        <v>839</v>
      </c>
      <c r="C707" s="8" t="s">
        <v>480</v>
      </c>
      <c r="D707" s="8" t="s">
        <v>16</v>
      </c>
      <c r="E707" s="6" t="s">
        <v>24</v>
      </c>
      <c r="F707" s="6" t="s">
        <v>25</v>
      </c>
      <c r="G707" s="8" t="s">
        <v>840</v>
      </c>
      <c r="H707" s="8" t="s">
        <v>841</v>
      </c>
      <c r="I707" s="4" t="s">
        <v>483</v>
      </c>
      <c r="J707" s="4">
        <v>0.99948799610137939</v>
      </c>
      <c r="K707" s="4" t="s">
        <v>29</v>
      </c>
      <c r="L707" s="4" t="s">
        <v>480</v>
      </c>
      <c r="M707" s="4">
        <v>1</v>
      </c>
    </row>
    <row r="708" spans="1:13" ht="90" customHeight="1" x14ac:dyDescent="0.3">
      <c r="A708" s="8"/>
      <c r="B708" s="7"/>
      <c r="C708" s="7"/>
      <c r="D708" s="7"/>
      <c r="E708" s="7"/>
      <c r="F708" s="7"/>
      <c r="G708" s="7"/>
      <c r="H708" s="7"/>
      <c r="I708" s="1"/>
      <c r="J708" s="1"/>
      <c r="K708" s="1"/>
      <c r="L708" s="1"/>
      <c r="M708" s="1"/>
    </row>
    <row r="709" spans="1:13" ht="90" customHeight="1" x14ac:dyDescent="0.3">
      <c r="A709" s="8"/>
      <c r="B709" s="7"/>
      <c r="C709" s="7"/>
      <c r="D709" s="7"/>
      <c r="E709" s="7"/>
      <c r="F709" s="7"/>
      <c r="G709" s="7"/>
      <c r="H709" s="7"/>
      <c r="I709" s="1"/>
      <c r="J709" s="1"/>
      <c r="K709" s="1"/>
      <c r="L709" s="1"/>
      <c r="M709" s="1"/>
    </row>
    <row r="710" spans="1:13" ht="90" customHeight="1" x14ac:dyDescent="0.3">
      <c r="A710" s="8"/>
      <c r="B710" s="7"/>
      <c r="C710" s="7"/>
      <c r="D710" s="7"/>
      <c r="E710" s="7"/>
      <c r="F710" s="7"/>
      <c r="G710" s="7"/>
      <c r="H710" s="7"/>
      <c r="I710" s="1"/>
      <c r="J710" s="1"/>
      <c r="K710" s="1"/>
      <c r="L710" s="1"/>
      <c r="M710" s="1"/>
    </row>
    <row r="711" spans="1:13" ht="90" customHeight="1" x14ac:dyDescent="0.3">
      <c r="A711" s="8"/>
      <c r="B711" s="7"/>
      <c r="C711" s="7"/>
      <c r="D711" s="7"/>
      <c r="E711" s="7"/>
      <c r="F711" s="7"/>
      <c r="G711" s="7"/>
      <c r="H711" s="7"/>
      <c r="I711" s="1"/>
      <c r="J711" s="1"/>
      <c r="K711" s="1"/>
      <c r="L711" s="1"/>
      <c r="M711" s="1"/>
    </row>
    <row r="712" spans="1:13" ht="90" customHeight="1" x14ac:dyDescent="0.3">
      <c r="A712" s="8">
        <v>255</v>
      </c>
      <c r="B712" s="8" t="s">
        <v>842</v>
      </c>
      <c r="C712" s="8" t="s">
        <v>130</v>
      </c>
      <c r="D712" s="8" t="s">
        <v>843</v>
      </c>
      <c r="E712" s="6" t="s">
        <v>24</v>
      </c>
      <c r="F712" s="6" t="s">
        <v>25</v>
      </c>
      <c r="G712" s="8" t="s">
        <v>844</v>
      </c>
      <c r="H712" s="8" t="s">
        <v>845</v>
      </c>
      <c r="I712" s="4" t="s">
        <v>846</v>
      </c>
      <c r="J712" s="4">
        <v>0.99414741992950439</v>
      </c>
      <c r="K712" s="4" t="s">
        <v>29</v>
      </c>
      <c r="L712" s="4" t="s">
        <v>130</v>
      </c>
      <c r="M712" s="4">
        <v>604</v>
      </c>
    </row>
    <row r="713" spans="1:13" ht="90" customHeight="1" x14ac:dyDescent="0.3">
      <c r="A713" s="8"/>
      <c r="B713" s="7"/>
      <c r="C713" s="7"/>
      <c r="D713" s="7"/>
      <c r="E713" s="7"/>
      <c r="F713" s="7"/>
      <c r="G713" s="7"/>
      <c r="H713" s="7"/>
      <c r="I713" s="4" t="s">
        <v>847</v>
      </c>
      <c r="J713" s="4">
        <v>0.92564594745635986</v>
      </c>
      <c r="K713" s="4" t="s">
        <v>29</v>
      </c>
      <c r="L713" s="4" t="s">
        <v>130</v>
      </c>
      <c r="M713" s="4">
        <v>605</v>
      </c>
    </row>
    <row r="714" spans="1:13" ht="90" customHeight="1" x14ac:dyDescent="0.3">
      <c r="A714" s="8"/>
      <c r="B714" s="7"/>
      <c r="C714" s="7"/>
      <c r="D714" s="7"/>
      <c r="E714" s="7"/>
      <c r="F714" s="7"/>
      <c r="G714" s="7"/>
      <c r="H714" s="7"/>
      <c r="I714" s="2" t="s">
        <v>848</v>
      </c>
      <c r="J714" s="2">
        <v>0.80659550428390503</v>
      </c>
      <c r="K714" s="2" t="s">
        <v>29</v>
      </c>
      <c r="L714" s="2" t="s">
        <v>304</v>
      </c>
      <c r="M714" s="2">
        <v>22</v>
      </c>
    </row>
    <row r="715" spans="1:13" ht="90" customHeight="1" x14ac:dyDescent="0.3">
      <c r="A715" s="8"/>
      <c r="B715" s="7"/>
      <c r="C715" s="7"/>
      <c r="D715" s="7"/>
      <c r="E715" s="7"/>
      <c r="F715" s="7"/>
      <c r="G715" s="7"/>
      <c r="H715" s="7"/>
      <c r="I715" s="1"/>
      <c r="J715" s="1"/>
      <c r="K715" s="1"/>
      <c r="L715" s="1"/>
      <c r="M715" s="1"/>
    </row>
    <row r="716" spans="1:13" ht="90" customHeight="1" x14ac:dyDescent="0.3">
      <c r="A716" s="8"/>
      <c r="B716" s="7"/>
      <c r="C716" s="7"/>
      <c r="D716" s="7"/>
      <c r="E716" s="7"/>
      <c r="F716" s="7"/>
      <c r="G716" s="7"/>
      <c r="H716" s="7"/>
      <c r="I716" s="1"/>
      <c r="J716" s="1"/>
      <c r="K716" s="1"/>
      <c r="L716" s="1"/>
      <c r="M716" s="1"/>
    </row>
    <row r="717" spans="1:13" ht="90" customHeight="1" x14ac:dyDescent="0.3">
      <c r="A717" s="8">
        <v>256</v>
      </c>
      <c r="B717" s="8" t="s">
        <v>849</v>
      </c>
      <c r="C717" s="8" t="s">
        <v>22</v>
      </c>
      <c r="D717" s="8" t="s">
        <v>1178</v>
      </c>
      <c r="E717" s="6" t="s">
        <v>1174</v>
      </c>
      <c r="F717" s="6" t="s">
        <v>1175</v>
      </c>
      <c r="G717" s="8" t="s">
        <v>851</v>
      </c>
      <c r="H717" s="8" t="s">
        <v>852</v>
      </c>
      <c r="I717" s="4" t="s">
        <v>853</v>
      </c>
      <c r="J717" s="4">
        <v>0.99986851215362549</v>
      </c>
      <c r="K717" s="4" t="s">
        <v>29</v>
      </c>
      <c r="L717" s="4" t="s">
        <v>22</v>
      </c>
      <c r="M717" s="4">
        <v>25</v>
      </c>
    </row>
    <row r="718" spans="1:13" ht="90" customHeight="1" x14ac:dyDescent="0.3">
      <c r="A718" s="8"/>
      <c r="B718" s="7"/>
      <c r="C718" s="7"/>
      <c r="D718" s="7"/>
      <c r="E718" s="7"/>
      <c r="F718" s="7"/>
      <c r="G718" s="7"/>
      <c r="H718" s="7"/>
      <c r="I718" s="4" t="s">
        <v>854</v>
      </c>
      <c r="J718" s="4">
        <v>0.99984681606292725</v>
      </c>
      <c r="K718" s="4" t="s">
        <v>29</v>
      </c>
      <c r="L718" s="4" t="s">
        <v>22</v>
      </c>
      <c r="M718" s="4">
        <v>24</v>
      </c>
    </row>
    <row r="719" spans="1:13" ht="90" customHeight="1" x14ac:dyDescent="0.3">
      <c r="A719" s="8"/>
      <c r="B719" s="7"/>
      <c r="C719" s="7"/>
      <c r="D719" s="7"/>
      <c r="E719" s="7"/>
      <c r="F719" s="7"/>
      <c r="G719" s="7"/>
      <c r="H719" s="7"/>
      <c r="I719" s="4" t="s">
        <v>855</v>
      </c>
      <c r="J719" s="4">
        <v>0.99979156255722046</v>
      </c>
      <c r="K719" s="4" t="s">
        <v>29</v>
      </c>
      <c r="L719" s="4" t="s">
        <v>22</v>
      </c>
      <c r="M719" s="4">
        <v>23</v>
      </c>
    </row>
    <row r="720" spans="1:13" ht="90" customHeight="1" x14ac:dyDescent="0.3">
      <c r="A720" s="8"/>
      <c r="B720" s="7"/>
      <c r="C720" s="7"/>
      <c r="D720" s="7"/>
      <c r="E720" s="7"/>
      <c r="F720" s="7"/>
      <c r="G720" s="7"/>
      <c r="H720" s="7"/>
      <c r="I720" s="5" t="s">
        <v>856</v>
      </c>
      <c r="J720" s="5">
        <v>0.99940133094787598</v>
      </c>
      <c r="K720" s="5" t="s">
        <v>29</v>
      </c>
      <c r="L720" s="5" t="s">
        <v>22</v>
      </c>
      <c r="M720" s="5">
        <v>22</v>
      </c>
    </row>
    <row r="721" spans="1:13" ht="90" customHeight="1" x14ac:dyDescent="0.3">
      <c r="A721" s="8"/>
      <c r="B721" s="7"/>
      <c r="C721" s="7"/>
      <c r="D721" s="7"/>
      <c r="E721" s="7"/>
      <c r="F721" s="7"/>
      <c r="G721" s="7"/>
      <c r="H721" s="7"/>
      <c r="I721" s="1"/>
      <c r="J721" s="1"/>
      <c r="K721" s="1"/>
      <c r="L721" s="1"/>
      <c r="M721" s="1"/>
    </row>
    <row r="722" spans="1:13" ht="90" customHeight="1" x14ac:dyDescent="0.3">
      <c r="A722" s="8">
        <v>259</v>
      </c>
      <c r="B722" s="8" t="s">
        <v>857</v>
      </c>
      <c r="C722" s="8" t="s">
        <v>858</v>
      </c>
      <c r="D722" s="8" t="s">
        <v>471</v>
      </c>
      <c r="E722" s="6" t="s">
        <v>24</v>
      </c>
      <c r="F722" s="6" t="s">
        <v>25</v>
      </c>
      <c r="G722" s="8" t="s">
        <v>859</v>
      </c>
      <c r="H722" s="8" t="s">
        <v>860</v>
      </c>
      <c r="I722" s="4" t="s">
        <v>861</v>
      </c>
      <c r="J722" s="4">
        <v>0.99999523162841797</v>
      </c>
      <c r="K722" s="4" t="s">
        <v>29</v>
      </c>
      <c r="L722" s="4" t="s">
        <v>858</v>
      </c>
      <c r="M722" s="4">
        <v>2</v>
      </c>
    </row>
    <row r="723" spans="1:13" ht="90" customHeight="1" x14ac:dyDescent="0.3">
      <c r="A723" s="8"/>
      <c r="B723" s="7"/>
      <c r="C723" s="7"/>
      <c r="D723" s="7"/>
      <c r="E723" s="7"/>
      <c r="F723" s="7"/>
      <c r="G723" s="7"/>
      <c r="H723" s="7"/>
      <c r="I723" s="4" t="s">
        <v>862</v>
      </c>
      <c r="J723" s="4">
        <v>0.99997663497924805</v>
      </c>
      <c r="K723" s="4" t="s">
        <v>29</v>
      </c>
      <c r="L723" s="4" t="s">
        <v>858</v>
      </c>
      <c r="M723" s="4">
        <v>1</v>
      </c>
    </row>
    <row r="724" spans="1:13" ht="90" customHeight="1" x14ac:dyDescent="0.3">
      <c r="A724" s="8"/>
      <c r="B724" s="7"/>
      <c r="C724" s="7"/>
      <c r="D724" s="7"/>
      <c r="E724" s="7"/>
      <c r="F724" s="7"/>
      <c r="G724" s="7"/>
      <c r="H724" s="7"/>
      <c r="I724" s="1" t="s">
        <v>863</v>
      </c>
      <c r="J724" s="1">
        <v>0.88891726732254028</v>
      </c>
      <c r="K724" s="1" t="s">
        <v>29</v>
      </c>
      <c r="L724" s="1" t="s">
        <v>755</v>
      </c>
      <c r="M724" s="1">
        <v>47</v>
      </c>
    </row>
    <row r="725" spans="1:13" ht="90" customHeight="1" x14ac:dyDescent="0.3">
      <c r="A725" s="8"/>
      <c r="B725" s="7"/>
      <c r="C725" s="7"/>
      <c r="D725" s="7"/>
      <c r="E725" s="7"/>
      <c r="F725" s="7"/>
      <c r="G725" s="7"/>
      <c r="H725" s="7"/>
      <c r="I725" s="1" t="s">
        <v>864</v>
      </c>
      <c r="J725" s="1">
        <v>0.75592851638793945</v>
      </c>
      <c r="K725" s="1" t="s">
        <v>29</v>
      </c>
      <c r="L725" s="1" t="s">
        <v>755</v>
      </c>
      <c r="M725" s="1">
        <v>185</v>
      </c>
    </row>
    <row r="726" spans="1:13" ht="90" customHeight="1" x14ac:dyDescent="0.3">
      <c r="A726" s="8"/>
      <c r="B726" s="7"/>
      <c r="C726" s="7"/>
      <c r="D726" s="7"/>
      <c r="E726" s="7"/>
      <c r="F726" s="7"/>
      <c r="G726" s="7"/>
      <c r="H726" s="7"/>
      <c r="I726" s="1"/>
      <c r="J726" s="1"/>
      <c r="K726" s="1"/>
      <c r="L726" s="1"/>
      <c r="M726" s="1"/>
    </row>
    <row r="727" spans="1:13" ht="90" customHeight="1" x14ac:dyDescent="0.3">
      <c r="A727" s="8">
        <v>260</v>
      </c>
      <c r="B727" s="8" t="s">
        <v>865</v>
      </c>
      <c r="C727" s="8" t="s">
        <v>73</v>
      </c>
      <c r="D727" s="8" t="s">
        <v>109</v>
      </c>
      <c r="E727" s="6" t="s">
        <v>24</v>
      </c>
      <c r="F727" s="6" t="s">
        <v>25</v>
      </c>
      <c r="G727" s="8" t="s">
        <v>866</v>
      </c>
      <c r="H727" s="8" t="s">
        <v>867</v>
      </c>
      <c r="I727" s="4" t="s">
        <v>266</v>
      </c>
      <c r="J727" s="4">
        <v>0.9998551607131958</v>
      </c>
      <c r="K727" s="4" t="s">
        <v>29</v>
      </c>
      <c r="L727" s="4" t="s">
        <v>73</v>
      </c>
      <c r="M727" s="4">
        <v>2</v>
      </c>
    </row>
    <row r="728" spans="1:13" ht="90" customHeight="1" x14ac:dyDescent="0.3">
      <c r="A728" s="8"/>
      <c r="B728" s="7"/>
      <c r="C728" s="7"/>
      <c r="D728" s="7"/>
      <c r="E728" s="7"/>
      <c r="F728" s="7"/>
      <c r="G728" s="7"/>
      <c r="H728" s="7"/>
      <c r="I728" s="1"/>
      <c r="J728" s="1"/>
      <c r="K728" s="1"/>
      <c r="L728" s="1"/>
      <c r="M728" s="1"/>
    </row>
    <row r="729" spans="1:13" ht="90" customHeight="1" x14ac:dyDescent="0.3">
      <c r="A729" s="8"/>
      <c r="B729" s="7"/>
      <c r="C729" s="7"/>
      <c r="D729" s="7"/>
      <c r="E729" s="7"/>
      <c r="F729" s="7"/>
      <c r="G729" s="7"/>
      <c r="H729" s="7"/>
      <c r="I729" s="1"/>
      <c r="J729" s="1"/>
      <c r="K729" s="1"/>
      <c r="L729" s="1"/>
      <c r="M729" s="1"/>
    </row>
    <row r="730" spans="1:13" ht="90" customHeight="1" x14ac:dyDescent="0.3">
      <c r="A730" s="8"/>
      <c r="B730" s="7"/>
      <c r="C730" s="7"/>
      <c r="D730" s="7"/>
      <c r="E730" s="7"/>
      <c r="F730" s="7"/>
      <c r="G730" s="7"/>
      <c r="H730" s="7"/>
      <c r="I730" s="1"/>
      <c r="J730" s="1"/>
      <c r="K730" s="1"/>
      <c r="L730" s="1"/>
      <c r="M730" s="1"/>
    </row>
    <row r="731" spans="1:13" ht="90" customHeight="1" x14ac:dyDescent="0.3">
      <c r="A731" s="8"/>
      <c r="B731" s="7"/>
      <c r="C731" s="7"/>
      <c r="D731" s="7"/>
      <c r="E731" s="7"/>
      <c r="F731" s="7"/>
      <c r="G731" s="7"/>
      <c r="H731" s="7"/>
      <c r="I731" s="1"/>
      <c r="J731" s="1"/>
      <c r="K731" s="1"/>
      <c r="L731" s="1"/>
      <c r="M731" s="1"/>
    </row>
    <row r="732" spans="1:13" ht="90" customHeight="1" x14ac:dyDescent="0.3">
      <c r="A732" s="8">
        <v>262</v>
      </c>
      <c r="B732" s="8" t="s">
        <v>868</v>
      </c>
      <c r="C732" s="8" t="s">
        <v>515</v>
      </c>
      <c r="D732" s="8" t="s">
        <v>16</v>
      </c>
      <c r="E732" s="6" t="s">
        <v>24</v>
      </c>
      <c r="F732" s="6" t="s">
        <v>25</v>
      </c>
      <c r="G732" s="8" t="s">
        <v>869</v>
      </c>
      <c r="H732" s="8" t="s">
        <v>870</v>
      </c>
      <c r="I732" s="4" t="s">
        <v>662</v>
      </c>
      <c r="J732" s="4">
        <v>0.99955028295516968</v>
      </c>
      <c r="K732" s="4" t="s">
        <v>29</v>
      </c>
      <c r="L732" s="4" t="s">
        <v>515</v>
      </c>
      <c r="M732" s="4">
        <v>1</v>
      </c>
    </row>
    <row r="733" spans="1:13" ht="90" customHeight="1" x14ac:dyDescent="0.3">
      <c r="A733" s="8"/>
      <c r="B733" s="7"/>
      <c r="C733" s="7"/>
      <c r="D733" s="7"/>
      <c r="E733" s="7"/>
      <c r="F733" s="7"/>
      <c r="G733" s="7"/>
      <c r="H733" s="7"/>
      <c r="I733" s="1"/>
      <c r="J733" s="1"/>
      <c r="K733" s="1"/>
      <c r="L733" s="1"/>
      <c r="M733" s="1"/>
    </row>
    <row r="734" spans="1:13" ht="90" customHeight="1" x14ac:dyDescent="0.3">
      <c r="A734" s="8"/>
      <c r="B734" s="7"/>
      <c r="C734" s="7"/>
      <c r="D734" s="7"/>
      <c r="E734" s="7"/>
      <c r="F734" s="7"/>
      <c r="G734" s="7"/>
      <c r="H734" s="7"/>
      <c r="I734" s="1"/>
      <c r="J734" s="1"/>
      <c r="K734" s="1"/>
      <c r="L734" s="1"/>
      <c r="M734" s="1"/>
    </row>
    <row r="735" spans="1:13" ht="90" customHeight="1" x14ac:dyDescent="0.3">
      <c r="A735" s="8"/>
      <c r="B735" s="7"/>
      <c r="C735" s="7"/>
      <c r="D735" s="7"/>
      <c r="E735" s="7"/>
      <c r="F735" s="7"/>
      <c r="G735" s="7"/>
      <c r="H735" s="7"/>
      <c r="I735" s="1"/>
      <c r="J735" s="1"/>
      <c r="K735" s="1"/>
      <c r="L735" s="1"/>
      <c r="M735" s="1"/>
    </row>
    <row r="736" spans="1:13" ht="90" customHeight="1" x14ac:dyDescent="0.3">
      <c r="A736" s="8"/>
      <c r="B736" s="7"/>
      <c r="C736" s="7"/>
      <c r="D736" s="7"/>
      <c r="E736" s="7"/>
      <c r="F736" s="7"/>
      <c r="G736" s="7"/>
      <c r="H736" s="7"/>
      <c r="I736" s="1"/>
      <c r="J736" s="1"/>
      <c r="K736" s="1"/>
      <c r="L736" s="1"/>
      <c r="M736" s="1"/>
    </row>
    <row r="737" spans="1:13" ht="90" customHeight="1" x14ac:dyDescent="0.3">
      <c r="A737" s="8">
        <v>263</v>
      </c>
      <c r="B737" s="8" t="s">
        <v>871</v>
      </c>
      <c r="C737" s="8" t="s">
        <v>73</v>
      </c>
      <c r="D737" s="8" t="s">
        <v>872</v>
      </c>
      <c r="E737" s="6" t="s">
        <v>17</v>
      </c>
      <c r="F737" s="6" t="s">
        <v>18</v>
      </c>
      <c r="G737" s="8" t="s">
        <v>873</v>
      </c>
      <c r="H737" s="8" t="s">
        <v>874</v>
      </c>
      <c r="I737" s="2" t="s">
        <v>875</v>
      </c>
      <c r="J737" s="2">
        <v>0.99224117089011921</v>
      </c>
      <c r="K737" s="2" t="s">
        <v>29</v>
      </c>
      <c r="L737" s="2" t="s">
        <v>876</v>
      </c>
      <c r="M737" s="2">
        <v>12</v>
      </c>
    </row>
    <row r="738" spans="1:13" ht="90" customHeight="1" x14ac:dyDescent="0.3">
      <c r="A738" s="8"/>
      <c r="B738" s="7"/>
      <c r="C738" s="7"/>
      <c r="D738" s="7"/>
      <c r="E738" s="7"/>
      <c r="F738" s="7"/>
      <c r="G738" s="7"/>
      <c r="H738" s="7"/>
      <c r="I738" s="2" t="s">
        <v>877</v>
      </c>
      <c r="J738" s="2">
        <v>0.98913681507110596</v>
      </c>
      <c r="K738" s="2" t="s">
        <v>29</v>
      </c>
      <c r="L738" s="2" t="s">
        <v>73</v>
      </c>
      <c r="M738" s="2">
        <v>9</v>
      </c>
    </row>
    <row r="739" spans="1:13" ht="90" customHeight="1" x14ac:dyDescent="0.3">
      <c r="A739" s="8"/>
      <c r="B739" s="7"/>
      <c r="C739" s="7"/>
      <c r="D739" s="7"/>
      <c r="E739" s="7"/>
      <c r="F739" s="7"/>
      <c r="G739" s="7"/>
      <c r="H739" s="7"/>
      <c r="I739" s="2" t="s">
        <v>878</v>
      </c>
      <c r="J739" s="2">
        <v>0.94514906145142685</v>
      </c>
      <c r="K739" s="2" t="s">
        <v>29</v>
      </c>
      <c r="L739" s="2" t="s">
        <v>876</v>
      </c>
      <c r="M739" s="2">
        <v>14</v>
      </c>
    </row>
    <row r="740" spans="1:13" ht="90" customHeight="1" x14ac:dyDescent="0.3">
      <c r="A740" s="8"/>
      <c r="B740" s="7"/>
      <c r="C740" s="7"/>
      <c r="D740" s="7"/>
      <c r="E740" s="7"/>
      <c r="F740" s="7"/>
      <c r="G740" s="7"/>
      <c r="H740" s="7"/>
      <c r="I740" s="1" t="s">
        <v>879</v>
      </c>
      <c r="J740" s="1">
        <v>0.93611584926636071</v>
      </c>
      <c r="K740" s="1" t="s">
        <v>29</v>
      </c>
      <c r="L740" s="1" t="s">
        <v>876</v>
      </c>
      <c r="M740" s="1">
        <v>10</v>
      </c>
    </row>
    <row r="741" spans="1:13" ht="90" customHeight="1" x14ac:dyDescent="0.3">
      <c r="A741" s="8"/>
      <c r="B741" s="7"/>
      <c r="C741" s="7"/>
      <c r="D741" s="7"/>
      <c r="E741" s="7"/>
      <c r="F741" s="7"/>
      <c r="G741" s="7"/>
      <c r="H741" s="7"/>
      <c r="I741" s="1"/>
      <c r="J741" s="1"/>
      <c r="K741" s="1"/>
      <c r="L741" s="1"/>
      <c r="M741" s="1"/>
    </row>
    <row r="742" spans="1:13" ht="90" customHeight="1" x14ac:dyDescent="0.3">
      <c r="A742" s="8">
        <v>264</v>
      </c>
      <c r="B742" s="8" t="s">
        <v>880</v>
      </c>
      <c r="C742" s="8" t="s">
        <v>881</v>
      </c>
      <c r="D742" s="8" t="s">
        <v>74</v>
      </c>
      <c r="E742" s="6" t="s">
        <v>24</v>
      </c>
      <c r="F742" s="6" t="s">
        <v>25</v>
      </c>
      <c r="G742" s="8" t="s">
        <v>882</v>
      </c>
      <c r="H742" s="8" t="s">
        <v>883</v>
      </c>
      <c r="I742" s="4" t="s">
        <v>884</v>
      </c>
      <c r="J742" s="4">
        <v>0.97006267309188843</v>
      </c>
      <c r="K742" s="4" t="s">
        <v>29</v>
      </c>
      <c r="L742" s="4" t="s">
        <v>881</v>
      </c>
      <c r="M742" s="4">
        <v>4</v>
      </c>
    </row>
    <row r="743" spans="1:13" ht="90" customHeight="1" x14ac:dyDescent="0.3">
      <c r="A743" s="8"/>
      <c r="B743" s="7"/>
      <c r="C743" s="7"/>
      <c r="D743" s="7"/>
      <c r="E743" s="7"/>
      <c r="F743" s="7"/>
      <c r="G743" s="7"/>
      <c r="H743" s="7"/>
      <c r="I743" s="2" t="s">
        <v>885</v>
      </c>
      <c r="J743" s="2">
        <v>0.80420821905136108</v>
      </c>
      <c r="K743" s="2" t="s">
        <v>29</v>
      </c>
      <c r="L743" s="2" t="s">
        <v>51</v>
      </c>
      <c r="M743" s="2">
        <v>7</v>
      </c>
    </row>
    <row r="744" spans="1:13" ht="90" customHeight="1" x14ac:dyDescent="0.3">
      <c r="A744" s="8"/>
      <c r="B744" s="7"/>
      <c r="C744" s="7"/>
      <c r="D744" s="7"/>
      <c r="E744" s="7"/>
      <c r="F744" s="7"/>
      <c r="G744" s="7"/>
      <c r="H744" s="7"/>
      <c r="I744" s="2" t="s">
        <v>886</v>
      </c>
      <c r="J744" s="2">
        <v>0.76835005925436728</v>
      </c>
      <c r="K744" s="2" t="s">
        <v>29</v>
      </c>
      <c r="L744" s="2" t="s">
        <v>816</v>
      </c>
      <c r="M744" s="2">
        <v>112</v>
      </c>
    </row>
    <row r="745" spans="1:13" ht="90" customHeight="1" x14ac:dyDescent="0.3">
      <c r="A745" s="8"/>
      <c r="B745" s="7"/>
      <c r="C745" s="7"/>
      <c r="D745" s="7"/>
      <c r="E745" s="7"/>
      <c r="F745" s="7"/>
      <c r="G745" s="7"/>
      <c r="H745" s="7"/>
      <c r="I745" s="1"/>
      <c r="J745" s="1"/>
      <c r="K745" s="1"/>
      <c r="L745" s="1"/>
      <c r="M745" s="1"/>
    </row>
    <row r="746" spans="1:13" ht="90" customHeight="1" x14ac:dyDescent="0.3">
      <c r="A746" s="8"/>
      <c r="B746" s="7"/>
      <c r="C746" s="7"/>
      <c r="D746" s="7"/>
      <c r="E746" s="7"/>
      <c r="F746" s="7"/>
      <c r="G746" s="7"/>
      <c r="H746" s="7"/>
      <c r="I746" s="1"/>
      <c r="J746" s="1"/>
      <c r="K746" s="1"/>
      <c r="L746" s="1"/>
      <c r="M746" s="1"/>
    </row>
    <row r="747" spans="1:13" ht="90" customHeight="1" x14ac:dyDescent="0.3">
      <c r="A747" s="8">
        <v>265</v>
      </c>
      <c r="B747" s="8" t="s">
        <v>887</v>
      </c>
      <c r="C747" s="8" t="s">
        <v>114</v>
      </c>
      <c r="D747" s="8" t="s">
        <v>235</v>
      </c>
      <c r="E747" s="6" t="s">
        <v>24</v>
      </c>
      <c r="F747" s="6" t="s">
        <v>25</v>
      </c>
      <c r="G747" s="8" t="s">
        <v>888</v>
      </c>
      <c r="H747" s="8" t="s">
        <v>889</v>
      </c>
      <c r="I747" s="4" t="s">
        <v>273</v>
      </c>
      <c r="J747" s="4">
        <v>0.99455899000167847</v>
      </c>
      <c r="K747" s="4" t="s">
        <v>29</v>
      </c>
      <c r="L747" s="4" t="s">
        <v>114</v>
      </c>
      <c r="M747" s="4">
        <v>7</v>
      </c>
    </row>
    <row r="748" spans="1:13" ht="90" customHeight="1" x14ac:dyDescent="0.3">
      <c r="A748" s="8"/>
      <c r="B748" s="7"/>
      <c r="C748" s="7"/>
      <c r="D748" s="7"/>
      <c r="E748" s="7"/>
      <c r="F748" s="7"/>
      <c r="G748" s="7"/>
      <c r="H748" s="7"/>
      <c r="I748" s="1" t="s">
        <v>275</v>
      </c>
      <c r="J748" s="1">
        <v>0.97989046573638916</v>
      </c>
      <c r="K748" s="1" t="s">
        <v>29</v>
      </c>
      <c r="L748" s="1" t="s">
        <v>276</v>
      </c>
      <c r="M748" s="1">
        <v>1</v>
      </c>
    </row>
    <row r="749" spans="1:13" ht="90" customHeight="1" x14ac:dyDescent="0.3">
      <c r="A749" s="8"/>
      <c r="B749" s="7"/>
      <c r="C749" s="7"/>
      <c r="D749" s="7"/>
      <c r="E749" s="7"/>
      <c r="F749" s="7"/>
      <c r="G749" s="7"/>
      <c r="H749" s="7"/>
      <c r="I749" s="1"/>
      <c r="J749" s="1"/>
      <c r="K749" s="1"/>
      <c r="L749" s="1"/>
      <c r="M749" s="1"/>
    </row>
    <row r="750" spans="1:13" ht="90" customHeight="1" x14ac:dyDescent="0.3">
      <c r="A750" s="8"/>
      <c r="B750" s="7"/>
      <c r="C750" s="7"/>
      <c r="D750" s="7"/>
      <c r="E750" s="7"/>
      <c r="F750" s="7"/>
      <c r="G750" s="7"/>
      <c r="H750" s="7"/>
      <c r="I750" s="1"/>
      <c r="J750" s="1"/>
      <c r="K750" s="1"/>
      <c r="L750" s="1"/>
      <c r="M750" s="1"/>
    </row>
    <row r="751" spans="1:13" ht="90" customHeight="1" x14ac:dyDescent="0.3">
      <c r="A751" s="8"/>
      <c r="B751" s="7"/>
      <c r="C751" s="7"/>
      <c r="D751" s="7"/>
      <c r="E751" s="7"/>
      <c r="F751" s="7"/>
      <c r="G751" s="7"/>
      <c r="H751" s="7"/>
      <c r="I751" s="1"/>
      <c r="J751" s="1"/>
      <c r="K751" s="1"/>
      <c r="L751" s="1"/>
      <c r="M751" s="1"/>
    </row>
    <row r="752" spans="1:13" ht="90" customHeight="1" x14ac:dyDescent="0.3">
      <c r="A752" s="8">
        <v>266</v>
      </c>
      <c r="B752" s="8" t="s">
        <v>890</v>
      </c>
      <c r="C752" s="8" t="s">
        <v>114</v>
      </c>
      <c r="D752" s="8" t="s">
        <v>235</v>
      </c>
      <c r="E752" s="6" t="s">
        <v>24</v>
      </c>
      <c r="F752" s="6" t="s">
        <v>25</v>
      </c>
      <c r="G752" s="8" t="s">
        <v>891</v>
      </c>
      <c r="H752" s="8" t="s">
        <v>892</v>
      </c>
      <c r="I752" s="4" t="s">
        <v>273</v>
      </c>
      <c r="J752" s="4">
        <v>0.88290095329284668</v>
      </c>
      <c r="K752" s="4" t="s">
        <v>29</v>
      </c>
      <c r="L752" s="4" t="s">
        <v>114</v>
      </c>
      <c r="M752" s="4">
        <v>7</v>
      </c>
    </row>
    <row r="753" spans="1:13" ht="90" customHeight="1" x14ac:dyDescent="0.3">
      <c r="A753" s="8"/>
      <c r="B753" s="7"/>
      <c r="C753" s="7"/>
      <c r="D753" s="7"/>
      <c r="E753" s="7"/>
      <c r="F753" s="7"/>
      <c r="G753" s="7"/>
      <c r="H753" s="7"/>
      <c r="I753" s="1"/>
      <c r="J753" s="1"/>
      <c r="K753" s="1"/>
      <c r="L753" s="1"/>
      <c r="M753" s="1"/>
    </row>
    <row r="754" spans="1:13" ht="90" customHeight="1" x14ac:dyDescent="0.3">
      <c r="A754" s="8"/>
      <c r="B754" s="7"/>
      <c r="C754" s="7"/>
      <c r="D754" s="7"/>
      <c r="E754" s="7"/>
      <c r="F754" s="7"/>
      <c r="G754" s="7"/>
      <c r="H754" s="7"/>
      <c r="I754" s="1"/>
      <c r="J754" s="1"/>
      <c r="K754" s="1"/>
      <c r="L754" s="1"/>
      <c r="M754" s="1"/>
    </row>
    <row r="755" spans="1:13" ht="90" customHeight="1" x14ac:dyDescent="0.3">
      <c r="A755" s="8"/>
      <c r="B755" s="7"/>
      <c r="C755" s="7"/>
      <c r="D755" s="7"/>
      <c r="E755" s="7"/>
      <c r="F755" s="7"/>
      <c r="G755" s="7"/>
      <c r="H755" s="7"/>
      <c r="I755" s="1"/>
      <c r="J755" s="1"/>
      <c r="K755" s="1"/>
      <c r="L755" s="1"/>
      <c r="M755" s="1"/>
    </row>
    <row r="756" spans="1:13" ht="90" customHeight="1" x14ac:dyDescent="0.3">
      <c r="A756" s="8"/>
      <c r="B756" s="7"/>
      <c r="C756" s="7"/>
      <c r="D756" s="7"/>
      <c r="E756" s="7"/>
      <c r="F756" s="7"/>
      <c r="G756" s="7"/>
      <c r="H756" s="7"/>
      <c r="I756" s="1"/>
      <c r="J756" s="1"/>
      <c r="K756" s="1"/>
      <c r="L756" s="1"/>
      <c r="M756" s="1"/>
    </row>
    <row r="757" spans="1:13" ht="90" customHeight="1" x14ac:dyDescent="0.3">
      <c r="A757" s="8">
        <v>267</v>
      </c>
      <c r="B757" s="8" t="s">
        <v>893</v>
      </c>
      <c r="C757" s="8" t="s">
        <v>293</v>
      </c>
      <c r="D757" s="8" t="s">
        <v>507</v>
      </c>
      <c r="E757" s="6" t="s">
        <v>24</v>
      </c>
      <c r="F757" s="6" t="s">
        <v>25</v>
      </c>
      <c r="G757" s="8" t="s">
        <v>894</v>
      </c>
      <c r="H757" s="8" t="s">
        <v>895</v>
      </c>
      <c r="I757" s="4" t="s">
        <v>510</v>
      </c>
      <c r="J757" s="4">
        <v>0.99524682760238647</v>
      </c>
      <c r="K757" s="4" t="s">
        <v>29</v>
      </c>
      <c r="L757" s="4" t="s">
        <v>293</v>
      </c>
      <c r="M757" s="4">
        <v>2</v>
      </c>
    </row>
    <row r="758" spans="1:13" ht="90" customHeight="1" x14ac:dyDescent="0.3">
      <c r="A758" s="8"/>
      <c r="B758" s="7"/>
      <c r="C758" s="7"/>
      <c r="D758" s="7"/>
      <c r="E758" s="7"/>
      <c r="F758" s="7"/>
      <c r="G758" s="7"/>
      <c r="H758" s="7"/>
      <c r="I758" s="4" t="s">
        <v>296</v>
      </c>
      <c r="J758" s="4">
        <v>0.98058116436004639</v>
      </c>
      <c r="K758" s="4" t="s">
        <v>29</v>
      </c>
      <c r="L758" s="4" t="s">
        <v>293</v>
      </c>
      <c r="M758" s="4">
        <v>4</v>
      </c>
    </row>
    <row r="759" spans="1:13" ht="90" customHeight="1" x14ac:dyDescent="0.3">
      <c r="A759" s="8"/>
      <c r="B759" s="7"/>
      <c r="C759" s="7"/>
      <c r="D759" s="7"/>
      <c r="E759" s="7"/>
      <c r="F759" s="7"/>
      <c r="G759" s="7"/>
      <c r="H759" s="7"/>
      <c r="I759" s="4" t="s">
        <v>389</v>
      </c>
      <c r="J759" s="4">
        <v>0.97548246383666992</v>
      </c>
      <c r="K759" s="4" t="s">
        <v>29</v>
      </c>
      <c r="L759" s="4" t="s">
        <v>293</v>
      </c>
      <c r="M759" s="4">
        <v>3</v>
      </c>
    </row>
    <row r="760" spans="1:13" ht="90" customHeight="1" x14ac:dyDescent="0.3">
      <c r="A760" s="8"/>
      <c r="B760" s="7"/>
      <c r="C760" s="7"/>
      <c r="D760" s="7"/>
      <c r="E760" s="7"/>
      <c r="F760" s="7"/>
      <c r="G760" s="7"/>
      <c r="H760" s="7"/>
      <c r="I760" s="1" t="s">
        <v>392</v>
      </c>
      <c r="J760" s="1">
        <v>0.95432406663894653</v>
      </c>
      <c r="K760" s="1" t="s">
        <v>29</v>
      </c>
      <c r="L760" s="1" t="s">
        <v>116</v>
      </c>
      <c r="M760" s="1">
        <v>27</v>
      </c>
    </row>
    <row r="761" spans="1:13" ht="90" customHeight="1" x14ac:dyDescent="0.3">
      <c r="A761" s="8"/>
      <c r="B761" s="7"/>
      <c r="C761" s="7"/>
      <c r="D761" s="7"/>
      <c r="E761" s="7"/>
      <c r="F761" s="7"/>
      <c r="G761" s="7"/>
      <c r="H761" s="7"/>
      <c r="I761" s="1" t="s">
        <v>390</v>
      </c>
      <c r="J761" s="1">
        <v>0.95053797960281372</v>
      </c>
      <c r="K761" s="1" t="s">
        <v>29</v>
      </c>
      <c r="L761" s="1" t="s">
        <v>391</v>
      </c>
      <c r="M761" s="1">
        <v>3</v>
      </c>
    </row>
    <row r="762" spans="1:13" ht="90" customHeight="1" x14ac:dyDescent="0.3">
      <c r="A762" s="8">
        <v>268</v>
      </c>
      <c r="B762" s="8" t="s">
        <v>896</v>
      </c>
      <c r="C762" s="8" t="s">
        <v>897</v>
      </c>
      <c r="D762" s="8" t="s">
        <v>898</v>
      </c>
      <c r="E762" s="6" t="s">
        <v>17</v>
      </c>
      <c r="F762" s="6" t="s">
        <v>18</v>
      </c>
      <c r="G762" s="8" t="s">
        <v>899</v>
      </c>
      <c r="H762" s="8" t="s">
        <v>20</v>
      </c>
      <c r="I762" s="1"/>
      <c r="J762" s="1"/>
      <c r="K762" s="1"/>
      <c r="L762" s="1"/>
      <c r="M762" s="1"/>
    </row>
    <row r="763" spans="1:13" ht="90" customHeight="1" x14ac:dyDescent="0.3">
      <c r="A763" s="8"/>
      <c r="B763" s="7"/>
      <c r="C763" s="7"/>
      <c r="D763" s="7"/>
      <c r="E763" s="7"/>
      <c r="F763" s="7"/>
      <c r="G763" s="7"/>
      <c r="H763" s="7"/>
      <c r="I763" s="1"/>
      <c r="J763" s="1"/>
      <c r="K763" s="1"/>
      <c r="L763" s="1"/>
      <c r="M763" s="1"/>
    </row>
    <row r="764" spans="1:13" ht="90" customHeight="1" x14ac:dyDescent="0.3">
      <c r="A764" s="8"/>
      <c r="B764" s="7"/>
      <c r="C764" s="7"/>
      <c r="D764" s="7"/>
      <c r="E764" s="7"/>
      <c r="F764" s="7"/>
      <c r="G764" s="7"/>
      <c r="H764" s="7"/>
      <c r="I764" s="1"/>
      <c r="J764" s="1"/>
      <c r="K764" s="1"/>
      <c r="L764" s="1"/>
      <c r="M764" s="1"/>
    </row>
    <row r="765" spans="1:13" ht="90" customHeight="1" x14ac:dyDescent="0.3">
      <c r="A765" s="8"/>
      <c r="B765" s="7"/>
      <c r="C765" s="7"/>
      <c r="D765" s="7"/>
      <c r="E765" s="7"/>
      <c r="F765" s="7"/>
      <c r="G765" s="7"/>
      <c r="H765" s="7"/>
      <c r="I765" s="1"/>
      <c r="J765" s="1"/>
      <c r="K765" s="1"/>
      <c r="L765" s="1"/>
      <c r="M765" s="1"/>
    </row>
    <row r="766" spans="1:13" ht="90" customHeight="1" x14ac:dyDescent="0.3">
      <c r="A766" s="8"/>
      <c r="B766" s="7"/>
      <c r="C766" s="7"/>
      <c r="D766" s="7"/>
      <c r="E766" s="7"/>
      <c r="F766" s="7"/>
      <c r="G766" s="7"/>
      <c r="H766" s="7"/>
      <c r="I766" s="1"/>
      <c r="J766" s="1"/>
      <c r="K766" s="1"/>
      <c r="L766" s="1"/>
      <c r="M766" s="1"/>
    </row>
    <row r="767" spans="1:13" ht="90" customHeight="1" x14ac:dyDescent="0.3">
      <c r="A767" s="8">
        <v>270</v>
      </c>
      <c r="B767" s="8" t="s">
        <v>900</v>
      </c>
      <c r="C767" s="8" t="s">
        <v>755</v>
      </c>
      <c r="D767" s="8" t="s">
        <v>901</v>
      </c>
      <c r="E767" s="6" t="s">
        <v>24</v>
      </c>
      <c r="F767" s="6" t="s">
        <v>25</v>
      </c>
      <c r="G767" s="8" t="s">
        <v>902</v>
      </c>
      <c r="H767" s="8" t="s">
        <v>903</v>
      </c>
      <c r="I767" s="4" t="s">
        <v>904</v>
      </c>
      <c r="J767" s="4">
        <v>0.99995434284210205</v>
      </c>
      <c r="K767" s="4" t="s">
        <v>29</v>
      </c>
      <c r="L767" s="4" t="s">
        <v>755</v>
      </c>
      <c r="M767" s="4">
        <v>238</v>
      </c>
    </row>
    <row r="768" spans="1:13" ht="90" customHeight="1" x14ac:dyDescent="0.3">
      <c r="A768" s="8"/>
      <c r="B768" s="7"/>
      <c r="C768" s="7"/>
      <c r="D768" s="7"/>
      <c r="E768" s="7"/>
      <c r="F768" s="7"/>
      <c r="G768" s="7"/>
      <c r="H768" s="7"/>
      <c r="I768" s="4" t="s">
        <v>905</v>
      </c>
      <c r="J768" s="4">
        <v>0.99988436698913574</v>
      </c>
      <c r="K768" s="4" t="s">
        <v>29</v>
      </c>
      <c r="L768" s="4" t="s">
        <v>755</v>
      </c>
      <c r="M768" s="4">
        <v>237</v>
      </c>
    </row>
    <row r="769" spans="1:13" ht="90" customHeight="1" x14ac:dyDescent="0.3">
      <c r="A769" s="8"/>
      <c r="B769" s="7"/>
      <c r="C769" s="7"/>
      <c r="D769" s="7"/>
      <c r="E769" s="7"/>
      <c r="F769" s="7"/>
      <c r="G769" s="7"/>
      <c r="H769" s="7"/>
      <c r="I769" s="4" t="s">
        <v>906</v>
      </c>
      <c r="J769" s="4">
        <v>0.99853920936584473</v>
      </c>
      <c r="K769" s="4" t="s">
        <v>29</v>
      </c>
      <c r="L769" s="4" t="s">
        <v>755</v>
      </c>
      <c r="M769" s="4">
        <v>236</v>
      </c>
    </row>
    <row r="770" spans="1:13" ht="90" customHeight="1" x14ac:dyDescent="0.3">
      <c r="A770" s="8"/>
      <c r="B770" s="7"/>
      <c r="C770" s="7"/>
      <c r="D770" s="7"/>
      <c r="E770" s="7"/>
      <c r="F770" s="7"/>
      <c r="G770" s="7"/>
      <c r="H770" s="7"/>
      <c r="I770" s="1" t="s">
        <v>907</v>
      </c>
      <c r="J770" s="1">
        <v>0.87211441993713379</v>
      </c>
      <c r="K770" s="1" t="s">
        <v>29</v>
      </c>
      <c r="L770" s="1" t="s">
        <v>755</v>
      </c>
      <c r="M770" s="1">
        <v>22</v>
      </c>
    </row>
    <row r="771" spans="1:13" ht="90" customHeight="1" x14ac:dyDescent="0.3">
      <c r="A771" s="8"/>
      <c r="B771" s="7"/>
      <c r="C771" s="7"/>
      <c r="D771" s="7"/>
      <c r="E771" s="7"/>
      <c r="F771" s="7"/>
      <c r="G771" s="7"/>
      <c r="H771" s="7"/>
      <c r="I771" s="1" t="s">
        <v>908</v>
      </c>
      <c r="J771" s="1">
        <v>0.80371755361557007</v>
      </c>
      <c r="K771" s="1" t="s">
        <v>29</v>
      </c>
      <c r="L771" s="1" t="s">
        <v>240</v>
      </c>
      <c r="M771" s="1">
        <v>98</v>
      </c>
    </row>
    <row r="772" spans="1:13" ht="90" customHeight="1" x14ac:dyDescent="0.3">
      <c r="A772" s="8">
        <v>272</v>
      </c>
      <c r="B772" s="8" t="s">
        <v>909</v>
      </c>
      <c r="C772" s="8" t="s">
        <v>98</v>
      </c>
      <c r="D772" s="8" t="s">
        <v>398</v>
      </c>
      <c r="E772" s="6" t="s">
        <v>24</v>
      </c>
      <c r="F772" s="6" t="s">
        <v>25</v>
      </c>
      <c r="G772" s="8" t="s">
        <v>910</v>
      </c>
      <c r="H772" s="8" t="s">
        <v>911</v>
      </c>
      <c r="I772" s="4" t="s">
        <v>912</v>
      </c>
      <c r="J772" s="4">
        <v>0.99977654218673706</v>
      </c>
      <c r="K772" s="4" t="s">
        <v>29</v>
      </c>
      <c r="L772" s="4" t="s">
        <v>98</v>
      </c>
      <c r="M772" s="4">
        <v>3</v>
      </c>
    </row>
    <row r="773" spans="1:13" ht="90" customHeight="1" x14ac:dyDescent="0.3">
      <c r="A773" s="8"/>
      <c r="B773" s="7"/>
      <c r="C773" s="7"/>
      <c r="D773" s="7"/>
      <c r="E773" s="7"/>
      <c r="F773" s="7"/>
      <c r="G773" s="7"/>
      <c r="H773" s="7"/>
      <c r="I773" s="1" t="s">
        <v>99</v>
      </c>
      <c r="J773" s="1">
        <v>0.96960586309432983</v>
      </c>
      <c r="K773" s="1" t="s">
        <v>29</v>
      </c>
      <c r="L773" s="1" t="s">
        <v>98</v>
      </c>
      <c r="M773" s="1">
        <v>1</v>
      </c>
    </row>
    <row r="774" spans="1:13" ht="90" customHeight="1" x14ac:dyDescent="0.3">
      <c r="A774" s="8"/>
      <c r="B774" s="7"/>
      <c r="C774" s="7"/>
      <c r="D774" s="7"/>
      <c r="E774" s="7"/>
      <c r="F774" s="7"/>
      <c r="G774" s="7"/>
      <c r="H774" s="7"/>
      <c r="I774" s="1"/>
      <c r="J774" s="1"/>
      <c r="K774" s="1"/>
      <c r="L774" s="1"/>
      <c r="M774" s="1"/>
    </row>
    <row r="775" spans="1:13" ht="90" customHeight="1" x14ac:dyDescent="0.3">
      <c r="A775" s="8"/>
      <c r="B775" s="7"/>
      <c r="C775" s="7"/>
      <c r="D775" s="7"/>
      <c r="E775" s="7"/>
      <c r="F775" s="7"/>
      <c r="G775" s="7"/>
      <c r="H775" s="7"/>
      <c r="I775" s="1"/>
      <c r="J775" s="1"/>
      <c r="K775" s="1"/>
      <c r="L775" s="1"/>
      <c r="M775" s="1"/>
    </row>
    <row r="776" spans="1:13" ht="90" customHeight="1" x14ac:dyDescent="0.3">
      <c r="A776" s="8"/>
      <c r="B776" s="7"/>
      <c r="C776" s="7"/>
      <c r="D776" s="7"/>
      <c r="E776" s="7"/>
      <c r="F776" s="7"/>
      <c r="G776" s="7"/>
      <c r="H776" s="7"/>
      <c r="I776" s="1"/>
      <c r="J776" s="1"/>
      <c r="K776" s="1"/>
      <c r="L776" s="1"/>
      <c r="M776" s="1"/>
    </row>
    <row r="777" spans="1:13" ht="90" customHeight="1" x14ac:dyDescent="0.3">
      <c r="A777" s="8">
        <v>274</v>
      </c>
      <c r="B777" s="8" t="s">
        <v>913</v>
      </c>
      <c r="C777" s="8" t="s">
        <v>914</v>
      </c>
      <c r="D777" s="8" t="s">
        <v>872</v>
      </c>
      <c r="E777" s="6" t="s">
        <v>17</v>
      </c>
      <c r="F777" s="6" t="s">
        <v>18</v>
      </c>
      <c r="G777" s="8" t="s">
        <v>915</v>
      </c>
      <c r="H777" s="8" t="s">
        <v>20</v>
      </c>
      <c r="I777" s="1"/>
      <c r="J777" s="1"/>
      <c r="K777" s="1"/>
      <c r="L777" s="1"/>
      <c r="M777" s="1"/>
    </row>
    <row r="778" spans="1:13" ht="90" customHeight="1" x14ac:dyDescent="0.3">
      <c r="A778" s="8"/>
      <c r="B778" s="7"/>
      <c r="C778" s="7"/>
      <c r="D778" s="7"/>
      <c r="E778" s="7"/>
      <c r="F778" s="7"/>
      <c r="G778" s="7"/>
      <c r="H778" s="7"/>
      <c r="I778" s="1"/>
      <c r="J778" s="1"/>
      <c r="K778" s="1"/>
      <c r="L778" s="1"/>
      <c r="M778" s="1"/>
    </row>
    <row r="779" spans="1:13" ht="90" customHeight="1" x14ac:dyDescent="0.3">
      <c r="A779" s="8"/>
      <c r="B779" s="7"/>
      <c r="C779" s="7"/>
      <c r="D779" s="7"/>
      <c r="E779" s="7"/>
      <c r="F779" s="7"/>
      <c r="G779" s="7"/>
      <c r="H779" s="7"/>
      <c r="I779" s="1"/>
      <c r="J779" s="1"/>
      <c r="K779" s="1"/>
      <c r="L779" s="1"/>
      <c r="M779" s="1"/>
    </row>
    <row r="780" spans="1:13" ht="90" customHeight="1" x14ac:dyDescent="0.3">
      <c r="A780" s="8"/>
      <c r="B780" s="7"/>
      <c r="C780" s="7"/>
      <c r="D780" s="7"/>
      <c r="E780" s="7"/>
      <c r="F780" s="7"/>
      <c r="G780" s="7"/>
      <c r="H780" s="7"/>
      <c r="I780" s="1"/>
      <c r="J780" s="1"/>
      <c r="K780" s="1"/>
      <c r="L780" s="1"/>
      <c r="M780" s="1"/>
    </row>
    <row r="781" spans="1:13" ht="90" customHeight="1" x14ac:dyDescent="0.3">
      <c r="A781" s="8"/>
      <c r="B781" s="7"/>
      <c r="C781" s="7"/>
      <c r="D781" s="7"/>
      <c r="E781" s="7"/>
      <c r="F781" s="7"/>
      <c r="G781" s="7"/>
      <c r="H781" s="7"/>
      <c r="I781" s="1"/>
      <c r="J781" s="1"/>
      <c r="K781" s="1"/>
      <c r="L781" s="1"/>
      <c r="M781" s="1"/>
    </row>
    <row r="782" spans="1:13" ht="90" customHeight="1" x14ac:dyDescent="0.3">
      <c r="A782" s="8">
        <v>276</v>
      </c>
      <c r="B782" s="8" t="s">
        <v>916</v>
      </c>
      <c r="C782" s="8" t="s">
        <v>567</v>
      </c>
      <c r="D782" s="8" t="s">
        <v>604</v>
      </c>
      <c r="E782" s="6" t="s">
        <v>24</v>
      </c>
      <c r="F782" s="6" t="s">
        <v>25</v>
      </c>
      <c r="G782" s="8" t="s">
        <v>917</v>
      </c>
      <c r="H782" s="8" t="s">
        <v>918</v>
      </c>
      <c r="I782" s="4" t="s">
        <v>919</v>
      </c>
      <c r="J782" s="4">
        <v>0.9998699426651001</v>
      </c>
      <c r="K782" s="4" t="s">
        <v>29</v>
      </c>
      <c r="L782" s="4" t="s">
        <v>567</v>
      </c>
      <c r="M782" s="4">
        <v>128</v>
      </c>
    </row>
    <row r="783" spans="1:13" ht="90" customHeight="1" x14ac:dyDescent="0.3">
      <c r="A783" s="8"/>
      <c r="B783" s="7"/>
      <c r="C783" s="7"/>
      <c r="D783" s="7"/>
      <c r="E783" s="7"/>
      <c r="F783" s="7"/>
      <c r="G783" s="7"/>
      <c r="H783" s="7"/>
      <c r="I783" s="4" t="s">
        <v>920</v>
      </c>
      <c r="J783" s="4">
        <v>0.9997515082359314</v>
      </c>
      <c r="K783" s="4" t="s">
        <v>29</v>
      </c>
      <c r="L783" s="4" t="s">
        <v>567</v>
      </c>
      <c r="M783" s="4">
        <v>127</v>
      </c>
    </row>
    <row r="784" spans="1:13" ht="90" customHeight="1" x14ac:dyDescent="0.3">
      <c r="A784" s="8"/>
      <c r="B784" s="7"/>
      <c r="C784" s="7"/>
      <c r="D784" s="7"/>
      <c r="E784" s="7"/>
      <c r="F784" s="7"/>
      <c r="G784" s="7"/>
      <c r="H784" s="7"/>
      <c r="I784" s="2" t="s">
        <v>608</v>
      </c>
      <c r="J784" s="2">
        <v>0.9909629225730896</v>
      </c>
      <c r="K784" s="2" t="s">
        <v>29</v>
      </c>
      <c r="L784" s="2" t="s">
        <v>343</v>
      </c>
      <c r="M784" s="2">
        <v>34</v>
      </c>
    </row>
    <row r="785" spans="1:13" ht="90" customHeight="1" x14ac:dyDescent="0.3">
      <c r="A785" s="8"/>
      <c r="B785" s="7"/>
      <c r="C785" s="7"/>
      <c r="D785" s="7"/>
      <c r="E785" s="7"/>
      <c r="F785" s="7"/>
      <c r="G785" s="7"/>
      <c r="H785" s="7"/>
      <c r="I785" s="1" t="s">
        <v>921</v>
      </c>
      <c r="J785" s="1">
        <v>0.93522173165797218</v>
      </c>
      <c r="K785" s="1" t="s">
        <v>29</v>
      </c>
      <c r="L785" s="1" t="s">
        <v>611</v>
      </c>
      <c r="M785" s="1">
        <v>80</v>
      </c>
    </row>
    <row r="786" spans="1:13" ht="90" customHeight="1" x14ac:dyDescent="0.3">
      <c r="A786" s="8"/>
      <c r="B786" s="7"/>
      <c r="C786" s="7"/>
      <c r="D786" s="7"/>
      <c r="E786" s="7"/>
      <c r="F786" s="7"/>
      <c r="G786" s="7"/>
      <c r="H786" s="7"/>
      <c r="I786" s="1" t="s">
        <v>682</v>
      </c>
      <c r="J786" s="1">
        <v>0.93198978900909424</v>
      </c>
      <c r="K786" s="1" t="s">
        <v>29</v>
      </c>
      <c r="L786" s="1" t="s">
        <v>549</v>
      </c>
      <c r="M786" s="1">
        <v>61</v>
      </c>
    </row>
    <row r="787" spans="1:13" ht="90" customHeight="1" x14ac:dyDescent="0.3">
      <c r="A787" s="8">
        <v>279</v>
      </c>
      <c r="B787" s="8" t="s">
        <v>922</v>
      </c>
      <c r="C787" s="8" t="s">
        <v>325</v>
      </c>
      <c r="D787" s="8" t="s">
        <v>923</v>
      </c>
      <c r="E787" s="6" t="s">
        <v>24</v>
      </c>
      <c r="F787" s="6" t="s">
        <v>18</v>
      </c>
      <c r="G787" s="8" t="s">
        <v>924</v>
      </c>
      <c r="H787" s="8" t="s">
        <v>925</v>
      </c>
      <c r="I787" s="2" t="s">
        <v>926</v>
      </c>
      <c r="J787" s="2">
        <v>0.95058590173721247</v>
      </c>
      <c r="K787" s="2" t="s">
        <v>29</v>
      </c>
      <c r="L787" s="2" t="s">
        <v>927</v>
      </c>
      <c r="M787" s="2">
        <v>135</v>
      </c>
    </row>
    <row r="788" spans="1:13" ht="90" customHeight="1" x14ac:dyDescent="0.3">
      <c r="A788" s="8"/>
      <c r="B788" s="7"/>
      <c r="C788" s="7"/>
      <c r="D788" s="7"/>
      <c r="E788" s="7"/>
      <c r="F788" s="7"/>
      <c r="G788" s="7"/>
      <c r="H788" s="7"/>
      <c r="I788" s="5" t="s">
        <v>928</v>
      </c>
      <c r="J788" s="5">
        <v>0.73223531246185303</v>
      </c>
      <c r="K788" s="5" t="s">
        <v>29</v>
      </c>
      <c r="L788" s="5" t="s">
        <v>325</v>
      </c>
      <c r="M788" s="5">
        <v>100</v>
      </c>
    </row>
    <row r="789" spans="1:13" ht="90" customHeight="1" x14ac:dyDescent="0.3">
      <c r="A789" s="8"/>
      <c r="B789" s="7"/>
      <c r="C789" s="7"/>
      <c r="D789" s="7"/>
      <c r="E789" s="7"/>
      <c r="F789" s="7"/>
      <c r="G789" s="7"/>
      <c r="H789" s="7"/>
      <c r="I789" s="1"/>
      <c r="J789" s="1"/>
      <c r="K789" s="1"/>
      <c r="L789" s="1"/>
      <c r="M789" s="1"/>
    </row>
    <row r="790" spans="1:13" ht="90" customHeight="1" x14ac:dyDescent="0.3">
      <c r="A790" s="8"/>
      <c r="B790" s="7"/>
      <c r="C790" s="7"/>
      <c r="D790" s="7"/>
      <c r="E790" s="7"/>
      <c r="F790" s="7"/>
      <c r="G790" s="7"/>
      <c r="H790" s="7"/>
      <c r="I790" s="1"/>
      <c r="J790" s="1"/>
      <c r="K790" s="1"/>
      <c r="L790" s="1"/>
      <c r="M790" s="1"/>
    </row>
    <row r="791" spans="1:13" ht="90" customHeight="1" x14ac:dyDescent="0.3">
      <c r="A791" s="8"/>
      <c r="B791" s="7"/>
      <c r="C791" s="7"/>
      <c r="D791" s="7"/>
      <c r="E791" s="7"/>
      <c r="F791" s="7"/>
      <c r="G791" s="7"/>
      <c r="H791" s="7"/>
      <c r="I791" s="1"/>
      <c r="J791" s="1"/>
      <c r="K791" s="1"/>
      <c r="L791" s="1"/>
      <c r="M791" s="1"/>
    </row>
    <row r="792" spans="1:13" ht="90" customHeight="1" x14ac:dyDescent="0.3">
      <c r="A792" s="8">
        <v>282</v>
      </c>
      <c r="B792" s="8" t="s">
        <v>929</v>
      </c>
      <c r="C792" s="8" t="s">
        <v>930</v>
      </c>
      <c r="D792" s="8" t="s">
        <v>850</v>
      </c>
      <c r="E792" s="6" t="s">
        <v>17</v>
      </c>
      <c r="F792" s="6" t="s">
        <v>18</v>
      </c>
      <c r="G792" s="8" t="s">
        <v>931</v>
      </c>
      <c r="H792" s="8" t="s">
        <v>20</v>
      </c>
      <c r="I792" s="1"/>
      <c r="J792" s="1"/>
      <c r="K792" s="1"/>
      <c r="L792" s="1"/>
      <c r="M792" s="1"/>
    </row>
    <row r="793" spans="1:13" ht="90" customHeight="1" x14ac:dyDescent="0.3">
      <c r="A793" s="8"/>
      <c r="B793" s="7"/>
      <c r="C793" s="7"/>
      <c r="D793" s="7"/>
      <c r="E793" s="7"/>
      <c r="F793" s="7"/>
      <c r="G793" s="7"/>
      <c r="H793" s="7"/>
      <c r="I793" s="1"/>
      <c r="J793" s="1"/>
      <c r="K793" s="1"/>
      <c r="L793" s="1"/>
      <c r="M793" s="1"/>
    </row>
    <row r="794" spans="1:13" ht="90" customHeight="1" x14ac:dyDescent="0.3">
      <c r="A794" s="8"/>
      <c r="B794" s="7"/>
      <c r="C794" s="7"/>
      <c r="D794" s="7"/>
      <c r="E794" s="7"/>
      <c r="F794" s="7"/>
      <c r="G794" s="7"/>
      <c r="H794" s="7"/>
      <c r="I794" s="1"/>
      <c r="J794" s="1"/>
      <c r="K794" s="1"/>
      <c r="L794" s="1"/>
      <c r="M794" s="1"/>
    </row>
    <row r="795" spans="1:13" ht="90" customHeight="1" x14ac:dyDescent="0.3">
      <c r="A795" s="8"/>
      <c r="B795" s="7"/>
      <c r="C795" s="7"/>
      <c r="D795" s="7"/>
      <c r="E795" s="7"/>
      <c r="F795" s="7"/>
      <c r="G795" s="7"/>
      <c r="H795" s="7"/>
      <c r="I795" s="1"/>
      <c r="J795" s="1"/>
      <c r="K795" s="1"/>
      <c r="L795" s="1"/>
      <c r="M795" s="1"/>
    </row>
    <row r="796" spans="1:13" ht="90" customHeight="1" x14ac:dyDescent="0.3">
      <c r="A796" s="8"/>
      <c r="B796" s="7"/>
      <c r="C796" s="7"/>
      <c r="D796" s="7"/>
      <c r="E796" s="7"/>
      <c r="F796" s="7"/>
      <c r="G796" s="7"/>
      <c r="H796" s="7"/>
      <c r="I796" s="1"/>
      <c r="J796" s="1"/>
      <c r="K796" s="1"/>
      <c r="L796" s="1"/>
      <c r="M796" s="1"/>
    </row>
    <row r="797" spans="1:13" ht="90" customHeight="1" x14ac:dyDescent="0.3">
      <c r="A797" s="8">
        <v>284</v>
      </c>
      <c r="B797" s="8" t="s">
        <v>932</v>
      </c>
      <c r="C797" s="8" t="s">
        <v>401</v>
      </c>
      <c r="D797" s="8" t="s">
        <v>410</v>
      </c>
      <c r="E797" s="6" t="s">
        <v>17</v>
      </c>
      <c r="F797" s="6" t="s">
        <v>18</v>
      </c>
      <c r="G797" s="8" t="s">
        <v>933</v>
      </c>
      <c r="H797" s="8" t="s">
        <v>934</v>
      </c>
      <c r="I797" s="2" t="s">
        <v>935</v>
      </c>
      <c r="J797" s="2">
        <v>0.98434489965438843</v>
      </c>
      <c r="K797" s="2" t="s">
        <v>29</v>
      </c>
      <c r="L797" s="2" t="s">
        <v>936</v>
      </c>
      <c r="M797" s="2">
        <v>15</v>
      </c>
    </row>
    <row r="798" spans="1:13" ht="90" customHeight="1" x14ac:dyDescent="0.3">
      <c r="A798" s="8"/>
      <c r="B798" s="7"/>
      <c r="C798" s="7"/>
      <c r="D798" s="7"/>
      <c r="E798" s="7"/>
      <c r="F798" s="7"/>
      <c r="G798" s="7"/>
      <c r="H798" s="7"/>
      <c r="I798" s="1"/>
      <c r="J798" s="1"/>
      <c r="K798" s="1"/>
      <c r="L798" s="1"/>
      <c r="M798" s="1"/>
    </row>
    <row r="799" spans="1:13" ht="90" customHeight="1" x14ac:dyDescent="0.3">
      <c r="A799" s="8"/>
      <c r="B799" s="7"/>
      <c r="C799" s="7"/>
      <c r="D799" s="7"/>
      <c r="E799" s="7"/>
      <c r="F799" s="7"/>
      <c r="G799" s="7"/>
      <c r="H799" s="7"/>
      <c r="I799" s="1"/>
      <c r="J799" s="1"/>
      <c r="K799" s="1"/>
      <c r="L799" s="1"/>
      <c r="M799" s="1"/>
    </row>
    <row r="800" spans="1:13" ht="90" customHeight="1" x14ac:dyDescent="0.3">
      <c r="A800" s="8"/>
      <c r="B800" s="7"/>
      <c r="C800" s="7"/>
      <c r="D800" s="7"/>
      <c r="E800" s="7"/>
      <c r="F800" s="7"/>
      <c r="G800" s="7"/>
      <c r="H800" s="7"/>
      <c r="I800" s="1"/>
      <c r="J800" s="1"/>
      <c r="K800" s="1"/>
      <c r="L800" s="1"/>
      <c r="M800" s="1"/>
    </row>
    <row r="801" spans="1:13" ht="90" customHeight="1" x14ac:dyDescent="0.3">
      <c r="A801" s="8"/>
      <c r="B801" s="7"/>
      <c r="C801" s="7"/>
      <c r="D801" s="7"/>
      <c r="E801" s="7"/>
      <c r="F801" s="7"/>
      <c r="G801" s="7"/>
      <c r="H801" s="7"/>
      <c r="I801" s="1"/>
      <c r="J801" s="1"/>
      <c r="K801" s="1"/>
      <c r="L801" s="1"/>
      <c r="M801" s="1"/>
    </row>
    <row r="802" spans="1:13" ht="90" customHeight="1" x14ac:dyDescent="0.3">
      <c r="A802" s="8">
        <v>285</v>
      </c>
      <c r="B802" s="8" t="s">
        <v>937</v>
      </c>
      <c r="C802" s="8" t="s">
        <v>938</v>
      </c>
      <c r="D802" s="8" t="s">
        <v>898</v>
      </c>
      <c r="E802" s="6" t="s">
        <v>17</v>
      </c>
      <c r="F802" s="6" t="s">
        <v>18</v>
      </c>
      <c r="G802" s="8" t="s">
        <v>939</v>
      </c>
      <c r="H802" s="8" t="s">
        <v>20</v>
      </c>
      <c r="I802" s="1"/>
      <c r="J802" s="1"/>
      <c r="K802" s="1"/>
      <c r="L802" s="1"/>
      <c r="M802" s="1"/>
    </row>
    <row r="803" spans="1:13" ht="90" customHeight="1" x14ac:dyDescent="0.3">
      <c r="A803" s="8"/>
      <c r="B803" s="7"/>
      <c r="C803" s="7"/>
      <c r="D803" s="7"/>
      <c r="E803" s="7"/>
      <c r="F803" s="7"/>
      <c r="G803" s="7"/>
      <c r="H803" s="7"/>
      <c r="I803" s="1"/>
      <c r="J803" s="1"/>
      <c r="K803" s="1"/>
      <c r="L803" s="1"/>
      <c r="M803" s="1"/>
    </row>
    <row r="804" spans="1:13" ht="90" customHeight="1" x14ac:dyDescent="0.3">
      <c r="A804" s="8"/>
      <c r="B804" s="7"/>
      <c r="C804" s="7"/>
      <c r="D804" s="7"/>
      <c r="E804" s="7"/>
      <c r="F804" s="7"/>
      <c r="G804" s="7"/>
      <c r="H804" s="7"/>
      <c r="I804" s="1"/>
      <c r="J804" s="1"/>
      <c r="K804" s="1"/>
      <c r="L804" s="1"/>
      <c r="M804" s="1"/>
    </row>
    <row r="805" spans="1:13" ht="90" customHeight="1" x14ac:dyDescent="0.3">
      <c r="A805" s="8"/>
      <c r="B805" s="7"/>
      <c r="C805" s="7"/>
      <c r="D805" s="7"/>
      <c r="E805" s="7"/>
      <c r="F805" s="7"/>
      <c r="G805" s="7"/>
      <c r="H805" s="7"/>
      <c r="I805" s="1"/>
      <c r="J805" s="1"/>
      <c r="K805" s="1"/>
      <c r="L805" s="1"/>
      <c r="M805" s="1"/>
    </row>
    <row r="806" spans="1:13" ht="90" customHeight="1" x14ac:dyDescent="0.3">
      <c r="A806" s="8"/>
      <c r="B806" s="7"/>
      <c r="C806" s="7"/>
      <c r="D806" s="7"/>
      <c r="E806" s="7"/>
      <c r="F806" s="7"/>
      <c r="G806" s="7"/>
      <c r="H806" s="7"/>
      <c r="I806" s="1"/>
      <c r="J806" s="1"/>
      <c r="K806" s="1"/>
      <c r="L806" s="1"/>
      <c r="M806" s="1"/>
    </row>
    <row r="807" spans="1:13" ht="90" customHeight="1" x14ac:dyDescent="0.3">
      <c r="A807" s="8">
        <v>286</v>
      </c>
      <c r="B807" s="8" t="s">
        <v>940</v>
      </c>
      <c r="C807" s="8" t="s">
        <v>356</v>
      </c>
      <c r="D807" s="8" t="s">
        <v>428</v>
      </c>
      <c r="E807" s="6" t="s">
        <v>24</v>
      </c>
      <c r="F807" s="6" t="s">
        <v>25</v>
      </c>
      <c r="G807" s="8" t="s">
        <v>941</v>
      </c>
      <c r="H807" s="8" t="s">
        <v>942</v>
      </c>
      <c r="I807" s="4" t="s">
        <v>943</v>
      </c>
      <c r="J807" s="4">
        <v>0.99995148181915283</v>
      </c>
      <c r="K807" s="4" t="s">
        <v>29</v>
      </c>
      <c r="L807" s="4" t="s">
        <v>356</v>
      </c>
      <c r="M807" s="4">
        <v>19</v>
      </c>
    </row>
    <row r="808" spans="1:13" ht="90" customHeight="1" x14ac:dyDescent="0.3">
      <c r="A808" s="8"/>
      <c r="B808" s="7"/>
      <c r="C808" s="7"/>
      <c r="D808" s="7"/>
      <c r="E808" s="7"/>
      <c r="F808" s="7"/>
      <c r="G808" s="7"/>
      <c r="H808" s="7"/>
      <c r="I808" s="1" t="s">
        <v>468</v>
      </c>
      <c r="J808" s="1">
        <v>0.84601521492004395</v>
      </c>
      <c r="K808" s="1" t="s">
        <v>29</v>
      </c>
      <c r="L808" s="1" t="s">
        <v>31</v>
      </c>
      <c r="M808" s="1">
        <v>9</v>
      </c>
    </row>
    <row r="809" spans="1:13" ht="90" customHeight="1" x14ac:dyDescent="0.3">
      <c r="A809" s="8"/>
      <c r="B809" s="7"/>
      <c r="C809" s="7"/>
      <c r="D809" s="7"/>
      <c r="E809" s="7"/>
      <c r="F809" s="7"/>
      <c r="G809" s="7"/>
      <c r="H809" s="7"/>
      <c r="I809" s="1"/>
      <c r="J809" s="1"/>
      <c r="K809" s="1"/>
      <c r="L809" s="1"/>
      <c r="M809" s="1"/>
    </row>
    <row r="810" spans="1:13" ht="90" customHeight="1" x14ac:dyDescent="0.3">
      <c r="A810" s="8"/>
      <c r="B810" s="7"/>
      <c r="C810" s="7"/>
      <c r="D810" s="7"/>
      <c r="E810" s="7"/>
      <c r="F810" s="7"/>
      <c r="G810" s="7"/>
      <c r="H810" s="7"/>
      <c r="I810" s="1"/>
      <c r="J810" s="1"/>
      <c r="K810" s="1"/>
      <c r="L810" s="1"/>
      <c r="M810" s="1"/>
    </row>
    <row r="811" spans="1:13" ht="90" customHeight="1" x14ac:dyDescent="0.3">
      <c r="A811" s="8"/>
      <c r="B811" s="7"/>
      <c r="C811" s="7"/>
      <c r="D811" s="7"/>
      <c r="E811" s="7"/>
      <c r="F811" s="7"/>
      <c r="G811" s="7"/>
      <c r="H811" s="7"/>
      <c r="I811" s="1"/>
      <c r="J811" s="1"/>
      <c r="K811" s="1"/>
      <c r="L811" s="1"/>
      <c r="M811" s="1"/>
    </row>
    <row r="812" spans="1:13" ht="90" customHeight="1" x14ac:dyDescent="0.3">
      <c r="A812" s="8">
        <v>287</v>
      </c>
      <c r="B812" s="8" t="s">
        <v>944</v>
      </c>
      <c r="C812" s="8" t="s">
        <v>401</v>
      </c>
      <c r="D812" s="8" t="s">
        <v>410</v>
      </c>
      <c r="E812" s="6" t="s">
        <v>24</v>
      </c>
      <c r="F812" s="6" t="s">
        <v>25</v>
      </c>
      <c r="G812" s="8" t="s">
        <v>945</v>
      </c>
      <c r="H812" s="8" t="s">
        <v>946</v>
      </c>
      <c r="I812" s="4" t="s">
        <v>413</v>
      </c>
      <c r="J812" s="4">
        <v>0.99985730648040394</v>
      </c>
      <c r="K812" s="4" t="s">
        <v>29</v>
      </c>
      <c r="L812" s="4" t="s">
        <v>401</v>
      </c>
      <c r="M812" s="4">
        <v>36</v>
      </c>
    </row>
    <row r="813" spans="1:13" ht="90" customHeight="1" x14ac:dyDescent="0.3">
      <c r="A813" s="8"/>
      <c r="B813" s="7"/>
      <c r="C813" s="7"/>
      <c r="D813" s="7"/>
      <c r="E813" s="7"/>
      <c r="F813" s="7"/>
      <c r="G813" s="7"/>
      <c r="H813" s="7"/>
      <c r="I813" s="1" t="s">
        <v>947</v>
      </c>
      <c r="J813" s="1">
        <v>0.80804789066314697</v>
      </c>
      <c r="K813" s="1" t="s">
        <v>29</v>
      </c>
      <c r="L813" s="1" t="s">
        <v>948</v>
      </c>
      <c r="M813" s="1">
        <v>11</v>
      </c>
    </row>
    <row r="814" spans="1:13" ht="90" customHeight="1" x14ac:dyDescent="0.3">
      <c r="A814" s="8"/>
      <c r="B814" s="7"/>
      <c r="C814" s="7"/>
      <c r="D814" s="7"/>
      <c r="E814" s="7"/>
      <c r="F814" s="7"/>
      <c r="G814" s="7"/>
      <c r="H814" s="7"/>
      <c r="I814" s="1"/>
      <c r="J814" s="1"/>
      <c r="K814" s="1"/>
      <c r="L814" s="1"/>
      <c r="M814" s="1"/>
    </row>
    <row r="815" spans="1:13" ht="90" customHeight="1" x14ac:dyDescent="0.3">
      <c r="A815" s="8"/>
      <c r="B815" s="7"/>
      <c r="C815" s="7"/>
      <c r="D815" s="7"/>
      <c r="E815" s="7"/>
      <c r="F815" s="7"/>
      <c r="G815" s="7"/>
      <c r="H815" s="7"/>
      <c r="I815" s="1"/>
      <c r="J815" s="1"/>
      <c r="K815" s="1"/>
      <c r="L815" s="1"/>
      <c r="M815" s="1"/>
    </row>
    <row r="816" spans="1:13" ht="90" customHeight="1" x14ac:dyDescent="0.3">
      <c r="A816" s="8"/>
      <c r="B816" s="7"/>
      <c r="C816" s="7"/>
      <c r="D816" s="7"/>
      <c r="E816" s="7"/>
      <c r="F816" s="7"/>
      <c r="G816" s="7"/>
      <c r="H816" s="7"/>
      <c r="I816" s="1"/>
      <c r="J816" s="1"/>
      <c r="K816" s="1"/>
      <c r="L816" s="1"/>
      <c r="M816" s="1"/>
    </row>
    <row r="817" spans="1:13" ht="90" customHeight="1" x14ac:dyDescent="0.3">
      <c r="A817" s="8">
        <v>292</v>
      </c>
      <c r="B817" s="8" t="s">
        <v>949</v>
      </c>
      <c r="C817" s="8" t="s">
        <v>950</v>
      </c>
      <c r="D817" s="8" t="s">
        <v>951</v>
      </c>
      <c r="E817" s="6" t="s">
        <v>17</v>
      </c>
      <c r="F817" s="6" t="s">
        <v>18</v>
      </c>
      <c r="G817" s="8" t="s">
        <v>952</v>
      </c>
      <c r="H817" s="8" t="s">
        <v>20</v>
      </c>
      <c r="I817" s="1"/>
      <c r="J817" s="1"/>
      <c r="K817" s="1"/>
      <c r="L817" s="1"/>
      <c r="M817" s="1"/>
    </row>
    <row r="818" spans="1:13" ht="90" customHeight="1" x14ac:dyDescent="0.3">
      <c r="A818" s="8"/>
      <c r="B818" s="7"/>
      <c r="C818" s="7"/>
      <c r="D818" s="7"/>
      <c r="E818" s="7"/>
      <c r="F818" s="7"/>
      <c r="G818" s="7"/>
      <c r="H818" s="7"/>
      <c r="I818" s="1"/>
      <c r="J818" s="1"/>
      <c r="K818" s="1"/>
      <c r="L818" s="1"/>
      <c r="M818" s="1"/>
    </row>
    <row r="819" spans="1:13" ht="90" customHeight="1" x14ac:dyDescent="0.3">
      <c r="A819" s="8"/>
      <c r="B819" s="7"/>
      <c r="C819" s="7"/>
      <c r="D819" s="7"/>
      <c r="E819" s="7"/>
      <c r="F819" s="7"/>
      <c r="G819" s="7"/>
      <c r="H819" s="7"/>
      <c r="I819" s="1"/>
      <c r="J819" s="1"/>
      <c r="K819" s="1"/>
      <c r="L819" s="1"/>
      <c r="M819" s="1"/>
    </row>
    <row r="820" spans="1:13" ht="90" customHeight="1" x14ac:dyDescent="0.3">
      <c r="A820" s="8"/>
      <c r="B820" s="7"/>
      <c r="C820" s="7"/>
      <c r="D820" s="7"/>
      <c r="E820" s="7"/>
      <c r="F820" s="7"/>
      <c r="G820" s="7"/>
      <c r="H820" s="7"/>
      <c r="I820" s="1"/>
      <c r="J820" s="1"/>
      <c r="K820" s="1"/>
      <c r="L820" s="1"/>
      <c r="M820" s="1"/>
    </row>
    <row r="821" spans="1:13" ht="90" customHeight="1" x14ac:dyDescent="0.3">
      <c r="A821" s="8"/>
      <c r="B821" s="7"/>
      <c r="C821" s="7"/>
      <c r="D821" s="7"/>
      <c r="E821" s="7"/>
      <c r="F821" s="7"/>
      <c r="G821" s="7"/>
      <c r="H821" s="7"/>
      <c r="I821" s="1"/>
      <c r="J821" s="1"/>
      <c r="K821" s="1"/>
      <c r="L821" s="1"/>
      <c r="M821" s="1"/>
    </row>
    <row r="822" spans="1:13" ht="90" customHeight="1" x14ac:dyDescent="0.3">
      <c r="A822" s="8">
        <v>299</v>
      </c>
      <c r="B822" s="8" t="s">
        <v>953</v>
      </c>
      <c r="C822" s="8" t="s">
        <v>515</v>
      </c>
      <c r="D822" s="8" t="s">
        <v>16</v>
      </c>
      <c r="E822" s="6" t="s">
        <v>24</v>
      </c>
      <c r="F822" s="6" t="s">
        <v>25</v>
      </c>
      <c r="G822" s="8" t="s">
        <v>954</v>
      </c>
      <c r="H822" s="8" t="s">
        <v>955</v>
      </c>
      <c r="I822" s="4" t="s">
        <v>771</v>
      </c>
      <c r="J822" s="4">
        <v>0.97755521113380006</v>
      </c>
      <c r="K822" s="4" t="s">
        <v>29</v>
      </c>
      <c r="L822" s="4" t="s">
        <v>515</v>
      </c>
      <c r="M822" s="4">
        <v>1</v>
      </c>
    </row>
    <row r="823" spans="1:13" ht="90" customHeight="1" x14ac:dyDescent="0.3">
      <c r="A823" s="8"/>
      <c r="B823" s="7"/>
      <c r="C823" s="7"/>
      <c r="D823" s="7"/>
      <c r="E823" s="7"/>
      <c r="F823" s="7"/>
      <c r="G823" s="7"/>
      <c r="H823" s="7"/>
      <c r="I823" s="1"/>
      <c r="J823" s="1"/>
      <c r="K823" s="1"/>
      <c r="L823" s="1"/>
      <c r="M823" s="1"/>
    </row>
    <row r="824" spans="1:13" ht="90" customHeight="1" x14ac:dyDescent="0.3">
      <c r="A824" s="8"/>
      <c r="B824" s="7"/>
      <c r="C824" s="7"/>
      <c r="D824" s="7"/>
      <c r="E824" s="7"/>
      <c r="F824" s="7"/>
      <c r="G824" s="7"/>
      <c r="H824" s="7"/>
      <c r="I824" s="1"/>
      <c r="J824" s="1"/>
      <c r="K824" s="1"/>
      <c r="L824" s="1"/>
      <c r="M824" s="1"/>
    </row>
    <row r="825" spans="1:13" ht="90" customHeight="1" x14ac:dyDescent="0.3">
      <c r="A825" s="8"/>
      <c r="B825" s="7"/>
      <c r="C825" s="7"/>
      <c r="D825" s="7"/>
      <c r="E825" s="7"/>
      <c r="F825" s="7"/>
      <c r="G825" s="7"/>
      <c r="H825" s="7"/>
      <c r="I825" s="1"/>
      <c r="J825" s="1"/>
      <c r="K825" s="1"/>
      <c r="L825" s="1"/>
      <c r="M825" s="1"/>
    </row>
    <row r="826" spans="1:13" ht="90" customHeight="1" x14ac:dyDescent="0.3">
      <c r="A826" s="8"/>
      <c r="B826" s="7"/>
      <c r="C826" s="7"/>
      <c r="D826" s="7"/>
      <c r="E826" s="7"/>
      <c r="F826" s="7"/>
      <c r="G826" s="7"/>
      <c r="H826" s="7"/>
      <c r="I826" s="1"/>
      <c r="J826" s="1"/>
      <c r="K826" s="1"/>
      <c r="L826" s="1"/>
      <c r="M826" s="1"/>
    </row>
    <row r="827" spans="1:13" ht="90" customHeight="1" x14ac:dyDescent="0.3">
      <c r="A827" s="8">
        <v>303</v>
      </c>
      <c r="B827" s="8" t="s">
        <v>956</v>
      </c>
      <c r="C827" s="8" t="s">
        <v>114</v>
      </c>
      <c r="D827" s="8" t="s">
        <v>16</v>
      </c>
      <c r="E827" s="6" t="s">
        <v>24</v>
      </c>
      <c r="F827" s="6" t="s">
        <v>25</v>
      </c>
      <c r="G827" s="8" t="s">
        <v>957</v>
      </c>
      <c r="H827" s="8" t="s">
        <v>958</v>
      </c>
      <c r="I827" s="4" t="s">
        <v>959</v>
      </c>
      <c r="J827" s="4">
        <v>0.99999761581420898</v>
      </c>
      <c r="K827" s="4" t="s">
        <v>29</v>
      </c>
      <c r="L827" s="4" t="s">
        <v>114</v>
      </c>
      <c r="M827" s="4">
        <v>1</v>
      </c>
    </row>
    <row r="828" spans="1:13" ht="90" customHeight="1" x14ac:dyDescent="0.3">
      <c r="A828" s="8"/>
      <c r="B828" s="7"/>
      <c r="C828" s="7"/>
      <c r="D828" s="7"/>
      <c r="E828" s="7"/>
      <c r="F828" s="7"/>
      <c r="G828" s="7"/>
      <c r="H828" s="7"/>
      <c r="I828" s="1"/>
      <c r="J828" s="1"/>
      <c r="K828" s="1"/>
      <c r="L828" s="1"/>
      <c r="M828" s="1"/>
    </row>
    <row r="829" spans="1:13" ht="90" customHeight="1" x14ac:dyDescent="0.3">
      <c r="A829" s="8"/>
      <c r="B829" s="7"/>
      <c r="C829" s="7"/>
      <c r="D829" s="7"/>
      <c r="E829" s="7"/>
      <c r="F829" s="7"/>
      <c r="G829" s="7"/>
      <c r="H829" s="7"/>
      <c r="I829" s="1"/>
      <c r="J829" s="1"/>
      <c r="K829" s="1"/>
      <c r="L829" s="1"/>
      <c r="M829" s="1"/>
    </row>
    <row r="830" spans="1:13" ht="90" customHeight="1" x14ac:dyDescent="0.3">
      <c r="A830" s="8"/>
      <c r="B830" s="7"/>
      <c r="C830" s="7"/>
      <c r="D830" s="7"/>
      <c r="E830" s="7"/>
      <c r="F830" s="7"/>
      <c r="G830" s="7"/>
      <c r="H830" s="7"/>
      <c r="I830" s="1"/>
      <c r="J830" s="1"/>
      <c r="K830" s="1"/>
      <c r="L830" s="1"/>
      <c r="M830" s="1"/>
    </row>
    <row r="831" spans="1:13" ht="90" customHeight="1" x14ac:dyDescent="0.3">
      <c r="A831" s="8"/>
      <c r="B831" s="7"/>
      <c r="C831" s="7"/>
      <c r="D831" s="7"/>
      <c r="E831" s="7"/>
      <c r="F831" s="7"/>
      <c r="G831" s="7"/>
      <c r="H831" s="7"/>
      <c r="I831" s="1"/>
      <c r="J831" s="1"/>
      <c r="K831" s="1"/>
      <c r="L831" s="1"/>
      <c r="M831" s="1"/>
    </row>
    <row r="832" spans="1:13" ht="90" customHeight="1" x14ac:dyDescent="0.3">
      <c r="A832" s="8">
        <v>304</v>
      </c>
      <c r="B832" s="8" t="s">
        <v>960</v>
      </c>
      <c r="C832" s="8" t="s">
        <v>114</v>
      </c>
      <c r="D832" s="8" t="s">
        <v>74</v>
      </c>
      <c r="E832" s="6" t="s">
        <v>24</v>
      </c>
      <c r="F832" s="6" t="s">
        <v>25</v>
      </c>
      <c r="G832" s="8" t="s">
        <v>961</v>
      </c>
      <c r="H832" s="8" t="s">
        <v>962</v>
      </c>
      <c r="I832" s="4" t="s">
        <v>963</v>
      </c>
      <c r="J832" s="4">
        <v>0.99999904632568359</v>
      </c>
      <c r="K832" s="4" t="s">
        <v>29</v>
      </c>
      <c r="L832" s="4" t="s">
        <v>114</v>
      </c>
      <c r="M832" s="4">
        <v>4</v>
      </c>
    </row>
    <row r="833" spans="1:13" ht="90" customHeight="1" x14ac:dyDescent="0.3">
      <c r="A833" s="8"/>
      <c r="B833" s="7"/>
      <c r="C833" s="7"/>
      <c r="D833" s="7"/>
      <c r="E833" s="7"/>
      <c r="F833" s="7"/>
      <c r="G833" s="7"/>
      <c r="H833" s="7"/>
      <c r="I833" s="2" t="s">
        <v>964</v>
      </c>
      <c r="J833" s="2">
        <v>0.99985504150390625</v>
      </c>
      <c r="K833" s="2" t="s">
        <v>29</v>
      </c>
      <c r="L833" s="2" t="s">
        <v>965</v>
      </c>
      <c r="M833" s="2">
        <v>31</v>
      </c>
    </row>
    <row r="834" spans="1:13" ht="90" customHeight="1" x14ac:dyDescent="0.3">
      <c r="A834" s="8"/>
      <c r="B834" s="7"/>
      <c r="C834" s="7"/>
      <c r="D834" s="7"/>
      <c r="E834" s="7"/>
      <c r="F834" s="7"/>
      <c r="G834" s="7"/>
      <c r="H834" s="7"/>
      <c r="I834" s="2" t="s">
        <v>966</v>
      </c>
      <c r="J834" s="2">
        <v>0.99965059757232666</v>
      </c>
      <c r="K834" s="2" t="s">
        <v>29</v>
      </c>
      <c r="L834" s="2" t="s">
        <v>967</v>
      </c>
      <c r="M834" s="2">
        <v>12</v>
      </c>
    </row>
    <row r="835" spans="1:13" ht="90" customHeight="1" x14ac:dyDescent="0.3">
      <c r="A835" s="8"/>
      <c r="B835" s="7"/>
      <c r="C835" s="7"/>
      <c r="D835" s="7"/>
      <c r="E835" s="7"/>
      <c r="F835" s="7"/>
      <c r="G835" s="7"/>
      <c r="H835" s="7"/>
      <c r="I835" s="1" t="s">
        <v>968</v>
      </c>
      <c r="J835" s="1">
        <v>0.99819666147232056</v>
      </c>
      <c r="K835" s="1" t="s">
        <v>29</v>
      </c>
      <c r="L835" s="1" t="s">
        <v>969</v>
      </c>
      <c r="M835" s="1">
        <v>10</v>
      </c>
    </row>
    <row r="836" spans="1:13" ht="90" customHeight="1" x14ac:dyDescent="0.3">
      <c r="A836" s="8"/>
      <c r="B836" s="7"/>
      <c r="C836" s="7"/>
      <c r="D836" s="7"/>
      <c r="E836" s="7"/>
      <c r="F836" s="7"/>
      <c r="G836" s="7"/>
      <c r="H836" s="7"/>
      <c r="I836" s="1" t="s">
        <v>970</v>
      </c>
      <c r="J836" s="1">
        <v>0.99784386157989502</v>
      </c>
      <c r="K836" s="1" t="s">
        <v>29</v>
      </c>
      <c r="L836" s="1" t="s">
        <v>971</v>
      </c>
      <c r="M836" s="1">
        <v>12</v>
      </c>
    </row>
    <row r="837" spans="1:13" ht="90" customHeight="1" x14ac:dyDescent="0.3">
      <c r="A837" s="8">
        <v>305</v>
      </c>
      <c r="B837" s="8" t="s">
        <v>972</v>
      </c>
      <c r="C837" s="8" t="s">
        <v>973</v>
      </c>
      <c r="D837" s="8" t="s">
        <v>974</v>
      </c>
      <c r="E837" s="6" t="s">
        <v>17</v>
      </c>
      <c r="F837" s="6" t="s">
        <v>18</v>
      </c>
      <c r="G837" s="8" t="s">
        <v>975</v>
      </c>
      <c r="H837" s="8" t="s">
        <v>976</v>
      </c>
      <c r="I837" s="2" t="s">
        <v>977</v>
      </c>
      <c r="J837" s="2">
        <v>0.99999642372131348</v>
      </c>
      <c r="K837" s="2" t="s">
        <v>29</v>
      </c>
      <c r="L837" s="2" t="s">
        <v>114</v>
      </c>
      <c r="M837" s="2">
        <v>6</v>
      </c>
    </row>
    <row r="838" spans="1:13" ht="90" customHeight="1" x14ac:dyDescent="0.3">
      <c r="A838" s="8"/>
      <c r="B838" s="7"/>
      <c r="C838" s="7"/>
      <c r="D838" s="7"/>
      <c r="E838" s="7"/>
      <c r="F838" s="7"/>
      <c r="G838" s="7"/>
      <c r="H838" s="7"/>
      <c r="I838" s="1"/>
      <c r="J838" s="1"/>
      <c r="K838" s="1"/>
      <c r="L838" s="1"/>
      <c r="M838" s="1"/>
    </row>
    <row r="839" spans="1:13" ht="90" customHeight="1" x14ac:dyDescent="0.3">
      <c r="A839" s="8"/>
      <c r="B839" s="7"/>
      <c r="C839" s="7"/>
      <c r="D839" s="7"/>
      <c r="E839" s="7"/>
      <c r="F839" s="7"/>
      <c r="G839" s="7"/>
      <c r="H839" s="7"/>
      <c r="I839" s="1"/>
      <c r="J839" s="1"/>
      <c r="K839" s="1"/>
      <c r="L839" s="1"/>
      <c r="M839" s="1"/>
    </row>
    <row r="840" spans="1:13" ht="90" customHeight="1" x14ac:dyDescent="0.3">
      <c r="A840" s="8"/>
      <c r="B840" s="7"/>
      <c r="C840" s="7"/>
      <c r="D840" s="7"/>
      <c r="E840" s="7"/>
      <c r="F840" s="7"/>
      <c r="G840" s="7"/>
      <c r="H840" s="7"/>
      <c r="I840" s="1"/>
      <c r="J840" s="1"/>
      <c r="K840" s="1"/>
      <c r="L840" s="1"/>
      <c r="M840" s="1"/>
    </row>
    <row r="841" spans="1:13" ht="90" customHeight="1" x14ac:dyDescent="0.3">
      <c r="A841" s="8"/>
      <c r="B841" s="7"/>
      <c r="C841" s="7"/>
      <c r="D841" s="7"/>
      <c r="E841" s="7"/>
      <c r="F841" s="7"/>
      <c r="G841" s="7"/>
      <c r="H841" s="7"/>
      <c r="I841" s="1"/>
      <c r="J841" s="1"/>
      <c r="K841" s="1"/>
      <c r="L841" s="1"/>
      <c r="M841" s="1"/>
    </row>
    <row r="842" spans="1:13" ht="90" customHeight="1" x14ac:dyDescent="0.3">
      <c r="A842" s="8">
        <v>306</v>
      </c>
      <c r="B842" s="8" t="s">
        <v>978</v>
      </c>
      <c r="C842" s="8" t="s">
        <v>114</v>
      </c>
      <c r="D842" s="8" t="s">
        <v>235</v>
      </c>
      <c r="E842" s="6" t="s">
        <v>24</v>
      </c>
      <c r="F842" s="6" t="s">
        <v>25</v>
      </c>
      <c r="G842" s="8" t="s">
        <v>979</v>
      </c>
      <c r="H842" s="8" t="s">
        <v>980</v>
      </c>
      <c r="I842" s="4" t="s">
        <v>273</v>
      </c>
      <c r="J842" s="4">
        <v>0.99771833419799805</v>
      </c>
      <c r="K842" s="4" t="s">
        <v>29</v>
      </c>
      <c r="L842" s="4" t="s">
        <v>114</v>
      </c>
      <c r="M842" s="4">
        <v>7</v>
      </c>
    </row>
    <row r="843" spans="1:13" ht="90" customHeight="1" x14ac:dyDescent="0.3">
      <c r="A843" s="8"/>
      <c r="B843" s="7"/>
      <c r="C843" s="7"/>
      <c r="D843" s="7"/>
      <c r="E843" s="7"/>
      <c r="F843" s="7"/>
      <c r="G843" s="7"/>
      <c r="H843" s="7"/>
      <c r="I843" s="1" t="s">
        <v>275</v>
      </c>
      <c r="J843" s="1">
        <v>0.96330595016479492</v>
      </c>
      <c r="K843" s="1" t="s">
        <v>29</v>
      </c>
      <c r="L843" s="1" t="s">
        <v>276</v>
      </c>
      <c r="M843" s="1">
        <v>1</v>
      </c>
    </row>
    <row r="844" spans="1:13" ht="90" customHeight="1" x14ac:dyDescent="0.3">
      <c r="A844" s="8"/>
      <c r="B844" s="7"/>
      <c r="C844" s="7"/>
      <c r="D844" s="7"/>
      <c r="E844" s="7"/>
      <c r="F844" s="7"/>
      <c r="G844" s="7"/>
      <c r="H844" s="7"/>
      <c r="I844" s="1"/>
      <c r="J844" s="1"/>
      <c r="K844" s="1"/>
      <c r="L844" s="1"/>
      <c r="M844" s="1"/>
    </row>
    <row r="845" spans="1:13" ht="90" customHeight="1" x14ac:dyDescent="0.3">
      <c r="A845" s="8"/>
      <c r="B845" s="7"/>
      <c r="C845" s="7"/>
      <c r="D845" s="7"/>
      <c r="E845" s="7"/>
      <c r="F845" s="7"/>
      <c r="G845" s="7"/>
      <c r="H845" s="7"/>
      <c r="I845" s="1"/>
      <c r="J845" s="1"/>
      <c r="K845" s="1"/>
      <c r="L845" s="1"/>
      <c r="M845" s="1"/>
    </row>
    <row r="846" spans="1:13" ht="90" customHeight="1" x14ac:dyDescent="0.3">
      <c r="A846" s="8"/>
      <c r="B846" s="7"/>
      <c r="C846" s="7"/>
      <c r="D846" s="7"/>
      <c r="E846" s="7"/>
      <c r="F846" s="7"/>
      <c r="G846" s="7"/>
      <c r="H846" s="7"/>
      <c r="I846" s="1"/>
      <c r="J846" s="1"/>
      <c r="K846" s="1"/>
      <c r="L846" s="1"/>
      <c r="M846" s="1"/>
    </row>
    <row r="847" spans="1:13" ht="90" customHeight="1" x14ac:dyDescent="0.3">
      <c r="A847" s="8">
        <v>307</v>
      </c>
      <c r="B847" s="8" t="s">
        <v>981</v>
      </c>
      <c r="C847" s="8" t="s">
        <v>114</v>
      </c>
      <c r="D847" s="8" t="s">
        <v>345</v>
      </c>
      <c r="E847" s="6" t="s">
        <v>24</v>
      </c>
      <c r="F847" s="6" t="s">
        <v>25</v>
      </c>
      <c r="G847" s="8" t="s">
        <v>982</v>
      </c>
      <c r="H847" s="8" t="s">
        <v>983</v>
      </c>
      <c r="I847" s="4" t="s">
        <v>984</v>
      </c>
      <c r="J847" s="4">
        <v>0.99947446584701538</v>
      </c>
      <c r="K847" s="4" t="s">
        <v>29</v>
      </c>
      <c r="L847" s="4" t="s">
        <v>114</v>
      </c>
      <c r="M847" s="4">
        <v>10</v>
      </c>
    </row>
    <row r="848" spans="1:13" ht="90" customHeight="1" x14ac:dyDescent="0.3">
      <c r="A848" s="8"/>
      <c r="B848" s="7"/>
      <c r="C848" s="7"/>
      <c r="D848" s="7"/>
      <c r="E848" s="7"/>
      <c r="F848" s="7"/>
      <c r="G848" s="7"/>
      <c r="H848" s="7"/>
      <c r="I848" s="1"/>
      <c r="J848" s="1"/>
      <c r="K848" s="1"/>
      <c r="L848" s="1"/>
      <c r="M848" s="1"/>
    </row>
    <row r="849" spans="1:13" ht="90" customHeight="1" x14ac:dyDescent="0.3">
      <c r="A849" s="8"/>
      <c r="B849" s="7"/>
      <c r="C849" s="7"/>
      <c r="D849" s="7"/>
      <c r="E849" s="7"/>
      <c r="F849" s="7"/>
      <c r="G849" s="7"/>
      <c r="H849" s="7"/>
      <c r="I849" s="1"/>
      <c r="J849" s="1"/>
      <c r="K849" s="1"/>
      <c r="L849" s="1"/>
      <c r="M849" s="1"/>
    </row>
    <row r="850" spans="1:13" ht="90" customHeight="1" x14ac:dyDescent="0.3">
      <c r="A850" s="8"/>
      <c r="B850" s="7"/>
      <c r="C850" s="7"/>
      <c r="D850" s="7"/>
      <c r="E850" s="7"/>
      <c r="F850" s="7"/>
      <c r="G850" s="7"/>
      <c r="H850" s="7"/>
      <c r="I850" s="1"/>
      <c r="J850" s="1"/>
      <c r="K850" s="1"/>
      <c r="L850" s="1"/>
      <c r="M850" s="1"/>
    </row>
    <row r="851" spans="1:13" ht="90" customHeight="1" x14ac:dyDescent="0.3">
      <c r="A851" s="8"/>
      <c r="B851" s="7"/>
      <c r="C851" s="7"/>
      <c r="D851" s="7"/>
      <c r="E851" s="7"/>
      <c r="F851" s="7"/>
      <c r="G851" s="7"/>
      <c r="H851" s="7"/>
      <c r="I851" s="1"/>
      <c r="J851" s="1"/>
      <c r="K851" s="1"/>
      <c r="L851" s="1"/>
      <c r="M851" s="1"/>
    </row>
    <row r="852" spans="1:13" ht="90" customHeight="1" x14ac:dyDescent="0.3">
      <c r="A852" s="8">
        <v>308</v>
      </c>
      <c r="B852" s="8" t="s">
        <v>985</v>
      </c>
      <c r="C852" s="8" t="s">
        <v>114</v>
      </c>
      <c r="D852" s="8" t="s">
        <v>345</v>
      </c>
      <c r="E852" s="6" t="s">
        <v>24</v>
      </c>
      <c r="F852" s="6" t="s">
        <v>25</v>
      </c>
      <c r="G852" s="8" t="s">
        <v>986</v>
      </c>
      <c r="H852" s="8" t="s">
        <v>987</v>
      </c>
      <c r="I852" s="4" t="s">
        <v>984</v>
      </c>
      <c r="J852" s="4">
        <v>0.99999737739562988</v>
      </c>
      <c r="K852" s="4" t="s">
        <v>29</v>
      </c>
      <c r="L852" s="4" t="s">
        <v>114</v>
      </c>
      <c r="M852" s="4">
        <v>10</v>
      </c>
    </row>
    <row r="853" spans="1:13" ht="90" customHeight="1" x14ac:dyDescent="0.3">
      <c r="A853" s="8"/>
      <c r="B853" s="7"/>
      <c r="C853" s="7"/>
      <c r="D853" s="7"/>
      <c r="E853" s="7"/>
      <c r="F853" s="7"/>
      <c r="G853" s="7"/>
      <c r="H853" s="7"/>
      <c r="I853" s="1" t="s">
        <v>988</v>
      </c>
      <c r="J853" s="1">
        <v>0.73159593343734741</v>
      </c>
      <c r="K853" s="1" t="s">
        <v>29</v>
      </c>
      <c r="L853" s="1" t="s">
        <v>423</v>
      </c>
      <c r="M853" s="1">
        <v>7</v>
      </c>
    </row>
    <row r="854" spans="1:13" ht="90" customHeight="1" x14ac:dyDescent="0.3">
      <c r="A854" s="8"/>
      <c r="B854" s="7"/>
      <c r="C854" s="7"/>
      <c r="D854" s="7"/>
      <c r="E854" s="7"/>
      <c r="F854" s="7"/>
      <c r="G854" s="7"/>
      <c r="H854" s="7"/>
      <c r="I854" s="1"/>
      <c r="J854" s="1"/>
      <c r="K854" s="1"/>
      <c r="L854" s="1"/>
      <c r="M854" s="1"/>
    </row>
    <row r="855" spans="1:13" ht="90" customHeight="1" x14ac:dyDescent="0.3">
      <c r="A855" s="8"/>
      <c r="B855" s="7"/>
      <c r="C855" s="7"/>
      <c r="D855" s="7"/>
      <c r="E855" s="7"/>
      <c r="F855" s="7"/>
      <c r="G855" s="7"/>
      <c r="H855" s="7"/>
      <c r="I855" s="1"/>
      <c r="J855" s="1"/>
      <c r="K855" s="1"/>
      <c r="L855" s="1"/>
      <c r="M855" s="1"/>
    </row>
    <row r="856" spans="1:13" ht="90" customHeight="1" x14ac:dyDescent="0.3">
      <c r="A856" s="8"/>
      <c r="B856" s="7"/>
      <c r="C856" s="7"/>
      <c r="D856" s="7"/>
      <c r="E856" s="7"/>
      <c r="F856" s="7"/>
      <c r="G856" s="7"/>
      <c r="H856" s="7"/>
      <c r="I856" s="1"/>
      <c r="J856" s="1"/>
      <c r="K856" s="1"/>
      <c r="L856" s="1"/>
      <c r="M856" s="1"/>
    </row>
    <row r="857" spans="1:13" ht="90" customHeight="1" x14ac:dyDescent="0.3">
      <c r="A857" s="8">
        <v>309</v>
      </c>
      <c r="B857" s="8" t="s">
        <v>989</v>
      </c>
      <c r="C857" s="8" t="s">
        <v>114</v>
      </c>
      <c r="D857" s="8" t="s">
        <v>990</v>
      </c>
      <c r="E857" s="6" t="s">
        <v>24</v>
      </c>
      <c r="F857" s="6" t="s">
        <v>25</v>
      </c>
      <c r="G857" s="8" t="s">
        <v>991</v>
      </c>
      <c r="H857" s="8" t="s">
        <v>992</v>
      </c>
      <c r="I857" s="4" t="s">
        <v>993</v>
      </c>
      <c r="J857" s="4">
        <v>0.9999992847442627</v>
      </c>
      <c r="K857" s="4" t="s">
        <v>29</v>
      </c>
      <c r="L857" s="4" t="s">
        <v>114</v>
      </c>
      <c r="M857" s="4">
        <v>21</v>
      </c>
    </row>
    <row r="858" spans="1:13" ht="90" customHeight="1" x14ac:dyDescent="0.3">
      <c r="A858" s="8"/>
      <c r="B858" s="7"/>
      <c r="C858" s="7"/>
      <c r="D858" s="7"/>
      <c r="E858" s="7"/>
      <c r="F858" s="7"/>
      <c r="G858" s="7"/>
      <c r="H858" s="7"/>
      <c r="I858" s="2" t="s">
        <v>994</v>
      </c>
      <c r="J858" s="2">
        <v>0.99920624494552612</v>
      </c>
      <c r="K858" s="2" t="s">
        <v>29</v>
      </c>
      <c r="L858" s="2" t="s">
        <v>455</v>
      </c>
      <c r="M858" s="2">
        <v>317</v>
      </c>
    </row>
    <row r="859" spans="1:13" ht="90" customHeight="1" x14ac:dyDescent="0.3">
      <c r="A859" s="8"/>
      <c r="B859" s="7"/>
      <c r="C859" s="7"/>
      <c r="D859" s="7"/>
      <c r="E859" s="7"/>
      <c r="F859" s="7"/>
      <c r="G859" s="7"/>
      <c r="H859" s="7"/>
      <c r="I859" s="2" t="s">
        <v>995</v>
      </c>
      <c r="J859" s="2">
        <v>0.99894851446151733</v>
      </c>
      <c r="K859" s="2" t="s">
        <v>29</v>
      </c>
      <c r="L859" s="2" t="s">
        <v>332</v>
      </c>
      <c r="M859" s="2">
        <v>427</v>
      </c>
    </row>
    <row r="860" spans="1:13" ht="90" customHeight="1" x14ac:dyDescent="0.3">
      <c r="A860" s="8"/>
      <c r="B860" s="7"/>
      <c r="C860" s="7"/>
      <c r="D860" s="7"/>
      <c r="E860" s="7"/>
      <c r="F860" s="7"/>
      <c r="G860" s="7"/>
      <c r="H860" s="7"/>
      <c r="I860" s="1" t="s">
        <v>996</v>
      </c>
      <c r="J860" s="1">
        <v>0.9988023042678833</v>
      </c>
      <c r="K860" s="1" t="s">
        <v>29</v>
      </c>
      <c r="L860" s="1" t="s">
        <v>130</v>
      </c>
      <c r="M860" s="1">
        <v>398</v>
      </c>
    </row>
    <row r="861" spans="1:13" ht="90" customHeight="1" x14ac:dyDescent="0.3">
      <c r="A861" s="8"/>
      <c r="B861" s="7"/>
      <c r="C861" s="7"/>
      <c r="D861" s="7"/>
      <c r="E861" s="7"/>
      <c r="F861" s="7"/>
      <c r="G861" s="7"/>
      <c r="H861" s="7"/>
      <c r="I861" s="1" t="s">
        <v>997</v>
      </c>
      <c r="J861" s="1">
        <v>0.99878031015396118</v>
      </c>
      <c r="K861" s="1" t="s">
        <v>29</v>
      </c>
      <c r="L861" s="1" t="s">
        <v>455</v>
      </c>
      <c r="M861" s="1">
        <v>307</v>
      </c>
    </row>
    <row r="862" spans="1:13" ht="90" customHeight="1" x14ac:dyDescent="0.3">
      <c r="A862" s="8">
        <v>310</v>
      </c>
      <c r="B862" s="8" t="s">
        <v>998</v>
      </c>
      <c r="C862" s="8" t="s">
        <v>114</v>
      </c>
      <c r="D862" s="8" t="s">
        <v>23</v>
      </c>
      <c r="E862" s="6" t="s">
        <v>24</v>
      </c>
      <c r="F862" s="6" t="s">
        <v>25</v>
      </c>
      <c r="G862" s="8" t="s">
        <v>999</v>
      </c>
      <c r="H862" s="8" t="s">
        <v>1000</v>
      </c>
      <c r="I862" s="4" t="s">
        <v>1001</v>
      </c>
      <c r="J862" s="4">
        <v>0.9999992847442627</v>
      </c>
      <c r="K862" s="4" t="s">
        <v>29</v>
      </c>
      <c r="L862" s="4" t="s">
        <v>114</v>
      </c>
      <c r="M862" s="4">
        <v>22</v>
      </c>
    </row>
    <row r="863" spans="1:13" ht="90" customHeight="1" x14ac:dyDescent="0.3">
      <c r="A863" s="8"/>
      <c r="B863" s="7"/>
      <c r="C863" s="7"/>
      <c r="D863" s="7"/>
      <c r="E863" s="7"/>
      <c r="F863" s="7"/>
      <c r="G863" s="7"/>
      <c r="H863" s="7"/>
      <c r="I863" s="1" t="s">
        <v>1002</v>
      </c>
      <c r="J863" s="1">
        <v>0.99646914005279541</v>
      </c>
      <c r="K863" s="1" t="s">
        <v>29</v>
      </c>
      <c r="L863" s="1" t="s">
        <v>455</v>
      </c>
      <c r="M863" s="1">
        <v>379</v>
      </c>
    </row>
    <row r="864" spans="1:13" ht="90" customHeight="1" x14ac:dyDescent="0.3">
      <c r="A864" s="8"/>
      <c r="B864" s="7"/>
      <c r="C864" s="7"/>
      <c r="D864" s="7"/>
      <c r="E864" s="7"/>
      <c r="F864" s="7"/>
      <c r="G864" s="7"/>
      <c r="H864" s="7"/>
      <c r="I864" s="2" t="s">
        <v>1003</v>
      </c>
      <c r="J864" s="2">
        <v>0.99646087799850025</v>
      </c>
      <c r="K864" s="2" t="s">
        <v>65</v>
      </c>
      <c r="L864" s="2" t="s">
        <v>1004</v>
      </c>
      <c r="M864" s="2">
        <v>3</v>
      </c>
    </row>
    <row r="865" spans="1:13" ht="90" customHeight="1" x14ac:dyDescent="0.3">
      <c r="A865" s="8"/>
      <c r="B865" s="7"/>
      <c r="C865" s="7"/>
      <c r="D865" s="7"/>
      <c r="E865" s="7"/>
      <c r="F865" s="7"/>
      <c r="G865" s="7"/>
      <c r="H865" s="7"/>
      <c r="I865" s="1" t="s">
        <v>1005</v>
      </c>
      <c r="J865" s="1">
        <v>0.9963836669921875</v>
      </c>
      <c r="K865" s="1" t="s">
        <v>29</v>
      </c>
      <c r="L865" s="1" t="s">
        <v>455</v>
      </c>
      <c r="M865" s="1">
        <v>271</v>
      </c>
    </row>
    <row r="866" spans="1:13" ht="90" customHeight="1" x14ac:dyDescent="0.3">
      <c r="A866" s="8"/>
      <c r="B866" s="7"/>
      <c r="C866" s="7"/>
      <c r="D866" s="7"/>
      <c r="E866" s="7"/>
      <c r="F866" s="7"/>
      <c r="G866" s="7"/>
      <c r="H866" s="7"/>
      <c r="I866" s="1" t="s">
        <v>1006</v>
      </c>
      <c r="J866" s="1">
        <v>0.9943310022354126</v>
      </c>
      <c r="K866" s="1" t="s">
        <v>29</v>
      </c>
      <c r="L866" s="1" t="s">
        <v>455</v>
      </c>
      <c r="M866" s="1">
        <v>277</v>
      </c>
    </row>
    <row r="867" spans="1:13" ht="90" customHeight="1" x14ac:dyDescent="0.3">
      <c r="A867" s="8">
        <v>311</v>
      </c>
      <c r="B867" s="8" t="s">
        <v>1007</v>
      </c>
      <c r="C867" s="8" t="s">
        <v>114</v>
      </c>
      <c r="D867" s="8" t="s">
        <v>402</v>
      </c>
      <c r="E867" s="6" t="s">
        <v>24</v>
      </c>
      <c r="F867" s="6" t="s">
        <v>25</v>
      </c>
      <c r="G867" s="8" t="s">
        <v>1008</v>
      </c>
      <c r="H867" s="8" t="s">
        <v>1009</v>
      </c>
      <c r="I867" s="4" t="s">
        <v>1010</v>
      </c>
      <c r="J867" s="4">
        <v>0.99999892711639404</v>
      </c>
      <c r="K867" s="4" t="s">
        <v>29</v>
      </c>
      <c r="L867" s="4" t="s">
        <v>114</v>
      </c>
      <c r="M867" s="4">
        <v>23</v>
      </c>
    </row>
    <row r="868" spans="1:13" ht="90" customHeight="1" x14ac:dyDescent="0.3">
      <c r="A868" s="8"/>
      <c r="B868" s="7"/>
      <c r="C868" s="7"/>
      <c r="D868" s="7"/>
      <c r="E868" s="7"/>
      <c r="F868" s="7"/>
      <c r="G868" s="7"/>
      <c r="H868" s="7"/>
      <c r="I868" s="1"/>
      <c r="J868" s="1"/>
      <c r="K868" s="1"/>
      <c r="L868" s="1"/>
      <c r="M868" s="1"/>
    </row>
    <row r="869" spans="1:13" ht="90" customHeight="1" x14ac:dyDescent="0.3">
      <c r="A869" s="8"/>
      <c r="B869" s="7"/>
      <c r="C869" s="7"/>
      <c r="D869" s="7"/>
      <c r="E869" s="7"/>
      <c r="F869" s="7"/>
      <c r="G869" s="7"/>
      <c r="H869" s="7"/>
      <c r="I869" s="1"/>
      <c r="J869" s="1"/>
      <c r="K869" s="1"/>
      <c r="L869" s="1"/>
      <c r="M869" s="1"/>
    </row>
    <row r="870" spans="1:13" ht="90" customHeight="1" x14ac:dyDescent="0.3">
      <c r="A870" s="8"/>
      <c r="B870" s="7"/>
      <c r="C870" s="7"/>
      <c r="D870" s="7"/>
      <c r="E870" s="7"/>
      <c r="F870" s="7"/>
      <c r="G870" s="7"/>
      <c r="H870" s="7"/>
      <c r="I870" s="1"/>
      <c r="J870" s="1"/>
      <c r="K870" s="1"/>
      <c r="L870" s="1"/>
      <c r="M870" s="1"/>
    </row>
    <row r="871" spans="1:13" ht="90" customHeight="1" x14ac:dyDescent="0.3">
      <c r="A871" s="8"/>
      <c r="B871" s="7"/>
      <c r="C871" s="7"/>
      <c r="D871" s="7"/>
      <c r="E871" s="7"/>
      <c r="F871" s="7"/>
      <c r="G871" s="7"/>
      <c r="H871" s="7"/>
      <c r="I871" s="1"/>
      <c r="J871" s="1"/>
      <c r="K871" s="1"/>
      <c r="L871" s="1"/>
      <c r="M871" s="1"/>
    </row>
    <row r="872" spans="1:13" ht="90" customHeight="1" x14ac:dyDescent="0.3">
      <c r="A872" s="8">
        <v>312</v>
      </c>
      <c r="B872" s="8" t="s">
        <v>1011</v>
      </c>
      <c r="C872" s="8" t="s">
        <v>598</v>
      </c>
      <c r="D872" s="8" t="s">
        <v>534</v>
      </c>
      <c r="E872" s="6" t="s">
        <v>24</v>
      </c>
      <c r="F872" s="6" t="s">
        <v>25</v>
      </c>
      <c r="G872" s="8" t="s">
        <v>1012</v>
      </c>
      <c r="H872" s="8" t="s">
        <v>1013</v>
      </c>
      <c r="I872" s="2" t="s">
        <v>1014</v>
      </c>
      <c r="J872" s="2">
        <v>0.99991500377655029</v>
      </c>
      <c r="K872" s="2" t="s">
        <v>29</v>
      </c>
      <c r="L872" s="2" t="s">
        <v>114</v>
      </c>
      <c r="M872" s="2">
        <v>25</v>
      </c>
    </row>
    <row r="873" spans="1:13" ht="90" customHeight="1" x14ac:dyDescent="0.3">
      <c r="A873" s="8"/>
      <c r="B873" s="7"/>
      <c r="C873" s="7"/>
      <c r="D873" s="7"/>
      <c r="E873" s="7"/>
      <c r="F873" s="7"/>
      <c r="G873" s="7"/>
      <c r="H873" s="7"/>
      <c r="I873" s="4" t="s">
        <v>1015</v>
      </c>
      <c r="J873" s="4">
        <v>0.9986845850944519</v>
      </c>
      <c r="K873" s="4" t="s">
        <v>65</v>
      </c>
      <c r="L873" s="4" t="s">
        <v>598</v>
      </c>
      <c r="M873" s="4">
        <v>3</v>
      </c>
    </row>
    <row r="874" spans="1:13" ht="90" customHeight="1" x14ac:dyDescent="0.3">
      <c r="A874" s="8"/>
      <c r="B874" s="7"/>
      <c r="C874" s="7"/>
      <c r="D874" s="7"/>
      <c r="E874" s="7"/>
      <c r="F874" s="7"/>
      <c r="G874" s="7"/>
      <c r="H874" s="7"/>
      <c r="I874" s="5" t="s">
        <v>1016</v>
      </c>
      <c r="J874" s="5">
        <v>0.99806088209152222</v>
      </c>
      <c r="K874" s="5" t="s">
        <v>65</v>
      </c>
      <c r="L874" s="5" t="s">
        <v>598</v>
      </c>
      <c r="M874" s="5">
        <v>2</v>
      </c>
    </row>
    <row r="875" spans="1:13" ht="90" customHeight="1" x14ac:dyDescent="0.3">
      <c r="A875" s="8"/>
      <c r="B875" s="7"/>
      <c r="C875" s="7"/>
      <c r="D875" s="7"/>
      <c r="E875" s="7"/>
      <c r="F875" s="7"/>
      <c r="G875" s="7"/>
      <c r="H875" s="7"/>
      <c r="I875" s="1" t="s">
        <v>1017</v>
      </c>
      <c r="J875" s="1">
        <v>0.96047466993331909</v>
      </c>
      <c r="K875" s="1" t="s">
        <v>29</v>
      </c>
      <c r="L875" s="1" t="s">
        <v>114</v>
      </c>
      <c r="M875" s="1">
        <v>26</v>
      </c>
    </row>
    <row r="876" spans="1:13" ht="90" customHeight="1" x14ac:dyDescent="0.3">
      <c r="A876" s="8"/>
      <c r="B876" s="7"/>
      <c r="C876" s="7"/>
      <c r="D876" s="7"/>
      <c r="E876" s="7"/>
      <c r="F876" s="7"/>
      <c r="G876" s="7"/>
      <c r="H876" s="7"/>
      <c r="I876" s="1"/>
      <c r="J876" s="1"/>
      <c r="K876" s="1"/>
      <c r="L876" s="1"/>
      <c r="M876" s="1"/>
    </row>
    <row r="877" spans="1:13" ht="90" customHeight="1" x14ac:dyDescent="0.3">
      <c r="A877" s="8">
        <v>313</v>
      </c>
      <c r="B877" s="8" t="s">
        <v>1018</v>
      </c>
      <c r="C877" s="8" t="s">
        <v>401</v>
      </c>
      <c r="D877" s="8" t="s">
        <v>410</v>
      </c>
      <c r="E877" s="6" t="s">
        <v>24</v>
      </c>
      <c r="F877" s="6" t="s">
        <v>25</v>
      </c>
      <c r="G877" s="8" t="s">
        <v>1019</v>
      </c>
      <c r="H877" s="8" t="s">
        <v>1020</v>
      </c>
      <c r="I877" s="4" t="s">
        <v>413</v>
      </c>
      <c r="J877" s="4">
        <v>0.99204987287520985</v>
      </c>
      <c r="K877" s="4" t="s">
        <v>29</v>
      </c>
      <c r="L877" s="4" t="s">
        <v>401</v>
      </c>
      <c r="M877" s="4">
        <v>36</v>
      </c>
    </row>
    <row r="878" spans="1:13" ht="90" customHeight="1" x14ac:dyDescent="0.3">
      <c r="A878" s="8"/>
      <c r="B878" s="7"/>
      <c r="C878" s="7"/>
      <c r="D878" s="7"/>
      <c r="E878" s="7"/>
      <c r="F878" s="7"/>
      <c r="G878" s="7"/>
      <c r="H878" s="7"/>
      <c r="I878" s="1"/>
      <c r="J878" s="1"/>
      <c r="K878" s="1"/>
      <c r="L878" s="1"/>
      <c r="M878" s="1"/>
    </row>
    <row r="879" spans="1:13" ht="90" customHeight="1" x14ac:dyDescent="0.3">
      <c r="A879" s="8"/>
      <c r="B879" s="7"/>
      <c r="C879" s="7"/>
      <c r="D879" s="7"/>
      <c r="E879" s="7"/>
      <c r="F879" s="7"/>
      <c r="G879" s="7"/>
      <c r="H879" s="7"/>
      <c r="I879" s="1"/>
      <c r="J879" s="1"/>
      <c r="K879" s="1"/>
      <c r="L879" s="1"/>
      <c r="M879" s="1"/>
    </row>
    <row r="880" spans="1:13" ht="90" customHeight="1" x14ac:dyDescent="0.3">
      <c r="A880" s="8"/>
      <c r="B880" s="7"/>
      <c r="C880" s="7"/>
      <c r="D880" s="7"/>
      <c r="E880" s="7"/>
      <c r="F880" s="7"/>
      <c r="G880" s="7"/>
      <c r="H880" s="7"/>
      <c r="I880" s="1"/>
      <c r="J880" s="1"/>
      <c r="K880" s="1"/>
      <c r="L880" s="1"/>
      <c r="M880" s="1"/>
    </row>
    <row r="881" spans="1:13" ht="90" customHeight="1" x14ac:dyDescent="0.3">
      <c r="A881" s="8"/>
      <c r="B881" s="7"/>
      <c r="C881" s="7"/>
      <c r="D881" s="7"/>
      <c r="E881" s="7"/>
      <c r="F881" s="7"/>
      <c r="G881" s="7"/>
      <c r="H881" s="7"/>
      <c r="I881" s="1"/>
      <c r="J881" s="1"/>
      <c r="K881" s="1"/>
      <c r="L881" s="1"/>
      <c r="M881" s="1"/>
    </row>
    <row r="882" spans="1:13" ht="90" customHeight="1" x14ac:dyDescent="0.3">
      <c r="A882" s="8">
        <v>314</v>
      </c>
      <c r="B882" s="8" t="s">
        <v>1021</v>
      </c>
      <c r="C882" s="8" t="s">
        <v>1022</v>
      </c>
      <c r="D882" s="8" t="s">
        <v>471</v>
      </c>
      <c r="E882" s="6" t="s">
        <v>24</v>
      </c>
      <c r="F882" s="6" t="s">
        <v>25</v>
      </c>
      <c r="G882" s="8" t="s">
        <v>1023</v>
      </c>
      <c r="H882" s="8" t="s">
        <v>1024</v>
      </c>
      <c r="I882" s="4" t="s">
        <v>1025</v>
      </c>
      <c r="J882" s="4">
        <v>0.99981104840513957</v>
      </c>
      <c r="K882" s="4" t="s">
        <v>29</v>
      </c>
      <c r="L882" s="4" t="s">
        <v>1022</v>
      </c>
      <c r="M882" s="4">
        <v>1</v>
      </c>
    </row>
    <row r="883" spans="1:13" ht="90" customHeight="1" x14ac:dyDescent="0.3">
      <c r="A883" s="8"/>
      <c r="B883" s="7"/>
      <c r="C883" s="7"/>
      <c r="D883" s="7"/>
      <c r="E883" s="7"/>
      <c r="F883" s="7"/>
      <c r="G883" s="7"/>
      <c r="H883" s="7"/>
      <c r="I883" s="5" t="s">
        <v>1026</v>
      </c>
      <c r="J883" s="5">
        <v>0.99976092576980591</v>
      </c>
      <c r="K883" s="5" t="s">
        <v>29</v>
      </c>
      <c r="L883" s="5" t="s">
        <v>1022</v>
      </c>
      <c r="M883" s="5">
        <v>2</v>
      </c>
    </row>
    <row r="884" spans="1:13" ht="90" customHeight="1" x14ac:dyDescent="0.3">
      <c r="A884" s="8"/>
      <c r="B884" s="7"/>
      <c r="C884" s="7"/>
      <c r="D884" s="7"/>
      <c r="E884" s="7"/>
      <c r="F884" s="7"/>
      <c r="G884" s="7"/>
      <c r="H884" s="7"/>
      <c r="I884" s="1"/>
      <c r="J884" s="1"/>
      <c r="K884" s="1"/>
      <c r="L884" s="1"/>
      <c r="M884" s="1"/>
    </row>
    <row r="885" spans="1:13" ht="90" customHeight="1" x14ac:dyDescent="0.3">
      <c r="A885" s="8"/>
      <c r="B885" s="7"/>
      <c r="C885" s="7"/>
      <c r="D885" s="7"/>
      <c r="E885" s="7"/>
      <c r="F885" s="7"/>
      <c r="G885" s="7"/>
      <c r="H885" s="7"/>
      <c r="I885" s="1"/>
      <c r="J885" s="1"/>
      <c r="K885" s="1"/>
      <c r="L885" s="1"/>
      <c r="M885" s="1"/>
    </row>
    <row r="886" spans="1:13" ht="90" customHeight="1" x14ac:dyDescent="0.3">
      <c r="A886" s="8"/>
      <c r="B886" s="7"/>
      <c r="C886" s="7"/>
      <c r="D886" s="7"/>
      <c r="E886" s="7"/>
      <c r="F886" s="7"/>
      <c r="G886" s="7"/>
      <c r="H886" s="7"/>
      <c r="I886" s="1"/>
      <c r="J886" s="1"/>
      <c r="K886" s="1"/>
      <c r="L886" s="1"/>
      <c r="M886" s="1"/>
    </row>
    <row r="887" spans="1:13" ht="90" customHeight="1" x14ac:dyDescent="0.3">
      <c r="A887" s="8">
        <v>315</v>
      </c>
      <c r="B887" s="8" t="s">
        <v>1027</v>
      </c>
      <c r="C887" s="8" t="s">
        <v>356</v>
      </c>
      <c r="D887" s="8" t="s">
        <v>428</v>
      </c>
      <c r="E887" s="6" t="s">
        <v>24</v>
      </c>
      <c r="F887" s="6" t="s">
        <v>25</v>
      </c>
      <c r="G887" s="8" t="s">
        <v>1028</v>
      </c>
      <c r="H887" s="8" t="s">
        <v>1029</v>
      </c>
      <c r="I887" s="4" t="s">
        <v>943</v>
      </c>
      <c r="J887" s="4">
        <v>0.99849677085876465</v>
      </c>
      <c r="K887" s="4" t="s">
        <v>29</v>
      </c>
      <c r="L887" s="4" t="s">
        <v>356</v>
      </c>
      <c r="M887" s="4">
        <v>19</v>
      </c>
    </row>
    <row r="888" spans="1:13" ht="90" customHeight="1" x14ac:dyDescent="0.3">
      <c r="A888" s="8"/>
      <c r="B888" s="7"/>
      <c r="C888" s="7"/>
      <c r="D888" s="7"/>
      <c r="E888" s="7"/>
      <c r="F888" s="7"/>
      <c r="G888" s="7"/>
      <c r="H888" s="7"/>
      <c r="I888" s="1"/>
      <c r="J888" s="1"/>
      <c r="K888" s="1"/>
      <c r="L888" s="1"/>
      <c r="M888" s="1"/>
    </row>
    <row r="889" spans="1:13" ht="90" customHeight="1" x14ac:dyDescent="0.3">
      <c r="A889" s="8"/>
      <c r="B889" s="7"/>
      <c r="C889" s="7"/>
      <c r="D889" s="7"/>
      <c r="E889" s="7"/>
      <c r="F889" s="7"/>
      <c r="G889" s="7"/>
      <c r="H889" s="7"/>
      <c r="I889" s="1"/>
      <c r="J889" s="1"/>
      <c r="K889" s="1"/>
      <c r="L889" s="1"/>
      <c r="M889" s="1"/>
    </row>
    <row r="890" spans="1:13" ht="90" customHeight="1" x14ac:dyDescent="0.3">
      <c r="A890" s="8"/>
      <c r="B890" s="7"/>
      <c r="C890" s="7"/>
      <c r="D890" s="7"/>
      <c r="E890" s="7"/>
      <c r="F890" s="7"/>
      <c r="G890" s="7"/>
      <c r="H890" s="7"/>
      <c r="I890" s="1"/>
      <c r="J890" s="1"/>
      <c r="K890" s="1"/>
      <c r="L890" s="1"/>
      <c r="M890" s="1"/>
    </row>
    <row r="891" spans="1:13" ht="90" customHeight="1" x14ac:dyDescent="0.3">
      <c r="A891" s="8"/>
      <c r="B891" s="7"/>
      <c r="C891" s="7"/>
      <c r="D891" s="7"/>
      <c r="E891" s="7"/>
      <c r="F891" s="7"/>
      <c r="G891" s="7"/>
      <c r="H891" s="7"/>
      <c r="I891" s="1"/>
      <c r="J891" s="1"/>
      <c r="K891" s="1"/>
      <c r="L891" s="1"/>
      <c r="M891" s="1"/>
    </row>
    <row r="892" spans="1:13" ht="90" customHeight="1" x14ac:dyDescent="0.3">
      <c r="A892" s="8">
        <v>316</v>
      </c>
      <c r="B892" s="8" t="s">
        <v>1030</v>
      </c>
      <c r="C892" s="8" t="s">
        <v>51</v>
      </c>
      <c r="D892" s="8" t="s">
        <v>1031</v>
      </c>
      <c r="E892" s="6" t="s">
        <v>24</v>
      </c>
      <c r="F892" s="6" t="s">
        <v>25</v>
      </c>
      <c r="G892" s="8" t="s">
        <v>1032</v>
      </c>
      <c r="H892" s="8" t="s">
        <v>1033</v>
      </c>
      <c r="I892" s="4" t="s">
        <v>701</v>
      </c>
      <c r="J892" s="4">
        <v>0.99985027313232422</v>
      </c>
      <c r="K892" s="4" t="s">
        <v>29</v>
      </c>
      <c r="L892" s="4" t="s">
        <v>51</v>
      </c>
      <c r="M892" s="4">
        <v>8</v>
      </c>
    </row>
    <row r="893" spans="1:13" ht="90" customHeight="1" x14ac:dyDescent="0.3">
      <c r="A893" s="8"/>
      <c r="B893" s="7"/>
      <c r="C893" s="7"/>
      <c r="D893" s="7"/>
      <c r="E893" s="7"/>
      <c r="F893" s="7"/>
      <c r="G893" s="7"/>
      <c r="H893" s="7"/>
      <c r="I893" s="4" t="s">
        <v>700</v>
      </c>
      <c r="J893" s="4">
        <v>0.99950504302978516</v>
      </c>
      <c r="K893" s="4" t="s">
        <v>29</v>
      </c>
      <c r="L893" s="4" t="s">
        <v>51</v>
      </c>
      <c r="M893" s="4">
        <v>7</v>
      </c>
    </row>
    <row r="894" spans="1:13" ht="90" customHeight="1" x14ac:dyDescent="0.3">
      <c r="A894" s="8"/>
      <c r="B894" s="7"/>
      <c r="C894" s="7"/>
      <c r="D894" s="7"/>
      <c r="E894" s="7"/>
      <c r="F894" s="7"/>
      <c r="G894" s="7"/>
      <c r="H894" s="7"/>
      <c r="I894" s="1"/>
      <c r="J894" s="1"/>
      <c r="K894" s="1"/>
      <c r="L894" s="1"/>
      <c r="M894" s="1"/>
    </row>
    <row r="895" spans="1:13" ht="90" customHeight="1" x14ac:dyDescent="0.3">
      <c r="A895" s="8"/>
      <c r="B895" s="7"/>
      <c r="C895" s="7"/>
      <c r="D895" s="7"/>
      <c r="E895" s="7"/>
      <c r="F895" s="7"/>
      <c r="G895" s="7"/>
      <c r="H895" s="7"/>
      <c r="I895" s="1"/>
      <c r="J895" s="1"/>
      <c r="K895" s="1"/>
      <c r="L895" s="1"/>
      <c r="M895" s="1"/>
    </row>
    <row r="896" spans="1:13" ht="90" customHeight="1" x14ac:dyDescent="0.3">
      <c r="A896" s="8"/>
      <c r="B896" s="7"/>
      <c r="C896" s="7"/>
      <c r="D896" s="7"/>
      <c r="E896" s="7"/>
      <c r="F896" s="7"/>
      <c r="G896" s="7"/>
      <c r="H896" s="7"/>
      <c r="I896" s="1"/>
      <c r="J896" s="1"/>
      <c r="K896" s="1"/>
      <c r="L896" s="1"/>
      <c r="M896" s="1"/>
    </row>
    <row r="897" spans="1:13" ht="90" customHeight="1" x14ac:dyDescent="0.3">
      <c r="A897" s="8">
        <v>318</v>
      </c>
      <c r="B897" s="8" t="s">
        <v>1034</v>
      </c>
      <c r="C897" s="8" t="s">
        <v>1035</v>
      </c>
      <c r="D897" s="8" t="s">
        <v>16</v>
      </c>
      <c r="E897" s="6" t="s">
        <v>24</v>
      </c>
      <c r="F897" s="6" t="s">
        <v>25</v>
      </c>
      <c r="G897" s="8" t="s">
        <v>1036</v>
      </c>
      <c r="H897" s="8" t="s">
        <v>1037</v>
      </c>
      <c r="I897" s="4" t="s">
        <v>1038</v>
      </c>
      <c r="J897" s="4">
        <v>0.86047464609146118</v>
      </c>
      <c r="K897" s="4" t="s">
        <v>29</v>
      </c>
      <c r="L897" s="4" t="s">
        <v>1035</v>
      </c>
      <c r="M897" s="4">
        <v>1</v>
      </c>
    </row>
    <row r="898" spans="1:13" ht="90" customHeight="1" x14ac:dyDescent="0.3">
      <c r="A898" s="8"/>
      <c r="B898" s="7"/>
      <c r="C898" s="7"/>
      <c r="D898" s="7"/>
      <c r="E898" s="7"/>
      <c r="F898" s="7"/>
      <c r="G898" s="7"/>
      <c r="H898" s="7"/>
      <c r="I898" s="1"/>
      <c r="J898" s="1"/>
      <c r="K898" s="1"/>
      <c r="L898" s="1"/>
      <c r="M898" s="1"/>
    </row>
    <row r="899" spans="1:13" ht="90" customHeight="1" x14ac:dyDescent="0.3">
      <c r="A899" s="8"/>
      <c r="B899" s="7"/>
      <c r="C899" s="7"/>
      <c r="D899" s="7"/>
      <c r="E899" s="7"/>
      <c r="F899" s="7"/>
      <c r="G899" s="7"/>
      <c r="H899" s="7"/>
      <c r="I899" s="1"/>
      <c r="J899" s="1"/>
      <c r="K899" s="1"/>
      <c r="L899" s="1"/>
      <c r="M899" s="1"/>
    </row>
    <row r="900" spans="1:13" ht="90" customHeight="1" x14ac:dyDescent="0.3">
      <c r="A900" s="8"/>
      <c r="B900" s="7"/>
      <c r="C900" s="7"/>
      <c r="D900" s="7"/>
      <c r="E900" s="7"/>
      <c r="F900" s="7"/>
      <c r="G900" s="7"/>
      <c r="H900" s="7"/>
      <c r="I900" s="1"/>
      <c r="J900" s="1"/>
      <c r="K900" s="1"/>
      <c r="L900" s="1"/>
      <c r="M900" s="1"/>
    </row>
    <row r="901" spans="1:13" ht="90" customHeight="1" x14ac:dyDescent="0.3">
      <c r="A901" s="8"/>
      <c r="B901" s="7"/>
      <c r="C901" s="7"/>
      <c r="D901" s="7"/>
      <c r="E901" s="7"/>
      <c r="F901" s="7"/>
      <c r="G901" s="7"/>
      <c r="H901" s="7"/>
      <c r="I901" s="1"/>
      <c r="J901" s="1"/>
      <c r="K901" s="1"/>
      <c r="L901" s="1"/>
      <c r="M901" s="1"/>
    </row>
    <row r="902" spans="1:13" ht="90" customHeight="1" x14ac:dyDescent="0.3">
      <c r="A902" s="8">
        <v>320</v>
      </c>
      <c r="B902" s="8" t="s">
        <v>1039</v>
      </c>
      <c r="C902" s="8" t="s">
        <v>1040</v>
      </c>
      <c r="D902" s="8" t="s">
        <v>1041</v>
      </c>
      <c r="E902" s="6" t="s">
        <v>17</v>
      </c>
      <c r="F902" s="6" t="s">
        <v>18</v>
      </c>
      <c r="G902" s="8" t="s">
        <v>1042</v>
      </c>
      <c r="H902" s="8" t="s">
        <v>20</v>
      </c>
      <c r="I902" s="1"/>
      <c r="J902" s="1"/>
      <c r="K902" s="1"/>
      <c r="L902" s="1"/>
      <c r="M902" s="1"/>
    </row>
    <row r="903" spans="1:13" ht="90" customHeight="1" x14ac:dyDescent="0.3">
      <c r="A903" s="8"/>
      <c r="B903" s="7"/>
      <c r="C903" s="7"/>
      <c r="D903" s="7"/>
      <c r="E903" s="7"/>
      <c r="F903" s="7"/>
      <c r="G903" s="7"/>
      <c r="H903" s="7"/>
      <c r="I903" s="1"/>
      <c r="J903" s="1"/>
      <c r="K903" s="1"/>
      <c r="L903" s="1"/>
      <c r="M903" s="1"/>
    </row>
    <row r="904" spans="1:13" ht="90" customHeight="1" x14ac:dyDescent="0.3">
      <c r="A904" s="8"/>
      <c r="B904" s="7"/>
      <c r="C904" s="7"/>
      <c r="D904" s="7"/>
      <c r="E904" s="7"/>
      <c r="F904" s="7"/>
      <c r="G904" s="7"/>
      <c r="H904" s="7"/>
      <c r="I904" s="1"/>
      <c r="J904" s="1"/>
      <c r="K904" s="1"/>
      <c r="L904" s="1"/>
      <c r="M904" s="1"/>
    </row>
    <row r="905" spans="1:13" ht="90" customHeight="1" x14ac:dyDescent="0.3">
      <c r="A905" s="8"/>
      <c r="B905" s="7"/>
      <c r="C905" s="7"/>
      <c r="D905" s="7"/>
      <c r="E905" s="7"/>
      <c r="F905" s="7"/>
      <c r="G905" s="7"/>
      <c r="H905" s="7"/>
      <c r="I905" s="1"/>
      <c r="J905" s="1"/>
      <c r="K905" s="1"/>
      <c r="L905" s="1"/>
      <c r="M905" s="1"/>
    </row>
    <row r="906" spans="1:13" ht="90" customHeight="1" x14ac:dyDescent="0.3">
      <c r="A906" s="8"/>
      <c r="B906" s="7"/>
      <c r="C906" s="7"/>
      <c r="D906" s="7"/>
      <c r="E906" s="7"/>
      <c r="F906" s="7"/>
      <c r="G906" s="7"/>
      <c r="H906" s="7"/>
      <c r="I906" s="1"/>
      <c r="J906" s="1"/>
      <c r="K906" s="1"/>
      <c r="L906" s="1"/>
      <c r="M906" s="1"/>
    </row>
    <row r="907" spans="1:13" ht="90" customHeight="1" x14ac:dyDescent="0.3">
      <c r="A907" s="8">
        <v>321</v>
      </c>
      <c r="B907" s="8" t="s">
        <v>1043</v>
      </c>
      <c r="C907" s="8" t="s">
        <v>304</v>
      </c>
      <c r="D907" s="8" t="s">
        <v>1044</v>
      </c>
      <c r="E907" s="6" t="s">
        <v>24</v>
      </c>
      <c r="F907" s="6" t="s">
        <v>25</v>
      </c>
      <c r="G907" s="8" t="s">
        <v>1045</v>
      </c>
      <c r="H907" s="8" t="s">
        <v>1046</v>
      </c>
      <c r="I907" s="4" t="s">
        <v>306</v>
      </c>
      <c r="J907" s="4">
        <v>0.99976581335067749</v>
      </c>
      <c r="K907" s="4" t="s">
        <v>29</v>
      </c>
      <c r="L907" s="4" t="s">
        <v>304</v>
      </c>
      <c r="M907" s="4">
        <v>14</v>
      </c>
    </row>
    <row r="908" spans="1:13" ht="90" customHeight="1" x14ac:dyDescent="0.3">
      <c r="A908" s="8"/>
      <c r="B908" s="7"/>
      <c r="C908" s="7"/>
      <c r="D908" s="7"/>
      <c r="E908" s="7"/>
      <c r="F908" s="7"/>
      <c r="G908" s="7"/>
      <c r="H908" s="7"/>
      <c r="I908" s="1" t="s">
        <v>302</v>
      </c>
      <c r="J908" s="1">
        <v>0.79517108201980591</v>
      </c>
      <c r="K908" s="1" t="s">
        <v>29</v>
      </c>
      <c r="L908" s="1" t="s">
        <v>206</v>
      </c>
      <c r="M908" s="1">
        <v>45</v>
      </c>
    </row>
    <row r="909" spans="1:13" ht="90" customHeight="1" x14ac:dyDescent="0.3">
      <c r="A909" s="8"/>
      <c r="B909" s="7"/>
      <c r="C909" s="7"/>
      <c r="D909" s="7"/>
      <c r="E909" s="7"/>
      <c r="F909" s="7"/>
      <c r="G909" s="7"/>
      <c r="H909" s="7"/>
      <c r="I909" s="1"/>
      <c r="J909" s="1"/>
      <c r="K909" s="1"/>
      <c r="L909" s="1"/>
      <c r="M909" s="1"/>
    </row>
    <row r="910" spans="1:13" ht="90" customHeight="1" x14ac:dyDescent="0.3">
      <c r="A910" s="8"/>
      <c r="B910" s="7"/>
      <c r="C910" s="7"/>
      <c r="D910" s="7"/>
      <c r="E910" s="7"/>
      <c r="F910" s="7"/>
      <c r="G910" s="7"/>
      <c r="H910" s="7"/>
      <c r="I910" s="1"/>
      <c r="J910" s="1"/>
      <c r="K910" s="1"/>
      <c r="L910" s="1"/>
      <c r="M910" s="1"/>
    </row>
    <row r="911" spans="1:13" ht="90" customHeight="1" x14ac:dyDescent="0.3">
      <c r="A911" s="8"/>
      <c r="B911" s="7"/>
      <c r="C911" s="7"/>
      <c r="D911" s="7"/>
      <c r="E911" s="7"/>
      <c r="F911" s="7"/>
      <c r="G911" s="7"/>
      <c r="H911" s="7"/>
      <c r="I911" s="1"/>
      <c r="J911" s="1"/>
      <c r="K911" s="1"/>
      <c r="L911" s="1"/>
      <c r="M911" s="1"/>
    </row>
    <row r="912" spans="1:13" ht="90" customHeight="1" x14ac:dyDescent="0.3">
      <c r="A912" s="8">
        <v>322</v>
      </c>
      <c r="B912" s="8" t="s">
        <v>1047</v>
      </c>
      <c r="C912" s="8" t="s">
        <v>114</v>
      </c>
      <c r="D912" s="8" t="s">
        <v>124</v>
      </c>
      <c r="E912" s="6" t="s">
        <v>24</v>
      </c>
      <c r="F912" s="6" t="s">
        <v>25</v>
      </c>
      <c r="G912" s="8" t="s">
        <v>1048</v>
      </c>
      <c r="H912" s="8" t="s">
        <v>1049</v>
      </c>
      <c r="I912" s="4" t="s">
        <v>739</v>
      </c>
      <c r="J912" s="4">
        <v>0.99887794256210283</v>
      </c>
      <c r="K912" s="4" t="s">
        <v>29</v>
      </c>
      <c r="L912" s="4" t="s">
        <v>114</v>
      </c>
      <c r="M912" s="4">
        <v>13</v>
      </c>
    </row>
    <row r="913" spans="1:13" ht="90" customHeight="1" x14ac:dyDescent="0.3">
      <c r="A913" s="8"/>
      <c r="B913" s="7"/>
      <c r="C913" s="7"/>
      <c r="D913" s="7"/>
      <c r="E913" s="7"/>
      <c r="F913" s="7"/>
      <c r="G913" s="7"/>
      <c r="H913" s="7"/>
      <c r="I913" s="1"/>
      <c r="J913" s="1"/>
      <c r="K913" s="1"/>
      <c r="L913" s="1"/>
      <c r="M913" s="1"/>
    </row>
    <row r="914" spans="1:13" ht="90" customHeight="1" x14ac:dyDescent="0.3">
      <c r="A914" s="8"/>
      <c r="B914" s="7"/>
      <c r="C914" s="7"/>
      <c r="D914" s="7"/>
      <c r="E914" s="7"/>
      <c r="F914" s="7"/>
      <c r="G914" s="7"/>
      <c r="H914" s="7"/>
      <c r="I914" s="1"/>
      <c r="J914" s="1"/>
      <c r="K914" s="1"/>
      <c r="L914" s="1"/>
      <c r="M914" s="1"/>
    </row>
    <row r="915" spans="1:13" ht="90" customHeight="1" x14ac:dyDescent="0.3">
      <c r="A915" s="8"/>
      <c r="B915" s="7"/>
      <c r="C915" s="7"/>
      <c r="D915" s="7"/>
      <c r="E915" s="7"/>
      <c r="F915" s="7"/>
      <c r="G915" s="7"/>
      <c r="H915" s="7"/>
      <c r="I915" s="1"/>
      <c r="J915" s="1"/>
      <c r="K915" s="1"/>
      <c r="L915" s="1"/>
      <c r="M915" s="1"/>
    </row>
    <row r="916" spans="1:13" ht="90" customHeight="1" x14ac:dyDescent="0.3">
      <c r="A916" s="8"/>
      <c r="B916" s="7"/>
      <c r="C916" s="7"/>
      <c r="D916" s="7"/>
      <c r="E916" s="7"/>
      <c r="F916" s="7"/>
      <c r="G916" s="7"/>
      <c r="H916" s="7"/>
      <c r="I916" s="1"/>
      <c r="J916" s="1"/>
      <c r="K916" s="1"/>
      <c r="L916" s="1"/>
      <c r="M916" s="1"/>
    </row>
    <row r="917" spans="1:13" ht="90" customHeight="1" x14ac:dyDescent="0.3">
      <c r="A917" s="8">
        <v>324</v>
      </c>
      <c r="B917" s="8" t="s">
        <v>1050</v>
      </c>
      <c r="C917" s="8" t="s">
        <v>1051</v>
      </c>
      <c r="D917" s="8" t="s">
        <v>1052</v>
      </c>
      <c r="E917" s="6" t="s">
        <v>17</v>
      </c>
      <c r="F917" s="6" t="s">
        <v>18</v>
      </c>
      <c r="G917" s="8" t="s">
        <v>1053</v>
      </c>
      <c r="H917" s="8" t="s">
        <v>1054</v>
      </c>
      <c r="I917" s="2" t="s">
        <v>1055</v>
      </c>
      <c r="J917" s="2">
        <v>0.99784946441650391</v>
      </c>
      <c r="K917" s="2" t="s">
        <v>29</v>
      </c>
      <c r="L917" s="2" t="s">
        <v>320</v>
      </c>
      <c r="M917" s="2">
        <v>228</v>
      </c>
    </row>
    <row r="918" spans="1:13" ht="90" customHeight="1" x14ac:dyDescent="0.3">
      <c r="A918" s="8"/>
      <c r="B918" s="7"/>
      <c r="C918" s="7"/>
      <c r="D918" s="7"/>
      <c r="E918" s="7"/>
      <c r="F918" s="7"/>
      <c r="G918" s="7"/>
      <c r="H918" s="7"/>
      <c r="I918" s="2" t="s">
        <v>1056</v>
      </c>
      <c r="J918" s="2">
        <v>0.97866529226303101</v>
      </c>
      <c r="K918" s="2" t="s">
        <v>65</v>
      </c>
      <c r="L918" s="2" t="s">
        <v>1057</v>
      </c>
      <c r="M918" s="2">
        <v>1</v>
      </c>
    </row>
    <row r="919" spans="1:13" ht="90" customHeight="1" x14ac:dyDescent="0.3">
      <c r="A919" s="8"/>
      <c r="B919" s="7"/>
      <c r="C919" s="7"/>
      <c r="D919" s="7"/>
      <c r="E919" s="7"/>
      <c r="F919" s="7"/>
      <c r="G919" s="7"/>
      <c r="H919" s="7"/>
      <c r="I919" s="2" t="s">
        <v>1058</v>
      </c>
      <c r="J919" s="2">
        <v>0.97733896970748901</v>
      </c>
      <c r="K919" s="2" t="s">
        <v>29</v>
      </c>
      <c r="L919" s="2" t="s">
        <v>1059</v>
      </c>
      <c r="M919" s="2">
        <v>51</v>
      </c>
    </row>
    <row r="920" spans="1:13" ht="90" customHeight="1" x14ac:dyDescent="0.3">
      <c r="A920" s="8"/>
      <c r="B920" s="7"/>
      <c r="C920" s="7"/>
      <c r="D920" s="7"/>
      <c r="E920" s="7"/>
      <c r="F920" s="7"/>
      <c r="G920" s="7"/>
      <c r="H920" s="7"/>
      <c r="I920" s="1" t="s">
        <v>1060</v>
      </c>
      <c r="J920" s="1">
        <v>0.97280937134115597</v>
      </c>
      <c r="K920" s="1" t="s">
        <v>29</v>
      </c>
      <c r="L920" s="1" t="s">
        <v>1059</v>
      </c>
      <c r="M920" s="1">
        <v>2</v>
      </c>
    </row>
    <row r="921" spans="1:13" ht="90" customHeight="1" x14ac:dyDescent="0.3">
      <c r="A921" s="8"/>
      <c r="B921" s="7"/>
      <c r="C921" s="7"/>
      <c r="D921" s="7"/>
      <c r="E921" s="7"/>
      <c r="F921" s="7"/>
      <c r="G921" s="7"/>
      <c r="H921" s="7"/>
      <c r="I921" s="1" t="s">
        <v>1061</v>
      </c>
      <c r="J921" s="1">
        <v>0.9384809136390686</v>
      </c>
      <c r="K921" s="1" t="s">
        <v>29</v>
      </c>
      <c r="L921" s="1" t="s">
        <v>318</v>
      </c>
      <c r="M921" s="1">
        <v>217</v>
      </c>
    </row>
    <row r="922" spans="1:13" ht="90" customHeight="1" x14ac:dyDescent="0.3">
      <c r="A922" s="8">
        <v>327</v>
      </c>
      <c r="B922" s="8" t="s">
        <v>1062</v>
      </c>
      <c r="C922" s="8" t="s">
        <v>332</v>
      </c>
      <c r="D922" s="8" t="s">
        <v>1063</v>
      </c>
      <c r="E922" s="6" t="s">
        <v>17</v>
      </c>
      <c r="F922" s="6" t="s">
        <v>18</v>
      </c>
      <c r="G922" s="8" t="s">
        <v>1064</v>
      </c>
      <c r="H922" s="8" t="s">
        <v>20</v>
      </c>
      <c r="I922" s="1"/>
      <c r="J922" s="1"/>
      <c r="K922" s="1"/>
      <c r="L922" s="1"/>
      <c r="M922" s="1"/>
    </row>
    <row r="923" spans="1:13" ht="90" customHeight="1" x14ac:dyDescent="0.3">
      <c r="A923" s="8"/>
      <c r="B923" s="7"/>
      <c r="C923" s="7"/>
      <c r="D923" s="7"/>
      <c r="E923" s="7"/>
      <c r="F923" s="7"/>
      <c r="G923" s="7"/>
      <c r="H923" s="7"/>
      <c r="I923" s="1"/>
      <c r="J923" s="1"/>
      <c r="K923" s="1"/>
      <c r="L923" s="1"/>
      <c r="M923" s="1"/>
    </row>
    <row r="924" spans="1:13" ht="90" customHeight="1" x14ac:dyDescent="0.3">
      <c r="A924" s="8"/>
      <c r="B924" s="7"/>
      <c r="C924" s="7"/>
      <c r="D924" s="7"/>
      <c r="E924" s="7"/>
      <c r="F924" s="7"/>
      <c r="G924" s="7"/>
      <c r="H924" s="7"/>
      <c r="I924" s="1"/>
      <c r="J924" s="1"/>
      <c r="K924" s="1"/>
      <c r="L924" s="1"/>
      <c r="M924" s="1"/>
    </row>
    <row r="925" spans="1:13" ht="90" customHeight="1" x14ac:dyDescent="0.3">
      <c r="A925" s="8"/>
      <c r="B925" s="7"/>
      <c r="C925" s="7"/>
      <c r="D925" s="7"/>
      <c r="E925" s="7"/>
      <c r="F925" s="7"/>
      <c r="G925" s="7"/>
      <c r="H925" s="7"/>
      <c r="I925" s="1"/>
      <c r="J925" s="1"/>
      <c r="K925" s="1"/>
      <c r="L925" s="1"/>
      <c r="M925" s="1"/>
    </row>
    <row r="926" spans="1:13" ht="90" customHeight="1" x14ac:dyDescent="0.3">
      <c r="A926" s="8"/>
      <c r="B926" s="7"/>
      <c r="C926" s="7"/>
      <c r="D926" s="7"/>
      <c r="E926" s="7"/>
      <c r="F926" s="7"/>
      <c r="G926" s="7"/>
      <c r="H926" s="7"/>
      <c r="I926" s="1"/>
      <c r="J926" s="1"/>
      <c r="K926" s="1"/>
      <c r="L926" s="1"/>
      <c r="M926" s="1"/>
    </row>
    <row r="927" spans="1:13" ht="90" customHeight="1" x14ac:dyDescent="0.3">
      <c r="A927" s="8">
        <v>328</v>
      </c>
      <c r="B927" s="8" t="s">
        <v>1065</v>
      </c>
      <c r="C927" s="8" t="s">
        <v>562</v>
      </c>
      <c r="D927" s="8" t="s">
        <v>16</v>
      </c>
      <c r="E927" s="6" t="s">
        <v>24</v>
      </c>
      <c r="F927" s="6" t="s">
        <v>25</v>
      </c>
      <c r="G927" s="8" t="s">
        <v>1066</v>
      </c>
      <c r="H927" s="8" t="s">
        <v>1067</v>
      </c>
      <c r="I927" s="4" t="s">
        <v>565</v>
      </c>
      <c r="J927" s="4">
        <v>0.99990677833557129</v>
      </c>
      <c r="K927" s="4" t="s">
        <v>29</v>
      </c>
      <c r="L927" s="4" t="s">
        <v>562</v>
      </c>
      <c r="M927" s="4">
        <v>1</v>
      </c>
    </row>
    <row r="928" spans="1:13" ht="90" customHeight="1" x14ac:dyDescent="0.3">
      <c r="A928" s="8"/>
      <c r="B928" s="7"/>
      <c r="C928" s="7"/>
      <c r="D928" s="7"/>
      <c r="E928" s="7"/>
      <c r="F928" s="7"/>
      <c r="G928" s="7"/>
      <c r="H928" s="7"/>
      <c r="I928" s="1"/>
      <c r="J928" s="1"/>
      <c r="K928" s="1"/>
      <c r="L928" s="1"/>
      <c r="M928" s="1"/>
    </row>
    <row r="929" spans="1:13" ht="90" customHeight="1" x14ac:dyDescent="0.3">
      <c r="A929" s="8"/>
      <c r="B929" s="7"/>
      <c r="C929" s="7"/>
      <c r="D929" s="7"/>
      <c r="E929" s="7"/>
      <c r="F929" s="7"/>
      <c r="G929" s="7"/>
      <c r="H929" s="7"/>
      <c r="I929" s="1"/>
      <c r="J929" s="1"/>
      <c r="K929" s="1"/>
      <c r="L929" s="1"/>
      <c r="M929" s="1"/>
    </row>
    <row r="930" spans="1:13" ht="90" customHeight="1" x14ac:dyDescent="0.3">
      <c r="A930" s="8"/>
      <c r="B930" s="7"/>
      <c r="C930" s="7"/>
      <c r="D930" s="7"/>
      <c r="E930" s="7"/>
      <c r="F930" s="7"/>
      <c r="G930" s="7"/>
      <c r="H930" s="7"/>
      <c r="I930" s="1"/>
      <c r="J930" s="1"/>
      <c r="K930" s="1"/>
      <c r="L930" s="1"/>
      <c r="M930" s="1"/>
    </row>
    <row r="931" spans="1:13" ht="90" customHeight="1" x14ac:dyDescent="0.3">
      <c r="A931" s="8"/>
      <c r="B931" s="7"/>
      <c r="C931" s="7"/>
      <c r="D931" s="7"/>
      <c r="E931" s="7"/>
      <c r="F931" s="7"/>
      <c r="G931" s="7"/>
      <c r="H931" s="7"/>
      <c r="I931" s="1"/>
      <c r="J931" s="1"/>
      <c r="K931" s="1"/>
      <c r="L931" s="1"/>
      <c r="M931" s="1"/>
    </row>
    <row r="932" spans="1:13" ht="90" customHeight="1" x14ac:dyDescent="0.3">
      <c r="A932" s="8">
        <v>329</v>
      </c>
      <c r="B932" s="8" t="s">
        <v>649</v>
      </c>
      <c r="C932" s="8" t="s">
        <v>394</v>
      </c>
      <c r="D932" s="8" t="s">
        <v>395</v>
      </c>
      <c r="E932" s="6" t="s">
        <v>17</v>
      </c>
      <c r="F932" s="6" t="s">
        <v>18</v>
      </c>
      <c r="G932" s="8" t="s">
        <v>1068</v>
      </c>
      <c r="H932" s="8" t="s">
        <v>652</v>
      </c>
      <c r="I932" s="2" t="s">
        <v>653</v>
      </c>
      <c r="J932" s="2">
        <v>0.99999785423278809</v>
      </c>
      <c r="K932" s="2" t="s">
        <v>29</v>
      </c>
      <c r="L932" s="2" t="s">
        <v>650</v>
      </c>
      <c r="M932" s="2">
        <v>1</v>
      </c>
    </row>
    <row r="933" spans="1:13" ht="90" customHeight="1" x14ac:dyDescent="0.3">
      <c r="A933" s="8"/>
      <c r="B933" s="7"/>
      <c r="C933" s="7"/>
      <c r="D933" s="7"/>
      <c r="E933" s="7"/>
      <c r="F933" s="7"/>
      <c r="G933" s="7"/>
      <c r="H933" s="7"/>
      <c r="I933" s="1"/>
      <c r="J933" s="1"/>
      <c r="K933" s="1"/>
      <c r="L933" s="1"/>
      <c r="M933" s="1"/>
    </row>
    <row r="934" spans="1:13" ht="90" customHeight="1" x14ac:dyDescent="0.3">
      <c r="A934" s="8"/>
      <c r="B934" s="7"/>
      <c r="C934" s="7"/>
      <c r="D934" s="7"/>
      <c r="E934" s="7"/>
      <c r="F934" s="7"/>
      <c r="G934" s="7"/>
      <c r="H934" s="7"/>
      <c r="I934" s="1"/>
      <c r="J934" s="1"/>
      <c r="K934" s="1"/>
      <c r="L934" s="1"/>
      <c r="M934" s="1"/>
    </row>
    <row r="935" spans="1:13" ht="90" customHeight="1" x14ac:dyDescent="0.3">
      <c r="A935" s="8"/>
      <c r="B935" s="7"/>
      <c r="C935" s="7"/>
      <c r="D935" s="7"/>
      <c r="E935" s="7"/>
      <c r="F935" s="7"/>
      <c r="G935" s="7"/>
      <c r="H935" s="7"/>
      <c r="I935" s="1"/>
      <c r="J935" s="1"/>
      <c r="K935" s="1"/>
      <c r="L935" s="1"/>
      <c r="M935" s="1"/>
    </row>
    <row r="936" spans="1:13" ht="90" customHeight="1" x14ac:dyDescent="0.3">
      <c r="A936" s="8"/>
      <c r="B936" s="7"/>
      <c r="C936" s="7"/>
      <c r="D936" s="7"/>
      <c r="E936" s="7"/>
      <c r="F936" s="7"/>
      <c r="G936" s="7"/>
      <c r="H936" s="7"/>
      <c r="I936" s="1"/>
      <c r="J936" s="1"/>
      <c r="K936" s="1"/>
      <c r="L936" s="1"/>
      <c r="M936" s="1"/>
    </row>
    <row r="937" spans="1:13" ht="90" customHeight="1" x14ac:dyDescent="0.3">
      <c r="A937" s="8">
        <v>330</v>
      </c>
      <c r="B937" s="8" t="s">
        <v>1069</v>
      </c>
      <c r="C937" s="8" t="s">
        <v>351</v>
      </c>
      <c r="D937" s="8" t="s">
        <v>109</v>
      </c>
      <c r="E937" s="6" t="s">
        <v>24</v>
      </c>
      <c r="F937" s="6" t="s">
        <v>25</v>
      </c>
      <c r="G937" s="8" t="s">
        <v>1070</v>
      </c>
      <c r="H937" s="8" t="s">
        <v>1071</v>
      </c>
      <c r="I937" s="4" t="s">
        <v>350</v>
      </c>
      <c r="J937" s="4">
        <v>0.9998469352722168</v>
      </c>
      <c r="K937" s="4" t="s">
        <v>29</v>
      </c>
      <c r="L937" s="4" t="s">
        <v>351</v>
      </c>
      <c r="M937" s="4">
        <v>2</v>
      </c>
    </row>
    <row r="938" spans="1:13" ht="90" customHeight="1" x14ac:dyDescent="0.3">
      <c r="A938" s="8"/>
      <c r="B938" s="7"/>
      <c r="C938" s="7"/>
      <c r="D938" s="7"/>
      <c r="E938" s="7"/>
      <c r="F938" s="7"/>
      <c r="G938" s="7"/>
      <c r="H938" s="7"/>
      <c r="I938" s="1"/>
      <c r="J938" s="1"/>
      <c r="K938" s="1"/>
      <c r="L938" s="1"/>
      <c r="M938" s="1"/>
    </row>
    <row r="939" spans="1:13" ht="90" customHeight="1" x14ac:dyDescent="0.3">
      <c r="A939" s="8"/>
      <c r="B939" s="7"/>
      <c r="C939" s="7"/>
      <c r="D939" s="7"/>
      <c r="E939" s="7"/>
      <c r="F939" s="7"/>
      <c r="G939" s="7"/>
      <c r="H939" s="7"/>
      <c r="I939" s="1"/>
      <c r="J939" s="1"/>
      <c r="K939" s="1"/>
      <c r="L939" s="1"/>
      <c r="M939" s="1"/>
    </row>
    <row r="940" spans="1:13" ht="90" customHeight="1" x14ac:dyDescent="0.3">
      <c r="A940" s="8"/>
      <c r="B940" s="7"/>
      <c r="C940" s="7"/>
      <c r="D940" s="7"/>
      <c r="E940" s="7"/>
      <c r="F940" s="7"/>
      <c r="G940" s="7"/>
      <c r="H940" s="7"/>
      <c r="I940" s="1"/>
      <c r="J940" s="1"/>
      <c r="K940" s="1"/>
      <c r="L940" s="1"/>
      <c r="M940" s="1"/>
    </row>
    <row r="941" spans="1:13" ht="90" customHeight="1" x14ac:dyDescent="0.3">
      <c r="A941" s="8"/>
      <c r="B941" s="7"/>
      <c r="C941" s="7"/>
      <c r="D941" s="7"/>
      <c r="E941" s="7"/>
      <c r="F941" s="7"/>
      <c r="G941" s="7"/>
      <c r="H941" s="7"/>
      <c r="I941" s="1"/>
      <c r="J941" s="1"/>
      <c r="K941" s="1"/>
      <c r="L941" s="1"/>
      <c r="M941" s="1"/>
    </row>
    <row r="942" spans="1:13" ht="90" customHeight="1" x14ac:dyDescent="0.3">
      <c r="A942" s="8">
        <v>331</v>
      </c>
      <c r="B942" s="8" t="s">
        <v>1072</v>
      </c>
      <c r="C942" s="8" t="s">
        <v>750</v>
      </c>
      <c r="D942" s="8" t="s">
        <v>44</v>
      </c>
      <c r="E942" s="6" t="s">
        <v>24</v>
      </c>
      <c r="F942" s="6" t="s">
        <v>25</v>
      </c>
      <c r="G942" s="8" t="s">
        <v>1073</v>
      </c>
      <c r="H942" s="8" t="s">
        <v>1074</v>
      </c>
      <c r="I942" s="4" t="s">
        <v>753</v>
      </c>
      <c r="J942" s="4">
        <v>0.99999547004699707</v>
      </c>
      <c r="K942" s="4" t="s">
        <v>65</v>
      </c>
      <c r="L942" s="4" t="s">
        <v>750</v>
      </c>
      <c r="M942" s="4">
        <v>1</v>
      </c>
    </row>
    <row r="943" spans="1:13" ht="90" customHeight="1" x14ac:dyDescent="0.3">
      <c r="A943" s="8"/>
      <c r="B943" s="7"/>
      <c r="C943" s="7"/>
      <c r="D943" s="7"/>
      <c r="E943" s="7"/>
      <c r="F943" s="7"/>
      <c r="G943" s="7"/>
      <c r="H943" s="7"/>
      <c r="I943" s="4" t="s">
        <v>1075</v>
      </c>
      <c r="J943" s="4">
        <v>0.99999511241912842</v>
      </c>
      <c r="K943" s="4" t="s">
        <v>65</v>
      </c>
      <c r="L943" s="4" t="s">
        <v>750</v>
      </c>
      <c r="M943" s="4">
        <v>2</v>
      </c>
    </row>
    <row r="944" spans="1:13" ht="90" customHeight="1" x14ac:dyDescent="0.3">
      <c r="A944" s="8"/>
      <c r="B944" s="7"/>
      <c r="C944" s="7"/>
      <c r="D944" s="7"/>
      <c r="E944" s="7"/>
      <c r="F944" s="7"/>
      <c r="G944" s="7"/>
      <c r="H944" s="7"/>
      <c r="I944" s="2" t="s">
        <v>1076</v>
      </c>
      <c r="J944" s="2">
        <v>0.9999929666519165</v>
      </c>
      <c r="K944" s="2" t="s">
        <v>65</v>
      </c>
      <c r="L944" s="2" t="s">
        <v>750</v>
      </c>
      <c r="M944" s="2">
        <v>3</v>
      </c>
    </row>
    <row r="945" spans="1:13" ht="90" customHeight="1" x14ac:dyDescent="0.3">
      <c r="A945" s="8"/>
      <c r="B945" s="7"/>
      <c r="C945" s="7"/>
      <c r="D945" s="7"/>
      <c r="E945" s="7"/>
      <c r="F945" s="7"/>
      <c r="G945" s="7"/>
      <c r="H945" s="7"/>
      <c r="I945" s="5" t="s">
        <v>1077</v>
      </c>
      <c r="J945" s="5">
        <v>0.99997067397724271</v>
      </c>
      <c r="K945" s="5" t="s">
        <v>65</v>
      </c>
      <c r="L945" s="5" t="s">
        <v>750</v>
      </c>
      <c r="M945" s="5">
        <v>3</v>
      </c>
    </row>
    <row r="946" spans="1:13" ht="90" customHeight="1" x14ac:dyDescent="0.3">
      <c r="A946" s="8"/>
      <c r="B946" s="7"/>
      <c r="C946" s="7"/>
      <c r="D946" s="7"/>
      <c r="E946" s="7"/>
      <c r="F946" s="7"/>
      <c r="G946" s="7"/>
      <c r="H946" s="7"/>
      <c r="I946" s="1" t="s">
        <v>1078</v>
      </c>
      <c r="J946" s="1">
        <v>0.90160679816739075</v>
      </c>
      <c r="K946" s="1" t="s">
        <v>29</v>
      </c>
      <c r="L946" s="1" t="s">
        <v>57</v>
      </c>
      <c r="M946" s="1">
        <v>29</v>
      </c>
    </row>
    <row r="947" spans="1:13" ht="90" customHeight="1" x14ac:dyDescent="0.3">
      <c r="A947" s="8">
        <v>332</v>
      </c>
      <c r="B947" s="8" t="s">
        <v>1079</v>
      </c>
      <c r="C947" s="8" t="s">
        <v>73</v>
      </c>
      <c r="D947" s="8" t="s">
        <v>52</v>
      </c>
      <c r="E947" s="6" t="s">
        <v>17</v>
      </c>
      <c r="F947" s="6" t="s">
        <v>18</v>
      </c>
      <c r="G947" s="8" t="s">
        <v>1080</v>
      </c>
      <c r="H947" s="8" t="s">
        <v>20</v>
      </c>
      <c r="I947" s="1"/>
      <c r="J947" s="1"/>
      <c r="K947" s="1"/>
      <c r="L947" s="1"/>
      <c r="M947" s="1"/>
    </row>
    <row r="948" spans="1:13" ht="90" customHeight="1" x14ac:dyDescent="0.3">
      <c r="A948" s="8"/>
      <c r="B948" s="7"/>
      <c r="C948" s="7"/>
      <c r="D948" s="7"/>
      <c r="E948" s="7"/>
      <c r="F948" s="7"/>
      <c r="G948" s="7"/>
      <c r="H948" s="7"/>
      <c r="I948" s="1"/>
      <c r="J948" s="1"/>
      <c r="K948" s="1"/>
      <c r="L948" s="1"/>
      <c r="M948" s="1"/>
    </row>
    <row r="949" spans="1:13" ht="90" customHeight="1" x14ac:dyDescent="0.3">
      <c r="A949" s="8"/>
      <c r="B949" s="7"/>
      <c r="C949" s="7"/>
      <c r="D949" s="7"/>
      <c r="E949" s="7"/>
      <c r="F949" s="7"/>
      <c r="G949" s="7"/>
      <c r="H949" s="7"/>
      <c r="I949" s="1"/>
      <c r="J949" s="1"/>
      <c r="K949" s="1"/>
      <c r="L949" s="1"/>
      <c r="M949" s="1"/>
    </row>
    <row r="950" spans="1:13" ht="90" customHeight="1" x14ac:dyDescent="0.3">
      <c r="A950" s="8"/>
      <c r="B950" s="7"/>
      <c r="C950" s="7"/>
      <c r="D950" s="7"/>
      <c r="E950" s="7"/>
      <c r="F950" s="7"/>
      <c r="G950" s="7"/>
      <c r="H950" s="7"/>
      <c r="I950" s="1"/>
      <c r="J950" s="1"/>
      <c r="K950" s="1"/>
      <c r="L950" s="1"/>
      <c r="M950" s="1"/>
    </row>
    <row r="951" spans="1:13" ht="90" customHeight="1" x14ac:dyDescent="0.3">
      <c r="A951" s="8"/>
      <c r="B951" s="7"/>
      <c r="C951" s="7"/>
      <c r="D951" s="7"/>
      <c r="E951" s="7"/>
      <c r="F951" s="7"/>
      <c r="G951" s="7"/>
      <c r="H951" s="7"/>
      <c r="I951" s="1"/>
      <c r="J951" s="1"/>
      <c r="K951" s="1"/>
      <c r="L951" s="1"/>
      <c r="M951" s="1"/>
    </row>
    <row r="952" spans="1:13" ht="90" customHeight="1" x14ac:dyDescent="0.3">
      <c r="A952" s="8">
        <v>333</v>
      </c>
      <c r="B952" s="8" t="s">
        <v>1081</v>
      </c>
      <c r="C952" s="8" t="s">
        <v>114</v>
      </c>
      <c r="D952" s="8" t="s">
        <v>235</v>
      </c>
      <c r="E952" s="6" t="s">
        <v>24</v>
      </c>
      <c r="F952" s="6" t="s">
        <v>25</v>
      </c>
      <c r="G952" s="8" t="s">
        <v>1082</v>
      </c>
      <c r="H952" s="8" t="s">
        <v>1083</v>
      </c>
      <c r="I952" s="4" t="s">
        <v>273</v>
      </c>
      <c r="J952" s="4">
        <v>0.92913633584976196</v>
      </c>
      <c r="K952" s="4" t="s">
        <v>29</v>
      </c>
      <c r="L952" s="4" t="s">
        <v>114</v>
      </c>
      <c r="M952" s="4">
        <v>7</v>
      </c>
    </row>
    <row r="953" spans="1:13" ht="90" customHeight="1" x14ac:dyDescent="0.3">
      <c r="A953" s="8"/>
      <c r="B953" s="7"/>
      <c r="C953" s="7"/>
      <c r="D953" s="7"/>
      <c r="E953" s="7"/>
      <c r="F953" s="7"/>
      <c r="G953" s="7"/>
      <c r="H953" s="7"/>
      <c r="I953" s="1"/>
      <c r="J953" s="1"/>
      <c r="K953" s="1"/>
      <c r="L953" s="1"/>
      <c r="M953" s="1"/>
    </row>
    <row r="954" spans="1:13" ht="90" customHeight="1" x14ac:dyDescent="0.3">
      <c r="A954" s="8"/>
      <c r="B954" s="7"/>
      <c r="C954" s="7"/>
      <c r="D954" s="7"/>
      <c r="E954" s="7"/>
      <c r="F954" s="7"/>
      <c r="G954" s="7"/>
      <c r="H954" s="7"/>
      <c r="I954" s="1"/>
      <c r="J954" s="1"/>
      <c r="K954" s="1"/>
      <c r="L954" s="1"/>
      <c r="M954" s="1"/>
    </row>
    <row r="955" spans="1:13" ht="90" customHeight="1" x14ac:dyDescent="0.3">
      <c r="A955" s="8"/>
      <c r="B955" s="7"/>
      <c r="C955" s="7"/>
      <c r="D955" s="7"/>
      <c r="E955" s="7"/>
      <c r="F955" s="7"/>
      <c r="G955" s="7"/>
      <c r="H955" s="7"/>
      <c r="I955" s="1"/>
      <c r="J955" s="1"/>
      <c r="K955" s="1"/>
      <c r="L955" s="1"/>
      <c r="M955" s="1"/>
    </row>
    <row r="956" spans="1:13" ht="90" customHeight="1" x14ac:dyDescent="0.3">
      <c r="A956" s="8"/>
      <c r="B956" s="7"/>
      <c r="C956" s="7"/>
      <c r="D956" s="7"/>
      <c r="E956" s="7"/>
      <c r="F956" s="7"/>
      <c r="G956" s="7"/>
      <c r="H956" s="7"/>
      <c r="I956" s="1"/>
      <c r="J956" s="1"/>
      <c r="K956" s="1"/>
      <c r="L956" s="1"/>
      <c r="M956" s="1"/>
    </row>
    <row r="957" spans="1:13" ht="90" customHeight="1" x14ac:dyDescent="0.3">
      <c r="A957" s="8">
        <v>334</v>
      </c>
      <c r="B957" s="8" t="s">
        <v>1084</v>
      </c>
      <c r="C957" s="8" t="s">
        <v>480</v>
      </c>
      <c r="D957" s="8" t="s">
        <v>16</v>
      </c>
      <c r="E957" s="6" t="s">
        <v>24</v>
      </c>
      <c r="F957" s="6" t="s">
        <v>25</v>
      </c>
      <c r="G957" s="8" t="s">
        <v>1085</v>
      </c>
      <c r="H957" s="8" t="s">
        <v>1086</v>
      </c>
      <c r="I957" s="4" t="s">
        <v>483</v>
      </c>
      <c r="J957" s="4">
        <v>0.99365520477294922</v>
      </c>
      <c r="K957" s="4" t="s">
        <v>29</v>
      </c>
      <c r="L957" s="4" t="s">
        <v>480</v>
      </c>
      <c r="M957" s="4">
        <v>1</v>
      </c>
    </row>
    <row r="958" spans="1:13" ht="90" customHeight="1" x14ac:dyDescent="0.3">
      <c r="A958" s="8"/>
      <c r="B958" s="7"/>
      <c r="C958" s="7"/>
      <c r="D958" s="7"/>
      <c r="E958" s="7"/>
      <c r="F958" s="7"/>
      <c r="G958" s="7"/>
      <c r="H958" s="7"/>
      <c r="I958" s="1"/>
      <c r="J958" s="1"/>
      <c r="K958" s="1"/>
      <c r="L958" s="1"/>
      <c r="M958" s="1"/>
    </row>
    <row r="959" spans="1:13" ht="90" customHeight="1" x14ac:dyDescent="0.3">
      <c r="A959" s="8"/>
      <c r="B959" s="7"/>
      <c r="C959" s="7"/>
      <c r="D959" s="7"/>
      <c r="E959" s="7"/>
      <c r="F959" s="7"/>
      <c r="G959" s="7"/>
      <c r="H959" s="7"/>
      <c r="I959" s="1"/>
      <c r="J959" s="1"/>
      <c r="K959" s="1"/>
      <c r="L959" s="1"/>
      <c r="M959" s="1"/>
    </row>
    <row r="960" spans="1:13" ht="90" customHeight="1" x14ac:dyDescent="0.3">
      <c r="A960" s="8"/>
      <c r="B960" s="7"/>
      <c r="C960" s="7"/>
      <c r="D960" s="7"/>
      <c r="E960" s="7"/>
      <c r="F960" s="7"/>
      <c r="G960" s="7"/>
      <c r="H960" s="7"/>
      <c r="I960" s="1"/>
      <c r="J960" s="1"/>
      <c r="K960" s="1"/>
      <c r="L960" s="1"/>
      <c r="M960" s="1"/>
    </row>
    <row r="961" spans="1:13" ht="90" customHeight="1" x14ac:dyDescent="0.3">
      <c r="A961" s="8"/>
      <c r="B961" s="7"/>
      <c r="C961" s="7"/>
      <c r="D961" s="7"/>
      <c r="E961" s="7"/>
      <c r="F961" s="7"/>
      <c r="G961" s="7"/>
      <c r="H961" s="7"/>
      <c r="I961" s="1"/>
      <c r="J961" s="1"/>
      <c r="K961" s="1"/>
      <c r="L961" s="1"/>
      <c r="M961" s="1"/>
    </row>
    <row r="962" spans="1:13" ht="90" customHeight="1" x14ac:dyDescent="0.3">
      <c r="A962" s="8">
        <v>336</v>
      </c>
      <c r="B962" s="8" t="s">
        <v>1087</v>
      </c>
      <c r="C962" s="8" t="s">
        <v>1088</v>
      </c>
      <c r="D962" s="8" t="s">
        <v>1089</v>
      </c>
      <c r="E962" s="6" t="s">
        <v>24</v>
      </c>
      <c r="F962" s="6" t="s">
        <v>25</v>
      </c>
      <c r="G962" s="8" t="s">
        <v>1090</v>
      </c>
      <c r="H962" s="8" t="s">
        <v>1091</v>
      </c>
      <c r="I962" s="4" t="s">
        <v>1092</v>
      </c>
      <c r="J962" s="4">
        <v>0.99998295307159424</v>
      </c>
      <c r="K962" s="4" t="s">
        <v>29</v>
      </c>
      <c r="L962" s="4" t="s">
        <v>1088</v>
      </c>
      <c r="M962" s="4">
        <v>17</v>
      </c>
    </row>
    <row r="963" spans="1:13" ht="90" customHeight="1" x14ac:dyDescent="0.3">
      <c r="A963" s="8"/>
      <c r="B963" s="7"/>
      <c r="C963" s="7"/>
      <c r="D963" s="7"/>
      <c r="E963" s="7"/>
      <c r="F963" s="7"/>
      <c r="G963" s="7"/>
      <c r="H963" s="7"/>
      <c r="I963" s="2" t="s">
        <v>1093</v>
      </c>
      <c r="J963" s="2">
        <v>0.9708591103553772</v>
      </c>
      <c r="K963" s="2" t="s">
        <v>29</v>
      </c>
      <c r="L963" s="2" t="s">
        <v>1088</v>
      </c>
      <c r="M963" s="2">
        <v>1</v>
      </c>
    </row>
    <row r="964" spans="1:13" ht="90" customHeight="1" x14ac:dyDescent="0.3">
      <c r="A964" s="8"/>
      <c r="B964" s="7"/>
      <c r="C964" s="7"/>
      <c r="D964" s="7"/>
      <c r="E964" s="7"/>
      <c r="F964" s="7"/>
      <c r="G964" s="7"/>
      <c r="H964" s="7"/>
      <c r="I964" s="2" t="s">
        <v>1094</v>
      </c>
      <c r="J964" s="2">
        <v>0.96737504005432129</v>
      </c>
      <c r="K964" s="2" t="s">
        <v>29</v>
      </c>
      <c r="L964" s="2" t="s">
        <v>1088</v>
      </c>
      <c r="M964" s="2">
        <v>14</v>
      </c>
    </row>
    <row r="965" spans="1:13" ht="90" customHeight="1" x14ac:dyDescent="0.3">
      <c r="A965" s="8"/>
      <c r="B965" s="7"/>
      <c r="C965" s="7"/>
      <c r="D965" s="7"/>
      <c r="E965" s="7"/>
      <c r="F965" s="7"/>
      <c r="G965" s="7"/>
      <c r="H965" s="7"/>
      <c r="I965" s="1" t="s">
        <v>1095</v>
      </c>
      <c r="J965" s="1">
        <v>0.9668676232324499</v>
      </c>
      <c r="K965" s="1" t="s">
        <v>29</v>
      </c>
      <c r="L965" s="1" t="s">
        <v>1088</v>
      </c>
      <c r="M965" s="1">
        <v>12</v>
      </c>
    </row>
    <row r="966" spans="1:13" ht="90" customHeight="1" x14ac:dyDescent="0.3">
      <c r="A966" s="8"/>
      <c r="B966" s="7"/>
      <c r="C966" s="7"/>
      <c r="D966" s="7"/>
      <c r="E966" s="7"/>
      <c r="F966" s="7"/>
      <c r="G966" s="7"/>
      <c r="H966" s="7"/>
      <c r="I966" s="1" t="s">
        <v>1096</v>
      </c>
      <c r="J966" s="1">
        <v>0.94401752948760986</v>
      </c>
      <c r="K966" s="1" t="s">
        <v>29</v>
      </c>
      <c r="L966" s="1" t="s">
        <v>1088</v>
      </c>
      <c r="M966" s="1">
        <v>10</v>
      </c>
    </row>
    <row r="967" spans="1:13" ht="90" customHeight="1" x14ac:dyDescent="0.3">
      <c r="A967" s="8">
        <v>337</v>
      </c>
      <c r="B967" s="8" t="s">
        <v>1097</v>
      </c>
      <c r="C967" s="8" t="s">
        <v>897</v>
      </c>
      <c r="D967" s="8" t="s">
        <v>898</v>
      </c>
      <c r="E967" s="6" t="s">
        <v>17</v>
      </c>
      <c r="F967" s="6" t="s">
        <v>18</v>
      </c>
      <c r="G967" s="8" t="s">
        <v>1098</v>
      </c>
      <c r="H967" s="8" t="s">
        <v>20</v>
      </c>
      <c r="I967" s="1"/>
      <c r="J967" s="1"/>
      <c r="K967" s="1"/>
      <c r="L967" s="1"/>
      <c r="M967" s="1"/>
    </row>
    <row r="968" spans="1:13" ht="90" customHeight="1" x14ac:dyDescent="0.3">
      <c r="A968" s="8"/>
      <c r="B968" s="7"/>
      <c r="C968" s="7"/>
      <c r="D968" s="7"/>
      <c r="E968" s="7"/>
      <c r="F968" s="7"/>
      <c r="G968" s="7"/>
      <c r="H968" s="7"/>
      <c r="I968" s="1"/>
      <c r="J968" s="1"/>
      <c r="K968" s="1"/>
      <c r="L968" s="1"/>
      <c r="M968" s="1"/>
    </row>
    <row r="969" spans="1:13" ht="90" customHeight="1" x14ac:dyDescent="0.3">
      <c r="A969" s="8"/>
      <c r="B969" s="7"/>
      <c r="C969" s="7"/>
      <c r="D969" s="7"/>
      <c r="E969" s="7"/>
      <c r="F969" s="7"/>
      <c r="G969" s="7"/>
      <c r="H969" s="7"/>
      <c r="I969" s="1"/>
      <c r="J969" s="1"/>
      <c r="K969" s="1"/>
      <c r="L969" s="1"/>
      <c r="M969" s="1"/>
    </row>
    <row r="970" spans="1:13" ht="90" customHeight="1" x14ac:dyDescent="0.3">
      <c r="A970" s="8"/>
      <c r="B970" s="7"/>
      <c r="C970" s="7"/>
      <c r="D970" s="7"/>
      <c r="E970" s="7"/>
      <c r="F970" s="7"/>
      <c r="G970" s="7"/>
      <c r="H970" s="7"/>
      <c r="I970" s="1"/>
      <c r="J970" s="1"/>
      <c r="K970" s="1"/>
      <c r="L970" s="1"/>
      <c r="M970" s="1"/>
    </row>
    <row r="971" spans="1:13" ht="90" customHeight="1" x14ac:dyDescent="0.3">
      <c r="A971" s="8"/>
      <c r="B971" s="7"/>
      <c r="C971" s="7"/>
      <c r="D971" s="7"/>
      <c r="E971" s="7"/>
      <c r="F971" s="7"/>
      <c r="G971" s="7"/>
      <c r="H971" s="7"/>
      <c r="I971" s="1"/>
      <c r="J971" s="1"/>
      <c r="K971" s="1"/>
      <c r="L971" s="1"/>
      <c r="M971" s="1"/>
    </row>
    <row r="972" spans="1:13" ht="90" customHeight="1" x14ac:dyDescent="0.3">
      <c r="A972" s="8">
        <v>338</v>
      </c>
      <c r="B972" s="8" t="s">
        <v>1099</v>
      </c>
      <c r="C972" s="8" t="s">
        <v>515</v>
      </c>
      <c r="D972" s="8" t="s">
        <v>16</v>
      </c>
      <c r="E972" s="6" t="s">
        <v>24</v>
      </c>
      <c r="F972" s="6" t="s">
        <v>25</v>
      </c>
      <c r="G972" s="8" t="s">
        <v>1100</v>
      </c>
      <c r="H972" s="8" t="s">
        <v>1101</v>
      </c>
      <c r="I972" s="4" t="s">
        <v>662</v>
      </c>
      <c r="J972" s="4">
        <v>0.99405044317245483</v>
      </c>
      <c r="K972" s="4" t="s">
        <v>29</v>
      </c>
      <c r="L972" s="4" t="s">
        <v>515</v>
      </c>
      <c r="M972" s="4">
        <v>1</v>
      </c>
    </row>
    <row r="973" spans="1:13" ht="90" customHeight="1" x14ac:dyDescent="0.3">
      <c r="A973" s="8"/>
      <c r="B973" s="7"/>
      <c r="C973" s="7"/>
      <c r="D973" s="7"/>
      <c r="E973" s="7"/>
      <c r="F973" s="7"/>
      <c r="G973" s="7"/>
      <c r="H973" s="7"/>
      <c r="I973" s="1"/>
      <c r="J973" s="1"/>
      <c r="K973" s="1"/>
      <c r="L973" s="1"/>
      <c r="M973" s="1"/>
    </row>
    <row r="974" spans="1:13" ht="90" customHeight="1" x14ac:dyDescent="0.3">
      <c r="A974" s="8"/>
      <c r="B974" s="7"/>
      <c r="C974" s="7"/>
      <c r="D974" s="7"/>
      <c r="E974" s="7"/>
      <c r="F974" s="7"/>
      <c r="G974" s="7"/>
      <c r="H974" s="7"/>
      <c r="I974" s="1"/>
      <c r="J974" s="1"/>
      <c r="K974" s="1"/>
      <c r="L974" s="1"/>
      <c r="M974" s="1"/>
    </row>
    <row r="975" spans="1:13" ht="90" customHeight="1" x14ac:dyDescent="0.3">
      <c r="A975" s="8"/>
      <c r="B975" s="7"/>
      <c r="C975" s="7"/>
      <c r="D975" s="7"/>
      <c r="E975" s="7"/>
      <c r="F975" s="7"/>
      <c r="G975" s="7"/>
      <c r="H975" s="7"/>
      <c r="I975" s="1"/>
      <c r="J975" s="1"/>
      <c r="K975" s="1"/>
      <c r="L975" s="1"/>
      <c r="M975" s="1"/>
    </row>
    <row r="976" spans="1:13" ht="90" customHeight="1" x14ac:dyDescent="0.3">
      <c r="A976" s="8"/>
      <c r="B976" s="7"/>
      <c r="C976" s="7"/>
      <c r="D976" s="7"/>
      <c r="E976" s="7"/>
      <c r="F976" s="7"/>
      <c r="G976" s="7"/>
      <c r="H976" s="7"/>
      <c r="I976" s="1"/>
      <c r="J976" s="1"/>
      <c r="K976" s="1"/>
      <c r="L976" s="1"/>
      <c r="M976" s="1"/>
    </row>
    <row r="977" spans="1:13" ht="90" customHeight="1" x14ac:dyDescent="0.3">
      <c r="A977" s="8">
        <v>340</v>
      </c>
      <c r="B977" s="8" t="s">
        <v>1102</v>
      </c>
      <c r="C977" s="8" t="s">
        <v>549</v>
      </c>
      <c r="D977" s="8" t="s">
        <v>1103</v>
      </c>
      <c r="E977" s="6" t="s">
        <v>17</v>
      </c>
      <c r="F977" s="6" t="s">
        <v>18</v>
      </c>
      <c r="G977" s="8" t="s">
        <v>1104</v>
      </c>
      <c r="H977" s="8" t="s">
        <v>1105</v>
      </c>
      <c r="I977" s="1"/>
      <c r="J977" s="1"/>
      <c r="K977" s="1"/>
      <c r="L977" s="1"/>
      <c r="M977" s="1"/>
    </row>
    <row r="978" spans="1:13" ht="90" customHeight="1" x14ac:dyDescent="0.3">
      <c r="A978" s="8"/>
      <c r="B978" s="7"/>
      <c r="C978" s="7"/>
      <c r="D978" s="7"/>
      <c r="E978" s="7"/>
      <c r="F978" s="7"/>
      <c r="G978" s="7"/>
      <c r="H978" s="7"/>
      <c r="I978" s="1"/>
      <c r="J978" s="1"/>
      <c r="K978" s="1"/>
      <c r="L978" s="1"/>
      <c r="M978" s="1"/>
    </row>
    <row r="979" spans="1:13" ht="90" customHeight="1" x14ac:dyDescent="0.3">
      <c r="A979" s="8"/>
      <c r="B979" s="7"/>
      <c r="C979" s="7"/>
      <c r="D979" s="7"/>
      <c r="E979" s="7"/>
      <c r="F979" s="7"/>
      <c r="G979" s="7"/>
      <c r="H979" s="7"/>
      <c r="I979" s="1"/>
      <c r="J979" s="1"/>
      <c r="K979" s="1"/>
      <c r="L979" s="1"/>
      <c r="M979" s="1"/>
    </row>
    <row r="980" spans="1:13" ht="90" customHeight="1" x14ac:dyDescent="0.3">
      <c r="A980" s="8"/>
      <c r="B980" s="7"/>
      <c r="C980" s="7"/>
      <c r="D980" s="7"/>
      <c r="E980" s="7"/>
      <c r="F980" s="7"/>
      <c r="G980" s="7"/>
      <c r="H980" s="7"/>
      <c r="I980" s="1"/>
      <c r="J980" s="1"/>
      <c r="K980" s="1"/>
      <c r="L980" s="1"/>
      <c r="M980" s="1"/>
    </row>
    <row r="981" spans="1:13" ht="90" customHeight="1" x14ac:dyDescent="0.3">
      <c r="A981" s="8"/>
      <c r="B981" s="7"/>
      <c r="C981" s="7"/>
      <c r="D981" s="7"/>
      <c r="E981" s="7"/>
      <c r="F981" s="7"/>
      <c r="G981" s="7"/>
      <c r="H981" s="7"/>
      <c r="I981" s="1"/>
      <c r="J981" s="1"/>
      <c r="K981" s="1"/>
      <c r="L981" s="1"/>
      <c r="M981" s="1"/>
    </row>
    <row r="982" spans="1:13" ht="90" customHeight="1" x14ac:dyDescent="0.3">
      <c r="A982" s="8">
        <v>341</v>
      </c>
      <c r="B982" s="8" t="s">
        <v>1106</v>
      </c>
      <c r="C982" s="8" t="s">
        <v>332</v>
      </c>
      <c r="D982" s="8" t="s">
        <v>1107</v>
      </c>
      <c r="E982" s="6" t="s">
        <v>17</v>
      </c>
      <c r="F982" s="6" t="s">
        <v>18</v>
      </c>
      <c r="G982" s="8" t="s">
        <v>1108</v>
      </c>
      <c r="H982" s="8" t="s">
        <v>1109</v>
      </c>
      <c r="I982" s="2" t="s">
        <v>1110</v>
      </c>
      <c r="J982" s="2">
        <v>0.75642913579940796</v>
      </c>
      <c r="K982" s="2" t="s">
        <v>29</v>
      </c>
      <c r="L982" s="2" t="s">
        <v>814</v>
      </c>
      <c r="M982" s="2">
        <v>128</v>
      </c>
    </row>
    <row r="983" spans="1:13" ht="90" customHeight="1" x14ac:dyDescent="0.3">
      <c r="A983" s="8"/>
      <c r="B983" s="7"/>
      <c r="C983" s="7"/>
      <c r="D983" s="7"/>
      <c r="E983" s="7"/>
      <c r="F983" s="7"/>
      <c r="G983" s="7"/>
      <c r="H983" s="7"/>
      <c r="I983" s="2" t="s">
        <v>1111</v>
      </c>
      <c r="J983" s="2">
        <v>0.74891293048858643</v>
      </c>
      <c r="K983" s="2" t="s">
        <v>29</v>
      </c>
      <c r="L983" s="2" t="s">
        <v>816</v>
      </c>
      <c r="M983" s="2">
        <v>135</v>
      </c>
    </row>
    <row r="984" spans="1:13" ht="90" customHeight="1" x14ac:dyDescent="0.3">
      <c r="A984" s="8"/>
      <c r="B984" s="7"/>
      <c r="C984" s="7"/>
      <c r="D984" s="7"/>
      <c r="E984" s="7"/>
      <c r="F984" s="7"/>
      <c r="G984" s="7"/>
      <c r="H984" s="7"/>
      <c r="I984" s="2" t="s">
        <v>1112</v>
      </c>
      <c r="J984" s="2">
        <v>0.74523431062698364</v>
      </c>
      <c r="K984" s="2" t="s">
        <v>29</v>
      </c>
      <c r="L984" s="2" t="s">
        <v>1113</v>
      </c>
      <c r="M984" s="2">
        <v>87</v>
      </c>
    </row>
    <row r="985" spans="1:13" ht="90" customHeight="1" x14ac:dyDescent="0.3">
      <c r="A985" s="8"/>
      <c r="B985" s="7"/>
      <c r="C985" s="7"/>
      <c r="D985" s="7"/>
      <c r="E985" s="7"/>
      <c r="F985" s="7"/>
      <c r="G985" s="7"/>
      <c r="H985" s="7"/>
      <c r="I985" s="1" t="s">
        <v>1114</v>
      </c>
      <c r="J985" s="1">
        <v>0.71482300232632956</v>
      </c>
      <c r="K985" s="1" t="s">
        <v>29</v>
      </c>
      <c r="L985" s="1" t="s">
        <v>1115</v>
      </c>
      <c r="M985" s="1">
        <v>23</v>
      </c>
    </row>
    <row r="986" spans="1:13" ht="90" customHeight="1" x14ac:dyDescent="0.3">
      <c r="A986" s="8"/>
      <c r="B986" s="7"/>
      <c r="C986" s="7"/>
      <c r="D986" s="7"/>
      <c r="E986" s="7"/>
      <c r="F986" s="7"/>
      <c r="G986" s="7"/>
      <c r="H986" s="7"/>
      <c r="I986" s="1"/>
      <c r="J986" s="1"/>
      <c r="K986" s="1"/>
      <c r="L986" s="1"/>
      <c r="M986" s="1"/>
    </row>
    <row r="987" spans="1:13" ht="90" customHeight="1" x14ac:dyDescent="0.3">
      <c r="A987" s="8">
        <v>342</v>
      </c>
      <c r="B987" s="8" t="s">
        <v>1116</v>
      </c>
      <c r="C987" s="8" t="s">
        <v>927</v>
      </c>
      <c r="D987" s="8" t="s">
        <v>1117</v>
      </c>
      <c r="E987" s="6" t="s">
        <v>24</v>
      </c>
      <c r="F987" s="6" t="s">
        <v>18</v>
      </c>
      <c r="G987" s="8" t="s">
        <v>1118</v>
      </c>
      <c r="H987" s="8" t="s">
        <v>1119</v>
      </c>
      <c r="I987" s="2" t="s">
        <v>1120</v>
      </c>
      <c r="J987" s="2">
        <v>0.98078066110610962</v>
      </c>
      <c r="K987" s="2" t="s">
        <v>29</v>
      </c>
      <c r="L987" s="2" t="s">
        <v>320</v>
      </c>
      <c r="M987" s="2">
        <v>261</v>
      </c>
    </row>
    <row r="988" spans="1:13" ht="90" customHeight="1" x14ac:dyDescent="0.3">
      <c r="A988" s="8"/>
      <c r="B988" s="7"/>
      <c r="C988" s="7"/>
      <c r="D988" s="7"/>
      <c r="E988" s="7"/>
      <c r="F988" s="7"/>
      <c r="G988" s="7"/>
      <c r="H988" s="7"/>
      <c r="I988" s="2" t="s">
        <v>1121</v>
      </c>
      <c r="J988" s="2">
        <v>0.97196507453918457</v>
      </c>
      <c r="K988" s="2" t="s">
        <v>29</v>
      </c>
      <c r="L988" s="2" t="s">
        <v>320</v>
      </c>
      <c r="M988" s="2">
        <v>260</v>
      </c>
    </row>
    <row r="989" spans="1:13" ht="90" customHeight="1" x14ac:dyDescent="0.3">
      <c r="A989" s="8"/>
      <c r="B989" s="7"/>
      <c r="C989" s="7"/>
      <c r="D989" s="7"/>
      <c r="E989" s="7"/>
      <c r="F989" s="7"/>
      <c r="G989" s="7"/>
      <c r="H989" s="7"/>
      <c r="I989" s="2" t="s">
        <v>1122</v>
      </c>
      <c r="J989" s="2">
        <v>0.9149964451789856</v>
      </c>
      <c r="K989" s="2" t="s">
        <v>29</v>
      </c>
      <c r="L989" s="2" t="s">
        <v>1123</v>
      </c>
      <c r="M989" s="2">
        <v>16</v>
      </c>
    </row>
    <row r="990" spans="1:13" ht="90" customHeight="1" x14ac:dyDescent="0.3">
      <c r="A990" s="8"/>
      <c r="B990" s="7"/>
      <c r="C990" s="7"/>
      <c r="D990" s="7"/>
      <c r="E990" s="7"/>
      <c r="F990" s="7"/>
      <c r="G990" s="7"/>
      <c r="H990" s="7"/>
      <c r="I990" s="5" t="s">
        <v>1124</v>
      </c>
      <c r="J990" s="5">
        <v>0.91360819339752197</v>
      </c>
      <c r="K990" s="5" t="s">
        <v>29</v>
      </c>
      <c r="L990" s="5" t="s">
        <v>927</v>
      </c>
      <c r="M990" s="5">
        <v>139</v>
      </c>
    </row>
    <row r="991" spans="1:13" ht="90" customHeight="1" x14ac:dyDescent="0.3">
      <c r="A991" s="8"/>
      <c r="B991" s="7"/>
      <c r="C991" s="7"/>
      <c r="D991" s="7"/>
      <c r="E991" s="7"/>
      <c r="F991" s="7"/>
      <c r="G991" s="7"/>
      <c r="H991" s="7"/>
      <c r="I991" s="1" t="s">
        <v>1125</v>
      </c>
      <c r="J991" s="1">
        <v>0.90447521209716797</v>
      </c>
      <c r="K991" s="1" t="s">
        <v>29</v>
      </c>
      <c r="L991" s="1" t="s">
        <v>927</v>
      </c>
      <c r="M991" s="1">
        <v>138</v>
      </c>
    </row>
    <row r="992" spans="1:13" ht="90" customHeight="1" x14ac:dyDescent="0.3">
      <c r="A992" s="8">
        <v>346</v>
      </c>
      <c r="B992" s="8" t="s">
        <v>1126</v>
      </c>
      <c r="C992" s="8" t="s">
        <v>332</v>
      </c>
      <c r="D992" s="8" t="s">
        <v>1127</v>
      </c>
      <c r="E992" s="6" t="s">
        <v>24</v>
      </c>
      <c r="F992" s="6" t="s">
        <v>25</v>
      </c>
      <c r="G992" s="8" t="s">
        <v>1128</v>
      </c>
      <c r="H992" s="8" t="s">
        <v>1129</v>
      </c>
      <c r="I992" s="4" t="s">
        <v>1130</v>
      </c>
      <c r="J992" s="4">
        <v>0.99724340438842773</v>
      </c>
      <c r="K992" s="4" t="s">
        <v>29</v>
      </c>
      <c r="L992" s="4" t="s">
        <v>332</v>
      </c>
      <c r="M992" s="4">
        <v>404</v>
      </c>
    </row>
    <row r="993" spans="1:13" ht="90" customHeight="1" x14ac:dyDescent="0.3">
      <c r="A993" s="8"/>
      <c r="B993" s="7"/>
      <c r="C993" s="7"/>
      <c r="D993" s="7"/>
      <c r="E993" s="7"/>
      <c r="F993" s="7"/>
      <c r="G993" s="7"/>
      <c r="H993" s="7"/>
      <c r="I993" s="1"/>
      <c r="J993" s="1"/>
      <c r="K993" s="1"/>
      <c r="L993" s="1"/>
      <c r="M993" s="1"/>
    </row>
    <row r="994" spans="1:13" ht="90" customHeight="1" x14ac:dyDescent="0.3">
      <c r="A994" s="8"/>
      <c r="B994" s="7"/>
      <c r="C994" s="7"/>
      <c r="D994" s="7"/>
      <c r="E994" s="7"/>
      <c r="F994" s="7"/>
      <c r="G994" s="7"/>
      <c r="H994" s="7"/>
      <c r="I994" s="1"/>
      <c r="J994" s="1"/>
      <c r="K994" s="1"/>
      <c r="L994" s="1"/>
      <c r="M994" s="1"/>
    </row>
    <row r="995" spans="1:13" ht="90" customHeight="1" x14ac:dyDescent="0.3">
      <c r="A995" s="8"/>
      <c r="B995" s="7"/>
      <c r="C995" s="7"/>
      <c r="D995" s="7"/>
      <c r="E995" s="7"/>
      <c r="F995" s="7"/>
      <c r="G995" s="7"/>
      <c r="H995" s="7"/>
      <c r="I995" s="1"/>
      <c r="J995" s="1"/>
      <c r="K995" s="1"/>
      <c r="L995" s="1"/>
      <c r="M995" s="1"/>
    </row>
    <row r="996" spans="1:13" ht="90" customHeight="1" x14ac:dyDescent="0.3">
      <c r="A996" s="8"/>
      <c r="B996" s="7"/>
      <c r="C996" s="7"/>
      <c r="D996" s="7"/>
      <c r="E996" s="7"/>
      <c r="F996" s="7"/>
      <c r="G996" s="7"/>
      <c r="H996" s="7"/>
      <c r="I996" s="1"/>
      <c r="J996" s="1"/>
      <c r="K996" s="1"/>
      <c r="L996" s="1"/>
      <c r="M996" s="1"/>
    </row>
    <row r="997" spans="1:13" ht="90" customHeight="1" x14ac:dyDescent="0.3">
      <c r="A997" s="8">
        <v>348</v>
      </c>
      <c r="B997" s="8" t="s">
        <v>1131</v>
      </c>
      <c r="C997" s="8" t="s">
        <v>314</v>
      </c>
      <c r="D997" s="8" t="s">
        <v>398</v>
      </c>
      <c r="E997" s="6" t="s">
        <v>24</v>
      </c>
      <c r="F997" s="6" t="s">
        <v>25</v>
      </c>
      <c r="G997" s="8" t="s">
        <v>1132</v>
      </c>
      <c r="H997" s="8" t="s">
        <v>1133</v>
      </c>
      <c r="I997" s="4" t="s">
        <v>1134</v>
      </c>
      <c r="J997" s="4">
        <v>0.96208745241165161</v>
      </c>
      <c r="K997" s="4" t="s">
        <v>29</v>
      </c>
      <c r="L997" s="4" t="s">
        <v>314</v>
      </c>
      <c r="M997" s="4">
        <v>3</v>
      </c>
    </row>
    <row r="998" spans="1:13" ht="90" customHeight="1" x14ac:dyDescent="0.3">
      <c r="A998" s="8"/>
      <c r="B998" s="7"/>
      <c r="C998" s="7"/>
      <c r="D998" s="7"/>
      <c r="E998" s="7"/>
      <c r="F998" s="7"/>
      <c r="G998" s="7"/>
      <c r="H998" s="7"/>
      <c r="I998" s="1"/>
      <c r="J998" s="1"/>
      <c r="K998" s="1"/>
      <c r="L998" s="1"/>
      <c r="M998" s="1"/>
    </row>
    <row r="999" spans="1:13" ht="90" customHeight="1" x14ac:dyDescent="0.3">
      <c r="A999" s="8"/>
      <c r="B999" s="7"/>
      <c r="C999" s="7"/>
      <c r="D999" s="7"/>
      <c r="E999" s="7"/>
      <c r="F999" s="7"/>
      <c r="G999" s="7"/>
      <c r="H999" s="7"/>
      <c r="I999" s="1"/>
      <c r="J999" s="1"/>
      <c r="K999" s="1"/>
      <c r="L999" s="1"/>
      <c r="M999" s="1"/>
    </row>
    <row r="1000" spans="1:13" ht="90" customHeight="1" x14ac:dyDescent="0.3">
      <c r="A1000" s="8"/>
      <c r="B1000" s="7"/>
      <c r="C1000" s="7"/>
      <c r="D1000" s="7"/>
      <c r="E1000" s="7"/>
      <c r="F1000" s="7"/>
      <c r="G1000" s="7"/>
      <c r="H1000" s="7"/>
      <c r="I1000" s="1"/>
      <c r="J1000" s="1"/>
      <c r="K1000" s="1"/>
      <c r="L1000" s="1"/>
      <c r="M1000" s="1"/>
    </row>
    <row r="1001" spans="1:13" ht="90" customHeight="1" x14ac:dyDescent="0.3">
      <c r="A1001" s="8"/>
      <c r="B1001" s="7"/>
      <c r="C1001" s="7"/>
      <c r="D1001" s="7"/>
      <c r="E1001" s="7"/>
      <c r="F1001" s="7"/>
      <c r="G1001" s="7"/>
      <c r="H1001" s="7"/>
      <c r="I1001" s="1"/>
      <c r="J1001" s="1"/>
      <c r="K1001" s="1"/>
      <c r="L1001" s="1"/>
      <c r="M1001" s="1"/>
    </row>
    <row r="1002" spans="1:13" ht="90" customHeight="1" x14ac:dyDescent="0.3">
      <c r="A1002" s="8">
        <v>349</v>
      </c>
      <c r="B1002" s="8" t="s">
        <v>1135</v>
      </c>
      <c r="C1002" s="8" t="s">
        <v>325</v>
      </c>
      <c r="D1002" s="8" t="s">
        <v>1136</v>
      </c>
      <c r="E1002" s="6" t="s">
        <v>17</v>
      </c>
      <c r="F1002" s="6" t="s">
        <v>18</v>
      </c>
      <c r="G1002" s="8" t="s">
        <v>1137</v>
      </c>
      <c r="H1002" s="8" t="s">
        <v>1138</v>
      </c>
      <c r="I1002" s="2" t="s">
        <v>928</v>
      </c>
      <c r="J1002" s="2">
        <v>0.9775049090385437</v>
      </c>
      <c r="K1002" s="2" t="s">
        <v>29</v>
      </c>
      <c r="L1002" s="2" t="s">
        <v>325</v>
      </c>
      <c r="M1002" s="2">
        <v>100</v>
      </c>
    </row>
    <row r="1003" spans="1:13" ht="90" customHeight="1" x14ac:dyDescent="0.3">
      <c r="A1003" s="8"/>
      <c r="B1003" s="7"/>
      <c r="C1003" s="7"/>
      <c r="D1003" s="7"/>
      <c r="E1003" s="7"/>
      <c r="F1003" s="7"/>
      <c r="G1003" s="7"/>
      <c r="H1003" s="7"/>
      <c r="I1003" s="1"/>
      <c r="J1003" s="1"/>
      <c r="K1003" s="1"/>
      <c r="L1003" s="1"/>
      <c r="M1003" s="1"/>
    </row>
    <row r="1004" spans="1:13" ht="90" customHeight="1" x14ac:dyDescent="0.3">
      <c r="A1004" s="8"/>
      <c r="B1004" s="7"/>
      <c r="C1004" s="7"/>
      <c r="D1004" s="7"/>
      <c r="E1004" s="7"/>
      <c r="F1004" s="7"/>
      <c r="G1004" s="7"/>
      <c r="H1004" s="7"/>
      <c r="I1004" s="1"/>
      <c r="J1004" s="1"/>
      <c r="K1004" s="1"/>
      <c r="L1004" s="1"/>
      <c r="M1004" s="1"/>
    </row>
    <row r="1005" spans="1:13" ht="90" customHeight="1" x14ac:dyDescent="0.3">
      <c r="A1005" s="8"/>
      <c r="B1005" s="7"/>
      <c r="C1005" s="7"/>
      <c r="D1005" s="7"/>
      <c r="E1005" s="7"/>
      <c r="F1005" s="7"/>
      <c r="G1005" s="7"/>
      <c r="H1005" s="7"/>
      <c r="I1005" s="1"/>
      <c r="J1005" s="1"/>
      <c r="K1005" s="1"/>
      <c r="L1005" s="1"/>
      <c r="M1005" s="1"/>
    </row>
    <row r="1006" spans="1:13" ht="90" customHeight="1" x14ac:dyDescent="0.3">
      <c r="A1006" s="8"/>
      <c r="B1006" s="7"/>
      <c r="C1006" s="7"/>
      <c r="D1006" s="7"/>
      <c r="E1006" s="7"/>
      <c r="F1006" s="7"/>
      <c r="G1006" s="7"/>
      <c r="H1006" s="7"/>
      <c r="I1006" s="1"/>
      <c r="J1006" s="1"/>
      <c r="K1006" s="1"/>
      <c r="L1006" s="1"/>
      <c r="M1006" s="1"/>
    </row>
    <row r="1007" spans="1:13" ht="90" customHeight="1" x14ac:dyDescent="0.3">
      <c r="A1007" s="8">
        <v>351</v>
      </c>
      <c r="B1007" s="8" t="s">
        <v>1139</v>
      </c>
      <c r="C1007" s="8" t="s">
        <v>1140</v>
      </c>
      <c r="D1007" s="8" t="s">
        <v>1141</v>
      </c>
      <c r="E1007" s="6" t="s">
        <v>17</v>
      </c>
      <c r="F1007" s="6" t="s">
        <v>18</v>
      </c>
      <c r="G1007" s="8" t="s">
        <v>1142</v>
      </c>
      <c r="H1007" s="8" t="s">
        <v>20</v>
      </c>
      <c r="I1007" s="1"/>
      <c r="J1007" s="1"/>
      <c r="K1007" s="1"/>
      <c r="L1007" s="1"/>
      <c r="M1007" s="1"/>
    </row>
    <row r="1008" spans="1:13" ht="90" customHeight="1" x14ac:dyDescent="0.3">
      <c r="A1008" s="8"/>
      <c r="B1008" s="7"/>
      <c r="C1008" s="7"/>
      <c r="D1008" s="7"/>
      <c r="E1008" s="7"/>
      <c r="F1008" s="7"/>
      <c r="G1008" s="7"/>
      <c r="H1008" s="7"/>
      <c r="I1008" s="1"/>
      <c r="J1008" s="1"/>
      <c r="K1008" s="1"/>
      <c r="L1008" s="1"/>
      <c r="M1008" s="1"/>
    </row>
    <row r="1009" spans="1:13" ht="90" customHeight="1" x14ac:dyDescent="0.3">
      <c r="A1009" s="8"/>
      <c r="B1009" s="7"/>
      <c r="C1009" s="7"/>
      <c r="D1009" s="7"/>
      <c r="E1009" s="7"/>
      <c r="F1009" s="7"/>
      <c r="G1009" s="7"/>
      <c r="H1009" s="7"/>
      <c r="I1009" s="1"/>
      <c r="J1009" s="1"/>
      <c r="K1009" s="1"/>
      <c r="L1009" s="1"/>
      <c r="M1009" s="1"/>
    </row>
    <row r="1010" spans="1:13" ht="90" customHeight="1" x14ac:dyDescent="0.3">
      <c r="A1010" s="8"/>
      <c r="B1010" s="7"/>
      <c r="C1010" s="7"/>
      <c r="D1010" s="7"/>
      <c r="E1010" s="7"/>
      <c r="F1010" s="7"/>
      <c r="G1010" s="7"/>
      <c r="H1010" s="7"/>
      <c r="I1010" s="1"/>
      <c r="J1010" s="1"/>
      <c r="K1010" s="1"/>
      <c r="L1010" s="1"/>
      <c r="M1010" s="1"/>
    </row>
    <row r="1011" spans="1:13" ht="90" customHeight="1" x14ac:dyDescent="0.3">
      <c r="A1011" s="8"/>
      <c r="B1011" s="7"/>
      <c r="C1011" s="7"/>
      <c r="D1011" s="7"/>
      <c r="E1011" s="7"/>
      <c r="F1011" s="7"/>
      <c r="G1011" s="7"/>
      <c r="H1011" s="7"/>
      <c r="I1011" s="1"/>
      <c r="J1011" s="1"/>
      <c r="K1011" s="1"/>
      <c r="L1011" s="1"/>
      <c r="M1011" s="1"/>
    </row>
    <row r="1012" spans="1:13" ht="90" customHeight="1" x14ac:dyDescent="0.3">
      <c r="A1012" s="8">
        <v>352</v>
      </c>
      <c r="B1012" s="8" t="s">
        <v>1143</v>
      </c>
      <c r="C1012" s="8" t="s">
        <v>314</v>
      </c>
      <c r="D1012" s="8" t="s">
        <v>16</v>
      </c>
      <c r="E1012" s="6" t="s">
        <v>24</v>
      </c>
      <c r="F1012" s="6" t="s">
        <v>25</v>
      </c>
      <c r="G1012" s="8" t="s">
        <v>1144</v>
      </c>
      <c r="H1012" s="8" t="s">
        <v>1145</v>
      </c>
      <c r="I1012" s="4" t="s">
        <v>735</v>
      </c>
      <c r="J1012" s="4">
        <v>0.99709165096282959</v>
      </c>
      <c r="K1012" s="4" t="s">
        <v>29</v>
      </c>
      <c r="L1012" s="4" t="s">
        <v>314</v>
      </c>
      <c r="M1012" s="4">
        <v>1</v>
      </c>
    </row>
    <row r="1013" spans="1:13" ht="90" customHeight="1" x14ac:dyDescent="0.3">
      <c r="A1013" s="8"/>
      <c r="B1013" s="7"/>
      <c r="C1013" s="7"/>
      <c r="D1013" s="7"/>
      <c r="E1013" s="7"/>
      <c r="F1013" s="7"/>
      <c r="G1013" s="7"/>
      <c r="H1013" s="7"/>
      <c r="I1013" s="1"/>
      <c r="J1013" s="1"/>
      <c r="K1013" s="1"/>
      <c r="L1013" s="1"/>
      <c r="M1013" s="1"/>
    </row>
    <row r="1014" spans="1:13" ht="90" customHeight="1" x14ac:dyDescent="0.3">
      <c r="A1014" s="8"/>
      <c r="B1014" s="7"/>
      <c r="C1014" s="7"/>
      <c r="D1014" s="7"/>
      <c r="E1014" s="7"/>
      <c r="F1014" s="7"/>
      <c r="G1014" s="7"/>
      <c r="H1014" s="7"/>
      <c r="I1014" s="1"/>
      <c r="J1014" s="1"/>
      <c r="K1014" s="1"/>
      <c r="L1014" s="1"/>
      <c r="M1014" s="1"/>
    </row>
    <row r="1015" spans="1:13" ht="90" customHeight="1" x14ac:dyDescent="0.3">
      <c r="A1015" s="8"/>
      <c r="B1015" s="7"/>
      <c r="C1015" s="7"/>
      <c r="D1015" s="7"/>
      <c r="E1015" s="7"/>
      <c r="F1015" s="7"/>
      <c r="G1015" s="7"/>
      <c r="H1015" s="7"/>
      <c r="I1015" s="1"/>
      <c r="J1015" s="1"/>
      <c r="K1015" s="1"/>
      <c r="L1015" s="1"/>
      <c r="M1015" s="1"/>
    </row>
    <row r="1016" spans="1:13" ht="90" customHeight="1" x14ac:dyDescent="0.3">
      <c r="A1016" s="8"/>
      <c r="B1016" s="7"/>
      <c r="C1016" s="7"/>
      <c r="D1016" s="7"/>
      <c r="E1016" s="7"/>
      <c r="F1016" s="7"/>
      <c r="G1016" s="7"/>
      <c r="H1016" s="7"/>
      <c r="I1016" s="1"/>
      <c r="J1016" s="1"/>
      <c r="K1016" s="1"/>
      <c r="L1016" s="1"/>
      <c r="M1016" s="1"/>
    </row>
    <row r="1017" spans="1:13" ht="90" customHeight="1" x14ac:dyDescent="0.3">
      <c r="A1017" s="8">
        <v>353</v>
      </c>
      <c r="B1017" s="8" t="s">
        <v>1146</v>
      </c>
      <c r="C1017" s="8" t="s">
        <v>83</v>
      </c>
      <c r="D1017" s="8" t="s">
        <v>16</v>
      </c>
      <c r="E1017" s="6" t="s">
        <v>24</v>
      </c>
      <c r="F1017" s="6" t="s">
        <v>25</v>
      </c>
      <c r="G1017" s="8" t="s">
        <v>1147</v>
      </c>
      <c r="H1017" s="8" t="s">
        <v>1148</v>
      </c>
      <c r="I1017" s="4" t="s">
        <v>86</v>
      </c>
      <c r="J1017" s="4">
        <v>0.86253654956817605</v>
      </c>
      <c r="K1017" s="4" t="s">
        <v>29</v>
      </c>
      <c r="L1017" s="4" t="s">
        <v>83</v>
      </c>
      <c r="M1017" s="4">
        <v>1</v>
      </c>
    </row>
    <row r="1018" spans="1:13" ht="90" customHeight="1" x14ac:dyDescent="0.3">
      <c r="A1018" s="8"/>
      <c r="B1018" s="7"/>
      <c r="C1018" s="7"/>
      <c r="D1018" s="7"/>
      <c r="E1018" s="7"/>
      <c r="F1018" s="7"/>
      <c r="G1018" s="7"/>
      <c r="H1018" s="7"/>
      <c r="I1018" s="1"/>
      <c r="J1018" s="1"/>
      <c r="K1018" s="1"/>
      <c r="L1018" s="1"/>
      <c r="M1018" s="1"/>
    </row>
    <row r="1019" spans="1:13" ht="90" customHeight="1" x14ac:dyDescent="0.3">
      <c r="A1019" s="8"/>
      <c r="B1019" s="7"/>
      <c r="C1019" s="7"/>
      <c r="D1019" s="7"/>
      <c r="E1019" s="7"/>
      <c r="F1019" s="7"/>
      <c r="G1019" s="7"/>
      <c r="H1019" s="7"/>
      <c r="I1019" s="1"/>
      <c r="J1019" s="1"/>
      <c r="K1019" s="1"/>
      <c r="L1019" s="1"/>
      <c r="M1019" s="1"/>
    </row>
    <row r="1020" spans="1:13" ht="90" customHeight="1" x14ac:dyDescent="0.3">
      <c r="A1020" s="8"/>
      <c r="B1020" s="7"/>
      <c r="C1020" s="7"/>
      <c r="D1020" s="7"/>
      <c r="E1020" s="7"/>
      <c r="F1020" s="7"/>
      <c r="G1020" s="7"/>
      <c r="H1020" s="7"/>
      <c r="I1020" s="1"/>
      <c r="J1020" s="1"/>
      <c r="K1020" s="1"/>
      <c r="L1020" s="1"/>
      <c r="M1020" s="1"/>
    </row>
    <row r="1021" spans="1:13" ht="90" customHeight="1" x14ac:dyDescent="0.3">
      <c r="A1021" s="8"/>
      <c r="B1021" s="7"/>
      <c r="C1021" s="7"/>
      <c r="D1021" s="7"/>
      <c r="E1021" s="7"/>
      <c r="F1021" s="7"/>
      <c r="G1021" s="7"/>
      <c r="H1021" s="7"/>
      <c r="I1021" s="1"/>
      <c r="J1021" s="1"/>
      <c r="K1021" s="1"/>
      <c r="L1021" s="1"/>
      <c r="M1021" s="1"/>
    </row>
    <row r="1022" spans="1:13" ht="90" customHeight="1" x14ac:dyDescent="0.3">
      <c r="A1022" s="8">
        <v>359</v>
      </c>
      <c r="B1022" s="8" t="s">
        <v>1149</v>
      </c>
      <c r="C1022" s="8" t="s">
        <v>351</v>
      </c>
      <c r="D1022" s="8" t="s">
        <v>1150</v>
      </c>
      <c r="E1022" s="6" t="s">
        <v>17</v>
      </c>
      <c r="F1022" s="6" t="s">
        <v>18</v>
      </c>
      <c r="G1022" s="8" t="s">
        <v>1151</v>
      </c>
      <c r="H1022" s="8" t="s">
        <v>20</v>
      </c>
      <c r="I1022" s="1"/>
      <c r="J1022" s="1"/>
      <c r="K1022" s="1"/>
      <c r="L1022" s="1"/>
      <c r="M1022" s="1"/>
    </row>
    <row r="1023" spans="1:13" ht="90" customHeight="1" x14ac:dyDescent="0.3">
      <c r="A1023" s="8"/>
      <c r="B1023" s="7"/>
      <c r="C1023" s="7"/>
      <c r="D1023" s="7"/>
      <c r="E1023" s="7"/>
      <c r="F1023" s="7"/>
      <c r="G1023" s="7"/>
      <c r="H1023" s="7"/>
      <c r="I1023" s="1"/>
      <c r="J1023" s="1"/>
      <c r="K1023" s="1"/>
      <c r="L1023" s="1"/>
      <c r="M1023" s="1"/>
    </row>
    <row r="1024" spans="1:13" ht="90" customHeight="1" x14ac:dyDescent="0.3">
      <c r="A1024" s="8"/>
      <c r="B1024" s="7"/>
      <c r="C1024" s="7"/>
      <c r="D1024" s="7"/>
      <c r="E1024" s="7"/>
      <c r="F1024" s="7"/>
      <c r="G1024" s="7"/>
      <c r="H1024" s="7"/>
      <c r="I1024" s="1"/>
      <c r="J1024" s="1"/>
      <c r="K1024" s="1"/>
      <c r="L1024" s="1"/>
      <c r="M1024" s="1"/>
    </row>
    <row r="1025" spans="1:13" ht="90" customHeight="1" x14ac:dyDescent="0.3">
      <c r="A1025" s="8"/>
      <c r="B1025" s="7"/>
      <c r="C1025" s="7"/>
      <c r="D1025" s="7"/>
      <c r="E1025" s="7"/>
      <c r="F1025" s="7"/>
      <c r="G1025" s="7"/>
      <c r="H1025" s="7"/>
      <c r="I1025" s="1"/>
      <c r="J1025" s="1"/>
      <c r="K1025" s="1"/>
      <c r="L1025" s="1"/>
      <c r="M1025" s="1"/>
    </row>
    <row r="1026" spans="1:13" ht="90" customHeight="1" x14ac:dyDescent="0.3">
      <c r="A1026" s="8"/>
      <c r="B1026" s="7"/>
      <c r="C1026" s="7"/>
      <c r="D1026" s="7"/>
      <c r="E1026" s="7"/>
      <c r="F1026" s="7"/>
      <c r="G1026" s="7"/>
      <c r="H1026" s="7"/>
      <c r="I1026" s="1"/>
      <c r="J1026" s="1"/>
      <c r="K1026" s="1"/>
      <c r="L1026" s="1"/>
      <c r="M1026" s="1"/>
    </row>
    <row r="1027" spans="1:13" ht="90" customHeight="1" x14ac:dyDescent="0.3">
      <c r="A1027" s="8">
        <v>361</v>
      </c>
      <c r="B1027" s="8" t="s">
        <v>583</v>
      </c>
      <c r="C1027" s="8" t="s">
        <v>584</v>
      </c>
      <c r="D1027" s="8" t="s">
        <v>585</v>
      </c>
      <c r="E1027" s="6" t="s">
        <v>17</v>
      </c>
      <c r="F1027" s="6" t="s">
        <v>18</v>
      </c>
      <c r="G1027" s="8" t="s">
        <v>1152</v>
      </c>
      <c r="H1027" s="8" t="s">
        <v>587</v>
      </c>
      <c r="I1027" s="2" t="s">
        <v>47</v>
      </c>
      <c r="J1027" s="2">
        <v>0.99177205501961496</v>
      </c>
      <c r="K1027" s="2" t="s">
        <v>29</v>
      </c>
      <c r="L1027" s="2" t="s">
        <v>43</v>
      </c>
      <c r="M1027" s="2">
        <v>3</v>
      </c>
    </row>
    <row r="1028" spans="1:13" ht="90" customHeight="1" x14ac:dyDescent="0.3">
      <c r="A1028" s="8"/>
      <c r="B1028" s="7"/>
      <c r="C1028" s="7"/>
      <c r="D1028" s="7"/>
      <c r="E1028" s="7"/>
      <c r="F1028" s="7"/>
      <c r="G1028" s="7"/>
      <c r="H1028" s="7"/>
      <c r="I1028" s="2" t="s">
        <v>48</v>
      </c>
      <c r="J1028" s="2">
        <v>0.98889134984361116</v>
      </c>
      <c r="K1028" s="2" t="s">
        <v>29</v>
      </c>
      <c r="L1028" s="2" t="s">
        <v>43</v>
      </c>
      <c r="M1028" s="2">
        <v>1</v>
      </c>
    </row>
    <row r="1029" spans="1:13" ht="90" customHeight="1" x14ac:dyDescent="0.3">
      <c r="A1029" s="8"/>
      <c r="B1029" s="7"/>
      <c r="C1029" s="7"/>
      <c r="D1029" s="7"/>
      <c r="E1029" s="7"/>
      <c r="F1029" s="7"/>
      <c r="G1029" s="7"/>
      <c r="H1029" s="7"/>
      <c r="I1029" s="2" t="s">
        <v>49</v>
      </c>
      <c r="J1029" s="2">
        <v>0.90491826526374564</v>
      </c>
      <c r="K1029" s="2" t="s">
        <v>29</v>
      </c>
      <c r="L1029" s="2" t="s">
        <v>43</v>
      </c>
      <c r="M1029" s="2">
        <v>2</v>
      </c>
    </row>
    <row r="1030" spans="1:13" ht="90" customHeight="1" x14ac:dyDescent="0.3">
      <c r="A1030" s="8"/>
      <c r="B1030" s="7"/>
      <c r="C1030" s="7"/>
      <c r="D1030" s="7"/>
      <c r="E1030" s="7"/>
      <c r="F1030" s="7"/>
      <c r="G1030" s="7"/>
      <c r="H1030" s="7"/>
      <c r="I1030" s="1"/>
      <c r="J1030" s="1"/>
      <c r="K1030" s="1"/>
      <c r="L1030" s="1"/>
      <c r="M1030" s="1"/>
    </row>
    <row r="1031" spans="1:13" ht="90" customHeight="1" x14ac:dyDescent="0.3">
      <c r="A1031" s="8"/>
      <c r="B1031" s="7"/>
      <c r="C1031" s="7"/>
      <c r="D1031" s="7"/>
      <c r="E1031" s="7"/>
      <c r="F1031" s="7"/>
      <c r="G1031" s="7"/>
      <c r="H1031" s="7"/>
      <c r="I1031" s="1"/>
      <c r="J1031" s="1"/>
      <c r="K1031" s="1"/>
      <c r="L1031" s="1"/>
      <c r="M1031" s="1"/>
    </row>
    <row r="1032" spans="1:13" ht="90" customHeight="1" x14ac:dyDescent="0.3">
      <c r="A1032" s="8">
        <v>362</v>
      </c>
      <c r="B1032" s="8" t="s">
        <v>588</v>
      </c>
      <c r="C1032" s="8" t="s">
        <v>240</v>
      </c>
      <c r="D1032" s="8" t="s">
        <v>589</v>
      </c>
      <c r="E1032" s="6" t="s">
        <v>24</v>
      </c>
      <c r="F1032" s="6" t="s">
        <v>25</v>
      </c>
      <c r="G1032" s="8" t="s">
        <v>1153</v>
      </c>
      <c r="H1032" s="8" t="s">
        <v>591</v>
      </c>
      <c r="I1032" s="4" t="s">
        <v>592</v>
      </c>
      <c r="J1032" s="4">
        <v>0.99711117752966671</v>
      </c>
      <c r="K1032" s="4" t="s">
        <v>29</v>
      </c>
      <c r="L1032" s="4" t="s">
        <v>240</v>
      </c>
      <c r="M1032" s="4">
        <v>44</v>
      </c>
    </row>
    <row r="1033" spans="1:13" ht="90" customHeight="1" x14ac:dyDescent="0.3">
      <c r="A1033" s="8"/>
      <c r="B1033" s="7"/>
      <c r="C1033" s="7"/>
      <c r="D1033" s="7"/>
      <c r="E1033" s="7"/>
      <c r="F1033" s="7"/>
      <c r="G1033" s="7"/>
      <c r="H1033" s="7"/>
      <c r="I1033" s="1"/>
      <c r="J1033" s="1"/>
      <c r="K1033" s="1"/>
      <c r="L1033" s="1"/>
      <c r="M1033" s="1"/>
    </row>
    <row r="1034" spans="1:13" ht="90" customHeight="1" x14ac:dyDescent="0.3">
      <c r="A1034" s="8"/>
      <c r="B1034" s="7"/>
      <c r="C1034" s="7"/>
      <c r="D1034" s="7"/>
      <c r="E1034" s="7"/>
      <c r="F1034" s="7"/>
      <c r="G1034" s="7"/>
      <c r="H1034" s="7"/>
      <c r="I1034" s="1"/>
      <c r="J1034" s="1"/>
      <c r="K1034" s="1"/>
      <c r="L1034" s="1"/>
      <c r="M1034" s="1"/>
    </row>
    <row r="1035" spans="1:13" ht="90" customHeight="1" x14ac:dyDescent="0.3">
      <c r="A1035" s="8"/>
      <c r="B1035" s="7"/>
      <c r="C1035" s="7"/>
      <c r="D1035" s="7"/>
      <c r="E1035" s="7"/>
      <c r="F1035" s="7"/>
      <c r="G1035" s="7"/>
      <c r="H1035" s="7"/>
      <c r="I1035" s="1"/>
      <c r="J1035" s="1"/>
      <c r="K1035" s="1"/>
      <c r="L1035" s="1"/>
      <c r="M1035" s="1"/>
    </row>
    <row r="1036" spans="1:13" ht="90" customHeight="1" x14ac:dyDescent="0.3">
      <c r="A1036" s="8"/>
      <c r="B1036" s="7"/>
      <c r="C1036" s="7"/>
      <c r="D1036" s="7"/>
      <c r="E1036" s="7"/>
      <c r="F1036" s="7"/>
      <c r="G1036" s="7"/>
      <c r="H1036" s="7"/>
      <c r="I1036" s="1"/>
      <c r="J1036" s="1"/>
      <c r="K1036" s="1"/>
      <c r="L1036" s="1"/>
      <c r="M1036" s="1"/>
    </row>
    <row r="1037" spans="1:13" ht="90" customHeight="1" x14ac:dyDescent="0.3">
      <c r="A1037" s="8">
        <v>366</v>
      </c>
      <c r="B1037" s="8" t="s">
        <v>603</v>
      </c>
      <c r="C1037" s="8" t="s">
        <v>567</v>
      </c>
      <c r="D1037" s="8" t="s">
        <v>604</v>
      </c>
      <c r="E1037" s="6" t="s">
        <v>17</v>
      </c>
      <c r="F1037" s="6" t="s">
        <v>18</v>
      </c>
      <c r="G1037" s="8" t="s">
        <v>1154</v>
      </c>
      <c r="H1037" s="8" t="s">
        <v>606</v>
      </c>
      <c r="I1037" s="2" t="s">
        <v>607</v>
      </c>
      <c r="J1037" s="2">
        <v>0.99864774942398071</v>
      </c>
      <c r="K1037" s="2" t="s">
        <v>29</v>
      </c>
      <c r="L1037" s="2" t="s">
        <v>343</v>
      </c>
      <c r="M1037" s="2">
        <v>41</v>
      </c>
    </row>
    <row r="1038" spans="1:13" ht="90" customHeight="1" x14ac:dyDescent="0.3">
      <c r="A1038" s="8"/>
      <c r="B1038" s="7"/>
      <c r="C1038" s="7"/>
      <c r="D1038" s="7"/>
      <c r="E1038" s="7"/>
      <c r="F1038" s="7"/>
      <c r="G1038" s="7"/>
      <c r="H1038" s="7"/>
      <c r="I1038" s="2" t="s">
        <v>608</v>
      </c>
      <c r="J1038" s="2">
        <v>0.99716871976852417</v>
      </c>
      <c r="K1038" s="2" t="s">
        <v>29</v>
      </c>
      <c r="L1038" s="2" t="s">
        <v>343</v>
      </c>
      <c r="M1038" s="2">
        <v>34</v>
      </c>
    </row>
    <row r="1039" spans="1:13" ht="90" customHeight="1" x14ac:dyDescent="0.3">
      <c r="A1039" s="8"/>
      <c r="B1039" s="7"/>
      <c r="C1039" s="7"/>
      <c r="D1039" s="7"/>
      <c r="E1039" s="7"/>
      <c r="F1039" s="7"/>
      <c r="G1039" s="7"/>
      <c r="H1039" s="7"/>
      <c r="I1039" s="2" t="s">
        <v>609</v>
      </c>
      <c r="J1039" s="2">
        <v>0.99315732717514038</v>
      </c>
      <c r="K1039" s="2" t="s">
        <v>29</v>
      </c>
      <c r="L1039" s="2" t="s">
        <v>338</v>
      </c>
      <c r="M1039" s="2">
        <v>77</v>
      </c>
    </row>
    <row r="1040" spans="1:13" ht="90" customHeight="1" x14ac:dyDescent="0.3">
      <c r="A1040" s="8"/>
      <c r="B1040" s="7"/>
      <c r="C1040" s="7"/>
      <c r="D1040" s="7"/>
      <c r="E1040" s="7"/>
      <c r="F1040" s="7"/>
      <c r="G1040" s="7"/>
      <c r="H1040" s="7"/>
      <c r="I1040" s="1" t="s">
        <v>610</v>
      </c>
      <c r="J1040" s="1">
        <v>0.99315732717514038</v>
      </c>
      <c r="K1040" s="1" t="s">
        <v>29</v>
      </c>
      <c r="L1040" s="1" t="s">
        <v>611</v>
      </c>
      <c r="M1040" s="1">
        <v>79</v>
      </c>
    </row>
    <row r="1041" spans="1:13" ht="90" customHeight="1" x14ac:dyDescent="0.3">
      <c r="A1041" s="8"/>
      <c r="B1041" s="7"/>
      <c r="C1041" s="7"/>
      <c r="D1041" s="7"/>
      <c r="E1041" s="7"/>
      <c r="F1041" s="7"/>
      <c r="G1041" s="7"/>
      <c r="H1041" s="7"/>
      <c r="I1041" s="1" t="s">
        <v>612</v>
      </c>
      <c r="J1041" s="1">
        <v>0.99135571718215942</v>
      </c>
      <c r="K1041" s="1" t="s">
        <v>29</v>
      </c>
      <c r="L1041" s="1" t="s">
        <v>51</v>
      </c>
      <c r="M1041" s="1">
        <v>8</v>
      </c>
    </row>
    <row r="1042" spans="1:13" ht="90" customHeight="1" x14ac:dyDescent="0.3">
      <c r="A1042" s="8">
        <v>369</v>
      </c>
      <c r="B1042" s="8" t="s">
        <v>1155</v>
      </c>
      <c r="C1042" s="8" t="s">
        <v>83</v>
      </c>
      <c r="D1042" s="8" t="s">
        <v>1044</v>
      </c>
      <c r="E1042" s="6" t="s">
        <v>24</v>
      </c>
      <c r="F1042" s="6" t="s">
        <v>25</v>
      </c>
      <c r="G1042" s="8" t="s">
        <v>1156</v>
      </c>
      <c r="H1042" s="8" t="s">
        <v>1157</v>
      </c>
      <c r="I1042" s="4" t="s">
        <v>1158</v>
      </c>
      <c r="J1042" s="4">
        <v>0.8587498664855957</v>
      </c>
      <c r="K1042" s="4" t="s">
        <v>29</v>
      </c>
      <c r="L1042" s="4" t="s">
        <v>83</v>
      </c>
      <c r="M1042" s="4">
        <v>14</v>
      </c>
    </row>
    <row r="1043" spans="1:13" ht="90" customHeight="1" x14ac:dyDescent="0.3">
      <c r="A1043" s="8"/>
      <c r="B1043" s="7"/>
      <c r="C1043" s="7"/>
      <c r="D1043" s="7"/>
      <c r="E1043" s="7"/>
      <c r="F1043" s="7"/>
      <c r="G1043" s="7"/>
      <c r="H1043" s="7"/>
      <c r="I1043" s="1"/>
      <c r="J1043" s="1"/>
      <c r="K1043" s="1"/>
      <c r="L1043" s="1"/>
      <c r="M1043" s="1"/>
    </row>
    <row r="1044" spans="1:13" ht="90" customHeight="1" x14ac:dyDescent="0.3">
      <c r="A1044" s="8"/>
      <c r="B1044" s="7"/>
      <c r="C1044" s="7"/>
      <c r="D1044" s="7"/>
      <c r="E1044" s="7"/>
      <c r="F1044" s="7"/>
      <c r="G1044" s="7"/>
      <c r="H1044" s="7"/>
      <c r="I1044" s="1"/>
      <c r="J1044" s="1"/>
      <c r="K1044" s="1"/>
      <c r="L1044" s="1"/>
      <c r="M1044" s="1"/>
    </row>
    <row r="1045" spans="1:13" ht="90" customHeight="1" x14ac:dyDescent="0.3">
      <c r="A1045" s="8"/>
      <c r="B1045" s="7"/>
      <c r="C1045" s="7"/>
      <c r="D1045" s="7"/>
      <c r="E1045" s="7"/>
      <c r="F1045" s="7"/>
      <c r="G1045" s="7"/>
      <c r="H1045" s="7"/>
      <c r="I1045" s="1"/>
      <c r="J1045" s="1"/>
      <c r="K1045" s="1"/>
      <c r="L1045" s="1"/>
      <c r="M1045" s="1"/>
    </row>
    <row r="1046" spans="1:13" ht="90" customHeight="1" x14ac:dyDescent="0.3">
      <c r="A1046" s="8"/>
      <c r="B1046" s="7"/>
      <c r="C1046" s="7"/>
      <c r="D1046" s="7"/>
      <c r="E1046" s="7"/>
      <c r="F1046" s="7"/>
      <c r="G1046" s="7"/>
      <c r="H1046" s="7"/>
      <c r="I1046" s="1"/>
      <c r="J1046" s="1"/>
      <c r="K1046" s="1"/>
      <c r="L1046" s="1"/>
      <c r="M1046" s="1"/>
    </row>
    <row r="1047" spans="1:13" ht="90" customHeight="1" x14ac:dyDescent="0.3">
      <c r="A1047" s="8">
        <v>370</v>
      </c>
      <c r="B1047" s="8" t="s">
        <v>620</v>
      </c>
      <c r="C1047" s="8" t="s">
        <v>114</v>
      </c>
      <c r="D1047" s="8" t="s">
        <v>235</v>
      </c>
      <c r="E1047" s="6" t="s">
        <v>24</v>
      </c>
      <c r="F1047" s="6" t="s">
        <v>25</v>
      </c>
      <c r="G1047" s="8" t="s">
        <v>1159</v>
      </c>
      <c r="H1047" s="8" t="s">
        <v>622</v>
      </c>
      <c r="I1047" s="4" t="s">
        <v>273</v>
      </c>
      <c r="J1047" s="4">
        <v>0.99292457103729248</v>
      </c>
      <c r="K1047" s="4" t="s">
        <v>29</v>
      </c>
      <c r="L1047" s="4" t="s">
        <v>114</v>
      </c>
      <c r="M1047" s="4">
        <v>7</v>
      </c>
    </row>
    <row r="1048" spans="1:13" ht="90" customHeight="1" x14ac:dyDescent="0.3">
      <c r="A1048" s="8"/>
      <c r="B1048" s="7"/>
      <c r="C1048" s="7"/>
      <c r="D1048" s="7"/>
      <c r="E1048" s="7"/>
      <c r="F1048" s="7"/>
      <c r="G1048" s="7"/>
      <c r="H1048" s="7"/>
      <c r="I1048" s="2" t="s">
        <v>275</v>
      </c>
      <c r="J1048" s="2">
        <v>0.96557915210723877</v>
      </c>
      <c r="K1048" s="2" t="s">
        <v>29</v>
      </c>
      <c r="L1048" s="2" t="s">
        <v>276</v>
      </c>
      <c r="M1048" s="2">
        <v>1</v>
      </c>
    </row>
    <row r="1049" spans="1:13" ht="90" customHeight="1" x14ac:dyDescent="0.3">
      <c r="A1049" s="8"/>
      <c r="B1049" s="7"/>
      <c r="C1049" s="7"/>
      <c r="D1049" s="7"/>
      <c r="E1049" s="7"/>
      <c r="F1049" s="7"/>
      <c r="G1049" s="7"/>
      <c r="H1049" s="7"/>
      <c r="I1049" s="1" t="s">
        <v>623</v>
      </c>
      <c r="J1049" s="1">
        <v>0.94252222776412964</v>
      </c>
      <c r="K1049" s="1" t="s">
        <v>29</v>
      </c>
      <c r="L1049" s="1" t="s">
        <v>624</v>
      </c>
      <c r="M1049" s="1">
        <v>32</v>
      </c>
    </row>
    <row r="1050" spans="1:13" ht="90" customHeight="1" x14ac:dyDescent="0.3">
      <c r="A1050" s="8"/>
      <c r="B1050" s="7"/>
      <c r="C1050" s="7"/>
      <c r="D1050" s="7"/>
      <c r="E1050" s="7"/>
      <c r="F1050" s="7"/>
      <c r="G1050" s="7"/>
      <c r="H1050" s="7"/>
      <c r="I1050" s="1" t="s">
        <v>270</v>
      </c>
      <c r="J1050" s="1">
        <v>0.90206116437911987</v>
      </c>
      <c r="K1050" s="1" t="s">
        <v>65</v>
      </c>
      <c r="L1050" s="1" t="s">
        <v>271</v>
      </c>
      <c r="M1050" s="1">
        <v>1</v>
      </c>
    </row>
    <row r="1051" spans="1:13" ht="90" customHeight="1" x14ac:dyDescent="0.3">
      <c r="A1051" s="8"/>
      <c r="B1051" s="7"/>
      <c r="C1051" s="7"/>
      <c r="D1051" s="7"/>
      <c r="E1051" s="7"/>
      <c r="F1051" s="7"/>
      <c r="G1051" s="7"/>
      <c r="H1051" s="7"/>
      <c r="I1051" s="1"/>
      <c r="J1051" s="1"/>
      <c r="K1051" s="1"/>
      <c r="L1051" s="1"/>
      <c r="M1051" s="1"/>
    </row>
    <row r="1052" spans="1:13" ht="90" customHeight="1" x14ac:dyDescent="0.3">
      <c r="A1052" s="8">
        <v>375</v>
      </c>
      <c r="B1052" s="8" t="s">
        <v>1160</v>
      </c>
      <c r="C1052" s="8" t="s">
        <v>308</v>
      </c>
      <c r="D1052" s="8" t="s">
        <v>74</v>
      </c>
      <c r="E1052" s="6" t="s">
        <v>24</v>
      </c>
      <c r="F1052" s="6" t="s">
        <v>25</v>
      </c>
      <c r="G1052" s="8" t="s">
        <v>1161</v>
      </c>
      <c r="H1052" s="8" t="s">
        <v>1162</v>
      </c>
      <c r="I1052" s="4" t="s">
        <v>1163</v>
      </c>
      <c r="J1052" s="4">
        <v>0.99877148866653442</v>
      </c>
      <c r="K1052" s="4" t="s">
        <v>29</v>
      </c>
      <c r="L1052" s="4" t="s">
        <v>308</v>
      </c>
      <c r="M1052" s="4">
        <v>4</v>
      </c>
    </row>
    <row r="1053" spans="1:13" ht="90" customHeight="1" x14ac:dyDescent="0.3">
      <c r="A1053" s="8"/>
      <c r="B1053" s="7"/>
      <c r="C1053" s="7"/>
      <c r="D1053" s="7"/>
      <c r="E1053" s="7"/>
      <c r="F1053" s="7"/>
      <c r="G1053" s="7"/>
      <c r="H1053" s="7"/>
      <c r="I1053" s="1"/>
      <c r="J1053" s="1"/>
      <c r="K1053" s="1"/>
      <c r="L1053" s="1"/>
      <c r="M1053" s="1"/>
    </row>
    <row r="1054" spans="1:13" ht="90" customHeight="1" x14ac:dyDescent="0.3">
      <c r="A1054" s="8"/>
      <c r="B1054" s="7"/>
      <c r="C1054" s="7"/>
      <c r="D1054" s="7"/>
      <c r="E1054" s="7"/>
      <c r="F1054" s="7"/>
      <c r="G1054" s="7"/>
      <c r="H1054" s="7"/>
      <c r="I1054" s="1"/>
      <c r="J1054" s="1"/>
      <c r="K1054" s="1"/>
      <c r="L1054" s="1"/>
      <c r="M1054" s="1"/>
    </row>
    <row r="1055" spans="1:13" ht="90" customHeight="1" x14ac:dyDescent="0.3">
      <c r="A1055" s="8"/>
      <c r="B1055" s="7"/>
      <c r="C1055" s="7"/>
      <c r="D1055" s="7"/>
      <c r="E1055" s="7"/>
      <c r="F1055" s="7"/>
      <c r="G1055" s="7"/>
      <c r="H1055" s="7"/>
      <c r="I1055" s="1"/>
      <c r="J1055" s="1"/>
      <c r="K1055" s="1"/>
      <c r="L1055" s="1"/>
      <c r="M1055" s="1"/>
    </row>
    <row r="1056" spans="1:13" ht="90" customHeight="1" x14ac:dyDescent="0.3">
      <c r="A1056" s="8"/>
      <c r="B1056" s="7"/>
      <c r="C1056" s="7"/>
      <c r="D1056" s="7"/>
      <c r="E1056" s="7"/>
      <c r="F1056" s="7"/>
      <c r="G1056" s="7"/>
      <c r="H1056" s="7"/>
      <c r="I1056" s="1"/>
      <c r="J1056" s="1"/>
      <c r="K1056" s="1"/>
      <c r="L1056" s="1"/>
      <c r="M1056" s="1"/>
    </row>
    <row r="1057" spans="1:13" ht="90" customHeight="1" x14ac:dyDescent="0.3">
      <c r="A1057" s="8">
        <v>377</v>
      </c>
      <c r="B1057" s="8" t="s">
        <v>1164</v>
      </c>
      <c r="C1057" s="8" t="s">
        <v>332</v>
      </c>
      <c r="D1057" s="8" t="s">
        <v>1165</v>
      </c>
      <c r="E1057" s="6" t="s">
        <v>24</v>
      </c>
      <c r="F1057" s="6" t="s">
        <v>25</v>
      </c>
      <c r="G1057" s="8" t="s">
        <v>1166</v>
      </c>
      <c r="H1057" s="8" t="s">
        <v>1167</v>
      </c>
      <c r="I1057" s="2" t="s">
        <v>1168</v>
      </c>
      <c r="J1057" s="2">
        <v>0.99171489477157593</v>
      </c>
      <c r="K1057" s="2" t="s">
        <v>29</v>
      </c>
      <c r="L1057" s="2" t="s">
        <v>1169</v>
      </c>
      <c r="M1057" s="2">
        <v>175</v>
      </c>
    </row>
    <row r="1058" spans="1:13" ht="90" customHeight="1" x14ac:dyDescent="0.3">
      <c r="A1058" s="8"/>
      <c r="B1058" s="7"/>
      <c r="C1058" s="7"/>
      <c r="D1058" s="7"/>
      <c r="E1058" s="7"/>
      <c r="F1058" s="7"/>
      <c r="G1058" s="7"/>
      <c r="H1058" s="7"/>
      <c r="I1058" s="2" t="s">
        <v>1170</v>
      </c>
      <c r="J1058" s="2">
        <v>0.86280667781829834</v>
      </c>
      <c r="K1058" s="2" t="s">
        <v>29</v>
      </c>
      <c r="L1058" s="2" t="s">
        <v>818</v>
      </c>
      <c r="M1058" s="2">
        <v>159</v>
      </c>
    </row>
    <row r="1059" spans="1:13" ht="90" customHeight="1" x14ac:dyDescent="0.3">
      <c r="A1059" s="8"/>
      <c r="B1059" s="7"/>
      <c r="C1059" s="7"/>
      <c r="D1059" s="7"/>
      <c r="E1059" s="7"/>
      <c r="F1059" s="7"/>
      <c r="G1059" s="7"/>
      <c r="H1059" s="7"/>
      <c r="I1059" s="4" t="s">
        <v>1171</v>
      </c>
      <c r="J1059" s="4">
        <v>0.85510104894638062</v>
      </c>
      <c r="K1059" s="4" t="s">
        <v>29</v>
      </c>
      <c r="L1059" s="4" t="s">
        <v>332</v>
      </c>
      <c r="M1059" s="4">
        <v>163</v>
      </c>
    </row>
    <row r="1060" spans="1:13" ht="90" customHeight="1" x14ac:dyDescent="0.3">
      <c r="A1060" s="8"/>
      <c r="B1060" s="7"/>
      <c r="C1060" s="7"/>
      <c r="D1060" s="7"/>
      <c r="E1060" s="7"/>
      <c r="F1060" s="7"/>
      <c r="G1060" s="7"/>
      <c r="H1060" s="7"/>
      <c r="I1060" s="1" t="s">
        <v>1172</v>
      </c>
      <c r="J1060" s="1">
        <v>0.84057450294494629</v>
      </c>
      <c r="K1060" s="1" t="s">
        <v>29</v>
      </c>
      <c r="L1060" s="1" t="s">
        <v>816</v>
      </c>
      <c r="M1060" s="1">
        <v>398</v>
      </c>
    </row>
    <row r="1061" spans="1:13" ht="90" customHeight="1" x14ac:dyDescent="0.3">
      <c r="A1061" s="8"/>
      <c r="B1061" s="7"/>
      <c r="C1061" s="7"/>
      <c r="D1061" s="7"/>
      <c r="E1061" s="7"/>
      <c r="F1061" s="7"/>
      <c r="G1061" s="7"/>
      <c r="H1061" s="7"/>
      <c r="I1061" s="1" t="s">
        <v>1173</v>
      </c>
      <c r="J1061" s="1">
        <v>0.84057450294494629</v>
      </c>
      <c r="K1061" s="1" t="s">
        <v>29</v>
      </c>
      <c r="L1061" s="1" t="s">
        <v>818</v>
      </c>
      <c r="M1061" s="1">
        <v>402</v>
      </c>
    </row>
  </sheetData>
  <autoFilter ref="A1:M1061" xr:uid="{00000000-0001-0000-0100-000000000000}"/>
  <mergeCells count="1696">
    <mergeCell ref="H1052:H1056"/>
    <mergeCell ref="H297:H301"/>
    <mergeCell ref="E982:E986"/>
    <mergeCell ref="H747:H751"/>
    <mergeCell ref="H227:H231"/>
    <mergeCell ref="B357:B361"/>
    <mergeCell ref="A687:A691"/>
    <mergeCell ref="E822:E826"/>
    <mergeCell ref="B777:B781"/>
    <mergeCell ref="B52:B56"/>
    <mergeCell ref="G582:G586"/>
    <mergeCell ref="D877:D881"/>
    <mergeCell ref="H222:H226"/>
    <mergeCell ref="B352:B356"/>
    <mergeCell ref="D572:D576"/>
    <mergeCell ref="G127:G131"/>
    <mergeCell ref="H367:H371"/>
    <mergeCell ref="D872:D876"/>
    <mergeCell ref="B497:B501"/>
    <mergeCell ref="F937:F941"/>
    <mergeCell ref="G1027:G1031"/>
    <mergeCell ref="E237:E241"/>
    <mergeCell ref="C777:C781"/>
    <mergeCell ref="H912:H916"/>
    <mergeCell ref="H667:H671"/>
    <mergeCell ref="D142:D146"/>
    <mergeCell ref="H607:H611"/>
    <mergeCell ref="E537:E541"/>
    <mergeCell ref="B492:B496"/>
    <mergeCell ref="D467:D471"/>
    <mergeCell ref="D442:D446"/>
    <mergeCell ref="H907:H911"/>
    <mergeCell ref="E862:E866"/>
    <mergeCell ref="E107:E111"/>
    <mergeCell ref="G812:G816"/>
    <mergeCell ref="D767:D771"/>
    <mergeCell ref="E22:E26"/>
    <mergeCell ref="F992:F996"/>
    <mergeCell ref="F237:F241"/>
    <mergeCell ref="C437:C441"/>
    <mergeCell ref="A977:A981"/>
    <mergeCell ref="H967:H971"/>
    <mergeCell ref="H212:H216"/>
    <mergeCell ref="E897:E901"/>
    <mergeCell ref="A7:A11"/>
    <mergeCell ref="E142:E146"/>
    <mergeCell ref="F562:F566"/>
    <mergeCell ref="F537:F541"/>
    <mergeCell ref="C737:C741"/>
    <mergeCell ref="C712:C716"/>
    <mergeCell ref="H512:H516"/>
    <mergeCell ref="E442:E446"/>
    <mergeCell ref="B642:B646"/>
    <mergeCell ref="F862:F866"/>
    <mergeCell ref="H962:H966"/>
    <mergeCell ref="H207:H211"/>
    <mergeCell ref="B337:B341"/>
    <mergeCell ref="C732:C736"/>
    <mergeCell ref="D402:D406"/>
    <mergeCell ref="B942:B946"/>
    <mergeCell ref="H507:H511"/>
    <mergeCell ref="B637:B641"/>
    <mergeCell ref="D192:D196"/>
    <mergeCell ref="A392:A396"/>
    <mergeCell ref="F922:F926"/>
    <mergeCell ref="F167:F171"/>
    <mergeCell ref="H652:H656"/>
    <mergeCell ref="F617:F621"/>
    <mergeCell ref="C32:C36"/>
    <mergeCell ref="E97:E101"/>
    <mergeCell ref="F367:F371"/>
    <mergeCell ref="C637:C641"/>
    <mergeCell ref="H852:H856"/>
    <mergeCell ref="E272:E276"/>
    <mergeCell ref="H127:H131"/>
    <mergeCell ref="C937:C941"/>
    <mergeCell ref="G617:G621"/>
    <mergeCell ref="B387:B391"/>
    <mergeCell ref="F522:F526"/>
    <mergeCell ref="G917:G921"/>
    <mergeCell ref="A1047:A1051"/>
    <mergeCell ref="A292:A296"/>
    <mergeCell ref="H282:H286"/>
    <mergeCell ref="F822:F826"/>
    <mergeCell ref="D32:D36"/>
    <mergeCell ref="F97:F101"/>
    <mergeCell ref="C52:C56"/>
    <mergeCell ref="A592:A596"/>
    <mergeCell ref="H582:H586"/>
    <mergeCell ref="E757:E761"/>
    <mergeCell ref="B712:B716"/>
    <mergeCell ref="C352:C356"/>
    <mergeCell ref="E452:E456"/>
    <mergeCell ref="E572:E576"/>
    <mergeCell ref="D42:D46"/>
    <mergeCell ref="C1037:C1041"/>
    <mergeCell ref="G1017:G1021"/>
    <mergeCell ref="A692:A696"/>
    <mergeCell ref="G257:G261"/>
    <mergeCell ref="H347:H351"/>
    <mergeCell ref="B1047:B1051"/>
    <mergeCell ref="E787:E791"/>
    <mergeCell ref="B742:B746"/>
    <mergeCell ref="D807:D811"/>
    <mergeCell ref="F152:F156"/>
    <mergeCell ref="H627:H631"/>
    <mergeCell ref="F442:F446"/>
    <mergeCell ref="B1042:B1046"/>
    <mergeCell ref="F477:F481"/>
    <mergeCell ref="F452:F456"/>
    <mergeCell ref="D1017:D1021"/>
    <mergeCell ref="D677:D681"/>
    <mergeCell ref="E382:E386"/>
    <mergeCell ref="A222:A226"/>
    <mergeCell ref="E42:E46"/>
    <mergeCell ref="E682:E686"/>
    <mergeCell ref="F837:F841"/>
    <mergeCell ref="G477:G481"/>
    <mergeCell ref="D432:D436"/>
    <mergeCell ref="B972:B976"/>
    <mergeCell ref="A607:A611"/>
    <mergeCell ref="F67:F71"/>
    <mergeCell ref="C337:C341"/>
    <mergeCell ref="A877:A881"/>
    <mergeCell ref="D732:D736"/>
    <mergeCell ref="F832:F836"/>
    <mergeCell ref="C942:C946"/>
    <mergeCell ref="A907:A911"/>
    <mergeCell ref="A152:A156"/>
    <mergeCell ref="A387:A391"/>
    <mergeCell ref="E522:E526"/>
    <mergeCell ref="F917:F921"/>
    <mergeCell ref="H27:H31"/>
    <mergeCell ref="F352:F356"/>
    <mergeCell ref="H327:H331"/>
    <mergeCell ref="H82:H86"/>
    <mergeCell ref="A252:A256"/>
    <mergeCell ref="F497:F501"/>
    <mergeCell ref="B247:B251"/>
    <mergeCell ref="G452:G456"/>
    <mergeCell ref="D312:D316"/>
    <mergeCell ref="A582:A586"/>
    <mergeCell ref="B887:B891"/>
    <mergeCell ref="D7:D11"/>
    <mergeCell ref="A277:A281"/>
    <mergeCell ref="B547:B551"/>
    <mergeCell ref="F42:F46"/>
    <mergeCell ref="H772:H776"/>
    <mergeCell ref="F492:F496"/>
    <mergeCell ref="D307:D311"/>
    <mergeCell ref="A577:A581"/>
    <mergeCell ref="E397:E401"/>
    <mergeCell ref="F37:F41"/>
    <mergeCell ref="H767:H771"/>
    <mergeCell ref="H12:H16"/>
    <mergeCell ref="G522:G526"/>
    <mergeCell ref="D792:D796"/>
    <mergeCell ref="B607:B611"/>
    <mergeCell ref="G822:G826"/>
    <mergeCell ref="B302:B306"/>
    <mergeCell ref="G832:G836"/>
    <mergeCell ref="G77:G81"/>
    <mergeCell ref="F727:F731"/>
    <mergeCell ref="A207:A211"/>
    <mergeCell ref="E7:E11"/>
    <mergeCell ref="F342:F346"/>
    <mergeCell ref="C272:C276"/>
    <mergeCell ref="G737:G741"/>
    <mergeCell ref="G492:G496"/>
    <mergeCell ref="E1032:E1036"/>
    <mergeCell ref="D667:D671"/>
    <mergeCell ref="H377:H381"/>
    <mergeCell ref="E307:E311"/>
    <mergeCell ref="G1007:G1011"/>
    <mergeCell ref="F642:F646"/>
    <mergeCell ref="G1037:G1041"/>
    <mergeCell ref="G282:G286"/>
    <mergeCell ref="H402:H406"/>
    <mergeCell ref="G732:G736"/>
    <mergeCell ref="F942:F946"/>
    <mergeCell ref="H67:H71"/>
    <mergeCell ref="F637:F641"/>
    <mergeCell ref="H822:H826"/>
    <mergeCell ref="C302:C306"/>
    <mergeCell ref="D297:D301"/>
    <mergeCell ref="H832:H836"/>
    <mergeCell ref="G422:G426"/>
    <mergeCell ref="D597:D601"/>
    <mergeCell ref="D292:D296"/>
    <mergeCell ref="G722:G726"/>
    <mergeCell ref="F357:F361"/>
    <mergeCell ref="D897:D901"/>
    <mergeCell ref="H87:H91"/>
    <mergeCell ref="F52:F56"/>
    <mergeCell ref="F627:F631"/>
    <mergeCell ref="D592:D596"/>
    <mergeCell ref="A12:A16"/>
    <mergeCell ref="B407:B411"/>
    <mergeCell ref="F982:F986"/>
    <mergeCell ref="H877:H881"/>
    <mergeCell ref="G937:G941"/>
    <mergeCell ref="A312:A316"/>
    <mergeCell ref="F692:F696"/>
    <mergeCell ref="C622:C626"/>
    <mergeCell ref="F387:F391"/>
    <mergeCell ref="E1047:E1051"/>
    <mergeCell ref="E292:E296"/>
    <mergeCell ref="F687:F691"/>
    <mergeCell ref="G1022:G1026"/>
    <mergeCell ref="G777:G781"/>
    <mergeCell ref="D952:D956"/>
    <mergeCell ref="G52:G56"/>
    <mergeCell ref="E592:E596"/>
    <mergeCell ref="G352:G356"/>
    <mergeCell ref="C702:C706"/>
    <mergeCell ref="C1002:C1006"/>
    <mergeCell ref="C247:C251"/>
    <mergeCell ref="G192:G196"/>
    <mergeCell ref="D367:D371"/>
    <mergeCell ref="H77:H81"/>
    <mergeCell ref="C887:C891"/>
    <mergeCell ref="A107:A111"/>
    <mergeCell ref="A82:A86"/>
    <mergeCell ref="B662:B666"/>
    <mergeCell ref="B322:B326"/>
    <mergeCell ref="B962:B966"/>
    <mergeCell ref="B622:B626"/>
    <mergeCell ref="B957:B961"/>
    <mergeCell ref="H47:H51"/>
    <mergeCell ref="E222:E226"/>
    <mergeCell ref="F312:F316"/>
    <mergeCell ref="B177:B181"/>
    <mergeCell ref="D1002:D1006"/>
    <mergeCell ref="B212:B216"/>
    <mergeCell ref="F977:F981"/>
    <mergeCell ref="A117:A121"/>
    <mergeCell ref="E62:E66"/>
    <mergeCell ref="C602:C606"/>
    <mergeCell ref="B237:B241"/>
    <mergeCell ref="H737:H741"/>
    <mergeCell ref="E667:E671"/>
    <mergeCell ref="H432:H436"/>
    <mergeCell ref="F972:F976"/>
    <mergeCell ref="E362:E366"/>
    <mergeCell ref="C902:C906"/>
    <mergeCell ref="B537:B541"/>
    <mergeCell ref="G337:G341"/>
    <mergeCell ref="C177:C181"/>
    <mergeCell ref="D267:D271"/>
    <mergeCell ref="H732:H736"/>
    <mergeCell ref="G942:G946"/>
    <mergeCell ref="E152:E156"/>
    <mergeCell ref="B862:B866"/>
    <mergeCell ref="B107:B111"/>
    <mergeCell ref="G637:G641"/>
    <mergeCell ref="A767:A771"/>
    <mergeCell ref="A852:A856"/>
    <mergeCell ref="B907:B911"/>
    <mergeCell ref="F422:F426"/>
    <mergeCell ref="H487:H491"/>
    <mergeCell ref="F1047:F1051"/>
    <mergeCell ref="D257:D261"/>
    <mergeCell ref="A527:A531"/>
    <mergeCell ref="E347:E351"/>
    <mergeCell ref="H1022:H1026"/>
    <mergeCell ref="F742:F746"/>
    <mergeCell ref="E952:E956"/>
    <mergeCell ref="C162:C166"/>
    <mergeCell ref="H807:H811"/>
    <mergeCell ref="H52:H56"/>
    <mergeCell ref="D557:D561"/>
    <mergeCell ref="B182:B186"/>
    <mergeCell ref="E647:E651"/>
    <mergeCell ref="F1042:F1046"/>
    <mergeCell ref="F287:F291"/>
    <mergeCell ref="G712:G716"/>
    <mergeCell ref="C462:C466"/>
    <mergeCell ref="H1017:H1021"/>
    <mergeCell ref="G407:G411"/>
    <mergeCell ref="E947:E951"/>
    <mergeCell ref="D702:D706"/>
    <mergeCell ref="H1037:H1041"/>
    <mergeCell ref="G62:G66"/>
    <mergeCell ref="F1027:F1031"/>
    <mergeCell ref="A507:A511"/>
    <mergeCell ref="A192:A196"/>
    <mergeCell ref="H182:H186"/>
    <mergeCell ref="F722:F726"/>
    <mergeCell ref="B747:B751"/>
    <mergeCell ref="A807:A811"/>
    <mergeCell ref="G87:G91"/>
    <mergeCell ref="E627:E631"/>
    <mergeCell ref="H982:H986"/>
    <mergeCell ref="F192:F196"/>
    <mergeCell ref="A427:A431"/>
    <mergeCell ref="F202:F206"/>
    <mergeCell ref="E852:E856"/>
    <mergeCell ref="D617:D621"/>
    <mergeCell ref="E257:E261"/>
    <mergeCell ref="B267:B271"/>
    <mergeCell ref="D917:D921"/>
    <mergeCell ref="A872:A876"/>
    <mergeCell ref="C822:C826"/>
    <mergeCell ref="A32:A36"/>
    <mergeCell ref="E582:E586"/>
    <mergeCell ref="D157:D161"/>
    <mergeCell ref="A332:A336"/>
    <mergeCell ref="F887:F891"/>
    <mergeCell ref="B572:B576"/>
    <mergeCell ref="B872:B876"/>
    <mergeCell ref="G237:G241"/>
    <mergeCell ref="A777:A781"/>
    <mergeCell ref="F142:F146"/>
    <mergeCell ref="D632:D636"/>
    <mergeCell ref="F607:F611"/>
    <mergeCell ref="C562:C566"/>
    <mergeCell ref="C537:C541"/>
    <mergeCell ref="F302:F306"/>
    <mergeCell ref="D842:D846"/>
    <mergeCell ref="B467:B471"/>
    <mergeCell ref="F907:F911"/>
    <mergeCell ref="H32:H36"/>
    <mergeCell ref="C862:C866"/>
    <mergeCell ref="A72:A76"/>
    <mergeCell ref="B42:B46"/>
    <mergeCell ref="C22:C26"/>
    <mergeCell ref="H237:H241"/>
    <mergeCell ref="F777:F781"/>
    <mergeCell ref="G897:G901"/>
    <mergeCell ref="G142:G146"/>
    <mergeCell ref="B37:B41"/>
    <mergeCell ref="H537:H541"/>
    <mergeCell ref="B502:B506"/>
    <mergeCell ref="G442:G446"/>
    <mergeCell ref="G302:G306"/>
    <mergeCell ref="A432:A436"/>
    <mergeCell ref="A407:A411"/>
    <mergeCell ref="F962:F966"/>
    <mergeCell ref="B72:B76"/>
    <mergeCell ref="F207:F211"/>
    <mergeCell ref="A732:A736"/>
    <mergeCell ref="F507:F511"/>
    <mergeCell ref="B22:B26"/>
    <mergeCell ref="A47:A51"/>
    <mergeCell ref="E207:E211"/>
    <mergeCell ref="C557:C561"/>
    <mergeCell ref="B767:B771"/>
    <mergeCell ref="E507:E511"/>
    <mergeCell ref="E192:E196"/>
    <mergeCell ref="B462:B466"/>
    <mergeCell ref="F747:F751"/>
    <mergeCell ref="E807:E811"/>
    <mergeCell ref="G387:G391"/>
    <mergeCell ref="D562:D566"/>
    <mergeCell ref="A832:A836"/>
    <mergeCell ref="E652:E656"/>
    <mergeCell ref="D62:D66"/>
    <mergeCell ref="C1027:C1031"/>
    <mergeCell ref="F547:F551"/>
    <mergeCell ref="C722:C726"/>
    <mergeCell ref="E917:E921"/>
    <mergeCell ref="G72:G76"/>
    <mergeCell ref="E612:E616"/>
    <mergeCell ref="B787:B791"/>
    <mergeCell ref="G247:G251"/>
    <mergeCell ref="D517:D521"/>
    <mergeCell ref="A982:A986"/>
    <mergeCell ref="G887:G891"/>
    <mergeCell ref="F277:F281"/>
    <mergeCell ref="G572:G576"/>
    <mergeCell ref="C452:C456"/>
    <mergeCell ref="A1017:A1021"/>
    <mergeCell ref="C137:C141"/>
    <mergeCell ref="G272:G276"/>
    <mergeCell ref="A677:A681"/>
    <mergeCell ref="B657:B661"/>
    <mergeCell ref="G982:G986"/>
    <mergeCell ref="G992:G996"/>
    <mergeCell ref="A492:A496"/>
    <mergeCell ref="D397:D401"/>
    <mergeCell ref="F882:F886"/>
    <mergeCell ref="F162:F166"/>
    <mergeCell ref="A992:A996"/>
    <mergeCell ref="A942:A946"/>
    <mergeCell ref="B2:B6"/>
    <mergeCell ref="F767:F771"/>
    <mergeCell ref="F12:F16"/>
    <mergeCell ref="B517:B521"/>
    <mergeCell ref="D582:D586"/>
    <mergeCell ref="F462:F466"/>
    <mergeCell ref="D277:D281"/>
    <mergeCell ref="E832:E836"/>
    <mergeCell ref="E517:E521"/>
    <mergeCell ref="C1057:C1061"/>
    <mergeCell ref="D422:D426"/>
    <mergeCell ref="D117:D121"/>
    <mergeCell ref="F182:F186"/>
    <mergeCell ref="D722:D726"/>
    <mergeCell ref="D417:D421"/>
    <mergeCell ref="F392:F396"/>
    <mergeCell ref="D882:D886"/>
    <mergeCell ref="C322:C326"/>
    <mergeCell ref="F177:F181"/>
    <mergeCell ref="C787:C791"/>
    <mergeCell ref="E82:E86"/>
    <mergeCell ref="D477:D481"/>
    <mergeCell ref="B1017:B1021"/>
    <mergeCell ref="D137:D141"/>
    <mergeCell ref="B372:B376"/>
    <mergeCell ref="D347:D351"/>
    <mergeCell ref="F107:F111"/>
    <mergeCell ref="F82:F86"/>
    <mergeCell ref="D647:D651"/>
    <mergeCell ref="C37:C41"/>
    <mergeCell ref="E767:E771"/>
    <mergeCell ref="F407:F411"/>
    <mergeCell ref="D47:D51"/>
    <mergeCell ref="A657:A661"/>
    <mergeCell ref="H812:H816"/>
    <mergeCell ref="F22:F26"/>
    <mergeCell ref="E777:E781"/>
    <mergeCell ref="H632:H636"/>
    <mergeCell ref="B7:B11"/>
    <mergeCell ref="G562:G566"/>
    <mergeCell ref="G537:G541"/>
    <mergeCell ref="D492:D496"/>
    <mergeCell ref="B1032:B1036"/>
    <mergeCell ref="F467:F471"/>
    <mergeCell ref="B307:B311"/>
    <mergeCell ref="D1007:D1011"/>
    <mergeCell ref="C397:C401"/>
    <mergeCell ref="G862:G866"/>
    <mergeCell ref="G107:G111"/>
    <mergeCell ref="D282:D286"/>
    <mergeCell ref="H702:H706"/>
    <mergeCell ref="H152:H156"/>
    <mergeCell ref="H1002:H1006"/>
    <mergeCell ref="H452:H456"/>
    <mergeCell ref="H597:H601"/>
    <mergeCell ref="A1032:A1036"/>
    <mergeCell ref="H897:H901"/>
    <mergeCell ref="H592:H596"/>
    <mergeCell ref="G497:G501"/>
    <mergeCell ref="B432:B436"/>
    <mergeCell ref="E312:E316"/>
    <mergeCell ref="G962:G966"/>
    <mergeCell ref="G622:G626"/>
    <mergeCell ref="G657:G661"/>
    <mergeCell ref="A927:A931"/>
    <mergeCell ref="H917:H921"/>
    <mergeCell ref="H162:H166"/>
    <mergeCell ref="E872:E876"/>
    <mergeCell ref="E117:E121"/>
    <mergeCell ref="B292:B296"/>
    <mergeCell ref="C687:C691"/>
    <mergeCell ref="D777:D781"/>
    <mergeCell ref="A952:A956"/>
    <mergeCell ref="E417:E421"/>
    <mergeCell ref="C382:C386"/>
    <mergeCell ref="D52:D56"/>
    <mergeCell ref="B592:B596"/>
    <mergeCell ref="C987:C991"/>
    <mergeCell ref="G392:G396"/>
    <mergeCell ref="B287:B291"/>
    <mergeCell ref="H787:H791"/>
    <mergeCell ref="G177:G181"/>
    <mergeCell ref="D352:D356"/>
    <mergeCell ref="B892:B896"/>
    <mergeCell ref="A307:A311"/>
    <mergeCell ref="A947:A951"/>
    <mergeCell ref="G692:G696"/>
    <mergeCell ref="B732:B736"/>
    <mergeCell ref="D832:D836"/>
    <mergeCell ref="B427:B431"/>
    <mergeCell ref="F247:F251"/>
    <mergeCell ref="C422:C426"/>
    <mergeCell ref="G957:G961"/>
    <mergeCell ref="H312:H316"/>
    <mergeCell ref="F852:F856"/>
    <mergeCell ref="H952:H956"/>
    <mergeCell ref="E47:E51"/>
    <mergeCell ref="B222:B226"/>
    <mergeCell ref="G22:G26"/>
    <mergeCell ref="A697:A701"/>
    <mergeCell ref="H562:H566"/>
    <mergeCell ref="A997:A1001"/>
    <mergeCell ref="H257:H261"/>
    <mergeCell ref="F797:F801"/>
    <mergeCell ref="E432:E436"/>
    <mergeCell ref="E1007:E1011"/>
    <mergeCell ref="C972:C976"/>
    <mergeCell ref="B362:B366"/>
    <mergeCell ref="H862:H866"/>
    <mergeCell ref="F72:F76"/>
    <mergeCell ref="G162:G166"/>
    <mergeCell ref="C2:C6"/>
    <mergeCell ref="E702:E706"/>
    <mergeCell ref="D337:D341"/>
    <mergeCell ref="A267:A271"/>
    <mergeCell ref="H557:H561"/>
    <mergeCell ref="G767:G771"/>
    <mergeCell ref="E732:E736"/>
    <mergeCell ref="G462:G466"/>
    <mergeCell ref="D637:D641"/>
    <mergeCell ref="H857:H861"/>
    <mergeCell ref="D332:D336"/>
    <mergeCell ref="G762:G766"/>
    <mergeCell ref="D937:D941"/>
    <mergeCell ref="A892:A896"/>
    <mergeCell ref="H617:H621"/>
    <mergeCell ref="D752:D756"/>
    <mergeCell ref="C387:C391"/>
    <mergeCell ref="G42:G46"/>
    <mergeCell ref="D527:D531"/>
    <mergeCell ref="A1057:A1061"/>
    <mergeCell ref="B577:B581"/>
    <mergeCell ref="B697:B701"/>
    <mergeCell ref="G377:G381"/>
    <mergeCell ref="G37:G41"/>
    <mergeCell ref="A602:A606"/>
    <mergeCell ref="B147:B151"/>
    <mergeCell ref="B997:B1001"/>
    <mergeCell ref="F432:F436"/>
    <mergeCell ref="D972:D976"/>
    <mergeCell ref="C362:C366"/>
    <mergeCell ref="F732:F736"/>
    <mergeCell ref="E32:E36"/>
    <mergeCell ref="C572:C576"/>
    <mergeCell ref="F427:F431"/>
    <mergeCell ref="E637:E641"/>
    <mergeCell ref="E332:E336"/>
    <mergeCell ref="E937:E941"/>
    <mergeCell ref="B202:B206"/>
    <mergeCell ref="F572:F576"/>
    <mergeCell ref="E632:E636"/>
    <mergeCell ref="D387:D391"/>
    <mergeCell ref="A317:A321"/>
    <mergeCell ref="F872:F876"/>
    <mergeCell ref="A397:A401"/>
    <mergeCell ref="F32:F36"/>
    <mergeCell ref="C742:C746"/>
    <mergeCell ref="D382:D386"/>
    <mergeCell ref="B647:B651"/>
    <mergeCell ref="C1042:C1046"/>
    <mergeCell ref="H417:H421"/>
    <mergeCell ref="E687:E691"/>
    <mergeCell ref="C492:C496"/>
    <mergeCell ref="C502:C506"/>
    <mergeCell ref="H882:H886"/>
    <mergeCell ref="G322:G326"/>
    <mergeCell ref="B397:B401"/>
    <mergeCell ref="B257:B261"/>
    <mergeCell ref="C347:C351"/>
    <mergeCell ref="G787:G791"/>
    <mergeCell ref="B92:B96"/>
    <mergeCell ref="D742:D746"/>
    <mergeCell ref="C647:C651"/>
    <mergeCell ref="A612:A616"/>
    <mergeCell ref="F502:F506"/>
    <mergeCell ref="D1042:D1046"/>
    <mergeCell ref="B252:B256"/>
    <mergeCell ref="H477:H481"/>
    <mergeCell ref="F1017:F1021"/>
    <mergeCell ref="H137:H141"/>
    <mergeCell ref="E407:E411"/>
    <mergeCell ref="F677:F681"/>
    <mergeCell ref="C947:C951"/>
    <mergeCell ref="A912:A916"/>
    <mergeCell ref="A157:A161"/>
    <mergeCell ref="B552:B556"/>
    <mergeCell ref="F372:F376"/>
    <mergeCell ref="C287:C291"/>
    <mergeCell ref="H842:H846"/>
    <mergeCell ref="E1017:E1021"/>
    <mergeCell ref="B947:B951"/>
    <mergeCell ref="F657:F661"/>
    <mergeCell ref="C92:C96"/>
    <mergeCell ref="B612:B616"/>
    <mergeCell ref="A517:A521"/>
    <mergeCell ref="B912:B916"/>
    <mergeCell ref="C277:C281"/>
    <mergeCell ref="A842:A846"/>
    <mergeCell ref="A817:A821"/>
    <mergeCell ref="H492:H496"/>
    <mergeCell ref="F1057:F1061"/>
    <mergeCell ref="F1032:F1036"/>
    <mergeCell ref="C577:C581"/>
    <mergeCell ref="G397:G401"/>
    <mergeCell ref="A802:A806"/>
    <mergeCell ref="H62:H66"/>
    <mergeCell ref="H37:H41"/>
    <mergeCell ref="F602:F606"/>
    <mergeCell ref="H362:H366"/>
    <mergeCell ref="D302:D306"/>
    <mergeCell ref="B842:B846"/>
    <mergeCell ref="A257:A261"/>
    <mergeCell ref="F787:F791"/>
    <mergeCell ref="C962:C966"/>
    <mergeCell ref="H422:H426"/>
    <mergeCell ref="A557:A561"/>
    <mergeCell ref="H117:H121"/>
    <mergeCell ref="C192:C196"/>
    <mergeCell ref="H722:H726"/>
    <mergeCell ref="A857:A861"/>
    <mergeCell ref="E992:E996"/>
    <mergeCell ref="C202:C206"/>
    <mergeCell ref="E677:E681"/>
    <mergeCell ref="B852:B856"/>
    <mergeCell ref="G1057:G1061"/>
    <mergeCell ref="G1032:G1036"/>
    <mergeCell ref="H397:H401"/>
    <mergeCell ref="D927:D931"/>
    <mergeCell ref="A347:A351"/>
    <mergeCell ref="E882:E886"/>
    <mergeCell ref="G2:G6"/>
    <mergeCell ref="H337:H341"/>
    <mergeCell ref="A132:A136"/>
    <mergeCell ref="D472:D476"/>
    <mergeCell ref="C107:C111"/>
    <mergeCell ref="A647:A651"/>
    <mergeCell ref="H637:H641"/>
    <mergeCell ref="F987:F991"/>
    <mergeCell ref="F232:F236"/>
    <mergeCell ref="H332:H336"/>
    <mergeCell ref="C407:C411"/>
    <mergeCell ref="H937:H941"/>
    <mergeCell ref="E892:E896"/>
    <mergeCell ref="E137:E141"/>
    <mergeCell ref="H752:H756"/>
    <mergeCell ref="D657:D661"/>
    <mergeCell ref="D957:D961"/>
    <mergeCell ref="D202:D206"/>
    <mergeCell ref="H777:H781"/>
    <mergeCell ref="C852:C856"/>
    <mergeCell ref="A62:A66"/>
    <mergeCell ref="C547:C551"/>
    <mergeCell ref="D187:D191"/>
    <mergeCell ref="H322:H326"/>
    <mergeCell ref="A362:A366"/>
    <mergeCell ref="C847:C851"/>
    <mergeCell ref="A1002:A1006"/>
    <mergeCell ref="H352:H356"/>
    <mergeCell ref="F892:F896"/>
    <mergeCell ref="D857:D861"/>
    <mergeCell ref="D102:D106"/>
    <mergeCell ref="C762:C766"/>
    <mergeCell ref="C7:C11"/>
    <mergeCell ref="E657:E661"/>
    <mergeCell ref="H387:H391"/>
    <mergeCell ref="G1047:G1051"/>
    <mergeCell ref="B527:B531"/>
    <mergeCell ref="D247:D251"/>
    <mergeCell ref="C307:C311"/>
    <mergeCell ref="E957:E961"/>
    <mergeCell ref="H687:H691"/>
    <mergeCell ref="B817:B821"/>
    <mergeCell ref="B62:B66"/>
    <mergeCell ref="H382:H386"/>
    <mergeCell ref="F7:F11"/>
    <mergeCell ref="D547:D551"/>
    <mergeCell ref="B512:B516"/>
    <mergeCell ref="F647:F651"/>
    <mergeCell ref="A722:A726"/>
    <mergeCell ref="G1042:G1046"/>
    <mergeCell ref="G287:G291"/>
    <mergeCell ref="D242:D246"/>
    <mergeCell ref="A417:A421"/>
    <mergeCell ref="H682:H686"/>
    <mergeCell ref="F307:F311"/>
    <mergeCell ref="D847:D851"/>
    <mergeCell ref="F947:F951"/>
    <mergeCell ref="B57:B61"/>
    <mergeCell ref="H1042:H1046"/>
    <mergeCell ref="E462:E466"/>
    <mergeCell ref="B417:B421"/>
    <mergeCell ref="G972:G976"/>
    <mergeCell ref="G947:G951"/>
    <mergeCell ref="B112:B116"/>
    <mergeCell ref="A322:A326"/>
    <mergeCell ref="G222:G226"/>
    <mergeCell ref="D177:D181"/>
    <mergeCell ref="F877:F881"/>
    <mergeCell ref="B717:B721"/>
    <mergeCell ref="A17:A21"/>
    <mergeCell ref="C82:C86"/>
    <mergeCell ref="A622:A626"/>
    <mergeCell ref="F697:F701"/>
    <mergeCell ref="D172:D176"/>
    <mergeCell ref="F147:F151"/>
    <mergeCell ref="H972:H976"/>
    <mergeCell ref="E927:E931"/>
    <mergeCell ref="B347:B351"/>
    <mergeCell ref="E202:E206"/>
    <mergeCell ref="F292:F296"/>
    <mergeCell ref="B132:B136"/>
    <mergeCell ref="B797:B801"/>
    <mergeCell ref="G687:G691"/>
    <mergeCell ref="D862:D866"/>
    <mergeCell ref="D107:D111"/>
    <mergeCell ref="A37:A41"/>
    <mergeCell ref="A702:A706"/>
    <mergeCell ref="E502:E506"/>
    <mergeCell ref="F592:F596"/>
    <mergeCell ref="C767:C771"/>
    <mergeCell ref="H302:H306"/>
    <mergeCell ref="C797:C801"/>
    <mergeCell ref="B187:B191"/>
    <mergeCell ref="H572:H576"/>
    <mergeCell ref="C72:C76"/>
    <mergeCell ref="D162:D166"/>
    <mergeCell ref="B702:B706"/>
    <mergeCell ref="E557:E561"/>
    <mergeCell ref="B487:B491"/>
    <mergeCell ref="D462:D466"/>
    <mergeCell ref="B1002:B1006"/>
    <mergeCell ref="E857:E861"/>
    <mergeCell ref="E102:E106"/>
    <mergeCell ref="G202:G206"/>
    <mergeCell ref="B277:B281"/>
    <mergeCell ref="F222:F226"/>
    <mergeCell ref="D762:D766"/>
    <mergeCell ref="G502:G506"/>
    <mergeCell ref="E127:E131"/>
    <mergeCell ref="F397:F401"/>
    <mergeCell ref="C527:C531"/>
    <mergeCell ref="E1002:E1006"/>
    <mergeCell ref="G347:G351"/>
    <mergeCell ref="H742:H746"/>
    <mergeCell ref="B117:B121"/>
    <mergeCell ref="G647:G651"/>
    <mergeCell ref="B342:B346"/>
    <mergeCell ref="D407:D411"/>
    <mergeCell ref="G587:G591"/>
    <mergeCell ref="C612:C616"/>
    <mergeCell ref="B82:B86"/>
    <mergeCell ref="H277:H281"/>
    <mergeCell ref="H947:H951"/>
    <mergeCell ref="C427:C431"/>
    <mergeCell ref="A967:A971"/>
    <mergeCell ref="F857:F861"/>
    <mergeCell ref="H957:H961"/>
    <mergeCell ref="H202:H206"/>
    <mergeCell ref="G852:G856"/>
    <mergeCell ref="B332:B336"/>
    <mergeCell ref="B17:B21"/>
    <mergeCell ref="G547:G551"/>
    <mergeCell ref="H527:H531"/>
    <mergeCell ref="H187:H191"/>
    <mergeCell ref="B632:B636"/>
    <mergeCell ref="B317:B321"/>
    <mergeCell ref="G847:G851"/>
    <mergeCell ref="G92:G96"/>
    <mergeCell ref="C872:C876"/>
    <mergeCell ref="A382:A386"/>
    <mergeCell ref="C867:C871"/>
    <mergeCell ref="A77:A81"/>
    <mergeCell ref="E842:E846"/>
    <mergeCell ref="A682:A686"/>
    <mergeCell ref="B772:B776"/>
    <mergeCell ref="F482:F486"/>
    <mergeCell ref="C657:C661"/>
    <mergeCell ref="B47:B51"/>
    <mergeCell ref="E387:E391"/>
    <mergeCell ref="E802:E806"/>
    <mergeCell ref="C957:C961"/>
    <mergeCell ref="G147:G151"/>
    <mergeCell ref="F807:F811"/>
    <mergeCell ref="H442:H446"/>
    <mergeCell ref="H547:H551"/>
    <mergeCell ref="C27:C31"/>
    <mergeCell ref="B677:B681"/>
    <mergeCell ref="C632:C636"/>
    <mergeCell ref="H242:H246"/>
    <mergeCell ref="H847:H851"/>
    <mergeCell ref="F57:F61"/>
    <mergeCell ref="C327:C331"/>
    <mergeCell ref="B987:B991"/>
    <mergeCell ref="A742:A746"/>
    <mergeCell ref="B382:B386"/>
    <mergeCell ref="A1042:A1046"/>
    <mergeCell ref="A287:A291"/>
    <mergeCell ref="F842:F846"/>
    <mergeCell ref="C1017:C1021"/>
    <mergeCell ref="C47:C51"/>
    <mergeCell ref="H927:H931"/>
    <mergeCell ref="A282:A286"/>
    <mergeCell ref="C1012:C1016"/>
    <mergeCell ref="D37:D41"/>
    <mergeCell ref="B602:B606"/>
    <mergeCell ref="D362:D366"/>
    <mergeCell ref="F257:F261"/>
    <mergeCell ref="D797:D801"/>
    <mergeCell ref="A972:A976"/>
    <mergeCell ref="C267:C271"/>
    <mergeCell ref="H647:H651"/>
    <mergeCell ref="F557:F561"/>
    <mergeCell ref="H657:H661"/>
    <mergeCell ref="B32:B36"/>
    <mergeCell ref="F252:F256"/>
    <mergeCell ref="H192:H196"/>
    <mergeCell ref="H902:H906"/>
    <mergeCell ref="F112:F116"/>
    <mergeCell ref="A187:A191"/>
    <mergeCell ref="H177:H181"/>
    <mergeCell ref="F717:F721"/>
    <mergeCell ref="A197:A201"/>
    <mergeCell ref="C672:C676"/>
    <mergeCell ref="E17:E21"/>
    <mergeCell ref="G82:G86"/>
    <mergeCell ref="A487:A491"/>
    <mergeCell ref="B437:B441"/>
    <mergeCell ref="B737:B741"/>
    <mergeCell ref="D372:D376"/>
    <mergeCell ref="B1037:B1041"/>
    <mergeCell ref="F347:F351"/>
    <mergeCell ref="C1032:C1036"/>
    <mergeCell ref="G742:G746"/>
    <mergeCell ref="D1012:D1016"/>
    <mergeCell ref="F132:F136"/>
    <mergeCell ref="H107:H111"/>
    <mergeCell ref="E37:E41"/>
    <mergeCell ref="E72:E76"/>
    <mergeCell ref="H407:H411"/>
    <mergeCell ref="H102:H106"/>
    <mergeCell ref="B232:B236"/>
    <mergeCell ref="A137:A141"/>
    <mergeCell ref="C447:C451"/>
    <mergeCell ref="B532:B536"/>
    <mergeCell ref="D427:D431"/>
    <mergeCell ref="H247:H251"/>
    <mergeCell ref="A1022:A1026"/>
    <mergeCell ref="D122:D126"/>
    <mergeCell ref="D1032:D1036"/>
    <mergeCell ref="D1057:D1061"/>
    <mergeCell ref="B242:B246"/>
    <mergeCell ref="E577:E581"/>
    <mergeCell ref="G132:G136"/>
    <mergeCell ref="G797:G801"/>
    <mergeCell ref="B882:B886"/>
    <mergeCell ref="D2:D6"/>
    <mergeCell ref="B567:B571"/>
    <mergeCell ref="F702:F706"/>
    <mergeCell ref="E722:E726"/>
    <mergeCell ref="A472:A476"/>
    <mergeCell ref="H462:H466"/>
    <mergeCell ref="B867:B871"/>
    <mergeCell ref="F1002:F1006"/>
    <mergeCell ref="C232:C236"/>
    <mergeCell ref="A772:A776"/>
    <mergeCell ref="H762:H766"/>
    <mergeCell ref="H7:H11"/>
    <mergeCell ref="E717:E721"/>
    <mergeCell ref="B137:B141"/>
    <mergeCell ref="E1057:E1061"/>
    <mergeCell ref="C532:C536"/>
    <mergeCell ref="A932:A936"/>
    <mergeCell ref="G212:G216"/>
    <mergeCell ref="E752:E756"/>
    <mergeCell ref="B1022:B1026"/>
    <mergeCell ref="F117:F121"/>
    <mergeCell ref="G512:G516"/>
    <mergeCell ref="D782:D786"/>
    <mergeCell ref="E1052:E1056"/>
    <mergeCell ref="A957:A961"/>
    <mergeCell ref="G867:G871"/>
    <mergeCell ref="G112:G116"/>
    <mergeCell ref="F322:F326"/>
    <mergeCell ref="D287:D291"/>
    <mergeCell ref="A242:A246"/>
    <mergeCell ref="F772:F776"/>
    <mergeCell ref="F17:F21"/>
    <mergeCell ref="A847:A851"/>
    <mergeCell ref="G412:G416"/>
    <mergeCell ref="F47:F51"/>
    <mergeCell ref="D612:D616"/>
    <mergeCell ref="D587:D591"/>
    <mergeCell ref="A542:A546"/>
    <mergeCell ref="F317:F321"/>
    <mergeCell ref="C517:C521"/>
    <mergeCell ref="E827:E831"/>
    <mergeCell ref="D912:D916"/>
    <mergeCell ref="E277:E281"/>
    <mergeCell ref="C817:C821"/>
    <mergeCell ref="E67:E71"/>
    <mergeCell ref="C677:C681"/>
    <mergeCell ref="F417:F421"/>
    <mergeCell ref="C372:C376"/>
    <mergeCell ref="F62:F66"/>
    <mergeCell ref="C332:C336"/>
    <mergeCell ref="C17:C21"/>
    <mergeCell ref="A632:A636"/>
    <mergeCell ref="A752:A756"/>
    <mergeCell ref="A27:A31"/>
    <mergeCell ref="A717:A721"/>
    <mergeCell ref="E887:E891"/>
    <mergeCell ref="G182:G186"/>
    <mergeCell ref="A2:A6"/>
    <mergeCell ref="F382:F386"/>
    <mergeCell ref="G472:G476"/>
    <mergeCell ref="H867:H871"/>
    <mergeCell ref="E1042:E1046"/>
    <mergeCell ref="E287:E291"/>
    <mergeCell ref="G772:G776"/>
    <mergeCell ref="D947:D951"/>
    <mergeCell ref="A902:A906"/>
    <mergeCell ref="G47:G51"/>
    <mergeCell ref="B482:B486"/>
    <mergeCell ref="E912:E916"/>
    <mergeCell ref="G1012:G1016"/>
    <mergeCell ref="C697:C701"/>
    <mergeCell ref="D817:D821"/>
    <mergeCell ref="B782:B786"/>
    <mergeCell ref="B27:B31"/>
    <mergeCell ref="A172:A176"/>
    <mergeCell ref="C147:C151"/>
    <mergeCell ref="C997:C1001"/>
    <mergeCell ref="F577:F581"/>
    <mergeCell ref="H797:H801"/>
    <mergeCell ref="B927:B931"/>
    <mergeCell ref="B902:B906"/>
    <mergeCell ref="H72:H76"/>
    <mergeCell ref="G267:G271"/>
    <mergeCell ref="E2:E6"/>
    <mergeCell ref="C567:C571"/>
    <mergeCell ref="G702:G706"/>
    <mergeCell ref="D687:D691"/>
    <mergeCell ref="B472:B476"/>
    <mergeCell ref="G427:G431"/>
    <mergeCell ref="G32:G36"/>
    <mergeCell ref="A437:A441"/>
    <mergeCell ref="H427:H431"/>
    <mergeCell ref="F967:F971"/>
    <mergeCell ref="C922:C926"/>
    <mergeCell ref="B557:B561"/>
    <mergeCell ref="E987:E991"/>
    <mergeCell ref="H122:H126"/>
    <mergeCell ref="C197:C201"/>
    <mergeCell ref="G332:G336"/>
    <mergeCell ref="G17:G21"/>
    <mergeCell ref="A462:A466"/>
    <mergeCell ref="G27:G31"/>
    <mergeCell ref="B857:B861"/>
    <mergeCell ref="B102:B106"/>
    <mergeCell ref="G632:G636"/>
    <mergeCell ref="G317:G321"/>
    <mergeCell ref="A762:A766"/>
    <mergeCell ref="G327:G331"/>
    <mergeCell ref="B402:B406"/>
    <mergeCell ref="A457:A461"/>
    <mergeCell ref="H567:H571"/>
    <mergeCell ref="E742:E746"/>
    <mergeCell ref="D72:D76"/>
    <mergeCell ref="C592:C596"/>
    <mergeCell ref="D987:D991"/>
    <mergeCell ref="D232:D236"/>
    <mergeCell ref="B197:B201"/>
    <mergeCell ref="F332:F336"/>
    <mergeCell ref="A827:A831"/>
    <mergeCell ref="C892:C896"/>
    <mergeCell ref="A102:A106"/>
    <mergeCell ref="E527:E531"/>
    <mergeCell ref="E187:E191"/>
    <mergeCell ref="B457:B461"/>
    <mergeCell ref="G672:G676"/>
    <mergeCell ref="D92:D96"/>
    <mergeCell ref="E487:E491"/>
    <mergeCell ref="B757:B761"/>
    <mergeCell ref="D252:D256"/>
    <mergeCell ref="E972:E976"/>
    <mergeCell ref="A812:A816"/>
    <mergeCell ref="C157:C161"/>
    <mergeCell ref="C482:C486"/>
    <mergeCell ref="C142:C146"/>
    <mergeCell ref="H1012:H1016"/>
    <mergeCell ref="E967:E971"/>
    <mergeCell ref="D577:D581"/>
    <mergeCell ref="C782:C786"/>
    <mergeCell ref="B172:B176"/>
    <mergeCell ref="G602:G606"/>
    <mergeCell ref="D147:D151"/>
    <mergeCell ref="B687:B691"/>
    <mergeCell ref="G902:G906"/>
    <mergeCell ref="C927:C931"/>
    <mergeCell ref="H267:H271"/>
    <mergeCell ref="D532:D536"/>
    <mergeCell ref="F632:F636"/>
    <mergeCell ref="C587:C591"/>
    <mergeCell ref="A402:A406"/>
    <mergeCell ref="G872:G876"/>
    <mergeCell ref="G117:G121"/>
    <mergeCell ref="G417:G421"/>
    <mergeCell ref="A547:A551"/>
    <mergeCell ref="E847:E851"/>
    <mergeCell ref="B802:B806"/>
    <mergeCell ref="H612:H616"/>
    <mergeCell ref="E542:E546"/>
    <mergeCell ref="A567:A571"/>
    <mergeCell ref="G517:G521"/>
    <mergeCell ref="D447:D451"/>
    <mergeCell ref="H157:H161"/>
    <mergeCell ref="B262:B266"/>
    <mergeCell ref="A867:A871"/>
    <mergeCell ref="G817:G821"/>
    <mergeCell ref="C842:C846"/>
    <mergeCell ref="D482:D486"/>
    <mergeCell ref="H1057:H1061"/>
    <mergeCell ref="H1032:H1036"/>
    <mergeCell ref="D932:D936"/>
    <mergeCell ref="C802:C806"/>
    <mergeCell ref="H602:H606"/>
    <mergeCell ref="C837:C841"/>
    <mergeCell ref="C497:C501"/>
    <mergeCell ref="E472:E476"/>
    <mergeCell ref="G232:G236"/>
    <mergeCell ref="D502:D506"/>
    <mergeCell ref="E772:E776"/>
    <mergeCell ref="A797:A801"/>
    <mergeCell ref="G532:G536"/>
    <mergeCell ref="H622:H626"/>
    <mergeCell ref="E932:E936"/>
    <mergeCell ref="D837:D841"/>
    <mergeCell ref="C252:C256"/>
    <mergeCell ref="A792:A796"/>
    <mergeCell ref="C857:C861"/>
    <mergeCell ref="H2:H6"/>
    <mergeCell ref="F542:F546"/>
    <mergeCell ref="E177:E181"/>
    <mergeCell ref="C717:C721"/>
    <mergeCell ref="H517:H521"/>
    <mergeCell ref="E447:E451"/>
    <mergeCell ref="C412:C416"/>
    <mergeCell ref="H817:H821"/>
    <mergeCell ref="F27:F31"/>
    <mergeCell ref="E172:E176"/>
    <mergeCell ref="A372:A376"/>
    <mergeCell ref="F927:F931"/>
    <mergeCell ref="A67:A71"/>
    <mergeCell ref="G567:G571"/>
    <mergeCell ref="A1012:A1016"/>
    <mergeCell ref="D497:D501"/>
    <mergeCell ref="A672:A676"/>
    <mergeCell ref="F472:F476"/>
    <mergeCell ref="A707:A711"/>
    <mergeCell ref="A367:A371"/>
    <mergeCell ref="G592:G596"/>
    <mergeCell ref="H987:H991"/>
    <mergeCell ref="H232:H236"/>
    <mergeCell ref="C127:C131"/>
    <mergeCell ref="A667:A671"/>
    <mergeCell ref="G892:G896"/>
    <mergeCell ref="G137:G141"/>
    <mergeCell ref="H532:H536"/>
    <mergeCell ref="F957:F961"/>
    <mergeCell ref="A262:A266"/>
    <mergeCell ref="C912:C916"/>
    <mergeCell ref="A122:A126"/>
    <mergeCell ref="B1012:B1016"/>
    <mergeCell ref="E437:E441"/>
    <mergeCell ref="B707:B711"/>
    <mergeCell ref="B367:B371"/>
    <mergeCell ref="G922:G926"/>
    <mergeCell ref="G167:G171"/>
    <mergeCell ref="D342:D346"/>
    <mergeCell ref="A1052:A1056"/>
    <mergeCell ref="A297:A301"/>
    <mergeCell ref="G197:G201"/>
    <mergeCell ref="H287:H291"/>
    <mergeCell ref="D127:D131"/>
    <mergeCell ref="F827:F831"/>
    <mergeCell ref="A327:A331"/>
    <mergeCell ref="H892:H896"/>
    <mergeCell ref="F102:F106"/>
    <mergeCell ref="C57:C61"/>
    <mergeCell ref="A597:A601"/>
    <mergeCell ref="H587:H591"/>
    <mergeCell ref="E762:E766"/>
    <mergeCell ref="F402:F406"/>
    <mergeCell ref="C357:C361"/>
    <mergeCell ref="B122:B126"/>
    <mergeCell ref="E877:E881"/>
    <mergeCell ref="A782:A786"/>
    <mergeCell ref="F242:F246"/>
    <mergeCell ref="C417:C421"/>
    <mergeCell ref="F847:F851"/>
    <mergeCell ref="D57:D61"/>
    <mergeCell ref="C112:C116"/>
    <mergeCell ref="A652:A656"/>
    <mergeCell ref="H372:H376"/>
    <mergeCell ref="B1052:B1056"/>
    <mergeCell ref="B1027:B1031"/>
    <mergeCell ref="H197:H201"/>
    <mergeCell ref="G252:G256"/>
    <mergeCell ref="E792:E796"/>
    <mergeCell ref="G857:G861"/>
    <mergeCell ref="F157:F161"/>
    <mergeCell ref="A987:A991"/>
    <mergeCell ref="A232:A236"/>
    <mergeCell ref="D697:D701"/>
    <mergeCell ref="G552:G556"/>
    <mergeCell ref="F762:F766"/>
    <mergeCell ref="F457:F461"/>
    <mergeCell ref="A532:A536"/>
    <mergeCell ref="D997:D1001"/>
    <mergeCell ref="C752:C756"/>
    <mergeCell ref="A227:A231"/>
    <mergeCell ref="G697:G701"/>
    <mergeCell ref="F757:F761"/>
    <mergeCell ref="G997:G1001"/>
    <mergeCell ref="C747:C751"/>
    <mergeCell ref="E812:E816"/>
    <mergeCell ref="F902:F906"/>
    <mergeCell ref="B652:B656"/>
    <mergeCell ref="D717:D721"/>
    <mergeCell ref="G482:G486"/>
    <mergeCell ref="D437:D441"/>
    <mergeCell ref="D412:D416"/>
    <mergeCell ref="C342:C346"/>
    <mergeCell ref="C317:C321"/>
    <mergeCell ref="G782:G786"/>
    <mergeCell ref="F172:F176"/>
    <mergeCell ref="E867:E871"/>
    <mergeCell ref="E112:E116"/>
    <mergeCell ref="C77:C81"/>
    <mergeCell ref="A617:A621"/>
    <mergeCell ref="G842:G846"/>
    <mergeCell ref="C682:C686"/>
    <mergeCell ref="D772:D776"/>
    <mergeCell ref="H482:H486"/>
    <mergeCell ref="C377:C381"/>
    <mergeCell ref="B587:B591"/>
    <mergeCell ref="H932:H936"/>
    <mergeCell ref="F532:F536"/>
    <mergeCell ref="B282:B286"/>
    <mergeCell ref="G172:G176"/>
    <mergeCell ref="G837:G841"/>
    <mergeCell ref="A212:A216"/>
    <mergeCell ref="C522:C526"/>
    <mergeCell ref="B582:B586"/>
    <mergeCell ref="A512:A516"/>
    <mergeCell ref="H502:H506"/>
    <mergeCell ref="E797:E801"/>
    <mergeCell ref="B752:B756"/>
    <mergeCell ref="B727:B731"/>
    <mergeCell ref="G557:G561"/>
    <mergeCell ref="D487:D491"/>
    <mergeCell ref="D112:D116"/>
    <mergeCell ref="D737:D741"/>
    <mergeCell ref="D712:D716"/>
    <mergeCell ref="H872:H876"/>
    <mergeCell ref="H147:H151"/>
    <mergeCell ref="C642:C646"/>
    <mergeCell ref="G927:G931"/>
    <mergeCell ref="C662:C666"/>
    <mergeCell ref="D17:D21"/>
    <mergeCell ref="H552:H556"/>
    <mergeCell ref="B682:B686"/>
    <mergeCell ref="F817:F821"/>
    <mergeCell ref="D27:D31"/>
    <mergeCell ref="G457:G461"/>
    <mergeCell ref="D317:D321"/>
    <mergeCell ref="A587:A591"/>
    <mergeCell ref="G152:G156"/>
    <mergeCell ref="D327:D331"/>
    <mergeCell ref="F802:F806"/>
    <mergeCell ref="D12:D16"/>
    <mergeCell ref="G757:G761"/>
    <mergeCell ref="E567:E571"/>
    <mergeCell ref="H447:H451"/>
    <mergeCell ref="C217:C221"/>
    <mergeCell ref="B67:B71"/>
    <mergeCell ref="E402:E406"/>
    <mergeCell ref="E547:E551"/>
    <mergeCell ref="F187:F191"/>
    <mergeCell ref="E242:E246"/>
    <mergeCell ref="H672:H676"/>
    <mergeCell ref="G307:G311"/>
    <mergeCell ref="F137:F141"/>
    <mergeCell ref="H17:H21"/>
    <mergeCell ref="G677:G681"/>
    <mergeCell ref="B157:B161"/>
    <mergeCell ref="C552:C556"/>
    <mergeCell ref="E492:E496"/>
    <mergeCell ref="B762:B766"/>
    <mergeCell ref="G372:G376"/>
    <mergeCell ref="G57:G61"/>
    <mergeCell ref="F267:F271"/>
    <mergeCell ref="E597:E601"/>
    <mergeCell ref="G357:G361"/>
    <mergeCell ref="C1022:C1026"/>
    <mergeCell ref="F262:F266"/>
    <mergeCell ref="F122:F126"/>
    <mergeCell ref="D662:D666"/>
    <mergeCell ref="C132:C136"/>
    <mergeCell ref="E27:E31"/>
    <mergeCell ref="C1007:C1011"/>
    <mergeCell ref="E317:E321"/>
    <mergeCell ref="E327:E331"/>
    <mergeCell ref="G802:G806"/>
    <mergeCell ref="E12:E16"/>
    <mergeCell ref="D672:D676"/>
    <mergeCell ref="A92:A96"/>
    <mergeCell ref="D217:D221"/>
    <mergeCell ref="D77:D81"/>
    <mergeCell ref="A87:A91"/>
    <mergeCell ref="D377:D381"/>
    <mergeCell ref="E1012:E1016"/>
    <mergeCell ref="B967:B971"/>
    <mergeCell ref="B627:B631"/>
    <mergeCell ref="C607:C611"/>
    <mergeCell ref="E707:E711"/>
    <mergeCell ref="D602:D606"/>
    <mergeCell ref="A147:A151"/>
    <mergeCell ref="C907:C911"/>
    <mergeCell ref="G727:G731"/>
    <mergeCell ref="F362:F366"/>
    <mergeCell ref="D902:D906"/>
    <mergeCell ref="A447:A451"/>
    <mergeCell ref="H712:H716"/>
    <mergeCell ref="E157:E161"/>
    <mergeCell ref="B87:B91"/>
    <mergeCell ref="G642:G646"/>
    <mergeCell ref="E457:E461"/>
    <mergeCell ref="D1037:D1041"/>
    <mergeCell ref="A482:A486"/>
    <mergeCell ref="F1012:F1016"/>
    <mergeCell ref="C627:C631"/>
    <mergeCell ref="H307:H311"/>
    <mergeCell ref="F707:F711"/>
    <mergeCell ref="E602:E606"/>
    <mergeCell ref="F997:F1001"/>
    <mergeCell ref="A477:A481"/>
    <mergeCell ref="E297:E301"/>
    <mergeCell ref="B982:B986"/>
    <mergeCell ref="G362:G366"/>
    <mergeCell ref="E902:E906"/>
    <mergeCell ref="H677:H681"/>
    <mergeCell ref="H837:H841"/>
    <mergeCell ref="H497:H501"/>
    <mergeCell ref="H92:H96"/>
    <mergeCell ref="E267:E271"/>
    <mergeCell ref="H252:H256"/>
    <mergeCell ref="F792:F796"/>
    <mergeCell ref="E427:E431"/>
    <mergeCell ref="C967:C971"/>
    <mergeCell ref="E262:E266"/>
    <mergeCell ref="G157:G161"/>
    <mergeCell ref="E122:E126"/>
    <mergeCell ref="E697:E701"/>
    <mergeCell ref="A52:A56"/>
    <mergeCell ref="B142:B146"/>
    <mergeCell ref="G277:G281"/>
    <mergeCell ref="E817:E821"/>
    <mergeCell ref="E512:E516"/>
    <mergeCell ref="B442:B446"/>
    <mergeCell ref="G577:G581"/>
    <mergeCell ref="B932:B936"/>
    <mergeCell ref="F752:F756"/>
    <mergeCell ref="D567:D571"/>
    <mergeCell ref="A837:A841"/>
    <mergeCell ref="A497:A501"/>
    <mergeCell ref="F1052:F1056"/>
    <mergeCell ref="F297:F301"/>
    <mergeCell ref="C472:C476"/>
    <mergeCell ref="C982:C986"/>
    <mergeCell ref="F327:F331"/>
    <mergeCell ref="D867:D871"/>
    <mergeCell ref="C167:C171"/>
    <mergeCell ref="E232:E236"/>
    <mergeCell ref="C772:C776"/>
    <mergeCell ref="B827:B831"/>
    <mergeCell ref="G717:G721"/>
    <mergeCell ref="D892:D896"/>
    <mergeCell ref="C467:C471"/>
    <mergeCell ref="E532:E536"/>
    <mergeCell ref="F622:F626"/>
    <mergeCell ref="D1022:D1026"/>
    <mergeCell ref="E227:E231"/>
    <mergeCell ref="B522:B526"/>
    <mergeCell ref="D132:D136"/>
    <mergeCell ref="F782:F786"/>
    <mergeCell ref="A127:A131"/>
    <mergeCell ref="C827:C831"/>
    <mergeCell ref="F682:F686"/>
    <mergeCell ref="C102:C106"/>
    <mergeCell ref="A642:A646"/>
    <mergeCell ref="E587:E591"/>
    <mergeCell ref="A337:A341"/>
    <mergeCell ref="F227:F231"/>
    <mergeCell ref="C402:C406"/>
    <mergeCell ref="E132:E136"/>
    <mergeCell ref="C97:C101"/>
    <mergeCell ref="H472:H476"/>
    <mergeCell ref="B877:B881"/>
    <mergeCell ref="C242:C246"/>
    <mergeCell ref="A57:A61"/>
    <mergeCell ref="G977:G981"/>
    <mergeCell ref="F612:F616"/>
    <mergeCell ref="C882:C886"/>
    <mergeCell ref="C542:C546"/>
    <mergeCell ref="H342:H346"/>
    <mergeCell ref="C237:C241"/>
    <mergeCell ref="B447:B451"/>
    <mergeCell ref="F912:F916"/>
    <mergeCell ref="E212:E216"/>
    <mergeCell ref="H57:H61"/>
    <mergeCell ref="H697:H701"/>
    <mergeCell ref="H357:H361"/>
    <mergeCell ref="A552:A556"/>
    <mergeCell ref="E372:E376"/>
    <mergeCell ref="H112:H116"/>
    <mergeCell ref="C187:C191"/>
    <mergeCell ref="F652:F656"/>
    <mergeCell ref="G607:G611"/>
    <mergeCell ref="D537:D541"/>
    <mergeCell ref="C172:C176"/>
    <mergeCell ref="A737:A741"/>
    <mergeCell ref="A712:A716"/>
    <mergeCell ref="F512:F516"/>
    <mergeCell ref="E147:E151"/>
    <mergeCell ref="H577:H581"/>
    <mergeCell ref="G907:G911"/>
    <mergeCell ref="A1037:A1041"/>
    <mergeCell ref="G752:G756"/>
    <mergeCell ref="F812:F816"/>
    <mergeCell ref="B192:B196"/>
    <mergeCell ref="G747:G751"/>
    <mergeCell ref="D922:D926"/>
    <mergeCell ref="D167:D171"/>
    <mergeCell ref="A342:A346"/>
    <mergeCell ref="E562:E566"/>
    <mergeCell ref="E1027:E1031"/>
    <mergeCell ref="G1002:G1006"/>
    <mergeCell ref="H997:H1001"/>
    <mergeCell ref="H717:H721"/>
    <mergeCell ref="E672:E676"/>
    <mergeCell ref="B847:B851"/>
    <mergeCell ref="H437:H441"/>
    <mergeCell ref="H412:H416"/>
    <mergeCell ref="E367:E371"/>
    <mergeCell ref="B542:B546"/>
    <mergeCell ref="B977:B981"/>
    <mergeCell ref="G342:G346"/>
    <mergeCell ref="C182:C186"/>
    <mergeCell ref="D272:D276"/>
    <mergeCell ref="H1007:H1011"/>
    <mergeCell ref="E552:E556"/>
    <mergeCell ref="A302:A306"/>
    <mergeCell ref="B392:B396"/>
    <mergeCell ref="G527:G531"/>
    <mergeCell ref="D457:D461"/>
    <mergeCell ref="D152:D156"/>
    <mergeCell ref="F92:F96"/>
    <mergeCell ref="B692:B696"/>
    <mergeCell ref="D757:D761"/>
    <mergeCell ref="D452:D456"/>
    <mergeCell ref="H272:H276"/>
    <mergeCell ref="A747:A751"/>
    <mergeCell ref="F87:F91"/>
    <mergeCell ref="C42:C46"/>
    <mergeCell ref="E692:E696"/>
    <mergeCell ref="C507:C511"/>
    <mergeCell ref="E482:E486"/>
    <mergeCell ref="B412:B416"/>
    <mergeCell ref="G967:G971"/>
    <mergeCell ref="C807:C811"/>
    <mergeCell ref="G627:G631"/>
    <mergeCell ref="E782:E786"/>
    <mergeCell ref="G662:G666"/>
    <mergeCell ref="E477:E481"/>
    <mergeCell ref="F567:F571"/>
    <mergeCell ref="D67:D71"/>
    <mergeCell ref="F867:F871"/>
    <mergeCell ref="C727:C731"/>
    <mergeCell ref="D682:D686"/>
    <mergeCell ref="G382:G386"/>
    <mergeCell ref="E922:E926"/>
    <mergeCell ref="B12:B16"/>
    <mergeCell ref="G882:G886"/>
    <mergeCell ref="G542:G546"/>
    <mergeCell ref="D812:D816"/>
    <mergeCell ref="B312:B316"/>
    <mergeCell ref="F447:F451"/>
    <mergeCell ref="A217:A221"/>
    <mergeCell ref="A377:A381"/>
    <mergeCell ref="F932:F936"/>
    <mergeCell ref="E837:E841"/>
    <mergeCell ref="E497:E501"/>
    <mergeCell ref="D727:D731"/>
    <mergeCell ref="E92:E96"/>
    <mergeCell ref="F487:F491"/>
    <mergeCell ref="D1027:D1031"/>
    <mergeCell ref="D887:D891"/>
    <mergeCell ref="E977:E981"/>
    <mergeCell ref="E252:E256"/>
    <mergeCell ref="C792:C796"/>
    <mergeCell ref="E87:E91"/>
    <mergeCell ref="G217:G221"/>
    <mergeCell ref="E617:E621"/>
    <mergeCell ref="D827:D831"/>
    <mergeCell ref="B792:B796"/>
    <mergeCell ref="G682:G686"/>
    <mergeCell ref="C432:C436"/>
    <mergeCell ref="D522:D526"/>
    <mergeCell ref="F587:F591"/>
    <mergeCell ref="D552:D556"/>
    <mergeCell ref="F527:F531"/>
    <mergeCell ref="F282:F286"/>
    <mergeCell ref="D822:D826"/>
    <mergeCell ref="H922:H926"/>
    <mergeCell ref="H167:H171"/>
    <mergeCell ref="B297:B301"/>
    <mergeCell ref="B272:B276"/>
    <mergeCell ref="G187:G191"/>
    <mergeCell ref="E727:E731"/>
    <mergeCell ref="C692:C696"/>
    <mergeCell ref="G827:G831"/>
    <mergeCell ref="H467:H471"/>
    <mergeCell ref="E422:E426"/>
    <mergeCell ref="B597:B601"/>
    <mergeCell ref="G487:G491"/>
    <mergeCell ref="C992:C996"/>
    <mergeCell ref="D357:D361"/>
    <mergeCell ref="B897:B901"/>
    <mergeCell ref="C262:C266"/>
    <mergeCell ref="C122:C126"/>
    <mergeCell ref="D787:D791"/>
    <mergeCell ref="G242:G246"/>
    <mergeCell ref="E907:E911"/>
    <mergeCell ref="B327:B331"/>
    <mergeCell ref="D802:D806"/>
    <mergeCell ref="H132:H136"/>
    <mergeCell ref="H662:H666"/>
    <mergeCell ref="C457:C461"/>
    <mergeCell ref="F582:F586"/>
    <mergeCell ref="C757:C761"/>
    <mergeCell ref="C877:C881"/>
    <mergeCell ref="H217:H221"/>
    <mergeCell ref="B207:B211"/>
    <mergeCell ref="G612:G616"/>
    <mergeCell ref="D542:D546"/>
    <mergeCell ref="B672:B676"/>
    <mergeCell ref="A247:A251"/>
    <mergeCell ref="C312:C316"/>
    <mergeCell ref="G447:G451"/>
    <mergeCell ref="C977:C981"/>
    <mergeCell ref="F77:F81"/>
    <mergeCell ref="B217:B221"/>
    <mergeCell ref="A272:A276"/>
    <mergeCell ref="E737:E741"/>
    <mergeCell ref="B667:B671"/>
    <mergeCell ref="F377:F381"/>
    <mergeCell ref="G467:G471"/>
    <mergeCell ref="D642:D646"/>
    <mergeCell ref="E1037:E1041"/>
    <mergeCell ref="E282:E286"/>
    <mergeCell ref="G932:G936"/>
    <mergeCell ref="D942:D946"/>
    <mergeCell ref="C707:C711"/>
    <mergeCell ref="C392:C396"/>
    <mergeCell ref="A662:A666"/>
    <mergeCell ref="A962:A966"/>
    <mergeCell ref="D97:D101"/>
    <mergeCell ref="A112:A116"/>
    <mergeCell ref="B507:B511"/>
    <mergeCell ref="F517:F521"/>
    <mergeCell ref="D992:D996"/>
    <mergeCell ref="D237:D241"/>
    <mergeCell ref="A412:A416"/>
    <mergeCell ref="G912:G916"/>
    <mergeCell ref="B807:B811"/>
    <mergeCell ref="F212:F216"/>
    <mergeCell ref="C897:C901"/>
    <mergeCell ref="F1037:F1041"/>
    <mergeCell ref="E337:E341"/>
    <mergeCell ref="A177:A181"/>
    <mergeCell ref="G402:G406"/>
    <mergeCell ref="E942:E946"/>
    <mergeCell ref="C152:C156"/>
    <mergeCell ref="G97:G101"/>
    <mergeCell ref="B812:B816"/>
    <mergeCell ref="D707:D711"/>
    <mergeCell ref="D392:D396"/>
    <mergeCell ref="F2:F6"/>
    <mergeCell ref="C1052:C1056"/>
    <mergeCell ref="C297:C301"/>
    <mergeCell ref="D692:D696"/>
    <mergeCell ref="H827:H831"/>
    <mergeCell ref="G432:G436"/>
    <mergeCell ref="E57:E61"/>
    <mergeCell ref="H522:H526"/>
    <mergeCell ref="C597:C601"/>
    <mergeCell ref="F337:F341"/>
    <mergeCell ref="C1047:C1051"/>
    <mergeCell ref="C292:C296"/>
    <mergeCell ref="E357:E361"/>
    <mergeCell ref="E1022:E1026"/>
    <mergeCell ref="B952:B956"/>
    <mergeCell ref="H97:H101"/>
    <mergeCell ref="E52:E56"/>
    <mergeCell ref="D262:D266"/>
    <mergeCell ref="B227:B231"/>
    <mergeCell ref="G877:G881"/>
    <mergeCell ref="A1007:A1011"/>
    <mergeCell ref="E352:E356"/>
    <mergeCell ref="C952:C956"/>
    <mergeCell ref="A917:A921"/>
    <mergeCell ref="A162:A166"/>
    <mergeCell ref="C227:C231"/>
    <mergeCell ref="H782:H786"/>
    <mergeCell ref="H757:H761"/>
    <mergeCell ref="E712:E716"/>
    <mergeCell ref="B1007:B1011"/>
    <mergeCell ref="G207:G211"/>
    <mergeCell ref="E747:E751"/>
    <mergeCell ref="C222:C226"/>
    <mergeCell ref="D652:D656"/>
    <mergeCell ref="C67:C71"/>
    <mergeCell ref="E197:E201"/>
    <mergeCell ref="G987:G991"/>
    <mergeCell ref="B127:B131"/>
    <mergeCell ref="G507:G511"/>
    <mergeCell ref="A637:A641"/>
    <mergeCell ref="F437:F441"/>
    <mergeCell ref="F412:F416"/>
    <mergeCell ref="D977:D981"/>
    <mergeCell ref="C367:C371"/>
    <mergeCell ref="G807:G811"/>
    <mergeCell ref="A937:A941"/>
    <mergeCell ref="A182:A186"/>
    <mergeCell ref="E342:E346"/>
    <mergeCell ref="H172:H176"/>
    <mergeCell ref="F737:F741"/>
    <mergeCell ref="F712:F716"/>
    <mergeCell ref="C667:C671"/>
    <mergeCell ref="G102:G106"/>
    <mergeCell ref="E642:E646"/>
    <mergeCell ref="B1057:B1061"/>
    <mergeCell ref="G437:G441"/>
    <mergeCell ref="B937:B941"/>
    <mergeCell ref="A237:A241"/>
    <mergeCell ref="C212:C216"/>
    <mergeCell ref="D607:D611"/>
    <mergeCell ref="A562:A566"/>
    <mergeCell ref="A537:A541"/>
    <mergeCell ref="C512:C516"/>
    <mergeCell ref="D907:D911"/>
    <mergeCell ref="H727:H731"/>
    <mergeCell ref="A862:A866"/>
    <mergeCell ref="E997:E1001"/>
    <mergeCell ref="C207:C211"/>
    <mergeCell ref="C812:C816"/>
    <mergeCell ref="A22:A26"/>
    <mergeCell ref="E392:E396"/>
    <mergeCell ref="H1027:H1031"/>
    <mergeCell ref="H887:H891"/>
    <mergeCell ref="D1052:D1056"/>
    <mergeCell ref="G792:G796"/>
    <mergeCell ref="D747:D751"/>
    <mergeCell ref="A922:A926"/>
    <mergeCell ref="A167:A171"/>
    <mergeCell ref="D22:D26"/>
    <mergeCell ref="B562:B566"/>
    <mergeCell ref="C652:C656"/>
    <mergeCell ref="D1047:D1051"/>
    <mergeCell ref="A467:A471"/>
    <mergeCell ref="H457:H461"/>
    <mergeCell ref="F1022:F1026"/>
    <mergeCell ref="H142:H146"/>
    <mergeCell ref="G7:G11"/>
    <mergeCell ref="F217:F221"/>
    <mergeCell ref="A452:A456"/>
    <mergeCell ref="A572:A576"/>
    <mergeCell ref="F667:F671"/>
    <mergeCell ref="H642:H646"/>
    <mergeCell ref="F552:F556"/>
    <mergeCell ref="B992:B996"/>
    <mergeCell ref="H942:H946"/>
    <mergeCell ref="D967:D971"/>
    <mergeCell ref="D212:D216"/>
    <mergeCell ref="D627:D631"/>
    <mergeCell ref="A897:A901"/>
    <mergeCell ref="E607:E611"/>
    <mergeCell ref="G707:G711"/>
    <mergeCell ref="D322:D326"/>
    <mergeCell ref="E302:E306"/>
    <mergeCell ref="D512:D516"/>
    <mergeCell ref="B477:B481"/>
    <mergeCell ref="D962:D966"/>
    <mergeCell ref="D207:D211"/>
    <mergeCell ref="D622:D626"/>
    <mergeCell ref="D507:D511"/>
    <mergeCell ref="H792:H796"/>
    <mergeCell ref="B922:B926"/>
    <mergeCell ref="B167:B171"/>
    <mergeCell ref="G262:G266"/>
    <mergeCell ref="G122:G126"/>
    <mergeCell ref="B617:B621"/>
    <mergeCell ref="C257:C261"/>
    <mergeCell ref="A522:A526"/>
    <mergeCell ref="B917:B921"/>
    <mergeCell ref="D852:D856"/>
    <mergeCell ref="A887:A891"/>
    <mergeCell ref="H262:H266"/>
    <mergeCell ref="F662:F666"/>
    <mergeCell ref="E77:E81"/>
    <mergeCell ref="C617:C621"/>
    <mergeCell ref="E377:E381"/>
    <mergeCell ref="C917:C921"/>
    <mergeCell ref="A882:A886"/>
    <mergeCell ref="G12:G16"/>
    <mergeCell ref="A142:A146"/>
    <mergeCell ref="B97:B101"/>
    <mergeCell ref="F672:F676"/>
    <mergeCell ref="E247:E251"/>
    <mergeCell ref="G312:G316"/>
    <mergeCell ref="A757:A761"/>
    <mergeCell ref="A442:A446"/>
    <mergeCell ref="B162:B166"/>
    <mergeCell ref="D227:D231"/>
    <mergeCell ref="H802:H806"/>
    <mergeCell ref="C282:C286"/>
    <mergeCell ref="A822:A826"/>
    <mergeCell ref="A97:A101"/>
    <mergeCell ref="C582:C586"/>
    <mergeCell ref="D222:D226"/>
    <mergeCell ref="H42:H46"/>
    <mergeCell ref="E217:E221"/>
    <mergeCell ref="F197:F201"/>
    <mergeCell ref="E412:E416"/>
    <mergeCell ref="C62:C66"/>
    <mergeCell ref="C12:C16"/>
    <mergeCell ref="H542:H546"/>
    <mergeCell ref="A42:A46"/>
    <mergeCell ref="F597:F601"/>
    <mergeCell ref="C442:C446"/>
    <mergeCell ref="A202:A206"/>
    <mergeCell ref="F897:F901"/>
    <mergeCell ref="D82:D86"/>
    <mergeCell ref="C932:C936"/>
    <mergeCell ref="H707:H711"/>
    <mergeCell ref="H392:H396"/>
    <mergeCell ref="E662:E666"/>
    <mergeCell ref="A502:A506"/>
    <mergeCell ref="B837:B841"/>
    <mergeCell ref="E322:E326"/>
    <mergeCell ref="C477:C481"/>
    <mergeCell ref="G1052:G1056"/>
    <mergeCell ref="G297:G301"/>
    <mergeCell ref="D982:D986"/>
    <mergeCell ref="H692:H696"/>
    <mergeCell ref="E962:E966"/>
    <mergeCell ref="E622:E626"/>
    <mergeCell ref="B822:B826"/>
    <mergeCell ref="G597:G601"/>
    <mergeCell ref="B832:B836"/>
    <mergeCell ref="B77:B81"/>
    <mergeCell ref="A727:A731"/>
    <mergeCell ref="H992:H996"/>
    <mergeCell ref="G292:G296"/>
    <mergeCell ref="A422:A426"/>
    <mergeCell ref="B377:B381"/>
    <mergeCell ref="C487:C491"/>
    <mergeCell ref="F952:F956"/>
    <mergeCell ref="A1027:A1031"/>
    <mergeCell ref="E167:E171"/>
    <mergeCell ref="H22:H26"/>
    <mergeCell ref="C832:C836"/>
    <mergeCell ref="G652:G656"/>
    <mergeCell ref="H1047:H1051"/>
    <mergeCell ref="H292:H296"/>
    <mergeCell ref="D197:D201"/>
    <mergeCell ref="E467:E471"/>
    <mergeCell ref="B422:B426"/>
    <mergeCell ref="G952:G956"/>
    <mergeCell ref="E162:E166"/>
    <mergeCell ref="G227:G231"/>
    <mergeCell ref="D182:D186"/>
    <mergeCell ref="H317:H321"/>
    <mergeCell ref="B722:B726"/>
    <mergeCell ref="A357:A361"/>
    <mergeCell ref="C87:C91"/>
    <mergeCell ref="A627:A631"/>
    <mergeCell ref="F1007:F1011"/>
    <mergeCell ref="A352:A356"/>
    <mergeCell ref="A787:A791"/>
    <mergeCell ref="G67:G71"/>
    <mergeCell ref="F127:F131"/>
    <mergeCell ref="B152:B156"/>
    <mergeCell ref="H977:H981"/>
    <mergeCell ref="G367:G371"/>
    <mergeCell ref="C117:C121"/>
    <mergeCell ref="E182:E186"/>
    <mergeCell ref="B452:B456"/>
    <mergeCell ref="F272:F276"/>
    <mergeCell ref="G667:G671"/>
    <mergeCell ref="D87:D91"/>
  </mergeCells>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Statistics</vt:lpstr>
      <vt:lpstr>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2025-12-10T11:08:06Z</dcterms:created>
  <dcterms:modified xsi:type="dcterms:W3CDTF">2025-12-10T11:36:14Z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xNDMzIiwibG9nVGltZSI6IjIwMjUtMTItMTBUMTE6MTM6MTJaIiwicElEIjoxLCJwcm9jZXNzSWQiOjE4NTM2LCJwcm9jZXNzTmFtZSI6IkVYQ0VMLkVYRSIsInRyYWNlSWQiOiI2NTEwRDUxQjJBOTU0M0IyOTI4MDM2RUFERTg2NzBCQSIsInVzZXJDb2RlIjoibXVsdGlkeTE5ODUifSwibm9kZTIiOnsiZHNkIjoiMDEwMDAwMDAwMDAwMTQzMyIsImxvZ1RpbWUiOiIyMDI1LTEyLTEwVDExOjEzOjEyWiIsInBJRCI6MSwicHJvY2Vzc0lkIjoxODUzNiwicHJvY2Vzc05hbWUiOiJFWENFTC5FWEUiLCJ0cmFjZUlkIjoiNjUxMEQ1MUIyQTk1NDNCMjkyODAzNkVBREU4NjcwQkEiLCJ1c2VyQ29kZSI6Im11bHRpZHkxOTg1In0sIm5vZGUzIjp7ImRzZCI6IjAxMDAwMDAwMDAwMDE0MzMiLCJsb2dUaW1lIjoiMjAyNS0xMi0xMFQxMToxMzoxMloiLCJwSUQiOjEsInByb2Nlc3NJZCI6MTg1MzYsInByb2Nlc3NOYW1lIjoiRVhDRUwuRVhFIiwidHJhY2VJZCI6IjY1MTBENTFCMkE5NTQzQjI5MjgwMzZFQURFODY3MEJBIiwidXNlckNvZGUiOiJtdWx0aWR5MTk4NSJ9LCJub2RlNCI6eyJkc2QiOiIwMTAwMDAwMDAwMDAxNDMzIiwibG9nVGltZSI6IjIwMjUtMTItMTBUMTE6MTM6MTJaIiwicElEIjoxLCJwcm9jZXNzSWQiOjE4NTM2LCJwcm9jZXNzTmFtZSI6IkVYQ0VMLkVYRSIsInRyYWNlSWQiOiI2NTEwRDUxQjJBOTU0M0IyOTI4MDM2RUFERTg2NzBCQSIsInVzZXJDb2RlIjoibXVsdGlkeTE5ODUifSwibm9kZTUiOnsiZHNkIjoiMDAwMDAwMDAwMDAwMDAwMCIsImxvZ1RpbWUiOiIyMDI1LTEyLTEwVDExOjM2OjQ3WiIsInBJRCI6MjA0OCwicHJvY2Vzc0lkIjoxODUzNiwicHJvY2Vzc05hbWUiOiJFWENFTC5FWEUiLCJ0cmFjZUlkIjoiMjdCN0RCQThEQjBBNDhBMkI3MUJDRTU3MkEyQzAyMTQiLCJ1c2VyQ29kZSI6Im11bHRpZHkxOTg1In0sIm5vZGVDb3VudCI6Miwicm9vdFRyYWNlSWQiOiI2NTEwRDUxQjJBOTU0M0IyOTI4MDM2RUFERTg2NzBCQSJ9</vt:lpwstr>
  </property>
</Properties>
</file>