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workspace\ai_test\"/>
    </mc:Choice>
  </mc:AlternateContent>
  <xr:revisionPtr revIDLastSave="0" documentId="13_ncr:1_{8BA70282-0468-42D1-9D4A-7683D317DBD0}" xr6:coauthVersionLast="47" xr6:coauthVersionMax="47" xr10:uidLastSave="{00000000-0000-0000-0000-000000000000}"/>
  <bookViews>
    <workbookView xWindow="0" yWindow="135" windowWidth="28740" windowHeight="15345" xr2:uid="{00000000-000D-0000-FFFF-FFFF00000000}"/>
  </bookViews>
  <sheets>
    <sheet name="Statistics" sheetId="2" r:id="rId1"/>
    <sheet name="Logs"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2" l="1"/>
  <c r="C2" i="2"/>
  <c r="B3" i="2"/>
  <c r="B2" i="2"/>
  <c r="B1" i="2"/>
</calcChain>
</file>

<file path=xl/sharedStrings.xml><?xml version="1.0" encoding="utf-8"?>
<sst xmlns="http://schemas.openxmlformats.org/spreadsheetml/2006/main" count="1799" uniqueCount="769">
  <si>
    <t>질의문</t>
  </si>
  <si>
    <t>답변참조문서</t>
  </si>
  <si>
    <t>참조페이지</t>
  </si>
  <si>
    <t>참조문서검색</t>
  </si>
  <si>
    <t>SLM참조여부</t>
  </si>
  <si>
    <t>task_id</t>
  </si>
  <si>
    <t>SLM 답변</t>
  </si>
  <si>
    <t>doc_id</t>
  </si>
  <si>
    <t>score</t>
  </si>
  <si>
    <t>group</t>
  </si>
  <si>
    <t>file</t>
  </si>
  <si>
    <t>page_num</t>
  </si>
  <si>
    <t>직원들(6급 이하)의 유연근무 등의 복무결재시 전결권자는 누구인가요?</t>
  </si>
  <si>
    <t xml:space="preserve">부산광역시 사무 전결처리 규칙
-붙임파일(별표)전결사항
 (탭) 공통사항
</t>
  </si>
  <si>
    <t>1</t>
  </si>
  <si>
    <t>미존재</t>
  </si>
  <si>
    <t>미참조</t>
  </si>
  <si>
    <t>6845b7392ef748ce8474abf188f35368</t>
  </si>
  <si>
    <t>질문하신 내용에 대해서는 참고할 만한 자료를 찾지 못했습니다. 관련 부서나 업무 담당자에게 문의해 주시기 바랍니다.</t>
  </si>
  <si>
    <t>DRM 비밀번호 초기화 방법이 무엇인가요?</t>
  </si>
  <si>
    <t>331_2112_정보화정책과_업무매뉴얼_정보화정책과_부서관리자_매뉴얼자료유출방지시스템_DRM_v50_비번초기화.pdf</t>
  </si>
  <si>
    <t>1, 2, 3</t>
  </si>
  <si>
    <t>존재</t>
  </si>
  <si>
    <t>참조</t>
  </si>
  <si>
    <t>58391766c9c5410ea67efc0db05b09aa</t>
  </si>
  <si>
    <t>DRM(Digital Rights Management) 시스템에서 비밀번호를 초기화하는 방법은 일반적으로 다음과 같습니다:
1. **사이트 접속**: 먼저 DRM 시스템이 제공하는 관리자 사이트에 접속해야 합니다. 이 경우, 주소 `http://99.1.81.71:9080/fed5`로 접속하며, 부서관리자 권한을 가진 사용자만이 접근할 수 있습니다.
2. **로그인**: 해당 사이트에 사용자 ID와 비밀번호를 입력하여 로그인합니다. 이때 사용하는 ID와 비밀번호는 자료유출방지시스템 DRAM의 것입니다.
3. **조직관리 메뉴 선택**: 로그인 후에는 상단의 메뉴 중 '공통설정 &gt; 조직관리'를 클릭합니다.
4. **사용자 선택 및 수정**: 좌측에 표시되는 부서 목록에서 원하는 부서를 선택하고, 그 안의 사용자를 선택한 다음, 우측 상단에 있는 '[수정]' 버튼을 클릭합니다.
5. **초기화 비밀번호 입력**: 나타나는 화면에서 초기화를 위한 비밀번호를 입력합니다. 여기서 사용되는 초기화 비밀번호는 'a12345'입니다. 이 비밀번호를 정확히 입력한 후 우측 상단의 '[확인]' 버튼을 눌러 수정을 완료합니다.
6. **비밀번호 변경 후 재로그인**: 비밀번호가 초기화된 사용자는 새로운 비밀번호로 변경해야 하며, 변경된 비밀번호로 다시 로그인하여 시스템을 사용할 수 있습니다.
이러한 절차를 통해 DRM 시스템의 비밀번호를 초기화하고 필요한 조치를 취할 수 있습니다. 만약 추가적인 도움이 필요하거나 다른 문의 사항이 있으시면 언제든지 말씀해 주세요!</t>
  </si>
  <si>
    <t>28edbca7-25e5-4839-be03-23df0b778bb6</t>
  </si>
  <si>
    <t>내부자료</t>
  </si>
  <si>
    <t>edb1e797-f9cd-4785-8595-87e84038bc40</t>
  </si>
  <si>
    <t>a121944b-92ec-4338-bfb3-1e517948c634</t>
  </si>
  <si>
    <t>DRM 암호 초기화 어떻게 하나요?</t>
  </si>
  <si>
    <t>87064472c2cc4fc1b0a9ebed35b6a8a9</t>
  </si>
  <si>
    <t>DRM(Digital Rights Management) 시스템에서 암호를 초기화하는 방법은 일반적으로 다음과 같습니다:
1. **사이트 접속**: 먼저 DRM 시스템이 제공하는 관리자 사이트에 접속해야 합니다. 이 사이트는 보통 부서 관리자나 시스템 관리자에게 권한이 부여되어 있습니다.
2. **로그인**: 해당 사이트에 사용자 ID와 비밀번호를 입력하여 로그인합니다. 이때 사용하는 계정은 부서 관리자 권한을 가진 계정이어야 합니다.
3. **조직 관리 메뉴 접근**:
   - 로그인 후 상단 메뉴에서 '공통 설정' 또는 '조직 관리' 등의 메뉴를 찾아 클릭합니다.
   - 여기서 조직 내의 부서나 사용자를 관리할 수 있는 기능을 제공합니다.
4. **사용자 선택 및 수정**:
   - 좌측에 표시되는 부서 목록 중 관련 부서를 선택하고, 그 하위의 사용자 목록을 확인합니다.
   - 특정 사용자를 선택하거나 전체 사용자에 대한 작업을 진행할 수 있습니다.
   - 우측 상단에 위치한 '[수정]' 버튼을 클릭하여 다음 단계로 넘어갑니다.
5. **암호 초기화 설정**:
   - 수정 화면에서는 사용자의 정보를 변경할 수 있습니다.
   - 여기에서 '초기화 비밀번호'(예: a12345)를 입력하는 필드가 있을 것입니다.
   - 이 비밀번호를 입력하면 해당 사용자의 암호가 초기화됩니다.
   - 모든 설정을 완료했다면 우측 상단의 '[확인]' 버튼을 눌러 변경 사항을 저장합니다.
6. **사용자에게 안내**:
   - 암호가 초기화된 사용자는 새로운 비밀번호를 설정해야 합니다.
   - 이를 위해 사용자에게 초기화 사실을 알리고, 비밀번호 재설정 절차를 안내해야 합니다.
7. **보안 유지**:
   - 이러한 작업은 보안상의 이유로 제한적으로 허용되며, 반드시 필요한 경우에만 수행되어야 합니다.
   - 초기화 비밀번호는 안전한 곳에 보관하고, 작업이 끝난 후에는 즉시 폐기하는 것이 좋습니다.
이러한 절차는 시스템의 보안을 유지하고, 사용자의 접근 권한을 적절히 관리하는 데 중요합니다. 만약 구체적인 시스템이나 매뉴얼을 가지고 계시다면, 그에 따라 세부적인 단계를 따르시면 됩니다. 추가적인 도움이 필요하시면 언제든지 말씀해 주세요!</t>
  </si>
  <si>
    <t>보도자료 작성 기한은?</t>
  </si>
  <si>
    <t>간단한 질문 대응 FAQ</t>
  </si>
  <si>
    <t>109e6404fb8c40e0b468819f83f00d07</t>
  </si>
  <si>
    <t>인사랑이 열리지 않을때 조치방법은?</t>
  </si>
  <si>
    <t>정보화정책과 제출 URL
행정포탈 오류조치안내 : http://99.1.1.29/resources/xf/portal/table.html?</t>
  </si>
  <si>
    <t>9cd0167daa2e4274b435e3cb23ba7c4e</t>
  </si>
  <si>
    <t>행정포털 접속 장애 시 조치 방법은?</t>
  </si>
  <si>
    <t>1255_행정포털_오류조치_안내_정보화정책과_20251112.pdf</t>
  </si>
  <si>
    <t>af61ac4c487b44c58956c3466845e258</t>
  </si>
  <si>
    <t>행정포털 접속에 문제가 발생할 때는 다음과 같은 조치를 취해보세요:
1. **브라우저 캐시 및 쿠키 삭제**: 브라우저의 임시 파일이나 쿠키에 문제가 있을 수 있으므로, 해당 데이터를 삭제하여 문제를 해결할 수 있습니다.
   - **Internet Explorer**:
     - `Ctrl` + `Shift` + `Delete` 키를 눌러 '검색 기록' 창을 엽니다.
     - '모든 시간'으로 범위를 설정하고, 필요한 항목을 선택한 뒤 '지금 지우기' 버튼을 클릭합니다.
   - **Microsoft Edge**:
     - 동일한 방법으로 `Ctrl` + `Shift` + `Delete` 키를 사용하여 캐시와 쿠키를 삭제합니다.
2. **인터넷 옵션 설정 변경**:
   - **Internet Explorer**:
     - 시작 메뉴에서 '인터넷 옵션'을 열고, '고급' 탭으로 이동합니다.
     - '원래대로' 또는 '고급 설정 복원' 옵션을 사용하여 설정을 초기화하거나 복원합니다.
     - 필요에 따라 '보안', '개인 정보', '연결' 등의 탭에서도 설정을 조정합니다.
   - **Microsoft Edge**:
     - 설정 페이지에서 '개인 정보, 검색 및 서비스' 섹션을 찾아 들어갑니다.
     - '지울 항목 선택'에서 원하는 항목을 선택하고, '지금 지우기'를 클릭합니다.
3. **브라우저 확장 프로그램 및 애드온 제거**:
   - 일부 확장 프로그램이나 애드온이 충돌을 일으킬 수 있으므로, 이를 일시적으로 비활성화하거나 제거합니다.
4. **브라우저 재설치**:
   - 브라우저 자체에 문제가 있을 수 있으므로, 브라우저를 완전히 제거한 후 다시 설치합니다.
5. **네트워크 연결 확인**:
   - Wi-Fi나 이더넷 연결 상태를 확인하고, 필요하다면 네트워크를 재설정합니다.
   - VPN이나 방화벽 소프트웨어가 특정 사이트에 접근하는 것을 차단하는지 확인합니다.
6. **방화벽 및 안티바이러스 소프트웨어 설정 확인**:
   - 방화벽이나 안티바이러스 프로그램이 행정포털 접속을 방해하지 않도록 예외 설정을 합니다.
7. **시스템 업데이트 적용**:
   - 운영체제와 브라우저의 최신 버전으로 업데이트하여 보안 취약점을 해결합니다.
8. **IT 지원팀 문의**:
   - 위의 모든 조치를 시도했음에도 문제가 지속될 경우, IT 지원팀에 문의하여 전문적인 도움을 받습니다.
이러한 단계들을 순서대로 진행하면 대부분의 행정포털 접속 장애를 해결할 수 있습니다. 만약 특정한 오류 메시지가 나타난다면 그 메시지를 기반으로 더 구체적인 조치를 취할 수도 있습니다. 도움이 필요하시면 언제든지 말씀해 주세요!</t>
  </si>
  <si>
    <t>b9eaf18d-1984-4f60-8d4a-cfa87fc92f3a</t>
  </si>
  <si>
    <t>eb25fc39-8792-4452-b1aa-b2adb87b35d7</t>
  </si>
  <si>
    <t>371_2503_정보화정책과_업무매뉴얼_정보화정책과_온톡_온메일_온나라_지식_사용자_매뉴얼_v21.pdf</t>
  </si>
  <si>
    <t>364d6066-bef7-4ed5-9cd1-787fd3ad7050</t>
  </si>
  <si>
    <t>299_2502_인사과_업무매뉴얼_인사과_당직원근무자료.pdf</t>
  </si>
  <si>
    <t>회의장 예약 방법은?</t>
  </si>
  <si>
    <t>9558c1bacb3a4158a3725626403daaa8</t>
  </si>
  <si>
    <t>PC 개인정보 삭제 방법은?</t>
  </si>
  <si>
    <t>ㆍ357_2412_정보화정책과_업무매뉴얼_정보화정책과_PC개인정보파일_정비방법간단매뉴얼_0310.pdf</t>
  </si>
  <si>
    <t>c3ad5282bbc7461ba90a272983ea31b6</t>
  </si>
  <si>
    <t>차량 배차 신청 절차는?</t>
  </si>
  <si>
    <t>d5a409f4c3e540da94e74725346e7140</t>
  </si>
  <si>
    <t>시 공무원 장례비 지원 및 사망조위금 신청방법은?</t>
  </si>
  <si>
    <t>278_2501_인사과_기타_인사과_2025년_공무원_장례비_지원_추진계획.pdf</t>
  </si>
  <si>
    <t>2</t>
  </si>
  <si>
    <t>0e81c299d50548299f4f4b176efd1609</t>
  </si>
  <si>
    <t>회의실 예약은 어떻게 하나요?</t>
  </si>
  <si>
    <t>13809448d1364aadadc94b8a8d70a3a9</t>
  </si>
  <si>
    <t>도모헌의 회의실을 예약하려면 다음과 같은 절차를 따르시면 됩니다:
1. **'행정포털' 접속**: 먼저, '행정포털' 웹사이트에 로그인하세요.
2. **회의장 메뉴 선택**: 우측에 위치한 분홍색 배너인 '회의장'을 클릭합니다.
3. **회의실 예약 페이지 이동**: '회의실 예약' 섹션에서 '도모헌 본관(별도 신청)'을 선택합니다.
4. **예약 가능한 일정 확인**: 사용하고자 하는 날짜와 시간을 선택하여 해당 시간대에 이미 다른 예약이 있는지 확인합니다.
5. **행사 내용 입력 및 신청서 제출**:
   - 행사의 목적, 일시, 장소 등을 상세하게 입력합니다.
   - 필요한 경우, 총무과로 사용신청서를 첨부한 공문을 발송해야 할 수도 있습니다.
6. **승인 대기 및 확인**: 총무과의 사용심사를 거쳐 승인이 완료되면 예약을 확정할 수 있습니다.
7. **행사 진행 및 사후 조치**: 행사가 끝난 후에는 공간을 원래 상태로 정리하고, 퇴실 확인을 위해 사무실에 연락합니다.
특히, **계단식 강연장(다할)**의 경우에는 총무과와의 사전 협의가 필요할 수 있으니, 미리 연락하여 자세한 안내를 받으시는 것이 좋습니다.
추가적인 도움이 필요하시거나 궁금한 점이 있으시면 언제든지 말씀해 주세요!</t>
  </si>
  <si>
    <t>7b1079c5-1207-4b64-aac5-5d76ac1b7d7f</t>
  </si>
  <si>
    <t>407_2505_총무과_주요질문사항_도모헌_이용범위_및_신청_절차.pdf</t>
  </si>
  <si>
    <t>임기제공무원은 어떻게 임용되나요?</t>
  </si>
  <si>
    <t>291_2501_인사과_대통령령_인사혁신처_공무원임용령대통령령제35191호.pdf</t>
  </si>
  <si>
    <t>13</t>
  </si>
  <si>
    <t>793f639e2bad4f3987784b2d1afa1968</t>
  </si>
  <si>
    <t>임기제공무원은 전문지식이나 기술이 요구되거나 임용관리에 특수성이 요구되는 업무를 담당하기 위해 일정 기간을 정하여 근무하는 공무원을 말합니다. 이러한 임기제공무원의 임용은 다음과 같이 진행됩니다.
**1. 임용권자의 권한**
- **임용권자**: 지방자치단체의 장과 지방의회의 의장 등이 임용권자로 지정되어 있습니다.
- **임용 조건**: 전문지식이나 기술의 필요성, 임용관리의 특수성 등을 고려하여 임용합니다.
**2. 임용 절차**
- **임용조건 설정**: 임용권자는 임용조건, 임용절차, 근무상한연령 등을 대통령령으로 정합니다.
- **임용 방식**: 임용권자는 해당 조건을 충족하는 인력을 임기제공무원으로 임용할 수 있습니다.
**3. 관련 법령**
- **'지방공무원법' 제25조의5**: 임기제공무원의 임용에 관한 규정을 담고 있습니다.
- **대통령령**: 구체적인 임용조건과 절차 등을 상세히 규정하고 있습니다.
**4. 임용의 특징**
- **근무기간**: 임기제공무원의 근무기간은 일정 기간으로 제한되며, 이는 해당 업무의 특성에 따라 결정됩니다.
- **성과 평가**: 근무기간 동안의 성과를 평가하여 추가 임용 여부나 근무기간 연장을 결정할 수 있습니다.
**따라서**, 임기제공무원은 전문성이 요구되는 특정 업무를 수행하기 위해 임용권자가 임용조건을 설정하고 그에 맞는 인력을 임용하는 방식으로 진행됩니다. 이는 지방자치단체의 효율적인 인력 운용과 전문성 확보를 위한 제도입니다. 더 궁금한 점이 있으시면 언제든지 물어보세요!</t>
  </si>
  <si>
    <t>6e7e6215-6435-4f2b-bc67-4333b774b312</t>
  </si>
  <si>
    <t>264_2401_인사과_법령_행정안전부_지방공무원_인사관계_법령집.pdf</t>
  </si>
  <si>
    <t>a3b671a0-34a0-41d4-b7c2-01c8587682a1</t>
  </si>
  <si>
    <t>1226_2025_공무원보수_등의_업무지침인사혁신처_예규_제192호.pdf</t>
  </si>
  <si>
    <t>4f97ed89-6cb2-44e9-b8b9-6840ad42e853</t>
  </si>
  <si>
    <t>자치법규정보시스템</t>
  </si>
  <si>
    <t>114_페이지12_문서4_162243_부산광역시_공무원_인사_규칙.pdf</t>
  </si>
  <si>
    <t>27dd74de-265c-4866-9804-caaef5e9a276</t>
  </si>
  <si>
    <t>d8b7a077-7a66-43a0-86dd-8f0335b0e829</t>
  </si>
  <si>
    <t>272_2412_인사과_법률_행정안전부_지방공무원법.pdf</t>
  </si>
  <si>
    <t>데이터산업 혁신생태계 조성 전략의 내용은?</t>
  </si>
  <si>
    <t>170_2503_빅데이터과_업무매뉴얼_빅데이터과_빅데이터과바인더.hwp</t>
  </si>
  <si>
    <t>24</t>
  </si>
  <si>
    <t>282f84c40e9c4aada7828161ac774956</t>
  </si>
  <si>
    <t>데이터산업 혁신생태계 조성 전략은 데이터로 도약하는 디지털 경제도시 부산을 비전으로 설정하고 있습니다. 주요 목표로는 "데이터산업 선순환 자생적 생태계 조성"과 "데이터 기반 새로운 가치 창출"을 제시하며, 이를 달성하기 위한 전략과 과제를 다음과 같이 수립하였습니다.
**비전**: 데이터로 도약하는 디지털 경제도시 부산  
**목표(‘24년)**:
1. **데이터 확보**: 7,500종(현재 2,500종)
2. **데이터 전문기업 육성**: 100개사(현재 21개사)
3. **데이터 고급인재 양성**: 100명
4. **기업의 빅데이터 도입**: 25%(현재 4.9%)
**전략 및 과제**:
- **데이터산업 혁신기반 조성**
  - **데이터경제 선도 전문기업 육성**
    - 빅데이터 혁신센터 설립
    - 데이터통합플랫폼 구축
  - **실무융합형 전문인재 양성**
    - 부산형 글로벌 해커톤 유치
    - 데이터 챌린지 지원
  - **데이터 창업 생태계 조성**
    - 데이터 스타트업 성장 지원
    - R&amp;D 지원사업 큐레이션
  - **데이터 기반 특화산업 육성**
    - 디지털 헬스케어 서비스
    - 스마트 산업단지 구축
이러한 전략을 바탕으로 데이터산업의 혁신생태계를 조성하고자 하며, 이는 부산 지역의 데이터산업 발전을 촉진하고 경쟁력을 강화하는 것을 목표로 합니다. 또한, 데이터 기반의 새로운 가치를 창출하여 지역 경제 발전에 기여할 것으로 기대됩니다.</t>
  </si>
  <si>
    <t>5400edd2-420d-42cd-8f5b-e4e340e57064</t>
  </si>
  <si>
    <t>170_2503_빅데이터과_업무매뉴얼_빅데이터과_빅데이터과바인더.pdf</t>
  </si>
  <si>
    <t>08dd0469-7355-4af4-82b1-7ef14be58263</t>
  </si>
  <si>
    <t>0f31473d-2184-4efb-b47a-2804328ed9f1</t>
  </si>
  <si>
    <t>8b93c297-0ad6-47ef-946a-7eebb16788b5</t>
  </si>
  <si>
    <t>부산광역시 데이터 활용 및 데이터산업 육성에 관한 조례에 따른 기본계획의 수립 내용은?</t>
  </si>
  <si>
    <t>158_2408_빅데이터과_조례_빅데이터과_부산광역시_데이터_활용_및_데이터산업_육성에_관한_조례.pdf</t>
  </si>
  <si>
    <t>7dff318e12734a4fa432119d0a673e15</t>
  </si>
  <si>
    <t>부산광역시 데이터 활용 및 데이터산업 육성에 관한 조례에 따르면, 시장은 시민의 데이터 활용 및 데이터산업 육성을 위해 **부산광역시 데이터 활용 및 데이터산업 육성 기본계획**을 3년마다 수립해야 합니다. 이 기본계획에는 다음과 같은 내용이 포함됩니다: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또한, 시장은 기본계획에 따라 매년 **시행계획**을 수립·시행하여야 합니다. 이를 통해 데이터의 효과적인 활용과 데이터산업의 발전을 도모하고자 합니다. 이러한 계획들은 데이터의 가치 극대화와 시민들의 삶의 질 향상을 목표로 합니다.</t>
  </si>
  <si>
    <t>a06ad49e-6e9b-4cd5-bf7b-66a042873709</t>
  </si>
  <si>
    <t>223_페이지23_문서3_162439_부산광역시_정보화_기본_조례.pdf</t>
  </si>
  <si>
    <t>6cfbef53-4c24-46a7-96ec-0bdf9c77692a</t>
  </si>
  <si>
    <t>db61a3ea-924d-4ec7-868a-bb4f11dd6c01</t>
  </si>
  <si>
    <t>d3839f92-95c6-460f-a2c5-a4d61371d69a</t>
  </si>
  <si>
    <t>08ba49fa-2ac2-47a0-b331-9f012aefd244</t>
  </si>
  <si>
    <t>308_페이지31_문서8_162621_부산광역시_데이터_활용_및_데이터산업_육성에_관한_조례.pdf</t>
  </si>
  <si>
    <t>공공데이터 포털에 공공데이터를 등록하는 절차가 무엇인가요?</t>
  </si>
  <si>
    <t>141_2306_빅데이터과_업무매뉴얼_공공데이터_제공관리_실무매뉴얼.pdf</t>
  </si>
  <si>
    <t>30</t>
  </si>
  <si>
    <t>f4982a10635f42579f332e949b1d0dd9</t>
  </si>
  <si>
    <t>공공데이터 포털에 공공데이터를 등록하는 절차는 다음과 같습니다:
1. **데이터 식별 및 선정**: 먼저 제공할 공공데이터를 식별하고 선정합니다. 이는 기관 내에서 보유한 데이터 중에서 공공데이터법에 따라 공개 가능한 데이터를 선택하는 과정입니다.
2. **데이터 품질 확인**: 선정된 데이터의 품질을 확인하고 필요한 경우 보완 작업을 진행합니다. 여기에는 데이터의 정확성, 완전성, 일관성 등을 확인하는 과정이 포함됩니다.
3. **데이터 구조화 및 형식 변환**: 제공되는 데이터가 기계 판독이 가능하도록 CSV, JSON, XML 등의 오픈 포맷으로 구조화하고 형식을 변환합니다. 이는 데이터의 재사용성과 호환성을 높이기 위한 중요한 단계입니다.
4. **메타데이터 작성**: 데이터에 대한 상세한 설명을 담은 메타데이터를 작성합니다. 메타데이터에는 데이터의 출처, 생성일자, 갱신주기, 사용 권한, 저작권 정보 등이 포함됩니다.
5. **데이터 보안 검토**: 데이터 내에 민감한 정보가 포함되어 있는지 검토하고, 필요하다면 비식별화 처리를 수행합니다. 개인 정보 보호를 위해 필수적인 단계입니다.
6. **내부 승인 획득**: 데이터의 공개에 대해 기관 내부의 승인을 받습니다. 이는 데이터 공개로 인한 법적, 윤리적 문제가 없음을 확인하는 과정입니다.
7. **공공데이터 포털에 로그인**: 공공데이터 포털(data.go.kr)에 접속하여 로그인을 합니다. 계정이 없을 경우 회원가입을 해야 합니다.
8. **데이터 업로드**: 포털의 데이터 등록 시스템을 이용하여 앞서 준비한 데이터를 업로드합니다. 이 과정에서 메타데이터 입력, 데이터 파일 첨부 등의 작업이 필요합니다.
9. **검토 및 승인 대기**: 업로드된 데이터는 공공데이터 포털의 운영자에 의해 검토됩니다. 이 과정은 데이터의 적합성, 품질, 메타데이터의 정확성 등을 확인하는 단계입니다.
10. **데이터 공개**: 검토가 완료되고 승인이 나면, 해당 데이터는 공공데이터 포털을 통해 일반에 공개됩니다. 이제 누구나 포털을 통해 데이터를 검색하고 다운로드하여 활용할 수 있습니다.
이러한 절차를 통해 공공기관은 보유한 데이터를 효율적으로 관리하고, 국민들은 필요한 공공데이터를 손쉽게 접근하여 활용할 수 있게 됩니다. 만약 더 구체적인 도움이 필요하시거나 특정 단계에서의 어려움이 있으시면 언제든지 말씀해 주세요!</t>
  </si>
  <si>
    <t>dc242179-c4d6-465d-8180-28344250af8a</t>
  </si>
  <si>
    <t>0d54ef30-4ef7-4b40-b340-1ecb82c32e22</t>
  </si>
  <si>
    <t>7445c0b7-a52f-49df-b31c-82fa8e0d8c10</t>
  </si>
  <si>
    <t>af0d6c4f-5a3b-47e6-b4ab-3b51acaf95ea</t>
  </si>
  <si>
    <t>eaca4db0-d0c1-47c8-84cc-c80034d05385</t>
  </si>
  <si>
    <t>공공데이터 제공 표준이 무엇인가요?</t>
  </si>
  <si>
    <t>72</t>
  </si>
  <si>
    <t>bd465dd33b4c434c84deb105a44aae19</t>
  </si>
  <si>
    <t>공공데이터 제공 표준은 공공기관이 생성하거나 취득하여 관리하고 있는 공공데이터를 국민이 자유롭게 이용할 수 있도록 하기 위해 데이터의 구조, 형식, 제공 방법 등을 통일화한 기준을 말합니다. 이러한 표준을 통해 데이터의 품질을 향상시키고, 데이터의 재사용성과 상호운용성을 높여 다양한 분야에서 효과적으로 활용할 수 있게 됩니다.
예를 들어, 데이터의 필드 이름이나 데이터 타입, 코드값 등을 일정한 규칙에 따라 정의함으로써 서로 다른 시스템이나 애플리케이션 간에도 원활한 데이터 교환이 가능합니다. 또한, 데이터의 제공 방법에 있어서도 표준화된 포맷(예: CSV, JSON, XML 등)을 사용하여 이용자가 쉽게 접근하고 활용할 수 있도록 합니다.
대한민국에서는 행정안전부에서 주관하여 공공데이터 제공 표준을 제정하고 있으며, 이를 통해 공공기관들이 일관된 방식으로 데이터를 제공하고 관리하도록 하고 있습니다. 이는 국민의 알 권리를 보장하고, 데이터 기반의 혁신과 경제 활성화를 지원하는 중요한 역할을 합니다.</t>
  </si>
  <si>
    <t>380e0c3b-6ab6-4d7f-83c3-0cd7a9a423dc</t>
  </si>
  <si>
    <t>9df3b333-6618-4d0d-9d4c-acbc98166cb4</t>
  </si>
  <si>
    <t>e2a17656-45bd-4d98-9bb2-54c2468a961b</t>
  </si>
  <si>
    <t>7d16e3c7-1f9f-4ce0-8fb3-f30d13d203e2</t>
  </si>
  <si>
    <t>63f0ce95-70f6-4df8-bc9b-ee14c1dfe78a</t>
  </si>
  <si>
    <t>DRM, 네트워크접근제어 아이디, 패스워드 찾는 매뉴얼이 있나요?</t>
  </si>
  <si>
    <t>4ee297c7010c40979120132f6e538e50</t>
  </si>
  <si>
    <t>온나라 2.0 이후 많이 발생하는 오류 사례집이 있나요?</t>
  </si>
  <si>
    <t>353_2412_정보화정책과_업무매뉴얼_KLID_온나라_20_달라지는_점PDF.pdf</t>
  </si>
  <si>
    <t>25, 26</t>
  </si>
  <si>
    <t>ef3205fb8f4b41c29c7adf2859b25ee5</t>
  </si>
  <si>
    <t>공용차량 신청방법</t>
  </si>
  <si>
    <t>564132194de94ef59b30fcadb12018f9</t>
  </si>
  <si>
    <t>공무원증 재발급 방법</t>
  </si>
  <si>
    <t>1219_2510_인사과_매뉴얼_인사과_자주찾는_질문인사과_전체.pdf</t>
  </si>
  <si>
    <t>7</t>
  </si>
  <si>
    <t>0e2d9a689e6b459abd10e8ca63b81515</t>
  </si>
  <si>
    <t>공무원증이 분실되거나 훼손되었거나 기재사항이 변경되었거나 직위나 직급이 변동된 경우에는 공무원증을 재발급 받아야 합니다. 이를 위해서는 먼저 해당 사유가 발생한 날로부터 5일 이내에 별지 제2호서식의 공무원증 재발급신청서를 작성하여 소속부서의 장을 거쳐 시장에게 제출해야 합니다. 이때 제출일 전 1년 이내에 촬영한 전자파일 형태의 사진을 함께 제출해야 합니다. 이후 시장은 공무원증을 재발급해 주며, 발급 후에는 새로운 공무원증을 수령하여 사용하시면 됩니다. 또한, 공무원증의 재발급 비용은 발급 후 1년 이내의 사진 변경이나 본인 부주의로 인한 분실의 경우에는 해당 공무원이 부담할 수 있으니 유의하시기 바랍니다. 자세한 절차나 필요 서류는 소속기관의 인사 담당자나 인사과에 문의하시면 정확한 안내를 받을 수 있습니다.</t>
  </si>
  <si>
    <t>c850e08a-7707-4cb6-90c1-1a948f53b256</t>
  </si>
  <si>
    <t>1156_페이지116_문서6_164218_부산광역시_공무원증_규정.pdf</t>
  </si>
  <si>
    <t>db139756-2513-4560-b9da-fdcb0531057a</t>
  </si>
  <si>
    <t>8aecbe9e-05a0-4bee-bd71-16eaafa7cb9e</t>
  </si>
  <si>
    <t>1e2e479d-7a22-4a66-a831-eecd78da5f29</t>
  </si>
  <si>
    <t>1231_공무원증_및_모바일공무원증_발급반납_협조_요청.pdf</t>
  </si>
  <si>
    <t>네트워크 차단 시 조치방법</t>
  </si>
  <si>
    <t>f3cb57567302465e9315837d80229467</t>
  </si>
  <si>
    <t>도모헌공간 신청방법</t>
  </si>
  <si>
    <t xml:space="preserve">407_2505_총무과_주요질문사항_도모헌_이용범위_및_신청_절차.pdf </t>
  </si>
  <si>
    <t>b96d89762dd549fa9213bee3eb8662c3</t>
  </si>
  <si>
    <t>조례 제정 및 개정 절차는?</t>
  </si>
  <si>
    <t>92_2501_법무담당관_업무매뉴얼_법무담당관_자치법규_입법절차_등.pdf</t>
  </si>
  <si>
    <t>99d75e69c72f4eb8ae496f82b0757bc2</t>
  </si>
  <si>
    <t>조례의 제정 및 개정은 다음과 같은 절차를 따릅니다.
1. **입법 계획 수립**: 지방자치단체의 장이나 의원 등이 새로운 조례의 필요성이나 기존 조례의 개정을 위한 계획을 수립합니다.
2. **입법 예고**: 제정 또는 개정하려는 조례안의 초안을 공고하여 주민들에게 알립니다. 이는 주민들의 의견을 수렴하기 위한 단계로, 일반적으로 일정 기간 동안 이루어집니다.
3. **의견 수렴 및 검토**: 입법 예고 기간 동안 접수된 주민들의 의견을 검토하고, 필요에 따라 조례안을 수정합니다.
4. **조례안 심의**: 수정된 조례안은 지방의회에서 상임위원회의 심의를 거칩니다. 여기서 조례안의 내용, 법적 타당성, 효과 등을 면밀히 검토합니다.
5. **본회의 의결**: 상임위원회를 통과한 조례안은 지방의회 본회의에 상정되어 최종적인 의결을 받습니다.
6. **공포 및 시행**: 의회를 통과한 조례안은 지방자치단체의 장이 공포하며, 공포일부터 효력이 발생합니다.
이러한 절차를 통해 조례는 제정되고 개정되며, 이는 민주주의 원리에 따라 주민들의 참여와 의회의 심의를 거쳐 이루어집니다. 더 궁금한 점이 있으시면 언제든지 물어보세요!</t>
  </si>
  <si>
    <t>004cf05f-0cb0-4dad-b44f-ea4d4fffae06</t>
  </si>
  <si>
    <t>91_2208_법무담당관_업무매뉴얼_법제처_자치법규_입안_길라잡이.pdf</t>
  </si>
  <si>
    <t>36cac9da-d205-4196-b80c-c5d7e9f7eefc</t>
  </si>
  <si>
    <t>382_2412_조직담당관_업무매뉴얼_행정안전부_자치단체_규제업무_매뉴얼.pdf</t>
  </si>
  <si>
    <t>752a8d18-7343-49c5-a458-216bf7bd3e4f</t>
  </si>
  <si>
    <t>9c66268f-4a51-488f-aa7a-87e6c5edb83f</t>
  </si>
  <si>
    <t>81d4b02f-b42c-4b85-8328-8a660ca88aac</t>
  </si>
  <si>
    <t>구군에서 전입오고 처음으로 정보공개청구포털에 로그인하려니 안되는데, 어떻게 해야 하나요?</t>
  </si>
  <si>
    <t>424_2108_통합민원과_업무매뉴얼_행정안전부_정보공개운영안내서.pdf</t>
  </si>
  <si>
    <t>219, 220</t>
  </si>
  <si>
    <t>124617ee88cc4b5492c9b417029068e3</t>
  </si>
  <si>
    <t>인건비 편성할 때 정원, 현원 중 어떤 기준으로 산출해야 하는지 알려주세요</t>
  </si>
  <si>
    <t>212_2407_예산담당관_업무매뉴얼_행정안전부_2025년도_지방자치단체_예산편성_운영기준_및_기금운용계획_수립기준.pdf</t>
  </si>
  <si>
    <t>99</t>
  </si>
  <si>
    <t>92428f89d90c4450a9ff6b3ca7b847e2</t>
  </si>
  <si>
    <t>인건비를 편성할 때는 일반적으로 **현원**을 기준으로 산출합니다. 이는 실제로 현재 근무하고 있는 인력을 기반으로 예산을 편성함으로써 효율적인 인력 운영을 도모하기 위함입니다.
하지만 몇 가지 중요한 조건이 있습니다:
1. **결원율 제한**: 예산 편성 시 정원에서 현원이 차지하는 비율인 결원율은 최대 **5%**를 초과할 수 없습니다. 즉, 정원이 100명이라면 현원은 최소 95명이어야 합니다.
2. **예외 사항**:
   - 이미 채용 계획이 확정되었거나 채용 절차가 진행 중인 경우, 해당 인력은 현원에 포함하여 계산할 수 있습니다.
   - 퇴직, 병가, 장기 교육, 출산 휴직 등으로 인한 6개월 이상의 장기간 결원 인원의 업무 공백을 메우기 위해 투입되는 대체 인력의 인건비는 별도의 예비비로 편성됩니다.
3. **정원 기준 사용 시**: 만약 현원이 정원보다 많다면, 인건비는 정원을 기준으로 편성하며, 초과된 인원은 정원 조정을 통해 감축해야 합니다.
이러한 지침은 인력의 실제 현황을 반영하면서도 조직의 안정성을 유지하기 위한 것입니다. 따라서 인건비 편성 시에는 위의 조건을 고려하여 현원을 기준으로 하되, 필요한 경우 예외 사항을 적용하면 됩니다. 더 자세한 내용은 관련 예산 편성 지침을 참고하시는 것이 좋습니다. 도움이 필요하시면 언제든지 말씀해 주세요!</t>
  </si>
  <si>
    <t>544104eb-8d2d-4b63-9894-6c4f2c465894</t>
  </si>
  <si>
    <t>41_2306_공공하수인프라과_업무매뉴얼_행정안전부_2024년도_지방공기업_예산편성기준.pdf</t>
  </si>
  <si>
    <t>d04308a5-1ade-41d5-b301-9f16df568c86</t>
  </si>
  <si>
    <t>23_2501_공공기관담당관_업무매뉴얼_공공기관담당관_2025년도_부산광역시_지방출자출연기관_예산편성보완지침.pdf</t>
  </si>
  <si>
    <t>03cd710d-cbc9-4d6d-a06c-3d489b1d21fe</t>
  </si>
  <si>
    <t>3628ff0f-040c-4450-80b2-ffff4a11656f</t>
  </si>
  <si>
    <t>22_2501_공공기관담당관_업무매뉴얼_공공기관담당관_2025년도_부산광역시_지방공기업_예산편성보완지침.pdf</t>
  </si>
  <si>
    <t>9800a0f7-96df-44b1-bd0d-8514b9e930fa</t>
  </si>
  <si>
    <t>51_2406_공공하수인프라과_업무매뉴얼_행정안전부_2025년도_지방공기업_예산편성기준.pdf</t>
  </si>
  <si>
    <t>(공사,용역,물품) 계약 시 필요한 서류가 뭐가 있는지 알려주세요</t>
  </si>
  <si>
    <t xml:space="preserve">478_2505_회계재산담당관_업무매뉴얼_회계재산담당관_계약업무_참고자료회계재산담당관외부용.pdf </t>
  </si>
  <si>
    <t>10</t>
  </si>
  <si>
    <t>1617accc49544182942be8f625bf9780</t>
  </si>
  <si>
    <t>네, 알겠습니다! 공사, 용역, 물품 계약 시 필요한 서류들을 안내해 드릴게요.
---
### **공사 계약 시 필요한 서류**
1. **품의서·계획서**
   - 예산 편성과 관련된 내부 결재를 위한 문서입니다.
2. **계약서**
   - 계약당사자 간에 서명·날인하여 법적 효력을 갖는 문서입니다.
3. **입찰유의서**
   - 입찰 절차와 유의사항을 상세히 설명한 문서입니다.
4. **계약일반조건**
   - 계약의 일반적인 내용과 조건을 명시한 문서입니다.
5. **계약특수조건**
   - 특정 계약에 적용되는 특별한 조건을 담은 문서입니다.
6. **설계서**
   - 설계설명서, 설계도면, 현장설명서로 구성되어 있으며, 공사의 구체적인 사항을 담고 있습니다.
7. **물량내역서**
   - 공사에 사용되는 자재의 양과 가격을 상세히 기록한 문서입니다.
8. **착공·준공신고서**
   - 공사의 시작과 완료를 공식적으로 알리는 문서입니다.
9. **공정예정표**
   - 공사가 진행될 일정과 계획을 나타낸 문서입니다.
10. **산출내역서**
    - 공사 비용의 세부 내역을 계산한 문서입니다.
11. **감독관, 검사·검수공무원이 지정하는 서류**
    - 감독관이 요구하는 추가적인 문서나 자료입니다.
12. **입찰·계약·하자·선금 보증서**
    - 계약 이행에 대한 보증을 제공하는 문서입니다.
13. **정부수입인지**
    - 계약에 따른 세금을 납부했다는 증명서입니다.
14. **지역개발공채 매입필증 등**
    - 지역 개발에 기여하기 위한 공채를 매입했음을 증명하는 문서입니다.
15. **하도급계약서 사본**
    - 하도급 업체와의 계약 내용을 담은 문서입니다.
16. **하도급대금 직불합의서**
    - 하도급 대금을 직접 지급하겠다는 합의서입니다.
17. **공동계약이행계획서**
    - 여러 업체가 공동으로 계약을 이행할 때의 계획을 담은 문서입니다.
18. **근로자 안전관련 계획서**
    - 작업 현장의 안전을 보장하기 위한 계획서입니다.
19. **그 밖에 계약이행에 필요한 서류**
    - 계약의 특성에 따라 추가로 필요한 모든 문서들입니다.
---
### **용역 계약 시 필요한 서류**
1. **품의서·계획서**
   - 내부 결재를 위한 문서입니다.
2. **계약서**
   - 계약당사자 간의 법적 약속을 담은 문서입니다.
3. **입찰유의서**
   - 입찰 과정에서의 주의사항을 담은 문서입니다.
4. **계약일반조건**
   - 일반적인 계약 조건을 명시한 문서입니다.
5. **계약특수조건**
   - 특정 용역에 적용되는 특별한 조건을 담은 문서입니다.
6. **과업내용서 및 산출내역서**
   - 수행해야 할 업무 내용과 비용을 상세히 기록한 문서입니다.
7. **착수·완료신고서**
   - 용역의 시작과 종료를 알리는 문서입니다.
8. **과업수행일정표**
   - 용역이 진행될 일정을 정리한 문서입니다.
9. **감독관, 검사·검수공무원이 지정하는 서류**
    - 감독관이 필요로 하는 추가적인 문서나 자료입니다.
10. **입찰·계약·하자·선금 보증서**
    - 계약 이행에 대한 보증을 제공하는 문서입니다.
11. **정부수입인지**
    - 세금 납부를 증명하는 문서입니다.
12. **지역개발공채 매입필증 등**
    - 지역 개발 참여를 증명하는 문서입니다.
13. **하도급계약서 사본**
    - 하도급 업체와의 계약 내용을 담은 문서입니다.
14. **하도급대금 직불합의서**
    - 하도급 대금의 직접 지급을 합의한 문서입니다.
15. **공동계약이행계획서**
    - 여러 업체가 함께 용역을 수행할 때의 계획을 담은 문서입니다.
16. **근로자 안전관련 계획서**
    - 작업 현장에서의 안전을 보장하기 위한 계획서입니다.
17. **산업안전보건의무 준수·이행 서약서**
    - 안전 보건 규정을 준수하겠다는 서약서입니다.
18. **수의계약 체결제한여부 확인서**
    - 수의계약을 체결해도 되는지를 확인하는 문서입니다.
19. **수의계약 각서**
    - 수의계약에 동의한다는 내용의 문서입니다.
20. **그 밖에 계약이행에 필요한 서류**
    - 계약의 특성에 따라 추가로 필요한 모든 문서들입니다.
---
### **물품 계약 시 필요한 서류**
1. **품의서·계획서**
   - 내부 결재를 위한 문서입니다.
2. **계약서**
   - 계약당사자 간의 법적 약속을 담은 문서입니다.
3. **입찰유의서**
   - 입찰 과정에서의 주의사항을 담은 문서입니다.
4. **계약일반조건**
   - 일반적인 계약 조건을 명시한 문서입니다.
5. **계약특수조건**
   - 특정 물품 계약에 적용되는 특별한 조건을 담은 문서입니다.
6. **규격서**
   - 물품의 기술적 사양을 상세히 기록한 문서입니다.
7. **산출내역서**
    - 물품의 가격과 수량을 상세히 기록한 문서입니다.
8. **감독관, 검사·검수공무원이 지정하는 서류**
    - 감독관이 요구하는 추가적인 문서나 자료입니다.
9. **입찰·계약·하자·선금 보증서**
    - 계약 이행에 대한 보증을 제공하는 문서입니다.
10. **정부수입인지**
    - 세금 납부를 증명하는 문서입니다.
11. **지역개발공채 매입필증 등**
    - 지역 개발 참여를 증명하는 문서입니다.
12. **하도급계약서 사본**
    - 하도급 업체와의 계약 내용을 담은 문서입니다.
13. **하도급대금 직불합의서**
    - 하도급 대금의 직접 지급을 합의한 문서입니다.
14. **공동계약이행계획서**
    - 여러 업체가 함께 물품을 제공할 때의 계획을 담은 문서입니다.
15. **근로자 안전관련 계획서**
    - 작업 현장에서의 안전을 보장하기 위한 계획서입니다.
16. **산업안전보건의무 준수·이행 서약서**
    - 안전 보건 규정을 준수하겠다는 서약서입니다.
17. **수의계약 체결제한여부 확인서**
    - 수의계약을 체결해도 되는지를 확인하는 문서입니다.
18. **수의계약 각서**
    - 수의계약에 동의한다는 내용의 문서입니다.
19. **그 밖에 계약이</t>
  </si>
  <si>
    <t>43945003-3348-4234-9ba9-1c465c8dac4b</t>
  </si>
  <si>
    <t>473_2411_회계재산담당관_업무매뉴얼_한국지방재정공제회_2024년_개정판_용역계약_길라잡이한국지방재정공제회.pdf</t>
  </si>
  <si>
    <t>8e767a5b-5a88-4899-a92c-8ef6fb60fddd</t>
  </si>
  <si>
    <t>478_2505_회계재산담당관_업무매뉴얼_회계재산담당관_계약업무_참고자료회계재산담당관외부용.pdf</t>
  </si>
  <si>
    <t>c46ccd27-db96-4312-833c-dfa75c9807f8</t>
  </si>
  <si>
    <t>471_2411_회계재산담당관_업무매뉴얼_한국지방재정공제회_2024년_개정판_공사계약_길라잡이한국지방재정공제회.pdf</t>
  </si>
  <si>
    <t>78bb29a7-f872-43b2-aa16-419e978fcd80</t>
  </si>
  <si>
    <t>472_2411_회계재산담당관_업무매뉴얼_한국지방재정공제회_2024년_개정판_물품계약_길라잡이한국지방재정공제회.pdf</t>
  </si>
  <si>
    <t>ad8639d4-1764-40d8-9e88-a38920736201</t>
  </si>
  <si>
    <t>468_2404_회계재산담당관_법령_행정안전부_지방자치단체_입찰_및_계약집행기준_00.pdf</t>
  </si>
  <si>
    <t>온나라 접수 문서를 부서원들도 열람할 수 없도록 하는 방법을 알려주세요</t>
  </si>
  <si>
    <t>343_2405_정보화정책과_업무매뉴얼_행정안전부_온나라2.0_사용자교육자료(배포용)</t>
  </si>
  <si>
    <t>33</t>
  </si>
  <si>
    <t>ae0deaa2b4ff4b8a8cb378cba360677b</t>
  </si>
  <si>
    <t>(공사,용역,물품) 계약 선금 신청 및 지급 절차를 알려주세요</t>
  </si>
  <si>
    <t>268, 269</t>
  </si>
  <si>
    <t>0c9a802200aa4843b38587ffaf7ed23e</t>
  </si>
  <si>
    <t>네, 알겠습니다! (공사, 용역, 물품) 계약에서의 선금 신청 및 지급 절차는 다음과 같습니다.
**1. 선금의 개념**
- **선금이란?** 계약 상대방이 계약 이행 전에 미리 받는 금액으로, 주로 계약의 노임이나 자재 구입비, 보험료 등에 우선적으로 사용됩니다.
- **선금 지급의 중요성:** 선금 제도는 계약 이행을 촉진하고, 특히 제조 계약에서는 노임 지급과 자재 확보에 도움이 됩니다.
**2. 선금 지급 대상**
- **계약 유형:** 공사, 물품 제조(구매는 제외), 용역 계약이어야 합니다.
- **입찰 참가 자격:** 입찰 참가 자격 제한을 받지 않고, 그 제한 기간 중이 아니어야 합니다.
- **기성금 지급 여부:** 선금을 지급하려는 회계연도에 기성금 지급 사실이 없어야 합니다. 그러나 원자재 가격 급등 등으로 선금을 지급하지 않으면 계약 이행이 곤란한 경우에는 예외로 인정됩니다.
**3. 선금 지급 범위**
- **최대 지급 비율:** 계약 금액의 70%를 초과하지 않는 범위 내에서 계약 상대방의 신청에 따라 지급 가능합니다.
- **필요 시 추가 지급:** 원활한 계약 진행을 위해 필요하다고 인정되는 경우, 계약 상대자의 재무 건전성 등을 고려하여 계약 금액을 초과하지 않는 범위 내에서 추가로 지급할 수 있습니다.
- **신용 평가 등 요구:** 계약 담당자가 70%를 초과하는 금액을 선금으로 지급하려면, 계약 상대방에게 최근 1개월 이내의 신용 평가 결과나 주거래 은행의 금융 거래 확인서, 채권 압류가 없음을 확인하는 각서 등의 재무 건전성 확인 서류를 요청할 수 있습니다.
**4. 선금 지급 조건**
- **채권 확보 조치:** 선금 지급 시 채권에 대한 확보 조치를 취해야 합니다.
- **선금의 사용과 배분:** 선금은 계약 목적을 달성하기 위한 용도로만 사용하고, 노임 지급과 자재 확보에 우선적으로 사용되어야 합니다.
- **정산과 반환 청구:** 선금의 사용 내역을 확인하고, 필요 시 반환 청구를 할 수 있도록 조건을 명시해야 합니다.
**5. 선금 사용 시 준수 사항**
- **계약 목적 달성 용도:** 수령한 선금은 해당 계약의 노임(공사 계약 및 단순 노무 용역 계약은 제외) 지급과 자재 확보 등 계약 목적 달성을 위한 용도로 사용해야 합니다.
- **공동 수급체 구성원 및 하수급자에 대한 통지:** 원도급자나 공동 수급체 대표자는 공동 수급체 구성원이나 하수급자에게 선금 수령 사실을 5일 이내에 서면으로 통지해야 합니다.
- **하수급자에 대한 선금 지급:** 공동 수급체 대표자나 원도급자에게 선금을 지급한 경우, 선금 지급일로부터 15일 이내에 공동 수급체 구성원이나 하수급자에게 현금으로 지급하고, 선금 배분 여부를 확인해야 합니다.
- **권리의무 양도 금지:** 선금을 전액 정산하기 전까지는 계약에 따라 발생한 권리의무를 제3자에게 양도할 수 없습니다. 단, 선금 보증 기관의 동의를 얻은 경우에는 예외적으로 공사 대금 청구권의 양도가 가능합니다.
**6. 선금 지급의 예외 상황**
- **자금 사정 등 불가피한 사유:** 자금 사정 등 불가피한 사유로 선금의 전부 또는 일부 지급이 곤란하다고 인정되는 경우, 계약 상대방에게 그 사유를 서면으로 통지해야 합니다.
- **선금 지급이 곤란한 경우:** 예를 들어,
  - 해당 기관의 자금 배정이 지연되는 경우(단, 자금 배정이 이루어지면 즉시 선금을 지급해야 합니다).
  - 계약 체결 후 불가피한 사유로 이행 착수가 상당 기간 지연될 것이 명백한 경우(단, 그 사유가 해소되면 즉시 선금을 지급해야 합니다).
**7. 선금 신청 및 지급 절차**
- **선금 신청:** 계약 상대방이 선금을 신청합니다.
- **선금 신청서 검토:** 계약 담당 부서에서 선금 신청서를 검토합니다.
- **지급 결정:** 선금 지급 여부를 결정합니다.
- **선금(대금) 청구:** 계약 상대방이 선금 지급을 청구합니다.
- **선금 지급:** 계약 담당 부서에서 선금을 지급합니다.
- **선금 사용 내역서 제출:** 선금을 전액 사용한 후, 증빙 서류를 첨부하여 선금 사용 내역서를 제출합니다.
**8. 참고 자료**
- **관련 법령 및 지침:** 위의 내용은 「지방계약법」 제18조와 같은 법 시행령 제67조, 「지방회계법」 제35조와 같은 법 시행령 제44조에 근거합니다.
- **실무 매뉴얼:** 구체적인 절차와 예시는 "한국지방재정공제회 2024년 개정판 공사계약 길라잡이", "2025년 지방재정 상반기 신속집행 지침" 등에서 자세히 다루고 있습니다.
**9. 추가적인 질문이나 궁금한 점이 있으시면 언제든지 말씀해 주세요.** 계약 과정에서 어려움을 겪고 계시다면, 해당 기관의 계약 담당 부서나 전문가의 도움을 받으시는 것도 좋은 방법입니다. 또한, 최신 법령이나 지침의 변화를 주기적으로 확인하시는 것을 추천드립니다. 도움이 필요하시면 언제든 도와드리겠습니다. 감사합니다.</t>
  </si>
  <si>
    <t>58ac608c-0bd8-44f0-bf56-fc92e162e88b</t>
  </si>
  <si>
    <t>60b4851d-59b4-4f75-849e-3de75b2b03c8</t>
  </si>
  <si>
    <t>79993c46-eb0c-4e57-b871-7cbc70679126</t>
  </si>
  <si>
    <t>634adbbc-da76-4ea3-b244-24c7a4866e8a</t>
  </si>
  <si>
    <t>24_2501_공공기관담당관_업무매뉴얼_행정안전부_2025년_지방재정_상반기_신속집행_지침.pdf</t>
  </si>
  <si>
    <t>052a05f1-5b2d-47eb-a346-0bfed02c65c4</t>
  </si>
  <si>
    <t>(공사,용역,물품) 계약 시 지역제한임찰 대상 금액을 알려주세요</t>
  </si>
  <si>
    <t>10, 14</t>
  </si>
  <si>
    <t>bedb4a3b77334b2687d30e85e1ea42b3</t>
  </si>
  <si>
    <t>네, 부산광역시청의 계약업무 매뉴얼에 따르면 다음과 같습니다:
- **공사**:
  - **종합공사**: 추정가격 **100억 원 미만**
  - **전문공사**: 추정가격 **10억 원 미만**
  - **기타공사**(전기, 소방, 통신 등): 추정가격 **10억 원 미만**
- **용역**:
  - **건설기술용역**: 추정가격 **3.3억 원 미만**
  - **건설기술용역 외의 용역**: 추정가격 **3.5억 원 미만**
  - **정밀안전진단용역**: 추정가격 **1.5억 원 미만**
- **물품**:
  - 추정가격 **3.5억 원 미만**
이러한 금액 기준에 따라 해당 금액 이하의 계약은 지역제한입찰로 진행됩니다. 만약 지역제한입찰을 적용할 수 없는 명백한 사유가 있을 경우에는 사전에 감사관실의 사전컨설팅 감사를 받아야 합니다.
또한, 지역제한입찰이 불가능한 경우에는 전국입찰로 진행되며, 이때는 지역의무공동도급 비율이 적용될 수 있습니다. 예를 들어, 공사의 경우 원칙적으로 지역업체의 의무참여비율이 40%이고, 지역경제 활성화를 위해 예외적으로 49%까지 가능합니다.
추가적인 질문이나 궁금한 점이 있으시면 언제든지 말씀해 주세요! 도움이 되었기를 바랍니다.</t>
  </si>
  <si>
    <t>76d70972-0572-49d7-acbc-9ec334a069a2</t>
  </si>
  <si>
    <t>4dc65730-756f-4992-b0c6-6e858b948fed</t>
  </si>
  <si>
    <t>38e7414d-0df6-44fe-bfab-490827f4fa57</t>
  </si>
  <si>
    <t>475_2501_회계재산담당관_업무매뉴얼_회계재산담당관_2025년_계약업무_통합운영_매뉴얼2511_회계재산담당관_계약지원팀.pdf</t>
  </si>
  <si>
    <t>735f7abc-81da-455b-8c73-b2d106b9af73</t>
  </si>
  <si>
    <t>f7a7db70-43bf-47f0-8c8f-ddc605e1ab60</t>
  </si>
  <si>
    <t>온나라 지식행정에 접속하면 흰창만 나오는데, 어떻게 해결해야하나요?</t>
  </si>
  <si>
    <t>5498a516b9764df9a55a5f7490ee95d5</t>
  </si>
  <si>
    <t>장기재직휴가 신청 절차는?</t>
  </si>
  <si>
    <t>1227_2407_부산광역시_인사과_업무매뉴얼_인사과_장기재직휴가_시행지침_개정전문.pdf</t>
  </si>
  <si>
    <t>3, 4</t>
  </si>
  <si>
    <t>da93e1ba46054e029dc186c659843ae4</t>
  </si>
  <si>
    <t>장기재직휴가 신청 절차는 다음과 같습니다:
1. **신청 자료 제출**: 직원복지지원시스템을 통해 신청 자료를 업로드해야 합니다. 필요한 첨부 서류로는 청구서, 예약 내역, 영수증, 본인 이용 인증 자료, 그리고 장기재직휴가 승인 내역이 있습니다.
2. **후생복지심의위원회 심의**: 제출된 신청서는 재직 기간, 지원 이력, 현재 징계 의결 요구나 형사 사건 기소 여부 등을 기준으로 분기별로 열리는 후생복지심의위원회의 심의를 거칩니다.
3. **지원 결정 및 지급**: 심의 결과에 따라 지원 여부가 결정되며, 지원이 확정되면 개인별 계좌로 입금됩니다.
**유의 사항**:
- 반드시 직원 본인이 이용해야 하며, 본인 이용 여부를 확인할 수 없는 경우 지원이 불가능합니다.
- 장기재직휴가 외에 다른 특별휴가를 사용하는 경우에도 지원되지 않습니다.
- 휴가 사용 시 지침에 어긋나는 행위를 하면 지원이 취소될 수 있습니다.
- 결제 내역을 확인할 수 없거나 외화로 현금을 지불한 경우에는 지원이 어렵습니다.
- 외화 카드로 결제한 경우에는 원화 청구 내역(금액)을 추가로 첨부해야 합니다.
- 예약 내역과 결제 금액을 확인할 수 있는 온라인 예약 사이트를 이용하는 것이 권장됩니다.
- 에어텔이나 패키지 여행 등을 이용할 경우 숙박료 산정 내역을 추가로 첨부해야 합니다.
또한, "2025년 휴양시설 이용 지원"과는 별도로 중복 지원이 가능합니다. 자세한 내용은 관련 공문을 참조하시거나 인사과에 문의하시기 바랍니다. 도움이 되셨기를 바랍니다! 더 궁금한 점이 있으시면 언제든지 물어보세요.</t>
  </si>
  <si>
    <t>c0635dda-3441-4063-8c58-d6f398790375</t>
  </si>
  <si>
    <t>284_2501_인사과_기타_인사과_2025년_직원_장기재직휴가_지원_계획.pdf</t>
  </si>
  <si>
    <t>PC 네트워크 비밀번호 분실 시 해결방법은?</t>
  </si>
  <si>
    <t>41ef526ff2c94ef0a0a58fe3f1287b73</t>
  </si>
  <si>
    <t>예산편성 관련 사전절차는 어떤게 있으며 이행여부 조회할 수 있는 방법은?</t>
  </si>
  <si>
    <t>213_2408_예산담당관_예산편성계획_예산담당관_2025년_예산편성계획.pdf</t>
  </si>
  <si>
    <t>c7cc493659234744829753bf9e89efe3</t>
  </si>
  <si>
    <t>부산광역시 재정협력담당관의 업무 매뉴얼에 따르면, 예산 편성 전에 반드시 원가 계산이 선행되어야 합니다. 이는 예산을 효율적으로 사용하기 위해 사전에 비용을 정확히 산정하기 위함입니다.
사전 절차로는 다음과 같은 단계들이 있습니다:
1. **민간위탁 관리위원회 심의**: 예산안이 민간위탁과 관련된 사항일 경우, 해당 위원회의 심의를 거쳐야 합니다. 이를 통해 예산안의 적정성 및 필요성을 검토하게 됩니다.
2. **의회 동의**: 시의회에서 예산안에 대해 동의를 받아야 합니다. 이는 지방자치단체의 재정에 영향을 미치는 중요한 결정이므로 의회의 승인이 필요합니다.
3. **예산안 의결**: 최종적으로 예산안을 확정하기 위해 의회에서 의결 절차를 거칩니다.
이러한 사전 절차들의 이행 여부는 일반적으로 내부 결재 문서나 회의록 등을 통해 확인할 수 있습니다. 또한, 부산광역시의 공식 웹사이트나 정보공개 시스템을 통해 공개된 자료를 열람할 수도 있습니다. 구체적인 자료나 문서를 확인하고자 하신다면, 부산시청의 회계 부서나 재정 담당 부서에 문의하시는 것이 가장 정확하고 빠른 방법입니다. 필요한 경우 정보공개 청구를 통해 원하는 정보를 요청하실 수도 있습니다. 도움이 더 필요하시면 언제든지 말씀해 주세요!</t>
  </si>
  <si>
    <t>3c95aa5e-0ad3-458c-850b-6127e8827f47</t>
  </si>
  <si>
    <t>326_2501_재정협력담당관_업무매뉴얼_재정협력담당관_민간위탁업무지침.pdf</t>
  </si>
  <si>
    <t>사업예산 편성 시 총사업비와 국비사업비의 금액에 따라 거쳐야 될 사전절차에는 어떤 것이 있나요?</t>
  </si>
  <si>
    <t>2408_예산담당관_예산편성계획_예산담당관_2025년 예산편성계획</t>
  </si>
  <si>
    <t>36</t>
  </si>
  <si>
    <t>ca3f8ab32cf7436690c07c67554e379c</t>
  </si>
  <si>
    <t>부산시 업무협약 체결할때, 의회 사전동의 유무, 협약서 검토 등 구체적인 절차를 알려줘~</t>
  </si>
  <si>
    <t>376_2210_조직담당관_업무매뉴얼_조직담당관_업무협약_관리_매뉴얼.pdf</t>
  </si>
  <si>
    <t>6</t>
  </si>
  <si>
    <t>ea188f38ee264f3db06192e7caf02012</t>
  </si>
  <si>
    <t>부산시의 업무협약 체결 절차와 관련된 내용은 다음과 같습니다.
**1. 업무협약 체결 전 시의회의 사전 의결**
- **사전 의결 대상**: 업무협약 체결 전에 시의회의 의결을 받아야 하는 경우는 다음과 같습니다.
  - **시의 재정적 부담이 발생하는 경우**
    - 예: 사업비 지원, 시설물 건설 비용 등 시의 재정이 투입되는 경우.
  - **시의 권리 포기를 포함하는 경우**
    - 예: 토지 사용권, 공공시설 운영권 등의 권리를 포기하는 경우.
  - **주민의 권리 제한 또는 의무 부담을 포함하는 경우**
    - 예: 특정 지역의 개발 제한, 환경 보호 의무 부과 등으로 주민에게 영향을 미치는 경우.
- **절차**:
  1. **의안 제출**: 해당 업무협약에 대한 안건을 시의회에 제출합니다.
     - **제출 기관**: 기획담당관이 공문을 통해 시의회에 제출합니다.
     - **서식**: 시의회 동의안 서식을 사용합니다.
  2. **소관 상임위원회의 심의**: 관련 상임위원회에서 안건을 심사하고 의견을 제시합니다.
  3. **본회의 의결**: 전체 의원들이 참석하는 본회의에서 최종적으로 의결합니다.
**2. 긴급한 사안의 경우 사후 의결**
- **사후 의결 조건**:
  - **긴급성 인정**: 시간적 여유 없이 즉시 처리해야 하는 긴급한 사안일 것.
  - **조건 부착**: "의회의결을 받은 때부터 효력이 발생한다"는 조건을 업무협약에 포함시킬 것.
  - **사전 설명 완료**: 소관 상임위원회에 사전에 충분한 설명을 제공했을 것.
- **절차**:
  1. **업무협약 체결**: 위의 조건을 포함하여 업무협약을 우선 체결합니다.
  2. **사후 보고**: 업무협약 체결 후 지체 없이 시의회에 보고합니다.
  3. **의결 진행**: 시의회에서 사후 의결을 진행합니다.
**3. 일반 사항의 경우 사후 보고**
- **사후 보고 대상**: 시의회의 사전 의결 대상이 아닌 일반적인 업무협약은 체결 후에 시의회에 보고하면 됩니다.
- **절차**:
  1. **업무협약 체결**: 별도의 사전 절차 없이 업무협약을 체결합니다.
  2. **사후 보고**: 업무협약 체결 후 시의회에 보고서를 제출합니다.
     - **제출 기한**: 일반적으로 업무협약 체결 후 처음 열리는 회기 종료 전까지 제출합니다.
     - **서식**: 부서별 상황에 맞게 작성한 보고서를 제출하며, 특별한 양식은 없습니다.
**4. 협약서 검토**
- **검토 내용**:
  - **법률적 타당성**: 관련 법령 및 조례와의 부합 여부를 확인합니다.
  - **재정 영향 분석**: 시의 재정적 부담이 있는지 평가합니다.
  - **권리·의무 관계 명확화**: 협약 당사자 간 권리와 의무를 명확히 합니다.
  - **분쟁 해결 방안 마련**: 분쟁 발생 시 해결 방법 등을 명시합니다.
- **검토 주체**:
  - **관련 부서 협의**: 업무 담당 부서 간에 협약 내용의 적정성을 논의합니다.
  - **전문가의 자문**: 필요 시 변호사나 외부 전문가의 자문을 구합니다.
**5. 기타 유의사항**
- **정보 공개**: 업무협약 내용과 결과는 시민들에게 투명하게 공개됩니다.
- **기록 유지**: 모든 업무협약 관련 문서와 회의록 등은 체계적으로 보관됩니다.
- **변경 및 해지**: 업무협약 내용에 변경이 있거나 해지가 필요할 경우에도 시의회의 동의를 받는 것이 원칙입니다.
**참고 자료**
- **관련 법령 및 조례**:
  - 「부산광역시 업무협약 관리에 관한 조례」
  - 「지방자치법」 제47조 (지방의회의 의결사항)
  - 「법제처 법령해석 09-0192」
위의 절차를 준수함으로써 부산시는 업무협약을 효율적이고 합법적으로 체결할 수 있습니다. 추가적인 문의 사항이 있으시면 언제든지 말씀해 주세요. 도움이 되었길 바랍니다.</t>
  </si>
  <si>
    <t>64ddd62d-14b3-4996-b8ea-53f8181c3d05</t>
  </si>
  <si>
    <t>8f6f8840-9e15-47f5-98d8-1e391b8ce355</t>
  </si>
  <si>
    <t>시차출퇴근제 신청 한 날 반가를 쓰면 퇴근을 지정해야하는지? 유연근무제 복무 유의사항은 무엇이 있을까?</t>
  </si>
  <si>
    <t>지방공무원 복무에 관한 예규 개정안(전문) (행정안전부 예규 제340호)</t>
  </si>
  <si>
    <t>22</t>
  </si>
  <si>
    <t>a1dbae3f20c442a5ba95ed8409619ae4</t>
  </si>
  <si>
    <t>탄력근무제 관련해서 자세한 매뉴얼이 있나요</t>
  </si>
  <si>
    <t>19</t>
  </si>
  <si>
    <t>ea688e6e2e8b40f080e4c723bb2ae940</t>
  </si>
  <si>
    <t>DRM, 네트워크 인증 등 신규직원이 컴퓨터 사용에 알아야할 것들에 대해 정리해주세요.</t>
  </si>
  <si>
    <t>1~3</t>
  </si>
  <si>
    <t>7c40f552f6bb4b1c92253e2095fc9ed2</t>
  </si>
  <si>
    <t>근무시간 중 개인사정으로 연가(외출)사용 후 돌아와서 시간외근무를 하면 시간외근무가 인정이 되는지 여부가 궁금해요.</t>
  </si>
  <si>
    <t>214_2501_예산담당관_업무매뉴얼_행정안전부_지방공무원보수업무_등_처리지침.pdf</t>
  </si>
  <si>
    <t>340</t>
  </si>
  <si>
    <t>4e93f6e6b71140de945c116649fb506f</t>
  </si>
  <si>
    <t>인사랑 접속이 안될 때 해결방안은?</t>
  </si>
  <si>
    <t>1707e0d4fe1f4fdf833269bad3177104</t>
  </si>
  <si>
    <t>ㅇㅇ 업무 담당 직원 내선번호 어떻게 되나요?</t>
  </si>
  <si>
    <t>행정포털 사용자 명단</t>
  </si>
  <si>
    <t>None</t>
  </si>
  <si>
    <t>21995e827d7f4d20ac2d94f225a6ae94</t>
  </si>
  <si>
    <t>청사 내 설비 관련 담당 문의는 어디에 하나요</t>
  </si>
  <si>
    <t>61a92b63f81c4abcb395213f83029e06</t>
  </si>
  <si>
    <t>시 청사 내 편의시설 정보 상세히 안내해주세요</t>
  </si>
  <si>
    <t>2505_총무과_주요질문사항_시청사 층별 안내</t>
  </si>
  <si>
    <t>1~2</t>
  </si>
  <si>
    <t>43dfde3f9c924c79aa20be6928e232ae</t>
  </si>
  <si>
    <t>시 본청 당직시 주의사항에 대해서 알려줘</t>
  </si>
  <si>
    <t>306_2504_인사과_업무매뉴얼_인사과_당직원근무자료.pdf</t>
  </si>
  <si>
    <t>4347c2e005cb4744abb1406251026a54</t>
  </si>
  <si>
    <t>시 본청 주차장 승용차 요일제에 대해서 알려줘</t>
  </si>
  <si>
    <t>59b064c33f6445fc91928a166fbaf7fd</t>
  </si>
  <si>
    <t>사무관리비로 선풍기를 구입할 수 있나요?</t>
  </si>
  <si>
    <t>101, 102</t>
  </si>
  <si>
    <t>c279d08ee3f343acb98ec0b46098d50d</t>
  </si>
  <si>
    <t>보도자료가 배포되는 과정에 대해서 알고싶어요</t>
  </si>
  <si>
    <t>e69bc960a9784531a302e8aa531ca8c4</t>
  </si>
  <si>
    <t>네, 보도자료의 배포 과정은 일반적으로 다음과 같습니다:
1. **보도자료 작성**: 기관이나 기업에서 발표하고자 하는 내용이나 중요한 정보를 정리하여 보도자료를 작성합니다.
2. **내부 검토 및 승인**: 작성한 보도자료를 내부적으로 검토하고 필요한 경우 관련 부서나 경영진의 승인을 받습니다.
3. **미디어 리스트 업데이트**: 대상 미디어를 선정하기 위해 기자 명단이나 매체 목록을 최신 상태로 유지합니다.
4. **보도자료 배포 방식 결정**:
   - **기자회견 또는 브리핑 개최**: 중요하거나 민감한 사안의 경우 직접 기자회견을 열어 설명합니다.
   - **이메일 배포**: 일반적인 보도자료는 이메일 뉴스레터나 이메일을 통해 배포됩니다.
   - **온라인 플랫폼 활용**: 기업의 웹사이트, 블로그, 소셜 미디어 등을 통해 보도자료를 게시할 수도 있습니다.
   - **뉴스와이어 서비스 사용**: 전문적인 보도자료 배포 서비스를 이용하여 다양한 매체에 동시에 전달합니다.
5. **보도자료 배포 실행**:
   - 선택한 방식으로 보도자료를 배포하며, 이때 배포 시간과 방법을 고려합니다.
   - 배포 시에는 보도자료의 요약본이나 헤드라인을 함께 제공하여 기자의 이해를 돕습니다.
6. **질의응답(Q&amp;A)**:
   - 배포 후에는 기자들의 질문에 답변하기 위한 Q&amp;A 세션을 마련하거나 담당자를 지정합니다.
   - 이를 통해 추가 정보 제공을 하고 오해의 소지를 줄입니다.
7. **피드백 수집 및 후속 조치**:
   - 배포 이후 기사화된 내용과 반응을 모니터링합니다.
   - 필요에 따라 추가 자료 제공이나 수정 사항을 반영합니다.
8. **기록 보관**:
   - 배포 과정과 결과를 문서화하여 향후 참고 자료로 활용합니다.
이러한 과정을 통해 정확하고 효과적인 정보 전달이 이루어지며, 이는 조직의 이미지 제고와 신뢰 구축에 기여합니다. 추가로 궁금한 점이 있으시면 언제든지 물어보세요!</t>
  </si>
  <si>
    <t>25fe7112-aebb-4936-9797-201972ea154c</t>
  </si>
  <si>
    <t>311_2410_자연재난과_업무매뉴얼_자연재난과_부산시_풍수해_재난_현장조치_행동매뉴얼2410.pdf</t>
  </si>
  <si>
    <t>64c9d793-2c4d-4998-8e21-05ddb02cd635</t>
  </si>
  <si>
    <t>1193_압축4_2023_부천시_안전한국훈련_통합훈련시나리오식용수분야.pdf</t>
  </si>
  <si>
    <t>현재 비어있는 시청 내 회의실은 어디가 있나요?</t>
  </si>
  <si>
    <t>ad23a48627744437bba405d1bda06fb4</t>
  </si>
  <si>
    <t>2024년과 2025년에 변경되는 주요 복지정책은 무엇이 있나요</t>
  </si>
  <si>
    <t>290_2501_인사과_기타_인사과_2025년도_부산광역시_맞춤형복지제도_운영계획.pdf</t>
  </si>
  <si>
    <t>55fbdd11cf5e4b27a7379e4c3623e764</t>
  </si>
  <si>
    <t>장기재직휴가 기준 및 사용방법</t>
  </si>
  <si>
    <t>2, 3,  4</t>
  </si>
  <si>
    <t>ce975de45d654b57990543846e8b7f6c</t>
  </si>
  <si>
    <t>장기재직휴가는 부산광역시에서 5년 이상 근무한 공무원을 대상으로 하며, 재직 기간에 따라 일정 일수의 휴가를 제공합니다. 이 휴가는 공무원의 사기를 진작하고 업무 효율성을 높이기 위한 목적으로 시행됩니다.
**재직기간별 휴가 일수는 다음과 같습니다:**
- **5년 ~ 9년**: 5일
- **10년 ~ 19년**: 10일
- **20년 ~ 29년**: 25일
- **30년 이상**: 25일
**사용 방법은 다음과 같습니다:**
1. **사전 등록 및 승인 절차**
   - 직원이 자신의 재직 기간을 확인하고, 복무 시스템에 휴가 신청 가능 일수를 사전에 등록합니다.
   - 부서장의 승인을 받아야 합니다. 이때, 부서장은 업무 대행자를 지정하여 업무 공백을 방지해야 합니다.
2. **휴가 기간 설정**
   - 최소 2일 이상 사용할 수 있으며, 필요에 따라 여러 번으로 나누어 사용할 수 있습니다.
   - 예를 들어, 10일의 휴가를 3일씩 세 번 사용하는 것도 가능합니다.
3. **토요일, 일요일 및 공휴일 제외**
   - 휴가 기간에는 토요일, 일요일 및 공휴일을 포함하지 않습니다.
4. **부서별 휴가 인원 제한**
   - 부서 전체 인원의 1/3 이내에서만 동시에 휴가를 사용할 수 있도록 제한되어 있습니다.
5. **연가와의 연계 사용**
   - 장기간 휴가를 원하는 경우 연가와 연계하여 사용할 수 있습니다.
   - 예를 들어, 장기재직휴가 5일과 연가 3일을 함께 사용하여 총 8일간 휴가를 사용할 수 있습니다.
6. **파견 공무원의 경우**
   - 파견 기관의 소속 부서장의 승인을 받아 휴가를 사용하고, 이후 원소속 기관에도 관련 사항을 통보해야 합니다.
7. **시행 시기**
   - 이 지침은 2024년 7월 1일부터 시행되었습니다.
**주의 사항:**
- **긴급 연락망 유지:** 장기간 휴가 중에는 비상 상황에 대비해 연락망을 유지해야 합니다.
- **업무 대행자 지정:** 휴가 기간 동안 업무를 대신할 대행자를 지정하여 업무 연속성이 유지되도록 해야 합니다.
- **주요 업무 기간 피하기:** 국정감사, 행정사무감사 등의 중요한 업무 기간이나 국가적 재난 상황에서는 휴가를 자제하는 것이 좋습니다.
이러한 지침을 통해 공무원들은 충분한 휴식을 취하며 업무 효율성과 창의성을 높일 수 있게 됩니다. 더 궁금한 점이 있으시면 언제든지 물어보세요!</t>
  </si>
  <si>
    <t>d90900dd-41af-4d32-8b63-ccfd787f88b8</t>
  </si>
  <si>
    <t>ae3f5807-c46f-48ff-b17b-aad0c8a3ac78</t>
  </si>
  <si>
    <t>DRM 암호 초기화 방법</t>
  </si>
  <si>
    <t>4557cce52583443abc211215c3420b8d</t>
  </si>
  <si>
    <t>DRM 암호를 초기화하는 방법은 다음과 같습니다:
1. **부서관리자 사이트에 접속**하세요. 이 사이트는 부서 관리자에게만 접근 권한이 있으며, 주소는 `http://99.1.81.71:9080/fed5` 입니다.
2. **사용자 ID와 비밀번호를 입력**하여 로그인합니다. 이때 사용하는 ID와 비밀번호는 자료 유출 방지 시스템(DRM)에 등록된 것입니다.
3. **상단 메뉴에서 '공통 설정 &gt; 조직 관리'를 선택**합니다.
4. **좌측 메뉴에서 부서 목록 중 원하는 부서를 선택**하고, 그 하위의 사용자를 선택합니다.
5. **우측 상단에 있는 '[수정]' 버튼을 클릭**하여 해당 사용자의 정보를 수정할 수 있는 페이지로 이동합니다.
6. **화면 하단의 초기화 비밀번호란에 'a12345'를 입력**합니다. 이는 DRM 암호를 초기화하기 위한 임시 비밀번호입니다.
7. **우측 상단의 '[확인]' 버튼을 클릭**하여 변경 사항을 저장합니다.
8. **암호 초기화가 완료되면 해당 사용자는 새로운 비밀번호로 로그인해야 합니다.**
이렇게 하면 DRM 암호가 초기화되어 사용자가 새 비밀번호를 설정하여 시스템을 이용할 수 있게 됩니다. 만약 추가적인 도움이 필요하시면 언제든지 말씀해 주세요! 다른 궁금한 사항이나 필요한 정보가 있으시면 알려주세요. 도와드릴 수 있어 기쁩니다.</t>
  </si>
  <si>
    <t>전자서명신청 방법</t>
  </si>
  <si>
    <t>1228_2511_부산광역시_업무매뉴얼_부산광역시_행정전자서명GPKI_발급_갱신_이동_안내.pdf</t>
  </si>
  <si>
    <t>a94b06e29d964091afda6874986c4361</t>
  </si>
  <si>
    <t>행정정보공동이용 권한 신청 방법</t>
  </si>
  <si>
    <t>행정정보공동이용 권한관리 매뉴얼_250101</t>
  </si>
  <si>
    <t>2cba946a92c64261b49d9408c89d7633</t>
  </si>
  <si>
    <t>행정정보공동이용 권한을 신청하려면 다음과 같은 절차를 따르시면 됩니다.
1. **신청서 작성**: 먼저 "행정정보공동이용 지침 별지3호 서식"을 사용하여 신청서를 작성해야 합니다. 이 서식은 해당 업무에 대한 표준사무명과 유형을 명확히 기재하고, 필요한 경우 사전동의를 체크하며 그 방법을 표시해야 합니다. 예를 들어, "(표준) 임산부의료비지원(3형)"이라고 표기할 수 있습니다.
2. **사전동의 관련 사항**: 만약 사전동의가 필요하다면, 이를 어떻게 처리할지 명시해야 합니다. 예컨대, "민원신청서에 포함", "모바일 사전동의", "인터넷 접수 시 사전동의", 또는 "사전동의서 별도 징구" 등의 방법으로 표시합니다.
3. **법적 근거 및 업무 개요 제공**: 해당 업무를 처리하는 데 필요한 법령 조항이나 조례, 규칙 등을 기입하고, 업무의 개요와 공동 이용을 통해 확인하고자 하는 내용, 그리고 신청인의 자격 등에 대해 상세하게 기술합니다.
4. **연간 예상 이용량 표기**: 연간 예상되는 민원 처리 건수를 포함하여 얼마나 자주 이용할 것인지를 예측하여 표기합니다.
5. **첨부 서류 준비**:
   - **민원신청서에 포함될 경우**: 민원신청서에 해당 사항을 첨부합니다.
   - **인터넷 접수 시 사전동의일 경우**: 인터넷 접수 과정에서의 사전동의 화면을 캡처하여 첨부합니다.
   - **사전동의서 별도 징구일 경우**: 지침 별지8호 서식을 활용하여 1,2,3번 항목을 작성하고, 이를 신청서에 첨부합니다.
6. **공문 발송**: 작성한 신청서와 모든 첨부 서류를 함께 행정안전부 공공지능정책과로 공식 공문을 통해 발송합니다.
7. **결재 절차 진행**: 기관 내 담당자들의 결재를 받아 공식성을 확보합니다.
이러한 절차를 따르면 행정정보공동이용 권한을 원활하게 신청하실 수 있습니다. 추가적인 도움이 필요하시면 언제든지 말씀해 주세요!</t>
  </si>
  <si>
    <t>62ccf8ce-1f8d-485b-8a7b-20e8d93f9fb7</t>
  </si>
  <si>
    <t>430_2408_통합민원과_업무매뉴얼_행정안전부_행정정보공동이용.pdf</t>
  </si>
  <si>
    <t>급여 작업시 장기교육자 등에 대한 복리후생비, 수당 등 지급 계산식이 어떻게 되나요?</t>
  </si>
  <si>
    <t>215_2501_예산담당관_업무매뉴얼_예산담당관_2025급여_및_수당_관련_FAQ.pdf</t>
  </si>
  <si>
    <t>11</t>
  </si>
  <si>
    <t>ea2fcd443281476fbdc47a2f4074eff7</t>
  </si>
  <si>
    <t>온톡 메신저에 부서원 순서를 바꾸고 싶어요</t>
  </si>
  <si>
    <t xml:space="preserve">371_2503_정보화정책과_업무매뉴얼_정보화정책과_온톡_온메일_온나라_지식_사용자_매뉴얼_v21.pdf </t>
  </si>
  <si>
    <t>2, 3</t>
  </si>
  <si>
    <t>331d7f2fb9d242f2b62491ef30e67a51</t>
  </si>
  <si>
    <t>네, 온톡 메신저에서 부서원들의 순서를 변경하는 방법을 알려드릴게요.
**1단계: 부서관리자 권한 신청**
- **행정포털 접속**: 먼저 행정포털에 로그인하세요.
- **메신저 부서권한 신청**: 포털 안내 메뉴에서 '메신저 부서권한 신청'을 찾아 등록합니다.
- **승인 대기**: 상급자의 승인을 기다립니다.
**2단계: 권한 승인 확인 및 설정**
- **온톡 접속**: 권한이 부여되면 온톡에 로그인합니다.
- **통합관리 접근**: 온톡의 우측 상단 '더보기 ▼'를 클릭하고 '통합관리'를 선택합니다.
- **사용자 관리**: '사용자' 탭으로 이동하여 부서원 목록을 봅니다.
- **수정 기능 사용**: 특정 사용자의 이름을 클릭하거나 '상세' 버튼을 눌러 세부 정보를 엽니다.
- **순서 번호 입력**: '수정' 페이지에서 '순서' 필드에 원하는 위치 번호를 입력합니다.
- **저장**: 변경 사항을 저장합니다.
**주의사항:**
- 동일한 순서 번호를 여러 명에게 주면 시스템에서 자동으로 재배치할 수 있으니, 각 직원마다 고유한 순서 번호를 부여해야 합니다.
- 단순히 드래그나 화살표로는 순서가 변경되지 않습니다. 반드시 '순서' 필드에 직접 번호를 입력해야 합니다.
이렇게 하면 온톡 메신저 내에서 부서원들의 표시 순서를 원하는 대로 조정할 수 있어요. 추가로 도움이 필요하시면 언제든지 말씀해 주세요!</t>
  </si>
  <si>
    <t>52b60055-fdb1-4ab3-b0de-91a29af5ca37</t>
  </si>
  <si>
    <t>1인당 1년치 급식비(매식비) 계산은 어떻게 하나요</t>
  </si>
  <si>
    <t>355</t>
  </si>
  <si>
    <t>cf5c5341d0364642ac1984b787e7228c</t>
  </si>
  <si>
    <t>보조금 교부를 위한 보탬이, 이나라도움 사용법은?</t>
  </si>
  <si>
    <t>2503_재정협력담당관_업무매뉴얼_행정안전부_2025년 지방보조금 관리가이드</t>
  </si>
  <si>
    <t>26</t>
  </si>
  <si>
    <t>f8fdc2f106b449ed9d047b43738dcd5e</t>
  </si>
  <si>
    <t>온나라 시스템을 통해 공문을 생산하였는데, 기안 당시에는 비공개 사유가 있었으나, 현재에는 해당 비공개 사유가 소멸했습니다. 이에 따라, 공개문서로 전환하고 싶은데, 방법이 어떻게 되나요?</t>
  </si>
  <si>
    <t>be43d98eddbd49a981842e5540a44c19</t>
  </si>
  <si>
    <t>다음달에 시청 1층 대강당을 예약하고 싶은데, 방법을 알고싶어요.</t>
  </si>
  <si>
    <t>4ac1066bb54a49b2942cff0e1a8076c1</t>
  </si>
  <si>
    <t>담당업무 관련으로 시청 직원의 설문조사가 필요한데, 어디에 게시해야 많은 사람들이 참여할 수 있을까요</t>
  </si>
  <si>
    <t>efc302251fda47c690749c91e71ec8cf</t>
  </si>
  <si>
    <t>시 공식 SNS에 담당업무를 홍보하고자 게시했으면 하는데, 의뢰 절차가 어떻게 되나요?</t>
  </si>
  <si>
    <t>88_2504_미디어담당관_업무매뉴얼_미디어담당관_콘텐츠기획팀_업무관련FAQ.pdf</t>
  </si>
  <si>
    <t>275b5d23a23b4846848fad8c62a5a9a3</t>
  </si>
  <si>
    <t>일반지출의 절차를 알고싶은데, 매뉴얼이나 교육자료를 어디에서 찾을 수 있나요?</t>
  </si>
  <si>
    <t>회계재산담당관_업무매뉴얼_메타넷디지털_일반지출_절차_및_삭제_회계재산담당관_경리팀</t>
  </si>
  <si>
    <t>3</t>
  </si>
  <si>
    <t>3560eb515a3f4f39ac88c75cc37b4194</t>
  </si>
  <si>
    <t>장기재직휴가는 재직기간 몇 년차부터 생기나요? 그리고 근속년수별로 정확한 휴가 부여 일수를 알고싶어요.</t>
  </si>
  <si>
    <t>c57203ef73c14aec8937b6048e0e0c79</t>
  </si>
  <si>
    <t>공무원의 연차별로 연가일수가 다른 거 같던데, 재직기간별로 연가가 며칠씩 부여되나요?</t>
  </si>
  <si>
    <t>403~404</t>
  </si>
  <si>
    <t>d239803ecd3d4f3680c77583bb847dbd</t>
  </si>
  <si>
    <t>네, 맞습니다. 공무원의 연가일수는 재직기간에 따라 다르게 부여됩니다. 일반적으로 적용되는 재직기간별 연가일수는 다음과 같습니다:
- **1개월 이상 1년 미만**: 연가 11일
- **1년 이상 2년 미만**: 연가 12일
- **2년 이상 3년 미만**: 연가 14일
- **3년 이상 4년 미만**: 연가 15일
- **4년 이상 5년 미만**: 연가 17일
- **5년 이상 6년 미만**: 연가 20일
- **6년 이상**: 연가 21일
또한, 일부 예외 사항이 있습니다:
- **유사경력 인정**: 법 제28조제2항제2호·제3호 및 제10호에 따라 임용된 경력직공무원 및 특수경력직공무원의 재직기간이 5년 미만이면서 인사혁신처장이 정하는 공무원 경력 외의 유사경력이 있는 경우에는 5년 미만의 재직기간별 연가일수에 각각 3일을 더합니다.
예를 들어, 5년 미만의 재직기간 동안 유사한 경력을 가진 공무원은 위의 연가일수에 3일을 추가하여 받게 됩니다.
**주의사항**:
- "재직기간"은 「공무원연금법」 제25조에 따라 연월일수로 계산되며, 휴직기간, 정직기간, 직위해제기간 및 강등 처분에 따라 직무에 종사하지 못하는 기간은 산입하지 않습니다.
- 특정 조건을 만족하는 공무원은 다음 해에 한해 재직기간별 연가일수에 각각 1일을 더 받을 수 있습니다.
이러한 정보는 주로 「국가공무원 복무규정」 제15조 및 제17조에서 상세히 다루고 있으며, 구체적인 내용은 해당 규정을 확인하시는 것이 좋습니다. 또한, 조직 내 복무 담당 부서나 인사팀에 문의하시면 더욱 정확한 정보를 얻으실 수 있습니다. 도움이 필요하신 부분이 있으시면 언제든지 말씀해 주세요!</t>
  </si>
  <si>
    <t>abbaf9e4-888f-4fbb-8586-f2b9dd9ab1a4</t>
  </si>
  <si>
    <t>db8f6f9e-b249-49a0-a815-ebb1bdd3441a</t>
  </si>
  <si>
    <t>420a7ac0-45ad-49da-8650-1d86bbcd3047</t>
  </si>
  <si>
    <t>8f945de4-6a10-4701-9864-4bb92b9a23c4</t>
  </si>
  <si>
    <t>6d52d02d-5ba2-4ea8-b2eb-b984f509d43f</t>
  </si>
  <si>
    <t>DRM, PC Client 아이디 및 비밀번호를 잊어버렸을 때 절차 알려주세요</t>
  </si>
  <si>
    <t>756788d46e09430880c70ea88463def4</t>
  </si>
  <si>
    <t>온나라 문서 과제카드를 잘못 지정하였습니다. 변경 가능할까요?</t>
  </si>
  <si>
    <t>438_2502_통합민원과_업무메뉴얼_통합민원과_기록관리_업무편람기정너.pdf</t>
  </si>
  <si>
    <t>44</t>
  </si>
  <si>
    <t>d48ca25404bd4349974896a1500e5505</t>
  </si>
  <si>
    <t>네, 가능합니다! 온나라 시스템에서 문서나 과제의 과제카드가 잘못 지정되었을 경우 수정할 수 있습니다. 아래 절차를 따라 진행하시면 됩니다.
### **과제카드 변경 방법**
1. **온나라 시스템 접속**
   - 먼저, 온나라 시스템에 로그인해 주세요.
2. **완료 문서 조회**
   - 메인 화면에서 '처리한 문서' 메뉴로 이동합니다.
   - 그 다음, '완료문서' 탭을 선택합니다.
3. **재편철 대상 문서 선택**
   - 재편철하고자 하는 문서 목록에서 해당 문서를 찾아 클릭합니다.
4. **문서관리카드 열기**
   - 문서 상세 정보 페이지가 나타나면, 우측 상단에 있는 '[보기]' 버튼을 눌러 '문서관리카드'를 엽니다.
5. **과제카드 변경**
   - 문서관리카드 내에서 '과제카드 변경' 버튼을 찾습니다.
   - 여기서 올바른 과제카드로 변경하신 후, '확인' 버튼을 눌러 저장합니다.
6. **변경 사항 확인**
   - 변경이 정상적으로 이루어졌는지 다시 한번 확인해 보세요.
**참고사항**
- 만약 과제카드 변경 기능이 보이지 않거나 접근 권한에 문제가 있다면, 소속 부서나 시스템의 관리자에게 문의하시는 것이 좋습니다.
- 또한, 문서 관리 규정에 따라 일부 경우에는 직접 변경이 어려울 수 있으니 사전에 확인하는 것도 중요합니다.
추가적인 도움이 필요하시거나 다른 궁금한 점이 있으시면 언제든지 말씀해 주세요!</t>
  </si>
  <si>
    <t>22610730-4f6c-4606-b758-83aeb7c67ad8</t>
  </si>
  <si>
    <t>장기재직휴가 기준과 사용 방법을 알려주세요. 장기재직휴가 사용 요건이 되면 인사랑에 자동 반영될까요?</t>
  </si>
  <si>
    <t>2, 3, 4</t>
  </si>
  <si>
    <t>e32df5a42321479eadaa2d68e92c9c00</t>
  </si>
  <si>
    <t>안녕하세요! 장기재직휴가에 대해 궁금하신 점이 있으시군요. 제가 도와드릴게요.
**장기재직휴가 기준**
먼저, 장기재직휴가는 근속 기간에 따라 일정 기간의 휴가를 제공하는 제도예요. 일반적으로 다음과 같은 기준이 있어요:
- **5~9년**: 5일
- **10~19년**: 15일
- **20~29년**: 25일
- **30년 이상**: 25일
이렇게 총 70일의 장기재직휴가가 주어지며, 이는 근속 연수가 늘어날수록 더 많은 휴가를 받을 수 있다는 의미예요.
**장기재직휴가 사용 방법**
장기재직휴가를 사용하기 위해서는 몇 가지 절차를 거쳐야 해요:
1. **신청**: 먼저, 휴가를 사용하고자 하는 날짜와 기간을 정해서 신청을 해야 해요. 이때 필요한 서류나 절차는 회사 내부 규정을 따르시면 돼요.
2. **승인**: 신청한 내용이 검토되어 승인이 나면, 공식적으로 휴가를 사용할 수 있게 돼요.
3. **휴가 사용**: 승인된 기간 동안 휴가를 즐기시면 됩니다!
**인사 시스템과의 연계**
또한, 질문에서 언급하신 것처럼 "장기재직휴가 사용 요건이 되면 인사랑에 자동 반영될까요?"라는 부분이 있었어요. 이에 대해서는 회사의 인사 시스템이 어떻게 구성되어 있느냐에 따라 다를 수 있어요.
- **자동 반영 여부**: 일부 기업에서는 근속 기간이 충족되면 자동으로 인사 시스템에 반영되기도 하지만, 그렇지 않은 경우도 많아요.
- **확인 필요**: 따라서 정확한 정보를 알기 위해서는 인사 담당 부서나 시스템을 통해 직접 확인하는 것이 좋아요.
**추가 정보**
장기재직휴가는 오랜 기간 동안 열심히 일해온 직원들에게 제공되는 혜택이니, 꼭 잘 활용하시길 바라요. 혹시 더 궁금한 사항이나 도움이 필요한 부분이 있다면 언제든지 말씀해 주세요!</t>
  </si>
  <si>
    <t>c9a3cb41-c389-4595-b818-47a786afecdd</t>
  </si>
  <si>
    <t>747_페이지75_문서7_163334_부산광역시_공무직_및_기간제노동자_인사관리_규정.pdf</t>
  </si>
  <si>
    <t>7328acdf-72be-403a-af16-b567f7eee18a</t>
  </si>
  <si>
    <t>f702eeeb-211b-4d7e-9edd-4c3607cd6328</t>
  </si>
  <si>
    <t>84_2406_맑은물정책과_업무매뉴얼_환경부_환경법전수자원물환경물이용.pdf</t>
  </si>
  <si>
    <t>4c5d07c9-ead6-42df-98a7-8a1d3b742876</t>
  </si>
  <si>
    <t>582_페이지59_문서2_163033_부산광역시_공무직_및_기간제노동자_채용_지침.pdf</t>
  </si>
  <si>
    <t>927df90c-b73b-4956-b5d4-7b5fa3ebe04b</t>
  </si>
  <si>
    <t>268_2405_인사과_업무매뉴얼_행정안전부_출장관리_매뉴얼.pdf</t>
  </si>
  <si>
    <t>업무추진비 집행 기준을 알려주세요</t>
  </si>
  <si>
    <t>477_2505_회계재산담당관_업무매뉴얼_메타넷디지털_일반지출_절차_및_삭제_회계재산담당관_경리팀.pdf</t>
  </si>
  <si>
    <t>127, 128</t>
  </si>
  <si>
    <t>bb4eacc1c85249088e88014eeb9e62c0</t>
  </si>
  <si>
    <t>업무추진비 집행 기준은 다음과 같습니다.
1. **사용 방법**:
   - 업무추진비는 신용카드 중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해당 부서별로 클린카드를 공용카드로 발급받아 사용합니다.
   - 일반카드의 불가피한 사용이 있을 경우를 대비하여 최소한의 일반카드 발급은 가능합니다.
2. **클린카드 의무적 제한 업종**:
   - **유흥업종**: 한국표준산업분류에 따라 접객요원을 두고 술을 판매하는 일반유흥주점과 무도시설을 갖춘 무도유흥주점이 이에 해당합니다.
     - *예시*: 룸살롱, 단란주점, 가라오케, 가요주점, 요정, 비어홀, 바 등
   - **위생업종**: 이・미용실, 피부미용실, 사우나, 안마시술소, 발마사지, 스포츠마사지, 네일아트, 지압원 등 대인서비스를 제공합니다.
   - **레저업종**: 골프장, 골프연습장, 스크린골프장, 노래방, 사교춤, 전화방, 비디오방, 당구장, 헬스클럽, PC방, 스키장 등이 있습니다.
   - **사행업종**: 카지노, 복권방, 오락실 등이 포함됩니다.
   - **기타업종**: 성인용품점, 총포류 판매점 등이 있습니다.
3. **현금 사용 제한**:
   - 업무추진비는 원칙적으로 현금으로 사용할 수 없습니다.
   - 그러나 격려금, 축의금, 부의금 등 현금 집행이 불가피한 경우에는 예외적으로 사용할 수 있습니다.
   - 이러한 경우에도 기관별 대표 1인만이 집행하도록 하고, 경조사와 관련된 경비는 부정청탁 및 금품 등 수수의 금지에 관한 법률 시행령에 따른 기준에 맞춰 집행해야 합니다.
4. **심야 시간 및 사용자 자택 근처에서의 사용 제한**:
   - 심야(23시 이후)나 사용자의 자택 근처 등에서 통상적인 업무 추진과 관련이 적은 시간과 장소에서는 사용할 수 없습니다.
   - 하지만 직무 관련성이 입증되는 객관적 증빙서류를 제출하면 예외적으로 허용됩니다.
5. **접대비 및 선물 비용**:
   - 간담회 등 접대비는 특별한 사유 없이 1인 1회당 4만원 이하로 집행해야 합니다.
   - 행사의 성격이나 불가피한 사유로 인해 4만원을 초과하는 경우에는 증빙서류에 사유를 명시하고 집행할 수 있습니다.
   - 청탁금지법에 따른 공직자 등에게 집행하는 접대비는 3만원 이하로 제한되며, 기념품 및 특산품 지급은 5만원 이하로 제한됩니다.
   - 단, 농수산물 및 농수산가공품의 경우 10만원까지 가능합니다.
6. **증빙 서류 작성 및 보관**:
   - 업무추진비를 집행할 때는 집행목적, 일시, 장소, 집행대상 등을 증빙서류에 상세히 기재하여 사용용도를 명확히 해야 합니다.
   - 건당 50만원 이상의 경우에는 주된 상대방의 소속 또는 주소, 성명 등을 증빙서류에 반드시 기재해야 합니다.
   - 상품권, 기념품, 특산품 등을 구매한 경우에는 지급관리 대장에 지급일시, 대상자, 수량 등을 기재하고 결재를 받아야 합니다.
   - 이를 통해 사적인 용도로의 사용을 방지하고 투명성을 확보합니다.
이러한 기준들은 업무추진비의 적절한 사용을 보장하고, 공공기관의 신뢰성과 책임성을 높이기 위한 것입니다. 만약 더 자세한 정보나 특정 상황에 대한 지침이 필요하다면 해당 기관의 공식 문서나 담당 부서에 문의하시는 것이 좋습니다. 도움이 되었길 바랍니다!</t>
  </si>
  <si>
    <t>47881b89-c1be-42b7-8db5-b4025c269d3b</t>
  </si>
  <si>
    <t>8b8e8dd9-8a1a-4899-bedb-aa9ec7f2f49d</t>
  </si>
  <si>
    <t>e00486c0-ac09-4d48-936a-8614ebf03b92</t>
  </si>
  <si>
    <t>e8b750f1-d9ba-4cfa-8366-17e23ec6cebf</t>
  </si>
  <si>
    <t>eff8f2ea-84f5-4ddd-ade5-319c354f6baa</t>
  </si>
  <si>
    <t>국민신문고 민원 처리 과정 알려주세요</t>
  </si>
  <si>
    <t>국민신문고_사용자지침서_민원v1.7</t>
  </si>
  <si>
    <t>16~17</t>
  </si>
  <si>
    <t>88e89420167843189a5e108940402c53</t>
  </si>
  <si>
    <t>공무원증 신청 방법 알려줘</t>
  </si>
  <si>
    <t>f4db2b0795b24eb1ad4baf99804ad946</t>
  </si>
  <si>
    <t>공무원증은 부산광역시에서 근무하는 공무원의 신분을 나타내는 중요한 증명서로, 이를 발급받고자 할 때는 다음과 같은 절차를 따르셔야 해요.
**공무원증 신청 절차**
1. **인사랑 시스템 접속**: 먼저, 부산광역시 내부망인 '인사랑' 시스템에 로그인하세요. 이는 공무원들이 사용하는 인사 관리 시스템이에요.
2. **인사마당 메뉴 선택**: 인사랑 메인 화면에서 '인사마당' 메뉴를 찾아 클릭해 주세요.
3. **공무원증 신청 메뉴 접근**: 인사마당 내에서 '공무원증(또는 모바일공무원증)' 신청 메뉴를 선택하시면 됩니다.
4. **필요한 정보 입력 및 사진 업로드**: 신청 양식에 개인 정보와 필요한 사항을 정확하게 기입하시고, 최신 사진이 필요해요. 사진은 제출일 전 1년 이내에 촬영한 전자파일 형태로 준비해 주세요.
5. **부서장 승인 요청**: 신청서를 작성한 후에는 소속 부서의 부서장님께 승인을 받아야 해요. 부서장의 승인이 있어야만 공무원증이 발급될 수 있어요.
6. **발급 대기 및 수령**: 신청서와 부서장님의 승인이 완료되면, 인사과에서 검토 후 공무원증을 발급해 드려요. 실물 공무원증은 신청 후 약 4주 정도 소요되며, 모바일 공무원증은 신청 후 약 1주일 이내에 안내 문자를 받게 되어요. 문자 안내에 따라 설치를 진행하면 돼요.
**추가적인 주의사항**
- **모바일 공무원증 신청 시**: 만약 모바일 공무원증을 신청하신다면, 실물 공무원증 뒷면에 있는 '6260000-'로 시작하는 연번을 정확히 기재해야 해요. 이는 모바일 공무원증과 실물 공무원증의 일치를 확인하는 데 중요해요.
- **퇴직 시 공무원증 반납**: 퇴직하실 때는 반드시 공무원증을 반납해야 해요. 이는 개인정보 보호와 보안상의 이유로 매우 중요하므로 잊지 말고 반납해 주세요.
이렇게 절차를 따르면 공무원증을 원활하게 발급받을 수 있을 거예요. 추가로 궁금한 점이 있으시면 언제든지 물어봐 주세요! 도움이 필요하면 언제든 말씀해 주세요.</t>
  </si>
  <si>
    <t>4c0c9b7a-856e-436f-bc20-0b4a9a18f820</t>
  </si>
  <si>
    <t>345_2409_정보화정책과_업무매뉴얼_정보화정책과_부산광역시_사이버안전_위기대응_실무_매뉴얼.pdf</t>
  </si>
  <si>
    <t>온나라에서 부재자 설정 및 기간은 어떻게 하나요?</t>
  </si>
  <si>
    <t>b7d8979088834a2289342b763805463d</t>
  </si>
  <si>
    <t>DRM, PC Client 아이디 및 비밀번호를 잊어버렸을 때 해결 방법은?</t>
  </si>
  <si>
    <t>ff1dd56569b545939d484a290506ba46</t>
  </si>
  <si>
    <t>업무추진비 집행을 위해서 확인해야할 규정은 무엇인가요? 그리고 업추비별 특성 및 사용가능내역 알려주세요.</t>
  </si>
  <si>
    <t>b7501aaa4c9c459bb60beb4ec160272b</t>
  </si>
  <si>
    <t>온나라에서 부재자 설정은 어떻게 하나요?</t>
  </si>
  <si>
    <t>4049623f63204be5bbc2b5d519019895</t>
  </si>
  <si>
    <t>온나라에서 부재자 설정은 다음과 같이 진행할 수 있어요:
**본인이 부재자 설정하는 경우:**
- **경로:** [개인설정 &gt; 개인정보관리 &gt; 부재설정] 메뉴로 이동해요.
- **방법:** 해당 메뉴에서 부재 기간과 사유 등을 입력하여 설정하면 돼요.
**서무담당자가 부재자 설정하는 경우:**
- **경로:** [개인설정 &gt; 부서관리자] 메뉴로 이동해요.
- **방법:** 여기서 담당 직원의 부재 정보를 대신 입력하여 설정할 수 있어요.
이렇게 하면 부재 기간 동안에는 알림이나 처리해야 할 업무 등에 대한 안내가 조정되거나 중단될 수 있어서 업무 효율성을 높일 수 있어요. 추가로 궁금한 점이 있으면 언제든지 말씀해 주세요!</t>
  </si>
  <si>
    <t>cc65a471-32fc-4c82-9b20-0843afcf10bf</t>
  </si>
  <si>
    <t>시 홈페이지 고시공고 등록하는 방법이 어떻게 되나요?</t>
  </si>
  <si>
    <t>2504_미디어담당관_업무매뉴얼_미디어담당관_매거진운영팀_홍보_요청_절차</t>
  </si>
  <si>
    <t>4baa295065a44a4580fa6eafc44f65f1</t>
  </si>
  <si>
    <t>시 홈페이지에 고시공고를 등록하려면 다음과 같은 절차를 따르시면 됩니다:
1. **온나라 행정포털 접속**: 먼저, 업무용 포털인 온나라에 로그인하여 접근하세요.
2. **메뉴 선택**: 메인 메뉴에서 `행정업무`를 클릭한 다음, 그 아래에 있는 `공보관리`를 선택합니다.
3. **고시/공고 등록(입법예고 등록)**: `공보관리` 메뉴 내에서 `고시/공고 등록(입법예고 등록)` 항목을 찾아 클릭합니다.
4. **내용 입력 및 파일 첨부**:
   - **고시/공고 제목**: 게시할 내용의 제목을 정확하게 작성합니다.
   - **내용 입력**: 고시 또는 공고의 상세 내용을 입력합니다.
   - **첨부파일**: 관련 문서나 자료가 있다면 첨부합니다. 이때, 파일명은 `구분+번호+제목` 형식으로 지정해야 합니다. 예를 들어, `공고 제2025-1호 00공고`와 같이 작성합니다.
5. **등록일자 설정**: 홈페이지에 공개될 날짜를 지정합니다. 이 날짜는 실제 고시/공고일과 일치하도록 해야 하며, 결재가 완료되면 자동으로 해당 날짜에 홈페이지에 등록됩니다.
6. **결재 진행**: 모든 정보를 입력한 후에는 상급자의 결재를 받아야 합니다. 결재가 완료되어야만 홈페이지에 공식적으로 게시됩니다.
7. **자동 등록 확인**: 결재가 완료되면 별도의 조치 없이도 지정한 날짜에 홈페이지에 고시/공고가 자동으로 등록됩니다.
**주의사항**:
- 만약 연계 기안에 오류가 발생하거나, 내용을 수정해야 할 필요가 있을 경우에는 담당자에게 연락하여 조치를 취해야 합니다.
- 개인정보(주민등록번호, 휴대폰 번호 등)는 반드시 삭제한 후에 게재를 의뢰해야 합니다.
- 시보(공보지)에 게재가 필요한 경우에는 위의 절차 외에 추가로 시보 발행을 위한 절차를 거쳐야 합니다.
**추가 정보**:
- 담당자 연락처:
  - 이승재 님: 888-1295
  - 박성준 님: 888-1292
위의 절차를 따르면 시 홈페이지에 고시공고를 원활하게 등록하실 수 있습니다. 더 궁금한 사항이 있으시면 언제든지 문의해 주세요. 도움이 되었기를 바랍니다!</t>
  </si>
  <si>
    <t>8dfd3c30-05ac-4386-8d4b-5e8c42464cab</t>
  </si>
  <si>
    <t>87_2504_미디어담당관_업무매뉴얼_미디어담당관_매거진운영팀_홍보_요청_절차.pdf</t>
  </si>
  <si>
    <t>단체보장보험 세부 보장내용 및 청구방법은 무엇인가요?</t>
  </si>
  <si>
    <t>279_2501_인사과_기타_인사과_2025년_맞춤형복지_단체보장보험_가입내용_및_청구방법_안내.pdf</t>
  </si>
  <si>
    <t>cba7507f4fe943758d2a53123be0ba80</t>
  </si>
  <si>
    <t>오늘 구내식당 메뉴를 알 수 있나요?</t>
  </si>
  <si>
    <t>구매식당_운영가이드.pdf</t>
  </si>
  <si>
    <t>a2a2a0236db64937b59596519cd40ec0</t>
  </si>
  <si>
    <t>부산시청 직원식당은 평일 운영되며, 매주 수요일 및 금요일 석식 미운영입니다.
식사요금은 조식(08:00~09:00) 2,500원, 중식(11:30~13:30) 5,000원, 석식(17:30~18:50) 5,000원 이며,
주간 메뉴는 아래에서 확인 하실 수 있습니다.
http://99.1.1.29/brd/mywork/?brd_menu_div=1&amp;contsType=list&amp;brd_seq=1268#tabGroup=A#contsType=list#contsUrl=#tabIndex=0#isActive=true#page=1#brd_seq=1268#cate_seq=#brd_nm=%EC%A3%BC%EA%B0%84%EC%8B%9D%EB%8B%A8#brd_typ_cd=1#isRead=#
* 위 메뉴는 사정에 따라 변경될 수 있습니다. 
* 잔반은 국그릇에 모아서 반납해주시고, 먹을 만큼 음식 담아 주세요! 환경 보호를 위해 잔반 줄이기 캠페인에 적극 참여 부탁드립니다. 
* 매일 국의 염도를 측정하여 성인의 건강한 염도 기준을 준수하고 있습니다. 
(국/탕류 0.6~0.7%, 찌개류 0.9~1.0%)
* 부산시청 직원식당은 안전하고 위생적인 식사 제공을 위해 위생점검 및 조리기구 미생물 검사(반기별)를 실시하고 있습니다.</t>
  </si>
  <si>
    <t>행정정보 공동이용 권한 신청은 어떻게 하는것인가요?</t>
  </si>
  <si>
    <t>e6e20fcf1a6f423689992fae5d0be166</t>
  </si>
  <si>
    <t>행정정보 공동이용 권한을 신청하려면 먼저 "행정정보 공동이용 지침 별지3호 서식"을 작성하여 행정안전부(공공지능정책과)로 공문을 보내시면 됩니다.
**신청 방법 요약:**
1. **신청서 작성**: 지침 별지3호 서식을 활용하여 신청서를 작성합니다.
   - 이때, 신청하고자 하는 표준사무명과 유형을 정확히 표기해야 합니다. 예를 들어, "(표준) 임산부의료비지원(3형)"과 같이 기재합니다.
   - 사전동의 필요 여부와 방법을 명확히 표시합니다. 예를 들어, "민원신청서에 포함", "모바일 사전동의", "인터넷 접수 시 사전동의", "사전동의서 별도 징구" 등으로 표기합니다.
2. **근거 법령 및 업무 개요 작성**:
   - 기관에서 해당 업무를 처리하는 근거가 되는 법령이나 조례, 규칙을 명시합니다.
   - 업무 개요를 상세히 작성하며, 공동이용을 통해 확인하고자 하는 내용과 신청인의 자격 등을 포함합니다.
3. **연간 예상 이용량 표기**:
   - 연간 예상되는 민원 처리 건수 등을 수치로 표기합니다.
4. **첨부 서류 준비**:
   - 사전동의 방법에 따라 필요한 서류를 첨부합니다.
     - **민원신청서에 포함될 경우**: 민원신청서에 해당 내용이 포함되어 있어야 합니다.
     - **인터넷 접수 시 사전동의 받을 경우**: 인터넷 접수 과정에서의 사전동의 화면을 캡처하여 첨부합니다.
     - **사전동의서 별도로 징구할 경우**: 지침 별지8호 서식 1, 2, 3의 내용을 작성하여 신청서에 첨부합니다.
5. **공문 발송**:
   - 작성한 신청서와 모든 첨부 서류를 포함하여 행정안전부 공공지능정책과로 공문을 발송합니다.
**참고 사항**:
- **지침 별지8호 서식**은 민원인에게 행정정보 공동이용에 대한 동의를 받기 위해 사용되는 양식으로, 반드시 민원인이 내용을 확인하고 서명하도록 해야 합니다.
- 신청 과정에서 필요한 정보나 추가 문의 사항은 행정안전부 공공지능정책과에 연락하여 안내받을 수 있습니다.
이렇게 절차를 따르면 행정정보 공동이용 권한을 신청하실 수 있으며, 이를 통해 업무 효율성을 높일 수 있습니다. 추가로 도움이 필요하시면 언제든지 말씀해 주세요!</t>
  </si>
  <si>
    <t>5844bcf1-4896-4ac2-a5d5-244d31aeec3c</t>
  </si>
  <si>
    <t>398_2409_중대재해예방과_업무매뉴얼_행정안전부_지역축제장_안전관리_매뉴얼2024.pdf</t>
  </si>
  <si>
    <t>363d8bed-e3ef-4416-8db8-fa18c9708b33</t>
  </si>
  <si>
    <t>ad9fb6ce-684c-4bec-9cb4-c4ae26b3558b</t>
  </si>
  <si>
    <t>219_2201_원자력안전과_중앙부처계획서_행정안전부_2022년_재해구호계획_수립지침.pdf</t>
  </si>
  <si>
    <t>f1bc9a7f-5acc-46a9-9011-33290e0dd66a</t>
  </si>
  <si>
    <t>GPKI 재발급 및 인사이동시 이동은 어떻게 하는 것인가요?</t>
  </si>
  <si>
    <t>ee3a82e46471449aadc3eaba9212a7ad</t>
  </si>
  <si>
    <t>장기재직 휴가 등록 및 사용 방법이 어떻게 되나요?</t>
  </si>
  <si>
    <t>96bed333fa22461491fbd68a36a2f52f</t>
  </si>
  <si>
    <t>장기재직 휴가는 '부산광역시 공무원 복무 조례'에 따라 근속 기간에 따라 부여되는 특별휴가입니다. 이 휴가를 사용하기 위해서는 다음과 같은 절차를 따르셔야 합니다.
**1. 대상자 확인**
먼저, 자신의 재직 기간이 장기재직 휴가 대상에 해당하는지 확인해야 합니다. 일반적으로 재직 기간이 일정 기간을 초과하면 대상이 됩니다.
**2. 휴가 신청**
휴가를 사용하고 싶은 날짜와 기간을 결정한 후, 부서장의 승인을 받아야 합니다. 이때, **최소 2일 이상**의 단위로 휴가를 사용할 수 있으며, 필요에 따라 **연가와 연계하여 사용**할 수도 있습니다. 예를 들어, 장기재직 휴가 5일과 연가 3일을 함께 사용하는 것이 가능합니다.
**3. 복무 시스템 등록**
휴가 신청을 완료한 후에는 **차세대 인사시스템(복무관리시스템)**에 접속하여 휴가를 등록해야 합니다. 이 과정에서 휴가 사유를 정확히 기재하고, 부서장의 최종 승인을 받습니다.
**4. 업무 대행자 지정**
휴가 기간 동안 본인의 업무를 대신할 **업무 대행자**를 지정하고, 그 사실을 부서장과 공유해야 합니다. 이를 통해 업무 공백을 최소화할 수 있습니다.
**5. 휴가 실시**
모든 절차가 완료되면 계획된 날짜에 휴가를 실시하면 됩니다. 휴가 중에는 긴급 연락이 가능하도록 비상 연락망을 유지하는 것이 좋습니다.
**추가 정보**
- **파견자의 경우**: 만약 다른 기관으로 파견되어 있는 경우에는 파견기관의 부서장에게 먼저 결재를 받고 휴가를 실시한 뒤, 원소속 기관의 부서에 공문을 보내야 합니다.
- **시행 시기**: 장기재직 휴가 제도는 보통 매년 특정 시기에 시행되며, 자세한 사항은 인사과의 공지나 매뉴얼을 참조하셔야 합니다.
- **주의 사항**: 국정감사, 행정사무감사 등의 중요한 업무 기간이나 국가적 재난 상황에서는 휴가를 자제하는 것이 바람직합니다.
이러한 절차를 따르면 장기재직 휴가를 원활하게 등록하고 사용할 수 있습니다. 더 궁금한 점이 있으시면 언제든지 말씀해 주세요!</t>
  </si>
  <si>
    <t>업무추진비 사용할 수 있는 항목이 구체적으로 어떻게 되나요?</t>
  </si>
  <si>
    <t>9bd6fa7ae9154b4e9cc360613950073f</t>
  </si>
  <si>
    <t>업무추진비는 지방자치단체의 효율적인 운영을 위해 사용되는 비용으로, 여러 가지 목적으로 활용될 수 있습니다. 그러나 그 사용 범위는 법령과 지침에 의해 엄격하게 규제되고 있으며, 부적절한 사용을 방지하기 위해 특정 항목들은 사용이 제한되거나 금지되어 있습니다.
**사용 가능한 항목들:**
1. **기관운영업무추진비**
   - 내방객에게 제공하는 음료·다과 재료의 구입
   - 축의·부의금품 지급
     - 지급 대상 범위: 결혼 또는 사망
     - 지급 대상자: 대상자 본인과 배우자, 본인과 배우자의 직계존비속
     - 기관장의 명의로 지급하는 경우
       - 소속 직원
       - 업무 유관기관의 임직원
2. **정원가산업무추진비**
   - 소속 직원에 대한 격려 및 지원
     - 부상이나 사망한 경우 유족에게 지급하는 위로금품
     - 공로가 많은 퇴직 예정 직원에게 격려금품 지급
     - 청소근로자, 운전원 등 현장 근로자에게 격려금품 지급
     - 업무 추진에 대한 격려를 위한 식사 제공
3. **시책업무추진비**
   - 시책 사업 추진을 위한 활동비
   - 정책 개발 및 연구 용역비
   - 대외 협력 및 교류 활동비
4. **부서운영업무추진비**
   - 부서 내 회의, 교육, 워크숍 등 운영비
   - 부서 간 협업 활성화를 위한 공동 활동비
**사용 제한 또는 금지되는 항목들:**
- **심야 시간대(23시 이후) 및 사용자 자택 근처에서의 사용**
  - 일반적인 업무 추진과 관련이 적은 시간과 장소에서의 사용은 제한됩니다.
- **주류 판매를 주목적으로 하는 업종에서의 사용**
  - 유흥업소 등에서의 업무추진비 사용은 금지됩니다.
- **개인 명의의 불우이웃돕기 성금, 재해의연금 등 기타 개인별로 거두어서 내는 성금**
  - 이러한 개인적인 기부금은 업무추진비로 처리할 수 없습니다.
- **가족 모임 등 사적 목적의 사용**
  - 업무와 무관한 개인적인 용도로의 사용은 금지됩니다.
또한, **간담회 등 접대비**는 특별한 사유 없이 1인당 4만원 이하로 집행해야 하며, 불가피한 경우에는 증빙서류에 사유를 명시하고 4만원을 초과하여 집행할 수 있습니다. 하지만 **「청탁금지법」** 적용 대상에게는 더 엄격한 기준이 적용되며, 접대비는 3만원 이하로 제한됩니다.
**주의 사항:**
- 업무추진비는 원칙적으로 **신용카드(클린카드)**로 결제해야 합니다.
- 현금 사용은 **격려금, 축의·부의금 등 현금 집행이 불가피한 경우**에만 가능하며, 이때에도 지출품의서와 영수증 등의 증빙 서류를 철저히 구비해야 합니다.
- 모든 지출은 **집행목적, 일시, 장소, 집행대상** 등을 상세히 기록하여 사용용도를 명확히 해야 합니다.
- 건당 50만원 이상의 지출은 **주된 상대방의 소속 또는 주소 및 성명**을 증빙서류에 반드시 기재해야 합니다.
이러한 내용은 주로 **「지방자치단체 회계관리에 관한 훈령」**, **「지방자치단체 업무추진비 집행에 관한 규칙」**, 그리고 **「청탁금지법」** 등에서 규정하고 있으므로, 정확한 정보 확인을 위해서는 해당 법령과 지침을 참고하시는 것이 좋습니다. 또한, 각 지방자치단체마다 내부 지침이나 조례에 따라 세부적인 내용이 달라질 수 있으니, 구체적인 사항을 파악하려면 해당 기관의 공식 문서나 담당 부서에 문의하시는 것을 권장드립니다.</t>
  </si>
  <si>
    <t>e0e9d28e-e01f-4c6c-93d4-8d6f68671933</t>
  </si>
  <si>
    <t>9a729ebf-6b86-4382-8c5d-22291957d2fc</t>
  </si>
  <si>
    <t>328_2503_재정협력담당관_업뮤매뉴얼_행정안전부_2025년_지방보조금_관리가이드.pdf</t>
  </si>
  <si>
    <t>729d22d3-722f-46bf-be7e-aa760f2f022d</t>
  </si>
  <si>
    <t>469_2406_회계재산담당관_법령_행정안전부_지방자치단체_회계관리에_관한_훈령_00.pdf</t>
  </si>
  <si>
    <t>c3d47ddf-c1db-4876-a518-0ca760403f07</t>
  </si>
  <si>
    <t>c20d5ddc-a1d1-4538-9146-3689b7420da7</t>
  </si>
  <si>
    <t>DRM 비밀번호 초기화는 어떻게 하나요?</t>
  </si>
  <si>
    <t>2b86880d6e494b5daa5f75833b1f5d2a</t>
  </si>
  <si>
    <t>DRM 비밀번호 초기화를 위해서는 다음과 같은 절차를 따르면 됩니다:
1. **사이트 접속**: 먼저 부서 관리자 권한을 가진 사용자로 `http://99.1.81.71:9080/fed5`에 접속합니다. 이때 기존의 DRM 시스템 아이디와 비밀번호를 사용하여 로그인해야 합니다.
2. **조직관리 메뉴 접근**:
   - 로그인 후 상단 메뉴에서 `[공통설정 &gt; 조직관리]`를 클릭합니다.
3. **사용자 선택 및 수정**:
   - 좌측에서 해당 부서와 사용자를 선택하고, 우측 상단의 `[수정]` 버튼을 클릭합니다.
4. **비밀번호 초기화 설정**:
   - 나타나는 화면에서 초기화 비밀번호(`a12345`)를 입력합니다.
   - 그런 다음 우측 상단의 `[확인]` 버튼을 눌러 변경 사항을 저장합니다.
5. **재로그인 및 비밀번호 재설정**:
   - 비밀번호가 초기화된 사용자는 새로운 비밀번호로 로그인할 수 있습니다.
   - 사용자는 자신의 계정에 로그인하여 새로운 비밀번호를 설정해야 합니다.
이 과정을 통해 사용자의 DRM 시스템 비밀번호를 초기화하고, 보안상의 문제를 해결할 수 있습니다. 만약 추가적인 도움이 필요하거나 다른 문제가 발생하면 언제든지 말씀해 주세요. 도와드릴 준비가 되어 있습니다.</t>
  </si>
  <si>
    <t>온나라시스템 부재 설정 방법은 어떻게 되나요?</t>
  </si>
  <si>
    <t>b7e33bfdc0c349b282baac1b6db595f0</t>
  </si>
  <si>
    <t>일상경비 지출 절차는 어떻게 되나요?</t>
  </si>
  <si>
    <t>1245_일상경비_사용방법-txt.pdf</t>
  </si>
  <si>
    <t>be54dbeea8b4444ea843056b80f76cd5</t>
  </si>
  <si>
    <t>일상경비는 지방자치단체에서 일상적으로 발생하는 소규모의 경비를 신속하고 효율적으로 처리하기 위해 사용되는 제도입니다. 일상경비 지출 절차는 다음과 같습니다:
1. **일상경비 예산 편성**: 먼저, 해당 기관이나 부서의 일상적인 운영에 필요한 경비를 파악하여 예산을 편성합니다.
2. **일상경비 교부 신청**: 일상경비가 필요한 부서나 기관은 일상경비출납원에게 일상경비 교부를 신청합니다.
3. **일상경비 교부**: 일상경비출납원은 신청 내용에 따라 일상경비를 교부합니다. 이때, 교부 내역은 문서화되어 관리됩니다.
4. **지출 및 증빙서류 확보**: 일상경비를 받은 담당자는 해당 경비를 지출하며, 이에 대한 영수증 등의 증빙서류를 확보해야 합니다.
5. **정산 보고서 작성 및 제출**: 지출이 완료되면, 지출 내역을 상세히 기록한 정산서를 작성하여 일상경비출납원에게 제출합니다.
6. **정산 확인 및 결재**: 일상경비출납원은 제출된 정산서를 확인하고, 이상이 없을 경우 상급자의 결재를 받아 정산을 마칩니다.
이러한 절차를 통해 일상경비는 신속하게 지급되고 사용되며, 투명하고 효율적인 재정 관리가 가능합니다. 또한, 관련 법령과 규칙을 준수하여 적법한 범위 내에서만 지출되어야 합니다. 구체적인 절차나 필요 서류는 각 지방자치단체의 회계관리 규정이나 내부 지침에 따라 다를 수 있으므로, 정확한 정보를 얻기 위해서는 해당 기관의 회계 담당자나 관련 규정을 참고하시는 것이 좋습니다. 추가적인 도움이 필요하시면 언제든지 말씀해 주세요!</t>
  </si>
  <si>
    <t>9b66f5c7-9e85-4ad2-9e5d-420eb5fbcabf</t>
  </si>
  <si>
    <t>43_페이지5_문서3_162141_부산광역시_회계관리에_관한_규칙.pdf</t>
  </si>
  <si>
    <t>2fdf4a69-7507-4088-8ece-864deef31d9c</t>
  </si>
  <si>
    <t>행정전자서명 가입 절차는 어떻게 되나요?</t>
  </si>
  <si>
    <t>e0e60c8047ab4f99b273940b6c6e2b93</t>
  </si>
  <si>
    <t>행정전자서명은 정부 업무에서 전자적으로 서명할 때 사용하는 공인인증서로, 이를 사용하기 위해서는 몇 가지 절차를 따라야 합니다. 아래는 일반적인 행정전자서명 가입 절차입니다.
---
### **1. 신청 자격 확인**
- **대상자**: 부산광역시 소속 직원으로서 행정 업무에 필요한 경우.
- **제한 사항**: 일부 부서나 직종에서는 사용이 제한될 수 있으므로, 사전에 해당 부서에 문의하는 것이 좋습니다.
### **2. 신청 서류 준비**
- **필요 서류**:
  - **신청서**: 첨부된 한글 파일 양식을 사용하여 작성합니다.
  - **개인정보 제공 동의서**: 개인정보 수집 및 이용에 대한 동의를 위해 필요합니다.
  - **기타 증빙 자료**: 신분증 사본 등 추가적인 서류가 요구될 수 있습니다.
### **3. 신청서 제출**
- **제출 방법**:
  - 작성한 신청서와 관련 서류를 공문으로 상급 기관이나 담당 부서에 제출합니다.
  - **예시**: 부산광역시의 경우, 정보화정책과로 공문을 발송합니다.
- **주의사항**:
  - 공문에는 정확한 내용과 함께 신청자의 정보가 포함되어야 합니다.
  - 특히, 기간제 직원의 경우 근무 기간을 명확히 기재해야 합니다.
### **4. 승인 대기**
- **처리 과정**:
  - 제출된 공문은 내부 검토 과정을 거칩니다.
  - 승인이 완료되면, 신청자에게 휴대전화 문자 메시지로 통보됩니다.
- **유의사항**:
  - 승인까지 일정 시간이 소요될 수 있으며, 최대 14일 이내에 처리되지 않을 경우 재신청이 필요할 수 있습니다.
### **5. 인증서 발급**
- **발급 방법**:
  - 승인 문자 메시지를 받은 후, `gpki.go.kr` 웹사이트에 접속합니다.
  - **로그인 정보**:
    - 이름과 주민등록번호를 입력합니다.
    - 휴대전화로 전송되는 인증번호를 통해 인증을 완료합니다.
- **절차 상세**:
  - **메뉴 경로**: 인증서 관리 &gt; 발급
  - **구분 선택**: 개인용, 행정기관
  - **기관명 입력**: 부산광역시
### **6. 인증서 사용 설정**
- **PC에 인증서 설치**:
  - 발급받은 인증서를 사용할 PC에 설치합니다.
  - 일반적으로 USB 메모리 등을 이용하여 인증서를 이동하거나, 네트워크를 통해 직접 설치할 수 있습니다.
- **보안 유지**:
  - 인증서는 중요한 개인정보이므로 안전한 장소에 보관하고, 타인에게 노출되지 않도록 주의해야 합니다.
### **7. 인증서 갱신 및 관리**
- **갱신 주기**:
  - 인증서의 유효기간은 보통 2년 3개월이며, 만료 100일 전부터 갱신이 가능합니다.
- **갱신 방법**:
  - `gpki.go.kr` 사이트에서 인증서 관리 &gt; 갱신 메뉴를 통해 갱신합니다.
- **관리 팁**:
  - 인증서 비밀번호를 안전하게 관리하며, 정기적으로 변경하는 것이 좋습니다.
  - 인증서가 손상되거나 분실한 경우 즉시 교체해야 합니다.
### **8. 문제 발생 시 대응**
- **기술적 오류 해결**:
  - 인증서 발급 과정에서 문제가 발생할 경우, 인증관리센터 콜센터(1661-9088)에 문의합니다.
- **일반 문의**:
  - 발급 및 갱신 절차 등에 대한 문의는 정보화정책과로 연락합니다.
---
**추가 정보**
- **온메일 및 온톡 활용**:
  - 인증서를 다른 PC로 이동하고자 할 때는 온메일이나 온톡을 이용하여 인증서 파일을 전송합니다.
  - 이때, `C:\GPKI` 폴더 전체를 압축하여 전송해야 하며, 단순히 `class2` 폴더만으로는 정상 작동하지 않습니다.
---
**참고 사항**
- 모든 절차는 최신 정보를 기준으로 하며, 조직의 정책에 따라 변동될 수 있습니다.
- 자세한 내용은 부산광역시 공식 문서나 담당 부서에 문의하여 확인하는 것이 정확합니다.
---
**결론**
행정전자서명 가입은 위의 절차를 따르면 되며, 각 단계마다 필요한 사항을 정확히 이행하는 것이 중요합니다. 만약 추가로 궁금한 점이 있거나 도움이 필요하다면 언제든지 문의해 주세요.</t>
  </si>
  <si>
    <t>4079d725-ae34-4963-89e9-a8a0a3b18329</t>
  </si>
  <si>
    <t>194b430f384f400ba9ade49cf70deba1</t>
  </si>
  <si>
    <t>온나라 문서 과제카드를 잘못 지정하였습니다. 어떻게 수정하나요?</t>
  </si>
  <si>
    <t>f8179fb6baf84f0088ce0664d302e386</t>
  </si>
  <si>
    <t>온나라 시스템에서 문서 과제카드가 잘못 지정되었을 경우, 다음과 같은 방법으로 수정하실 수 있습니다:
1. **완료 문서 조회**: 먼저 온나라 시스템의 '처리한 문서' 메뉴에서 '완료문서'를 선택하고, 재편철하고자 하는 기록물의 제목을 찾아 클릭합니다.
2. **문서관리카드 열기**: 선택한 기록물의 상세 화면에서 '문서관리카드' 버튼을 클릭하여 문서관리카드를 엽니다.
3. **과제카드 변경하기**:
   - 문서관리카드 내에서 '과제카드 변경' 버튼을 찾습니다.
   - 변경하려는 올바른 과제카드를 선택합니다.
   - 변경 사항을 저장하기 위해 '확인' 버튼을 클릭합니다.
이렇게 하면 해당 문서의 과제카드가 올바르게 수정됩니다. 만약 추가적인 도움이 필요하시거나 다른 문의사항이 있으시면 언제든지 말씀해 주세요!</t>
  </si>
  <si>
    <t>장기재직휴가 기준과 사용 방법을 알려주세요. 장기재직휴가 사용 요건이 되면 인사랑에 자동 반영되나요?</t>
  </si>
  <si>
    <t>e13d1fbf4f78481e8c7df039796dc34f</t>
  </si>
  <si>
    <t>안녕하세요! 장기재직휴가에 대해 궁금하신 점이 있으시군요. 제가 도와드릴게요.
**장기재직휴가 기준**
먼저, 장기재직휴가는 일정 기간 이상 근무한 직원들에게 제공되는 특별한 휴가 제도예요. 일반적으로 다음과 같은 기준이 있어요:
- **재직기간**: 보통 5년, 10년, 15년, 20년 등 일정한 기간에 도달하면 휴가를 사용할 수 있어요.
- **사용일수**: 재직기간에 따라 휴가의 일수가 달라져요. 예를 들어:
  - 5~9년: 5일
  - 10~19년: 15일
  - 20~29년: 25일
  - 30년 이상: 25일
- **총 사용가능일수**: 재직기간 전체에 걸쳐 총 70일까지 사용할 수 있어요.
**장기재직휴가 사용 방법**
장기재직휴가를 사용하기 위해서는 몇 가지 절차를 거쳐야 해요:
1. **신청**: 인사부서에 장기재직휴가 사용을 신청해야 해요. 이때 재직기간 증명이나 필요한 서류를 제출해야 할 수도 있어요.
2. **승인**: 관리자나 부서장의 승인이 필요해요. 조직의 업무 일정 등을 고려하여 승인 여부가 결정돼요.
3. **휴가 사용**: 승인 후에는 지정된 날짜에 휴가를 사용하면 돼요.
**인사 시스템과의 연계**
많은 기업이나 기관에서는 인사 시스템을 통해 이러한 휴가 정보를 관리해요. 따라서 장기재직휴가 사용 요건에 도달하면 인사 시스템에 자동으로 반영되어 알림이 오거나, 직원들이 확인할 수 있게 되어 있어요. 하지만 정확한 절차나 시스템은 근무하시는 곳의 정책에 따라 다를 수 있으니, 인사 담당 부서에 문의해보시는 것이 가장 좋아요.
**추가 정보**
- **휴가 사용 시기**: 장기재직휴가는 주로 재직기간 중간에 사용하지 않고, 만료 시점 근처에 사용하는 경우가 많아요.
- **혜택**: 일부 기관에서는 장기재직휴가 사용 시 추가 혜택이나 지원을 제공하기도 해요.
더 궁금한 점이나 자세한 정보가 필요하시면 언제든지 말씀해 주세요! 도움이 되었길 바라요.</t>
  </si>
  <si>
    <t>cb9aadd9-b151-4b85-9de9-4f670b93f777</t>
  </si>
  <si>
    <t>46ce6d10-f766-4ebb-a06d-f238aebe183b</t>
  </si>
  <si>
    <t>302_2502_인사과_업무매뉴얼_행정안전부_교육훈련파견관리_매뉴얼.pdf</t>
  </si>
  <si>
    <t>업무추진비 집행을 위해서 확인해야할 규정을 정리해주세요. 직원당 쓸 수 있는 단가도 상세히 알려주세요
(예시: 정원가산업무추진비 격려금 지급 상한금액 등)</t>
  </si>
  <si>
    <t>1223_별표_1_지방자치단체의_장_등_업무추진비_집행대상_직무활동_범위제3조제1항_관련지방자치단체_업무추진비_집행에_관한_규칙.pdf</t>
  </si>
  <si>
    <t>1, 2, 3, 4</t>
  </si>
  <si>
    <t>4e85b08db2e442a6a67c6288f29a51fa</t>
  </si>
  <si>
    <t>8b87d4085a844f1e9bdf61146bfa1079</t>
  </si>
  <si>
    <t>조례제정시 의회제출 전 법무담당관 협의 등 거쳐야 하는 내부 절차 및 기한에 대해 알려주세요</t>
  </si>
  <si>
    <t>ddb040e98cd4430ea5100509541e002c</t>
  </si>
  <si>
    <t>휴일 출장시 대체휴무 사용이 가능한가요?</t>
  </si>
  <si>
    <t>12</t>
  </si>
  <si>
    <t>c071a34cbce341cd98899c9027953d93</t>
  </si>
  <si>
    <t>사후초과 익일결재를 못받은 경우 구제방법이 있나요?</t>
  </si>
  <si>
    <t>349</t>
  </si>
  <si>
    <t>e7a6b94503da4cb99ebe64bfdaf64869</t>
  </si>
  <si>
    <t>회의실 신청 어떻게 하나요?</t>
  </si>
  <si>
    <t>2e7031d7cebc49d5b658def298fa6fdf</t>
  </si>
  <si>
    <t>국외출장시 며칠 전까지 허가신청 공문 보내야 하나요?</t>
  </si>
  <si>
    <t>483_페이지49_문서3_162906_부산광역시_공무국외출장_조례.pdf</t>
  </si>
  <si>
    <t>81c56fc5f3624a01bcf47c4034fbc2d9</t>
  </si>
  <si>
    <t>부산광역시 공무국외출장 조례에 따르면, 공무국외출장을 하려는 사람은 출국 예정일 **30일 전까지** 공무국외출장 허가를 담당하는 부서장에게 허가 신청을 해야 합니다. 이는 제4조 제2항 단서에 명시되어 있으며, 긴급한 경우가 아니라면 반드시 준수해야 하는 사항입니다.
따라서, 국외출장을 계획하신다면 출국 예정일 최소 30일 이전에 허가신청 공문을 제출하셔야 합니다. 만약 긴급한 상황이 발생한다면 예외적으로 처리될 수 있으나, 일반적으로는 30일 이전 신청이 원칙입니다. 추가적인 문의나 도움이 필요하시면 언제든지 말씀해 주세요!</t>
  </si>
  <si>
    <t>55bd07e8-873e-4f14-bb39-654b67a37ddd</t>
  </si>
  <si>
    <t>보존기간 만료 기록물 자체 폐기 가능한가요?</t>
  </si>
  <si>
    <t>432_2412_통합민원과_업무메뉴얼_국가기록원_25년_기록물관리_지침.pdf</t>
  </si>
  <si>
    <t>264</t>
  </si>
  <si>
    <t>f46cee746d864ed38bb301e2fe39e0bd</t>
  </si>
  <si>
    <t>네, 보존기간 만료 기록물의 폐기는 가능합니다. 그러나 이는 관련 법규와 지침을 준수하여 진행해야 합니다.
**관련 규정**
- **'공공기록물 관리에 관한 법률'(약칭: 공공기록물법)**에서는 기록물의 생산부터 폐기까지의 전 과정을 규정하고 있습니다.
- 특히, **제16조**에서는 기록물의 보존기간 책정과 관련된 사항을 다루며, **제18조**에서는 기록물의 평가 및 폐기에 대한 절차를 명시하고 있습니다.
- 또한, **'2025년 기록물관리 지침'**에서도 기록물의 평가 및 폐기 절차에 대해 상세히 안내하고 있습니다.
**폐기 절차**
1. **평가 및 심의**: 보존기간이 만료된 기록물은 먼저 평가를 받아야 합니다. 이때 기록물평가심의회의 심의를 통해 해당 기록물이 더 이상 가치가 없는지를 판단합니다.
2. **폐기 결정**: 평가 결과 폐기가 필요하다고 결정되면, 공식적인 폐기 절차를 밟게 됩니다.
3. **폐기 방법**: 폐기는 물리적 파기와 디지털 삭제를 포함하며, 보안성과 효율성을 고려하여 적절한 방법을 선택해야 합니다.
**주의사항**
- **기록관의 승인 필요**: 기록물의 폐기는 일반적으로 기록관에서 담당하며, 기록관의 승인 없이 임의로 폐기할 수 없습니다.
- **보안 유지**: 폐기 과정에서 개인정보나 민감한 정보가 유출되지 않도록 철저한 관리가 필요합니다.
- **증빙 자료 보관**: 폐기 후에는 폐기 일자, 방법 등을 기록한 증빙 자료를 보관해야 합니다.
**결론적으로**, 보존기간이 만료된 기록물을 폐기하려면 위의 절차를 따라야 하며, 임의로 폐기하는 것은 법적 문제가 될 수 있으므로 주의해야 합니다. 구체적인 절차나 추가적인 문의 사항이 있으시면 관련 부서나 기록관에 문의하시는 것이 좋습니다. 도움이 되셨기를 바랍니다!</t>
  </si>
  <si>
    <t>9c736d16-0d5b-4487-963c-cfeab11843a0</t>
  </si>
  <si>
    <t>보안usb 매체점검은 어디서 하나요?</t>
  </si>
  <si>
    <t>368_2412_정보화정책과_업무매뉴얼_채울_휴대용저장매체관리시스템_부서관리자_매뉴얼.pdf</t>
  </si>
  <si>
    <t>29, 30</t>
  </si>
  <si>
    <t>bfe3fbd789624f868a56a9ca0f7de47c</t>
  </si>
  <si>
    <t>보안 USB의 매체점검은 '매체관리' 메뉴에서 진행하실 수 있어요. 자세한 방법은 다음과 같습니다:
1. **신청서 관리 선택**: 작업 표시줄의 `uAgency` 아이콘을 우클릭한 후, '신청서 관리' 메뉴를 선택해주세요.
2. **사용자 인증**: 패스워드를 입력하여 사용자를 인증합니다.
3. **매체관리 선택**: 상단 메뉴 중 '매체관리'를 클릭합니다.
4. **매체점검 실행**:
   - 등록된 모든 보안 USB를 선택한 후, '매체점검'을 선택하면 해당 보안 USB들의 이상 유무를 체크하고 결과를 확인할 수 있습니다.
이렇게 하면 보안 USB의 상태를 확인하고 필요한 조치를 취할 수 있어요. 추가로 궁금한 점이 있으시면 언제든지 말씀해 주세요!</t>
  </si>
  <si>
    <t>bc02f04b-68d0-4c39-babe-e4d573aa8069</t>
  </si>
  <si>
    <t>eeb59030-5346-44c9-aa6d-a7b16bc33730</t>
  </si>
  <si>
    <t>신규 임용시 원활한 업무진행을 위해 행정포털, 행정전자서명 발급등 처리해야 할 사항 및 절차는 어떻게 되나요?</t>
  </si>
  <si>
    <t>6db5bf14a6c747b8b26ccf840967b2b9</t>
  </si>
  <si>
    <t>직원차량 등록 절차는 어떻게 되나요?</t>
  </si>
  <si>
    <t>409_2505_총무과_주요질문사항_직원주차장_이용_안내.pdf</t>
  </si>
  <si>
    <t>da7629a3849e45a4bb9db3614f14359e</t>
  </si>
  <si>
    <t>직원 차량의 주차장 등록 절차는 다음과 같습니다:
1. **승용차 요일제 1일 지정**: 시청 교통혁신과, 구청 또는 행정복지센터를 방문하여 승용차 요일제를 신청하고 1일을 지정합니다.
2. **선택 요일 1일 지정**: 추가로 원하는 요일을 선택하여 총 2일의 요일을 지정합니다.
3. **필요한 서류 준비**:
   - **경차, 수소차, 하이브리드 전기차**인 경우: 차량등록증을 준비합니다.
   - **장애인, 국가유공자 차량**인 경우: 본인 확인이 가능한 증빙서류를 제출합니다.
   - **유아 동승 차량**인 경우: 재원증명서와 주민등록등본을 제출하며, 해당 유아가 초등학교에 입학하면 자동으로 해제됩니다.
4. **엑셀 파일 작성**: "직원정기권 등록 신청서" 엑셀 파일을 작성합니다.
5. **각 과에서 취합**: 소속 부서나 과에서 모든 직원들의 신청서를 모아 취합합니다.
6. **공문으로 신청**: 취합된 신청서를 포함한 공문을 통해 주차관리 부서에 신청을 합니다.
7. **차량 해지 시에도 동일한 절차 적용**: 차량을 해지할 때도 위의 절차를 따라 공문으로 신청해야 합니다.
이러한 절차를 거쳐야 직원들이 주차장을 원활하게 이용할 수 있습니다. 추가적인 문의 사항이나 도움이 필요하시면 언제든지 말씀해 주세요!</t>
  </si>
  <si>
    <t>589bb7c6-2204-440a-bfdc-10544ac70a4b</t>
  </si>
  <si>
    <t>조례 개정 절차는 어떻게 되나요?</t>
  </si>
  <si>
    <t>8e37aacb7d8448ad9e1f2f5532105474</t>
  </si>
  <si>
    <t>보통예금계좌 점검 주기 및 방법을 알려줘</t>
  </si>
  <si>
    <t>131, 132</t>
  </si>
  <si>
    <t>7f46e0ac14d44e769ebfb280010a0874</t>
  </si>
  <si>
    <t>보통예금계좌의 점검 주기와 방법은 다음과 같습니다.
**1. 사업부서장의 점검**
- **주기**: 분기별 1회 이상
- **방법**: 사업부서장은 해당 부서 내 보통예금계좌를 점검하며, 계좌가 불필요하거나 유사한 사업의 계좌와 통합이 필요하다고 판단되면 즉시 계좌를 해지하거나 통합 조치를 취하고 이를 회계부서장에게 통보합니다.
**2. 회계부서장의 점검**
- **주기**: 반기별 1회 이상
- **방법**: 회계부서장은 자치단체 전체의 보통예금계좌를 점검합니다. 이때, 계좌의 용도에 따라 예산이나 세정과 관련된 업무 담당 부서와의 협력을 통해 보다 철저한 점검이 이루어집니다.
**3. 외부점검**
- **주체**: 회계책임관
- **대상**: 감사부서
- **주기**: 연 1회 이상
- **내용**: 계좌 운영 현황에 대한 전수 조사를 실시하며, 사업부서와 금고로부터 계좌 현황 자료를 제출받아 대조 및 점검을 진행합니다.
이러한 절차를 통해 자치단체는 보통예금계좌의 효율적인 관리와 투명성을 확보하고자 합니다. 추가적인 문의사항이 있으시면 언제든지 말씀해 주세요.</t>
  </si>
  <si>
    <t>80e762ce-2151-452d-891f-f2e6a314a7bb</t>
  </si>
  <si>
    <t>장기재직휴가 기준 및 사용 방법을 알려줘</t>
  </si>
  <si>
    <t>8ccd7145fee34036b5375f2b3051f288</t>
  </si>
  <si>
    <t>부산광역시에서 시행하는 장기재직휴가는 5년 이상 근무한 공무원을 대상으로 하며, 재직 기간에 따라 다음과 같이 휴가를 제공합니다:
- **5년 ~ 9년**: 5일의 휴가
- **10년 ~ 19년**: 10일의 휴가
- **20년 ~ 29년**: 25일의 휴가
- **30년 이상**: 25일의 휴가
**사용 방법**은 다음과 같습니다:
1. **사전 등록**: 직원들은 자신의 재직 기간을 확인하고, 복무 시스템에 승인 가능한 휴가 일수를 사전에 등록해야 합니다.
2. **부서장의 승인**: 휴가 신청 전에 부서장의 승인을 받아야 합니다. 이때, 부서장은 업무 대행자를 지정하고, 휴가 기간 동안 업무 공백이 없도록 조치를 취해야 합니다.
3. **휴가 실시**: 부서장의 승인이 완료되면, 직원들은 휴가를 사용할 수 있습니다. 휴가 기간은 최소 2일 이상으로 분할 사용이 가능하며, 토·일요일이나 공휴일은 휴가 일수에 포함되지 않습니다.
또한, 장기재직휴가는 업무에 지장이 없는 범위 내에서 사용되어야 하며, 중요한 업무 일정이나 국가적 재난 상황 등에서는 사용을 자제해야 합니다. 자세한 내용은 첨부된 파일 '[파일명: 1227_2407_부산광역시_인사과_업무매뉴얼_인사과_장기재직휴가_시행지침_개정전문.pdf]'를 참고하시기 바랍니다. 이 지침에는 휴가 신청 절차와 유의 사항 등이 상세히 나와 있습니다. 추가로 궁금한 점이 있으시면 언제든지 말씀해 주세요!</t>
  </si>
  <si>
    <t>공무원증 신청 및 승인처리 방법을 알려줘</t>
  </si>
  <si>
    <t>d2bdc9249afd4e5fabf3ab87241b7c9c</t>
  </si>
  <si>
    <t>공무원증 및 모바일 공무원증의 신청 및 승인 처리 방법은 다음과 같습니다:
1. **인사시스템 접속**: 먼저 '인사랑' 인사시스템에 로그인합니다.
2. **신청 경로 이동**:
   - **공무원증 신청**: '인사마당' 메뉴에서 '공무원증 신청' 항목을 선택합니다.
   - **모바일공무원증 신청**: '인사마당' 메뉴에서 '모바일공무원증 신청' 항목을 선택합니다.
3. **정보 입력 및 제출**:
   - 필요한 개인 정보를 정확하게 입력합니다.
   - 특히, 모바일증 신청 시에는 실물공무원증 뒷면에 있는 '6260000-'로 시작하는 연번을 정확히 기재해야 합니다.
4. **부서장 승인 요청**:
   - 신청서를 작성한 후, 해당 부서의 부서장에게 승인을 요청합니다.
   - 부서장은 신청자의 정보가 정확한지 확인한 후 승인 절차를 진행합니다.
5. **승인 완료 및 수령**:
   - 부서장의 승인이 완료되면, 신청 절차가 마무리됩니다.
   - **실물공무원증**은 신청 후 약 4주 이내에 발급되어 본인에게 전달됩니다.
   - **모바일공무원증**은 신청 후 약 1주일 이내에 안내 문자를 받게 되며, 문자의 안내에 따라 설치를 진행하면 됩니다.
이러한 절차를 통해 공무원증 및 모바일공무원증을 발급받을 수 있으며, 이는 공무원의 신분 확인과 청사 출입 등에 사용됩니다. 만약 추가적인 도움이 필요하거나 문제가 발생할 경우, 인사관리팀이나 담당 부서에 문의하시면 자세한 안내를 받으실 수 있습니다.</t>
  </si>
  <si>
    <t>비밀문서 접수 시 처리 절차를 알려줘</t>
  </si>
  <si>
    <t>776_페이지78_문서6_163407_부산광역시_보안업무규정.pdf</t>
  </si>
  <si>
    <t>4</t>
  </si>
  <si>
    <t>4bbab38099a346ce8acf8a212d84996f</t>
  </si>
  <si>
    <t>미등록기록물 등록 방법은 어떻게 되나요?</t>
  </si>
  <si>
    <t>19, 20, 21, 22, 23, 24</t>
  </si>
  <si>
    <t>dcf90c25d45b424788a8cbbe4a2f9446</t>
  </si>
  <si>
    <t>미등록기록물을 등록하려면 먼저 기록관리시스템에 로그인해야 해요. 행정포털을 통해 자동으로 로그인이 가능하며, 행정포털 홈에서 '행정서비스'를 선택한 다음 '기록관'을 클릭하면 기록관리시스템 홈화면에 접속할 수 있어요.
그 다음에는 미등록기록물 추가 등록 절차를 따르면 돼요. 대상은 당해 연도 내에 등록되지 않은 비전자기록물이에요. 절차는 다음과 같아요:
1. **기록물철 등록**: 
   - '기록물인수' 메뉴에서 '등록인수'를 선택하고 '등록' 버튼을 클릭해요.
   - 등록 화면이 나타나면 필요한 정보를 입력한 뒤 '등록' 버튼을 눌러요.
2. **기록물건 등록**:
   - 기록물철 등록이 완료되면 각 개별 기록물에 대한 상세 정보를 입력하고 등록해요.
3. **등록 완료**:
   - 모든 기록물의 등록이 끝나면 전체적인 등록 과정을 마무리해요.
4. **검수 및 인수**:
   - 등록된 기록물에 대해 검수를 하고 인수를 진행해요.
5. **철표지·색인목록 출력**:
   - 필요에 따라 철표지와 색인목록을 출력하여 보관하거나 참고할 수 있어요.
이렇게 하면 미등록되었던 비전자기록물을 기록관리시스템에 정상적으로 등록할 수 있어요. 추가로 궁금한 점이 있으면 언제든지 물어봐 주세요!</t>
  </si>
  <si>
    <t>7f6432b7-8e69-4404-8ee9-c8a456e13b0f</t>
  </si>
  <si>
    <t>62197637-aeda-43e8-95a6-7eb187cf5d41</t>
  </si>
  <si>
    <t>예산 편성 절차와 관련하여 사업비별 사전 이행절차는 무엇인가요?</t>
  </si>
  <si>
    <t>88081751c2a8482488c7ea9d8c06312a</t>
  </si>
  <si>
    <t>부산광역시 재정협력담당관의 업무 매뉴얼에 따르면, 예산 편성 절차와 관련된 사업비별 사전 이행절차는 다음과 같습니다.
**1. 예산 편성 절차**
- **사전절차 진행**: 예산 편성 전에 원가 계산이 먼저 이루어져야 합니다.
- **예산 편성 단계**
  - **민간위탁 관리위원회 심의**: 예산안에 대해 민간위탁 관리위원회의 심의를 거칩니다.
  - **의회 동의**: 시의회의 동의를 받습니다.
  - **예산안 의결**: 최종적으로 예산안이 의결됩니다.
**2. 사업비별 예산 편성 과목**
- **민간위탁금(307-05)**: 법령이나 조례에 의해 민간인에게 위탁 관리하는 사업에 사용되는 기금 성격의 사업비를 말합니다.
- **민간위탁사업비(402-03)**: 자치단체가 직접 추진해야 하지만 법령에 따라 민간에 위탁하거나 대행시키는 사업의 사업비를 의미합니다.
**3. 예산 편성 시 주의사항**
- **보조금과의 구분**: 법령이나 조례에 따라 보조금으로 지원해야 할 사무를 민간위탁금이나 민간위탁사업비로 편성해서는 안 됩니다.
- **공공기관에 대한 위탁**: 공공기관운영법에 따른 공공기관, 지방공기업법에 따른 공사·공단, 지방 출자출연법에 따른 출자·출연 기관에 위탁하는 경우에도 민간위탁금이나 민간위탁사업비로 편성하지 않습니다.
**4. 기타 관련 규정**
- **지방자치단체 예산편성 운영기준**: 행정안전부에서 제공하는 지침으로, 민간위탁금의 사용에 대한 구체적인 기준을 제시하고 있습니다.
- **지방계약법 및 공유재산법**: 계약 방법 선정 시 참고해야 할 법령으로, 공개모집이 원칙이며 예외적인 경우에 한해 수의계약을 허용합니다.
따라서, 예산 편성 절차를 진행하기 전에 해당 사업의 특성에 맞는 예산 과목을 선택하고, 법령과 조례에 부합하는지 확인하며, 필요 시 원가 계산을 통해 정확한 예산을 산출해야 합니다. 또한, 예산 편성 후에는 민간위탁 관리위원회의 심의와 의회의 동의를 거쳐야 하며, 이는 투명하고 효율적인 예산 운용을 위해 필수적인 과정입니다.</t>
  </si>
  <si>
    <t>입찰시 지역제한이 불가할 때 이행해야할 절차와 검토항목에는 무엇이 있나요?</t>
  </si>
  <si>
    <t>10de63ef6e3e46f4901c731b959d1d7d</t>
  </si>
  <si>
    <t>입찰 시 지역제한이 불가한 경우에는 다음과 같은 절차를 따르고, 관련된 사항을 검토해야 합니다.
**절차**
1. **발주부서의 자체 판단**: 먼저, 발주부서는 해당 사업이 지역제한 없이 전국 단위로 입찰을 진행해야 하는지 여부를 판단합니다. 이는 특정 기술이나 자원이 지역에 한정되어 있지 않고, 전국에서 공급받을 수 있는 경우에 해당됩니다.
2. **회계재산담당관에 사전검토 의뢰**: 만약 법령상 지역제한을 적용할 수 없는 사유가 명확하다면, 발주부서는 회계재산담당관에 사전검토를 의뢰하여 해당 사항이 적절한지 확인받습니다.
3. **청렴담당관에 사전감사컨설팅 신청**: 법령상의 예외 사유가 아닌 다른 이유로 지역제한이 불가능한 경우에는, 발주부서는 청렴담당관에 사전감사컨설팅을 신청하여 적법성과 타당성을 검토받습니다.
4. **입찰 공고 및 진행**: 위의 절차를 거쳐 문제가 없다고 판단되면, 전국 단위로 입찰을 공고하고 진행합니다.
**검토 항목**
- **관련 법령 및 규정 준수 여부**: 국가계약법, 지방계약법, 관련 예규 등을 참고하여 지역제한을 해제할 수 있는 법적 근거가 있는지 확인합니다.
- **사업의 특성 분석**: 해당 사업이 기술적 특수성이나 긴급성으로 인해 지역 내에서 충분한 참여자를 확보하기 어려운지 평가합니다.
- **경쟁 촉진 가능성**: 지역제한 해제를 통해 보다 많은 업체가 참여할 수 있어 경쟁이 활성화되고 예산 절감이 가능한지를 고려합니다.
- **공정성 및 투명성 확보**: 입찰 과정이 공정하게 진행되며, 특정 업체에게 유리하거나 불리함이 없도록 관리 방안을 마련합니다.
- **부산지역업체 보호 방안 강구**: 지역경제 활성화를 위해 부산지역업체에 대한 우대 조건 부여나 별도의 지원책을 검토합니다.
이러한 절차를 통해 지역제한이 불가한 상황에서도 법적인 문제를 예방하고, 효율적인 공공사업을 추진할 수 있습니다. 추가적인 도움이 필요하시면 언제든지 말씀해 주세요.</t>
  </si>
  <si>
    <t>0fb565bc-3c07-4a80-81ce-fc0923320e44</t>
  </si>
  <si>
    <t>반복특이(악성) 민원 응대 매뉴얼 및 민원처리 담당자의 보호지원에는 어떤 것이 있나요?</t>
  </si>
  <si>
    <t>431_2410_통합민원과_업무매뉴얼_행정안전부_민원인의_위법행위_및_반복민원_대응방안지침.pdf</t>
  </si>
  <si>
    <t>19, 44</t>
  </si>
  <si>
    <t>e94cb469eaad400f90c73bcf2889f223</t>
  </si>
  <si>
    <t>업무 관련 소송에 발생하게 되면 부산시에서 법률 지원을 받을 수 있는 방법 및 절차가 어떻게 되나요?</t>
  </si>
  <si>
    <t>950_페이지95_문서10_163810_부산광역시_소송사무_처리_규칙.pdf</t>
  </si>
  <si>
    <t>4, 5</t>
  </si>
  <si>
    <t>39469f3bf2224962a54497eeff1a350c</t>
  </si>
  <si>
    <t>DRM 암호 초기화는 어떻게 하나요?</t>
  </si>
  <si>
    <t>6fdff7fcb3c34506bbc5de89fe5fa129</t>
  </si>
  <si>
    <t>DRM(Digital Rights Management) 시스템에서 암호를 초기화하는 방법은 일반적으로 다음과 같습니다:
1. **관리자 권한 확인**: DRM 시스템의 관리자 권한을 가진 계정으로 로그인해야 합니다. 이는 조직 내에서 보안 및 접근 권한을 관리하는 담당자가 수행하는 것이 일반적입니다.
2. **암호 초기화 기능 접근**:
   - **웹 인터페이스 이용**: 대부분의 DRM 시스템은 웹 기반의 관리 콘솔을 제공합니다. 이 콘솔에 접속하여 '사용자 관리' 또는 '계정 설정' 메뉴로 이동합니다.
   - **API 사용**: 일부 DRM 시스템에서는 API(Application Programming Interface)를 통해 암호 초기화를 지원할 수 있습니다. 이 경우 개발자나 IT 전문가가 해당 기능을 사용할 수 있습니다.
3. **특정 사용자 선택**: 초기화하고 싶은 사용자의 정보를 확인하고 선택합니다. 여기에는 사용자 이름이나 이메일 주소 등이 포함될 수 있습니다.
4. **암호 초기화 실행**:
   - **일괄 처리**: 여러 사용자의 암호를 한 번에 초기화할 수 있는 옵션이 있을 수 있습니다.
   - **개별 처리**: 특정 사용자의 암호만을 초기화할 수도 있습니다.
   - **초기화 비밀번호 설정**: 새로운 임시 비밀번호를 설정하거나 자동으로 생성되는 경우가 있습니다.
5. **사용자에게 알림 전송**:
   - **이메일 통보**: 초기화된 사용자에게 새로운 비밀번호나 초기화 사실을 알리는 이메일을 보낼 수 있습니다.
   - **SMS 메시지**: 긴급한 경우에는 SMS를 통해 안내할 수도 있습니다.
6. **보안 절차 준수**:
   - **인증 강화**: 암호 초기화 과정에서 추가적인 인증 절차를 요구할 수 있습니다. 예를 들어, OTP(One-Time Password)를 통한 이중 인증을 요구할 수 있습니다.
   - **기록 유지**: 모든 변경 사항은 로그로 기록되어 추후 감사 목적이나 문제 발생 시 참고할 수 있도록 합니다.
7. **사용자 재인증 요청**:
   - **재로그인 필요성**: 암호가 초기화된 사용자는 새로운 비밀번호로 다시 로그인하도록 요청됩니다.
   - **비밀번호 정책 적용**: 새로운 비밀번호를 설정할 때 회사의 비밀번호 정책을 따라야 할 수 있습니다. 예를 들어, 최소 길이, 특수 문자 포함 여부 등이 있습니다.
8. **시스템 업데이트 및 패치 적용**:
   - **소프트웨어 버전 확인**: 최신 버전의 DRM 소프트웨어를 사용하고 있는지 확인합니다.
   - **패치 설치**: 필요한 경우 보안 패치를 적용하여 시스템을 최신 상태로 유지합니다.
9. **교육 및 가이드 제공**:
   - **사용자 교육**: 암호 관리와 관련된 교육을 실시하여 사용자가 안전한 비밀번호를 설정하고 관리하도록 돕습니다.
   - **가이드 문서 배포**: 암호 초기화 방법과 주의사항 등을 담은 가이드를 배포합니다.
10. **법적 규제 준수**:
    - **개인정보 보호법 등**: 관련 법규를 준수하며, 개인정보 유출 방지를 위한 조치를 취합니다.
이러한 과정은 DRM 시스템이 설치된 환경과 조직의 정책에 따라 다를 수 있으므로, 정확한 절차는 해당 시스템의 매뉴얼이나 IT 부서에 문의하여 확인하는 것이 좋습니다. 또한, 보안상의 이유로 자세한 절차는 공개되지 않을 수 있으니, 공식 채널을 통해서만 진행하시기 바랍니다.</t>
  </si>
  <si>
    <t>시청사 직원차량 주차등록은 어떻게 하나요?</t>
  </si>
  <si>
    <t>2447d16025094576b8325d9ffc9858c7</t>
  </si>
  <si>
    <t>자차로 관외출장 나갔을 시 여비 지급은 어떻게 하나요?</t>
  </si>
  <si>
    <t>604, 605</t>
  </si>
  <si>
    <t>225eb4d301f74ce18a5d62b00515d0ac</t>
  </si>
  <si>
    <t>안녕하세요! 자차를 이용하여 관외출장을 나가셨을 때의 여비 지급 방법에 대해 안내해 드릴게요.
**기본 원칙**
- **근무지 외 출장 시**, 원칙적으로는 **근무지와 출장 목적지 사이의 대중교통 요금**(버스, 철도 등)을 기준으로 여비가 지급됩니다.
- 이는 공무원의 여비 지급이 국민의 세금으로 이루어지기 때문에, 일반 국민이 이용하는 교통수단의 비용 범위 내에서 합리적으로 책정되기 때문입니다.
**예외 사항**
그러나 **공무상 부득이한 사유**로 인해 자차를 이용해야 하는 경우가 있습니다. 이러한 경우에는 다음과 같이 추가적인 비용이 지급될 수 있어요:
1. **연료비**: 여행 거리(km) × 유가(현재 휘발유 가격 등) ÷ 차량의 연비
   - 예를 들어, 왕복 거리가 200km이고, 현재 휘발유 가격이 리터당 1,500원이며, 차량의 연비가 10km/L라면,
     - 연료비 = 200km × 1,500원/리터 ÷ 10km/L = 30,000원
2. **통행료**
3. **주차료**
이러한 비용들은 실제로 지출된 증빙 자료(영수증 등)를 제출하면 지급받을 수 있습니다.
**주의사항**
- **부득이한 사유**란:
   - 산간오지나 도서벽지로 대중교통이 없는 경우
   - 복잡한 경로로 대중교통 이용이 어려운 경우
   - 심야 시간대에 이동해야 하는 경우
   - 무거운 수하물을 운송해야 하는 경우
   - 그 밖에 업무 특성상 부득이하다고 판단되는 경우 등이 포함됩니다.
- **소속 기관의 승인 필요**: 이러한 예외 사항은 사전에 소속 기관의 승인을 받아야 합니다.
**결론**
따라서, 일반적인 상황에서는 자차를 이용한 경우에도 대중교통 요금이 여비로 지급되며, 특별한 사정으로 인해 자차를 사용했다면 그에 따른 추가 비용을 신청하고 승인받아야 합니다.
더 궁금하신 점이나 구체적인 도움이 필요하시면 언제든지 말씀해 주세요! 도와드릴 수 있어 기쁩니다.</t>
  </si>
  <si>
    <t>257817f4-eb3c-44cd-a170-67a953688596</t>
  </si>
  <si>
    <t>1230_공무원여비100문100답.pdf</t>
  </si>
  <si>
    <t>휴직 신청 절차 및 행정처리 방법은?</t>
  </si>
  <si>
    <t>2501_인사과_지침_행정안전부_지방공무원 인사제도 운영지침(행정안전부예규)(제314호)</t>
  </si>
  <si>
    <t>531d6e1d08e9409988ed9919fa589674</t>
  </si>
  <si>
    <t>비전자기록물 편철·정리 방법은?</t>
  </si>
  <si>
    <t>423_2012_통합민원과_업무메뉴얼_통합민원과_비전자기록물_편철정리_요령.pdf</t>
  </si>
  <si>
    <t>1, 2</t>
  </si>
  <si>
    <t>88bcb8cf5e31476489ffc674b77d666d</t>
  </si>
  <si>
    <t>비전자기록물의 편철·정리 방법은 다음과 같습니다:
1. **기록물 정리**:
   - **완료된 문서 정리**: 사안이 종결된 문서는 진행문서파일에서 꺼내어 사안 발생 순서(1월부터 12월까지)에 따라 위에서 아래로 정리합니다.
   - **원본 기록물 유지**: 원본 기록물만을 유지하고, 전자문서 출력본이나 참고용 사본은 제거합니다.
   - **예외 사항**: 분리등록한 비전자 문서의 전자문서 출력본은 함께 편철·관리하며, 반드시 전자문서임을 표시합니다.
   - **부득이한 경우**: 전자문서 출력본 등 사본을 함께 관리해야 할 때는 전자문서 또는 사본임을 명확히 표시합니다.
   - **철제품 제거**: 책철침, 클립, 철침 등 철제품류는 모두 제거합니다.
2. **기록물의 편철**:
   - **편철 순서**: 기록물철 표지 → 색인목록 → 문서(사안 발생 순서)의 순서로 편철합니다.
   - **편철량 제한**: 편철량은 100매 이내를 원칙으로 하며, 편철량이 많은 경우 2권 이상으로 분철합니다. 분철 기준은 기록물 건 단위이며, 1건의 기록물은 편철량이 많아도 분철하지 않습니다.
   - **편철 후 고정**: 편철 후에는 보존용 표지를 씌우고 집게로 고정합니다.
   - **분철 시 주의사항**:
     - 분철된 기록물은 기록물철 표지 및 보존상자 표지에 권호수를 기재합니다. 예를 들어, "기록물 이관 및 검수(2-1)", "기록물 이관 및 검수(2-2)"와 같이 표시합니다.
     - 분철의 기준은 기록물 건이며, 1건의 기록물은 분철하지 않습니다.
     - 편철용 집게로 고정 가능한 경우, 100매를 초과해도 편철 가능합니다.
3. **면의 표시**:
   - **위치**: 기록물 건별로 중앙 하단에, 전체 페이지 수에서 해당 페이지 수를 기재합니다.
   - **방법**:
     - 접혀있는 문서는 펼쳐진 상태에서 면 표시를 합니다.
     - 분철된 경우, 이전 권의 마지막 페이지 수에 이어서 다음 권의 페이지 수를 시작합니다.
     - 양면에 내용이 있는 경우, 양쪽 면 모두에 면 표시를 합니다.
     - 백지에 간인이 찍힌 경우에도 면 표시를 합니다.
     - 첨부된 봉투에도 면 표시를 합니다.
   - **면 표시 제외 대상**:
     - 기록물철 표지 및 색인목록은 면 표시를 하지 않습니다.
     - 분리등록한 비전자와 함께 편철된 전자문서 출력본은 면 표시를 하지 않고, 전자문서임을 표시합니다.
     - 책자의 표지는 간지와 중복되므로 면 표시를 하지 않습니다.
     - 대장류의 빈 서식은 내용이 없으므로 면 표시를 하지 않습니다.
4. **기록물철 표지 및 색인목록 작성**:
   - **기록물철 표지 작성 방법**:
     - 과제관리 메뉴에서 해당 카드를 선택한 후, 기록물철 표지를 클릭하여 인쇄하거나 저장 후 인쇄합니다.
     - 기록물철 표지에는 기록물철명(과제카드명), 생산연도와 종료연도, 부서명을 기재합니다.
     - 보존기간은 연필로 오른쪽 여백에 기재합니다.
     - 분철된 경우, 기록물철명 옆에 괄호를 사용하여 연필로 권호수를 기재합니다.
   - **색인목록 작성 방법**:
     - 온나라 시스템을 통해 부서과제의 단위과제를 선택하고, 해당 카드명을 클릭합니다.
     - 실적관리에서 비전자기록물 엑셀다운로드를 선택하여 연도를 선택하고 다운로드합니다.
     - 다운로드한 엑셀 파일에 쪽수와 비고란을 추가로 작성합니다.
   - **분철 시 색인목록 처리**:
     - 분철된 경우, 색인목록은 첫 번째 권에만 편철합니다.
이러한 절차를 따르면 비전자기록물을 체계적이고 효율적으로 편철·정리할 수 있습니다. 이는 기록물의 보관성과 접근성을 높여 향후 필요 시 신속하게 자료를 찾을 수 있게 도와줍니다. 만약 더 자세한 안내나 도움이 필요하다면 언제든지 말씀해 주세요! 다른 궁금한 점이 있으시면 또 물어보세요.</t>
  </si>
  <si>
    <t>499af8ab-2218-4ac2-b553-c875de6ab912</t>
  </si>
  <si>
    <t>91d5b22b-b1b6-4af4-bef0-5aec87d72f1c</t>
  </si>
  <si>
    <t>1a3208cc-3ea3-4bd3-b212-ffd71b8aeb1b</t>
  </si>
  <si>
    <t>차량배차 협조 요청 절차 및 처리 방법은?</t>
  </si>
  <si>
    <t>96a0ad6dc2a24ae482ac5622f1302431</t>
  </si>
  <si>
    <t>PC교체로 인한 행정전자서명 이동 방법은?</t>
  </si>
  <si>
    <t>8b08b231dc7b4aa38a21145a8dff2f19</t>
  </si>
  <si>
    <t>안녕하세요! PC 교체로 인해 행정전자서명을 새로운 컴퓨터로 이동하려면 다음과 같은 절차를 따르면 됩니다.
**1. 기존 PC에서 행정전자서명 파일 백업**
- **백업 위치 확인**: 행정전자서명은 일반적으로 `C:\GPKI` 경로에 저장되어 있습니다.
- **전체 폴더 백업**: `GPKI` 폴더 전체를 압축하여 백업합니다. 이때 `C:\GPKI` 경로 아래에 있는 모든 하위 폴더와 파일을 포함해야 합니다.
**2. 백업 파일 전송**
- **안전한 방법으로 전송**: 백업한 파일을 새로운 PC로 옮겨야 합니다. 이를 위해 이메일이나 클라우드 서비스를 이용할 수 있지만, 보안상의 이유로 내부망을 통한 안전한 방법을 권장합니다.
- **온메일 또는 온톡 사용**: 문서에서는 `온메일` 또는 `온톡`을 사용하여 본인에게 파일을 보내는 방법을 제시하고 있습니다. 이는 조직 내에서 제공되는 안전한 통신 수단일 것입니다.
**3. 새로운 PC에서 행정전자서명 복원**
- **압축 해제**: 받은 압축 파일을 새로운 PC의 `C:\` 드라이브에 압축 해제합니다.
- **경로 확인**: 압축 해제한 후 `C:\GPKI` 경로에 `GPKI`, `certificate`, `class2` 등의 폴더가 제대로 생성되었는지 확인합니다.
- **파일 확인**: 특히 `class2` 폴더 내에 본인의 이름으로 된 파일이 4개 존재하는지 확인합니다.
**주의사항**
- **전체 폴더 복사 필수**: 단순히 `class2` 폴더만 복사하는 것이 아니라, `GPKI` 폴더 전체를 복사해야 합니다.
- **보안 유지**: 전자서명과 관련된 정보는 매우 중요하므로, 외부로의 유출이나 손상에 주의해야 합니다.
**추가적인 도움이 필요하다면**
- **정보화정책과 문의**: 문서에서도 언급되었듯이, 발급 및 갱신에 관한 절차나 기술적인 문제가 발생할 경우 정보화정책과로 문의하시는 것이 좋습니다.
이렇게 절차를 따라주시면 새로운 PC에서도 원활하게 행정전자서명을 사용하실 수 있을 것입니다. 추가로 궁금한 사항이 있으시면 언제든지 물어보세요!</t>
  </si>
  <si>
    <t>관내출장 여비 지급기준은 어떻게 되나요?</t>
  </si>
  <si>
    <t>1229_공무원_여비_규정대통령령제35811호20251001.pdf</t>
  </si>
  <si>
    <t>dfb53a0f72524d0a83fdf1f61e99504c</t>
  </si>
  <si>
    <t>관내출장 여비 지급기준은 '공무원여비규정'에 따르며, 이는 행정안전부에서 정한 규정에 의해 결정됩니다. 일반적으로 관내출장 여비는 해당 지방자치단체에서 자체적으로 정하는 지급기준에 따라 운영되며, 이는 관할 구역 내에서의 출장에 대한 여비를 의미합니다.
그러나 구체적인 관내출장 여비의 지급기준은 각 지방자치단체마다 다를 수 있으며, 이는 해당 지자체의 예산편성 운영기준이나 내부 지침에 따라 결정됩니다. 따라서 정확한 관내출장 여비 지급기준을 확인하기 위해서는 부산광역시의 예산편성 운영기준이나 관련 규정을 참고해야 합니다.
또한, 제공하신 문서에서는 "국내여비" 항목 중 "기본업무수행을 위한 관할구역내 출장여비" 부분에 대해 언급되어 있습니다. 이에 따르면, 관내출장 여비는 공무원여비규정의 범위 내에서 자치단체별로 지급기준을 정하여 운영하고 있다고 되어 있습니다. 즉, 부산광역시에서도 공무원여비규정을 기반으로 하되, 자체적인 지급기준을 마련하여 관내출장 여비를 지급하고 있을 것으로 예상됩니다.
보다 정확한 정보를 얻기 위해서는 부산광역시청의 예산담당관실이나 관련 부서에 문의하시는 것이 좋습니다. 또한, 최신의 예산편성 운영기준이나 내부 지침을 확인하는 것도 도움이 될 것입니다. 추가적인 도움이 필요하시면 언제든지 말씀해 주세요!</t>
  </si>
  <si>
    <t>dc07f99d-66f2-4bc3-9519-6863b28ccf2d</t>
  </si>
  <si>
    <t>207_2007_예산담당관_업무매뉴얼_행정안전부_2021년도_지방자치단체_예산편성_운영기준_및_기금운용계획_수립기준.pdf</t>
  </si>
  <si>
    <t>실물/모바일 공무원증은 어떻게 발급받나요?</t>
  </si>
  <si>
    <t>4d3441186e324a81840b96362a6b6925</t>
  </si>
  <si>
    <t>안녕하세요! 위 문서에서 언급된 내용에 따르면, 실물 또는 모바일 공무원증은 '인사랑' 시스템 내에서 발급받을 수 있어요.
**발급 방법:**
1. **인사랑 접속**: 먼저 업무 시스템인 '인사랑'에 로그인하세요.
2. **인사마당 메뉴 선택**: 메인 화면에서 '인사마당' 메뉴를 클릭합니다.
3. **공무원증(또는 모바일공무원증) 신청**: '인사마당' 내 해당 섹션에서 '공무원증' 또는 '모바일공무원증' 신청을 진행합니다.
4. **부서장 승인**: 신청 후에는 부서장의 승인이 필요합니다. 이는 내부 절차상 필요한 단계이니 잊지 마세요.
5. **신청 완료 및 수령**:
   - **실물 공무원증**: 신청 후 약 4주 정도 후에 발급되며, 직접 수령하거나 우편으로 받을 수 있습니다.
   - **모바일 공무원증**: 신청 후 약 1주일 이내에 안내 문자가 발송됩니다. 문자의 안내에 따라 설치를 진행하면 됩니다.
6. **뒷면 연번 기재**: 모바일 공무원증을 신청할 때는 실물 공무원증 뒷면에 있는 '6260000-'로 시작하는 연번을 정확히 기입해야 해요.
**주의사항:**
- 퇴직이나 전보 등의 사유로 인해 공무원증이 변경되거나 재발급이 필요할 경우, 새로운 공무원증을 발급받고 이전 것은 반드시 반납해야 합니다.
- 모바일 공무원증은 스마트폰을 통해 편리하게 사용할 수 있으며, 분실 위험도 적습니다.
만약 추가적인 도움이 필요하시거나 다른 궁금한 점이 있으시면 언제든지 말씀해 주세요! 도와드릴 수 있어 기쁩니다.</t>
  </si>
  <si>
    <t>모바일 공무원증은 어떻게 활용할 수 있나요?</t>
  </si>
  <si>
    <t>dc8939ba1e1c4ac28db185d15038497f</t>
  </si>
  <si>
    <t>장기재직휴가는 어떻게 신청하나요?</t>
  </si>
  <si>
    <t>307009e3a2cf4c5bbd1ebad7e9966e48</t>
  </si>
  <si>
    <t>장기재직휴가를 신청하려면 다음과 같은 절차를 따르시면 됩니다.
1. **재직기간 확인**: 먼저, 본인의 재직기간이 장기재직휴가 신청 자격에 해당하는지 확인해야 합니다. 일반적으로 일정 기간 이상 근무한 직원에게 부여되는 혜택이므로, 관련된 규정을 확인해 보세요.
2. **휴가 계획 수립**: 휴가를 언제 사용할 것인지 계획을 세우고, 해당 기간에 업무에 차질이 없도록 조치를 취해야 합니다. 이는 동료들과의 협업이나 업무 대행자를 지정하는 것을 포함할 수 있습니다.
3. **상급자와 상의**: 휴가 신청을 하기 전에 부서장이나 상급자에게 휴가 계획을 알리고 승인을 받아야 합니다. 이때, 업무 일정과 조율하여 원활한 진행이 되도록 해야 합니다.
4. **복무시스템 승인**: 부산시의 경우, 차세대인사랑(복무관리시스템)을 통해 휴가 신청을 합니다. 휴가 종류를 "특별휴가"로 선택하고, 구체적인 사유와 기간을 입력합니다.
5. **필요한 서류 제출**: 휴가 신청 시 필요한 증빙 자료를 함께 제출해야 할 수도 있습니다. 예를 들어, 가족관계 증명서나 의료 진단서 등이 필요할 수 있으니 사전에 준비하세요.
6. **승인 대기 및 통보**: 상급자나 인사 담당자가 휴가 신청을 검토하고 승인하면, 공식적으로 휴가가 확정됩니다. 이 과정에서 추가적인 문의나 보완 사항이 있을 수 있으므로 연락을 잘 받으셔야 합니다.
**참고사항**:
- 장기재직휴가는 개인의 재충전과 복지 향상을 위한 제도이므로, 적절한 시기에 사용하여 업무 효율을 높이는 것이 좋습니다.
- 휴가 중에는 긴급한 연락이 가능하도록 연락처 정보를 공유하는 것도 중요합니다.
- 만약 휴가 중에 중요한 업무가 있다면, 미리 대비책을 마련해 두세요.
더 자세한 정보나 개인적인 상황에 맞는 조언이 필요하다면, 인사과나 부서 내의 인사 담당자에게 직접 문의하시는 것이 가장 정확합니다. 도움이 되셨기를 바랍니다! 다른 궁금한 점이 있으시면 언제든지 물어보세요.</t>
  </si>
  <si>
    <t>188b7c62-c0c1-4ea8-a4cc-83dd5dfe3f06</t>
  </si>
  <si>
    <t>17_2412_공공기관담당관_업무매뉴얼_행정안전부_지방공기업_통합경영공시_기준.pdf</t>
  </si>
  <si>
    <t>기록물의 보존기간을 업무별로 알려주세요</t>
  </si>
  <si>
    <t>236, 237, 238</t>
  </si>
  <si>
    <t>3c84ecdeb83742f29c3fcffe333ac4d6</t>
  </si>
  <si>
    <t>기록물의 보존기간은 해당 업무의 중요도와 법적 요구사항에 따라 결정됩니다. 일반적으로 공공기관의 기록물 보존기간은 「공공기록물 관리에 관한 법률」 및 그 시행령, 시행규칙에 의해 규정되어 있습니다.
**보존기간의 종류**
- **영구**: 역사적, 문화적 가치가 높아 영구히 보존해야 하는 기록물
- **준영구**: 장기적으로 보존해야 하지만 영구까지는 필요하지 않은 기록물
- **30년**
- **10년**
- **5년**
- **3년**
- **1년**
**업무별 보존기간 예시**
1. **기관장 연설자료 관리**: 영구
   - 이유: 기관장의 공식적인 발언은 역사적 가치가 높으며, 향후 연구나 참고자료로 활용될 수 있음
2. **기관장 일정 관리**: 영구
   - 이유: 기관장의 일정은 기관의 활동과 방향을 나타내며, 역사적 흐름 파악에 중요
3. **공무원증 발급**: 5년
   - 이유: 개인 식별 정보의 보존은 개인정보 보호법에 따라 일정 기간 이후 파기되어야 함
4. **공인 관리**: 5년
   - 이유: 공인의 변경이나 폐기는 공식 기록으로 남기며, 일정 기간 보관 후 파기
5. **공용차량 운행**: 5년
   - 이유: 차량 운행 기록은 안전 관리와 비용 관리 측면에서 일정 기간 보관 필요
6. **문서 접수 및 배부**: 3년
   - 이유: 일반적인 행정 업무 관련 문서로, 업무 참고 목적으로 일정 기간 보관
7. **우편물 관리**: 5년
   - 이유: 우편물 수령 및 발신 기록은 통신 관리 차원에서 일정 기간 보관
8. **인사 제증명 발급**: 10년
   - 이유: 인사 관련 증명서는 개인의 경력과 자격 확인을 위해 일정 기간 보관 필요
9. **공간정보 보안**: 영구
   - 이유: 공간 정보는 국가의 안보와 직결되며, 지속적인 관리가 필요
10. **처리과 공통업무(서무)**:
    - **보존기간**: 3년
    - **내용**: 지시사항 처리, 교육 훈련 신청, 각종 신청 및 협조 요청 등
    - **이유**: 처리과 내의 일상적인 업무로, 업무 참고를 위해 일정 기간 보관
11. **처리과 공통업무(복무관리)**:
    - **보존기간**: 1년
    - **내용**: 시간외 근무 및 출장 명령, 휴가 계획 취합 및 제출, 당직 명력 등
    - **이유**: 연간 반복되는 업무로, 최신 정보를 유지하기 위해 비교적 짧은 기간 보관
12. **처리과 공통업무(각종 통계 및 자료 관리)**:
    - **보존기간**: 5년
    - **내용**: 처리과에서 관리하는 일상적인 업무 참고용 통계 및 자료 관리
    - **이유**: 통계 데이터는 추세를 분석하고 정책을 수립하는 데 도움이 되므로 일정 기간 보관
**주의사항**
- 위의 보존기간은 일반적인 예시로, 실제 보존기간은 해당 기관의 내부 지침이나 관련 법령에 따라 달라질 수 있습니다.
- 특히 개인정보나 민감한 정보가 포함된 기록물은 관련 법규에 따라 더 엄격하게 관리되고, 일정 기간 후에는 반드시 파기되어야 합니다.
- 기록물의 보존기간을 설정할 때는 해당 업무의 중요성, 법적 요구사항, 그리고 향후 활용 가능성 등을 고려해야 합니다.
**추가 정보**
- 보다 정확한 보존기간을 알고 싶으시면, 해당 기관의 기록물 관리 부서나 국가기록원에 문의하시는 것이 좋습니다.
- 또한, 기록물 관리에 대한 자세한 지침은 국가기록원 웹사이트에서 제공하는 「2025년 기록물관리 지침」 등을 참고하실 수 있습니다.
이러한 정보를 바탕으로 업무별 기록물의 적절한 보존기간을 설정하시면 됩니다. 추가적인 도움이 필요하시면 언제든지 말씀해 주세요!</t>
  </si>
  <si>
    <t>8bc19b6d-f180-422b-9a51-611f19c27f6c</t>
  </si>
  <si>
    <t>ecb6f6f7-e64c-4464-a8da-8b4894001ac4</t>
  </si>
  <si>
    <t>9da986cf-37a5-4c15-a47c-a61caed864f2</t>
  </si>
  <si>
    <t>c3e0c899-5938-4759-aace-f7297661074a</t>
  </si>
  <si>
    <t>부산시청 내 회의장의 수용가능인원을 알려주세요</t>
  </si>
  <si>
    <t>게시판 시청사 회의장(회의실) 현황</t>
  </si>
  <si>
    <t>abb9994d657145208233149c67f54494</t>
  </si>
  <si>
    <t>업무추진비 집행 시 사용 가능한 항목과 제한 사항은 무엇이며, 지출 시 필요한 증빙 서류는 무엇인가요?</t>
  </si>
  <si>
    <t>50fb13dfbbca4fa297af7278bf7e42fa</t>
  </si>
  <si>
    <t>업무추진비는 공공기관이나 지방자치단체에서 업무 수행에 필요한 경비를 지원하는 제도입니다. 업무추진비의 집행 시에는 다음과 같은 사항들을 유의해야 합니다.
### **사용 가능한 항목**
1. **기관 운영 및 대외 협력 활동**:
   - 내빈 접견 및 환송
   - 공식 행사의 개최 및 참여
   - 외부 기관과의 협의 및 교류
   - 정책 설명회, 세미나, 워크숍 등의 개최
   - 언론 대응 및 보도 자료 배포 비용
2. **직원의 사기 진작 및 복지 향상**:
   - 직원 포상 및 표창
   - 직원 연수 및 교육 프로그램 지원
   - 직원 친목 도모 행사(예: 회식, 문화 행사)
3. **경조사 관련 비용**:
   - 축의금, 조의금 등 격려금 지급
   - 단, 이는 예외적으로 허용되며, 엄격한 기준에 따라 집행되어야 합니다.
### **제한 사항**
1. **개인적 사용 금지**:
   - 개인의 사생활이나 개인적인 용도로 사용할 수 없습니다.
   - 예를 들어, 개인 차량 유지비, 가정 생활비 등은 업무추진비로 처리할 수 없습니다.
2. **현금 사용 제한**:
   - 업무추진비는 원칙적으로 신용카드를 통해 결제해야 합니다.
   - 현금 사용은 불가피한 경우에만 가능하며, 사전에 승인 절차를 거쳐야 합니다.
3. **심야 시간 및 사용자 거주지 근처에서의 사용 제한**:
   - 일반적인 업무 시간이 아닌 심야(통상적으로 23시 이후)나 사용자의 주거지 근처에서의 사용은 제한됩니다.
   - 그러나 직무와 직접적인 관련이 있고 이를 증명할 수 있는 경우에는 예외적으로 허용될 수 있습니다.
4. **접대비 및 선물 비용의 한도 설정**:
   - 간담회 등에서 제공되는 식사나 다과는 1인 1회당 일정 금액 이하로 제한됩니다.
   - 청탁금지법에 따라 공직자 등에게 제공되는 접대비는 더욱 엄격하게 제한됩니다.
5. **기념품 및 특산품의 지급 한도**:
   - 기념품, 특산품 등의 지급에도 한도가 있으며, 이는 법령에 따라 결정됩니다.
### **지출 시 필요한 증빙 서류**
1. **지출 품의서**:
   - 지출의 목적, 일시, 장소, 대상 등을 상세히 기술한 문서입니다.
   - 특히, 현금 지출의 경우 지급 목적, 대상, 금액, 필요성 등을 포함하여 작성해야 합니다.
2. **영수증 및 거래 명세서**:
   - 모든 지출에 대해 정확한 증빙 자료를 보관해야 합니다.
   - 현금 지출 시에는 전달자와 최종 수요자의 영수증을 모두 받아야 합니다.
   - 만약 최종 수요자에게 영수증을 받을 수 없는 경우에는 집행내역서를 대체하여 받아야 합니다.
3. **결재 서류**:
   - 지출에 대한 상위자의 승인을 받은 결재 서류를 보관해야 합니다.
   - 이는 지출의 정당성과 투명성을 확보하기 위한 것입니다.
4. **상품권 및 기념품 지급 대장**:
   - 상품권이나 기념품을 지급한 경우, 지급일시, 대상자, 수량 등을 기록한 대장을 작성하고 결재를 받아야 합니다.
### **추가적인 주의사항**
- **클린카드 사용**:
  - 업무추진비는 클린카드를 사용하여 집행하며, 클린카드는 특정 업종에서의 사용을 제한합니다.
  - 제한 업종으로는 유흥업소, 위생업소, 레저업소 등이 포함됩니다.
- **투명한 사용 기록 유지**:
  - 모든 지출 내역을 정확하게 기록하고, 필요할 때 언제든지 확인할 수 있도록 관리해야 합니다.
- **법령 및 지침 준수**:
  - 업무추진비 집행은 관련 법령과 지침에 따라 이루어져야 하며, 이를 위반할 경우 감사 대상이 될 수 있습니다.
---
**참고**: 위의 내용은 일반적인 지침이며, 실제 적용 시에는 해당 기관의 내부 규정이나 최신 법령을 확인하여 정확한 정보를 참고하시기 바랍니다. 또한, 업무추진비 사용에 대한 문의나 자세한 안내가 필요하다면 해당 기관의 회계 담당자나 인사 담당자에게 문의하시는 것이 좋습니다.</t>
  </si>
  <si>
    <t>0e972f48-fafb-4164-abee-5dfd3e6efd1b</t>
  </si>
  <si>
    <t>7bd262ec-809d-4578-979e-9e1155cea437</t>
  </si>
  <si>
    <t>정보공개법에 따른 정보공개 청구 처리 기한은 며칠인가요?</t>
  </si>
  <si>
    <t>100</t>
  </si>
  <si>
    <t>5fb7025280e6401d8e426e447b1369e8</t>
  </si>
  <si>
    <t>정보공개법에 따르면, 공공기관은 정보공개의 청구를 받은 날부터 **10일** 이내에 공개 여부를 결정해야 합니다. 이는 정보공개법 제11조 제1항에 명시되어 있으며, 국민의 알 권리를 신속하게 보장하기 위한 조치입니다. 만약 특별한 사유로 인해 기간 내에 결정할 수 없다면, 해당 기간을 연장할 수 있지만, 가능한 한 빠른 시일 내에 처리하도록 노력하고 있습니다. 추가적인 질문이나 도움이 필요하시면 언제든지 말씀해 주세요!</t>
  </si>
  <si>
    <t>9f0428bd-09ba-47f1-a799-ad01bbc5bbb5</t>
  </si>
  <si>
    <t>426_2307_통합민원과_업무매뉴얼_행정안전부_민원_처리에_관한_법령_해설집개정판.pdf</t>
  </si>
  <si>
    <t>0fbece19-ca7d-4782-81f0-fc7563836849</t>
  </si>
  <si>
    <t>신규사업을 추진하고자 할때 사전에 심의받아야 하는 절차는 어떤것들이 있나요?</t>
  </si>
  <si>
    <t>e5e386f7965047ac9680dd6ba1a4a2f4</t>
  </si>
  <si>
    <t>신규 사업을 추진할 때 사전에 반드시 거쳐야 하는 심의나 승인 절차에는 다음과 같은 것들이 있습니다:
1. **투자심사**: 대규모 예산이 투입되거나 중요한 공익성을 가진 사업은 투자심사를 받아야 합니다. 이는 사업의 타당성, 경제적 효과, 재무적 안정성 등을 종합적으로 평가하기 위한 절차입니다.
2. **예비타당성 조사**: 국가나 지방자치단체의 주요 사업에 대해 사전에 경제적, 기술적 타당성을 조사하는 과정입니다. 이를 통해 사업의 실행 여부를 결정하게 됩니다.
3. **환경영향평가**: 환경에 미치는 영향을 미리 예측하고 평가하여 환경 보호와 지속 가능한 발전을 도모하기 위한 절차입니다.
4. **문화재 지표조사 및 문화재 영향평가**: 사업 부지에 역사적 가치가 있는 문화재가 있는지 확인하고, 사업이 문화재에 미칠 영향을 평가합니다.
5. **교통영향평가**: 도로 건설이나 개발 사업 등이 교통 체계에 미치는 영향을 분석하고 개선 방안을 마련하기 위한 절차입니다.
6. **교육환경평가**: 학교 주변에서의 개발 사업이 교육 환경에 부정적인 영향을 미치지 않도록 사전에 평가하는 과정입니다.
7. **주민 의견 수렴**: 사업 계획 단계에서부터 주민들의 의견을 듣고 반영함으로써 사회적 갈등을 최소화하고 지지를 얻을 수 있습니다.
8. **관련 법령 및 조례 준수 확인**: 특정 분야의 사업은 관련 법률이나 조례에 따른 허가나 신고 절차를 사전에 완료해야 합니다.
이러한 절차들은 사업의 투명성과 공정성을 높이고, 예상치 못한 문제 발생을 예방하며, 시민들의 신뢰를 얻기 위해 필수적입니다. 각 절차마다 필요한 서류나 제출 기한이 다를 수 있으므로, 구체적인 사항은 해당 기관의 담당 부서에 문의하시는 것이 좋습니다. 또한, 일부 절차는 중앙정부나 상급 기관의 승인을 필요로 하므로, 충분한 시간을 두고 준비하셔야 합니다. 도움이 더 필요하시면 언제든지 말씀해 주세요!</t>
  </si>
  <si>
    <t>1f57bd33-2f48-4b01-bbc7-ba9d173f7ca5</t>
  </si>
  <si>
    <t>28_2503_공공기관담당관_업무매뉴얼_행정안전부_2025년도_지방공사채_발행_운영기준.pdf</t>
  </si>
  <si>
    <t>7c53d3cd-686a-4ae5-bb7f-f28f05c191ad</t>
  </si>
  <si>
    <t>공사, 용역, 물품 등 구입시 조달청을 통한 계약 절차는 어떻게 되나요?</t>
  </si>
  <si>
    <t>2024년 개정판 물품계약 길라잡이</t>
  </si>
  <si>
    <t>b14d07b2173741d798e3b8b0a755d725</t>
  </si>
  <si>
    <t>부산광역시청에서 공사, 용역, 물품 등을 구입할 때 조달청을 통한 계약 절차는 다음과 같습니다.
1. **계약심사**:  
   - **대상**: 추정금액 종합공사 5억원 이상, 전문공사 등 3억원 이상, 용역 1억원 이상, 물품 2천만원 이상의 계약.
   - **절차**:
     - 공사원가 사전검토: 추정가격 100억원 이상인 공사의 경우 조달청에 공사원가 사전검토를 요청합니다.
     - 사전규격공개: 용역(5천만원 이상)은 과업지시서 등을 G2B와 시 홈페이지에 5일간 공개하며, 물품(5천만원 이상)은 규격서나 제작시방서 등을 동일하게 공개합니다.
     - 계약심의: 광역지자체에서는 추정가격 공사 70억원 이상, 용역 및 물품 20억원 이상의 계약에 대해 심의를 진행합니다. 다만, 긴급한 재해복구사업이나 예산 조기집행이 필요한 사업은 제외됩니다.
2. **계약의뢰**:  
   - 계약부서에서 계약을 위한 절차를 시작합니다.
3. **일상감사**:  
   - **대상**: 추정가격 종합공사 5억원 이상, 전문공사 등 3억원 이상, 용역 2억원 이상, 물품 2천만원 이상의 계약으로, 조달청 의뢰계약을 제외한 모든 계약.
   - **시기**: 계약부서에서 입찰공고 전에 일상감사 부서에 감사를 의뢰합니다. 단, PQ 설계공모나 협상에 의한 계약의 경우 발주부서에서 직접 의뢰하며, 협상계약의 경우 계약부서에서 타당성 검토를 거친 후에 요청합니다.
4. **입찰공고**:  
   - **방법**: 지정정보처리장치(G2B)와 시 홈페이지를 통해 공고합니다.
   - **공고기간**:
     - 용역 및 물품: 입찰서 제출 마감일 전일부터 계산하여 일반적으로는 7일, 긴급하거나 재공고의 경우에는 5일간 공고합니다.
     - 공사입찰: 추정가격에 따라 공고기간이 달라지며, 현장설명이 필요한 경우 현장설명에 참여한 자만이 입찰에 참여할 수 있습니다.
     - 협상에 의한 계약: 금액에 따라 최소 10일에서 최대 40일까지 공고합니다.
     - 국제입찰: 일반적으로 40일, 긴급한 경우에는 10일간 공고합니다.
     - 전자수의(견적입찰): 최소 3일 이상으로 공고합니다.
5. **입찰 및 적격심사**:  
   - 계약부서에서 입찰서를 접수하고 적격심사를 실시합니다.
6. **계약체결**:  
   - 최종적으로 계약부서에서 계약서를 작성하고 체결합니다.
이러한 절차를 거쳐 조달청을 통한 계약이 이루어집니다. 각 단계마다 필요한 문서나 조건들이 있으므로, 구체적인 사항은 관련 매뉴얼이나 지침을 참고하시는 것이 좋습니다. 추가적인 도움이 필요하시면 언제든지 말씀해 주세요!</t>
  </si>
  <si>
    <t>829f6a4f-671c-4d8f-b46a-8d89fdd5aef1</t>
  </si>
  <si>
    <t>예산편성을 위한 신규사업 사전이행절차 안내(사업종류, 사업금액별)</t>
  </si>
  <si>
    <t>4a7e0c8be4bd443b9116f716ea76a3c0</t>
  </si>
  <si>
    <t>신규사업을 추진하기 위해서는 사전에 필요한 절차들을 이행해야 합니다. 이러한 사전이행절차는 사업의 종류와 규모에 따라 다를 수 있으며, 일반적으로 다음과 같은 절차를 거칩니다.
1. **상위계획 반영**: 해당 사업이 지역의 장기적인 발전 방향이나 정책 목표와 일치하는지 확인하기 위해 상위 계획에 포함되어야 합니다. 예를 들어, 도시개발계획, 환경보전계획 등에 반영되어 있어야 합니다.
2. **부지확보**: 사업을 진행할 수 있는 충분한 공간이 필요합니다. 이를 위해 토지 소유권 이전, 임대 계약 체결 등의 과정을 거쳐야 하며, 경우에 따라서는 주민 의견 수렴 과정도 필요할 수 있습니다.
3. **인·허가 취득**: 건축물 건설, 폐기물 처리 시설 운영 등은 관련 법규에 따라 허가를 받아야 합니다. 이는 환경영향평가, 안전검사 등을 포함하여 다양한 분야의 인허가가 요구됩니다.
4. **실시설계 수립**: 구체적인 설계도를 작성하여 사업의 실행 가능성을 높입니다. 이는 기술적 타당성 검토, 비용 산출 등이 포함되어 전문적인 설계 업체나 기관이 참여하게 됩니다.
5. **예비타당성 조사**: 대규모 사업이나 국가 재정이 투입되는 경우에는 경제적 타당성을 검증하기 위한 예비타당성 조사가 필요합니다.
6. **주민설명회 개최**: 지역 주민들의 이해와 협조를 얻기 위해 사업에 대한 설명회를 개최하고 의견을 수렴합니다.
**사업 금액별로 보면**, 소규모 사업은 비교적 간단한 절차로도 가능하지만, 대규모 사업은 보다 복잡한 절차와 시간이 소요됩니다. 특히, 예산 규모가 큰 경우에는 중앙정부의 승인과 추가적인 심의 과정이 필요할 수 있습니다.
따라서, 신규사업을 추진하려는 경우 먼저 사업의 성격과 규모를 파악하고, 이에 맞는 사전이행절차를 체계적으로 준비하는 것이 중요합니다. 또한, 각 단계마다 필요한 서류나 절차를 미리 확인하고 준비함으로써 원활한 사업 진행을 도모할 수 있습니다. 추가로 궁금한 사항이 있으시면 언제든지 말씀해 주세요!</t>
  </si>
  <si>
    <t>02f57326-68f9-4b47-ba95-1ccfcbe8f0f7</t>
  </si>
  <si>
    <t>46_2404_공공하수인프라과_업무매뉴얼_환경부_유기성폐자원_통합_바이오가스화시설_설치사업의_예산편성_및_집행관리_지침2차_개정.pdf</t>
  </si>
  <si>
    <t>휴직자 급여 보험료 납부여부를 알려주세요.(보수 전반에 관한 내용)</t>
  </si>
  <si>
    <t>65, 66</t>
  </si>
  <si>
    <t>b46df55313524f4e9760e3401811b42b</t>
  </si>
  <si>
    <t>gpki 비밀번호 잃어버렸을 떄 조치방법을 알려주세요</t>
  </si>
  <si>
    <t>69793522dc704b2a985dad7428fe5d2a</t>
  </si>
  <si>
    <t>수시인사교류의 절차는 어떻게 되나요</t>
  </si>
  <si>
    <t>b8fc2fb392bc43c0bd1ea351f73ddf8e</t>
  </si>
  <si>
    <t>전문직위 지정 및 전문관 임용은 어떻게 신청하면 되나요?</t>
  </si>
  <si>
    <t>95b45f7176b34d7e8e6e9118e9885f85</t>
  </si>
  <si>
    <t>전문직위 지정 및 전문관 임용은 다음과 같은 절차를 따라 신청하실 수 있습니다.
**1. 전문직위 지정 신청**
- **신청 주체**: 각 부서 또는 실국에서 전문직위 지정을 희망하는 직위를 신청합니다.
- **신청 방법**: 인사과에 전문직위 지정 신청을 제출합니다.
- **신청 내용**: 전문직위로 지정하고자 하는 직위의 상세 내용과 그 이유를 명확히 기재해야 합니다.
**2. 전문관 임용 신청**
- **신청 주체**: 전문관으로 선발되기를 원하는 소속 공무원이 직접 신청하거나, 부서에서 추천할 수 있습니다.
- **신청 방법**: 인사과에 전문관 임용 신청을 제출합니다.
- **신청 조건**: 해당 직무 수행에 필요한 경력, 교육훈련, 자격증, 어학능력 등을 갖추고 있어야 하며, 최소 3년 이상의 근무 확약을 해야 합니다.
**주의사항**
- **직무분석 및 심의 과정**: 신청된 전문직위와 전문관은 조직담당관과 인사과의 검토를 거치고, 인사위원회의 심의를 통해 최종 결정됩니다.
- **인센티브 제공**: 전문직위에서 근무하거나 전문관으로 임명되면 근무 기간에 따라 가점과 수당이 부여됩니다.
  - **가점**: 근무 기간에 따라 매월 0.05점에서 0.08점의 가점이 누적됩니다.
  - **수당**: 전문관에게는 월별로 7만원에서 40만원까지의 수당이 지급됩니다.
**추가 정보**
- **전문직위 및 전문관 운영 현황**
  - **전문직위 수**: 총 95개 직위가 전문직위로 지정되어 있으며, 이 중 일부는 공석 상태입니다.
  - **전문관 임용 현황**: 현재 80명의 전문관이 활동 중이며, 하반기에는 추가 임용이 예정되어 있습니다.
- **전문직위 지정 기준**
  - **지정 계급**: 5급부터 7급까지(상당 계급 포함)의 직위 중에서 전문성이 요구되고 장기 근무가 필요한 직위를 대상으로 합니다.
  - **지정 요건**: 고도의 전문 지식이나 기술이 필요하며, 최소 3년 이상의 지속적인 근무가 필요합니다.
- **전문직위 지정 절차**
  1. **신청**: 각 부서 또는 실국에서 전문직위 지정을 희망하는 직위를 인사과에 신청합니다.
  2. **검토**: 인사과에서는 해당 직위의 전문성 여부를 검토합니다.
  3. **심의**: 인사위원회에서 전문직위 지정 여부를 심의합니다.
  4. **지정**: 최종적으로 전문직위로 지정됩니다.
- **전문관 선발 절차**
  1. **공모**: 전문관으로 지원하고자 하는 공무원은 개별적으로 신청하거나 부서에서 추천할 수 있습니다.
  2. **심의**: 인사위원회는 지원자의 직무 수행 능력 및 적격성을 심사합니다.
  3. **임용**: 선정된 전문관을 해당 직위에 임용합니다.
**문의처**
더 자세한 안내나 도움이 필요하시면 인사과로 연락해 주세요. 인사과는 전문직위 지정 및 전문관 임용에 관한 모든 사항을 지원하고 있습니다.
---
이렇게 전문직위 지정 및 전문관 임용에 대한 신청 방법을 알려드렸습니다. 추가로 궁금한 점이 있으시면 언제든지 말씀해 주세요!</t>
  </si>
  <si>
    <t>923e9fe1-3613-4b31-88af-1996d8fd4c93</t>
  </si>
  <si>
    <t>257_2207_인사과_계획_인사과_민선8기_부산광역시_인사혁신_추진계획.pdf</t>
  </si>
  <si>
    <t>3361ba7a-8156-457d-a373-d6ccf594a37f</t>
  </si>
  <si>
    <t>263_2401_인사과_기본계획_인사과_2024년도_부산광역시_인사운영_기본계획.pdf</t>
  </si>
  <si>
    <t>2b157946-4e34-44da-861a-827cf8de2a72</t>
  </si>
  <si>
    <t>258_2301_인사과_기본계획_인사과_2023년도_부산광역시_인사운영_기본계획.pdf</t>
  </si>
  <si>
    <t>841751b6-b529-41a0-8a2b-7e6abdcb9ac5</t>
  </si>
  <si>
    <t>253_2201_인사과_기본계획_인사과_2022년도_부산광역시_인사운영_기본계획.pdf</t>
  </si>
  <si>
    <t>90917170-0bbe-4e5c-b5e0-d39c2ddf08f1</t>
  </si>
  <si>
    <t>243_2001_인사과_기본계획_인사과_2020년도_부산광역시_인사운영_기본계획.pdf</t>
  </si>
  <si>
    <t>공무원증 신청방법? 발급되는데 얼마나 걸리나요?</t>
  </si>
  <si>
    <t>99a3fcc87ab34592b41c06a756d9e084</t>
  </si>
  <si>
    <t>공무원증은 인사랑 시스템에서 신청할 수 있어요. 구체적인 절차는 다음과 같아요:
1. **인사시스템 접속**: 먼저, 소속 기관의 인사시스템을 통해 '인사마당' 메뉴로 들어가세요.
2. **신청서 작성**: '공무원증(또는 모바일공무원증)' 신청을 선택하고 필요한 정보를 입력하세요. 이때, 모바일증 신청 시에는 실물공무원증 뒷면에 있는 번호를 정확히 기입해야 해요.
3. **부서장 승인**: 작성한 신청서를 제출하면 부서장의 승인이 필요해요. 승인이 완료되면 다음 단계로 진행돼요.
4. **발급 대기**:
   - **실물공무원증**: 일반적으로 신청 후 약 **4주 정도** 후에 수령하실 수 있어요.
   - **모바일공무원증**: 신청 후 약 **1주일 내외**로 안내 문자를 받게 되며, 해당 문자에 따라 설치를 진행하시면 돼요.
이렇게 절차를 따르면 공무원증을 발급받으실 수 있어요. 추가로 궁금한 점이 있으시면 언제든지 물어보세요! 도움이 필요하면 말씀해 주세요.</t>
  </si>
  <si>
    <t>당직 등으로 인한 대체휴무 사용기간은 언제까지인가요?</t>
  </si>
  <si>
    <t>65bc5c3e88344655ada50d284a454488</t>
  </si>
  <si>
    <t>휴가 마지막 날 18시 이후 초과근무가 가능한지 ?</t>
  </si>
  <si>
    <t>3019f34161814bebbf601f28180faa02</t>
  </si>
  <si>
    <t>육아휴직수당의 지급 금액은 얼마인가요?</t>
  </si>
  <si>
    <t>21</t>
  </si>
  <si>
    <t>c7a7625aa1824a569b9caf5a2349860c</t>
  </si>
  <si>
    <t>육아휴직수당의 지급 금액은 여러 요소에 따라 달라집니다. 일반적으로 육아휴직수당은 육아휴직 시작일 현재의 급여와 휴직 기간에 따라 계산됩니다.
예를 들어, **첫째 자녀**에 대한 육아휴직의 경우:
- **육아휴직 시작일부터 6개월째까지**: 육아휴직 시작일 현재의 월봉급액의 80%에 해당하는 금액을 지급합니다. 이때, 월별 지급액의 상한액은 다음과 같습니다:
  - **1개월째 ~ 3개월째**: 250만원
  - **4개월째 ~ 6개월째**: 200만원
- **육아휴직 7개월째 이후**: 육아휴직 시작일의 월봉급액의 80%에 해당하는 금액을 지급하며, 월별 상한액은 160만원입니다.
또한, **둘째 이후 자녀**에 대한 육아휴직의 경우에는 휴직 중 15% 공제 없이 육아휴직수당 전액을 지급합니다.
그리고 **한부모가족지원법**에 따른 모 또는 부에 해당하는 공무원이 육아휴직을 할 경우에도 특별한 지급 기준이 있습니다.
보다 정확한 금액을 알기 위해서는 귀하가 속한 기관의 인사 담당자나 관련 규정을 참고하시는 것이 좋습니다. 만약 구체적인 상황이나 추가 정보가 필요하시다면 알려주세요! 도와드릴 수 있는 다른 내용이 있으면 말씀해 주세요.</t>
  </si>
  <si>
    <t>a6575ca5-7d31-48a3-8d5e-0904c262b7d8</t>
  </si>
  <si>
    <t>7e532afc-45c7-4fc7-8aaa-7a4c9baa0683</t>
  </si>
  <si>
    <t>0cc77955-271f-4d46-974e-09a475335c66</t>
  </si>
  <si>
    <t>2fb0a0bf-29cb-4592-90fc-279a16598677</t>
  </si>
  <si>
    <t>2c892ab8-7053-4aca-839a-73180b93a5a6</t>
  </si>
  <si>
    <t>가족수당의 지급 금액은 어떻게 되나요?</t>
  </si>
  <si>
    <t>c1aba076d21a4583b56d2696d206d47f</t>
  </si>
  <si>
    <t>가족수당은 부양가족이 있는 공무원에게 지급되며, 지급액은 다음과 같습니다:
- **배우자**: 월 40,000원
- **자녀**:
  - 첫째 자녀: 월 50,000원
  - 둘째 자녀: 월 80,000원
  - 셋째 이후 자녀: 월 120,000원
- **배우자와 자녀를 제외한 부양가족**(예: 부모님, 형제자매 등): 1명당 월 20,000원
이러한 가족수당은 공무원의 봉급 외에 추가로 지급되는 수당이며, 부양가족의 수와 종류에 따라 지급액이 결정됩니다. 또한, 가족수당은 매년 정부 정책에 따라 변동될 수 있으므로 최신 정보를 확인하시는 것이 좋습니다. 더 궁금한 점이 있으시면 언제든지 물어보세요!</t>
  </si>
  <si>
    <t>8da2d05e-692d-4589-a4c3-7467a4a349a4</t>
  </si>
  <si>
    <t>241_2025_인구정책담당관_업무매뉴얼_여성가족부_2025년_가족사업안내_1권.pdf</t>
  </si>
  <si>
    <t>de0d92ad-9eb3-4a1a-98dc-f7418d4d51cc</t>
  </si>
  <si>
    <t>f670d221-c2b4-4b5f-aa53-baad79a13afa</t>
  </si>
  <si>
    <t>113_페이지12_문서3_162240_부산광역시립예술단_설치_및_운영_조례_시행규칙.pdf</t>
  </si>
  <si>
    <t>1496b78e-4a82-4a83-9346-f116cbf7c2e6</t>
  </si>
  <si>
    <t>52825d1e-ff13-46cb-8a8f-b7e740a4ee5c</t>
  </si>
  <si>
    <t>복지포인트 영수증 승인 건에 대한 처리(환급 포함) 시기는?</t>
  </si>
  <si>
    <t>23</t>
  </si>
  <si>
    <t>fc5660c174374e969b917a7e16a25c3d</t>
  </si>
  <si>
    <t>공무직 직원이 휴직하였는데, 기간제 승인을 받을 수 있나요?</t>
  </si>
  <si>
    <t>e6a9c8e93c1246b0b229fa06ed09e84e</t>
  </si>
  <si>
    <t>예산 통계목별 꼭 거쳐야 하는 예산 사전절차는 어떤것들이 있으며, 그 사전절차 과정은 어떻게 되나요?</t>
  </si>
  <si>
    <t>377c4143a34e4338b23fdb329b2b689e</t>
  </si>
  <si>
    <t>일상경비 감사에서 가장 많이 지적되는 사항은 어떤것들이 있으며, 해당 케이스는 어떻게 처리해야 원칙적으로 처리되는 것인가요?</t>
  </si>
  <si>
    <t>1244_일상경비_감사_전달사항.pdf</t>
  </si>
  <si>
    <t>aab1b2c99fc04f29a5ff87955cb95c38</t>
  </si>
  <si>
    <t>조달청에서 물품을 구입하려면 어떤 절차를 거쳐야 하며, e호조는 어떤식으로 진행되어야 하나요?</t>
  </si>
  <si>
    <t>56d93a0150bb44269fb8a07a15a87cfa</t>
  </si>
  <si>
    <t>일상경비로 계약을 하는 경우, 필요한 서류는 어떤것들이 있으며, e호조는 어떻게 진행해야 하나요?</t>
  </si>
  <si>
    <t>2412_회계재산담당관_공문_회계재산담당관_2025년도 일상경비 교부·운영계획</t>
  </si>
  <si>
    <t>7~8</t>
  </si>
  <si>
    <t>d882856226594df5a98bacdeb6a83d44</t>
  </si>
  <si>
    <t>부산시 캐릭터 부기를 사용한 홍보를 하고 싶은데 부기 캐릭터 사용 절차는 어떻게 되나요?</t>
  </si>
  <si>
    <t>2311_미디어담당관_공문_미디어담당관_부산광역시 소통 캐릭터 부기 디자인 활용시 사전 공문 협조 알림</t>
  </si>
  <si>
    <t>f3ac85a348384ca98811feed60a87f28</t>
  </si>
  <si>
    <t>관내출장을 갔다가 관외출장을 가는경우, 출장비는 어떻게 지급되어야 하나요?</t>
  </si>
  <si>
    <t>14</t>
  </si>
  <si>
    <t>988b8b8d400347a090caf0de4951b679</t>
  </si>
  <si>
    <t>안녕하세요! 질문하신 내용에 대해 답변드리겠습니다.
먼저, **'관내출장을 갔다가 관외출장을 가는 경우'**에는 두 가지 경우를 생각해볼 수 있습니다:
1. **동일한 날에 관내출장과 관외출장이 연속되는 경우**
2. **다른 날짜에 관내출장과 관외출장이 이루어지는 경우**
각 경우에 따라 출장비 지급 방식이 달라집니다.
---
### **1. 동일한 날에 관내출장과 관외출장이 연속되는 경우**
- **출장비 지급 방식**: 이 경우에는 전체 이동 시간을 고려하여 **관외출장 기준**으로 출장비를 지급합니다.
- **이유**: 공무원의 실제 이동 시간과 업무 부담을 반영하기 위해, 장거리 이동에 해당하는 관외출장 기준을 적용합니다.
#### **예시 계산**
- **관내출장 시간**: 3시간
- **관외출장 시간**: 5시간
- **합계 이동 시간**: 8시간 (관내 + 관외)
전체 이동 시간이 4시간을 초과하므로, **관외출장 기준**인 **20,000원**을 지급합니다.
---
### **2. 다른 날짜에 관내출장과 관외출장이 이루어지는 경우**
- **출장비 지급 방식**: 각 출장별로 별도의 **관내출장 기준**과 **관외출장 기준**을 적용하여 출장비를 지급합니다.
- **이유**: 각각의 출장이 독립적인 업무로 간주되므로, 각각에 맞는 기준을 적용합니다.
#### **예시 계산**
- **첫째 날 관내출장 (3시간)**:
  - **출장비**: 10,000원
- **둘째 날 관외출장 (5시간)**:
  - **출장비**: 20,000원
- **총 출장비 합계**: 10,000원 + 20,000원 = **30,000원**
---
**추가 정보**
- **여비 지급 기준**: 위의 내용은 일반적으로 적용되는 기준이며, 정확한 지급 기준은 소속 기관의 내부 지침이나 규정에 따릅니다.
- **예산 사정 고려**: 일부 기관에서는 예산 절감을 위해 일정 비율로 조정하여 지급하기도 합니다.
- **영수증 첨부**: 실제로 사용한 교통비나 숙박비에 대해서는 영수증을 첨부하여 실비로 청구해야 합니다.
---
**결론적으로**, 관내출장 후에 관외출장을 갈 때는 상황에 따라 출장비 지급 방식이 달라지며, 정확한 지급 방법은 소속 기관의 규정을 확인하거나 담당 부서에 문의하시는 것이 좋습니다.
더 궁금한 사항이 있으시면 언제든지 물어보세요! 도움이 필요하면 언제든 말씀해 주세요.</t>
  </si>
  <si>
    <t>715b0bb8-78d2-4e63-a7eb-07f6057a4bcd</t>
  </si>
  <si>
    <t>주말에 관외출장을 가는경우 초과근무나 대체휴무 지급이 가능한가요?</t>
  </si>
  <si>
    <t>1b31eb93f2e941cab81a7e524af7f1b4</t>
  </si>
  <si>
    <t>각종 홍보자료를 시청 홈페이지, 엘리베이터 화면, 기타 홍보게시판 등 게시하려면 어떻게 해야하나요?</t>
  </si>
  <si>
    <t>11b58a4923c94f51b8ca092cc42c68cf</t>
  </si>
  <si>
    <t>계약시 종류별 절차 및 구비서류는 무엇인가요?</t>
  </si>
  <si>
    <t>fe38474636c744ae9e20bd1800170efc</t>
  </si>
  <si>
    <t>공무국외출장 절차는 무엇인가요?</t>
  </si>
  <si>
    <t>db211c3a86404bc789f0e5014db2263c</t>
  </si>
  <si>
    <t>공무원으로서 국외 출장을 가기 위해서는 일정한 절차를 따라야 합니다. 일반적으로 다음과 같은 단계로 진행됩니다:
1. **출장 필요성 검토**: 먼저, 해당 업무를 국내에서 처리할 수 있는지 여부를 검토해야 합니다. 가능하다면 국내에서의 해결 방안을 모색하고, 반드시 국외 출장이 필요한 경우에만 추진합니다.
2. **계획 수립**: 출장 목적을 명확히 하고, 방문할 기관이나 단체, 일정 등을 상세하게 계획합니다. 이 과정에서 예산 소요 내역도 함께 산출합니다.
3. **상급자 승인 요청**: 작성한 출장 계획서를 소속 부서의 상급자나 결재 권한자에게 제출하여 승인을 받습니다. 이때 출장 목적의 타당성과 예산 적정성 등이 검토됩니다.
4. **내부 결재 완료**: 내부 결재 시스템을 통해 공식적으로 출장 계획이 승인되면, 필요한 문서들이 생성되고 기록됩니다.
5. **외부 협조 요청**: 필요한 경우 외교부나 재외공관에 협조 요청을 보내거나, 방문 예정 국가의 대사관 등과 연락하여 협조를 구합니다.
6. **비자 발급 준비**: 방문하려는 국가의 비자 요건을 확인하고, 필요한 서류를 준비하여 비자를 신청합니다.
7. **출장 전 교육 이수**: 보안 교육이나 안전 교육 등 출장 전에 이수해야 할 교육을 받습니다.
8. **출장 수행**: 계획된 일정에 따라 출장을 수행하며, 모든 활동은 관련 법규와 지침을 준수해야 합니다.
9. **보고서 작성 및 결과 보고**: 출장 후에는 출장 결과를 보고서로 작성하여 상급자와 관련 부서에 제출하고, 이를 토대로 향후 업무에 반영합니다.
이러한 절차들은 공무원의 청렴성과 투명성을 확보하기 위한 것으로, 예산 낭비를 방지하고 효율적인 업무 수행을 도모합니다. 또한, 국민에게 신뢰받는 공직 사회를 만들기 위한 중요한 과정입니다.
**참고**: 위의 내용은 일반적인 절차를 설명한 것이며, 실제 각 지방자치단체나 기관마다 세부 규정이 다를 수 있습니다. 정확한 절차는 소속 기관의 규정이나 지침서를 참고하시기 바랍니다. 추가적인 도움이 필요하시면 언제든지 말씀해 주세요!</t>
  </si>
  <si>
    <t>a683d03a-9adb-4efa-9dce-e40998300ef5</t>
  </si>
  <si>
    <t>nac 로그인이 안돼요(아이디, 초기비밀번호 등)</t>
  </si>
  <si>
    <t>18b7d245c2df4b34bd6571fedafe7e80</t>
  </si>
  <si>
    <t>공무원증 분실시 청사 출입 방법과 재발급 방법은 무엇인가요?</t>
  </si>
  <si>
    <t>83357dd773d6439890614e7564d8ad59</t>
  </si>
  <si>
    <t>시청 청사 내 주차 등록 방법은 무엇인가요?</t>
  </si>
  <si>
    <t>259c3026e3284b579abb83ad7f942819</t>
  </si>
  <si>
    <t>공유재산 관리계획 수립 시 절차는 어떻게 되나요?</t>
  </si>
  <si>
    <t>1256_공유재산관리계획_작성기준.pdf</t>
  </si>
  <si>
    <t>17</t>
  </si>
  <si>
    <t>33074c6038ae420dbc9d9fe53f16134c</t>
  </si>
  <si>
    <t>공유재산 관리계획 수립 시 절차는 다음과 같습니다.
1. **사업계획 수립**: 먼저, 공유재산의 취득 또는 처분을 필요로 하는 사업을 계획합니다. 이때 사업의 목적, 용도, 기간 등을 명확히 합니다.
2. **총괄재산관리부서와의 협의**: 재산관리부서는 총괄재산관리부서와 협의하여 해당 사업이 공유재산관리계획 수립 대상인지 확인합니다. 이는 「공유재산 및 물품 관리법 시행령」 제7조에 따른 기준가격이나 면적을 초과하는지 여부를 판단하기 위함입니다.
3. **공유재산관리계획 수립**: 총괄재산관리부서는 재산관리부서로부터 제공받은 정보를 바탕으로 공유재산관리계획을 수립합니다. 여기에는 사업의 상세 내용과 취득 또는 처분하려는 재산의 정보가 포함됩니다.
4. **지방의회 제출**: 지방자치단체의 장은 수립된 공유재산관리계획을 지방의회에 제출하여 의결을 요청합니다. 이는 「공유재산 및 물품 관리법」 제10조의2에 따른 것으로, 공유재산의 취득 또는 처분에 앞서 지방의회의 사전 동의를 얻어야 합니다.
5. **예산편성**: 공유재산관리계획이 지방의회의 의결을 거친 후, 예산부서는 이를 토대로 예산안을 편성합니다. 예산안은 다시 지방의회에 제출되어 심의·의결 과정을 거칩니다.
6. **사업 시행**: 예산안이 확정되면, 재산관리부서는 계획된 대로 사업을 시행합니다. 이 과정에서 필요한 행정절차나 허가 등을 진행합니다.
이러한 절차를 통해 공유재산의 효율적이고 투명한 관리를 도모하며, 지방의회의 감시와 통제를 받아 재정 운용의 투명성을 높입니다. 만약 중간에 사업 내용이 변경되거나 추가적인 취득 또는 처분이 필요하다면, 이에 대한 변경된 내용의 공유재산관리계획을 다시 수립하고 지방의회의 의결을 받아야 합니다. 이는 공유재산의 무분별한 취득이나 처분을 방지하고, 주민의 세금이 효율적으로 사용되도록 보장하기 위한 것입니다.</t>
  </si>
  <si>
    <t>2e4d564a-b45e-43fc-9874-00c64bce402e</t>
  </si>
  <si>
    <t>d9f21e88-de99-4fe8-ade1-af7d18412f41</t>
  </si>
  <si>
    <t>301750b4-3f18-4d2b-b2bb-ab7f3b101d7a</t>
  </si>
  <si>
    <t>2de0f0c8-62b8-4a49-95ad-da8779b388e1</t>
  </si>
  <si>
    <t>3e60ea04-b4a4-481b-bc71-0f2c643168c6</t>
  </si>
  <si>
    <t>행정전자서명(GPKI) 재발급 방법을 알려주세요</t>
  </si>
  <si>
    <t>f50afa57936e4aaaabdd4578911fdf30</t>
  </si>
  <si>
    <t>네, 행정전자서명(GPKI)의 재발급 방법에 대해 설명드리겠습니다.
**1. 신규 발급이나 재발급, 비밀번호 분실의 경우**
- **첨부된 한글 파일 서식 작성**: 제공된 문서나 공식 웹사이트에서 제공하는 서식을 다운로드 받아 필요한 정보를 정확하게 기입하세요.
- **공문 제출**: 작성한 서식을 공문에 첨부하여 정보화정책과로 신청합니다. 이때, 기간제 직원의 경우에는 근무 기간을 반드시 명시해야 합니다. 각 구군에서는 해당 구군의 전산팀으로, 상수도사업본부에서는 경영지원부 정보관리팀으로, 소방재난본부에서는 119종합상황실로 신청하시면 됩니다.
- **처리 완료 후 인증서 발급**: 공문을 접수한 부서에서 발급 가능 처리를 하면, 휴대전화로 인증서가 발급되었다는 문자 메시지를 받게 됩니다. 이 메시지는 보통 14일 이내에 발송되며, 이 기간 내에 인증서를 발급받지 않으면 다시 신청해야 하니 유의하셔야 합니다.
- **gpki.go.kr에서 인증서 발급 받기**: 문자 메시지를 받으셨다면, 행정망에서 `gpki.go.kr` 사이트에 접속합니다. 이름과 주민등록번호를 입력하고, 휴대폰으로 전송되는 인증번호를 통해 인증을 완료한 뒤 인증서를 발급받습니다.
**2. 인증서 갱신**
- **갱신 가능 기간**: 인증서의 유효기간이 만료되기 100일 전부터 만료일까지 갱신이 가능합니다. 유효기간이 만료되면 자동으로 사용이 중지되므로, 미리 갱신하시는 것이 좋습니다.
- **갱신 방법**: 별도의 공문 신청 없이도 가능하며, `gpki.go.kr` 사이트에서 직접 갱신할 수 있습니다. 사이트 내에서 "인증서 관리/갱신" 메뉴를 선택하고, 구분에서 "개인용", "행정기관"을 선택한 다음 절차를 따라주시면 됩니다.
**3. 인증서 이동 방법**
- **압축 파일 생성**: 현재 사용 중인 PC에서 행정전자서명이 저장된 `C:\GPKI` 폴더 전체를 압축합니다. 이때, `GPKI`, `certificate`, `class2` 등의 모든 하위 폴더와 파일이 포함되어야 합니다.
- **파일 전송**: 압축한 파일을 온메일 또는 온톡을 이용하여 본인의 이메일 주소나 톡으로 보냅니다. 이는 새로운 PC로 인증서를 옮기기 위한 단계입니다.
- **새로운 PC에서 설치**: 새로운 PC에서 온메일 또는 온톡을 열어 압축 파일을 내려받은 후, 동일한 위치인 `C:\` 드라이브에 압축을 해제합니다. 이렇게 하면 이전 PC와 동일하게 인증서를 사용할 수 있게 됩니다.
**주의사항**
- **인증서 파일 전체 복사**: 단순히 `class2` 폴더만을 복사하는 것이 아니라, `GPKI` 폴더 전체를 복사해야 합니다. 그렇지 않으면 인증서가 정상적으로 작동하지 않을 수 있습니다.
- **콜센터 연락처**: 발급 및 갱신 과정에서 기술적인 문제가 발생할 경우, 인증관리센터 콜센터인 1661-9088로 문의하실 수 있습니다.
위의 절차를 따라주시면 행정전자서명의 재발급 및 이동이 원활하게 이루어질 것입니다. 추가로 궁금한 사항이 있으시면 언제든지 질문해 주세요! 도움이 필요하신 부분이 있다면 자세히 안내해 드리겠습니다.</t>
  </si>
  <si>
    <t>정산검사 결과 보고서에서 포함돼야 할 내용에 어떤 것들이 있나요?</t>
  </si>
  <si>
    <t>169</t>
  </si>
  <si>
    <t>09661cc7af5c412a819f494bb9cfc892</t>
  </si>
  <si>
    <t>정산검사 결과 보고서는 특정 회계 기간 동안의 재정 집행 내역을 검사하고 그 결과를 정리하여 보고하는 문서입니다. 이 보고서를 작성할 때 일반적으로 포함되어야 할 주요 내용은 다음과 같습니다:
1. **보고서 개요**
   - 보고서의 목적과 범위를 명확히 합니다.
   - 검사의 대상이 되는 예산 또는 자금의 종류와 금액을 명시합니다.
   - 검사를 실시한 날짜와 기간을 표시합니다.
2. **검토 범위 및 방법**
   - 검사에 사용된 법적 근거, 규정, 지침을 명시합니다.
   - 검사가 이루어진 조직이나 부서를 소개합니다.
   - 검사 방법에 대한 설명을 제공합니다. 예를 들어, 서류 검토, 현장 확인, 인터뷰 등이 있습니다.
3. **주요 발견 사항**
   - 검사 과정에서 발견된 중요한 문제점이나 개선 사항을 요약합니다.
   - 문제의 심각도와 영향력을 평가합니다.
4. **상세 검사 결과**
   - 각 문제점에 대한 자세한 설명과 증거 자료를 제시합니다.
     - 부적절한 지출 사례
     - 예산 초과 또는 누락
     - 내부 통제 시스템의 결함
     - 법규 위반 사항 등
   - 해당 문제가 발생한 원인과 영향을 분석합니다.
5. **권고 사항**
   - 발견된 문제를 해결하기 위한 구체적인 조치를 제안합니다.
   - 향후 유사한 문제가 발생하지 않도록 예방책을 권고합니다.
   - 필요한 교육이나 훈련 프로그램을 추천할 수 있습니다.
6. **조치 계획**
   - 권고 사항을 실행하기 위한 일정과 담당자를 명시합니다.
   - 진행 상황을 추적하고 보고할 방법을 결정합니다.
7. **결론**
   - 전반적인 검사 결과에 대한 평가를 제공합니다.
   - 재정 관리의 강점과 약점을 요약합니다.
   - 향후 개선을 위한 전략적 방향을 제시합니다.
8. **첨부 자료**
   - 검사 과정에서 수집된 모든 증거 자료와 관련 문서를 첨부합니다.
   - 계산서, 영수증, 계약서, 이메일 교환 내용 등이 포함될 수 있습니다.
9. **감사 의견**
   - 감사인의 최종 의견을 제공합니다.
   - 감사를 수행한 팀의 이름과 연락처를 기재합니다.
이러한 구성 요소들을 포함하여 보고서를 작성하면, 재정 집행의 투명성과 책임성을 높이고, 향후 재정 관리의 효율성을 향상시킬 수 있습니다. 또한, 관련된 이해관계자들에게 정확한 정보를 제공하고 신뢰를 구축하는 데 도움이 됩니다. 보고서를 작성할 때는 정확하고 객관적인 정보 제공을 우선시하며, 복잡한 내용을 쉽게 이해할 수 있도록 명확하고 간결한 언어를 사용하는 것이 중요합니다.</t>
  </si>
  <si>
    <t>고충민원이 들어왔을 때 처리절차를 알려주세요</t>
  </si>
  <si>
    <t>139</t>
  </si>
  <si>
    <t>b7562d374ff44137ae428388f28a54e5</t>
  </si>
  <si>
    <t>고충민원이 들어왔을 때의 처리절차는 다음과 같습니다.
1. **고충민원 접수**: 민원인이 고충민원을 신청하면, 해당 기관의 납세자보호관 또는 고충처리 담당 부서에 접수됩니다.
2. **고충민원 검토**: 납세자보호관은 접수된 고충민원을 상세히 검토합니다. 이때 필요한 경우 관련 부서에 사실 조회를 하거나 현장 조사를 실시할 수 있습니다.
   - **직권 시정 대상**인지 여부를 판단합니다:
     - 지방세 관계 법령 및 조례에 명백히 위배된 경우
     - 과세자료 및 세액이 착오로 계산된 경우
     - 민원인의 증거자료가 명백하게 타당한 경우
     - 사실판단이 명백히 잘못된 경우
     - 판례, 이의신청 및 심사청구결정례 등 일반적인 집행례가 확립되어 있는 경우
     - 위의 경우들과 유사한 상황
   - **위원회 회부 대상**인지 여부를 판단합니다:
     - 특정 법률이나 규정에 의해 위원회의 심의가 필요한 경우
   - **이송 대상**인지 여부를 판단합니다:
     - 다른 지방자치단체의 관할에 속하는 경우
   - **시정 불가 대상**인지 여부를 판단합니다:
     - 고충민원의 내용이 명백하게 이유가 없는 경우
3. **고충민원 처리 방법 결정**:
   - **직권 시정 대상**인 경우:
     - 구청장이 신청 내용에 맞게 시정하도록 조치합니다.
     - 단, 구청장이 해당 고충민원이 직권 시정 대상에 해당하지 않는다고 인정하는 경우, 다른 처리 방법을 적용합니다.
   - **위원회 회부 대상**인 경우:
     - 구청장에게 위원회 상정을 요구합니다.
     - 위원회에서 결정된 처리 방법에 따라 처리합니다.
   - **이송 대상**인 경우:
     - 납세자보호관이 고충민원 관련 서류에 이송 사유를 첨부하여 해당 지방자치단체에 이송합니다.
   - **시정 불가 대상**인 경우:
     - 납세자보호관이 그 내용을 민원인에게 통지합니다.
4. **처리 결과 통지**:
   - 납세자보호관은 고충민원의 처리 결과를 민원인에게 통지합니다.
   - 필요한 경우, 처리 전에 전화 등의 방법으로 결과를 설명할 수 있습니다.
5. **불이익 변경 금지 원칙 적용**:
   - 고충민원 처리 시, 민원인에게 고충민원 신청 전보다 불리한 결정을 내려서는 안 됩니다.
   - 이는 민원인의 권리를 보호하기 위한 조치입니다.
6. **불복 대상 여부 확인**:
   - 고충민원에 대한 처리 결과는 법적으로 불복의 대상이 되지 않습니다.
   - 따라서 추가적인 행정심판이나 소송을 제기할 수 없습니다.
7. **고충민원과 권리보호요청의 구분**:
   - 납세자보호관은 민원인이 권리보호요청을 하는 경우, 고충민원과 구분하여 처리합니다.
   - 그러나 신속한 후속 처분이 이루어지지 않아 납세자에게 회복할 수 없는 손해가 예상되는 긴급한 경우에는 권리보호요청으로 분류하여 처리합니다.
8. **권리보호요청 대상 확인**:
   - 세무조사 과정에서의 권리보호요청은 세무공무원의 위법한 행위에 대해 신청할 수 있습니다.
   - 지방세 부과·징수, 체납처분 등 집행과정에서의 권리보호요청도 마찬가지로 세무공무원의 부적절한 행위에 대해 신청 가능합니다.
이러한 절차를 통해 고충민원은 공정하고 효율적으로 처리되며, 민원인의 권리는 최대한 보장됩니다. 만약 더 자세한 안내나 도움이 필요하다면, 해당 기관의 납세자보호관이나 고객상담센터에 문의하시는 것이 좋습니다.</t>
  </si>
  <si>
    <t>5a61c4f2-0d52-4bfc-aa09-d8f51794f16e</t>
  </si>
  <si>
    <t>188dd408-9cfd-4cf4-bd54-40d8a54cb4e2</t>
  </si>
  <si>
    <t>7553d746-3708-4572-87f2-ddfc8ab51139</t>
  </si>
  <si>
    <t>1232_국민신문고_사용자지침서_고충민원_v13.pdf</t>
  </si>
  <si>
    <t>b9dee964-2f3f-451a-921d-7f5b430d920f</t>
  </si>
  <si>
    <t>599303ef-383b-411b-b4e1-ed748ca3a445</t>
  </si>
  <si>
    <t>계약입찰공고 시 공고기간은 초일을 산입하여 계산하여야 하나요?</t>
  </si>
  <si>
    <t>15, 16</t>
  </si>
  <si>
    <t>5a71ae2ebf884c40a9f4ac199ff78797</t>
  </si>
  <si>
    <t>예산변경의 절차에 대해서 알려주세요</t>
  </si>
  <si>
    <t>404</t>
  </si>
  <si>
    <t>c7b247af446a4fce8e53d76aaec9c246</t>
  </si>
  <si>
    <t>법률자문은 어떻게 진행되나요?</t>
  </si>
  <si>
    <t>2501_법무담당관_업무매뉴얼_법무담당관_자치법규_입법절차_등</t>
  </si>
  <si>
    <t>0f89ecf06a4c45f2b6af092abedc50c6</t>
  </si>
  <si>
    <t>조례를 제정,개정하기 위한 행정절차 가이드라인을 알려줄 수 있는지?</t>
  </si>
  <si>
    <t>8588b88604644e15b92866ae04f38bb5</t>
  </si>
  <si>
    <t>PC를 새로 교체했을 때 해야하는 보안절차가 있는지?</t>
  </si>
  <si>
    <t>9473544e138d47d39417b6d5a291c764</t>
  </si>
  <si>
    <t>c026a5d0b266440d90d0abb566ae1a63</t>
  </si>
  <si>
    <t>a03394a6b0ef44debbf9b712e0565acf</t>
  </si>
  <si>
    <t>a8aa77a7c7d6489e902082f8af7cc225</t>
  </si>
  <si>
    <t>업무추진비 집행 기준은 다음과 같습니다.
1. **사용 목적 명확화**: 업무추진비를 집행할 때는 집행 목적, 일시, 장소, 집행 대상 등을 증빙서류에 상세히 기재해야 합니다. 이는 사용 용도를 명확히 하고 투명성을 확보하기 위함입니다.
2. **현금 사용 제한**: 업무추진비는 원칙적으로 현금으로 사용할 수 없습니다. 그러나 격려금, 축의금, 부의금 등 현금 집행이 불가피한 경우에는 예외적으로 사용할 수 있습니다. 이때는 지출품의서에 지급 목적, 대상, 금액, 지급 필요성 등을 명시해야 합니다.
3. **심야 시간 및 사용자 자택 근처 사용 제한**: 심야(23시 이후)나 사용자의 자택 근처에서의 업무추진비 사용은 통상적인 업무 추진과 관련이 적으므로 제한됩니다. 하지만 직무 관련성이 입증되는 객관적 증빙서류를 제출하면 예외적으로 허용됩니다.
4. **접대비 한도 준수**: 간담회 등 접대비는 특별한 사유 없이 1인당 1회당 4만원 이하로 집행해야 합니다. 행사의 성격이나 불가피한 사유로 인해 4만원을 초과하는 경우에도 증빙서류에 사유를 명시하면 가능합니다. 또한, 청탁금지법에 따른 공직자 등에 대한 접대비는 3만원 이하로 집행해야 합니다.
5. **증빙서류 보관**: 업무추진비로 상품권, 기념품, 특산품 등을 구매한 경우 지급관리 대장에 지급일시, 대상자, 수량 등을 기재하고 결재를 받아야 합니다. 이를 통해 사적 사용을 방지하고 관리의 투명성을 높입니다.
6. **클린카드 사용 의무**: 업무추진비는 클린카드, 직불전자지급수단, 직불카드로 집행해야 합니다. 클린카드는 의무적 제한업종(예: 유흥업종, 위생업종, 레저업종 등)에서의 사용을 제한하여 부적절한 지출을 예방합니다.
7. **개인적 용도 사용 금지**: 업무추진비는 개인의 사적 용도로 사용할 수 없으며, 월정액으로 개인에게 지급하는 것도 금지되어 있습니다.
이러한 기준들은 업무추진비의 적절한 사용을 보장하고 공공자금의 낭비를 막기 위한 것입니다. 자세한 내용은 관련 지침이나 법령을 참고하시기 바랍니다. 추가로 궁금한 사항이 있으시면 언제든지 물어보세요!</t>
  </si>
  <si>
    <t>b0ca5666-5e3c-46ea-92c4-052a03a211bd</t>
  </si>
  <si>
    <t>엑셀, 한글 등 SW프로그램을 새로 다운받는 방법을 알려주세요</t>
  </si>
  <si>
    <t>3f98ec4d848f4a4babcbcafe6b4ab84d</t>
  </si>
  <si>
    <t>b6728833ae564b3e830a87bc6b882a1a</t>
  </si>
  <si>
    <t>관내출장 시 18:00 이후 복귀하여도 출장 시간 인정이 되는지 궁금합니다.</t>
  </si>
  <si>
    <t>지방공무원 복무규정(대통령령)</t>
  </si>
  <si>
    <t>3~4</t>
  </si>
  <si>
    <t>b113eab12c6d494997f14dac32fb87a9</t>
  </si>
  <si>
    <t>예산 수시 배정 절차가 궁금합니다.</t>
  </si>
  <si>
    <t>163</t>
  </si>
  <si>
    <t>25c78f48c9a04f469ed58cf42e6b201e</t>
  </si>
  <si>
    <t>네, 예산 수시 배정 절차에 대해 알려드리겠습니다.
**예산 수시 배정 절차**
1. **세출예산집행계획 수정 및 수시배정 요구**: 사업부서에서는 세출예산집행계획을 수정하고, 필요한 경우 통계목 단위로 세출예산수시배정요구서를 작성하여 예산부서에 제출합니다. 이는 세출예산배정계획에 유보되었던 사항이 해제되거나, 불가피한 사유로 인해 긴급하게 집행이 필요할 때 진행됩니다.
2. **세출예산배정계획 조정**: 예산부서에서는 사업부서로부터 제출된 세출예산수시배정요구서를 검토합니다. 만약 배정에 따른 결격사유가 없다면, 세출예산배정계획을 수정하여 수시배정을 준비합니다.
3. **수시배정 확정 및 관계부서 통지**: 예산부서에서 수시배정을 확정하면, 이를 관계부서에 공식적으로 통지합니다. 이로써 해당 사업에 대한 예산 배정이 완료되며, 사업부서에서는 예산을 집행할 수 있게 됩니다.
**참고사항**
- **배정 단위**: 예산부서는 일반적으로 편성목 단위로 예산을 배정하며, 필요에 따라 회계 처리 등을 고려하여 통계목까지 내부적으로 관리합니다.
- **법령 및 규정**: 이러한 절차는 「지방재정법」, 「지방회계법」 등의 관련 법령과 지방자치단체 회계관리에 관한 훈령 등에 근거하여 진행됩니다.
**추가 정보**
만약 더 자세한 내용이나 특정 상황에 대한 안내가 필요하시다면, 해당 연도의 예산편성 운영기준이나 행정안전부에서 발행한 업무매뉴얼을 참고하시는 것도 도움이 될 것입니다. 또한, e-호조시스템을 통한 전자결재 절차를 활용하시면 보다 효율적인 예산 배정 및 집행이 가능합니다.
궁금하신 점이 있으시면 언제든지 말씀해 주세요! 다른 도움이 필요하시면 또 도와드릴게요.</t>
  </si>
  <si>
    <t>960b7908-0dc3-4fa1-a4e8-72d81095aac6</t>
  </si>
  <si>
    <t>208_2107_예산담당관_업무매뉴얼_행정안전부_2022년도_지방자치단체_예산편성_운영기준_및_기금운용계획_수립기준.pdf</t>
  </si>
  <si>
    <t>0111c7ee-fe7d-4b6b-90b6-51c504394695</t>
  </si>
  <si>
    <t>6d8bb16a-5cc9-4cc3-a4cf-65be98a0efbf</t>
  </si>
  <si>
    <t>16a635e7-b747-48a5-9a29-42a929cc22eb</t>
  </si>
  <si>
    <t>d56ba53f-b68f-4cbb-9792-25b38ae97c95</t>
  </si>
  <si>
    <t>209_2207_예산담당관_업무매뉴얼_행정안전부_2023년도_지방자치단체_예산편성_운영기준_및_기금운용계획_수립기준.pdf</t>
  </si>
  <si>
    <t>총질문수</t>
    <phoneticPr fontId="2" type="noConversion"/>
  </si>
  <si>
    <t>검색TOP5포함</t>
    <phoneticPr fontId="2" type="noConversion"/>
  </si>
  <si>
    <t>LLM정답청크선택</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</si>
</sst>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sz val="11"/>
      <color rgb="FFFF0000"/>
      <name val="맑은 고딕"/>
      <family val="3"/>
      <charset val="129"/>
    </font>
    <font>
      <sz val="8"/>
      <name val="맑은 고딕"/>
      <family val="3"/>
      <charset val="129"/>
      <scheme val="minor"/>
    </font>
    <font>
      <sz val="11"/>
      <color theme="1"/>
      <name val="맑은 고딕"/>
      <family val="2"/>
      <scheme val="minor"/>
    </font>
  </fonts>
  <fills count="3">
    <fill>
      <patternFill patternType="none"/>
    </fill>
    <fill>
      <patternFill patternType="gray125"/>
    </fill>
    <fill>
      <patternFill patternType="solid">
        <fgColor rgb="FFCCFFCC"/>
        <bgColor rgb="FFCCFFCC"/>
      </patternFill>
    </fill>
  </fills>
  <borders count="1">
    <border>
      <left/>
      <right/>
      <top/>
      <bottom/>
      <diagonal/>
    </border>
  </borders>
  <cellStyleXfs count="2">
    <xf numFmtId="0" fontId="0" fillId="0" borderId="0"/>
    <xf numFmtId="9" fontId="3" fillId="0" borderId="0" applyFont="0" applyFill="0" applyBorder="0" applyAlignment="0" applyProtection="0">
      <alignment vertical="center"/>
    </xf>
  </cellStyleXfs>
  <cellXfs count="11">
    <xf numFmtId="0" fontId="0" fillId="0" borderId="0" xfId="0"/>
    <xf numFmtId="0" fontId="1" fillId="0" borderId="0" xfId="0" applyFont="1" applyAlignment="1">
      <alignment vertical="top" wrapText="1"/>
    </xf>
    <xf numFmtId="0" fontId="0" fillId="0" borderId="0" xfId="0" applyAlignment="1">
      <alignment vertical="top" wrapText="1"/>
    </xf>
    <xf numFmtId="0" fontId="0" fillId="0" borderId="0" xfId="0"/>
    <xf numFmtId="0" fontId="1" fillId="2" borderId="0" xfId="0" applyFont="1" applyFill="1" applyAlignment="1">
      <alignment vertical="top" wrapText="1"/>
    </xf>
    <xf numFmtId="0" fontId="0" fillId="2" borderId="0" xfId="0" applyFill="1" applyAlignment="1">
      <alignment vertical="top" wrapText="1"/>
    </xf>
    <xf numFmtId="0" fontId="0" fillId="0" borderId="0" xfId="0"/>
    <xf numFmtId="10" fontId="0" fillId="0" borderId="0" xfId="1" applyNumberFormat="1" applyFont="1" applyAlignment="1"/>
    <xf numFmtId="0" fontId="0" fillId="0" borderId="0" xfId="0" applyAlignment="1">
      <alignment vertical="top" wrapText="1"/>
    </xf>
    <xf numFmtId="0" fontId="0" fillId="0" borderId="0" xfId="0"/>
    <xf numFmtId="0" fontId="0" fillId="0" borderId="0" xfId="0" applyAlignment="1">
      <alignment vertical="top"/>
    </xf>
  </cellXfs>
  <cellStyles count="2">
    <cellStyle name="백분율" xfId="1" builtinId="5"/>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AF1C9-8F83-44C4-88CF-9D01FA972E1A}">
  <dimension ref="A1:C3"/>
  <sheetViews>
    <sheetView tabSelected="1" workbookViewId="0">
      <selection activeCell="D8" sqref="D8"/>
    </sheetView>
  </sheetViews>
  <sheetFormatPr defaultRowHeight="16.5" x14ac:dyDescent="0.3"/>
  <cols>
    <col min="1" max="1" width="16.875" bestFit="1" customWidth="1"/>
  </cols>
  <sheetData>
    <row r="1" spans="1:3" x14ac:dyDescent="0.3">
      <c r="A1" t="s">
        <v>766</v>
      </c>
      <c r="B1">
        <f>COUNTA(Logs!A:A) - 1</f>
        <v>167</v>
      </c>
    </row>
    <row r="2" spans="1:3" x14ac:dyDescent="0.3">
      <c r="A2" t="s">
        <v>767</v>
      </c>
      <c r="B2">
        <f>COUNTIF(Logs!D:D, "존재")</f>
        <v>25</v>
      </c>
      <c r="C2" s="7">
        <f>B2/B1</f>
        <v>0.1497005988023952</v>
      </c>
    </row>
    <row r="3" spans="1:3" x14ac:dyDescent="0.3">
      <c r="A3" t="s">
        <v>768</v>
      </c>
      <c r="B3" s="6">
        <f>COUNTIF(Logs!E:E, "참조")</f>
        <v>22</v>
      </c>
      <c r="C3" s="7">
        <f>B3/B1</f>
        <v>0.1317365269461078</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38"/>
  <sheetViews>
    <sheetView topLeftCell="A829" workbookViewId="0">
      <selection activeCell="E832" sqref="E832:E836"/>
    </sheetView>
  </sheetViews>
  <sheetFormatPr defaultRowHeight="16.5" x14ac:dyDescent="0.3"/>
  <cols>
    <col min="1" max="1" width="30" style="3" customWidth="1"/>
    <col min="2" max="2" width="20" style="3" customWidth="1"/>
    <col min="3" max="6" width="10" style="3" customWidth="1"/>
    <col min="7" max="7" width="50" style="3" customWidth="1"/>
    <col min="8" max="10" width="10" style="3" customWidth="1"/>
    <col min="11" max="11" width="30" style="3" customWidth="1"/>
    <col min="12" max="12" width="10" style="3" customWidth="1"/>
  </cols>
  <sheetData>
    <row r="1" spans="1:12" x14ac:dyDescent="0.3">
      <c r="A1" t="s">
        <v>0</v>
      </c>
      <c r="B1" t="s">
        <v>1</v>
      </c>
      <c r="C1" t="s">
        <v>2</v>
      </c>
      <c r="D1" t="s">
        <v>3</v>
      </c>
      <c r="E1" t="s">
        <v>4</v>
      </c>
      <c r="F1" t="s">
        <v>5</v>
      </c>
      <c r="G1" t="s">
        <v>6</v>
      </c>
      <c r="H1" t="s">
        <v>7</v>
      </c>
      <c r="I1" t="s">
        <v>8</v>
      </c>
      <c r="J1" t="s">
        <v>9</v>
      </c>
      <c r="K1" t="s">
        <v>10</v>
      </c>
      <c r="L1" t="s">
        <v>11</v>
      </c>
    </row>
    <row r="2" spans="1:12" ht="90" customHeight="1" x14ac:dyDescent="0.3">
      <c r="A2" s="8" t="s">
        <v>12</v>
      </c>
      <c r="B2" s="8" t="s">
        <v>13</v>
      </c>
      <c r="C2" s="8" t="s">
        <v>14</v>
      </c>
      <c r="D2" s="10" t="s">
        <v>15</v>
      </c>
      <c r="E2" s="10" t="s">
        <v>16</v>
      </c>
      <c r="F2" s="8" t="s">
        <v>17</v>
      </c>
      <c r="G2" s="8" t="s">
        <v>18</v>
      </c>
      <c r="H2" s="2"/>
      <c r="I2" s="2"/>
      <c r="J2" s="2"/>
      <c r="K2" s="2"/>
      <c r="L2" s="2"/>
    </row>
    <row r="3" spans="1:12" ht="90" customHeight="1" x14ac:dyDescent="0.3">
      <c r="A3" s="9"/>
      <c r="B3" s="9"/>
      <c r="C3" s="9"/>
      <c r="D3" s="9"/>
      <c r="E3" s="9"/>
      <c r="F3" s="9"/>
      <c r="G3" s="9"/>
      <c r="H3" s="2"/>
      <c r="I3" s="2"/>
      <c r="J3" s="2"/>
      <c r="K3" s="2"/>
      <c r="L3" s="2"/>
    </row>
    <row r="4" spans="1:12" ht="90" customHeight="1" x14ac:dyDescent="0.3">
      <c r="A4" s="9"/>
      <c r="B4" s="9"/>
      <c r="C4" s="9"/>
      <c r="D4" s="9"/>
      <c r="E4" s="9"/>
      <c r="F4" s="9"/>
      <c r="G4" s="9"/>
      <c r="H4" s="2"/>
      <c r="I4" s="2"/>
      <c r="J4" s="2"/>
      <c r="K4" s="2"/>
      <c r="L4" s="2"/>
    </row>
    <row r="5" spans="1:12" ht="90" customHeight="1" x14ac:dyDescent="0.3">
      <c r="A5" s="9"/>
      <c r="B5" s="9"/>
      <c r="C5" s="9"/>
      <c r="D5" s="9"/>
      <c r="E5" s="9"/>
      <c r="F5" s="9"/>
      <c r="G5" s="9"/>
      <c r="H5" s="2"/>
      <c r="I5" s="2"/>
      <c r="J5" s="2"/>
      <c r="K5" s="2"/>
      <c r="L5" s="2"/>
    </row>
    <row r="6" spans="1:12" ht="90" customHeight="1" x14ac:dyDescent="0.3">
      <c r="A6" s="9"/>
      <c r="B6" s="9"/>
      <c r="C6" s="9"/>
      <c r="D6" s="9"/>
      <c r="E6" s="9"/>
      <c r="F6" s="9"/>
      <c r="G6" s="9"/>
      <c r="H6" s="2"/>
      <c r="I6" s="2"/>
      <c r="J6" s="2"/>
      <c r="K6" s="2"/>
      <c r="L6" s="2"/>
    </row>
    <row r="7" spans="1:12" ht="90" customHeight="1" x14ac:dyDescent="0.3">
      <c r="A7" s="8" t="s">
        <v>19</v>
      </c>
      <c r="B7" s="8" t="s">
        <v>20</v>
      </c>
      <c r="C7" s="8" t="s">
        <v>21</v>
      </c>
      <c r="D7" s="10" t="s">
        <v>22</v>
      </c>
      <c r="E7" s="10" t="s">
        <v>23</v>
      </c>
      <c r="F7" s="8" t="s">
        <v>24</v>
      </c>
      <c r="G7" s="8" t="s">
        <v>25</v>
      </c>
      <c r="H7" s="4" t="s">
        <v>26</v>
      </c>
      <c r="I7" s="4">
        <v>0.97808291406815884</v>
      </c>
      <c r="J7" s="4" t="s">
        <v>27</v>
      </c>
      <c r="K7" s="4" t="s">
        <v>20</v>
      </c>
      <c r="L7" s="4">
        <v>3</v>
      </c>
    </row>
    <row r="8" spans="1:12" ht="90" customHeight="1" x14ac:dyDescent="0.3">
      <c r="A8" s="9"/>
      <c r="B8" s="9"/>
      <c r="C8" s="9"/>
      <c r="D8" s="9"/>
      <c r="E8" s="9"/>
      <c r="F8" s="9"/>
      <c r="G8" s="9"/>
      <c r="H8" s="4" t="s">
        <v>28</v>
      </c>
      <c r="I8" s="4">
        <v>0.95250257811657246</v>
      </c>
      <c r="J8" s="4" t="s">
        <v>27</v>
      </c>
      <c r="K8" s="4" t="s">
        <v>20</v>
      </c>
      <c r="L8" s="4">
        <v>1</v>
      </c>
    </row>
    <row r="9" spans="1:12" ht="90" customHeight="1" x14ac:dyDescent="0.3">
      <c r="A9" s="9"/>
      <c r="B9" s="9"/>
      <c r="C9" s="9"/>
      <c r="D9" s="9"/>
      <c r="E9" s="9"/>
      <c r="F9" s="9"/>
      <c r="G9" s="9"/>
      <c r="H9" s="4" t="s">
        <v>29</v>
      </c>
      <c r="I9" s="4">
        <v>0.88604728739972261</v>
      </c>
      <c r="J9" s="4" t="s">
        <v>27</v>
      </c>
      <c r="K9" s="4" t="s">
        <v>20</v>
      </c>
      <c r="L9" s="4">
        <v>2</v>
      </c>
    </row>
    <row r="10" spans="1:12" ht="90" customHeight="1" x14ac:dyDescent="0.3">
      <c r="A10" s="9"/>
      <c r="B10" s="9"/>
      <c r="C10" s="9"/>
      <c r="D10" s="9"/>
      <c r="E10" s="9"/>
      <c r="F10" s="9"/>
      <c r="G10" s="9"/>
      <c r="H10" s="2"/>
      <c r="I10" s="2"/>
      <c r="J10" s="2"/>
      <c r="K10" s="2"/>
      <c r="L10" s="2"/>
    </row>
    <row r="11" spans="1:12" ht="90" customHeight="1" x14ac:dyDescent="0.3">
      <c r="A11" s="9"/>
      <c r="B11" s="9"/>
      <c r="C11" s="9"/>
      <c r="D11" s="9"/>
      <c r="E11" s="9"/>
      <c r="F11" s="9"/>
      <c r="G11" s="9"/>
      <c r="H11" s="2"/>
      <c r="I11" s="2"/>
      <c r="J11" s="2"/>
      <c r="K11" s="2"/>
      <c r="L11" s="2"/>
    </row>
    <row r="12" spans="1:12" ht="90" customHeight="1" x14ac:dyDescent="0.3">
      <c r="A12" s="8" t="s">
        <v>30</v>
      </c>
      <c r="B12" s="8" t="s">
        <v>20</v>
      </c>
      <c r="C12" s="8" t="s">
        <v>21</v>
      </c>
      <c r="D12" s="10" t="s">
        <v>22</v>
      </c>
      <c r="E12" s="10" t="s">
        <v>23</v>
      </c>
      <c r="F12" s="8" t="s">
        <v>31</v>
      </c>
      <c r="G12" s="8" t="s">
        <v>32</v>
      </c>
      <c r="H12" s="4" t="s">
        <v>26</v>
      </c>
      <c r="I12" s="4">
        <v>0.8593488506147775</v>
      </c>
      <c r="J12" s="4" t="s">
        <v>27</v>
      </c>
      <c r="K12" s="4" t="s">
        <v>20</v>
      </c>
      <c r="L12" s="4">
        <v>3</v>
      </c>
    </row>
    <row r="13" spans="1:12" ht="90" customHeight="1" x14ac:dyDescent="0.3">
      <c r="A13" s="9"/>
      <c r="B13" s="9"/>
      <c r="C13" s="9"/>
      <c r="D13" s="9"/>
      <c r="E13" s="9"/>
      <c r="F13" s="9"/>
      <c r="G13" s="9"/>
      <c r="H13" s="4" t="s">
        <v>28</v>
      </c>
      <c r="I13" s="4">
        <v>0.79614958675249847</v>
      </c>
      <c r="J13" s="4" t="s">
        <v>27</v>
      </c>
      <c r="K13" s="4" t="s">
        <v>20</v>
      </c>
      <c r="L13" s="4">
        <v>1</v>
      </c>
    </row>
    <row r="14" spans="1:12" ht="90" customHeight="1" x14ac:dyDescent="0.3">
      <c r="A14" s="9"/>
      <c r="B14" s="9"/>
      <c r="C14" s="9"/>
      <c r="D14" s="9"/>
      <c r="E14" s="9"/>
      <c r="F14" s="9"/>
      <c r="G14" s="9"/>
      <c r="H14" s="4" t="s">
        <v>29</v>
      </c>
      <c r="I14" s="4">
        <v>0.76790394035877763</v>
      </c>
      <c r="J14" s="4" t="s">
        <v>27</v>
      </c>
      <c r="K14" s="4" t="s">
        <v>20</v>
      </c>
      <c r="L14" s="4">
        <v>2</v>
      </c>
    </row>
    <row r="15" spans="1:12" ht="90" customHeight="1" x14ac:dyDescent="0.3">
      <c r="A15" s="9"/>
      <c r="B15" s="9"/>
      <c r="C15" s="9"/>
      <c r="D15" s="9"/>
      <c r="E15" s="9"/>
      <c r="F15" s="9"/>
      <c r="G15" s="9"/>
      <c r="H15" s="2"/>
      <c r="I15" s="2"/>
      <c r="J15" s="2"/>
      <c r="K15" s="2"/>
      <c r="L15" s="2"/>
    </row>
    <row r="16" spans="1:12" ht="90" customHeight="1" x14ac:dyDescent="0.3">
      <c r="A16" s="9"/>
      <c r="B16" s="9"/>
      <c r="C16" s="9"/>
      <c r="D16" s="9"/>
      <c r="E16" s="9"/>
      <c r="F16" s="9"/>
      <c r="G16" s="9"/>
      <c r="H16" s="2"/>
      <c r="I16" s="2"/>
      <c r="J16" s="2"/>
      <c r="K16" s="2"/>
      <c r="L16" s="2"/>
    </row>
    <row r="17" spans="1:12" ht="90" customHeight="1" x14ac:dyDescent="0.3">
      <c r="A17" s="8" t="s">
        <v>33</v>
      </c>
      <c r="B17" s="8" t="s">
        <v>34</v>
      </c>
      <c r="C17" s="8" t="s">
        <v>14</v>
      </c>
      <c r="D17" s="10" t="s">
        <v>15</v>
      </c>
      <c r="E17" s="10" t="s">
        <v>16</v>
      </c>
      <c r="F17" s="8" t="s">
        <v>35</v>
      </c>
      <c r="G17" s="8" t="s">
        <v>18</v>
      </c>
      <c r="H17" s="2"/>
      <c r="I17" s="2"/>
      <c r="J17" s="2"/>
      <c r="K17" s="2"/>
      <c r="L17" s="2"/>
    </row>
    <row r="18" spans="1:12" ht="90" customHeight="1" x14ac:dyDescent="0.3">
      <c r="A18" s="9"/>
      <c r="B18" s="9"/>
      <c r="C18" s="9"/>
      <c r="D18" s="9"/>
      <c r="E18" s="9"/>
      <c r="F18" s="9"/>
      <c r="G18" s="9"/>
      <c r="H18" s="2"/>
      <c r="I18" s="2"/>
      <c r="J18" s="2"/>
      <c r="K18" s="2"/>
      <c r="L18" s="2"/>
    </row>
    <row r="19" spans="1:12" ht="90" customHeight="1" x14ac:dyDescent="0.3">
      <c r="A19" s="9"/>
      <c r="B19" s="9"/>
      <c r="C19" s="9"/>
      <c r="D19" s="9"/>
      <c r="E19" s="9"/>
      <c r="F19" s="9"/>
      <c r="G19" s="9"/>
      <c r="H19" s="2"/>
      <c r="I19" s="2"/>
      <c r="J19" s="2"/>
      <c r="K19" s="2"/>
      <c r="L19" s="2"/>
    </row>
    <row r="20" spans="1:12" ht="90" customHeight="1" x14ac:dyDescent="0.3">
      <c r="A20" s="9"/>
      <c r="B20" s="9"/>
      <c r="C20" s="9"/>
      <c r="D20" s="9"/>
      <c r="E20" s="9"/>
      <c r="F20" s="9"/>
      <c r="G20" s="9"/>
      <c r="H20" s="2"/>
      <c r="I20" s="2"/>
      <c r="J20" s="2"/>
      <c r="K20" s="2"/>
      <c r="L20" s="2"/>
    </row>
    <row r="21" spans="1:12" ht="90" customHeight="1" x14ac:dyDescent="0.3">
      <c r="A21" s="9"/>
      <c r="B21" s="9"/>
      <c r="C21" s="9"/>
      <c r="D21" s="9"/>
      <c r="E21" s="9"/>
      <c r="F21" s="9"/>
      <c r="G21" s="9"/>
      <c r="H21" s="2"/>
      <c r="I21" s="2"/>
      <c r="J21" s="2"/>
      <c r="K21" s="2"/>
      <c r="L21" s="2"/>
    </row>
    <row r="22" spans="1:12" ht="90" customHeight="1" x14ac:dyDescent="0.3">
      <c r="A22" s="8" t="s">
        <v>36</v>
      </c>
      <c r="B22" s="8" t="s">
        <v>37</v>
      </c>
      <c r="C22" s="8" t="s">
        <v>14</v>
      </c>
      <c r="D22" s="10" t="s">
        <v>15</v>
      </c>
      <c r="E22" s="10" t="s">
        <v>16</v>
      </c>
      <c r="F22" s="8" t="s">
        <v>38</v>
      </c>
      <c r="G22" s="8" t="s">
        <v>18</v>
      </c>
      <c r="H22" s="2"/>
      <c r="I22" s="2"/>
      <c r="J22" s="2"/>
      <c r="K22" s="2"/>
      <c r="L22" s="2"/>
    </row>
    <row r="23" spans="1:12" ht="90" customHeight="1" x14ac:dyDescent="0.3">
      <c r="A23" s="9"/>
      <c r="B23" s="9"/>
      <c r="C23" s="9"/>
      <c r="D23" s="9"/>
      <c r="E23" s="9"/>
      <c r="F23" s="9"/>
      <c r="G23" s="9"/>
      <c r="H23" s="2"/>
      <c r="I23" s="2"/>
      <c r="J23" s="2"/>
      <c r="K23" s="2"/>
      <c r="L23" s="2"/>
    </row>
    <row r="24" spans="1:12" ht="90" customHeight="1" x14ac:dyDescent="0.3">
      <c r="A24" s="9"/>
      <c r="B24" s="9"/>
      <c r="C24" s="9"/>
      <c r="D24" s="9"/>
      <c r="E24" s="9"/>
      <c r="F24" s="9"/>
      <c r="G24" s="9"/>
      <c r="H24" s="2"/>
      <c r="I24" s="2"/>
      <c r="J24" s="2"/>
      <c r="K24" s="2"/>
      <c r="L24" s="2"/>
    </row>
    <row r="25" spans="1:12" ht="90" customHeight="1" x14ac:dyDescent="0.3">
      <c r="A25" s="9"/>
      <c r="B25" s="9"/>
      <c r="C25" s="9"/>
      <c r="D25" s="9"/>
      <c r="E25" s="9"/>
      <c r="F25" s="9"/>
      <c r="G25" s="9"/>
      <c r="H25" s="2"/>
      <c r="I25" s="2"/>
      <c r="J25" s="2"/>
      <c r="K25" s="2"/>
      <c r="L25" s="2"/>
    </row>
    <row r="26" spans="1:12" ht="90" customHeight="1" x14ac:dyDescent="0.3">
      <c r="A26" s="9"/>
      <c r="B26" s="9"/>
      <c r="C26" s="9"/>
      <c r="D26" s="9"/>
      <c r="E26" s="9"/>
      <c r="F26" s="9"/>
      <c r="G26" s="9"/>
      <c r="H26" s="2"/>
      <c r="I26" s="2"/>
      <c r="J26" s="2"/>
      <c r="K26" s="2"/>
      <c r="L26" s="2"/>
    </row>
    <row r="27" spans="1:12" ht="90" customHeight="1" x14ac:dyDescent="0.3">
      <c r="A27" s="8" t="s">
        <v>39</v>
      </c>
      <c r="B27" s="8" t="s">
        <v>40</v>
      </c>
      <c r="C27" s="8" t="s">
        <v>14</v>
      </c>
      <c r="D27" s="10" t="s">
        <v>22</v>
      </c>
      <c r="E27" s="10" t="s">
        <v>23</v>
      </c>
      <c r="F27" s="8" t="s">
        <v>41</v>
      </c>
      <c r="G27" s="8" t="s">
        <v>42</v>
      </c>
      <c r="H27" s="4" t="s">
        <v>43</v>
      </c>
      <c r="I27" s="4">
        <v>0.99970752000808716</v>
      </c>
      <c r="J27" s="4" t="s">
        <v>27</v>
      </c>
      <c r="K27" s="4" t="s">
        <v>40</v>
      </c>
      <c r="L27" s="4">
        <v>1</v>
      </c>
    </row>
    <row r="28" spans="1:12" ht="90" customHeight="1" x14ac:dyDescent="0.3">
      <c r="A28" s="9"/>
      <c r="B28" s="9"/>
      <c r="C28" s="9"/>
      <c r="D28" s="9"/>
      <c r="E28" s="9"/>
      <c r="F28" s="9"/>
      <c r="G28" s="9"/>
      <c r="H28" s="1" t="s">
        <v>44</v>
      </c>
      <c r="I28" s="1">
        <v>0.92656499147415161</v>
      </c>
      <c r="J28" s="1" t="s">
        <v>27</v>
      </c>
      <c r="K28" s="1" t="s">
        <v>45</v>
      </c>
      <c r="L28" s="1">
        <v>10</v>
      </c>
    </row>
    <row r="29" spans="1:12" ht="90" customHeight="1" x14ac:dyDescent="0.3">
      <c r="A29" s="9"/>
      <c r="B29" s="9"/>
      <c r="C29" s="9"/>
      <c r="D29" s="9"/>
      <c r="E29" s="9"/>
      <c r="F29" s="9"/>
      <c r="G29" s="9"/>
      <c r="H29" s="2" t="s">
        <v>46</v>
      </c>
      <c r="I29" s="2">
        <v>0.76710452703602849</v>
      </c>
      <c r="J29" s="2" t="s">
        <v>27</v>
      </c>
      <c r="K29" s="2" t="s">
        <v>47</v>
      </c>
      <c r="L29" s="2">
        <v>4</v>
      </c>
    </row>
    <row r="30" spans="1:12" ht="90" customHeight="1" x14ac:dyDescent="0.3">
      <c r="A30" s="9"/>
      <c r="B30" s="9"/>
      <c r="C30" s="9"/>
      <c r="D30" s="9"/>
      <c r="E30" s="9"/>
      <c r="F30" s="9"/>
      <c r="G30" s="9"/>
      <c r="H30" s="2"/>
      <c r="I30" s="2"/>
      <c r="J30" s="2"/>
      <c r="K30" s="2"/>
      <c r="L30" s="2"/>
    </row>
    <row r="31" spans="1:12" ht="90" customHeight="1" x14ac:dyDescent="0.3">
      <c r="A31" s="9"/>
      <c r="B31" s="9"/>
      <c r="C31" s="9"/>
      <c r="D31" s="9"/>
      <c r="E31" s="9"/>
      <c r="F31" s="9"/>
      <c r="G31" s="9"/>
      <c r="H31" s="2"/>
      <c r="I31" s="2"/>
      <c r="J31" s="2"/>
      <c r="K31" s="2"/>
      <c r="L31" s="2"/>
    </row>
    <row r="32" spans="1:12" ht="90" customHeight="1" x14ac:dyDescent="0.3">
      <c r="A32" s="8" t="s">
        <v>48</v>
      </c>
      <c r="B32" s="8" t="s">
        <v>34</v>
      </c>
      <c r="C32" s="8" t="s">
        <v>14</v>
      </c>
      <c r="D32" s="10" t="s">
        <v>15</v>
      </c>
      <c r="E32" s="10" t="s">
        <v>16</v>
      </c>
      <c r="F32" s="8" t="s">
        <v>49</v>
      </c>
      <c r="G32" s="8" t="s">
        <v>18</v>
      </c>
      <c r="H32" s="2"/>
      <c r="I32" s="2"/>
      <c r="J32" s="2"/>
      <c r="K32" s="2"/>
      <c r="L32" s="2"/>
    </row>
    <row r="33" spans="1:12" ht="90" customHeight="1" x14ac:dyDescent="0.3">
      <c r="A33" s="9"/>
      <c r="B33" s="9"/>
      <c r="C33" s="9"/>
      <c r="D33" s="9"/>
      <c r="E33" s="9"/>
      <c r="F33" s="9"/>
      <c r="G33" s="9"/>
      <c r="H33" s="2"/>
      <c r="I33" s="2"/>
      <c r="J33" s="2"/>
      <c r="K33" s="2"/>
      <c r="L33" s="2"/>
    </row>
    <row r="34" spans="1:12" ht="90" customHeight="1" x14ac:dyDescent="0.3">
      <c r="A34" s="9"/>
      <c r="B34" s="9"/>
      <c r="C34" s="9"/>
      <c r="D34" s="9"/>
      <c r="E34" s="9"/>
      <c r="F34" s="9"/>
      <c r="G34" s="9"/>
      <c r="H34" s="2"/>
      <c r="I34" s="2"/>
      <c r="J34" s="2"/>
      <c r="K34" s="2"/>
      <c r="L34" s="2"/>
    </row>
    <row r="35" spans="1:12" ht="90" customHeight="1" x14ac:dyDescent="0.3">
      <c r="A35" s="9"/>
      <c r="B35" s="9"/>
      <c r="C35" s="9"/>
      <c r="D35" s="9"/>
      <c r="E35" s="9"/>
      <c r="F35" s="9"/>
      <c r="G35" s="9"/>
      <c r="H35" s="2"/>
      <c r="I35" s="2"/>
      <c r="J35" s="2"/>
      <c r="K35" s="2"/>
      <c r="L35" s="2"/>
    </row>
    <row r="36" spans="1:12" ht="90" customHeight="1" x14ac:dyDescent="0.3">
      <c r="A36" s="9"/>
      <c r="B36" s="9"/>
      <c r="C36" s="9"/>
      <c r="D36" s="9"/>
      <c r="E36" s="9"/>
      <c r="F36" s="9"/>
      <c r="G36" s="9"/>
      <c r="H36" s="2"/>
      <c r="I36" s="2"/>
      <c r="J36" s="2"/>
      <c r="K36" s="2"/>
      <c r="L36" s="2"/>
    </row>
    <row r="37" spans="1:12" ht="90" customHeight="1" x14ac:dyDescent="0.3">
      <c r="A37" s="8" t="s">
        <v>50</v>
      </c>
      <c r="B37" s="8" t="s">
        <v>51</v>
      </c>
      <c r="C37" s="8" t="s">
        <v>14</v>
      </c>
      <c r="D37" s="10" t="s">
        <v>15</v>
      </c>
      <c r="E37" s="10" t="s">
        <v>16</v>
      </c>
      <c r="F37" s="8" t="s">
        <v>52</v>
      </c>
      <c r="G37" s="8" t="s">
        <v>18</v>
      </c>
      <c r="H37" s="2"/>
      <c r="I37" s="2"/>
      <c r="J37" s="2"/>
      <c r="K37" s="2"/>
      <c r="L37" s="2"/>
    </row>
    <row r="38" spans="1:12" ht="90" customHeight="1" x14ac:dyDescent="0.3">
      <c r="A38" s="9"/>
      <c r="B38" s="9"/>
      <c r="C38" s="9"/>
      <c r="D38" s="9"/>
      <c r="E38" s="9"/>
      <c r="F38" s="9"/>
      <c r="G38" s="9"/>
      <c r="H38" s="2"/>
      <c r="I38" s="2"/>
      <c r="J38" s="2"/>
      <c r="K38" s="2"/>
      <c r="L38" s="2"/>
    </row>
    <row r="39" spans="1:12" ht="90" customHeight="1" x14ac:dyDescent="0.3">
      <c r="A39" s="9"/>
      <c r="B39" s="9"/>
      <c r="C39" s="9"/>
      <c r="D39" s="9"/>
      <c r="E39" s="9"/>
      <c r="F39" s="9"/>
      <c r="G39" s="9"/>
      <c r="H39" s="2"/>
      <c r="I39" s="2"/>
      <c r="J39" s="2"/>
      <c r="K39" s="2"/>
      <c r="L39" s="2"/>
    </row>
    <row r="40" spans="1:12" ht="90" customHeight="1" x14ac:dyDescent="0.3">
      <c r="A40" s="9"/>
      <c r="B40" s="9"/>
      <c r="C40" s="9"/>
      <c r="D40" s="9"/>
      <c r="E40" s="9"/>
      <c r="F40" s="9"/>
      <c r="G40" s="9"/>
      <c r="H40" s="2"/>
      <c r="I40" s="2"/>
      <c r="J40" s="2"/>
      <c r="K40" s="2"/>
      <c r="L40" s="2"/>
    </row>
    <row r="41" spans="1:12" ht="90" customHeight="1" x14ac:dyDescent="0.3">
      <c r="A41" s="9"/>
      <c r="B41" s="9"/>
      <c r="C41" s="9"/>
      <c r="D41" s="9"/>
      <c r="E41" s="9"/>
      <c r="F41" s="9"/>
      <c r="G41" s="9"/>
      <c r="H41" s="2"/>
      <c r="I41" s="2"/>
      <c r="J41" s="2"/>
      <c r="K41" s="2"/>
      <c r="L41" s="2"/>
    </row>
    <row r="42" spans="1:12" ht="90" customHeight="1" x14ac:dyDescent="0.3">
      <c r="A42" s="8" t="s">
        <v>53</v>
      </c>
      <c r="B42" s="8" t="s">
        <v>34</v>
      </c>
      <c r="C42" s="8" t="s">
        <v>14</v>
      </c>
      <c r="D42" s="10" t="s">
        <v>15</v>
      </c>
      <c r="E42" s="10" t="s">
        <v>16</v>
      </c>
      <c r="F42" s="8" t="s">
        <v>54</v>
      </c>
      <c r="G42" s="8" t="s">
        <v>18</v>
      </c>
      <c r="H42" s="2"/>
      <c r="I42" s="2"/>
      <c r="J42" s="2"/>
      <c r="K42" s="2"/>
      <c r="L42" s="2"/>
    </row>
    <row r="43" spans="1:12" ht="90" customHeight="1" x14ac:dyDescent="0.3">
      <c r="A43" s="9"/>
      <c r="B43" s="9"/>
      <c r="C43" s="9"/>
      <c r="D43" s="9"/>
      <c r="E43" s="9"/>
      <c r="F43" s="9"/>
      <c r="G43" s="9"/>
      <c r="H43" s="2"/>
      <c r="I43" s="2"/>
      <c r="J43" s="2"/>
      <c r="K43" s="2"/>
      <c r="L43" s="2"/>
    </row>
    <row r="44" spans="1:12" ht="90" customHeight="1" x14ac:dyDescent="0.3">
      <c r="A44" s="9"/>
      <c r="B44" s="9"/>
      <c r="C44" s="9"/>
      <c r="D44" s="9"/>
      <c r="E44" s="9"/>
      <c r="F44" s="9"/>
      <c r="G44" s="9"/>
      <c r="H44" s="2"/>
      <c r="I44" s="2"/>
      <c r="J44" s="2"/>
      <c r="K44" s="2"/>
      <c r="L44" s="2"/>
    </row>
    <row r="45" spans="1:12" ht="90" customHeight="1" x14ac:dyDescent="0.3">
      <c r="A45" s="9"/>
      <c r="B45" s="9"/>
      <c r="C45" s="9"/>
      <c r="D45" s="9"/>
      <c r="E45" s="9"/>
      <c r="F45" s="9"/>
      <c r="G45" s="9"/>
      <c r="H45" s="2"/>
      <c r="I45" s="2"/>
      <c r="J45" s="2"/>
      <c r="K45" s="2"/>
      <c r="L45" s="2"/>
    </row>
    <row r="46" spans="1:12" ht="90" customHeight="1" x14ac:dyDescent="0.3">
      <c r="A46" s="9"/>
      <c r="B46" s="9"/>
      <c r="C46" s="9"/>
      <c r="D46" s="9"/>
      <c r="E46" s="9"/>
      <c r="F46" s="9"/>
      <c r="G46" s="9"/>
      <c r="H46" s="2"/>
      <c r="I46" s="2"/>
      <c r="J46" s="2"/>
      <c r="K46" s="2"/>
      <c r="L46" s="2"/>
    </row>
    <row r="47" spans="1:12" ht="90" customHeight="1" x14ac:dyDescent="0.3">
      <c r="A47" s="8" t="s">
        <v>55</v>
      </c>
      <c r="B47" s="8" t="s">
        <v>56</v>
      </c>
      <c r="C47" s="8" t="s">
        <v>57</v>
      </c>
      <c r="D47" s="10" t="s">
        <v>15</v>
      </c>
      <c r="E47" s="10" t="s">
        <v>16</v>
      </c>
      <c r="F47" s="8" t="s">
        <v>58</v>
      </c>
      <c r="G47" s="8" t="s">
        <v>18</v>
      </c>
      <c r="H47" s="2"/>
      <c r="I47" s="2"/>
      <c r="J47" s="2"/>
      <c r="K47" s="2"/>
      <c r="L47" s="2"/>
    </row>
    <row r="48" spans="1:12" ht="90" customHeight="1" x14ac:dyDescent="0.3">
      <c r="A48" s="9"/>
      <c r="B48" s="9"/>
      <c r="C48" s="9"/>
      <c r="D48" s="9"/>
      <c r="E48" s="9"/>
      <c r="F48" s="9"/>
      <c r="G48" s="9"/>
      <c r="H48" s="2"/>
      <c r="I48" s="2"/>
      <c r="J48" s="2"/>
      <c r="K48" s="2"/>
      <c r="L48" s="2"/>
    </row>
    <row r="49" spans="1:12" ht="90" customHeight="1" x14ac:dyDescent="0.3">
      <c r="A49" s="9"/>
      <c r="B49" s="9"/>
      <c r="C49" s="9"/>
      <c r="D49" s="9"/>
      <c r="E49" s="9"/>
      <c r="F49" s="9"/>
      <c r="G49" s="9"/>
      <c r="H49" s="2"/>
      <c r="I49" s="2"/>
      <c r="J49" s="2"/>
      <c r="K49" s="2"/>
      <c r="L49" s="2"/>
    </row>
    <row r="50" spans="1:12" ht="90" customHeight="1" x14ac:dyDescent="0.3">
      <c r="A50" s="9"/>
      <c r="B50" s="9"/>
      <c r="C50" s="9"/>
      <c r="D50" s="9"/>
      <c r="E50" s="9"/>
      <c r="F50" s="9"/>
      <c r="G50" s="9"/>
      <c r="H50" s="2"/>
      <c r="I50" s="2"/>
      <c r="J50" s="2"/>
      <c r="K50" s="2"/>
      <c r="L50" s="2"/>
    </row>
    <row r="51" spans="1:12" ht="90" customHeight="1" x14ac:dyDescent="0.3">
      <c r="A51" s="9"/>
      <c r="B51" s="9"/>
      <c r="C51" s="9"/>
      <c r="D51" s="9"/>
      <c r="E51" s="9"/>
      <c r="F51" s="9"/>
      <c r="G51" s="9"/>
      <c r="H51" s="2"/>
      <c r="I51" s="2"/>
      <c r="J51" s="2"/>
      <c r="K51" s="2"/>
      <c r="L51" s="2"/>
    </row>
    <row r="52" spans="1:12" ht="90" customHeight="1" x14ac:dyDescent="0.3">
      <c r="A52" s="8" t="s">
        <v>59</v>
      </c>
      <c r="B52" s="8" t="s">
        <v>34</v>
      </c>
      <c r="C52" s="8" t="s">
        <v>14</v>
      </c>
      <c r="D52" s="10" t="s">
        <v>15</v>
      </c>
      <c r="E52" s="10" t="s">
        <v>16</v>
      </c>
      <c r="F52" s="8" t="s">
        <v>60</v>
      </c>
      <c r="G52" s="8" t="s">
        <v>61</v>
      </c>
      <c r="H52" s="1" t="s">
        <v>62</v>
      </c>
      <c r="I52" s="1">
        <v>0.74215805530548096</v>
      </c>
      <c r="J52" s="1" t="s">
        <v>27</v>
      </c>
      <c r="K52" s="1" t="s">
        <v>63</v>
      </c>
      <c r="L52" s="1">
        <v>1</v>
      </c>
    </row>
    <row r="53" spans="1:12" ht="90" customHeight="1" x14ac:dyDescent="0.3">
      <c r="A53" s="9"/>
      <c r="B53" s="9"/>
      <c r="C53" s="9"/>
      <c r="D53" s="9"/>
      <c r="E53" s="9"/>
      <c r="F53" s="9"/>
      <c r="G53" s="9"/>
      <c r="H53" s="2"/>
      <c r="I53" s="2"/>
      <c r="J53" s="2"/>
      <c r="K53" s="2"/>
      <c r="L53" s="2"/>
    </row>
    <row r="54" spans="1:12" ht="90" customHeight="1" x14ac:dyDescent="0.3">
      <c r="A54" s="9"/>
      <c r="B54" s="9"/>
      <c r="C54" s="9"/>
      <c r="D54" s="9"/>
      <c r="E54" s="9"/>
      <c r="F54" s="9"/>
      <c r="G54" s="9"/>
      <c r="H54" s="2"/>
      <c r="I54" s="2"/>
      <c r="J54" s="2"/>
      <c r="K54" s="2"/>
      <c r="L54" s="2"/>
    </row>
    <row r="55" spans="1:12" ht="90" customHeight="1" x14ac:dyDescent="0.3">
      <c r="A55" s="9"/>
      <c r="B55" s="9"/>
      <c r="C55" s="9"/>
      <c r="D55" s="9"/>
      <c r="E55" s="9"/>
      <c r="F55" s="9"/>
      <c r="G55" s="9"/>
      <c r="H55" s="2"/>
      <c r="I55" s="2"/>
      <c r="J55" s="2"/>
      <c r="K55" s="2"/>
      <c r="L55" s="2"/>
    </row>
    <row r="56" spans="1:12" ht="90" customHeight="1" x14ac:dyDescent="0.3">
      <c r="A56" s="9"/>
      <c r="B56" s="9"/>
      <c r="C56" s="9"/>
      <c r="D56" s="9"/>
      <c r="E56" s="9"/>
      <c r="F56" s="9"/>
      <c r="G56" s="9"/>
      <c r="H56" s="2"/>
      <c r="I56" s="2"/>
      <c r="J56" s="2"/>
      <c r="K56" s="2"/>
      <c r="L56" s="2"/>
    </row>
    <row r="57" spans="1:12" ht="90" customHeight="1" x14ac:dyDescent="0.3">
      <c r="A57" s="8" t="s">
        <v>64</v>
      </c>
      <c r="B57" s="8" t="s">
        <v>65</v>
      </c>
      <c r="C57" s="8" t="s">
        <v>66</v>
      </c>
      <c r="D57" s="10" t="s">
        <v>15</v>
      </c>
      <c r="E57" s="10" t="s">
        <v>16</v>
      </c>
      <c r="F57" s="8" t="s">
        <v>67</v>
      </c>
      <c r="G57" s="8" t="s">
        <v>68</v>
      </c>
      <c r="H57" s="1" t="s">
        <v>69</v>
      </c>
      <c r="I57" s="1">
        <v>0.99677354097366333</v>
      </c>
      <c r="J57" s="1" t="s">
        <v>27</v>
      </c>
      <c r="K57" s="1" t="s">
        <v>70</v>
      </c>
      <c r="L57" s="1">
        <v>863</v>
      </c>
    </row>
    <row r="58" spans="1:12" ht="90" customHeight="1" x14ac:dyDescent="0.3">
      <c r="A58" s="9"/>
      <c r="B58" s="9"/>
      <c r="C58" s="9"/>
      <c r="D58" s="9"/>
      <c r="E58" s="9"/>
      <c r="F58" s="9"/>
      <c r="G58" s="9"/>
      <c r="H58" s="1" t="s">
        <v>71</v>
      </c>
      <c r="I58" s="1">
        <v>0.99562078714370728</v>
      </c>
      <c r="J58" s="1" t="s">
        <v>27</v>
      </c>
      <c r="K58" s="1" t="s">
        <v>72</v>
      </c>
      <c r="L58" s="1">
        <v>561</v>
      </c>
    </row>
    <row r="59" spans="1:12" ht="90" customHeight="1" x14ac:dyDescent="0.3">
      <c r="A59" s="9"/>
      <c r="B59" s="9"/>
      <c r="C59" s="9"/>
      <c r="D59" s="9"/>
      <c r="E59" s="9"/>
      <c r="F59" s="9"/>
      <c r="G59" s="9"/>
      <c r="H59" s="2" t="s">
        <v>73</v>
      </c>
      <c r="I59" s="2">
        <v>0.99497425556182861</v>
      </c>
      <c r="J59" s="2" t="s">
        <v>74</v>
      </c>
      <c r="K59" s="2" t="s">
        <v>75</v>
      </c>
      <c r="L59" s="2">
        <v>4</v>
      </c>
    </row>
    <row r="60" spans="1:12" ht="90" customHeight="1" x14ac:dyDescent="0.3">
      <c r="A60" s="9"/>
      <c r="B60" s="9"/>
      <c r="C60" s="9"/>
      <c r="D60" s="9"/>
      <c r="E60" s="9"/>
      <c r="F60" s="9"/>
      <c r="G60" s="9"/>
      <c r="H60" s="2" t="s">
        <v>76</v>
      </c>
      <c r="I60" s="2">
        <v>0.99406564235687256</v>
      </c>
      <c r="J60" s="2" t="s">
        <v>27</v>
      </c>
      <c r="K60" s="2" t="s">
        <v>70</v>
      </c>
      <c r="L60" s="2">
        <v>37</v>
      </c>
    </row>
    <row r="61" spans="1:12" ht="90" customHeight="1" x14ac:dyDescent="0.3">
      <c r="A61" s="9"/>
      <c r="B61" s="9"/>
      <c r="C61" s="9"/>
      <c r="D61" s="9"/>
      <c r="E61" s="9"/>
      <c r="F61" s="9"/>
      <c r="G61" s="9"/>
      <c r="H61" s="2" t="s">
        <v>77</v>
      </c>
      <c r="I61" s="2">
        <v>0.99283772706985474</v>
      </c>
      <c r="J61" s="2" t="s">
        <v>27</v>
      </c>
      <c r="K61" s="2" t="s">
        <v>78</v>
      </c>
      <c r="L61" s="2">
        <v>9</v>
      </c>
    </row>
    <row r="62" spans="1:12" ht="90" customHeight="1" x14ac:dyDescent="0.3">
      <c r="A62" s="8" t="s">
        <v>79</v>
      </c>
      <c r="B62" s="8" t="s">
        <v>80</v>
      </c>
      <c r="C62" s="8" t="s">
        <v>81</v>
      </c>
      <c r="D62" s="10" t="s">
        <v>15</v>
      </c>
      <c r="E62" s="10" t="s">
        <v>16</v>
      </c>
      <c r="F62" s="8" t="s">
        <v>82</v>
      </c>
      <c r="G62" s="8" t="s">
        <v>83</v>
      </c>
      <c r="H62" s="1" t="s">
        <v>84</v>
      </c>
      <c r="I62" s="1">
        <v>0.99996519088745117</v>
      </c>
      <c r="J62" s="1" t="s">
        <v>27</v>
      </c>
      <c r="K62" s="1" t="s">
        <v>85</v>
      </c>
      <c r="L62" s="1">
        <v>24</v>
      </c>
    </row>
    <row r="63" spans="1:12" ht="90" customHeight="1" x14ac:dyDescent="0.3">
      <c r="A63" s="9"/>
      <c r="B63" s="9"/>
      <c r="C63" s="9"/>
      <c r="D63" s="9"/>
      <c r="E63" s="9"/>
      <c r="F63" s="9"/>
      <c r="G63" s="9"/>
      <c r="H63" s="1" t="s">
        <v>86</v>
      </c>
      <c r="I63" s="1">
        <v>0.99995267391204834</v>
      </c>
      <c r="J63" s="1" t="s">
        <v>27</v>
      </c>
      <c r="K63" s="1" t="s">
        <v>85</v>
      </c>
      <c r="L63" s="1">
        <v>28</v>
      </c>
    </row>
    <row r="64" spans="1:12" ht="90" customHeight="1" x14ac:dyDescent="0.3">
      <c r="A64" s="9"/>
      <c r="B64" s="9"/>
      <c r="C64" s="9"/>
      <c r="D64" s="9"/>
      <c r="E64" s="9"/>
      <c r="F64" s="9"/>
      <c r="G64" s="9"/>
      <c r="H64" s="1" t="s">
        <v>87</v>
      </c>
      <c r="I64" s="1">
        <v>0.99994933605194092</v>
      </c>
      <c r="J64" s="1" t="s">
        <v>27</v>
      </c>
      <c r="K64" s="1" t="s">
        <v>85</v>
      </c>
      <c r="L64" s="1">
        <v>2</v>
      </c>
    </row>
    <row r="65" spans="1:12" ht="90" customHeight="1" x14ac:dyDescent="0.3">
      <c r="A65" s="9"/>
      <c r="B65" s="9"/>
      <c r="C65" s="9"/>
      <c r="D65" s="9"/>
      <c r="E65" s="9"/>
      <c r="F65" s="9"/>
      <c r="G65" s="9"/>
      <c r="H65" s="2" t="s">
        <v>88</v>
      </c>
      <c r="I65" s="2">
        <v>0.99799430370330811</v>
      </c>
      <c r="J65" s="2" t="s">
        <v>27</v>
      </c>
      <c r="K65" s="2" t="s">
        <v>85</v>
      </c>
      <c r="L65" s="2">
        <v>78</v>
      </c>
    </row>
    <row r="66" spans="1:12" ht="90" customHeight="1" x14ac:dyDescent="0.3">
      <c r="A66" s="9"/>
      <c r="B66" s="9"/>
      <c r="C66" s="9"/>
      <c r="D66" s="9"/>
      <c r="E66" s="9"/>
      <c r="F66" s="9"/>
      <c r="G66" s="9"/>
      <c r="H66" s="2"/>
      <c r="I66" s="2"/>
      <c r="J66" s="2"/>
      <c r="K66" s="2"/>
      <c r="L66" s="2"/>
    </row>
    <row r="67" spans="1:12" ht="90" customHeight="1" x14ac:dyDescent="0.3">
      <c r="A67" s="8" t="s">
        <v>89</v>
      </c>
      <c r="B67" s="8" t="s">
        <v>90</v>
      </c>
      <c r="C67" s="8" t="s">
        <v>14</v>
      </c>
      <c r="D67" s="10" t="s">
        <v>22</v>
      </c>
      <c r="E67" s="10" t="s">
        <v>23</v>
      </c>
      <c r="F67" s="8" t="s">
        <v>91</v>
      </c>
      <c r="G67" s="8" t="s">
        <v>92</v>
      </c>
      <c r="H67" s="2" t="s">
        <v>93</v>
      </c>
      <c r="I67" s="2">
        <v>0.99997568130493164</v>
      </c>
      <c r="J67" s="2" t="s">
        <v>74</v>
      </c>
      <c r="K67" s="2" t="s">
        <v>94</v>
      </c>
      <c r="L67" s="2">
        <v>2</v>
      </c>
    </row>
    <row r="68" spans="1:12" ht="90" customHeight="1" x14ac:dyDescent="0.3">
      <c r="A68" s="9"/>
      <c r="B68" s="9"/>
      <c r="C68" s="9"/>
      <c r="D68" s="9"/>
      <c r="E68" s="9"/>
      <c r="F68" s="9"/>
      <c r="G68" s="9"/>
      <c r="H68" s="1" t="s">
        <v>95</v>
      </c>
      <c r="I68" s="1">
        <v>0.99995911121368408</v>
      </c>
      <c r="J68" s="1" t="s">
        <v>27</v>
      </c>
      <c r="K68" s="1" t="s">
        <v>85</v>
      </c>
      <c r="L68" s="1">
        <v>11</v>
      </c>
    </row>
    <row r="69" spans="1:12" ht="90" customHeight="1" x14ac:dyDescent="0.3">
      <c r="A69" s="9"/>
      <c r="B69" s="9"/>
      <c r="C69" s="9"/>
      <c r="D69" s="9"/>
      <c r="E69" s="9"/>
      <c r="F69" s="9"/>
      <c r="G69" s="9"/>
      <c r="H69" s="1" t="s">
        <v>96</v>
      </c>
      <c r="I69" s="1">
        <v>0.99879622459411621</v>
      </c>
      <c r="J69" s="1" t="s">
        <v>27</v>
      </c>
      <c r="K69" s="1" t="s">
        <v>85</v>
      </c>
      <c r="L69" s="1">
        <v>14</v>
      </c>
    </row>
    <row r="70" spans="1:12" ht="90" customHeight="1" x14ac:dyDescent="0.3">
      <c r="A70" s="9"/>
      <c r="B70" s="9"/>
      <c r="C70" s="9"/>
      <c r="D70" s="9"/>
      <c r="E70" s="9"/>
      <c r="F70" s="9"/>
      <c r="G70" s="9"/>
      <c r="H70" s="4" t="s">
        <v>97</v>
      </c>
      <c r="I70" s="4">
        <v>0.9974486231803894</v>
      </c>
      <c r="J70" s="4" t="s">
        <v>27</v>
      </c>
      <c r="K70" s="4" t="s">
        <v>90</v>
      </c>
      <c r="L70" s="4">
        <v>1</v>
      </c>
    </row>
    <row r="71" spans="1:12" ht="90" customHeight="1" x14ac:dyDescent="0.3">
      <c r="A71" s="9"/>
      <c r="B71" s="9"/>
      <c r="C71" s="9"/>
      <c r="D71" s="9"/>
      <c r="E71" s="9"/>
      <c r="F71" s="9"/>
      <c r="G71" s="9"/>
      <c r="H71" s="2" t="s">
        <v>98</v>
      </c>
      <c r="I71" s="2">
        <v>0.9974486231803894</v>
      </c>
      <c r="J71" s="2" t="s">
        <v>74</v>
      </c>
      <c r="K71" s="2" t="s">
        <v>99</v>
      </c>
      <c r="L71" s="2">
        <v>1</v>
      </c>
    </row>
    <row r="72" spans="1:12" ht="90" customHeight="1" x14ac:dyDescent="0.3">
      <c r="A72" s="8" t="s">
        <v>100</v>
      </c>
      <c r="B72" s="8" t="s">
        <v>101</v>
      </c>
      <c r="C72" s="8" t="s">
        <v>102</v>
      </c>
      <c r="D72" s="10" t="s">
        <v>15</v>
      </c>
      <c r="E72" s="10" t="s">
        <v>16</v>
      </c>
      <c r="F72" s="8" t="s">
        <v>103</v>
      </c>
      <c r="G72" s="8" t="s">
        <v>104</v>
      </c>
      <c r="H72" s="1" t="s">
        <v>105</v>
      </c>
      <c r="I72" s="1">
        <v>0.99972373247146606</v>
      </c>
      <c r="J72" s="1" t="s">
        <v>27</v>
      </c>
      <c r="K72" s="1" t="s">
        <v>101</v>
      </c>
      <c r="L72" s="1">
        <v>41</v>
      </c>
    </row>
    <row r="73" spans="1:12" ht="90" customHeight="1" x14ac:dyDescent="0.3">
      <c r="A73" s="9"/>
      <c r="B73" s="9"/>
      <c r="C73" s="9"/>
      <c r="D73" s="9"/>
      <c r="E73" s="9"/>
      <c r="F73" s="9"/>
      <c r="G73" s="9"/>
      <c r="H73" s="1" t="s">
        <v>106</v>
      </c>
      <c r="I73" s="1">
        <v>0.99881833791732788</v>
      </c>
      <c r="J73" s="1" t="s">
        <v>27</v>
      </c>
      <c r="K73" s="1" t="s">
        <v>101</v>
      </c>
      <c r="L73" s="1">
        <v>127</v>
      </c>
    </row>
    <row r="74" spans="1:12" ht="90" customHeight="1" x14ac:dyDescent="0.3">
      <c r="A74" s="9"/>
      <c r="B74" s="9"/>
      <c r="C74" s="9"/>
      <c r="D74" s="9"/>
      <c r="E74" s="9"/>
      <c r="F74" s="9"/>
      <c r="G74" s="9"/>
      <c r="H74" s="1" t="s">
        <v>107</v>
      </c>
      <c r="I74" s="1">
        <v>0.99835497140884399</v>
      </c>
      <c r="J74" s="1" t="s">
        <v>27</v>
      </c>
      <c r="K74" s="1" t="s">
        <v>101</v>
      </c>
      <c r="L74" s="1">
        <v>126</v>
      </c>
    </row>
    <row r="75" spans="1:12" ht="90" customHeight="1" x14ac:dyDescent="0.3">
      <c r="A75" s="9"/>
      <c r="B75" s="9"/>
      <c r="C75" s="9"/>
      <c r="D75" s="9"/>
      <c r="E75" s="9"/>
      <c r="F75" s="9"/>
      <c r="G75" s="9"/>
      <c r="H75" s="2" t="s">
        <v>108</v>
      </c>
      <c r="I75" s="2">
        <v>0.9967610239982605</v>
      </c>
      <c r="J75" s="2" t="s">
        <v>27</v>
      </c>
      <c r="K75" s="2" t="s">
        <v>101</v>
      </c>
      <c r="L75" s="2">
        <v>31</v>
      </c>
    </row>
    <row r="76" spans="1:12" ht="90" customHeight="1" x14ac:dyDescent="0.3">
      <c r="A76" s="9"/>
      <c r="B76" s="9"/>
      <c r="C76" s="9"/>
      <c r="D76" s="9"/>
      <c r="E76" s="9"/>
      <c r="F76" s="9"/>
      <c r="G76" s="9"/>
      <c r="H76" s="2" t="s">
        <v>109</v>
      </c>
      <c r="I76" s="2">
        <v>0.98941910266876221</v>
      </c>
      <c r="J76" s="2" t="s">
        <v>27</v>
      </c>
      <c r="K76" s="2" t="s">
        <v>101</v>
      </c>
      <c r="L76" s="2">
        <v>37</v>
      </c>
    </row>
    <row r="77" spans="1:12" ht="90" customHeight="1" x14ac:dyDescent="0.3">
      <c r="A77" s="8" t="s">
        <v>110</v>
      </c>
      <c r="B77" s="8" t="s">
        <v>101</v>
      </c>
      <c r="C77" s="8" t="s">
        <v>111</v>
      </c>
      <c r="D77" s="10" t="s">
        <v>22</v>
      </c>
      <c r="E77" s="10" t="s">
        <v>23</v>
      </c>
      <c r="F77" s="8" t="s">
        <v>112</v>
      </c>
      <c r="G77" s="8" t="s">
        <v>113</v>
      </c>
      <c r="H77" s="2" t="s">
        <v>114</v>
      </c>
      <c r="I77" s="2">
        <v>0.99638956785202026</v>
      </c>
      <c r="J77" s="2" t="s">
        <v>27</v>
      </c>
      <c r="K77" s="2" t="s">
        <v>101</v>
      </c>
      <c r="L77" s="2">
        <v>38</v>
      </c>
    </row>
    <row r="78" spans="1:12" ht="90" customHeight="1" x14ac:dyDescent="0.3">
      <c r="A78" s="9"/>
      <c r="B78" s="9"/>
      <c r="C78" s="9"/>
      <c r="D78" s="9"/>
      <c r="E78" s="9"/>
      <c r="F78" s="9"/>
      <c r="G78" s="9"/>
      <c r="H78" s="4" t="s">
        <v>115</v>
      </c>
      <c r="I78" s="4">
        <v>0.99559670686721802</v>
      </c>
      <c r="J78" s="4" t="s">
        <v>27</v>
      </c>
      <c r="K78" s="4" t="s">
        <v>101</v>
      </c>
      <c r="L78" s="4">
        <v>72</v>
      </c>
    </row>
    <row r="79" spans="1:12" ht="90" customHeight="1" x14ac:dyDescent="0.3">
      <c r="A79" s="9"/>
      <c r="B79" s="9"/>
      <c r="C79" s="9"/>
      <c r="D79" s="9"/>
      <c r="E79" s="9"/>
      <c r="F79" s="9"/>
      <c r="G79" s="9"/>
      <c r="H79" s="1" t="s">
        <v>116</v>
      </c>
      <c r="I79" s="1">
        <v>0.9877265059350524</v>
      </c>
      <c r="J79" s="1" t="s">
        <v>27</v>
      </c>
      <c r="K79" s="1" t="s">
        <v>85</v>
      </c>
      <c r="L79" s="1">
        <v>141</v>
      </c>
    </row>
    <row r="80" spans="1:12" ht="90" customHeight="1" x14ac:dyDescent="0.3">
      <c r="A80" s="9"/>
      <c r="B80" s="9"/>
      <c r="C80" s="9"/>
      <c r="D80" s="9"/>
      <c r="E80" s="9"/>
      <c r="F80" s="9"/>
      <c r="G80" s="9"/>
      <c r="H80" s="2" t="s">
        <v>117</v>
      </c>
      <c r="I80" s="2">
        <v>0.96979933977127075</v>
      </c>
      <c r="J80" s="2" t="s">
        <v>27</v>
      </c>
      <c r="K80" s="2" t="s">
        <v>101</v>
      </c>
      <c r="L80" s="2">
        <v>75</v>
      </c>
    </row>
    <row r="81" spans="1:12" ht="90" customHeight="1" x14ac:dyDescent="0.3">
      <c r="A81" s="9"/>
      <c r="B81" s="9"/>
      <c r="C81" s="9"/>
      <c r="D81" s="9"/>
      <c r="E81" s="9"/>
      <c r="F81" s="9"/>
      <c r="G81" s="9"/>
      <c r="H81" s="2" t="s">
        <v>118</v>
      </c>
      <c r="I81" s="2">
        <v>0.93918806314468384</v>
      </c>
      <c r="J81" s="2" t="s">
        <v>27</v>
      </c>
      <c r="K81" s="2" t="s">
        <v>101</v>
      </c>
      <c r="L81" s="2">
        <v>3</v>
      </c>
    </row>
    <row r="82" spans="1:12" ht="90" customHeight="1" x14ac:dyDescent="0.3">
      <c r="A82" s="8" t="s">
        <v>119</v>
      </c>
      <c r="B82" s="8" t="s">
        <v>20</v>
      </c>
      <c r="C82" s="8" t="s">
        <v>21</v>
      </c>
      <c r="D82" s="10" t="s">
        <v>15</v>
      </c>
      <c r="E82" s="10" t="s">
        <v>16</v>
      </c>
      <c r="F82" s="8" t="s">
        <v>120</v>
      </c>
      <c r="G82" s="8" t="s">
        <v>18</v>
      </c>
      <c r="H82" s="2"/>
      <c r="I82" s="2"/>
      <c r="J82" s="2"/>
      <c r="K82" s="2"/>
      <c r="L82" s="2"/>
    </row>
    <row r="83" spans="1:12" ht="90" customHeight="1" x14ac:dyDescent="0.3">
      <c r="A83" s="9"/>
      <c r="B83" s="9"/>
      <c r="C83" s="9"/>
      <c r="D83" s="9"/>
      <c r="E83" s="9"/>
      <c r="F83" s="9"/>
      <c r="G83" s="9"/>
      <c r="H83" s="2"/>
      <c r="I83" s="2"/>
      <c r="J83" s="2"/>
      <c r="K83" s="2"/>
      <c r="L83" s="2"/>
    </row>
    <row r="84" spans="1:12" ht="90" customHeight="1" x14ac:dyDescent="0.3">
      <c r="A84" s="9"/>
      <c r="B84" s="9"/>
      <c r="C84" s="9"/>
      <c r="D84" s="9"/>
      <c r="E84" s="9"/>
      <c r="F84" s="9"/>
      <c r="G84" s="9"/>
      <c r="H84" s="2"/>
      <c r="I84" s="2"/>
      <c r="J84" s="2"/>
      <c r="K84" s="2"/>
      <c r="L84" s="2"/>
    </row>
    <row r="85" spans="1:12" ht="90" customHeight="1" x14ac:dyDescent="0.3">
      <c r="A85" s="9"/>
      <c r="B85" s="9"/>
      <c r="C85" s="9"/>
      <c r="D85" s="9"/>
      <c r="E85" s="9"/>
      <c r="F85" s="9"/>
      <c r="G85" s="9"/>
      <c r="H85" s="2"/>
      <c r="I85" s="2"/>
      <c r="J85" s="2"/>
      <c r="K85" s="2"/>
      <c r="L85" s="2"/>
    </row>
    <row r="86" spans="1:12" ht="90" customHeight="1" x14ac:dyDescent="0.3">
      <c r="A86" s="9"/>
      <c r="B86" s="9"/>
      <c r="C86" s="9"/>
      <c r="D86" s="9"/>
      <c r="E86" s="9"/>
      <c r="F86" s="9"/>
      <c r="G86" s="9"/>
      <c r="H86" s="2"/>
      <c r="I86" s="2"/>
      <c r="J86" s="2"/>
      <c r="K86" s="2"/>
      <c r="L86" s="2"/>
    </row>
    <row r="87" spans="1:12" ht="90" customHeight="1" x14ac:dyDescent="0.3">
      <c r="A87" s="8" t="s">
        <v>121</v>
      </c>
      <c r="B87" s="8" t="s">
        <v>122</v>
      </c>
      <c r="C87" s="8" t="s">
        <v>123</v>
      </c>
      <c r="D87" s="10" t="s">
        <v>15</v>
      </c>
      <c r="E87" s="10" t="s">
        <v>16</v>
      </c>
      <c r="F87" s="8" t="s">
        <v>124</v>
      </c>
      <c r="G87" s="8" t="s">
        <v>18</v>
      </c>
      <c r="H87" s="2"/>
      <c r="I87" s="2"/>
      <c r="J87" s="2"/>
      <c r="K87" s="2"/>
      <c r="L87" s="2"/>
    </row>
    <row r="88" spans="1:12" ht="90" customHeight="1" x14ac:dyDescent="0.3">
      <c r="A88" s="9"/>
      <c r="B88" s="9"/>
      <c r="C88" s="9"/>
      <c r="D88" s="9"/>
      <c r="E88" s="9"/>
      <c r="F88" s="9"/>
      <c r="G88" s="9"/>
      <c r="H88" s="2"/>
      <c r="I88" s="2"/>
      <c r="J88" s="2"/>
      <c r="K88" s="2"/>
      <c r="L88" s="2"/>
    </row>
    <row r="89" spans="1:12" ht="90" customHeight="1" x14ac:dyDescent="0.3">
      <c r="A89" s="9"/>
      <c r="B89" s="9"/>
      <c r="C89" s="9"/>
      <c r="D89" s="9"/>
      <c r="E89" s="9"/>
      <c r="F89" s="9"/>
      <c r="G89" s="9"/>
      <c r="H89" s="2"/>
      <c r="I89" s="2"/>
      <c r="J89" s="2"/>
      <c r="K89" s="2"/>
      <c r="L89" s="2"/>
    </row>
    <row r="90" spans="1:12" ht="90" customHeight="1" x14ac:dyDescent="0.3">
      <c r="A90" s="9"/>
      <c r="B90" s="9"/>
      <c r="C90" s="9"/>
      <c r="D90" s="9"/>
      <c r="E90" s="9"/>
      <c r="F90" s="9"/>
      <c r="G90" s="9"/>
      <c r="H90" s="2"/>
      <c r="I90" s="2"/>
      <c r="J90" s="2"/>
      <c r="K90" s="2"/>
      <c r="L90" s="2"/>
    </row>
    <row r="91" spans="1:12" ht="90" customHeight="1" x14ac:dyDescent="0.3">
      <c r="A91" s="9"/>
      <c r="B91" s="9"/>
      <c r="C91" s="9"/>
      <c r="D91" s="9"/>
      <c r="E91" s="9"/>
      <c r="F91" s="9"/>
      <c r="G91" s="9"/>
      <c r="H91" s="2"/>
      <c r="I91" s="2"/>
      <c r="J91" s="2"/>
      <c r="K91" s="2"/>
      <c r="L91" s="2"/>
    </row>
    <row r="92" spans="1:12" ht="90" customHeight="1" x14ac:dyDescent="0.3">
      <c r="A92" s="8" t="s">
        <v>125</v>
      </c>
      <c r="B92" s="8" t="s">
        <v>34</v>
      </c>
      <c r="C92" s="8" t="s">
        <v>14</v>
      </c>
      <c r="D92" s="10" t="s">
        <v>15</v>
      </c>
      <c r="E92" s="10" t="s">
        <v>16</v>
      </c>
      <c r="F92" s="8" t="s">
        <v>126</v>
      </c>
      <c r="G92" s="8" t="s">
        <v>18</v>
      </c>
      <c r="H92" s="2"/>
      <c r="I92" s="2"/>
      <c r="J92" s="2"/>
      <c r="K92" s="2"/>
      <c r="L92" s="2"/>
    </row>
    <row r="93" spans="1:12" ht="90" customHeight="1" x14ac:dyDescent="0.3">
      <c r="A93" s="9"/>
      <c r="B93" s="9"/>
      <c r="C93" s="9"/>
      <c r="D93" s="9"/>
      <c r="E93" s="9"/>
      <c r="F93" s="9"/>
      <c r="G93" s="9"/>
      <c r="H93" s="2"/>
      <c r="I93" s="2"/>
      <c r="J93" s="2"/>
      <c r="K93" s="2"/>
      <c r="L93" s="2"/>
    </row>
    <row r="94" spans="1:12" ht="90" customHeight="1" x14ac:dyDescent="0.3">
      <c r="A94" s="9"/>
      <c r="B94" s="9"/>
      <c r="C94" s="9"/>
      <c r="D94" s="9"/>
      <c r="E94" s="9"/>
      <c r="F94" s="9"/>
      <c r="G94" s="9"/>
      <c r="H94" s="2"/>
      <c r="I94" s="2"/>
      <c r="J94" s="2"/>
      <c r="K94" s="2"/>
      <c r="L94" s="2"/>
    </row>
    <row r="95" spans="1:12" ht="90" customHeight="1" x14ac:dyDescent="0.3">
      <c r="A95" s="9"/>
      <c r="B95" s="9"/>
      <c r="C95" s="9"/>
      <c r="D95" s="9"/>
      <c r="E95" s="9"/>
      <c r="F95" s="9"/>
      <c r="G95" s="9"/>
      <c r="H95" s="2"/>
      <c r="I95" s="2"/>
      <c r="J95" s="2"/>
      <c r="K95" s="2"/>
      <c r="L95" s="2"/>
    </row>
    <row r="96" spans="1:12" ht="90" customHeight="1" x14ac:dyDescent="0.3">
      <c r="A96" s="9"/>
      <c r="B96" s="9"/>
      <c r="C96" s="9"/>
      <c r="D96" s="9"/>
      <c r="E96" s="9"/>
      <c r="F96" s="9"/>
      <c r="G96" s="9"/>
      <c r="H96" s="2"/>
      <c r="I96" s="2"/>
      <c r="J96" s="2"/>
      <c r="K96" s="2"/>
      <c r="L96" s="2"/>
    </row>
    <row r="97" spans="1:12" ht="90" customHeight="1" x14ac:dyDescent="0.3">
      <c r="A97" s="8" t="s">
        <v>127</v>
      </c>
      <c r="B97" s="8" t="s">
        <v>128</v>
      </c>
      <c r="C97" s="8" t="s">
        <v>129</v>
      </c>
      <c r="D97" s="10" t="s">
        <v>15</v>
      </c>
      <c r="E97" s="10" t="s">
        <v>16</v>
      </c>
      <c r="F97" s="8" t="s">
        <v>130</v>
      </c>
      <c r="G97" s="8" t="s">
        <v>131</v>
      </c>
      <c r="H97" s="1" t="s">
        <v>132</v>
      </c>
      <c r="I97" s="1">
        <v>0.99994146823883057</v>
      </c>
      <c r="J97" s="1" t="s">
        <v>74</v>
      </c>
      <c r="K97" s="1" t="s">
        <v>133</v>
      </c>
      <c r="L97" s="1">
        <v>1</v>
      </c>
    </row>
    <row r="98" spans="1:12" ht="90" customHeight="1" x14ac:dyDescent="0.3">
      <c r="A98" s="9"/>
      <c r="B98" s="9"/>
      <c r="C98" s="9"/>
      <c r="D98" s="9"/>
      <c r="E98" s="9"/>
      <c r="F98" s="9"/>
      <c r="G98" s="9"/>
      <c r="H98" s="1" t="s">
        <v>134</v>
      </c>
      <c r="I98" s="1">
        <v>0.99256610870361328</v>
      </c>
      <c r="J98" s="1" t="s">
        <v>74</v>
      </c>
      <c r="K98" s="1" t="s">
        <v>133</v>
      </c>
      <c r="L98" s="1">
        <v>2</v>
      </c>
    </row>
    <row r="99" spans="1:12" ht="90" customHeight="1" x14ac:dyDescent="0.3">
      <c r="A99" s="9"/>
      <c r="B99" s="9"/>
      <c r="C99" s="9"/>
      <c r="D99" s="9"/>
      <c r="E99" s="9"/>
      <c r="F99" s="9"/>
      <c r="G99" s="9"/>
      <c r="H99" s="2" t="s">
        <v>135</v>
      </c>
      <c r="I99" s="2">
        <v>0.91351272260114647</v>
      </c>
      <c r="J99" s="2" t="s">
        <v>74</v>
      </c>
      <c r="K99" s="2" t="s">
        <v>133</v>
      </c>
      <c r="L99" s="2">
        <v>2</v>
      </c>
    </row>
    <row r="100" spans="1:12" ht="90" customHeight="1" x14ac:dyDescent="0.3">
      <c r="A100" s="9"/>
      <c r="B100" s="9"/>
      <c r="C100" s="9"/>
      <c r="D100" s="9"/>
      <c r="E100" s="9"/>
      <c r="F100" s="9"/>
      <c r="G100" s="9"/>
      <c r="H100" s="2" t="s">
        <v>136</v>
      </c>
      <c r="I100" s="2">
        <v>0.87730151414871216</v>
      </c>
      <c r="J100" s="2" t="s">
        <v>27</v>
      </c>
      <c r="K100" s="2" t="s">
        <v>137</v>
      </c>
      <c r="L100" s="2">
        <v>1</v>
      </c>
    </row>
    <row r="101" spans="1:12" ht="90" customHeight="1" x14ac:dyDescent="0.3">
      <c r="A101" s="9"/>
      <c r="B101" s="9"/>
      <c r="C101" s="9"/>
      <c r="D101" s="9"/>
      <c r="E101" s="9"/>
      <c r="F101" s="9"/>
      <c r="G101" s="9"/>
      <c r="H101" s="2"/>
      <c r="I101" s="2"/>
      <c r="J101" s="2"/>
      <c r="K101" s="2"/>
      <c r="L101" s="2"/>
    </row>
    <row r="102" spans="1:12" ht="90" customHeight="1" x14ac:dyDescent="0.3">
      <c r="A102" s="8" t="s">
        <v>138</v>
      </c>
      <c r="B102" s="8" t="s">
        <v>34</v>
      </c>
      <c r="C102" s="8" t="s">
        <v>14</v>
      </c>
      <c r="D102" s="10" t="s">
        <v>15</v>
      </c>
      <c r="E102" s="10" t="s">
        <v>16</v>
      </c>
      <c r="F102" s="8" t="s">
        <v>139</v>
      </c>
      <c r="G102" s="8" t="s">
        <v>18</v>
      </c>
      <c r="H102" s="2"/>
      <c r="I102" s="2"/>
      <c r="J102" s="2"/>
      <c r="K102" s="2"/>
      <c r="L102" s="2"/>
    </row>
    <row r="103" spans="1:12" ht="90" customHeight="1" x14ac:dyDescent="0.3">
      <c r="A103" s="9"/>
      <c r="B103" s="9"/>
      <c r="C103" s="9"/>
      <c r="D103" s="9"/>
      <c r="E103" s="9"/>
      <c r="F103" s="9"/>
      <c r="G103" s="9"/>
      <c r="H103" s="2"/>
      <c r="I103" s="2"/>
      <c r="J103" s="2"/>
      <c r="K103" s="2"/>
      <c r="L103" s="2"/>
    </row>
    <row r="104" spans="1:12" ht="90" customHeight="1" x14ac:dyDescent="0.3">
      <c r="A104" s="9"/>
      <c r="B104" s="9"/>
      <c r="C104" s="9"/>
      <c r="D104" s="9"/>
      <c r="E104" s="9"/>
      <c r="F104" s="9"/>
      <c r="G104" s="9"/>
      <c r="H104" s="2"/>
      <c r="I104" s="2"/>
      <c r="J104" s="2"/>
      <c r="K104" s="2"/>
      <c r="L104" s="2"/>
    </row>
    <row r="105" spans="1:12" ht="90" customHeight="1" x14ac:dyDescent="0.3">
      <c r="A105" s="9"/>
      <c r="B105" s="9"/>
      <c r="C105" s="9"/>
      <c r="D105" s="9"/>
      <c r="E105" s="9"/>
      <c r="F105" s="9"/>
      <c r="G105" s="9"/>
      <c r="H105" s="2"/>
      <c r="I105" s="2"/>
      <c r="J105" s="2"/>
      <c r="K105" s="2"/>
      <c r="L105" s="2"/>
    </row>
    <row r="106" spans="1:12" ht="90" customHeight="1" x14ac:dyDescent="0.3">
      <c r="A106" s="9"/>
      <c r="B106" s="9"/>
      <c r="C106" s="9"/>
      <c r="D106" s="9"/>
      <c r="E106" s="9"/>
      <c r="F106" s="9"/>
      <c r="G106" s="9"/>
      <c r="H106" s="2"/>
      <c r="I106" s="2"/>
      <c r="J106" s="2"/>
      <c r="K106" s="2"/>
      <c r="L106" s="2"/>
    </row>
    <row r="107" spans="1:12" ht="90" customHeight="1" x14ac:dyDescent="0.3">
      <c r="A107" s="8" t="s">
        <v>140</v>
      </c>
      <c r="B107" s="8" t="s">
        <v>141</v>
      </c>
      <c r="C107" s="8" t="s">
        <v>14</v>
      </c>
      <c r="D107" s="10" t="s">
        <v>15</v>
      </c>
      <c r="E107" s="10" t="s">
        <v>16</v>
      </c>
      <c r="F107" s="8" t="s">
        <v>142</v>
      </c>
      <c r="G107" s="8" t="s">
        <v>18</v>
      </c>
      <c r="H107" s="2"/>
      <c r="I107" s="2"/>
      <c r="J107" s="2"/>
      <c r="K107" s="2"/>
      <c r="L107" s="2"/>
    </row>
    <row r="108" spans="1:12" ht="90" customHeight="1" x14ac:dyDescent="0.3">
      <c r="A108" s="9"/>
      <c r="B108" s="9"/>
      <c r="C108" s="9"/>
      <c r="D108" s="9"/>
      <c r="E108" s="9"/>
      <c r="F108" s="9"/>
      <c r="G108" s="9"/>
      <c r="H108" s="2"/>
      <c r="I108" s="2"/>
      <c r="J108" s="2"/>
      <c r="K108" s="2"/>
      <c r="L108" s="2"/>
    </row>
    <row r="109" spans="1:12" ht="90" customHeight="1" x14ac:dyDescent="0.3">
      <c r="A109" s="9"/>
      <c r="B109" s="9"/>
      <c r="C109" s="9"/>
      <c r="D109" s="9"/>
      <c r="E109" s="9"/>
      <c r="F109" s="9"/>
      <c r="G109" s="9"/>
      <c r="H109" s="2"/>
      <c r="I109" s="2"/>
      <c r="J109" s="2"/>
      <c r="K109" s="2"/>
      <c r="L109" s="2"/>
    </row>
    <row r="110" spans="1:12" ht="90" customHeight="1" x14ac:dyDescent="0.3">
      <c r="A110" s="9"/>
      <c r="B110" s="9"/>
      <c r="C110" s="9"/>
      <c r="D110" s="9"/>
      <c r="E110" s="9"/>
      <c r="F110" s="9"/>
      <c r="G110" s="9"/>
      <c r="H110" s="2"/>
      <c r="I110" s="2"/>
      <c r="J110" s="2"/>
      <c r="K110" s="2"/>
      <c r="L110" s="2"/>
    </row>
    <row r="111" spans="1:12" ht="90" customHeight="1" x14ac:dyDescent="0.3">
      <c r="A111" s="9"/>
      <c r="B111" s="9"/>
      <c r="C111" s="9"/>
      <c r="D111" s="9"/>
      <c r="E111" s="9"/>
      <c r="F111" s="9"/>
      <c r="G111" s="9"/>
      <c r="H111" s="2"/>
      <c r="I111" s="2"/>
      <c r="J111" s="2"/>
      <c r="K111" s="2"/>
      <c r="L111" s="2"/>
    </row>
    <row r="112" spans="1:12" ht="90" customHeight="1" x14ac:dyDescent="0.3">
      <c r="A112" s="8" t="s">
        <v>143</v>
      </c>
      <c r="B112" s="8" t="s">
        <v>144</v>
      </c>
      <c r="C112" s="8" t="s">
        <v>14</v>
      </c>
      <c r="D112" s="10" t="s">
        <v>15</v>
      </c>
      <c r="E112" s="10" t="s">
        <v>16</v>
      </c>
      <c r="F112" s="8" t="s">
        <v>145</v>
      </c>
      <c r="G112" s="8" t="s">
        <v>146</v>
      </c>
      <c r="H112" s="1" t="s">
        <v>147</v>
      </c>
      <c r="I112" s="1">
        <v>0.93792092800140381</v>
      </c>
      <c r="J112" s="1" t="s">
        <v>27</v>
      </c>
      <c r="K112" s="1" t="s">
        <v>148</v>
      </c>
      <c r="L112" s="1">
        <v>473</v>
      </c>
    </row>
    <row r="113" spans="1:12" ht="90" customHeight="1" x14ac:dyDescent="0.3">
      <c r="A113" s="9"/>
      <c r="B113" s="9"/>
      <c r="C113" s="9"/>
      <c r="D113" s="9"/>
      <c r="E113" s="9"/>
      <c r="F113" s="9"/>
      <c r="G113" s="9"/>
      <c r="H113" s="2" t="s">
        <v>149</v>
      </c>
      <c r="I113" s="2">
        <v>0.91901779174804688</v>
      </c>
      <c r="J113" s="2" t="s">
        <v>27</v>
      </c>
      <c r="K113" s="2" t="s">
        <v>150</v>
      </c>
      <c r="L113" s="2">
        <v>192</v>
      </c>
    </row>
    <row r="114" spans="1:12" ht="90" customHeight="1" x14ac:dyDescent="0.3">
      <c r="A114" s="9"/>
      <c r="B114" s="9"/>
      <c r="C114" s="9"/>
      <c r="D114" s="9"/>
      <c r="E114" s="9"/>
      <c r="F114" s="9"/>
      <c r="G114" s="9"/>
      <c r="H114" s="1" t="s">
        <v>151</v>
      </c>
      <c r="I114" s="1">
        <v>0.88852649927139282</v>
      </c>
      <c r="J114" s="1" t="s">
        <v>27</v>
      </c>
      <c r="K114" s="1" t="s">
        <v>150</v>
      </c>
      <c r="L114" s="1">
        <v>81</v>
      </c>
    </row>
    <row r="115" spans="1:12" ht="90" customHeight="1" x14ac:dyDescent="0.3">
      <c r="A115" s="9"/>
      <c r="B115" s="9"/>
      <c r="C115" s="9"/>
      <c r="D115" s="9"/>
      <c r="E115" s="9"/>
      <c r="F115" s="9"/>
      <c r="G115" s="9"/>
      <c r="H115" s="1" t="s">
        <v>152</v>
      </c>
      <c r="I115" s="1">
        <v>0.88546717166900635</v>
      </c>
      <c r="J115" s="1" t="s">
        <v>27</v>
      </c>
      <c r="K115" s="1" t="s">
        <v>70</v>
      </c>
      <c r="L115" s="1">
        <v>648</v>
      </c>
    </row>
    <row r="116" spans="1:12" ht="90" customHeight="1" x14ac:dyDescent="0.3">
      <c r="A116" s="9"/>
      <c r="B116" s="9"/>
      <c r="C116" s="9"/>
      <c r="D116" s="9"/>
      <c r="E116" s="9"/>
      <c r="F116" s="9"/>
      <c r="G116" s="9"/>
      <c r="H116" s="2" t="s">
        <v>153</v>
      </c>
      <c r="I116" s="2">
        <v>0.87357139587402344</v>
      </c>
      <c r="J116" s="2" t="s">
        <v>27</v>
      </c>
      <c r="K116" s="2" t="s">
        <v>148</v>
      </c>
      <c r="L116" s="2">
        <v>474</v>
      </c>
    </row>
    <row r="117" spans="1:12" ht="90" customHeight="1" x14ac:dyDescent="0.3">
      <c r="A117" s="8" t="s">
        <v>154</v>
      </c>
      <c r="B117" s="8" t="s">
        <v>155</v>
      </c>
      <c r="C117" s="8" t="s">
        <v>156</v>
      </c>
      <c r="D117" s="10" t="s">
        <v>15</v>
      </c>
      <c r="E117" s="10" t="s">
        <v>16</v>
      </c>
      <c r="F117" s="8" t="s">
        <v>157</v>
      </c>
      <c r="G117" s="8" t="s">
        <v>18</v>
      </c>
      <c r="H117" s="2"/>
      <c r="I117" s="2"/>
      <c r="J117" s="2"/>
      <c r="K117" s="2"/>
      <c r="L117" s="2"/>
    </row>
    <row r="118" spans="1:12" ht="90" customHeight="1" x14ac:dyDescent="0.3">
      <c r="A118" s="9"/>
      <c r="B118" s="9"/>
      <c r="C118" s="9"/>
      <c r="D118" s="9"/>
      <c r="E118" s="9"/>
      <c r="F118" s="9"/>
      <c r="G118" s="9"/>
      <c r="H118" s="2"/>
      <c r="I118" s="2"/>
      <c r="J118" s="2"/>
      <c r="K118" s="2"/>
      <c r="L118" s="2"/>
    </row>
    <row r="119" spans="1:12" ht="90" customHeight="1" x14ac:dyDescent="0.3">
      <c r="A119" s="9"/>
      <c r="B119" s="9"/>
      <c r="C119" s="9"/>
      <c r="D119" s="9"/>
      <c r="E119" s="9"/>
      <c r="F119" s="9"/>
      <c r="G119" s="9"/>
      <c r="H119" s="2"/>
      <c r="I119" s="2"/>
      <c r="J119" s="2"/>
      <c r="K119" s="2"/>
      <c r="L119" s="2"/>
    </row>
    <row r="120" spans="1:12" ht="90" customHeight="1" x14ac:dyDescent="0.3">
      <c r="A120" s="9"/>
      <c r="B120" s="9"/>
      <c r="C120" s="9"/>
      <c r="D120" s="9"/>
      <c r="E120" s="9"/>
      <c r="F120" s="9"/>
      <c r="G120" s="9"/>
      <c r="H120" s="2"/>
      <c r="I120" s="2"/>
      <c r="J120" s="2"/>
      <c r="K120" s="2"/>
      <c r="L120" s="2"/>
    </row>
    <row r="121" spans="1:12" ht="90" customHeight="1" x14ac:dyDescent="0.3">
      <c r="A121" s="9"/>
      <c r="B121" s="9"/>
      <c r="C121" s="9"/>
      <c r="D121" s="9"/>
      <c r="E121" s="9"/>
      <c r="F121" s="9"/>
      <c r="G121" s="9"/>
      <c r="H121" s="2"/>
      <c r="I121" s="2"/>
      <c r="J121" s="2"/>
      <c r="K121" s="2"/>
      <c r="L121" s="2"/>
    </row>
    <row r="122" spans="1:12" ht="90" customHeight="1" x14ac:dyDescent="0.3">
      <c r="A122" s="8" t="s">
        <v>158</v>
      </c>
      <c r="B122" s="8" t="s">
        <v>159</v>
      </c>
      <c r="C122" s="8" t="s">
        <v>160</v>
      </c>
      <c r="D122" s="10" t="s">
        <v>15</v>
      </c>
      <c r="E122" s="10" t="s">
        <v>16</v>
      </c>
      <c r="F122" s="8" t="s">
        <v>161</v>
      </c>
      <c r="G122" s="8" t="s">
        <v>162</v>
      </c>
      <c r="H122" s="1" t="s">
        <v>163</v>
      </c>
      <c r="I122" s="1">
        <v>0.99998617170544946</v>
      </c>
      <c r="J122" s="1" t="s">
        <v>27</v>
      </c>
      <c r="K122" s="1" t="s">
        <v>164</v>
      </c>
      <c r="L122" s="1">
        <v>64</v>
      </c>
    </row>
    <row r="123" spans="1:12" ht="90" customHeight="1" x14ac:dyDescent="0.3">
      <c r="A123" s="9"/>
      <c r="B123" s="9"/>
      <c r="C123" s="9"/>
      <c r="D123" s="9"/>
      <c r="E123" s="9"/>
      <c r="F123" s="9"/>
      <c r="G123" s="9"/>
      <c r="H123" s="1" t="s">
        <v>165</v>
      </c>
      <c r="I123" s="1">
        <v>0.99996732066480376</v>
      </c>
      <c r="J123" s="1" t="s">
        <v>27</v>
      </c>
      <c r="K123" s="1" t="s">
        <v>166</v>
      </c>
      <c r="L123" s="1">
        <v>21</v>
      </c>
    </row>
    <row r="124" spans="1:12" ht="90" customHeight="1" x14ac:dyDescent="0.3">
      <c r="A124" s="9"/>
      <c r="B124" s="9"/>
      <c r="C124" s="9"/>
      <c r="D124" s="9"/>
      <c r="E124" s="9"/>
      <c r="F124" s="9"/>
      <c r="G124" s="9"/>
      <c r="H124" s="1" t="s">
        <v>167</v>
      </c>
      <c r="I124" s="1">
        <v>0.99995899200439453</v>
      </c>
      <c r="J124" s="1" t="s">
        <v>27</v>
      </c>
      <c r="K124" s="1" t="s">
        <v>166</v>
      </c>
      <c r="L124" s="1">
        <v>22</v>
      </c>
    </row>
    <row r="125" spans="1:12" ht="90" customHeight="1" x14ac:dyDescent="0.3">
      <c r="A125" s="9"/>
      <c r="B125" s="9"/>
      <c r="C125" s="9"/>
      <c r="D125" s="9"/>
      <c r="E125" s="9"/>
      <c r="F125" s="9"/>
      <c r="G125" s="9"/>
      <c r="H125" s="2" t="s">
        <v>168</v>
      </c>
      <c r="I125" s="2">
        <v>0.99995875358581543</v>
      </c>
      <c r="J125" s="2" t="s">
        <v>27</v>
      </c>
      <c r="K125" s="2" t="s">
        <v>169</v>
      </c>
      <c r="L125" s="2">
        <v>28</v>
      </c>
    </row>
    <row r="126" spans="1:12" ht="90" customHeight="1" x14ac:dyDescent="0.3">
      <c r="A126" s="9"/>
      <c r="B126" s="9"/>
      <c r="C126" s="9"/>
      <c r="D126" s="9"/>
      <c r="E126" s="9"/>
      <c r="F126" s="9"/>
      <c r="G126" s="9"/>
      <c r="H126" s="2" t="s">
        <v>170</v>
      </c>
      <c r="I126" s="2">
        <v>0.99994289875030518</v>
      </c>
      <c r="J126" s="2" t="s">
        <v>27</v>
      </c>
      <c r="K126" s="2" t="s">
        <v>171</v>
      </c>
      <c r="L126" s="2">
        <v>67</v>
      </c>
    </row>
    <row r="127" spans="1:12" ht="90" customHeight="1" x14ac:dyDescent="0.3">
      <c r="A127" s="8" t="s">
        <v>172</v>
      </c>
      <c r="B127" s="8" t="s">
        <v>173</v>
      </c>
      <c r="C127" s="8" t="s">
        <v>174</v>
      </c>
      <c r="D127" s="10" t="s">
        <v>22</v>
      </c>
      <c r="E127" s="10" t="s">
        <v>23</v>
      </c>
      <c r="F127" s="8" t="s">
        <v>175</v>
      </c>
      <c r="G127" s="8" t="s">
        <v>176</v>
      </c>
      <c r="H127" s="1" t="s">
        <v>177</v>
      </c>
      <c r="I127" s="1">
        <v>0.98702687025070124</v>
      </c>
      <c r="J127" s="1" t="s">
        <v>27</v>
      </c>
      <c r="K127" s="1" t="s">
        <v>178</v>
      </c>
      <c r="L127" s="1">
        <v>280</v>
      </c>
    </row>
    <row r="128" spans="1:12" ht="90" customHeight="1" x14ac:dyDescent="0.3">
      <c r="A128" s="9"/>
      <c r="B128" s="9"/>
      <c r="C128" s="9"/>
      <c r="D128" s="9"/>
      <c r="E128" s="9"/>
      <c r="F128" s="9"/>
      <c r="G128" s="9"/>
      <c r="H128" s="4" t="s">
        <v>179</v>
      </c>
      <c r="I128" s="4">
        <v>0.98625653982162476</v>
      </c>
      <c r="J128" s="4" t="s">
        <v>27</v>
      </c>
      <c r="K128" s="4" t="s">
        <v>180</v>
      </c>
      <c r="L128" s="4">
        <v>10</v>
      </c>
    </row>
    <row r="129" spans="1:12" ht="90" customHeight="1" x14ac:dyDescent="0.3">
      <c r="A129" s="9"/>
      <c r="B129" s="9"/>
      <c r="C129" s="9"/>
      <c r="D129" s="9"/>
      <c r="E129" s="9"/>
      <c r="F129" s="9"/>
      <c r="G129" s="9"/>
      <c r="H129" s="1" t="s">
        <v>181</v>
      </c>
      <c r="I129" s="1">
        <v>0.9156535267829895</v>
      </c>
      <c r="J129" s="1" t="s">
        <v>27</v>
      </c>
      <c r="K129" s="1" t="s">
        <v>182</v>
      </c>
      <c r="L129" s="1">
        <v>245</v>
      </c>
    </row>
    <row r="130" spans="1:12" ht="90" customHeight="1" x14ac:dyDescent="0.3">
      <c r="A130" s="9"/>
      <c r="B130" s="9"/>
      <c r="C130" s="9"/>
      <c r="D130" s="9"/>
      <c r="E130" s="9"/>
      <c r="F130" s="9"/>
      <c r="G130" s="9"/>
      <c r="H130" s="2" t="s">
        <v>183</v>
      </c>
      <c r="I130" s="2">
        <v>0.88977968692779541</v>
      </c>
      <c r="J130" s="2" t="s">
        <v>27</v>
      </c>
      <c r="K130" s="2" t="s">
        <v>184</v>
      </c>
      <c r="L130" s="2">
        <v>260</v>
      </c>
    </row>
    <row r="131" spans="1:12" ht="90" customHeight="1" x14ac:dyDescent="0.3">
      <c r="A131" s="9"/>
      <c r="B131" s="9"/>
      <c r="C131" s="9"/>
      <c r="D131" s="9"/>
      <c r="E131" s="9"/>
      <c r="F131" s="9"/>
      <c r="G131" s="9"/>
      <c r="H131" s="2" t="s">
        <v>185</v>
      </c>
      <c r="I131" s="2">
        <v>0.87264806032180786</v>
      </c>
      <c r="J131" s="2" t="s">
        <v>27</v>
      </c>
      <c r="K131" s="2" t="s">
        <v>186</v>
      </c>
      <c r="L131" s="2">
        <v>257</v>
      </c>
    </row>
    <row r="132" spans="1:12" ht="90" customHeight="1" x14ac:dyDescent="0.3">
      <c r="A132" s="8" t="s">
        <v>187</v>
      </c>
      <c r="B132" s="8" t="s">
        <v>188</v>
      </c>
      <c r="C132" s="8" t="s">
        <v>189</v>
      </c>
      <c r="D132" s="10" t="s">
        <v>15</v>
      </c>
      <c r="E132" s="10" t="s">
        <v>16</v>
      </c>
      <c r="F132" s="8" t="s">
        <v>190</v>
      </c>
      <c r="G132" s="8" t="s">
        <v>18</v>
      </c>
      <c r="H132" s="2"/>
      <c r="I132" s="2"/>
      <c r="J132" s="2"/>
      <c r="K132" s="2"/>
      <c r="L132" s="2"/>
    </row>
    <row r="133" spans="1:12" ht="90" customHeight="1" x14ac:dyDescent="0.3">
      <c r="A133" s="9"/>
      <c r="B133" s="9"/>
      <c r="C133" s="9"/>
      <c r="D133" s="9"/>
      <c r="E133" s="9"/>
      <c r="F133" s="9"/>
      <c r="G133" s="9"/>
      <c r="H133" s="2"/>
      <c r="I133" s="2"/>
      <c r="J133" s="2"/>
      <c r="K133" s="2"/>
      <c r="L133" s="2"/>
    </row>
    <row r="134" spans="1:12" ht="90" customHeight="1" x14ac:dyDescent="0.3">
      <c r="A134" s="9"/>
      <c r="B134" s="9"/>
      <c r="C134" s="9"/>
      <c r="D134" s="9"/>
      <c r="E134" s="9"/>
      <c r="F134" s="9"/>
      <c r="G134" s="9"/>
      <c r="H134" s="2"/>
      <c r="I134" s="2"/>
      <c r="J134" s="2"/>
      <c r="K134" s="2"/>
      <c r="L134" s="2"/>
    </row>
    <row r="135" spans="1:12" ht="90" customHeight="1" x14ac:dyDescent="0.3">
      <c r="A135" s="9"/>
      <c r="B135" s="9"/>
      <c r="C135" s="9"/>
      <c r="D135" s="9"/>
      <c r="E135" s="9"/>
      <c r="F135" s="9"/>
      <c r="G135" s="9"/>
      <c r="H135" s="2"/>
      <c r="I135" s="2"/>
      <c r="J135" s="2"/>
      <c r="K135" s="2"/>
      <c r="L135" s="2"/>
    </row>
    <row r="136" spans="1:12" ht="90" customHeight="1" x14ac:dyDescent="0.3">
      <c r="A136" s="9"/>
      <c r="B136" s="9"/>
      <c r="C136" s="9"/>
      <c r="D136" s="9"/>
      <c r="E136" s="9"/>
      <c r="F136" s="9"/>
      <c r="G136" s="9"/>
      <c r="H136" s="2"/>
      <c r="I136" s="2"/>
      <c r="J136" s="2"/>
      <c r="K136" s="2"/>
      <c r="L136" s="2"/>
    </row>
    <row r="137" spans="1:12" ht="90" customHeight="1" x14ac:dyDescent="0.3">
      <c r="A137" s="8" t="s">
        <v>191</v>
      </c>
      <c r="B137" s="8" t="s">
        <v>184</v>
      </c>
      <c r="C137" s="8" t="s">
        <v>192</v>
      </c>
      <c r="D137" s="10" t="s">
        <v>15</v>
      </c>
      <c r="E137" s="10" t="s">
        <v>16</v>
      </c>
      <c r="F137" s="8" t="s">
        <v>193</v>
      </c>
      <c r="G137" s="8" t="s">
        <v>194</v>
      </c>
      <c r="H137" s="4" t="s">
        <v>195</v>
      </c>
      <c r="I137" s="4">
        <v>0.99563735723495483</v>
      </c>
      <c r="J137" s="4" t="s">
        <v>27</v>
      </c>
      <c r="K137" s="4" t="s">
        <v>184</v>
      </c>
      <c r="L137" s="4">
        <v>268</v>
      </c>
    </row>
    <row r="138" spans="1:12" ht="90" customHeight="1" x14ac:dyDescent="0.3">
      <c r="A138" s="9"/>
      <c r="B138" s="9"/>
      <c r="C138" s="9"/>
      <c r="D138" s="9"/>
      <c r="E138" s="9"/>
      <c r="F138" s="9"/>
      <c r="G138" s="9"/>
      <c r="H138" s="1" t="s">
        <v>196</v>
      </c>
      <c r="I138" s="1">
        <v>0.9859844446182251</v>
      </c>
      <c r="J138" s="1" t="s">
        <v>27</v>
      </c>
      <c r="K138" s="1" t="s">
        <v>182</v>
      </c>
      <c r="L138" s="1">
        <v>266</v>
      </c>
    </row>
    <row r="139" spans="1:12" ht="90" customHeight="1" x14ac:dyDescent="0.3">
      <c r="A139" s="9"/>
      <c r="B139" s="9"/>
      <c r="C139" s="9"/>
      <c r="D139" s="9"/>
      <c r="E139" s="9"/>
      <c r="F139" s="9"/>
      <c r="G139" s="9"/>
      <c r="H139" s="1" t="s">
        <v>197</v>
      </c>
      <c r="I139" s="1">
        <v>0.98417997360229492</v>
      </c>
      <c r="J139" s="1" t="s">
        <v>27</v>
      </c>
      <c r="K139" s="1" t="s">
        <v>178</v>
      </c>
      <c r="L139" s="1">
        <v>290</v>
      </c>
    </row>
    <row r="140" spans="1:12" ht="90" customHeight="1" x14ac:dyDescent="0.3">
      <c r="A140" s="9"/>
      <c r="B140" s="9"/>
      <c r="C140" s="9"/>
      <c r="D140" s="9"/>
      <c r="E140" s="9"/>
      <c r="F140" s="9"/>
      <c r="G140" s="9"/>
      <c r="H140" s="2" t="s">
        <v>198</v>
      </c>
      <c r="I140" s="2">
        <v>0.96942037343978882</v>
      </c>
      <c r="J140" s="2" t="s">
        <v>27</v>
      </c>
      <c r="K140" s="2" t="s">
        <v>199</v>
      </c>
      <c r="L140" s="2">
        <v>15</v>
      </c>
    </row>
    <row r="141" spans="1:12" ht="90" customHeight="1" x14ac:dyDescent="0.3">
      <c r="A141" s="9"/>
      <c r="B141" s="9"/>
      <c r="C141" s="9"/>
      <c r="D141" s="9"/>
      <c r="E141" s="9"/>
      <c r="F141" s="9"/>
      <c r="G141" s="9"/>
      <c r="H141" s="2" t="s">
        <v>200</v>
      </c>
      <c r="I141" s="2">
        <v>0.96766763925552368</v>
      </c>
      <c r="J141" s="2" t="s">
        <v>27</v>
      </c>
      <c r="K141" s="2" t="s">
        <v>180</v>
      </c>
      <c r="L141" s="2">
        <v>11</v>
      </c>
    </row>
    <row r="142" spans="1:12" ht="90" customHeight="1" x14ac:dyDescent="0.3">
      <c r="A142" s="8" t="s">
        <v>201</v>
      </c>
      <c r="B142" s="8" t="s">
        <v>180</v>
      </c>
      <c r="C142" s="8" t="s">
        <v>202</v>
      </c>
      <c r="D142" s="10" t="s">
        <v>22</v>
      </c>
      <c r="E142" s="10" t="s">
        <v>16</v>
      </c>
      <c r="F142" s="8" t="s">
        <v>203</v>
      </c>
      <c r="G142" s="8" t="s">
        <v>204</v>
      </c>
      <c r="H142" s="5" t="s">
        <v>205</v>
      </c>
      <c r="I142" s="5">
        <v>0.99897420406341553</v>
      </c>
      <c r="J142" s="5" t="s">
        <v>27</v>
      </c>
      <c r="K142" s="5" t="s">
        <v>180</v>
      </c>
      <c r="L142" s="5">
        <v>14</v>
      </c>
    </row>
    <row r="143" spans="1:12" ht="90" customHeight="1" x14ac:dyDescent="0.3">
      <c r="A143" s="9"/>
      <c r="B143" s="9"/>
      <c r="C143" s="9"/>
      <c r="D143" s="9"/>
      <c r="E143" s="9"/>
      <c r="F143" s="9"/>
      <c r="G143" s="9"/>
      <c r="H143" s="5" t="s">
        <v>206</v>
      </c>
      <c r="I143" s="5">
        <v>0.99813348054885864</v>
      </c>
      <c r="J143" s="5" t="s">
        <v>27</v>
      </c>
      <c r="K143" s="5" t="s">
        <v>180</v>
      </c>
      <c r="L143" s="5">
        <v>10</v>
      </c>
    </row>
    <row r="144" spans="1:12" ht="90" customHeight="1" x14ac:dyDescent="0.3">
      <c r="A144" s="9"/>
      <c r="B144" s="9"/>
      <c r="C144" s="9"/>
      <c r="D144" s="9"/>
      <c r="E144" s="9"/>
      <c r="F144" s="9"/>
      <c r="G144" s="9"/>
      <c r="H144" s="1" t="s">
        <v>207</v>
      </c>
      <c r="I144" s="1">
        <v>0.96399992704391479</v>
      </c>
      <c r="J144" s="1" t="s">
        <v>27</v>
      </c>
      <c r="K144" s="1" t="s">
        <v>208</v>
      </c>
      <c r="L144" s="1">
        <v>5</v>
      </c>
    </row>
    <row r="145" spans="1:12" ht="90" customHeight="1" x14ac:dyDescent="0.3">
      <c r="A145" s="9"/>
      <c r="B145" s="9"/>
      <c r="C145" s="9"/>
      <c r="D145" s="9"/>
      <c r="E145" s="9"/>
      <c r="F145" s="9"/>
      <c r="G145" s="9"/>
      <c r="H145" s="1" t="s">
        <v>209</v>
      </c>
      <c r="I145" s="1">
        <v>0.90944886207580566</v>
      </c>
      <c r="J145" s="1" t="s">
        <v>27</v>
      </c>
      <c r="K145" s="1" t="s">
        <v>180</v>
      </c>
      <c r="L145" s="1">
        <v>3</v>
      </c>
    </row>
    <row r="146" spans="1:12" ht="90" customHeight="1" x14ac:dyDescent="0.3">
      <c r="A146" s="9"/>
      <c r="B146" s="9"/>
      <c r="C146" s="9"/>
      <c r="D146" s="9"/>
      <c r="E146" s="9"/>
      <c r="F146" s="9"/>
      <c r="G146" s="9"/>
      <c r="H146" s="2" t="s">
        <v>210</v>
      </c>
      <c r="I146" s="2">
        <v>0.81254881620407104</v>
      </c>
      <c r="J146" s="2" t="s">
        <v>27</v>
      </c>
      <c r="K146" s="2" t="s">
        <v>182</v>
      </c>
      <c r="L146" s="2">
        <v>137</v>
      </c>
    </row>
    <row r="147" spans="1:12" ht="90" customHeight="1" x14ac:dyDescent="0.3">
      <c r="A147" s="8" t="s">
        <v>211</v>
      </c>
      <c r="B147" s="8" t="s">
        <v>45</v>
      </c>
      <c r="C147" s="8" t="s">
        <v>174</v>
      </c>
      <c r="D147" s="10" t="s">
        <v>15</v>
      </c>
      <c r="E147" s="10" t="s">
        <v>16</v>
      </c>
      <c r="F147" s="8" t="s">
        <v>212</v>
      </c>
      <c r="G147" s="8" t="s">
        <v>18</v>
      </c>
      <c r="H147" s="2"/>
      <c r="I147" s="2"/>
      <c r="J147" s="2"/>
      <c r="K147" s="2"/>
      <c r="L147" s="2"/>
    </row>
    <row r="148" spans="1:12" ht="90" customHeight="1" x14ac:dyDescent="0.3">
      <c r="A148" s="9"/>
      <c r="B148" s="9"/>
      <c r="C148" s="9"/>
      <c r="D148" s="9"/>
      <c r="E148" s="9"/>
      <c r="F148" s="9"/>
      <c r="G148" s="9"/>
      <c r="H148" s="2"/>
      <c r="I148" s="2"/>
      <c r="J148" s="2"/>
      <c r="K148" s="2"/>
      <c r="L148" s="2"/>
    </row>
    <row r="149" spans="1:12" ht="90" customHeight="1" x14ac:dyDescent="0.3">
      <c r="A149" s="9"/>
      <c r="B149" s="9"/>
      <c r="C149" s="9"/>
      <c r="D149" s="9"/>
      <c r="E149" s="9"/>
      <c r="F149" s="9"/>
      <c r="G149" s="9"/>
      <c r="H149" s="2"/>
      <c r="I149" s="2"/>
      <c r="J149" s="2"/>
      <c r="K149" s="2"/>
      <c r="L149" s="2"/>
    </row>
    <row r="150" spans="1:12" ht="90" customHeight="1" x14ac:dyDescent="0.3">
      <c r="A150" s="9"/>
      <c r="B150" s="9"/>
      <c r="C150" s="9"/>
      <c r="D150" s="9"/>
      <c r="E150" s="9"/>
      <c r="F150" s="9"/>
      <c r="G150" s="9"/>
      <c r="H150" s="2"/>
      <c r="I150" s="2"/>
      <c r="J150" s="2"/>
      <c r="K150" s="2"/>
      <c r="L150" s="2"/>
    </row>
    <row r="151" spans="1:12" ht="90" customHeight="1" x14ac:dyDescent="0.3">
      <c r="A151" s="9"/>
      <c r="B151" s="9"/>
      <c r="C151" s="9"/>
      <c r="D151" s="9"/>
      <c r="E151" s="9"/>
      <c r="F151" s="9"/>
      <c r="G151" s="9"/>
      <c r="H151" s="2"/>
      <c r="I151" s="2"/>
      <c r="J151" s="2"/>
      <c r="K151" s="2"/>
      <c r="L151" s="2"/>
    </row>
    <row r="152" spans="1:12" ht="90" customHeight="1" x14ac:dyDescent="0.3">
      <c r="A152" s="8" t="s">
        <v>213</v>
      </c>
      <c r="B152" s="8" t="s">
        <v>214</v>
      </c>
      <c r="C152" s="8" t="s">
        <v>215</v>
      </c>
      <c r="D152" s="10" t="s">
        <v>15</v>
      </c>
      <c r="E152" s="10" t="s">
        <v>16</v>
      </c>
      <c r="F152" s="8" t="s">
        <v>216</v>
      </c>
      <c r="G152" s="8" t="s">
        <v>217</v>
      </c>
      <c r="H152" s="1" t="s">
        <v>218</v>
      </c>
      <c r="I152" s="1">
        <v>0.8575739860534668</v>
      </c>
      <c r="J152" s="1" t="s">
        <v>27</v>
      </c>
      <c r="K152" s="1" t="s">
        <v>219</v>
      </c>
      <c r="L152" s="1">
        <v>3</v>
      </c>
    </row>
    <row r="153" spans="1:12" ht="90" customHeight="1" x14ac:dyDescent="0.3">
      <c r="A153" s="9"/>
      <c r="B153" s="9"/>
      <c r="C153" s="9"/>
      <c r="D153" s="9"/>
      <c r="E153" s="9"/>
      <c r="F153" s="9"/>
      <c r="G153" s="9"/>
      <c r="H153" s="2"/>
      <c r="I153" s="2"/>
      <c r="J153" s="2"/>
      <c r="K153" s="2"/>
      <c r="L153" s="2"/>
    </row>
    <row r="154" spans="1:12" ht="90" customHeight="1" x14ac:dyDescent="0.3">
      <c r="A154" s="9"/>
      <c r="B154" s="9"/>
      <c r="C154" s="9"/>
      <c r="D154" s="9"/>
      <c r="E154" s="9"/>
      <c r="F154" s="9"/>
      <c r="G154" s="9"/>
      <c r="H154" s="2"/>
      <c r="I154" s="2"/>
      <c r="J154" s="2"/>
      <c r="K154" s="2"/>
      <c r="L154" s="2"/>
    </row>
    <row r="155" spans="1:12" ht="90" customHeight="1" x14ac:dyDescent="0.3">
      <c r="A155" s="9"/>
      <c r="B155" s="9"/>
      <c r="C155" s="9"/>
      <c r="D155" s="9"/>
      <c r="E155" s="9"/>
      <c r="F155" s="9"/>
      <c r="G155" s="9"/>
      <c r="H155" s="2"/>
      <c r="I155" s="2"/>
      <c r="J155" s="2"/>
      <c r="K155" s="2"/>
      <c r="L155" s="2"/>
    </row>
    <row r="156" spans="1:12" ht="90" customHeight="1" x14ac:dyDescent="0.3">
      <c r="A156" s="9"/>
      <c r="B156" s="9"/>
      <c r="C156" s="9"/>
      <c r="D156" s="9"/>
      <c r="E156" s="9"/>
      <c r="F156" s="9"/>
      <c r="G156" s="9"/>
      <c r="H156" s="2"/>
      <c r="I156" s="2"/>
      <c r="J156" s="2"/>
      <c r="K156" s="2"/>
      <c r="L156" s="2"/>
    </row>
    <row r="157" spans="1:12" ht="90" customHeight="1" x14ac:dyDescent="0.3">
      <c r="A157" s="8" t="s">
        <v>220</v>
      </c>
      <c r="B157" s="8" t="s">
        <v>34</v>
      </c>
      <c r="C157" s="8" t="s">
        <v>14</v>
      </c>
      <c r="D157" s="10" t="s">
        <v>15</v>
      </c>
      <c r="E157" s="10" t="s">
        <v>16</v>
      </c>
      <c r="F157" s="8" t="s">
        <v>221</v>
      </c>
      <c r="G157" s="8" t="s">
        <v>18</v>
      </c>
      <c r="H157" s="2"/>
      <c r="I157" s="2"/>
      <c r="J157" s="2"/>
      <c r="K157" s="2"/>
      <c r="L157" s="2"/>
    </row>
    <row r="158" spans="1:12" ht="90" customHeight="1" x14ac:dyDescent="0.3">
      <c r="A158" s="9"/>
      <c r="B158" s="9"/>
      <c r="C158" s="9"/>
      <c r="D158" s="9"/>
      <c r="E158" s="9"/>
      <c r="F158" s="9"/>
      <c r="G158" s="9"/>
      <c r="H158" s="2"/>
      <c r="I158" s="2"/>
      <c r="J158" s="2"/>
      <c r="K158" s="2"/>
      <c r="L158" s="2"/>
    </row>
    <row r="159" spans="1:12" ht="90" customHeight="1" x14ac:dyDescent="0.3">
      <c r="A159" s="9"/>
      <c r="B159" s="9"/>
      <c r="C159" s="9"/>
      <c r="D159" s="9"/>
      <c r="E159" s="9"/>
      <c r="F159" s="9"/>
      <c r="G159" s="9"/>
      <c r="H159" s="2"/>
      <c r="I159" s="2"/>
      <c r="J159" s="2"/>
      <c r="K159" s="2"/>
      <c r="L159" s="2"/>
    </row>
    <row r="160" spans="1:12" ht="90" customHeight="1" x14ac:dyDescent="0.3">
      <c r="A160" s="9"/>
      <c r="B160" s="9"/>
      <c r="C160" s="9"/>
      <c r="D160" s="9"/>
      <c r="E160" s="9"/>
      <c r="F160" s="9"/>
      <c r="G160" s="9"/>
      <c r="H160" s="2"/>
      <c r="I160" s="2"/>
      <c r="J160" s="2"/>
      <c r="K160" s="2"/>
      <c r="L160" s="2"/>
    </row>
    <row r="161" spans="1:12" ht="90" customHeight="1" x14ac:dyDescent="0.3">
      <c r="A161" s="9"/>
      <c r="B161" s="9"/>
      <c r="C161" s="9"/>
      <c r="D161" s="9"/>
      <c r="E161" s="9"/>
      <c r="F161" s="9"/>
      <c r="G161" s="9"/>
      <c r="H161" s="2"/>
      <c r="I161" s="2"/>
      <c r="J161" s="2"/>
      <c r="K161" s="2"/>
      <c r="L161" s="2"/>
    </row>
    <row r="162" spans="1:12" ht="90" customHeight="1" x14ac:dyDescent="0.3">
      <c r="A162" s="8" t="s">
        <v>222</v>
      </c>
      <c r="B162" s="8" t="s">
        <v>223</v>
      </c>
      <c r="C162" s="8" t="s">
        <v>102</v>
      </c>
      <c r="D162" s="10" t="s">
        <v>15</v>
      </c>
      <c r="E162" s="10" t="s">
        <v>16</v>
      </c>
      <c r="F162" s="8" t="s">
        <v>224</v>
      </c>
      <c r="G162" s="8" t="s">
        <v>225</v>
      </c>
      <c r="H162" s="1" t="s">
        <v>226</v>
      </c>
      <c r="I162" s="1">
        <v>0.76248449087142944</v>
      </c>
      <c r="J162" s="1" t="s">
        <v>27</v>
      </c>
      <c r="K162" s="1" t="s">
        <v>227</v>
      </c>
      <c r="L162" s="1">
        <v>22</v>
      </c>
    </row>
    <row r="163" spans="1:12" ht="90" customHeight="1" x14ac:dyDescent="0.3">
      <c r="A163" s="9"/>
      <c r="B163" s="9"/>
      <c r="C163" s="9"/>
      <c r="D163" s="9"/>
      <c r="E163" s="9"/>
      <c r="F163" s="9"/>
      <c r="G163" s="9"/>
      <c r="H163" s="2"/>
      <c r="I163" s="2"/>
      <c r="J163" s="2"/>
      <c r="K163" s="2"/>
      <c r="L163" s="2"/>
    </row>
    <row r="164" spans="1:12" ht="90" customHeight="1" x14ac:dyDescent="0.3">
      <c r="A164" s="9"/>
      <c r="B164" s="9"/>
      <c r="C164" s="9"/>
      <c r="D164" s="9"/>
      <c r="E164" s="9"/>
      <c r="F164" s="9"/>
      <c r="G164" s="9"/>
      <c r="H164" s="2"/>
      <c r="I164" s="2"/>
      <c r="J164" s="2"/>
      <c r="K164" s="2"/>
      <c r="L164" s="2"/>
    </row>
    <row r="165" spans="1:12" ht="90" customHeight="1" x14ac:dyDescent="0.3">
      <c r="A165" s="9"/>
      <c r="B165" s="9"/>
      <c r="C165" s="9"/>
      <c r="D165" s="9"/>
      <c r="E165" s="9"/>
      <c r="F165" s="9"/>
      <c r="G165" s="9"/>
      <c r="H165" s="2"/>
      <c r="I165" s="2"/>
      <c r="J165" s="2"/>
      <c r="K165" s="2"/>
      <c r="L165" s="2"/>
    </row>
    <row r="166" spans="1:12" ht="90" customHeight="1" x14ac:dyDescent="0.3">
      <c r="A166" s="9"/>
      <c r="B166" s="9"/>
      <c r="C166" s="9"/>
      <c r="D166" s="9"/>
      <c r="E166" s="9"/>
      <c r="F166" s="9"/>
      <c r="G166" s="9"/>
      <c r="H166" s="2"/>
      <c r="I166" s="2"/>
      <c r="J166" s="2"/>
      <c r="K166" s="2"/>
      <c r="L166" s="2"/>
    </row>
    <row r="167" spans="1:12" ht="90" customHeight="1" x14ac:dyDescent="0.3">
      <c r="A167" s="8" t="s">
        <v>228</v>
      </c>
      <c r="B167" s="8" t="s">
        <v>229</v>
      </c>
      <c r="C167" s="8" t="s">
        <v>230</v>
      </c>
      <c r="D167" s="10" t="s">
        <v>15</v>
      </c>
      <c r="E167" s="10" t="s">
        <v>16</v>
      </c>
      <c r="F167" s="8" t="s">
        <v>231</v>
      </c>
      <c r="G167" s="8" t="s">
        <v>18</v>
      </c>
      <c r="H167" s="2"/>
      <c r="I167" s="2"/>
      <c r="J167" s="2"/>
      <c r="K167" s="2"/>
      <c r="L167" s="2"/>
    </row>
    <row r="168" spans="1:12" ht="90" customHeight="1" x14ac:dyDescent="0.3">
      <c r="A168" s="9"/>
      <c r="B168" s="9"/>
      <c r="C168" s="9"/>
      <c r="D168" s="9"/>
      <c r="E168" s="9"/>
      <c r="F168" s="9"/>
      <c r="G168" s="9"/>
      <c r="H168" s="2"/>
      <c r="I168" s="2"/>
      <c r="J168" s="2"/>
      <c r="K168" s="2"/>
      <c r="L168" s="2"/>
    </row>
    <row r="169" spans="1:12" ht="90" customHeight="1" x14ac:dyDescent="0.3">
      <c r="A169" s="9"/>
      <c r="B169" s="9"/>
      <c r="C169" s="9"/>
      <c r="D169" s="9"/>
      <c r="E169" s="9"/>
      <c r="F169" s="9"/>
      <c r="G169" s="9"/>
      <c r="H169" s="2"/>
      <c r="I169" s="2"/>
      <c r="J169" s="2"/>
      <c r="K169" s="2"/>
      <c r="L169" s="2"/>
    </row>
    <row r="170" spans="1:12" ht="90" customHeight="1" x14ac:dyDescent="0.3">
      <c r="A170" s="9"/>
      <c r="B170" s="9"/>
      <c r="C170" s="9"/>
      <c r="D170" s="9"/>
      <c r="E170" s="9"/>
      <c r="F170" s="9"/>
      <c r="G170" s="9"/>
      <c r="H170" s="2"/>
      <c r="I170" s="2"/>
      <c r="J170" s="2"/>
      <c r="K170" s="2"/>
      <c r="L170" s="2"/>
    </row>
    <row r="171" spans="1:12" ht="90" customHeight="1" x14ac:dyDescent="0.3">
      <c r="A171" s="9"/>
      <c r="B171" s="9"/>
      <c r="C171" s="9"/>
      <c r="D171" s="9"/>
      <c r="E171" s="9"/>
      <c r="F171" s="9"/>
      <c r="G171" s="9"/>
      <c r="H171" s="2"/>
      <c r="I171" s="2"/>
      <c r="J171" s="2"/>
      <c r="K171" s="2"/>
      <c r="L171" s="2"/>
    </row>
    <row r="172" spans="1:12" ht="90" customHeight="1" x14ac:dyDescent="0.3">
      <c r="A172" s="8" t="s">
        <v>232</v>
      </c>
      <c r="B172" s="8" t="s">
        <v>233</v>
      </c>
      <c r="C172" s="8" t="s">
        <v>234</v>
      </c>
      <c r="D172" s="10" t="s">
        <v>15</v>
      </c>
      <c r="E172" s="10" t="s">
        <v>16</v>
      </c>
      <c r="F172" s="8" t="s">
        <v>235</v>
      </c>
      <c r="G172" s="8" t="s">
        <v>236</v>
      </c>
      <c r="H172" s="1" t="s">
        <v>237</v>
      </c>
      <c r="I172" s="1">
        <v>0.88314265012741089</v>
      </c>
      <c r="J172" s="1" t="s">
        <v>27</v>
      </c>
      <c r="K172" s="1" t="s">
        <v>233</v>
      </c>
      <c r="L172" s="1">
        <v>3</v>
      </c>
    </row>
    <row r="173" spans="1:12" ht="90" customHeight="1" x14ac:dyDescent="0.3">
      <c r="A173" s="9"/>
      <c r="B173" s="9"/>
      <c r="C173" s="9"/>
      <c r="D173" s="9"/>
      <c r="E173" s="9"/>
      <c r="F173" s="9"/>
      <c r="G173" s="9"/>
      <c r="H173" s="2" t="s">
        <v>238</v>
      </c>
      <c r="I173" s="2">
        <v>0.84382134675979614</v>
      </c>
      <c r="J173" s="2" t="s">
        <v>27</v>
      </c>
      <c r="K173" s="2" t="s">
        <v>233</v>
      </c>
      <c r="L173" s="2">
        <v>11</v>
      </c>
    </row>
    <row r="174" spans="1:12" ht="90" customHeight="1" x14ac:dyDescent="0.3">
      <c r="A174" s="9"/>
      <c r="B174" s="9"/>
      <c r="C174" s="9"/>
      <c r="D174" s="9"/>
      <c r="E174" s="9"/>
      <c r="F174" s="9"/>
      <c r="G174" s="9"/>
      <c r="H174" s="2"/>
      <c r="I174" s="2"/>
      <c r="J174" s="2"/>
      <c r="K174" s="2"/>
      <c r="L174" s="2"/>
    </row>
    <row r="175" spans="1:12" ht="90" customHeight="1" x14ac:dyDescent="0.3">
      <c r="A175" s="9"/>
      <c r="B175" s="9"/>
      <c r="C175" s="9"/>
      <c r="D175" s="9"/>
      <c r="E175" s="9"/>
      <c r="F175" s="9"/>
      <c r="G175" s="9"/>
      <c r="H175" s="2"/>
      <c r="I175" s="2"/>
      <c r="J175" s="2"/>
      <c r="K175" s="2"/>
      <c r="L175" s="2"/>
    </row>
    <row r="176" spans="1:12" ht="90" customHeight="1" x14ac:dyDescent="0.3">
      <c r="A176" s="9"/>
      <c r="B176" s="9"/>
      <c r="C176" s="9"/>
      <c r="D176" s="9"/>
      <c r="E176" s="9"/>
      <c r="F176" s="9"/>
      <c r="G176" s="9"/>
      <c r="H176" s="2"/>
      <c r="I176" s="2"/>
      <c r="J176" s="2"/>
      <c r="K176" s="2"/>
      <c r="L176" s="2"/>
    </row>
    <row r="177" spans="1:12" ht="90" customHeight="1" x14ac:dyDescent="0.3">
      <c r="A177" s="8" t="s">
        <v>239</v>
      </c>
      <c r="B177" s="8" t="s">
        <v>240</v>
      </c>
      <c r="C177" s="8" t="s">
        <v>241</v>
      </c>
      <c r="D177" s="10" t="s">
        <v>15</v>
      </c>
      <c r="E177" s="10" t="s">
        <v>16</v>
      </c>
      <c r="F177" s="8" t="s">
        <v>242</v>
      </c>
      <c r="G177" s="8" t="s">
        <v>18</v>
      </c>
      <c r="H177" s="2"/>
      <c r="I177" s="2"/>
      <c r="J177" s="2"/>
      <c r="K177" s="2"/>
      <c r="L177" s="2"/>
    </row>
    <row r="178" spans="1:12" ht="90" customHeight="1" x14ac:dyDescent="0.3">
      <c r="A178" s="9"/>
      <c r="B178" s="9"/>
      <c r="C178" s="9"/>
      <c r="D178" s="9"/>
      <c r="E178" s="9"/>
      <c r="F178" s="9"/>
      <c r="G178" s="9"/>
      <c r="H178" s="2"/>
      <c r="I178" s="2"/>
      <c r="J178" s="2"/>
      <c r="K178" s="2"/>
      <c r="L178" s="2"/>
    </row>
    <row r="179" spans="1:12" ht="90" customHeight="1" x14ac:dyDescent="0.3">
      <c r="A179" s="9"/>
      <c r="B179" s="9"/>
      <c r="C179" s="9"/>
      <c r="D179" s="9"/>
      <c r="E179" s="9"/>
      <c r="F179" s="9"/>
      <c r="G179" s="9"/>
      <c r="H179" s="2"/>
      <c r="I179" s="2"/>
      <c r="J179" s="2"/>
      <c r="K179" s="2"/>
      <c r="L179" s="2"/>
    </row>
    <row r="180" spans="1:12" ht="90" customHeight="1" x14ac:dyDescent="0.3">
      <c r="A180" s="9"/>
      <c r="B180" s="9"/>
      <c r="C180" s="9"/>
      <c r="D180" s="9"/>
      <c r="E180" s="9"/>
      <c r="F180" s="9"/>
      <c r="G180" s="9"/>
      <c r="H180" s="2"/>
      <c r="I180" s="2"/>
      <c r="J180" s="2"/>
      <c r="K180" s="2"/>
      <c r="L180" s="2"/>
    </row>
    <row r="181" spans="1:12" ht="90" customHeight="1" x14ac:dyDescent="0.3">
      <c r="A181" s="9"/>
      <c r="B181" s="9"/>
      <c r="C181" s="9"/>
      <c r="D181" s="9"/>
      <c r="E181" s="9"/>
      <c r="F181" s="9"/>
      <c r="G181" s="9"/>
      <c r="H181" s="2"/>
      <c r="I181" s="2"/>
      <c r="J181" s="2"/>
      <c r="K181" s="2"/>
      <c r="L181" s="2"/>
    </row>
    <row r="182" spans="1:12" ht="90" customHeight="1" x14ac:dyDescent="0.3">
      <c r="A182" s="8" t="s">
        <v>243</v>
      </c>
      <c r="B182" s="8" t="s">
        <v>240</v>
      </c>
      <c r="C182" s="8" t="s">
        <v>244</v>
      </c>
      <c r="D182" s="10" t="s">
        <v>15</v>
      </c>
      <c r="E182" s="10" t="s">
        <v>16</v>
      </c>
      <c r="F182" s="8" t="s">
        <v>245</v>
      </c>
      <c r="G182" s="8" t="s">
        <v>18</v>
      </c>
      <c r="H182" s="2"/>
      <c r="I182" s="2"/>
      <c r="J182" s="2"/>
      <c r="K182" s="2"/>
      <c r="L182" s="2"/>
    </row>
    <row r="183" spans="1:12" ht="90" customHeight="1" x14ac:dyDescent="0.3">
      <c r="A183" s="9"/>
      <c r="B183" s="9"/>
      <c r="C183" s="9"/>
      <c r="D183" s="9"/>
      <c r="E183" s="9"/>
      <c r="F183" s="9"/>
      <c r="G183" s="9"/>
      <c r="H183" s="2"/>
      <c r="I183" s="2"/>
      <c r="J183" s="2"/>
      <c r="K183" s="2"/>
      <c r="L183" s="2"/>
    </row>
    <row r="184" spans="1:12" ht="90" customHeight="1" x14ac:dyDescent="0.3">
      <c r="A184" s="9"/>
      <c r="B184" s="9"/>
      <c r="C184" s="9"/>
      <c r="D184" s="9"/>
      <c r="E184" s="9"/>
      <c r="F184" s="9"/>
      <c r="G184" s="9"/>
      <c r="H184" s="2"/>
      <c r="I184" s="2"/>
      <c r="J184" s="2"/>
      <c r="K184" s="2"/>
      <c r="L184" s="2"/>
    </row>
    <row r="185" spans="1:12" ht="90" customHeight="1" x14ac:dyDescent="0.3">
      <c r="A185" s="9"/>
      <c r="B185" s="9"/>
      <c r="C185" s="9"/>
      <c r="D185" s="9"/>
      <c r="E185" s="9"/>
      <c r="F185" s="9"/>
      <c r="G185" s="9"/>
      <c r="H185" s="2"/>
      <c r="I185" s="2"/>
      <c r="J185" s="2"/>
      <c r="K185" s="2"/>
      <c r="L185" s="2"/>
    </row>
    <row r="186" spans="1:12" ht="90" customHeight="1" x14ac:dyDescent="0.3">
      <c r="A186" s="9"/>
      <c r="B186" s="9"/>
      <c r="C186" s="9"/>
      <c r="D186" s="9"/>
      <c r="E186" s="9"/>
      <c r="F186" s="9"/>
      <c r="G186" s="9"/>
      <c r="H186" s="2"/>
      <c r="I186" s="2"/>
      <c r="J186" s="2"/>
      <c r="K186" s="2"/>
      <c r="L186" s="2"/>
    </row>
    <row r="187" spans="1:12" ht="90" customHeight="1" x14ac:dyDescent="0.3">
      <c r="A187" s="8" t="s">
        <v>246</v>
      </c>
      <c r="B187" s="8" t="s">
        <v>20</v>
      </c>
      <c r="C187" s="8" t="s">
        <v>247</v>
      </c>
      <c r="D187" s="10" t="s">
        <v>15</v>
      </c>
      <c r="E187" s="10" t="s">
        <v>16</v>
      </c>
      <c r="F187" s="8" t="s">
        <v>248</v>
      </c>
      <c r="G187" s="8" t="s">
        <v>18</v>
      </c>
      <c r="H187" s="2"/>
      <c r="I187" s="2"/>
      <c r="J187" s="2"/>
      <c r="K187" s="2"/>
      <c r="L187" s="2"/>
    </row>
    <row r="188" spans="1:12" ht="90" customHeight="1" x14ac:dyDescent="0.3">
      <c r="A188" s="9"/>
      <c r="B188" s="9"/>
      <c r="C188" s="9"/>
      <c r="D188" s="9"/>
      <c r="E188" s="9"/>
      <c r="F188" s="9"/>
      <c r="G188" s="9"/>
      <c r="H188" s="2"/>
      <c r="I188" s="2"/>
      <c r="J188" s="2"/>
      <c r="K188" s="2"/>
      <c r="L188" s="2"/>
    </row>
    <row r="189" spans="1:12" ht="90" customHeight="1" x14ac:dyDescent="0.3">
      <c r="A189" s="9"/>
      <c r="B189" s="9"/>
      <c r="C189" s="9"/>
      <c r="D189" s="9"/>
      <c r="E189" s="9"/>
      <c r="F189" s="9"/>
      <c r="G189" s="9"/>
      <c r="H189" s="2"/>
      <c r="I189" s="2"/>
      <c r="J189" s="2"/>
      <c r="K189" s="2"/>
      <c r="L189" s="2"/>
    </row>
    <row r="190" spans="1:12" ht="90" customHeight="1" x14ac:dyDescent="0.3">
      <c r="A190" s="9"/>
      <c r="B190" s="9"/>
      <c r="C190" s="9"/>
      <c r="D190" s="9"/>
      <c r="E190" s="9"/>
      <c r="F190" s="9"/>
      <c r="G190" s="9"/>
      <c r="H190" s="2"/>
      <c r="I190" s="2"/>
      <c r="J190" s="2"/>
      <c r="K190" s="2"/>
      <c r="L190" s="2"/>
    </row>
    <row r="191" spans="1:12" ht="90" customHeight="1" x14ac:dyDescent="0.3">
      <c r="A191" s="9"/>
      <c r="B191" s="9"/>
      <c r="C191" s="9"/>
      <c r="D191" s="9"/>
      <c r="E191" s="9"/>
      <c r="F191" s="9"/>
      <c r="G191" s="9"/>
      <c r="H191" s="2"/>
      <c r="I191" s="2"/>
      <c r="J191" s="2"/>
      <c r="K191" s="2"/>
      <c r="L191" s="2"/>
    </row>
    <row r="192" spans="1:12" ht="90" customHeight="1" x14ac:dyDescent="0.3">
      <c r="A192" s="8" t="s">
        <v>249</v>
      </c>
      <c r="B192" s="8" t="s">
        <v>250</v>
      </c>
      <c r="C192" s="8" t="s">
        <v>251</v>
      </c>
      <c r="D192" s="10" t="s">
        <v>15</v>
      </c>
      <c r="E192" s="10" t="s">
        <v>16</v>
      </c>
      <c r="F192" s="8" t="s">
        <v>252</v>
      </c>
      <c r="G192" s="8" t="s">
        <v>18</v>
      </c>
      <c r="H192" s="2"/>
      <c r="I192" s="2"/>
      <c r="J192" s="2"/>
      <c r="K192" s="2"/>
      <c r="L192" s="2"/>
    </row>
    <row r="193" spans="1:12" ht="90" customHeight="1" x14ac:dyDescent="0.3">
      <c r="A193" s="9"/>
      <c r="B193" s="9"/>
      <c r="C193" s="9"/>
      <c r="D193" s="9"/>
      <c r="E193" s="9"/>
      <c r="F193" s="9"/>
      <c r="G193" s="9"/>
      <c r="H193" s="2"/>
      <c r="I193" s="2"/>
      <c r="J193" s="2"/>
      <c r="K193" s="2"/>
      <c r="L193" s="2"/>
    </row>
    <row r="194" spans="1:12" ht="90" customHeight="1" x14ac:dyDescent="0.3">
      <c r="A194" s="9"/>
      <c r="B194" s="9"/>
      <c r="C194" s="9"/>
      <c r="D194" s="9"/>
      <c r="E194" s="9"/>
      <c r="F194" s="9"/>
      <c r="G194" s="9"/>
      <c r="H194" s="2"/>
      <c r="I194" s="2"/>
      <c r="J194" s="2"/>
      <c r="K194" s="2"/>
      <c r="L194" s="2"/>
    </row>
    <row r="195" spans="1:12" ht="90" customHeight="1" x14ac:dyDescent="0.3">
      <c r="A195" s="9"/>
      <c r="B195" s="9"/>
      <c r="C195" s="9"/>
      <c r="D195" s="9"/>
      <c r="E195" s="9"/>
      <c r="F195" s="9"/>
      <c r="G195" s="9"/>
      <c r="H195" s="2"/>
      <c r="I195" s="2"/>
      <c r="J195" s="2"/>
      <c r="K195" s="2"/>
      <c r="L195" s="2"/>
    </row>
    <row r="196" spans="1:12" ht="90" customHeight="1" x14ac:dyDescent="0.3">
      <c r="A196" s="9"/>
      <c r="B196" s="9"/>
      <c r="C196" s="9"/>
      <c r="D196" s="9"/>
      <c r="E196" s="9"/>
      <c r="F196" s="9"/>
      <c r="G196" s="9"/>
      <c r="H196" s="2"/>
      <c r="I196" s="2"/>
      <c r="J196" s="2"/>
      <c r="K196" s="2"/>
      <c r="L196" s="2"/>
    </row>
    <row r="197" spans="1:12" ht="90" customHeight="1" x14ac:dyDescent="0.3">
      <c r="A197" s="8" t="s">
        <v>253</v>
      </c>
      <c r="B197" s="8" t="s">
        <v>37</v>
      </c>
      <c r="C197" s="8" t="s">
        <v>14</v>
      </c>
      <c r="D197" s="10" t="s">
        <v>15</v>
      </c>
      <c r="E197" s="10" t="s">
        <v>16</v>
      </c>
      <c r="F197" s="8" t="s">
        <v>254</v>
      </c>
      <c r="G197" s="8" t="s">
        <v>18</v>
      </c>
      <c r="H197" s="2"/>
      <c r="I197" s="2"/>
      <c r="J197" s="2"/>
      <c r="K197" s="2"/>
      <c r="L197" s="2"/>
    </row>
    <row r="198" spans="1:12" ht="90" customHeight="1" x14ac:dyDescent="0.3">
      <c r="A198" s="9"/>
      <c r="B198" s="9"/>
      <c r="C198" s="9"/>
      <c r="D198" s="9"/>
      <c r="E198" s="9"/>
      <c r="F198" s="9"/>
      <c r="G198" s="9"/>
      <c r="H198" s="2"/>
      <c r="I198" s="2"/>
      <c r="J198" s="2"/>
      <c r="K198" s="2"/>
      <c r="L198" s="2"/>
    </row>
    <row r="199" spans="1:12" ht="90" customHeight="1" x14ac:dyDescent="0.3">
      <c r="A199" s="9"/>
      <c r="B199" s="9"/>
      <c r="C199" s="9"/>
      <c r="D199" s="9"/>
      <c r="E199" s="9"/>
      <c r="F199" s="9"/>
      <c r="G199" s="9"/>
      <c r="H199" s="2"/>
      <c r="I199" s="2"/>
      <c r="J199" s="2"/>
      <c r="K199" s="2"/>
      <c r="L199" s="2"/>
    </row>
    <row r="200" spans="1:12" ht="90" customHeight="1" x14ac:dyDescent="0.3">
      <c r="A200" s="9"/>
      <c r="B200" s="9"/>
      <c r="C200" s="9"/>
      <c r="D200" s="9"/>
      <c r="E200" s="9"/>
      <c r="F200" s="9"/>
      <c r="G200" s="9"/>
      <c r="H200" s="2"/>
      <c r="I200" s="2"/>
      <c r="J200" s="2"/>
      <c r="K200" s="2"/>
      <c r="L200" s="2"/>
    </row>
    <row r="201" spans="1:12" ht="90" customHeight="1" x14ac:dyDescent="0.3">
      <c r="A201" s="9"/>
      <c r="B201" s="9"/>
      <c r="C201" s="9"/>
      <c r="D201" s="9"/>
      <c r="E201" s="9"/>
      <c r="F201" s="9"/>
      <c r="G201" s="9"/>
      <c r="H201" s="2"/>
      <c r="I201" s="2"/>
      <c r="J201" s="2"/>
      <c r="K201" s="2"/>
      <c r="L201" s="2"/>
    </row>
    <row r="202" spans="1:12" ht="90" customHeight="1" x14ac:dyDescent="0.3">
      <c r="A202" s="8" t="s">
        <v>255</v>
      </c>
      <c r="B202" s="8" t="s">
        <v>256</v>
      </c>
      <c r="C202" s="8" t="s">
        <v>257</v>
      </c>
      <c r="D202" s="10" t="s">
        <v>15</v>
      </c>
      <c r="E202" s="10" t="s">
        <v>16</v>
      </c>
      <c r="F202" s="8" t="s">
        <v>258</v>
      </c>
      <c r="G202" s="8" t="s">
        <v>18</v>
      </c>
      <c r="H202" s="2"/>
      <c r="I202" s="2"/>
      <c r="J202" s="2"/>
      <c r="K202" s="2"/>
      <c r="L202" s="2"/>
    </row>
    <row r="203" spans="1:12" ht="90" customHeight="1" x14ac:dyDescent="0.3">
      <c r="A203" s="9"/>
      <c r="B203" s="9"/>
      <c r="C203" s="9"/>
      <c r="D203" s="9"/>
      <c r="E203" s="9"/>
      <c r="F203" s="9"/>
      <c r="G203" s="9"/>
      <c r="H203" s="2"/>
      <c r="I203" s="2"/>
      <c r="J203" s="2"/>
      <c r="K203" s="2"/>
      <c r="L203" s="2"/>
    </row>
    <row r="204" spans="1:12" ht="90" customHeight="1" x14ac:dyDescent="0.3">
      <c r="A204" s="9"/>
      <c r="B204" s="9"/>
      <c r="C204" s="9"/>
      <c r="D204" s="9"/>
      <c r="E204" s="9"/>
      <c r="F204" s="9"/>
      <c r="G204" s="9"/>
      <c r="H204" s="2"/>
      <c r="I204" s="2"/>
      <c r="J204" s="2"/>
      <c r="K204" s="2"/>
      <c r="L204" s="2"/>
    </row>
    <row r="205" spans="1:12" ht="90" customHeight="1" x14ac:dyDescent="0.3">
      <c r="A205" s="9"/>
      <c r="B205" s="9"/>
      <c r="C205" s="9"/>
      <c r="D205" s="9"/>
      <c r="E205" s="9"/>
      <c r="F205" s="9"/>
      <c r="G205" s="9"/>
      <c r="H205" s="2"/>
      <c r="I205" s="2"/>
      <c r="J205" s="2"/>
      <c r="K205" s="2"/>
      <c r="L205" s="2"/>
    </row>
    <row r="206" spans="1:12" ht="90" customHeight="1" x14ac:dyDescent="0.3">
      <c r="A206" s="9"/>
      <c r="B206" s="9"/>
      <c r="C206" s="9"/>
      <c r="D206" s="9"/>
      <c r="E206" s="9"/>
      <c r="F206" s="9"/>
      <c r="G206" s="9"/>
      <c r="H206" s="2"/>
      <c r="I206" s="2"/>
      <c r="J206" s="2"/>
      <c r="K206" s="2"/>
      <c r="L206" s="2"/>
    </row>
    <row r="207" spans="1:12" ht="90" customHeight="1" x14ac:dyDescent="0.3">
      <c r="A207" s="8" t="s">
        <v>259</v>
      </c>
      <c r="B207" s="8" t="s">
        <v>257</v>
      </c>
      <c r="C207" s="8" t="s">
        <v>257</v>
      </c>
      <c r="D207" s="10" t="s">
        <v>15</v>
      </c>
      <c r="E207" s="10" t="s">
        <v>16</v>
      </c>
      <c r="F207" s="8" t="s">
        <v>260</v>
      </c>
      <c r="G207" s="8" t="s">
        <v>18</v>
      </c>
      <c r="H207" s="2"/>
      <c r="I207" s="2"/>
      <c r="J207" s="2"/>
      <c r="K207" s="2"/>
      <c r="L207" s="2"/>
    </row>
    <row r="208" spans="1:12" ht="90" customHeight="1" x14ac:dyDescent="0.3">
      <c r="A208" s="9"/>
      <c r="B208" s="9"/>
      <c r="C208" s="9"/>
      <c r="D208" s="9"/>
      <c r="E208" s="9"/>
      <c r="F208" s="9"/>
      <c r="G208" s="9"/>
      <c r="H208" s="2"/>
      <c r="I208" s="2"/>
      <c r="J208" s="2"/>
      <c r="K208" s="2"/>
      <c r="L208" s="2"/>
    </row>
    <row r="209" spans="1:12" ht="90" customHeight="1" x14ac:dyDescent="0.3">
      <c r="A209" s="9"/>
      <c r="B209" s="9"/>
      <c r="C209" s="9"/>
      <c r="D209" s="9"/>
      <c r="E209" s="9"/>
      <c r="F209" s="9"/>
      <c r="G209" s="9"/>
      <c r="H209" s="2"/>
      <c r="I209" s="2"/>
      <c r="J209" s="2"/>
      <c r="K209" s="2"/>
      <c r="L209" s="2"/>
    </row>
    <row r="210" spans="1:12" ht="90" customHeight="1" x14ac:dyDescent="0.3">
      <c r="A210" s="9"/>
      <c r="B210" s="9"/>
      <c r="C210" s="9"/>
      <c r="D210" s="9"/>
      <c r="E210" s="9"/>
      <c r="F210" s="9"/>
      <c r="G210" s="9"/>
      <c r="H210" s="2"/>
      <c r="I210" s="2"/>
      <c r="J210" s="2"/>
      <c r="K210" s="2"/>
      <c r="L210" s="2"/>
    </row>
    <row r="211" spans="1:12" ht="90" customHeight="1" x14ac:dyDescent="0.3">
      <c r="A211" s="9"/>
      <c r="B211" s="9"/>
      <c r="C211" s="9"/>
      <c r="D211" s="9"/>
      <c r="E211" s="9"/>
      <c r="F211" s="9"/>
      <c r="G211" s="9"/>
      <c r="H211" s="2"/>
      <c r="I211" s="2"/>
      <c r="J211" s="2"/>
      <c r="K211" s="2"/>
      <c r="L211" s="2"/>
    </row>
    <row r="212" spans="1:12" ht="90" customHeight="1" x14ac:dyDescent="0.3">
      <c r="A212" s="8" t="s">
        <v>261</v>
      </c>
      <c r="B212" s="8" t="s">
        <v>262</v>
      </c>
      <c r="C212" s="8" t="s">
        <v>263</v>
      </c>
      <c r="D212" s="10" t="s">
        <v>15</v>
      </c>
      <c r="E212" s="10" t="s">
        <v>16</v>
      </c>
      <c r="F212" s="8" t="s">
        <v>264</v>
      </c>
      <c r="G212" s="8" t="s">
        <v>18</v>
      </c>
      <c r="H212" s="2"/>
      <c r="I212" s="2"/>
      <c r="J212" s="2"/>
      <c r="K212" s="2"/>
      <c r="L212" s="2"/>
    </row>
    <row r="213" spans="1:12" ht="90" customHeight="1" x14ac:dyDescent="0.3">
      <c r="A213" s="9"/>
      <c r="B213" s="9"/>
      <c r="C213" s="9"/>
      <c r="D213" s="9"/>
      <c r="E213" s="9"/>
      <c r="F213" s="9"/>
      <c r="G213" s="9"/>
      <c r="H213" s="2"/>
      <c r="I213" s="2"/>
      <c r="J213" s="2"/>
      <c r="K213" s="2"/>
      <c r="L213" s="2"/>
    </row>
    <row r="214" spans="1:12" ht="90" customHeight="1" x14ac:dyDescent="0.3">
      <c r="A214" s="9"/>
      <c r="B214" s="9"/>
      <c r="C214" s="9"/>
      <c r="D214" s="9"/>
      <c r="E214" s="9"/>
      <c r="F214" s="9"/>
      <c r="G214" s="9"/>
      <c r="H214" s="2"/>
      <c r="I214" s="2"/>
      <c r="J214" s="2"/>
      <c r="K214" s="2"/>
      <c r="L214" s="2"/>
    </row>
    <row r="215" spans="1:12" ht="90" customHeight="1" x14ac:dyDescent="0.3">
      <c r="A215" s="9"/>
      <c r="B215" s="9"/>
      <c r="C215" s="9"/>
      <c r="D215" s="9"/>
      <c r="E215" s="9"/>
      <c r="F215" s="9"/>
      <c r="G215" s="9"/>
      <c r="H215" s="2"/>
      <c r="I215" s="2"/>
      <c r="J215" s="2"/>
      <c r="K215" s="2"/>
      <c r="L215" s="2"/>
    </row>
    <row r="216" spans="1:12" ht="90" customHeight="1" x14ac:dyDescent="0.3">
      <c r="A216" s="9"/>
      <c r="B216" s="9"/>
      <c r="C216" s="9"/>
      <c r="D216" s="9"/>
      <c r="E216" s="9"/>
      <c r="F216" s="9"/>
      <c r="G216" s="9"/>
      <c r="H216" s="2"/>
      <c r="I216" s="2"/>
      <c r="J216" s="2"/>
      <c r="K216" s="2"/>
      <c r="L216" s="2"/>
    </row>
    <row r="217" spans="1:12" ht="90" customHeight="1" x14ac:dyDescent="0.3">
      <c r="A217" s="8" t="s">
        <v>265</v>
      </c>
      <c r="B217" s="8" t="s">
        <v>266</v>
      </c>
      <c r="C217" s="8" t="s">
        <v>14</v>
      </c>
      <c r="D217" s="10" t="s">
        <v>15</v>
      </c>
      <c r="E217" s="10" t="s">
        <v>16</v>
      </c>
      <c r="F217" s="8" t="s">
        <v>267</v>
      </c>
      <c r="G217" s="8" t="s">
        <v>18</v>
      </c>
      <c r="H217" s="2"/>
      <c r="I217" s="2"/>
      <c r="J217" s="2"/>
      <c r="K217" s="2"/>
      <c r="L217" s="2"/>
    </row>
    <row r="218" spans="1:12" ht="90" customHeight="1" x14ac:dyDescent="0.3">
      <c r="A218" s="9"/>
      <c r="B218" s="9"/>
      <c r="C218" s="9"/>
      <c r="D218" s="9"/>
      <c r="E218" s="9"/>
      <c r="F218" s="9"/>
      <c r="G218" s="9"/>
      <c r="H218" s="2"/>
      <c r="I218" s="2"/>
      <c r="J218" s="2"/>
      <c r="K218" s="2"/>
      <c r="L218" s="2"/>
    </row>
    <row r="219" spans="1:12" ht="90" customHeight="1" x14ac:dyDescent="0.3">
      <c r="A219" s="9"/>
      <c r="B219" s="9"/>
      <c r="C219" s="9"/>
      <c r="D219" s="9"/>
      <c r="E219" s="9"/>
      <c r="F219" s="9"/>
      <c r="G219" s="9"/>
      <c r="H219" s="2"/>
      <c r="I219" s="2"/>
      <c r="J219" s="2"/>
      <c r="K219" s="2"/>
      <c r="L219" s="2"/>
    </row>
    <row r="220" spans="1:12" ht="90" customHeight="1" x14ac:dyDescent="0.3">
      <c r="A220" s="9"/>
      <c r="B220" s="9"/>
      <c r="C220" s="9"/>
      <c r="D220" s="9"/>
      <c r="E220" s="9"/>
      <c r="F220" s="9"/>
      <c r="G220" s="9"/>
      <c r="H220" s="2"/>
      <c r="I220" s="2"/>
      <c r="J220" s="2"/>
      <c r="K220" s="2"/>
      <c r="L220" s="2"/>
    </row>
    <row r="221" spans="1:12" ht="90" customHeight="1" x14ac:dyDescent="0.3">
      <c r="A221" s="9"/>
      <c r="B221" s="9"/>
      <c r="C221" s="9"/>
      <c r="D221" s="9"/>
      <c r="E221" s="9"/>
      <c r="F221" s="9"/>
      <c r="G221" s="9"/>
      <c r="H221" s="2"/>
      <c r="I221" s="2"/>
      <c r="J221" s="2"/>
      <c r="K221" s="2"/>
      <c r="L221" s="2"/>
    </row>
    <row r="222" spans="1:12" ht="90" customHeight="1" x14ac:dyDescent="0.3">
      <c r="A222" s="8" t="s">
        <v>268</v>
      </c>
      <c r="B222" s="8" t="s">
        <v>262</v>
      </c>
      <c r="C222" s="8" t="s">
        <v>14</v>
      </c>
      <c r="D222" s="10" t="s">
        <v>15</v>
      </c>
      <c r="E222" s="10" t="s">
        <v>16</v>
      </c>
      <c r="F222" s="8" t="s">
        <v>269</v>
      </c>
      <c r="G222" s="8" t="s">
        <v>18</v>
      </c>
      <c r="H222" s="2"/>
      <c r="I222" s="2"/>
      <c r="J222" s="2"/>
      <c r="K222" s="2"/>
      <c r="L222" s="2"/>
    </row>
    <row r="223" spans="1:12" ht="90" customHeight="1" x14ac:dyDescent="0.3">
      <c r="A223" s="9"/>
      <c r="B223" s="9"/>
      <c r="C223" s="9"/>
      <c r="D223" s="9"/>
      <c r="E223" s="9"/>
      <c r="F223" s="9"/>
      <c r="G223" s="9"/>
      <c r="H223" s="2"/>
      <c r="I223" s="2"/>
      <c r="J223" s="2"/>
      <c r="K223" s="2"/>
      <c r="L223" s="2"/>
    </row>
    <row r="224" spans="1:12" ht="90" customHeight="1" x14ac:dyDescent="0.3">
      <c r="A224" s="9"/>
      <c r="B224" s="9"/>
      <c r="C224" s="9"/>
      <c r="D224" s="9"/>
      <c r="E224" s="9"/>
      <c r="F224" s="9"/>
      <c r="G224" s="9"/>
      <c r="H224" s="2"/>
      <c r="I224" s="2"/>
      <c r="J224" s="2"/>
      <c r="K224" s="2"/>
      <c r="L224" s="2"/>
    </row>
    <row r="225" spans="1:12" ht="90" customHeight="1" x14ac:dyDescent="0.3">
      <c r="A225" s="9"/>
      <c r="B225" s="9"/>
      <c r="C225" s="9"/>
      <c r="D225" s="9"/>
      <c r="E225" s="9"/>
      <c r="F225" s="9"/>
      <c r="G225" s="9"/>
      <c r="H225" s="2"/>
      <c r="I225" s="2"/>
      <c r="J225" s="2"/>
      <c r="K225" s="2"/>
      <c r="L225" s="2"/>
    </row>
    <row r="226" spans="1:12" ht="90" customHeight="1" x14ac:dyDescent="0.3">
      <c r="A226" s="9"/>
      <c r="B226" s="9"/>
      <c r="C226" s="9"/>
      <c r="D226" s="9"/>
      <c r="E226" s="9"/>
      <c r="F226" s="9"/>
      <c r="G226" s="9"/>
      <c r="H226" s="2"/>
      <c r="I226" s="2"/>
      <c r="J226" s="2"/>
      <c r="K226" s="2"/>
      <c r="L226" s="2"/>
    </row>
    <row r="227" spans="1:12" ht="90" customHeight="1" x14ac:dyDescent="0.3">
      <c r="A227" s="8" t="s">
        <v>270</v>
      </c>
      <c r="B227" s="8" t="s">
        <v>159</v>
      </c>
      <c r="C227" s="8" t="s">
        <v>271</v>
      </c>
      <c r="D227" s="10" t="s">
        <v>15</v>
      </c>
      <c r="E227" s="10" t="s">
        <v>16</v>
      </c>
      <c r="F227" s="8" t="s">
        <v>272</v>
      </c>
      <c r="G227" s="8" t="s">
        <v>18</v>
      </c>
      <c r="H227" s="2"/>
      <c r="I227" s="2"/>
      <c r="J227" s="2"/>
      <c r="K227" s="2"/>
      <c r="L227" s="2"/>
    </row>
    <row r="228" spans="1:12" ht="90" customHeight="1" x14ac:dyDescent="0.3">
      <c r="A228" s="9"/>
      <c r="B228" s="9"/>
      <c r="C228" s="9"/>
      <c r="D228" s="9"/>
      <c r="E228" s="9"/>
      <c r="F228" s="9"/>
      <c r="G228" s="9"/>
      <c r="H228" s="2"/>
      <c r="I228" s="2"/>
      <c r="J228" s="2"/>
      <c r="K228" s="2"/>
      <c r="L228" s="2"/>
    </row>
    <row r="229" spans="1:12" ht="90" customHeight="1" x14ac:dyDescent="0.3">
      <c r="A229" s="9"/>
      <c r="B229" s="9"/>
      <c r="C229" s="9"/>
      <c r="D229" s="9"/>
      <c r="E229" s="9"/>
      <c r="F229" s="9"/>
      <c r="G229" s="9"/>
      <c r="H229" s="2"/>
      <c r="I229" s="2"/>
      <c r="J229" s="2"/>
      <c r="K229" s="2"/>
      <c r="L229" s="2"/>
    </row>
    <row r="230" spans="1:12" ht="90" customHeight="1" x14ac:dyDescent="0.3">
      <c r="A230" s="9"/>
      <c r="B230" s="9"/>
      <c r="C230" s="9"/>
      <c r="D230" s="9"/>
      <c r="E230" s="9"/>
      <c r="F230" s="9"/>
      <c r="G230" s="9"/>
      <c r="H230" s="2"/>
      <c r="I230" s="2"/>
      <c r="J230" s="2"/>
      <c r="K230" s="2"/>
      <c r="L230" s="2"/>
    </row>
    <row r="231" spans="1:12" ht="90" customHeight="1" x14ac:dyDescent="0.3">
      <c r="A231" s="9"/>
      <c r="B231" s="9"/>
      <c r="C231" s="9"/>
      <c r="D231" s="9"/>
      <c r="E231" s="9"/>
      <c r="F231" s="9"/>
      <c r="G231" s="9"/>
      <c r="H231" s="2"/>
      <c r="I231" s="2"/>
      <c r="J231" s="2"/>
      <c r="K231" s="2"/>
      <c r="L231" s="2"/>
    </row>
    <row r="232" spans="1:12" ht="90" customHeight="1" x14ac:dyDescent="0.3">
      <c r="A232" s="8" t="s">
        <v>273</v>
      </c>
      <c r="B232" s="8" t="s">
        <v>34</v>
      </c>
      <c r="C232" s="8" t="s">
        <v>14</v>
      </c>
      <c r="D232" s="10" t="s">
        <v>15</v>
      </c>
      <c r="E232" s="10" t="s">
        <v>16</v>
      </c>
      <c r="F232" s="8" t="s">
        <v>274</v>
      </c>
      <c r="G232" s="8" t="s">
        <v>275</v>
      </c>
      <c r="H232" s="1" t="s">
        <v>276</v>
      </c>
      <c r="I232" s="1">
        <v>0.98521673660929876</v>
      </c>
      <c r="J232" s="1" t="s">
        <v>27</v>
      </c>
      <c r="K232" s="1" t="s">
        <v>277</v>
      </c>
      <c r="L232" s="1">
        <v>43</v>
      </c>
    </row>
    <row r="233" spans="1:12" ht="90" customHeight="1" x14ac:dyDescent="0.3">
      <c r="A233" s="9"/>
      <c r="B233" s="9"/>
      <c r="C233" s="9"/>
      <c r="D233" s="9"/>
      <c r="E233" s="9"/>
      <c r="F233" s="9"/>
      <c r="G233" s="9"/>
      <c r="H233" s="1" t="s">
        <v>278</v>
      </c>
      <c r="I233" s="1">
        <v>0.86128395795822144</v>
      </c>
      <c r="J233" s="1" t="s">
        <v>27</v>
      </c>
      <c r="K233" s="1" t="s">
        <v>279</v>
      </c>
      <c r="L233" s="1">
        <v>10</v>
      </c>
    </row>
    <row r="234" spans="1:12" ht="90" customHeight="1" x14ac:dyDescent="0.3">
      <c r="A234" s="9"/>
      <c r="B234" s="9"/>
      <c r="C234" s="9"/>
      <c r="D234" s="9"/>
      <c r="E234" s="9"/>
      <c r="F234" s="9"/>
      <c r="G234" s="9"/>
      <c r="H234" s="2"/>
      <c r="I234" s="2"/>
      <c r="J234" s="2"/>
      <c r="K234" s="2"/>
      <c r="L234" s="2"/>
    </row>
    <row r="235" spans="1:12" ht="90" customHeight="1" x14ac:dyDescent="0.3">
      <c r="A235" s="9"/>
      <c r="B235" s="9"/>
      <c r="C235" s="9"/>
      <c r="D235" s="9"/>
      <c r="E235" s="9"/>
      <c r="F235" s="9"/>
      <c r="G235" s="9"/>
      <c r="H235" s="2"/>
      <c r="I235" s="2"/>
      <c r="J235" s="2"/>
      <c r="K235" s="2"/>
      <c r="L235" s="2"/>
    </row>
    <row r="236" spans="1:12" ht="90" customHeight="1" x14ac:dyDescent="0.3">
      <c r="A236" s="9"/>
      <c r="B236" s="9"/>
      <c r="C236" s="9"/>
      <c r="D236" s="9"/>
      <c r="E236" s="9"/>
      <c r="F236" s="9"/>
      <c r="G236" s="9"/>
      <c r="H236" s="2"/>
      <c r="I236" s="2"/>
      <c r="J236" s="2"/>
      <c r="K236" s="2"/>
      <c r="L236" s="2"/>
    </row>
    <row r="237" spans="1:12" ht="90" customHeight="1" x14ac:dyDescent="0.3">
      <c r="A237" s="8" t="s">
        <v>280</v>
      </c>
      <c r="B237" s="8" t="s">
        <v>34</v>
      </c>
      <c r="C237" s="8" t="s">
        <v>257</v>
      </c>
      <c r="D237" s="10" t="s">
        <v>15</v>
      </c>
      <c r="E237" s="10" t="s">
        <v>16</v>
      </c>
      <c r="F237" s="8" t="s">
        <v>281</v>
      </c>
      <c r="G237" s="8" t="s">
        <v>18</v>
      </c>
      <c r="H237" s="2"/>
      <c r="I237" s="2"/>
      <c r="J237" s="2"/>
      <c r="K237" s="2"/>
      <c r="L237" s="2"/>
    </row>
    <row r="238" spans="1:12" ht="90" customHeight="1" x14ac:dyDescent="0.3">
      <c r="A238" s="9"/>
      <c r="B238" s="9"/>
      <c r="C238" s="9"/>
      <c r="D238" s="9"/>
      <c r="E238" s="9"/>
      <c r="F238" s="9"/>
      <c r="G238" s="9"/>
      <c r="H238" s="2"/>
      <c r="I238" s="2"/>
      <c r="J238" s="2"/>
      <c r="K238" s="2"/>
      <c r="L238" s="2"/>
    </row>
    <row r="239" spans="1:12" ht="90" customHeight="1" x14ac:dyDescent="0.3">
      <c r="A239" s="9"/>
      <c r="B239" s="9"/>
      <c r="C239" s="9"/>
      <c r="D239" s="9"/>
      <c r="E239" s="9"/>
      <c r="F239" s="9"/>
      <c r="G239" s="9"/>
      <c r="H239" s="2"/>
      <c r="I239" s="2"/>
      <c r="J239" s="2"/>
      <c r="K239" s="2"/>
      <c r="L239" s="2"/>
    </row>
    <row r="240" spans="1:12" ht="90" customHeight="1" x14ac:dyDescent="0.3">
      <c r="A240" s="9"/>
      <c r="B240" s="9"/>
      <c r="C240" s="9"/>
      <c r="D240" s="9"/>
      <c r="E240" s="9"/>
      <c r="F240" s="9"/>
      <c r="G240" s="9"/>
      <c r="H240" s="2"/>
      <c r="I240" s="2"/>
      <c r="J240" s="2"/>
      <c r="K240" s="2"/>
      <c r="L240" s="2"/>
    </row>
    <row r="241" spans="1:12" ht="90" customHeight="1" x14ac:dyDescent="0.3">
      <c r="A241" s="9"/>
      <c r="B241" s="9"/>
      <c r="C241" s="9"/>
      <c r="D241" s="9"/>
      <c r="E241" s="9"/>
      <c r="F241" s="9"/>
      <c r="G241" s="9"/>
      <c r="H241" s="2"/>
      <c r="I241" s="2"/>
      <c r="J241" s="2"/>
      <c r="K241" s="2"/>
      <c r="L241" s="2"/>
    </row>
    <row r="242" spans="1:12" ht="90" customHeight="1" x14ac:dyDescent="0.3">
      <c r="A242" s="8" t="s">
        <v>282</v>
      </c>
      <c r="B242" s="8" t="s">
        <v>283</v>
      </c>
      <c r="C242" s="8" t="s">
        <v>14</v>
      </c>
      <c r="D242" s="10" t="s">
        <v>15</v>
      </c>
      <c r="E242" s="10" t="s">
        <v>16</v>
      </c>
      <c r="F242" s="8" t="s">
        <v>284</v>
      </c>
      <c r="G242" s="8" t="s">
        <v>18</v>
      </c>
      <c r="H242" s="2"/>
      <c r="I242" s="2"/>
      <c r="J242" s="2"/>
      <c r="K242" s="2"/>
      <c r="L242" s="2"/>
    </row>
    <row r="243" spans="1:12" ht="90" customHeight="1" x14ac:dyDescent="0.3">
      <c r="A243" s="9"/>
      <c r="B243" s="9"/>
      <c r="C243" s="9"/>
      <c r="D243" s="9"/>
      <c r="E243" s="9"/>
      <c r="F243" s="9"/>
      <c r="G243" s="9"/>
      <c r="H243" s="2"/>
      <c r="I243" s="2"/>
      <c r="J243" s="2"/>
      <c r="K243" s="2"/>
      <c r="L243" s="2"/>
    </row>
    <row r="244" spans="1:12" ht="90" customHeight="1" x14ac:dyDescent="0.3">
      <c r="A244" s="9"/>
      <c r="B244" s="9"/>
      <c r="C244" s="9"/>
      <c r="D244" s="9"/>
      <c r="E244" s="9"/>
      <c r="F244" s="9"/>
      <c r="G244" s="9"/>
      <c r="H244" s="2"/>
      <c r="I244" s="2"/>
      <c r="J244" s="2"/>
      <c r="K244" s="2"/>
      <c r="L244" s="2"/>
    </row>
    <row r="245" spans="1:12" ht="90" customHeight="1" x14ac:dyDescent="0.3">
      <c r="A245" s="9"/>
      <c r="B245" s="9"/>
      <c r="C245" s="9"/>
      <c r="D245" s="9"/>
      <c r="E245" s="9"/>
      <c r="F245" s="9"/>
      <c r="G245" s="9"/>
      <c r="H245" s="2"/>
      <c r="I245" s="2"/>
      <c r="J245" s="2"/>
      <c r="K245" s="2"/>
      <c r="L245" s="2"/>
    </row>
    <row r="246" spans="1:12" ht="90" customHeight="1" x14ac:dyDescent="0.3">
      <c r="A246" s="9"/>
      <c r="B246" s="9"/>
      <c r="C246" s="9"/>
      <c r="D246" s="9"/>
      <c r="E246" s="9"/>
      <c r="F246" s="9"/>
      <c r="G246" s="9"/>
      <c r="H246" s="2"/>
      <c r="I246" s="2"/>
      <c r="J246" s="2"/>
      <c r="K246" s="2"/>
      <c r="L246" s="2"/>
    </row>
    <row r="247" spans="1:12" ht="90" customHeight="1" x14ac:dyDescent="0.3">
      <c r="A247" s="8" t="s">
        <v>285</v>
      </c>
      <c r="B247" s="8" t="s">
        <v>214</v>
      </c>
      <c r="C247" s="8" t="s">
        <v>286</v>
      </c>
      <c r="D247" s="10" t="s">
        <v>15</v>
      </c>
      <c r="E247" s="10" t="s">
        <v>16</v>
      </c>
      <c r="F247" s="8" t="s">
        <v>287</v>
      </c>
      <c r="G247" s="8" t="s">
        <v>288</v>
      </c>
      <c r="H247" s="4" t="s">
        <v>289</v>
      </c>
      <c r="I247" s="4">
        <v>0.85403573513031006</v>
      </c>
      <c r="J247" s="4" t="s">
        <v>27</v>
      </c>
      <c r="K247" s="4" t="s">
        <v>214</v>
      </c>
      <c r="L247" s="4">
        <v>3</v>
      </c>
    </row>
    <row r="248" spans="1:12" ht="90" customHeight="1" x14ac:dyDescent="0.3">
      <c r="A248" s="9"/>
      <c r="B248" s="9"/>
      <c r="C248" s="9"/>
      <c r="D248" s="9"/>
      <c r="E248" s="9"/>
      <c r="F248" s="9"/>
      <c r="G248" s="9"/>
      <c r="H248" s="4" t="s">
        <v>290</v>
      </c>
      <c r="I248" s="4">
        <v>0.84825092554092407</v>
      </c>
      <c r="J248" s="4" t="s">
        <v>27</v>
      </c>
      <c r="K248" s="4" t="s">
        <v>214</v>
      </c>
      <c r="L248" s="4">
        <v>2</v>
      </c>
    </row>
    <row r="249" spans="1:12" ht="90" customHeight="1" x14ac:dyDescent="0.3">
      <c r="A249" s="9"/>
      <c r="B249" s="9"/>
      <c r="C249" s="9"/>
      <c r="D249" s="9"/>
      <c r="E249" s="9"/>
      <c r="F249" s="9"/>
      <c r="G249" s="9"/>
      <c r="H249" s="2"/>
      <c r="I249" s="2"/>
      <c r="J249" s="2"/>
      <c r="K249" s="2"/>
      <c r="L249" s="2"/>
    </row>
    <row r="250" spans="1:12" ht="90" customHeight="1" x14ac:dyDescent="0.3">
      <c r="A250" s="9"/>
      <c r="B250" s="9"/>
      <c r="C250" s="9"/>
      <c r="D250" s="9"/>
      <c r="E250" s="9"/>
      <c r="F250" s="9"/>
      <c r="G250" s="9"/>
      <c r="H250" s="2"/>
      <c r="I250" s="2"/>
      <c r="J250" s="2"/>
      <c r="K250" s="2"/>
      <c r="L250" s="2"/>
    </row>
    <row r="251" spans="1:12" ht="90" customHeight="1" x14ac:dyDescent="0.3">
      <c r="A251" s="9"/>
      <c r="B251" s="9"/>
      <c r="C251" s="9"/>
      <c r="D251" s="9"/>
      <c r="E251" s="9"/>
      <c r="F251" s="9"/>
      <c r="G251" s="9"/>
      <c r="H251" s="2"/>
      <c r="I251" s="2"/>
      <c r="J251" s="2"/>
      <c r="K251" s="2"/>
      <c r="L251" s="2"/>
    </row>
    <row r="252" spans="1:12" ht="90" customHeight="1" x14ac:dyDescent="0.3">
      <c r="A252" s="8" t="s">
        <v>291</v>
      </c>
      <c r="B252" s="8" t="s">
        <v>20</v>
      </c>
      <c r="C252" s="8" t="s">
        <v>247</v>
      </c>
      <c r="D252" s="10" t="s">
        <v>22</v>
      </c>
      <c r="E252" s="10" t="s">
        <v>23</v>
      </c>
      <c r="F252" s="8" t="s">
        <v>292</v>
      </c>
      <c r="G252" s="8" t="s">
        <v>293</v>
      </c>
      <c r="H252" s="4" t="s">
        <v>26</v>
      </c>
      <c r="I252" s="4">
        <v>0.8593488506147775</v>
      </c>
      <c r="J252" s="4" t="s">
        <v>27</v>
      </c>
      <c r="K252" s="4" t="s">
        <v>20</v>
      </c>
      <c r="L252" s="4">
        <v>3</v>
      </c>
    </row>
    <row r="253" spans="1:12" ht="90" customHeight="1" x14ac:dyDescent="0.3">
      <c r="A253" s="9"/>
      <c r="B253" s="9"/>
      <c r="C253" s="9"/>
      <c r="D253" s="9"/>
      <c r="E253" s="9"/>
      <c r="F253" s="9"/>
      <c r="G253" s="9"/>
      <c r="H253" s="4" t="s">
        <v>28</v>
      </c>
      <c r="I253" s="4">
        <v>0.79614958675249847</v>
      </c>
      <c r="J253" s="4" t="s">
        <v>27</v>
      </c>
      <c r="K253" s="4" t="s">
        <v>20</v>
      </c>
      <c r="L253" s="4">
        <v>1</v>
      </c>
    </row>
    <row r="254" spans="1:12" ht="90" customHeight="1" x14ac:dyDescent="0.3">
      <c r="A254" s="9"/>
      <c r="B254" s="9"/>
      <c r="C254" s="9"/>
      <c r="D254" s="9"/>
      <c r="E254" s="9"/>
      <c r="F254" s="9"/>
      <c r="G254" s="9"/>
      <c r="H254" s="4" t="s">
        <v>29</v>
      </c>
      <c r="I254" s="4">
        <v>0.76790383106444615</v>
      </c>
      <c r="J254" s="4" t="s">
        <v>27</v>
      </c>
      <c r="K254" s="4" t="s">
        <v>20</v>
      </c>
      <c r="L254" s="4">
        <v>2</v>
      </c>
    </row>
    <row r="255" spans="1:12" ht="90" customHeight="1" x14ac:dyDescent="0.3">
      <c r="A255" s="9"/>
      <c r="B255" s="9"/>
      <c r="C255" s="9"/>
      <c r="D255" s="9"/>
      <c r="E255" s="9"/>
      <c r="F255" s="9"/>
      <c r="G255" s="9"/>
      <c r="H255" s="2"/>
      <c r="I255" s="2"/>
      <c r="J255" s="2"/>
      <c r="K255" s="2"/>
      <c r="L255" s="2"/>
    </row>
    <row r="256" spans="1:12" ht="90" customHeight="1" x14ac:dyDescent="0.3">
      <c r="A256" s="9"/>
      <c r="B256" s="9"/>
      <c r="C256" s="9"/>
      <c r="D256" s="9"/>
      <c r="E256" s="9"/>
      <c r="F256" s="9"/>
      <c r="G256" s="9"/>
      <c r="H256" s="2"/>
      <c r="I256" s="2"/>
      <c r="J256" s="2"/>
      <c r="K256" s="2"/>
      <c r="L256" s="2"/>
    </row>
    <row r="257" spans="1:12" ht="90" customHeight="1" x14ac:dyDescent="0.3">
      <c r="A257" s="8" t="s">
        <v>294</v>
      </c>
      <c r="B257" s="8" t="s">
        <v>295</v>
      </c>
      <c r="C257" s="8" t="s">
        <v>14</v>
      </c>
      <c r="D257" s="10" t="s">
        <v>15</v>
      </c>
      <c r="E257" s="10" t="s">
        <v>16</v>
      </c>
      <c r="F257" s="8" t="s">
        <v>296</v>
      </c>
      <c r="G257" s="8" t="s">
        <v>18</v>
      </c>
      <c r="H257" s="2"/>
      <c r="I257" s="2"/>
      <c r="J257" s="2"/>
      <c r="K257" s="2"/>
      <c r="L257" s="2"/>
    </row>
    <row r="258" spans="1:12" ht="90" customHeight="1" x14ac:dyDescent="0.3">
      <c r="A258" s="9"/>
      <c r="B258" s="9"/>
      <c r="C258" s="9"/>
      <c r="D258" s="9"/>
      <c r="E258" s="9"/>
      <c r="F258" s="9"/>
      <c r="G258" s="9"/>
      <c r="H258" s="2"/>
      <c r="I258" s="2"/>
      <c r="J258" s="2"/>
      <c r="K258" s="2"/>
      <c r="L258" s="2"/>
    </row>
    <row r="259" spans="1:12" ht="90" customHeight="1" x14ac:dyDescent="0.3">
      <c r="A259" s="9"/>
      <c r="B259" s="9"/>
      <c r="C259" s="9"/>
      <c r="D259" s="9"/>
      <c r="E259" s="9"/>
      <c r="F259" s="9"/>
      <c r="G259" s="9"/>
      <c r="H259" s="2"/>
      <c r="I259" s="2"/>
      <c r="J259" s="2"/>
      <c r="K259" s="2"/>
      <c r="L259" s="2"/>
    </row>
    <row r="260" spans="1:12" ht="90" customHeight="1" x14ac:dyDescent="0.3">
      <c r="A260" s="9"/>
      <c r="B260" s="9"/>
      <c r="C260" s="9"/>
      <c r="D260" s="9"/>
      <c r="E260" s="9"/>
      <c r="F260" s="9"/>
      <c r="G260" s="9"/>
      <c r="H260" s="2"/>
      <c r="I260" s="2"/>
      <c r="J260" s="2"/>
      <c r="K260" s="2"/>
      <c r="L260" s="2"/>
    </row>
    <row r="261" spans="1:12" ht="90" customHeight="1" x14ac:dyDescent="0.3">
      <c r="A261" s="9"/>
      <c r="B261" s="9"/>
      <c r="C261" s="9"/>
      <c r="D261" s="9"/>
      <c r="E261" s="9"/>
      <c r="F261" s="9"/>
      <c r="G261" s="9"/>
      <c r="H261" s="2"/>
      <c r="I261" s="2"/>
      <c r="J261" s="2"/>
      <c r="K261" s="2"/>
      <c r="L261" s="2"/>
    </row>
    <row r="262" spans="1:12" ht="90" customHeight="1" x14ac:dyDescent="0.3">
      <c r="A262" s="8" t="s">
        <v>297</v>
      </c>
      <c r="B262" s="8" t="s">
        <v>298</v>
      </c>
      <c r="C262" s="8" t="s">
        <v>263</v>
      </c>
      <c r="D262" s="10" t="s">
        <v>15</v>
      </c>
      <c r="E262" s="10" t="s">
        <v>16</v>
      </c>
      <c r="F262" s="8" t="s">
        <v>299</v>
      </c>
      <c r="G262" s="8" t="s">
        <v>300</v>
      </c>
      <c r="H262" s="1" t="s">
        <v>301</v>
      </c>
      <c r="I262" s="1">
        <v>0.92618471384048462</v>
      </c>
      <c r="J262" s="1" t="s">
        <v>27</v>
      </c>
      <c r="K262" s="1" t="s">
        <v>302</v>
      </c>
      <c r="L262" s="1">
        <v>40</v>
      </c>
    </row>
    <row r="263" spans="1:12" ht="90" customHeight="1" x14ac:dyDescent="0.3">
      <c r="A263" s="9"/>
      <c r="B263" s="9"/>
      <c r="C263" s="9"/>
      <c r="D263" s="9"/>
      <c r="E263" s="9"/>
      <c r="F263" s="9"/>
      <c r="G263" s="9"/>
      <c r="H263" s="2"/>
      <c r="I263" s="2"/>
      <c r="J263" s="2"/>
      <c r="K263" s="2"/>
      <c r="L263" s="2"/>
    </row>
    <row r="264" spans="1:12" ht="90" customHeight="1" x14ac:dyDescent="0.3">
      <c r="A264" s="9"/>
      <c r="B264" s="9"/>
      <c r="C264" s="9"/>
      <c r="D264" s="9"/>
      <c r="E264" s="9"/>
      <c r="F264" s="9"/>
      <c r="G264" s="9"/>
      <c r="H264" s="2"/>
      <c r="I264" s="2"/>
      <c r="J264" s="2"/>
      <c r="K264" s="2"/>
      <c r="L264" s="2"/>
    </row>
    <row r="265" spans="1:12" ht="90" customHeight="1" x14ac:dyDescent="0.3">
      <c r="A265" s="9"/>
      <c r="B265" s="9"/>
      <c r="C265" s="9"/>
      <c r="D265" s="9"/>
      <c r="E265" s="9"/>
      <c r="F265" s="9"/>
      <c r="G265" s="9"/>
      <c r="H265" s="2"/>
      <c r="I265" s="2"/>
      <c r="J265" s="2"/>
      <c r="K265" s="2"/>
      <c r="L265" s="2"/>
    </row>
    <row r="266" spans="1:12" ht="90" customHeight="1" x14ac:dyDescent="0.3">
      <c r="A266" s="9"/>
      <c r="B266" s="9"/>
      <c r="C266" s="9"/>
      <c r="D266" s="9"/>
      <c r="E266" s="9"/>
      <c r="F266" s="9"/>
      <c r="G266" s="9"/>
      <c r="H266" s="2"/>
      <c r="I266" s="2"/>
      <c r="J266" s="2"/>
      <c r="K266" s="2"/>
      <c r="L266" s="2"/>
    </row>
    <row r="267" spans="1:12" ht="90" customHeight="1" x14ac:dyDescent="0.3">
      <c r="A267" s="8" t="s">
        <v>303</v>
      </c>
      <c r="B267" s="8" t="s">
        <v>304</v>
      </c>
      <c r="C267" s="8" t="s">
        <v>305</v>
      </c>
      <c r="D267" s="10" t="s">
        <v>15</v>
      </c>
      <c r="E267" s="10" t="s">
        <v>16</v>
      </c>
      <c r="F267" s="8" t="s">
        <v>306</v>
      </c>
      <c r="G267" s="8" t="s">
        <v>18</v>
      </c>
      <c r="H267" s="2"/>
      <c r="I267" s="2"/>
      <c r="J267" s="2"/>
      <c r="K267" s="2"/>
      <c r="L267" s="2"/>
    </row>
    <row r="268" spans="1:12" ht="90" customHeight="1" x14ac:dyDescent="0.3">
      <c r="A268" s="9"/>
      <c r="B268" s="9"/>
      <c r="C268" s="9"/>
      <c r="D268" s="9"/>
      <c r="E268" s="9"/>
      <c r="F268" s="9"/>
      <c r="G268" s="9"/>
      <c r="H268" s="2"/>
      <c r="I268" s="2"/>
      <c r="J268" s="2"/>
      <c r="K268" s="2"/>
      <c r="L268" s="2"/>
    </row>
    <row r="269" spans="1:12" ht="90" customHeight="1" x14ac:dyDescent="0.3">
      <c r="A269" s="9"/>
      <c r="B269" s="9"/>
      <c r="C269" s="9"/>
      <c r="D269" s="9"/>
      <c r="E269" s="9"/>
      <c r="F269" s="9"/>
      <c r="G269" s="9"/>
      <c r="H269" s="2"/>
      <c r="I269" s="2"/>
      <c r="J269" s="2"/>
      <c r="K269" s="2"/>
      <c r="L269" s="2"/>
    </row>
    <row r="270" spans="1:12" ht="90" customHeight="1" x14ac:dyDescent="0.3">
      <c r="A270" s="9"/>
      <c r="B270" s="9"/>
      <c r="C270" s="9"/>
      <c r="D270" s="9"/>
      <c r="E270" s="9"/>
      <c r="F270" s="9"/>
      <c r="G270" s="9"/>
      <c r="H270" s="2"/>
      <c r="I270" s="2"/>
      <c r="J270" s="2"/>
      <c r="K270" s="2"/>
      <c r="L270" s="2"/>
    </row>
    <row r="271" spans="1:12" ht="90" customHeight="1" x14ac:dyDescent="0.3">
      <c r="A271" s="9"/>
      <c r="B271" s="9"/>
      <c r="C271" s="9"/>
      <c r="D271" s="9"/>
      <c r="E271" s="9"/>
      <c r="F271" s="9"/>
      <c r="G271" s="9"/>
      <c r="H271" s="2"/>
      <c r="I271" s="2"/>
      <c r="J271" s="2"/>
      <c r="K271" s="2"/>
      <c r="L271" s="2"/>
    </row>
    <row r="272" spans="1:12" ht="90" customHeight="1" x14ac:dyDescent="0.3">
      <c r="A272" s="8" t="s">
        <v>307</v>
      </c>
      <c r="B272" s="8" t="s">
        <v>308</v>
      </c>
      <c r="C272" s="8" t="s">
        <v>309</v>
      </c>
      <c r="D272" s="10" t="s">
        <v>15</v>
      </c>
      <c r="E272" s="10" t="s">
        <v>16</v>
      </c>
      <c r="F272" s="8" t="s">
        <v>310</v>
      </c>
      <c r="G272" s="8" t="s">
        <v>311</v>
      </c>
      <c r="H272" s="4" t="s">
        <v>312</v>
      </c>
      <c r="I272" s="4">
        <v>0.94074606895443535</v>
      </c>
      <c r="J272" s="4" t="s">
        <v>27</v>
      </c>
      <c r="K272" s="4" t="s">
        <v>45</v>
      </c>
      <c r="L272" s="4">
        <v>2</v>
      </c>
    </row>
    <row r="273" spans="1:12" ht="90" customHeight="1" x14ac:dyDescent="0.3">
      <c r="A273" s="9"/>
      <c r="B273" s="9"/>
      <c r="C273" s="9"/>
      <c r="D273" s="9"/>
      <c r="E273" s="9"/>
      <c r="F273" s="9"/>
      <c r="G273" s="9"/>
      <c r="H273" s="2"/>
      <c r="I273" s="2"/>
      <c r="J273" s="2"/>
      <c r="K273" s="2"/>
      <c r="L273" s="2"/>
    </row>
    <row r="274" spans="1:12" ht="90" customHeight="1" x14ac:dyDescent="0.3">
      <c r="A274" s="9"/>
      <c r="B274" s="9"/>
      <c r="C274" s="9"/>
      <c r="D274" s="9"/>
      <c r="E274" s="9"/>
      <c r="F274" s="9"/>
      <c r="G274" s="9"/>
      <c r="H274" s="2"/>
      <c r="I274" s="2"/>
      <c r="J274" s="2"/>
      <c r="K274" s="2"/>
      <c r="L274" s="2"/>
    </row>
    <row r="275" spans="1:12" ht="90" customHeight="1" x14ac:dyDescent="0.3">
      <c r="A275" s="9"/>
      <c r="B275" s="9"/>
      <c r="C275" s="9"/>
      <c r="D275" s="9"/>
      <c r="E275" s="9"/>
      <c r="F275" s="9"/>
      <c r="G275" s="9"/>
      <c r="H275" s="2"/>
      <c r="I275" s="2"/>
      <c r="J275" s="2"/>
      <c r="K275" s="2"/>
      <c r="L275" s="2"/>
    </row>
    <row r="276" spans="1:12" ht="90" customHeight="1" x14ac:dyDescent="0.3">
      <c r="A276" s="9"/>
      <c r="B276" s="9"/>
      <c r="C276" s="9"/>
      <c r="D276" s="9"/>
      <c r="E276" s="9"/>
      <c r="F276" s="9"/>
      <c r="G276" s="9"/>
      <c r="H276" s="2"/>
      <c r="I276" s="2"/>
      <c r="J276" s="2"/>
      <c r="K276" s="2"/>
      <c r="L276" s="2"/>
    </row>
    <row r="277" spans="1:12" ht="90" customHeight="1" x14ac:dyDescent="0.3">
      <c r="A277" s="8" t="s">
        <v>313</v>
      </c>
      <c r="B277" s="8" t="s">
        <v>250</v>
      </c>
      <c r="C277" s="8" t="s">
        <v>314</v>
      </c>
      <c r="D277" s="10" t="s">
        <v>15</v>
      </c>
      <c r="E277" s="10" t="s">
        <v>16</v>
      </c>
      <c r="F277" s="8" t="s">
        <v>315</v>
      </c>
      <c r="G277" s="8" t="s">
        <v>18</v>
      </c>
      <c r="H277" s="2"/>
      <c r="I277" s="2"/>
      <c r="J277" s="2"/>
      <c r="K277" s="2"/>
      <c r="L277" s="2"/>
    </row>
    <row r="278" spans="1:12" ht="90" customHeight="1" x14ac:dyDescent="0.3">
      <c r="A278" s="9"/>
      <c r="B278" s="9"/>
      <c r="C278" s="9"/>
      <c r="D278" s="9"/>
      <c r="E278" s="9"/>
      <c r="F278" s="9"/>
      <c r="G278" s="9"/>
      <c r="H278" s="2"/>
      <c r="I278" s="2"/>
      <c r="J278" s="2"/>
      <c r="K278" s="2"/>
      <c r="L278" s="2"/>
    </row>
    <row r="279" spans="1:12" ht="90" customHeight="1" x14ac:dyDescent="0.3">
      <c r="A279" s="9"/>
      <c r="B279" s="9"/>
      <c r="C279" s="9"/>
      <c r="D279" s="9"/>
      <c r="E279" s="9"/>
      <c r="F279" s="9"/>
      <c r="G279" s="9"/>
      <c r="H279" s="2"/>
      <c r="I279" s="2"/>
      <c r="J279" s="2"/>
      <c r="K279" s="2"/>
      <c r="L279" s="2"/>
    </row>
    <row r="280" spans="1:12" ht="90" customHeight="1" x14ac:dyDescent="0.3">
      <c r="A280" s="9"/>
      <c r="B280" s="9"/>
      <c r="C280" s="9"/>
      <c r="D280" s="9"/>
      <c r="E280" s="9"/>
      <c r="F280" s="9"/>
      <c r="G280" s="9"/>
      <c r="H280" s="2"/>
      <c r="I280" s="2"/>
      <c r="J280" s="2"/>
      <c r="K280" s="2"/>
      <c r="L280" s="2"/>
    </row>
    <row r="281" spans="1:12" ht="90" customHeight="1" x14ac:dyDescent="0.3">
      <c r="A281" s="9"/>
      <c r="B281" s="9"/>
      <c r="C281" s="9"/>
      <c r="D281" s="9"/>
      <c r="E281" s="9"/>
      <c r="F281" s="9"/>
      <c r="G281" s="9"/>
      <c r="H281" s="2"/>
      <c r="I281" s="2"/>
      <c r="J281" s="2"/>
      <c r="K281" s="2"/>
      <c r="L281" s="2"/>
    </row>
    <row r="282" spans="1:12" ht="90" customHeight="1" x14ac:dyDescent="0.3">
      <c r="A282" s="8" t="s">
        <v>316</v>
      </c>
      <c r="B282" s="8" t="s">
        <v>317</v>
      </c>
      <c r="C282" s="8" t="s">
        <v>318</v>
      </c>
      <c r="D282" s="10" t="s">
        <v>15</v>
      </c>
      <c r="E282" s="10" t="s">
        <v>16</v>
      </c>
      <c r="F282" s="8" t="s">
        <v>319</v>
      </c>
      <c r="G282" s="8" t="s">
        <v>18</v>
      </c>
      <c r="H282" s="2"/>
      <c r="I282" s="2"/>
      <c r="J282" s="2"/>
      <c r="K282" s="2"/>
      <c r="L282" s="2"/>
    </row>
    <row r="283" spans="1:12" ht="90" customHeight="1" x14ac:dyDescent="0.3">
      <c r="A283" s="9"/>
      <c r="B283" s="9"/>
      <c r="C283" s="9"/>
      <c r="D283" s="9"/>
      <c r="E283" s="9"/>
      <c r="F283" s="9"/>
      <c r="G283" s="9"/>
      <c r="H283" s="2"/>
      <c r="I283" s="2"/>
      <c r="J283" s="2"/>
      <c r="K283" s="2"/>
      <c r="L283" s="2"/>
    </row>
    <row r="284" spans="1:12" ht="90" customHeight="1" x14ac:dyDescent="0.3">
      <c r="A284" s="9"/>
      <c r="B284" s="9"/>
      <c r="C284" s="9"/>
      <c r="D284" s="9"/>
      <c r="E284" s="9"/>
      <c r="F284" s="9"/>
      <c r="G284" s="9"/>
      <c r="H284" s="2"/>
      <c r="I284" s="2"/>
      <c r="J284" s="2"/>
      <c r="K284" s="2"/>
      <c r="L284" s="2"/>
    </row>
    <row r="285" spans="1:12" ht="90" customHeight="1" x14ac:dyDescent="0.3">
      <c r="A285" s="9"/>
      <c r="B285" s="9"/>
      <c r="C285" s="9"/>
      <c r="D285" s="9"/>
      <c r="E285" s="9"/>
      <c r="F285" s="9"/>
      <c r="G285" s="9"/>
      <c r="H285" s="2"/>
      <c r="I285" s="2"/>
      <c r="J285" s="2"/>
      <c r="K285" s="2"/>
      <c r="L285" s="2"/>
    </row>
    <row r="286" spans="1:12" ht="90" customHeight="1" x14ac:dyDescent="0.3">
      <c r="A286" s="9"/>
      <c r="B286" s="9"/>
      <c r="C286" s="9"/>
      <c r="D286" s="9"/>
      <c r="E286" s="9"/>
      <c r="F286" s="9"/>
      <c r="G286" s="9"/>
      <c r="H286" s="2"/>
      <c r="I286" s="2"/>
      <c r="J286" s="2"/>
      <c r="K286" s="2"/>
      <c r="L286" s="2"/>
    </row>
    <row r="287" spans="1:12" ht="90" customHeight="1" x14ac:dyDescent="0.3">
      <c r="A287" s="8" t="s">
        <v>320</v>
      </c>
      <c r="B287" s="8" t="s">
        <v>34</v>
      </c>
      <c r="C287" s="8" t="s">
        <v>257</v>
      </c>
      <c r="D287" s="10" t="s">
        <v>15</v>
      </c>
      <c r="E287" s="10" t="s">
        <v>16</v>
      </c>
      <c r="F287" s="8" t="s">
        <v>321</v>
      </c>
      <c r="G287" s="8" t="s">
        <v>18</v>
      </c>
      <c r="H287" s="2"/>
      <c r="I287" s="2"/>
      <c r="J287" s="2"/>
      <c r="K287" s="2"/>
      <c r="L287" s="2"/>
    </row>
    <row r="288" spans="1:12" ht="90" customHeight="1" x14ac:dyDescent="0.3">
      <c r="A288" s="9"/>
      <c r="B288" s="9"/>
      <c r="C288" s="9"/>
      <c r="D288" s="9"/>
      <c r="E288" s="9"/>
      <c r="F288" s="9"/>
      <c r="G288" s="9"/>
      <c r="H288" s="2"/>
      <c r="I288" s="2"/>
      <c r="J288" s="2"/>
      <c r="K288" s="2"/>
      <c r="L288" s="2"/>
    </row>
    <row r="289" spans="1:12" ht="90" customHeight="1" x14ac:dyDescent="0.3">
      <c r="A289" s="9"/>
      <c r="B289" s="9"/>
      <c r="C289" s="9"/>
      <c r="D289" s="9"/>
      <c r="E289" s="9"/>
      <c r="F289" s="9"/>
      <c r="G289" s="9"/>
      <c r="H289" s="2"/>
      <c r="I289" s="2"/>
      <c r="J289" s="2"/>
      <c r="K289" s="2"/>
      <c r="L289" s="2"/>
    </row>
    <row r="290" spans="1:12" ht="90" customHeight="1" x14ac:dyDescent="0.3">
      <c r="A290" s="9"/>
      <c r="B290" s="9"/>
      <c r="C290" s="9"/>
      <c r="D290" s="9"/>
      <c r="E290" s="9"/>
      <c r="F290" s="9"/>
      <c r="G290" s="9"/>
      <c r="H290" s="2"/>
      <c r="I290" s="2"/>
      <c r="J290" s="2"/>
      <c r="K290" s="2"/>
      <c r="L290" s="2"/>
    </row>
    <row r="291" spans="1:12" ht="90" customHeight="1" x14ac:dyDescent="0.3">
      <c r="A291" s="9"/>
      <c r="B291" s="9"/>
      <c r="C291" s="9"/>
      <c r="D291" s="9"/>
      <c r="E291" s="9"/>
      <c r="F291" s="9"/>
      <c r="G291" s="9"/>
      <c r="H291" s="2"/>
      <c r="I291" s="2"/>
      <c r="J291" s="2"/>
      <c r="K291" s="2"/>
      <c r="L291" s="2"/>
    </row>
    <row r="292" spans="1:12" ht="90" customHeight="1" x14ac:dyDescent="0.3">
      <c r="A292" s="8" t="s">
        <v>322</v>
      </c>
      <c r="B292" s="8" t="s">
        <v>34</v>
      </c>
      <c r="C292" s="8" t="s">
        <v>257</v>
      </c>
      <c r="D292" s="10" t="s">
        <v>15</v>
      </c>
      <c r="E292" s="10" t="s">
        <v>16</v>
      </c>
      <c r="F292" s="8" t="s">
        <v>323</v>
      </c>
      <c r="G292" s="8" t="s">
        <v>18</v>
      </c>
      <c r="H292" s="2"/>
      <c r="I292" s="2"/>
      <c r="J292" s="2"/>
      <c r="K292" s="2"/>
      <c r="L292" s="2"/>
    </row>
    <row r="293" spans="1:12" ht="90" customHeight="1" x14ac:dyDescent="0.3">
      <c r="A293" s="9"/>
      <c r="B293" s="9"/>
      <c r="C293" s="9"/>
      <c r="D293" s="9"/>
      <c r="E293" s="9"/>
      <c r="F293" s="9"/>
      <c r="G293" s="9"/>
      <c r="H293" s="2"/>
      <c r="I293" s="2"/>
      <c r="J293" s="2"/>
      <c r="K293" s="2"/>
      <c r="L293" s="2"/>
    </row>
    <row r="294" spans="1:12" ht="90" customHeight="1" x14ac:dyDescent="0.3">
      <c r="A294" s="9"/>
      <c r="B294" s="9"/>
      <c r="C294" s="9"/>
      <c r="D294" s="9"/>
      <c r="E294" s="9"/>
      <c r="F294" s="9"/>
      <c r="G294" s="9"/>
      <c r="H294" s="2"/>
      <c r="I294" s="2"/>
      <c r="J294" s="2"/>
      <c r="K294" s="2"/>
      <c r="L294" s="2"/>
    </row>
    <row r="295" spans="1:12" ht="90" customHeight="1" x14ac:dyDescent="0.3">
      <c r="A295" s="9"/>
      <c r="B295" s="9"/>
      <c r="C295" s="9"/>
      <c r="D295" s="9"/>
      <c r="E295" s="9"/>
      <c r="F295" s="9"/>
      <c r="G295" s="9"/>
      <c r="H295" s="2"/>
      <c r="I295" s="2"/>
      <c r="J295" s="2"/>
      <c r="K295" s="2"/>
      <c r="L295" s="2"/>
    </row>
    <row r="296" spans="1:12" ht="90" customHeight="1" x14ac:dyDescent="0.3">
      <c r="A296" s="9"/>
      <c r="B296" s="9"/>
      <c r="C296" s="9"/>
      <c r="D296" s="9"/>
      <c r="E296" s="9"/>
      <c r="F296" s="9"/>
      <c r="G296" s="9"/>
      <c r="H296" s="2"/>
      <c r="I296" s="2"/>
      <c r="J296" s="2"/>
      <c r="K296" s="2"/>
      <c r="L296" s="2"/>
    </row>
    <row r="297" spans="1:12" ht="90" customHeight="1" x14ac:dyDescent="0.3">
      <c r="A297" s="8" t="s">
        <v>324</v>
      </c>
      <c r="B297" s="8" t="s">
        <v>34</v>
      </c>
      <c r="C297" s="8" t="s">
        <v>257</v>
      </c>
      <c r="D297" s="10" t="s">
        <v>15</v>
      </c>
      <c r="E297" s="10" t="s">
        <v>16</v>
      </c>
      <c r="F297" s="8" t="s">
        <v>325</v>
      </c>
      <c r="G297" s="8" t="s">
        <v>18</v>
      </c>
      <c r="H297" s="2"/>
      <c r="I297" s="2"/>
      <c r="J297" s="2"/>
      <c r="K297" s="2"/>
      <c r="L297" s="2"/>
    </row>
    <row r="298" spans="1:12" ht="90" customHeight="1" x14ac:dyDescent="0.3">
      <c r="A298" s="9"/>
      <c r="B298" s="9"/>
      <c r="C298" s="9"/>
      <c r="D298" s="9"/>
      <c r="E298" s="9"/>
      <c r="F298" s="9"/>
      <c r="G298" s="9"/>
      <c r="H298" s="2"/>
      <c r="I298" s="2"/>
      <c r="J298" s="2"/>
      <c r="K298" s="2"/>
      <c r="L298" s="2"/>
    </row>
    <row r="299" spans="1:12" ht="90" customHeight="1" x14ac:dyDescent="0.3">
      <c r="A299" s="9"/>
      <c r="B299" s="9"/>
      <c r="C299" s="9"/>
      <c r="D299" s="9"/>
      <c r="E299" s="9"/>
      <c r="F299" s="9"/>
      <c r="G299" s="9"/>
      <c r="H299" s="2"/>
      <c r="I299" s="2"/>
      <c r="J299" s="2"/>
      <c r="K299" s="2"/>
      <c r="L299" s="2"/>
    </row>
    <row r="300" spans="1:12" ht="90" customHeight="1" x14ac:dyDescent="0.3">
      <c r="A300" s="9"/>
      <c r="B300" s="9"/>
      <c r="C300" s="9"/>
      <c r="D300" s="9"/>
      <c r="E300" s="9"/>
      <c r="F300" s="9"/>
      <c r="G300" s="9"/>
      <c r="H300" s="2"/>
      <c r="I300" s="2"/>
      <c r="J300" s="2"/>
      <c r="K300" s="2"/>
      <c r="L300" s="2"/>
    </row>
    <row r="301" spans="1:12" ht="90" customHeight="1" x14ac:dyDescent="0.3">
      <c r="A301" s="9"/>
      <c r="B301" s="9"/>
      <c r="C301" s="9"/>
      <c r="D301" s="9"/>
      <c r="E301" s="9"/>
      <c r="F301" s="9"/>
      <c r="G301" s="9"/>
      <c r="H301" s="2"/>
      <c r="I301" s="2"/>
      <c r="J301" s="2"/>
      <c r="K301" s="2"/>
      <c r="L301" s="2"/>
    </row>
    <row r="302" spans="1:12" ht="90" customHeight="1" x14ac:dyDescent="0.3">
      <c r="A302" s="8" t="s">
        <v>326</v>
      </c>
      <c r="B302" s="8" t="s">
        <v>327</v>
      </c>
      <c r="C302" s="8" t="s">
        <v>14</v>
      </c>
      <c r="D302" s="10" t="s">
        <v>15</v>
      </c>
      <c r="E302" s="10" t="s">
        <v>16</v>
      </c>
      <c r="F302" s="8" t="s">
        <v>328</v>
      </c>
      <c r="G302" s="8" t="s">
        <v>18</v>
      </c>
      <c r="H302" s="2"/>
      <c r="I302" s="2"/>
      <c r="J302" s="2"/>
      <c r="K302" s="2"/>
      <c r="L302" s="2"/>
    </row>
    <row r="303" spans="1:12" ht="90" customHeight="1" x14ac:dyDescent="0.3">
      <c r="A303" s="9"/>
      <c r="B303" s="9"/>
      <c r="C303" s="9"/>
      <c r="D303" s="9"/>
      <c r="E303" s="9"/>
      <c r="F303" s="9"/>
      <c r="G303" s="9"/>
      <c r="H303" s="2"/>
      <c r="I303" s="2"/>
      <c r="J303" s="2"/>
      <c r="K303" s="2"/>
      <c r="L303" s="2"/>
    </row>
    <row r="304" spans="1:12" ht="90" customHeight="1" x14ac:dyDescent="0.3">
      <c r="A304" s="9"/>
      <c r="B304" s="9"/>
      <c r="C304" s="9"/>
      <c r="D304" s="9"/>
      <c r="E304" s="9"/>
      <c r="F304" s="9"/>
      <c r="G304" s="9"/>
      <c r="H304" s="2"/>
      <c r="I304" s="2"/>
      <c r="J304" s="2"/>
      <c r="K304" s="2"/>
      <c r="L304" s="2"/>
    </row>
    <row r="305" spans="1:12" ht="90" customHeight="1" x14ac:dyDescent="0.3">
      <c r="A305" s="9"/>
      <c r="B305" s="9"/>
      <c r="C305" s="9"/>
      <c r="D305" s="9"/>
      <c r="E305" s="9"/>
      <c r="F305" s="9"/>
      <c r="G305" s="9"/>
      <c r="H305" s="2"/>
      <c r="I305" s="2"/>
      <c r="J305" s="2"/>
      <c r="K305" s="2"/>
      <c r="L305" s="2"/>
    </row>
    <row r="306" spans="1:12" ht="90" customHeight="1" x14ac:dyDescent="0.3">
      <c r="A306" s="9"/>
      <c r="B306" s="9"/>
      <c r="C306" s="9"/>
      <c r="D306" s="9"/>
      <c r="E306" s="9"/>
      <c r="F306" s="9"/>
      <c r="G306" s="9"/>
      <c r="H306" s="2"/>
      <c r="I306" s="2"/>
      <c r="J306" s="2"/>
      <c r="K306" s="2"/>
      <c r="L306" s="2"/>
    </row>
    <row r="307" spans="1:12" ht="90" customHeight="1" x14ac:dyDescent="0.3">
      <c r="A307" s="8" t="s">
        <v>329</v>
      </c>
      <c r="B307" s="8" t="s">
        <v>330</v>
      </c>
      <c r="C307" s="8" t="s">
        <v>331</v>
      </c>
      <c r="D307" s="10" t="s">
        <v>15</v>
      </c>
      <c r="E307" s="10" t="s">
        <v>16</v>
      </c>
      <c r="F307" s="8" t="s">
        <v>332</v>
      </c>
      <c r="G307" s="8" t="s">
        <v>18</v>
      </c>
      <c r="H307" s="2"/>
      <c r="I307" s="2"/>
      <c r="J307" s="2"/>
      <c r="K307" s="2"/>
      <c r="L307" s="2"/>
    </row>
    <row r="308" spans="1:12" ht="90" customHeight="1" x14ac:dyDescent="0.3">
      <c r="A308" s="9"/>
      <c r="B308" s="9"/>
      <c r="C308" s="9"/>
      <c r="D308" s="9"/>
      <c r="E308" s="9"/>
      <c r="F308" s="9"/>
      <c r="G308" s="9"/>
      <c r="H308" s="2"/>
      <c r="I308" s="2"/>
      <c r="J308" s="2"/>
      <c r="K308" s="2"/>
      <c r="L308" s="2"/>
    </row>
    <row r="309" spans="1:12" ht="90" customHeight="1" x14ac:dyDescent="0.3">
      <c r="A309" s="9"/>
      <c r="B309" s="9"/>
      <c r="C309" s="9"/>
      <c r="D309" s="9"/>
      <c r="E309" s="9"/>
      <c r="F309" s="9"/>
      <c r="G309" s="9"/>
      <c r="H309" s="2"/>
      <c r="I309" s="2"/>
      <c r="J309" s="2"/>
      <c r="K309" s="2"/>
      <c r="L309" s="2"/>
    </row>
    <row r="310" spans="1:12" ht="90" customHeight="1" x14ac:dyDescent="0.3">
      <c r="A310" s="9"/>
      <c r="B310" s="9"/>
      <c r="C310" s="9"/>
      <c r="D310" s="9"/>
      <c r="E310" s="9"/>
      <c r="F310" s="9"/>
      <c r="G310" s="9"/>
      <c r="H310" s="2"/>
      <c r="I310" s="2"/>
      <c r="J310" s="2"/>
      <c r="K310" s="2"/>
      <c r="L310" s="2"/>
    </row>
    <row r="311" spans="1:12" ht="90" customHeight="1" x14ac:dyDescent="0.3">
      <c r="A311" s="9"/>
      <c r="B311" s="9"/>
      <c r="C311" s="9"/>
      <c r="D311" s="9"/>
      <c r="E311" s="9"/>
      <c r="F311" s="9"/>
      <c r="G311" s="9"/>
      <c r="H311" s="2"/>
      <c r="I311" s="2"/>
      <c r="J311" s="2"/>
      <c r="K311" s="2"/>
      <c r="L311" s="2"/>
    </row>
    <row r="312" spans="1:12" ht="90" customHeight="1" x14ac:dyDescent="0.3">
      <c r="A312" s="8" t="s">
        <v>333</v>
      </c>
      <c r="B312" s="8" t="s">
        <v>214</v>
      </c>
      <c r="C312" s="8" t="s">
        <v>57</v>
      </c>
      <c r="D312" s="10" t="s">
        <v>15</v>
      </c>
      <c r="E312" s="10" t="s">
        <v>16</v>
      </c>
      <c r="F312" s="8" t="s">
        <v>334</v>
      </c>
      <c r="G312" s="8" t="s">
        <v>18</v>
      </c>
      <c r="H312" s="2"/>
      <c r="I312" s="2"/>
      <c r="J312" s="2"/>
      <c r="K312" s="2"/>
      <c r="L312" s="2"/>
    </row>
    <row r="313" spans="1:12" ht="90" customHeight="1" x14ac:dyDescent="0.3">
      <c r="A313" s="9"/>
      <c r="B313" s="9"/>
      <c r="C313" s="9"/>
      <c r="D313" s="9"/>
      <c r="E313" s="9"/>
      <c r="F313" s="9"/>
      <c r="G313" s="9"/>
      <c r="H313" s="2"/>
      <c r="I313" s="2"/>
      <c r="J313" s="2"/>
      <c r="K313" s="2"/>
      <c r="L313" s="2"/>
    </row>
    <row r="314" spans="1:12" ht="90" customHeight="1" x14ac:dyDescent="0.3">
      <c r="A314" s="9"/>
      <c r="B314" s="9"/>
      <c r="C314" s="9"/>
      <c r="D314" s="9"/>
      <c r="E314" s="9"/>
      <c r="F314" s="9"/>
      <c r="G314" s="9"/>
      <c r="H314" s="2"/>
      <c r="I314" s="2"/>
      <c r="J314" s="2"/>
      <c r="K314" s="2"/>
      <c r="L314" s="2"/>
    </row>
    <row r="315" spans="1:12" ht="90" customHeight="1" x14ac:dyDescent="0.3">
      <c r="A315" s="9"/>
      <c r="B315" s="9"/>
      <c r="C315" s="9"/>
      <c r="D315" s="9"/>
      <c r="E315" s="9"/>
      <c r="F315" s="9"/>
      <c r="G315" s="9"/>
      <c r="H315" s="2"/>
      <c r="I315" s="2"/>
      <c r="J315" s="2"/>
      <c r="K315" s="2"/>
      <c r="L315" s="2"/>
    </row>
    <row r="316" spans="1:12" ht="90" customHeight="1" x14ac:dyDescent="0.3">
      <c r="A316" s="9"/>
      <c r="B316" s="9"/>
      <c r="C316" s="9"/>
      <c r="D316" s="9"/>
      <c r="E316" s="9"/>
      <c r="F316" s="9"/>
      <c r="G316" s="9"/>
      <c r="H316" s="2"/>
      <c r="I316" s="2"/>
      <c r="J316" s="2"/>
      <c r="K316" s="2"/>
      <c r="L316" s="2"/>
    </row>
    <row r="317" spans="1:12" ht="90" customHeight="1" x14ac:dyDescent="0.3">
      <c r="A317" s="8" t="s">
        <v>335</v>
      </c>
      <c r="B317" s="8" t="s">
        <v>70</v>
      </c>
      <c r="C317" s="8" t="s">
        <v>336</v>
      </c>
      <c r="D317" s="10" t="s">
        <v>15</v>
      </c>
      <c r="E317" s="10" t="s">
        <v>16</v>
      </c>
      <c r="F317" s="8" t="s">
        <v>337</v>
      </c>
      <c r="G317" s="8" t="s">
        <v>338</v>
      </c>
      <c r="H317" s="1" t="s">
        <v>339</v>
      </c>
      <c r="I317" s="1">
        <v>0.99590009450912476</v>
      </c>
      <c r="J317" s="1" t="s">
        <v>27</v>
      </c>
      <c r="K317" s="1" t="s">
        <v>72</v>
      </c>
      <c r="L317" s="1">
        <v>444</v>
      </c>
    </row>
    <row r="318" spans="1:12" ht="90" customHeight="1" x14ac:dyDescent="0.3">
      <c r="A318" s="9"/>
      <c r="B318" s="9"/>
      <c r="C318" s="9"/>
      <c r="D318" s="9"/>
      <c r="E318" s="9"/>
      <c r="F318" s="9"/>
      <c r="G318" s="9"/>
      <c r="H318" s="1" t="s">
        <v>340</v>
      </c>
      <c r="I318" s="1">
        <v>0.99532926082611084</v>
      </c>
      <c r="J318" s="1" t="s">
        <v>27</v>
      </c>
      <c r="K318" s="1" t="s">
        <v>72</v>
      </c>
      <c r="L318" s="1">
        <v>442</v>
      </c>
    </row>
    <row r="319" spans="1:12" ht="90" customHeight="1" x14ac:dyDescent="0.3">
      <c r="A319" s="9"/>
      <c r="B319" s="9"/>
      <c r="C319" s="9"/>
      <c r="D319" s="9"/>
      <c r="E319" s="9"/>
      <c r="F319" s="9"/>
      <c r="G319" s="9"/>
      <c r="H319" s="5" t="s">
        <v>341</v>
      </c>
      <c r="I319" s="5">
        <v>0.9931175708770752</v>
      </c>
      <c r="J319" s="5" t="s">
        <v>27</v>
      </c>
      <c r="K319" s="5" t="s">
        <v>70</v>
      </c>
      <c r="L319" s="5">
        <v>404</v>
      </c>
    </row>
    <row r="320" spans="1:12" ht="90" customHeight="1" x14ac:dyDescent="0.3">
      <c r="A320" s="9"/>
      <c r="B320" s="9"/>
      <c r="C320" s="9"/>
      <c r="D320" s="9"/>
      <c r="E320" s="9"/>
      <c r="F320" s="9"/>
      <c r="G320" s="9"/>
      <c r="H320" s="2" t="s">
        <v>342</v>
      </c>
      <c r="I320" s="2">
        <v>0.98897331953048706</v>
      </c>
      <c r="J320" s="2" t="s">
        <v>27</v>
      </c>
      <c r="K320" s="2" t="s">
        <v>250</v>
      </c>
      <c r="L320" s="2">
        <v>363</v>
      </c>
    </row>
    <row r="321" spans="1:12" ht="90" customHeight="1" x14ac:dyDescent="0.3">
      <c r="A321" s="9"/>
      <c r="B321" s="9"/>
      <c r="C321" s="9"/>
      <c r="D321" s="9"/>
      <c r="E321" s="9"/>
      <c r="F321" s="9"/>
      <c r="G321" s="9"/>
      <c r="H321" s="2" t="s">
        <v>343</v>
      </c>
      <c r="I321" s="2">
        <v>0.98422062397003063</v>
      </c>
      <c r="J321" s="2" t="s">
        <v>27</v>
      </c>
      <c r="K321" s="2" t="s">
        <v>72</v>
      </c>
      <c r="L321" s="2">
        <v>439</v>
      </c>
    </row>
    <row r="322" spans="1:12" ht="90" customHeight="1" x14ac:dyDescent="0.3">
      <c r="A322" s="8" t="s">
        <v>344</v>
      </c>
      <c r="B322" s="8" t="s">
        <v>20</v>
      </c>
      <c r="C322" s="8" t="s">
        <v>247</v>
      </c>
      <c r="D322" s="10" t="s">
        <v>15</v>
      </c>
      <c r="E322" s="10" t="s">
        <v>16</v>
      </c>
      <c r="F322" s="8" t="s">
        <v>345</v>
      </c>
      <c r="G322" s="8" t="s">
        <v>18</v>
      </c>
      <c r="H322" s="2"/>
      <c r="I322" s="2"/>
      <c r="J322" s="2"/>
      <c r="K322" s="2"/>
      <c r="L322" s="2"/>
    </row>
    <row r="323" spans="1:12" ht="90" customHeight="1" x14ac:dyDescent="0.3">
      <c r="A323" s="9"/>
      <c r="B323" s="9"/>
      <c r="C323" s="9"/>
      <c r="D323" s="9"/>
      <c r="E323" s="9"/>
      <c r="F323" s="9"/>
      <c r="G323" s="9"/>
      <c r="H323" s="2"/>
      <c r="I323" s="2"/>
      <c r="J323" s="2"/>
      <c r="K323" s="2"/>
      <c r="L323" s="2"/>
    </row>
    <row r="324" spans="1:12" ht="90" customHeight="1" x14ac:dyDescent="0.3">
      <c r="A324" s="9"/>
      <c r="B324" s="9"/>
      <c r="C324" s="9"/>
      <c r="D324" s="9"/>
      <c r="E324" s="9"/>
      <c r="F324" s="9"/>
      <c r="G324" s="9"/>
      <c r="H324" s="2"/>
      <c r="I324" s="2"/>
      <c r="J324" s="2"/>
      <c r="K324" s="2"/>
      <c r="L324" s="2"/>
    </row>
    <row r="325" spans="1:12" ht="90" customHeight="1" x14ac:dyDescent="0.3">
      <c r="A325" s="9"/>
      <c r="B325" s="9"/>
      <c r="C325" s="9"/>
      <c r="D325" s="9"/>
      <c r="E325" s="9"/>
      <c r="F325" s="9"/>
      <c r="G325" s="9"/>
      <c r="H325" s="2"/>
      <c r="I325" s="2"/>
      <c r="J325" s="2"/>
      <c r="K325" s="2"/>
      <c r="L325" s="2"/>
    </row>
    <row r="326" spans="1:12" ht="90" customHeight="1" x14ac:dyDescent="0.3">
      <c r="A326" s="9"/>
      <c r="B326" s="9"/>
      <c r="C326" s="9"/>
      <c r="D326" s="9"/>
      <c r="E326" s="9"/>
      <c r="F326" s="9"/>
      <c r="G326" s="9"/>
      <c r="H326" s="2"/>
      <c r="I326" s="2"/>
      <c r="J326" s="2"/>
      <c r="K326" s="2"/>
      <c r="L326" s="2"/>
    </row>
    <row r="327" spans="1:12" ht="90" customHeight="1" x14ac:dyDescent="0.3">
      <c r="A327" s="8" t="s">
        <v>346</v>
      </c>
      <c r="B327" s="8" t="s">
        <v>347</v>
      </c>
      <c r="C327" s="8" t="s">
        <v>348</v>
      </c>
      <c r="D327" s="10" t="s">
        <v>22</v>
      </c>
      <c r="E327" s="10" t="s">
        <v>23</v>
      </c>
      <c r="F327" s="8" t="s">
        <v>349</v>
      </c>
      <c r="G327" s="8" t="s">
        <v>350</v>
      </c>
      <c r="H327" s="4" t="s">
        <v>351</v>
      </c>
      <c r="I327" s="4">
        <v>0.99711117752966671</v>
      </c>
      <c r="J327" s="4" t="s">
        <v>27</v>
      </c>
      <c r="K327" s="4" t="s">
        <v>347</v>
      </c>
      <c r="L327" s="4">
        <v>44</v>
      </c>
    </row>
    <row r="328" spans="1:12" ht="90" customHeight="1" x14ac:dyDescent="0.3">
      <c r="A328" s="9"/>
      <c r="B328" s="9"/>
      <c r="C328" s="9"/>
      <c r="D328" s="9"/>
      <c r="E328" s="9"/>
      <c r="F328" s="9"/>
      <c r="G328" s="9"/>
      <c r="H328" s="2"/>
      <c r="I328" s="2"/>
      <c r="J328" s="2"/>
      <c r="K328" s="2"/>
      <c r="L328" s="2"/>
    </row>
    <row r="329" spans="1:12" ht="90" customHeight="1" x14ac:dyDescent="0.3">
      <c r="A329" s="9"/>
      <c r="B329" s="9"/>
      <c r="C329" s="9"/>
      <c r="D329" s="9"/>
      <c r="E329" s="9"/>
      <c r="F329" s="9"/>
      <c r="G329" s="9"/>
      <c r="H329" s="2"/>
      <c r="I329" s="2"/>
      <c r="J329" s="2"/>
      <c r="K329" s="2"/>
      <c r="L329" s="2"/>
    </row>
    <row r="330" spans="1:12" ht="90" customHeight="1" x14ac:dyDescent="0.3">
      <c r="A330" s="9"/>
      <c r="B330" s="9"/>
      <c r="C330" s="9"/>
      <c r="D330" s="9"/>
      <c r="E330" s="9"/>
      <c r="F330" s="9"/>
      <c r="G330" s="9"/>
      <c r="H330" s="2"/>
      <c r="I330" s="2"/>
      <c r="J330" s="2"/>
      <c r="K330" s="2"/>
      <c r="L330" s="2"/>
    </row>
    <row r="331" spans="1:12" ht="90" customHeight="1" x14ac:dyDescent="0.3">
      <c r="A331" s="9"/>
      <c r="B331" s="9"/>
      <c r="C331" s="9"/>
      <c r="D331" s="9"/>
      <c r="E331" s="9"/>
      <c r="F331" s="9"/>
      <c r="G331" s="9"/>
      <c r="H331" s="2"/>
      <c r="I331" s="2"/>
      <c r="J331" s="2"/>
      <c r="K331" s="2"/>
      <c r="L331" s="2"/>
    </row>
    <row r="332" spans="1:12" ht="90" customHeight="1" x14ac:dyDescent="0.3">
      <c r="A332" s="8" t="s">
        <v>352</v>
      </c>
      <c r="B332" s="8" t="s">
        <v>214</v>
      </c>
      <c r="C332" s="8" t="s">
        <v>353</v>
      </c>
      <c r="D332" s="10" t="s">
        <v>15</v>
      </c>
      <c r="E332" s="10" t="s">
        <v>16</v>
      </c>
      <c r="F332" s="8" t="s">
        <v>354</v>
      </c>
      <c r="G332" s="8" t="s">
        <v>355</v>
      </c>
      <c r="H332" s="1" t="s">
        <v>356</v>
      </c>
      <c r="I332" s="1">
        <v>0.95397250749072837</v>
      </c>
      <c r="J332" s="1" t="s">
        <v>74</v>
      </c>
      <c r="K332" s="1" t="s">
        <v>357</v>
      </c>
      <c r="L332" s="1">
        <v>9</v>
      </c>
    </row>
    <row r="333" spans="1:12" ht="90" customHeight="1" x14ac:dyDescent="0.3">
      <c r="A333" s="9"/>
      <c r="B333" s="9"/>
      <c r="C333" s="9"/>
      <c r="D333" s="9"/>
      <c r="E333" s="9"/>
      <c r="F333" s="9"/>
      <c r="G333" s="9"/>
      <c r="H333" s="1" t="s">
        <v>358</v>
      </c>
      <c r="I333" s="1">
        <v>0.87631028836213576</v>
      </c>
      <c r="J333" s="1" t="s">
        <v>27</v>
      </c>
      <c r="K333" s="1" t="s">
        <v>219</v>
      </c>
      <c r="L333" s="1">
        <v>2</v>
      </c>
    </row>
    <row r="334" spans="1:12" ht="90" customHeight="1" x14ac:dyDescent="0.3">
      <c r="A334" s="9"/>
      <c r="B334" s="9"/>
      <c r="C334" s="9"/>
      <c r="D334" s="9"/>
      <c r="E334" s="9"/>
      <c r="F334" s="9"/>
      <c r="G334" s="9"/>
      <c r="H334" s="1" t="s">
        <v>359</v>
      </c>
      <c r="I334" s="1">
        <v>0.87158477306365811</v>
      </c>
      <c r="J334" s="1" t="s">
        <v>27</v>
      </c>
      <c r="K334" s="1" t="s">
        <v>360</v>
      </c>
      <c r="L334" s="1">
        <v>1134</v>
      </c>
    </row>
    <row r="335" spans="1:12" ht="90" customHeight="1" x14ac:dyDescent="0.3">
      <c r="A335" s="9"/>
      <c r="B335" s="9"/>
      <c r="C335" s="9"/>
      <c r="D335" s="9"/>
      <c r="E335" s="9"/>
      <c r="F335" s="9"/>
      <c r="G335" s="9"/>
      <c r="H335" s="2" t="s">
        <v>361</v>
      </c>
      <c r="I335" s="2">
        <v>0.84266347634341077</v>
      </c>
      <c r="J335" s="2" t="s">
        <v>74</v>
      </c>
      <c r="K335" s="2" t="s">
        <v>362</v>
      </c>
      <c r="L335" s="2">
        <v>7</v>
      </c>
    </row>
    <row r="336" spans="1:12" ht="90" customHeight="1" x14ac:dyDescent="0.3">
      <c r="A336" s="9"/>
      <c r="B336" s="9"/>
      <c r="C336" s="9"/>
      <c r="D336" s="9"/>
      <c r="E336" s="9"/>
      <c r="F336" s="9"/>
      <c r="G336" s="9"/>
      <c r="H336" s="2" t="s">
        <v>363</v>
      </c>
      <c r="I336" s="2">
        <v>0.82936237610703067</v>
      </c>
      <c r="J336" s="2" t="s">
        <v>27</v>
      </c>
      <c r="K336" s="2" t="s">
        <v>364</v>
      </c>
      <c r="L336" s="2">
        <v>6</v>
      </c>
    </row>
    <row r="337" spans="1:12" ht="90" customHeight="1" x14ac:dyDescent="0.3">
      <c r="A337" s="8" t="s">
        <v>365</v>
      </c>
      <c r="B337" s="8" t="s">
        <v>366</v>
      </c>
      <c r="C337" s="8" t="s">
        <v>367</v>
      </c>
      <c r="D337" s="10" t="s">
        <v>15</v>
      </c>
      <c r="E337" s="10" t="s">
        <v>16</v>
      </c>
      <c r="F337" s="8" t="s">
        <v>368</v>
      </c>
      <c r="G337" s="8" t="s">
        <v>369</v>
      </c>
      <c r="H337" s="1" t="s">
        <v>370</v>
      </c>
      <c r="I337" s="1">
        <v>0.99864774942398071</v>
      </c>
      <c r="J337" s="1" t="s">
        <v>27</v>
      </c>
      <c r="K337" s="1" t="s">
        <v>169</v>
      </c>
      <c r="L337" s="1">
        <v>41</v>
      </c>
    </row>
    <row r="338" spans="1:12" ht="90" customHeight="1" x14ac:dyDescent="0.3">
      <c r="A338" s="9"/>
      <c r="B338" s="9"/>
      <c r="C338" s="9"/>
      <c r="D338" s="9"/>
      <c r="E338" s="9"/>
      <c r="F338" s="9"/>
      <c r="G338" s="9"/>
      <c r="H338" s="1" t="s">
        <v>371</v>
      </c>
      <c r="I338" s="1">
        <v>0.99716871976852417</v>
      </c>
      <c r="J338" s="1" t="s">
        <v>27</v>
      </c>
      <c r="K338" s="1" t="s">
        <v>169</v>
      </c>
      <c r="L338" s="1">
        <v>34</v>
      </c>
    </row>
    <row r="339" spans="1:12" ht="90" customHeight="1" x14ac:dyDescent="0.3">
      <c r="A339" s="9"/>
      <c r="B339" s="9"/>
      <c r="C339" s="9"/>
      <c r="D339" s="9"/>
      <c r="E339" s="9"/>
      <c r="F339" s="9"/>
      <c r="G339" s="9"/>
      <c r="H339" s="1" t="s">
        <v>372</v>
      </c>
      <c r="I339" s="1">
        <v>0.99315732717514038</v>
      </c>
      <c r="J339" s="1" t="s">
        <v>27</v>
      </c>
      <c r="K339" s="1" t="s">
        <v>171</v>
      </c>
      <c r="L339" s="1">
        <v>79</v>
      </c>
    </row>
    <row r="340" spans="1:12" ht="90" customHeight="1" x14ac:dyDescent="0.3">
      <c r="A340" s="9"/>
      <c r="B340" s="9"/>
      <c r="C340" s="9"/>
      <c r="D340" s="9"/>
      <c r="E340" s="9"/>
      <c r="F340" s="9"/>
      <c r="G340" s="9"/>
      <c r="H340" s="2" t="s">
        <v>373</v>
      </c>
      <c r="I340" s="2">
        <v>0.99315732717514038</v>
      </c>
      <c r="J340" s="2" t="s">
        <v>27</v>
      </c>
      <c r="K340" s="2" t="s">
        <v>164</v>
      </c>
      <c r="L340" s="2">
        <v>77</v>
      </c>
    </row>
    <row r="341" spans="1:12" ht="90" customHeight="1" x14ac:dyDescent="0.3">
      <c r="A341" s="9"/>
      <c r="B341" s="9"/>
      <c r="C341" s="9"/>
      <c r="D341" s="9"/>
      <c r="E341" s="9"/>
      <c r="F341" s="9"/>
      <c r="G341" s="9"/>
      <c r="H341" s="2" t="s">
        <v>374</v>
      </c>
      <c r="I341" s="2">
        <v>0.99088472127914429</v>
      </c>
      <c r="J341" s="2" t="s">
        <v>27</v>
      </c>
      <c r="K341" s="2" t="s">
        <v>164</v>
      </c>
      <c r="L341" s="2">
        <v>183</v>
      </c>
    </row>
    <row r="342" spans="1:12" ht="90" customHeight="1" x14ac:dyDescent="0.3">
      <c r="A342" s="8" t="s">
        <v>375</v>
      </c>
      <c r="B342" s="8" t="s">
        <v>376</v>
      </c>
      <c r="C342" s="8" t="s">
        <v>377</v>
      </c>
      <c r="D342" s="10" t="s">
        <v>15</v>
      </c>
      <c r="E342" s="10" t="s">
        <v>16</v>
      </c>
      <c r="F342" s="8" t="s">
        <v>378</v>
      </c>
      <c r="G342" s="8" t="s">
        <v>18</v>
      </c>
      <c r="H342" s="2"/>
      <c r="I342" s="2"/>
      <c r="J342" s="2"/>
      <c r="K342" s="2"/>
      <c r="L342" s="2"/>
    </row>
    <row r="343" spans="1:12" ht="90" customHeight="1" x14ac:dyDescent="0.3">
      <c r="A343" s="9"/>
      <c r="B343" s="9"/>
      <c r="C343" s="9"/>
      <c r="D343" s="9"/>
      <c r="E343" s="9"/>
      <c r="F343" s="9"/>
      <c r="G343" s="9"/>
      <c r="H343" s="2"/>
      <c r="I343" s="2"/>
      <c r="J343" s="2"/>
      <c r="K343" s="2"/>
      <c r="L343" s="2"/>
    </row>
    <row r="344" spans="1:12" ht="90" customHeight="1" x14ac:dyDescent="0.3">
      <c r="A344" s="9"/>
      <c r="B344" s="9"/>
      <c r="C344" s="9"/>
      <c r="D344" s="9"/>
      <c r="E344" s="9"/>
      <c r="F344" s="9"/>
      <c r="G344" s="9"/>
      <c r="H344" s="2"/>
      <c r="I344" s="2"/>
      <c r="J344" s="2"/>
      <c r="K344" s="2"/>
      <c r="L344" s="2"/>
    </row>
    <row r="345" spans="1:12" ht="90" customHeight="1" x14ac:dyDescent="0.3">
      <c r="A345" s="9"/>
      <c r="B345" s="9"/>
      <c r="C345" s="9"/>
      <c r="D345" s="9"/>
      <c r="E345" s="9"/>
      <c r="F345" s="9"/>
      <c r="G345" s="9"/>
      <c r="H345" s="2"/>
      <c r="I345" s="2"/>
      <c r="J345" s="2"/>
      <c r="K345" s="2"/>
      <c r="L345" s="2"/>
    </row>
    <row r="346" spans="1:12" ht="90" customHeight="1" x14ac:dyDescent="0.3">
      <c r="A346" s="9"/>
      <c r="B346" s="9"/>
      <c r="C346" s="9"/>
      <c r="D346" s="9"/>
      <c r="E346" s="9"/>
      <c r="F346" s="9"/>
      <c r="G346" s="9"/>
      <c r="H346" s="2"/>
      <c r="I346" s="2"/>
      <c r="J346" s="2"/>
      <c r="K346" s="2"/>
      <c r="L346" s="2"/>
    </row>
    <row r="347" spans="1:12" ht="90" customHeight="1" x14ac:dyDescent="0.3">
      <c r="A347" s="8" t="s">
        <v>379</v>
      </c>
      <c r="B347" s="8" t="s">
        <v>128</v>
      </c>
      <c r="C347" s="8" t="s">
        <v>129</v>
      </c>
      <c r="D347" s="10" t="s">
        <v>15</v>
      </c>
      <c r="E347" s="10" t="s">
        <v>16</v>
      </c>
      <c r="F347" s="8" t="s">
        <v>380</v>
      </c>
      <c r="G347" s="8" t="s">
        <v>381</v>
      </c>
      <c r="H347" s="1" t="s">
        <v>136</v>
      </c>
      <c r="I347" s="1">
        <v>0.96557915210723877</v>
      </c>
      <c r="J347" s="1" t="s">
        <v>27</v>
      </c>
      <c r="K347" s="1" t="s">
        <v>137</v>
      </c>
      <c r="L347" s="1">
        <v>1</v>
      </c>
    </row>
    <row r="348" spans="1:12" ht="90" customHeight="1" x14ac:dyDescent="0.3">
      <c r="A348" s="9"/>
      <c r="B348" s="9"/>
      <c r="C348" s="9"/>
      <c r="D348" s="9"/>
      <c r="E348" s="9"/>
      <c r="F348" s="9"/>
      <c r="G348" s="9"/>
      <c r="H348" s="1" t="s">
        <v>382</v>
      </c>
      <c r="I348" s="1">
        <v>0.94252222776412964</v>
      </c>
      <c r="J348" s="1" t="s">
        <v>27</v>
      </c>
      <c r="K348" s="1" t="s">
        <v>383</v>
      </c>
      <c r="L348" s="1">
        <v>32</v>
      </c>
    </row>
    <row r="349" spans="1:12" ht="90" customHeight="1" x14ac:dyDescent="0.3">
      <c r="A349" s="9"/>
      <c r="B349" s="9"/>
      <c r="C349" s="9"/>
      <c r="D349" s="9"/>
      <c r="E349" s="9"/>
      <c r="F349" s="9"/>
      <c r="G349" s="9"/>
      <c r="H349" s="1" t="s">
        <v>132</v>
      </c>
      <c r="I349" s="1">
        <v>0.90206116437911987</v>
      </c>
      <c r="J349" s="1" t="s">
        <v>74</v>
      </c>
      <c r="K349" s="1" t="s">
        <v>133</v>
      </c>
      <c r="L349" s="1">
        <v>1</v>
      </c>
    </row>
    <row r="350" spans="1:12" ht="90" customHeight="1" x14ac:dyDescent="0.3">
      <c r="A350" s="9"/>
      <c r="B350" s="9"/>
      <c r="C350" s="9"/>
      <c r="D350" s="9"/>
      <c r="E350" s="9"/>
      <c r="F350" s="9"/>
      <c r="G350" s="9"/>
      <c r="H350" s="2"/>
      <c r="I350" s="2"/>
      <c r="J350" s="2"/>
      <c r="K350" s="2"/>
      <c r="L350" s="2"/>
    </row>
    <row r="351" spans="1:12" ht="90" customHeight="1" x14ac:dyDescent="0.3">
      <c r="A351" s="9"/>
      <c r="B351" s="9"/>
      <c r="C351" s="9"/>
      <c r="D351" s="9"/>
      <c r="E351" s="9"/>
      <c r="F351" s="9"/>
      <c r="G351" s="9"/>
      <c r="H351" s="2"/>
      <c r="I351" s="2"/>
      <c r="J351" s="2"/>
      <c r="K351" s="2"/>
      <c r="L351" s="2"/>
    </row>
    <row r="352" spans="1:12" ht="90" customHeight="1" x14ac:dyDescent="0.3">
      <c r="A352" s="8" t="s">
        <v>384</v>
      </c>
      <c r="B352" s="8" t="s">
        <v>122</v>
      </c>
      <c r="C352" s="8" t="s">
        <v>318</v>
      </c>
      <c r="D352" s="10" t="s">
        <v>15</v>
      </c>
      <c r="E352" s="10" t="s">
        <v>16</v>
      </c>
      <c r="F352" s="8" t="s">
        <v>385</v>
      </c>
      <c r="G352" s="8" t="s">
        <v>18</v>
      </c>
      <c r="H352" s="2"/>
      <c r="I352" s="2"/>
      <c r="J352" s="2"/>
      <c r="K352" s="2"/>
      <c r="L352" s="2"/>
    </row>
    <row r="353" spans="1:12" ht="90" customHeight="1" x14ac:dyDescent="0.3">
      <c r="A353" s="9"/>
      <c r="B353" s="9"/>
      <c r="C353" s="9"/>
      <c r="D353" s="9"/>
      <c r="E353" s="9"/>
      <c r="F353" s="9"/>
      <c r="G353" s="9"/>
      <c r="H353" s="2"/>
      <c r="I353" s="2"/>
      <c r="J353" s="2"/>
      <c r="K353" s="2"/>
      <c r="L353" s="2"/>
    </row>
    <row r="354" spans="1:12" ht="90" customHeight="1" x14ac:dyDescent="0.3">
      <c r="A354" s="9"/>
      <c r="B354" s="9"/>
      <c r="C354" s="9"/>
      <c r="D354" s="9"/>
      <c r="E354" s="9"/>
      <c r="F354" s="9"/>
      <c r="G354" s="9"/>
      <c r="H354" s="2"/>
      <c r="I354" s="2"/>
      <c r="J354" s="2"/>
      <c r="K354" s="2"/>
      <c r="L354" s="2"/>
    </row>
    <row r="355" spans="1:12" ht="90" customHeight="1" x14ac:dyDescent="0.3">
      <c r="A355" s="9"/>
      <c r="B355" s="9"/>
      <c r="C355" s="9"/>
      <c r="D355" s="9"/>
      <c r="E355" s="9"/>
      <c r="F355" s="9"/>
      <c r="G355" s="9"/>
      <c r="H355" s="2"/>
      <c r="I355" s="2"/>
      <c r="J355" s="2"/>
      <c r="K355" s="2"/>
      <c r="L355" s="2"/>
    </row>
    <row r="356" spans="1:12" ht="90" customHeight="1" x14ac:dyDescent="0.3">
      <c r="A356" s="9"/>
      <c r="B356" s="9"/>
      <c r="C356" s="9"/>
      <c r="D356" s="9"/>
      <c r="E356" s="9"/>
      <c r="F356" s="9"/>
      <c r="G356" s="9"/>
      <c r="H356" s="2"/>
      <c r="I356" s="2"/>
      <c r="J356" s="2"/>
      <c r="K356" s="2"/>
      <c r="L356" s="2"/>
    </row>
    <row r="357" spans="1:12" ht="90" customHeight="1" x14ac:dyDescent="0.3">
      <c r="A357" s="8" t="s">
        <v>386</v>
      </c>
      <c r="B357" s="8" t="s">
        <v>20</v>
      </c>
      <c r="C357" s="8" t="s">
        <v>247</v>
      </c>
      <c r="D357" s="10" t="s">
        <v>15</v>
      </c>
      <c r="E357" s="10" t="s">
        <v>16</v>
      </c>
      <c r="F357" s="8" t="s">
        <v>387</v>
      </c>
      <c r="G357" s="8" t="s">
        <v>18</v>
      </c>
      <c r="H357" s="2"/>
      <c r="I357" s="2"/>
      <c r="J357" s="2"/>
      <c r="K357" s="2"/>
      <c r="L357" s="2"/>
    </row>
    <row r="358" spans="1:12" ht="90" customHeight="1" x14ac:dyDescent="0.3">
      <c r="A358" s="9"/>
      <c r="B358" s="9"/>
      <c r="C358" s="9"/>
      <c r="D358" s="9"/>
      <c r="E358" s="9"/>
      <c r="F358" s="9"/>
      <c r="G358" s="9"/>
      <c r="H358" s="2"/>
      <c r="I358" s="2"/>
      <c r="J358" s="2"/>
      <c r="K358" s="2"/>
      <c r="L358" s="2"/>
    </row>
    <row r="359" spans="1:12" ht="90" customHeight="1" x14ac:dyDescent="0.3">
      <c r="A359" s="9"/>
      <c r="B359" s="9"/>
      <c r="C359" s="9"/>
      <c r="D359" s="9"/>
      <c r="E359" s="9"/>
      <c r="F359" s="9"/>
      <c r="G359" s="9"/>
      <c r="H359" s="2"/>
      <c r="I359" s="2"/>
      <c r="J359" s="2"/>
      <c r="K359" s="2"/>
      <c r="L359" s="2"/>
    </row>
    <row r="360" spans="1:12" ht="90" customHeight="1" x14ac:dyDescent="0.3">
      <c r="A360" s="9"/>
      <c r="B360" s="9"/>
      <c r="C360" s="9"/>
      <c r="D360" s="9"/>
      <c r="E360" s="9"/>
      <c r="F360" s="9"/>
      <c r="G360" s="9"/>
      <c r="H360" s="2"/>
      <c r="I360" s="2"/>
      <c r="J360" s="2"/>
      <c r="K360" s="2"/>
      <c r="L360" s="2"/>
    </row>
    <row r="361" spans="1:12" ht="90" customHeight="1" x14ac:dyDescent="0.3">
      <c r="A361" s="9"/>
      <c r="B361" s="9"/>
      <c r="C361" s="9"/>
      <c r="D361" s="9"/>
      <c r="E361" s="9"/>
      <c r="F361" s="9"/>
      <c r="G361" s="9"/>
      <c r="H361" s="2"/>
      <c r="I361" s="2"/>
      <c r="J361" s="2"/>
      <c r="K361" s="2"/>
      <c r="L361" s="2"/>
    </row>
    <row r="362" spans="1:12" ht="90" customHeight="1" x14ac:dyDescent="0.3">
      <c r="A362" s="8" t="s">
        <v>388</v>
      </c>
      <c r="B362" s="8" t="s">
        <v>366</v>
      </c>
      <c r="C362" s="8" t="s">
        <v>367</v>
      </c>
      <c r="D362" s="10" t="s">
        <v>15</v>
      </c>
      <c r="E362" s="10" t="s">
        <v>16</v>
      </c>
      <c r="F362" s="8" t="s">
        <v>389</v>
      </c>
      <c r="G362" s="8" t="s">
        <v>18</v>
      </c>
      <c r="H362" s="2"/>
      <c r="I362" s="2"/>
      <c r="J362" s="2"/>
      <c r="K362" s="2"/>
      <c r="L362" s="2"/>
    </row>
    <row r="363" spans="1:12" ht="90" customHeight="1" x14ac:dyDescent="0.3">
      <c r="A363" s="9"/>
      <c r="B363" s="9"/>
      <c r="C363" s="9"/>
      <c r="D363" s="9"/>
      <c r="E363" s="9"/>
      <c r="F363" s="9"/>
      <c r="G363" s="9"/>
      <c r="H363" s="2"/>
      <c r="I363" s="2"/>
      <c r="J363" s="2"/>
      <c r="K363" s="2"/>
      <c r="L363" s="2"/>
    </row>
    <row r="364" spans="1:12" ht="90" customHeight="1" x14ac:dyDescent="0.3">
      <c r="A364" s="9"/>
      <c r="B364" s="9"/>
      <c r="C364" s="9"/>
      <c r="D364" s="9"/>
      <c r="E364" s="9"/>
      <c r="F364" s="9"/>
      <c r="G364" s="9"/>
      <c r="H364" s="2"/>
      <c r="I364" s="2"/>
      <c r="J364" s="2"/>
      <c r="K364" s="2"/>
      <c r="L364" s="2"/>
    </row>
    <row r="365" spans="1:12" ht="90" customHeight="1" x14ac:dyDescent="0.3">
      <c r="A365" s="9"/>
      <c r="B365" s="9"/>
      <c r="C365" s="9"/>
      <c r="D365" s="9"/>
      <c r="E365" s="9"/>
      <c r="F365" s="9"/>
      <c r="G365" s="9"/>
      <c r="H365" s="2"/>
      <c r="I365" s="2"/>
      <c r="J365" s="2"/>
      <c r="K365" s="2"/>
      <c r="L365" s="2"/>
    </row>
    <row r="366" spans="1:12" ht="90" customHeight="1" x14ac:dyDescent="0.3">
      <c r="A366" s="9"/>
      <c r="B366" s="9"/>
      <c r="C366" s="9"/>
      <c r="D366" s="9"/>
      <c r="E366" s="9"/>
      <c r="F366" s="9"/>
      <c r="G366" s="9"/>
      <c r="H366" s="2"/>
      <c r="I366" s="2"/>
      <c r="J366" s="2"/>
      <c r="K366" s="2"/>
      <c r="L366" s="2"/>
    </row>
    <row r="367" spans="1:12" ht="90" customHeight="1" x14ac:dyDescent="0.3">
      <c r="A367" s="8" t="s">
        <v>390</v>
      </c>
      <c r="B367" s="8" t="s">
        <v>122</v>
      </c>
      <c r="C367" s="8" t="s">
        <v>318</v>
      </c>
      <c r="D367" s="10" t="s">
        <v>22</v>
      </c>
      <c r="E367" s="10" t="s">
        <v>23</v>
      </c>
      <c r="F367" s="8" t="s">
        <v>391</v>
      </c>
      <c r="G367" s="8" t="s">
        <v>392</v>
      </c>
      <c r="H367" s="4" t="s">
        <v>393</v>
      </c>
      <c r="I367" s="4">
        <v>0.99934333562850952</v>
      </c>
      <c r="J367" s="4" t="s">
        <v>27</v>
      </c>
      <c r="K367" s="4" t="s">
        <v>122</v>
      </c>
      <c r="L367" s="4">
        <v>26</v>
      </c>
    </row>
    <row r="368" spans="1:12" ht="90" customHeight="1" x14ac:dyDescent="0.3">
      <c r="A368" s="9"/>
      <c r="B368" s="9"/>
      <c r="C368" s="9"/>
      <c r="D368" s="9"/>
      <c r="E368" s="9"/>
      <c r="F368" s="9"/>
      <c r="G368" s="9"/>
      <c r="H368" s="2"/>
      <c r="I368" s="2"/>
      <c r="J368" s="2"/>
      <c r="K368" s="2"/>
      <c r="L368" s="2"/>
    </row>
    <row r="369" spans="1:12" ht="90" customHeight="1" x14ac:dyDescent="0.3">
      <c r="A369" s="9"/>
      <c r="B369" s="9"/>
      <c r="C369" s="9"/>
      <c r="D369" s="9"/>
      <c r="E369" s="9"/>
      <c r="F369" s="9"/>
      <c r="G369" s="9"/>
      <c r="H369" s="2"/>
      <c r="I369" s="2"/>
      <c r="J369" s="2"/>
      <c r="K369" s="2"/>
      <c r="L369" s="2"/>
    </row>
    <row r="370" spans="1:12" ht="90" customHeight="1" x14ac:dyDescent="0.3">
      <c r="A370" s="9"/>
      <c r="B370" s="9"/>
      <c r="C370" s="9"/>
      <c r="D370" s="9"/>
      <c r="E370" s="9"/>
      <c r="F370" s="9"/>
      <c r="G370" s="9"/>
      <c r="H370" s="2"/>
      <c r="I370" s="2"/>
      <c r="J370" s="2"/>
      <c r="K370" s="2"/>
      <c r="L370" s="2"/>
    </row>
    <row r="371" spans="1:12" ht="90" customHeight="1" x14ac:dyDescent="0.3">
      <c r="A371" s="9"/>
      <c r="B371" s="9"/>
      <c r="C371" s="9"/>
      <c r="D371" s="9"/>
      <c r="E371" s="9"/>
      <c r="F371" s="9"/>
      <c r="G371" s="9"/>
      <c r="H371" s="2"/>
      <c r="I371" s="2"/>
      <c r="J371" s="2"/>
      <c r="K371" s="2"/>
      <c r="L371" s="2"/>
    </row>
    <row r="372" spans="1:12" ht="90" customHeight="1" x14ac:dyDescent="0.3">
      <c r="A372" s="8" t="s">
        <v>394</v>
      </c>
      <c r="B372" s="8" t="s">
        <v>395</v>
      </c>
      <c r="C372" s="8" t="s">
        <v>331</v>
      </c>
      <c r="D372" s="10" t="s">
        <v>15</v>
      </c>
      <c r="E372" s="10" t="s">
        <v>16</v>
      </c>
      <c r="F372" s="8" t="s">
        <v>396</v>
      </c>
      <c r="G372" s="8" t="s">
        <v>397</v>
      </c>
      <c r="H372" s="1" t="s">
        <v>398</v>
      </c>
      <c r="I372" s="1">
        <v>0.96550911664962769</v>
      </c>
      <c r="J372" s="1" t="s">
        <v>27</v>
      </c>
      <c r="K372" s="1" t="s">
        <v>399</v>
      </c>
      <c r="L372" s="1">
        <v>3</v>
      </c>
    </row>
    <row r="373" spans="1:12" ht="90" customHeight="1" x14ac:dyDescent="0.3">
      <c r="A373" s="9"/>
      <c r="B373" s="9"/>
      <c r="C373" s="9"/>
      <c r="D373" s="9"/>
      <c r="E373" s="9"/>
      <c r="F373" s="9"/>
      <c r="G373" s="9"/>
      <c r="H373" s="2"/>
      <c r="I373" s="2"/>
      <c r="J373" s="2"/>
      <c r="K373" s="2"/>
      <c r="L373" s="2"/>
    </row>
    <row r="374" spans="1:12" ht="90" customHeight="1" x14ac:dyDescent="0.3">
      <c r="A374" s="9"/>
      <c r="B374" s="9"/>
      <c r="C374" s="9"/>
      <c r="D374" s="9"/>
      <c r="E374" s="9"/>
      <c r="F374" s="9"/>
      <c r="G374" s="9"/>
      <c r="H374" s="2"/>
      <c r="I374" s="2"/>
      <c r="J374" s="2"/>
      <c r="K374" s="2"/>
      <c r="L374" s="2"/>
    </row>
    <row r="375" spans="1:12" ht="90" customHeight="1" x14ac:dyDescent="0.3">
      <c r="A375" s="9"/>
      <c r="B375" s="9"/>
      <c r="C375" s="9"/>
      <c r="D375" s="9"/>
      <c r="E375" s="9"/>
      <c r="F375" s="9"/>
      <c r="G375" s="9"/>
      <c r="H375" s="2"/>
      <c r="I375" s="2"/>
      <c r="J375" s="2"/>
      <c r="K375" s="2"/>
      <c r="L375" s="2"/>
    </row>
    <row r="376" spans="1:12" ht="90" customHeight="1" x14ac:dyDescent="0.3">
      <c r="A376" s="9"/>
      <c r="B376" s="9"/>
      <c r="C376" s="9"/>
      <c r="D376" s="9"/>
      <c r="E376" s="9"/>
      <c r="F376" s="9"/>
      <c r="G376" s="9"/>
      <c r="H376" s="2"/>
      <c r="I376" s="2"/>
      <c r="J376" s="2"/>
      <c r="K376" s="2"/>
      <c r="L376" s="2"/>
    </row>
    <row r="377" spans="1:12" ht="90" customHeight="1" x14ac:dyDescent="0.3">
      <c r="A377" s="8" t="s">
        <v>400</v>
      </c>
      <c r="B377" s="8" t="s">
        <v>401</v>
      </c>
      <c r="C377" s="8" t="s">
        <v>14</v>
      </c>
      <c r="D377" s="10" t="s">
        <v>15</v>
      </c>
      <c r="E377" s="10" t="s">
        <v>16</v>
      </c>
      <c r="F377" s="8" t="s">
        <v>402</v>
      </c>
      <c r="G377" s="8" t="s">
        <v>18</v>
      </c>
      <c r="H377" s="2"/>
      <c r="I377" s="2"/>
      <c r="J377" s="2"/>
      <c r="K377" s="2"/>
      <c r="L377" s="2"/>
    </row>
    <row r="378" spans="1:12" ht="90" customHeight="1" x14ac:dyDescent="0.3">
      <c r="A378" s="9"/>
      <c r="B378" s="9"/>
      <c r="C378" s="9"/>
      <c r="D378" s="9"/>
      <c r="E378" s="9"/>
      <c r="F378" s="9"/>
      <c r="G378" s="9"/>
      <c r="H378" s="2"/>
      <c r="I378" s="2"/>
      <c r="J378" s="2"/>
      <c r="K378" s="2"/>
      <c r="L378" s="2"/>
    </row>
    <row r="379" spans="1:12" ht="90" customHeight="1" x14ac:dyDescent="0.3">
      <c r="A379" s="9"/>
      <c r="B379" s="9"/>
      <c r="C379" s="9"/>
      <c r="D379" s="9"/>
      <c r="E379" s="9"/>
      <c r="F379" s="9"/>
      <c r="G379" s="9"/>
      <c r="H379" s="2"/>
      <c r="I379" s="2"/>
      <c r="J379" s="2"/>
      <c r="K379" s="2"/>
      <c r="L379" s="2"/>
    </row>
    <row r="380" spans="1:12" ht="90" customHeight="1" x14ac:dyDescent="0.3">
      <c r="A380" s="9"/>
      <c r="B380" s="9"/>
      <c r="C380" s="9"/>
      <c r="D380" s="9"/>
      <c r="E380" s="9"/>
      <c r="F380" s="9"/>
      <c r="G380" s="9"/>
      <c r="H380" s="2"/>
      <c r="I380" s="2"/>
      <c r="J380" s="2"/>
      <c r="K380" s="2"/>
      <c r="L380" s="2"/>
    </row>
    <row r="381" spans="1:12" ht="90" customHeight="1" x14ac:dyDescent="0.3">
      <c r="A381" s="9"/>
      <c r="B381" s="9"/>
      <c r="C381" s="9"/>
      <c r="D381" s="9"/>
      <c r="E381" s="9"/>
      <c r="F381" s="9"/>
      <c r="G381" s="9"/>
      <c r="H381" s="2"/>
      <c r="I381" s="2"/>
      <c r="J381" s="2"/>
      <c r="K381" s="2"/>
      <c r="L381" s="2"/>
    </row>
    <row r="382" spans="1:12" ht="90" customHeight="1" x14ac:dyDescent="0.3">
      <c r="A382" s="8" t="s">
        <v>403</v>
      </c>
      <c r="B382" s="8" t="s">
        <v>404</v>
      </c>
      <c r="C382" s="8" t="s">
        <v>14</v>
      </c>
      <c r="D382" s="10" t="s">
        <v>15</v>
      </c>
      <c r="E382" s="10" t="s">
        <v>16</v>
      </c>
      <c r="F382" s="8" t="s">
        <v>405</v>
      </c>
      <c r="G382" s="8" t="s">
        <v>406</v>
      </c>
      <c r="H382" s="2"/>
      <c r="I382" s="2"/>
      <c r="J382" s="2"/>
      <c r="K382" s="2"/>
      <c r="L382" s="2"/>
    </row>
    <row r="383" spans="1:12" ht="90" customHeight="1" x14ac:dyDescent="0.3">
      <c r="A383" s="9"/>
      <c r="B383" s="9"/>
      <c r="C383" s="9"/>
      <c r="D383" s="9"/>
      <c r="E383" s="9"/>
      <c r="F383" s="9"/>
      <c r="G383" s="9"/>
      <c r="H383" s="2"/>
      <c r="I383" s="2"/>
      <c r="J383" s="2"/>
      <c r="K383" s="2"/>
      <c r="L383" s="2"/>
    </row>
    <row r="384" spans="1:12" ht="90" customHeight="1" x14ac:dyDescent="0.3">
      <c r="A384" s="9"/>
      <c r="B384" s="9"/>
      <c r="C384" s="9"/>
      <c r="D384" s="9"/>
      <c r="E384" s="9"/>
      <c r="F384" s="9"/>
      <c r="G384" s="9"/>
      <c r="H384" s="2"/>
      <c r="I384" s="2"/>
      <c r="J384" s="2"/>
      <c r="K384" s="2"/>
      <c r="L384" s="2"/>
    </row>
    <row r="385" spans="1:12" ht="90" customHeight="1" x14ac:dyDescent="0.3">
      <c r="A385" s="9"/>
      <c r="B385" s="9"/>
      <c r="C385" s="9"/>
      <c r="D385" s="9"/>
      <c r="E385" s="9"/>
      <c r="F385" s="9"/>
      <c r="G385" s="9"/>
      <c r="H385" s="2"/>
      <c r="I385" s="2"/>
      <c r="J385" s="2"/>
      <c r="K385" s="2"/>
      <c r="L385" s="2"/>
    </row>
    <row r="386" spans="1:12" ht="90" customHeight="1" x14ac:dyDescent="0.3">
      <c r="A386" s="9"/>
      <c r="B386" s="9"/>
      <c r="C386" s="9"/>
      <c r="D386" s="9"/>
      <c r="E386" s="9"/>
      <c r="F386" s="9"/>
      <c r="G386" s="9"/>
      <c r="H386" s="2"/>
      <c r="I386" s="2"/>
      <c r="J386" s="2"/>
      <c r="K386" s="2"/>
      <c r="L386" s="2"/>
    </row>
    <row r="387" spans="1:12" ht="90" customHeight="1" x14ac:dyDescent="0.3">
      <c r="A387" s="8" t="s">
        <v>407</v>
      </c>
      <c r="B387" s="8" t="s">
        <v>298</v>
      </c>
      <c r="C387" s="8" t="s">
        <v>263</v>
      </c>
      <c r="D387" s="10" t="s">
        <v>15</v>
      </c>
      <c r="E387" s="10" t="s">
        <v>16</v>
      </c>
      <c r="F387" s="8" t="s">
        <v>408</v>
      </c>
      <c r="G387" s="8" t="s">
        <v>409</v>
      </c>
      <c r="H387" s="1" t="s">
        <v>301</v>
      </c>
      <c r="I387" s="1">
        <v>0.99916481971740723</v>
      </c>
      <c r="J387" s="1" t="s">
        <v>27</v>
      </c>
      <c r="K387" s="1" t="s">
        <v>302</v>
      </c>
      <c r="L387" s="1">
        <v>40</v>
      </c>
    </row>
    <row r="388" spans="1:12" ht="90" customHeight="1" x14ac:dyDescent="0.3">
      <c r="A388" s="9"/>
      <c r="B388" s="9"/>
      <c r="C388" s="9"/>
      <c r="D388" s="9"/>
      <c r="E388" s="9"/>
      <c r="F388" s="9"/>
      <c r="G388" s="9"/>
      <c r="H388" s="2" t="s">
        <v>410</v>
      </c>
      <c r="I388" s="2">
        <v>0.99342197179794312</v>
      </c>
      <c r="J388" s="2" t="s">
        <v>27</v>
      </c>
      <c r="K388" s="2" t="s">
        <v>411</v>
      </c>
      <c r="L388" s="2">
        <v>191</v>
      </c>
    </row>
    <row r="389" spans="1:12" ht="90" customHeight="1" x14ac:dyDescent="0.3">
      <c r="A389" s="9"/>
      <c r="B389" s="9"/>
      <c r="C389" s="9"/>
      <c r="D389" s="9"/>
      <c r="E389" s="9"/>
      <c r="F389" s="9"/>
      <c r="G389" s="9"/>
      <c r="H389" s="2" t="s">
        <v>412</v>
      </c>
      <c r="I389" s="2">
        <v>0.98860257863998413</v>
      </c>
      <c r="J389" s="2" t="s">
        <v>27</v>
      </c>
      <c r="K389" s="2" t="s">
        <v>411</v>
      </c>
      <c r="L389" s="2">
        <v>209</v>
      </c>
    </row>
    <row r="390" spans="1:12" ht="90" customHeight="1" x14ac:dyDescent="0.3">
      <c r="A390" s="9"/>
      <c r="B390" s="9"/>
      <c r="C390" s="9"/>
      <c r="D390" s="9"/>
      <c r="E390" s="9"/>
      <c r="F390" s="9"/>
      <c r="G390" s="9"/>
      <c r="H390" s="2" t="s">
        <v>413</v>
      </c>
      <c r="I390" s="2">
        <v>0.98352599143981934</v>
      </c>
      <c r="J390" s="2" t="s">
        <v>27</v>
      </c>
      <c r="K390" s="2" t="s">
        <v>414</v>
      </c>
      <c r="L390" s="2">
        <v>548</v>
      </c>
    </row>
    <row r="391" spans="1:12" ht="90" customHeight="1" x14ac:dyDescent="0.3">
      <c r="A391" s="9"/>
      <c r="B391" s="9"/>
      <c r="C391" s="9"/>
      <c r="D391" s="9"/>
      <c r="E391" s="9"/>
      <c r="F391" s="9"/>
      <c r="G391" s="9"/>
      <c r="H391" s="2" t="s">
        <v>415</v>
      </c>
      <c r="I391" s="2">
        <v>0.96705418825149536</v>
      </c>
      <c r="J391" s="2" t="s">
        <v>27</v>
      </c>
      <c r="K391" s="2" t="s">
        <v>360</v>
      </c>
      <c r="L391" s="2">
        <v>2395</v>
      </c>
    </row>
    <row r="392" spans="1:12" ht="90" customHeight="1" x14ac:dyDescent="0.3">
      <c r="A392" s="8" t="s">
        <v>416</v>
      </c>
      <c r="B392" s="8" t="s">
        <v>295</v>
      </c>
      <c r="C392" s="8" t="s">
        <v>14</v>
      </c>
      <c r="D392" s="10" t="s">
        <v>15</v>
      </c>
      <c r="E392" s="10" t="s">
        <v>16</v>
      </c>
      <c r="F392" s="8" t="s">
        <v>417</v>
      </c>
      <c r="G392" s="8" t="s">
        <v>18</v>
      </c>
      <c r="H392" s="2"/>
      <c r="I392" s="2"/>
      <c r="J392" s="2"/>
      <c r="K392" s="2"/>
      <c r="L392" s="2"/>
    </row>
    <row r="393" spans="1:12" ht="90" customHeight="1" x14ac:dyDescent="0.3">
      <c r="A393" s="9"/>
      <c r="B393" s="9"/>
      <c r="C393" s="9"/>
      <c r="D393" s="9"/>
      <c r="E393" s="9"/>
      <c r="F393" s="9"/>
      <c r="G393" s="9"/>
      <c r="H393" s="2"/>
      <c r="I393" s="2"/>
      <c r="J393" s="2"/>
      <c r="K393" s="2"/>
      <c r="L393" s="2"/>
    </row>
    <row r="394" spans="1:12" ht="90" customHeight="1" x14ac:dyDescent="0.3">
      <c r="A394" s="9"/>
      <c r="B394" s="9"/>
      <c r="C394" s="9"/>
      <c r="D394" s="9"/>
      <c r="E394" s="9"/>
      <c r="F394" s="9"/>
      <c r="G394" s="9"/>
      <c r="H394" s="2"/>
      <c r="I394" s="2"/>
      <c r="J394" s="2"/>
      <c r="K394" s="2"/>
      <c r="L394" s="2"/>
    </row>
    <row r="395" spans="1:12" ht="90" customHeight="1" x14ac:dyDescent="0.3">
      <c r="A395" s="9"/>
      <c r="B395" s="9"/>
      <c r="C395" s="9"/>
      <c r="D395" s="9"/>
      <c r="E395" s="9"/>
      <c r="F395" s="9"/>
      <c r="G395" s="9"/>
      <c r="H395" s="2"/>
      <c r="I395" s="2"/>
      <c r="J395" s="2"/>
      <c r="K395" s="2"/>
      <c r="L395" s="2"/>
    </row>
    <row r="396" spans="1:12" ht="90" customHeight="1" x14ac:dyDescent="0.3">
      <c r="A396" s="9"/>
      <c r="B396" s="9"/>
      <c r="C396" s="9"/>
      <c r="D396" s="9"/>
      <c r="E396" s="9"/>
      <c r="F396" s="9"/>
      <c r="G396" s="9"/>
      <c r="H396" s="2"/>
      <c r="I396" s="2"/>
      <c r="J396" s="2"/>
      <c r="K396" s="2"/>
      <c r="L396" s="2"/>
    </row>
    <row r="397" spans="1:12" ht="90" customHeight="1" x14ac:dyDescent="0.3">
      <c r="A397" s="8" t="s">
        <v>418</v>
      </c>
      <c r="B397" s="8" t="s">
        <v>214</v>
      </c>
      <c r="C397" s="8" t="s">
        <v>353</v>
      </c>
      <c r="D397" s="10" t="s">
        <v>15</v>
      </c>
      <c r="E397" s="10" t="s">
        <v>16</v>
      </c>
      <c r="F397" s="8" t="s">
        <v>419</v>
      </c>
      <c r="G397" s="8" t="s">
        <v>420</v>
      </c>
      <c r="H397" s="4" t="s">
        <v>289</v>
      </c>
      <c r="I397" s="4">
        <v>0.95289289951324463</v>
      </c>
      <c r="J397" s="4" t="s">
        <v>27</v>
      </c>
      <c r="K397" s="4" t="s">
        <v>214</v>
      </c>
      <c r="L397" s="4">
        <v>3</v>
      </c>
    </row>
    <row r="398" spans="1:12" ht="90" customHeight="1" x14ac:dyDescent="0.3">
      <c r="A398" s="9"/>
      <c r="B398" s="9"/>
      <c r="C398" s="9"/>
      <c r="D398" s="9"/>
      <c r="E398" s="9"/>
      <c r="F398" s="9"/>
      <c r="G398" s="9"/>
      <c r="H398" s="2"/>
      <c r="I398" s="2"/>
      <c r="J398" s="2"/>
      <c r="K398" s="2"/>
      <c r="L398" s="2"/>
    </row>
    <row r="399" spans="1:12" ht="90" customHeight="1" x14ac:dyDescent="0.3">
      <c r="A399" s="9"/>
      <c r="B399" s="9"/>
      <c r="C399" s="9"/>
      <c r="D399" s="9"/>
      <c r="E399" s="9"/>
      <c r="F399" s="9"/>
      <c r="G399" s="9"/>
      <c r="H399" s="2"/>
      <c r="I399" s="2"/>
      <c r="J399" s="2"/>
      <c r="K399" s="2"/>
      <c r="L399" s="2"/>
    </row>
    <row r="400" spans="1:12" ht="90" customHeight="1" x14ac:dyDescent="0.3">
      <c r="A400" s="9"/>
      <c r="B400" s="9"/>
      <c r="C400" s="9"/>
      <c r="D400" s="9"/>
      <c r="E400" s="9"/>
      <c r="F400" s="9"/>
      <c r="G400" s="9"/>
      <c r="H400" s="2"/>
      <c r="I400" s="2"/>
      <c r="J400" s="2"/>
      <c r="K400" s="2"/>
      <c r="L400" s="2"/>
    </row>
    <row r="401" spans="1:12" ht="90" customHeight="1" x14ac:dyDescent="0.3">
      <c r="A401" s="9"/>
      <c r="B401" s="9"/>
      <c r="C401" s="9"/>
      <c r="D401" s="9"/>
      <c r="E401" s="9"/>
      <c r="F401" s="9"/>
      <c r="G401" s="9"/>
      <c r="H401" s="2"/>
      <c r="I401" s="2"/>
      <c r="J401" s="2"/>
      <c r="K401" s="2"/>
      <c r="L401" s="2"/>
    </row>
    <row r="402" spans="1:12" ht="90" customHeight="1" x14ac:dyDescent="0.3">
      <c r="A402" s="8" t="s">
        <v>421</v>
      </c>
      <c r="B402" s="8" t="s">
        <v>366</v>
      </c>
      <c r="C402" s="8" t="s">
        <v>367</v>
      </c>
      <c r="D402" s="10" t="s">
        <v>15</v>
      </c>
      <c r="E402" s="10" t="s">
        <v>16</v>
      </c>
      <c r="F402" s="8" t="s">
        <v>422</v>
      </c>
      <c r="G402" s="8" t="s">
        <v>423</v>
      </c>
      <c r="H402" s="1" t="s">
        <v>424</v>
      </c>
      <c r="I402" s="1">
        <v>0.99714547395704911</v>
      </c>
      <c r="J402" s="1" t="s">
        <v>27</v>
      </c>
      <c r="K402" s="1" t="s">
        <v>169</v>
      </c>
      <c r="L402" s="1">
        <v>41</v>
      </c>
    </row>
    <row r="403" spans="1:12" ht="90" customHeight="1" x14ac:dyDescent="0.3">
      <c r="A403" s="9"/>
      <c r="B403" s="9"/>
      <c r="C403" s="9"/>
      <c r="D403" s="9"/>
      <c r="E403" s="9"/>
      <c r="F403" s="9"/>
      <c r="G403" s="9"/>
      <c r="H403" s="1" t="s">
        <v>425</v>
      </c>
      <c r="I403" s="1">
        <v>0.99583721160888672</v>
      </c>
      <c r="J403" s="1" t="s">
        <v>27</v>
      </c>
      <c r="K403" s="1" t="s">
        <v>426</v>
      </c>
      <c r="L403" s="1">
        <v>61</v>
      </c>
    </row>
    <row r="404" spans="1:12" ht="90" customHeight="1" x14ac:dyDescent="0.3">
      <c r="A404" s="9"/>
      <c r="B404" s="9"/>
      <c r="C404" s="9"/>
      <c r="D404" s="9"/>
      <c r="E404" s="9"/>
      <c r="F404" s="9"/>
      <c r="G404" s="9"/>
      <c r="H404" s="1" t="s">
        <v>427</v>
      </c>
      <c r="I404" s="1">
        <v>0.98739778995513916</v>
      </c>
      <c r="J404" s="1" t="s">
        <v>27</v>
      </c>
      <c r="K404" s="1" t="s">
        <v>428</v>
      </c>
      <c r="L404" s="1">
        <v>30</v>
      </c>
    </row>
    <row r="405" spans="1:12" ht="90" customHeight="1" x14ac:dyDescent="0.3">
      <c r="A405" s="9"/>
      <c r="B405" s="9"/>
      <c r="C405" s="9"/>
      <c r="D405" s="9"/>
      <c r="E405" s="9"/>
      <c r="F405" s="9"/>
      <c r="G405" s="9"/>
      <c r="H405" s="2" t="s">
        <v>429</v>
      </c>
      <c r="I405" s="2">
        <v>0.98436117172241211</v>
      </c>
      <c r="J405" s="2" t="s">
        <v>27</v>
      </c>
      <c r="K405" s="2" t="s">
        <v>164</v>
      </c>
      <c r="L405" s="2">
        <v>68</v>
      </c>
    </row>
    <row r="406" spans="1:12" ht="90" customHeight="1" x14ac:dyDescent="0.3">
      <c r="A406" s="9"/>
      <c r="B406" s="9"/>
      <c r="C406" s="9"/>
      <c r="D406" s="9"/>
      <c r="E406" s="9"/>
      <c r="F406" s="9"/>
      <c r="G406" s="9"/>
      <c r="H406" s="2" t="s">
        <v>430</v>
      </c>
      <c r="I406" s="2">
        <v>0.97945761680603027</v>
      </c>
      <c r="J406" s="2" t="s">
        <v>27</v>
      </c>
      <c r="K406" s="2" t="s">
        <v>169</v>
      </c>
      <c r="L406" s="2">
        <v>33</v>
      </c>
    </row>
    <row r="407" spans="1:12" ht="90" customHeight="1" x14ac:dyDescent="0.3">
      <c r="A407" s="8" t="s">
        <v>431</v>
      </c>
      <c r="B407" s="8" t="s">
        <v>20</v>
      </c>
      <c r="C407" s="8" t="s">
        <v>247</v>
      </c>
      <c r="D407" s="10" t="s">
        <v>22</v>
      </c>
      <c r="E407" s="10" t="s">
        <v>23</v>
      </c>
      <c r="F407" s="8" t="s">
        <v>432</v>
      </c>
      <c r="G407" s="8" t="s">
        <v>433</v>
      </c>
      <c r="H407" s="4" t="s">
        <v>26</v>
      </c>
      <c r="I407" s="4">
        <v>0.97663312885367959</v>
      </c>
      <c r="J407" s="4" t="s">
        <v>27</v>
      </c>
      <c r="K407" s="4" t="s">
        <v>20</v>
      </c>
      <c r="L407" s="4">
        <v>3</v>
      </c>
    </row>
    <row r="408" spans="1:12" ht="90" customHeight="1" x14ac:dyDescent="0.3">
      <c r="A408" s="9"/>
      <c r="B408" s="9"/>
      <c r="C408" s="9"/>
      <c r="D408" s="9"/>
      <c r="E408" s="9"/>
      <c r="F408" s="9"/>
      <c r="G408" s="9"/>
      <c r="H408" s="4" t="s">
        <v>28</v>
      </c>
      <c r="I408" s="4">
        <v>0.96424350444900109</v>
      </c>
      <c r="J408" s="4" t="s">
        <v>27</v>
      </c>
      <c r="K408" s="4" t="s">
        <v>20</v>
      </c>
      <c r="L408" s="4">
        <v>1</v>
      </c>
    </row>
    <row r="409" spans="1:12" ht="90" customHeight="1" x14ac:dyDescent="0.3">
      <c r="A409" s="9"/>
      <c r="B409" s="9"/>
      <c r="C409" s="9"/>
      <c r="D409" s="9"/>
      <c r="E409" s="9"/>
      <c r="F409" s="9"/>
      <c r="G409" s="9"/>
      <c r="H409" s="4" t="s">
        <v>29</v>
      </c>
      <c r="I409" s="4">
        <v>0.88700634515856236</v>
      </c>
      <c r="J409" s="4" t="s">
        <v>27</v>
      </c>
      <c r="K409" s="4" t="s">
        <v>20</v>
      </c>
      <c r="L409" s="4">
        <v>2</v>
      </c>
    </row>
    <row r="410" spans="1:12" ht="90" customHeight="1" x14ac:dyDescent="0.3">
      <c r="A410" s="9"/>
      <c r="B410" s="9"/>
      <c r="C410" s="9"/>
      <c r="D410" s="9"/>
      <c r="E410" s="9"/>
      <c r="F410" s="9"/>
      <c r="G410" s="9"/>
      <c r="H410" s="2"/>
      <c r="I410" s="2"/>
      <c r="J410" s="2"/>
      <c r="K410" s="2"/>
      <c r="L410" s="2"/>
    </row>
    <row r="411" spans="1:12" ht="90" customHeight="1" x14ac:dyDescent="0.3">
      <c r="A411" s="9"/>
      <c r="B411" s="9"/>
      <c r="C411" s="9"/>
      <c r="D411" s="9"/>
      <c r="E411" s="9"/>
      <c r="F411" s="9"/>
      <c r="G411" s="9"/>
      <c r="H411" s="2"/>
      <c r="I411" s="2"/>
      <c r="J411" s="2"/>
      <c r="K411" s="2"/>
      <c r="L411" s="2"/>
    </row>
    <row r="412" spans="1:12" ht="90" customHeight="1" x14ac:dyDescent="0.3">
      <c r="A412" s="8" t="s">
        <v>434</v>
      </c>
      <c r="B412" s="8" t="s">
        <v>122</v>
      </c>
      <c r="C412" s="8" t="s">
        <v>318</v>
      </c>
      <c r="D412" s="10" t="s">
        <v>15</v>
      </c>
      <c r="E412" s="10" t="s">
        <v>16</v>
      </c>
      <c r="F412" s="8" t="s">
        <v>435</v>
      </c>
      <c r="G412" s="8" t="s">
        <v>18</v>
      </c>
      <c r="H412" s="2"/>
      <c r="I412" s="2"/>
      <c r="J412" s="2"/>
      <c r="K412" s="2"/>
      <c r="L412" s="2"/>
    </row>
    <row r="413" spans="1:12" ht="90" customHeight="1" x14ac:dyDescent="0.3">
      <c r="A413" s="9"/>
      <c r="B413" s="9"/>
      <c r="C413" s="9"/>
      <c r="D413" s="9"/>
      <c r="E413" s="9"/>
      <c r="F413" s="9"/>
      <c r="G413" s="9"/>
      <c r="H413" s="2"/>
      <c r="I413" s="2"/>
      <c r="J413" s="2"/>
      <c r="K413" s="2"/>
      <c r="L413" s="2"/>
    </row>
    <row r="414" spans="1:12" ht="90" customHeight="1" x14ac:dyDescent="0.3">
      <c r="A414" s="9"/>
      <c r="B414" s="9"/>
      <c r="C414" s="9"/>
      <c r="D414" s="9"/>
      <c r="E414" s="9"/>
      <c r="F414" s="9"/>
      <c r="G414" s="9"/>
      <c r="H414" s="2"/>
      <c r="I414" s="2"/>
      <c r="J414" s="2"/>
      <c r="K414" s="2"/>
      <c r="L414" s="2"/>
    </row>
    <row r="415" spans="1:12" ht="90" customHeight="1" x14ac:dyDescent="0.3">
      <c r="A415" s="9"/>
      <c r="B415" s="9"/>
      <c r="C415" s="9"/>
      <c r="D415" s="9"/>
      <c r="E415" s="9"/>
      <c r="F415" s="9"/>
      <c r="G415" s="9"/>
      <c r="H415" s="2"/>
      <c r="I415" s="2"/>
      <c r="J415" s="2"/>
      <c r="K415" s="2"/>
      <c r="L415" s="2"/>
    </row>
    <row r="416" spans="1:12" ht="90" customHeight="1" x14ac:dyDescent="0.3">
      <c r="A416" s="9"/>
      <c r="B416" s="9"/>
      <c r="C416" s="9"/>
      <c r="D416" s="9"/>
      <c r="E416" s="9"/>
      <c r="F416" s="9"/>
      <c r="G416" s="9"/>
      <c r="H416" s="2"/>
      <c r="I416" s="2"/>
      <c r="J416" s="2"/>
      <c r="K416" s="2"/>
      <c r="L416" s="2"/>
    </row>
    <row r="417" spans="1:12" ht="90" customHeight="1" x14ac:dyDescent="0.3">
      <c r="A417" s="8" t="s">
        <v>436</v>
      </c>
      <c r="B417" s="8" t="s">
        <v>437</v>
      </c>
      <c r="C417" s="8" t="s">
        <v>14</v>
      </c>
      <c r="D417" s="10" t="s">
        <v>15</v>
      </c>
      <c r="E417" s="10" t="s">
        <v>16</v>
      </c>
      <c r="F417" s="8" t="s">
        <v>438</v>
      </c>
      <c r="G417" s="8" t="s">
        <v>439</v>
      </c>
      <c r="H417" s="1" t="s">
        <v>440</v>
      </c>
      <c r="I417" s="1">
        <v>0.95337910170506135</v>
      </c>
      <c r="J417" s="1" t="s">
        <v>74</v>
      </c>
      <c r="K417" s="1" t="s">
        <v>441</v>
      </c>
      <c r="L417" s="1">
        <v>2</v>
      </c>
    </row>
    <row r="418" spans="1:12" ht="90" customHeight="1" x14ac:dyDescent="0.3">
      <c r="A418" s="9"/>
      <c r="B418" s="9"/>
      <c r="C418" s="9"/>
      <c r="D418" s="9"/>
      <c r="E418" s="9"/>
      <c r="F418" s="9"/>
      <c r="G418" s="9"/>
      <c r="H418" s="1" t="s">
        <v>442</v>
      </c>
      <c r="I418" s="1">
        <v>0.86712408065795898</v>
      </c>
      <c r="J418" s="1" t="s">
        <v>27</v>
      </c>
      <c r="K418" s="1" t="s">
        <v>428</v>
      </c>
      <c r="L418" s="1">
        <v>215</v>
      </c>
    </row>
    <row r="419" spans="1:12" ht="90" customHeight="1" x14ac:dyDescent="0.3">
      <c r="A419" s="9"/>
      <c r="B419" s="9"/>
      <c r="C419" s="9"/>
      <c r="D419" s="9"/>
      <c r="E419" s="9"/>
      <c r="F419" s="9"/>
      <c r="G419" s="9"/>
      <c r="H419" s="2"/>
      <c r="I419" s="2"/>
      <c r="J419" s="2"/>
      <c r="K419" s="2"/>
      <c r="L419" s="2"/>
    </row>
    <row r="420" spans="1:12" ht="90" customHeight="1" x14ac:dyDescent="0.3">
      <c r="A420" s="9"/>
      <c r="B420" s="9"/>
      <c r="C420" s="9"/>
      <c r="D420" s="9"/>
      <c r="E420" s="9"/>
      <c r="F420" s="9"/>
      <c r="G420" s="9"/>
      <c r="H420" s="2"/>
      <c r="I420" s="2"/>
      <c r="J420" s="2"/>
      <c r="K420" s="2"/>
      <c r="L420" s="2"/>
    </row>
    <row r="421" spans="1:12" ht="90" customHeight="1" x14ac:dyDescent="0.3">
      <c r="A421" s="9"/>
      <c r="B421" s="9"/>
      <c r="C421" s="9"/>
      <c r="D421" s="9"/>
      <c r="E421" s="9"/>
      <c r="F421" s="9"/>
      <c r="G421" s="9"/>
      <c r="H421" s="2"/>
      <c r="I421" s="2"/>
      <c r="J421" s="2"/>
      <c r="K421" s="2"/>
      <c r="L421" s="2"/>
    </row>
    <row r="422" spans="1:12" ht="90" customHeight="1" x14ac:dyDescent="0.3">
      <c r="A422" s="8" t="s">
        <v>443</v>
      </c>
      <c r="B422" s="8" t="s">
        <v>295</v>
      </c>
      <c r="C422" s="8" t="s">
        <v>14</v>
      </c>
      <c r="D422" s="10" t="s">
        <v>22</v>
      </c>
      <c r="E422" s="10" t="s">
        <v>23</v>
      </c>
      <c r="F422" s="8" t="s">
        <v>444</v>
      </c>
      <c r="G422" s="8" t="s">
        <v>445</v>
      </c>
      <c r="H422" s="4" t="s">
        <v>446</v>
      </c>
      <c r="I422" s="4">
        <v>0.93009728193283081</v>
      </c>
      <c r="J422" s="4" t="s">
        <v>27</v>
      </c>
      <c r="K422" s="4" t="s">
        <v>295</v>
      </c>
      <c r="L422" s="4">
        <v>1</v>
      </c>
    </row>
    <row r="423" spans="1:12" ht="90" customHeight="1" x14ac:dyDescent="0.3">
      <c r="A423" s="9"/>
      <c r="B423" s="9"/>
      <c r="C423" s="9"/>
      <c r="D423" s="9"/>
      <c r="E423" s="9"/>
      <c r="F423" s="9"/>
      <c r="G423" s="9"/>
      <c r="H423" s="2"/>
      <c r="I423" s="2"/>
      <c r="J423" s="2"/>
      <c r="K423" s="2"/>
      <c r="L423" s="2"/>
    </row>
    <row r="424" spans="1:12" ht="90" customHeight="1" x14ac:dyDescent="0.3">
      <c r="A424" s="9"/>
      <c r="B424" s="9"/>
      <c r="C424" s="9"/>
      <c r="D424" s="9"/>
      <c r="E424" s="9"/>
      <c r="F424" s="9"/>
      <c r="G424" s="9"/>
      <c r="H424" s="2"/>
      <c r="I424" s="2"/>
      <c r="J424" s="2"/>
      <c r="K424" s="2"/>
      <c r="L424" s="2"/>
    </row>
    <row r="425" spans="1:12" ht="90" customHeight="1" x14ac:dyDescent="0.3">
      <c r="A425" s="9"/>
      <c r="B425" s="9"/>
      <c r="C425" s="9"/>
      <c r="D425" s="9"/>
      <c r="E425" s="9"/>
      <c r="F425" s="9"/>
      <c r="G425" s="9"/>
      <c r="H425" s="2"/>
      <c r="I425" s="2"/>
      <c r="J425" s="2"/>
      <c r="K425" s="2"/>
      <c r="L425" s="2"/>
    </row>
    <row r="426" spans="1:12" ht="90" customHeight="1" x14ac:dyDescent="0.3">
      <c r="A426" s="9"/>
      <c r="B426" s="9"/>
      <c r="C426" s="9"/>
      <c r="D426" s="9"/>
      <c r="E426" s="9"/>
      <c r="F426" s="9"/>
      <c r="G426" s="9"/>
      <c r="H426" s="2"/>
      <c r="I426" s="2"/>
      <c r="J426" s="2"/>
      <c r="K426" s="2"/>
      <c r="L426" s="2"/>
    </row>
    <row r="427" spans="1:12" ht="90" customHeight="1" x14ac:dyDescent="0.3">
      <c r="A427" s="8" t="s">
        <v>386</v>
      </c>
      <c r="B427" s="8" t="s">
        <v>20</v>
      </c>
      <c r="C427" s="8" t="s">
        <v>247</v>
      </c>
      <c r="D427" s="10" t="s">
        <v>15</v>
      </c>
      <c r="E427" s="10" t="s">
        <v>16</v>
      </c>
      <c r="F427" s="8" t="s">
        <v>447</v>
      </c>
      <c r="G427" s="8" t="s">
        <v>18</v>
      </c>
      <c r="H427" s="2"/>
      <c r="I427" s="2"/>
      <c r="J427" s="2"/>
      <c r="K427" s="2"/>
      <c r="L427" s="2"/>
    </row>
    <row r="428" spans="1:12" ht="90" customHeight="1" x14ac:dyDescent="0.3">
      <c r="A428" s="9"/>
      <c r="B428" s="9"/>
      <c r="C428" s="9"/>
      <c r="D428" s="9"/>
      <c r="E428" s="9"/>
      <c r="F428" s="9"/>
      <c r="G428" s="9"/>
      <c r="H428" s="2"/>
      <c r="I428" s="2"/>
      <c r="J428" s="2"/>
      <c r="K428" s="2"/>
      <c r="L428" s="2"/>
    </row>
    <row r="429" spans="1:12" ht="90" customHeight="1" x14ac:dyDescent="0.3">
      <c r="A429" s="9"/>
      <c r="B429" s="9"/>
      <c r="C429" s="9"/>
      <c r="D429" s="9"/>
      <c r="E429" s="9"/>
      <c r="F429" s="9"/>
      <c r="G429" s="9"/>
      <c r="H429" s="2"/>
      <c r="I429" s="2"/>
      <c r="J429" s="2"/>
      <c r="K429" s="2"/>
      <c r="L429" s="2"/>
    </row>
    <row r="430" spans="1:12" ht="90" customHeight="1" x14ac:dyDescent="0.3">
      <c r="A430" s="9"/>
      <c r="B430" s="9"/>
      <c r="C430" s="9"/>
      <c r="D430" s="9"/>
      <c r="E430" s="9"/>
      <c r="F430" s="9"/>
      <c r="G430" s="9"/>
      <c r="H430" s="2"/>
      <c r="I430" s="2"/>
      <c r="J430" s="2"/>
      <c r="K430" s="2"/>
      <c r="L430" s="2"/>
    </row>
    <row r="431" spans="1:12" ht="90" customHeight="1" x14ac:dyDescent="0.3">
      <c r="A431" s="9"/>
      <c r="B431" s="9"/>
      <c r="C431" s="9"/>
      <c r="D431" s="9"/>
      <c r="E431" s="9"/>
      <c r="F431" s="9"/>
      <c r="G431" s="9"/>
      <c r="H431" s="2"/>
      <c r="I431" s="2"/>
      <c r="J431" s="2"/>
      <c r="K431" s="2"/>
      <c r="L431" s="2"/>
    </row>
    <row r="432" spans="1:12" ht="90" customHeight="1" x14ac:dyDescent="0.3">
      <c r="A432" s="8" t="s">
        <v>448</v>
      </c>
      <c r="B432" s="8" t="s">
        <v>347</v>
      </c>
      <c r="C432" s="8" t="s">
        <v>348</v>
      </c>
      <c r="D432" s="10" t="s">
        <v>22</v>
      </c>
      <c r="E432" s="10" t="s">
        <v>23</v>
      </c>
      <c r="F432" s="8" t="s">
        <v>449</v>
      </c>
      <c r="G432" s="8" t="s">
        <v>450</v>
      </c>
      <c r="H432" s="4" t="s">
        <v>351</v>
      </c>
      <c r="I432" s="4">
        <v>0.99637072139449878</v>
      </c>
      <c r="J432" s="4" t="s">
        <v>27</v>
      </c>
      <c r="K432" s="4" t="s">
        <v>347</v>
      </c>
      <c r="L432" s="4">
        <v>44</v>
      </c>
    </row>
    <row r="433" spans="1:12" ht="90" customHeight="1" x14ac:dyDescent="0.3">
      <c r="A433" s="9"/>
      <c r="B433" s="9"/>
      <c r="C433" s="9"/>
      <c r="D433" s="9"/>
      <c r="E433" s="9"/>
      <c r="F433" s="9"/>
      <c r="G433" s="9"/>
      <c r="H433" s="2"/>
      <c r="I433" s="2"/>
      <c r="J433" s="2"/>
      <c r="K433" s="2"/>
      <c r="L433" s="2"/>
    </row>
    <row r="434" spans="1:12" ht="90" customHeight="1" x14ac:dyDescent="0.3">
      <c r="A434" s="9"/>
      <c r="B434" s="9"/>
      <c r="C434" s="9"/>
      <c r="D434" s="9"/>
      <c r="E434" s="9"/>
      <c r="F434" s="9"/>
      <c r="G434" s="9"/>
      <c r="H434" s="2"/>
      <c r="I434" s="2"/>
      <c r="J434" s="2"/>
      <c r="K434" s="2"/>
      <c r="L434" s="2"/>
    </row>
    <row r="435" spans="1:12" ht="90" customHeight="1" x14ac:dyDescent="0.3">
      <c r="A435" s="9"/>
      <c r="B435" s="9"/>
      <c r="C435" s="9"/>
      <c r="D435" s="9"/>
      <c r="E435" s="9"/>
      <c r="F435" s="9"/>
      <c r="G435" s="9"/>
      <c r="H435" s="2"/>
      <c r="I435" s="2"/>
      <c r="J435" s="2"/>
      <c r="K435" s="2"/>
      <c r="L435" s="2"/>
    </row>
    <row r="436" spans="1:12" ht="90" customHeight="1" x14ac:dyDescent="0.3">
      <c r="A436" s="9"/>
      <c r="B436" s="9"/>
      <c r="C436" s="9"/>
      <c r="D436" s="9"/>
      <c r="E436" s="9"/>
      <c r="F436" s="9"/>
      <c r="G436" s="9"/>
      <c r="H436" s="2"/>
      <c r="I436" s="2"/>
      <c r="J436" s="2"/>
      <c r="K436" s="2"/>
      <c r="L436" s="2"/>
    </row>
    <row r="437" spans="1:12" ht="90" customHeight="1" x14ac:dyDescent="0.3">
      <c r="A437" s="8" t="s">
        <v>451</v>
      </c>
      <c r="B437" s="8" t="s">
        <v>214</v>
      </c>
      <c r="C437" s="8" t="s">
        <v>353</v>
      </c>
      <c r="D437" s="10" t="s">
        <v>15</v>
      </c>
      <c r="E437" s="10" t="s">
        <v>16</v>
      </c>
      <c r="F437" s="8" t="s">
        <v>452</v>
      </c>
      <c r="G437" s="8" t="s">
        <v>453</v>
      </c>
      <c r="H437" s="2" t="s">
        <v>454</v>
      </c>
      <c r="I437" s="2">
        <v>0.95005746228562504</v>
      </c>
      <c r="J437" s="2" t="s">
        <v>74</v>
      </c>
      <c r="K437" s="2" t="s">
        <v>357</v>
      </c>
      <c r="L437" s="2">
        <v>11</v>
      </c>
    </row>
    <row r="438" spans="1:12" ht="90" customHeight="1" x14ac:dyDescent="0.3">
      <c r="A438" s="9"/>
      <c r="B438" s="9"/>
      <c r="C438" s="9"/>
      <c r="D438" s="9"/>
      <c r="E438" s="9"/>
      <c r="F438" s="9"/>
      <c r="G438" s="9"/>
      <c r="H438" s="1" t="s">
        <v>358</v>
      </c>
      <c r="I438" s="1">
        <v>0.87631028836213576</v>
      </c>
      <c r="J438" s="1" t="s">
        <v>27</v>
      </c>
      <c r="K438" s="1" t="s">
        <v>219</v>
      </c>
      <c r="L438" s="1">
        <v>2</v>
      </c>
    </row>
    <row r="439" spans="1:12" ht="90" customHeight="1" x14ac:dyDescent="0.3">
      <c r="A439" s="9"/>
      <c r="B439" s="9"/>
      <c r="C439" s="9"/>
      <c r="D439" s="9"/>
      <c r="E439" s="9"/>
      <c r="F439" s="9"/>
      <c r="G439" s="9"/>
      <c r="H439" s="1" t="s">
        <v>359</v>
      </c>
      <c r="I439" s="1">
        <v>0.87158477306365811</v>
      </c>
      <c r="J439" s="1" t="s">
        <v>27</v>
      </c>
      <c r="K439" s="1" t="s">
        <v>360</v>
      </c>
      <c r="L439" s="1">
        <v>1134</v>
      </c>
    </row>
    <row r="440" spans="1:12" ht="90" customHeight="1" x14ac:dyDescent="0.3">
      <c r="A440" s="9"/>
      <c r="B440" s="9"/>
      <c r="C440" s="9"/>
      <c r="D440" s="9"/>
      <c r="E440" s="9"/>
      <c r="F440" s="9"/>
      <c r="G440" s="9"/>
      <c r="H440" s="1" t="s">
        <v>455</v>
      </c>
      <c r="I440" s="1">
        <v>0.84453559639795994</v>
      </c>
      <c r="J440" s="1" t="s">
        <v>27</v>
      </c>
      <c r="K440" s="1" t="s">
        <v>456</v>
      </c>
      <c r="L440" s="1">
        <v>8</v>
      </c>
    </row>
    <row r="441" spans="1:12" ht="90" customHeight="1" x14ac:dyDescent="0.3">
      <c r="A441" s="9"/>
      <c r="B441" s="9"/>
      <c r="C441" s="9"/>
      <c r="D441" s="9"/>
      <c r="E441" s="9"/>
      <c r="F441" s="9"/>
      <c r="G441" s="9"/>
      <c r="H441" s="2" t="s">
        <v>361</v>
      </c>
      <c r="I441" s="2">
        <v>0.84266347634341077</v>
      </c>
      <c r="J441" s="2" t="s">
        <v>74</v>
      </c>
      <c r="K441" s="2" t="s">
        <v>362</v>
      </c>
      <c r="L441" s="2">
        <v>7</v>
      </c>
    </row>
    <row r="442" spans="1:12" ht="90" customHeight="1" x14ac:dyDescent="0.3">
      <c r="A442" s="8" t="s">
        <v>457</v>
      </c>
      <c r="B442" s="8" t="s">
        <v>458</v>
      </c>
      <c r="C442" s="8" t="s">
        <v>459</v>
      </c>
      <c r="D442" s="10" t="s">
        <v>15</v>
      </c>
      <c r="E442" s="10" t="s">
        <v>16</v>
      </c>
      <c r="F442" s="8" t="s">
        <v>460</v>
      </c>
      <c r="G442" s="8" t="s">
        <v>18</v>
      </c>
      <c r="H442" s="2"/>
      <c r="I442" s="2"/>
      <c r="J442" s="2"/>
      <c r="K442" s="2"/>
      <c r="L442" s="2"/>
    </row>
    <row r="443" spans="1:12" ht="90" customHeight="1" x14ac:dyDescent="0.3">
      <c r="A443" s="9"/>
      <c r="B443" s="9"/>
      <c r="C443" s="9"/>
      <c r="D443" s="9"/>
      <c r="E443" s="9"/>
      <c r="F443" s="9"/>
      <c r="G443" s="9"/>
      <c r="H443" s="2"/>
      <c r="I443" s="2"/>
      <c r="J443" s="2"/>
      <c r="K443" s="2"/>
      <c r="L443" s="2"/>
    </row>
    <row r="444" spans="1:12" ht="90" customHeight="1" x14ac:dyDescent="0.3">
      <c r="A444" s="9"/>
      <c r="B444" s="9"/>
      <c r="C444" s="9"/>
      <c r="D444" s="9"/>
      <c r="E444" s="9"/>
      <c r="F444" s="9"/>
      <c r="G444" s="9"/>
      <c r="H444" s="2"/>
      <c r="I444" s="2"/>
      <c r="J444" s="2"/>
      <c r="K444" s="2"/>
      <c r="L444" s="2"/>
    </row>
    <row r="445" spans="1:12" ht="90" customHeight="1" x14ac:dyDescent="0.3">
      <c r="A445" s="9"/>
      <c r="B445" s="9"/>
      <c r="C445" s="9"/>
      <c r="D445" s="9"/>
      <c r="E445" s="9"/>
      <c r="F445" s="9"/>
      <c r="G445" s="9"/>
      <c r="H445" s="2"/>
      <c r="I445" s="2"/>
      <c r="J445" s="2"/>
      <c r="K445" s="2"/>
      <c r="L445" s="2"/>
    </row>
    <row r="446" spans="1:12" ht="90" customHeight="1" x14ac:dyDescent="0.3">
      <c r="A446" s="9"/>
      <c r="B446" s="9"/>
      <c r="C446" s="9"/>
      <c r="D446" s="9"/>
      <c r="E446" s="9"/>
      <c r="F446" s="9"/>
      <c r="G446" s="9"/>
      <c r="H446" s="2"/>
      <c r="I446" s="2"/>
      <c r="J446" s="2"/>
      <c r="K446" s="2"/>
      <c r="L446" s="2"/>
    </row>
    <row r="447" spans="1:12" ht="90" customHeight="1" x14ac:dyDescent="0.3">
      <c r="A447" s="8" t="s">
        <v>390</v>
      </c>
      <c r="B447" s="8" t="s">
        <v>122</v>
      </c>
      <c r="C447" s="8" t="s">
        <v>318</v>
      </c>
      <c r="D447" s="10" t="s">
        <v>22</v>
      </c>
      <c r="E447" s="10" t="s">
        <v>23</v>
      </c>
      <c r="F447" s="8" t="s">
        <v>461</v>
      </c>
      <c r="G447" s="8" t="s">
        <v>392</v>
      </c>
      <c r="H447" s="4" t="s">
        <v>393</v>
      </c>
      <c r="I447" s="4">
        <v>0.99934333562850952</v>
      </c>
      <c r="J447" s="4" t="s">
        <v>27</v>
      </c>
      <c r="K447" s="4" t="s">
        <v>122</v>
      </c>
      <c r="L447" s="4">
        <v>26</v>
      </c>
    </row>
    <row r="448" spans="1:12" ht="90" customHeight="1" x14ac:dyDescent="0.3">
      <c r="A448" s="9"/>
      <c r="B448" s="9"/>
      <c r="C448" s="9"/>
      <c r="D448" s="9"/>
      <c r="E448" s="9"/>
      <c r="F448" s="9"/>
      <c r="G448" s="9"/>
      <c r="H448" s="2"/>
      <c r="I448" s="2"/>
      <c r="J448" s="2"/>
      <c r="K448" s="2"/>
      <c r="L448" s="2"/>
    </row>
    <row r="449" spans="1:12" ht="90" customHeight="1" x14ac:dyDescent="0.3">
      <c r="A449" s="9"/>
      <c r="B449" s="9"/>
      <c r="C449" s="9"/>
      <c r="D449" s="9"/>
      <c r="E449" s="9"/>
      <c r="F449" s="9"/>
      <c r="G449" s="9"/>
      <c r="H449" s="2"/>
      <c r="I449" s="2"/>
      <c r="J449" s="2"/>
      <c r="K449" s="2"/>
      <c r="L449" s="2"/>
    </row>
    <row r="450" spans="1:12" ht="90" customHeight="1" x14ac:dyDescent="0.3">
      <c r="A450" s="9"/>
      <c r="B450" s="9"/>
      <c r="C450" s="9"/>
      <c r="D450" s="9"/>
      <c r="E450" s="9"/>
      <c r="F450" s="9"/>
      <c r="G450" s="9"/>
      <c r="H450" s="2"/>
      <c r="I450" s="2"/>
      <c r="J450" s="2"/>
      <c r="K450" s="2"/>
      <c r="L450" s="2"/>
    </row>
    <row r="451" spans="1:12" ht="90" customHeight="1" x14ac:dyDescent="0.3">
      <c r="A451" s="9"/>
      <c r="B451" s="9"/>
      <c r="C451" s="9"/>
      <c r="D451" s="9"/>
      <c r="E451" s="9"/>
      <c r="F451" s="9"/>
      <c r="G451" s="9"/>
      <c r="H451" s="2"/>
      <c r="I451" s="2"/>
      <c r="J451" s="2"/>
      <c r="K451" s="2"/>
      <c r="L451" s="2"/>
    </row>
    <row r="452" spans="1:12" ht="90" customHeight="1" x14ac:dyDescent="0.3">
      <c r="A452" s="8" t="s">
        <v>462</v>
      </c>
      <c r="B452" s="8" t="s">
        <v>144</v>
      </c>
      <c r="C452" s="8" t="s">
        <v>14</v>
      </c>
      <c r="D452" s="10" t="s">
        <v>15</v>
      </c>
      <c r="E452" s="10" t="s">
        <v>16</v>
      </c>
      <c r="F452" s="8" t="s">
        <v>463</v>
      </c>
      <c r="G452" s="8" t="s">
        <v>18</v>
      </c>
      <c r="H452" s="2"/>
      <c r="I452" s="2"/>
      <c r="J452" s="2"/>
      <c r="K452" s="2"/>
      <c r="L452" s="2"/>
    </row>
    <row r="453" spans="1:12" ht="90" customHeight="1" x14ac:dyDescent="0.3">
      <c r="A453" s="9"/>
      <c r="B453" s="9"/>
      <c r="C453" s="9"/>
      <c r="D453" s="9"/>
      <c r="E453" s="9"/>
      <c r="F453" s="9"/>
      <c r="G453" s="9"/>
      <c r="H453" s="2"/>
      <c r="I453" s="2"/>
      <c r="J453" s="2"/>
      <c r="K453" s="2"/>
      <c r="L453" s="2"/>
    </row>
    <row r="454" spans="1:12" ht="90" customHeight="1" x14ac:dyDescent="0.3">
      <c r="A454" s="9"/>
      <c r="B454" s="9"/>
      <c r="C454" s="9"/>
      <c r="D454" s="9"/>
      <c r="E454" s="9"/>
      <c r="F454" s="9"/>
      <c r="G454" s="9"/>
      <c r="H454" s="2"/>
      <c r="I454" s="2"/>
      <c r="J454" s="2"/>
      <c r="K454" s="2"/>
      <c r="L454" s="2"/>
    </row>
    <row r="455" spans="1:12" ht="90" customHeight="1" x14ac:dyDescent="0.3">
      <c r="A455" s="9"/>
      <c r="B455" s="9"/>
      <c r="C455" s="9"/>
      <c r="D455" s="9"/>
      <c r="E455" s="9"/>
      <c r="F455" s="9"/>
      <c r="G455" s="9"/>
      <c r="H455" s="2"/>
      <c r="I455" s="2"/>
      <c r="J455" s="2"/>
      <c r="K455" s="2"/>
      <c r="L455" s="2"/>
    </row>
    <row r="456" spans="1:12" ht="90" customHeight="1" x14ac:dyDescent="0.3">
      <c r="A456" s="9"/>
      <c r="B456" s="9"/>
      <c r="C456" s="9"/>
      <c r="D456" s="9"/>
      <c r="E456" s="9"/>
      <c r="F456" s="9"/>
      <c r="G456" s="9"/>
      <c r="H456" s="2"/>
      <c r="I456" s="2"/>
      <c r="J456" s="2"/>
      <c r="K456" s="2"/>
      <c r="L456" s="2"/>
    </row>
    <row r="457" spans="1:12" ht="90" customHeight="1" x14ac:dyDescent="0.3">
      <c r="A457" s="8" t="s">
        <v>464</v>
      </c>
      <c r="B457" s="8" t="s">
        <v>128</v>
      </c>
      <c r="C457" s="8" t="s">
        <v>465</v>
      </c>
      <c r="D457" s="10" t="s">
        <v>15</v>
      </c>
      <c r="E457" s="10" t="s">
        <v>16</v>
      </c>
      <c r="F457" s="8" t="s">
        <v>466</v>
      </c>
      <c r="G457" s="8" t="s">
        <v>18</v>
      </c>
      <c r="H457" s="2"/>
      <c r="I457" s="2"/>
      <c r="J457" s="2"/>
      <c r="K457" s="2"/>
      <c r="L457" s="2"/>
    </row>
    <row r="458" spans="1:12" ht="90" customHeight="1" x14ac:dyDescent="0.3">
      <c r="A458" s="9"/>
      <c r="B458" s="9"/>
      <c r="C458" s="9"/>
      <c r="D458" s="9"/>
      <c r="E458" s="9"/>
      <c r="F458" s="9"/>
      <c r="G458" s="9"/>
      <c r="H458" s="2"/>
      <c r="I458" s="2"/>
      <c r="J458" s="2"/>
      <c r="K458" s="2"/>
      <c r="L458" s="2"/>
    </row>
    <row r="459" spans="1:12" ht="90" customHeight="1" x14ac:dyDescent="0.3">
      <c r="A459" s="9"/>
      <c r="B459" s="9"/>
      <c r="C459" s="9"/>
      <c r="D459" s="9"/>
      <c r="E459" s="9"/>
      <c r="F459" s="9"/>
      <c r="G459" s="9"/>
      <c r="H459" s="2"/>
      <c r="I459" s="2"/>
      <c r="J459" s="2"/>
      <c r="K459" s="2"/>
      <c r="L459" s="2"/>
    </row>
    <row r="460" spans="1:12" ht="90" customHeight="1" x14ac:dyDescent="0.3">
      <c r="A460" s="9"/>
      <c r="B460" s="9"/>
      <c r="C460" s="9"/>
      <c r="D460" s="9"/>
      <c r="E460" s="9"/>
      <c r="F460" s="9"/>
      <c r="G460" s="9"/>
      <c r="H460" s="2"/>
      <c r="I460" s="2"/>
      <c r="J460" s="2"/>
      <c r="K460" s="2"/>
      <c r="L460" s="2"/>
    </row>
    <row r="461" spans="1:12" ht="90" customHeight="1" x14ac:dyDescent="0.3">
      <c r="A461" s="9"/>
      <c r="B461" s="9"/>
      <c r="C461" s="9"/>
      <c r="D461" s="9"/>
      <c r="E461" s="9"/>
      <c r="F461" s="9"/>
      <c r="G461" s="9"/>
      <c r="H461" s="2"/>
      <c r="I461" s="2"/>
      <c r="J461" s="2"/>
      <c r="K461" s="2"/>
      <c r="L461" s="2"/>
    </row>
    <row r="462" spans="1:12" ht="90" customHeight="1" x14ac:dyDescent="0.3">
      <c r="A462" s="8" t="s">
        <v>467</v>
      </c>
      <c r="B462" s="8" t="s">
        <v>250</v>
      </c>
      <c r="C462" s="8" t="s">
        <v>468</v>
      </c>
      <c r="D462" s="10" t="s">
        <v>15</v>
      </c>
      <c r="E462" s="10" t="s">
        <v>16</v>
      </c>
      <c r="F462" s="8" t="s">
        <v>469</v>
      </c>
      <c r="G462" s="8" t="s">
        <v>18</v>
      </c>
      <c r="H462" s="2"/>
      <c r="I462" s="2"/>
      <c r="J462" s="2"/>
      <c r="K462" s="2"/>
      <c r="L462" s="2"/>
    </row>
    <row r="463" spans="1:12" ht="90" customHeight="1" x14ac:dyDescent="0.3">
      <c r="A463" s="9"/>
      <c r="B463" s="9"/>
      <c r="C463" s="9"/>
      <c r="D463" s="9"/>
      <c r="E463" s="9"/>
      <c r="F463" s="9"/>
      <c r="G463" s="9"/>
      <c r="H463" s="2"/>
      <c r="I463" s="2"/>
      <c r="J463" s="2"/>
      <c r="K463" s="2"/>
      <c r="L463" s="2"/>
    </row>
    <row r="464" spans="1:12" ht="90" customHeight="1" x14ac:dyDescent="0.3">
      <c r="A464" s="9"/>
      <c r="B464" s="9"/>
      <c r="C464" s="9"/>
      <c r="D464" s="9"/>
      <c r="E464" s="9"/>
      <c r="F464" s="9"/>
      <c r="G464" s="9"/>
      <c r="H464" s="2"/>
      <c r="I464" s="2"/>
      <c r="J464" s="2"/>
      <c r="K464" s="2"/>
      <c r="L464" s="2"/>
    </row>
    <row r="465" spans="1:12" ht="90" customHeight="1" x14ac:dyDescent="0.3">
      <c r="A465" s="9"/>
      <c r="B465" s="9"/>
      <c r="C465" s="9"/>
      <c r="D465" s="9"/>
      <c r="E465" s="9"/>
      <c r="F465" s="9"/>
      <c r="G465" s="9"/>
      <c r="H465" s="2"/>
      <c r="I465" s="2"/>
      <c r="J465" s="2"/>
      <c r="K465" s="2"/>
      <c r="L465" s="2"/>
    </row>
    <row r="466" spans="1:12" ht="90" customHeight="1" x14ac:dyDescent="0.3">
      <c r="A466" s="9"/>
      <c r="B466" s="9"/>
      <c r="C466" s="9"/>
      <c r="D466" s="9"/>
      <c r="E466" s="9"/>
      <c r="F466" s="9"/>
      <c r="G466" s="9"/>
      <c r="H466" s="2"/>
      <c r="I466" s="2"/>
      <c r="J466" s="2"/>
      <c r="K466" s="2"/>
      <c r="L466" s="2"/>
    </row>
    <row r="467" spans="1:12" ht="90" customHeight="1" x14ac:dyDescent="0.3">
      <c r="A467" s="8" t="s">
        <v>470</v>
      </c>
      <c r="B467" s="8" t="s">
        <v>34</v>
      </c>
      <c r="C467" s="8" t="s">
        <v>257</v>
      </c>
      <c r="D467" s="10" t="s">
        <v>15</v>
      </c>
      <c r="E467" s="10" t="s">
        <v>16</v>
      </c>
      <c r="F467" s="8" t="s">
        <v>471</v>
      </c>
      <c r="G467" s="8" t="s">
        <v>18</v>
      </c>
      <c r="H467" s="2"/>
      <c r="I467" s="2"/>
      <c r="J467" s="2"/>
      <c r="K467" s="2"/>
      <c r="L467" s="2"/>
    </row>
    <row r="468" spans="1:12" ht="90" customHeight="1" x14ac:dyDescent="0.3">
      <c r="A468" s="9"/>
      <c r="B468" s="9"/>
      <c r="C468" s="9"/>
      <c r="D468" s="9"/>
      <c r="E468" s="9"/>
      <c r="F468" s="9"/>
      <c r="G468" s="9"/>
      <c r="H468" s="2"/>
      <c r="I468" s="2"/>
      <c r="J468" s="2"/>
      <c r="K468" s="2"/>
      <c r="L468" s="2"/>
    </row>
    <row r="469" spans="1:12" ht="90" customHeight="1" x14ac:dyDescent="0.3">
      <c r="A469" s="9"/>
      <c r="B469" s="9"/>
      <c r="C469" s="9"/>
      <c r="D469" s="9"/>
      <c r="E469" s="9"/>
      <c r="F469" s="9"/>
      <c r="G469" s="9"/>
      <c r="H469" s="2"/>
      <c r="I469" s="2"/>
      <c r="J469" s="2"/>
      <c r="K469" s="2"/>
      <c r="L469" s="2"/>
    </row>
    <row r="470" spans="1:12" ht="90" customHeight="1" x14ac:dyDescent="0.3">
      <c r="A470" s="9"/>
      <c r="B470" s="9"/>
      <c r="C470" s="9"/>
      <c r="D470" s="9"/>
      <c r="E470" s="9"/>
      <c r="F470" s="9"/>
      <c r="G470" s="9"/>
      <c r="H470" s="2"/>
      <c r="I470" s="2"/>
      <c r="J470" s="2"/>
      <c r="K470" s="2"/>
      <c r="L470" s="2"/>
    </row>
    <row r="471" spans="1:12" ht="90" customHeight="1" x14ac:dyDescent="0.3">
      <c r="A471" s="9"/>
      <c r="B471" s="9"/>
      <c r="C471" s="9"/>
      <c r="D471" s="9"/>
      <c r="E471" s="9"/>
      <c r="F471" s="9"/>
      <c r="G471" s="9"/>
      <c r="H471" s="2"/>
      <c r="I471" s="2"/>
      <c r="J471" s="2"/>
      <c r="K471" s="2"/>
      <c r="L471" s="2"/>
    </row>
    <row r="472" spans="1:12" ht="90" customHeight="1" x14ac:dyDescent="0.3">
      <c r="A472" s="8" t="s">
        <v>472</v>
      </c>
      <c r="B472" s="8" t="s">
        <v>473</v>
      </c>
      <c r="C472" s="8" t="s">
        <v>14</v>
      </c>
      <c r="D472" s="10" t="s">
        <v>22</v>
      </c>
      <c r="E472" s="10" t="s">
        <v>23</v>
      </c>
      <c r="F472" s="8" t="s">
        <v>474</v>
      </c>
      <c r="G472" s="8" t="s">
        <v>475</v>
      </c>
      <c r="H472" s="4" t="s">
        <v>476</v>
      </c>
      <c r="I472" s="4">
        <v>0.98457646369934082</v>
      </c>
      <c r="J472" s="4" t="s">
        <v>74</v>
      </c>
      <c r="K472" s="4" t="s">
        <v>473</v>
      </c>
      <c r="L472" s="4">
        <v>1</v>
      </c>
    </row>
    <row r="473" spans="1:12" ht="90" customHeight="1" x14ac:dyDescent="0.3">
      <c r="A473" s="9"/>
      <c r="B473" s="9"/>
      <c r="C473" s="9"/>
      <c r="D473" s="9"/>
      <c r="E473" s="9"/>
      <c r="F473" s="9"/>
      <c r="G473" s="9"/>
      <c r="H473" s="2"/>
      <c r="I473" s="2"/>
      <c r="J473" s="2"/>
      <c r="K473" s="2"/>
      <c r="L473" s="2"/>
    </row>
    <row r="474" spans="1:12" ht="90" customHeight="1" x14ac:dyDescent="0.3">
      <c r="A474" s="9"/>
      <c r="B474" s="9"/>
      <c r="C474" s="9"/>
      <c r="D474" s="9"/>
      <c r="E474" s="9"/>
      <c r="F474" s="9"/>
      <c r="G474" s="9"/>
      <c r="H474" s="2"/>
      <c r="I474" s="2"/>
      <c r="J474" s="2"/>
      <c r="K474" s="2"/>
      <c r="L474" s="2"/>
    </row>
    <row r="475" spans="1:12" ht="90" customHeight="1" x14ac:dyDescent="0.3">
      <c r="A475" s="9"/>
      <c r="B475" s="9"/>
      <c r="C475" s="9"/>
      <c r="D475" s="9"/>
      <c r="E475" s="9"/>
      <c r="F475" s="9"/>
      <c r="G475" s="9"/>
      <c r="H475" s="2"/>
      <c r="I475" s="2"/>
      <c r="J475" s="2"/>
      <c r="K475" s="2"/>
      <c r="L475" s="2"/>
    </row>
    <row r="476" spans="1:12" ht="90" customHeight="1" x14ac:dyDescent="0.3">
      <c r="A476" s="9"/>
      <c r="B476" s="9"/>
      <c r="C476" s="9"/>
      <c r="D476" s="9"/>
      <c r="E476" s="9"/>
      <c r="F476" s="9"/>
      <c r="G476" s="9"/>
      <c r="H476" s="2"/>
      <c r="I476" s="2"/>
      <c r="J476" s="2"/>
      <c r="K476" s="2"/>
      <c r="L476" s="2"/>
    </row>
    <row r="477" spans="1:12" ht="90" customHeight="1" x14ac:dyDescent="0.3">
      <c r="A477" s="8" t="s">
        <v>477</v>
      </c>
      <c r="B477" s="8" t="s">
        <v>478</v>
      </c>
      <c r="C477" s="8" t="s">
        <v>479</v>
      </c>
      <c r="D477" s="10" t="s">
        <v>22</v>
      </c>
      <c r="E477" s="10" t="s">
        <v>23</v>
      </c>
      <c r="F477" s="8" t="s">
        <v>480</v>
      </c>
      <c r="G477" s="8" t="s">
        <v>481</v>
      </c>
      <c r="H477" s="4" t="s">
        <v>482</v>
      </c>
      <c r="I477" s="4">
        <v>0.91895568370819092</v>
      </c>
      <c r="J477" s="4" t="s">
        <v>27</v>
      </c>
      <c r="K477" s="4" t="s">
        <v>478</v>
      </c>
      <c r="L477" s="4">
        <v>264</v>
      </c>
    </row>
    <row r="478" spans="1:12" ht="90" customHeight="1" x14ac:dyDescent="0.3">
      <c r="A478" s="9"/>
      <c r="B478" s="9"/>
      <c r="C478" s="9"/>
      <c r="D478" s="9"/>
      <c r="E478" s="9"/>
      <c r="F478" s="9"/>
      <c r="G478" s="9"/>
      <c r="H478" s="2"/>
      <c r="I478" s="2"/>
      <c r="J478" s="2"/>
      <c r="K478" s="2"/>
      <c r="L478" s="2"/>
    </row>
    <row r="479" spans="1:12" ht="90" customHeight="1" x14ac:dyDescent="0.3">
      <c r="A479" s="9"/>
      <c r="B479" s="9"/>
      <c r="C479" s="9"/>
      <c r="D479" s="9"/>
      <c r="E479" s="9"/>
      <c r="F479" s="9"/>
      <c r="G479" s="9"/>
      <c r="H479" s="2"/>
      <c r="I479" s="2"/>
      <c r="J479" s="2"/>
      <c r="K479" s="2"/>
      <c r="L479" s="2"/>
    </row>
    <row r="480" spans="1:12" ht="90" customHeight="1" x14ac:dyDescent="0.3">
      <c r="A480" s="9"/>
      <c r="B480" s="9"/>
      <c r="C480" s="9"/>
      <c r="D480" s="9"/>
      <c r="E480" s="9"/>
      <c r="F480" s="9"/>
      <c r="G480" s="9"/>
      <c r="H480" s="2"/>
      <c r="I480" s="2"/>
      <c r="J480" s="2"/>
      <c r="K480" s="2"/>
      <c r="L480" s="2"/>
    </row>
    <row r="481" spans="1:12" ht="90" customHeight="1" x14ac:dyDescent="0.3">
      <c r="A481" s="9"/>
      <c r="B481" s="9"/>
      <c r="C481" s="9"/>
      <c r="D481" s="9"/>
      <c r="E481" s="9"/>
      <c r="F481" s="9"/>
      <c r="G481" s="9"/>
      <c r="H481" s="2"/>
      <c r="I481" s="2"/>
      <c r="J481" s="2"/>
      <c r="K481" s="2"/>
      <c r="L481" s="2"/>
    </row>
    <row r="482" spans="1:12" ht="90" customHeight="1" x14ac:dyDescent="0.3">
      <c r="A482" s="8" t="s">
        <v>483</v>
      </c>
      <c r="B482" s="8" t="s">
        <v>484</v>
      </c>
      <c r="C482" s="8" t="s">
        <v>485</v>
      </c>
      <c r="D482" s="10" t="s">
        <v>15</v>
      </c>
      <c r="E482" s="10" t="s">
        <v>16</v>
      </c>
      <c r="F482" s="8" t="s">
        <v>486</v>
      </c>
      <c r="G482" s="8" t="s">
        <v>487</v>
      </c>
      <c r="H482" s="2" t="s">
        <v>488</v>
      </c>
      <c r="I482" s="2">
        <v>0.84690898656845071</v>
      </c>
      <c r="J482" s="2" t="s">
        <v>27</v>
      </c>
      <c r="K482" s="2" t="s">
        <v>484</v>
      </c>
      <c r="L482" s="2">
        <v>24</v>
      </c>
    </row>
    <row r="483" spans="1:12" ht="90" customHeight="1" x14ac:dyDescent="0.3">
      <c r="A483" s="9"/>
      <c r="B483" s="9"/>
      <c r="C483" s="9"/>
      <c r="D483" s="9"/>
      <c r="E483" s="9"/>
      <c r="F483" s="9"/>
      <c r="G483" s="9"/>
      <c r="H483" s="4" t="s">
        <v>489</v>
      </c>
      <c r="I483" s="4">
        <v>0.83286897976174401</v>
      </c>
      <c r="J483" s="4" t="s">
        <v>27</v>
      </c>
      <c r="K483" s="4" t="s">
        <v>484</v>
      </c>
      <c r="L483" s="4">
        <v>30</v>
      </c>
    </row>
    <row r="484" spans="1:12" ht="90" customHeight="1" x14ac:dyDescent="0.3">
      <c r="A484" s="9"/>
      <c r="B484" s="9"/>
      <c r="C484" s="9"/>
      <c r="D484" s="9"/>
      <c r="E484" s="9"/>
      <c r="F484" s="9"/>
      <c r="G484" s="9"/>
      <c r="H484" s="2"/>
      <c r="I484" s="2"/>
      <c r="J484" s="2"/>
      <c r="K484" s="2"/>
      <c r="L484" s="2"/>
    </row>
    <row r="485" spans="1:12" ht="90" customHeight="1" x14ac:dyDescent="0.3">
      <c r="A485" s="9"/>
      <c r="B485" s="9"/>
      <c r="C485" s="9"/>
      <c r="D485" s="9"/>
      <c r="E485" s="9"/>
      <c r="F485" s="9"/>
      <c r="G485" s="9"/>
      <c r="H485" s="2"/>
      <c r="I485" s="2"/>
      <c r="J485" s="2"/>
      <c r="K485" s="2"/>
      <c r="L485" s="2"/>
    </row>
    <row r="486" spans="1:12" ht="90" customHeight="1" x14ac:dyDescent="0.3">
      <c r="A486" s="9"/>
      <c r="B486" s="9"/>
      <c r="C486" s="9"/>
      <c r="D486" s="9"/>
      <c r="E486" s="9"/>
      <c r="F486" s="9"/>
      <c r="G486" s="9"/>
      <c r="H486" s="2"/>
      <c r="I486" s="2"/>
      <c r="J486" s="2"/>
      <c r="K486" s="2"/>
      <c r="L486" s="2"/>
    </row>
    <row r="487" spans="1:12" ht="90" customHeight="1" x14ac:dyDescent="0.3">
      <c r="A487" s="8" t="s">
        <v>490</v>
      </c>
      <c r="B487" s="8" t="s">
        <v>295</v>
      </c>
      <c r="C487" s="8" t="s">
        <v>14</v>
      </c>
      <c r="D487" s="10" t="s">
        <v>15</v>
      </c>
      <c r="E487" s="10" t="s">
        <v>16</v>
      </c>
      <c r="F487" s="8" t="s">
        <v>491</v>
      </c>
      <c r="G487" s="8" t="s">
        <v>18</v>
      </c>
      <c r="H487" s="2"/>
      <c r="I487" s="2"/>
      <c r="J487" s="2"/>
      <c r="K487" s="2"/>
      <c r="L487" s="2"/>
    </row>
    <row r="488" spans="1:12" ht="90" customHeight="1" x14ac:dyDescent="0.3">
      <c r="A488" s="9"/>
      <c r="B488" s="9"/>
      <c r="C488" s="9"/>
      <c r="D488" s="9"/>
      <c r="E488" s="9"/>
      <c r="F488" s="9"/>
      <c r="G488" s="9"/>
      <c r="H488" s="2"/>
      <c r="I488" s="2"/>
      <c r="J488" s="2"/>
      <c r="K488" s="2"/>
      <c r="L488" s="2"/>
    </row>
    <row r="489" spans="1:12" ht="90" customHeight="1" x14ac:dyDescent="0.3">
      <c r="A489" s="9"/>
      <c r="B489" s="9"/>
      <c r="C489" s="9"/>
      <c r="D489" s="9"/>
      <c r="E489" s="9"/>
      <c r="F489" s="9"/>
      <c r="G489" s="9"/>
      <c r="H489" s="2"/>
      <c r="I489" s="2"/>
      <c r="J489" s="2"/>
      <c r="K489" s="2"/>
      <c r="L489" s="2"/>
    </row>
    <row r="490" spans="1:12" ht="90" customHeight="1" x14ac:dyDescent="0.3">
      <c r="A490" s="9"/>
      <c r="B490" s="9"/>
      <c r="C490" s="9"/>
      <c r="D490" s="9"/>
      <c r="E490" s="9"/>
      <c r="F490" s="9"/>
      <c r="G490" s="9"/>
      <c r="H490" s="2"/>
      <c r="I490" s="2"/>
      <c r="J490" s="2"/>
      <c r="K490" s="2"/>
      <c r="L490" s="2"/>
    </row>
    <row r="491" spans="1:12" ht="90" customHeight="1" x14ac:dyDescent="0.3">
      <c r="A491" s="9"/>
      <c r="B491" s="9"/>
      <c r="C491" s="9"/>
      <c r="D491" s="9"/>
      <c r="E491" s="9"/>
      <c r="F491" s="9"/>
      <c r="G491" s="9"/>
      <c r="H491" s="2"/>
      <c r="I491" s="2"/>
      <c r="J491" s="2"/>
      <c r="K491" s="2"/>
      <c r="L491" s="2"/>
    </row>
    <row r="492" spans="1:12" ht="90" customHeight="1" x14ac:dyDescent="0.3">
      <c r="A492" s="8" t="s">
        <v>492</v>
      </c>
      <c r="B492" s="8" t="s">
        <v>493</v>
      </c>
      <c r="C492" s="8" t="s">
        <v>14</v>
      </c>
      <c r="D492" s="10" t="s">
        <v>22</v>
      </c>
      <c r="E492" s="10" t="s">
        <v>23</v>
      </c>
      <c r="F492" s="8" t="s">
        <v>494</v>
      </c>
      <c r="G492" s="8" t="s">
        <v>495</v>
      </c>
      <c r="H492" s="4" t="s">
        <v>496</v>
      </c>
      <c r="I492" s="4">
        <v>0.91735643148422241</v>
      </c>
      <c r="J492" s="4" t="s">
        <v>27</v>
      </c>
      <c r="K492" s="4" t="s">
        <v>493</v>
      </c>
      <c r="L492" s="4">
        <v>1</v>
      </c>
    </row>
    <row r="493" spans="1:12" ht="90" customHeight="1" x14ac:dyDescent="0.3">
      <c r="A493" s="9"/>
      <c r="B493" s="9"/>
      <c r="C493" s="9"/>
      <c r="D493" s="9"/>
      <c r="E493" s="9"/>
      <c r="F493" s="9"/>
      <c r="G493" s="9"/>
      <c r="H493" s="2"/>
      <c r="I493" s="2"/>
      <c r="J493" s="2"/>
      <c r="K493" s="2"/>
      <c r="L493" s="2"/>
    </row>
    <row r="494" spans="1:12" ht="90" customHeight="1" x14ac:dyDescent="0.3">
      <c r="A494" s="9"/>
      <c r="B494" s="9"/>
      <c r="C494" s="9"/>
      <c r="D494" s="9"/>
      <c r="E494" s="9"/>
      <c r="F494" s="9"/>
      <c r="G494" s="9"/>
      <c r="H494" s="2"/>
      <c r="I494" s="2"/>
      <c r="J494" s="2"/>
      <c r="K494" s="2"/>
      <c r="L494" s="2"/>
    </row>
    <row r="495" spans="1:12" ht="90" customHeight="1" x14ac:dyDescent="0.3">
      <c r="A495" s="9"/>
      <c r="B495" s="9"/>
      <c r="C495" s="9"/>
      <c r="D495" s="9"/>
      <c r="E495" s="9"/>
      <c r="F495" s="9"/>
      <c r="G495" s="9"/>
      <c r="H495" s="2"/>
      <c r="I495" s="2"/>
      <c r="J495" s="2"/>
      <c r="K495" s="2"/>
      <c r="L495" s="2"/>
    </row>
    <row r="496" spans="1:12" ht="90" customHeight="1" x14ac:dyDescent="0.3">
      <c r="A496" s="9"/>
      <c r="B496" s="9"/>
      <c r="C496" s="9"/>
      <c r="D496" s="9"/>
      <c r="E496" s="9"/>
      <c r="F496" s="9"/>
      <c r="G496" s="9"/>
      <c r="H496" s="2"/>
      <c r="I496" s="2"/>
      <c r="J496" s="2"/>
      <c r="K496" s="2"/>
      <c r="L496" s="2"/>
    </row>
    <row r="497" spans="1:12" ht="90" customHeight="1" x14ac:dyDescent="0.3">
      <c r="A497" s="8" t="s">
        <v>497</v>
      </c>
      <c r="B497" s="8" t="s">
        <v>144</v>
      </c>
      <c r="C497" s="8" t="s">
        <v>14</v>
      </c>
      <c r="D497" s="10" t="s">
        <v>15</v>
      </c>
      <c r="E497" s="10" t="s">
        <v>16</v>
      </c>
      <c r="F497" s="8" t="s">
        <v>498</v>
      </c>
      <c r="G497" s="8" t="s">
        <v>18</v>
      </c>
      <c r="H497" s="2"/>
      <c r="I497" s="2"/>
      <c r="J497" s="2"/>
      <c r="K497" s="2"/>
      <c r="L497" s="2"/>
    </row>
    <row r="498" spans="1:12" ht="90" customHeight="1" x14ac:dyDescent="0.3">
      <c r="A498" s="9"/>
      <c r="B498" s="9"/>
      <c r="C498" s="9"/>
      <c r="D498" s="9"/>
      <c r="E498" s="9"/>
      <c r="F498" s="9"/>
      <c r="G498" s="9"/>
      <c r="H498" s="2"/>
      <c r="I498" s="2"/>
      <c r="J498" s="2"/>
      <c r="K498" s="2"/>
      <c r="L498" s="2"/>
    </row>
    <row r="499" spans="1:12" ht="90" customHeight="1" x14ac:dyDescent="0.3">
      <c r="A499" s="9"/>
      <c r="B499" s="9"/>
      <c r="C499" s="9"/>
      <c r="D499" s="9"/>
      <c r="E499" s="9"/>
      <c r="F499" s="9"/>
      <c r="G499" s="9"/>
      <c r="H499" s="2"/>
      <c r="I499" s="2"/>
      <c r="J499" s="2"/>
      <c r="K499" s="2"/>
      <c r="L499" s="2"/>
    </row>
    <row r="500" spans="1:12" ht="90" customHeight="1" x14ac:dyDescent="0.3">
      <c r="A500" s="9"/>
      <c r="B500" s="9"/>
      <c r="C500" s="9"/>
      <c r="D500" s="9"/>
      <c r="E500" s="9"/>
      <c r="F500" s="9"/>
      <c r="G500" s="9"/>
      <c r="H500" s="2"/>
      <c r="I500" s="2"/>
      <c r="J500" s="2"/>
      <c r="K500" s="2"/>
      <c r="L500" s="2"/>
    </row>
    <row r="501" spans="1:12" ht="90" customHeight="1" x14ac:dyDescent="0.3">
      <c r="A501" s="9"/>
      <c r="B501" s="9"/>
      <c r="C501" s="9"/>
      <c r="D501" s="9"/>
      <c r="E501" s="9"/>
      <c r="F501" s="9"/>
      <c r="G501" s="9"/>
      <c r="H501" s="2"/>
      <c r="I501" s="2"/>
      <c r="J501" s="2"/>
      <c r="K501" s="2"/>
      <c r="L501" s="2"/>
    </row>
    <row r="502" spans="1:12" ht="90" customHeight="1" x14ac:dyDescent="0.3">
      <c r="A502" s="8" t="s">
        <v>499</v>
      </c>
      <c r="B502" s="8" t="s">
        <v>428</v>
      </c>
      <c r="C502" s="8" t="s">
        <v>500</v>
      </c>
      <c r="D502" s="10" t="s">
        <v>15</v>
      </c>
      <c r="E502" s="10" t="s">
        <v>16</v>
      </c>
      <c r="F502" s="8" t="s">
        <v>501</v>
      </c>
      <c r="G502" s="8" t="s">
        <v>502</v>
      </c>
      <c r="H502" s="1" t="s">
        <v>503</v>
      </c>
      <c r="I502" s="1">
        <v>0.95584571361541748</v>
      </c>
      <c r="J502" s="1" t="s">
        <v>27</v>
      </c>
      <c r="K502" s="1" t="s">
        <v>428</v>
      </c>
      <c r="L502" s="1">
        <v>40</v>
      </c>
    </row>
    <row r="503" spans="1:12" ht="90" customHeight="1" x14ac:dyDescent="0.3">
      <c r="A503" s="9"/>
      <c r="B503" s="9"/>
      <c r="C503" s="9"/>
      <c r="D503" s="9"/>
      <c r="E503" s="9"/>
      <c r="F503" s="9"/>
      <c r="G503" s="9"/>
      <c r="H503" s="2"/>
      <c r="I503" s="2"/>
      <c r="J503" s="2"/>
      <c r="K503" s="2"/>
      <c r="L503" s="2"/>
    </row>
    <row r="504" spans="1:12" ht="90" customHeight="1" x14ac:dyDescent="0.3">
      <c r="A504" s="9"/>
      <c r="B504" s="9"/>
      <c r="C504" s="9"/>
      <c r="D504" s="9"/>
      <c r="E504" s="9"/>
      <c r="F504" s="9"/>
      <c r="G504" s="9"/>
      <c r="H504" s="2"/>
      <c r="I504" s="2"/>
      <c r="J504" s="2"/>
      <c r="K504" s="2"/>
      <c r="L504" s="2"/>
    </row>
    <row r="505" spans="1:12" ht="90" customHeight="1" x14ac:dyDescent="0.3">
      <c r="A505" s="9"/>
      <c r="B505" s="9"/>
      <c r="C505" s="9"/>
      <c r="D505" s="9"/>
      <c r="E505" s="9"/>
      <c r="F505" s="9"/>
      <c r="G505" s="9"/>
      <c r="H505" s="2"/>
      <c r="I505" s="2"/>
      <c r="J505" s="2"/>
      <c r="K505" s="2"/>
      <c r="L505" s="2"/>
    </row>
    <row r="506" spans="1:12" ht="90" customHeight="1" x14ac:dyDescent="0.3">
      <c r="A506" s="9"/>
      <c r="B506" s="9"/>
      <c r="C506" s="9"/>
      <c r="D506" s="9"/>
      <c r="E506" s="9"/>
      <c r="F506" s="9"/>
      <c r="G506" s="9"/>
      <c r="H506" s="2"/>
      <c r="I506" s="2"/>
      <c r="J506" s="2"/>
      <c r="K506" s="2"/>
      <c r="L506" s="2"/>
    </row>
    <row r="507" spans="1:12" ht="90" customHeight="1" x14ac:dyDescent="0.3">
      <c r="A507" s="8" t="s">
        <v>504</v>
      </c>
      <c r="B507" s="8" t="s">
        <v>214</v>
      </c>
      <c r="C507" s="8" t="s">
        <v>353</v>
      </c>
      <c r="D507" s="10" t="s">
        <v>15</v>
      </c>
      <c r="E507" s="10" t="s">
        <v>16</v>
      </c>
      <c r="F507" s="8" t="s">
        <v>505</v>
      </c>
      <c r="G507" s="8" t="s">
        <v>506</v>
      </c>
      <c r="H507" s="4" t="s">
        <v>289</v>
      </c>
      <c r="I507" s="4">
        <v>0.85403573513031006</v>
      </c>
      <c r="J507" s="4" t="s">
        <v>27</v>
      </c>
      <c r="K507" s="4" t="s">
        <v>214</v>
      </c>
      <c r="L507" s="4">
        <v>3</v>
      </c>
    </row>
    <row r="508" spans="1:12" ht="90" customHeight="1" x14ac:dyDescent="0.3">
      <c r="A508" s="9"/>
      <c r="B508" s="9"/>
      <c r="C508" s="9"/>
      <c r="D508" s="9"/>
      <c r="E508" s="9"/>
      <c r="F508" s="9"/>
      <c r="G508" s="9"/>
      <c r="H508" s="4" t="s">
        <v>290</v>
      </c>
      <c r="I508" s="4">
        <v>0.84825092554092407</v>
      </c>
      <c r="J508" s="4" t="s">
        <v>27</v>
      </c>
      <c r="K508" s="4" t="s">
        <v>214</v>
      </c>
      <c r="L508" s="4">
        <v>2</v>
      </c>
    </row>
    <row r="509" spans="1:12" ht="90" customHeight="1" x14ac:dyDescent="0.3">
      <c r="A509" s="9"/>
      <c r="B509" s="9"/>
      <c r="C509" s="9"/>
      <c r="D509" s="9"/>
      <c r="E509" s="9"/>
      <c r="F509" s="9"/>
      <c r="G509" s="9"/>
      <c r="H509" s="2"/>
      <c r="I509" s="2"/>
      <c r="J509" s="2"/>
      <c r="K509" s="2"/>
      <c r="L509" s="2"/>
    </row>
    <row r="510" spans="1:12" ht="90" customHeight="1" x14ac:dyDescent="0.3">
      <c r="A510" s="9"/>
      <c r="B510" s="9"/>
      <c r="C510" s="9"/>
      <c r="D510" s="9"/>
      <c r="E510" s="9"/>
      <c r="F510" s="9"/>
      <c r="G510" s="9"/>
      <c r="H510" s="2"/>
      <c r="I510" s="2"/>
      <c r="J510" s="2"/>
      <c r="K510" s="2"/>
      <c r="L510" s="2"/>
    </row>
    <row r="511" spans="1:12" ht="90" customHeight="1" x14ac:dyDescent="0.3">
      <c r="A511" s="9"/>
      <c r="B511" s="9"/>
      <c r="C511" s="9"/>
      <c r="D511" s="9"/>
      <c r="E511" s="9"/>
      <c r="F511" s="9"/>
      <c r="G511" s="9"/>
      <c r="H511" s="2"/>
      <c r="I511" s="2"/>
      <c r="J511" s="2"/>
      <c r="K511" s="2"/>
      <c r="L511" s="2"/>
    </row>
    <row r="512" spans="1:12" ht="90" customHeight="1" x14ac:dyDescent="0.3">
      <c r="A512" s="8" t="s">
        <v>507</v>
      </c>
      <c r="B512" s="8" t="s">
        <v>128</v>
      </c>
      <c r="C512" s="8" t="s">
        <v>129</v>
      </c>
      <c r="D512" s="10" t="s">
        <v>15</v>
      </c>
      <c r="E512" s="10" t="s">
        <v>16</v>
      </c>
      <c r="F512" s="8" t="s">
        <v>508</v>
      </c>
      <c r="G512" s="8" t="s">
        <v>509</v>
      </c>
      <c r="H512" s="1" t="s">
        <v>136</v>
      </c>
      <c r="I512" s="1">
        <v>0.88117557764053345</v>
      </c>
      <c r="J512" s="1" t="s">
        <v>27</v>
      </c>
      <c r="K512" s="1" t="s">
        <v>137</v>
      </c>
      <c r="L512" s="1">
        <v>1</v>
      </c>
    </row>
    <row r="513" spans="1:12" ht="90" customHeight="1" x14ac:dyDescent="0.3">
      <c r="A513" s="9"/>
      <c r="B513" s="9"/>
      <c r="C513" s="9"/>
      <c r="D513" s="9"/>
      <c r="E513" s="9"/>
      <c r="F513" s="9"/>
      <c r="G513" s="9"/>
      <c r="H513" s="2"/>
      <c r="I513" s="2"/>
      <c r="J513" s="2"/>
      <c r="K513" s="2"/>
      <c r="L513" s="2"/>
    </row>
    <row r="514" spans="1:12" ht="90" customHeight="1" x14ac:dyDescent="0.3">
      <c r="A514" s="9"/>
      <c r="B514" s="9"/>
      <c r="C514" s="9"/>
      <c r="D514" s="9"/>
      <c r="E514" s="9"/>
      <c r="F514" s="9"/>
      <c r="G514" s="9"/>
      <c r="H514" s="2"/>
      <c r="I514" s="2"/>
      <c r="J514" s="2"/>
      <c r="K514" s="2"/>
      <c r="L514" s="2"/>
    </row>
    <row r="515" spans="1:12" ht="90" customHeight="1" x14ac:dyDescent="0.3">
      <c r="A515" s="9"/>
      <c r="B515" s="9"/>
      <c r="C515" s="9"/>
      <c r="D515" s="9"/>
      <c r="E515" s="9"/>
      <c r="F515" s="9"/>
      <c r="G515" s="9"/>
      <c r="H515" s="2"/>
      <c r="I515" s="2"/>
      <c r="J515" s="2"/>
      <c r="K515" s="2"/>
      <c r="L515" s="2"/>
    </row>
    <row r="516" spans="1:12" ht="90" customHeight="1" x14ac:dyDescent="0.3">
      <c r="A516" s="9"/>
      <c r="B516" s="9"/>
      <c r="C516" s="9"/>
      <c r="D516" s="9"/>
      <c r="E516" s="9"/>
      <c r="F516" s="9"/>
      <c r="G516" s="9"/>
      <c r="H516" s="2"/>
      <c r="I516" s="2"/>
      <c r="J516" s="2"/>
      <c r="K516" s="2"/>
      <c r="L516" s="2"/>
    </row>
    <row r="517" spans="1:12" ht="90" customHeight="1" x14ac:dyDescent="0.3">
      <c r="A517" s="8" t="s">
        <v>510</v>
      </c>
      <c r="B517" s="8" t="s">
        <v>511</v>
      </c>
      <c r="C517" s="8" t="s">
        <v>512</v>
      </c>
      <c r="D517" s="10" t="s">
        <v>15</v>
      </c>
      <c r="E517" s="10" t="s">
        <v>16</v>
      </c>
      <c r="F517" s="8" t="s">
        <v>513</v>
      </c>
      <c r="G517" s="8" t="s">
        <v>18</v>
      </c>
      <c r="H517" s="2"/>
      <c r="I517" s="2"/>
      <c r="J517" s="2"/>
      <c r="K517" s="2"/>
      <c r="L517" s="2"/>
    </row>
    <row r="518" spans="1:12" ht="90" customHeight="1" x14ac:dyDescent="0.3">
      <c r="A518" s="9"/>
      <c r="B518" s="9"/>
      <c r="C518" s="9"/>
      <c r="D518" s="9"/>
      <c r="E518" s="9"/>
      <c r="F518" s="9"/>
      <c r="G518" s="9"/>
      <c r="H518" s="2"/>
      <c r="I518" s="2"/>
      <c r="J518" s="2"/>
      <c r="K518" s="2"/>
      <c r="L518" s="2"/>
    </row>
    <row r="519" spans="1:12" ht="90" customHeight="1" x14ac:dyDescent="0.3">
      <c r="A519" s="9"/>
      <c r="B519" s="9"/>
      <c r="C519" s="9"/>
      <c r="D519" s="9"/>
      <c r="E519" s="9"/>
      <c r="F519" s="9"/>
      <c r="G519" s="9"/>
      <c r="H519" s="2"/>
      <c r="I519" s="2"/>
      <c r="J519" s="2"/>
      <c r="K519" s="2"/>
      <c r="L519" s="2"/>
    </row>
    <row r="520" spans="1:12" ht="90" customHeight="1" x14ac:dyDescent="0.3">
      <c r="A520" s="9"/>
      <c r="B520" s="9"/>
      <c r="C520" s="9"/>
      <c r="D520" s="9"/>
      <c r="E520" s="9"/>
      <c r="F520" s="9"/>
      <c r="G520" s="9"/>
      <c r="H520" s="2"/>
      <c r="I520" s="2"/>
      <c r="J520" s="2"/>
      <c r="K520" s="2"/>
      <c r="L520" s="2"/>
    </row>
    <row r="521" spans="1:12" ht="90" customHeight="1" x14ac:dyDescent="0.3">
      <c r="A521" s="9"/>
      <c r="B521" s="9"/>
      <c r="C521" s="9"/>
      <c r="D521" s="9"/>
      <c r="E521" s="9"/>
      <c r="F521" s="9"/>
      <c r="G521" s="9"/>
      <c r="H521" s="2"/>
      <c r="I521" s="2"/>
      <c r="J521" s="2"/>
      <c r="K521" s="2"/>
      <c r="L521" s="2"/>
    </row>
    <row r="522" spans="1:12" ht="90" customHeight="1" x14ac:dyDescent="0.3">
      <c r="A522" s="8" t="s">
        <v>514</v>
      </c>
      <c r="B522" s="8" t="s">
        <v>347</v>
      </c>
      <c r="C522" s="8" t="s">
        <v>515</v>
      </c>
      <c r="D522" s="10" t="s">
        <v>15</v>
      </c>
      <c r="E522" s="10" t="s">
        <v>16</v>
      </c>
      <c r="F522" s="8" t="s">
        <v>516</v>
      </c>
      <c r="G522" s="8" t="s">
        <v>517</v>
      </c>
      <c r="H522" s="4" t="s">
        <v>518</v>
      </c>
      <c r="I522" s="4">
        <v>0.93248384552839769</v>
      </c>
      <c r="J522" s="4" t="s">
        <v>27</v>
      </c>
      <c r="K522" s="4" t="s">
        <v>347</v>
      </c>
      <c r="L522" s="4">
        <v>19</v>
      </c>
    </row>
    <row r="523" spans="1:12" ht="90" customHeight="1" x14ac:dyDescent="0.3">
      <c r="A523" s="9"/>
      <c r="B523" s="9"/>
      <c r="C523" s="9"/>
      <c r="D523" s="9"/>
      <c r="E523" s="9"/>
      <c r="F523" s="9"/>
      <c r="G523" s="9"/>
      <c r="H523" s="2" t="s">
        <v>519</v>
      </c>
      <c r="I523" s="2">
        <v>0.91529813156853668</v>
      </c>
      <c r="J523" s="2" t="s">
        <v>27</v>
      </c>
      <c r="K523" s="2" t="s">
        <v>347</v>
      </c>
      <c r="L523" s="2">
        <v>80</v>
      </c>
    </row>
    <row r="524" spans="1:12" ht="90" customHeight="1" x14ac:dyDescent="0.3">
      <c r="A524" s="9"/>
      <c r="B524" s="9"/>
      <c r="C524" s="9"/>
      <c r="D524" s="9"/>
      <c r="E524" s="9"/>
      <c r="F524" s="9"/>
      <c r="G524" s="9"/>
      <c r="H524" s="2"/>
      <c r="I524" s="2"/>
      <c r="J524" s="2"/>
      <c r="K524" s="2"/>
      <c r="L524" s="2"/>
    </row>
    <row r="525" spans="1:12" ht="90" customHeight="1" x14ac:dyDescent="0.3">
      <c r="A525" s="9"/>
      <c r="B525" s="9"/>
      <c r="C525" s="9"/>
      <c r="D525" s="9"/>
      <c r="E525" s="9"/>
      <c r="F525" s="9"/>
      <c r="G525" s="9"/>
      <c r="H525" s="2"/>
      <c r="I525" s="2"/>
      <c r="J525" s="2"/>
      <c r="K525" s="2"/>
      <c r="L525" s="2"/>
    </row>
    <row r="526" spans="1:12" ht="90" customHeight="1" x14ac:dyDescent="0.3">
      <c r="A526" s="9"/>
      <c r="B526" s="9"/>
      <c r="C526" s="9"/>
      <c r="D526" s="9"/>
      <c r="E526" s="9"/>
      <c r="F526" s="9"/>
      <c r="G526" s="9"/>
      <c r="H526" s="2"/>
      <c r="I526" s="2"/>
      <c r="J526" s="2"/>
      <c r="K526" s="2"/>
      <c r="L526" s="2"/>
    </row>
    <row r="527" spans="1:12" ht="90" customHeight="1" x14ac:dyDescent="0.3">
      <c r="A527" s="8" t="s">
        <v>520</v>
      </c>
      <c r="B527" s="8" t="s">
        <v>223</v>
      </c>
      <c r="C527" s="8" t="s">
        <v>230</v>
      </c>
      <c r="D527" s="10" t="s">
        <v>15</v>
      </c>
      <c r="E527" s="10" t="s">
        <v>16</v>
      </c>
      <c r="F527" s="8" t="s">
        <v>521</v>
      </c>
      <c r="G527" s="8" t="s">
        <v>522</v>
      </c>
      <c r="H527" s="1" t="s">
        <v>226</v>
      </c>
      <c r="I527" s="1">
        <v>0.96128386259078979</v>
      </c>
      <c r="J527" s="1" t="s">
        <v>27</v>
      </c>
      <c r="K527" s="1" t="s">
        <v>227</v>
      </c>
      <c r="L527" s="1">
        <v>22</v>
      </c>
    </row>
    <row r="528" spans="1:12" ht="90" customHeight="1" x14ac:dyDescent="0.3">
      <c r="A528" s="9"/>
      <c r="B528" s="9"/>
      <c r="C528" s="9"/>
      <c r="D528" s="9"/>
      <c r="E528" s="9"/>
      <c r="F528" s="9"/>
      <c r="G528" s="9"/>
      <c r="H528" s="2"/>
      <c r="I528" s="2"/>
      <c r="J528" s="2"/>
      <c r="K528" s="2"/>
      <c r="L528" s="2"/>
    </row>
    <row r="529" spans="1:12" ht="90" customHeight="1" x14ac:dyDescent="0.3">
      <c r="A529" s="9"/>
      <c r="B529" s="9"/>
      <c r="C529" s="9"/>
      <c r="D529" s="9"/>
      <c r="E529" s="9"/>
      <c r="F529" s="9"/>
      <c r="G529" s="9"/>
      <c r="H529" s="2"/>
      <c r="I529" s="2"/>
      <c r="J529" s="2"/>
      <c r="K529" s="2"/>
      <c r="L529" s="2"/>
    </row>
    <row r="530" spans="1:12" ht="90" customHeight="1" x14ac:dyDescent="0.3">
      <c r="A530" s="9"/>
      <c r="B530" s="9"/>
      <c r="C530" s="9"/>
      <c r="D530" s="9"/>
      <c r="E530" s="9"/>
      <c r="F530" s="9"/>
      <c r="G530" s="9"/>
      <c r="H530" s="2"/>
      <c r="I530" s="2"/>
      <c r="J530" s="2"/>
      <c r="K530" s="2"/>
      <c r="L530" s="2"/>
    </row>
    <row r="531" spans="1:12" ht="90" customHeight="1" x14ac:dyDescent="0.3">
      <c r="A531" s="9"/>
      <c r="B531" s="9"/>
      <c r="C531" s="9"/>
      <c r="D531" s="9"/>
      <c r="E531" s="9"/>
      <c r="F531" s="9"/>
      <c r="G531" s="9"/>
      <c r="H531" s="2"/>
      <c r="I531" s="2"/>
      <c r="J531" s="2"/>
      <c r="K531" s="2"/>
      <c r="L531" s="2"/>
    </row>
    <row r="532" spans="1:12" ht="90" customHeight="1" x14ac:dyDescent="0.3">
      <c r="A532" s="8" t="s">
        <v>523</v>
      </c>
      <c r="B532" s="8" t="s">
        <v>208</v>
      </c>
      <c r="C532" s="8" t="s">
        <v>66</v>
      </c>
      <c r="D532" s="10" t="s">
        <v>22</v>
      </c>
      <c r="E532" s="10" t="s">
        <v>23</v>
      </c>
      <c r="F532" s="8" t="s">
        <v>524</v>
      </c>
      <c r="G532" s="8" t="s">
        <v>525</v>
      </c>
      <c r="H532" s="4" t="s">
        <v>526</v>
      </c>
      <c r="I532" s="4">
        <v>0.95190709828932274</v>
      </c>
      <c r="J532" s="4" t="s">
        <v>27</v>
      </c>
      <c r="K532" s="4" t="s">
        <v>208</v>
      </c>
      <c r="L532" s="4">
        <v>13</v>
      </c>
    </row>
    <row r="533" spans="1:12" ht="90" customHeight="1" x14ac:dyDescent="0.3">
      <c r="A533" s="9"/>
      <c r="B533" s="9"/>
      <c r="C533" s="9"/>
      <c r="D533" s="9"/>
      <c r="E533" s="9"/>
      <c r="F533" s="9"/>
      <c r="G533" s="9"/>
      <c r="H533" s="2"/>
      <c r="I533" s="2"/>
      <c r="J533" s="2"/>
      <c r="K533" s="2"/>
      <c r="L533" s="2"/>
    </row>
    <row r="534" spans="1:12" ht="90" customHeight="1" x14ac:dyDescent="0.3">
      <c r="A534" s="9"/>
      <c r="B534" s="9"/>
      <c r="C534" s="9"/>
      <c r="D534" s="9"/>
      <c r="E534" s="9"/>
      <c r="F534" s="9"/>
      <c r="G534" s="9"/>
      <c r="H534" s="2"/>
      <c r="I534" s="2"/>
      <c r="J534" s="2"/>
      <c r="K534" s="2"/>
      <c r="L534" s="2"/>
    </row>
    <row r="535" spans="1:12" ht="90" customHeight="1" x14ac:dyDescent="0.3">
      <c r="A535" s="9"/>
      <c r="B535" s="9"/>
      <c r="C535" s="9"/>
      <c r="D535" s="9"/>
      <c r="E535" s="9"/>
      <c r="F535" s="9"/>
      <c r="G535" s="9"/>
      <c r="H535" s="2"/>
      <c r="I535" s="2"/>
      <c r="J535" s="2"/>
      <c r="K535" s="2"/>
      <c r="L535" s="2"/>
    </row>
    <row r="536" spans="1:12" ht="90" customHeight="1" x14ac:dyDescent="0.3">
      <c r="A536" s="9"/>
      <c r="B536" s="9"/>
      <c r="C536" s="9"/>
      <c r="D536" s="9"/>
      <c r="E536" s="9"/>
      <c r="F536" s="9"/>
      <c r="G536" s="9"/>
      <c r="H536" s="2"/>
      <c r="I536" s="2"/>
      <c r="J536" s="2"/>
      <c r="K536" s="2"/>
      <c r="L536" s="2"/>
    </row>
    <row r="537" spans="1:12" ht="90" customHeight="1" x14ac:dyDescent="0.3">
      <c r="A537" s="8" t="s">
        <v>527</v>
      </c>
      <c r="B537" s="8" t="s">
        <v>528</v>
      </c>
      <c r="C537" s="8" t="s">
        <v>529</v>
      </c>
      <c r="D537" s="10" t="s">
        <v>15</v>
      </c>
      <c r="E537" s="10" t="s">
        <v>16</v>
      </c>
      <c r="F537" s="8" t="s">
        <v>530</v>
      </c>
      <c r="G537" s="8" t="s">
        <v>18</v>
      </c>
      <c r="H537" s="2"/>
      <c r="I537" s="2"/>
      <c r="J537" s="2"/>
      <c r="K537" s="2"/>
      <c r="L537" s="2"/>
    </row>
    <row r="538" spans="1:12" ht="90" customHeight="1" x14ac:dyDescent="0.3">
      <c r="A538" s="9"/>
      <c r="B538" s="9"/>
      <c r="C538" s="9"/>
      <c r="D538" s="9"/>
      <c r="E538" s="9"/>
      <c r="F538" s="9"/>
      <c r="G538" s="9"/>
      <c r="H538" s="2"/>
      <c r="I538" s="2"/>
      <c r="J538" s="2"/>
      <c r="K538" s="2"/>
      <c r="L538" s="2"/>
    </row>
    <row r="539" spans="1:12" ht="90" customHeight="1" x14ac:dyDescent="0.3">
      <c r="A539" s="9"/>
      <c r="B539" s="9"/>
      <c r="C539" s="9"/>
      <c r="D539" s="9"/>
      <c r="E539" s="9"/>
      <c r="F539" s="9"/>
      <c r="G539" s="9"/>
      <c r="H539" s="2"/>
      <c r="I539" s="2"/>
      <c r="J539" s="2"/>
      <c r="K539" s="2"/>
      <c r="L539" s="2"/>
    </row>
    <row r="540" spans="1:12" ht="90" customHeight="1" x14ac:dyDescent="0.3">
      <c r="A540" s="9"/>
      <c r="B540" s="9"/>
      <c r="C540" s="9"/>
      <c r="D540" s="9"/>
      <c r="E540" s="9"/>
      <c r="F540" s="9"/>
      <c r="G540" s="9"/>
      <c r="H540" s="2"/>
      <c r="I540" s="2"/>
      <c r="J540" s="2"/>
      <c r="K540" s="2"/>
      <c r="L540" s="2"/>
    </row>
    <row r="541" spans="1:12" ht="90" customHeight="1" x14ac:dyDescent="0.3">
      <c r="A541" s="9"/>
      <c r="B541" s="9"/>
      <c r="C541" s="9"/>
      <c r="D541" s="9"/>
      <c r="E541" s="9"/>
      <c r="F541" s="9"/>
      <c r="G541" s="9"/>
      <c r="H541" s="2"/>
      <c r="I541" s="2"/>
      <c r="J541" s="2"/>
      <c r="K541" s="2"/>
      <c r="L541" s="2"/>
    </row>
    <row r="542" spans="1:12" ht="90" customHeight="1" x14ac:dyDescent="0.3">
      <c r="A542" s="8" t="s">
        <v>531</v>
      </c>
      <c r="B542" s="8" t="s">
        <v>532</v>
      </c>
      <c r="C542" s="8" t="s">
        <v>533</v>
      </c>
      <c r="D542" s="10" t="s">
        <v>15</v>
      </c>
      <c r="E542" s="10" t="s">
        <v>16</v>
      </c>
      <c r="F542" s="8" t="s">
        <v>534</v>
      </c>
      <c r="G542" s="8" t="s">
        <v>18</v>
      </c>
      <c r="H542" s="2"/>
      <c r="I542" s="2"/>
      <c r="J542" s="2"/>
      <c r="K542" s="2"/>
      <c r="L542" s="2"/>
    </row>
    <row r="543" spans="1:12" ht="90" customHeight="1" x14ac:dyDescent="0.3">
      <c r="A543" s="9"/>
      <c r="B543" s="9"/>
      <c r="C543" s="9"/>
      <c r="D543" s="9"/>
      <c r="E543" s="9"/>
      <c r="F543" s="9"/>
      <c r="G543" s="9"/>
      <c r="H543" s="2"/>
      <c r="I543" s="2"/>
      <c r="J543" s="2"/>
      <c r="K543" s="2"/>
      <c r="L543" s="2"/>
    </row>
    <row r="544" spans="1:12" ht="90" customHeight="1" x14ac:dyDescent="0.3">
      <c r="A544" s="9"/>
      <c r="B544" s="9"/>
      <c r="C544" s="9"/>
      <c r="D544" s="9"/>
      <c r="E544" s="9"/>
      <c r="F544" s="9"/>
      <c r="G544" s="9"/>
      <c r="H544" s="2"/>
      <c r="I544" s="2"/>
      <c r="J544" s="2"/>
      <c r="K544" s="2"/>
      <c r="L544" s="2"/>
    </row>
    <row r="545" spans="1:12" ht="90" customHeight="1" x14ac:dyDescent="0.3">
      <c r="A545" s="9"/>
      <c r="B545" s="9"/>
      <c r="C545" s="9"/>
      <c r="D545" s="9"/>
      <c r="E545" s="9"/>
      <c r="F545" s="9"/>
      <c r="G545" s="9"/>
      <c r="H545" s="2"/>
      <c r="I545" s="2"/>
      <c r="J545" s="2"/>
      <c r="K545" s="2"/>
      <c r="L545" s="2"/>
    </row>
    <row r="546" spans="1:12" ht="90" customHeight="1" x14ac:dyDescent="0.3">
      <c r="A546" s="9"/>
      <c r="B546" s="9"/>
      <c r="C546" s="9"/>
      <c r="D546" s="9"/>
      <c r="E546" s="9"/>
      <c r="F546" s="9"/>
      <c r="G546" s="9"/>
      <c r="H546" s="2"/>
      <c r="I546" s="2"/>
      <c r="J546" s="2"/>
      <c r="K546" s="2"/>
      <c r="L546" s="2"/>
    </row>
    <row r="547" spans="1:12" ht="90" customHeight="1" x14ac:dyDescent="0.3">
      <c r="A547" s="8" t="s">
        <v>535</v>
      </c>
      <c r="B547" s="8" t="s">
        <v>20</v>
      </c>
      <c r="C547" s="8" t="s">
        <v>247</v>
      </c>
      <c r="D547" s="10" t="s">
        <v>22</v>
      </c>
      <c r="E547" s="10" t="s">
        <v>23</v>
      </c>
      <c r="F547" s="8" t="s">
        <v>536</v>
      </c>
      <c r="G547" s="8" t="s">
        <v>537</v>
      </c>
      <c r="H547" s="4" t="s">
        <v>26</v>
      </c>
      <c r="I547" s="4">
        <v>0.8593488506147775</v>
      </c>
      <c r="J547" s="4" t="s">
        <v>27</v>
      </c>
      <c r="K547" s="4" t="s">
        <v>20</v>
      </c>
      <c r="L547" s="4">
        <v>3</v>
      </c>
    </row>
    <row r="548" spans="1:12" ht="90" customHeight="1" x14ac:dyDescent="0.3">
      <c r="A548" s="9"/>
      <c r="B548" s="9"/>
      <c r="C548" s="9"/>
      <c r="D548" s="9"/>
      <c r="E548" s="9"/>
      <c r="F548" s="9"/>
      <c r="G548" s="9"/>
      <c r="H548" s="4" t="s">
        <v>28</v>
      </c>
      <c r="I548" s="4">
        <v>0.79614958675249847</v>
      </c>
      <c r="J548" s="4" t="s">
        <v>27</v>
      </c>
      <c r="K548" s="4" t="s">
        <v>20</v>
      </c>
      <c r="L548" s="4">
        <v>1</v>
      </c>
    </row>
    <row r="549" spans="1:12" ht="90" customHeight="1" x14ac:dyDescent="0.3">
      <c r="A549" s="9"/>
      <c r="B549" s="9"/>
      <c r="C549" s="9"/>
      <c r="D549" s="9"/>
      <c r="E549" s="9"/>
      <c r="F549" s="9"/>
      <c r="G549" s="9"/>
      <c r="H549" s="4" t="s">
        <v>29</v>
      </c>
      <c r="I549" s="4">
        <v>0.76790394035877763</v>
      </c>
      <c r="J549" s="4" t="s">
        <v>27</v>
      </c>
      <c r="K549" s="4" t="s">
        <v>20</v>
      </c>
      <c r="L549" s="4">
        <v>2</v>
      </c>
    </row>
    <row r="550" spans="1:12" ht="90" customHeight="1" x14ac:dyDescent="0.3">
      <c r="A550" s="9"/>
      <c r="B550" s="9"/>
      <c r="C550" s="9"/>
      <c r="D550" s="9"/>
      <c r="E550" s="9"/>
      <c r="F550" s="9"/>
      <c r="G550" s="9"/>
      <c r="H550" s="2"/>
      <c r="I550" s="2"/>
      <c r="J550" s="2"/>
      <c r="K550" s="2"/>
      <c r="L550" s="2"/>
    </row>
    <row r="551" spans="1:12" ht="90" customHeight="1" x14ac:dyDescent="0.3">
      <c r="A551" s="9"/>
      <c r="B551" s="9"/>
      <c r="C551" s="9"/>
      <c r="D551" s="9"/>
      <c r="E551" s="9"/>
      <c r="F551" s="9"/>
      <c r="G551" s="9"/>
      <c r="H551" s="2"/>
      <c r="I551" s="2"/>
      <c r="J551" s="2"/>
      <c r="K551" s="2"/>
      <c r="L551" s="2"/>
    </row>
    <row r="552" spans="1:12" ht="90" customHeight="1" x14ac:dyDescent="0.3">
      <c r="A552" s="8" t="s">
        <v>538</v>
      </c>
      <c r="B552" s="8" t="s">
        <v>493</v>
      </c>
      <c r="C552" s="8" t="s">
        <v>14</v>
      </c>
      <c r="D552" s="10" t="s">
        <v>15</v>
      </c>
      <c r="E552" s="10" t="s">
        <v>16</v>
      </c>
      <c r="F552" s="8" t="s">
        <v>539</v>
      </c>
      <c r="G552" s="8" t="s">
        <v>18</v>
      </c>
      <c r="H552" s="2"/>
      <c r="I552" s="2"/>
      <c r="J552" s="2"/>
      <c r="K552" s="2"/>
      <c r="L552" s="2"/>
    </row>
    <row r="553" spans="1:12" ht="90" customHeight="1" x14ac:dyDescent="0.3">
      <c r="A553" s="9"/>
      <c r="B553" s="9"/>
      <c r="C553" s="9"/>
      <c r="D553" s="9"/>
      <c r="E553" s="9"/>
      <c r="F553" s="9"/>
      <c r="G553" s="9"/>
      <c r="H553" s="2"/>
      <c r="I553" s="2"/>
      <c r="J553" s="2"/>
      <c r="K553" s="2"/>
      <c r="L553" s="2"/>
    </row>
    <row r="554" spans="1:12" ht="90" customHeight="1" x14ac:dyDescent="0.3">
      <c r="A554" s="9"/>
      <c r="B554" s="9"/>
      <c r="C554" s="9"/>
      <c r="D554" s="9"/>
      <c r="E554" s="9"/>
      <c r="F554" s="9"/>
      <c r="G554" s="9"/>
      <c r="H554" s="2"/>
      <c r="I554" s="2"/>
      <c r="J554" s="2"/>
      <c r="K554" s="2"/>
      <c r="L554" s="2"/>
    </row>
    <row r="555" spans="1:12" ht="90" customHeight="1" x14ac:dyDescent="0.3">
      <c r="A555" s="9"/>
      <c r="B555" s="9"/>
      <c r="C555" s="9"/>
      <c r="D555" s="9"/>
      <c r="E555" s="9"/>
      <c r="F555" s="9"/>
      <c r="G555" s="9"/>
      <c r="H555" s="2"/>
      <c r="I555" s="2"/>
      <c r="J555" s="2"/>
      <c r="K555" s="2"/>
      <c r="L555" s="2"/>
    </row>
    <row r="556" spans="1:12" ht="90" customHeight="1" x14ac:dyDescent="0.3">
      <c r="A556" s="9"/>
      <c r="B556" s="9"/>
      <c r="C556" s="9"/>
      <c r="D556" s="9"/>
      <c r="E556" s="9"/>
      <c r="F556" s="9"/>
      <c r="G556" s="9"/>
      <c r="H556" s="2"/>
      <c r="I556" s="2"/>
      <c r="J556" s="2"/>
      <c r="K556" s="2"/>
      <c r="L556" s="2"/>
    </row>
    <row r="557" spans="1:12" ht="90" customHeight="1" x14ac:dyDescent="0.3">
      <c r="A557" s="8" t="s">
        <v>540</v>
      </c>
      <c r="B557" s="8" t="s">
        <v>72</v>
      </c>
      <c r="C557" s="8" t="s">
        <v>541</v>
      </c>
      <c r="D557" s="10" t="s">
        <v>15</v>
      </c>
      <c r="E557" s="10" t="s">
        <v>16</v>
      </c>
      <c r="F557" s="8" t="s">
        <v>542</v>
      </c>
      <c r="G557" s="8" t="s">
        <v>543</v>
      </c>
      <c r="H557" s="2" t="s">
        <v>544</v>
      </c>
      <c r="I557" s="2">
        <v>0.80659550428390503</v>
      </c>
      <c r="J557" s="2" t="s">
        <v>27</v>
      </c>
      <c r="K557" s="2" t="s">
        <v>545</v>
      </c>
      <c r="L557" s="2">
        <v>22</v>
      </c>
    </row>
    <row r="558" spans="1:12" ht="90" customHeight="1" x14ac:dyDescent="0.3">
      <c r="A558" s="9"/>
      <c r="B558" s="9"/>
      <c r="C558" s="9"/>
      <c r="D558" s="9"/>
      <c r="E558" s="9"/>
      <c r="F558" s="9"/>
      <c r="G558" s="9"/>
      <c r="H558" s="2"/>
      <c r="I558" s="2"/>
      <c r="J558" s="2"/>
      <c r="K558" s="2"/>
      <c r="L558" s="2"/>
    </row>
    <row r="559" spans="1:12" ht="90" customHeight="1" x14ac:dyDescent="0.3">
      <c r="A559" s="9"/>
      <c r="B559" s="9"/>
      <c r="C559" s="9"/>
      <c r="D559" s="9"/>
      <c r="E559" s="9"/>
      <c r="F559" s="9"/>
      <c r="G559" s="9"/>
      <c r="H559" s="2"/>
      <c r="I559" s="2"/>
      <c r="J559" s="2"/>
      <c r="K559" s="2"/>
      <c r="L559" s="2"/>
    </row>
    <row r="560" spans="1:12" ht="90" customHeight="1" x14ac:dyDescent="0.3">
      <c r="A560" s="9"/>
      <c r="B560" s="9"/>
      <c r="C560" s="9"/>
      <c r="D560" s="9"/>
      <c r="E560" s="9"/>
      <c r="F560" s="9"/>
      <c r="G560" s="9"/>
      <c r="H560" s="2"/>
      <c r="I560" s="2"/>
      <c r="J560" s="2"/>
      <c r="K560" s="2"/>
      <c r="L560" s="2"/>
    </row>
    <row r="561" spans="1:12" ht="90" customHeight="1" x14ac:dyDescent="0.3">
      <c r="A561" s="9"/>
      <c r="B561" s="9"/>
      <c r="C561" s="9"/>
      <c r="D561" s="9"/>
      <c r="E561" s="9"/>
      <c r="F561" s="9"/>
      <c r="G561" s="9"/>
      <c r="H561" s="2"/>
      <c r="I561" s="2"/>
      <c r="J561" s="2"/>
      <c r="K561" s="2"/>
      <c r="L561" s="2"/>
    </row>
    <row r="562" spans="1:12" ht="90" customHeight="1" x14ac:dyDescent="0.3">
      <c r="A562" s="8" t="s">
        <v>546</v>
      </c>
      <c r="B562" s="8" t="s">
        <v>547</v>
      </c>
      <c r="C562" s="8" t="s">
        <v>257</v>
      </c>
      <c r="D562" s="10" t="s">
        <v>15</v>
      </c>
      <c r="E562" s="10" t="s">
        <v>16</v>
      </c>
      <c r="F562" s="8" t="s">
        <v>548</v>
      </c>
      <c r="G562" s="8" t="s">
        <v>18</v>
      </c>
      <c r="H562" s="2"/>
      <c r="I562" s="2"/>
      <c r="J562" s="2"/>
      <c r="K562" s="2"/>
      <c r="L562" s="2"/>
    </row>
    <row r="563" spans="1:12" ht="90" customHeight="1" x14ac:dyDescent="0.3">
      <c r="A563" s="9"/>
      <c r="B563" s="9"/>
      <c r="C563" s="9"/>
      <c r="D563" s="9"/>
      <c r="E563" s="9"/>
      <c r="F563" s="9"/>
      <c r="G563" s="9"/>
      <c r="H563" s="2"/>
      <c r="I563" s="2"/>
      <c r="J563" s="2"/>
      <c r="K563" s="2"/>
      <c r="L563" s="2"/>
    </row>
    <row r="564" spans="1:12" ht="90" customHeight="1" x14ac:dyDescent="0.3">
      <c r="A564" s="9"/>
      <c r="B564" s="9"/>
      <c r="C564" s="9"/>
      <c r="D564" s="9"/>
      <c r="E564" s="9"/>
      <c r="F564" s="9"/>
      <c r="G564" s="9"/>
      <c r="H564" s="2"/>
      <c r="I564" s="2"/>
      <c r="J564" s="2"/>
      <c r="K564" s="2"/>
      <c r="L564" s="2"/>
    </row>
    <row r="565" spans="1:12" ht="90" customHeight="1" x14ac:dyDescent="0.3">
      <c r="A565" s="9"/>
      <c r="B565" s="9"/>
      <c r="C565" s="9"/>
      <c r="D565" s="9"/>
      <c r="E565" s="9"/>
      <c r="F565" s="9"/>
      <c r="G565" s="9"/>
      <c r="H565" s="2"/>
      <c r="I565" s="2"/>
      <c r="J565" s="2"/>
      <c r="K565" s="2"/>
      <c r="L565" s="2"/>
    </row>
    <row r="566" spans="1:12" ht="90" customHeight="1" x14ac:dyDescent="0.3">
      <c r="A566" s="9"/>
      <c r="B566" s="9"/>
      <c r="C566" s="9"/>
      <c r="D566" s="9"/>
      <c r="E566" s="9"/>
      <c r="F566" s="9"/>
      <c r="G566" s="9"/>
      <c r="H566" s="2"/>
      <c r="I566" s="2"/>
      <c r="J566" s="2"/>
      <c r="K566" s="2"/>
      <c r="L566" s="2"/>
    </row>
    <row r="567" spans="1:12" ht="90" customHeight="1" x14ac:dyDescent="0.3">
      <c r="A567" s="8" t="s">
        <v>549</v>
      </c>
      <c r="B567" s="8" t="s">
        <v>550</v>
      </c>
      <c r="C567" s="8" t="s">
        <v>551</v>
      </c>
      <c r="D567" s="10" t="s">
        <v>15</v>
      </c>
      <c r="E567" s="10" t="s">
        <v>16</v>
      </c>
      <c r="F567" s="8" t="s">
        <v>552</v>
      </c>
      <c r="G567" s="8" t="s">
        <v>553</v>
      </c>
      <c r="H567" s="4" t="s">
        <v>554</v>
      </c>
      <c r="I567" s="4">
        <v>0.99368709325790405</v>
      </c>
      <c r="J567" s="4" t="s">
        <v>27</v>
      </c>
      <c r="K567" s="4" t="s">
        <v>550</v>
      </c>
      <c r="L567" s="4">
        <v>1</v>
      </c>
    </row>
    <row r="568" spans="1:12" ht="90" customHeight="1" x14ac:dyDescent="0.3">
      <c r="A568" s="9"/>
      <c r="B568" s="9"/>
      <c r="C568" s="9"/>
      <c r="D568" s="9"/>
      <c r="E568" s="9"/>
      <c r="F568" s="9"/>
      <c r="G568" s="9"/>
      <c r="H568" s="2" t="s">
        <v>555</v>
      </c>
      <c r="I568" s="2">
        <v>0.88891726732254028</v>
      </c>
      <c r="J568" s="2" t="s">
        <v>27</v>
      </c>
      <c r="K568" s="2" t="s">
        <v>478</v>
      </c>
      <c r="L568" s="2">
        <v>47</v>
      </c>
    </row>
    <row r="569" spans="1:12" ht="90" customHeight="1" x14ac:dyDescent="0.3">
      <c r="A569" s="9"/>
      <c r="B569" s="9"/>
      <c r="C569" s="9"/>
      <c r="D569" s="9"/>
      <c r="E569" s="9"/>
      <c r="F569" s="9"/>
      <c r="G569" s="9"/>
      <c r="H569" s="2" t="s">
        <v>556</v>
      </c>
      <c r="I569" s="2">
        <v>0.75592851638793945</v>
      </c>
      <c r="J569" s="2" t="s">
        <v>27</v>
      </c>
      <c r="K569" s="2" t="s">
        <v>478</v>
      </c>
      <c r="L569" s="2">
        <v>185</v>
      </c>
    </row>
    <row r="570" spans="1:12" ht="90" customHeight="1" x14ac:dyDescent="0.3">
      <c r="A570" s="9"/>
      <c r="B570" s="9"/>
      <c r="C570" s="9"/>
      <c r="D570" s="9"/>
      <c r="E570" s="9"/>
      <c r="F570" s="9"/>
      <c r="G570" s="9"/>
      <c r="H570" s="2"/>
      <c r="I570" s="2"/>
      <c r="J570" s="2"/>
      <c r="K570" s="2"/>
      <c r="L570" s="2"/>
    </row>
    <row r="571" spans="1:12" ht="90" customHeight="1" x14ac:dyDescent="0.3">
      <c r="A571" s="9"/>
      <c r="B571" s="9"/>
      <c r="C571" s="9"/>
      <c r="D571" s="9"/>
      <c r="E571" s="9"/>
      <c r="F571" s="9"/>
      <c r="G571" s="9"/>
      <c r="H571" s="2"/>
      <c r="I571" s="2"/>
      <c r="J571" s="2"/>
      <c r="K571" s="2"/>
      <c r="L571" s="2"/>
    </row>
    <row r="572" spans="1:12" ht="90" customHeight="1" x14ac:dyDescent="0.3">
      <c r="A572" s="8" t="s">
        <v>557</v>
      </c>
      <c r="B572" s="8" t="s">
        <v>34</v>
      </c>
      <c r="C572" s="8" t="s">
        <v>14</v>
      </c>
      <c r="D572" s="10" t="s">
        <v>15</v>
      </c>
      <c r="E572" s="10" t="s">
        <v>16</v>
      </c>
      <c r="F572" s="8" t="s">
        <v>558</v>
      </c>
      <c r="G572" s="8" t="s">
        <v>18</v>
      </c>
      <c r="H572" s="2"/>
      <c r="I572" s="2"/>
      <c r="J572" s="2"/>
      <c r="K572" s="2"/>
      <c r="L572" s="2"/>
    </row>
    <row r="573" spans="1:12" ht="90" customHeight="1" x14ac:dyDescent="0.3">
      <c r="A573" s="9"/>
      <c r="B573" s="9"/>
      <c r="C573" s="9"/>
      <c r="D573" s="9"/>
      <c r="E573" s="9"/>
      <c r="F573" s="9"/>
      <c r="G573" s="9"/>
      <c r="H573" s="2"/>
      <c r="I573" s="2"/>
      <c r="J573" s="2"/>
      <c r="K573" s="2"/>
      <c r="L573" s="2"/>
    </row>
    <row r="574" spans="1:12" ht="90" customHeight="1" x14ac:dyDescent="0.3">
      <c r="A574" s="9"/>
      <c r="B574" s="9"/>
      <c r="C574" s="9"/>
      <c r="D574" s="9"/>
      <c r="E574" s="9"/>
      <c r="F574" s="9"/>
      <c r="G574" s="9"/>
      <c r="H574" s="2"/>
      <c r="I574" s="2"/>
      <c r="J574" s="2"/>
      <c r="K574" s="2"/>
      <c r="L574" s="2"/>
    </row>
    <row r="575" spans="1:12" ht="90" customHeight="1" x14ac:dyDescent="0.3">
      <c r="A575" s="9"/>
      <c r="B575" s="9"/>
      <c r="C575" s="9"/>
      <c r="D575" s="9"/>
      <c r="E575" s="9"/>
      <c r="F575" s="9"/>
      <c r="G575" s="9"/>
      <c r="H575" s="2"/>
      <c r="I575" s="2"/>
      <c r="J575" s="2"/>
      <c r="K575" s="2"/>
      <c r="L575" s="2"/>
    </row>
    <row r="576" spans="1:12" ht="90" customHeight="1" x14ac:dyDescent="0.3">
      <c r="A576" s="9"/>
      <c r="B576" s="9"/>
      <c r="C576" s="9"/>
      <c r="D576" s="9"/>
      <c r="E576" s="9"/>
      <c r="F576" s="9"/>
      <c r="G576" s="9"/>
      <c r="H576" s="2"/>
      <c r="I576" s="2"/>
      <c r="J576" s="2"/>
      <c r="K576" s="2"/>
      <c r="L576" s="2"/>
    </row>
    <row r="577" spans="1:12" ht="90" customHeight="1" x14ac:dyDescent="0.3">
      <c r="A577" s="8" t="s">
        <v>559</v>
      </c>
      <c r="B577" s="8" t="s">
        <v>295</v>
      </c>
      <c r="C577" s="8" t="s">
        <v>14</v>
      </c>
      <c r="D577" s="10" t="s">
        <v>22</v>
      </c>
      <c r="E577" s="10" t="s">
        <v>23</v>
      </c>
      <c r="F577" s="8" t="s">
        <v>560</v>
      </c>
      <c r="G577" s="8" t="s">
        <v>561</v>
      </c>
      <c r="H577" s="4" t="s">
        <v>446</v>
      </c>
      <c r="I577" s="4">
        <v>0.91231662034988403</v>
      </c>
      <c r="J577" s="4" t="s">
        <v>27</v>
      </c>
      <c r="K577" s="4" t="s">
        <v>295</v>
      </c>
      <c r="L577" s="4">
        <v>1</v>
      </c>
    </row>
    <row r="578" spans="1:12" ht="90" customHeight="1" x14ac:dyDescent="0.3">
      <c r="A578" s="9"/>
      <c r="B578" s="9"/>
      <c r="C578" s="9"/>
      <c r="D578" s="9"/>
      <c r="E578" s="9"/>
      <c r="F578" s="9"/>
      <c r="G578" s="9"/>
      <c r="H578" s="2"/>
      <c r="I578" s="2"/>
      <c r="J578" s="2"/>
      <c r="K578" s="2"/>
      <c r="L578" s="2"/>
    </row>
    <row r="579" spans="1:12" ht="90" customHeight="1" x14ac:dyDescent="0.3">
      <c r="A579" s="9"/>
      <c r="B579" s="9"/>
      <c r="C579" s="9"/>
      <c r="D579" s="9"/>
      <c r="E579" s="9"/>
      <c r="F579" s="9"/>
      <c r="G579" s="9"/>
      <c r="H579" s="2"/>
      <c r="I579" s="2"/>
      <c r="J579" s="2"/>
      <c r="K579" s="2"/>
      <c r="L579" s="2"/>
    </row>
    <row r="580" spans="1:12" ht="90" customHeight="1" x14ac:dyDescent="0.3">
      <c r="A580" s="9"/>
      <c r="B580" s="9"/>
      <c r="C580" s="9"/>
      <c r="D580" s="9"/>
      <c r="E580" s="9"/>
      <c r="F580" s="9"/>
      <c r="G580" s="9"/>
      <c r="H580" s="2"/>
      <c r="I580" s="2"/>
      <c r="J580" s="2"/>
      <c r="K580" s="2"/>
      <c r="L580" s="2"/>
    </row>
    <row r="581" spans="1:12" ht="90" customHeight="1" x14ac:dyDescent="0.3">
      <c r="A581" s="9"/>
      <c r="B581" s="9"/>
      <c r="C581" s="9"/>
      <c r="D581" s="9"/>
      <c r="E581" s="9"/>
      <c r="F581" s="9"/>
      <c r="G581" s="9"/>
      <c r="H581" s="2"/>
      <c r="I581" s="2"/>
      <c r="J581" s="2"/>
      <c r="K581" s="2"/>
      <c r="L581" s="2"/>
    </row>
    <row r="582" spans="1:12" ht="90" customHeight="1" x14ac:dyDescent="0.3">
      <c r="A582" s="8" t="s">
        <v>562</v>
      </c>
      <c r="B582" s="8" t="s">
        <v>563</v>
      </c>
      <c r="C582" s="8" t="s">
        <v>512</v>
      </c>
      <c r="D582" s="10" t="s">
        <v>15</v>
      </c>
      <c r="E582" s="10" t="s">
        <v>16</v>
      </c>
      <c r="F582" s="8" t="s">
        <v>564</v>
      </c>
      <c r="G582" s="8" t="s">
        <v>565</v>
      </c>
      <c r="H582" s="1" t="s">
        <v>566</v>
      </c>
      <c r="I582" s="1">
        <v>0.76835005925436728</v>
      </c>
      <c r="J582" s="1" t="s">
        <v>27</v>
      </c>
      <c r="K582" s="1" t="s">
        <v>567</v>
      </c>
      <c r="L582" s="1">
        <v>112</v>
      </c>
    </row>
    <row r="583" spans="1:12" ht="90" customHeight="1" x14ac:dyDescent="0.3">
      <c r="A583" s="9"/>
      <c r="B583" s="9"/>
      <c r="C583" s="9"/>
      <c r="D583" s="9"/>
      <c r="E583" s="9"/>
      <c r="F583" s="9"/>
      <c r="G583" s="9"/>
      <c r="H583" s="2"/>
      <c r="I583" s="2"/>
      <c r="J583" s="2"/>
      <c r="K583" s="2"/>
      <c r="L583" s="2"/>
    </row>
    <row r="584" spans="1:12" ht="90" customHeight="1" x14ac:dyDescent="0.3">
      <c r="A584" s="9"/>
      <c r="B584" s="9"/>
      <c r="C584" s="9"/>
      <c r="D584" s="9"/>
      <c r="E584" s="9"/>
      <c r="F584" s="9"/>
      <c r="G584" s="9"/>
      <c r="H584" s="2"/>
      <c r="I584" s="2"/>
      <c r="J584" s="2"/>
      <c r="K584" s="2"/>
      <c r="L584" s="2"/>
    </row>
    <row r="585" spans="1:12" ht="90" customHeight="1" x14ac:dyDescent="0.3">
      <c r="A585" s="9"/>
      <c r="B585" s="9"/>
      <c r="C585" s="9"/>
      <c r="D585" s="9"/>
      <c r="E585" s="9"/>
      <c r="F585" s="9"/>
      <c r="G585" s="9"/>
      <c r="H585" s="2"/>
      <c r="I585" s="2"/>
      <c r="J585" s="2"/>
      <c r="K585" s="2"/>
      <c r="L585" s="2"/>
    </row>
    <row r="586" spans="1:12" ht="90" customHeight="1" x14ac:dyDescent="0.3">
      <c r="A586" s="9"/>
      <c r="B586" s="9"/>
      <c r="C586" s="9"/>
      <c r="D586" s="9"/>
      <c r="E586" s="9"/>
      <c r="F586" s="9"/>
      <c r="G586" s="9"/>
      <c r="H586" s="2"/>
      <c r="I586" s="2"/>
      <c r="J586" s="2"/>
      <c r="K586" s="2"/>
      <c r="L586" s="2"/>
    </row>
    <row r="587" spans="1:12" ht="90" customHeight="1" x14ac:dyDescent="0.3">
      <c r="A587" s="8" t="s">
        <v>568</v>
      </c>
      <c r="B587" s="8" t="s">
        <v>128</v>
      </c>
      <c r="C587" s="8" t="s">
        <v>129</v>
      </c>
      <c r="D587" s="10" t="s">
        <v>15</v>
      </c>
      <c r="E587" s="10" t="s">
        <v>16</v>
      </c>
      <c r="F587" s="8" t="s">
        <v>569</v>
      </c>
      <c r="G587" s="8" t="s">
        <v>570</v>
      </c>
      <c r="H587" s="1" t="s">
        <v>136</v>
      </c>
      <c r="I587" s="1">
        <v>0.97989046573638916</v>
      </c>
      <c r="J587" s="1" t="s">
        <v>27</v>
      </c>
      <c r="K587" s="1" t="s">
        <v>137</v>
      </c>
      <c r="L587" s="1">
        <v>1</v>
      </c>
    </row>
    <row r="588" spans="1:12" ht="90" customHeight="1" x14ac:dyDescent="0.3">
      <c r="A588" s="9"/>
      <c r="B588" s="9"/>
      <c r="C588" s="9"/>
      <c r="D588" s="9"/>
      <c r="E588" s="9"/>
      <c r="F588" s="9"/>
      <c r="G588" s="9"/>
      <c r="H588" s="2"/>
      <c r="I588" s="2"/>
      <c r="J588" s="2"/>
      <c r="K588" s="2"/>
      <c r="L588" s="2"/>
    </row>
    <row r="589" spans="1:12" ht="90" customHeight="1" x14ac:dyDescent="0.3">
      <c r="A589" s="9"/>
      <c r="B589" s="9"/>
      <c r="C589" s="9"/>
      <c r="D589" s="9"/>
      <c r="E589" s="9"/>
      <c r="F589" s="9"/>
      <c r="G589" s="9"/>
      <c r="H589" s="2"/>
      <c r="I589" s="2"/>
      <c r="J589" s="2"/>
      <c r="K589" s="2"/>
      <c r="L589" s="2"/>
    </row>
    <row r="590" spans="1:12" ht="90" customHeight="1" x14ac:dyDescent="0.3">
      <c r="A590" s="9"/>
      <c r="B590" s="9"/>
      <c r="C590" s="9"/>
      <c r="D590" s="9"/>
      <c r="E590" s="9"/>
      <c r="F590" s="9"/>
      <c r="G590" s="9"/>
      <c r="H590" s="2"/>
      <c r="I590" s="2"/>
      <c r="J590" s="2"/>
      <c r="K590" s="2"/>
      <c r="L590" s="2"/>
    </row>
    <row r="591" spans="1:12" ht="90" customHeight="1" x14ac:dyDescent="0.3">
      <c r="A591" s="9"/>
      <c r="B591" s="9"/>
      <c r="C591" s="9"/>
      <c r="D591" s="9"/>
      <c r="E591" s="9"/>
      <c r="F591" s="9"/>
      <c r="G591" s="9"/>
      <c r="H591" s="2"/>
      <c r="I591" s="2"/>
      <c r="J591" s="2"/>
      <c r="K591" s="2"/>
      <c r="L591" s="2"/>
    </row>
    <row r="592" spans="1:12" ht="90" customHeight="1" x14ac:dyDescent="0.3">
      <c r="A592" s="8" t="s">
        <v>571</v>
      </c>
      <c r="B592" s="8" t="s">
        <v>128</v>
      </c>
      <c r="C592" s="8" t="s">
        <v>129</v>
      </c>
      <c r="D592" s="10" t="s">
        <v>15</v>
      </c>
      <c r="E592" s="10" t="s">
        <v>16</v>
      </c>
      <c r="F592" s="8" t="s">
        <v>572</v>
      </c>
      <c r="G592" s="8" t="s">
        <v>18</v>
      </c>
      <c r="H592" s="2"/>
      <c r="I592" s="2"/>
      <c r="J592" s="2"/>
      <c r="K592" s="2"/>
      <c r="L592" s="2"/>
    </row>
    <row r="593" spans="1:12" ht="90" customHeight="1" x14ac:dyDescent="0.3">
      <c r="A593" s="9"/>
      <c r="B593" s="9"/>
      <c r="C593" s="9"/>
      <c r="D593" s="9"/>
      <c r="E593" s="9"/>
      <c r="F593" s="9"/>
      <c r="G593" s="9"/>
      <c r="H593" s="2"/>
      <c r="I593" s="2"/>
      <c r="J593" s="2"/>
      <c r="K593" s="2"/>
      <c r="L593" s="2"/>
    </row>
    <row r="594" spans="1:12" ht="90" customHeight="1" x14ac:dyDescent="0.3">
      <c r="A594" s="9"/>
      <c r="B594" s="9"/>
      <c r="C594" s="9"/>
      <c r="D594" s="9"/>
      <c r="E594" s="9"/>
      <c r="F594" s="9"/>
      <c r="G594" s="9"/>
      <c r="H594" s="2"/>
      <c r="I594" s="2"/>
      <c r="J594" s="2"/>
      <c r="K594" s="2"/>
      <c r="L594" s="2"/>
    </row>
    <row r="595" spans="1:12" ht="90" customHeight="1" x14ac:dyDescent="0.3">
      <c r="A595" s="9"/>
      <c r="B595" s="9"/>
      <c r="C595" s="9"/>
      <c r="D595" s="9"/>
      <c r="E595" s="9"/>
      <c r="F595" s="9"/>
      <c r="G595" s="9"/>
      <c r="H595" s="2"/>
      <c r="I595" s="2"/>
      <c r="J595" s="2"/>
      <c r="K595" s="2"/>
      <c r="L595" s="2"/>
    </row>
    <row r="596" spans="1:12" ht="90" customHeight="1" x14ac:dyDescent="0.3">
      <c r="A596" s="9"/>
      <c r="B596" s="9"/>
      <c r="C596" s="9"/>
      <c r="D596" s="9"/>
      <c r="E596" s="9"/>
      <c r="F596" s="9"/>
      <c r="G596" s="9"/>
      <c r="H596" s="2"/>
      <c r="I596" s="2"/>
      <c r="J596" s="2"/>
      <c r="K596" s="2"/>
      <c r="L596" s="2"/>
    </row>
    <row r="597" spans="1:12" ht="90" customHeight="1" x14ac:dyDescent="0.3">
      <c r="A597" s="8" t="s">
        <v>573</v>
      </c>
      <c r="B597" s="8" t="s">
        <v>214</v>
      </c>
      <c r="C597" s="8" t="s">
        <v>353</v>
      </c>
      <c r="D597" s="10" t="s">
        <v>15</v>
      </c>
      <c r="E597" s="10" t="s">
        <v>16</v>
      </c>
      <c r="F597" s="8" t="s">
        <v>574</v>
      </c>
      <c r="G597" s="8" t="s">
        <v>575</v>
      </c>
      <c r="H597" s="1" t="s">
        <v>218</v>
      </c>
      <c r="I597" s="1">
        <v>0.95053797960281372</v>
      </c>
      <c r="J597" s="1" t="s">
        <v>27</v>
      </c>
      <c r="K597" s="1" t="s">
        <v>219</v>
      </c>
      <c r="L597" s="1">
        <v>3</v>
      </c>
    </row>
    <row r="598" spans="1:12" ht="90" customHeight="1" x14ac:dyDescent="0.3">
      <c r="A598" s="9"/>
      <c r="B598" s="9"/>
      <c r="C598" s="9"/>
      <c r="D598" s="9"/>
      <c r="E598" s="9"/>
      <c r="F598" s="9"/>
      <c r="G598" s="9"/>
      <c r="H598" s="4" t="s">
        <v>289</v>
      </c>
      <c r="I598" s="4">
        <v>0.9343600869178772</v>
      </c>
      <c r="J598" s="4" t="s">
        <v>27</v>
      </c>
      <c r="K598" s="4" t="s">
        <v>214</v>
      </c>
      <c r="L598" s="4">
        <v>3</v>
      </c>
    </row>
    <row r="599" spans="1:12" ht="90" customHeight="1" x14ac:dyDescent="0.3">
      <c r="A599" s="9"/>
      <c r="B599" s="9"/>
      <c r="C599" s="9"/>
      <c r="D599" s="9"/>
      <c r="E599" s="9"/>
      <c r="F599" s="9"/>
      <c r="G599" s="9"/>
      <c r="H599" s="2" t="s">
        <v>576</v>
      </c>
      <c r="I599" s="2">
        <v>0.80734646320343018</v>
      </c>
      <c r="J599" s="2" t="s">
        <v>27</v>
      </c>
      <c r="K599" s="2" t="s">
        <v>577</v>
      </c>
      <c r="L599" s="2">
        <v>43</v>
      </c>
    </row>
    <row r="600" spans="1:12" ht="90" customHeight="1" x14ac:dyDescent="0.3">
      <c r="A600" s="9"/>
      <c r="B600" s="9"/>
      <c r="C600" s="9"/>
      <c r="D600" s="9"/>
      <c r="E600" s="9"/>
      <c r="F600" s="9"/>
      <c r="G600" s="9"/>
      <c r="H600" s="2"/>
      <c r="I600" s="2"/>
      <c r="J600" s="2"/>
      <c r="K600" s="2"/>
      <c r="L600" s="2"/>
    </row>
    <row r="601" spans="1:12" ht="90" customHeight="1" x14ac:dyDescent="0.3">
      <c r="A601" s="9"/>
      <c r="B601" s="9"/>
      <c r="C601" s="9"/>
      <c r="D601" s="9"/>
      <c r="E601" s="9"/>
      <c r="F601" s="9"/>
      <c r="G601" s="9"/>
      <c r="H601" s="2"/>
      <c r="I601" s="2"/>
      <c r="J601" s="2"/>
      <c r="K601" s="2"/>
      <c r="L601" s="2"/>
    </row>
    <row r="602" spans="1:12" ht="90" customHeight="1" x14ac:dyDescent="0.3">
      <c r="A602" s="8" t="s">
        <v>578</v>
      </c>
      <c r="B602" s="8" t="s">
        <v>478</v>
      </c>
      <c r="C602" s="8" t="s">
        <v>579</v>
      </c>
      <c r="D602" s="10" t="s">
        <v>15</v>
      </c>
      <c r="E602" s="10" t="s">
        <v>16</v>
      </c>
      <c r="F602" s="8" t="s">
        <v>580</v>
      </c>
      <c r="G602" s="8" t="s">
        <v>581</v>
      </c>
      <c r="H602" s="4" t="s">
        <v>582</v>
      </c>
      <c r="I602" s="4">
        <v>0.97169637680053711</v>
      </c>
      <c r="J602" s="4" t="s">
        <v>27</v>
      </c>
      <c r="K602" s="4" t="s">
        <v>478</v>
      </c>
      <c r="L602" s="4">
        <v>238</v>
      </c>
    </row>
    <row r="603" spans="1:12" ht="90" customHeight="1" x14ac:dyDescent="0.3">
      <c r="A603" s="9"/>
      <c r="B603" s="9"/>
      <c r="C603" s="9"/>
      <c r="D603" s="9"/>
      <c r="E603" s="9"/>
      <c r="F603" s="9"/>
      <c r="G603" s="9"/>
      <c r="H603" s="1" t="s">
        <v>583</v>
      </c>
      <c r="I603" s="1">
        <v>0.87211441993713379</v>
      </c>
      <c r="J603" s="1" t="s">
        <v>27</v>
      </c>
      <c r="K603" s="1" t="s">
        <v>478</v>
      </c>
      <c r="L603" s="1">
        <v>22</v>
      </c>
    </row>
    <row r="604" spans="1:12" ht="90" customHeight="1" x14ac:dyDescent="0.3">
      <c r="A604" s="9"/>
      <c r="B604" s="9"/>
      <c r="C604" s="9"/>
      <c r="D604" s="9"/>
      <c r="E604" s="9"/>
      <c r="F604" s="9"/>
      <c r="G604" s="9"/>
      <c r="H604" s="1" t="s">
        <v>584</v>
      </c>
      <c r="I604" s="1">
        <v>0.80371755361557007</v>
      </c>
      <c r="J604" s="1" t="s">
        <v>27</v>
      </c>
      <c r="K604" s="1" t="s">
        <v>347</v>
      </c>
      <c r="L604" s="1">
        <v>98</v>
      </c>
    </row>
    <row r="605" spans="1:12" ht="90" customHeight="1" x14ac:dyDescent="0.3">
      <c r="A605" s="9"/>
      <c r="B605" s="9"/>
      <c r="C605" s="9"/>
      <c r="D605" s="9"/>
      <c r="E605" s="9"/>
      <c r="F605" s="9"/>
      <c r="G605" s="9"/>
      <c r="H605" s="2" t="s">
        <v>585</v>
      </c>
      <c r="I605" s="2">
        <v>0.7258775036212487</v>
      </c>
      <c r="J605" s="2" t="s">
        <v>27</v>
      </c>
      <c r="K605" s="2" t="s">
        <v>347</v>
      </c>
      <c r="L605" s="2">
        <v>87</v>
      </c>
    </row>
    <row r="606" spans="1:12" ht="90" customHeight="1" x14ac:dyDescent="0.3">
      <c r="A606" s="9"/>
      <c r="B606" s="9"/>
      <c r="C606" s="9"/>
      <c r="D606" s="9"/>
      <c r="E606" s="9"/>
      <c r="F606" s="9"/>
      <c r="G606" s="9"/>
      <c r="H606" s="2"/>
      <c r="I606" s="2"/>
      <c r="J606" s="2"/>
      <c r="K606" s="2"/>
      <c r="L606" s="2"/>
    </row>
    <row r="607" spans="1:12" ht="90" customHeight="1" x14ac:dyDescent="0.3">
      <c r="A607" s="8" t="s">
        <v>586</v>
      </c>
      <c r="B607" s="8" t="s">
        <v>587</v>
      </c>
      <c r="C607" s="8" t="s">
        <v>331</v>
      </c>
      <c r="D607" s="10" t="s">
        <v>15</v>
      </c>
      <c r="E607" s="10" t="s">
        <v>16</v>
      </c>
      <c r="F607" s="8" t="s">
        <v>588</v>
      </c>
      <c r="G607" s="8" t="s">
        <v>18</v>
      </c>
      <c r="H607" s="2"/>
      <c r="I607" s="2"/>
      <c r="J607" s="2"/>
      <c r="K607" s="2"/>
      <c r="L607" s="2"/>
    </row>
    <row r="608" spans="1:12" ht="90" customHeight="1" x14ac:dyDescent="0.3">
      <c r="A608" s="9"/>
      <c r="B608" s="9"/>
      <c r="C608" s="9"/>
      <c r="D608" s="9"/>
      <c r="E608" s="9"/>
      <c r="F608" s="9"/>
      <c r="G608" s="9"/>
      <c r="H608" s="2"/>
      <c r="I608" s="2"/>
      <c r="J608" s="2"/>
      <c r="K608" s="2"/>
      <c r="L608" s="2"/>
    </row>
    <row r="609" spans="1:12" ht="90" customHeight="1" x14ac:dyDescent="0.3">
      <c r="A609" s="9"/>
      <c r="B609" s="9"/>
      <c r="C609" s="9"/>
      <c r="D609" s="9"/>
      <c r="E609" s="9"/>
      <c r="F609" s="9"/>
      <c r="G609" s="9"/>
      <c r="H609" s="2"/>
      <c r="I609" s="2"/>
      <c r="J609" s="2"/>
      <c r="K609" s="2"/>
      <c r="L609" s="2"/>
    </row>
    <row r="610" spans="1:12" ht="90" customHeight="1" x14ac:dyDescent="0.3">
      <c r="A610" s="9"/>
      <c r="B610" s="9"/>
      <c r="C610" s="9"/>
      <c r="D610" s="9"/>
      <c r="E610" s="9"/>
      <c r="F610" s="9"/>
      <c r="G610" s="9"/>
      <c r="H610" s="2"/>
      <c r="I610" s="2"/>
      <c r="J610" s="2"/>
      <c r="K610" s="2"/>
      <c r="L610" s="2"/>
    </row>
    <row r="611" spans="1:12" ht="90" customHeight="1" x14ac:dyDescent="0.3">
      <c r="A611" s="9"/>
      <c r="B611" s="9"/>
      <c r="C611" s="9"/>
      <c r="D611" s="9"/>
      <c r="E611" s="9"/>
      <c r="F611" s="9"/>
      <c r="G611" s="9"/>
      <c r="H611" s="2"/>
      <c r="I611" s="2"/>
      <c r="J611" s="2"/>
      <c r="K611" s="2"/>
      <c r="L611" s="2"/>
    </row>
    <row r="612" spans="1:12" ht="90" customHeight="1" x14ac:dyDescent="0.3">
      <c r="A612" s="8" t="s">
        <v>589</v>
      </c>
      <c r="B612" s="8" t="s">
        <v>366</v>
      </c>
      <c r="C612" s="8" t="s">
        <v>367</v>
      </c>
      <c r="D612" s="10" t="s">
        <v>15</v>
      </c>
      <c r="E612" s="10" t="s">
        <v>16</v>
      </c>
      <c r="F612" s="8" t="s">
        <v>590</v>
      </c>
      <c r="G612" s="8" t="s">
        <v>591</v>
      </c>
      <c r="H612" s="1" t="s">
        <v>371</v>
      </c>
      <c r="I612" s="1">
        <v>0.9909629225730896</v>
      </c>
      <c r="J612" s="1" t="s">
        <v>27</v>
      </c>
      <c r="K612" s="1" t="s">
        <v>169</v>
      </c>
      <c r="L612" s="1">
        <v>34</v>
      </c>
    </row>
    <row r="613" spans="1:12" ht="90" customHeight="1" x14ac:dyDescent="0.3">
      <c r="A613" s="9"/>
      <c r="B613" s="9"/>
      <c r="C613" s="9"/>
      <c r="D613" s="9"/>
      <c r="E613" s="9"/>
      <c r="F613" s="9"/>
      <c r="G613" s="9"/>
      <c r="H613" s="1" t="s">
        <v>592</v>
      </c>
      <c r="I613" s="1">
        <v>0.93522173165797218</v>
      </c>
      <c r="J613" s="1" t="s">
        <v>27</v>
      </c>
      <c r="K613" s="1" t="s">
        <v>171</v>
      </c>
      <c r="L613" s="1">
        <v>80</v>
      </c>
    </row>
    <row r="614" spans="1:12" ht="90" customHeight="1" x14ac:dyDescent="0.3">
      <c r="A614" s="9"/>
      <c r="B614" s="9"/>
      <c r="C614" s="9"/>
      <c r="D614" s="9"/>
      <c r="E614" s="9"/>
      <c r="F614" s="9"/>
      <c r="G614" s="9"/>
      <c r="H614" s="1" t="s">
        <v>425</v>
      </c>
      <c r="I614" s="1">
        <v>0.93198978900909424</v>
      </c>
      <c r="J614" s="1" t="s">
        <v>27</v>
      </c>
      <c r="K614" s="1" t="s">
        <v>426</v>
      </c>
      <c r="L614" s="1">
        <v>61</v>
      </c>
    </row>
    <row r="615" spans="1:12" ht="90" customHeight="1" x14ac:dyDescent="0.3">
      <c r="A615" s="9"/>
      <c r="B615" s="9"/>
      <c r="C615" s="9"/>
      <c r="D615" s="9"/>
      <c r="E615" s="9"/>
      <c r="F615" s="9"/>
      <c r="G615" s="9"/>
      <c r="H615" s="2" t="s">
        <v>593</v>
      </c>
      <c r="I615" s="2">
        <v>0.92382121085734181</v>
      </c>
      <c r="J615" s="2" t="s">
        <v>27</v>
      </c>
      <c r="K615" s="2" t="s">
        <v>164</v>
      </c>
      <c r="L615" s="2">
        <v>78</v>
      </c>
    </row>
    <row r="616" spans="1:12" ht="90" customHeight="1" x14ac:dyDescent="0.3">
      <c r="A616" s="9"/>
      <c r="B616" s="9"/>
      <c r="C616" s="9"/>
      <c r="D616" s="9"/>
      <c r="E616" s="9"/>
      <c r="F616" s="9"/>
      <c r="G616" s="9"/>
      <c r="H616" s="2" t="s">
        <v>424</v>
      </c>
      <c r="I616" s="2">
        <v>0.90138280391691972</v>
      </c>
      <c r="J616" s="2" t="s">
        <v>27</v>
      </c>
      <c r="K616" s="2" t="s">
        <v>169</v>
      </c>
      <c r="L616" s="2">
        <v>41</v>
      </c>
    </row>
    <row r="617" spans="1:12" ht="90" customHeight="1" x14ac:dyDescent="0.3">
      <c r="A617" s="8" t="s">
        <v>594</v>
      </c>
      <c r="B617" s="8" t="s">
        <v>155</v>
      </c>
      <c r="C617" s="8" t="s">
        <v>595</v>
      </c>
      <c r="D617" s="10" t="s">
        <v>22</v>
      </c>
      <c r="E617" s="10" t="s">
        <v>16</v>
      </c>
      <c r="F617" s="8" t="s">
        <v>596</v>
      </c>
      <c r="G617" s="8" t="s">
        <v>597</v>
      </c>
      <c r="H617" s="1" t="s">
        <v>598</v>
      </c>
      <c r="I617" s="1">
        <v>0.95058590173721247</v>
      </c>
      <c r="J617" s="1" t="s">
        <v>27</v>
      </c>
      <c r="K617" s="1" t="s">
        <v>599</v>
      </c>
      <c r="L617" s="1">
        <v>135</v>
      </c>
    </row>
    <row r="618" spans="1:12" ht="90" customHeight="1" x14ac:dyDescent="0.3">
      <c r="A618" s="9"/>
      <c r="B618" s="9"/>
      <c r="C618" s="9"/>
      <c r="D618" s="9"/>
      <c r="E618" s="9"/>
      <c r="F618" s="9"/>
      <c r="G618" s="9"/>
      <c r="H618" s="5" t="s">
        <v>600</v>
      </c>
      <c r="I618" s="5">
        <v>0.73223531246185303</v>
      </c>
      <c r="J618" s="5" t="s">
        <v>27</v>
      </c>
      <c r="K618" s="5" t="s">
        <v>155</v>
      </c>
      <c r="L618" s="5">
        <v>100</v>
      </c>
    </row>
    <row r="619" spans="1:12" ht="90" customHeight="1" x14ac:dyDescent="0.3">
      <c r="A619" s="9"/>
      <c r="B619" s="9"/>
      <c r="C619" s="9"/>
      <c r="D619" s="9"/>
      <c r="E619" s="9"/>
      <c r="F619" s="9"/>
      <c r="G619" s="9"/>
      <c r="H619" s="2"/>
      <c r="I619" s="2"/>
      <c r="J619" s="2"/>
      <c r="K619" s="2"/>
      <c r="L619" s="2"/>
    </row>
    <row r="620" spans="1:12" ht="90" customHeight="1" x14ac:dyDescent="0.3">
      <c r="A620" s="9"/>
      <c r="B620" s="9"/>
      <c r="C620" s="9"/>
      <c r="D620" s="9"/>
      <c r="E620" s="9"/>
      <c r="F620" s="9"/>
      <c r="G620" s="9"/>
      <c r="H620" s="2"/>
      <c r="I620" s="2"/>
      <c r="J620" s="2"/>
      <c r="K620" s="2"/>
      <c r="L620" s="2"/>
    </row>
    <row r="621" spans="1:12" ht="90" customHeight="1" x14ac:dyDescent="0.3">
      <c r="A621" s="9"/>
      <c r="B621" s="9"/>
      <c r="C621" s="9"/>
      <c r="D621" s="9"/>
      <c r="E621" s="9"/>
      <c r="F621" s="9"/>
      <c r="G621" s="9"/>
      <c r="H621" s="2"/>
      <c r="I621" s="2"/>
      <c r="J621" s="2"/>
      <c r="K621" s="2"/>
      <c r="L621" s="2"/>
    </row>
    <row r="622" spans="1:12" ht="90" customHeight="1" x14ac:dyDescent="0.3">
      <c r="A622" s="8" t="s">
        <v>601</v>
      </c>
      <c r="B622" s="8" t="s">
        <v>223</v>
      </c>
      <c r="C622" s="8" t="s">
        <v>230</v>
      </c>
      <c r="D622" s="10" t="s">
        <v>15</v>
      </c>
      <c r="E622" s="10" t="s">
        <v>16</v>
      </c>
      <c r="F622" s="8" t="s">
        <v>602</v>
      </c>
      <c r="G622" s="8" t="s">
        <v>603</v>
      </c>
      <c r="H622" s="1" t="s">
        <v>604</v>
      </c>
      <c r="I622" s="1">
        <v>0.98434489965438843</v>
      </c>
      <c r="J622" s="1" t="s">
        <v>27</v>
      </c>
      <c r="K622" s="1" t="s">
        <v>605</v>
      </c>
      <c r="L622" s="1">
        <v>15</v>
      </c>
    </row>
    <row r="623" spans="1:12" ht="90" customHeight="1" x14ac:dyDescent="0.3">
      <c r="A623" s="9"/>
      <c r="B623" s="9"/>
      <c r="C623" s="9"/>
      <c r="D623" s="9"/>
      <c r="E623" s="9"/>
      <c r="F623" s="9"/>
      <c r="G623" s="9"/>
      <c r="H623" s="2" t="s">
        <v>606</v>
      </c>
      <c r="I623" s="2">
        <v>0.76284110546112061</v>
      </c>
      <c r="J623" s="2" t="s">
        <v>27</v>
      </c>
      <c r="K623" s="2" t="s">
        <v>223</v>
      </c>
      <c r="L623" s="2">
        <v>23</v>
      </c>
    </row>
    <row r="624" spans="1:12" ht="90" customHeight="1" x14ac:dyDescent="0.3">
      <c r="A624" s="9"/>
      <c r="B624" s="9"/>
      <c r="C624" s="9"/>
      <c r="D624" s="9"/>
      <c r="E624" s="9"/>
      <c r="F624" s="9"/>
      <c r="G624" s="9"/>
      <c r="H624" s="2"/>
      <c r="I624" s="2"/>
      <c r="J624" s="2"/>
      <c r="K624" s="2"/>
      <c r="L624" s="2"/>
    </row>
    <row r="625" spans="1:12" ht="90" customHeight="1" x14ac:dyDescent="0.3">
      <c r="A625" s="9"/>
      <c r="B625" s="9"/>
      <c r="C625" s="9"/>
      <c r="D625" s="9"/>
      <c r="E625" s="9"/>
      <c r="F625" s="9"/>
      <c r="G625" s="9"/>
      <c r="H625" s="2"/>
      <c r="I625" s="2"/>
      <c r="J625" s="2"/>
      <c r="K625" s="2"/>
      <c r="L625" s="2"/>
    </row>
    <row r="626" spans="1:12" ht="90" customHeight="1" x14ac:dyDescent="0.3">
      <c r="A626" s="9"/>
      <c r="B626" s="9"/>
      <c r="C626" s="9"/>
      <c r="D626" s="9"/>
      <c r="E626" s="9"/>
      <c r="F626" s="9"/>
      <c r="G626" s="9"/>
      <c r="H626" s="2"/>
      <c r="I626" s="2"/>
      <c r="J626" s="2"/>
      <c r="K626" s="2"/>
      <c r="L626" s="2"/>
    </row>
    <row r="627" spans="1:12" ht="90" customHeight="1" x14ac:dyDescent="0.3">
      <c r="A627" s="8" t="s">
        <v>607</v>
      </c>
      <c r="B627" s="8" t="s">
        <v>608</v>
      </c>
      <c r="C627" s="8" t="s">
        <v>244</v>
      </c>
      <c r="D627" s="10" t="s">
        <v>15</v>
      </c>
      <c r="E627" s="10" t="s">
        <v>16</v>
      </c>
      <c r="F627" s="8" t="s">
        <v>609</v>
      </c>
      <c r="G627" s="8" t="s">
        <v>610</v>
      </c>
      <c r="H627" s="1" t="s">
        <v>611</v>
      </c>
      <c r="I627" s="1">
        <v>0.77397537231445313</v>
      </c>
      <c r="J627" s="1" t="s">
        <v>27</v>
      </c>
      <c r="K627" s="1" t="s">
        <v>180</v>
      </c>
      <c r="L627" s="1">
        <v>9</v>
      </c>
    </row>
    <row r="628" spans="1:12" ht="90" customHeight="1" x14ac:dyDescent="0.3">
      <c r="A628" s="9"/>
      <c r="B628" s="9"/>
      <c r="C628" s="9"/>
      <c r="D628" s="9"/>
      <c r="E628" s="9"/>
      <c r="F628" s="9"/>
      <c r="G628" s="9"/>
      <c r="H628" s="2"/>
      <c r="I628" s="2"/>
      <c r="J628" s="2"/>
      <c r="K628" s="2"/>
      <c r="L628" s="2"/>
    </row>
    <row r="629" spans="1:12" ht="90" customHeight="1" x14ac:dyDescent="0.3">
      <c r="A629" s="9"/>
      <c r="B629" s="9"/>
      <c r="C629" s="9"/>
      <c r="D629" s="9"/>
      <c r="E629" s="9"/>
      <c r="F629" s="9"/>
      <c r="G629" s="9"/>
      <c r="H629" s="2"/>
      <c r="I629" s="2"/>
      <c r="J629" s="2"/>
      <c r="K629" s="2"/>
      <c r="L629" s="2"/>
    </row>
    <row r="630" spans="1:12" ht="90" customHeight="1" x14ac:dyDescent="0.3">
      <c r="A630" s="9"/>
      <c r="B630" s="9"/>
      <c r="C630" s="9"/>
      <c r="D630" s="9"/>
      <c r="E630" s="9"/>
      <c r="F630" s="9"/>
      <c r="G630" s="9"/>
      <c r="H630" s="2"/>
      <c r="I630" s="2"/>
      <c r="J630" s="2"/>
      <c r="K630" s="2"/>
      <c r="L630" s="2"/>
    </row>
    <row r="631" spans="1:12" ht="90" customHeight="1" x14ac:dyDescent="0.3">
      <c r="A631" s="9"/>
      <c r="B631" s="9"/>
      <c r="C631" s="9"/>
      <c r="D631" s="9"/>
      <c r="E631" s="9"/>
      <c r="F631" s="9"/>
      <c r="G631" s="9"/>
      <c r="H631" s="2"/>
      <c r="I631" s="2"/>
      <c r="J631" s="2"/>
      <c r="K631" s="2"/>
      <c r="L631" s="2"/>
    </row>
    <row r="632" spans="1:12" ht="90" customHeight="1" x14ac:dyDescent="0.3">
      <c r="A632" s="8" t="s">
        <v>612</v>
      </c>
      <c r="B632" s="8" t="s">
        <v>223</v>
      </c>
      <c r="C632" s="8" t="s">
        <v>230</v>
      </c>
      <c r="D632" s="10" t="s">
        <v>15</v>
      </c>
      <c r="E632" s="10" t="s">
        <v>16</v>
      </c>
      <c r="F632" s="8" t="s">
        <v>613</v>
      </c>
      <c r="G632" s="8" t="s">
        <v>614</v>
      </c>
      <c r="H632" s="1" t="s">
        <v>615</v>
      </c>
      <c r="I632" s="1">
        <v>0.80804789066314697</v>
      </c>
      <c r="J632" s="1" t="s">
        <v>27</v>
      </c>
      <c r="K632" s="1" t="s">
        <v>616</v>
      </c>
      <c r="L632" s="1">
        <v>11</v>
      </c>
    </row>
    <row r="633" spans="1:12" ht="90" customHeight="1" x14ac:dyDescent="0.3">
      <c r="A633" s="9"/>
      <c r="B633" s="9"/>
      <c r="C633" s="9"/>
      <c r="D633" s="9"/>
      <c r="E633" s="9"/>
      <c r="F633" s="9"/>
      <c r="G633" s="9"/>
      <c r="H633" s="2"/>
      <c r="I633" s="2"/>
      <c r="J633" s="2"/>
      <c r="K633" s="2"/>
      <c r="L633" s="2"/>
    </row>
    <row r="634" spans="1:12" ht="90" customHeight="1" x14ac:dyDescent="0.3">
      <c r="A634" s="9"/>
      <c r="B634" s="9"/>
      <c r="C634" s="9"/>
      <c r="D634" s="9"/>
      <c r="E634" s="9"/>
      <c r="F634" s="9"/>
      <c r="G634" s="9"/>
      <c r="H634" s="2"/>
      <c r="I634" s="2"/>
      <c r="J634" s="2"/>
      <c r="K634" s="2"/>
      <c r="L634" s="2"/>
    </row>
    <row r="635" spans="1:12" ht="90" customHeight="1" x14ac:dyDescent="0.3">
      <c r="A635" s="9"/>
      <c r="B635" s="9"/>
      <c r="C635" s="9"/>
      <c r="D635" s="9"/>
      <c r="E635" s="9"/>
      <c r="F635" s="9"/>
      <c r="G635" s="9"/>
      <c r="H635" s="2"/>
      <c r="I635" s="2"/>
      <c r="J635" s="2"/>
      <c r="K635" s="2"/>
      <c r="L635" s="2"/>
    </row>
    <row r="636" spans="1:12" ht="90" customHeight="1" x14ac:dyDescent="0.3">
      <c r="A636" s="9"/>
      <c r="B636" s="9"/>
      <c r="C636" s="9"/>
      <c r="D636" s="9"/>
      <c r="E636" s="9"/>
      <c r="F636" s="9"/>
      <c r="G636" s="9"/>
      <c r="H636" s="2"/>
      <c r="I636" s="2"/>
      <c r="J636" s="2"/>
      <c r="K636" s="2"/>
      <c r="L636" s="2"/>
    </row>
    <row r="637" spans="1:12" ht="90" customHeight="1" x14ac:dyDescent="0.3">
      <c r="A637" s="8" t="s">
        <v>617</v>
      </c>
      <c r="B637" s="8" t="s">
        <v>250</v>
      </c>
      <c r="C637" s="8" t="s">
        <v>618</v>
      </c>
      <c r="D637" s="10" t="s">
        <v>15</v>
      </c>
      <c r="E637" s="10" t="s">
        <v>16</v>
      </c>
      <c r="F637" s="8" t="s">
        <v>619</v>
      </c>
      <c r="G637" s="8" t="s">
        <v>18</v>
      </c>
      <c r="H637" s="2"/>
      <c r="I637" s="2"/>
      <c r="J637" s="2"/>
      <c r="K637" s="2"/>
      <c r="L637" s="2"/>
    </row>
    <row r="638" spans="1:12" ht="90" customHeight="1" x14ac:dyDescent="0.3">
      <c r="A638" s="9"/>
      <c r="B638" s="9"/>
      <c r="C638" s="9"/>
      <c r="D638" s="9"/>
      <c r="E638" s="9"/>
      <c r="F638" s="9"/>
      <c r="G638" s="9"/>
      <c r="H638" s="2"/>
      <c r="I638" s="2"/>
      <c r="J638" s="2"/>
      <c r="K638" s="2"/>
      <c r="L638" s="2"/>
    </row>
    <row r="639" spans="1:12" ht="90" customHeight="1" x14ac:dyDescent="0.3">
      <c r="A639" s="9"/>
      <c r="B639" s="9"/>
      <c r="C639" s="9"/>
      <c r="D639" s="9"/>
      <c r="E639" s="9"/>
      <c r="F639" s="9"/>
      <c r="G639" s="9"/>
      <c r="H639" s="2"/>
      <c r="I639" s="2"/>
      <c r="J639" s="2"/>
      <c r="K639" s="2"/>
      <c r="L639" s="2"/>
    </row>
    <row r="640" spans="1:12" ht="90" customHeight="1" x14ac:dyDescent="0.3">
      <c r="A640" s="9"/>
      <c r="B640" s="9"/>
      <c r="C640" s="9"/>
      <c r="D640" s="9"/>
      <c r="E640" s="9"/>
      <c r="F640" s="9"/>
      <c r="G640" s="9"/>
      <c r="H640" s="2"/>
      <c r="I640" s="2"/>
      <c r="J640" s="2"/>
      <c r="K640" s="2"/>
      <c r="L640" s="2"/>
    </row>
    <row r="641" spans="1:12" ht="90" customHeight="1" x14ac:dyDescent="0.3">
      <c r="A641" s="9"/>
      <c r="B641" s="9"/>
      <c r="C641" s="9"/>
      <c r="D641" s="9"/>
      <c r="E641" s="9"/>
      <c r="F641" s="9"/>
      <c r="G641" s="9"/>
      <c r="H641" s="2"/>
      <c r="I641" s="2"/>
      <c r="J641" s="2"/>
      <c r="K641" s="2"/>
      <c r="L641" s="2"/>
    </row>
    <row r="642" spans="1:12" ht="90" customHeight="1" x14ac:dyDescent="0.3">
      <c r="A642" s="8" t="s">
        <v>620</v>
      </c>
      <c r="B642" s="8" t="s">
        <v>295</v>
      </c>
      <c r="C642" s="8" t="s">
        <v>14</v>
      </c>
      <c r="D642" s="10" t="s">
        <v>15</v>
      </c>
      <c r="E642" s="10" t="s">
        <v>16</v>
      </c>
      <c r="F642" s="8" t="s">
        <v>621</v>
      </c>
      <c r="G642" s="8" t="s">
        <v>18</v>
      </c>
      <c r="H642" s="2"/>
      <c r="I642" s="2"/>
      <c r="J642" s="2"/>
      <c r="K642" s="2"/>
      <c r="L642" s="2"/>
    </row>
    <row r="643" spans="1:12" ht="90" customHeight="1" x14ac:dyDescent="0.3">
      <c r="A643" s="9"/>
      <c r="B643" s="9"/>
      <c r="C643" s="9"/>
      <c r="D643" s="9"/>
      <c r="E643" s="9"/>
      <c r="F643" s="9"/>
      <c r="G643" s="9"/>
      <c r="H643" s="2"/>
      <c r="I643" s="2"/>
      <c r="J643" s="2"/>
      <c r="K643" s="2"/>
      <c r="L643" s="2"/>
    </row>
    <row r="644" spans="1:12" ht="90" customHeight="1" x14ac:dyDescent="0.3">
      <c r="A644" s="9"/>
      <c r="B644" s="9"/>
      <c r="C644" s="9"/>
      <c r="D644" s="9"/>
      <c r="E644" s="9"/>
      <c r="F644" s="9"/>
      <c r="G644" s="9"/>
      <c r="H644" s="2"/>
      <c r="I644" s="2"/>
      <c r="J644" s="2"/>
      <c r="K644" s="2"/>
      <c r="L644" s="2"/>
    </row>
    <row r="645" spans="1:12" ht="90" customHeight="1" x14ac:dyDescent="0.3">
      <c r="A645" s="9"/>
      <c r="B645" s="9"/>
      <c r="C645" s="9"/>
      <c r="D645" s="9"/>
      <c r="E645" s="9"/>
      <c r="F645" s="9"/>
      <c r="G645" s="9"/>
      <c r="H645" s="2"/>
      <c r="I645" s="2"/>
      <c r="J645" s="2"/>
      <c r="K645" s="2"/>
      <c r="L645" s="2"/>
    </row>
    <row r="646" spans="1:12" ht="90" customHeight="1" x14ac:dyDescent="0.3">
      <c r="A646" s="9"/>
      <c r="B646" s="9"/>
      <c r="C646" s="9"/>
      <c r="D646" s="9"/>
      <c r="E646" s="9"/>
      <c r="F646" s="9"/>
      <c r="G646" s="9"/>
      <c r="H646" s="2"/>
      <c r="I646" s="2"/>
      <c r="J646" s="2"/>
      <c r="K646" s="2"/>
      <c r="L646" s="2"/>
    </row>
    <row r="647" spans="1:12" ht="90" customHeight="1" x14ac:dyDescent="0.3">
      <c r="A647" s="8" t="s">
        <v>622</v>
      </c>
      <c r="B647" s="8" t="s">
        <v>128</v>
      </c>
      <c r="C647" s="8" t="s">
        <v>14</v>
      </c>
      <c r="D647" s="10" t="s">
        <v>15</v>
      </c>
      <c r="E647" s="10" t="s">
        <v>16</v>
      </c>
      <c r="F647" s="8" t="s">
        <v>623</v>
      </c>
      <c r="G647" s="8" t="s">
        <v>18</v>
      </c>
      <c r="H647" s="2"/>
      <c r="I647" s="2"/>
      <c r="J647" s="2"/>
      <c r="K647" s="2"/>
      <c r="L647" s="2"/>
    </row>
    <row r="648" spans="1:12" ht="90" customHeight="1" x14ac:dyDescent="0.3">
      <c r="A648" s="9"/>
      <c r="B648" s="9"/>
      <c r="C648" s="9"/>
      <c r="D648" s="9"/>
      <c r="E648" s="9"/>
      <c r="F648" s="9"/>
      <c r="G648" s="9"/>
      <c r="H648" s="2"/>
      <c r="I648" s="2"/>
      <c r="J648" s="2"/>
      <c r="K648" s="2"/>
      <c r="L648" s="2"/>
    </row>
    <row r="649" spans="1:12" ht="90" customHeight="1" x14ac:dyDescent="0.3">
      <c r="A649" s="9"/>
      <c r="B649" s="9"/>
      <c r="C649" s="9"/>
      <c r="D649" s="9"/>
      <c r="E649" s="9"/>
      <c r="F649" s="9"/>
      <c r="G649" s="9"/>
      <c r="H649" s="2"/>
      <c r="I649" s="2"/>
      <c r="J649" s="2"/>
      <c r="K649" s="2"/>
      <c r="L649" s="2"/>
    </row>
    <row r="650" spans="1:12" ht="90" customHeight="1" x14ac:dyDescent="0.3">
      <c r="A650" s="9"/>
      <c r="B650" s="9"/>
      <c r="C650" s="9"/>
      <c r="D650" s="9"/>
      <c r="E650" s="9"/>
      <c r="F650" s="9"/>
      <c r="G650" s="9"/>
      <c r="H650" s="2"/>
      <c r="I650" s="2"/>
      <c r="J650" s="2"/>
      <c r="K650" s="2"/>
      <c r="L650" s="2"/>
    </row>
    <row r="651" spans="1:12" ht="90" customHeight="1" x14ac:dyDescent="0.3">
      <c r="A651" s="9"/>
      <c r="B651" s="9"/>
      <c r="C651" s="9"/>
      <c r="D651" s="9"/>
      <c r="E651" s="9"/>
      <c r="F651" s="9"/>
      <c r="G651" s="9"/>
      <c r="H651" s="2"/>
      <c r="I651" s="2"/>
      <c r="J651" s="2"/>
      <c r="K651" s="2"/>
      <c r="L651" s="2"/>
    </row>
    <row r="652" spans="1:12" ht="90" customHeight="1" x14ac:dyDescent="0.3">
      <c r="A652" s="8" t="s">
        <v>624</v>
      </c>
      <c r="B652" s="8" t="s">
        <v>128</v>
      </c>
      <c r="C652" s="8" t="s">
        <v>512</v>
      </c>
      <c r="D652" s="10" t="s">
        <v>15</v>
      </c>
      <c r="E652" s="10" t="s">
        <v>16</v>
      </c>
      <c r="F652" s="8" t="s">
        <v>625</v>
      </c>
      <c r="G652" s="8" t="s">
        <v>626</v>
      </c>
      <c r="H652" s="1" t="s">
        <v>627</v>
      </c>
      <c r="I652" s="1">
        <v>0.99985504150390625</v>
      </c>
      <c r="J652" s="1" t="s">
        <v>27</v>
      </c>
      <c r="K652" s="1" t="s">
        <v>628</v>
      </c>
      <c r="L652" s="1">
        <v>31</v>
      </c>
    </row>
    <row r="653" spans="1:12" ht="90" customHeight="1" x14ac:dyDescent="0.3">
      <c r="A653" s="9"/>
      <c r="B653" s="9"/>
      <c r="C653" s="9"/>
      <c r="D653" s="9"/>
      <c r="E653" s="9"/>
      <c r="F653" s="9"/>
      <c r="G653" s="9"/>
      <c r="H653" s="1" t="s">
        <v>629</v>
      </c>
      <c r="I653" s="1">
        <v>0.99965059757232666</v>
      </c>
      <c r="J653" s="1" t="s">
        <v>27</v>
      </c>
      <c r="K653" s="1" t="s">
        <v>630</v>
      </c>
      <c r="L653" s="1">
        <v>12</v>
      </c>
    </row>
    <row r="654" spans="1:12" ht="90" customHeight="1" x14ac:dyDescent="0.3">
      <c r="A654" s="9"/>
      <c r="B654" s="9"/>
      <c r="C654" s="9"/>
      <c r="D654" s="9"/>
      <c r="E654" s="9"/>
      <c r="F654" s="9"/>
      <c r="G654" s="9"/>
      <c r="H654" s="1" t="s">
        <v>631</v>
      </c>
      <c r="I654" s="1">
        <v>0.99819666147232056</v>
      </c>
      <c r="J654" s="1" t="s">
        <v>27</v>
      </c>
      <c r="K654" s="1" t="s">
        <v>632</v>
      </c>
      <c r="L654" s="1">
        <v>10</v>
      </c>
    </row>
    <row r="655" spans="1:12" ht="90" customHeight="1" x14ac:dyDescent="0.3">
      <c r="A655" s="9"/>
      <c r="B655" s="9"/>
      <c r="C655" s="9"/>
      <c r="D655" s="9"/>
      <c r="E655" s="9"/>
      <c r="F655" s="9"/>
      <c r="G655" s="9"/>
      <c r="H655" s="2" t="s">
        <v>633</v>
      </c>
      <c r="I655" s="2">
        <v>0.99784386157989502</v>
      </c>
      <c r="J655" s="2" t="s">
        <v>27</v>
      </c>
      <c r="K655" s="2" t="s">
        <v>634</v>
      </c>
      <c r="L655" s="2">
        <v>12</v>
      </c>
    </row>
    <row r="656" spans="1:12" ht="90" customHeight="1" x14ac:dyDescent="0.3">
      <c r="A656" s="9"/>
      <c r="B656" s="9"/>
      <c r="C656" s="9"/>
      <c r="D656" s="9"/>
      <c r="E656" s="9"/>
      <c r="F656" s="9"/>
      <c r="G656" s="9"/>
      <c r="H656" s="2" t="s">
        <v>635</v>
      </c>
      <c r="I656" s="2">
        <v>0.99453401565551758</v>
      </c>
      <c r="J656" s="2" t="s">
        <v>27</v>
      </c>
      <c r="K656" s="2" t="s">
        <v>636</v>
      </c>
      <c r="L656" s="2">
        <v>12</v>
      </c>
    </row>
    <row r="657" spans="1:12" ht="90" customHeight="1" x14ac:dyDescent="0.3">
      <c r="A657" s="8" t="s">
        <v>637</v>
      </c>
      <c r="B657" s="8" t="s">
        <v>128</v>
      </c>
      <c r="C657" s="8" t="s">
        <v>129</v>
      </c>
      <c r="D657" s="10" t="s">
        <v>15</v>
      </c>
      <c r="E657" s="10" t="s">
        <v>16</v>
      </c>
      <c r="F657" s="8" t="s">
        <v>638</v>
      </c>
      <c r="G657" s="8" t="s">
        <v>639</v>
      </c>
      <c r="H657" s="1" t="s">
        <v>136</v>
      </c>
      <c r="I657" s="1">
        <v>0.96330595016479492</v>
      </c>
      <c r="J657" s="1" t="s">
        <v>27</v>
      </c>
      <c r="K657" s="1" t="s">
        <v>137</v>
      </c>
      <c r="L657" s="1">
        <v>1</v>
      </c>
    </row>
    <row r="658" spans="1:12" ht="90" customHeight="1" x14ac:dyDescent="0.3">
      <c r="A658" s="9"/>
      <c r="B658" s="9"/>
      <c r="C658" s="9"/>
      <c r="D658" s="9"/>
      <c r="E658" s="9"/>
      <c r="F658" s="9"/>
      <c r="G658" s="9"/>
      <c r="H658" s="2"/>
      <c r="I658" s="2"/>
      <c r="J658" s="2"/>
      <c r="K658" s="2"/>
      <c r="L658" s="2"/>
    </row>
    <row r="659" spans="1:12" ht="90" customHeight="1" x14ac:dyDescent="0.3">
      <c r="A659" s="9"/>
      <c r="B659" s="9"/>
      <c r="C659" s="9"/>
      <c r="D659" s="9"/>
      <c r="E659" s="9"/>
      <c r="F659" s="9"/>
      <c r="G659" s="9"/>
      <c r="H659" s="2"/>
      <c r="I659" s="2"/>
      <c r="J659" s="2"/>
      <c r="K659" s="2"/>
      <c r="L659" s="2"/>
    </row>
    <row r="660" spans="1:12" ht="90" customHeight="1" x14ac:dyDescent="0.3">
      <c r="A660" s="9"/>
      <c r="B660" s="9"/>
      <c r="C660" s="9"/>
      <c r="D660" s="9"/>
      <c r="E660" s="9"/>
      <c r="F660" s="9"/>
      <c r="G660" s="9"/>
      <c r="H660" s="2"/>
      <c r="I660" s="2"/>
      <c r="J660" s="2"/>
      <c r="K660" s="2"/>
      <c r="L660" s="2"/>
    </row>
    <row r="661" spans="1:12" ht="90" customHeight="1" x14ac:dyDescent="0.3">
      <c r="A661" s="9"/>
      <c r="B661" s="9"/>
      <c r="C661" s="9"/>
      <c r="D661" s="9"/>
      <c r="E661" s="9"/>
      <c r="F661" s="9"/>
      <c r="G661" s="9"/>
      <c r="H661" s="2"/>
      <c r="I661" s="2"/>
      <c r="J661" s="2"/>
      <c r="K661" s="2"/>
      <c r="L661" s="2"/>
    </row>
    <row r="662" spans="1:12" ht="90" customHeight="1" x14ac:dyDescent="0.3">
      <c r="A662" s="8" t="s">
        <v>640</v>
      </c>
      <c r="B662" s="8" t="s">
        <v>128</v>
      </c>
      <c r="C662" s="8" t="s">
        <v>174</v>
      </c>
      <c r="D662" s="10" t="s">
        <v>15</v>
      </c>
      <c r="E662" s="10" t="s">
        <v>16</v>
      </c>
      <c r="F662" s="8" t="s">
        <v>641</v>
      </c>
      <c r="G662" s="8" t="s">
        <v>18</v>
      </c>
      <c r="H662" s="2"/>
      <c r="I662" s="2"/>
      <c r="J662" s="2"/>
      <c r="K662" s="2"/>
      <c r="L662" s="2"/>
    </row>
    <row r="663" spans="1:12" ht="90" customHeight="1" x14ac:dyDescent="0.3">
      <c r="A663" s="9"/>
      <c r="B663" s="9"/>
      <c r="C663" s="9"/>
      <c r="D663" s="9"/>
      <c r="E663" s="9"/>
      <c r="F663" s="9"/>
      <c r="G663" s="9"/>
      <c r="H663" s="2"/>
      <c r="I663" s="2"/>
      <c r="J663" s="2"/>
      <c r="K663" s="2"/>
      <c r="L663" s="2"/>
    </row>
    <row r="664" spans="1:12" ht="90" customHeight="1" x14ac:dyDescent="0.3">
      <c r="A664" s="9"/>
      <c r="B664" s="9"/>
      <c r="C664" s="9"/>
      <c r="D664" s="9"/>
      <c r="E664" s="9"/>
      <c r="F664" s="9"/>
      <c r="G664" s="9"/>
      <c r="H664" s="2"/>
      <c r="I664" s="2"/>
      <c r="J664" s="2"/>
      <c r="K664" s="2"/>
      <c r="L664" s="2"/>
    </row>
    <row r="665" spans="1:12" ht="90" customHeight="1" x14ac:dyDescent="0.3">
      <c r="A665" s="9"/>
      <c r="B665" s="9"/>
      <c r="C665" s="9"/>
      <c r="D665" s="9"/>
      <c r="E665" s="9"/>
      <c r="F665" s="9"/>
      <c r="G665" s="9"/>
      <c r="H665" s="2"/>
      <c r="I665" s="2"/>
      <c r="J665" s="2"/>
      <c r="K665" s="2"/>
      <c r="L665" s="2"/>
    </row>
    <row r="666" spans="1:12" ht="90" customHeight="1" x14ac:dyDescent="0.3">
      <c r="A666" s="9"/>
      <c r="B666" s="9"/>
      <c r="C666" s="9"/>
      <c r="D666" s="9"/>
      <c r="E666" s="9"/>
      <c r="F666" s="9"/>
      <c r="G666" s="9"/>
      <c r="H666" s="2"/>
      <c r="I666" s="2"/>
      <c r="J666" s="2"/>
      <c r="K666" s="2"/>
      <c r="L666" s="2"/>
    </row>
    <row r="667" spans="1:12" ht="90" customHeight="1" x14ac:dyDescent="0.3">
      <c r="A667" s="8" t="s">
        <v>642</v>
      </c>
      <c r="B667" s="8" t="s">
        <v>128</v>
      </c>
      <c r="C667" s="8" t="s">
        <v>174</v>
      </c>
      <c r="D667" s="10" t="s">
        <v>15</v>
      </c>
      <c r="E667" s="10" t="s">
        <v>16</v>
      </c>
      <c r="F667" s="8" t="s">
        <v>643</v>
      </c>
      <c r="G667" s="8" t="s">
        <v>18</v>
      </c>
      <c r="H667" s="2"/>
      <c r="I667" s="2"/>
      <c r="J667" s="2"/>
      <c r="K667" s="2"/>
      <c r="L667" s="2"/>
    </row>
    <row r="668" spans="1:12" ht="90" customHeight="1" x14ac:dyDescent="0.3">
      <c r="A668" s="9"/>
      <c r="B668" s="9"/>
      <c r="C668" s="9"/>
      <c r="D668" s="9"/>
      <c r="E668" s="9"/>
      <c r="F668" s="9"/>
      <c r="G668" s="9"/>
      <c r="H668" s="2"/>
      <c r="I668" s="2"/>
      <c r="J668" s="2"/>
      <c r="K668" s="2"/>
      <c r="L668" s="2"/>
    </row>
    <row r="669" spans="1:12" ht="90" customHeight="1" x14ac:dyDescent="0.3">
      <c r="A669" s="9"/>
      <c r="B669" s="9"/>
      <c r="C669" s="9"/>
      <c r="D669" s="9"/>
      <c r="E669" s="9"/>
      <c r="F669" s="9"/>
      <c r="G669" s="9"/>
      <c r="H669" s="2"/>
      <c r="I669" s="2"/>
      <c r="J669" s="2"/>
      <c r="K669" s="2"/>
      <c r="L669" s="2"/>
    </row>
    <row r="670" spans="1:12" ht="90" customHeight="1" x14ac:dyDescent="0.3">
      <c r="A670" s="9"/>
      <c r="B670" s="9"/>
      <c r="C670" s="9"/>
      <c r="D670" s="9"/>
      <c r="E670" s="9"/>
      <c r="F670" s="9"/>
      <c r="G670" s="9"/>
      <c r="H670" s="2"/>
      <c r="I670" s="2"/>
      <c r="J670" s="2"/>
      <c r="K670" s="2"/>
      <c r="L670" s="2"/>
    </row>
    <row r="671" spans="1:12" ht="90" customHeight="1" x14ac:dyDescent="0.3">
      <c r="A671" s="9"/>
      <c r="B671" s="9"/>
      <c r="C671" s="9"/>
      <c r="D671" s="9"/>
      <c r="E671" s="9"/>
      <c r="F671" s="9"/>
      <c r="G671" s="9"/>
      <c r="H671" s="2"/>
      <c r="I671" s="2"/>
      <c r="J671" s="2"/>
      <c r="K671" s="2"/>
      <c r="L671" s="2"/>
    </row>
    <row r="672" spans="1:12" ht="90" customHeight="1" x14ac:dyDescent="0.3">
      <c r="A672" s="8" t="s">
        <v>644</v>
      </c>
      <c r="B672" s="8" t="s">
        <v>128</v>
      </c>
      <c r="C672" s="8" t="s">
        <v>645</v>
      </c>
      <c r="D672" s="10" t="s">
        <v>15</v>
      </c>
      <c r="E672" s="10" t="s">
        <v>16</v>
      </c>
      <c r="F672" s="8" t="s">
        <v>646</v>
      </c>
      <c r="G672" s="8" t="s">
        <v>647</v>
      </c>
      <c r="H672" s="1" t="s">
        <v>648</v>
      </c>
      <c r="I672" s="1">
        <v>0.99920624494552612</v>
      </c>
      <c r="J672" s="1" t="s">
        <v>27</v>
      </c>
      <c r="K672" s="1" t="s">
        <v>250</v>
      </c>
      <c r="L672" s="1">
        <v>317</v>
      </c>
    </row>
    <row r="673" spans="1:12" ht="90" customHeight="1" x14ac:dyDescent="0.3">
      <c r="A673" s="9"/>
      <c r="B673" s="9"/>
      <c r="C673" s="9"/>
      <c r="D673" s="9"/>
      <c r="E673" s="9"/>
      <c r="F673" s="9"/>
      <c r="G673" s="9"/>
      <c r="H673" s="1" t="s">
        <v>649</v>
      </c>
      <c r="I673" s="1">
        <v>0.99894851446151733</v>
      </c>
      <c r="J673" s="1" t="s">
        <v>27</v>
      </c>
      <c r="K673" s="1" t="s">
        <v>159</v>
      </c>
      <c r="L673" s="1">
        <v>427</v>
      </c>
    </row>
    <row r="674" spans="1:12" ht="90" customHeight="1" x14ac:dyDescent="0.3">
      <c r="A674" s="9"/>
      <c r="B674" s="9"/>
      <c r="C674" s="9"/>
      <c r="D674" s="9"/>
      <c r="E674" s="9"/>
      <c r="F674" s="9"/>
      <c r="G674" s="9"/>
      <c r="H674" s="1" t="s">
        <v>650</v>
      </c>
      <c r="I674" s="1">
        <v>0.9988023042678833</v>
      </c>
      <c r="J674" s="1" t="s">
        <v>27</v>
      </c>
      <c r="K674" s="1" t="s">
        <v>72</v>
      </c>
      <c r="L674" s="1">
        <v>398</v>
      </c>
    </row>
    <row r="675" spans="1:12" ht="90" customHeight="1" x14ac:dyDescent="0.3">
      <c r="A675" s="9"/>
      <c r="B675" s="9"/>
      <c r="C675" s="9"/>
      <c r="D675" s="9"/>
      <c r="E675" s="9"/>
      <c r="F675" s="9"/>
      <c r="G675" s="9"/>
      <c r="H675" s="2" t="s">
        <v>651</v>
      </c>
      <c r="I675" s="2">
        <v>0.99878031015396118</v>
      </c>
      <c r="J675" s="2" t="s">
        <v>27</v>
      </c>
      <c r="K675" s="2" t="s">
        <v>250</v>
      </c>
      <c r="L675" s="2">
        <v>307</v>
      </c>
    </row>
    <row r="676" spans="1:12" ht="90" customHeight="1" x14ac:dyDescent="0.3">
      <c r="A676" s="9"/>
      <c r="B676" s="9"/>
      <c r="C676" s="9"/>
      <c r="D676" s="9"/>
      <c r="E676" s="9"/>
      <c r="F676" s="9"/>
      <c r="G676" s="9"/>
      <c r="H676" s="2" t="s">
        <v>652</v>
      </c>
      <c r="I676" s="2">
        <v>0.99874508380889893</v>
      </c>
      <c r="J676" s="2" t="s">
        <v>27</v>
      </c>
      <c r="K676" s="2" t="s">
        <v>72</v>
      </c>
      <c r="L676" s="2">
        <v>397</v>
      </c>
    </row>
    <row r="677" spans="1:12" ht="90" customHeight="1" x14ac:dyDescent="0.3">
      <c r="A677" s="8" t="s">
        <v>653</v>
      </c>
      <c r="B677" s="8" t="s">
        <v>128</v>
      </c>
      <c r="C677" s="8" t="s">
        <v>241</v>
      </c>
      <c r="D677" s="10" t="s">
        <v>15</v>
      </c>
      <c r="E677" s="10" t="s">
        <v>16</v>
      </c>
      <c r="F677" s="8" t="s">
        <v>654</v>
      </c>
      <c r="G677" s="8" t="s">
        <v>655</v>
      </c>
      <c r="H677" s="1" t="s">
        <v>656</v>
      </c>
      <c r="I677" s="1">
        <v>0.99754375219345093</v>
      </c>
      <c r="J677" s="1" t="s">
        <v>27</v>
      </c>
      <c r="K677" s="1" t="s">
        <v>657</v>
      </c>
      <c r="L677" s="1">
        <v>393</v>
      </c>
    </row>
    <row r="678" spans="1:12" ht="90" customHeight="1" x14ac:dyDescent="0.3">
      <c r="A678" s="9"/>
      <c r="B678" s="9"/>
      <c r="C678" s="9"/>
      <c r="D678" s="9"/>
      <c r="E678" s="9"/>
      <c r="F678" s="9"/>
      <c r="G678" s="9"/>
      <c r="H678" s="1" t="s">
        <v>658</v>
      </c>
      <c r="I678" s="1">
        <v>0.99646914005279541</v>
      </c>
      <c r="J678" s="1" t="s">
        <v>27</v>
      </c>
      <c r="K678" s="1" t="s">
        <v>250</v>
      </c>
      <c r="L678" s="1">
        <v>379</v>
      </c>
    </row>
    <row r="679" spans="1:12" ht="90" customHeight="1" x14ac:dyDescent="0.3">
      <c r="A679" s="9"/>
      <c r="B679" s="9"/>
      <c r="C679" s="9"/>
      <c r="D679" s="9"/>
      <c r="E679" s="9"/>
      <c r="F679" s="9"/>
      <c r="G679" s="9"/>
      <c r="H679" s="1" t="s">
        <v>659</v>
      </c>
      <c r="I679" s="1">
        <v>0.99646087799850025</v>
      </c>
      <c r="J679" s="1" t="s">
        <v>74</v>
      </c>
      <c r="K679" s="1" t="s">
        <v>660</v>
      </c>
      <c r="L679" s="1">
        <v>3</v>
      </c>
    </row>
    <row r="680" spans="1:12" ht="90" customHeight="1" x14ac:dyDescent="0.3">
      <c r="A680" s="9"/>
      <c r="B680" s="9"/>
      <c r="C680" s="9"/>
      <c r="D680" s="9"/>
      <c r="E680" s="9"/>
      <c r="F680" s="9"/>
      <c r="G680" s="9"/>
      <c r="H680" s="2" t="s">
        <v>661</v>
      </c>
      <c r="I680" s="2">
        <v>0.9963836669921875</v>
      </c>
      <c r="J680" s="2" t="s">
        <v>27</v>
      </c>
      <c r="K680" s="2" t="s">
        <v>250</v>
      </c>
      <c r="L680" s="2">
        <v>271</v>
      </c>
    </row>
    <row r="681" spans="1:12" ht="90" customHeight="1" x14ac:dyDescent="0.3">
      <c r="A681" s="9"/>
      <c r="B681" s="9"/>
      <c r="C681" s="9"/>
      <c r="D681" s="9"/>
      <c r="E681" s="9"/>
      <c r="F681" s="9"/>
      <c r="G681" s="9"/>
      <c r="H681" s="2" t="s">
        <v>662</v>
      </c>
      <c r="I681" s="2">
        <v>0.9943310022354126</v>
      </c>
      <c r="J681" s="2" t="s">
        <v>27</v>
      </c>
      <c r="K681" s="2" t="s">
        <v>250</v>
      </c>
      <c r="L681" s="2">
        <v>277</v>
      </c>
    </row>
    <row r="682" spans="1:12" ht="90" customHeight="1" x14ac:dyDescent="0.3">
      <c r="A682" s="8" t="s">
        <v>663</v>
      </c>
      <c r="B682" s="8" t="s">
        <v>128</v>
      </c>
      <c r="C682" s="8" t="s">
        <v>664</v>
      </c>
      <c r="D682" s="10" t="s">
        <v>15</v>
      </c>
      <c r="E682" s="10" t="s">
        <v>16</v>
      </c>
      <c r="F682" s="8" t="s">
        <v>665</v>
      </c>
      <c r="G682" s="8" t="s">
        <v>18</v>
      </c>
      <c r="H682" s="2"/>
      <c r="I682" s="2"/>
      <c r="J682" s="2"/>
      <c r="K682" s="2"/>
      <c r="L682" s="2"/>
    </row>
    <row r="683" spans="1:12" ht="90" customHeight="1" x14ac:dyDescent="0.3">
      <c r="A683" s="9"/>
      <c r="B683" s="9"/>
      <c r="C683" s="9"/>
      <c r="D683" s="9"/>
      <c r="E683" s="9"/>
      <c r="F683" s="9"/>
      <c r="G683" s="9"/>
      <c r="H683" s="2"/>
      <c r="I683" s="2"/>
      <c r="J683" s="2"/>
      <c r="K683" s="2"/>
      <c r="L683" s="2"/>
    </row>
    <row r="684" spans="1:12" ht="90" customHeight="1" x14ac:dyDescent="0.3">
      <c r="A684" s="9"/>
      <c r="B684" s="9"/>
      <c r="C684" s="9"/>
      <c r="D684" s="9"/>
      <c r="E684" s="9"/>
      <c r="F684" s="9"/>
      <c r="G684" s="9"/>
      <c r="H684" s="2"/>
      <c r="I684" s="2"/>
      <c r="J684" s="2"/>
      <c r="K684" s="2"/>
      <c r="L684" s="2"/>
    </row>
    <row r="685" spans="1:12" ht="90" customHeight="1" x14ac:dyDescent="0.3">
      <c r="A685" s="9"/>
      <c r="B685" s="9"/>
      <c r="C685" s="9"/>
      <c r="D685" s="9"/>
      <c r="E685" s="9"/>
      <c r="F685" s="9"/>
      <c r="G685" s="9"/>
      <c r="H685" s="2"/>
      <c r="I685" s="2"/>
      <c r="J685" s="2"/>
      <c r="K685" s="2"/>
      <c r="L685" s="2"/>
    </row>
    <row r="686" spans="1:12" ht="90" customHeight="1" x14ac:dyDescent="0.3">
      <c r="A686" s="9"/>
      <c r="B686" s="9"/>
      <c r="C686" s="9"/>
      <c r="D686" s="9"/>
      <c r="E686" s="9"/>
      <c r="F686" s="9"/>
      <c r="G686" s="9"/>
      <c r="H686" s="2"/>
      <c r="I686" s="2"/>
      <c r="J686" s="2"/>
      <c r="K686" s="2"/>
      <c r="L686" s="2"/>
    </row>
    <row r="687" spans="1:12" ht="90" customHeight="1" x14ac:dyDescent="0.3">
      <c r="A687" s="8" t="s">
        <v>666</v>
      </c>
      <c r="B687" s="8" t="s">
        <v>357</v>
      </c>
      <c r="C687" s="8" t="s">
        <v>309</v>
      </c>
      <c r="D687" s="10" t="s">
        <v>15</v>
      </c>
      <c r="E687" s="10" t="s">
        <v>16</v>
      </c>
      <c r="F687" s="8" t="s">
        <v>667</v>
      </c>
      <c r="G687" s="8" t="s">
        <v>18</v>
      </c>
      <c r="H687" s="2"/>
      <c r="I687" s="2"/>
      <c r="J687" s="2"/>
      <c r="K687" s="2"/>
      <c r="L687" s="2"/>
    </row>
    <row r="688" spans="1:12" ht="90" customHeight="1" x14ac:dyDescent="0.3">
      <c r="A688" s="9"/>
      <c r="B688" s="9"/>
      <c r="C688" s="9"/>
      <c r="D688" s="9"/>
      <c r="E688" s="9"/>
      <c r="F688" s="9"/>
      <c r="G688" s="9"/>
      <c r="H688" s="2"/>
      <c r="I688" s="2"/>
      <c r="J688" s="2"/>
      <c r="K688" s="2"/>
      <c r="L688" s="2"/>
    </row>
    <row r="689" spans="1:12" ht="90" customHeight="1" x14ac:dyDescent="0.3">
      <c r="A689" s="9"/>
      <c r="B689" s="9"/>
      <c r="C689" s="9"/>
      <c r="D689" s="9"/>
      <c r="E689" s="9"/>
      <c r="F689" s="9"/>
      <c r="G689" s="9"/>
      <c r="H689" s="2"/>
      <c r="I689" s="2"/>
      <c r="J689" s="2"/>
      <c r="K689" s="2"/>
      <c r="L689" s="2"/>
    </row>
    <row r="690" spans="1:12" ht="90" customHeight="1" x14ac:dyDescent="0.3">
      <c r="A690" s="9"/>
      <c r="B690" s="9"/>
      <c r="C690" s="9"/>
      <c r="D690" s="9"/>
      <c r="E690" s="9"/>
      <c r="F690" s="9"/>
      <c r="G690" s="9"/>
      <c r="H690" s="2"/>
      <c r="I690" s="2"/>
      <c r="J690" s="2"/>
      <c r="K690" s="2"/>
      <c r="L690" s="2"/>
    </row>
    <row r="691" spans="1:12" ht="90" customHeight="1" x14ac:dyDescent="0.3">
      <c r="A691" s="9"/>
      <c r="B691" s="9"/>
      <c r="C691" s="9"/>
      <c r="D691" s="9"/>
      <c r="E691" s="9"/>
      <c r="F691" s="9"/>
      <c r="G691" s="9"/>
      <c r="H691" s="2"/>
      <c r="I691" s="2"/>
      <c r="J691" s="2"/>
      <c r="K691" s="2"/>
      <c r="L691" s="2"/>
    </row>
    <row r="692" spans="1:12" ht="90" customHeight="1" x14ac:dyDescent="0.3">
      <c r="A692" s="8" t="s">
        <v>668</v>
      </c>
      <c r="B692" s="8" t="s">
        <v>223</v>
      </c>
      <c r="C692" s="8" t="s">
        <v>230</v>
      </c>
      <c r="D692" s="10" t="s">
        <v>15</v>
      </c>
      <c r="E692" s="10" t="s">
        <v>16</v>
      </c>
      <c r="F692" s="8" t="s">
        <v>669</v>
      </c>
      <c r="G692" s="8" t="s">
        <v>18</v>
      </c>
      <c r="H692" s="2"/>
      <c r="I692" s="2"/>
      <c r="J692" s="2"/>
      <c r="K692" s="2"/>
      <c r="L692" s="2"/>
    </row>
    <row r="693" spans="1:12" ht="90" customHeight="1" x14ac:dyDescent="0.3">
      <c r="A693" s="9"/>
      <c r="B693" s="9"/>
      <c r="C693" s="9"/>
      <c r="D693" s="9"/>
      <c r="E693" s="9"/>
      <c r="F693" s="9"/>
      <c r="G693" s="9"/>
      <c r="H693" s="2"/>
      <c r="I693" s="2"/>
      <c r="J693" s="2"/>
      <c r="K693" s="2"/>
      <c r="L693" s="2"/>
    </row>
    <row r="694" spans="1:12" ht="90" customHeight="1" x14ac:dyDescent="0.3">
      <c r="A694" s="9"/>
      <c r="B694" s="9"/>
      <c r="C694" s="9"/>
      <c r="D694" s="9"/>
      <c r="E694" s="9"/>
      <c r="F694" s="9"/>
      <c r="G694" s="9"/>
      <c r="H694" s="2"/>
      <c r="I694" s="2"/>
      <c r="J694" s="2"/>
      <c r="K694" s="2"/>
      <c r="L694" s="2"/>
    </row>
    <row r="695" spans="1:12" ht="90" customHeight="1" x14ac:dyDescent="0.3">
      <c r="A695" s="9"/>
      <c r="B695" s="9"/>
      <c r="C695" s="9"/>
      <c r="D695" s="9"/>
      <c r="E695" s="9"/>
      <c r="F695" s="9"/>
      <c r="G695" s="9"/>
      <c r="H695" s="2"/>
      <c r="I695" s="2"/>
      <c r="J695" s="2"/>
      <c r="K695" s="2"/>
      <c r="L695" s="2"/>
    </row>
    <row r="696" spans="1:12" ht="90" customHeight="1" x14ac:dyDescent="0.3">
      <c r="A696" s="9"/>
      <c r="B696" s="9"/>
      <c r="C696" s="9"/>
      <c r="D696" s="9"/>
      <c r="E696" s="9"/>
      <c r="F696" s="9"/>
      <c r="G696" s="9"/>
      <c r="H696" s="2"/>
      <c r="I696" s="2"/>
      <c r="J696" s="2"/>
      <c r="K696" s="2"/>
      <c r="L696" s="2"/>
    </row>
    <row r="697" spans="1:12" ht="90" customHeight="1" x14ac:dyDescent="0.3">
      <c r="A697" s="8" t="s">
        <v>670</v>
      </c>
      <c r="B697" s="8" t="s">
        <v>671</v>
      </c>
      <c r="C697" s="8" t="s">
        <v>551</v>
      </c>
      <c r="D697" s="10" t="s">
        <v>15</v>
      </c>
      <c r="E697" s="10" t="s">
        <v>16</v>
      </c>
      <c r="F697" s="8" t="s">
        <v>672</v>
      </c>
      <c r="G697" s="8" t="s">
        <v>18</v>
      </c>
      <c r="H697" s="2"/>
      <c r="I697" s="2"/>
      <c r="J697" s="2"/>
      <c r="K697" s="2"/>
      <c r="L697" s="2"/>
    </row>
    <row r="698" spans="1:12" ht="90" customHeight="1" x14ac:dyDescent="0.3">
      <c r="A698" s="9"/>
      <c r="B698" s="9"/>
      <c r="C698" s="9"/>
      <c r="D698" s="9"/>
      <c r="E698" s="9"/>
      <c r="F698" s="9"/>
      <c r="G698" s="9"/>
      <c r="H698" s="2"/>
      <c r="I698" s="2"/>
      <c r="J698" s="2"/>
      <c r="K698" s="2"/>
      <c r="L698" s="2"/>
    </row>
    <row r="699" spans="1:12" ht="90" customHeight="1" x14ac:dyDescent="0.3">
      <c r="A699" s="9"/>
      <c r="B699" s="9"/>
      <c r="C699" s="9"/>
      <c r="D699" s="9"/>
      <c r="E699" s="9"/>
      <c r="F699" s="9"/>
      <c r="G699" s="9"/>
      <c r="H699" s="2"/>
      <c r="I699" s="2"/>
      <c r="J699" s="2"/>
      <c r="K699" s="2"/>
      <c r="L699" s="2"/>
    </row>
    <row r="700" spans="1:12" ht="90" customHeight="1" x14ac:dyDescent="0.3">
      <c r="A700" s="9"/>
      <c r="B700" s="9"/>
      <c r="C700" s="9"/>
      <c r="D700" s="9"/>
      <c r="E700" s="9"/>
      <c r="F700" s="9"/>
      <c r="G700" s="9"/>
      <c r="H700" s="2"/>
      <c r="I700" s="2"/>
      <c r="J700" s="2"/>
      <c r="K700" s="2"/>
      <c r="L700" s="2"/>
    </row>
    <row r="701" spans="1:12" ht="90" customHeight="1" x14ac:dyDescent="0.3">
      <c r="A701" s="9"/>
      <c r="B701" s="9"/>
      <c r="C701" s="9"/>
      <c r="D701" s="9"/>
      <c r="E701" s="9"/>
      <c r="F701" s="9"/>
      <c r="G701" s="9"/>
      <c r="H701" s="2"/>
      <c r="I701" s="2"/>
      <c r="J701" s="2"/>
      <c r="K701" s="2"/>
      <c r="L701" s="2"/>
    </row>
    <row r="702" spans="1:12" ht="90" customHeight="1" x14ac:dyDescent="0.3">
      <c r="A702" s="8" t="s">
        <v>673</v>
      </c>
      <c r="B702" s="8" t="s">
        <v>608</v>
      </c>
      <c r="C702" s="8" t="s">
        <v>244</v>
      </c>
      <c r="D702" s="10" t="s">
        <v>15</v>
      </c>
      <c r="E702" s="10" t="s">
        <v>16</v>
      </c>
      <c r="F702" s="8" t="s">
        <v>674</v>
      </c>
      <c r="G702" s="8" t="s">
        <v>18</v>
      </c>
      <c r="H702" s="2"/>
      <c r="I702" s="2"/>
      <c r="J702" s="2"/>
      <c r="K702" s="2"/>
      <c r="L702" s="2"/>
    </row>
    <row r="703" spans="1:12" ht="90" customHeight="1" x14ac:dyDescent="0.3">
      <c r="A703" s="9"/>
      <c r="B703" s="9"/>
      <c r="C703" s="9"/>
      <c r="D703" s="9"/>
      <c r="E703" s="9"/>
      <c r="F703" s="9"/>
      <c r="G703" s="9"/>
      <c r="H703" s="2"/>
      <c r="I703" s="2"/>
      <c r="J703" s="2"/>
      <c r="K703" s="2"/>
      <c r="L703" s="2"/>
    </row>
    <row r="704" spans="1:12" ht="90" customHeight="1" x14ac:dyDescent="0.3">
      <c r="A704" s="9"/>
      <c r="B704" s="9"/>
      <c r="C704" s="9"/>
      <c r="D704" s="9"/>
      <c r="E704" s="9"/>
      <c r="F704" s="9"/>
      <c r="G704" s="9"/>
      <c r="H704" s="2"/>
      <c r="I704" s="2"/>
      <c r="J704" s="2"/>
      <c r="K704" s="2"/>
      <c r="L704" s="2"/>
    </row>
    <row r="705" spans="1:12" ht="90" customHeight="1" x14ac:dyDescent="0.3">
      <c r="A705" s="9"/>
      <c r="B705" s="9"/>
      <c r="C705" s="9"/>
      <c r="D705" s="9"/>
      <c r="E705" s="9"/>
      <c r="F705" s="9"/>
      <c r="G705" s="9"/>
      <c r="H705" s="2"/>
      <c r="I705" s="2"/>
      <c r="J705" s="2"/>
      <c r="K705" s="2"/>
      <c r="L705" s="2"/>
    </row>
    <row r="706" spans="1:12" ht="90" customHeight="1" x14ac:dyDescent="0.3">
      <c r="A706" s="9"/>
      <c r="B706" s="9"/>
      <c r="C706" s="9"/>
      <c r="D706" s="9"/>
      <c r="E706" s="9"/>
      <c r="F706" s="9"/>
      <c r="G706" s="9"/>
      <c r="H706" s="2"/>
      <c r="I706" s="2"/>
      <c r="J706" s="2"/>
      <c r="K706" s="2"/>
      <c r="L706" s="2"/>
    </row>
    <row r="707" spans="1:12" ht="90" customHeight="1" x14ac:dyDescent="0.3">
      <c r="A707" s="8" t="s">
        <v>675</v>
      </c>
      <c r="B707" s="8" t="s">
        <v>676</v>
      </c>
      <c r="C707" s="8" t="s">
        <v>677</v>
      </c>
      <c r="D707" s="10" t="s">
        <v>15</v>
      </c>
      <c r="E707" s="10" t="s">
        <v>16</v>
      </c>
      <c r="F707" s="8" t="s">
        <v>678</v>
      </c>
      <c r="G707" s="8" t="s">
        <v>18</v>
      </c>
      <c r="H707" s="2"/>
      <c r="I707" s="2"/>
      <c r="J707" s="2"/>
      <c r="K707" s="2"/>
      <c r="L707" s="2"/>
    </row>
    <row r="708" spans="1:12" ht="90" customHeight="1" x14ac:dyDescent="0.3">
      <c r="A708" s="9"/>
      <c r="B708" s="9"/>
      <c r="C708" s="9"/>
      <c r="D708" s="9"/>
      <c r="E708" s="9"/>
      <c r="F708" s="9"/>
      <c r="G708" s="9"/>
      <c r="H708" s="2"/>
      <c r="I708" s="2"/>
      <c r="J708" s="2"/>
      <c r="K708" s="2"/>
      <c r="L708" s="2"/>
    </row>
    <row r="709" spans="1:12" ht="90" customHeight="1" x14ac:dyDescent="0.3">
      <c r="A709" s="9"/>
      <c r="B709" s="9"/>
      <c r="C709" s="9"/>
      <c r="D709" s="9"/>
      <c r="E709" s="9"/>
      <c r="F709" s="9"/>
      <c r="G709" s="9"/>
      <c r="H709" s="2"/>
      <c r="I709" s="2"/>
      <c r="J709" s="2"/>
      <c r="K709" s="2"/>
      <c r="L709" s="2"/>
    </row>
    <row r="710" spans="1:12" ht="90" customHeight="1" x14ac:dyDescent="0.3">
      <c r="A710" s="9"/>
      <c r="B710" s="9"/>
      <c r="C710" s="9"/>
      <c r="D710" s="9"/>
      <c r="E710" s="9"/>
      <c r="F710" s="9"/>
      <c r="G710" s="9"/>
      <c r="H710" s="2"/>
      <c r="I710" s="2"/>
      <c r="J710" s="2"/>
      <c r="K710" s="2"/>
      <c r="L710" s="2"/>
    </row>
    <row r="711" spans="1:12" ht="90" customHeight="1" x14ac:dyDescent="0.3">
      <c r="A711" s="9"/>
      <c r="B711" s="9"/>
      <c r="C711" s="9"/>
      <c r="D711" s="9"/>
      <c r="E711" s="9"/>
      <c r="F711" s="9"/>
      <c r="G711" s="9"/>
      <c r="H711" s="2"/>
      <c r="I711" s="2"/>
      <c r="J711" s="2"/>
      <c r="K711" s="2"/>
      <c r="L711" s="2"/>
    </row>
    <row r="712" spans="1:12" ht="90" customHeight="1" x14ac:dyDescent="0.3">
      <c r="A712" s="8" t="s">
        <v>679</v>
      </c>
      <c r="B712" s="8" t="s">
        <v>680</v>
      </c>
      <c r="C712" s="8" t="s">
        <v>14</v>
      </c>
      <c r="D712" s="10" t="s">
        <v>15</v>
      </c>
      <c r="E712" s="10" t="s">
        <v>16</v>
      </c>
      <c r="F712" s="8" t="s">
        <v>681</v>
      </c>
      <c r="G712" s="8" t="s">
        <v>18</v>
      </c>
      <c r="H712" s="2"/>
      <c r="I712" s="2"/>
      <c r="J712" s="2"/>
      <c r="K712" s="2"/>
      <c r="L712" s="2"/>
    </row>
    <row r="713" spans="1:12" ht="90" customHeight="1" x14ac:dyDescent="0.3">
      <c r="A713" s="9"/>
      <c r="B713" s="9"/>
      <c r="C713" s="9"/>
      <c r="D713" s="9"/>
      <c r="E713" s="9"/>
      <c r="F713" s="9"/>
      <c r="G713" s="9"/>
      <c r="H713" s="2"/>
      <c r="I713" s="2"/>
      <c r="J713" s="2"/>
      <c r="K713" s="2"/>
      <c r="L713" s="2"/>
    </row>
    <row r="714" spans="1:12" ht="90" customHeight="1" x14ac:dyDescent="0.3">
      <c r="A714" s="9"/>
      <c r="B714" s="9"/>
      <c r="C714" s="9"/>
      <c r="D714" s="9"/>
      <c r="E714" s="9"/>
      <c r="F714" s="9"/>
      <c r="G714" s="9"/>
      <c r="H714" s="2"/>
      <c r="I714" s="2"/>
      <c r="J714" s="2"/>
      <c r="K714" s="2"/>
      <c r="L714" s="2"/>
    </row>
    <row r="715" spans="1:12" ht="90" customHeight="1" x14ac:dyDescent="0.3">
      <c r="A715" s="9"/>
      <c r="B715" s="9"/>
      <c r="C715" s="9"/>
      <c r="D715" s="9"/>
      <c r="E715" s="9"/>
      <c r="F715" s="9"/>
      <c r="G715" s="9"/>
      <c r="H715" s="2"/>
      <c r="I715" s="2"/>
      <c r="J715" s="2"/>
      <c r="K715" s="2"/>
      <c r="L715" s="2"/>
    </row>
    <row r="716" spans="1:12" ht="90" customHeight="1" x14ac:dyDescent="0.3">
      <c r="A716" s="9"/>
      <c r="B716" s="9"/>
      <c r="C716" s="9"/>
      <c r="D716" s="9"/>
      <c r="E716" s="9"/>
      <c r="F716" s="9"/>
      <c r="G716" s="9"/>
      <c r="H716" s="2"/>
      <c r="I716" s="2"/>
      <c r="J716" s="2"/>
      <c r="K716" s="2"/>
      <c r="L716" s="2"/>
    </row>
    <row r="717" spans="1:12" ht="90" customHeight="1" x14ac:dyDescent="0.3">
      <c r="A717" s="8" t="s">
        <v>682</v>
      </c>
      <c r="B717" s="8" t="s">
        <v>545</v>
      </c>
      <c r="C717" s="8" t="s">
        <v>683</v>
      </c>
      <c r="D717" s="10" t="s">
        <v>15</v>
      </c>
      <c r="E717" s="10" t="s">
        <v>16</v>
      </c>
      <c r="F717" s="8" t="s">
        <v>684</v>
      </c>
      <c r="G717" s="8" t="s">
        <v>685</v>
      </c>
      <c r="H717" s="1" t="s">
        <v>686</v>
      </c>
      <c r="I717" s="1">
        <v>0.79517108201980591</v>
      </c>
      <c r="J717" s="1" t="s">
        <v>27</v>
      </c>
      <c r="K717" s="1" t="s">
        <v>657</v>
      </c>
      <c r="L717" s="1">
        <v>45</v>
      </c>
    </row>
    <row r="718" spans="1:12" ht="90" customHeight="1" x14ac:dyDescent="0.3">
      <c r="A718" s="9"/>
      <c r="B718" s="9"/>
      <c r="C718" s="9"/>
      <c r="D718" s="9"/>
      <c r="E718" s="9"/>
      <c r="F718" s="9"/>
      <c r="G718" s="9"/>
      <c r="H718" s="2"/>
      <c r="I718" s="2"/>
      <c r="J718" s="2"/>
      <c r="K718" s="2"/>
      <c r="L718" s="2"/>
    </row>
    <row r="719" spans="1:12" ht="90" customHeight="1" x14ac:dyDescent="0.3">
      <c r="A719" s="9"/>
      <c r="B719" s="9"/>
      <c r="C719" s="9"/>
      <c r="D719" s="9"/>
      <c r="E719" s="9"/>
      <c r="F719" s="9"/>
      <c r="G719" s="9"/>
      <c r="H719" s="2"/>
      <c r="I719" s="2"/>
      <c r="J719" s="2"/>
      <c r="K719" s="2"/>
      <c r="L719" s="2"/>
    </row>
    <row r="720" spans="1:12" ht="90" customHeight="1" x14ac:dyDescent="0.3">
      <c r="A720" s="9"/>
      <c r="B720" s="9"/>
      <c r="C720" s="9"/>
      <c r="D720" s="9"/>
      <c r="E720" s="9"/>
      <c r="F720" s="9"/>
      <c r="G720" s="9"/>
      <c r="H720" s="2"/>
      <c r="I720" s="2"/>
      <c r="J720" s="2"/>
      <c r="K720" s="2"/>
      <c r="L720" s="2"/>
    </row>
    <row r="721" spans="1:12" ht="90" customHeight="1" x14ac:dyDescent="0.3">
      <c r="A721" s="9"/>
      <c r="B721" s="9"/>
      <c r="C721" s="9"/>
      <c r="D721" s="9"/>
      <c r="E721" s="9"/>
      <c r="F721" s="9"/>
      <c r="G721" s="9"/>
      <c r="H721" s="2"/>
      <c r="I721" s="2"/>
      <c r="J721" s="2"/>
      <c r="K721" s="2"/>
      <c r="L721" s="2"/>
    </row>
    <row r="722" spans="1:12" ht="90" customHeight="1" x14ac:dyDescent="0.3">
      <c r="A722" s="8" t="s">
        <v>687</v>
      </c>
      <c r="B722" s="8" t="s">
        <v>128</v>
      </c>
      <c r="C722" s="8" t="s">
        <v>465</v>
      </c>
      <c r="D722" s="10" t="s">
        <v>15</v>
      </c>
      <c r="E722" s="10" t="s">
        <v>16</v>
      </c>
      <c r="F722" s="8" t="s">
        <v>688</v>
      </c>
      <c r="G722" s="8" t="s">
        <v>18</v>
      </c>
      <c r="H722" s="2"/>
      <c r="I722" s="2"/>
      <c r="J722" s="2"/>
      <c r="K722" s="2"/>
      <c r="L722" s="2"/>
    </row>
    <row r="723" spans="1:12" ht="90" customHeight="1" x14ac:dyDescent="0.3">
      <c r="A723" s="9"/>
      <c r="B723" s="9"/>
      <c r="C723" s="9"/>
      <c r="D723" s="9"/>
      <c r="E723" s="9"/>
      <c r="F723" s="9"/>
      <c r="G723" s="9"/>
      <c r="H723" s="2"/>
      <c r="I723" s="2"/>
      <c r="J723" s="2"/>
      <c r="K723" s="2"/>
      <c r="L723" s="2"/>
    </row>
    <row r="724" spans="1:12" ht="90" customHeight="1" x14ac:dyDescent="0.3">
      <c r="A724" s="9"/>
      <c r="B724" s="9"/>
      <c r="C724" s="9"/>
      <c r="D724" s="9"/>
      <c r="E724" s="9"/>
      <c r="F724" s="9"/>
      <c r="G724" s="9"/>
      <c r="H724" s="2"/>
      <c r="I724" s="2"/>
      <c r="J724" s="2"/>
      <c r="K724" s="2"/>
      <c r="L724" s="2"/>
    </row>
    <row r="725" spans="1:12" ht="90" customHeight="1" x14ac:dyDescent="0.3">
      <c r="A725" s="9"/>
      <c r="B725" s="9"/>
      <c r="C725" s="9"/>
      <c r="D725" s="9"/>
      <c r="E725" s="9"/>
      <c r="F725" s="9"/>
      <c r="G725" s="9"/>
      <c r="H725" s="2"/>
      <c r="I725" s="2"/>
      <c r="J725" s="2"/>
      <c r="K725" s="2"/>
      <c r="L725" s="2"/>
    </row>
    <row r="726" spans="1:12" ht="90" customHeight="1" x14ac:dyDescent="0.3">
      <c r="A726" s="9"/>
      <c r="B726" s="9"/>
      <c r="C726" s="9"/>
      <c r="D726" s="9"/>
      <c r="E726" s="9"/>
      <c r="F726" s="9"/>
      <c r="G726" s="9"/>
      <c r="H726" s="2"/>
      <c r="I726" s="2"/>
      <c r="J726" s="2"/>
      <c r="K726" s="2"/>
      <c r="L726" s="2"/>
    </row>
    <row r="727" spans="1:12" ht="90" customHeight="1" x14ac:dyDescent="0.3">
      <c r="A727" s="8" t="s">
        <v>689</v>
      </c>
      <c r="B727" s="8" t="s">
        <v>327</v>
      </c>
      <c r="C727" s="8" t="s">
        <v>14</v>
      </c>
      <c r="D727" s="10" t="s">
        <v>15</v>
      </c>
      <c r="E727" s="10" t="s">
        <v>16</v>
      </c>
      <c r="F727" s="8" t="s">
        <v>690</v>
      </c>
      <c r="G727" s="8" t="s">
        <v>18</v>
      </c>
      <c r="H727" s="2"/>
      <c r="I727" s="2"/>
      <c r="J727" s="2"/>
      <c r="K727" s="2"/>
      <c r="L727" s="2"/>
    </row>
    <row r="728" spans="1:12" ht="90" customHeight="1" x14ac:dyDescent="0.3">
      <c r="A728" s="9"/>
      <c r="B728" s="9"/>
      <c r="C728" s="9"/>
      <c r="D728" s="9"/>
      <c r="E728" s="9"/>
      <c r="F728" s="9"/>
      <c r="G728" s="9"/>
      <c r="H728" s="2"/>
      <c r="I728" s="2"/>
      <c r="J728" s="2"/>
      <c r="K728" s="2"/>
      <c r="L728" s="2"/>
    </row>
    <row r="729" spans="1:12" ht="90" customHeight="1" x14ac:dyDescent="0.3">
      <c r="A729" s="9"/>
      <c r="B729" s="9"/>
      <c r="C729" s="9"/>
      <c r="D729" s="9"/>
      <c r="E729" s="9"/>
      <c r="F729" s="9"/>
      <c r="G729" s="9"/>
      <c r="H729" s="2"/>
      <c r="I729" s="2"/>
      <c r="J729" s="2"/>
      <c r="K729" s="2"/>
      <c r="L729" s="2"/>
    </row>
    <row r="730" spans="1:12" ht="90" customHeight="1" x14ac:dyDescent="0.3">
      <c r="A730" s="9"/>
      <c r="B730" s="9"/>
      <c r="C730" s="9"/>
      <c r="D730" s="9"/>
      <c r="E730" s="9"/>
      <c r="F730" s="9"/>
      <c r="G730" s="9"/>
      <c r="H730" s="2"/>
      <c r="I730" s="2"/>
      <c r="J730" s="2"/>
      <c r="K730" s="2"/>
      <c r="L730" s="2"/>
    </row>
    <row r="731" spans="1:12" ht="90" customHeight="1" x14ac:dyDescent="0.3">
      <c r="A731" s="9"/>
      <c r="B731" s="9"/>
      <c r="C731" s="9"/>
      <c r="D731" s="9"/>
      <c r="E731" s="9"/>
      <c r="F731" s="9"/>
      <c r="G731" s="9"/>
      <c r="H731" s="2"/>
      <c r="I731" s="2"/>
      <c r="J731" s="2"/>
      <c r="K731" s="2"/>
      <c r="L731" s="2"/>
    </row>
    <row r="732" spans="1:12" ht="90" customHeight="1" x14ac:dyDescent="0.3">
      <c r="A732" s="8" t="s">
        <v>691</v>
      </c>
      <c r="B732" s="8" t="s">
        <v>208</v>
      </c>
      <c r="C732" s="8" t="s">
        <v>57</v>
      </c>
      <c r="D732" s="10" t="s">
        <v>15</v>
      </c>
      <c r="E732" s="10" t="s">
        <v>16</v>
      </c>
      <c r="F732" s="8" t="s">
        <v>692</v>
      </c>
      <c r="G732" s="8" t="s">
        <v>18</v>
      </c>
      <c r="H732" s="2"/>
      <c r="I732" s="2"/>
      <c r="J732" s="2"/>
      <c r="K732" s="2"/>
      <c r="L732" s="2"/>
    </row>
    <row r="733" spans="1:12" ht="90" customHeight="1" x14ac:dyDescent="0.3">
      <c r="A733" s="9"/>
      <c r="B733" s="9"/>
      <c r="C733" s="9"/>
      <c r="D733" s="9"/>
      <c r="E733" s="9"/>
      <c r="F733" s="9"/>
      <c r="G733" s="9"/>
      <c r="H733" s="2"/>
      <c r="I733" s="2"/>
      <c r="J733" s="2"/>
      <c r="K733" s="2"/>
      <c r="L733" s="2"/>
    </row>
    <row r="734" spans="1:12" ht="90" customHeight="1" x14ac:dyDescent="0.3">
      <c r="A734" s="9"/>
      <c r="B734" s="9"/>
      <c r="C734" s="9"/>
      <c r="D734" s="9"/>
      <c r="E734" s="9"/>
      <c r="F734" s="9"/>
      <c r="G734" s="9"/>
      <c r="H734" s="2"/>
      <c r="I734" s="2"/>
      <c r="J734" s="2"/>
      <c r="K734" s="2"/>
      <c r="L734" s="2"/>
    </row>
    <row r="735" spans="1:12" ht="90" customHeight="1" x14ac:dyDescent="0.3">
      <c r="A735" s="9"/>
      <c r="B735" s="9"/>
      <c r="C735" s="9"/>
      <c r="D735" s="9"/>
      <c r="E735" s="9"/>
      <c r="F735" s="9"/>
      <c r="G735" s="9"/>
      <c r="H735" s="2"/>
      <c r="I735" s="2"/>
      <c r="J735" s="2"/>
      <c r="K735" s="2"/>
      <c r="L735" s="2"/>
    </row>
    <row r="736" spans="1:12" ht="90" customHeight="1" x14ac:dyDescent="0.3">
      <c r="A736" s="9"/>
      <c r="B736" s="9"/>
      <c r="C736" s="9"/>
      <c r="D736" s="9"/>
      <c r="E736" s="9"/>
      <c r="F736" s="9"/>
      <c r="G736" s="9"/>
      <c r="H736" s="2"/>
      <c r="I736" s="2"/>
      <c r="J736" s="2"/>
      <c r="K736" s="2"/>
      <c r="L736" s="2"/>
    </row>
    <row r="737" spans="1:12" ht="90" customHeight="1" x14ac:dyDescent="0.3">
      <c r="A737" s="8" t="s">
        <v>693</v>
      </c>
      <c r="B737" s="8" t="s">
        <v>473</v>
      </c>
      <c r="C737" s="8" t="s">
        <v>21</v>
      </c>
      <c r="D737" s="10" t="s">
        <v>15</v>
      </c>
      <c r="E737" s="10" t="s">
        <v>16</v>
      </c>
      <c r="F737" s="8" t="s">
        <v>694</v>
      </c>
      <c r="G737" s="8" t="s">
        <v>695</v>
      </c>
      <c r="H737" s="1" t="s">
        <v>696</v>
      </c>
      <c r="I737" s="1">
        <v>0.90160679816739075</v>
      </c>
      <c r="J737" s="1" t="s">
        <v>27</v>
      </c>
      <c r="K737" s="1" t="s">
        <v>428</v>
      </c>
      <c r="L737" s="1">
        <v>29</v>
      </c>
    </row>
    <row r="738" spans="1:12" ht="90" customHeight="1" x14ac:dyDescent="0.3">
      <c r="A738" s="9"/>
      <c r="B738" s="9"/>
      <c r="C738" s="9"/>
      <c r="D738" s="9"/>
      <c r="E738" s="9"/>
      <c r="F738" s="9"/>
      <c r="G738" s="9"/>
      <c r="H738" s="2"/>
      <c r="I738" s="2"/>
      <c r="J738" s="2"/>
      <c r="K738" s="2"/>
      <c r="L738" s="2"/>
    </row>
    <row r="739" spans="1:12" ht="90" customHeight="1" x14ac:dyDescent="0.3">
      <c r="A739" s="9"/>
      <c r="B739" s="9"/>
      <c r="C739" s="9"/>
      <c r="D739" s="9"/>
      <c r="E739" s="9"/>
      <c r="F739" s="9"/>
      <c r="G739" s="9"/>
      <c r="H739" s="2"/>
      <c r="I739" s="2"/>
      <c r="J739" s="2"/>
      <c r="K739" s="2"/>
      <c r="L739" s="2"/>
    </row>
    <row r="740" spans="1:12" ht="90" customHeight="1" x14ac:dyDescent="0.3">
      <c r="A740" s="9"/>
      <c r="B740" s="9"/>
      <c r="C740" s="9"/>
      <c r="D740" s="9"/>
      <c r="E740" s="9"/>
      <c r="F740" s="9"/>
      <c r="G740" s="9"/>
      <c r="H740" s="2"/>
      <c r="I740" s="2"/>
      <c r="J740" s="2"/>
      <c r="K740" s="2"/>
      <c r="L740" s="2"/>
    </row>
    <row r="741" spans="1:12" ht="90" customHeight="1" x14ac:dyDescent="0.3">
      <c r="A741" s="9"/>
      <c r="B741" s="9"/>
      <c r="C741" s="9"/>
      <c r="D741" s="9"/>
      <c r="E741" s="9"/>
      <c r="F741" s="9"/>
      <c r="G741" s="9"/>
      <c r="H741" s="2"/>
      <c r="I741" s="2"/>
      <c r="J741" s="2"/>
      <c r="K741" s="2"/>
      <c r="L741" s="2"/>
    </row>
    <row r="742" spans="1:12" ht="90" customHeight="1" x14ac:dyDescent="0.3">
      <c r="A742" s="8" t="s">
        <v>697</v>
      </c>
      <c r="B742" s="8" t="s">
        <v>34</v>
      </c>
      <c r="C742" s="8" t="s">
        <v>257</v>
      </c>
      <c r="D742" s="10" t="s">
        <v>15</v>
      </c>
      <c r="E742" s="10" t="s">
        <v>16</v>
      </c>
      <c r="F742" s="8" t="s">
        <v>698</v>
      </c>
      <c r="G742" s="8" t="s">
        <v>18</v>
      </c>
      <c r="H742" s="2"/>
      <c r="I742" s="2"/>
      <c r="J742" s="2"/>
      <c r="K742" s="2"/>
      <c r="L742" s="2"/>
    </row>
    <row r="743" spans="1:12" ht="90" customHeight="1" x14ac:dyDescent="0.3">
      <c r="A743" s="9"/>
      <c r="B743" s="9"/>
      <c r="C743" s="9"/>
      <c r="D743" s="9"/>
      <c r="E743" s="9"/>
      <c r="F743" s="9"/>
      <c r="G743" s="9"/>
      <c r="H743" s="2"/>
      <c r="I743" s="2"/>
      <c r="J743" s="2"/>
      <c r="K743" s="2"/>
      <c r="L743" s="2"/>
    </row>
    <row r="744" spans="1:12" ht="90" customHeight="1" x14ac:dyDescent="0.3">
      <c r="A744" s="9"/>
      <c r="B744" s="9"/>
      <c r="C744" s="9"/>
      <c r="D744" s="9"/>
      <c r="E744" s="9"/>
      <c r="F744" s="9"/>
      <c r="G744" s="9"/>
      <c r="H744" s="2"/>
      <c r="I744" s="2"/>
      <c r="J744" s="2"/>
      <c r="K744" s="2"/>
      <c r="L744" s="2"/>
    </row>
    <row r="745" spans="1:12" ht="90" customHeight="1" x14ac:dyDescent="0.3">
      <c r="A745" s="9"/>
      <c r="B745" s="9"/>
      <c r="C745" s="9"/>
      <c r="D745" s="9"/>
      <c r="E745" s="9"/>
      <c r="F745" s="9"/>
      <c r="G745" s="9"/>
      <c r="H745" s="2"/>
      <c r="I745" s="2"/>
      <c r="J745" s="2"/>
      <c r="K745" s="2"/>
      <c r="L745" s="2"/>
    </row>
    <row r="746" spans="1:12" ht="90" customHeight="1" x14ac:dyDescent="0.3">
      <c r="A746" s="9"/>
      <c r="B746" s="9"/>
      <c r="C746" s="9"/>
      <c r="D746" s="9"/>
      <c r="E746" s="9"/>
      <c r="F746" s="9"/>
      <c r="G746" s="9"/>
      <c r="H746" s="2"/>
      <c r="I746" s="2"/>
      <c r="J746" s="2"/>
      <c r="K746" s="2"/>
      <c r="L746" s="2"/>
    </row>
    <row r="747" spans="1:12" ht="90" customHeight="1" x14ac:dyDescent="0.3">
      <c r="A747" s="8" t="s">
        <v>699</v>
      </c>
      <c r="B747" s="8" t="s">
        <v>128</v>
      </c>
      <c r="C747" s="8" t="s">
        <v>129</v>
      </c>
      <c r="D747" s="10" t="s">
        <v>15</v>
      </c>
      <c r="E747" s="10" t="s">
        <v>16</v>
      </c>
      <c r="F747" s="8" t="s">
        <v>700</v>
      </c>
      <c r="G747" s="8" t="s">
        <v>18</v>
      </c>
      <c r="H747" s="2"/>
      <c r="I747" s="2"/>
      <c r="J747" s="2"/>
      <c r="K747" s="2"/>
      <c r="L747" s="2"/>
    </row>
    <row r="748" spans="1:12" ht="90" customHeight="1" x14ac:dyDescent="0.3">
      <c r="A748" s="9"/>
      <c r="B748" s="9"/>
      <c r="C748" s="9"/>
      <c r="D748" s="9"/>
      <c r="E748" s="9"/>
      <c r="F748" s="9"/>
      <c r="G748" s="9"/>
      <c r="H748" s="2"/>
      <c r="I748" s="2"/>
      <c r="J748" s="2"/>
      <c r="K748" s="2"/>
      <c r="L748" s="2"/>
    </row>
    <row r="749" spans="1:12" ht="90" customHeight="1" x14ac:dyDescent="0.3">
      <c r="A749" s="9"/>
      <c r="B749" s="9"/>
      <c r="C749" s="9"/>
      <c r="D749" s="9"/>
      <c r="E749" s="9"/>
      <c r="F749" s="9"/>
      <c r="G749" s="9"/>
      <c r="H749" s="2"/>
      <c r="I749" s="2"/>
      <c r="J749" s="2"/>
      <c r="K749" s="2"/>
      <c r="L749" s="2"/>
    </row>
    <row r="750" spans="1:12" ht="90" customHeight="1" x14ac:dyDescent="0.3">
      <c r="A750" s="9"/>
      <c r="B750" s="9"/>
      <c r="C750" s="9"/>
      <c r="D750" s="9"/>
      <c r="E750" s="9"/>
      <c r="F750" s="9"/>
      <c r="G750" s="9"/>
      <c r="H750" s="2"/>
      <c r="I750" s="2"/>
      <c r="J750" s="2"/>
      <c r="K750" s="2"/>
      <c r="L750" s="2"/>
    </row>
    <row r="751" spans="1:12" ht="90" customHeight="1" x14ac:dyDescent="0.3">
      <c r="A751" s="9"/>
      <c r="B751" s="9"/>
      <c r="C751" s="9"/>
      <c r="D751" s="9"/>
      <c r="E751" s="9"/>
      <c r="F751" s="9"/>
      <c r="G751" s="9"/>
      <c r="H751" s="2"/>
      <c r="I751" s="2"/>
      <c r="J751" s="2"/>
      <c r="K751" s="2"/>
      <c r="L751" s="2"/>
    </row>
    <row r="752" spans="1:12" ht="90" customHeight="1" x14ac:dyDescent="0.3">
      <c r="A752" s="8" t="s">
        <v>701</v>
      </c>
      <c r="B752" s="8" t="s">
        <v>493</v>
      </c>
      <c r="C752" s="8" t="s">
        <v>14</v>
      </c>
      <c r="D752" s="10" t="s">
        <v>15</v>
      </c>
      <c r="E752" s="10" t="s">
        <v>16</v>
      </c>
      <c r="F752" s="8" t="s">
        <v>702</v>
      </c>
      <c r="G752" s="8" t="s">
        <v>18</v>
      </c>
      <c r="H752" s="2"/>
      <c r="I752" s="2"/>
      <c r="J752" s="2"/>
      <c r="K752" s="2"/>
      <c r="L752" s="2"/>
    </row>
    <row r="753" spans="1:12" ht="90" customHeight="1" x14ac:dyDescent="0.3">
      <c r="A753" s="9"/>
      <c r="B753" s="9"/>
      <c r="C753" s="9"/>
      <c r="D753" s="9"/>
      <c r="E753" s="9"/>
      <c r="F753" s="9"/>
      <c r="G753" s="9"/>
      <c r="H753" s="2"/>
      <c r="I753" s="2"/>
      <c r="J753" s="2"/>
      <c r="K753" s="2"/>
      <c r="L753" s="2"/>
    </row>
    <row r="754" spans="1:12" ht="90" customHeight="1" x14ac:dyDescent="0.3">
      <c r="A754" s="9"/>
      <c r="B754" s="9"/>
      <c r="C754" s="9"/>
      <c r="D754" s="9"/>
      <c r="E754" s="9"/>
      <c r="F754" s="9"/>
      <c r="G754" s="9"/>
      <c r="H754" s="2"/>
      <c r="I754" s="2"/>
      <c r="J754" s="2"/>
      <c r="K754" s="2"/>
      <c r="L754" s="2"/>
    </row>
    <row r="755" spans="1:12" ht="90" customHeight="1" x14ac:dyDescent="0.3">
      <c r="A755" s="9"/>
      <c r="B755" s="9"/>
      <c r="C755" s="9"/>
      <c r="D755" s="9"/>
      <c r="E755" s="9"/>
      <c r="F755" s="9"/>
      <c r="G755" s="9"/>
      <c r="H755" s="2"/>
      <c r="I755" s="2"/>
      <c r="J755" s="2"/>
      <c r="K755" s="2"/>
      <c r="L755" s="2"/>
    </row>
    <row r="756" spans="1:12" ht="90" customHeight="1" x14ac:dyDescent="0.3">
      <c r="A756" s="9"/>
      <c r="B756" s="9"/>
      <c r="C756" s="9"/>
      <c r="D756" s="9"/>
      <c r="E756" s="9"/>
      <c r="F756" s="9"/>
      <c r="G756" s="9"/>
      <c r="H756" s="2"/>
      <c r="I756" s="2"/>
      <c r="J756" s="2"/>
      <c r="K756" s="2"/>
      <c r="L756" s="2"/>
    </row>
    <row r="757" spans="1:12" ht="90" customHeight="1" x14ac:dyDescent="0.3">
      <c r="A757" s="8" t="s">
        <v>703</v>
      </c>
      <c r="B757" s="8" t="s">
        <v>704</v>
      </c>
      <c r="C757" s="8" t="s">
        <v>705</v>
      </c>
      <c r="D757" s="10" t="s">
        <v>15</v>
      </c>
      <c r="E757" s="10" t="s">
        <v>16</v>
      </c>
      <c r="F757" s="8" t="s">
        <v>706</v>
      </c>
      <c r="G757" s="8" t="s">
        <v>707</v>
      </c>
      <c r="H757" s="1" t="s">
        <v>708</v>
      </c>
      <c r="I757" s="1">
        <v>0.9708591103553772</v>
      </c>
      <c r="J757" s="1" t="s">
        <v>27</v>
      </c>
      <c r="K757" s="1" t="s">
        <v>704</v>
      </c>
      <c r="L757" s="1">
        <v>1</v>
      </c>
    </row>
    <row r="758" spans="1:12" ht="90" customHeight="1" x14ac:dyDescent="0.3">
      <c r="A758" s="9"/>
      <c r="B758" s="9"/>
      <c r="C758" s="9"/>
      <c r="D758" s="9"/>
      <c r="E758" s="9"/>
      <c r="F758" s="9"/>
      <c r="G758" s="9"/>
      <c r="H758" s="1" t="s">
        <v>709</v>
      </c>
      <c r="I758" s="1">
        <v>0.96737504005432129</v>
      </c>
      <c r="J758" s="1" t="s">
        <v>27</v>
      </c>
      <c r="K758" s="1" t="s">
        <v>704</v>
      </c>
      <c r="L758" s="1">
        <v>14</v>
      </c>
    </row>
    <row r="759" spans="1:12" ht="90" customHeight="1" x14ac:dyDescent="0.3">
      <c r="A759" s="9"/>
      <c r="B759" s="9"/>
      <c r="C759" s="9"/>
      <c r="D759" s="9"/>
      <c r="E759" s="9"/>
      <c r="F759" s="9"/>
      <c r="G759" s="9"/>
      <c r="H759" s="1" t="s">
        <v>710</v>
      </c>
      <c r="I759" s="1">
        <v>0.9668676232324499</v>
      </c>
      <c r="J759" s="1" t="s">
        <v>27</v>
      </c>
      <c r="K759" s="1" t="s">
        <v>704</v>
      </c>
      <c r="L759" s="1">
        <v>12</v>
      </c>
    </row>
    <row r="760" spans="1:12" ht="90" customHeight="1" x14ac:dyDescent="0.3">
      <c r="A760" s="9"/>
      <c r="B760" s="9"/>
      <c r="C760" s="9"/>
      <c r="D760" s="9"/>
      <c r="E760" s="9"/>
      <c r="F760" s="9"/>
      <c r="G760" s="9"/>
      <c r="H760" s="2" t="s">
        <v>711</v>
      </c>
      <c r="I760" s="2">
        <v>0.94401752948760986</v>
      </c>
      <c r="J760" s="2" t="s">
        <v>27</v>
      </c>
      <c r="K760" s="2" t="s">
        <v>704</v>
      </c>
      <c r="L760" s="2">
        <v>10</v>
      </c>
    </row>
    <row r="761" spans="1:12" ht="90" customHeight="1" x14ac:dyDescent="0.3">
      <c r="A761" s="9"/>
      <c r="B761" s="9"/>
      <c r="C761" s="9"/>
      <c r="D761" s="9"/>
      <c r="E761" s="9"/>
      <c r="F761" s="9"/>
      <c r="G761" s="9"/>
      <c r="H761" s="2" t="s">
        <v>712</v>
      </c>
      <c r="I761" s="2">
        <v>0.88587290048599243</v>
      </c>
      <c r="J761" s="2" t="s">
        <v>27</v>
      </c>
      <c r="K761" s="2" t="s">
        <v>704</v>
      </c>
      <c r="L761" s="2">
        <v>15</v>
      </c>
    </row>
    <row r="762" spans="1:12" ht="90" customHeight="1" x14ac:dyDescent="0.3">
      <c r="A762" s="8" t="s">
        <v>713</v>
      </c>
      <c r="B762" s="8" t="s">
        <v>295</v>
      </c>
      <c r="C762" s="8" t="s">
        <v>14</v>
      </c>
      <c r="D762" s="10" t="s">
        <v>22</v>
      </c>
      <c r="E762" s="10" t="s">
        <v>23</v>
      </c>
      <c r="F762" s="8" t="s">
        <v>714</v>
      </c>
      <c r="G762" s="8" t="s">
        <v>715</v>
      </c>
      <c r="H762" s="4" t="s">
        <v>446</v>
      </c>
      <c r="I762" s="4">
        <v>0.99492454528808594</v>
      </c>
      <c r="J762" s="4" t="s">
        <v>27</v>
      </c>
      <c r="K762" s="4" t="s">
        <v>295</v>
      </c>
      <c r="L762" s="4">
        <v>1</v>
      </c>
    </row>
    <row r="763" spans="1:12" ht="90" customHeight="1" x14ac:dyDescent="0.3">
      <c r="A763" s="9"/>
      <c r="B763" s="9"/>
      <c r="C763" s="9"/>
      <c r="D763" s="9"/>
      <c r="E763" s="9"/>
      <c r="F763" s="9"/>
      <c r="G763" s="9"/>
      <c r="H763" s="2"/>
      <c r="I763" s="2"/>
      <c r="J763" s="2"/>
      <c r="K763" s="2"/>
      <c r="L763" s="2"/>
    </row>
    <row r="764" spans="1:12" ht="90" customHeight="1" x14ac:dyDescent="0.3">
      <c r="A764" s="9"/>
      <c r="B764" s="9"/>
      <c r="C764" s="9"/>
      <c r="D764" s="9"/>
      <c r="E764" s="9"/>
      <c r="F764" s="9"/>
      <c r="G764" s="9"/>
      <c r="H764" s="2"/>
      <c r="I764" s="2"/>
      <c r="J764" s="2"/>
      <c r="K764" s="2"/>
      <c r="L764" s="2"/>
    </row>
    <row r="765" spans="1:12" ht="90" customHeight="1" x14ac:dyDescent="0.3">
      <c r="A765" s="9"/>
      <c r="B765" s="9"/>
      <c r="C765" s="9"/>
      <c r="D765" s="9"/>
      <c r="E765" s="9"/>
      <c r="F765" s="9"/>
      <c r="G765" s="9"/>
      <c r="H765" s="2"/>
      <c r="I765" s="2"/>
      <c r="J765" s="2"/>
      <c r="K765" s="2"/>
      <c r="L765" s="2"/>
    </row>
    <row r="766" spans="1:12" ht="90" customHeight="1" x14ac:dyDescent="0.3">
      <c r="A766" s="9"/>
      <c r="B766" s="9"/>
      <c r="C766" s="9"/>
      <c r="D766" s="9"/>
      <c r="E766" s="9"/>
      <c r="F766" s="9"/>
      <c r="G766" s="9"/>
      <c r="H766" s="2"/>
      <c r="I766" s="2"/>
      <c r="J766" s="2"/>
      <c r="K766" s="2"/>
      <c r="L766" s="2"/>
    </row>
    <row r="767" spans="1:12" ht="90" customHeight="1" x14ac:dyDescent="0.3">
      <c r="A767" s="8" t="s">
        <v>716</v>
      </c>
      <c r="B767" s="8" t="s">
        <v>426</v>
      </c>
      <c r="C767" s="8" t="s">
        <v>717</v>
      </c>
      <c r="D767" s="10" t="s">
        <v>15</v>
      </c>
      <c r="E767" s="10" t="s">
        <v>16</v>
      </c>
      <c r="F767" s="8" t="s">
        <v>718</v>
      </c>
      <c r="G767" s="8" t="s">
        <v>719</v>
      </c>
      <c r="H767" s="2"/>
      <c r="I767" s="2"/>
      <c r="J767" s="2"/>
      <c r="K767" s="2"/>
      <c r="L767" s="2"/>
    </row>
    <row r="768" spans="1:12" ht="90" customHeight="1" x14ac:dyDescent="0.3">
      <c r="A768" s="9"/>
      <c r="B768" s="9"/>
      <c r="C768" s="9"/>
      <c r="D768" s="9"/>
      <c r="E768" s="9"/>
      <c r="F768" s="9"/>
      <c r="G768" s="9"/>
      <c r="H768" s="2"/>
      <c r="I768" s="2"/>
      <c r="J768" s="2"/>
      <c r="K768" s="2"/>
      <c r="L768" s="2"/>
    </row>
    <row r="769" spans="1:12" ht="90" customHeight="1" x14ac:dyDescent="0.3">
      <c r="A769" s="9"/>
      <c r="B769" s="9"/>
      <c r="C769" s="9"/>
      <c r="D769" s="9"/>
      <c r="E769" s="9"/>
      <c r="F769" s="9"/>
      <c r="G769" s="9"/>
      <c r="H769" s="2"/>
      <c r="I769" s="2"/>
      <c r="J769" s="2"/>
      <c r="K769" s="2"/>
      <c r="L769" s="2"/>
    </row>
    <row r="770" spans="1:12" ht="90" customHeight="1" x14ac:dyDescent="0.3">
      <c r="A770" s="9"/>
      <c r="B770" s="9"/>
      <c r="C770" s="9"/>
      <c r="D770" s="9"/>
      <c r="E770" s="9"/>
      <c r="F770" s="9"/>
      <c r="G770" s="9"/>
      <c r="H770" s="2"/>
      <c r="I770" s="2"/>
      <c r="J770" s="2"/>
      <c r="K770" s="2"/>
      <c r="L770" s="2"/>
    </row>
    <row r="771" spans="1:12" ht="90" customHeight="1" x14ac:dyDescent="0.3">
      <c r="A771" s="9"/>
      <c r="B771" s="9"/>
      <c r="C771" s="9"/>
      <c r="D771" s="9"/>
      <c r="E771" s="9"/>
      <c r="F771" s="9"/>
      <c r="G771" s="9"/>
      <c r="H771" s="2"/>
      <c r="I771" s="2"/>
      <c r="J771" s="2"/>
      <c r="K771" s="2"/>
      <c r="L771" s="2"/>
    </row>
    <row r="772" spans="1:12" ht="90" customHeight="1" x14ac:dyDescent="0.3">
      <c r="A772" s="8" t="s">
        <v>720</v>
      </c>
      <c r="B772" s="8" t="s">
        <v>599</v>
      </c>
      <c r="C772" s="8" t="s">
        <v>721</v>
      </c>
      <c r="D772" s="10" t="s">
        <v>22</v>
      </c>
      <c r="E772" s="10" t="s">
        <v>16</v>
      </c>
      <c r="F772" s="8" t="s">
        <v>722</v>
      </c>
      <c r="G772" s="8" t="s">
        <v>723</v>
      </c>
      <c r="H772" s="1" t="s">
        <v>724</v>
      </c>
      <c r="I772" s="1">
        <v>0.98078066110610962</v>
      </c>
      <c r="J772" s="1" t="s">
        <v>27</v>
      </c>
      <c r="K772" s="1" t="s">
        <v>150</v>
      </c>
      <c r="L772" s="1">
        <v>261</v>
      </c>
    </row>
    <row r="773" spans="1:12" ht="90" customHeight="1" x14ac:dyDescent="0.3">
      <c r="A773" s="9"/>
      <c r="B773" s="9"/>
      <c r="C773" s="9"/>
      <c r="D773" s="9"/>
      <c r="E773" s="9"/>
      <c r="F773" s="9"/>
      <c r="G773" s="9"/>
      <c r="H773" s="1" t="s">
        <v>725</v>
      </c>
      <c r="I773" s="1">
        <v>0.97196507453918457</v>
      </c>
      <c r="J773" s="1" t="s">
        <v>27</v>
      </c>
      <c r="K773" s="1" t="s">
        <v>150</v>
      </c>
      <c r="L773" s="1">
        <v>260</v>
      </c>
    </row>
    <row r="774" spans="1:12" ht="90" customHeight="1" x14ac:dyDescent="0.3">
      <c r="A774" s="9"/>
      <c r="B774" s="9"/>
      <c r="C774" s="9"/>
      <c r="D774" s="9"/>
      <c r="E774" s="9"/>
      <c r="F774" s="9"/>
      <c r="G774" s="9"/>
      <c r="H774" s="1" t="s">
        <v>726</v>
      </c>
      <c r="I774" s="1">
        <v>0.9149964451789856</v>
      </c>
      <c r="J774" s="1" t="s">
        <v>27</v>
      </c>
      <c r="K774" s="1" t="s">
        <v>727</v>
      </c>
      <c r="L774" s="1">
        <v>16</v>
      </c>
    </row>
    <row r="775" spans="1:12" ht="90" customHeight="1" x14ac:dyDescent="0.3">
      <c r="A775" s="9"/>
      <c r="B775" s="9"/>
      <c r="C775" s="9"/>
      <c r="D775" s="9"/>
      <c r="E775" s="9"/>
      <c r="F775" s="9"/>
      <c r="G775" s="9"/>
      <c r="H775" s="5" t="s">
        <v>728</v>
      </c>
      <c r="I775" s="5">
        <v>0.9138946533203125</v>
      </c>
      <c r="J775" s="5" t="s">
        <v>27</v>
      </c>
      <c r="K775" s="5" t="s">
        <v>599</v>
      </c>
      <c r="L775" s="5">
        <v>139</v>
      </c>
    </row>
    <row r="776" spans="1:12" ht="90" customHeight="1" x14ac:dyDescent="0.3">
      <c r="A776" s="9"/>
      <c r="B776" s="9"/>
      <c r="C776" s="9"/>
      <c r="D776" s="9"/>
      <c r="E776" s="9"/>
      <c r="F776" s="9"/>
      <c r="G776" s="9"/>
      <c r="H776" s="2" t="s">
        <v>729</v>
      </c>
      <c r="I776" s="2">
        <v>0.90447521209716797</v>
      </c>
      <c r="J776" s="2" t="s">
        <v>27</v>
      </c>
      <c r="K776" s="2" t="s">
        <v>599</v>
      </c>
      <c r="L776" s="2">
        <v>138</v>
      </c>
    </row>
    <row r="777" spans="1:12" ht="90" customHeight="1" x14ac:dyDescent="0.3">
      <c r="A777" s="8" t="s">
        <v>730</v>
      </c>
      <c r="B777" s="8" t="s">
        <v>180</v>
      </c>
      <c r="C777" s="8" t="s">
        <v>731</v>
      </c>
      <c r="D777" s="10" t="s">
        <v>15</v>
      </c>
      <c r="E777" s="10" t="s">
        <v>16</v>
      </c>
      <c r="F777" s="8" t="s">
        <v>732</v>
      </c>
      <c r="G777" s="8" t="s">
        <v>18</v>
      </c>
      <c r="H777" s="2"/>
      <c r="I777" s="2"/>
      <c r="J777" s="2"/>
      <c r="K777" s="2"/>
      <c r="L777" s="2"/>
    </row>
    <row r="778" spans="1:12" ht="90" customHeight="1" x14ac:dyDescent="0.3">
      <c r="A778" s="9"/>
      <c r="B778" s="9"/>
      <c r="C778" s="9"/>
      <c r="D778" s="9"/>
      <c r="E778" s="9"/>
      <c r="F778" s="9"/>
      <c r="G778" s="9"/>
      <c r="H778" s="2"/>
      <c r="I778" s="2"/>
      <c r="J778" s="2"/>
      <c r="K778" s="2"/>
      <c r="L778" s="2"/>
    </row>
    <row r="779" spans="1:12" ht="90" customHeight="1" x14ac:dyDescent="0.3">
      <c r="A779" s="9"/>
      <c r="B779" s="9"/>
      <c r="C779" s="9"/>
      <c r="D779" s="9"/>
      <c r="E779" s="9"/>
      <c r="F779" s="9"/>
      <c r="G779" s="9"/>
      <c r="H779" s="2"/>
      <c r="I779" s="2"/>
      <c r="J779" s="2"/>
      <c r="K779" s="2"/>
      <c r="L779" s="2"/>
    </row>
    <row r="780" spans="1:12" ht="90" customHeight="1" x14ac:dyDescent="0.3">
      <c r="A780" s="9"/>
      <c r="B780" s="9"/>
      <c r="C780" s="9"/>
      <c r="D780" s="9"/>
      <c r="E780" s="9"/>
      <c r="F780" s="9"/>
      <c r="G780" s="9"/>
      <c r="H780" s="2"/>
      <c r="I780" s="2"/>
      <c r="J780" s="2"/>
      <c r="K780" s="2"/>
      <c r="L780" s="2"/>
    </row>
    <row r="781" spans="1:12" ht="90" customHeight="1" x14ac:dyDescent="0.3">
      <c r="A781" s="9"/>
      <c r="B781" s="9"/>
      <c r="C781" s="9"/>
      <c r="D781" s="9"/>
      <c r="E781" s="9"/>
      <c r="F781" s="9"/>
      <c r="G781" s="9"/>
      <c r="H781" s="2"/>
      <c r="I781" s="2"/>
      <c r="J781" s="2"/>
      <c r="K781" s="2"/>
      <c r="L781" s="2"/>
    </row>
    <row r="782" spans="1:12" ht="90" customHeight="1" x14ac:dyDescent="0.3">
      <c r="A782" s="8" t="s">
        <v>733</v>
      </c>
      <c r="B782" s="8" t="s">
        <v>159</v>
      </c>
      <c r="C782" s="8" t="s">
        <v>734</v>
      </c>
      <c r="D782" s="10" t="s">
        <v>15</v>
      </c>
      <c r="E782" s="10" t="s">
        <v>16</v>
      </c>
      <c r="F782" s="8" t="s">
        <v>735</v>
      </c>
      <c r="G782" s="8" t="s">
        <v>18</v>
      </c>
      <c r="H782" s="2"/>
      <c r="I782" s="2"/>
      <c r="J782" s="2"/>
      <c r="K782" s="2"/>
      <c r="L782" s="2"/>
    </row>
    <row r="783" spans="1:12" ht="90" customHeight="1" x14ac:dyDescent="0.3">
      <c r="A783" s="9"/>
      <c r="B783" s="9"/>
      <c r="C783" s="9"/>
      <c r="D783" s="9"/>
      <c r="E783" s="9"/>
      <c r="F783" s="9"/>
      <c r="G783" s="9"/>
      <c r="H783" s="2"/>
      <c r="I783" s="2"/>
      <c r="J783" s="2"/>
      <c r="K783" s="2"/>
      <c r="L783" s="2"/>
    </row>
    <row r="784" spans="1:12" ht="90" customHeight="1" x14ac:dyDescent="0.3">
      <c r="A784" s="9"/>
      <c r="B784" s="9"/>
      <c r="C784" s="9"/>
      <c r="D784" s="9"/>
      <c r="E784" s="9"/>
      <c r="F784" s="9"/>
      <c r="G784" s="9"/>
      <c r="H784" s="2"/>
      <c r="I784" s="2"/>
      <c r="J784" s="2"/>
      <c r="K784" s="2"/>
      <c r="L784" s="2"/>
    </row>
    <row r="785" spans="1:12" ht="90" customHeight="1" x14ac:dyDescent="0.3">
      <c r="A785" s="9"/>
      <c r="B785" s="9"/>
      <c r="C785" s="9"/>
      <c r="D785" s="9"/>
      <c r="E785" s="9"/>
      <c r="F785" s="9"/>
      <c r="G785" s="9"/>
      <c r="H785" s="2"/>
      <c r="I785" s="2"/>
      <c r="J785" s="2"/>
      <c r="K785" s="2"/>
      <c r="L785" s="2"/>
    </row>
    <row r="786" spans="1:12" ht="90" customHeight="1" x14ac:dyDescent="0.3">
      <c r="A786" s="9"/>
      <c r="B786" s="9"/>
      <c r="C786" s="9"/>
      <c r="D786" s="9"/>
      <c r="E786" s="9"/>
      <c r="F786" s="9"/>
      <c r="G786" s="9"/>
      <c r="H786" s="2"/>
      <c r="I786" s="2"/>
      <c r="J786" s="2"/>
      <c r="K786" s="2"/>
      <c r="L786" s="2"/>
    </row>
    <row r="787" spans="1:12" ht="90" customHeight="1" x14ac:dyDescent="0.3">
      <c r="A787" s="8" t="s">
        <v>736</v>
      </c>
      <c r="B787" s="8" t="s">
        <v>737</v>
      </c>
      <c r="C787" s="8" t="s">
        <v>331</v>
      </c>
      <c r="D787" s="10" t="s">
        <v>15</v>
      </c>
      <c r="E787" s="10" t="s">
        <v>16</v>
      </c>
      <c r="F787" s="8" t="s">
        <v>738</v>
      </c>
      <c r="G787" s="8" t="s">
        <v>18</v>
      </c>
      <c r="H787" s="2"/>
      <c r="I787" s="2"/>
      <c r="J787" s="2"/>
      <c r="K787" s="2"/>
      <c r="L787" s="2"/>
    </row>
    <row r="788" spans="1:12" ht="90" customHeight="1" x14ac:dyDescent="0.3">
      <c r="A788" s="9"/>
      <c r="B788" s="9"/>
      <c r="C788" s="9"/>
      <c r="D788" s="9"/>
      <c r="E788" s="9"/>
      <c r="F788" s="9"/>
      <c r="G788" s="9"/>
      <c r="H788" s="2"/>
      <c r="I788" s="2"/>
      <c r="J788" s="2"/>
      <c r="K788" s="2"/>
      <c r="L788" s="2"/>
    </row>
    <row r="789" spans="1:12" ht="90" customHeight="1" x14ac:dyDescent="0.3">
      <c r="A789" s="9"/>
      <c r="B789" s="9"/>
      <c r="C789" s="9"/>
      <c r="D789" s="9"/>
      <c r="E789" s="9"/>
      <c r="F789" s="9"/>
      <c r="G789" s="9"/>
      <c r="H789" s="2"/>
      <c r="I789" s="2"/>
      <c r="J789" s="2"/>
      <c r="K789" s="2"/>
      <c r="L789" s="2"/>
    </row>
    <row r="790" spans="1:12" ht="90" customHeight="1" x14ac:dyDescent="0.3">
      <c r="A790" s="9"/>
      <c r="B790" s="9"/>
      <c r="C790" s="9"/>
      <c r="D790" s="9"/>
      <c r="E790" s="9"/>
      <c r="F790" s="9"/>
      <c r="G790" s="9"/>
      <c r="H790" s="2"/>
      <c r="I790" s="2"/>
      <c r="J790" s="2"/>
      <c r="K790" s="2"/>
      <c r="L790" s="2"/>
    </row>
    <row r="791" spans="1:12" ht="90" customHeight="1" x14ac:dyDescent="0.3">
      <c r="A791" s="9"/>
      <c r="B791" s="9"/>
      <c r="C791" s="9"/>
      <c r="D791" s="9"/>
      <c r="E791" s="9"/>
      <c r="F791" s="9"/>
      <c r="G791" s="9"/>
      <c r="H791" s="2"/>
      <c r="I791" s="2"/>
      <c r="J791" s="2"/>
      <c r="K791" s="2"/>
      <c r="L791" s="2"/>
    </row>
    <row r="792" spans="1:12" ht="90" customHeight="1" x14ac:dyDescent="0.3">
      <c r="A792" s="8" t="s">
        <v>739</v>
      </c>
      <c r="B792" s="8" t="s">
        <v>144</v>
      </c>
      <c r="C792" s="8" t="s">
        <v>14</v>
      </c>
      <c r="D792" s="10" t="s">
        <v>15</v>
      </c>
      <c r="E792" s="10" t="s">
        <v>16</v>
      </c>
      <c r="F792" s="8" t="s">
        <v>740</v>
      </c>
      <c r="G792" s="8" t="s">
        <v>18</v>
      </c>
      <c r="H792" s="2"/>
      <c r="I792" s="2"/>
      <c r="J792" s="2"/>
      <c r="K792" s="2"/>
      <c r="L792" s="2"/>
    </row>
    <row r="793" spans="1:12" ht="90" customHeight="1" x14ac:dyDescent="0.3">
      <c r="A793" s="9"/>
      <c r="B793" s="9"/>
      <c r="C793" s="9"/>
      <c r="D793" s="9"/>
      <c r="E793" s="9"/>
      <c r="F793" s="9"/>
      <c r="G793" s="9"/>
      <c r="H793" s="2"/>
      <c r="I793" s="2"/>
      <c r="J793" s="2"/>
      <c r="K793" s="2"/>
      <c r="L793" s="2"/>
    </row>
    <row r="794" spans="1:12" ht="90" customHeight="1" x14ac:dyDescent="0.3">
      <c r="A794" s="9"/>
      <c r="B794" s="9"/>
      <c r="C794" s="9"/>
      <c r="D794" s="9"/>
      <c r="E794" s="9"/>
      <c r="F794" s="9"/>
      <c r="G794" s="9"/>
      <c r="H794" s="2"/>
      <c r="I794" s="2"/>
      <c r="J794" s="2"/>
      <c r="K794" s="2"/>
      <c r="L794" s="2"/>
    </row>
    <row r="795" spans="1:12" ht="90" customHeight="1" x14ac:dyDescent="0.3">
      <c r="A795" s="9"/>
      <c r="B795" s="9"/>
      <c r="C795" s="9"/>
      <c r="D795" s="9"/>
      <c r="E795" s="9"/>
      <c r="F795" s="9"/>
      <c r="G795" s="9"/>
      <c r="H795" s="2"/>
      <c r="I795" s="2"/>
      <c r="J795" s="2"/>
      <c r="K795" s="2"/>
      <c r="L795" s="2"/>
    </row>
    <row r="796" spans="1:12" ht="90" customHeight="1" x14ac:dyDescent="0.3">
      <c r="A796" s="9"/>
      <c r="B796" s="9"/>
      <c r="C796" s="9"/>
      <c r="D796" s="9"/>
      <c r="E796" s="9"/>
      <c r="F796" s="9"/>
      <c r="G796" s="9"/>
      <c r="H796" s="2"/>
      <c r="I796" s="2"/>
      <c r="J796" s="2"/>
      <c r="K796" s="2"/>
      <c r="L796" s="2"/>
    </row>
    <row r="797" spans="1:12" ht="90" customHeight="1" x14ac:dyDescent="0.3">
      <c r="A797" s="8" t="s">
        <v>741</v>
      </c>
      <c r="B797" s="8" t="s">
        <v>37</v>
      </c>
      <c r="C797" s="8" t="s">
        <v>14</v>
      </c>
      <c r="D797" s="10" t="s">
        <v>15</v>
      </c>
      <c r="E797" s="10" t="s">
        <v>16</v>
      </c>
      <c r="F797" s="8" t="s">
        <v>742</v>
      </c>
      <c r="G797" s="8" t="s">
        <v>18</v>
      </c>
      <c r="H797" s="2"/>
      <c r="I797" s="2"/>
      <c r="J797" s="2"/>
      <c r="K797" s="2"/>
      <c r="L797" s="2"/>
    </row>
    <row r="798" spans="1:12" ht="90" customHeight="1" x14ac:dyDescent="0.3">
      <c r="A798" s="9"/>
      <c r="B798" s="9"/>
      <c r="C798" s="9"/>
      <c r="D798" s="9"/>
      <c r="E798" s="9"/>
      <c r="F798" s="9"/>
      <c r="G798" s="9"/>
      <c r="H798" s="2"/>
      <c r="I798" s="2"/>
      <c r="J798" s="2"/>
      <c r="K798" s="2"/>
      <c r="L798" s="2"/>
    </row>
    <row r="799" spans="1:12" ht="90" customHeight="1" x14ac:dyDescent="0.3">
      <c r="A799" s="9"/>
      <c r="B799" s="9"/>
      <c r="C799" s="9"/>
      <c r="D799" s="9"/>
      <c r="E799" s="9"/>
      <c r="F799" s="9"/>
      <c r="G799" s="9"/>
      <c r="H799" s="2"/>
      <c r="I799" s="2"/>
      <c r="J799" s="2"/>
      <c r="K799" s="2"/>
      <c r="L799" s="2"/>
    </row>
    <row r="800" spans="1:12" ht="90" customHeight="1" x14ac:dyDescent="0.3">
      <c r="A800" s="9"/>
      <c r="B800" s="9"/>
      <c r="C800" s="9"/>
      <c r="D800" s="9"/>
      <c r="E800" s="9"/>
      <c r="F800" s="9"/>
      <c r="G800" s="9"/>
      <c r="H800" s="2"/>
      <c r="I800" s="2"/>
      <c r="J800" s="2"/>
      <c r="K800" s="2"/>
      <c r="L800" s="2"/>
    </row>
    <row r="801" spans="1:12" ht="90" customHeight="1" x14ac:dyDescent="0.3">
      <c r="A801" s="9"/>
      <c r="B801" s="9"/>
      <c r="C801" s="9"/>
      <c r="D801" s="9"/>
      <c r="E801" s="9"/>
      <c r="F801" s="9"/>
      <c r="G801" s="9"/>
      <c r="H801" s="2"/>
      <c r="I801" s="2"/>
      <c r="J801" s="2"/>
      <c r="K801" s="2"/>
      <c r="L801" s="2"/>
    </row>
    <row r="802" spans="1:12" ht="90" customHeight="1" x14ac:dyDescent="0.3">
      <c r="A802" s="8" t="s">
        <v>344</v>
      </c>
      <c r="B802" s="8" t="s">
        <v>20</v>
      </c>
      <c r="C802" s="8" t="s">
        <v>247</v>
      </c>
      <c r="D802" s="10" t="s">
        <v>15</v>
      </c>
      <c r="E802" s="10" t="s">
        <v>16</v>
      </c>
      <c r="F802" s="8" t="s">
        <v>743</v>
      </c>
      <c r="G802" s="8" t="s">
        <v>18</v>
      </c>
      <c r="H802" s="2"/>
      <c r="I802" s="2"/>
      <c r="J802" s="2"/>
      <c r="K802" s="2"/>
      <c r="L802" s="2"/>
    </row>
    <row r="803" spans="1:12" ht="90" customHeight="1" x14ac:dyDescent="0.3">
      <c r="A803" s="9"/>
      <c r="B803" s="9"/>
      <c r="C803" s="9"/>
      <c r="D803" s="9"/>
      <c r="E803" s="9"/>
      <c r="F803" s="9"/>
      <c r="G803" s="9"/>
      <c r="H803" s="2"/>
      <c r="I803" s="2"/>
      <c r="J803" s="2"/>
      <c r="K803" s="2"/>
      <c r="L803" s="2"/>
    </row>
    <row r="804" spans="1:12" ht="90" customHeight="1" x14ac:dyDescent="0.3">
      <c r="A804" s="9"/>
      <c r="B804" s="9"/>
      <c r="C804" s="9"/>
      <c r="D804" s="9"/>
      <c r="E804" s="9"/>
      <c r="F804" s="9"/>
      <c r="G804" s="9"/>
      <c r="H804" s="2"/>
      <c r="I804" s="2"/>
      <c r="J804" s="2"/>
      <c r="K804" s="2"/>
      <c r="L804" s="2"/>
    </row>
    <row r="805" spans="1:12" ht="90" customHeight="1" x14ac:dyDescent="0.3">
      <c r="A805" s="9"/>
      <c r="B805" s="9"/>
      <c r="C805" s="9"/>
      <c r="D805" s="9"/>
      <c r="E805" s="9"/>
      <c r="F805" s="9"/>
      <c r="G805" s="9"/>
      <c r="H805" s="2"/>
      <c r="I805" s="2"/>
      <c r="J805" s="2"/>
      <c r="K805" s="2"/>
      <c r="L805" s="2"/>
    </row>
    <row r="806" spans="1:12" ht="90" customHeight="1" x14ac:dyDescent="0.3">
      <c r="A806" s="9"/>
      <c r="B806" s="9"/>
      <c r="C806" s="9"/>
      <c r="D806" s="9"/>
      <c r="E806" s="9"/>
      <c r="F806" s="9"/>
      <c r="G806" s="9"/>
      <c r="H806" s="2"/>
      <c r="I806" s="2"/>
      <c r="J806" s="2"/>
      <c r="K806" s="2"/>
      <c r="L806" s="2"/>
    </row>
    <row r="807" spans="1:12" ht="90" customHeight="1" x14ac:dyDescent="0.3">
      <c r="A807" s="8" t="s">
        <v>346</v>
      </c>
      <c r="B807" s="8" t="s">
        <v>347</v>
      </c>
      <c r="C807" s="8" t="s">
        <v>348</v>
      </c>
      <c r="D807" s="10" t="s">
        <v>22</v>
      </c>
      <c r="E807" s="10" t="s">
        <v>23</v>
      </c>
      <c r="F807" s="8" t="s">
        <v>744</v>
      </c>
      <c r="G807" s="8" t="s">
        <v>350</v>
      </c>
      <c r="H807" s="4" t="s">
        <v>351</v>
      </c>
      <c r="I807" s="4">
        <v>0.99711117752966671</v>
      </c>
      <c r="J807" s="4" t="s">
        <v>27</v>
      </c>
      <c r="K807" s="4" t="s">
        <v>347</v>
      </c>
      <c r="L807" s="4">
        <v>44</v>
      </c>
    </row>
    <row r="808" spans="1:12" ht="90" customHeight="1" x14ac:dyDescent="0.3">
      <c r="A808" s="9"/>
      <c r="B808" s="9"/>
      <c r="C808" s="9"/>
      <c r="D808" s="9"/>
      <c r="E808" s="9"/>
      <c r="F808" s="9"/>
      <c r="G808" s="9"/>
      <c r="H808" s="2"/>
      <c r="I808" s="2"/>
      <c r="J808" s="2"/>
      <c r="K808" s="2"/>
      <c r="L808" s="2"/>
    </row>
    <row r="809" spans="1:12" ht="90" customHeight="1" x14ac:dyDescent="0.3">
      <c r="A809" s="9"/>
      <c r="B809" s="9"/>
      <c r="C809" s="9"/>
      <c r="D809" s="9"/>
      <c r="E809" s="9"/>
      <c r="F809" s="9"/>
      <c r="G809" s="9"/>
      <c r="H809" s="2"/>
      <c r="I809" s="2"/>
      <c r="J809" s="2"/>
      <c r="K809" s="2"/>
      <c r="L809" s="2"/>
    </row>
    <row r="810" spans="1:12" ht="90" customHeight="1" x14ac:dyDescent="0.3">
      <c r="A810" s="9"/>
      <c r="B810" s="9"/>
      <c r="C810" s="9"/>
      <c r="D810" s="9"/>
      <c r="E810" s="9"/>
      <c r="F810" s="9"/>
      <c r="G810" s="9"/>
      <c r="H810" s="2"/>
      <c r="I810" s="2"/>
      <c r="J810" s="2"/>
      <c r="K810" s="2"/>
      <c r="L810" s="2"/>
    </row>
    <row r="811" spans="1:12" ht="90" customHeight="1" x14ac:dyDescent="0.3">
      <c r="A811" s="9"/>
      <c r="B811" s="9"/>
      <c r="C811" s="9"/>
      <c r="D811" s="9"/>
      <c r="E811" s="9"/>
      <c r="F811" s="9"/>
      <c r="G811" s="9"/>
      <c r="H811" s="2"/>
      <c r="I811" s="2"/>
      <c r="J811" s="2"/>
      <c r="K811" s="2"/>
      <c r="L811" s="2"/>
    </row>
    <row r="812" spans="1:12" ht="90" customHeight="1" x14ac:dyDescent="0.3">
      <c r="A812" s="8" t="s">
        <v>365</v>
      </c>
      <c r="B812" s="8" t="s">
        <v>366</v>
      </c>
      <c r="C812" s="8" t="s">
        <v>367</v>
      </c>
      <c r="D812" s="10" t="s">
        <v>15</v>
      </c>
      <c r="E812" s="10" t="s">
        <v>16</v>
      </c>
      <c r="F812" s="8" t="s">
        <v>745</v>
      </c>
      <c r="G812" s="8" t="s">
        <v>746</v>
      </c>
      <c r="H812" s="1" t="s">
        <v>370</v>
      </c>
      <c r="I812" s="1">
        <v>0.99864774942398071</v>
      </c>
      <c r="J812" s="1" t="s">
        <v>27</v>
      </c>
      <c r="K812" s="1" t="s">
        <v>169</v>
      </c>
      <c r="L812" s="1">
        <v>41</v>
      </c>
    </row>
    <row r="813" spans="1:12" ht="90" customHeight="1" x14ac:dyDescent="0.3">
      <c r="A813" s="9"/>
      <c r="B813" s="9"/>
      <c r="C813" s="9"/>
      <c r="D813" s="9"/>
      <c r="E813" s="9"/>
      <c r="F813" s="9"/>
      <c r="G813" s="9"/>
      <c r="H813" s="1" t="s">
        <v>371</v>
      </c>
      <c r="I813" s="1">
        <v>0.99716871976852417</v>
      </c>
      <c r="J813" s="1" t="s">
        <v>27</v>
      </c>
      <c r="K813" s="1" t="s">
        <v>169</v>
      </c>
      <c r="L813" s="1">
        <v>34</v>
      </c>
    </row>
    <row r="814" spans="1:12" ht="90" customHeight="1" x14ac:dyDescent="0.3">
      <c r="A814" s="9"/>
      <c r="B814" s="9"/>
      <c r="C814" s="9"/>
      <c r="D814" s="9"/>
      <c r="E814" s="9"/>
      <c r="F814" s="9"/>
      <c r="G814" s="9"/>
      <c r="H814" s="1" t="s">
        <v>373</v>
      </c>
      <c r="I814" s="1">
        <v>0.99315732717514038</v>
      </c>
      <c r="J814" s="1" t="s">
        <v>27</v>
      </c>
      <c r="K814" s="1" t="s">
        <v>164</v>
      </c>
      <c r="L814" s="1">
        <v>77</v>
      </c>
    </row>
    <row r="815" spans="1:12" ht="90" customHeight="1" x14ac:dyDescent="0.3">
      <c r="A815" s="9"/>
      <c r="B815" s="9"/>
      <c r="C815" s="9"/>
      <c r="D815" s="9"/>
      <c r="E815" s="9"/>
      <c r="F815" s="9"/>
      <c r="G815" s="9"/>
      <c r="H815" s="2" t="s">
        <v>372</v>
      </c>
      <c r="I815" s="2">
        <v>0.99315732717514038</v>
      </c>
      <c r="J815" s="2" t="s">
        <v>27</v>
      </c>
      <c r="K815" s="2" t="s">
        <v>171</v>
      </c>
      <c r="L815" s="2">
        <v>79</v>
      </c>
    </row>
    <row r="816" spans="1:12" ht="90" customHeight="1" x14ac:dyDescent="0.3">
      <c r="A816" s="9"/>
      <c r="B816" s="9"/>
      <c r="C816" s="9"/>
      <c r="D816" s="9"/>
      <c r="E816" s="9"/>
      <c r="F816" s="9"/>
      <c r="G816" s="9"/>
      <c r="H816" s="2" t="s">
        <v>747</v>
      </c>
      <c r="I816" s="2">
        <v>0.99088472127914429</v>
      </c>
      <c r="J816" s="2" t="s">
        <v>27</v>
      </c>
      <c r="K816" s="2" t="s">
        <v>171</v>
      </c>
      <c r="L816" s="2">
        <v>185</v>
      </c>
    </row>
    <row r="817" spans="1:12" ht="90" customHeight="1" x14ac:dyDescent="0.3">
      <c r="A817" s="8" t="s">
        <v>748</v>
      </c>
      <c r="B817" s="8" t="s">
        <v>40</v>
      </c>
      <c r="C817" s="8" t="s">
        <v>683</v>
      </c>
      <c r="D817" s="10" t="s">
        <v>15</v>
      </c>
      <c r="E817" s="10" t="s">
        <v>16</v>
      </c>
      <c r="F817" s="8" t="s">
        <v>749</v>
      </c>
      <c r="G817" s="8" t="s">
        <v>18</v>
      </c>
      <c r="H817" s="2"/>
      <c r="I817" s="2"/>
      <c r="J817" s="2"/>
      <c r="K817" s="2"/>
      <c r="L817" s="2"/>
    </row>
    <row r="818" spans="1:12" ht="90" customHeight="1" x14ac:dyDescent="0.3">
      <c r="A818" s="9"/>
      <c r="B818" s="9"/>
      <c r="C818" s="9"/>
      <c r="D818" s="9"/>
      <c r="E818" s="9"/>
      <c r="F818" s="9"/>
      <c r="G818" s="9"/>
      <c r="H818" s="2"/>
      <c r="I818" s="2"/>
      <c r="J818" s="2"/>
      <c r="K818" s="2"/>
      <c r="L818" s="2"/>
    </row>
    <row r="819" spans="1:12" ht="90" customHeight="1" x14ac:dyDescent="0.3">
      <c r="A819" s="9"/>
      <c r="B819" s="9"/>
      <c r="C819" s="9"/>
      <c r="D819" s="9"/>
      <c r="E819" s="9"/>
      <c r="F819" s="9"/>
      <c r="G819" s="9"/>
      <c r="H819" s="2"/>
      <c r="I819" s="2"/>
      <c r="J819" s="2"/>
      <c r="K819" s="2"/>
      <c r="L819" s="2"/>
    </row>
    <row r="820" spans="1:12" ht="90" customHeight="1" x14ac:dyDescent="0.3">
      <c r="A820" s="9"/>
      <c r="B820" s="9"/>
      <c r="C820" s="9"/>
      <c r="D820" s="9"/>
      <c r="E820" s="9"/>
      <c r="F820" s="9"/>
      <c r="G820" s="9"/>
      <c r="H820" s="2"/>
      <c r="I820" s="2"/>
      <c r="J820" s="2"/>
      <c r="K820" s="2"/>
      <c r="L820" s="2"/>
    </row>
    <row r="821" spans="1:12" ht="90" customHeight="1" x14ac:dyDescent="0.3">
      <c r="A821" s="9"/>
      <c r="B821" s="9"/>
      <c r="C821" s="9"/>
      <c r="D821" s="9"/>
      <c r="E821" s="9"/>
      <c r="F821" s="9"/>
      <c r="G821" s="9"/>
      <c r="H821" s="2"/>
      <c r="I821" s="2"/>
      <c r="J821" s="2"/>
      <c r="K821" s="2"/>
      <c r="L821" s="2"/>
    </row>
    <row r="822" spans="1:12" ht="90" customHeight="1" x14ac:dyDescent="0.3">
      <c r="A822" s="8" t="s">
        <v>379</v>
      </c>
      <c r="B822" s="8" t="s">
        <v>128</v>
      </c>
      <c r="C822" s="8" t="s">
        <v>129</v>
      </c>
      <c r="D822" s="10" t="s">
        <v>15</v>
      </c>
      <c r="E822" s="10" t="s">
        <v>16</v>
      </c>
      <c r="F822" s="8" t="s">
        <v>750</v>
      </c>
      <c r="G822" s="8" t="s">
        <v>381</v>
      </c>
      <c r="H822" s="1" t="s">
        <v>136</v>
      </c>
      <c r="I822" s="1">
        <v>0.96557915210723877</v>
      </c>
      <c r="J822" s="1" t="s">
        <v>27</v>
      </c>
      <c r="K822" s="1" t="s">
        <v>137</v>
      </c>
      <c r="L822" s="1">
        <v>1</v>
      </c>
    </row>
    <row r="823" spans="1:12" ht="90" customHeight="1" x14ac:dyDescent="0.3">
      <c r="A823" s="9"/>
      <c r="B823" s="9"/>
      <c r="C823" s="9"/>
      <c r="D823" s="9"/>
      <c r="E823" s="9"/>
      <c r="F823" s="9"/>
      <c r="G823" s="9"/>
      <c r="H823" s="1" t="s">
        <v>382</v>
      </c>
      <c r="I823" s="1">
        <v>0.94252222776412964</v>
      </c>
      <c r="J823" s="1" t="s">
        <v>27</v>
      </c>
      <c r="K823" s="1" t="s">
        <v>383</v>
      </c>
      <c r="L823" s="1">
        <v>32</v>
      </c>
    </row>
    <row r="824" spans="1:12" ht="90" customHeight="1" x14ac:dyDescent="0.3">
      <c r="A824" s="9"/>
      <c r="B824" s="9"/>
      <c r="C824" s="9"/>
      <c r="D824" s="9"/>
      <c r="E824" s="9"/>
      <c r="F824" s="9"/>
      <c r="G824" s="9"/>
      <c r="H824" s="1" t="s">
        <v>132</v>
      </c>
      <c r="I824" s="1">
        <v>0.90206116437911987</v>
      </c>
      <c r="J824" s="1" t="s">
        <v>74</v>
      </c>
      <c r="K824" s="1" t="s">
        <v>133</v>
      </c>
      <c r="L824" s="1">
        <v>1</v>
      </c>
    </row>
    <row r="825" spans="1:12" ht="90" customHeight="1" x14ac:dyDescent="0.3">
      <c r="A825" s="9"/>
      <c r="B825" s="9"/>
      <c r="C825" s="9"/>
      <c r="D825" s="9"/>
      <c r="E825" s="9"/>
      <c r="F825" s="9"/>
      <c r="G825" s="9"/>
      <c r="H825" s="2"/>
      <c r="I825" s="2"/>
      <c r="J825" s="2"/>
      <c r="K825" s="2"/>
      <c r="L825" s="2"/>
    </row>
    <row r="826" spans="1:12" ht="90" customHeight="1" x14ac:dyDescent="0.3">
      <c r="A826" s="9"/>
      <c r="B826" s="9"/>
      <c r="C826" s="9"/>
      <c r="D826" s="9"/>
      <c r="E826" s="9"/>
      <c r="F826" s="9"/>
      <c r="G826" s="9"/>
      <c r="H826" s="2"/>
      <c r="I826" s="2"/>
      <c r="J826" s="2"/>
      <c r="K826" s="2"/>
      <c r="L826" s="2"/>
    </row>
    <row r="827" spans="1:12" ht="90" customHeight="1" x14ac:dyDescent="0.3">
      <c r="A827" s="8" t="s">
        <v>751</v>
      </c>
      <c r="B827" s="8" t="s">
        <v>752</v>
      </c>
      <c r="C827" s="8" t="s">
        <v>753</v>
      </c>
      <c r="D827" s="10" t="s">
        <v>15</v>
      </c>
      <c r="E827" s="10" t="s">
        <v>16</v>
      </c>
      <c r="F827" s="8" t="s">
        <v>754</v>
      </c>
      <c r="G827" s="8" t="s">
        <v>18</v>
      </c>
      <c r="H827" s="2"/>
      <c r="I827" s="2"/>
      <c r="J827" s="2"/>
      <c r="K827" s="2"/>
      <c r="L827" s="2"/>
    </row>
    <row r="828" spans="1:12" ht="90" customHeight="1" x14ac:dyDescent="0.3">
      <c r="A828" s="9"/>
      <c r="B828" s="9"/>
      <c r="C828" s="9"/>
      <c r="D828" s="9"/>
      <c r="E828" s="9"/>
      <c r="F828" s="9"/>
      <c r="G828" s="9"/>
      <c r="H828" s="2"/>
      <c r="I828" s="2"/>
      <c r="J828" s="2"/>
      <c r="K828" s="2"/>
      <c r="L828" s="2"/>
    </row>
    <row r="829" spans="1:12" ht="90" customHeight="1" x14ac:dyDescent="0.3">
      <c r="A829" s="9"/>
      <c r="B829" s="9"/>
      <c r="C829" s="9"/>
      <c r="D829" s="9"/>
      <c r="E829" s="9"/>
      <c r="F829" s="9"/>
      <c r="G829" s="9"/>
      <c r="H829" s="2"/>
      <c r="I829" s="2"/>
      <c r="J829" s="2"/>
      <c r="K829" s="2"/>
      <c r="L829" s="2"/>
    </row>
    <row r="830" spans="1:12" ht="90" customHeight="1" x14ac:dyDescent="0.3">
      <c r="A830" s="9"/>
      <c r="B830" s="9"/>
      <c r="C830" s="9"/>
      <c r="D830" s="9"/>
      <c r="E830" s="9"/>
      <c r="F830" s="9"/>
      <c r="G830" s="9"/>
      <c r="H830" s="2"/>
      <c r="I830" s="2"/>
      <c r="J830" s="2"/>
      <c r="K830" s="2"/>
      <c r="L830" s="2"/>
    </row>
    <row r="831" spans="1:12" ht="90" customHeight="1" x14ac:dyDescent="0.3">
      <c r="A831" s="9"/>
      <c r="B831" s="9"/>
      <c r="C831" s="9"/>
      <c r="D831" s="9"/>
      <c r="E831" s="9"/>
      <c r="F831" s="9"/>
      <c r="G831" s="9"/>
      <c r="H831" s="2"/>
      <c r="I831" s="2"/>
      <c r="J831" s="2"/>
      <c r="K831" s="2"/>
      <c r="L831" s="2"/>
    </row>
    <row r="832" spans="1:12" ht="90" customHeight="1" x14ac:dyDescent="0.3">
      <c r="A832" s="8" t="s">
        <v>755</v>
      </c>
      <c r="B832" s="8" t="s">
        <v>159</v>
      </c>
      <c r="C832" s="8" t="s">
        <v>756</v>
      </c>
      <c r="D832" s="10" t="s">
        <v>22</v>
      </c>
      <c r="E832" s="10" t="s">
        <v>23</v>
      </c>
      <c r="F832" s="8" t="s">
        <v>757</v>
      </c>
      <c r="G832" s="8" t="s">
        <v>758</v>
      </c>
      <c r="H832" s="2" t="s">
        <v>759</v>
      </c>
      <c r="I832" s="2">
        <v>0.86280667781829834</v>
      </c>
      <c r="J832" s="2" t="s">
        <v>27</v>
      </c>
      <c r="K832" s="2" t="s">
        <v>760</v>
      </c>
      <c r="L832" s="2">
        <v>159</v>
      </c>
    </row>
    <row r="833" spans="1:12" ht="90" customHeight="1" x14ac:dyDescent="0.3">
      <c r="A833" s="9"/>
      <c r="B833" s="9"/>
      <c r="C833" s="9"/>
      <c r="D833" s="9"/>
      <c r="E833" s="9"/>
      <c r="F833" s="9"/>
      <c r="G833" s="9"/>
      <c r="H833" s="4" t="s">
        <v>761</v>
      </c>
      <c r="I833" s="4">
        <v>0.85510104894638062</v>
      </c>
      <c r="J833" s="4" t="s">
        <v>27</v>
      </c>
      <c r="K833" s="4" t="s">
        <v>159</v>
      </c>
      <c r="L833" s="4">
        <v>163</v>
      </c>
    </row>
    <row r="834" spans="1:12" ht="90" customHeight="1" x14ac:dyDescent="0.3">
      <c r="A834" s="9"/>
      <c r="B834" s="9"/>
      <c r="C834" s="9"/>
      <c r="D834" s="9"/>
      <c r="E834" s="9"/>
      <c r="F834" s="9"/>
      <c r="G834" s="9"/>
      <c r="H834" s="1" t="s">
        <v>762</v>
      </c>
      <c r="I834" s="1">
        <v>0.84057450294494629</v>
      </c>
      <c r="J834" s="1" t="s">
        <v>27</v>
      </c>
      <c r="K834" s="1" t="s">
        <v>567</v>
      </c>
      <c r="L834" s="1">
        <v>398</v>
      </c>
    </row>
    <row r="835" spans="1:12" ht="90" customHeight="1" x14ac:dyDescent="0.3">
      <c r="A835" s="9"/>
      <c r="B835" s="9"/>
      <c r="C835" s="9"/>
      <c r="D835" s="9"/>
      <c r="E835" s="9"/>
      <c r="F835" s="9"/>
      <c r="G835" s="9"/>
      <c r="H835" s="1" t="s">
        <v>763</v>
      </c>
      <c r="I835" s="1">
        <v>0.84057450294494629</v>
      </c>
      <c r="J835" s="1" t="s">
        <v>27</v>
      </c>
      <c r="K835" s="1" t="s">
        <v>760</v>
      </c>
      <c r="L835" s="1">
        <v>402</v>
      </c>
    </row>
    <row r="836" spans="1:12" ht="90" customHeight="1" x14ac:dyDescent="0.3">
      <c r="A836" s="9"/>
      <c r="B836" s="9"/>
      <c r="C836" s="9"/>
      <c r="D836" s="9"/>
      <c r="E836" s="9"/>
      <c r="F836" s="9"/>
      <c r="G836" s="9"/>
      <c r="H836" s="2" t="s">
        <v>764</v>
      </c>
      <c r="I836" s="2">
        <v>0.81743341684341431</v>
      </c>
      <c r="J836" s="2" t="s">
        <v>27</v>
      </c>
      <c r="K836" s="2" t="s">
        <v>765</v>
      </c>
      <c r="L836" s="2">
        <v>403</v>
      </c>
    </row>
    <row r="838" spans="1:12" x14ac:dyDescent="0.3">
      <c r="D838" s="7"/>
      <c r="E838" s="7"/>
    </row>
  </sheetData>
  <mergeCells count="1169">
    <mergeCell ref="A787:A791"/>
    <mergeCell ref="D372:D376"/>
    <mergeCell ref="F597:F601"/>
    <mergeCell ref="E457:E461"/>
    <mergeCell ref="D347:D351"/>
    <mergeCell ref="C832:C836"/>
    <mergeCell ref="B827:B831"/>
    <mergeCell ref="E832:E836"/>
    <mergeCell ref="E717:E721"/>
    <mergeCell ref="E517:E521"/>
    <mergeCell ref="G652:G656"/>
    <mergeCell ref="G717:G721"/>
    <mergeCell ref="B137:B141"/>
    <mergeCell ref="C467:C471"/>
    <mergeCell ref="D197:D201"/>
    <mergeCell ref="E467:E471"/>
    <mergeCell ref="C532:C536"/>
    <mergeCell ref="B422:B426"/>
    <mergeCell ref="E532:E536"/>
    <mergeCell ref="D422:D426"/>
    <mergeCell ref="G212:G216"/>
    <mergeCell ref="F622:F626"/>
    <mergeCell ref="E752:E756"/>
    <mergeCell ref="E162:E166"/>
    <mergeCell ref="G607:G611"/>
    <mergeCell ref="E227:E231"/>
    <mergeCell ref="D722:D726"/>
    <mergeCell ref="F182:F186"/>
    <mergeCell ref="D782:D786"/>
    <mergeCell ref="G512:G516"/>
    <mergeCell ref="D132:D136"/>
    <mergeCell ref="F782:F786"/>
    <mergeCell ref="C677:C681"/>
    <mergeCell ref="C87:C91"/>
    <mergeCell ref="A627:A631"/>
    <mergeCell ref="D417:D421"/>
    <mergeCell ref="F417:F421"/>
    <mergeCell ref="C372:C376"/>
    <mergeCell ref="A552:A556"/>
    <mergeCell ref="F312:F316"/>
    <mergeCell ref="E372:E376"/>
    <mergeCell ref="F392:F396"/>
    <mergeCell ref="C322:C326"/>
    <mergeCell ref="F112:F116"/>
    <mergeCell ref="A187:A191"/>
    <mergeCell ref="C187:C191"/>
    <mergeCell ref="A352:A356"/>
    <mergeCell ref="F177:F181"/>
    <mergeCell ref="F652:F656"/>
    <mergeCell ref="G642:G646"/>
    <mergeCell ref="B372:B376"/>
    <mergeCell ref="C167:C171"/>
    <mergeCell ref="E167:E171"/>
    <mergeCell ref="C232:C236"/>
    <mergeCell ref="A772:A776"/>
    <mergeCell ref="E232:E236"/>
    <mergeCell ref="C772:C776"/>
    <mergeCell ref="E17:E21"/>
    <mergeCell ref="E672:E676"/>
    <mergeCell ref="F127:F131"/>
    <mergeCell ref="E82:E86"/>
    <mergeCell ref="B152:B156"/>
    <mergeCell ref="G82:G86"/>
    <mergeCell ref="A487:A491"/>
    <mergeCell ref="E367:E371"/>
    <mergeCell ref="B437:B441"/>
    <mergeCell ref="B542:B546"/>
    <mergeCell ref="G367:G371"/>
    <mergeCell ref="C117:C121"/>
    <mergeCell ref="G342:G346"/>
    <mergeCell ref="C182:C186"/>
    <mergeCell ref="E182:E186"/>
    <mergeCell ref="D272:D276"/>
    <mergeCell ref="B452:B456"/>
    <mergeCell ref="A447:A451"/>
    <mergeCell ref="D477:D481"/>
    <mergeCell ref="F272:F276"/>
    <mergeCell ref="D137:D141"/>
    <mergeCell ref="E157:E161"/>
    <mergeCell ref="G667:G671"/>
    <mergeCell ref="B87:B91"/>
    <mergeCell ref="D87:D91"/>
    <mergeCell ref="A42:A46"/>
    <mergeCell ref="D117:D121"/>
    <mergeCell ref="G227:G231"/>
    <mergeCell ref="F117:F121"/>
    <mergeCell ref="D182:D186"/>
    <mergeCell ref="A357:A361"/>
    <mergeCell ref="B522:B526"/>
    <mergeCell ref="C37:C41"/>
    <mergeCell ref="E37:E41"/>
    <mergeCell ref="F707:F711"/>
    <mergeCell ref="E602:E606"/>
    <mergeCell ref="E662:E666"/>
    <mergeCell ref="A502:A506"/>
    <mergeCell ref="C212:C216"/>
    <mergeCell ref="C522:C526"/>
    <mergeCell ref="D632:D636"/>
    <mergeCell ref="B582:B586"/>
    <mergeCell ref="D607:D611"/>
    <mergeCell ref="A72:A76"/>
    <mergeCell ref="A47:A51"/>
    <mergeCell ref="C72:C76"/>
    <mergeCell ref="D162:D166"/>
    <mergeCell ref="G102:G106"/>
    <mergeCell ref="A177:A181"/>
    <mergeCell ref="G337:G341"/>
    <mergeCell ref="C177:C181"/>
    <mergeCell ref="B67:B71"/>
    <mergeCell ref="B132:B136"/>
    <mergeCell ref="G67:G71"/>
    <mergeCell ref="A197:A201"/>
    <mergeCell ref="C672:C676"/>
    <mergeCell ref="G362:G366"/>
    <mergeCell ref="E312:E316"/>
    <mergeCell ref="E622:E626"/>
    <mergeCell ref="B822:B826"/>
    <mergeCell ref="G622:G626"/>
    <mergeCell ref="B232:B236"/>
    <mergeCell ref="G57:G61"/>
    <mergeCell ref="E597:E601"/>
    <mergeCell ref="F267:F271"/>
    <mergeCell ref="G597:G601"/>
    <mergeCell ref="D62:D66"/>
    <mergeCell ref="F62:F66"/>
    <mergeCell ref="B332:B336"/>
    <mergeCell ref="E122:E126"/>
    <mergeCell ref="B282:B286"/>
    <mergeCell ref="G237:G241"/>
    <mergeCell ref="G172:G176"/>
    <mergeCell ref="G147:G151"/>
    <mergeCell ref="F142:F146"/>
    <mergeCell ref="F347:F351"/>
    <mergeCell ref="C442:C446"/>
    <mergeCell ref="G742:G746"/>
    <mergeCell ref="F132:F136"/>
    <mergeCell ref="D82:D86"/>
    <mergeCell ref="C627:C631"/>
    <mergeCell ref="F82:F86"/>
    <mergeCell ref="D647:D651"/>
    <mergeCell ref="F107:F111"/>
    <mergeCell ref="F717:F721"/>
    <mergeCell ref="C787:C791"/>
    <mergeCell ref="B737:B741"/>
    <mergeCell ref="B722:B726"/>
    <mergeCell ref="B832:B836"/>
    <mergeCell ref="B77:B81"/>
    <mergeCell ref="B732:B736"/>
    <mergeCell ref="D832:D836"/>
    <mergeCell ref="A727:A731"/>
    <mergeCell ref="G657:G661"/>
    <mergeCell ref="A137:A141"/>
    <mergeCell ref="G292:G296"/>
    <mergeCell ref="C447:C451"/>
    <mergeCell ref="B427:B431"/>
    <mergeCell ref="B532:B536"/>
    <mergeCell ref="A422:A426"/>
    <mergeCell ref="D427:D431"/>
    <mergeCell ref="F247:F251"/>
    <mergeCell ref="C422:C426"/>
    <mergeCell ref="G357:G361"/>
    <mergeCell ref="B377:B381"/>
    <mergeCell ref="C487:C491"/>
    <mergeCell ref="D122:D126"/>
    <mergeCell ref="C332:C336"/>
    <mergeCell ref="F122:F126"/>
    <mergeCell ref="G802:G806"/>
    <mergeCell ref="D797:D801"/>
    <mergeCell ref="G727:G731"/>
    <mergeCell ref="A732:A736"/>
    <mergeCell ref="A427:A431"/>
    <mergeCell ref="C427:C431"/>
    <mergeCell ref="F792:F796"/>
    <mergeCell ref="E427:E431"/>
    <mergeCell ref="F202:F206"/>
    <mergeCell ref="B167:B171"/>
    <mergeCell ref="E262:E266"/>
    <mergeCell ref="C17:C21"/>
    <mergeCell ref="D662:D666"/>
    <mergeCell ref="F262:F266"/>
    <mergeCell ref="F662:F666"/>
    <mergeCell ref="E77:E81"/>
    <mergeCell ref="F547:F551"/>
    <mergeCell ref="C617:C621"/>
    <mergeCell ref="C722:C726"/>
    <mergeCell ref="C27:C31"/>
    <mergeCell ref="C132:C136"/>
    <mergeCell ref="E27:E31"/>
    <mergeCell ref="B677:B681"/>
    <mergeCell ref="C632:C636"/>
    <mergeCell ref="E317:E321"/>
    <mergeCell ref="E377:E381"/>
    <mergeCell ref="F57:F61"/>
    <mergeCell ref="C327:C331"/>
    <mergeCell ref="E327:E331"/>
    <mergeCell ref="F257:F261"/>
    <mergeCell ref="F362:F366"/>
    <mergeCell ref="D207:D211"/>
    <mergeCell ref="D622:D626"/>
    <mergeCell ref="B72:B76"/>
    <mergeCell ref="F207:F211"/>
    <mergeCell ref="C267:C271"/>
    <mergeCell ref="E267:E271"/>
    <mergeCell ref="F557:F561"/>
    <mergeCell ref="D507:D511"/>
    <mergeCell ref="B32:B36"/>
    <mergeCell ref="F507:F511"/>
    <mergeCell ref="F192:F196"/>
    <mergeCell ref="F252:F256"/>
    <mergeCell ref="E12:E16"/>
    <mergeCell ref="G12:G16"/>
    <mergeCell ref="G72:G76"/>
    <mergeCell ref="E612:E616"/>
    <mergeCell ref="A142:A146"/>
    <mergeCell ref="B787:B791"/>
    <mergeCell ref="D672:D676"/>
    <mergeCell ref="B97:B101"/>
    <mergeCell ref="A742:A746"/>
    <mergeCell ref="A92:A96"/>
    <mergeCell ref="E247:E251"/>
    <mergeCell ref="F672:F676"/>
    <mergeCell ref="G247:G251"/>
    <mergeCell ref="D517:D521"/>
    <mergeCell ref="B382:B386"/>
    <mergeCell ref="G312:G316"/>
    <mergeCell ref="A757:A761"/>
    <mergeCell ref="A442:A446"/>
    <mergeCell ref="D217:D221"/>
    <mergeCell ref="F777:F781"/>
    <mergeCell ref="E707:E711"/>
    <mergeCell ref="G707:G711"/>
    <mergeCell ref="B502:B506"/>
    <mergeCell ref="A147:A151"/>
    <mergeCell ref="E302:E306"/>
    <mergeCell ref="D512:D516"/>
    <mergeCell ref="B477:B481"/>
    <mergeCell ref="G302:G306"/>
    <mergeCell ref="G442:G446"/>
    <mergeCell ref="D362:D366"/>
    <mergeCell ref="A432:A436"/>
    <mergeCell ref="A407:A411"/>
    <mergeCell ref="G7:G11"/>
    <mergeCell ref="A287:A291"/>
    <mergeCell ref="D77:D81"/>
    <mergeCell ref="F217:F221"/>
    <mergeCell ref="A452:A456"/>
    <mergeCell ref="F277:F281"/>
    <mergeCell ref="G572:G576"/>
    <mergeCell ref="C452:C456"/>
    <mergeCell ref="C137:C141"/>
    <mergeCell ref="A572:A576"/>
    <mergeCell ref="A677:A681"/>
    <mergeCell ref="G272:G276"/>
    <mergeCell ref="F667:F671"/>
    <mergeCell ref="A87:A91"/>
    <mergeCell ref="B657:B661"/>
    <mergeCell ref="C47:C51"/>
    <mergeCell ref="B42:B46"/>
    <mergeCell ref="D377:D381"/>
    <mergeCell ref="C22:C26"/>
    <mergeCell ref="F552:F556"/>
    <mergeCell ref="A282:A286"/>
    <mergeCell ref="G142:G146"/>
    <mergeCell ref="B627:B631"/>
    <mergeCell ref="D212:D216"/>
    <mergeCell ref="D627:D631"/>
    <mergeCell ref="B37:B41"/>
    <mergeCell ref="C607:C611"/>
    <mergeCell ref="D37:D41"/>
    <mergeCell ref="B602:B606"/>
    <mergeCell ref="E607:E611"/>
    <mergeCell ref="D602:D606"/>
    <mergeCell ref="D322:D326"/>
    <mergeCell ref="B47:B51"/>
    <mergeCell ref="C377:C381"/>
    <mergeCell ref="G437:G441"/>
    <mergeCell ref="B17:B21"/>
    <mergeCell ref="C662:C666"/>
    <mergeCell ref="E697:E701"/>
    <mergeCell ref="D17:D21"/>
    <mergeCell ref="G122:G126"/>
    <mergeCell ref="G157:G161"/>
    <mergeCell ref="G262:G266"/>
    <mergeCell ref="B617:B621"/>
    <mergeCell ref="G547:G551"/>
    <mergeCell ref="D617:D621"/>
    <mergeCell ref="B682:B686"/>
    <mergeCell ref="F817:F821"/>
    <mergeCell ref="D27:D31"/>
    <mergeCell ref="C257:C261"/>
    <mergeCell ref="E257:E261"/>
    <mergeCell ref="B632:B636"/>
    <mergeCell ref="B317:B321"/>
    <mergeCell ref="G457:G461"/>
    <mergeCell ref="D317:D321"/>
    <mergeCell ref="B162:B166"/>
    <mergeCell ref="B267:B271"/>
    <mergeCell ref="G92:G96"/>
    <mergeCell ref="G152:G156"/>
    <mergeCell ref="D327:D331"/>
    <mergeCell ref="F802:F806"/>
    <mergeCell ref="B587:B591"/>
    <mergeCell ref="B22:B26"/>
    <mergeCell ref="E387:E391"/>
    <mergeCell ref="E802:E806"/>
    <mergeCell ref="D807:D811"/>
    <mergeCell ref="A612:A616"/>
    <mergeCell ref="A747:A751"/>
    <mergeCell ref="D12:D16"/>
    <mergeCell ref="D227:D231"/>
    <mergeCell ref="C282:C286"/>
    <mergeCell ref="G757:G761"/>
    <mergeCell ref="A822:A826"/>
    <mergeCell ref="C822:C826"/>
    <mergeCell ref="A32:A36"/>
    <mergeCell ref="A97:A101"/>
    <mergeCell ref="E567:E571"/>
    <mergeCell ref="A382:A386"/>
    <mergeCell ref="C582:C586"/>
    <mergeCell ref="E582:E586"/>
    <mergeCell ref="D157:D161"/>
    <mergeCell ref="A332:A336"/>
    <mergeCell ref="D222:D226"/>
    <mergeCell ref="A77:A81"/>
    <mergeCell ref="C217:C221"/>
    <mergeCell ref="E112:E116"/>
    <mergeCell ref="C77:C81"/>
    <mergeCell ref="E217:E221"/>
    <mergeCell ref="A617:A621"/>
    <mergeCell ref="F197:F201"/>
    <mergeCell ref="A682:A686"/>
    <mergeCell ref="C682:C686"/>
    <mergeCell ref="B572:B576"/>
    <mergeCell ref="B772:B776"/>
    <mergeCell ref="D772:D776"/>
    <mergeCell ref="F482:F486"/>
    <mergeCell ref="C657:C661"/>
    <mergeCell ref="E797:E801"/>
    <mergeCell ref="C207:C211"/>
    <mergeCell ref="B752:B756"/>
    <mergeCell ref="E207:E211"/>
    <mergeCell ref="B727:B731"/>
    <mergeCell ref="E642:E646"/>
    <mergeCell ref="E362:E366"/>
    <mergeCell ref="B537:B541"/>
    <mergeCell ref="B347:B351"/>
    <mergeCell ref="E337:E341"/>
    <mergeCell ref="E402:E406"/>
    <mergeCell ref="E202:E206"/>
    <mergeCell ref="D267:D271"/>
    <mergeCell ref="F292:F296"/>
    <mergeCell ref="A247:A251"/>
    <mergeCell ref="B392:B396"/>
    <mergeCell ref="E527:E531"/>
    <mergeCell ref="A522:A526"/>
    <mergeCell ref="A587:A591"/>
    <mergeCell ref="F532:F536"/>
    <mergeCell ref="E767:E771"/>
    <mergeCell ref="E322:E326"/>
    <mergeCell ref="A477:A481"/>
    <mergeCell ref="F407:F411"/>
    <mergeCell ref="E297:E301"/>
    <mergeCell ref="C477:C481"/>
    <mergeCell ref="B432:B436"/>
    <mergeCell ref="A237:A241"/>
    <mergeCell ref="A777:A781"/>
    <mergeCell ref="A212:A216"/>
    <mergeCell ref="A482:A486"/>
    <mergeCell ref="A202:A206"/>
    <mergeCell ref="C812:C816"/>
    <mergeCell ref="B702:B706"/>
    <mergeCell ref="A22:A26"/>
    <mergeCell ref="E392:E396"/>
    <mergeCell ref="C557:C561"/>
    <mergeCell ref="B767:B771"/>
    <mergeCell ref="E557:E561"/>
    <mergeCell ref="G557:G561"/>
    <mergeCell ref="B487:B491"/>
    <mergeCell ref="D487:D491"/>
    <mergeCell ref="E507:E511"/>
    <mergeCell ref="E192:E196"/>
    <mergeCell ref="B462:B466"/>
    <mergeCell ref="D462:D466"/>
    <mergeCell ref="G252:G256"/>
    <mergeCell ref="E792:E796"/>
    <mergeCell ref="G792:G796"/>
    <mergeCell ref="E102:E106"/>
    <mergeCell ref="D747:D751"/>
    <mergeCell ref="G202:G206"/>
    <mergeCell ref="B277:B281"/>
    <mergeCell ref="A167:A171"/>
    <mergeCell ref="F747:F751"/>
    <mergeCell ref="F157:F161"/>
    <mergeCell ref="E807:E811"/>
    <mergeCell ref="A232:A236"/>
    <mergeCell ref="D22:D26"/>
    <mergeCell ref="D697:D701"/>
    <mergeCell ref="B562:B566"/>
    <mergeCell ref="F222:F226"/>
    <mergeCell ref="D762:D766"/>
    <mergeCell ref="D562:D566"/>
    <mergeCell ref="A832:A836"/>
    <mergeCell ref="C652:C656"/>
    <mergeCell ref="E652:E656"/>
    <mergeCell ref="A492:A496"/>
    <mergeCell ref="G387:G391"/>
    <mergeCell ref="G552:G556"/>
    <mergeCell ref="F762:F766"/>
    <mergeCell ref="G502:G506"/>
    <mergeCell ref="D397:D401"/>
    <mergeCell ref="E127:E131"/>
    <mergeCell ref="D257:D261"/>
    <mergeCell ref="A467:A471"/>
    <mergeCell ref="A527:A531"/>
    <mergeCell ref="E347:E351"/>
    <mergeCell ref="C527:C531"/>
    <mergeCell ref="A532:A536"/>
    <mergeCell ref="A632:A636"/>
    <mergeCell ref="G347:G351"/>
    <mergeCell ref="E412:E416"/>
    <mergeCell ref="A752:A756"/>
    <mergeCell ref="F457:F461"/>
    <mergeCell ref="C752:C756"/>
    <mergeCell ref="A162:A166"/>
    <mergeCell ref="F742:F746"/>
    <mergeCell ref="C162:C166"/>
    <mergeCell ref="A227:A231"/>
    <mergeCell ref="E812:E816"/>
    <mergeCell ref="B717:B721"/>
    <mergeCell ref="D717:D721"/>
    <mergeCell ref="B127:B131"/>
    <mergeCell ref="E667:E671"/>
    <mergeCell ref="C642:C646"/>
    <mergeCell ref="A27:A31"/>
    <mergeCell ref="C227:C231"/>
    <mergeCell ref="B117:B121"/>
    <mergeCell ref="G697:G701"/>
    <mergeCell ref="D557:D561"/>
    <mergeCell ref="F757:F761"/>
    <mergeCell ref="E647:E651"/>
    <mergeCell ref="B182:B186"/>
    <mergeCell ref="G647:G651"/>
    <mergeCell ref="E712:E716"/>
    <mergeCell ref="G712:G716"/>
    <mergeCell ref="F287:F291"/>
    <mergeCell ref="C462:C466"/>
    <mergeCell ref="E462:E466"/>
    <mergeCell ref="B417:B421"/>
    <mergeCell ref="C747:C751"/>
    <mergeCell ref="G207:G211"/>
    <mergeCell ref="G407:G411"/>
    <mergeCell ref="E747:E751"/>
    <mergeCell ref="C222:C226"/>
    <mergeCell ref="B112:B116"/>
    <mergeCell ref="D702:D706"/>
    <mergeCell ref="E222:E226"/>
    <mergeCell ref="D112:D116"/>
    <mergeCell ref="A322:A326"/>
    <mergeCell ref="B177:B181"/>
    <mergeCell ref="B652:B656"/>
    <mergeCell ref="G222:G226"/>
    <mergeCell ref="D177:D181"/>
    <mergeCell ref="C67:C71"/>
    <mergeCell ref="E197:E201"/>
    <mergeCell ref="D652:D656"/>
    <mergeCell ref="G807:G811"/>
    <mergeCell ref="F697:F701"/>
    <mergeCell ref="A117:A121"/>
    <mergeCell ref="C342:C346"/>
    <mergeCell ref="C317:C321"/>
    <mergeCell ref="E342:E346"/>
    <mergeCell ref="D172:D176"/>
    <mergeCell ref="C62:C66"/>
    <mergeCell ref="A182:A186"/>
    <mergeCell ref="F172:F176"/>
    <mergeCell ref="E62:E66"/>
    <mergeCell ref="D712:D716"/>
    <mergeCell ref="C602:C606"/>
    <mergeCell ref="B237:B241"/>
    <mergeCell ref="D737:D741"/>
    <mergeCell ref="G637:G641"/>
    <mergeCell ref="F712:F716"/>
    <mergeCell ref="C667:C671"/>
    <mergeCell ref="F147:F151"/>
    <mergeCell ref="F737:F741"/>
    <mergeCell ref="F807:F811"/>
    <mergeCell ref="A562:A566"/>
    <mergeCell ref="A537:A541"/>
    <mergeCell ref="F607:F611"/>
    <mergeCell ref="C562:C566"/>
    <mergeCell ref="C537:C541"/>
    <mergeCell ref="A512:A516"/>
    <mergeCell ref="C512:C516"/>
    <mergeCell ref="F302:F306"/>
    <mergeCell ref="B467:B471"/>
    <mergeCell ref="C797:C801"/>
    <mergeCell ref="B187:B191"/>
    <mergeCell ref="B797:B801"/>
    <mergeCell ref="C152:C156"/>
    <mergeCell ref="E152:E156"/>
    <mergeCell ref="G687:G691"/>
    <mergeCell ref="B107:B111"/>
    <mergeCell ref="D107:D111"/>
    <mergeCell ref="G97:G101"/>
    <mergeCell ref="E437:E441"/>
    <mergeCell ref="A37:A41"/>
    <mergeCell ref="B707:B711"/>
    <mergeCell ref="A702:A706"/>
    <mergeCell ref="D707:D711"/>
    <mergeCell ref="E502:E506"/>
    <mergeCell ref="B367:B371"/>
    <mergeCell ref="D392:D396"/>
    <mergeCell ref="A767:A771"/>
    <mergeCell ref="F337:F341"/>
    <mergeCell ref="C292:C296"/>
    <mergeCell ref="F402:F406"/>
    <mergeCell ref="E292:E296"/>
    <mergeCell ref="C357:C361"/>
    <mergeCell ref="E357:E361"/>
    <mergeCell ref="D247:D251"/>
    <mergeCell ref="B527:B531"/>
    <mergeCell ref="F687:F691"/>
    <mergeCell ref="C307:C311"/>
    <mergeCell ref="G777:G781"/>
    <mergeCell ref="C612:C616"/>
    <mergeCell ref="C717:C721"/>
    <mergeCell ref="F542:F546"/>
    <mergeCell ref="B672:B676"/>
    <mergeCell ref="G507:G511"/>
    <mergeCell ref="B812:B816"/>
    <mergeCell ref="C767:C771"/>
    <mergeCell ref="B342:B346"/>
    <mergeCell ref="F2:F6"/>
    <mergeCell ref="G167:G171"/>
    <mergeCell ref="D342:D346"/>
    <mergeCell ref="F592:F596"/>
    <mergeCell ref="B407:B411"/>
    <mergeCell ref="A297:A301"/>
    <mergeCell ref="D407:D411"/>
    <mergeCell ref="C297:C301"/>
    <mergeCell ref="G197:G201"/>
    <mergeCell ref="D127:D131"/>
    <mergeCell ref="F827:F831"/>
    <mergeCell ref="A327:A331"/>
    <mergeCell ref="D692:D696"/>
    <mergeCell ref="A312:A316"/>
    <mergeCell ref="D102:D106"/>
    <mergeCell ref="F692:F696"/>
    <mergeCell ref="C622:C626"/>
    <mergeCell ref="F102:F106"/>
    <mergeCell ref="C57:C61"/>
    <mergeCell ref="G432:G436"/>
    <mergeCell ref="A597:A601"/>
    <mergeCell ref="E57:E61"/>
    <mergeCell ref="C597:C601"/>
    <mergeCell ref="F387:F391"/>
    <mergeCell ref="C762:C766"/>
    <mergeCell ref="C7:C11"/>
    <mergeCell ref="E657:E661"/>
    <mergeCell ref="E762:E766"/>
    <mergeCell ref="G402:G406"/>
    <mergeCell ref="B817:B821"/>
    <mergeCell ref="E52:E56"/>
    <mergeCell ref="B62:B66"/>
    <mergeCell ref="B122:B126"/>
    <mergeCell ref="B227:B231"/>
    <mergeCell ref="D262:D266"/>
    <mergeCell ref="E592:E596"/>
    <mergeCell ref="G52:G56"/>
    <mergeCell ref="F7:F11"/>
    <mergeCell ref="D547:D551"/>
    <mergeCell ref="B512:B516"/>
    <mergeCell ref="F397:F401"/>
    <mergeCell ref="A722:A726"/>
    <mergeCell ref="F647:F651"/>
    <mergeCell ref="A782:A786"/>
    <mergeCell ref="G287:G291"/>
    <mergeCell ref="E352:E356"/>
    <mergeCell ref="D242:D246"/>
    <mergeCell ref="G352:G356"/>
    <mergeCell ref="A417:A421"/>
    <mergeCell ref="F242:F246"/>
    <mergeCell ref="C417:C421"/>
    <mergeCell ref="F307:F311"/>
    <mergeCell ref="B57:B61"/>
    <mergeCell ref="D57:D61"/>
    <mergeCell ref="C702:C706"/>
    <mergeCell ref="C112:C116"/>
    <mergeCell ref="G587:G591"/>
    <mergeCell ref="C12:C16"/>
    <mergeCell ref="A652:A656"/>
    <mergeCell ref="A717:A721"/>
    <mergeCell ref="E177:E181"/>
    <mergeCell ref="E7:E11"/>
    <mergeCell ref="F27:F31"/>
    <mergeCell ref="E172:E176"/>
    <mergeCell ref="A272:A276"/>
    <mergeCell ref="F342:F346"/>
    <mergeCell ref="C272:C276"/>
    <mergeCell ref="E737:E741"/>
    <mergeCell ref="G182:G186"/>
    <mergeCell ref="B667:B671"/>
    <mergeCell ref="G492:G496"/>
    <mergeCell ref="G737:G741"/>
    <mergeCell ref="D667:D671"/>
    <mergeCell ref="F377:F381"/>
    <mergeCell ref="G467:G471"/>
    <mergeCell ref="D642:D646"/>
    <mergeCell ref="E307:E311"/>
    <mergeCell ref="F642:F646"/>
    <mergeCell ref="A372:A376"/>
    <mergeCell ref="E282:E286"/>
    <mergeCell ref="G282:G286"/>
    <mergeCell ref="A347:A351"/>
    <mergeCell ref="F52:F56"/>
    <mergeCell ref="A12:A16"/>
    <mergeCell ref="A17:A21"/>
    <mergeCell ref="A637:A641"/>
    <mergeCell ref="G482:G486"/>
    <mergeCell ref="C82:C86"/>
    <mergeCell ref="B212:B216"/>
    <mergeCell ref="D437:D441"/>
    <mergeCell ref="D412:D416"/>
    <mergeCell ref="A622:A626"/>
    <mergeCell ref="F437:F441"/>
    <mergeCell ref="G2:G6"/>
    <mergeCell ref="A67:A71"/>
    <mergeCell ref="G567:G571"/>
    <mergeCell ref="A132:A136"/>
    <mergeCell ref="G732:G736"/>
    <mergeCell ref="D497:D501"/>
    <mergeCell ref="A672:A676"/>
    <mergeCell ref="A107:A111"/>
    <mergeCell ref="A82:A86"/>
    <mergeCell ref="D472:D476"/>
    <mergeCell ref="C107:C111"/>
    <mergeCell ref="A647:A651"/>
    <mergeCell ref="F472:F476"/>
    <mergeCell ref="A707:A711"/>
    <mergeCell ref="F637:F641"/>
    <mergeCell ref="A367:A371"/>
    <mergeCell ref="C707:C711"/>
    <mergeCell ref="C392:C396"/>
    <mergeCell ref="B662:B666"/>
    <mergeCell ref="G592:G596"/>
    <mergeCell ref="B322:B326"/>
    <mergeCell ref="F232:F236"/>
    <mergeCell ref="C302:C306"/>
    <mergeCell ref="C407:C411"/>
    <mergeCell ref="B297:B301"/>
    <mergeCell ref="B272:B276"/>
    <mergeCell ref="D297:D301"/>
    <mergeCell ref="C127:C131"/>
    <mergeCell ref="G187:G191"/>
    <mergeCell ref="A667:A671"/>
    <mergeCell ref="E727:E731"/>
    <mergeCell ref="C692:C696"/>
    <mergeCell ref="G827:G831"/>
    <mergeCell ref="E137:E141"/>
    <mergeCell ref="G137:G141"/>
    <mergeCell ref="B622:B626"/>
    <mergeCell ref="E422:E426"/>
    <mergeCell ref="B597:B601"/>
    <mergeCell ref="G422:G426"/>
    <mergeCell ref="D597:D601"/>
    <mergeCell ref="D657:D661"/>
    <mergeCell ref="G487:G491"/>
    <mergeCell ref="D292:D296"/>
    <mergeCell ref="D357:D361"/>
    <mergeCell ref="G722:G726"/>
    <mergeCell ref="F357:F361"/>
    <mergeCell ref="D202:D206"/>
    <mergeCell ref="A262:A266"/>
    <mergeCell ref="A62:A66"/>
    <mergeCell ref="A122:A126"/>
    <mergeCell ref="C262:C266"/>
    <mergeCell ref="C122:C126"/>
    <mergeCell ref="D592:D596"/>
    <mergeCell ref="A662:A666"/>
    <mergeCell ref="F627:F631"/>
    <mergeCell ref="C547:C551"/>
    <mergeCell ref="E547:E551"/>
    <mergeCell ref="D187:D191"/>
    <mergeCell ref="A362:A366"/>
    <mergeCell ref="F187:F191"/>
    <mergeCell ref="F352:F356"/>
    <mergeCell ref="D787:D791"/>
    <mergeCell ref="E242:E246"/>
    <mergeCell ref="G242:G246"/>
    <mergeCell ref="B802:B806"/>
    <mergeCell ref="B327:B331"/>
    <mergeCell ref="D802:D806"/>
    <mergeCell ref="B12:B16"/>
    <mergeCell ref="E542:E546"/>
    <mergeCell ref="B612:B616"/>
    <mergeCell ref="G542:G546"/>
    <mergeCell ref="D812:D816"/>
    <mergeCell ref="A252:A256"/>
    <mergeCell ref="A567:A571"/>
    <mergeCell ref="F497:F501"/>
    <mergeCell ref="G517:G521"/>
    <mergeCell ref="B247:B251"/>
    <mergeCell ref="D447:D451"/>
    <mergeCell ref="G452:G456"/>
    <mergeCell ref="A517:A521"/>
    <mergeCell ref="B312:B316"/>
    <mergeCell ref="F447:F451"/>
    <mergeCell ref="D312:D316"/>
    <mergeCell ref="A582:A586"/>
    <mergeCell ref="B262:B266"/>
    <mergeCell ref="A217:A221"/>
    <mergeCell ref="C492:C496"/>
    <mergeCell ref="C552:C556"/>
    <mergeCell ref="E492:E496"/>
    <mergeCell ref="B762:B766"/>
    <mergeCell ref="E552:E556"/>
    <mergeCell ref="G372:G376"/>
    <mergeCell ref="A302:A306"/>
    <mergeCell ref="C502:C506"/>
    <mergeCell ref="B82:B86"/>
    <mergeCell ref="C247:C251"/>
    <mergeCell ref="D7:D11"/>
    <mergeCell ref="A277:A281"/>
    <mergeCell ref="B547:B551"/>
    <mergeCell ref="F42:F46"/>
    <mergeCell ref="C277:C281"/>
    <mergeCell ref="G817:G821"/>
    <mergeCell ref="A817:A821"/>
    <mergeCell ref="F492:F496"/>
    <mergeCell ref="D482:D486"/>
    <mergeCell ref="D307:D311"/>
    <mergeCell ref="A577:A581"/>
    <mergeCell ref="A377:A381"/>
    <mergeCell ref="E397:E401"/>
    <mergeCell ref="C577:C581"/>
    <mergeCell ref="G397:G401"/>
    <mergeCell ref="A802:A806"/>
    <mergeCell ref="C802:C806"/>
    <mergeCell ref="F37:F41"/>
    <mergeCell ref="F602:F606"/>
    <mergeCell ref="C497:C501"/>
    <mergeCell ref="E497:E501"/>
    <mergeCell ref="G522:G526"/>
    <mergeCell ref="D792:D796"/>
    <mergeCell ref="E472:E476"/>
    <mergeCell ref="B607:B611"/>
    <mergeCell ref="G62:G66"/>
    <mergeCell ref="E87:E91"/>
    <mergeCell ref="B157:B161"/>
    <mergeCell ref="A807:A811"/>
    <mergeCell ref="G87:G91"/>
    <mergeCell ref="E627:E631"/>
    <mergeCell ref="E687:E691"/>
    <mergeCell ref="G822:G826"/>
    <mergeCell ref="B302:B306"/>
    <mergeCell ref="G232:G236"/>
    <mergeCell ref="D502:D506"/>
    <mergeCell ref="E772:E776"/>
    <mergeCell ref="D302:D306"/>
    <mergeCell ref="A257:A261"/>
    <mergeCell ref="G832:G836"/>
    <mergeCell ref="D727:D731"/>
    <mergeCell ref="G77:G81"/>
    <mergeCell ref="A797:A801"/>
    <mergeCell ref="F727:F731"/>
    <mergeCell ref="F787:F791"/>
    <mergeCell ref="A207:A211"/>
    <mergeCell ref="F137:F141"/>
    <mergeCell ref="E92:E96"/>
    <mergeCell ref="G532:G536"/>
    <mergeCell ref="F422:F426"/>
    <mergeCell ref="A557:A561"/>
    <mergeCell ref="F487:F491"/>
    <mergeCell ref="A507:A511"/>
    <mergeCell ref="A192:A196"/>
    <mergeCell ref="C192:C196"/>
    <mergeCell ref="C252:C256"/>
    <mergeCell ref="A792:A796"/>
    <mergeCell ref="E252:E256"/>
    <mergeCell ref="F722:F726"/>
    <mergeCell ref="C792:C796"/>
    <mergeCell ref="C202:C206"/>
    <mergeCell ref="E677:E681"/>
    <mergeCell ref="B747:B751"/>
    <mergeCell ref="G677:G681"/>
    <mergeCell ref="G782:G786"/>
    <mergeCell ref="E787:E791"/>
    <mergeCell ref="B742:B746"/>
    <mergeCell ref="G672:G676"/>
    <mergeCell ref="B92:B96"/>
    <mergeCell ref="D742:D746"/>
    <mergeCell ref="G787:G791"/>
    <mergeCell ref="D92:D96"/>
    <mergeCell ref="D152:D156"/>
    <mergeCell ref="B692:B696"/>
    <mergeCell ref="F92:F96"/>
    <mergeCell ref="F152:F156"/>
    <mergeCell ref="E487:E491"/>
    <mergeCell ref="B757:B761"/>
    <mergeCell ref="D757:D761"/>
    <mergeCell ref="C647:C651"/>
    <mergeCell ref="F442:F446"/>
    <mergeCell ref="F502:F506"/>
    <mergeCell ref="B252:B256"/>
    <mergeCell ref="D452:D456"/>
    <mergeCell ref="D252:D256"/>
    <mergeCell ref="F477:F481"/>
    <mergeCell ref="F452:F456"/>
    <mergeCell ref="D677:D681"/>
    <mergeCell ref="C92:C96"/>
    <mergeCell ref="G307:G311"/>
    <mergeCell ref="E447:E451"/>
    <mergeCell ref="C412:C416"/>
    <mergeCell ref="C312:C316"/>
    <mergeCell ref="G447:G451"/>
    <mergeCell ref="G192:G196"/>
    <mergeCell ref="D367:D371"/>
    <mergeCell ref="A812:A816"/>
    <mergeCell ref="F87:F91"/>
    <mergeCell ref="C157:C161"/>
    <mergeCell ref="C42:C46"/>
    <mergeCell ref="E692:E696"/>
    <mergeCell ref="A222:A226"/>
    <mergeCell ref="E382:E386"/>
    <mergeCell ref="E42:E46"/>
    <mergeCell ref="B552:B556"/>
    <mergeCell ref="G42:G46"/>
    <mergeCell ref="F372:F376"/>
    <mergeCell ref="C507:C511"/>
    <mergeCell ref="D527:D531"/>
    <mergeCell ref="C482:C486"/>
    <mergeCell ref="E682:E686"/>
    <mergeCell ref="C142:C146"/>
    <mergeCell ref="E482:E486"/>
    <mergeCell ref="B412:B416"/>
    <mergeCell ref="B577:B581"/>
    <mergeCell ref="D577:D581"/>
    <mergeCell ref="C807:C811"/>
    <mergeCell ref="B697:B701"/>
    <mergeCell ref="G627:G631"/>
    <mergeCell ref="G377:G381"/>
    <mergeCell ref="B807:B811"/>
    <mergeCell ref="B287:B291"/>
    <mergeCell ref="G112:G116"/>
    <mergeCell ref="F322:F326"/>
    <mergeCell ref="D287:D291"/>
    <mergeCell ref="G322:G326"/>
    <mergeCell ref="B397:B401"/>
    <mergeCell ref="E187:E191"/>
    <mergeCell ref="F432:F436"/>
    <mergeCell ref="C362:C366"/>
    <mergeCell ref="D67:D71"/>
    <mergeCell ref="F67:F71"/>
    <mergeCell ref="C337:C341"/>
    <mergeCell ref="D732:D736"/>
    <mergeCell ref="D382:D386"/>
    <mergeCell ref="D72:D76"/>
    <mergeCell ref="F582:F586"/>
    <mergeCell ref="F212:F216"/>
    <mergeCell ref="C697:C701"/>
    <mergeCell ref="G752:G756"/>
    <mergeCell ref="G762:G766"/>
    <mergeCell ref="G417:G421"/>
    <mergeCell ref="G582:G586"/>
    <mergeCell ref="A547:A551"/>
    <mergeCell ref="G392:G396"/>
    <mergeCell ref="E407:E411"/>
    <mergeCell ref="F677:F681"/>
    <mergeCell ref="A157:A161"/>
    <mergeCell ref="B457:B461"/>
    <mergeCell ref="B257:B261"/>
    <mergeCell ref="G527:G531"/>
    <mergeCell ref="D457:D461"/>
    <mergeCell ref="C347:C351"/>
    <mergeCell ref="F77:F81"/>
    <mergeCell ref="B217:B221"/>
    <mergeCell ref="F412:F416"/>
    <mergeCell ref="C367:C371"/>
    <mergeCell ref="E72:E76"/>
    <mergeCell ref="G497:G501"/>
    <mergeCell ref="G297:G301"/>
    <mergeCell ref="F832:F836"/>
    <mergeCell ref="C727:C731"/>
    <mergeCell ref="F732:F736"/>
    <mergeCell ref="A152:A156"/>
    <mergeCell ref="C32:C36"/>
    <mergeCell ref="E32:E36"/>
    <mergeCell ref="D682:D686"/>
    <mergeCell ref="C572:C576"/>
    <mergeCell ref="G32:G36"/>
    <mergeCell ref="A437:A441"/>
    <mergeCell ref="E97:E101"/>
    <mergeCell ref="C637:C641"/>
    <mergeCell ref="F367:F371"/>
    <mergeCell ref="F427:F431"/>
    <mergeCell ref="E637:E641"/>
    <mergeCell ref="F812:F816"/>
    <mergeCell ref="B557:B561"/>
    <mergeCell ref="G382:G386"/>
    <mergeCell ref="E272:E276"/>
    <mergeCell ref="E332:E336"/>
    <mergeCell ref="C197:C201"/>
    <mergeCell ref="G217:G221"/>
    <mergeCell ref="C457:C461"/>
    <mergeCell ref="F822:F826"/>
    <mergeCell ref="D32:D36"/>
    <mergeCell ref="F32:F36"/>
    <mergeCell ref="C742:C746"/>
    <mergeCell ref="D97:D101"/>
    <mergeCell ref="E742:E746"/>
    <mergeCell ref="F97:F101"/>
    <mergeCell ref="C52:C56"/>
    <mergeCell ref="A592:A596"/>
    <mergeCell ref="D827:D831"/>
    <mergeCell ref="B792:B796"/>
    <mergeCell ref="G617:G621"/>
    <mergeCell ref="B202:B206"/>
    <mergeCell ref="G27:G31"/>
    <mergeCell ref="B102:B106"/>
    <mergeCell ref="F572:F576"/>
    <mergeCell ref="G682:G686"/>
    <mergeCell ref="C432:C436"/>
    <mergeCell ref="E632:E636"/>
    <mergeCell ref="D522:D526"/>
    <mergeCell ref="G632:G636"/>
    <mergeCell ref="B387:B391"/>
    <mergeCell ref="G317:G321"/>
    <mergeCell ref="F522:F526"/>
    <mergeCell ref="D387:D391"/>
    <mergeCell ref="A762:A766"/>
    <mergeCell ref="D552:D556"/>
    <mergeCell ref="A317:A321"/>
    <mergeCell ref="F587:F591"/>
    <mergeCell ref="G327:G331"/>
    <mergeCell ref="B402:B406"/>
    <mergeCell ref="A292:A296"/>
    <mergeCell ref="A397:A401"/>
    <mergeCell ref="F527:F531"/>
    <mergeCell ref="A457:A461"/>
    <mergeCell ref="F282:F286"/>
    <mergeCell ref="D822:D826"/>
    <mergeCell ref="G37:G41"/>
    <mergeCell ref="C782:C786"/>
    <mergeCell ref="B172:B176"/>
    <mergeCell ref="E782:E786"/>
    <mergeCell ref="A2:A6"/>
    <mergeCell ref="F382:F386"/>
    <mergeCell ref="C757:C761"/>
    <mergeCell ref="B647:B651"/>
    <mergeCell ref="G472:G476"/>
    <mergeCell ref="E757:E761"/>
    <mergeCell ref="B712:B716"/>
    <mergeCell ref="C287:C291"/>
    <mergeCell ref="E287:E291"/>
    <mergeCell ref="C352:C356"/>
    <mergeCell ref="E452:E456"/>
    <mergeCell ref="B207:B211"/>
    <mergeCell ref="E572:E576"/>
    <mergeCell ref="G772:G776"/>
    <mergeCell ref="F657:F661"/>
    <mergeCell ref="E47:E51"/>
    <mergeCell ref="D42:D46"/>
    <mergeCell ref="B222:B226"/>
    <mergeCell ref="A112:A116"/>
    <mergeCell ref="G47:G51"/>
    <mergeCell ref="G612:G616"/>
    <mergeCell ref="E22:E26"/>
    <mergeCell ref="D542:D546"/>
    <mergeCell ref="B507:B511"/>
    <mergeCell ref="G22:G26"/>
    <mergeCell ref="B482:B486"/>
    <mergeCell ref="F517:F521"/>
    <mergeCell ref="D237:D241"/>
    <mergeCell ref="A412:A416"/>
    <mergeCell ref="F237:F241"/>
    <mergeCell ref="C437:C441"/>
    <mergeCell ref="A697:A701"/>
    <mergeCell ref="A7:A11"/>
    <mergeCell ref="E142:E146"/>
    <mergeCell ref="B27:B31"/>
    <mergeCell ref="A172:A176"/>
    <mergeCell ref="B782:B786"/>
    <mergeCell ref="D537:D541"/>
    <mergeCell ref="C172:C176"/>
    <mergeCell ref="A737:A741"/>
    <mergeCell ref="A712:A716"/>
    <mergeCell ref="D817:D821"/>
    <mergeCell ref="C737:C741"/>
    <mergeCell ref="C712:C716"/>
    <mergeCell ref="F537:F541"/>
    <mergeCell ref="F562:F566"/>
    <mergeCell ref="C147:C151"/>
    <mergeCell ref="F512:F516"/>
    <mergeCell ref="E147:E151"/>
    <mergeCell ref="F577:F581"/>
    <mergeCell ref="E442:E446"/>
    <mergeCell ref="B642:B646"/>
    <mergeCell ref="E432:E436"/>
    <mergeCell ref="F797:F801"/>
    <mergeCell ref="B362:B366"/>
    <mergeCell ref="F72:F76"/>
    <mergeCell ref="B337:B341"/>
    <mergeCell ref="C97:C101"/>
    <mergeCell ref="D777:D781"/>
    <mergeCell ref="B52:B56"/>
    <mergeCell ref="E417:E421"/>
    <mergeCell ref="C382:C386"/>
    <mergeCell ref="D52:D56"/>
    <mergeCell ref="B592:B596"/>
    <mergeCell ref="C2:C6"/>
    <mergeCell ref="E702:E706"/>
    <mergeCell ref="D337:D341"/>
    <mergeCell ref="E2:E6"/>
    <mergeCell ref="C567:C571"/>
    <mergeCell ref="G162:G166"/>
    <mergeCell ref="A267:A271"/>
    <mergeCell ref="D402:D406"/>
    <mergeCell ref="C732:C736"/>
    <mergeCell ref="G267:G271"/>
    <mergeCell ref="E732:E736"/>
    <mergeCell ref="G702:G706"/>
    <mergeCell ref="G767:G771"/>
    <mergeCell ref="D687:D691"/>
    <mergeCell ref="B472:B476"/>
    <mergeCell ref="B637:B641"/>
    <mergeCell ref="G462:G466"/>
    <mergeCell ref="B192:B196"/>
    <mergeCell ref="D637:D641"/>
    <mergeCell ref="G427:G431"/>
    <mergeCell ref="D192:D196"/>
    <mergeCell ref="A392:A396"/>
    <mergeCell ref="C592:C596"/>
    <mergeCell ref="G747:G751"/>
    <mergeCell ref="D167:D171"/>
    <mergeCell ref="D332:D336"/>
    <mergeCell ref="A342:A346"/>
    <mergeCell ref="D232:D236"/>
    <mergeCell ref="B197:B201"/>
    <mergeCell ref="F167:F171"/>
    <mergeCell ref="E562:E566"/>
    <mergeCell ref="F332:F336"/>
    <mergeCell ref="A827:A831"/>
    <mergeCell ref="A127:A131"/>
    <mergeCell ref="C827:C831"/>
    <mergeCell ref="F617:F621"/>
    <mergeCell ref="A692:A696"/>
    <mergeCell ref="F682:F686"/>
    <mergeCell ref="A102:A106"/>
    <mergeCell ref="C102:C106"/>
    <mergeCell ref="G257:G261"/>
    <mergeCell ref="A642:A646"/>
    <mergeCell ref="D532:D536"/>
    <mergeCell ref="F632:F636"/>
    <mergeCell ref="A387:A391"/>
    <mergeCell ref="E522:E526"/>
    <mergeCell ref="D752:D756"/>
    <mergeCell ref="C587:C591"/>
    <mergeCell ref="C387:C391"/>
    <mergeCell ref="E587:E591"/>
    <mergeCell ref="A337:A341"/>
    <mergeCell ref="F162:F166"/>
    <mergeCell ref="A402:A406"/>
    <mergeCell ref="E117:E121"/>
    <mergeCell ref="F227:F231"/>
    <mergeCell ref="C402:C406"/>
    <mergeCell ref="B292:B296"/>
    <mergeCell ref="G117:G121"/>
    <mergeCell ref="B357:B361"/>
    <mergeCell ref="A687:A691"/>
    <mergeCell ref="E822:E826"/>
    <mergeCell ref="C687:C691"/>
    <mergeCell ref="B777:B781"/>
    <mergeCell ref="E132:E136"/>
    <mergeCell ref="F17:F21"/>
    <mergeCell ref="F772:F776"/>
    <mergeCell ref="G692:G696"/>
    <mergeCell ref="A57:A61"/>
    <mergeCell ref="D47:D51"/>
    <mergeCell ref="G412:G416"/>
    <mergeCell ref="F47:F51"/>
    <mergeCell ref="D612:D616"/>
    <mergeCell ref="D587:D591"/>
    <mergeCell ref="A657:A661"/>
    <mergeCell ref="A542:A546"/>
    <mergeCell ref="F612:F616"/>
    <mergeCell ref="C542:C546"/>
    <mergeCell ref="F22:F26"/>
    <mergeCell ref="B497:B501"/>
    <mergeCell ref="F317:F321"/>
    <mergeCell ref="C517:C521"/>
    <mergeCell ref="G17:G21"/>
    <mergeCell ref="G332:G336"/>
    <mergeCell ref="A462:A466"/>
    <mergeCell ref="E617:E621"/>
    <mergeCell ref="G602:G606"/>
    <mergeCell ref="G662:G666"/>
    <mergeCell ref="A602:A606"/>
    <mergeCell ref="B147:B151"/>
    <mergeCell ref="D147:D151"/>
    <mergeCell ref="B687:B691"/>
    <mergeCell ref="E477:E481"/>
    <mergeCell ref="G477:G481"/>
    <mergeCell ref="F567:F571"/>
    <mergeCell ref="D432:D436"/>
    <mergeCell ref="A607:A611"/>
    <mergeCell ref="E827:E831"/>
    <mergeCell ref="C237:C241"/>
    <mergeCell ref="B447:B451"/>
    <mergeCell ref="E237:E241"/>
    <mergeCell ref="C777:C781"/>
    <mergeCell ref="E777:E781"/>
    <mergeCell ref="E212:E216"/>
    <mergeCell ref="A52:A56"/>
    <mergeCell ref="B142:B146"/>
    <mergeCell ref="E277:E281"/>
    <mergeCell ref="C817:C821"/>
    <mergeCell ref="D142:D146"/>
    <mergeCell ref="G277:G281"/>
    <mergeCell ref="E817:E821"/>
    <mergeCell ref="B7:B11"/>
    <mergeCell ref="E537:E541"/>
    <mergeCell ref="G562:G566"/>
    <mergeCell ref="B492:B496"/>
    <mergeCell ref="G537:G541"/>
    <mergeCell ref="D492:D496"/>
    <mergeCell ref="E512:E516"/>
    <mergeCell ref="E67:E71"/>
    <mergeCell ref="B442:B446"/>
    <mergeCell ref="B242:B246"/>
    <mergeCell ref="D467:D471"/>
    <mergeCell ref="D442:D446"/>
    <mergeCell ref="E577:E581"/>
    <mergeCell ref="F467:F471"/>
    <mergeCell ref="B307:B311"/>
    <mergeCell ref="G132:G136"/>
    <mergeCell ref="G577:G581"/>
    <mergeCell ref="C397:C401"/>
    <mergeCell ref="G797:G801"/>
    <mergeCell ref="E107:E111"/>
    <mergeCell ref="G107:G111"/>
    <mergeCell ref="F752:F756"/>
    <mergeCell ref="D282:D286"/>
    <mergeCell ref="B2:B6"/>
    <mergeCell ref="D2:D6"/>
    <mergeCell ref="B567:B571"/>
    <mergeCell ref="F702:F706"/>
    <mergeCell ref="D767:D771"/>
    <mergeCell ref="D567:D571"/>
    <mergeCell ref="G812:G816"/>
    <mergeCell ref="F767:F771"/>
    <mergeCell ref="F12:F16"/>
    <mergeCell ref="A497:A501"/>
    <mergeCell ref="B517:B521"/>
    <mergeCell ref="E722:E726"/>
    <mergeCell ref="A472:A476"/>
    <mergeCell ref="F297:F301"/>
    <mergeCell ref="D582:D586"/>
    <mergeCell ref="C472:C476"/>
    <mergeCell ref="F462:F466"/>
    <mergeCell ref="F327:F331"/>
    <mergeCell ref="D277:D281"/>
    <mergeCell ref="B352:B356"/>
    <mergeCell ref="A242:A246"/>
    <mergeCell ref="G177:G181"/>
    <mergeCell ref="D352:D356"/>
    <mergeCell ref="C242:C246"/>
    <mergeCell ref="A307:A311"/>
    <mergeCell ref="D572:D576"/>
    <mergeCell ref="G127:G131"/>
  </mergeCells>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Statistics</vt:lpstr>
      <vt:lpstr>Logs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2025-11-28T06:01:32Z</dcterms:created>
  <dcterms:modified xsi:type="dcterms:W3CDTF">2025-12-01T07:00:34Z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Fasoo_Trace_ID" pid="2">
    <vt:lpwstr>eyJub2RlMSI6eyJkc2QiOiIwMDAwMDAwMDAwMDAwMDAwIiwibG9nVGltZSI6IjIwMjUtMTItMDFUMDQ6MjY6NDFaIiwicElEIjoyMDQ4LCJwcm9jZXNzSWQiOjE3NDEyLCJwcm9jZXNzTmFtZSI6IkVYQ0VMLkVYRSIsInRyYWNlSWQiOiJCQTc2QUJGNUI3RTc0RDE4OUEwMzFGN0IxOTI4MkYzRSIsInVzZXJDb2RlIjoibXVsdGlkeTE5ODUifSwibm9kZTIiOnsiZHNkIjoiMDEwMDAwMDAwMDAwMTQzMyIsImxvZ1RpbWUiOiIyMDI1LTEyLTAxVDA2OjQzOjAyWiIsInBJRCI6MSwicHJvY2Vzc0lkIjoxNzQxMiwicHJvY2Vzc05hbWUiOiJFWENFTC5FWEUiLCJ0cmFjZUlkIjoiQ0Q5MkM4NkQzREYyNEI1MTgyMTk5NEUxMTI0N0E5MEIiLCJ1c2VyQ29kZSI6Im11bHRpZHkxOTg1In0sIm5vZGUzIjp7ImRzZCI6IjAwMDAwMDAwMDAwMDAwMDAiLCJsb2dUaW1lIjoiMjAyNS0xMi0wMVQwNjo0NDo1MVoiLCJwSUQiOjIwNDgsInByb2Nlc3NJZCI6MTc0MTIsInByb2Nlc3NOYW1lIjoiRVhDRUwuRVhFIiwidHJhY2VJZCI6IjdDNTdCMzFCQTlCODQ0MzM5RTQ3OEM3NERGQzA0NTdDIiwidXNlckNvZGUiOiJtdWx0aWR5MTk4NSJ9LCJub2RlNCI6eyJkc2QiOiIwMTAwMDAwMDAwMDAxNDMzIiwibG9nVGltZSI6IjIwMjUtMTItMDFUMDY6NTk6MzNaIiwicElEIjoxLCJwcm9jZXNzSWQiOjE3NDEyLCJwcm9jZXNzTmFtZSI6IkVYQ0VMLkVYRSIsInRyYWNlSWQiOiJENkMzOUQ0QjE2NEU0N0RFOTRFMjFGMjdENUE2Q0UzRCIsInVzZXJDb2RlIjoibXVsdGlkeTE5ODUifSwibm9kZTUiOnsiZHNkIjoiMDAwMDAwMDAwMDAwMDAwMCIsImxvZ1RpbWUiOiIyMDI1LTEyLTAxVDA3OjAwOjU0WiIsInBJRCI6MjA0OCwicHJvY2Vzc0lkIjoyNDQ2MCwicHJvY2Vzc05hbWUiOiJFWENFTC5FWEUiLCJ0cmFjZUlkIjoiMzJBRjEwRDEwODY3NEI0QjlENzk1QjM0M0NDNzI2QjUiLCJ1c2VyQ29kZSI6Im11bHRpZHkxOTg1In0sIm5vZGVDb3VudCI6MTAsInJvb3RUcmFjZUlkIjoiMEMzRENFRjcyNTI1NDU0ODk2N0NDRDBDOEJGNDg4NUMifQ==</vt:lpwstr>
  </property>
</Properties>
</file>