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64B83B70-D320-4A99-ACA8-7FFECDFD9F78}" xr6:coauthVersionLast="47" xr6:coauthVersionMax="47" xr10:uidLastSave="{00000000-0000-0000-0000-000000000000}"/>
  <bookViews>
    <workbookView xWindow="-120" yWindow="-120" windowWidth="29040" windowHeight="15720" activeTab="1" xr2:uid="{00000000-000D-0000-FFFF-FFFF00000000}"/>
  </bookViews>
  <sheets>
    <sheet name="Statistics" sheetId="1" r:id="rId1"/>
    <sheet name="Logs" sheetId="2" r:id="rId2"/>
  </sheets>
  <definedNames>
    <definedName name="_xlnm._FilterDatabase" localSheetId="1" hidden="1">Logs!$A$1:$M$1146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s="1"/>
  <c r="B2" i="1"/>
  <c r="C2" i="1" s="1"/>
  <c r="B1" i="1"/>
</calcChain>
</file>

<file path=xl/sharedStrings.xml><?xml version="1.0" encoding="utf-8"?>
<sst xmlns="http://schemas.openxmlformats.org/spreadsheetml/2006/main" count="3221" uniqueCount="1307">
  <si>
    <t>총 질문 수</t>
  </si>
  <si>
    <t>검색TOP5포함</t>
  </si>
  <si>
    <t>SLM정답청크선택</t>
  </si>
  <si>
    <t>순번</t>
  </si>
  <si>
    <t>질의문</t>
  </si>
  <si>
    <t>답변참조문서</t>
  </si>
  <si>
    <t>참조페이지</t>
  </si>
  <si>
    <t>task_id</t>
  </si>
  <si>
    <t>SLM 답변</t>
  </si>
  <si>
    <t>doc_id</t>
  </si>
  <si>
    <t>score</t>
  </si>
  <si>
    <t>group</t>
  </si>
  <si>
    <t>file</t>
  </si>
  <si>
    <t>page_num</t>
  </si>
  <si>
    <t>질병휴직시 필요한 서류가 무엇인가요?</t>
  </si>
  <si>
    <t>293_2501_인사과_지침_행정안전부_지방공무원_인사제도_운영지침행정안전부예규제314호.pdf</t>
  </si>
  <si>
    <t>22</t>
  </si>
  <si>
    <t>포함</t>
  </si>
  <si>
    <t>선택</t>
  </si>
  <si>
    <t>d43ee4396f524d08aa3a3a30a4926e6a</t>
  </si>
  <si>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</si>
  <si>
    <t>4dd76483-87bf-48f6-9aba-010f654b29b4</t>
  </si>
  <si>
    <t>내부자료</t>
  </si>
  <si>
    <t>f4c0cac1-dc8b-47d6-a34b-07b926344d2f</t>
  </si>
  <si>
    <t>303_2503_인사과_업무매뉴얼_공무원연금공단_공무원연금_가이드북.pdf</t>
  </si>
  <si>
    <t>협상에 의한 계약을 진행할 시 절차가 어떻게 되나요?</t>
  </si>
  <si>
    <t>478_2505_회계재산담당관_업무매뉴얼_회계재산담당관_계약업무_참고자료회계재산담당관외부용.pdf</t>
  </si>
  <si>
    <t>4, 17</t>
  </si>
  <si>
    <t>22e9995741574bfa9c030e06f0881bd3</t>
  </si>
  <si>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</si>
  <si>
    <t>9cea798e-3b9c-407f-a6c3-4f1af4a20e5a</t>
  </si>
  <si>
    <t>f6bb49e1-b013-42ca-bc5a-693dc6df603a</t>
  </si>
  <si>
    <t>c18dbaf2-6483-4393-b52a-d4f044b83a93</t>
  </si>
  <si>
    <t>465_2303_회계재산담당관_법령_한국지방재정공제회_지방계약법령집_제권예규_및_고시.pdf</t>
  </si>
  <si>
    <t>bfcbaa39-bb17-497f-86b2-be1251ef22aa</t>
  </si>
  <si>
    <t>a157bf47-56f6-4682-8cb3-e26e4c122fad</t>
  </si>
  <si>
    <t>470_2407_회계재산담당관_법령_행정안전부_지방자치단체_입찰시_낙찰자_결정기준_00.pdf</t>
  </si>
  <si>
    <t>DRM 비밀번호 초기화 방법이 무엇인가요?</t>
  </si>
  <si>
    <t>331_2112_정보화정책과_업무매뉴얼_정보화정책과_부서관리자_매뉴얼자료유출방지시스템_DRM_v50_비번초기화.pdf</t>
  </si>
  <si>
    <t>1, 2, 3</t>
  </si>
  <si>
    <t>676a49c1aa094fd7a61bd5c80bd47df4</t>
  </si>
  <si>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</si>
  <si>
    <t>edb1e797-f9cd-4785-8595-87e84038bc40</t>
  </si>
  <si>
    <t>28edbca7-25e5-4839-be03-23df0b778bb6</t>
  </si>
  <si>
    <t>a121944b-92ec-4338-bfb3-1e517948c634</t>
  </si>
  <si>
    <t>장관표창 공적심사 의뢰 시 제출서류가 무엇인가요?</t>
  </si>
  <si>
    <t>1282_2501_인사과_지침_인사과_부산광역시_시장포상_업무지침20230517_일부개정.pdf</t>
  </si>
  <si>
    <t>25</t>
  </si>
  <si>
    <t>44903ab1016448e3a173cbdd778c67b7</t>
  </si>
  <si>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</si>
  <si>
    <t>3b7fdbdd-15c9-4e4c-8674-09db0a392ece</t>
  </si>
  <si>
    <t>561b7179-dde7-4d8f-8e75-5c283c4a2389</t>
  </si>
  <si>
    <t>803f7efd-73f7-4114-95cf-35065d45e395</t>
  </si>
  <si>
    <t>a7592f73-66db-47d7-85b2-b52ba76ac710</t>
  </si>
  <si>
    <t>fbe909f5-c0be-4633-8c91-af970278dc19</t>
  </si>
  <si>
    <t>시장표창 공적심사 의뢰 시 제출서류가 무엇인가요?</t>
  </si>
  <si>
    <t>81e12ab5cc1544608f7fe18c2a667141</t>
  </si>
  <si>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</si>
  <si>
    <t>df3d05cc-767a-4263-945c-8f208c774510</t>
  </si>
  <si>
    <t>b331b248-59b0-4bef-b862-aafc9a099a4c</t>
  </si>
  <si>
    <t>일상경비 교부대상 통계목이 무엇인가요?</t>
  </si>
  <si>
    <t>1257_2412_회계재산담당관_공문_회계재산담당관_2025년도_일상경비_교부운영계획.pdf</t>
  </si>
  <si>
    <t>5</t>
  </si>
  <si>
    <t>55064dcf001d4119a53de4cc20b10daa</t>
  </si>
  <si>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</si>
  <si>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</si>
  <si>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</si>
  <si>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</si>
  <si>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</si>
  <si>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</si>
  <si>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9ed73d36-8153-40fa-992f-eb44e1b0f784</t>
  </si>
  <si>
    <t>477_2505_회계재산담당관_업무매뉴얼_메타넷디지털_일반지출_절차_및_삭제_회계재산담당관_경리팀.pdf</t>
  </si>
  <si>
    <t>일상경비 교부범위가 어떻게 되나요?</t>
  </si>
  <si>
    <t>d8f8ce9093284230bd5e17bbde318a79</t>
  </si>
  <si>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</si>
  <si>
    <t>9b66f5c7-9e85-4ad2-9e5d-420eb5fbcabf</t>
  </si>
  <si>
    <t>자치법규정보시스템</t>
  </si>
  <si>
    <t>43_페이지5_문서3_162141_부산광역시_회계관리에_관한_규칙.pdf</t>
  </si>
  <si>
    <t>5084cb63-9f40-433e-99a8-81a7ac3e301c</t>
  </si>
  <si>
    <t>f65d2b49-7693-4c67-9807-b168204cfa97</t>
  </si>
  <si>
    <t>6c5b79b9-3dc9-4a80-b3b6-6a435e99c6e4</t>
  </si>
  <si>
    <t>DRM 암호 초기화 어떻게 하나요?</t>
  </si>
  <si>
    <t>5b902f5e80f04a04a146f9a61d3c8e15</t>
  </si>
  <si>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</si>
  <si>
    <t>보도자료 작성 기한은?</t>
  </si>
  <si>
    <t>1284_2512_부산시_업무관련_FAQ문서_20251209.pdf</t>
  </si>
  <si>
    <t>4</t>
  </si>
  <si>
    <t>522dccdb161f4b0ca2c74776501c93cc</t>
  </si>
  <si>
    <t>보도자료를 작성하는 기한은 다음과 같습니다:
- **배포 D-3**: 보도자료 초안을 작성하여 제출해야 합니다. 이는 보도지원팀 담당자에게 보도자료를 최종 확정하기 전에 검토할 수 있도록 하기 위함입니다.
즉, 보도자료를 배포하기 3일 전까지 초안을 완성하여 제출하면 됩니다. 이를 통해 충분한 시간을 가지고 보도자료를 검토하고 수정할 수 있습니다. 자세한 내용은 제공된 링크인 https://www.busan.go.kr/nbtnewsBU를 참고하시면 도움이 될 것입니다. 추가적인 질문이나 도움이 필요하시면 언제든지 말씀해 주세요!</t>
  </si>
  <si>
    <t>edb7a993-7b06-439b-b657-9429360f9144</t>
  </si>
  <si>
    <t>인사고충 신청을 하려고 하는데 방법은?</t>
  </si>
  <si>
    <t>2501_인사과_기본계획_인사과_2025년도 부산광역시 인사운영 기본계획
&gt;&gt; (외부자료 - 홈페이지) 동일 파일 존재(hash값 중복 및 내용 확인)
48418__2025년_인사운영_기본계획배포용.pdf</t>
  </si>
  <si>
    <t>11</t>
  </si>
  <si>
    <t>미포함</t>
  </si>
  <si>
    <t>미선택</t>
  </si>
  <si>
    <t>b7749a7d42544877ab00ba9be571461b</t>
  </si>
  <si>
    <t>질문하신 내용에 대해서는 참고할 만한 자료를 찾지 못했습니다. 관련 부서나 업무 담당자에게 문의해 주시기 바랍니다.</t>
  </si>
  <si>
    <t>인사랑이 열리지 않을때 조치방법은?</t>
  </si>
  <si>
    <t>1255_행정포털_오류조치_안내_정보화정책과_20251112.pdf</t>
  </si>
  <si>
    <t>1</t>
  </si>
  <si>
    <t>dba307b2874c4e5d9ef3b4e489c83707</t>
  </si>
  <si>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</si>
  <si>
    <t>44362772-0ca2-464e-98df-d9b4c549578f</t>
  </si>
  <si>
    <t>행정포털 접속 장애 시 조치 방법은?</t>
  </si>
  <si>
    <t>5b6efc9ef8de46d0a326607f549091f9</t>
  </si>
  <si>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</si>
  <si>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</si>
  <si>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</si>
  <si>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</si>
  <si>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615e6680-325a-4d88-9d18-fe35d6bb6979</t>
  </si>
  <si>
    <t>회의장 예약 방법은?</t>
  </si>
  <si>
    <t>667e74beb3dd468c9194b3b9f4c9684f</t>
  </si>
  <si>
    <t>회의장 예약 방법은 다음과 같습니다:
1. **행정포털 접속**: 먼저 부산시 행정포털 웹사이트에 로그인합니다.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**예약자 정보**를 정확히 입력합니다.
5. **예약 완료**: 모든 정보를 입력한 후 '예약 신청' 버튼을 눌러 예약을 완료합니다.
**참고 사항**:
- 일부 회의실은 특정 부서나 용도에 따라 사용이 제한될 수 있으므로, 사전에 해당 부서에 확인하거나 공지사항을 참고해야 합니다.
- 회의실 사용 후에는 시설물을 원상태로 정리하고, 필요하면 담당 부서에 보고해야 할 수도 있습니다.
이렇게 하면 회의실을 원활하게 예약하고 사용할 수 있습니다. 추가로 궁금한 점이 있으시면 언제든지 말씀해 주세요!</t>
  </si>
  <si>
    <t>74f655a6-6e3c-4203-af25-8d7c2aa656a3</t>
  </si>
  <si>
    <t>af6b89a2-5cae-416e-94fb-270a19595566</t>
  </si>
  <si>
    <t>1281_게시판_시청사_회의장회의실_현황-hwp.pdf</t>
  </si>
  <si>
    <t>9260cf29-213a-4b61-bb71-a8aae0674111</t>
  </si>
  <si>
    <t>f10e4076-05ec-4ab0-88fe-31f3c238cf88</t>
  </si>
  <si>
    <t>PC 개인정보 삭제 방법은?</t>
  </si>
  <si>
    <t>357_2412_정보화정책과_업무매뉴얼_정보화정책과_PC개인정보파일_정비방법간단매뉴얼_0310.pdf</t>
  </si>
  <si>
    <t>3b72d64fe1c54b36a94c5a1fe63325b4</t>
  </si>
  <si>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</si>
  <si>
    <t>2be574ee-d6d9-4b5a-ac6d-2bea79390ada</t>
  </si>
  <si>
    <t>70a9ba7cd0784c60a3c01bc7dff3564d</t>
  </si>
  <si>
    <t>시 공무원 장례비 지원 및 사망조위금 신청방법은?</t>
  </si>
  <si>
    <t>278_2501_인사과_기타_인사과_2025년_공무원_장례비_지원_추진계획.pdf</t>
  </si>
  <si>
    <t>2</t>
  </si>
  <si>
    <t>b32b6adb030446b5a86421219c3b65bb</t>
  </si>
  <si>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</si>
  <si>
    <t>5f9d33cc-8d3e-4cb9-8677-e2dd6c39ab35</t>
  </si>
  <si>
    <t>13ef0a81-dfe0-4704-b500-ad9c7999d087</t>
  </si>
  <si>
    <t>1219_2510_인사과_매뉴얼_인사과_자주찾는_질문인사과_전체.pdf</t>
  </si>
  <si>
    <t>회의실 예약은 어떻게 하나요?</t>
  </si>
  <si>
    <t>be97403011534d55918d1d72ff93afb2</t>
  </si>
  <si>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일정 중에서 원하는 날짜와 시간을 선택합니다.
   - 이때, 이미 예약되어 있는 시간은 선택할 수 없으므로 다른 시간을 고려해 주세요.
5. **예약 정보 입력**: 필요한 경우 회의 제목, 참석자 명단 등의 정보를 입력합니다.
6. **예약 완료**: 모든 정보를 정확히 입력한 후 '예약하기' 버튼을 눌러 예약을 완료합니다.
**참고 사항**:
- 회의실은 선착순으로 예약되므로 원하는 날짜와 시간이 있다면 미리 예약하시는 것이 좋습니다.
- 특정 회의실의 경우 부서별로 예약 권한이 제한될 수 있으니, 해당 회의실이 소속된 부서와 사전에 협의해야 할 수도 있습니다.
- 예약 후에는 변경이나 취소가 필요할 경우 동일한 경로로 수정하거나 취소하실 수 있습니다.
추가적인 도움이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</si>
  <si>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</si>
  <si>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</si>
  <si>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</si>
  <si>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</si>
  <si>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</si>
  <si>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f550bac5074b40e99502a136701a973a</t>
  </si>
  <si>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</si>
  <si>
    <t>bc7947e7-fa2a-4159-a212-fdc324fc9dbd</t>
  </si>
  <si>
    <t>a3b671a0-34a0-41d4-b7c2-01c8587682a1</t>
  </si>
  <si>
    <t>1226_2025_공무원보수_등의_업무지침인사혁신처_예규_제192호.pdf</t>
  </si>
  <si>
    <t>0ebc1dde-5108-49ef-bb92-df6baf12be3a</t>
  </si>
  <si>
    <t>264_2401_인사과_법령_행정안전부_지방공무원_인사관계_법령집.pdf</t>
  </si>
  <si>
    <t>6e7e6215-6435-4f2b-bc67-4333b774b312</t>
  </si>
  <si>
    <t>575cb8d2-8804-4ee5-a852-313d5ee89a54</t>
  </si>
  <si>
    <t>649_페이지65_문서9_163152_부산광역시의회_공무원_여비_조례.pdf</t>
  </si>
  <si>
    <t>데이터산업 혁신생태계 조성 전략의 내용은?</t>
  </si>
  <si>
    <t>170_2503_빅데이터과_업무매뉴얼_빅데이터과_빅데이터과바인더.pdf</t>
  </si>
  <si>
    <t>24</t>
  </si>
  <si>
    <t>98a5ec116d454213a57c95e3ced3abac</t>
  </si>
  <si>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</si>
  <si>
    <t>5400edd2-420d-42cd-8f5b-e4e340e57064</t>
  </si>
  <si>
    <t>0f31473d-2184-4efb-b47a-2804328ed9f1</t>
  </si>
  <si>
    <t>08dd0469-7355-4af4-82b1-7ef14be58263</t>
  </si>
  <si>
    <t>8b93c297-0ad6-47ef-946a-7eebb16788b5</t>
  </si>
  <si>
    <t>데이터 활용 지원센터(빅데이터혁신센터)의 혁신성장 데이터 챌린지 프로그램은 어떤 것들이 있나요?</t>
  </si>
  <si>
    <t>61, 62</t>
  </si>
  <si>
    <t>e20f59204e234b4f94c0b3b4594bd075</t>
  </si>
  <si>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</si>
  <si>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</si>
  <si>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</si>
  <si>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</si>
  <si>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</si>
  <si>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73034c159f494093bd638e319863aa43</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</si>
  <si>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</si>
  <si>
    <t>6cfbef53-4c24-46a7-96ec-0bdf9c77692a</t>
  </si>
  <si>
    <t>a06ad49e-6e9b-4cd5-bf7b-66a042873709</t>
  </si>
  <si>
    <t>223_페이지23_문서3_162439_부산광역시_정보화_기본_조례.pdf</t>
  </si>
  <si>
    <t>08ba49fa-2ac2-47a0-b331-9f012aefd244</t>
  </si>
  <si>
    <t>308_페이지31_문서8_162621_부산광역시_데이터_활용_및_데이터산업_육성에_관한_조례.pdf</t>
  </si>
  <si>
    <t>d3839f92-95c6-460f-a2c5-a4d61371d69a</t>
  </si>
  <si>
    <t>db61a3ea-924d-4ec7-868a-bb4f11dd6c01</t>
  </si>
  <si>
    <t>공공데이터 포털에 공공데이터를 등록하는 절차가 무엇인가요?</t>
  </si>
  <si>
    <t>141_2306_빅데이터과_업무매뉴얼_공공데이터_제공관리_실무매뉴얼.pdf</t>
  </si>
  <si>
    <t>30</t>
  </si>
  <si>
    <t>4d858207e1464ee584e2f21c79d68019</t>
  </si>
  <si>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</si>
  <si>
    <t>6d0649db-14bc-4ae2-bf11-4887574f8476</t>
  </si>
  <si>
    <t>dc242179-c4d6-465d-8180-28344250af8a</t>
  </si>
  <si>
    <t>7445c0b7-a52f-49df-b31c-82fa8e0d8c10</t>
  </si>
  <si>
    <t>0d54ef30-4ef7-4b40-b340-1ecb82c32e22</t>
  </si>
  <si>
    <t>9df3b333-6618-4d0d-9d4c-acbc98166cb4</t>
  </si>
  <si>
    <t>공공데이터 목록과 제공 대상 공공데이터의 차이는 무엇인가요?</t>
  </si>
  <si>
    <t>7, 18, 23, 30</t>
  </si>
  <si>
    <t>5c95cc6214184990bcb1d4c3fe8b4cfd</t>
  </si>
  <si>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</si>
  <si>
    <t>7fd6d2bf-1508-4621-bff9-0873dbe8adcc</t>
  </si>
  <si>
    <t>fd999e8c-dccc-4642-8f24-d500979940ba</t>
  </si>
  <si>
    <t>cd0279ec-9a36-4569-8666-143ff5496e84</t>
  </si>
  <si>
    <t>22883643-0480-474c-9e48-1f6368e4b6ec</t>
  </si>
  <si>
    <t>공공데이터 제공 표준이 무엇인가요?</t>
  </si>
  <si>
    <t>72</t>
  </si>
  <si>
    <t>0d7f0501d7b140c4a932e61aeb144351</t>
  </si>
  <si>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</si>
  <si>
    <t>380e0c3b-6ab6-4d7f-83c3-0cd7a9a423dc</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</si>
  <si>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</si>
  <si>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</si>
  <si>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</si>
  <si>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</si>
  <si>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</si>
  <si>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ba694f2bc16649c2b4600b761b69a4fa</t>
  </si>
  <si>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</si>
  <si>
    <t>ad91feba-47b3-481c-a0d7-1b5c166b2cbe</t>
  </si>
  <si>
    <t>3a7e9237-fff7-4b20-8ed3-6a2f7d1d0351</t>
  </si>
  <si>
    <t>547fa0de-464d-4930-9b23-89f74a49d844</t>
  </si>
  <si>
    <t>881ecd8b-87af-4901-a125-400a399cbc73</t>
  </si>
  <si>
    <t>7de567cd-19d7-4006-96d5-55928d7c793f</t>
  </si>
  <si>
    <t>가명정보 처리 시 개인정보 주체의 동의가 반드시 필요한가요?</t>
  </si>
  <si>
    <t>e453127d4fcb46789b855d308107590e</t>
  </si>
  <si>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</si>
  <si>
    <t>d39e9633-cb51-4859-bcce-6de4f49c5240</t>
  </si>
  <si>
    <t>d8c513eb-0e06-4267-bc85-6f6037752dbc</t>
  </si>
  <si>
    <t>346_2410_정보화정책과_업무매뉴얼_정보화정책과_부산광역시_개인정보_내부_관리계획.pdf</t>
  </si>
  <si>
    <t>2a702833-5f66-4b34-bbdc-4871a4a538e2</t>
  </si>
  <si>
    <t>7f286a54-1449-4a40-bb8e-c80e0b3cab8f</t>
  </si>
  <si>
    <t>8ef77b77-44b8-4b07-b271-9329e0d63175</t>
  </si>
  <si>
    <t>241_2025_인구정책담당관_업무매뉴얼_여성가족부_2025년_가족사업안내_1권.pdf</t>
  </si>
  <si>
    <t>가명정보를 제3자에게 제공할 때 특별한 조치가 필요한가요?</t>
  </si>
  <si>
    <t>35b3237f20c74e12be31f7dfd7781756</t>
  </si>
  <si>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</si>
  <si>
    <t>ec976140-672c-42a5-be99-6e8df4962544</t>
  </si>
  <si>
    <t>e5f389bd-605b-4626-8298-28d66e31894a</t>
  </si>
  <si>
    <t>4eabd14f-1567-4310-ba41-e76f8d7fc924</t>
  </si>
  <si>
    <t>c8a042b6-d9b1-4e3b-88e1-8d41cc155c47</t>
  </si>
  <si>
    <t>비정형 데이터의 가명처리 시 유의할 사항은 무엇인가요?</t>
  </si>
  <si>
    <t>42, 43</t>
  </si>
  <si>
    <t>742e39c282944855a78413ae46c77518</t>
  </si>
  <si>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</si>
  <si>
    <t>ea24a8ea-0f8f-4659-b79d-473286b84c4a</t>
  </si>
  <si>
    <t>3a95ba14-8795-4027-9a62-755e43434503</t>
  </si>
  <si>
    <t>c36db087-55bd-4958-959a-3393086f50b1</t>
  </si>
  <si>
    <t>2b4d25a3-92de-450b-b9cb-986421a8e911</t>
  </si>
  <si>
    <t>부산광역시에서 생산하는 통계는 어떤 것들이 있나요?</t>
  </si>
  <si>
    <t>164_2502_빅데이터과_기타_빅데이터과_2025년도_통계_주요업무_시행계획.pdf</t>
  </si>
  <si>
    <t>50, 51</t>
  </si>
  <si>
    <t>bfd53657999a4abc9fddb7447395f290</t>
  </si>
  <si>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</si>
  <si>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</si>
  <si>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</si>
  <si>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</si>
  <si>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bc8ca0e1-bfa0-487a-83d1-65bc9071ee70</t>
  </si>
  <si>
    <t>6d3f24bc-400f-469b-81d6-5c143d9ab319</t>
  </si>
  <si>
    <t>내부 지침 및 조례를 빠르게 찾고 싶은데 어떻게 하나요?</t>
  </si>
  <si>
    <t>7</t>
  </si>
  <si>
    <t>950cc994309f4f1d97f826b2f010ab7f</t>
  </si>
  <si>
    <t>내부 지침 및 조례를 빠르게 찾으려면 '자치법규정보시스템' 웹사이트를 이용하시면 됩니다. 이 시스템은 조례와 내부 지침을 검색할 수 있도록 도와주는 곳이에요.
**접속 방법:**
1. **네이버웍스를 통한 접속:**
   - 네이버웍스에서 화면 상단에 보이는 '담당자e음' 아이콘(전화번호부 모양)을 선택하세요.
   - 그러면 바로 '담당자e음' 시스템이 실행되어 접근하실 수 있어요.
2. **사이트 직접 접속:**
   - 브라우저 주소창에 다음 URL을 입력해 주세요:
     ```
     https://busanai.busan.go.kr/eum
     ```
   - 하지만 이 방법은 부산시 내부에서만 접근이 가능하니 참고해 주세요.
이렇게 접속하신 후, 원하는 조례나 내부 지침을 검색해서 필요한 정보를 얻으실 수 있어요. 더 궁금한 점이 있으시면 언제든지 물어보세요! 도움이 필요하면 언제든 말씀해 주세요.</t>
  </si>
  <si>
    <t>1e689a8a-6228-4a5b-a4ab-bf283125625a</t>
  </si>
  <si>
    <t>문서 보존기간은 얼마인가요?</t>
  </si>
  <si>
    <t>438_2502_통합민원과_업무메뉴얼_통합민원과_기록관리_업무편람기정너.pdf</t>
  </si>
  <si>
    <t>85, 86, 87</t>
  </si>
  <si>
    <t>d9ab17eded0a4d8eb33632b70407c061</t>
  </si>
  <si>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</si>
  <si>
    <t>5ee88857-2373-4f70-8403-60fd3129a04f</t>
  </si>
  <si>
    <t>33d94540-1a3c-41c0-8580-224793416203</t>
  </si>
  <si>
    <t>95_202203_빅데이터과_데이터분석_결과보고서수영구.pdf</t>
  </si>
  <si>
    <t>3f2b4dfb-3ac8-48ca-b89b-f0238fba3879</t>
  </si>
  <si>
    <t>61a061b8-e3db-4946-b9c2-57c830206fbb</t>
  </si>
  <si>
    <t>6ea3cef1-8bf6-4fc5-9409-0cd205884512</t>
  </si>
  <si>
    <t>직원대상 후생복지 내용을 보는 방법이 있나요?</t>
  </si>
  <si>
    <t>1283_2503_인사과_공문_인사과_2025년_공무원_후생복지_추진계획배포-hwp.pdf</t>
  </si>
  <si>
    <t>2a13f50bba5140c38de2e9d3a68b972a</t>
  </si>
  <si>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</si>
  <si>
    <t>86c057b0-8e66-45ec-b2ad-a5a4871978fc</t>
  </si>
  <si>
    <t>금액별 수의, 조달, 계약 절차 매뉴얼을 찾고 싶어요</t>
  </si>
  <si>
    <t>14</t>
  </si>
  <si>
    <t>ff09e2dc8fd04e16b6b3592a94ebcd63</t>
  </si>
  <si>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</si>
  <si>
    <t>0877c599-c861-45d5-b062-8e8e5deb7a61</t>
  </si>
  <si>
    <t>DRM, 네트워크접근제어 아이디, 패스워드 찾는 매뉴얼이 있나요?</t>
  </si>
  <si>
    <t>0888260ff1104289843234eb9fe4ec6c</t>
  </si>
  <si>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</si>
  <si>
    <t>온나라 2.0 이후 많이 발생하는 오류 사례집이 있나요?</t>
  </si>
  <si>
    <t>353_2412_정보화정책과_업무매뉴얼_KLID_온나라_20_달라지는_점PDF.pdf</t>
  </si>
  <si>
    <t>25, 26</t>
  </si>
  <si>
    <t>8f4fa8b8b7e748f7bdf14702f374b887</t>
  </si>
  <si>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</si>
  <si>
    <t>3bdd1910-e377-4a61-afed-15b6ea45329c</t>
  </si>
  <si>
    <t>348e87dd-8752-4a4e-bf5a-f4bb857d0648</t>
  </si>
  <si>
    <t>공용차량 신청방법</t>
  </si>
  <si>
    <t>4876fbb7d4dc40828f4ad4418c1b3bac</t>
  </si>
  <si>
    <t>공용차량 신청 방법에 대해 안내드리겠습니다.
**공용차량 신청 방법**
- **신청 대상**: 부산시 본청 직원 중 업무상 공용차량이 필요한 경우
- **신청 절차**
  1. **행정포털 접속**: 개인 컴퓨터에서 행정포털 시스템에 로그인합니다.
  2. **개인서비스 메뉴 선택**: 메인 화면에서 '개인서비스' 메뉴를 클릭합니다.
  3. **배차신청 메뉴 선택**: '개인서비스' 하위 메뉴 중에서 '배차신청'을 선택합니다.
  4. **배차신청서 작성**: 나타나는 양식에 따라 필요한 정보를 입력합니다.
     - **용도 선택**: 업무용, 버스, 의전 등 사용 목적을 정확히 선택해야 합니다.
     - **일정 및 장소 입력**: 차량 이용 일정과 장소를 상세히 기재합니다.
     - **추가 요청 사항**: 필요 시 핸드폰 거치대나 기타 장비 요청 사항을 적습니다.
  5. **신청 전 확인 사항**
     - **담당자와 사전 협의**: 이중 배차를 방지하기 위해 담당자에게 전화하여 배차 가능 여부를 반드시 확인합니다.
     - **주의사항 숙지**: 만 26세 미만은 배차가 불가능하며, 전기차 이용 시 운전자가 직접 충전해야 합니다. 또한, 공용차의 사적 사용을 금지하고 있으며, 차량 내에서의 음식 섭취 후에는 뒷정리를 철저히 해야 합니다.
  6. **신청 완료**: 모든 정보를 정확하게 입력한 후 '제출' 버튼을 눌러 신청을 완료합니다.
**참고 사항**
- **이용 제한 조건**
  - **나이 제한**: 만 26세 미만의 직원은 자동차 보험 적용 문제로 인해 공용차량 배차가 불가능합니다.
  - **전기차 관리**: 전기차를 이용하는 경우에는 운전자가 직접 충전을 책임져야 합니다.
  - **사적 사용 금지**: 공용차는 업무 목적 외의 개인적인 용도로 사용할 수 없습니다.
  - **위생 관리**: 차량 내부에서는 커피나 음식물을 섭취하지 않는 것이 원칙이며, 부득이한 경우 섭취 후에는 깨끗하게 정리해야 합니다.
  - **안전 운전**: 교통 법규를 준수하고 안전 운전에 유의해야 하며, 사고 발생 시에는 즉시 관련 부서에 통보해야 합니다.
위의 절차를 따르면 공용차량을 원활하게 신청하고 이용할 수 있습니다. 추가적으로 궁금한 사항이나 도움이 필요하시면 언제든지 문의해 주세요. 감사합니다.</t>
  </si>
  <si>
    <t>e1736a78-bbdc-41d2-a0ca-81a0a5768baa</t>
  </si>
  <si>
    <t>공무원증 재발급 방법</t>
  </si>
  <si>
    <t>a248b03ba05b4872a35b4dc568d4710e</t>
  </si>
  <si>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</si>
  <si>
    <t>c850e08a-7707-4cb6-90c1-1a948f53b256</t>
  </si>
  <si>
    <t>1156_페이지116_문서6_164218_부산광역시_공무원증_규정.pdf</t>
  </si>
  <si>
    <t>b4ddba10-984b-4e92-b9ed-578681685020</t>
  </si>
  <si>
    <t>db139756-2513-4560-b9da-fdcb0531057a</t>
  </si>
  <si>
    <t>네트워크 차단 시 조치방법</t>
  </si>
  <si>
    <t>8b4d38f3c6b7416ca7e5e3d932bee4e4</t>
  </si>
  <si>
    <t>네트워크가 차단되었을 때는 다음과 같이 조치를 취할 수 있습니다:
1. **행정전화(5999)로 연락하기**: 네트워크 문제로 인해 업무에 지장이 있을 경우, 우선적으로 행정전화(5999)로 연락하여 상황을 알리고 도움을 요청하세요.
2. **IT 지원 부서 문의**: 만약 내부 IT 지원 부서가 있다면 해당 부서에 직접 연락하여 문제를 보고하고 해결 방안을 논의할 수 있습니다.
3. **개인 기기 확인**:
   - **네트워크 연결 상태 점검**: Wi-Fi 신호 강도나 이더넷 케이블 연결 상태를 확인해 보세요.
   - **라우터 및 모뎀 재시작**: 가정이나 사무실의 라우터나 모뎀을 재시작해 볼 수 있습니다.
   - **장치 재부팅**: 컴퓨터나 스마트폰 등의 장치를 재부팅하여 일시적인 오류를 해결할 수 있습니다.
4. **비밀번호 재설정 필요 시**: 네트워크 인증 시스템의 비밀번호를 분실한 경우에는 행정전화(5999)로 연락하여 새로운 비밀번호 발급 절차를 진행해야 합니다.
이러한 단계를 통해 네트워크 차단에 대한 문제를 신속하게 해결할 수 있습니다. 추가적인 도움이 필요하면 언제든지 다시 문의해 주세요.</t>
  </si>
  <si>
    <t>a0c52628-acb2-4461-a656-275b2962d28c</t>
  </si>
  <si>
    <t>도모헌공간 신청방법</t>
  </si>
  <si>
    <t>f5aec62a1ca44dfe8b702b88f64b8931</t>
  </si>
  <si>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</si>
  <si>
    <t>51f0194e-213f-4084-9c58-e1f3289d3963</t>
  </si>
  <si>
    <t>부산시 공무원 복지지원 프로그램 총괄</t>
  </si>
  <si>
    <t>eaf56451b2334eb999b95a484e85e84f</t>
  </si>
  <si>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</si>
  <si>
    <t>보안 USB 반출 및 반입 절차는?</t>
  </si>
  <si>
    <t>369_2412_정보화정책과_업무매뉴얼_채울_휴대용저장매체관리시스템_사용자_매뉴얼.pdf</t>
  </si>
  <si>
    <t>23, 24, 26</t>
  </si>
  <si>
    <t>78dff37a8bed40239a9f11c73da28619</t>
  </si>
  <si>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</si>
  <si>
    <t>7e946ced-4a30-4ae7-ba9e-8fd0ede24f24</t>
  </si>
  <si>
    <t>5a05ada1-0cb4-432e-8a45-8b2f49aa7e4d</t>
  </si>
  <si>
    <t>99e1ebc3-4545-4162-9cfd-56de25533e97</t>
  </si>
  <si>
    <t>구청에서 근무 중인 시직원도 장기재직 휴가 쓸 수 있나요?</t>
  </si>
  <si>
    <t>1227_2407_부산광역시_인사과_업무매뉴얼_인사과_장기재직휴가_시행지침_개정전문.pdf</t>
  </si>
  <si>
    <t>575a260159434041bca1e7c9d1b45d4a</t>
  </si>
  <si>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</si>
  <si>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</si>
  <si>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</si>
  <si>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</si>
  <si>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</si>
  <si>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ff3e3d64381b407ea6443bfef90d1d87</t>
  </si>
  <si>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</si>
  <si>
    <t>556b0b5e-ec60-445d-a22a-072a9bb87f25</t>
  </si>
  <si>
    <t>4da58730-d12a-462b-8167-4c6d28303551</t>
  </si>
  <si>
    <t>1229_공무원_여비_규정대통령령제35811호20251001.pdf</t>
  </si>
  <si>
    <t>caf2a80e-37c0-40d6-84a0-72ccc34fa96b</t>
  </si>
  <si>
    <t>7f133768-768a-48d5-b1bb-038e476430d2</t>
  </si>
  <si>
    <t>d4a95713-7ffe-49e2-9e2f-73b84f8d5c7c</t>
  </si>
  <si>
    <t>출장 시간 계산 시 18시 근무시간 이후 시간도 포함해야 하는지?</t>
  </si>
  <si>
    <t>1249_지방공무원_복무규정대통령령제35666호20250722.pdf</t>
  </si>
  <si>
    <t>3, 4</t>
  </si>
  <si>
    <t>b7b7e30189414d19a84bb3068828f1c6</t>
  </si>
  <si>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</si>
  <si>
    <t>f56fce79-d7c9-41b1-9cdb-f86af39a87cd</t>
  </si>
  <si>
    <t>8db6e73a-2943-4fd8-86e2-d119bba41fc5</t>
  </si>
  <si>
    <t>조례 제정 및 개정 절차는?</t>
  </si>
  <si>
    <t>92_2501_법무담당관_업무매뉴얼_법무담당관_자치법규_입법절차_등.pdf</t>
  </si>
  <si>
    <t>9f407dfbc25d448d96801ab17ccc1088</t>
  </si>
  <si>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</si>
  <si>
    <t>752a8d18-7343-49c5-a458-216bf7bd3e4f</t>
  </si>
  <si>
    <t>382_2412_조직담당관_업무매뉴얼_행정안전부_자치단체_규제업무_매뉴얼.pdf</t>
  </si>
  <si>
    <t>36cac9da-d205-4196-b80c-c5d7e9f7eefc</t>
  </si>
  <si>
    <t>004cf05f-0cb0-4dad-b44f-ea4d4fffae06</t>
  </si>
  <si>
    <t>91_2208_법무담당관_업무매뉴얼_법제처_자치법규_입안_길라잡이.pdf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</si>
  <si>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</si>
  <si>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</si>
  <si>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</si>
  <si>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</si>
  <si>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8ce989e7bc26429eaa4a3b9bfd2fd38d</t>
  </si>
  <si>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</si>
  <si>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</si>
  <si>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</si>
  <si>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</si>
  <si>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</si>
  <si>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</si>
  <si>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5cfd32f1535443a49caf300d5e6a8029</t>
  </si>
  <si>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</si>
  <si>
    <t>0cd6fdc8-31c7-474f-9c3d-b5450dd687b0</t>
  </si>
  <si>
    <t>544104eb-8d2d-4b63-9894-6c4f2c465894</t>
  </si>
  <si>
    <t>41_2306_공공하수인프라과_업무매뉴얼_행정안전부_2024년도_지방공기업_예산편성기준.pdf</t>
  </si>
  <si>
    <t>03cd710d-cbc9-4d6d-a06c-3d489b1d21fe</t>
  </si>
  <si>
    <t>23_2501_공공기관담당관_업무매뉴얼_공공기관담당관_2025년도_부산광역시_지방출자출연기관_예산편성보완지침.pdf</t>
  </si>
  <si>
    <t>9800a0f7-96df-44b1-bd0d-8514b9e930fa</t>
  </si>
  <si>
    <t>51_2406_공공하수인프라과_업무매뉴얼_행정안전부_2025년도_지방공기업_예산편성기준.pdf</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</si>
  <si>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</si>
  <si>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</si>
  <si>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</si>
  <si>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</si>
  <si>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9a6a4b3f8b7a488b808013ffed0d6478</t>
  </si>
  <si>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</si>
  <si>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</si>
  <si>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</si>
  <si>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</si>
  <si>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</si>
  <si>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</si>
  <si>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43945003-3348-4234-9ba9-1c465c8dac4b</t>
  </si>
  <si>
    <t>473_2411_회계재산담당관_업무매뉴얼_한국지방재정공제회_2024년_개정판_용역계약_길라잡이한국지방재정공제회.pdf</t>
  </si>
  <si>
    <t>4dc1bfc1-2269-495f-9e00-37dddecf1ca8</t>
  </si>
  <si>
    <t>468_2404_회계재산담당관_법령_행정안전부_지방자치단체_입찰_및_계약집행기준_00.pdf</t>
  </si>
  <si>
    <t>온나라 접수 문서를 부서원들도 열람할 수 없도록 하는 방법을 알려주세요</t>
  </si>
  <si>
    <t>343_2405_정보화정책과_업무매뉴얼_행정안전부_온나라20_사용자교육자료배포용.pdf</t>
  </si>
  <si>
    <t>33</t>
  </si>
  <si>
    <t>15bdb3310a524d0283f6b3824bfbfd88</t>
  </si>
  <si>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</si>
  <si>
    <t>db04b049-f367-4bb2-b8c6-407699ed1861</t>
  </si>
  <si>
    <t>(공사,용역,물품) 계약 선금 신청 및 지급 절차를 알려주세요</t>
  </si>
  <si>
    <t>472_2411_회계재산담당관_업무매뉴얼_한국지방재정공제회_2024년_개정판_물품계약_길라잡이한국지방재정공제회.pdf</t>
  </si>
  <si>
    <t>268, 269</t>
  </si>
  <si>
    <t>ff09085c31bb4718b11a085a05d89aff</t>
  </si>
  <si>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</si>
  <si>
    <t>6619e28c-1ab0-4854-b91f-7c0bc405aa70</t>
  </si>
  <si>
    <t>58ac608c-0bd8-44f0-bf56-fc92e162e88b</t>
  </si>
  <si>
    <t>634adbbc-da76-4ea3-b244-24c7a4866e8a</t>
  </si>
  <si>
    <t>24_2501_공공기관담당관_업무매뉴얼_행정안전부_2025년_지방재정_상반기_신속집행_지침.pdf</t>
  </si>
  <si>
    <t>60b4851d-59b4-4f75-849e-3de75b2b03c8</t>
  </si>
  <si>
    <t>79993c46-eb0c-4e57-b871-7cbc70679126</t>
  </si>
  <si>
    <t>(공사,용역,물품) 계약 시 지역제한임찰 대상 금액을 알려주세요</t>
  </si>
  <si>
    <t>10, 14</t>
  </si>
  <si>
    <t>9fb5d3401a5c4167b007a9fc1fe8f78b</t>
  </si>
  <si>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</si>
  <si>
    <t>76d70972-0572-49d7-acbc-9ec334a069a2</t>
  </si>
  <si>
    <t>4dc65730-756f-4992-b0c6-6e858b948fed</t>
  </si>
  <si>
    <t>38e7414d-0df6-44fe-bfab-490827f4fa57</t>
  </si>
  <si>
    <t>f7a7db70-43bf-47f0-8c8f-ddc605e1ab60</t>
  </si>
  <si>
    <t>735f7abc-81da-455b-8c73-b2d106b9af73</t>
  </si>
  <si>
    <t>온나라 지식행정에 접속하면 흰창만 나오는데, 어떻게 해결해야하나요?</t>
  </si>
  <si>
    <t>735aafd19e9f4ff89cd9530ea556b309</t>
  </si>
  <si>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</si>
  <si>
    <t>장기재직휴가 신청 절차는?</t>
  </si>
  <si>
    <t>22a4427afb8c4457b5ad5c65fc6835b1</t>
  </si>
  <si>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</si>
  <si>
    <t>867fdd11-cbf6-45dd-83f0-f2ea74e1f6c3</t>
  </si>
  <si>
    <t>d90900dd-41af-4d32-8b63-ccfd787f88b8</t>
  </si>
  <si>
    <t>c0635dda-3441-4063-8c58-d6f398790375</t>
  </si>
  <si>
    <t>284_2501_인사과_기타_인사과_2025년_직원_장기재직휴가_지원_계획.pdf</t>
  </si>
  <si>
    <t>1dce0950-5f37-4ae0-b99a-836dc5bba238</t>
  </si>
  <si>
    <t>직원 단체보장보험 보장내용 및 실비 등 청구 방법은?</t>
  </si>
  <si>
    <t>279_2501_인사과_기타_인사과_2025년_맞춤형복지_단체보장보험_가입내용_및_청구방법_안내.pdf
283_2501_인사과_기타_인사과_2025년_부산광역시_청구안내문단체보장보험.pdf</t>
  </si>
  <si>
    <t>1
 7</t>
  </si>
  <si>
    <t>5558229ab7634834af5b1155ab4cdb9c</t>
  </si>
  <si>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</si>
  <si>
    <t>b378e597-6a24-446b-b692-da357057ca7d</t>
  </si>
  <si>
    <t>283_2501_인사과_기타_인사과_2025년_부산광역시_청구안내문단체보장보험.pdf</t>
  </si>
  <si>
    <t>351c164b-0cee-4b6f-ba68-bbaa8affc02b</t>
  </si>
  <si>
    <t>279_2501_인사과_기타_인사과_2025년_맞춤형복지_단체보장보험_가입내용_및_청구방법_안내.pdf</t>
  </si>
  <si>
    <t>PC 네트워크 비밀번호 분실 시 해결방법은?</t>
  </si>
  <si>
    <t>6eb9af5293dd42bda82d268a848abc1c</t>
  </si>
  <si>
    <t>네트워크 인증 시스템(NAC, PClient)의 비밀번호를 분실한 경우, 다음과 같이 해결할 수 있습니다:
1. **행정전화(5999)로 연락하기**: 네트워크에 접속할 수 없거나 비밀번호를 잊어버린 경우에는 행정전화인 5999번으로 연락하여 도움을 요청하세요. 담당 부서는 비밀번호 초기화나 재설정을 도와줄 것입니다.
2. **IT 지원 부서 문의**: 만약 내부적으로 IT 지원 부서가 있다면 해당 부서에 직접 문의하여 비밀번호 관련 지원을 받을 수 있습니다.
3. **안전한 접근 권한 확인**: 비밀번호를 재설정하거나 초기화하는 과정에서는 사용자의 신원 확인이 필요할 수 있으므로, 신분증이나 기타 본인 확인 자료를 준비해 두세요.
위의 방법을 통해 네트워크 인증 시스템의 비밀번호 문제를 해결할 수 있으며, 업무에 지장이 없도록 신속하게 조치하는 것이 중요합니다. 추가적인 도움이 필요하면 언제든지 다시 문의해 주세요.</t>
  </si>
  <si>
    <t>예산편성 관련 사전절차는 어떤게 있으며 이행여부 조회할 수 있는 방법은?</t>
  </si>
  <si>
    <t>213_2408_예산담당관_예산편성계획_예산담당관_2025년_예산편성계획.pdf</t>
  </si>
  <si>
    <t>23</t>
  </si>
  <si>
    <t>01d47c5df5084b0c8e7d37af3f66d636</t>
  </si>
  <si>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</si>
  <si>
    <t>faf152d4-dc92-48a2-b01b-5b03cbed4daf</t>
  </si>
  <si>
    <t>7c53d3cd-686a-4ae5-bb7f-f28f05c191ad</t>
  </si>
  <si>
    <t>사업예산 편성 시 총사업비와 국비사업비의 금액에 따라 거쳐야 될 사전절차에는 어떤 것이 있나요?</t>
  </si>
  <si>
    <t>36</t>
  </si>
  <si>
    <t>3148ad35645946af84f5b9fc7c4a9a46</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</si>
  <si>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</si>
  <si>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</si>
  <si>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</si>
  <si>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</si>
  <si>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</si>
  <si>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911e23a45ad04335bec61d9f107da938</t>
  </si>
  <si>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</si>
  <si>
    <t>27ee1cfd-7f8a-47aa-96a8-055af6e974fb</t>
  </si>
  <si>
    <t>739_페이지74_문서9_163339_부산광역시_업무협약_관리에_관한_조례.pdf</t>
  </si>
  <si>
    <t>64ddd62d-14b3-4996-b8ea-53f8181c3d05</t>
  </si>
  <si>
    <t>02ebf214-87cd-4dfd-8ce3-524d13e36e05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</si>
  <si>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</si>
  <si>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</si>
  <si>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</si>
  <si>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78d50686381b4784b3c306c7f21711ce</t>
  </si>
  <si>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</si>
  <si>
    <t>14657837-b1cf-4247-8740-e0002b0029a0</t>
  </si>
  <si>
    <t>탄력근무제 관련해서 자세한 매뉴얼이 있나요</t>
  </si>
  <si>
    <t>12</t>
  </si>
  <si>
    <t>de95e27ae9994e02b61cecade2b0f598</t>
  </si>
  <si>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</si>
  <si>
    <t>9a430cbb-fd1c-4e73-be3b-9a16d3ddcb73</t>
  </si>
  <si>
    <t>DRM, 네트워크 인증 등 신규직원이 컴퓨터 사용에 알아야할 것들에 대해 정리해주세요.</t>
  </si>
  <si>
    <t>6c0ddb25751f41cb9fbc300ae5d00097</t>
  </si>
  <si>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</si>
  <si>
    <t>부서에서 회계과로 계약요청을 하기 위한 절차는 어떻게 되나요</t>
  </si>
  <si>
    <t>9, 10</t>
  </si>
  <si>
    <t>7b5809e8942b4f9db83e596e8d6a1708</t>
  </si>
  <si>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</si>
  <si>
    <t>829f6a4f-671c-4d8f-b46a-8d89fdd5aef1</t>
  </si>
  <si>
    <t>인사상담은 쪽지로 담당자한테 연락하는 방법 외에는 없나요</t>
  </si>
  <si>
    <t>28ba007c47774873b96c6abccc920006</t>
  </si>
  <si>
    <t>전화기 통화 녹음 하는 방법 및 매뉴얼 알려주세요</t>
  </si>
  <si>
    <t>410_2505_총무과_주요질문사항_행정전화_녹취방법.pdf</t>
  </si>
  <si>
    <t>34724bc5c7c94a3da530f5d455932c86</t>
  </si>
  <si>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</si>
  <si>
    <t>cb14a1e0-9ead-44ea-80fd-80ce3e763244</t>
  </si>
  <si>
    <t>fe7a71d6-d95f-4321-8ca5-32f4e7cc306f</t>
  </si>
  <si>
    <t>406_2505_총무과_매뉴얼_IP전화기_사용방법알카텔_전화기_사용기관.pdf</t>
  </si>
  <si>
    <t>악성민원 응대 및 대응관련 매뉴얼 알려주세요.</t>
  </si>
  <si>
    <t>431_2410_통합민원과_업무매뉴얼_행정안전부_민원인의_위법행위_및_반복민원_대응방안지침.pdf</t>
  </si>
  <si>
    <t>5ee5a4e581884860ac7e0a279bc46670</t>
  </si>
  <si>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</si>
  <si>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</si>
  <si>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</si>
  <si>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</si>
  <si>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</si>
  <si>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</si>
  <si>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</si>
  <si>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5a14306aae4c40589ded1e0cad73b19a</t>
  </si>
  <si>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</si>
  <si>
    <t>716bd629-5cc2-486f-9b06-eb2285c40f9c</t>
  </si>
  <si>
    <t>인사랑 접속이 안될 때 해결방안은?</t>
  </si>
  <si>
    <t>34781399e7ba48b99a5fa4a6efc8882b</t>
  </si>
  <si>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</si>
  <si>
    <t>긴급출퇴근 링크는?</t>
  </si>
  <si>
    <t>1286_부산시_긴급_출퇴근_서비스_접속_매뉴얼_20251204.pdf</t>
  </si>
  <si>
    <t>041c4e4c73594511b841eced1c590d7f</t>
  </si>
  <si>
    <t>부산시청 직원분들의 출퇴근 관리를 위한 긴급출퇴근 링크에 대한 정보를 안내해 드리겠습니다. 현재 코로나19 상황으로 인해 재택근무나 유연근무제가 시행되고 있으며, 이에 따라 출퇴근 관리 시스템에도 변화가 있을 수 있습니다. 정확한 최신 정보는 부산시청의 인사복지팀이나 전산정보담당 부서에서 확인하실 수 있습니다. 해당 부서로 문의하시면 필요한 링크와 절차를 상세히 안내받으실 수 있으니 참고하시기 바랍니다. 추가적으로 도움이 필요하신 사항이 있으시면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</si>
  <si>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</si>
  <si>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</si>
  <si>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</si>
  <si>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9f1d2cc8d95a431a9916fa9c1a2517ea</t>
  </si>
  <si>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</si>
  <si>
    <t>시 청사 내 편의시설 정보 상세히 안내해주세요</t>
  </si>
  <si>
    <t>408_2505_총무과_주요질문사항_시청사_층별_안내.pdf</t>
  </si>
  <si>
    <t>1, 2</t>
  </si>
  <si>
    <t>f31ff5f00f964065914699dac60021d2</t>
  </si>
  <si>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</si>
  <si>
    <t>19edb76f-cf52-4db4-8561-dcc9f72c43d7</t>
  </si>
  <si>
    <t>fc70c621-cb5c-4475-a402-5e8d63e3aae2</t>
  </si>
  <si>
    <t>근무성적평정의 평정 순서는 어떻게 되나요?</t>
  </si>
  <si>
    <t>None</t>
  </si>
  <si>
    <t>2a3f29dc50c04d8ca4b79c56451feb44</t>
  </si>
  <si>
    <t>근무성적평정은 일반적으로 다음과 같은 절차로 이루어집니다:
1. **평가 요소 설정**: 먼저 평가를 위한 구체적인 요소를 정의합니다. 이는 업무 난이도, 업무 완성도, 적시성 등이 될 수 있습니다.
2. **각 요소별 평가**: 각 평가 요소에 대해 직원들의 성과를 평가합니다. 이때, 평가 척도는 보통 1점에서 5점 사이의 숫자나 등급으로 나타냅니다.
3. **점수의 합산**: 개별 요소별 점수를 모두 합산하여 총점을 산출합니다.
4. **등급 분류**: 합산된 총점에 따라 미리 정해진 등급 기준에 맞춰 등급을 부여합니다. 예를 들어:
   - 탁월: 91~100점
   - 우수: 81~90점
   - 보통: 71~80점
   - 미흡: 61~70점
   - 불량: 60점 이하
5. **분포 비율 적용**: 등급별 인원은 사전에 정한 분포 비율에 맞추어 조정됩니다. 예를 들어, 탁월 20%, 우수 40% 등으로 구성됩니다.
6. **순위 결정**: 모든 직원들에 대한 등급 부여가 완료되면, 이를 기반으로 전체 순위를 결정합니다.
따라서, 근무성적평정의 평정 순서는 **평가 요소별 평가 → 점수 합산 → 등급 부여 → 분포 비율 적용 → 순위 결정**의 과정을 거칩니다. 이러한 절차를 통해 공정하고 체계적인 평가가 이루어집니다. 추가로 궁금한 점이 있으시면 언제든지 말씀해 주세요!</t>
  </si>
  <si>
    <t>3fe57aa8-ad73-4b3c-bf0e-eab9de2e2bb7</t>
  </si>
  <si>
    <t>747_페이지75_문서7_163334_부산광역시_공무직_및_기간제노동자_인사관리_규정.pdf</t>
  </si>
  <si>
    <t>520e67ef-e2e2-4af3-a3ec-30389f630df7</t>
  </si>
  <si>
    <t>9a7aa8e5-1ce2-4b12-8e93-05b1903e98ad</t>
  </si>
  <si>
    <t>533_페이지54_문서3_162936_부산광역시_청원경찰_인사관리_규정.pdf</t>
  </si>
  <si>
    <t>0698d26b-47b7-4978-95cb-1df52608188b</t>
  </si>
  <si>
    <t>0c6a2ca7-5af3-41d9-aeb5-632a7349fd06</t>
  </si>
  <si>
    <t>243_2001_인사과_기본계획_인사과_2020년도_부산광역시_인사운영_기본계획.pdf</t>
  </si>
  <si>
    <t>시 본청 당직시 주의사항에 대해서 알려줘</t>
  </si>
  <si>
    <t>306_2504_인사과_업무매뉴얼_인사과_당직원근무자료.pdf</t>
  </si>
  <si>
    <t>2491c8a0f92a45bcb064a5747e90c518</t>
  </si>
  <si>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</si>
  <si>
    <t>4e0e7987-21d5-4a0e-b4c0-416d3ff5e1fb</t>
  </si>
  <si>
    <t>시 본청 주차장 승용차 요일제에 대해서 알려줘</t>
  </si>
  <si>
    <t>409_2505_총무과_주요질문사항_직원주차장_이용_안내.pdf</t>
  </si>
  <si>
    <t>f6bf23e943144b738e56fd5128fc4544</t>
  </si>
  <si>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</si>
  <si>
    <t>589bb7c6-2204-440a-bfdc-10544ac70a4b</t>
  </si>
  <si>
    <t>사무관리비로 선풍기를 구입할 수 있나요?</t>
  </si>
  <si>
    <t>101, 102</t>
  </si>
  <si>
    <t>d76e85ebdd364c14936f8b063f05da46</t>
  </si>
  <si>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</si>
  <si>
    <t>490f7c93-6b04-4f46-aa86-63b1245ce387</t>
  </si>
  <si>
    <t>104095f2-c245-46dd-81c5-94df703f7c01</t>
  </si>
  <si>
    <t>보도자료가 배포되는 과정에 대해서 알고싶어요</t>
  </si>
  <si>
    <t>d5b31962ac924d128fdeaa632d51aec5</t>
  </si>
  <si>
    <t>네, 보도자료의 배포 과정은 다음과 같습니다:
1. **배포 D-7~10**: 보도지원팀은 각 부서로부터 배포 예정 보도자료 목록을 취합합니다.
2. **배포 D-3**: 담당 부서는 보도자료 초안을 작성하여 보도지원팀 담당자에게 제출합니다. 이때 참고할 수 있는 자료는 공식 홈페이지에서 확인할 수 있습니다.
3. **배포 D-2~1**: 보도지원팀은 보도자료를 최종 확정하기 위해 검토본을 작성하고 회신을 받아 부서별로 확인합니다.
4. **배포 D-Day**:
   - **배포 시간**: 월요일부터 금요일 사이의 오전 7시에 시 보도자료를 언론사에 일괄 배포합니다. 이메일이나 홈페이지 게시 등을 통해 이루어집니다.
   - **비정기 배포**: 만약 정기 배포 시간이 아닌 경우, 사전에 보도지원팀 담당자와 협의해야 합니다.
   - **보도 진행**:
     - 인터넷 언론: 배포 주간 내에 보도됩니다.
     - 방송사: 배포일의 저녁 또는 다음 날 아침에 보도됩니다.
     - 신문 지면: 배포일 익일 조간에 보도됩니다.
이러한 과정을 통해 보도자료가 체계적으로 준비되고 배포되어 시민들에게 정확하고 신속한 정보를 전달하게 됩니다. 추가적인 질문이나 궁금한 점이 있으시면 언제든지 말씀해 주세요!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</si>
  <si>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</si>
  <si>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</si>
  <si>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</si>
  <si>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</si>
  <si>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</si>
  <si>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f6dddf0ed0274c0aad15fc1eb20169f0</t>
  </si>
  <si>
    <t>시청 내 현재 사용 가능한 회의실을 확인하려면 다음 절차를 따라야 합니다:
1. **행정포털 접속**: 먼저, 부산시 내부망인 행정포털에 로그인합니다.
2. **개인서비스 메뉴 선택**: 메인 화면에서 '개인서비스' 메뉴를 클릭합니다.
3. **회의실 예약 시스템 접근**: '개인서비스' 메뉴 내에서 '회의실' 또는 '회의장 예약' 옵션을 찾아 클릭합니다.
4. **검색 조건 설정**:
   - **날짜 및 시간 입력**: 원하는 날짜와 시간을 선택합니다.
   - **회의실 종류 선택**: 필요에 따라 특정 용도의 회의실을 선택할 수 있습니다.
   - **인원 수 지정**: 참석 인원에 맞는 적절한 크기의 회의실을 검색할 수 있도록 인원을 입력합니다.
5. **검색 실행**: 위의 조건을 모두 입력한 후 '검색' 버튼을 눌러 가용한 회의실을 조회합니다.
6. **결과 확인**: 검색 결과에서 현재 비어 있고 예약 가능한 회의실의 목록이 표시됩니다. 각 회의실의 위치, 수용 인원 등의 상세 정보를 확인할 수 있습니다.
7. **예약 진행**: 원하는 회의실을 선택하여 예약을 완료합니다. 이 때 필요한 추가 정보나 첨부 파일이 있을 경우 요구 사항에 맞게 제출해야 합니다.
**참고 사항**:
- 회의실 예약은 선착순이며, 이미 다른 부서나 개인이 예약한 경우에는 이용이 불가능하므로 미리 확인하는 것이 좋습니다.
- 긴급하게 회의실이 필요할 경우, 시설관리 담당 부서에 직접 문의하여 임시로 사용할 수 있는 공간을 요청할 수도 있습니다.
- 회의실 사용 후에는 반드시 정리 정돈을 하고, 장비나 시설을 원상태로 복구하여야 합니다.
위의 절차를 통해 현재 비어있는 시청 내 회의실을 확인하고 예약하실 수 있습니다. 추가로 도움이 필요하시면 언제든지 말씀해 주세요.</t>
  </si>
  <si>
    <t>2024년과 2025년에 변경되는 주요 복지정책은 무엇이 있나요</t>
  </si>
  <si>
    <t>290_2501_인사과_기타_인사과_2025년도_부산광역시_맞춤형복지제도_운영계획.pdf</t>
  </si>
  <si>
    <t>af04fdd54f4e4d02990b3a1f67f96be0</t>
  </si>
  <si>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</si>
  <si>
    <t>190ac134-9d73-4da2-86b8-0e4e1052c236</t>
  </si>
  <si>
    <t>장기재직휴가 기준 및 사용방법</t>
  </si>
  <si>
    <t>2, 3, 4</t>
  </si>
  <si>
    <t>46eb81895b0b4cada8f3fe6c1d668633</t>
  </si>
  <si>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</si>
  <si>
    <t>DRM 암호 초기화 방법</t>
  </si>
  <si>
    <t>b4f5aa95357e4bbeb9ac9974c307e177</t>
  </si>
  <si>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</si>
  <si>
    <t>인사고충 신청 방법</t>
  </si>
  <si>
    <t>605578bd03c143f49d68c41a96da8c5a</t>
  </si>
  <si>
    <t>전자서명신청 방법</t>
  </si>
  <si>
    <t>1228_2511_부산광역시_업무매뉴얼_부산광역시_행정전자서명GPKI_발급_갱신_이동_안내.pdf</t>
  </si>
  <si>
    <t>218cefc85c884efbb506531f5e709056</t>
  </si>
  <si>
    <t>관내,외 출장 여비 정산 방법</t>
  </si>
  <si>
    <t>268_2405_인사과_업무매뉴얼_행정안전부_출장관리_매뉴얼.pdf</t>
  </si>
  <si>
    <t>12, 13, 14, 15, 16</t>
  </si>
  <si>
    <t>87fea619762d4eae91dd3d42d6baa457</t>
  </si>
  <si>
    <t>행정정보공동이용 권한 신청 방법</t>
  </si>
  <si>
    <t>1261_행정정보공동이용_권한관리_매뉴얼_250101.pdf</t>
  </si>
  <si>
    <t>c4280ff141e641dfa9b909711eed7cd3</t>
  </si>
  <si>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</si>
  <si>
    <t>7e4c6a78-f8cf-4213-9f60-e99fdf26a3d1</t>
  </si>
  <si>
    <t>f3376294-2e31-4820-a508-3652f123e838</t>
  </si>
  <si>
    <t>b1858ac3-0ec8-4c53-a8fd-e42ecf6b8d20</t>
  </si>
  <si>
    <t>d21496b6-f45f-40da-a740-5c27140e479c</t>
  </si>
  <si>
    <t>656593da-d9ae-45f1-aab7-f4a42015a862</t>
  </si>
  <si>
    <t>급여 작업시 장기교육자 등에 대한 복리후생비, 수당 등 지급 계산식이 어떻게 되나요?</t>
  </si>
  <si>
    <t>215_2501_예산담당관_업무매뉴얼_예산담당관_2025급여_및_수당_관련_FAQ.pdf</t>
  </si>
  <si>
    <t>1d11ac6c1105410bbc611321e8d25e9f</t>
  </si>
  <si>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</si>
  <si>
    <t>1d48191a-6d15-4ce8-beac-b1620e497ccc</t>
  </si>
  <si>
    <t>온톡 메신저에 부서원 순서를 바꾸고 싶어요</t>
  </si>
  <si>
    <t>2, 3</t>
  </si>
  <si>
    <t>7412fc3f5d0b4d9b96243235d3324418</t>
  </si>
  <si>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</si>
  <si>
    <t>1인당 1년치 급식비(매식비) 계산은 어떻게 하나요</t>
  </si>
  <si>
    <t>355</t>
  </si>
  <si>
    <t>531cc5faeaee45098da804befd9ad5e6</t>
  </si>
  <si>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</si>
  <si>
    <t>ffb6937f-e743-4f3f-89aa-ab226a54a5aa</t>
  </si>
  <si>
    <t>온톡 메신저에 담당업무 입력은 어떻게 하나요</t>
  </si>
  <si>
    <t>8fc3aa51738c4866a0e2c5e4feef8f66</t>
  </si>
  <si>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</si>
  <si>
    <t>ef57f384-718b-40ad-9c5e-28b37933770a</t>
  </si>
  <si>
    <t>보조금 교부를 위한 보탬이, 이나라도움 사용법은?</t>
  </si>
  <si>
    <t>328_2503_재정협력담당관_업뮤매뉴얼_행정안전부_2025년_지방보조금_관리가이드.pdf</t>
  </si>
  <si>
    <t>26</t>
  </si>
  <si>
    <t>c0ec074477064ee781bede2bf4c5364f</t>
  </si>
  <si>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</si>
  <si>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</si>
  <si>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</si>
  <si>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736c4e71df1f47b9ba6f3438ac96ccb2</t>
  </si>
  <si>
    <t>안녕하세요! 온나라 문서 시스템의 문서 공개 범위 변경에 대해 안내해 드리겠습니다.
**1. 문서 상태 확인**
먼저, 해당 문서가 현재 어떤 상태로 등록되어 있는지 확인해야 합니다. 문서는 일반적으로 '기안', '결재완료', '등록' 등의 단계를 거칩니다. 만약 문서가 아직 결재가 완료되지 않았거나 등록 전이라면, 담당 부서나 상급자의 승인을 받아 수정이 가능합니다.
**2. 문서 관리 메뉴 접근**
- **온나라 시스템 로그인**: 업무포털(온나라)에 접속하여 인증 후 로그인합니다.
- **문서함 이동**: 메인 화면에서 '내 문서함' 또는 '나의 문서' 등 개인 문서함으로 이동합니다.
- **검색 및 선택**: 목록에서 공개 범위를 변경하고자 하는 문서를 찾습니다. 문서 제목이나 번호를 입력하여 빠르게 찾을 수 있습니다.
**3. 문서 상세 정보 조회**
선택한 문서를 클릭하면 문서 상세 정보가 나타납니다. 여기서 우측 상단이나 하단에 위치한 '문서 카드' 아이콘을 찾아 클릭합니다.
**4. 문서 공개 여부 설정**
- **관리 정보 수정**: 문서 카드의 메뉴 중 '관리 정보 수정'을 선택합니다.
- **문서 공개 여부 설정**: 나타나는 옵션 중에서 '문서 공개 여부 설정'을 선택합니다.
- **공개 범위 선택**:
  - **전체 공개**: 모든 사람이 열람 가능하도록 설정합니다.
  - **부분 공개**: 특정 기관이나 부서에 한해서만 열람 가능하게 설정합니다.
  - **비공개**: 열람 권한을 제한하여 승인된 사용자만 볼 수 있게 합니다.
- **적용 대상 선택**: 필요한 경우 적용 대상을 지정합니다.
- **저장 및 확인**: 변경 사항을 저장하고 확인 버튼을 눌러 적용합니다.
**5. 문서 재등록 필요성 확인**
만약 문서가 이미 결재 완료되고 등록된 상태라면, 공개 범위의 변경만으로 충분하지 않을 수 있습니다. 이 경우에는 문서를 다시 등록하거나 재발송해야 할 수도 있으므로, 관련 규정에 따라 절차를 진행해야 합니다.
**6. 추가 절차 고려 사항**
- **상급자 승인**: 중요한 정보의 공개 여부는 상급자나 보안 담당자의 승인이 필요할 수 있습니다.
- **보안 검토**: 민감한 내용이 포함되어 있다면, 보안팀과의 협의가 필요합니다.
- **공고 및 공지**: 공개된 문서는 공식적인 공고나 공지를 통해 알릴 필요가 있을 수 있습니다.
**7. 문의처**
위 과정에서 어려움이 있거나 추가적인 도움이 필요하다면, 다음의 연락처로 문의하실 수 있습니다.
- **온나라 헬프데스크**: 051-888-1234
- **전자문서 담당 부서**: 전자문서관리팀 (test012@busan.go.kr)
---
**참고사항**
- **개인정보 보호**: 문서 처리 시 개인정보 유출에 주의하시기 바랍니다.
- **정책 준수**: 공공기관의 정보공개에 관한 법률 및 규정을 준수하여야 합니다.
감사합니다. 추가로 궁금한 사항이 있으시면 언제든지 문의해 주세요.</t>
  </si>
  <si>
    <t>9673218d-14e3-480a-93a0-63b9bdf9ec08</t>
  </si>
  <si>
    <t>다음달에 시청 1층 대강당을 예약하고 싶은데, 방법을 알고싶어요.</t>
  </si>
  <si>
    <t>0957c53b5b70435a88c998e5e6589787</t>
  </si>
  <si>
    <t>시청 1층 대강당 예약을 위해서는 다음과 같은 절차를 따라주시면 됩니다:
1. **행정포털 접속**: 먼저 부산시 행정포털 시스템에 로그인하세요.
2. **개인서비스 메뉴 선택**: 메인 화면에서 '개인서비스' 메뉴를 클릭합니다.
3. **회의장 예약 기능 이용**: '개인서비스' 메뉴 내에서 '회의장' 또는 '시설예약' 항목을 찾아 클릭합니다.
4. **예약 정보 입력**:
   - 원하는 날짜와 시간을 선택합니다.
   - 사용 목적 및 인원을 상세히 기재합니다.
   - 필요한 경우 추가 요청 사항이나 부대 시설 등을 함께 신청할 수 있습니다.
5. **승인 대기 및 확인**: 제출하신 예약 신청은 담당 부서에서 검토 후 승인됩니다. 승인이 완료되면 이메일이나 알림 메시지를 통해 안내받으실 수 있습니다.
6. **추가 절차 준수**: 일부 회의실은 보안상의 이유로 출입증이 필요할 수 있으니, 해당되는 경우 사전에 발급받아 주세요.
7. **이용 당일 체크**: 예약된 시간에 맞춰 시설을 이용해 주시고, 필요 시 현장 담당자와 협조하여 원활하게 진행될 수 있도록 합니다.
**참고사항**:
- 인기 있는 장소나 특정 시간대의 경우 선착순으로 마감될 수 있으므로 미리 예약하시는 것이 좋습니다.
- 긴급하거나 특별한 사정이 있을 경우, 관련 부서에 직접 문의하셔서 조정을 요청하실 수 있습니다.
- 시설 이용 후에는 다음 사용자를 위해 깨끗하게 정리해 주시기 바랍니다.
추가로 궁금한 사항이나 도움이 필요하시면 언제든지 말씀해 주세요!</t>
  </si>
  <si>
    <t>담당업무 관련으로 시청 직원의 설문조사가 필요한데, 어디에 게시해야 많은 사람들이 참여할 수 있을까요</t>
  </si>
  <si>
    <t>3</t>
  </si>
  <si>
    <t>c16ad1c4c0704a58b5885ae74bb2b64e</t>
  </si>
  <si>
    <t>시청 직원들을 대상으로 설문조사를 실시하려면 '행정 포털' 내에 설문조사를 등록하여 진행하면 됩니다. 이 방법을 통해 많은 직원들이 설문에 참여할 수 있으며, 절차는 다음과 같습니다:
1. **행정 포털 접속**: 먼저 업무 시스템인 행정 포털에 로그인합니다.
2. **설문 등록 메뉴 접근**: 행정 포털 내에서 '참여할 설문' 또는 유사한 이름의 메뉴를 찾습니다.
3. **설문조사 생성 및 설정**:
   - 설문 제목과 목적을 입력합니다.
   - 질문 내용과 선택지를 구성합니다.
   - 응답 기간과 참여 대상자를 지정합니다.
4. **설문조사 공유**: 생성한 설문조사를 해당 부서나 전체 직원에게 공지합니다.
5. **응답 수집 및 결과 분석**: 마감일까지 응답을 받고 결과를 취합하여 분석합니다.
이렇게 하면 시청 내의 많은 직원들이 설문에 참여할 수 있어 효과적인 의견 수렴이 가능합니다. 추가적인 도움이 필요하시면 언제든지 말씀해 주세요!</t>
  </si>
  <si>
    <t>dc0eb002-7e2f-4211-a183-f7308fec53f2</t>
  </si>
  <si>
    <t>시 공식 SNS에 담당업무를 홍보하고자 게시했으면 하는데, 의뢰 절차가 어떻게 되나요?</t>
  </si>
  <si>
    <t>88_2504_미디어담당관_업무매뉴얼_미디어담당관_콘텐츠기획팀_업무관련FAQ.pdf</t>
  </si>
  <si>
    <t>6efdd603e27e4e4690f51ba08a3da6de</t>
  </si>
  <si>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</si>
  <si>
    <t>d4e260bf-9230-4f58-b9b3-7f5c363b01ec</t>
  </si>
  <si>
    <t>일반지출의 절차를 알고싶은데, 매뉴얼이나 교육자료를 어디에서 찾을 수 있나요?</t>
  </si>
  <si>
    <t>21f335275efe4807bd212097ddeb566e</t>
  </si>
  <si>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</si>
  <si>
    <t>6f9e87f4-b3ad-48b1-aa9a-39fe0a44d6dd</t>
  </si>
  <si>
    <t>한달동안만 유연근무제를 실시하고 싶은데, 일정기간만 유연근무제 신청할 수 있나요? 할 수 있다면 신청방법이 어떻게 되나요?</t>
  </si>
  <si>
    <t>127467b7e027485ebc860f815ebb6fd5</t>
  </si>
  <si>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</si>
  <si>
    <t>40d972db-4d7d-4b97-b5a9-2c38d2afe850</t>
  </si>
  <si>
    <t>b6aff1bf-957f-4fa1-8683-81a0dab40d44</t>
  </si>
  <si>
    <t>1902a3e9-0cf7-4b43-a486-b9d27cbd7e5c</t>
  </si>
  <si>
    <t>장기재직휴가는 재직기간 몇 년차부터 생기나요? 그리고 근속년수별로 정확한 휴가 부여 일수를 알고싶어요.</t>
  </si>
  <si>
    <t>65c590f24a174f208c98b0c82d8153f1</t>
  </si>
  <si>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</si>
  <si>
    <t>ae3f5807-c46f-48ff-b17b-aad0c8a3ac78</t>
  </si>
  <si>
    <t>공무원의 연차별로 연가일수가 다른 거 같던데, 재직기간별로 연가가 며칠씩 부여되나요?</t>
  </si>
  <si>
    <t>403, 404</t>
  </si>
  <si>
    <t>174c3681a87b4c73b0f038858af54870</t>
  </si>
  <si>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</si>
  <si>
    <t>abbaf9e4-888f-4fbb-8586-f2b9dd9ab1a4</t>
  </si>
  <si>
    <t>8f945de4-6a10-4701-9864-4bb92b9a23c4</t>
  </si>
  <si>
    <t>db8f6f9e-b249-49a0-a815-ebb1bdd3441a</t>
  </si>
  <si>
    <t>420a7ac0-45ad-49da-8650-1d86bbcd3047</t>
  </si>
  <si>
    <t>6d52d02d-5ba2-4ea8-b2eb-b984f509d43f</t>
  </si>
  <si>
    <t>DRM, PC Client 아이디 및 비밀번호를 잊어버렸을 때 절차 알려주세요</t>
  </si>
  <si>
    <t>331_2112_정보화정책과_업무매뉴얼_정보화정책과_부서관리자_매뉴얼자료유출방지시스템_DRM_v50_비번초기화.pdf
1284_2512_부산시_업무관련_FAQ문서_20251209.pdf</t>
  </si>
  <si>
    <t>1, 2, 3
5</t>
  </si>
  <si>
    <t>6d93d8d4c4b1413ea807d258829c5176</t>
  </si>
  <si>
    <t>안녕하세요! DRM, PC Client 아이디 및 비밀번호를 잊어버리셨다면 다음과 같은 절차를 통해 문제를 해결하실 수 있습니다.
**1. DRM 비밀번호 초기화 방법**
- **부서 관리자에게 요청하기**
  - DRM 시스템의 비밀번호 초기화는 부서 관리자의 권한이 필요합니다.
  - 부서 관리자에게 직접 문의하시거나, 해당 업무 담당 부서에 연락하여 도움을 요청하세요.
- **부서 관리자가 취해야 할 조치**
  - 부서 관리자는 '자료 유출 방지 시스템(DRM)'에 접속하여 대상 사용자의 비밀번호를 초기화할 수 있습니다.
  - 매뉴얼에 따르면, 부서 관리자는 다음의 단계를 따릅니다:
    1. 부서 관리자 사이트에 접속합니다. (예: `http://99.1.81.71:9080/fed5`)
    2. 사용자 ID와 비밀번호를 입력하여 로그인합니다. (`* 자료유출방지시스템 ID/비번` 사용)
    3. 상단 메뉴에서 `[공통설정 &gt; 조직관리]`를 선택합니다.
    4. 좌측 메뉴에서 부서 내의 사용자를 선택합니다.
    5. 우측 상단의 `[수정]` 버튼을 클릭합니다.
    6. 나타나는 화면에서 초기화 비밀번호(`a12345`)를 입력한 후, 우측 상단의 `[확인]` 버튼을 눌러 수정합니다.
    7. 비밀번호 초기화가 완료되면, 사용자는 새로운 비밀번호로 로그인할 수 있습니다.
**2. PC Client 비밀번호 재설정 방법**
- **PC Client 프로그램에서 비밀번호 찾기**
  - PC Client 프로그램 내에서 비밀번호 찾기를 시도해 볼 수 있습니다.
  - 일반적으로 프로그램의 `도움말` 또는 `지원` 메뉴에서 비밀번호 재설정 옵션을 제공합니다.
- **IT 지원 센터에 문의하기**
  - 위의 방법으로 해결되지 않을 경우, IT 지원 센터에 연락하여 비밀번호 재설정을 요청합니다.
  - 필요한 정보로는 사용자 이름이나 사번 등이 요구될 수 있습니다.
**추가적인 도움말**
- **관련 문서 참고**
  - 제공된 문서들 중에서 `331_2112_정보화정책과_업무매뉴얼_정보화정책과_부서관리자_매뉴얼자료유출방지시스템_DRM_v50_비번초기화.pdf` 파일에는 비밀번호 초기화에 대한 자세한 절차가 포함되어 있을 수 있습니다.
  - 페이지 1부터 3까지의 내용을 확인하시면 도움이 될 것입니다.
- **문의처 연락처**
  - 문제 해결에 어려움이 있다면, 행정 전화 `(5999)`로 연락하여 전문적인 지원을 받을 수 있습니다.
**주의사항**
- 비밀번호 초기화 후에는 보안을 위해 즉시 새로운 비밀번호로 변경하는 것이 좋습니다.
- 새로운 비밀번호는 복잡성을 갖추어 보안성을 높이세요.
추가로 궁금한 사항이나 도움이 필요하신 부분이 있으시면 언제든지 말씀해 주세요. 도와드릴 준비가 되어 있습니다. 감사합니다.</t>
  </si>
  <si>
    <t>온나라 문서 과제카드를 잘못 지정하였습니다. 변경 가능할까요?</t>
  </si>
  <si>
    <t>44</t>
  </si>
  <si>
    <t>4e5f17eafe4b46bdaaa7f43e2dff359c</t>
  </si>
  <si>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</si>
  <si>
    <t>장기재직휴가 기준과 사용 방법을 알려주세요. 장기재직휴가 사용 요건이 되면 인사랑에 자동 반영될까요?</t>
  </si>
  <si>
    <t>7a1e3b5e8a914b1fa991b9c51506fa13</t>
  </si>
  <si>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</si>
  <si>
    <t>f702eeeb-211b-4d7e-9edd-4c3607cd6328</t>
  </si>
  <si>
    <t>84_2406_맑은물정책과_업무매뉴얼_환경부_환경법전수자원물환경물이용.pdf</t>
  </si>
  <si>
    <t>cf5e919e-146d-4329-8433-8ebf422f54fa</t>
  </si>
  <si>
    <t>259_2301_인사과_지침_행정안전부_지방공무원_균형인사_운영지침행정안전부예규제258호.pdf</t>
  </si>
  <si>
    <t>공무원 및 공무직 직원복지지원시스템 사용 방법을 알려주세요.</t>
  </si>
  <si>
    <t>1284_2512_부산시_업무관련_FAQ문서.pdf
&gt;&gt;&gt; 아래 두개의 문서를 FAQ 추가 정리 필요
 - 300_2502_인사과_업무매뉴얼_인사과_직원복지지원시스템_사용방법_안내장례비.pdf
(1~5page)
 - 301_2502_인사과_업무매뉴얼_인사과_직원복지지원시스템_신청방법휴양시설_이용_지원.pdf
(1~5page)</t>
  </si>
  <si>
    <t>7d114652feee471ca9b39e4d1d653967</t>
  </si>
  <si>
    <t>업무추진비 집행 기준을 알려주세요</t>
  </si>
  <si>
    <t>127, 128</t>
  </si>
  <si>
    <t>1720157138d84f408a421773fc9064a2</t>
  </si>
  <si>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</si>
  <si>
    <t>47881b89-c1be-42b7-8db5-b4025c269d3b</t>
  </si>
  <si>
    <t>e8b750f1-d9ba-4cfa-8366-17e23ec6cebf</t>
  </si>
  <si>
    <t>e00486c0-ac09-4d48-936a-8614ebf03b92</t>
  </si>
  <si>
    <t>eff8f2ea-84f5-4ddd-ade5-319c354f6baa</t>
  </si>
  <si>
    <t>b0ca5666-5e3c-46ea-92c4-052a03a211bd</t>
  </si>
  <si>
    <t>국민신문고 민원 처리 과정 알려주세요</t>
  </si>
  <si>
    <t>1234_국민신문고_사용자지침서_민원_v17.pdf</t>
  </si>
  <si>
    <t>16, 17</t>
  </si>
  <si>
    <t>d41e43676a1242a7ac048d2094fe0d48</t>
  </si>
  <si>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</si>
  <si>
    <t>0c32c75a-bb7f-4b17-a879-ee060b9c85f8</t>
  </si>
  <si>
    <t>cb6abd5b-c06c-4462-ad3c-1157f0ed4439</t>
  </si>
  <si>
    <t>공무원증 신청 방법 알려줘</t>
  </si>
  <si>
    <t>2cf52355e36e4b499fa025d728b8f556</t>
  </si>
  <si>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</si>
  <si>
    <t>1e2e479d-7a22-4a66-a831-eecd78da5f29</t>
  </si>
  <si>
    <t>1231_공무원증_및_모바일공무원증_발급반납_협조_요청.pdf</t>
  </si>
  <si>
    <t>4c0c9b7a-856e-436f-bc20-0b4a9a18f820</t>
  </si>
  <si>
    <t>345_2409_정보화정책과_업무매뉴얼_정보화정책과_부산광역시_사이버안전_위기대응_실무_매뉴얼.pdf</t>
  </si>
  <si>
    <t>온나라에서 부재자 설정 및 기간은 어떻게 하나요?</t>
  </si>
  <si>
    <t>1cab8449375248aabb23e0e757183afa</t>
  </si>
  <si>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</si>
  <si>
    <t>cc65a471-32fc-4c82-9b20-0843afcf10bf</t>
  </si>
  <si>
    <t>관외출장 등록 및 여비 신청 방법이 어떻게 하나요?</t>
  </si>
  <si>
    <t>3b2b52373451426ab2e8056b5097544d</t>
  </si>
  <si>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</si>
  <si>
    <t>d25c6621-b27b-4310-9934-230b581f25f2</t>
  </si>
  <si>
    <t>01631e12-2e4b-47ee-99a6-a94cc93ce71c</t>
  </si>
  <si>
    <t>129dfe1c-779b-4042-85af-d8fc2fbe24c9</t>
  </si>
  <si>
    <t>b8fd5435-118b-4980-8a9a-24b1261ea3d4</t>
  </si>
  <si>
    <t>DRM, PC Client 아이디 및 비밀번호를 잊어버렸을 때 해결 방법은?</t>
  </si>
  <si>
    <t>5cec8c21a1154c75bfe3e3609a11e078</t>
  </si>
  <si>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</si>
  <si>
    <t>업무추진비 집행을 위해서 확인해야할 규정은 무엇인가요? 그리고 업추비별 특성 및 사용가능내역 알려주세요.</t>
  </si>
  <si>
    <t>690f1521a2f04e3ab343d841c46eaf18</t>
  </si>
  <si>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</si>
  <si>
    <t>283fdc88-8352-44ef-a5de-39ab118e8183</t>
  </si>
  <si>
    <t>b72df2a1-7e86-4891-b5f8-d6b1bfd3f2c9</t>
  </si>
  <si>
    <t>온나라에서 부재자 설정은 어떻게 하나요?</t>
  </si>
  <si>
    <t>fe0aba416abc4e59bba1745530555eb3</t>
  </si>
  <si>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</si>
  <si>
    <t>시 홈페이지 고시공고 등록하는 방법이 어떻게 되나요?</t>
  </si>
  <si>
    <t>87_2504_미디어담당관_업무매뉴얼_미디어담당관_매거진운영팀_홍보_요청_절차.pdf</t>
  </si>
  <si>
    <t>a95ae93c454a49dab668c3e1bf27e208</t>
  </si>
  <si>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</si>
  <si>
    <t>8dfd3c30-05ac-4386-8d4b-5e8c42464cab</t>
  </si>
  <si>
    <t>단체보장보험 세부 보장내용 및 청구방법은 무엇인가요?</t>
  </si>
  <si>
    <t>79dbe05935944f0b82ecb5db598f76a9</t>
  </si>
  <si>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</si>
  <si>
    <t>행정정보 공동이용 권한 신청은 어떻게 하는것인가요?</t>
  </si>
  <si>
    <t>11f9e2f6479e43418d7d3e192247dd78</t>
  </si>
  <si>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</si>
  <si>
    <t>90f03a44-9d79-434b-bc90-4c48126afc04</t>
  </si>
  <si>
    <t>1260_행정정보_공동이용_신규사무신청_매뉴얼_202405.pdf</t>
  </si>
  <si>
    <t>62ccf8ce-1f8d-485b-8a7b-20e8d93f9fb7</t>
  </si>
  <si>
    <t>430_2408_통합민원과_업무매뉴얼_행정안전부_행정정보공동이용.pdf</t>
  </si>
  <si>
    <t>ea084d60-7b66-4a81-9eba-8e69090afa09</t>
  </si>
  <si>
    <t>GPKI 재발급 및 인사이동시 이동은 어떻게 하는 것인가요?</t>
  </si>
  <si>
    <t>ff7d7e03da7f4a0b929f30df0b3c009b</t>
  </si>
  <si>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</si>
  <si>
    <t>4079d725-ae34-4963-89e9-a8a0a3b18329</t>
  </si>
  <si>
    <t>장기재직 휴가 등록 및 사용 방법이 어떻게 되나요?</t>
  </si>
  <si>
    <t>29d94b07ae9c48bda85847bb1e1e050e</t>
  </si>
  <si>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</si>
  <si>
    <t>관외출장 시 신청 방법과 여비는 어떻게 받나요?</t>
  </si>
  <si>
    <t>2223e7e1b0724ccc9cca700db7cba3e9</t>
  </si>
  <si>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</si>
  <si>
    <t>715b0bb8-78d2-4e63-a7eb-07f6057a4bcd</t>
  </si>
  <si>
    <t>온나라 문서배부가 잘못되엇습니다 어떻게 수정하나요?</t>
  </si>
  <si>
    <t>343_2405_정보화정책과_업무매뉴얼_행정안전부_온나라20_사용자교육자료배포용.pdf
355_2412_정보화정책과_업무매뉴얼_KLID_온나라_20_부서관리자_교육자료PDF.pdf</t>
  </si>
  <si>
    <t>44
 31</t>
  </si>
  <si>
    <t>aa1b13a2a92940e7ae2295ca0045cf43</t>
  </si>
  <si>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</si>
  <si>
    <t>8de3c8d4-429e-4a0f-93f1-ecce90adc9b2</t>
  </si>
  <si>
    <t>d6884c20-e6dc-4b3b-a7a1-3037dc7af35b</t>
  </si>
  <si>
    <t>355_2412_정보화정책과_업무매뉴얼_KLID_온나라_20_부서관리자_교육자료PDF.pdf</t>
  </si>
  <si>
    <t>온나라 팀장님 지정 및 부재시 부재설정은 어떻게 하나요?</t>
  </si>
  <si>
    <t>355_2412_정보화정책과_업무매뉴얼_KLID_온나라_20_부서관리자_교육자료PDF.pdf
353_2412_정보화정책과_업무매뉴얼_KLID_온나라_20_달라지는_점PDF.pdf</t>
  </si>
  <si>
    <t>11
 26</t>
  </si>
  <si>
    <t>bc4a9174e9d34e1896ae1ec882dc4bda</t>
  </si>
  <si>
    <t>업무추진비 사용할 수 있는 항목이 구체적으로 어떻게 되나요?</t>
  </si>
  <si>
    <t>c9c67412d7ad4115bfa97a33e7f390bc</t>
  </si>
  <si>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</si>
  <si>
    <t>fe8e3c36-55b7-42bc-b5e8-3424225642dc</t>
  </si>
  <si>
    <t>ababe407-4331-4f7f-aebd-a9224983eb04</t>
  </si>
  <si>
    <t>e0e9d28e-e01f-4c6c-93d4-8d6f68671933</t>
  </si>
  <si>
    <t>9a729ebf-6b86-4382-8c5d-22291957d2fc</t>
  </si>
  <si>
    <t>729d22d3-722f-46bf-be7e-aa760f2f022d</t>
  </si>
  <si>
    <t>DRM 비밀번호 초기화는 어떻게 하나요?</t>
  </si>
  <si>
    <t>d73d02655a974887b4b62d83f8714236</t>
  </si>
  <si>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</si>
  <si>
    <t>건강검진비 및 휴양시설 지원 신청은 어디서 하나요?</t>
  </si>
  <si>
    <t xml:space="preserve">289_2501_인사과_기타_인사과_2025년도_건강검진_대상자_및_검진실시_안내.pdf
1284_2512_부산시_업무관련_FAQ문서.pdf
&gt;&gt;&gt; 아래의 내용 FAQ 문서에 별도 정리
301_2502_인사과_업무매뉴얼_인사과_직원복지지원시스템_신청방법휴양시설_이용_지원.pdf
(1~5page)
</t>
  </si>
  <si>
    <t>1
1, 2, 3, 4, 5</t>
  </si>
  <si>
    <t>d3726667930f4e19b6eb8ecb6a88db3c</t>
  </si>
  <si>
    <t>온나라시스템 부재 설정 방법은 어떻게 되나요?</t>
  </si>
  <si>
    <t>53f340ee8dfd43f8a6a9ae41f4056175</t>
  </si>
  <si>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</si>
  <si>
    <t>9162a860-6a4b-4f72-8d45-fbba399649fc</t>
  </si>
  <si>
    <t>일상경비 지출 절차는 어떻게 되나요?</t>
  </si>
  <si>
    <t>1245_일상경비_사용방법-txt.pdf</t>
  </si>
  <si>
    <t>769386fd77584025912ec635b69876fc</t>
  </si>
  <si>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</si>
  <si>
    <t>7b9d3d58-da0c-4457-bf09-c02426e2c912</t>
  </si>
  <si>
    <t>2a074d06-0301-419f-8a30-1c0f559c9afe</t>
  </si>
  <si>
    <t>506e3f06-4425-4dad-b681-12a606ab881e</t>
  </si>
  <si>
    <t>행정전자서명 가입 절차는 어떻게 되나요?</t>
  </si>
  <si>
    <t>22836ed79e86426a9930ed0d644fd24c</t>
  </si>
  <si>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</si>
  <si>
    <t>18f8ce56-840b-4c73-b346-07ac1b72aec5</t>
  </si>
  <si>
    <t>329_1911_정보화정책과_업무매뉴얼_행정안전부_행정전자서명_사용자_매뉴얼Ver14.pdf</t>
  </si>
  <si>
    <t>온나라시스템 과제카드 설정은 어떻게 되나요?</t>
  </si>
  <si>
    <t>15, 16, 17</t>
  </si>
  <si>
    <t>e0850b7e1ea8485e927d96a479d3b418</t>
  </si>
  <si>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</si>
  <si>
    <t>24077817-372c-40dd-8b9d-ff941917433e</t>
  </si>
  <si>
    <t>c69df6a0-9e76-47a2-9c48-b6f75c7ba4e5</t>
  </si>
  <si>
    <t>51341309-436e-4e72-9ea1-bd6b8dfe2da8</t>
  </si>
  <si>
    <t>bf95fb97-abe9-48f3-a07d-47c30a21e1df</t>
  </si>
  <si>
    <t>5142ad9e18b54615a91ff853cd6d363a</t>
  </si>
  <si>
    <t>온나라 문서 과제카드를 잘못 지정하였습니다. 어떻게 수정하나요?</t>
  </si>
  <si>
    <t>7c2850d0e442467f852a556ebce7ac9a</t>
  </si>
  <si>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</si>
  <si>
    <t>22610730-4f6c-4606-b758-83aeb7c67ad8</t>
  </si>
  <si>
    <t>장기재직휴가 기준과 사용 방법을 알려주세요. 장기재직휴가 사용 요건이 되면 인사랑에 자동 반영되나요?</t>
  </si>
  <si>
    <t>6c7581ed40fa4413bc39de5a27567bf6</t>
  </si>
  <si>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</si>
  <si>
    <t>bb148ab6-a2fa-428b-a9cc-f8f13d1e9785</t>
  </si>
  <si>
    <t>직원복지지원시스템 사용 방법을 알려주세요. 행정포털 아이디가 없을 경우엔 어떻게 하나요?</t>
  </si>
  <si>
    <t>a76f5554adf94061be9179aed9386a3e</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</si>
  <si>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</si>
  <si>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</si>
  <si>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</si>
  <si>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00dbab4a450f4e8db7eb9e741b18dfc5</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</si>
  <si>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</si>
  <si>
    <t>126d524e-03a8-4f9f-9da6-ed5c6d2d18e2</t>
  </si>
  <si>
    <t>3cbf2afa-167e-46a9-949d-0841dc36cf22</t>
  </si>
  <si>
    <t>e2b81875-e425-4671-9633-1d9eb8fdf592</t>
  </si>
  <si>
    <t>06e2d806-820f-44b2-88c2-0cde5771c810</t>
  </si>
  <si>
    <t>25abbf5cf0ca4cd8bbb9d9d76116bf44</t>
  </si>
  <si>
    <t>조례제정시 의회제출 전 법무담당관 협의 등 거쳐야 하는 내부 절차 및 기한에 대해 알려주세요</t>
  </si>
  <si>
    <t>fe6125f489ec4bcc8893e42726e5089b</t>
  </si>
  <si>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</si>
  <si>
    <t>0a746bec-056c-4b53-bcb3-8671909e6a17</t>
  </si>
  <si>
    <t>휴일 출장시 대체휴무 사용이 가능한가요?</t>
  </si>
  <si>
    <t>ec452c48eeb347f8b15ca52c9182014d</t>
  </si>
  <si>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</si>
  <si>
    <t>b31132ea-fc5b-4583-997d-7ef429a09d07</t>
  </si>
  <si>
    <t>사후초과 익일결재를 못받은 경우 구제방법이 있나요?</t>
  </si>
  <si>
    <t>349</t>
  </si>
  <si>
    <t>5958f3908cf4425eb4c7eed65b67df30</t>
  </si>
  <si>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</si>
  <si>
    <t>4c484216-17f1-412e-9d3b-6db284268cc9</t>
  </si>
  <si>
    <t>회의실 신청 어떻게 하나요?</t>
  </si>
  <si>
    <t>2bb3f9c36dde4418937309136b0d551b</t>
  </si>
  <si>
    <t>회의실을 예약하려면 다음과 같은 절차를 따르세요:
1. **행정포털**에 로그인하세요.
2. **개인서비스** 메뉴를 클릭합니다.
3. **회의장** 옵션을 선택합니다.
4. 원하는 날짜와 시간을 선택하여 예약을 완료합니다.
이렇게 하면 회의실을 예약할 수 있습니다. 추가로 도움이 필요하시면 말씀해 주세요!</t>
  </si>
  <si>
    <t>국외출장시 며칠 전까지 허가신청 공문 보내야 하나요?</t>
  </si>
  <si>
    <t>483_페이지49_문서3_162906_부산광역시_공무국외출장_조례.pdf</t>
  </si>
  <si>
    <t>2bdfd1eaf6d7468cbf8117726627bc9c</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</si>
  <si>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</si>
  <si>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</si>
  <si>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</si>
  <si>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</si>
  <si>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</si>
  <si>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2d3501e97b384f839ce082ec3b8d0586</t>
  </si>
  <si>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</si>
  <si>
    <t>9c736d16-0d5b-4487-963c-cfeab11843a0</t>
  </si>
  <si>
    <t>긴급출퇴근제를 사용하기 위한 사전절차는 무엇인가요?</t>
  </si>
  <si>
    <t>d85500ab4265474f9cc9daa4ae36f4ec</t>
  </si>
  <si>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</si>
  <si>
    <t>b5dc23cc-fb40-4ad9-9de7-dbc1af604a6d</t>
  </si>
  <si>
    <t>보안usb 매체점검은 어디서 하나요?</t>
  </si>
  <si>
    <t>368_2412_정보화정책과_업무매뉴얼_채울_휴대용저장매체관리시스템_부서관리자_매뉴얼.pdf</t>
  </si>
  <si>
    <t>29, 30</t>
  </si>
  <si>
    <t>e48ebf6637f44f13934430cda49ad27e</t>
  </si>
  <si>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</si>
  <si>
    <t>eeb59030-5346-44c9-aa6d-a7b16bc33730</t>
  </si>
  <si>
    <t>89e1fa96-4c9d-45ab-8f16-a271379ed94d</t>
  </si>
  <si>
    <t>신규 임용시 원활한 업무진행을 위해 행정포털, 행정전자서명 발급등 처리해야 할 사항 및 절차는 어떻게 되나요?</t>
  </si>
  <si>
    <t>9de36e958cae4fdcb006fb0d56d90398</t>
  </si>
  <si>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</si>
  <si>
    <t>bbdc59a2-deab-43c6-a54d-e61ff223faa4</t>
  </si>
  <si>
    <t>직원차량 등록 절차는 어떻게 되나요?</t>
  </si>
  <si>
    <t>3f8603d184184007b39fad828084526b</t>
  </si>
  <si>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</si>
  <si>
    <t>조례 개정 절차는 어떻게 되나요?</t>
  </si>
  <si>
    <t>3c8cbcc236364caa968bedf3096b02b4</t>
  </si>
  <si>
    <t>보통예금계좌 점검 주기 및 방법을 알려줘</t>
  </si>
  <si>
    <t>131, 132</t>
  </si>
  <si>
    <t>2957615d73a7485bb4bc4f05747d0b49</t>
  </si>
  <si>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</si>
  <si>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</si>
  <si>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</si>
  <si>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</si>
  <si>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</si>
  <si>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b58da30638b94bcb9bf850991858ec9f</t>
  </si>
  <si>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</si>
  <si>
    <t>공무원증 신청 및 승인처리 방법을 알려줘</t>
  </si>
  <si>
    <t>63e12090f5fa491e85e4c0b650ee4557</t>
  </si>
  <si>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</si>
  <si>
    <t>직원후생복지지원시스템 사용 방법을 알려줘</t>
  </si>
  <si>
    <t>7c4cca03e96642a19c2d7a29bb2861b6</t>
  </si>
  <si>
    <t>네, 직원후생복지지원시스템을 사용하는 방법은 다음과 같습니다:
1. **행정포털 접속**: 먼저, 업무를 위해 사용하는 행정포털에 로그인하세요.
2. **개인서비스 메뉴 접근**: 행정포털의 하단에 있는 '개인서비스' 메뉴를 찾아 클릭합니다.
3. **직원복지지원 선택**: '개인서비스' 메뉴에서 '직원복지지원' 항목을 클릭하여 해당 페이지로 이동합니다.
4. **복지지원 프로그램 배너 확인**: '직원복지지원' 페이지에서는 다양한 복지지원 프로그램이 소개되는 배너나 목록이 표시됩니다.
5. **프로그램 조회 및 신청**: 원하는 복지지원 프로그램을 찾기 위해 배너나 검색 기능을 활용합니다. 찾고자 하는 프로그램을 선택한 후, 해당 프로그램의 상세 정보 페이지에서 '신청' 버튼을 클릭하여 신청을 진행합니다.
**유의사항**:
- **파견, 휴직자, 시의원 등 행정포털 미사용자(공무원)**의 경우에는 직접 신청할 수 없으므로, 각 부서의 관리자나 서무에게 도움을 요청해야 합니다.
- 모든 신청 절차는 공식적인 절차를 따라야 하며, 필요한 서류나 증빙 자료가 있을 경우 정확히 제출해야 합니다.
이러한 단계를 통해 직원후생복지지원시스템을 이용하여 복지 혜택을 신청하실 수 있습니다. 추가로 궁금한 사항이나 도움이 필요하시면 언제든지 말씀해 주세요!</t>
  </si>
  <si>
    <t>a66c5706-26cb-4ef1-bc8e-202cc69d2494</t>
  </si>
  <si>
    <t>300_2502_인사과_업무매뉴얼_인사과_직원복지지원시스템_사용방법_안내장례비.pdf</t>
  </si>
  <si>
    <t>비밀문서 접수 시 처리 절차를 알려줘</t>
  </si>
  <si>
    <t>776_페이지78_문서6_163407_부산광역시_보안업무규정.pdf</t>
  </si>
  <si>
    <t>9ad51db27b124a4cbe623fbc1197d141</t>
  </si>
  <si>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</si>
  <si>
    <t>a9442f9c-e893-429f-8d63-183881bca4f8</t>
  </si>
  <si>
    <t>정보공개 접수시 처리하는 절차는 어떻게 되나요?</t>
  </si>
  <si>
    <t>2025-02-03 00:00:00</t>
  </si>
  <si>
    <t>0cd8c2947fe94ea082993d4b191a0060</t>
  </si>
  <si>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</si>
  <si>
    <t>bbfc0c75-49ac-4cff-9d02-07c95d95beb4</t>
  </si>
  <si>
    <t>b07791fb-4d92-44f3-9372-a02998bf2444</t>
  </si>
  <si>
    <t>328f3748-cab2-4f4d-8992-2fc115cda9da</t>
  </si>
  <si>
    <t>미등록기록물 등록 방법은 어떻게 되나요?</t>
  </si>
  <si>
    <t>19, 20, 21, 22, 23, 24</t>
  </si>
  <si>
    <t>36cb23ba732c4000834648e16a005296</t>
  </si>
  <si>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</si>
  <si>
    <t>7f6432b7-8e69-4404-8ee9-c8a456e13b0f</t>
  </si>
  <si>
    <t>1048ac7a-a626-4624-8d16-360c81dcced2</t>
  </si>
  <si>
    <t>1c7165f8-c462-4a02-b893-c805acbaa275</t>
  </si>
  <si>
    <t>62197637-aeda-43e8-95a6-7eb187cf5d41</t>
  </si>
  <si>
    <t>예산 편성 절차와 관련하여 사업비별 사전 이행절차는 무엇인가요?</t>
  </si>
  <si>
    <t>a69825581dbb4a40bc6454542437a7a6</t>
  </si>
  <si>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</si>
  <si>
    <t>3c95aa5e-0ad3-458c-850b-6127e8827f47</t>
  </si>
  <si>
    <t>326_2501_재정협력담당관_업무매뉴얼_재정협력담당관_민간위탁업무지침.pdf</t>
  </si>
  <si>
    <t>성인지예산서와 성별영향평가서 차이점은 무엇인가요?</t>
  </si>
  <si>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</si>
  <si>
    <t>85, 86</t>
  </si>
  <si>
    <t>dbe4b66c25f64c678589d16f14e96a3c</t>
  </si>
  <si>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</si>
  <si>
    <t>9859104e-e6c0-4d40-8a32-ba2fc89373b1</t>
  </si>
  <si>
    <t>210_2307_예산담당관_업무매뉴얼_행정안전부_2024년도_지방자치단체_예산편성_운영기준_및_기금운용계획_수립기준.pdf</t>
  </si>
  <si>
    <t>44d369b3-ed79-4d35-9179-3e4bacfb24d0</t>
  </si>
  <si>
    <t>207_2007_예산담당관_업무매뉴얼_행정안전부_2021년도_지방자치단체_예산편성_운영기준_및_기금운용계획_수립기준.pdf</t>
  </si>
  <si>
    <t>6225aa05-23d9-4ed0-ba3e-3fd5e8bb8dd2</t>
  </si>
  <si>
    <t>9042237e-29c8-496a-b567-7a897dd0314d</t>
  </si>
  <si>
    <t>bac4ab58-8e74-403d-9fd7-b4a79cfa59fd</t>
  </si>
  <si>
    <t>208_2107_예산담당관_업무매뉴얼_행정안전부_2022년도_지방자치단체_예산편성_운영기준_및_기금운용계획_수립기준.pdf</t>
  </si>
  <si>
    <t>입찰시 지역제한이 불가할 때 이행해야할 절차와 검토항목에는 무엇이 있나요?</t>
  </si>
  <si>
    <t>1d4d1479aca74780bf5a93381a4c2bdc</t>
  </si>
  <si>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</si>
  <si>
    <t>55b0a912-4c08-4c5b-981f-9224acb3618a</t>
  </si>
  <si>
    <t>반복특이(악성) 민원 응대 매뉴얼 및 민원처리 담당자의 보호지원에는 어떤 것이 있나요?</t>
  </si>
  <si>
    <t>19, 44</t>
  </si>
  <si>
    <t>bc3260fd72e04cbf94dfcfa596ac1d0b</t>
  </si>
  <si>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</si>
  <si>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</si>
  <si>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</si>
  <si>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</si>
  <si>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</si>
  <si>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b0ecdbb16e3049c089a150aa38091395</t>
  </si>
  <si>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</si>
  <si>
    <t>38c3df51-3b1d-4216-8b66-599722c55c4a</t>
  </si>
  <si>
    <t>1f25818e-35c1-4a09-aec8-35eb78aa9e08</t>
  </si>
  <si>
    <t>DRM 암호 초기화는 어떻게 하나요?</t>
  </si>
  <si>
    <t>b29eaf19346e40d18ee4edcf79e1773e</t>
  </si>
  <si>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</si>
  <si>
    <t>시청사 직원차량 주차등록은 어떻게 하나요?</t>
  </si>
  <si>
    <t>97e85822ebeb45998c07a121e80ea369</t>
  </si>
  <si>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</si>
  <si>
    <t>자차로 관외출장 나갔을 시 여비 지급은 어떻게 하나요?</t>
  </si>
  <si>
    <t>604, 605</t>
  </si>
  <si>
    <t>a1265568823942b09bdbdde540cce0d3</t>
  </si>
  <si>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</si>
  <si>
    <t>57c602ee-77b6-4888-9752-44357b3f4cfb</t>
  </si>
  <si>
    <t>7d56d172-72b1-47f8-913c-fe7b97af853b</t>
  </si>
  <si>
    <t>257817f4-eb3c-44cd-a170-67a953688596</t>
  </si>
  <si>
    <t>1230_공무원여비100문100답.pdf</t>
  </si>
  <si>
    <t>휴직 신청 절차 및 행정처리 방법은?</t>
  </si>
  <si>
    <t>22, 23, 24, 25</t>
  </si>
  <si>
    <t>7e60a0808b974c8cbac6c6b162590d81</t>
  </si>
  <si>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</si>
  <si>
    <t>1ea7ce83-0ea8-416c-931e-cea069d38c3b</t>
  </si>
  <si>
    <t>eec80bf5-f167-4bc3-9c4a-856853e3720f</t>
  </si>
  <si>
    <t>3edab60c-7a02-4b16-a0e2-f87f39e2497b</t>
  </si>
  <si>
    <t>a8b4e979-a9e2-4cab-9745-ccd4d633ac88</t>
  </si>
  <si>
    <t>비전자기록물 편철·정리 방법은?</t>
  </si>
  <si>
    <t>423_2012_통합민원과_업무메뉴얼_통합민원과_비전자기록물_편철정리_요령.pdf</t>
  </si>
  <si>
    <t>5f9998e38a9e448c885875432f7a27e5</t>
  </si>
  <si>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</si>
  <si>
    <t>3ac56127-fa43-4e06-acc4-b727cdf75f64</t>
  </si>
  <si>
    <t>499af8ab-2218-4ac2-b553-c875de6ab912</t>
  </si>
  <si>
    <t>91d5b22b-b1b6-4af4-bef0-5aec87d72f1c</t>
  </si>
  <si>
    <t>1a3208cc-3ea3-4bd3-b212-ffd71b8aeb1b</t>
  </si>
  <si>
    <t>9f125a33-3439-44a2-982e-a7a171f4e201</t>
  </si>
  <si>
    <t>차량배차 협조 요청 절차 및 처리 방법은?</t>
  </si>
  <si>
    <t>5cfca93d7e8f40e38334783f06212fe1</t>
  </si>
  <si>
    <t>차량 배차를 협조 요청하려면 다음과 같은 절차를 따르세요:
1. **담당자와 사전 협의**: 먼저 차량 배차가 필요한 경우 담당자에게 연락하여 배차 가능 여부를 확인해야 합니다. 이는 이중 배차를 방지하고 원활한 업무 진행을 위해 필수적인 단계입니다.
2. **배차 신청 방법**:
   - **행정포털 이용**: 행정포털에 로그인한 후 '개인서비스' 메뉴에서 '배차신청' 기능을 사용하여 온라인으로 신청합니다.
   - **신청 용도 선택**: 업무용, 버스, 의전 등 필요한 용도를 선택하여 신청합니다.
3. **추가 필요 사항 확인**:
   - **핸드폰 거치대 필요 여부**: 핸드폰 대시보드 거치대가 필요한 경우 문의하여 준비합니다. 기본 핸드폰 거치대는 이미 설치되어 있을 수 있으므로 사전에 확인하는 것이 좋습니다.
4. **배차 승인 대기**: 제출한 배차 신청을 통해 관리 부서에서 승인을 기다립니다.
5. **승인 후 차량 사용**:
   - **이용 조건 숙지**: 만 26세 미만은 자동차 보험 적용으로 인해 배차가 불가능하며, 전기차의 경우 운전자가 직접 충전해야 합니다.
   - **공용 차량 사용 규칙 준수**: 공용 차량을 사적인 용도로 사용하지 않으며, 차량 내에서 음식물을 섭취하지 않거나 섭취 후에는 깨끗하게 정리합니다.
   - **안전 운전 유의**: 교통 법규를 준수하고 안전 운전에 각별히 신경 씁니다. 사고 발생 시에는 과실 비율에 따라 개인 부담금이 발생할 수 있으며, 사고 사진을 촬영하여 보고해야 합니다.
이러한 절차를 따르면 차량 배차에 대한 협조 요청을 효율적으로 처리할 수 있습니다. 추가적인 도움이 필요하면 언제든지 말씀해 주세요.</t>
  </si>
  <si>
    <t>PC교체로 인한 행정전자서명 이동 방법은?</t>
  </si>
  <si>
    <t>df6bce9dc96a403bb5b503255d087ec1</t>
  </si>
  <si>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</si>
  <si>
    <t>문서 암호화 해제는 어떻게 하나요?</t>
  </si>
  <si>
    <t>9</t>
  </si>
  <si>
    <t>29a878268e024d7d8b5c8ed7c053e1f1</t>
  </si>
  <si>
    <t>문서 암호화를 해제하려면 다음과 같은 절차를 따르면 됩니다:
1. **컴퓨터 오른쪽 하단 트레이 아이콘 접근**: 컴퓨터 화면의 오른쪽 아래 모서리(시계 표시 부분)에 있는 숨겨진 아이콘 영역에서 `F` 또는 자물쇠 모양의 아이콘을 찾아 마우스 오른쪽 버튼으로 클릭합니다.
2. **자료반출관리시스템 선택**: 나타난 메뉴에서 `자료반출관리시스템`을 선택합니다.
3. **신규 신청 시작**: 시스템 내에서 `신규신청` 버튼을 클릭합니다.
4. **암호화 해제 옵션 선택**: 암호화를 해제할 문서들을 선택하거나 지정하고, 필요한 경우 암호화 해제 사유를 입력합니다. 그런 다음 하단의 `신청` 버튼을 클릭합니다.
5. **암호화 해제 요청 제출**: 모든 정보를 정확히 입력했다면 `신청` 버튼을 눌러 암호화 해제 요청을 제출합니다.
6. **암호화 해제 완료 대기**: 시스템이 암호화 해제 작업을 처리하는 동안 잠시 기다립니다.
7. **암호화 해제된 문서 다운로드**:
   - **개별 다운로드 방법**:
     - 좌측 상단에 암호화 해제가 완료된 목록을 클릭하면, 우측 창에서 암호화 해제된 문서를 확인할 수 있습니다.
     - 해당 문서 옆의 `다운로드` 버튼을 이용하여 개별적으로 파일을 내려받습니다. 이 방법은 최대 5회까지 가능합니다.
   - **경로 설정 및 전체 다운로드 방법**:
     - 우측 하단의 `모두 다운로드` 버튼을 클릭하여 여러 파일을 한 번에 다운로드할 수 있습니다.
     - 다운로드 경로를 설정해야 하며, 반드시 경로를 지정한 후 `확인` 버튼을 클릭합니다.
     - 설정한 경로에 암호화 해제된 파일들이 모두 다운로드됩니다.
8. **다운로드된 파일 관리 주의사항**:
   - 만약 암호화된 파일에 개인정보가 포함되어 있다면, 파일을 받은 후에는 복사하거나 드래그 앤 드롭 방식으로 다른 위치에 저장하지 않도록 합니다.
   - 이러한 방법으로 파일을 이동하면 다시 암호화될 수 있으므로, 원본 파일을 직접 수정하거나 사용해야 합니다.
위의 절차를 따라 문서 암호화를 해제하고 안전하게 문서를 사용할 수 있습니다. 추가로 궁금한 사항이나 도움이 필요하시면 언제든지 말씀해 주세요!</t>
  </si>
  <si>
    <t>3c2320d8-4580-4ad4-a0e6-ac13477ffb26</t>
  </si>
  <si>
    <t>370_2503_정보화정책과_업무매뉴얼_정보화정책과_사용자_매뉴얼자료유출방지시스템_고도화_버전_DRM_v50.pdf</t>
  </si>
  <si>
    <t>e65e9f84-4011-4941-b88d-d59dafdffdf4</t>
  </si>
  <si>
    <t>720b87a7-3fa4-4984-945b-2ff78abe4bb5</t>
  </si>
  <si>
    <t>74c59b18-aa66-4abc-b171-a74646cdecbe</t>
  </si>
  <si>
    <t>6d4541bb-83e6-4b5c-89e6-b15797eacb79</t>
  </si>
  <si>
    <t>330_2112_정보화정책과_업무매뉴얼_정보화정책과_FDR개인정보보호솔루션서무_관리자_가이드_V2.pdf</t>
  </si>
  <si>
    <t>관내출장 여비 지급기준은 어떻게 되나요?</t>
  </si>
  <si>
    <t>22f29d8640ab402a98dee2e8354558e2</t>
  </si>
  <si>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</si>
  <si>
    <t>d5913983-add8-40e1-a021-c33a72f35858</t>
  </si>
  <si>
    <t>실물/모바일 공무원증은 어떻게 발급받나요?</t>
  </si>
  <si>
    <t>92e643f413bd401b8a706e37bf08a39f</t>
  </si>
  <si>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</si>
  <si>
    <t>모바일 공무원증은 어떻게 활용할 수 있나요?</t>
  </si>
  <si>
    <t>55420ccfb7754d02a10cc669f6640cec</t>
  </si>
  <si>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</si>
  <si>
    <t>장기재직휴가는 어떻게 신청하나요?</t>
  </si>
  <si>
    <t>6218e08eda8841a2bce88a7ba8af41f1</t>
  </si>
  <si>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</si>
  <si>
    <t>경조사별 휴가일수를 알려주세요</t>
  </si>
  <si>
    <t>부산광역시 공무원 복무 조례
 [별표3] 경조사별 휴가일수표(제15조제1항 관련)
&gt;&gt;&gt; 자료 없음</t>
  </si>
  <si>
    <t>c8a9831945c54d42868baa50a5f99ab7</t>
  </si>
  <si>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</si>
  <si>
    <t>0dd968da-2cf9-49f7-85e1-e0aee344b057</t>
  </si>
  <si>
    <t>기록물은 어떻게 정리하나요?</t>
  </si>
  <si>
    <t>34</t>
  </si>
  <si>
    <t>d9b6fcefd3b34b5994df611bf277d204</t>
  </si>
  <si>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</si>
  <si>
    <t>2444c07a-695c-4fd1-9682-7b34072ced7a</t>
  </si>
  <si>
    <t>228964e5-25a8-4fd7-983b-20427d09d878</t>
  </si>
  <si>
    <t>4cf6cb4a-63af-4589-9a67-74e57eb07891</t>
  </si>
  <si>
    <t>77eb7a5c-4fed-4e1b-8269-23ab9da356ed</t>
  </si>
  <si>
    <t>2d15c284-051a-44c6-8fa6-e9475400a4ad</t>
  </si>
  <si>
    <t>기록물의 보존기간을 업무별로 알려주세요</t>
  </si>
  <si>
    <t>236, 237, 238</t>
  </si>
  <si>
    <t>acafc9483e484bb68ab64eaf35e9aa9c</t>
  </si>
  <si>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</si>
  <si>
    <t>8bc19b6d-f180-422b-9a51-611f19c27f6c</t>
  </si>
  <si>
    <t>7b23e2a6-85ec-421c-82a2-3683efb5d170</t>
  </si>
  <si>
    <t>19593c95-c8c3-49d1-9e01-42e8935780ce</t>
  </si>
  <si>
    <t>ecb6f6f7-e64c-4464-a8da-8b4894001ac4</t>
  </si>
  <si>
    <t>부산시청 내 회의장의 수용가능인원을 알려주세요</t>
  </si>
  <si>
    <t>6a4ac392a7ce439db1811c6ee88d4ccb</t>
  </si>
  <si>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</si>
  <si>
    <t>c87e8ecf-dcf2-43a5-baa6-16ef385e7a3b</t>
  </si>
  <si>
    <t>공고문 게시 기간과 게시 방법에 대한 법적 기준은 어떻게 되나요?</t>
  </si>
  <si>
    <t>14e56ddf26564f3f9bfb8640f4dbdf62</t>
  </si>
  <si>
    <t>업무추진비 집행 시 사용 가능한 항목과 제한 사항은 무엇이며, 지출 시 필요한 증빙 서류는 무엇인가요?</t>
  </si>
  <si>
    <t>d80566d6db4145b2ac34a466fbfdb0da</t>
  </si>
  <si>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</si>
  <si>
    <t>f2bc31ac-716a-4b0d-9ef6-3c24533b7c86</t>
  </si>
  <si>
    <t>bcd5ee2c-a525-4e7d-99da-0eae28666652</t>
  </si>
  <si>
    <t>8b8e8dd9-8a1a-4899-bedb-aa9ec7f2f49d</t>
  </si>
  <si>
    <t>0e972f48-fafb-4164-abee-5dfd3e6efd1b</t>
  </si>
  <si>
    <t>97380751-03db-4ae4-8bb1-43193b48db3a</t>
  </si>
  <si>
    <t>정보공개법에 따른 정보공개 청구 처리 기한은 며칠인가요?</t>
  </si>
  <si>
    <t>100</t>
  </si>
  <si>
    <t>f7e1f31b0ccb42918ad2d2215b73de80</t>
  </si>
  <si>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</si>
  <si>
    <t>9f0428bd-09ba-47f1-a799-ad01bbc5bbb5</t>
  </si>
  <si>
    <t>426_2307_통합민원과_업무매뉴얼_행정안전부_민원_처리에_관한_법령_해설집개정판.pdf</t>
  </si>
  <si>
    <t>0fbece19-ca7d-4782-81f0-fc7563836849</t>
  </si>
  <si>
    <t>「지방공무원법」 및 내부 규정에 따라 겸직이나 외부강의 시 사전 신고가 필요한 경우는 어떤 때이며, 절차는 어떻게 되나요?</t>
  </si>
  <si>
    <t>1251_지방공무원의_영리업무_및_겸직_금지_의무_강조.pdf
1224_외부강의등_신고_중요사항_알림.pdf</t>
  </si>
  <si>
    <t>1
1</t>
  </si>
  <si>
    <t>8f23646d8b284b8eb0a6bb6d35c81bce</t>
  </si>
  <si>
    <t>안녕하세요! 부산광역시청 직원으로서 겸직이나 외부강의 시 사전 신고가 필요한 경우에 대해 자세히 안내해 드리겠습니다.
### **겸직 신고**
**필요한 경우:**
- **영리 업무**: 개인 사업을 운영하거나 상업적인 이익을 추구하는 모든 형태의 업무를 말합니다. 예를 들어, 가게를 운영하거나 주식 투자 등을 통한 수익 창출 등이 이에 해당합니다.
- **비영리 업무**: 비록 직접적인 이익 추구는 아니지만, 지속적으로 시간과 노력을 투입해야 하는 업무를 의미합니다. 예를 들어, 봉사활동 단체의 임원직을 맡거나 지속적인 강연 활동 등이 이에 포함될 수 있습니다.
**절차:**
1. **겸직 허가 신청서 작성:** 인사과에서 제공하는 '겸직 허가 신청서' 양식을 사용하여 신청서를 작성합니다.
2. **신청서 제출:** 작성한 신청서를 소속 부서의 장을 통해 인사과로 제출합니다.
3. **심사 및 승인:** 인사과에서 신청 내용의 적합성을 심사하며, 필요 시 추가 자료나 설명을 요구할 수 있습니다. 심사가 완료되면 겸직 여부가 결정되고, 승인 시에는 공식적인 통보가 이루어집니다.
**주의 사항:**
- **기간 내 신청 필수:** 새로운 직무를 맡게 되었거나 기존 겸직 내용이 변경되었을 경우, 임용 후 1개월 이내에 신청해야 합니다.
- **복무 관리 준수:** 겸직 활동은 근무 시간 외에 이루어져야 하며, 근무 시간에 겸직 업무를 수행하려면 연가, 외출, 조퇴 등의 절차를 거쳐야 합니다.
---
### **외부강의 신고**
**필요한 경우:**
- **사례금이 있는 외부강의**: 공공기관이나 민간단체로부터 사례금을 받고 진행하는 모든 종류의 강의, 강연, 세미나, 토론회, 기고 등이 이에 해당합니다.
- **직무 관련성 여부 확인:** 강의 내용이 현재 맡고 있는 직무와 관련이 있는지 여부를 판단해야 합니다. 직무와 관련된 내용이라면 반드시 신고 대상이 됩니다.
**절차:**
1. **외부강의 신고 등록 시스템 이용:** 행정포털의 '감사관리' 메뉴에서 '외부강의등 신고등록' 기능을 이용하여 온라인으로 신고합니다.
2. **온나라 연계기안 작성:** 신고 내용을 담은 공문을 작성하여 온나라 시스템을 통해 발송합니다.
3. **요청 기관의 공문 첨부:** 강의를 요청한 기관으로부터 받은 공문이나 초청장을 반드시 첨부하여야 합니다.
**주의 사항:**
- **신고 시기:** 외부강의가 종료된 날로부터 10일 이내에 신고해야 합니다. 사전에 신고하는 것도 가능합니다.
- **사례금 상한액 준수:** 직급에 관계없이 1시간 이내 강의는 최대 40만원, 1시간을 초과하는 경우 최대 60만원을 초과해서 받을 수 없습니다.
- **교통/숙박비 처리:** 요청 기관에서 교통비나 숙박비를 별도로 제공할 경우, 이는 사례금과는 별개로 간주되며, 여비와 중복 수령이 불가능합니다.
---
### **추가 참고 사항**
- **법령 및 규정 확인:** 자세한 내용은 「지방공무원법」, 「부산광역시 공무원 행동강령」, 「부산광역시 공무원 복무규정」 등을 참고하시기 바랍니다.
- **문의처:** 궁금한 점이나 도움이 필요할 경우 인사과나 청렴담당관에 문의하실 수 있습니다.
이러한 규정을 준수함으로써 공정하고 투명한 공직 문화를 유지하고, 개인의 권익 보호와 조직의 신뢰도를 높일 수 있습니다. 감사합니다.</t>
  </si>
  <si>
    <t>ce790ccd-732b-40c0-87f3-bead0a598953</t>
  </si>
  <si>
    <t>1251_지방공무원의_영리업무_및_겸직_금지_의무_강조.pdf</t>
  </si>
  <si>
    <t>70c7b7be-df1f-4959-b10d-59b37a6b1c56</t>
  </si>
  <si>
    <t>1224_외부강의등_신고_중요사항_알림.pdf</t>
  </si>
  <si>
    <t>공식행사, 외교, 정부행사 추진시 의전방법은 어떻게 되나요?</t>
  </si>
  <si>
    <t>415_2505_총무과_공문_부산시_방문_주요_인사_의전_매뉴얼_수립_보고자료.pdf
416_2505_총무과_매뉴얼_부산시_의전실무_매뉴얼.pdf</t>
  </si>
  <si>
    <t>4
7</t>
  </si>
  <si>
    <t>b70c4c557d0445399fa080e14e03eb17</t>
  </si>
  <si>
    <t>신규사업을 추진하고자 할때 사전에 심의받아야 하는 절차는 어떤것들이 있나요?</t>
  </si>
  <si>
    <t>1f3b8a04ff814834937d0d2e6df5e8c9</t>
  </si>
  <si>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</si>
  <si>
    <t>1f57bd33-2f48-4b01-bbc7-ba9d173f7ca5</t>
  </si>
  <si>
    <t>28_2503_공공기관담당관_업무매뉴얼_행정안전부_2025년도_지방공사채_발행_운영기준.pdf</t>
  </si>
  <si>
    <t>시에서 주관하는 행사 등 추진 시 홍보 광고물 설치 절차는 어떻게 되나요?</t>
  </si>
  <si>
    <t>a7db3c071caa40df83723775141e48a6</t>
  </si>
  <si>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</si>
  <si>
    <t>공사, 용역, 물품 등 구입시 조달청을 통한 계약 절차는 어떻게 되나요?</t>
  </si>
  <si>
    <t>19</t>
  </si>
  <si>
    <t>4baaad3c297d4fa6afbfb55702c584cd</t>
  </si>
  <si>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</si>
  <si>
    <t>26d737ea-253c-4589-bbfb-9efd91949983</t>
  </si>
  <si>
    <t>예산편성을 위한 신규사업 사전이행절차 안내(사업종류, 사업금액별)</t>
  </si>
  <si>
    <t>087f2f6194dd4c708378ec7674042fba</t>
  </si>
  <si>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</si>
  <si>
    <t>빅데이터과 보유데이터 중 부서활용가능한 데이터 종류</t>
  </si>
  <si>
    <t>135</t>
  </si>
  <si>
    <t>8eac88f556864ddca6bed9ed5e181a0e</t>
  </si>
  <si>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</si>
  <si>
    <t>2c60d79f-61e8-4fbc-afd0-fbdeb0399a09</t>
  </si>
  <si>
    <t>50e58a6e-1129-4262-8339-725bfadcc2d0</t>
  </si>
  <si>
    <t>aa44c577-ca20-47ad-8242-66a9ae31f776</t>
  </si>
  <si>
    <t>일반 usb, 보안 usb 사용방법을 알려주세요</t>
  </si>
  <si>
    <t>04b7348316944447ac4caa7384374ded</t>
  </si>
  <si>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</si>
  <si>
    <t>69dec149-d1da-4beb-aa2e-58ec29222485</t>
  </si>
  <si>
    <t>gpki 비밀번호 잃어버렸을 떄 조치방법을 알려주세요</t>
  </si>
  <si>
    <t>066052aec309405f9b88ce0b840a13c5</t>
  </si>
  <si>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</si>
  <si>
    <t>수시인사교류의 절차는 어떻게 되나요</t>
  </si>
  <si>
    <t>9a5048186e954addbfa8eb2d2d887ad2</t>
  </si>
  <si>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</si>
  <si>
    <t>be3dd1a2-7ba1-4320-9f06-3c392c2c7207</t>
  </si>
  <si>
    <t>전문직위 지정 및 전문관 임용은 어떻게 신청하면 되나요?</t>
  </si>
  <si>
    <t>3a3dff36a7904ff982ba98858515a02e</t>
  </si>
  <si>
    <t>전문직위 지정 및 전문관 임용은 다음과 같이 진행됩니다.
**전문직위 지정 절차**
1. **신청**: 각 부서에서는 전문직위로 지정하고자 하는 직위에 대해 인사과에 신청을 합니다.
2. **직무분석**: 조직담당관에서 해당 직위의 직무내용, 필요 역량 등을 분석하여 전문직위 지정 여부를 검토합니다.
3. **1차 심의**: 실·국에서 제출된 신청서와 직무분석 결과를 바탕으로 1차 심의를 진행합니다.
4. **2차 심의**: 조직담당관과 인사과에서 추가 검토를 거쳐 2차 심의를 진행합니다.
5. **최종 심의 및 지정**: 인사위원회에서 최종적으로 심의하여 전문직위로 지정합니다.
**전문관 임용 절차**
1. **공개모집**: 공석이 발생한 전문직위에 대해 전문관을 공개모집합니다.
2. **선발심사위원회 운영**: 실·국별로 선발심사위원회를 구성하여 지원자들을 심사합니다.
3. **적격자 선발**: 각 분야에서 3배수 이내의 적격자를 선발합니다.
4. **임용**: 인사위원회의 심의를 거쳐 최종적으로 전문관으로 임용합니다.
따라서, 전문직위 지정 및 전문관 임용을 위해서는 각 부서에서 인사과에 전문직위 지정 신청을 하고, 이후 절차를 따르면 됩니다. 자세한 사항은 인사과의 안내를 참고하시기 바랍니다. 도움이 더 필요하시면 말씀해 주세요!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</si>
  <si>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</si>
  <si>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</si>
  <si>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</si>
  <si>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</si>
  <si>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</si>
  <si>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</si>
  <si>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</si>
  <si>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</si>
  <si>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</si>
  <si>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성과상여금 및 연봉결정에 대한 이의신청 방법은?</t>
  </si>
  <si>
    <t>230, 437</t>
  </si>
  <si>
    <t>20d4a6887ad544a3957e99d17038691c</t>
  </si>
  <si>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</si>
  <si>
    <t>91c0c752-f2d1-41a0-867b-db3eeaea6115</t>
  </si>
  <si>
    <t>f7224c46-75dc-4609-aa3b-6b01c037f32e</t>
  </si>
  <si>
    <t>98ff21bf-ee34-4c52-a43a-3c6640c91c49</t>
  </si>
  <si>
    <t>공무원증 신청방법? 발급되는데 얼마나 걸리나요?</t>
  </si>
  <si>
    <t>e45bcf65b6b04d87ac8d4067a942198a</t>
  </si>
  <si>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</si>
  <si>
    <t>당직 등으로 인한 대체휴무 사용기간은 언제까지인가요?</t>
  </si>
  <si>
    <t>bac235a772fe4566a933fb0083b7c87c</t>
  </si>
  <si>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</si>
  <si>
    <t>e6ef8844-7191-47ce-9cd0-db21883e3b1e</t>
  </si>
  <si>
    <t>휴가 마지막 날 18시 이후 초과근무가 가능한지 ?</t>
  </si>
  <si>
    <t>4f3bfd496acc47709029d1cc9fb3cb48</t>
  </si>
  <si>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</si>
  <si>
    <t>c7c83916-a444-4c61-b42b-8387b89ba4c1</t>
  </si>
  <si>
    <t>육아휴직수당의 지급 금액은 얼마인가요?</t>
  </si>
  <si>
    <t>21</t>
  </si>
  <si>
    <t>f0f832d6c6ce472fa12475ca1fb099fd</t>
  </si>
  <si>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</si>
  <si>
    <t>ba0bc45a-b3fd-4135-a38e-945810bf5ad8</t>
  </si>
  <si>
    <t>7e532afc-45c7-4fc7-8aaa-7a4c9baa0683</t>
  </si>
  <si>
    <t>0cc77955-271f-4d46-974e-09a475335c66</t>
  </si>
  <si>
    <t>359667e3-b58c-45a6-9a11-0016dbe35709</t>
  </si>
  <si>
    <t>2c892ab8-7053-4aca-839a-73180b93a5a6</t>
  </si>
  <si>
    <t>가족수당의 지급 금액은 어떻게 되나요?</t>
  </si>
  <si>
    <t>4188ead5bb6249fe900d8298c115ae18</t>
  </si>
  <si>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</si>
  <si>
    <t>327da87d-1e09-4047-a3a8-985794f914f6</t>
  </si>
  <si>
    <t>de0d92ad-9eb3-4a1a-98dc-f7418d4d51cc</t>
  </si>
  <si>
    <t>52825d1e-ff13-46cb-8a8f-b7e740a4ee5c</t>
  </si>
  <si>
    <t>ff04fedb-1f9b-4c87-8f1d-4982a71e5808</t>
  </si>
  <si>
    <t>b6d5e67f-b2de-4795-8044-f8408c9d407d</t>
  </si>
  <si>
    <t>복지포인트 영수증 승인 건에 대한 처리(환급 포함) 시기는?</t>
  </si>
  <si>
    <t>90ed84ec96a349309c869cfc35cbd607</t>
  </si>
  <si>
    <t>승인처리 후 익월 결제대금에서 차감되거나, 결제할 대금이 없으면 환급됩니다. 카드결제대금일은 개인마다 다를 수 있으므로, 추가적인 문의사항이 있으면 베네피아 고객센터(☏1566-9955)로 연락하시기 바랍니다.</t>
  </si>
  <si>
    <t>a6ed2d5e-7126-44e7-ad20-14a6b82481e8</t>
  </si>
  <si>
    <t>공무직 직원이 휴직하였는데, 기간제 승인을 받을 수 있나요?</t>
  </si>
  <si>
    <t>37d7563026524b5b8357166778dc4d7a</t>
  </si>
  <si>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</si>
  <si>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</si>
  <si>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</si>
  <si>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</si>
  <si>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</si>
  <si>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</si>
  <si>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62720ceae096442fb0cddd0a831f0839</t>
  </si>
  <si>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</si>
  <si>
    <t>일상경비 감사에서 가장 많이 지적되는 사항은 어떤것들이 있으며, 해당 케이스는 어떻게 처리해야 원칙적으로 처리되는 것인가요?</t>
  </si>
  <si>
    <t>1244_일상경비_감사_전달사항.pdf</t>
  </si>
  <si>
    <t>6c3302eabf2742f4b3222aa8a653c6c2</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</si>
  <si>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</si>
  <si>
    <t>321ed37e-c7a5-48f0-9191-8d1b64bc1341</t>
  </si>
  <si>
    <t>03b1d649-71fd-486b-b670-96d7f7165c27</t>
  </si>
  <si>
    <t>조달청에서 물품을 구입하려면 어떤 절차를 거쳐야 하며, e호조는 어떤식으로 진행되어야 하나요?</t>
  </si>
  <si>
    <t>851f3ce4f1b8446c80293a89e46f7a5a</t>
  </si>
  <si>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</si>
  <si>
    <t>일상경비로 계약을 하는 경우, 필요한 서류는 어떤것들이 있으며, e호조는 어떻게 진행해야 하나요?</t>
  </si>
  <si>
    <t>7, 8</t>
  </si>
  <si>
    <t>74bf77af456b462ba665479797e55c20</t>
  </si>
  <si>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</si>
  <si>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</si>
  <si>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</si>
  <si>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ea5e04b30fd94020924ae7b5548d52b4</t>
  </si>
  <si>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</si>
  <si>
    <t>ab87c8cd-bbb4-4e24-9712-58cbb0cd6775</t>
  </si>
  <si>
    <t>검사조서가 꼭 필요한 항목은 어떤것들이 있나요?</t>
  </si>
  <si>
    <t>330</t>
  </si>
  <si>
    <t>ad1cdd7a35154ddc9f80dd90b30f2b31</t>
  </si>
  <si>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</si>
  <si>
    <t>66489fe9-d31b-4aad-894d-d6b1bb127a0a</t>
  </si>
  <si>
    <t>관내출장을 갔다가 관외출장을 가는경우, 출장비는 어떻게 지급되어야 하나요?</t>
  </si>
  <si>
    <t>bc052a5325a748b89f3c7a3d01e492d0</t>
  </si>
  <si>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</si>
  <si>
    <t>f2cc3c1a-e8c7-47de-9201-4106e61c909f</t>
  </si>
  <si>
    <t>주말에 관외출장을 가는경우 초과근무나 대체휴무 지급이 가능한가요?</t>
  </si>
  <si>
    <t>ae68c106d0ae4395851a81037950fa2a</t>
  </si>
  <si>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</si>
  <si>
    <t>위원회를 만들때 어떤 프로세스를 거쳐서 해야하나요?</t>
  </si>
  <si>
    <t>374_2203_조직담당관_업무매뉴얼_조직담당관_부산광역시_위원회_설치운영_지침.pdf</t>
  </si>
  <si>
    <t>6, 7, 8, 9</t>
  </si>
  <si>
    <t>948a8fefd40c43189e0b125bacd4139f</t>
  </si>
  <si>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</si>
  <si>
    <t>16eb8b58-0820-4656-8e4c-154cafef7755</t>
  </si>
  <si>
    <t>3d210771-000f-4fba-a355-b6d332d0ad4d</t>
  </si>
  <si>
    <t>445728e3-0bad-4776-b12d-63f201252d14</t>
  </si>
  <si>
    <t>a59d4d8e-aeec-4e94-8208-2969a597d02d</t>
  </si>
  <si>
    <t>850_페이지85_문서10_163616_부산광역시_소속_위원회_설치_및_운영에_관한_조례.pdf</t>
  </si>
  <si>
    <t>9ff43959-6540-4b1f-9c60-9d6da1b2f607</t>
  </si>
  <si>
    <t>민간위탁을 하려고 할때 어떤 조건을 만족시키고 어떤과정을 거쳐야 민간위탁이 가능하나요?</t>
  </si>
  <si>
    <t>2025-03-09 00:00:00</t>
  </si>
  <si>
    <t>12580c1221d1468badb91d0fa996d6ed</t>
  </si>
  <si>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</si>
  <si>
    <t>b630bf98-7fe3-44e0-a232-207df432b90f</t>
  </si>
  <si>
    <t>31056955-e1a3-45d4-b1ee-f6c114260252</t>
  </si>
  <si>
    <t>8ab359e9-d43b-4e56-80f7-284cdd1f7305</t>
  </si>
  <si>
    <t>0bf079bf-267e-4d80-8aa4-43940c45de92</t>
  </si>
  <si>
    <t>295a2196-6c36-4f3d-a8fe-5b1eaa7f6728</t>
  </si>
  <si>
    <t>예산 이체, 변경, 전용, 이용은 어떤 경우에 해야하며, 어떤 프로세스를 거쳐야 하나요?</t>
  </si>
  <si>
    <t>401, 402, 403, 404, 405, 406</t>
  </si>
  <si>
    <t>84c2bde23c6745948f29d9920a67b02a</t>
  </si>
  <si>
    <t>각종 홍보자료를 시청 홈페이지, 엘리베이터 화면, 기타 홍보게시판 등 게시하려면 어떻게 해야하나요?</t>
  </si>
  <si>
    <t>2bf41f6a0cd647febc3f6b541e738c12</t>
  </si>
  <si>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</si>
  <si>
    <t>34cfb1bd048d445b8eca896a9487dcfe</t>
  </si>
  <si>
    <t>계약시 종류별 절차 및 구비서류는 무엇인가요?</t>
  </si>
  <si>
    <t>abf677d4a47d47d5bd211cd8ce0933ad</t>
  </si>
  <si>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</si>
  <si>
    <t>공무국외출장 절차는 무엇인가요?</t>
  </si>
  <si>
    <t>5422424b38364de79b805fcdc7be5490</t>
  </si>
  <si>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</si>
  <si>
    <t>b29c8120-2337-4bf6-a34c-8fd9566c290e</t>
  </si>
  <si>
    <t>8330217a-0b4a-4e44-87fa-e6a16776e71e</t>
  </si>
  <si>
    <t>3d057e26-da95-412b-ae56-7c4c6dad3476</t>
  </si>
  <si>
    <t>fab56e14-0c62-4bde-8a03-bb6394ca514e</t>
  </si>
  <si>
    <t>nac 로그인이 안돼요(아이디, 초기비밀번호 등)</t>
  </si>
  <si>
    <t>129987d90ee44cff92690f3ce7e92e32</t>
  </si>
  <si>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</si>
  <si>
    <t>공무원증 분실시 청사 출입 방법과 재발급 방법은 무엇인가요?</t>
  </si>
  <si>
    <t>9d93dcf15d5344e49c7b1950a3469a3b</t>
  </si>
  <si>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</si>
  <si>
    <t>시청 청사 내 주차 등록 방법은 무엇인가요?</t>
  </si>
  <si>
    <t>505862518db342a2a0c9cc033cc4e5da</t>
  </si>
  <si>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</si>
  <si>
    <t>공유재산 관리계획 수립 시 절차는 어떻게 되나요?</t>
  </si>
  <si>
    <t>1256_공유재산관리계획_작성기준.pdf</t>
  </si>
  <si>
    <t>17</t>
  </si>
  <si>
    <t>eca914157d5441d1b59047da68f93afb</t>
  </si>
  <si>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</si>
  <si>
    <t>eb526b2c-280f-46e4-8ee3-4a90d362f41c</t>
  </si>
  <si>
    <t>3fce2650-cb1e-43d3-ab9f-7e9d75925994</t>
  </si>
  <si>
    <t>2e4d564a-b45e-43fc-9874-00c64bce402e</t>
  </si>
  <si>
    <t>2de0f0c8-62b8-4a49-95ad-da8779b388e1</t>
  </si>
  <si>
    <t>d1b74f49-45ba-450e-9804-cb79d61d8c00</t>
  </si>
  <si>
    <t>87_페이지9_문서7_162222_부산광역시_공유재산_및_물품_관리_조례.pdf</t>
  </si>
  <si>
    <t>행정전자서명(GPKI) 재발급 방법을 알려주세요</t>
  </si>
  <si>
    <t>4e092a45f1bb40018155b9d9322127f1</t>
  </si>
  <si>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</si>
  <si>
    <t>ff3cebbc-070a-4466-97c8-6b21679112dc</t>
  </si>
  <si>
    <t>정산검사 결과 보고서에서 포함돼야 할 내용에 어떤 것들이 있나요?</t>
  </si>
  <si>
    <t>169</t>
  </si>
  <si>
    <t>e65d4ab507c54b2491351bc6f3c9c37f</t>
  </si>
  <si>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</si>
  <si>
    <t>8bc7be8f-ead9-4917-956d-0906893f67b4</t>
  </si>
  <si>
    <t>추가경정예산안에 포함돼야 할 내용에 어떤 것들이 있나요?</t>
  </si>
  <si>
    <t>341, 342, 378, 379</t>
  </si>
  <si>
    <t>903ccfd3473340929c88f9ce6ecd6dca</t>
  </si>
  <si>
    <t>추가경정예산안은 이미 성립된 예산을 변경해야 할 필요가 있을 때 편성되는 예산입니다. 이러한 추가경정예산안에는 다음과 같은 내용이 포함되어야 합니다:
1. **총칙**: 예산의 목적, 범위, 기간 등을 명시하여 예산의 전반적인 개요를 제공합니다.
2. **변경 사유**: 왜 기존 예산을 변경해야 하는지, 즉 추가경정의 필요성과 배경을 상세하게 기술합니다.
3. **예산 변경 내역**:
   - **증감 내역**: 기존 예산 대비 어느 항목에서 얼마만큼 증액되거나 감액되었는지 구체적으로 표시합니다.
   - **세부 사업별 조정 내용**: 각 사업의 세부적인 예산 변경 사항을 포함하여 변경된 이유를 설명합니다.
4. **재원 확보 방안**:
   - **세입 증가분**: 추가로 확보될 것으로 예상되는 세입원을 제시합니다.
   - **자금 운용 계획**: 부족한 자금을 어떻게 충당할 것인지에 대한 계획을 수립합니다.
5. **관련 법령 및 규정 준수 확인**: 예산 편성이 관련 법령과 규정을 준수하고 있음을 확인합니다.
이러한 내용은 추가경정예산안이 적절하고 투명하게 편성되었음을 보장하며, 예산 집행 과정에서의 효율성을 높이기 위해 필요합니다. 또한, 추가경정예산안은 기존 예산과의 비교를 통해 변경된 부분을 명확히 하고, 이에 대한 합당한 근거를 제공함으로써 이해관계자들의 이해를 돕습니다. 따라서, 추가경정예산안에는 위와 같은 필수 요소들이 포함되어 있어야 합니다.</t>
  </si>
  <si>
    <t>49fb702d-f9b8-48f1-be79-cf5e20b84031</t>
  </si>
  <si>
    <t>211_2400_예산담당관_업무매뉴얼_행정안전부_2024_지방재정_투자심사_및_타당성조사_매뉴얼.pdf</t>
  </si>
  <si>
    <t>고충민원이 들어왔을 때 처리절차를 알려주세요</t>
  </si>
  <si>
    <t>139</t>
  </si>
  <si>
    <t>bfa38ead85b947978e7d879a650549c0</t>
  </si>
  <si>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</si>
  <si>
    <t>188dd408-9cfd-4cf4-bd54-40d8a54cb4e2</t>
  </si>
  <si>
    <t>5a61c4f2-0d52-4bfc-aa09-d8f51794f16e</t>
  </si>
  <si>
    <t>b9dee964-2f3f-451a-921d-7f5b430d920f</t>
  </si>
  <si>
    <t>7553d746-3708-4572-87f2-ddfc8ab51139</t>
  </si>
  <si>
    <t>1232_국민신문고_사용자지침서_고충민원_v13.pdf</t>
  </si>
  <si>
    <t>3a7e63a5-93c3-4253-bd02-b15d4f0e92f9</t>
  </si>
  <si>
    <t>1099_페이지110_문서9_164115_부산광역시_납세자보호에_관한_사무처리_조례_시행규칙.pdf</t>
  </si>
  <si>
    <t>예산변경의 절차에 대해서 알려주세요</t>
  </si>
  <si>
    <t>404</t>
  </si>
  <si>
    <t>5ff2479eb7a846a39ceb6a2a3e3f675e</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</si>
  <si>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</si>
  <si>
    <t>fe2a1e0e-54ce-4cee-9e1c-15e9468c6de9</t>
  </si>
  <si>
    <t>법률자문은 어떻게 진행되나요?</t>
  </si>
  <si>
    <t>e90a948013da40ec959e8dd34e52c2c2</t>
  </si>
  <si>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</si>
  <si>
    <t>02af848b-a7c9-4904-98bc-e22b3879edc3</t>
  </si>
  <si>
    <t>정보공개시스템 공개, 비공개, 부존재 처리시 각각의 처리절차를 알려주세요.</t>
  </si>
  <si>
    <t>238, 240, 241, 243</t>
  </si>
  <si>
    <t>f0500d1cec3a472f9a48b94ac8bc3a7e</t>
  </si>
  <si>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</si>
  <si>
    <t>일반지출이 아닌 계약으로 진행해야 하는 기준과 필요 서류들이 무엇이 있는지?</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</si>
  <si>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</si>
  <si>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</si>
  <si>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00044279834f4e029f576a1a6a2ca4fd</t>
  </si>
  <si>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</si>
  <si>
    <t>b426e87b-59f0-4b4e-9568-3ea512a3e0c0</t>
  </si>
  <si>
    <t>467_2402_회계재산담당관_법령_법제처_지방자치단체를_당사자로_하는_계약에_관한_법률법률제19634호20240217.pdf</t>
  </si>
  <si>
    <t>조례를 제정,개정하기 위한 행정절차 가이드라인을 알려줄 수 있는지?</t>
  </si>
  <si>
    <t>f9f94d152cdc496e9cb2d02be9e89115</t>
  </si>
  <si>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</si>
  <si>
    <t>PC를 새로 교체했을 때 해야하는 보안절차가 있는지?</t>
  </si>
  <si>
    <t>fffa9f0fed6249b589c472b3f55567cf</t>
  </si>
  <si>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</si>
  <si>
    <t>국민신문고, 정보공개 처리 기준 및 답변 예시들을 볼 수 있는지?</t>
  </si>
  <si>
    <t>3, 17, 18</t>
  </si>
  <si>
    <t>6a25335828364e499033594ee1e8f3c1</t>
  </si>
  <si>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</si>
  <si>
    <t>1d76b1a7-3963-4419-9382-027fffab78a3</t>
  </si>
  <si>
    <t>6c9030d5-0c8d-453e-8c22-b089435fbc57</t>
  </si>
  <si>
    <t>수의계약이 아닌 입찰로 진행할 때 선행해야할 절차들과 서류들을 정리해 줄 수 있는지?</t>
  </si>
  <si>
    <t>1e998e458f8d4346be06ee3c32a89f2f</t>
  </si>
  <si>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</si>
  <si>
    <t>d575d465-ff8e-4ed7-bd94-7648c2eb65d3</t>
  </si>
  <si>
    <t>a3799714d3c6407095e626da9f5cf875</t>
  </si>
  <si>
    <t>c351dc8bfdfd4717bc73750f783f9b84</t>
  </si>
  <si>
    <t>32c42d48f77a48cd92f4ff9cc23ce5eb</t>
  </si>
  <si>
    <t>475a639b7c974b31a2c792383f1f4234</t>
  </si>
  <si>
    <t>엑셀, 한글 등 SW프로그램을 새로 다운받는 방법을 알려주세요</t>
  </si>
  <si>
    <t>e6d67e9f96eb4445bf99a7fb8c4df21d</t>
  </si>
  <si>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</si>
  <si>
    <t>a9520f81-11c3-45d9-8966-a188243da387</t>
  </si>
  <si>
    <t>c3d79a881d044f038734f4f803a9385e</t>
  </si>
  <si>
    <t>관내출장 시 18:00 이후 복귀하여도 출장 시간 인정이 되는지 궁금합니다.</t>
  </si>
  <si>
    <t>903ae761f26040b6b00d9b07a3d342e2</t>
  </si>
  <si>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</si>
  <si>
    <t>f49baf38-49fc-45ce-a1b2-2db17b216b38</t>
  </si>
  <si>
    <t>예산 수시 배정 절차가 궁금합니다.</t>
  </si>
  <si>
    <t>163</t>
  </si>
  <si>
    <t>33585fdac7814790b0b3dba66c2d880b</t>
  </si>
  <si>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</si>
  <si>
    <t>0111c7ee-fe7d-4b6b-90b6-51c504394695</t>
  </si>
  <si>
    <t>0f102545-033c-490f-b3e6-04a3a70b22a4</t>
  </si>
  <si>
    <t>1258_2507_예산담당관_업무매뉴얼_행정안전부_2026년도_지방자치단체_예산편성_운영기준_및_기금운용계획_수립기준최종.pdf</t>
  </si>
  <si>
    <t>2, 4</t>
    <phoneticPr fontId="2" type="noConversion"/>
  </si>
  <si>
    <t>포함</t>
    <phoneticPr fontId="2" type="noConversion"/>
  </si>
  <si>
    <t>선택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</si>
</sst>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CCFFCC"/>
        <bgColor rgb="FFCCFFCC"/>
      </patternFill>
    </fill>
    <fill>
      <patternFill patternType="solid">
        <fgColor rgb="FFCCFFCC"/>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0" xfId="0" applyFont="1" applyAlignment="1">
      <alignment vertical="top" wrapText="1"/>
    </xf>
    <xf numFmtId="10" fontId="0" fillId="0" borderId="0" xfId="0" applyNumberFormat="1"/>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xf>
    <xf numFmtId="0" fontId="0" fillId="0" borderId="0" xfId="0"/>
    <xf numFmtId="0" fontId="0" fillId="0" borderId="0" xfId="0" applyAlignment="1">
      <alignment vertical="top" wrapText="1"/>
    </xf>
    <xf numFmtId="0" fontId="1" fillId="3" borderId="0" xfId="0" applyFont="1" applyFill="1" applyAlignment="1">
      <alignment vertical="top" wrapText="1"/>
    </xf>
    <xf numFmtId="0" fontId="0" fillId="3" borderId="0" xfId="0" applyFill="1" applyAlignment="1">
      <alignment vertical="top" wrapText="1"/>
    </xf>
  </cellXfs>
  <cellStyles count="1">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F12" sqref="F12"/>
    </sheetView>
  </sheetViews>
  <sheetFormatPr defaultRowHeight="16.5" x14ac:dyDescent="0.3"/>
  <cols>
    <col min="1" max="1" width="20" customWidth="1"/>
  </cols>
  <sheetData>
    <row r="1" spans="1:3" x14ac:dyDescent="0.3">
      <c r="A1" t="s">
        <v>0</v>
      </c>
      <c r="B1">
        <f>COUNTA(Logs!A:A) - 1</f>
        <v>229</v>
      </c>
    </row>
    <row r="2" spans="1:3" x14ac:dyDescent="0.3">
      <c r="A2" t="s">
        <v>1</v>
      </c>
      <c r="B2">
        <f>COUNTIF(Logs!E:E, "포함")</f>
        <v>198</v>
      </c>
      <c r="C2" s="3">
        <f>B2/B1</f>
        <v>0.86462882096069871</v>
      </c>
    </row>
    <row r="3" spans="1:3" x14ac:dyDescent="0.3">
      <c r="A3" t="s">
        <v>2</v>
      </c>
      <c r="B3">
        <f>COUNTIF(Logs!F:F, "선택")</f>
        <v>190</v>
      </c>
      <c r="C3" s="3">
        <f>B3/B1</f>
        <v>0.82969432314410485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46"/>
  <sheetViews>
    <sheetView tabSelected="1" topLeftCell="A849" workbookViewId="0">
      <selection activeCell="E847" sqref="E847:E851"/>
    </sheetView>
  </sheetViews>
  <sheetFormatPr defaultRowHeight="16.5" x14ac:dyDescent="0.3"/>
  <cols>
    <col min="1" max="1" width="5" customWidth="1"/>
    <col min="2" max="2" width="30" customWidth="1"/>
    <col min="3" max="3" width="20" customWidth="1"/>
    <col min="4" max="7" width="10" customWidth="1"/>
    <col min="8" max="8" width="50" customWidth="1"/>
    <col min="9" max="11" width="10" customWidth="1"/>
    <col min="12" max="12" width="30" customWidth="1"/>
    <col min="13" max="13" width="10" customWidth="1"/>
  </cols>
  <sheetData>
    <row r="1" spans="1:13" x14ac:dyDescent="0.3">
      <c r="A1" t="s">
        <v>3</v>
      </c>
      <c r="B1" t="s">
        <v>4</v>
      </c>
      <c r="C1" t="s">
        <v>5</v>
      </c>
      <c r="D1" t="s">
        <v>6</v>
      </c>
      <c r="E1" t="s">
        <v>1</v>
      </c>
      <c r="F1" t="s">
        <v>2</v>
      </c>
      <c r="G1" t="s">
        <v>7</v>
      </c>
      <c r="H1" t="s">
        <v>8</v>
      </c>
      <c r="I1" t="s">
        <v>9</v>
      </c>
      <c r="J1" t="s">
        <v>10</v>
      </c>
      <c r="K1" t="s">
        <v>11</v>
      </c>
      <c r="L1" t="s">
        <v>12</v>
      </c>
      <c r="M1" t="s">
        <v>13</v>
      </c>
    </row>
    <row r="2" spans="1:13" ht="90" customHeight="1" x14ac:dyDescent="0.3">
      <c r="A2" s="8">
        <v>2</v>
      </c>
      <c r="B2" s="8" t="s">
        <v>14</v>
      </c>
      <c r="C2" s="8" t="s">
        <v>15</v>
      </c>
      <c r="D2" s="8" t="s">
        <v>16</v>
      </c>
      <c r="E2" s="6" t="s">
        <v>17</v>
      </c>
      <c r="F2" s="6" t="s">
        <v>18</v>
      </c>
      <c r="G2" s="8" t="s">
        <v>19</v>
      </c>
      <c r="H2" s="8" t="s">
        <v>20</v>
      </c>
      <c r="I2" s="4" t="s">
        <v>21</v>
      </c>
      <c r="J2" s="4">
        <v>0.99267286062240601</v>
      </c>
      <c r="K2" s="4" t="s">
        <v>22</v>
      </c>
      <c r="L2" s="4" t="s">
        <v>15</v>
      </c>
      <c r="M2" s="4">
        <v>22</v>
      </c>
    </row>
    <row r="3" spans="1:13" ht="90" customHeight="1" x14ac:dyDescent="0.3">
      <c r="A3" s="8"/>
      <c r="B3" s="7"/>
      <c r="C3" s="7"/>
      <c r="D3" s="7"/>
      <c r="E3" s="7"/>
      <c r="F3" s="7"/>
      <c r="G3" s="7"/>
      <c r="H3" s="7"/>
      <c r="I3" s="1" t="s">
        <v>23</v>
      </c>
      <c r="J3" s="1">
        <v>0.80307930707931519</v>
      </c>
      <c r="K3" s="1" t="s">
        <v>22</v>
      </c>
      <c r="L3" s="1" t="s">
        <v>24</v>
      </c>
      <c r="M3" s="1">
        <v>60</v>
      </c>
    </row>
    <row r="4" spans="1:13" ht="90" customHeight="1" x14ac:dyDescent="0.3">
      <c r="A4" s="8"/>
      <c r="B4" s="7"/>
      <c r="C4" s="7"/>
      <c r="D4" s="7"/>
      <c r="E4" s="7"/>
      <c r="F4" s="7"/>
      <c r="G4" s="7"/>
      <c r="H4" s="7"/>
      <c r="I4" s="1"/>
      <c r="J4" s="1"/>
      <c r="K4" s="1"/>
      <c r="L4" s="1"/>
      <c r="M4" s="1"/>
    </row>
    <row r="5" spans="1:13" ht="90" customHeight="1" x14ac:dyDescent="0.3">
      <c r="A5" s="8"/>
      <c r="B5" s="7"/>
      <c r="C5" s="7"/>
      <c r="D5" s="7"/>
      <c r="E5" s="7"/>
      <c r="F5" s="7"/>
      <c r="G5" s="7"/>
      <c r="H5" s="7"/>
      <c r="I5" s="1"/>
      <c r="J5" s="1"/>
      <c r="K5" s="1"/>
      <c r="L5" s="1"/>
      <c r="M5" s="1"/>
    </row>
    <row r="6" spans="1:13" ht="90" customHeight="1" x14ac:dyDescent="0.3">
      <c r="A6" s="8"/>
      <c r="B6" s="7"/>
      <c r="C6" s="7"/>
      <c r="D6" s="7"/>
      <c r="E6" s="7"/>
      <c r="F6" s="7"/>
      <c r="G6" s="7"/>
      <c r="H6" s="7"/>
      <c r="I6" s="1"/>
      <c r="J6" s="1"/>
      <c r="K6" s="1"/>
      <c r="L6" s="1"/>
      <c r="M6" s="1"/>
    </row>
    <row r="7" spans="1:13" ht="90" customHeight="1" x14ac:dyDescent="0.3">
      <c r="A7" s="8">
        <v>5</v>
      </c>
      <c r="B7" s="8" t="s">
        <v>25</v>
      </c>
      <c r="C7" s="8" t="s">
        <v>26</v>
      </c>
      <c r="D7" s="8" t="s">
        <v>27</v>
      </c>
      <c r="E7" s="6" t="s">
        <v>17</v>
      </c>
      <c r="F7" s="6" t="s">
        <v>18</v>
      </c>
      <c r="G7" s="8" t="s">
        <v>28</v>
      </c>
      <c r="H7" s="8" t="s">
        <v>29</v>
      </c>
      <c r="I7" s="4" t="s">
        <v>30</v>
      </c>
      <c r="J7" s="4">
        <v>0.99778491258621216</v>
      </c>
      <c r="K7" s="4" t="s">
        <v>22</v>
      </c>
      <c r="L7" s="4" t="s">
        <v>26</v>
      </c>
      <c r="M7" s="4">
        <v>4</v>
      </c>
    </row>
    <row r="8" spans="1:13" ht="90" customHeight="1" x14ac:dyDescent="0.3">
      <c r="A8" s="8"/>
      <c r="B8" s="7"/>
      <c r="C8" s="7"/>
      <c r="D8" s="7"/>
      <c r="E8" s="7"/>
      <c r="F8" s="7"/>
      <c r="G8" s="7"/>
      <c r="H8" s="7"/>
      <c r="I8" s="4" t="s">
        <v>31</v>
      </c>
      <c r="J8" s="4">
        <v>0.99663949012756348</v>
      </c>
      <c r="K8" s="4" t="s">
        <v>22</v>
      </c>
      <c r="L8" s="4" t="s">
        <v>26</v>
      </c>
      <c r="M8" s="4">
        <v>17</v>
      </c>
    </row>
    <row r="9" spans="1:13" ht="90" customHeight="1" x14ac:dyDescent="0.3">
      <c r="A9" s="8"/>
      <c r="B9" s="7"/>
      <c r="C9" s="7"/>
      <c r="D9" s="7"/>
      <c r="E9" s="7"/>
      <c r="F9" s="7"/>
      <c r="G9" s="7"/>
      <c r="H9" s="7"/>
      <c r="I9" s="2" t="s">
        <v>32</v>
      </c>
      <c r="J9" s="2">
        <v>0.99458211660385132</v>
      </c>
      <c r="K9" s="2" t="s">
        <v>22</v>
      </c>
      <c r="L9" s="2" t="s">
        <v>33</v>
      </c>
      <c r="M9" s="2">
        <v>730</v>
      </c>
    </row>
    <row r="10" spans="1:13" ht="90" customHeight="1" x14ac:dyDescent="0.3">
      <c r="A10" s="8"/>
      <c r="B10" s="7"/>
      <c r="C10" s="7"/>
      <c r="D10" s="7"/>
      <c r="E10" s="7"/>
      <c r="F10" s="7"/>
      <c r="G10" s="7"/>
      <c r="H10" s="7"/>
      <c r="I10" s="1" t="s">
        <v>34</v>
      </c>
      <c r="J10" s="1">
        <v>0.98654699325544704</v>
      </c>
      <c r="K10" s="1" t="s">
        <v>22</v>
      </c>
      <c r="L10" s="1" t="s">
        <v>26</v>
      </c>
      <c r="M10" s="1">
        <v>2</v>
      </c>
    </row>
    <row r="11" spans="1:13" ht="90" customHeight="1" x14ac:dyDescent="0.3">
      <c r="A11" s="8"/>
      <c r="B11" s="7"/>
      <c r="C11" s="7"/>
      <c r="D11" s="7"/>
      <c r="E11" s="7"/>
      <c r="F11" s="7"/>
      <c r="G11" s="7"/>
      <c r="H11" s="7"/>
      <c r="I11" s="1" t="s">
        <v>35</v>
      </c>
      <c r="J11" s="1">
        <v>0.96577796228410029</v>
      </c>
      <c r="K11" s="1" t="s">
        <v>22</v>
      </c>
      <c r="L11" s="1" t="s">
        <v>36</v>
      </c>
      <c r="M11" s="1">
        <v>391</v>
      </c>
    </row>
    <row r="12" spans="1:13" ht="90" customHeight="1" x14ac:dyDescent="0.3">
      <c r="A12" s="8">
        <v>6</v>
      </c>
      <c r="B12" s="8" t="s">
        <v>37</v>
      </c>
      <c r="C12" s="8" t="s">
        <v>38</v>
      </c>
      <c r="D12" s="8" t="s">
        <v>39</v>
      </c>
      <c r="E12" s="6" t="s">
        <v>17</v>
      </c>
      <c r="F12" s="6" t="s">
        <v>18</v>
      </c>
      <c r="G12" s="8" t="s">
        <v>40</v>
      </c>
      <c r="H12" s="8" t="s">
        <v>41</v>
      </c>
      <c r="I12" s="4" t="s">
        <v>42</v>
      </c>
      <c r="J12" s="4">
        <v>0.99633604921974217</v>
      </c>
      <c r="K12" s="4" t="s">
        <v>22</v>
      </c>
      <c r="L12" s="4" t="s">
        <v>38</v>
      </c>
      <c r="M12" s="4">
        <v>1</v>
      </c>
    </row>
    <row r="13" spans="1:13" ht="90" customHeight="1" x14ac:dyDescent="0.3">
      <c r="A13" s="8"/>
      <c r="B13" s="7"/>
      <c r="C13" s="7"/>
      <c r="D13" s="7"/>
      <c r="E13" s="7"/>
      <c r="F13" s="7"/>
      <c r="G13" s="7"/>
      <c r="H13" s="7"/>
      <c r="I13" s="4" t="s">
        <v>43</v>
      </c>
      <c r="J13" s="4">
        <v>0.99438198929923671</v>
      </c>
      <c r="K13" s="4" t="s">
        <v>22</v>
      </c>
      <c r="L13" s="4" t="s">
        <v>38</v>
      </c>
      <c r="M13" s="4">
        <v>3</v>
      </c>
    </row>
    <row r="14" spans="1:13" ht="90" customHeight="1" x14ac:dyDescent="0.3">
      <c r="A14" s="8"/>
      <c r="B14" s="7"/>
      <c r="C14" s="7"/>
      <c r="D14" s="7"/>
      <c r="E14" s="7"/>
      <c r="F14" s="7"/>
      <c r="G14" s="7"/>
      <c r="H14" s="7"/>
      <c r="I14" s="4" t="s">
        <v>44</v>
      </c>
      <c r="J14" s="4">
        <v>0.90732722162415458</v>
      </c>
      <c r="K14" s="4" t="s">
        <v>22</v>
      </c>
      <c r="L14" s="4" t="s">
        <v>38</v>
      </c>
      <c r="M14" s="4">
        <v>2</v>
      </c>
    </row>
    <row r="15" spans="1:13" ht="90" customHeight="1" x14ac:dyDescent="0.3">
      <c r="A15" s="8"/>
      <c r="B15" s="7"/>
      <c r="C15" s="7"/>
      <c r="D15" s="7"/>
      <c r="E15" s="7"/>
      <c r="F15" s="7"/>
      <c r="G15" s="7"/>
      <c r="H15" s="7"/>
      <c r="I15" s="1"/>
      <c r="J15" s="1"/>
      <c r="K15" s="1"/>
      <c r="L15" s="1"/>
      <c r="M15" s="1"/>
    </row>
    <row r="16" spans="1:13" ht="90" customHeight="1" x14ac:dyDescent="0.3">
      <c r="A16" s="8"/>
      <c r="B16" s="7"/>
      <c r="C16" s="7"/>
      <c r="D16" s="7"/>
      <c r="E16" s="7"/>
      <c r="F16" s="7"/>
      <c r="G16" s="7"/>
      <c r="H16" s="7"/>
      <c r="I16" s="1"/>
      <c r="J16" s="1"/>
      <c r="K16" s="1"/>
      <c r="L16" s="1"/>
      <c r="M16" s="1"/>
    </row>
    <row r="17" spans="1:13" ht="90" customHeight="1" x14ac:dyDescent="0.3">
      <c r="A17" s="8">
        <v>7</v>
      </c>
      <c r="B17" s="8" t="s">
        <v>45</v>
      </c>
      <c r="C17" s="8" t="s">
        <v>46</v>
      </c>
      <c r="D17" s="8" t="s">
        <v>47</v>
      </c>
      <c r="E17" s="6" t="s">
        <v>17</v>
      </c>
      <c r="F17" s="6" t="s">
        <v>18</v>
      </c>
      <c r="G17" s="8" t="s">
        <v>48</v>
      </c>
      <c r="H17" s="8" t="s">
        <v>49</v>
      </c>
      <c r="I17" s="2" t="s">
        <v>50</v>
      </c>
      <c r="J17" s="2">
        <v>0.99977236986160278</v>
      </c>
      <c r="K17" s="2" t="s">
        <v>22</v>
      </c>
      <c r="L17" s="2" t="s">
        <v>46</v>
      </c>
      <c r="M17" s="2">
        <v>35</v>
      </c>
    </row>
    <row r="18" spans="1:13" ht="90" customHeight="1" x14ac:dyDescent="0.3">
      <c r="A18" s="8"/>
      <c r="B18" s="7"/>
      <c r="C18" s="7"/>
      <c r="D18" s="7"/>
      <c r="E18" s="7"/>
      <c r="F18" s="7"/>
      <c r="G18" s="7"/>
      <c r="H18" s="7"/>
      <c r="I18" s="4" t="s">
        <v>51</v>
      </c>
      <c r="J18" s="4">
        <v>0.99887353181838989</v>
      </c>
      <c r="K18" s="4" t="s">
        <v>22</v>
      </c>
      <c r="L18" s="4" t="s">
        <v>46</v>
      </c>
      <c r="M18" s="4">
        <v>25</v>
      </c>
    </row>
    <row r="19" spans="1:13" ht="90" customHeight="1" x14ac:dyDescent="0.3">
      <c r="A19" s="8"/>
      <c r="B19" s="7"/>
      <c r="C19" s="7"/>
      <c r="D19" s="7"/>
      <c r="E19" s="7"/>
      <c r="F19" s="7"/>
      <c r="G19" s="7"/>
      <c r="H19" s="7"/>
      <c r="I19" s="1" t="s">
        <v>52</v>
      </c>
      <c r="J19" s="1">
        <v>0.99334549903869629</v>
      </c>
      <c r="K19" s="1" t="s">
        <v>22</v>
      </c>
      <c r="L19" s="1" t="s">
        <v>46</v>
      </c>
      <c r="M19" s="1">
        <v>27</v>
      </c>
    </row>
    <row r="20" spans="1:13" ht="90" customHeight="1" x14ac:dyDescent="0.3">
      <c r="A20" s="8"/>
      <c r="B20" s="7"/>
      <c r="C20" s="7"/>
      <c r="D20" s="7"/>
      <c r="E20" s="7"/>
      <c r="F20" s="7"/>
      <c r="G20" s="7"/>
      <c r="H20" s="7"/>
      <c r="I20" s="1" t="s">
        <v>53</v>
      </c>
      <c r="J20" s="1">
        <v>0.92687041706620787</v>
      </c>
      <c r="K20" s="1" t="s">
        <v>22</v>
      </c>
      <c r="L20" s="1" t="s">
        <v>46</v>
      </c>
      <c r="M20" s="1">
        <v>39</v>
      </c>
    </row>
    <row r="21" spans="1:13" ht="90" customHeight="1" x14ac:dyDescent="0.3">
      <c r="A21" s="8"/>
      <c r="B21" s="7"/>
      <c r="C21" s="7"/>
      <c r="D21" s="7"/>
      <c r="E21" s="7"/>
      <c r="F21" s="7"/>
      <c r="G21" s="7"/>
      <c r="H21" s="7"/>
      <c r="I21" s="1" t="s">
        <v>54</v>
      </c>
      <c r="J21" s="1">
        <v>0.79490917921066284</v>
      </c>
      <c r="K21" s="1" t="s">
        <v>22</v>
      </c>
      <c r="L21" s="1" t="s">
        <v>46</v>
      </c>
      <c r="M21" s="1">
        <v>36</v>
      </c>
    </row>
    <row r="22" spans="1:13" ht="90" customHeight="1" x14ac:dyDescent="0.3">
      <c r="A22" s="8">
        <v>8</v>
      </c>
      <c r="B22" s="8" t="s">
        <v>55</v>
      </c>
      <c r="C22" s="8" t="s">
        <v>46</v>
      </c>
      <c r="D22" s="8" t="s">
        <v>47</v>
      </c>
      <c r="E22" s="6" t="s">
        <v>17</v>
      </c>
      <c r="F22" s="6" t="s">
        <v>18</v>
      </c>
      <c r="G22" s="8" t="s">
        <v>56</v>
      </c>
      <c r="H22" s="8" t="s">
        <v>57</v>
      </c>
      <c r="I22" s="2" t="s">
        <v>58</v>
      </c>
      <c r="J22" s="2">
        <v>0.99944096803665161</v>
      </c>
      <c r="K22" s="2" t="s">
        <v>22</v>
      </c>
      <c r="L22" s="2" t="s">
        <v>46</v>
      </c>
      <c r="M22" s="2">
        <v>24</v>
      </c>
    </row>
    <row r="23" spans="1:13" ht="90" customHeight="1" x14ac:dyDescent="0.3">
      <c r="A23" s="8"/>
      <c r="B23" s="7"/>
      <c r="C23" s="7"/>
      <c r="D23" s="7"/>
      <c r="E23" s="7"/>
      <c r="F23" s="7"/>
      <c r="G23" s="7"/>
      <c r="H23" s="7"/>
      <c r="I23" s="4" t="s">
        <v>59</v>
      </c>
      <c r="J23" s="4">
        <v>0.99919658899307251</v>
      </c>
      <c r="K23" s="4" t="s">
        <v>22</v>
      </c>
      <c r="L23" s="4" t="s">
        <v>46</v>
      </c>
      <c r="M23" s="4">
        <v>25</v>
      </c>
    </row>
    <row r="24" spans="1:13" ht="90" customHeight="1" x14ac:dyDescent="0.3">
      <c r="A24" s="8"/>
      <c r="B24" s="7"/>
      <c r="C24" s="7"/>
      <c r="D24" s="7"/>
      <c r="E24" s="7"/>
      <c r="F24" s="7"/>
      <c r="G24" s="7"/>
      <c r="H24" s="7"/>
      <c r="I24" s="1" t="s">
        <v>50</v>
      </c>
      <c r="J24" s="1">
        <v>0.98959267139434814</v>
      </c>
      <c r="K24" s="1" t="s">
        <v>22</v>
      </c>
      <c r="L24" s="1" t="s">
        <v>46</v>
      </c>
      <c r="M24" s="1">
        <v>35</v>
      </c>
    </row>
    <row r="25" spans="1:13" ht="90" customHeight="1" x14ac:dyDescent="0.3">
      <c r="A25" s="8"/>
      <c r="B25" s="7"/>
      <c r="C25" s="7"/>
      <c r="D25" s="7"/>
      <c r="E25" s="7"/>
      <c r="F25" s="7"/>
      <c r="G25" s="7"/>
      <c r="H25" s="7"/>
      <c r="I25" s="1"/>
      <c r="J25" s="1"/>
      <c r="K25" s="1"/>
      <c r="L25" s="1"/>
      <c r="M25" s="1"/>
    </row>
    <row r="26" spans="1:13" ht="90" customHeight="1" x14ac:dyDescent="0.3">
      <c r="A26" s="8"/>
      <c r="B26" s="7"/>
      <c r="C26" s="7"/>
      <c r="D26" s="7"/>
      <c r="E26" s="7"/>
      <c r="F26" s="7"/>
      <c r="G26" s="7"/>
      <c r="H26" s="7"/>
      <c r="I26" s="1"/>
      <c r="J26" s="1"/>
      <c r="K26" s="1"/>
      <c r="L26" s="1"/>
      <c r="M26" s="1"/>
    </row>
    <row r="27" spans="1:13" ht="90" customHeight="1" x14ac:dyDescent="0.3">
      <c r="A27" s="8">
        <v>9</v>
      </c>
      <c r="B27" s="8" t="s">
        <v>60</v>
      </c>
      <c r="C27" s="8" t="s">
        <v>61</v>
      </c>
      <c r="D27" s="8" t="s">
        <v>62</v>
      </c>
      <c r="E27" s="6" t="s">
        <v>17</v>
      </c>
      <c r="F27" s="6" t="s">
        <v>18</v>
      </c>
      <c r="G27" s="8" t="s">
        <v>63</v>
      </c>
      <c r="H27" s="8" t="s">
        <v>64</v>
      </c>
      <c r="I27" s="4" t="s">
        <v>65</v>
      </c>
      <c r="J27" s="4">
        <v>0.99994301795959473</v>
      </c>
      <c r="K27" s="4" t="s">
        <v>22</v>
      </c>
      <c r="L27" s="4" t="s">
        <v>61</v>
      </c>
      <c r="M27" s="4">
        <v>5</v>
      </c>
    </row>
    <row r="28" spans="1:13" ht="90" customHeight="1" x14ac:dyDescent="0.3">
      <c r="A28" s="8"/>
      <c r="B28" s="7"/>
      <c r="C28" s="7"/>
      <c r="D28" s="7"/>
      <c r="E28" s="7"/>
      <c r="F28" s="7"/>
      <c r="G28" s="7"/>
      <c r="H28" s="7"/>
      <c r="I28" s="2" t="s">
        <v>66</v>
      </c>
      <c r="J28" s="2">
        <v>0.99337834119796753</v>
      </c>
      <c r="K28" s="2" t="s">
        <v>22</v>
      </c>
      <c r="L28" s="2" t="s">
        <v>67</v>
      </c>
      <c r="M28" s="2">
        <v>250</v>
      </c>
    </row>
    <row r="29" spans="1:13" ht="90" customHeight="1" x14ac:dyDescent="0.3">
      <c r="A29" s="8"/>
      <c r="B29" s="7"/>
      <c r="C29" s="7"/>
      <c r="D29" s="7"/>
      <c r="E29" s="7"/>
      <c r="F29" s="7"/>
      <c r="G29" s="7"/>
      <c r="H29" s="7"/>
      <c r="I29" s="2" t="s">
        <v>68</v>
      </c>
      <c r="J29" s="2">
        <v>0.98636901378631592</v>
      </c>
      <c r="K29" s="2" t="s">
        <v>22</v>
      </c>
      <c r="L29" s="2" t="s">
        <v>67</v>
      </c>
      <c r="M29" s="2">
        <v>213</v>
      </c>
    </row>
    <row r="30" spans="1:13" ht="90" customHeight="1" x14ac:dyDescent="0.3">
      <c r="A30" s="8"/>
      <c r="B30" s="7"/>
      <c r="C30" s="7"/>
      <c r="D30" s="7"/>
      <c r="E30" s="7"/>
      <c r="F30" s="7"/>
      <c r="G30" s="7"/>
      <c r="H30" s="7"/>
      <c r="I30" s="1" t="s">
        <v>69</v>
      </c>
      <c r="J30" s="1">
        <v>0.96977406740188599</v>
      </c>
      <c r="K30" s="1" t="s">
        <v>22</v>
      </c>
      <c r="L30" s="1" t="s">
        <v>67</v>
      </c>
      <c r="M30" s="1">
        <v>214</v>
      </c>
    </row>
    <row r="31" spans="1:13" ht="90" customHeight="1" x14ac:dyDescent="0.3">
      <c r="A31" s="8"/>
      <c r="B31" s="7"/>
      <c r="C31" s="7"/>
      <c r="D31" s="7"/>
      <c r="E31" s="7"/>
      <c r="F31" s="7"/>
      <c r="G31" s="7"/>
      <c r="H31" s="7"/>
      <c r="I31" s="1" t="s">
        <v>70</v>
      </c>
      <c r="J31" s="1">
        <v>0.95449024438858032</v>
      </c>
      <c r="K31" s="1" t="s">
        <v>22</v>
      </c>
      <c r="L31" s="1" t="s">
        <v>71</v>
      </c>
      <c r="M31" s="1">
        <v>10</v>
      </c>
    </row>
    <row r="32" spans="1:13" ht="90" customHeight="1" x14ac:dyDescent="0.3">
      <c r="A32" s="8">
        <v>10</v>
      </c>
      <c r="B32" s="8" t="s">
        <v>72</v>
      </c>
      <c r="C32" s="8" t="s">
        <v>61</v>
      </c>
      <c r="D32" s="8" t="s">
        <v>62</v>
      </c>
      <c r="E32" s="6" t="s">
        <v>17</v>
      </c>
      <c r="F32" s="6" t="s">
        <v>18</v>
      </c>
      <c r="G32" s="8" t="s">
        <v>73</v>
      </c>
      <c r="H32" s="8" t="s">
        <v>74</v>
      </c>
      <c r="I32" s="4" t="s">
        <v>65</v>
      </c>
      <c r="J32" s="4">
        <v>0.9996410608291626</v>
      </c>
      <c r="K32" s="4" t="s">
        <v>22</v>
      </c>
      <c r="L32" s="4" t="s">
        <v>61</v>
      </c>
      <c r="M32" s="4">
        <v>5</v>
      </c>
    </row>
    <row r="33" spans="1:13" ht="90" customHeight="1" x14ac:dyDescent="0.3">
      <c r="A33" s="8"/>
      <c r="B33" s="7"/>
      <c r="C33" s="7"/>
      <c r="D33" s="7"/>
      <c r="E33" s="7"/>
      <c r="F33" s="7"/>
      <c r="G33" s="7"/>
      <c r="H33" s="7"/>
      <c r="I33" s="2" t="s">
        <v>75</v>
      </c>
      <c r="J33" s="2">
        <v>0.99180206450985198</v>
      </c>
      <c r="K33" s="2" t="s">
        <v>76</v>
      </c>
      <c r="L33" s="2" t="s">
        <v>77</v>
      </c>
      <c r="M33" s="2">
        <v>2</v>
      </c>
    </row>
    <row r="34" spans="1:13" ht="90" customHeight="1" x14ac:dyDescent="0.3">
      <c r="A34" s="8"/>
      <c r="B34" s="7"/>
      <c r="C34" s="7"/>
      <c r="D34" s="7"/>
      <c r="E34" s="7"/>
      <c r="F34" s="7"/>
      <c r="G34" s="7"/>
      <c r="H34" s="7"/>
      <c r="I34" s="2" t="s">
        <v>78</v>
      </c>
      <c r="J34" s="2">
        <v>0.91530156135559082</v>
      </c>
      <c r="K34" s="2" t="s">
        <v>22</v>
      </c>
      <c r="L34" s="2" t="s">
        <v>67</v>
      </c>
      <c r="M34" s="2">
        <v>58</v>
      </c>
    </row>
    <row r="35" spans="1:13" ht="90" customHeight="1" x14ac:dyDescent="0.3">
      <c r="A35" s="8"/>
      <c r="B35" s="7"/>
      <c r="C35" s="7"/>
      <c r="D35" s="7"/>
      <c r="E35" s="7"/>
      <c r="F35" s="7"/>
      <c r="G35" s="7"/>
      <c r="H35" s="7"/>
      <c r="I35" s="1" t="s">
        <v>79</v>
      </c>
      <c r="J35" s="1">
        <v>0.85212135314941384</v>
      </c>
      <c r="K35" s="1" t="s">
        <v>76</v>
      </c>
      <c r="L35" s="1" t="s">
        <v>77</v>
      </c>
      <c r="M35" s="1">
        <v>1</v>
      </c>
    </row>
    <row r="36" spans="1:13" ht="90" customHeight="1" x14ac:dyDescent="0.3">
      <c r="A36" s="8"/>
      <c r="B36" s="7"/>
      <c r="C36" s="7"/>
      <c r="D36" s="7"/>
      <c r="E36" s="7"/>
      <c r="F36" s="7"/>
      <c r="G36" s="7"/>
      <c r="H36" s="7"/>
      <c r="I36" s="1" t="s">
        <v>80</v>
      </c>
      <c r="J36" s="1">
        <v>0.83981746435165405</v>
      </c>
      <c r="K36" s="1" t="s">
        <v>22</v>
      </c>
      <c r="L36" s="1" t="s">
        <v>61</v>
      </c>
      <c r="M36" s="1">
        <v>3</v>
      </c>
    </row>
    <row r="37" spans="1:13" ht="90" customHeight="1" x14ac:dyDescent="0.3">
      <c r="A37" s="8">
        <v>11</v>
      </c>
      <c r="B37" s="8" t="s">
        <v>81</v>
      </c>
      <c r="C37" s="8" t="s">
        <v>38</v>
      </c>
      <c r="D37" s="8" t="s">
        <v>39</v>
      </c>
      <c r="E37" s="6" t="s">
        <v>17</v>
      </c>
      <c r="F37" s="6" t="s">
        <v>18</v>
      </c>
      <c r="G37" s="8" t="s">
        <v>82</v>
      </c>
      <c r="H37" s="8" t="s">
        <v>83</v>
      </c>
      <c r="I37" s="4" t="s">
        <v>43</v>
      </c>
      <c r="J37" s="4">
        <v>0.88937575229858712</v>
      </c>
      <c r="K37" s="4" t="s">
        <v>22</v>
      </c>
      <c r="L37" s="4" t="s">
        <v>38</v>
      </c>
      <c r="M37" s="4">
        <v>3</v>
      </c>
    </row>
    <row r="38" spans="1:13" ht="90" customHeight="1" x14ac:dyDescent="0.3">
      <c r="A38" s="8"/>
      <c r="B38" s="7"/>
      <c r="C38" s="7"/>
      <c r="D38" s="7"/>
      <c r="E38" s="7"/>
      <c r="F38" s="7"/>
      <c r="G38" s="7"/>
      <c r="H38" s="7"/>
      <c r="I38" s="4" t="s">
        <v>42</v>
      </c>
      <c r="J38" s="4">
        <v>0.88497441582490677</v>
      </c>
      <c r="K38" s="4" t="s">
        <v>22</v>
      </c>
      <c r="L38" s="4" t="s">
        <v>38</v>
      </c>
      <c r="M38" s="4">
        <v>1</v>
      </c>
    </row>
    <row r="39" spans="1:13" ht="90" customHeight="1" x14ac:dyDescent="0.3">
      <c r="A39" s="8"/>
      <c r="B39" s="7"/>
      <c r="C39" s="7"/>
      <c r="D39" s="7"/>
      <c r="E39" s="7"/>
      <c r="F39" s="7"/>
      <c r="G39" s="7"/>
      <c r="H39" s="7"/>
      <c r="I39" s="4" t="s">
        <v>44</v>
      </c>
      <c r="J39" s="4">
        <v>0.82395597544163113</v>
      </c>
      <c r="K39" s="4" t="s">
        <v>22</v>
      </c>
      <c r="L39" s="4" t="s">
        <v>38</v>
      </c>
      <c r="M39" s="4">
        <v>2</v>
      </c>
    </row>
    <row r="40" spans="1:13" ht="90" customHeight="1" x14ac:dyDescent="0.3">
      <c r="A40" s="8"/>
      <c r="B40" s="7"/>
      <c r="C40" s="7"/>
      <c r="D40" s="7"/>
      <c r="E40" s="7"/>
      <c r="F40" s="7"/>
      <c r="G40" s="7"/>
      <c r="H40" s="7"/>
      <c r="I40" s="1"/>
      <c r="J40" s="1"/>
      <c r="K40" s="1"/>
      <c r="L40" s="1"/>
      <c r="M40" s="1"/>
    </row>
    <row r="41" spans="1:13" ht="90" customHeight="1" x14ac:dyDescent="0.3">
      <c r="A41" s="8"/>
      <c r="B41" s="7"/>
      <c r="C41" s="7"/>
      <c r="D41" s="7"/>
      <c r="E41" s="7"/>
      <c r="F41" s="7"/>
      <c r="G41" s="7"/>
      <c r="H41" s="7"/>
      <c r="I41" s="1"/>
      <c r="J41" s="1"/>
      <c r="K41" s="1"/>
      <c r="L41" s="1"/>
      <c r="M41" s="1"/>
    </row>
    <row r="42" spans="1:13" ht="90" customHeight="1" x14ac:dyDescent="0.3">
      <c r="A42" s="8">
        <v>13</v>
      </c>
      <c r="B42" s="8" t="s">
        <v>84</v>
      </c>
      <c r="C42" s="8" t="s">
        <v>85</v>
      </c>
      <c r="D42" s="8" t="s">
        <v>86</v>
      </c>
      <c r="E42" s="6" t="s">
        <v>17</v>
      </c>
      <c r="F42" s="6" t="s">
        <v>18</v>
      </c>
      <c r="G42" s="8" t="s">
        <v>87</v>
      </c>
      <c r="H42" s="8" t="s">
        <v>88</v>
      </c>
      <c r="I42" s="4" t="s">
        <v>89</v>
      </c>
      <c r="J42" s="4">
        <v>0.97410869598388672</v>
      </c>
      <c r="K42" s="4" t="s">
        <v>22</v>
      </c>
      <c r="L42" s="4" t="s">
        <v>85</v>
      </c>
      <c r="M42" s="4">
        <v>4</v>
      </c>
    </row>
    <row r="43" spans="1:13" ht="90" customHeight="1" x14ac:dyDescent="0.3">
      <c r="A43" s="8"/>
      <c r="B43" s="7"/>
      <c r="C43" s="7"/>
      <c r="D43" s="7"/>
      <c r="E43" s="7"/>
      <c r="F43" s="7"/>
      <c r="G43" s="7"/>
      <c r="H43" s="7"/>
      <c r="I43" s="1"/>
      <c r="J43" s="1"/>
      <c r="K43" s="1"/>
      <c r="L43" s="1"/>
      <c r="M43" s="1"/>
    </row>
    <row r="44" spans="1:13" ht="90" customHeight="1" x14ac:dyDescent="0.3">
      <c r="A44" s="8"/>
      <c r="B44" s="7"/>
      <c r="C44" s="7"/>
      <c r="D44" s="7"/>
      <c r="E44" s="7"/>
      <c r="F44" s="7"/>
      <c r="G44" s="7"/>
      <c r="H44" s="7"/>
      <c r="I44" s="1"/>
      <c r="J44" s="1"/>
      <c r="K44" s="1"/>
      <c r="L44" s="1"/>
      <c r="M44" s="1"/>
    </row>
    <row r="45" spans="1:13" ht="90" customHeight="1" x14ac:dyDescent="0.3">
      <c r="A45" s="8"/>
      <c r="B45" s="7"/>
      <c r="C45" s="7"/>
      <c r="D45" s="7"/>
      <c r="E45" s="7"/>
      <c r="F45" s="7"/>
      <c r="G45" s="7"/>
      <c r="H45" s="7"/>
      <c r="I45" s="1"/>
      <c r="J45" s="1"/>
      <c r="K45" s="1"/>
      <c r="L45" s="1"/>
      <c r="M45" s="1"/>
    </row>
    <row r="46" spans="1:13" ht="90" customHeight="1" x14ac:dyDescent="0.3">
      <c r="A46" s="8"/>
      <c r="B46" s="7"/>
      <c r="C46" s="7"/>
      <c r="D46" s="7"/>
      <c r="E46" s="7"/>
      <c r="F46" s="7"/>
      <c r="G46" s="7"/>
      <c r="H46" s="7"/>
      <c r="I46" s="1"/>
      <c r="J46" s="1"/>
      <c r="K46" s="1"/>
      <c r="L46" s="1"/>
      <c r="M46" s="1"/>
    </row>
    <row r="47" spans="1:13" ht="90" customHeight="1" x14ac:dyDescent="0.3">
      <c r="A47" s="8">
        <v>14</v>
      </c>
      <c r="B47" s="8" t="s">
        <v>90</v>
      </c>
      <c r="C47" s="8" t="s">
        <v>91</v>
      </c>
      <c r="D47" s="8" t="s">
        <v>92</v>
      </c>
      <c r="E47" s="6" t="s">
        <v>93</v>
      </c>
      <c r="F47" s="6" t="s">
        <v>94</v>
      </c>
      <c r="G47" s="8" t="s">
        <v>95</v>
      </c>
      <c r="H47" s="8" t="s">
        <v>96</v>
      </c>
      <c r="I47" s="1"/>
      <c r="J47" s="1"/>
      <c r="K47" s="1"/>
      <c r="L47" s="1"/>
      <c r="M47" s="1"/>
    </row>
    <row r="48" spans="1:13" ht="90" customHeight="1" x14ac:dyDescent="0.3">
      <c r="A48" s="8"/>
      <c r="B48" s="7"/>
      <c r="C48" s="7"/>
      <c r="D48" s="7"/>
      <c r="E48" s="7"/>
      <c r="F48" s="7"/>
      <c r="G48" s="7"/>
      <c r="H48" s="7"/>
      <c r="I48" s="1"/>
      <c r="J48" s="1"/>
      <c r="K48" s="1"/>
      <c r="L48" s="1"/>
      <c r="M48" s="1"/>
    </row>
    <row r="49" spans="1:13" ht="90" customHeight="1" x14ac:dyDescent="0.3">
      <c r="A49" s="8"/>
      <c r="B49" s="7"/>
      <c r="C49" s="7"/>
      <c r="D49" s="7"/>
      <c r="E49" s="7"/>
      <c r="F49" s="7"/>
      <c r="G49" s="7"/>
      <c r="H49" s="7"/>
      <c r="I49" s="1"/>
      <c r="J49" s="1"/>
      <c r="K49" s="1"/>
      <c r="L49" s="1"/>
      <c r="M49" s="1"/>
    </row>
    <row r="50" spans="1:13" ht="90" customHeight="1" x14ac:dyDescent="0.3">
      <c r="A50" s="8"/>
      <c r="B50" s="7"/>
      <c r="C50" s="7"/>
      <c r="D50" s="7"/>
      <c r="E50" s="7"/>
      <c r="F50" s="7"/>
      <c r="G50" s="7"/>
      <c r="H50" s="7"/>
      <c r="I50" s="1"/>
      <c r="J50" s="1"/>
      <c r="K50" s="1"/>
      <c r="L50" s="1"/>
      <c r="M50" s="1"/>
    </row>
    <row r="51" spans="1:13" ht="90" customHeight="1" x14ac:dyDescent="0.3">
      <c r="A51" s="8"/>
      <c r="B51" s="7"/>
      <c r="C51" s="7"/>
      <c r="D51" s="7"/>
      <c r="E51" s="7"/>
      <c r="F51" s="7"/>
      <c r="G51" s="7"/>
      <c r="H51" s="7"/>
      <c r="I51" s="1"/>
      <c r="J51" s="1"/>
      <c r="K51" s="1"/>
      <c r="L51" s="1"/>
      <c r="M51" s="1"/>
    </row>
    <row r="52" spans="1:13" ht="90" customHeight="1" x14ac:dyDescent="0.3">
      <c r="A52" s="8">
        <v>15</v>
      </c>
      <c r="B52" s="8" t="s">
        <v>97</v>
      </c>
      <c r="C52" s="8" t="s">
        <v>98</v>
      </c>
      <c r="D52" s="8" t="s">
        <v>99</v>
      </c>
      <c r="E52" s="6" t="s">
        <v>17</v>
      </c>
      <c r="F52" s="6" t="s">
        <v>18</v>
      </c>
      <c r="G52" s="8" t="s">
        <v>100</v>
      </c>
      <c r="H52" s="8" t="s">
        <v>101</v>
      </c>
      <c r="I52" s="4" t="s">
        <v>102</v>
      </c>
      <c r="J52" s="4">
        <v>0.9986612796783445</v>
      </c>
      <c r="K52" s="4" t="s">
        <v>22</v>
      </c>
      <c r="L52" s="4" t="s">
        <v>98</v>
      </c>
      <c r="M52" s="4">
        <v>1</v>
      </c>
    </row>
    <row r="53" spans="1:13" ht="90" customHeight="1" x14ac:dyDescent="0.3">
      <c r="A53" s="8"/>
      <c r="B53" s="7"/>
      <c r="C53" s="7"/>
      <c r="D53" s="7"/>
      <c r="E53" s="7"/>
      <c r="F53" s="7"/>
      <c r="G53" s="7"/>
      <c r="H53" s="7"/>
      <c r="I53" s="1"/>
      <c r="J53" s="1"/>
      <c r="K53" s="1"/>
      <c r="L53" s="1"/>
      <c r="M53" s="1"/>
    </row>
    <row r="54" spans="1:13" ht="90" customHeight="1" x14ac:dyDescent="0.3">
      <c r="A54" s="8"/>
      <c r="B54" s="7"/>
      <c r="C54" s="7"/>
      <c r="D54" s="7"/>
      <c r="E54" s="7"/>
      <c r="F54" s="7"/>
      <c r="G54" s="7"/>
      <c r="H54" s="7"/>
      <c r="I54" s="1"/>
      <c r="J54" s="1"/>
      <c r="K54" s="1"/>
      <c r="L54" s="1"/>
      <c r="M54" s="1"/>
    </row>
    <row r="55" spans="1:13" ht="90" customHeight="1" x14ac:dyDescent="0.3">
      <c r="A55" s="8"/>
      <c r="B55" s="7"/>
      <c r="C55" s="7"/>
      <c r="D55" s="7"/>
      <c r="E55" s="7"/>
      <c r="F55" s="7"/>
      <c r="G55" s="7"/>
      <c r="H55" s="7"/>
      <c r="I55" s="1"/>
      <c r="J55" s="1"/>
      <c r="K55" s="1"/>
      <c r="L55" s="1"/>
      <c r="M55" s="1"/>
    </row>
    <row r="56" spans="1:13" ht="90" customHeight="1" x14ac:dyDescent="0.3">
      <c r="A56" s="8"/>
      <c r="B56" s="7"/>
      <c r="C56" s="7"/>
      <c r="D56" s="7"/>
      <c r="E56" s="7"/>
      <c r="F56" s="7"/>
      <c r="G56" s="7"/>
      <c r="H56" s="7"/>
      <c r="I56" s="1"/>
      <c r="J56" s="1"/>
      <c r="K56" s="1"/>
      <c r="L56" s="1"/>
      <c r="M56" s="1"/>
    </row>
    <row r="57" spans="1:13" ht="90" customHeight="1" x14ac:dyDescent="0.3">
      <c r="A57" s="8">
        <v>16</v>
      </c>
      <c r="B57" s="8" t="s">
        <v>103</v>
      </c>
      <c r="C57" s="8" t="s">
        <v>98</v>
      </c>
      <c r="D57" s="8" t="s">
        <v>99</v>
      </c>
      <c r="E57" s="6" t="s">
        <v>17</v>
      </c>
      <c r="F57" s="6" t="s">
        <v>18</v>
      </c>
      <c r="G57" s="8" t="s">
        <v>104</v>
      </c>
      <c r="H57" s="8" t="s">
        <v>105</v>
      </c>
      <c r="I57" s="4" t="s">
        <v>106</v>
      </c>
      <c r="J57" s="4">
        <v>0.99978309869766235</v>
      </c>
      <c r="K57" s="4" t="s">
        <v>22</v>
      </c>
      <c r="L57" s="4" t="s">
        <v>98</v>
      </c>
      <c r="M57" s="4">
        <v>1</v>
      </c>
    </row>
    <row r="58" spans="1:13" ht="90" customHeight="1" x14ac:dyDescent="0.3">
      <c r="A58" s="8"/>
      <c r="B58" s="7"/>
      <c r="C58" s="7"/>
      <c r="D58" s="7"/>
      <c r="E58" s="7"/>
      <c r="F58" s="7"/>
      <c r="G58" s="7"/>
      <c r="H58" s="7"/>
      <c r="I58" s="2" t="s">
        <v>107</v>
      </c>
      <c r="J58" s="2">
        <v>0.93114304542541504</v>
      </c>
      <c r="K58" s="2" t="s">
        <v>22</v>
      </c>
      <c r="L58" s="2" t="s">
        <v>108</v>
      </c>
      <c r="M58" s="2">
        <v>10</v>
      </c>
    </row>
    <row r="59" spans="1:13" ht="90" customHeight="1" x14ac:dyDescent="0.3">
      <c r="A59" s="8"/>
      <c r="B59" s="7"/>
      <c r="C59" s="7"/>
      <c r="D59" s="7"/>
      <c r="E59" s="7"/>
      <c r="F59" s="7"/>
      <c r="G59" s="7"/>
      <c r="H59" s="7"/>
      <c r="I59" s="2" t="s">
        <v>109</v>
      </c>
      <c r="J59" s="2">
        <v>0.81630992889278686</v>
      </c>
      <c r="K59" s="2" t="s">
        <v>22</v>
      </c>
      <c r="L59" s="2" t="s">
        <v>98</v>
      </c>
      <c r="M59" s="2">
        <v>6</v>
      </c>
    </row>
    <row r="60" spans="1:13" ht="90" customHeight="1" x14ac:dyDescent="0.3">
      <c r="A60" s="8"/>
      <c r="B60" s="7"/>
      <c r="C60" s="7"/>
      <c r="D60" s="7"/>
      <c r="E60" s="7"/>
      <c r="F60" s="7"/>
      <c r="G60" s="7"/>
      <c r="H60" s="7"/>
      <c r="I60" s="1"/>
      <c r="J60" s="1"/>
      <c r="K60" s="1"/>
      <c r="L60" s="1"/>
      <c r="M60" s="1"/>
    </row>
    <row r="61" spans="1:13" ht="90" customHeight="1" x14ac:dyDescent="0.3">
      <c r="A61" s="8"/>
      <c r="B61" s="7"/>
      <c r="C61" s="7"/>
      <c r="D61" s="7"/>
      <c r="E61" s="7"/>
      <c r="F61" s="7"/>
      <c r="G61" s="7"/>
      <c r="H61" s="7"/>
      <c r="I61" s="1"/>
      <c r="J61" s="1"/>
      <c r="K61" s="1"/>
      <c r="L61" s="1"/>
      <c r="M61" s="1"/>
    </row>
    <row r="62" spans="1:13" ht="90" customHeight="1" x14ac:dyDescent="0.3">
      <c r="A62" s="8">
        <v>17</v>
      </c>
      <c r="B62" s="8" t="s">
        <v>110</v>
      </c>
      <c r="C62" s="8" t="s">
        <v>85</v>
      </c>
      <c r="D62" s="8" t="s">
        <v>99</v>
      </c>
      <c r="E62" s="6" t="s">
        <v>17</v>
      </c>
      <c r="F62" s="6" t="s">
        <v>18</v>
      </c>
      <c r="G62" s="8" t="s">
        <v>111</v>
      </c>
      <c r="H62" s="8" t="s">
        <v>112</v>
      </c>
      <c r="I62" s="4" t="s">
        <v>113</v>
      </c>
      <c r="J62" s="4">
        <v>0.99901798595952052</v>
      </c>
      <c r="K62" s="4" t="s">
        <v>22</v>
      </c>
      <c r="L62" s="4" t="s">
        <v>85</v>
      </c>
      <c r="M62" s="4">
        <v>1</v>
      </c>
    </row>
    <row r="63" spans="1:13" ht="90" customHeight="1" x14ac:dyDescent="0.3">
      <c r="A63" s="8"/>
      <c r="B63" s="7"/>
      <c r="C63" s="7"/>
      <c r="D63" s="7"/>
      <c r="E63" s="7"/>
      <c r="F63" s="7"/>
      <c r="G63" s="7"/>
      <c r="H63" s="7"/>
      <c r="I63" s="2" t="s">
        <v>114</v>
      </c>
      <c r="J63" s="2">
        <v>0.96952348947525024</v>
      </c>
      <c r="K63" s="2" t="s">
        <v>22</v>
      </c>
      <c r="L63" s="2" t="s">
        <v>115</v>
      </c>
      <c r="M63" s="2">
        <v>2</v>
      </c>
    </row>
    <row r="64" spans="1:13" ht="90" customHeight="1" x14ac:dyDescent="0.3">
      <c r="A64" s="8"/>
      <c r="B64" s="7"/>
      <c r="C64" s="7"/>
      <c r="D64" s="7"/>
      <c r="E64" s="7"/>
      <c r="F64" s="7"/>
      <c r="G64" s="7"/>
      <c r="H64" s="7"/>
      <c r="I64" s="2" t="s">
        <v>116</v>
      </c>
      <c r="J64" s="2">
        <v>0.95849210023880005</v>
      </c>
      <c r="K64" s="2" t="s">
        <v>22</v>
      </c>
      <c r="L64" s="2" t="s">
        <v>115</v>
      </c>
      <c r="M64" s="2">
        <v>3</v>
      </c>
    </row>
    <row r="65" spans="1:13" ht="90" customHeight="1" x14ac:dyDescent="0.3">
      <c r="A65" s="8"/>
      <c r="B65" s="7"/>
      <c r="C65" s="7"/>
      <c r="D65" s="7"/>
      <c r="E65" s="7"/>
      <c r="F65" s="7"/>
      <c r="G65" s="7"/>
      <c r="H65" s="7"/>
      <c r="I65" s="1" t="s">
        <v>117</v>
      </c>
      <c r="J65" s="1">
        <v>0.91824430227279663</v>
      </c>
      <c r="K65" s="1" t="s">
        <v>22</v>
      </c>
      <c r="L65" s="1" t="s">
        <v>115</v>
      </c>
      <c r="M65" s="1">
        <v>1</v>
      </c>
    </row>
    <row r="66" spans="1:13" ht="90" customHeight="1" x14ac:dyDescent="0.3">
      <c r="A66" s="8"/>
      <c r="B66" s="7"/>
      <c r="C66" s="7"/>
      <c r="D66" s="7"/>
      <c r="E66" s="7"/>
      <c r="F66" s="7"/>
      <c r="G66" s="7"/>
      <c r="H66" s="7"/>
      <c r="I66" s="1"/>
      <c r="J66" s="1"/>
      <c r="K66" s="1"/>
      <c r="L66" s="1"/>
      <c r="M66" s="1"/>
    </row>
    <row r="67" spans="1:13" ht="90" customHeight="1" x14ac:dyDescent="0.3">
      <c r="A67" s="8">
        <v>18</v>
      </c>
      <c r="B67" s="8" t="s">
        <v>118</v>
      </c>
      <c r="C67" s="8" t="s">
        <v>119</v>
      </c>
      <c r="D67" s="8" t="s">
        <v>99</v>
      </c>
      <c r="E67" s="6" t="s">
        <v>17</v>
      </c>
      <c r="F67" s="6" t="s">
        <v>18</v>
      </c>
      <c r="G67" s="8" t="s">
        <v>120</v>
      </c>
      <c r="H67" s="8" t="s">
        <v>121</v>
      </c>
      <c r="I67" s="4" t="s">
        <v>122</v>
      </c>
      <c r="J67" s="4">
        <v>0.99262106418609619</v>
      </c>
      <c r="K67" s="4" t="s">
        <v>22</v>
      </c>
      <c r="L67" s="4" t="s">
        <v>119</v>
      </c>
      <c r="M67" s="4">
        <v>1</v>
      </c>
    </row>
    <row r="68" spans="1:13" ht="90" customHeight="1" x14ac:dyDescent="0.3">
      <c r="A68" s="8"/>
      <c r="B68" s="7"/>
      <c r="C68" s="7"/>
      <c r="D68" s="7"/>
      <c r="E68" s="7"/>
      <c r="F68" s="7"/>
      <c r="G68" s="7"/>
      <c r="H68" s="7"/>
      <c r="I68" s="1"/>
      <c r="J68" s="1"/>
      <c r="K68" s="1"/>
      <c r="L68" s="1"/>
      <c r="M68" s="1"/>
    </row>
    <row r="69" spans="1:13" ht="90" customHeight="1" x14ac:dyDescent="0.3">
      <c r="A69" s="8"/>
      <c r="B69" s="7"/>
      <c r="C69" s="7"/>
      <c r="D69" s="7"/>
      <c r="E69" s="7"/>
      <c r="F69" s="7"/>
      <c r="G69" s="7"/>
      <c r="H69" s="7"/>
      <c r="I69" s="1"/>
      <c r="J69" s="1"/>
      <c r="K69" s="1"/>
      <c r="L69" s="1"/>
      <c r="M69" s="1"/>
    </row>
    <row r="70" spans="1:13" ht="90" customHeight="1" x14ac:dyDescent="0.3">
      <c r="A70" s="8"/>
      <c r="B70" s="7"/>
      <c r="C70" s="7"/>
      <c r="D70" s="7"/>
      <c r="E70" s="7"/>
      <c r="F70" s="7"/>
      <c r="G70" s="7"/>
      <c r="H70" s="7"/>
      <c r="I70" s="1"/>
      <c r="J70" s="1"/>
      <c r="K70" s="1"/>
      <c r="L70" s="1"/>
      <c r="M70" s="1"/>
    </row>
    <row r="71" spans="1:13" ht="90" customHeight="1" x14ac:dyDescent="0.3">
      <c r="A71" s="8"/>
      <c r="B71" s="7"/>
      <c r="C71" s="7"/>
      <c r="D71" s="7"/>
      <c r="E71" s="7"/>
      <c r="F71" s="7"/>
      <c r="G71" s="7"/>
      <c r="H71" s="7"/>
      <c r="I71" s="1"/>
      <c r="J71" s="1"/>
      <c r="K71" s="1"/>
      <c r="L71" s="1"/>
      <c r="M71" s="1"/>
    </row>
    <row r="72" spans="1:13" ht="90" customHeight="1" x14ac:dyDescent="0.3">
      <c r="A72" s="8">
        <v>19</v>
      </c>
      <c r="B72" s="8" t="s">
        <v>110</v>
      </c>
      <c r="C72" s="8" t="s">
        <v>85</v>
      </c>
      <c r="D72" s="8" t="s">
        <v>99</v>
      </c>
      <c r="E72" s="6" t="s">
        <v>17</v>
      </c>
      <c r="F72" s="6" t="s">
        <v>18</v>
      </c>
      <c r="G72" s="8" t="s">
        <v>123</v>
      </c>
      <c r="H72" s="8" t="s">
        <v>112</v>
      </c>
      <c r="I72" s="4" t="s">
        <v>113</v>
      </c>
      <c r="J72" s="4">
        <v>0.99901798595952052</v>
      </c>
      <c r="K72" s="4" t="s">
        <v>22</v>
      </c>
      <c r="L72" s="4" t="s">
        <v>85</v>
      </c>
      <c r="M72" s="4">
        <v>1</v>
      </c>
    </row>
    <row r="73" spans="1:13" ht="90" customHeight="1" x14ac:dyDescent="0.3">
      <c r="A73" s="8"/>
      <c r="B73" s="7"/>
      <c r="C73" s="7"/>
      <c r="D73" s="7"/>
      <c r="E73" s="7"/>
      <c r="F73" s="7"/>
      <c r="G73" s="7"/>
      <c r="H73" s="7"/>
      <c r="I73" s="2" t="s">
        <v>114</v>
      </c>
      <c r="J73" s="2">
        <v>0.96952348947525024</v>
      </c>
      <c r="K73" s="2" t="s">
        <v>22</v>
      </c>
      <c r="L73" s="2" t="s">
        <v>115</v>
      </c>
      <c r="M73" s="2">
        <v>2</v>
      </c>
    </row>
    <row r="74" spans="1:13" ht="90" customHeight="1" x14ac:dyDescent="0.3">
      <c r="A74" s="8"/>
      <c r="B74" s="7"/>
      <c r="C74" s="7"/>
      <c r="D74" s="7"/>
      <c r="E74" s="7"/>
      <c r="F74" s="7"/>
      <c r="G74" s="7"/>
      <c r="H74" s="7"/>
      <c r="I74" s="2" t="s">
        <v>116</v>
      </c>
      <c r="J74" s="2">
        <v>0.95849210023880005</v>
      </c>
      <c r="K74" s="2" t="s">
        <v>22</v>
      </c>
      <c r="L74" s="2" t="s">
        <v>115</v>
      </c>
      <c r="M74" s="2">
        <v>3</v>
      </c>
    </row>
    <row r="75" spans="1:13" ht="90" customHeight="1" x14ac:dyDescent="0.3">
      <c r="A75" s="8"/>
      <c r="B75" s="7"/>
      <c r="C75" s="7"/>
      <c r="D75" s="7"/>
      <c r="E75" s="7"/>
      <c r="F75" s="7"/>
      <c r="G75" s="7"/>
      <c r="H75" s="7"/>
      <c r="I75" s="1" t="s">
        <v>117</v>
      </c>
      <c r="J75" s="1">
        <v>0.91824430227279663</v>
      </c>
      <c r="K75" s="1" t="s">
        <v>22</v>
      </c>
      <c r="L75" s="1" t="s">
        <v>115</v>
      </c>
      <c r="M75" s="1">
        <v>1</v>
      </c>
    </row>
    <row r="76" spans="1:13" ht="90" customHeight="1" x14ac:dyDescent="0.3">
      <c r="A76" s="8"/>
      <c r="B76" s="7"/>
      <c r="C76" s="7"/>
      <c r="D76" s="7"/>
      <c r="E76" s="7"/>
      <c r="F76" s="7"/>
      <c r="G76" s="7"/>
      <c r="H76" s="7"/>
      <c r="I76" s="1"/>
      <c r="J76" s="1"/>
      <c r="K76" s="1"/>
      <c r="L76" s="1"/>
      <c r="M76" s="1"/>
    </row>
    <row r="77" spans="1:13" ht="90" customHeight="1" x14ac:dyDescent="0.3">
      <c r="A77" s="8">
        <v>20</v>
      </c>
      <c r="B77" s="8" t="s">
        <v>124</v>
      </c>
      <c r="C77" s="8" t="s">
        <v>125</v>
      </c>
      <c r="D77" s="8" t="s">
        <v>126</v>
      </c>
      <c r="E77" s="6" t="s">
        <v>17</v>
      </c>
      <c r="F77" s="6" t="s">
        <v>18</v>
      </c>
      <c r="G77" s="8" t="s">
        <v>127</v>
      </c>
      <c r="H77" s="8" t="s">
        <v>128</v>
      </c>
      <c r="I77" s="4" t="s">
        <v>129</v>
      </c>
      <c r="J77" s="4">
        <v>0.99997508525848389</v>
      </c>
      <c r="K77" s="4" t="s">
        <v>22</v>
      </c>
      <c r="L77" s="4" t="s">
        <v>125</v>
      </c>
      <c r="M77" s="4">
        <v>2</v>
      </c>
    </row>
    <row r="78" spans="1:13" ht="90" customHeight="1" x14ac:dyDescent="0.3">
      <c r="A78" s="8"/>
      <c r="B78" s="7"/>
      <c r="C78" s="7"/>
      <c r="D78" s="7"/>
      <c r="E78" s="7"/>
      <c r="F78" s="7"/>
      <c r="G78" s="7"/>
      <c r="H78" s="7"/>
      <c r="I78" s="2" t="s">
        <v>130</v>
      </c>
      <c r="J78" s="2">
        <v>0.99940705299377441</v>
      </c>
      <c r="K78" s="2" t="s">
        <v>22</v>
      </c>
      <c r="L78" s="2" t="s">
        <v>131</v>
      </c>
      <c r="M78" s="2">
        <v>19</v>
      </c>
    </row>
    <row r="79" spans="1:13" ht="90" customHeight="1" x14ac:dyDescent="0.3">
      <c r="A79" s="8"/>
      <c r="B79" s="7"/>
      <c r="C79" s="7"/>
      <c r="D79" s="7"/>
      <c r="E79" s="7"/>
      <c r="F79" s="7"/>
      <c r="G79" s="7"/>
      <c r="H79" s="7"/>
      <c r="I79" s="1"/>
      <c r="J79" s="1"/>
      <c r="K79" s="1"/>
      <c r="L79" s="1"/>
      <c r="M79" s="1"/>
    </row>
    <row r="80" spans="1:13" ht="90" customHeight="1" x14ac:dyDescent="0.3">
      <c r="A80" s="8"/>
      <c r="B80" s="7"/>
      <c r="C80" s="7"/>
      <c r="D80" s="7"/>
      <c r="E80" s="7"/>
      <c r="F80" s="7"/>
      <c r="G80" s="7"/>
      <c r="H80" s="7"/>
      <c r="I80" s="1"/>
      <c r="J80" s="1"/>
      <c r="K80" s="1"/>
      <c r="L80" s="1"/>
      <c r="M80" s="1"/>
    </row>
    <row r="81" spans="1:13" ht="90" customHeight="1" x14ac:dyDescent="0.3">
      <c r="A81" s="8"/>
      <c r="B81" s="7"/>
      <c r="C81" s="7"/>
      <c r="D81" s="7"/>
      <c r="E81" s="7"/>
      <c r="F81" s="7"/>
      <c r="G81" s="7"/>
      <c r="H81" s="7"/>
      <c r="I81" s="1"/>
      <c r="J81" s="1"/>
      <c r="K81" s="1"/>
      <c r="L81" s="1"/>
      <c r="M81" s="1"/>
    </row>
    <row r="82" spans="1:13" ht="90" customHeight="1" x14ac:dyDescent="0.3">
      <c r="A82" s="8">
        <v>22</v>
      </c>
      <c r="B82" s="8" t="s">
        <v>132</v>
      </c>
      <c r="C82" s="8" t="s">
        <v>85</v>
      </c>
      <c r="D82" s="8" t="s">
        <v>99</v>
      </c>
      <c r="E82" s="6" t="s">
        <v>17</v>
      </c>
      <c r="F82" s="6" t="s">
        <v>18</v>
      </c>
      <c r="G82" s="8" t="s">
        <v>133</v>
      </c>
      <c r="H82" s="8" t="s">
        <v>134</v>
      </c>
      <c r="I82" s="4" t="s">
        <v>113</v>
      </c>
      <c r="J82" s="4">
        <v>0.98477604630254667</v>
      </c>
      <c r="K82" s="4" t="s">
        <v>22</v>
      </c>
      <c r="L82" s="4" t="s">
        <v>85</v>
      </c>
      <c r="M82" s="4">
        <v>1</v>
      </c>
    </row>
    <row r="83" spans="1:13" ht="90" customHeight="1" x14ac:dyDescent="0.3">
      <c r="A83" s="8"/>
      <c r="B83" s="7"/>
      <c r="C83" s="7"/>
      <c r="D83" s="7"/>
      <c r="E83" s="7"/>
      <c r="F83" s="7"/>
      <c r="G83" s="7"/>
      <c r="H83" s="7"/>
      <c r="I83" s="1" t="s">
        <v>117</v>
      </c>
      <c r="J83" s="1">
        <v>0.89220786094665527</v>
      </c>
      <c r="K83" s="1" t="s">
        <v>22</v>
      </c>
      <c r="L83" s="1" t="s">
        <v>115</v>
      </c>
      <c r="M83" s="1">
        <v>1</v>
      </c>
    </row>
    <row r="84" spans="1:13" ht="90" customHeight="1" x14ac:dyDescent="0.3">
      <c r="A84" s="8"/>
      <c r="B84" s="7"/>
      <c r="C84" s="7"/>
      <c r="D84" s="7"/>
      <c r="E84" s="7"/>
      <c r="F84" s="7"/>
      <c r="G84" s="7"/>
      <c r="H84" s="7"/>
      <c r="I84" s="2" t="s">
        <v>135</v>
      </c>
      <c r="J84" s="2">
        <v>0.8745499849319458</v>
      </c>
      <c r="K84" s="2" t="s">
        <v>22</v>
      </c>
      <c r="L84" s="2" t="s">
        <v>136</v>
      </c>
      <c r="M84" s="2">
        <v>1</v>
      </c>
    </row>
    <row r="85" spans="1:13" ht="90" customHeight="1" x14ac:dyDescent="0.3">
      <c r="A85" s="8"/>
      <c r="B85" s="7"/>
      <c r="C85" s="7"/>
      <c r="D85" s="7"/>
      <c r="E85" s="7"/>
      <c r="F85" s="7"/>
      <c r="G85" s="7"/>
      <c r="H85" s="7"/>
      <c r="I85" s="1"/>
      <c r="J85" s="1"/>
      <c r="K85" s="1"/>
      <c r="L85" s="1"/>
      <c r="M85" s="1"/>
    </row>
    <row r="86" spans="1:13" ht="90" customHeight="1" x14ac:dyDescent="0.3">
      <c r="A86" s="8"/>
      <c r="B86" s="7"/>
      <c r="C86" s="7"/>
      <c r="D86" s="7"/>
      <c r="E86" s="7"/>
      <c r="F86" s="7"/>
      <c r="G86" s="7"/>
      <c r="H86" s="7"/>
      <c r="I86" s="1"/>
      <c r="J86" s="1"/>
      <c r="K86" s="1"/>
      <c r="L86" s="1"/>
      <c r="M86" s="1"/>
    </row>
    <row r="87" spans="1:13" ht="90" customHeight="1" x14ac:dyDescent="0.3">
      <c r="A87" s="8">
        <v>24</v>
      </c>
      <c r="B87" s="8" t="s">
        <v>137</v>
      </c>
      <c r="C87" s="8" t="s">
        <v>138</v>
      </c>
      <c r="D87" s="8" t="s">
        <v>139</v>
      </c>
      <c r="E87" s="6" t="s">
        <v>17</v>
      </c>
      <c r="F87" s="6" t="s">
        <v>18</v>
      </c>
      <c r="G87" s="8" t="s">
        <v>140</v>
      </c>
      <c r="H87" s="8" t="s">
        <v>141</v>
      </c>
      <c r="I87" s="4" t="s">
        <v>142</v>
      </c>
      <c r="J87" s="4">
        <v>0.9957159161567688</v>
      </c>
      <c r="K87" s="4" t="s">
        <v>22</v>
      </c>
      <c r="L87" s="4" t="s">
        <v>138</v>
      </c>
      <c r="M87" s="4">
        <v>13</v>
      </c>
    </row>
    <row r="88" spans="1:13" ht="90" customHeight="1" x14ac:dyDescent="0.3">
      <c r="A88" s="8"/>
      <c r="B88" s="7"/>
      <c r="C88" s="7"/>
      <c r="D88" s="7"/>
      <c r="E88" s="7"/>
      <c r="F88" s="7"/>
      <c r="G88" s="7"/>
      <c r="H88" s="7"/>
      <c r="I88" s="2" t="s">
        <v>143</v>
      </c>
      <c r="J88" s="2">
        <v>0.99508011341094971</v>
      </c>
      <c r="K88" s="2" t="s">
        <v>22</v>
      </c>
      <c r="L88" s="2" t="s">
        <v>144</v>
      </c>
      <c r="M88" s="2">
        <v>561</v>
      </c>
    </row>
    <row r="89" spans="1:13" ht="90" customHeight="1" x14ac:dyDescent="0.3">
      <c r="A89" s="8"/>
      <c r="B89" s="7"/>
      <c r="C89" s="7"/>
      <c r="D89" s="7"/>
      <c r="E89" s="7"/>
      <c r="F89" s="7"/>
      <c r="G89" s="7"/>
      <c r="H89" s="7"/>
      <c r="I89" s="2" t="s">
        <v>145</v>
      </c>
      <c r="J89" s="2">
        <v>0.99478274583816528</v>
      </c>
      <c r="K89" s="2" t="s">
        <v>22</v>
      </c>
      <c r="L89" s="2" t="s">
        <v>146</v>
      </c>
      <c r="M89" s="2">
        <v>851</v>
      </c>
    </row>
    <row r="90" spans="1:13" ht="90" customHeight="1" x14ac:dyDescent="0.3">
      <c r="A90" s="8"/>
      <c r="B90" s="7"/>
      <c r="C90" s="7"/>
      <c r="D90" s="7"/>
      <c r="E90" s="7"/>
      <c r="F90" s="7"/>
      <c r="G90" s="7"/>
      <c r="H90" s="7"/>
      <c r="I90" s="1" t="s">
        <v>147</v>
      </c>
      <c r="J90" s="1">
        <v>0.99461382627487183</v>
      </c>
      <c r="K90" s="1" t="s">
        <v>22</v>
      </c>
      <c r="L90" s="1" t="s">
        <v>146</v>
      </c>
      <c r="M90" s="1">
        <v>863</v>
      </c>
    </row>
    <row r="91" spans="1:13" ht="90" customHeight="1" x14ac:dyDescent="0.3">
      <c r="A91" s="8"/>
      <c r="B91" s="7"/>
      <c r="C91" s="7"/>
      <c r="D91" s="7"/>
      <c r="E91" s="7"/>
      <c r="F91" s="7"/>
      <c r="G91" s="7"/>
      <c r="H91" s="7"/>
      <c r="I91" s="1" t="s">
        <v>148</v>
      </c>
      <c r="J91" s="1">
        <v>0.99062917587905785</v>
      </c>
      <c r="K91" s="1" t="s">
        <v>76</v>
      </c>
      <c r="L91" s="1" t="s">
        <v>149</v>
      </c>
      <c r="M91" s="1">
        <v>1</v>
      </c>
    </row>
    <row r="92" spans="1:13" ht="90" customHeight="1" x14ac:dyDescent="0.3">
      <c r="A92" s="8">
        <v>32</v>
      </c>
      <c r="B92" s="8" t="s">
        <v>150</v>
      </c>
      <c r="C92" s="8" t="s">
        <v>151</v>
      </c>
      <c r="D92" s="8" t="s">
        <v>152</v>
      </c>
      <c r="E92" s="6" t="s">
        <v>17</v>
      </c>
      <c r="F92" s="6" t="s">
        <v>18</v>
      </c>
      <c r="G92" s="8" t="s">
        <v>153</v>
      </c>
      <c r="H92" s="8" t="s">
        <v>154</v>
      </c>
      <c r="I92" s="4" t="s">
        <v>155</v>
      </c>
      <c r="J92" s="4">
        <v>0.99996984004974365</v>
      </c>
      <c r="K92" s="4" t="s">
        <v>22</v>
      </c>
      <c r="L92" s="4" t="s">
        <v>151</v>
      </c>
      <c r="M92" s="4">
        <v>24</v>
      </c>
    </row>
    <row r="93" spans="1:13" ht="90" customHeight="1" x14ac:dyDescent="0.3">
      <c r="A93" s="8"/>
      <c r="B93" s="7"/>
      <c r="C93" s="7"/>
      <c r="D93" s="7"/>
      <c r="E93" s="7"/>
      <c r="F93" s="7"/>
      <c r="G93" s="7"/>
      <c r="H93" s="7"/>
      <c r="I93" s="2" t="s">
        <v>156</v>
      </c>
      <c r="J93" s="2">
        <v>0.99993622303009033</v>
      </c>
      <c r="K93" s="2" t="s">
        <v>22</v>
      </c>
      <c r="L93" s="2" t="s">
        <v>151</v>
      </c>
      <c r="M93" s="2">
        <v>2</v>
      </c>
    </row>
    <row r="94" spans="1:13" ht="90" customHeight="1" x14ac:dyDescent="0.3">
      <c r="A94" s="8"/>
      <c r="B94" s="7"/>
      <c r="C94" s="7"/>
      <c r="D94" s="7"/>
      <c r="E94" s="7"/>
      <c r="F94" s="7"/>
      <c r="G94" s="7"/>
      <c r="H94" s="7"/>
      <c r="I94" s="2" t="s">
        <v>157</v>
      </c>
      <c r="J94" s="2">
        <v>0.99992406368255615</v>
      </c>
      <c r="K94" s="2" t="s">
        <v>22</v>
      </c>
      <c r="L94" s="2" t="s">
        <v>151</v>
      </c>
      <c r="M94" s="2">
        <v>28</v>
      </c>
    </row>
    <row r="95" spans="1:13" ht="90" customHeight="1" x14ac:dyDescent="0.3">
      <c r="A95" s="8"/>
      <c r="B95" s="7"/>
      <c r="C95" s="7"/>
      <c r="D95" s="7"/>
      <c r="E95" s="7"/>
      <c r="F95" s="7"/>
      <c r="G95" s="7"/>
      <c r="H95" s="7"/>
      <c r="I95" s="1" t="s">
        <v>158</v>
      </c>
      <c r="J95" s="1">
        <v>0.99912899732589722</v>
      </c>
      <c r="K95" s="1" t="s">
        <v>22</v>
      </c>
      <c r="L95" s="1" t="s">
        <v>151</v>
      </c>
      <c r="M95" s="1">
        <v>78</v>
      </c>
    </row>
    <row r="96" spans="1:13" ht="90" customHeight="1" x14ac:dyDescent="0.3">
      <c r="A96" s="8"/>
      <c r="B96" s="7"/>
      <c r="C96" s="7"/>
      <c r="D96" s="7"/>
      <c r="E96" s="7"/>
      <c r="F96" s="7"/>
      <c r="G96" s="7"/>
      <c r="H96" s="7"/>
      <c r="I96" s="1"/>
      <c r="J96" s="1"/>
      <c r="K96" s="1"/>
      <c r="L96" s="1"/>
      <c r="M96" s="1"/>
    </row>
    <row r="97" spans="1:13" ht="90" customHeight="1" x14ac:dyDescent="0.3">
      <c r="A97" s="8">
        <v>33</v>
      </c>
      <c r="B97" s="8" t="s">
        <v>159</v>
      </c>
      <c r="C97" s="8" t="s">
        <v>151</v>
      </c>
      <c r="D97" s="8" t="s">
        <v>160</v>
      </c>
      <c r="E97" s="6" t="s">
        <v>17</v>
      </c>
      <c r="F97" s="6" t="s">
        <v>18</v>
      </c>
      <c r="G97" s="8" t="s">
        <v>161</v>
      </c>
      <c r="H97" s="8" t="s">
        <v>162</v>
      </c>
      <c r="I97" s="4" t="s">
        <v>163</v>
      </c>
      <c r="J97" s="4">
        <v>0.99999403953552246</v>
      </c>
      <c r="K97" s="4" t="s">
        <v>22</v>
      </c>
      <c r="L97" s="4" t="s">
        <v>151</v>
      </c>
      <c r="M97" s="4">
        <v>61</v>
      </c>
    </row>
    <row r="98" spans="1:13" ht="90" customHeight="1" x14ac:dyDescent="0.3">
      <c r="A98" s="8"/>
      <c r="B98" s="7"/>
      <c r="C98" s="7"/>
      <c r="D98" s="7"/>
      <c r="E98" s="7"/>
      <c r="F98" s="7"/>
      <c r="G98" s="7"/>
      <c r="H98" s="7"/>
      <c r="I98" s="5" t="s">
        <v>164</v>
      </c>
      <c r="J98" s="5">
        <v>0.99997305870056152</v>
      </c>
      <c r="K98" s="5" t="s">
        <v>22</v>
      </c>
      <c r="L98" s="5" t="s">
        <v>151</v>
      </c>
      <c r="M98" s="5">
        <v>62</v>
      </c>
    </row>
    <row r="99" spans="1:13" ht="90" customHeight="1" x14ac:dyDescent="0.3">
      <c r="A99" s="8"/>
      <c r="B99" s="7"/>
      <c r="C99" s="7"/>
      <c r="D99" s="7"/>
      <c r="E99" s="7"/>
      <c r="F99" s="7"/>
      <c r="G99" s="7"/>
      <c r="H99" s="7"/>
      <c r="I99" s="1"/>
      <c r="J99" s="1"/>
      <c r="K99" s="1"/>
      <c r="L99" s="1"/>
      <c r="M99" s="1"/>
    </row>
    <row r="100" spans="1:13" ht="90" customHeight="1" x14ac:dyDescent="0.3">
      <c r="A100" s="8"/>
      <c r="B100" s="7"/>
      <c r="C100" s="7"/>
      <c r="D100" s="7"/>
      <c r="E100" s="7"/>
      <c r="F100" s="7"/>
      <c r="G100" s="7"/>
      <c r="H100" s="7"/>
      <c r="I100" s="1"/>
      <c r="J100" s="1"/>
      <c r="K100" s="1"/>
      <c r="L100" s="1"/>
      <c r="M100" s="1"/>
    </row>
    <row r="101" spans="1:13" ht="90" customHeight="1" x14ac:dyDescent="0.3">
      <c r="A101" s="8"/>
      <c r="B101" s="7"/>
      <c r="C101" s="7"/>
      <c r="D101" s="7"/>
      <c r="E101" s="7"/>
      <c r="F101" s="7"/>
      <c r="G101" s="7"/>
      <c r="H101" s="7"/>
      <c r="I101" s="1"/>
      <c r="J101" s="1"/>
      <c r="K101" s="1"/>
      <c r="L101" s="1"/>
      <c r="M101" s="1"/>
    </row>
    <row r="102" spans="1:13" ht="90" customHeight="1" x14ac:dyDescent="0.3">
      <c r="A102" s="8">
        <v>34</v>
      </c>
      <c r="B102" s="8" t="s">
        <v>165</v>
      </c>
      <c r="C102" s="8" t="s">
        <v>166</v>
      </c>
      <c r="D102" s="8" t="s">
        <v>99</v>
      </c>
      <c r="E102" s="6" t="s">
        <v>17</v>
      </c>
      <c r="F102" s="6" t="s">
        <v>18</v>
      </c>
      <c r="G102" s="8" t="s">
        <v>167</v>
      </c>
      <c r="H102" s="8" t="s">
        <v>168</v>
      </c>
      <c r="I102" s="1" t="s">
        <v>169</v>
      </c>
      <c r="J102" s="1">
        <v>0.99994146823883057</v>
      </c>
      <c r="K102" s="1" t="s">
        <v>22</v>
      </c>
      <c r="L102" s="1" t="s">
        <v>151</v>
      </c>
      <c r="M102" s="1">
        <v>11</v>
      </c>
    </row>
    <row r="103" spans="1:13" ht="90" customHeight="1" x14ac:dyDescent="0.3">
      <c r="A103" s="8"/>
      <c r="B103" s="7"/>
      <c r="C103" s="7"/>
      <c r="D103" s="7"/>
      <c r="E103" s="7"/>
      <c r="F103" s="7"/>
      <c r="G103" s="7"/>
      <c r="H103" s="7"/>
      <c r="I103" s="1" t="s">
        <v>170</v>
      </c>
      <c r="J103" s="1">
        <v>0.99989509582519531</v>
      </c>
      <c r="K103" s="1" t="s">
        <v>76</v>
      </c>
      <c r="L103" s="1" t="s">
        <v>171</v>
      </c>
      <c r="M103" s="1">
        <v>2</v>
      </c>
    </row>
    <row r="104" spans="1:13" ht="90" customHeight="1" x14ac:dyDescent="0.3">
      <c r="A104" s="8"/>
      <c r="B104" s="7"/>
      <c r="C104" s="7"/>
      <c r="D104" s="7"/>
      <c r="E104" s="7"/>
      <c r="F104" s="7"/>
      <c r="G104" s="7"/>
      <c r="H104" s="7"/>
      <c r="I104" s="2" t="s">
        <v>172</v>
      </c>
      <c r="J104" s="2">
        <v>0.99989223480224609</v>
      </c>
      <c r="K104" s="2" t="s">
        <v>76</v>
      </c>
      <c r="L104" s="2" t="s">
        <v>173</v>
      </c>
      <c r="M104" s="2">
        <v>1</v>
      </c>
    </row>
    <row r="105" spans="1:13" ht="90" customHeight="1" x14ac:dyDescent="0.3">
      <c r="A105" s="8"/>
      <c r="B105" s="7"/>
      <c r="C105" s="7"/>
      <c r="D105" s="7"/>
      <c r="E105" s="7"/>
      <c r="F105" s="7"/>
      <c r="G105" s="7"/>
      <c r="H105" s="7"/>
      <c r="I105" s="4" t="s">
        <v>174</v>
      </c>
      <c r="J105" s="4">
        <v>0.99986016750335693</v>
      </c>
      <c r="K105" s="4" t="s">
        <v>22</v>
      </c>
      <c r="L105" s="4" t="s">
        <v>166</v>
      </c>
      <c r="M105" s="4">
        <v>1</v>
      </c>
    </row>
    <row r="106" spans="1:13" ht="90" customHeight="1" x14ac:dyDescent="0.3">
      <c r="A106" s="8"/>
      <c r="B106" s="7"/>
      <c r="C106" s="7"/>
      <c r="D106" s="7"/>
      <c r="E106" s="7"/>
      <c r="F106" s="7"/>
      <c r="G106" s="7"/>
      <c r="H106" s="7"/>
      <c r="I106" s="1" t="s">
        <v>175</v>
      </c>
      <c r="J106" s="1">
        <v>0.99898403882980347</v>
      </c>
      <c r="K106" s="1" t="s">
        <v>22</v>
      </c>
      <c r="L106" s="1" t="s">
        <v>151</v>
      </c>
      <c r="M106" s="1">
        <v>14</v>
      </c>
    </row>
    <row r="107" spans="1:13" ht="90" customHeight="1" x14ac:dyDescent="0.3">
      <c r="A107" s="8">
        <v>35</v>
      </c>
      <c r="B107" s="8" t="s">
        <v>176</v>
      </c>
      <c r="C107" s="8" t="s">
        <v>177</v>
      </c>
      <c r="D107" s="8" t="s">
        <v>178</v>
      </c>
      <c r="E107" s="6" t="s">
        <v>17</v>
      </c>
      <c r="F107" s="6" t="s">
        <v>18</v>
      </c>
      <c r="G107" s="8" t="s">
        <v>179</v>
      </c>
      <c r="H107" s="8" t="s">
        <v>180</v>
      </c>
      <c r="I107" s="4" t="s">
        <v>181</v>
      </c>
      <c r="J107" s="4">
        <v>0.99999916553497314</v>
      </c>
      <c r="K107" s="4" t="s">
        <v>22</v>
      </c>
      <c r="L107" s="4" t="s">
        <v>177</v>
      </c>
      <c r="M107" s="4">
        <v>30</v>
      </c>
    </row>
    <row r="108" spans="1:13" ht="90" customHeight="1" x14ac:dyDescent="0.3">
      <c r="A108" s="8"/>
      <c r="B108" s="7"/>
      <c r="C108" s="7"/>
      <c r="D108" s="7"/>
      <c r="E108" s="7"/>
      <c r="F108" s="7"/>
      <c r="G108" s="7"/>
      <c r="H108" s="7"/>
      <c r="I108" s="2" t="s">
        <v>182</v>
      </c>
      <c r="J108" s="2">
        <v>0.99963533878326416</v>
      </c>
      <c r="K108" s="2" t="s">
        <v>22</v>
      </c>
      <c r="L108" s="2" t="s">
        <v>177</v>
      </c>
      <c r="M108" s="2">
        <v>41</v>
      </c>
    </row>
    <row r="109" spans="1:13" ht="90" customHeight="1" x14ac:dyDescent="0.3">
      <c r="A109" s="8"/>
      <c r="B109" s="7"/>
      <c r="C109" s="7"/>
      <c r="D109" s="7"/>
      <c r="E109" s="7"/>
      <c r="F109" s="7"/>
      <c r="G109" s="7"/>
      <c r="H109" s="7"/>
      <c r="I109" s="2" t="s">
        <v>183</v>
      </c>
      <c r="J109" s="2">
        <v>0.99856710433959961</v>
      </c>
      <c r="K109" s="2" t="s">
        <v>22</v>
      </c>
      <c r="L109" s="2" t="s">
        <v>177</v>
      </c>
      <c r="M109" s="2">
        <v>126</v>
      </c>
    </row>
    <row r="110" spans="1:13" ht="90" customHeight="1" x14ac:dyDescent="0.3">
      <c r="A110" s="8"/>
      <c r="B110" s="7"/>
      <c r="C110" s="7"/>
      <c r="D110" s="7"/>
      <c r="E110" s="7"/>
      <c r="F110" s="7"/>
      <c r="G110" s="7"/>
      <c r="H110" s="7"/>
      <c r="I110" s="1" t="s">
        <v>184</v>
      </c>
      <c r="J110" s="1">
        <v>0.99750441312789917</v>
      </c>
      <c r="K110" s="1" t="s">
        <v>22</v>
      </c>
      <c r="L110" s="1" t="s">
        <v>177</v>
      </c>
      <c r="M110" s="1">
        <v>127</v>
      </c>
    </row>
    <row r="111" spans="1:13" ht="90" customHeight="1" x14ac:dyDescent="0.3">
      <c r="A111" s="8"/>
      <c r="B111" s="7"/>
      <c r="C111" s="7"/>
      <c r="D111" s="7"/>
      <c r="E111" s="7"/>
      <c r="F111" s="7"/>
      <c r="G111" s="7"/>
      <c r="H111" s="7"/>
      <c r="I111" s="1" t="s">
        <v>185</v>
      </c>
      <c r="J111" s="1">
        <v>0.99372619390487671</v>
      </c>
      <c r="K111" s="1" t="s">
        <v>22</v>
      </c>
      <c r="L111" s="1" t="s">
        <v>177</v>
      </c>
      <c r="M111" s="1">
        <v>72</v>
      </c>
    </row>
    <row r="112" spans="1:13" ht="90" customHeight="1" x14ac:dyDescent="0.3">
      <c r="A112" s="8">
        <v>36</v>
      </c>
      <c r="B112" s="8" t="s">
        <v>186</v>
      </c>
      <c r="C112" s="8" t="s">
        <v>177</v>
      </c>
      <c r="D112" s="8" t="s">
        <v>187</v>
      </c>
      <c r="E112" s="6" t="s">
        <v>17</v>
      </c>
      <c r="F112" s="6" t="s">
        <v>18</v>
      </c>
      <c r="G112" s="8" t="s">
        <v>188</v>
      </c>
      <c r="H112" s="8" t="s">
        <v>189</v>
      </c>
      <c r="I112" s="4" t="s">
        <v>190</v>
      </c>
      <c r="J112" s="4">
        <v>0.99999880790710449</v>
      </c>
      <c r="K112" s="4" t="s">
        <v>22</v>
      </c>
      <c r="L112" s="4" t="s">
        <v>177</v>
      </c>
      <c r="M112" s="4">
        <v>7</v>
      </c>
    </row>
    <row r="113" spans="1:13" ht="90" customHeight="1" x14ac:dyDescent="0.3">
      <c r="A113" s="8"/>
      <c r="B113" s="7"/>
      <c r="C113" s="7"/>
      <c r="D113" s="7"/>
      <c r="E113" s="7"/>
      <c r="F113" s="7"/>
      <c r="G113" s="7"/>
      <c r="H113" s="7"/>
      <c r="I113" s="4" t="s">
        <v>191</v>
      </c>
      <c r="J113" s="4">
        <v>0.99999761581420898</v>
      </c>
      <c r="K113" s="4" t="s">
        <v>22</v>
      </c>
      <c r="L113" s="4" t="s">
        <v>177</v>
      </c>
      <c r="M113" s="4">
        <v>23</v>
      </c>
    </row>
    <row r="114" spans="1:13" ht="90" customHeight="1" x14ac:dyDescent="0.3">
      <c r="A114" s="8"/>
      <c r="B114" s="7"/>
      <c r="C114" s="7"/>
      <c r="D114" s="7"/>
      <c r="E114" s="7"/>
      <c r="F114" s="7"/>
      <c r="G114" s="7"/>
      <c r="H114" s="7"/>
      <c r="I114" s="4" t="s">
        <v>192</v>
      </c>
      <c r="J114" s="4">
        <v>0.99999642372131348</v>
      </c>
      <c r="K114" s="4" t="s">
        <v>22</v>
      </c>
      <c r="L114" s="4" t="s">
        <v>177</v>
      </c>
      <c r="M114" s="4">
        <v>18</v>
      </c>
    </row>
    <row r="115" spans="1:13" ht="90" customHeight="1" x14ac:dyDescent="0.3">
      <c r="A115" s="8"/>
      <c r="B115" s="7"/>
      <c r="C115" s="7"/>
      <c r="D115" s="7"/>
      <c r="E115" s="7"/>
      <c r="F115" s="7"/>
      <c r="G115" s="7"/>
      <c r="H115" s="7"/>
      <c r="I115" s="5" t="s">
        <v>181</v>
      </c>
      <c r="J115" s="5">
        <v>0.99999630451202393</v>
      </c>
      <c r="K115" s="5" t="s">
        <v>22</v>
      </c>
      <c r="L115" s="5" t="s">
        <v>177</v>
      </c>
      <c r="M115" s="5">
        <v>30</v>
      </c>
    </row>
    <row r="116" spans="1:13" ht="90" customHeight="1" x14ac:dyDescent="0.3">
      <c r="A116" s="8"/>
      <c r="B116" s="7"/>
      <c r="C116" s="7"/>
      <c r="D116" s="7"/>
      <c r="E116" s="7"/>
      <c r="F116" s="7"/>
      <c r="G116" s="7"/>
      <c r="H116" s="7"/>
      <c r="I116" s="1" t="s">
        <v>193</v>
      </c>
      <c r="J116" s="1">
        <v>0.98296964168548584</v>
      </c>
      <c r="K116" s="1" t="s">
        <v>22</v>
      </c>
      <c r="L116" s="1" t="s">
        <v>177</v>
      </c>
      <c r="M116" s="1">
        <v>34</v>
      </c>
    </row>
    <row r="117" spans="1:13" ht="90" customHeight="1" x14ac:dyDescent="0.3">
      <c r="A117" s="8">
        <v>37</v>
      </c>
      <c r="B117" s="8" t="s">
        <v>194</v>
      </c>
      <c r="C117" s="8" t="s">
        <v>177</v>
      </c>
      <c r="D117" s="8" t="s">
        <v>195</v>
      </c>
      <c r="E117" s="6" t="s">
        <v>17</v>
      </c>
      <c r="F117" s="6" t="s">
        <v>18</v>
      </c>
      <c r="G117" s="8" t="s">
        <v>196</v>
      </c>
      <c r="H117" s="8" t="s">
        <v>197</v>
      </c>
      <c r="I117" s="1" t="s">
        <v>198</v>
      </c>
      <c r="J117" s="1">
        <v>0.99781739711761475</v>
      </c>
      <c r="K117" s="1" t="s">
        <v>22</v>
      </c>
      <c r="L117" s="1" t="s">
        <v>177</v>
      </c>
      <c r="M117" s="1">
        <v>38</v>
      </c>
    </row>
    <row r="118" spans="1:13" ht="90" customHeight="1" x14ac:dyDescent="0.3">
      <c r="A118" s="8"/>
      <c r="B118" s="7"/>
      <c r="C118" s="7"/>
      <c r="D118" s="7"/>
      <c r="E118" s="7"/>
      <c r="F118" s="7"/>
      <c r="G118" s="7"/>
      <c r="H118" s="7"/>
      <c r="I118" s="4" t="s">
        <v>185</v>
      </c>
      <c r="J118" s="4">
        <v>0.99718248844146729</v>
      </c>
      <c r="K118" s="4" t="s">
        <v>22</v>
      </c>
      <c r="L118" s="4" t="s">
        <v>177</v>
      </c>
      <c r="M118" s="4">
        <v>72</v>
      </c>
    </row>
    <row r="119" spans="1:13" ht="90" customHeight="1" x14ac:dyDescent="0.3">
      <c r="A119" s="8"/>
      <c r="B119" s="7"/>
      <c r="C119" s="7"/>
      <c r="D119" s="7"/>
      <c r="E119" s="7"/>
      <c r="F119" s="7"/>
      <c r="G119" s="7"/>
      <c r="H119" s="7"/>
      <c r="I119" s="2" t="s">
        <v>199</v>
      </c>
      <c r="J119" s="2">
        <v>0.96491099464275787</v>
      </c>
      <c r="K119" s="2" t="s">
        <v>22</v>
      </c>
      <c r="L119" s="2" t="s">
        <v>151</v>
      </c>
      <c r="M119" s="2">
        <v>141</v>
      </c>
    </row>
    <row r="120" spans="1:13" ht="90" customHeight="1" x14ac:dyDescent="0.3">
      <c r="A120" s="8"/>
      <c r="B120" s="7"/>
      <c r="C120" s="7"/>
      <c r="D120" s="7"/>
      <c r="E120" s="7"/>
      <c r="F120" s="7"/>
      <c r="G120" s="7"/>
      <c r="H120" s="7"/>
      <c r="I120" s="1" t="s">
        <v>200</v>
      </c>
      <c r="J120" s="1">
        <v>0.92955321073532104</v>
      </c>
      <c r="K120" s="1" t="s">
        <v>22</v>
      </c>
      <c r="L120" s="1" t="s">
        <v>177</v>
      </c>
      <c r="M120" s="1">
        <v>75</v>
      </c>
    </row>
    <row r="121" spans="1:13" ht="90" customHeight="1" x14ac:dyDescent="0.3">
      <c r="A121" s="8"/>
      <c r="B121" s="7"/>
      <c r="C121" s="7"/>
      <c r="D121" s="7"/>
      <c r="E121" s="7"/>
      <c r="F121" s="7"/>
      <c r="G121" s="7"/>
      <c r="H121" s="7"/>
      <c r="I121" s="1" t="s">
        <v>201</v>
      </c>
      <c r="J121" s="1">
        <v>0.89879870414733887</v>
      </c>
      <c r="K121" s="1" t="s">
        <v>22</v>
      </c>
      <c r="L121" s="1" t="s">
        <v>177</v>
      </c>
      <c r="M121" s="1">
        <v>3</v>
      </c>
    </row>
    <row r="122" spans="1:13" ht="90" customHeight="1" x14ac:dyDescent="0.3">
      <c r="A122" s="8">
        <v>38</v>
      </c>
      <c r="B122" s="8" t="s">
        <v>202</v>
      </c>
      <c r="C122" s="8" t="s">
        <v>203</v>
      </c>
      <c r="D122" s="8" t="s">
        <v>92</v>
      </c>
      <c r="E122" s="6" t="s">
        <v>17</v>
      </c>
      <c r="F122" s="6" t="s">
        <v>94</v>
      </c>
      <c r="G122" s="8" t="s">
        <v>204</v>
      </c>
      <c r="H122" s="8" t="s">
        <v>205</v>
      </c>
      <c r="I122" s="2" t="s">
        <v>206</v>
      </c>
      <c r="J122" s="2">
        <v>0.99967396259307861</v>
      </c>
      <c r="K122" s="2" t="s">
        <v>22</v>
      </c>
      <c r="L122" s="2" t="s">
        <v>203</v>
      </c>
      <c r="M122" s="2">
        <v>82</v>
      </c>
    </row>
    <row r="123" spans="1:13" ht="90" customHeight="1" x14ac:dyDescent="0.3">
      <c r="A123" s="8"/>
      <c r="B123" s="7"/>
      <c r="C123" s="7"/>
      <c r="D123" s="7"/>
      <c r="E123" s="7"/>
      <c r="F123" s="7"/>
      <c r="G123" s="7"/>
      <c r="H123" s="7"/>
      <c r="I123" s="2" t="s">
        <v>207</v>
      </c>
      <c r="J123" s="2">
        <v>0.99914443492889404</v>
      </c>
      <c r="K123" s="2" t="s">
        <v>22</v>
      </c>
      <c r="L123" s="2" t="s">
        <v>203</v>
      </c>
      <c r="M123" s="2">
        <v>220</v>
      </c>
    </row>
    <row r="124" spans="1:13" ht="90" customHeight="1" x14ac:dyDescent="0.3">
      <c r="A124" s="8"/>
      <c r="B124" s="7"/>
      <c r="C124" s="7"/>
      <c r="D124" s="7"/>
      <c r="E124" s="7"/>
      <c r="F124" s="7"/>
      <c r="G124" s="7"/>
      <c r="H124" s="7"/>
      <c r="I124" s="2" t="s">
        <v>208</v>
      </c>
      <c r="J124" s="2">
        <v>0.99865567684173584</v>
      </c>
      <c r="K124" s="2" t="s">
        <v>22</v>
      </c>
      <c r="L124" s="2" t="s">
        <v>203</v>
      </c>
      <c r="M124" s="2">
        <v>13</v>
      </c>
    </row>
    <row r="125" spans="1:13" ht="90" customHeight="1" x14ac:dyDescent="0.3">
      <c r="A125" s="8"/>
      <c r="B125" s="7"/>
      <c r="C125" s="7"/>
      <c r="D125" s="7"/>
      <c r="E125" s="7"/>
      <c r="F125" s="7"/>
      <c r="G125" s="7"/>
      <c r="H125" s="7"/>
      <c r="I125" s="5" t="s">
        <v>209</v>
      </c>
      <c r="J125" s="5">
        <v>0.99833446741104126</v>
      </c>
      <c r="K125" s="5" t="s">
        <v>22</v>
      </c>
      <c r="L125" s="5" t="s">
        <v>203</v>
      </c>
      <c r="M125" s="5">
        <v>11</v>
      </c>
    </row>
    <row r="126" spans="1:13" ht="90" customHeight="1" x14ac:dyDescent="0.3">
      <c r="A126" s="8"/>
      <c r="B126" s="7"/>
      <c r="C126" s="7"/>
      <c r="D126" s="7"/>
      <c r="E126" s="7"/>
      <c r="F126" s="7"/>
      <c r="G126" s="7"/>
      <c r="H126" s="7"/>
      <c r="I126" s="1" t="s">
        <v>210</v>
      </c>
      <c r="J126" s="1">
        <v>0.99784624576568604</v>
      </c>
      <c r="K126" s="1" t="s">
        <v>22</v>
      </c>
      <c r="L126" s="1" t="s">
        <v>203</v>
      </c>
      <c r="M126" s="1">
        <v>14</v>
      </c>
    </row>
    <row r="127" spans="1:13" ht="90" customHeight="1" x14ac:dyDescent="0.3">
      <c r="A127" s="8">
        <v>39</v>
      </c>
      <c r="B127" s="8" t="s">
        <v>211</v>
      </c>
      <c r="C127" s="8" t="s">
        <v>203</v>
      </c>
      <c r="D127" s="8" t="s">
        <v>92</v>
      </c>
      <c r="E127" s="6" t="s">
        <v>17</v>
      </c>
      <c r="F127" s="6" t="s">
        <v>94</v>
      </c>
      <c r="G127" s="8" t="s">
        <v>212</v>
      </c>
      <c r="H127" s="8" t="s">
        <v>213</v>
      </c>
      <c r="I127" s="2" t="s">
        <v>214</v>
      </c>
      <c r="J127" s="2">
        <v>0.99947506189346313</v>
      </c>
      <c r="K127" s="2" t="s">
        <v>22</v>
      </c>
      <c r="L127" s="2" t="s">
        <v>203</v>
      </c>
      <c r="M127" s="2">
        <v>239</v>
      </c>
    </row>
    <row r="128" spans="1:13" ht="90" customHeight="1" x14ac:dyDescent="0.3">
      <c r="A128" s="8"/>
      <c r="B128" s="7"/>
      <c r="C128" s="7"/>
      <c r="D128" s="7"/>
      <c r="E128" s="7"/>
      <c r="F128" s="7"/>
      <c r="G128" s="7"/>
      <c r="H128" s="7"/>
      <c r="I128" s="2" t="s">
        <v>215</v>
      </c>
      <c r="J128" s="2">
        <v>0.99388325214385986</v>
      </c>
      <c r="K128" s="2" t="s">
        <v>22</v>
      </c>
      <c r="L128" s="2" t="s">
        <v>216</v>
      </c>
      <c r="M128" s="2">
        <v>20</v>
      </c>
    </row>
    <row r="129" spans="1:13" ht="90" customHeight="1" x14ac:dyDescent="0.3">
      <c r="A129" s="8"/>
      <c r="B129" s="7"/>
      <c r="C129" s="7"/>
      <c r="D129" s="7"/>
      <c r="E129" s="7"/>
      <c r="F129" s="7"/>
      <c r="G129" s="7"/>
      <c r="H129" s="7"/>
      <c r="I129" s="2" t="s">
        <v>217</v>
      </c>
      <c r="J129" s="2">
        <v>0.99309855699539118</v>
      </c>
      <c r="K129" s="2" t="s">
        <v>22</v>
      </c>
      <c r="L129" s="2" t="s">
        <v>203</v>
      </c>
      <c r="M129" s="2">
        <v>23</v>
      </c>
    </row>
    <row r="130" spans="1:13" ht="90" customHeight="1" x14ac:dyDescent="0.3">
      <c r="A130" s="8"/>
      <c r="B130" s="7"/>
      <c r="C130" s="7"/>
      <c r="D130" s="7"/>
      <c r="E130" s="7"/>
      <c r="F130" s="7"/>
      <c r="G130" s="7"/>
      <c r="H130" s="7"/>
      <c r="I130" s="5" t="s">
        <v>218</v>
      </c>
      <c r="J130" s="5">
        <v>0.992950439453125</v>
      </c>
      <c r="K130" s="5" t="s">
        <v>22</v>
      </c>
      <c r="L130" s="5" t="s">
        <v>203</v>
      </c>
      <c r="M130" s="5">
        <v>11</v>
      </c>
    </row>
    <row r="131" spans="1:13" ht="90" customHeight="1" x14ac:dyDescent="0.3">
      <c r="A131" s="8"/>
      <c r="B131" s="7"/>
      <c r="C131" s="7"/>
      <c r="D131" s="7"/>
      <c r="E131" s="7"/>
      <c r="F131" s="7"/>
      <c r="G131" s="7"/>
      <c r="H131" s="7"/>
      <c r="I131" s="1" t="s">
        <v>219</v>
      </c>
      <c r="J131" s="1">
        <v>0.99086904525756836</v>
      </c>
      <c r="K131" s="1" t="s">
        <v>22</v>
      </c>
      <c r="L131" s="1" t="s">
        <v>220</v>
      </c>
      <c r="M131" s="1">
        <v>58</v>
      </c>
    </row>
    <row r="132" spans="1:13" ht="90" customHeight="1" x14ac:dyDescent="0.3">
      <c r="A132" s="8">
        <v>40</v>
      </c>
      <c r="B132" s="8" t="s">
        <v>221</v>
      </c>
      <c r="C132" s="8" t="s">
        <v>203</v>
      </c>
      <c r="D132" s="8" t="s">
        <v>152</v>
      </c>
      <c r="E132" s="6" t="s">
        <v>17</v>
      </c>
      <c r="F132" s="6" t="s">
        <v>18</v>
      </c>
      <c r="G132" s="8" t="s">
        <v>222</v>
      </c>
      <c r="H132" s="8" t="s">
        <v>223</v>
      </c>
      <c r="I132" s="4" t="s">
        <v>224</v>
      </c>
      <c r="J132" s="4">
        <v>0.99997532367706299</v>
      </c>
      <c r="K132" s="4" t="s">
        <v>22</v>
      </c>
      <c r="L132" s="4" t="s">
        <v>203</v>
      </c>
      <c r="M132" s="4">
        <v>24</v>
      </c>
    </row>
    <row r="133" spans="1:13" ht="90" customHeight="1" x14ac:dyDescent="0.3">
      <c r="A133" s="8"/>
      <c r="B133" s="7"/>
      <c r="C133" s="7"/>
      <c r="D133" s="7"/>
      <c r="E133" s="7"/>
      <c r="F133" s="7"/>
      <c r="G133" s="7"/>
      <c r="H133" s="7"/>
      <c r="I133" s="2" t="s">
        <v>225</v>
      </c>
      <c r="J133" s="2">
        <v>0.99971967935562134</v>
      </c>
      <c r="K133" s="2" t="s">
        <v>22</v>
      </c>
      <c r="L133" s="2" t="s">
        <v>203</v>
      </c>
      <c r="M133" s="2">
        <v>16</v>
      </c>
    </row>
    <row r="134" spans="1:13" ht="90" customHeight="1" x14ac:dyDescent="0.3">
      <c r="A134" s="8"/>
      <c r="B134" s="7"/>
      <c r="C134" s="7"/>
      <c r="D134" s="7"/>
      <c r="E134" s="7"/>
      <c r="F134" s="7"/>
      <c r="G134" s="7"/>
      <c r="H134" s="7"/>
      <c r="I134" s="2" t="s">
        <v>226</v>
      </c>
      <c r="J134" s="2">
        <v>0.99785786867141724</v>
      </c>
      <c r="K134" s="2" t="s">
        <v>22</v>
      </c>
      <c r="L134" s="2" t="s">
        <v>203</v>
      </c>
      <c r="M134" s="2">
        <v>151</v>
      </c>
    </row>
    <row r="135" spans="1:13" ht="90" customHeight="1" x14ac:dyDescent="0.3">
      <c r="A135" s="8"/>
      <c r="B135" s="7"/>
      <c r="C135" s="7"/>
      <c r="D135" s="7"/>
      <c r="E135" s="7"/>
      <c r="F135" s="7"/>
      <c r="G135" s="7"/>
      <c r="H135" s="7"/>
      <c r="I135" s="1" t="s">
        <v>215</v>
      </c>
      <c r="J135" s="1">
        <v>0.99482512474060059</v>
      </c>
      <c r="K135" s="1" t="s">
        <v>22</v>
      </c>
      <c r="L135" s="1" t="s">
        <v>216</v>
      </c>
      <c r="M135" s="1">
        <v>20</v>
      </c>
    </row>
    <row r="136" spans="1:13" ht="90" customHeight="1" x14ac:dyDescent="0.3">
      <c r="A136" s="8"/>
      <c r="B136" s="7"/>
      <c r="C136" s="7"/>
      <c r="D136" s="7"/>
      <c r="E136" s="7"/>
      <c r="F136" s="7"/>
      <c r="G136" s="7"/>
      <c r="H136" s="7"/>
      <c r="I136" s="1" t="s">
        <v>227</v>
      </c>
      <c r="J136" s="1">
        <v>0.9822850227355957</v>
      </c>
      <c r="K136" s="1" t="s">
        <v>22</v>
      </c>
      <c r="L136" s="1" t="s">
        <v>203</v>
      </c>
      <c r="M136" s="1">
        <v>32</v>
      </c>
    </row>
    <row r="137" spans="1:13" ht="90" customHeight="1" x14ac:dyDescent="0.3">
      <c r="A137" s="8">
        <v>41</v>
      </c>
      <c r="B137" s="8" t="s">
        <v>228</v>
      </c>
      <c r="C137" s="8" t="s">
        <v>203</v>
      </c>
      <c r="D137" s="8" t="s">
        <v>229</v>
      </c>
      <c r="E137" s="6" t="s">
        <v>17</v>
      </c>
      <c r="F137" s="6" t="s">
        <v>18</v>
      </c>
      <c r="G137" s="8" t="s">
        <v>230</v>
      </c>
      <c r="H137" s="8" t="s">
        <v>231</v>
      </c>
      <c r="I137" s="4" t="s">
        <v>232</v>
      </c>
      <c r="J137" s="4">
        <v>0.99999773502349854</v>
      </c>
      <c r="K137" s="4" t="s">
        <v>22</v>
      </c>
      <c r="L137" s="4" t="s">
        <v>203</v>
      </c>
      <c r="M137" s="4">
        <v>42</v>
      </c>
    </row>
    <row r="138" spans="1:13" ht="90" customHeight="1" x14ac:dyDescent="0.3">
      <c r="A138" s="8"/>
      <c r="B138" s="7"/>
      <c r="C138" s="7"/>
      <c r="D138" s="7"/>
      <c r="E138" s="7"/>
      <c r="F138" s="7"/>
      <c r="G138" s="7"/>
      <c r="H138" s="7"/>
      <c r="I138" s="4" t="s">
        <v>233</v>
      </c>
      <c r="J138" s="4">
        <v>0.99999701976776123</v>
      </c>
      <c r="K138" s="4" t="s">
        <v>22</v>
      </c>
      <c r="L138" s="4" t="s">
        <v>203</v>
      </c>
      <c r="M138" s="4">
        <v>43</v>
      </c>
    </row>
    <row r="139" spans="1:13" ht="90" customHeight="1" x14ac:dyDescent="0.3">
      <c r="A139" s="8"/>
      <c r="B139" s="7"/>
      <c r="C139" s="7"/>
      <c r="D139" s="7"/>
      <c r="E139" s="7"/>
      <c r="F139" s="7"/>
      <c r="G139" s="7"/>
      <c r="H139" s="7"/>
      <c r="I139" s="2" t="s">
        <v>217</v>
      </c>
      <c r="J139" s="2">
        <v>0.99956375360488825</v>
      </c>
      <c r="K139" s="2" t="s">
        <v>22</v>
      </c>
      <c r="L139" s="2" t="s">
        <v>203</v>
      </c>
      <c r="M139" s="2">
        <v>23</v>
      </c>
    </row>
    <row r="140" spans="1:13" ht="90" customHeight="1" x14ac:dyDescent="0.3">
      <c r="A140" s="8"/>
      <c r="B140" s="7"/>
      <c r="C140" s="7"/>
      <c r="D140" s="7"/>
      <c r="E140" s="7"/>
      <c r="F140" s="7"/>
      <c r="G140" s="7"/>
      <c r="H140" s="7"/>
      <c r="I140" s="1" t="s">
        <v>234</v>
      </c>
      <c r="J140" s="1">
        <v>0.99334704875946045</v>
      </c>
      <c r="K140" s="1" t="s">
        <v>22</v>
      </c>
      <c r="L140" s="1" t="s">
        <v>203</v>
      </c>
      <c r="M140" s="1">
        <v>49</v>
      </c>
    </row>
    <row r="141" spans="1:13" ht="90" customHeight="1" x14ac:dyDescent="0.3">
      <c r="A141" s="8"/>
      <c r="B141" s="7"/>
      <c r="C141" s="7"/>
      <c r="D141" s="7"/>
      <c r="E141" s="7"/>
      <c r="F141" s="7"/>
      <c r="G141" s="7"/>
      <c r="H141" s="7"/>
      <c r="I141" s="1" t="s">
        <v>235</v>
      </c>
      <c r="J141" s="1">
        <v>0.99039256572723389</v>
      </c>
      <c r="K141" s="1" t="s">
        <v>22</v>
      </c>
      <c r="L141" s="1" t="s">
        <v>203</v>
      </c>
      <c r="M141" s="1">
        <v>53</v>
      </c>
    </row>
    <row r="142" spans="1:13" ht="90" customHeight="1" x14ac:dyDescent="0.3">
      <c r="A142" s="8">
        <v>42</v>
      </c>
      <c r="B142" s="8" t="s">
        <v>236</v>
      </c>
      <c r="C142" s="8" t="s">
        <v>237</v>
      </c>
      <c r="D142" s="8" t="s">
        <v>238</v>
      </c>
      <c r="E142" s="6" t="s">
        <v>17</v>
      </c>
      <c r="F142" s="6" t="s">
        <v>18</v>
      </c>
      <c r="G142" s="8" t="s">
        <v>239</v>
      </c>
      <c r="H142" s="8" t="s">
        <v>240</v>
      </c>
      <c r="I142" s="4" t="s">
        <v>241</v>
      </c>
      <c r="J142" s="4">
        <v>0.99998545631358771</v>
      </c>
      <c r="K142" s="4" t="s">
        <v>22</v>
      </c>
      <c r="L142" s="4" t="s">
        <v>237</v>
      </c>
      <c r="M142" s="4">
        <v>50</v>
      </c>
    </row>
    <row r="143" spans="1:13" ht="90" customHeight="1" x14ac:dyDescent="0.3">
      <c r="A143" s="8"/>
      <c r="B143" s="7"/>
      <c r="C143" s="7"/>
      <c r="D143" s="7"/>
      <c r="E143" s="7"/>
      <c r="F143" s="7"/>
      <c r="G143" s="7"/>
      <c r="H143" s="7"/>
      <c r="I143" s="4" t="s">
        <v>242</v>
      </c>
      <c r="J143" s="4">
        <v>0.99997866153716353</v>
      </c>
      <c r="K143" s="4" t="s">
        <v>22</v>
      </c>
      <c r="L143" s="4" t="s">
        <v>237</v>
      </c>
      <c r="M143" s="4">
        <v>51</v>
      </c>
    </row>
    <row r="144" spans="1:13" ht="90" customHeight="1" x14ac:dyDescent="0.3">
      <c r="A144" s="8"/>
      <c r="B144" s="7"/>
      <c r="C144" s="7"/>
      <c r="D144" s="7"/>
      <c r="E144" s="7"/>
      <c r="F144" s="7"/>
      <c r="G144" s="7"/>
      <c r="H144" s="7"/>
      <c r="I144" s="2" t="s">
        <v>243</v>
      </c>
      <c r="J144" s="2">
        <v>0.99006301164627075</v>
      </c>
      <c r="K144" s="2" t="s">
        <v>22</v>
      </c>
      <c r="L144" s="2" t="s">
        <v>237</v>
      </c>
      <c r="M144" s="2">
        <v>34</v>
      </c>
    </row>
    <row r="145" spans="1:13" ht="90" customHeight="1" x14ac:dyDescent="0.3">
      <c r="A145" s="8"/>
      <c r="B145" s="7"/>
      <c r="C145" s="7"/>
      <c r="D145" s="7"/>
      <c r="E145" s="7"/>
      <c r="F145" s="7"/>
      <c r="G145" s="7"/>
      <c r="H145" s="7"/>
      <c r="I145" s="1" t="s">
        <v>244</v>
      </c>
      <c r="J145" s="1">
        <v>0.90770405530929565</v>
      </c>
      <c r="K145" s="1" t="s">
        <v>22</v>
      </c>
      <c r="L145" s="1" t="s">
        <v>151</v>
      </c>
      <c r="M145" s="1">
        <v>230</v>
      </c>
    </row>
    <row r="146" spans="1:13" ht="90" customHeight="1" x14ac:dyDescent="0.3">
      <c r="A146" s="8"/>
      <c r="B146" s="7"/>
      <c r="C146" s="7"/>
      <c r="D146" s="7"/>
      <c r="E146" s="7"/>
      <c r="F146" s="7"/>
      <c r="G146" s="7"/>
      <c r="H146" s="7"/>
      <c r="I146" s="1" t="s">
        <v>245</v>
      </c>
      <c r="J146" s="1">
        <v>0.79106688499450684</v>
      </c>
      <c r="K146" s="1" t="s">
        <v>22</v>
      </c>
      <c r="L146" s="1" t="s">
        <v>151</v>
      </c>
      <c r="M146" s="1">
        <v>4</v>
      </c>
    </row>
    <row r="147" spans="1:13" ht="90" customHeight="1" x14ac:dyDescent="0.3">
      <c r="A147" s="8">
        <v>43</v>
      </c>
      <c r="B147" s="8" t="s">
        <v>246</v>
      </c>
      <c r="C147" s="8" t="s">
        <v>85</v>
      </c>
      <c r="D147" s="8" t="s">
        <v>247</v>
      </c>
      <c r="E147" s="6" t="s">
        <v>17</v>
      </c>
      <c r="F147" s="6" t="s">
        <v>18</v>
      </c>
      <c r="G147" s="8" t="s">
        <v>248</v>
      </c>
      <c r="H147" s="8" t="s">
        <v>249</v>
      </c>
      <c r="I147" s="4" t="s">
        <v>250</v>
      </c>
      <c r="J147" s="4">
        <v>0.9995142574577025</v>
      </c>
      <c r="K147" s="4" t="s">
        <v>22</v>
      </c>
      <c r="L147" s="4" t="s">
        <v>85</v>
      </c>
      <c r="M147" s="4">
        <v>7</v>
      </c>
    </row>
    <row r="148" spans="1:13" ht="90" customHeight="1" x14ac:dyDescent="0.3">
      <c r="A148" s="8"/>
      <c r="B148" s="7"/>
      <c r="C148" s="7"/>
      <c r="D148" s="7"/>
      <c r="E148" s="7"/>
      <c r="F148" s="7"/>
      <c r="G148" s="7"/>
      <c r="H148" s="7"/>
      <c r="I148" s="1"/>
      <c r="J148" s="1"/>
      <c r="K148" s="1"/>
      <c r="L148" s="1"/>
      <c r="M148" s="1"/>
    </row>
    <row r="149" spans="1:13" ht="90" customHeight="1" x14ac:dyDescent="0.3">
      <c r="A149" s="8"/>
      <c r="B149" s="7"/>
      <c r="C149" s="7"/>
      <c r="D149" s="7"/>
      <c r="E149" s="7"/>
      <c r="F149" s="7"/>
      <c r="G149" s="7"/>
      <c r="H149" s="7"/>
      <c r="I149" s="1"/>
      <c r="J149" s="1"/>
      <c r="K149" s="1"/>
      <c r="L149" s="1"/>
      <c r="M149" s="1"/>
    </row>
    <row r="150" spans="1:13" ht="90" customHeight="1" x14ac:dyDescent="0.3">
      <c r="A150" s="8"/>
      <c r="B150" s="7"/>
      <c r="C150" s="7"/>
      <c r="D150" s="7"/>
      <c r="E150" s="7"/>
      <c r="F150" s="7"/>
      <c r="G150" s="7"/>
      <c r="H150" s="7"/>
      <c r="I150" s="1"/>
      <c r="J150" s="1"/>
      <c r="K150" s="1"/>
      <c r="L150" s="1"/>
      <c r="M150" s="1"/>
    </row>
    <row r="151" spans="1:13" ht="90" customHeight="1" x14ac:dyDescent="0.3">
      <c r="A151" s="8"/>
      <c r="B151" s="7"/>
      <c r="C151" s="7"/>
      <c r="D151" s="7"/>
      <c r="E151" s="7"/>
      <c r="F151" s="7"/>
      <c r="G151" s="7"/>
      <c r="H151" s="7"/>
      <c r="I151" s="1"/>
      <c r="J151" s="1"/>
      <c r="K151" s="1"/>
      <c r="L151" s="1"/>
      <c r="M151" s="1"/>
    </row>
    <row r="152" spans="1:13" ht="90" customHeight="1" x14ac:dyDescent="0.3">
      <c r="A152" s="8">
        <v>45</v>
      </c>
      <c r="B152" s="8" t="s">
        <v>251</v>
      </c>
      <c r="C152" s="8" t="s">
        <v>252</v>
      </c>
      <c r="D152" s="8" t="s">
        <v>253</v>
      </c>
      <c r="E152" s="6" t="s">
        <v>17</v>
      </c>
      <c r="F152" s="6" t="s">
        <v>18</v>
      </c>
      <c r="G152" s="8" t="s">
        <v>254</v>
      </c>
      <c r="H152" s="8" t="s">
        <v>255</v>
      </c>
      <c r="I152" s="4" t="s">
        <v>256</v>
      </c>
      <c r="J152" s="4">
        <v>0.99914515018463135</v>
      </c>
      <c r="K152" s="4" t="s">
        <v>22</v>
      </c>
      <c r="L152" s="4" t="s">
        <v>252</v>
      </c>
      <c r="M152" s="4">
        <v>87</v>
      </c>
    </row>
    <row r="153" spans="1:13" ht="90" customHeight="1" x14ac:dyDescent="0.3">
      <c r="A153" s="8"/>
      <c r="B153" s="7"/>
      <c r="C153" s="7"/>
      <c r="D153" s="7"/>
      <c r="E153" s="7"/>
      <c r="F153" s="7"/>
      <c r="G153" s="7"/>
      <c r="H153" s="7"/>
      <c r="I153" s="2" t="s">
        <v>257</v>
      </c>
      <c r="J153" s="2">
        <v>0.99909412860870361</v>
      </c>
      <c r="K153" s="2" t="s">
        <v>22</v>
      </c>
      <c r="L153" s="2" t="s">
        <v>258</v>
      </c>
      <c r="M153" s="2">
        <v>4</v>
      </c>
    </row>
    <row r="154" spans="1:13" ht="90" customHeight="1" x14ac:dyDescent="0.3">
      <c r="A154" s="8"/>
      <c r="B154" s="7"/>
      <c r="C154" s="7"/>
      <c r="D154" s="7"/>
      <c r="E154" s="7"/>
      <c r="F154" s="7"/>
      <c r="G154" s="7"/>
      <c r="H154" s="7"/>
      <c r="I154" s="4" t="s">
        <v>259</v>
      </c>
      <c r="J154" s="4">
        <v>0.99879646301269531</v>
      </c>
      <c r="K154" s="4" t="s">
        <v>22</v>
      </c>
      <c r="L154" s="4" t="s">
        <v>252</v>
      </c>
      <c r="M154" s="4">
        <v>86</v>
      </c>
    </row>
    <row r="155" spans="1:13" ht="90" customHeight="1" x14ac:dyDescent="0.3">
      <c r="A155" s="8"/>
      <c r="B155" s="7"/>
      <c r="C155" s="7"/>
      <c r="D155" s="7"/>
      <c r="E155" s="7"/>
      <c r="F155" s="7"/>
      <c r="G155" s="7"/>
      <c r="H155" s="7"/>
      <c r="I155" s="1" t="s">
        <v>260</v>
      </c>
      <c r="J155" s="1">
        <v>0.99642038345336914</v>
      </c>
      <c r="K155" s="1" t="s">
        <v>22</v>
      </c>
      <c r="L155" s="1" t="s">
        <v>258</v>
      </c>
      <c r="M155" s="1">
        <v>15</v>
      </c>
    </row>
    <row r="156" spans="1:13" ht="90" customHeight="1" x14ac:dyDescent="0.3">
      <c r="A156" s="8"/>
      <c r="B156" s="7"/>
      <c r="C156" s="7"/>
      <c r="D156" s="7"/>
      <c r="E156" s="7"/>
      <c r="F156" s="7"/>
      <c r="G156" s="7"/>
      <c r="H156" s="7"/>
      <c r="I156" s="5" t="s">
        <v>261</v>
      </c>
      <c r="J156" s="5">
        <v>0.99585825204849243</v>
      </c>
      <c r="K156" s="5" t="s">
        <v>22</v>
      </c>
      <c r="L156" s="5" t="s">
        <v>252</v>
      </c>
      <c r="M156" s="5">
        <v>85</v>
      </c>
    </row>
    <row r="157" spans="1:13" ht="90" customHeight="1" x14ac:dyDescent="0.3">
      <c r="A157" s="8">
        <v>46</v>
      </c>
      <c r="B157" s="8" t="s">
        <v>262</v>
      </c>
      <c r="C157" s="8" t="s">
        <v>263</v>
      </c>
      <c r="D157" s="8" t="s">
        <v>99</v>
      </c>
      <c r="E157" s="6" t="s">
        <v>17</v>
      </c>
      <c r="F157" s="6" t="s">
        <v>18</v>
      </c>
      <c r="G157" s="8" t="s">
        <v>264</v>
      </c>
      <c r="H157" s="8" t="s">
        <v>265</v>
      </c>
      <c r="I157" s="4" t="s">
        <v>266</v>
      </c>
      <c r="J157" s="4">
        <v>0.9999924898147583</v>
      </c>
      <c r="K157" s="4" t="s">
        <v>22</v>
      </c>
      <c r="L157" s="4" t="s">
        <v>263</v>
      </c>
      <c r="M157" s="4">
        <v>1</v>
      </c>
    </row>
    <row r="158" spans="1:13" ht="90" customHeight="1" x14ac:dyDescent="0.3">
      <c r="A158" s="8"/>
      <c r="B158" s="7"/>
      <c r="C158" s="7"/>
      <c r="D158" s="7"/>
      <c r="E158" s="7"/>
      <c r="F158" s="7"/>
      <c r="G158" s="7"/>
      <c r="H158" s="7"/>
      <c r="I158" s="1"/>
      <c r="J158" s="1"/>
      <c r="K158" s="1"/>
      <c r="L158" s="1"/>
      <c r="M158" s="1"/>
    </row>
    <row r="159" spans="1:13" ht="90" customHeight="1" x14ac:dyDescent="0.3">
      <c r="A159" s="8"/>
      <c r="B159" s="7"/>
      <c r="C159" s="7"/>
      <c r="D159" s="7"/>
      <c r="E159" s="7"/>
      <c r="F159" s="7"/>
      <c r="G159" s="7"/>
      <c r="H159" s="7"/>
      <c r="I159" s="1"/>
      <c r="J159" s="1"/>
      <c r="K159" s="1"/>
      <c r="L159" s="1"/>
      <c r="M159" s="1"/>
    </row>
    <row r="160" spans="1:13" ht="90" customHeight="1" x14ac:dyDescent="0.3">
      <c r="A160" s="8"/>
      <c r="B160" s="7"/>
      <c r="C160" s="7"/>
      <c r="D160" s="7"/>
      <c r="E160" s="7"/>
      <c r="F160" s="7"/>
      <c r="G160" s="7"/>
      <c r="H160" s="7"/>
      <c r="I160" s="1"/>
      <c r="J160" s="1"/>
      <c r="K160" s="1"/>
      <c r="L160" s="1"/>
      <c r="M160" s="1"/>
    </row>
    <row r="161" spans="1:13" ht="90" customHeight="1" x14ac:dyDescent="0.3">
      <c r="A161" s="8"/>
      <c r="B161" s="7"/>
      <c r="C161" s="7"/>
      <c r="D161" s="7"/>
      <c r="E161" s="7"/>
      <c r="F161" s="7"/>
      <c r="G161" s="7"/>
      <c r="H161" s="7"/>
      <c r="I161" s="1"/>
      <c r="J161" s="1"/>
      <c r="K161" s="1"/>
      <c r="L161" s="1"/>
      <c r="M161" s="1"/>
    </row>
    <row r="162" spans="1:13" ht="90" customHeight="1" x14ac:dyDescent="0.3">
      <c r="A162" s="8">
        <v>49</v>
      </c>
      <c r="B162" s="8" t="s">
        <v>267</v>
      </c>
      <c r="C162" s="8" t="s">
        <v>26</v>
      </c>
      <c r="D162" s="8" t="s">
        <v>268</v>
      </c>
      <c r="E162" s="6" t="s">
        <v>17</v>
      </c>
      <c r="F162" s="6" t="s">
        <v>18</v>
      </c>
      <c r="G162" s="8" t="s">
        <v>269</v>
      </c>
      <c r="H162" s="8" t="s">
        <v>270</v>
      </c>
      <c r="I162" s="4" t="s">
        <v>271</v>
      </c>
      <c r="J162" s="4">
        <v>0.9960750937461853</v>
      </c>
      <c r="K162" s="4" t="s">
        <v>22</v>
      </c>
      <c r="L162" s="4" t="s">
        <v>26</v>
      </c>
      <c r="M162" s="4">
        <v>14</v>
      </c>
    </row>
    <row r="163" spans="1:13" ht="90" customHeight="1" x14ac:dyDescent="0.3">
      <c r="A163" s="8"/>
      <c r="B163" s="7"/>
      <c r="C163" s="7"/>
      <c r="D163" s="7"/>
      <c r="E163" s="7"/>
      <c r="F163" s="7"/>
      <c r="G163" s="7"/>
      <c r="H163" s="7"/>
      <c r="I163" s="1"/>
      <c r="J163" s="1"/>
      <c r="K163" s="1"/>
      <c r="L163" s="1"/>
      <c r="M163" s="1"/>
    </row>
    <row r="164" spans="1:13" ht="90" customHeight="1" x14ac:dyDescent="0.3">
      <c r="A164" s="8"/>
      <c r="B164" s="7"/>
      <c r="C164" s="7"/>
      <c r="D164" s="7"/>
      <c r="E164" s="7"/>
      <c r="F164" s="7"/>
      <c r="G164" s="7"/>
      <c r="H164" s="7"/>
      <c r="I164" s="1"/>
      <c r="J164" s="1"/>
      <c r="K164" s="1"/>
      <c r="L164" s="1"/>
      <c r="M164" s="1"/>
    </row>
    <row r="165" spans="1:13" ht="90" customHeight="1" x14ac:dyDescent="0.3">
      <c r="A165" s="8"/>
      <c r="B165" s="7"/>
      <c r="C165" s="7"/>
      <c r="D165" s="7"/>
      <c r="E165" s="7"/>
      <c r="F165" s="7"/>
      <c r="G165" s="7"/>
      <c r="H165" s="7"/>
      <c r="I165" s="1"/>
      <c r="J165" s="1"/>
      <c r="K165" s="1"/>
      <c r="L165" s="1"/>
      <c r="M165" s="1"/>
    </row>
    <row r="166" spans="1:13" ht="90" customHeight="1" x14ac:dyDescent="0.3">
      <c r="A166" s="8"/>
      <c r="B166" s="7"/>
      <c r="C166" s="7"/>
      <c r="D166" s="7"/>
      <c r="E166" s="7"/>
      <c r="F166" s="7"/>
      <c r="G166" s="7"/>
      <c r="H166" s="7"/>
      <c r="I166" s="1"/>
      <c r="J166" s="1"/>
      <c r="K166" s="1"/>
      <c r="L166" s="1"/>
      <c r="M166" s="1"/>
    </row>
    <row r="167" spans="1:13" ht="90" customHeight="1" x14ac:dyDescent="0.3">
      <c r="A167" s="8">
        <v>50</v>
      </c>
      <c r="B167" s="8" t="s">
        <v>272</v>
      </c>
      <c r="C167" s="8" t="s">
        <v>38</v>
      </c>
      <c r="D167" s="8" t="s">
        <v>39</v>
      </c>
      <c r="E167" s="6" t="s">
        <v>17</v>
      </c>
      <c r="F167" s="6" t="s">
        <v>18</v>
      </c>
      <c r="G167" s="8" t="s">
        <v>273</v>
      </c>
      <c r="H167" s="8" t="s">
        <v>274</v>
      </c>
      <c r="I167" s="4" t="s">
        <v>42</v>
      </c>
      <c r="J167" s="4">
        <v>0.99941311851683123</v>
      </c>
      <c r="K167" s="4" t="s">
        <v>22</v>
      </c>
      <c r="L167" s="4" t="s">
        <v>38</v>
      </c>
      <c r="M167" s="4">
        <v>1</v>
      </c>
    </row>
    <row r="168" spans="1:13" ht="90" customHeight="1" x14ac:dyDescent="0.3">
      <c r="A168" s="8"/>
      <c r="B168" s="7"/>
      <c r="C168" s="7"/>
      <c r="D168" s="7"/>
      <c r="E168" s="7"/>
      <c r="F168" s="7"/>
      <c r="G168" s="7"/>
      <c r="H168" s="7"/>
      <c r="I168" s="4" t="s">
        <v>43</v>
      </c>
      <c r="J168" s="4">
        <v>0.99540159887049695</v>
      </c>
      <c r="K168" s="4" t="s">
        <v>22</v>
      </c>
      <c r="L168" s="4" t="s">
        <v>38</v>
      </c>
      <c r="M168" s="4">
        <v>3</v>
      </c>
    </row>
    <row r="169" spans="1:13" ht="90" customHeight="1" x14ac:dyDescent="0.3">
      <c r="A169" s="8"/>
      <c r="B169" s="7"/>
      <c r="C169" s="7"/>
      <c r="D169" s="7"/>
      <c r="E169" s="7"/>
      <c r="F169" s="7"/>
      <c r="G169" s="7"/>
      <c r="H169" s="7"/>
      <c r="I169" s="4" t="s">
        <v>44</v>
      </c>
      <c r="J169" s="4">
        <v>0.91602776082405002</v>
      </c>
      <c r="K169" s="4" t="s">
        <v>22</v>
      </c>
      <c r="L169" s="4" t="s">
        <v>38</v>
      </c>
      <c r="M169" s="4">
        <v>2</v>
      </c>
    </row>
    <row r="170" spans="1:13" ht="90" customHeight="1" x14ac:dyDescent="0.3">
      <c r="A170" s="8"/>
      <c r="B170" s="7"/>
      <c r="C170" s="7"/>
      <c r="D170" s="7"/>
      <c r="E170" s="7"/>
      <c r="F170" s="7"/>
      <c r="G170" s="7"/>
      <c r="H170" s="7"/>
      <c r="I170" s="1"/>
      <c r="J170" s="1"/>
      <c r="K170" s="1"/>
      <c r="L170" s="1"/>
      <c r="M170" s="1"/>
    </row>
    <row r="171" spans="1:13" ht="90" customHeight="1" x14ac:dyDescent="0.3">
      <c r="A171" s="8"/>
      <c r="B171" s="7"/>
      <c r="C171" s="7"/>
      <c r="D171" s="7"/>
      <c r="E171" s="7"/>
      <c r="F171" s="7"/>
      <c r="G171" s="7"/>
      <c r="H171" s="7"/>
      <c r="I171" s="1"/>
      <c r="J171" s="1"/>
      <c r="K171" s="1"/>
      <c r="L171" s="1"/>
      <c r="M171" s="1"/>
    </row>
    <row r="172" spans="1:13" ht="90" customHeight="1" x14ac:dyDescent="0.3">
      <c r="A172" s="8">
        <v>51</v>
      </c>
      <c r="B172" s="8" t="s">
        <v>275</v>
      </c>
      <c r="C172" s="8" t="s">
        <v>276</v>
      </c>
      <c r="D172" s="8" t="s">
        <v>277</v>
      </c>
      <c r="E172" s="6" t="s">
        <v>17</v>
      </c>
      <c r="F172" s="6" t="s">
        <v>18</v>
      </c>
      <c r="G172" s="8" t="s">
        <v>278</v>
      </c>
      <c r="H172" s="8" t="s">
        <v>279</v>
      </c>
      <c r="I172" s="4" t="s">
        <v>280</v>
      </c>
      <c r="J172" s="4">
        <v>0.99930226802825928</v>
      </c>
      <c r="K172" s="4" t="s">
        <v>22</v>
      </c>
      <c r="L172" s="4" t="s">
        <v>276</v>
      </c>
      <c r="M172" s="4">
        <v>25</v>
      </c>
    </row>
    <row r="173" spans="1:13" ht="90" customHeight="1" x14ac:dyDescent="0.3">
      <c r="A173" s="8"/>
      <c r="B173" s="7"/>
      <c r="C173" s="7"/>
      <c r="D173" s="7"/>
      <c r="E173" s="7"/>
      <c r="F173" s="7"/>
      <c r="G173" s="7"/>
      <c r="H173" s="7"/>
      <c r="I173" s="5" t="s">
        <v>281</v>
      </c>
      <c r="J173" s="5">
        <v>0.99900046196625414</v>
      </c>
      <c r="K173" s="5" t="s">
        <v>22</v>
      </c>
      <c r="L173" s="5" t="s">
        <v>276</v>
      </c>
      <c r="M173" s="5">
        <v>26</v>
      </c>
    </row>
    <row r="174" spans="1:13" ht="90" customHeight="1" x14ac:dyDescent="0.3">
      <c r="A174" s="8"/>
      <c r="B174" s="7"/>
      <c r="C174" s="7"/>
      <c r="D174" s="7"/>
      <c r="E174" s="7"/>
      <c r="F174" s="7"/>
      <c r="G174" s="7"/>
      <c r="H174" s="7"/>
      <c r="I174" s="1"/>
      <c r="J174" s="1"/>
      <c r="K174" s="1"/>
      <c r="L174" s="1"/>
      <c r="M174" s="1"/>
    </row>
    <row r="175" spans="1:13" ht="90" customHeight="1" x14ac:dyDescent="0.3">
      <c r="A175" s="8"/>
      <c r="B175" s="7"/>
      <c r="C175" s="7"/>
      <c r="D175" s="7"/>
      <c r="E175" s="7"/>
      <c r="F175" s="7"/>
      <c r="G175" s="7"/>
      <c r="H175" s="7"/>
      <c r="I175" s="1"/>
      <c r="J175" s="1"/>
      <c r="K175" s="1"/>
      <c r="L175" s="1"/>
      <c r="M175" s="1"/>
    </row>
    <row r="176" spans="1:13" ht="90" customHeight="1" x14ac:dyDescent="0.3">
      <c r="A176" s="8"/>
      <c r="B176" s="7"/>
      <c r="C176" s="7"/>
      <c r="D176" s="7"/>
      <c r="E176" s="7"/>
      <c r="F176" s="7"/>
      <c r="G176" s="7"/>
      <c r="H176" s="7"/>
      <c r="I176" s="1"/>
      <c r="J176" s="1"/>
      <c r="K176" s="1"/>
      <c r="L176" s="1"/>
      <c r="M176" s="1"/>
    </row>
    <row r="177" spans="1:13" ht="90" customHeight="1" x14ac:dyDescent="0.3">
      <c r="A177" s="8">
        <v>53</v>
      </c>
      <c r="B177" s="8" t="s">
        <v>282</v>
      </c>
      <c r="C177" s="8" t="s">
        <v>85</v>
      </c>
      <c r="D177" s="8" t="s">
        <v>126</v>
      </c>
      <c r="E177" s="6" t="s">
        <v>17</v>
      </c>
      <c r="F177" s="6" t="s">
        <v>18</v>
      </c>
      <c r="G177" s="8" t="s">
        <v>283</v>
      </c>
      <c r="H177" s="8" t="s">
        <v>284</v>
      </c>
      <c r="I177" s="4" t="s">
        <v>285</v>
      </c>
      <c r="J177" s="4">
        <v>0.93324095010757446</v>
      </c>
      <c r="K177" s="4" t="s">
        <v>22</v>
      </c>
      <c r="L177" s="4" t="s">
        <v>85</v>
      </c>
      <c r="M177" s="4">
        <v>2</v>
      </c>
    </row>
    <row r="178" spans="1:13" ht="90" customHeight="1" x14ac:dyDescent="0.3">
      <c r="A178" s="8"/>
      <c r="B178" s="7"/>
      <c r="C178" s="7"/>
      <c r="D178" s="7"/>
      <c r="E178" s="7"/>
      <c r="F178" s="7"/>
      <c r="G178" s="7"/>
      <c r="H178" s="7"/>
      <c r="I178" s="1"/>
      <c r="J178" s="1"/>
      <c r="K178" s="1"/>
      <c r="L178" s="1"/>
      <c r="M178" s="1"/>
    </row>
    <row r="179" spans="1:13" ht="90" customHeight="1" x14ac:dyDescent="0.3">
      <c r="A179" s="8"/>
      <c r="B179" s="7"/>
      <c r="C179" s="7"/>
      <c r="D179" s="7"/>
      <c r="E179" s="7"/>
      <c r="F179" s="7"/>
      <c r="G179" s="7"/>
      <c r="H179" s="7"/>
      <c r="I179" s="1"/>
      <c r="J179" s="1"/>
      <c r="K179" s="1"/>
      <c r="L179" s="1"/>
      <c r="M179" s="1"/>
    </row>
    <row r="180" spans="1:13" ht="90" customHeight="1" x14ac:dyDescent="0.3">
      <c r="A180" s="8"/>
      <c r="B180" s="7"/>
      <c r="C180" s="7"/>
      <c r="D180" s="7"/>
      <c r="E180" s="7"/>
      <c r="F180" s="7"/>
      <c r="G180" s="7"/>
      <c r="H180" s="7"/>
      <c r="I180" s="1"/>
      <c r="J180" s="1"/>
      <c r="K180" s="1"/>
      <c r="L180" s="1"/>
      <c r="M180" s="1"/>
    </row>
    <row r="181" spans="1:13" ht="90" customHeight="1" x14ac:dyDescent="0.3">
      <c r="A181" s="8"/>
      <c r="B181" s="7"/>
      <c r="C181" s="7"/>
      <c r="D181" s="7"/>
      <c r="E181" s="7"/>
      <c r="F181" s="7"/>
      <c r="G181" s="7"/>
      <c r="H181" s="7"/>
      <c r="I181" s="1"/>
      <c r="J181" s="1"/>
      <c r="K181" s="1"/>
      <c r="L181" s="1"/>
      <c r="M181" s="1"/>
    </row>
    <row r="182" spans="1:13" ht="90" customHeight="1" x14ac:dyDescent="0.3">
      <c r="A182" s="8">
        <v>54</v>
      </c>
      <c r="B182" s="8" t="s">
        <v>286</v>
      </c>
      <c r="C182" s="8" t="s">
        <v>131</v>
      </c>
      <c r="D182" s="8" t="s">
        <v>247</v>
      </c>
      <c r="E182" s="6" t="s">
        <v>17</v>
      </c>
      <c r="F182" s="6" t="s">
        <v>18</v>
      </c>
      <c r="G182" s="8" t="s">
        <v>287</v>
      </c>
      <c r="H182" s="8" t="s">
        <v>288</v>
      </c>
      <c r="I182" s="2" t="s">
        <v>289</v>
      </c>
      <c r="J182" s="2">
        <v>0.9999382495880127</v>
      </c>
      <c r="K182" s="2" t="s">
        <v>76</v>
      </c>
      <c r="L182" s="2" t="s">
        <v>290</v>
      </c>
      <c r="M182" s="2">
        <v>1</v>
      </c>
    </row>
    <row r="183" spans="1:13" ht="90" customHeight="1" x14ac:dyDescent="0.3">
      <c r="A183" s="8"/>
      <c r="B183" s="7"/>
      <c r="C183" s="7"/>
      <c r="D183" s="7"/>
      <c r="E183" s="7"/>
      <c r="F183" s="7"/>
      <c r="G183" s="7"/>
      <c r="H183" s="7"/>
      <c r="I183" s="4" t="s">
        <v>291</v>
      </c>
      <c r="J183" s="4">
        <v>0.99638497829437256</v>
      </c>
      <c r="K183" s="4" t="s">
        <v>22</v>
      </c>
      <c r="L183" s="4" t="s">
        <v>131</v>
      </c>
      <c r="M183" s="4">
        <v>7</v>
      </c>
    </row>
    <row r="184" spans="1:13" ht="90" customHeight="1" x14ac:dyDescent="0.3">
      <c r="A184" s="8"/>
      <c r="B184" s="7"/>
      <c r="C184" s="7"/>
      <c r="D184" s="7"/>
      <c r="E184" s="7"/>
      <c r="F184" s="7"/>
      <c r="G184" s="7"/>
      <c r="H184" s="7"/>
      <c r="I184" s="1" t="s">
        <v>292</v>
      </c>
      <c r="J184" s="1">
        <v>0.99224114418029785</v>
      </c>
      <c r="K184" s="1" t="s">
        <v>76</v>
      </c>
      <c r="L184" s="1" t="s">
        <v>290</v>
      </c>
      <c r="M184" s="1">
        <v>2</v>
      </c>
    </row>
    <row r="185" spans="1:13" ht="90" customHeight="1" x14ac:dyDescent="0.3">
      <c r="A185" s="8"/>
      <c r="B185" s="7"/>
      <c r="C185" s="7"/>
      <c r="D185" s="7"/>
      <c r="E185" s="7"/>
      <c r="F185" s="7"/>
      <c r="G185" s="7"/>
      <c r="H185" s="7"/>
      <c r="I185" s="1"/>
      <c r="J185" s="1"/>
      <c r="K185" s="1"/>
      <c r="L185" s="1"/>
      <c r="M185" s="1"/>
    </row>
    <row r="186" spans="1:13" ht="90" customHeight="1" x14ac:dyDescent="0.3">
      <c r="A186" s="8"/>
      <c r="B186" s="7"/>
      <c r="C186" s="7"/>
      <c r="D186" s="7"/>
      <c r="E186" s="7"/>
      <c r="F186" s="7"/>
      <c r="G186" s="7"/>
      <c r="H186" s="7"/>
      <c r="I186" s="1"/>
      <c r="J186" s="1"/>
      <c r="K186" s="1"/>
      <c r="L186" s="1"/>
      <c r="M186" s="1"/>
    </row>
    <row r="187" spans="1:13" ht="90" customHeight="1" x14ac:dyDescent="0.3">
      <c r="A187" s="8">
        <v>55</v>
      </c>
      <c r="B187" s="8" t="s">
        <v>293</v>
      </c>
      <c r="C187" s="8" t="s">
        <v>85</v>
      </c>
      <c r="D187" s="8" t="s">
        <v>62</v>
      </c>
      <c r="E187" s="6" t="s">
        <v>17</v>
      </c>
      <c r="F187" s="6" t="s">
        <v>18</v>
      </c>
      <c r="G187" s="8" t="s">
        <v>294</v>
      </c>
      <c r="H187" s="8" t="s">
        <v>295</v>
      </c>
      <c r="I187" s="4" t="s">
        <v>296</v>
      </c>
      <c r="J187" s="4">
        <v>0.99645655429648305</v>
      </c>
      <c r="K187" s="4" t="s">
        <v>22</v>
      </c>
      <c r="L187" s="4" t="s">
        <v>85</v>
      </c>
      <c r="M187" s="4">
        <v>5</v>
      </c>
    </row>
    <row r="188" spans="1:13" ht="90" customHeight="1" x14ac:dyDescent="0.3">
      <c r="A188" s="8"/>
      <c r="B188" s="7"/>
      <c r="C188" s="7"/>
      <c r="D188" s="7"/>
      <c r="E188" s="7"/>
      <c r="F188" s="7"/>
      <c r="G188" s="7"/>
      <c r="H188" s="7"/>
      <c r="I188" s="1"/>
      <c r="J188" s="1"/>
      <c r="K188" s="1"/>
      <c r="L188" s="1"/>
      <c r="M188" s="1"/>
    </row>
    <row r="189" spans="1:13" ht="90" customHeight="1" x14ac:dyDescent="0.3">
      <c r="A189" s="8"/>
      <c r="B189" s="7"/>
      <c r="C189" s="7"/>
      <c r="D189" s="7"/>
      <c r="E189" s="7"/>
      <c r="F189" s="7"/>
      <c r="G189" s="7"/>
      <c r="H189" s="7"/>
      <c r="I189" s="1"/>
      <c r="J189" s="1"/>
      <c r="K189" s="1"/>
      <c r="L189" s="1"/>
      <c r="M189" s="1"/>
    </row>
    <row r="190" spans="1:13" ht="90" customHeight="1" x14ac:dyDescent="0.3">
      <c r="A190" s="8"/>
      <c r="B190" s="7"/>
      <c r="C190" s="7"/>
      <c r="D190" s="7"/>
      <c r="E190" s="7"/>
      <c r="F190" s="7"/>
      <c r="G190" s="7"/>
      <c r="H190" s="7"/>
      <c r="I190" s="1"/>
      <c r="J190" s="1"/>
      <c r="K190" s="1"/>
      <c r="L190" s="1"/>
      <c r="M190" s="1"/>
    </row>
    <row r="191" spans="1:13" ht="90" customHeight="1" x14ac:dyDescent="0.3">
      <c r="A191" s="8"/>
      <c r="B191" s="7"/>
      <c r="C191" s="7"/>
      <c r="D191" s="7"/>
      <c r="E191" s="7"/>
      <c r="F191" s="7"/>
      <c r="G191" s="7"/>
      <c r="H191" s="7"/>
      <c r="I191" s="1"/>
      <c r="J191" s="1"/>
      <c r="K191" s="1"/>
      <c r="L191" s="1"/>
      <c r="M191" s="1"/>
    </row>
    <row r="192" spans="1:13" ht="90" customHeight="1" x14ac:dyDescent="0.3">
      <c r="A192" s="8">
        <v>56</v>
      </c>
      <c r="B192" s="8" t="s">
        <v>297</v>
      </c>
      <c r="C192" s="8" t="s">
        <v>136</v>
      </c>
      <c r="D192" s="8" t="s">
        <v>99</v>
      </c>
      <c r="E192" s="6" t="s">
        <v>17</v>
      </c>
      <c r="F192" s="6" t="s">
        <v>18</v>
      </c>
      <c r="G192" s="8" t="s">
        <v>298</v>
      </c>
      <c r="H192" s="8" t="s">
        <v>299</v>
      </c>
      <c r="I192" s="4" t="s">
        <v>135</v>
      </c>
      <c r="J192" s="4">
        <v>0.90751200914382935</v>
      </c>
      <c r="K192" s="4" t="s">
        <v>22</v>
      </c>
      <c r="L192" s="4" t="s">
        <v>136</v>
      </c>
      <c r="M192" s="4">
        <v>1</v>
      </c>
    </row>
    <row r="193" spans="1:13" ht="90" customHeight="1" x14ac:dyDescent="0.3">
      <c r="A193" s="8"/>
      <c r="B193" s="7"/>
      <c r="C193" s="7"/>
      <c r="D193" s="7"/>
      <c r="E193" s="7"/>
      <c r="F193" s="7"/>
      <c r="G193" s="7"/>
      <c r="H193" s="7"/>
      <c r="I193" s="2" t="s">
        <v>300</v>
      </c>
      <c r="J193" s="2">
        <v>0.77635073661802412</v>
      </c>
      <c r="K193" s="2" t="s">
        <v>22</v>
      </c>
      <c r="L193" s="2" t="s">
        <v>136</v>
      </c>
      <c r="M193" s="2">
        <v>2</v>
      </c>
    </row>
    <row r="194" spans="1:13" ht="90" customHeight="1" x14ac:dyDescent="0.3">
      <c r="A194" s="8"/>
      <c r="B194" s="7"/>
      <c r="C194" s="7"/>
      <c r="D194" s="7"/>
      <c r="E194" s="7"/>
      <c r="F194" s="7"/>
      <c r="G194" s="7"/>
      <c r="H194" s="7"/>
      <c r="I194" s="1"/>
      <c r="J194" s="1"/>
      <c r="K194" s="1"/>
      <c r="L194" s="1"/>
      <c r="M194" s="1"/>
    </row>
    <row r="195" spans="1:13" ht="90" customHeight="1" x14ac:dyDescent="0.3">
      <c r="A195" s="8"/>
      <c r="B195" s="7"/>
      <c r="C195" s="7"/>
      <c r="D195" s="7"/>
      <c r="E195" s="7"/>
      <c r="F195" s="7"/>
      <c r="G195" s="7"/>
      <c r="H195" s="7"/>
      <c r="I195" s="1"/>
      <c r="J195" s="1"/>
      <c r="K195" s="1"/>
      <c r="L195" s="1"/>
      <c r="M195" s="1"/>
    </row>
    <row r="196" spans="1:13" ht="90" customHeight="1" x14ac:dyDescent="0.3">
      <c r="A196" s="8"/>
      <c r="B196" s="7"/>
      <c r="C196" s="7"/>
      <c r="D196" s="7"/>
      <c r="E196" s="7"/>
      <c r="F196" s="7"/>
      <c r="G196" s="7"/>
      <c r="H196" s="7"/>
      <c r="I196" s="1"/>
      <c r="J196" s="1"/>
      <c r="K196" s="1"/>
      <c r="L196" s="1"/>
      <c r="M196" s="1"/>
    </row>
    <row r="197" spans="1:13" ht="90" customHeight="1" x14ac:dyDescent="0.3">
      <c r="A197" s="8">
        <v>57</v>
      </c>
      <c r="B197" s="8" t="s">
        <v>301</v>
      </c>
      <c r="C197" s="8" t="s">
        <v>263</v>
      </c>
      <c r="D197" s="8" t="s">
        <v>99</v>
      </c>
      <c r="E197" s="6" t="s">
        <v>17</v>
      </c>
      <c r="F197" s="6" t="s">
        <v>18</v>
      </c>
      <c r="G197" s="8" t="s">
        <v>302</v>
      </c>
      <c r="H197" s="8" t="s">
        <v>303</v>
      </c>
      <c r="I197" s="4" t="s">
        <v>266</v>
      </c>
      <c r="J197" s="4">
        <v>0.99993741512298584</v>
      </c>
      <c r="K197" s="4" t="s">
        <v>22</v>
      </c>
      <c r="L197" s="4" t="s">
        <v>263</v>
      </c>
      <c r="M197" s="4">
        <v>1</v>
      </c>
    </row>
    <row r="198" spans="1:13" ht="90" customHeight="1" x14ac:dyDescent="0.3">
      <c r="A198" s="8"/>
      <c r="B198" s="7"/>
      <c r="C198" s="7"/>
      <c r="D198" s="7"/>
      <c r="E198" s="7"/>
      <c r="F198" s="7"/>
      <c r="G198" s="7"/>
      <c r="H198" s="7"/>
      <c r="I198" s="1"/>
      <c r="J198" s="1"/>
      <c r="K198" s="1"/>
      <c r="L198" s="1"/>
      <c r="M198" s="1"/>
    </row>
    <row r="199" spans="1:13" ht="90" customHeight="1" x14ac:dyDescent="0.3">
      <c r="A199" s="8"/>
      <c r="B199" s="7"/>
      <c r="C199" s="7"/>
      <c r="D199" s="7"/>
      <c r="E199" s="7"/>
      <c r="F199" s="7"/>
      <c r="G199" s="7"/>
      <c r="H199" s="7"/>
      <c r="I199" s="1"/>
      <c r="J199" s="1"/>
      <c r="K199" s="1"/>
      <c r="L199" s="1"/>
      <c r="M199" s="1"/>
    </row>
    <row r="200" spans="1:13" ht="90" customHeight="1" x14ac:dyDescent="0.3">
      <c r="A200" s="8"/>
      <c r="B200" s="7"/>
      <c r="C200" s="7"/>
      <c r="D200" s="7"/>
      <c r="E200" s="7"/>
      <c r="F200" s="7"/>
      <c r="G200" s="7"/>
      <c r="H200" s="7"/>
      <c r="I200" s="1"/>
      <c r="J200" s="1"/>
      <c r="K200" s="1"/>
      <c r="L200" s="1"/>
      <c r="M200" s="1"/>
    </row>
    <row r="201" spans="1:13" ht="90" customHeight="1" x14ac:dyDescent="0.3">
      <c r="A201" s="8"/>
      <c r="B201" s="7"/>
      <c r="C201" s="7"/>
      <c r="D201" s="7"/>
      <c r="E201" s="7"/>
      <c r="F201" s="7"/>
      <c r="G201" s="7"/>
      <c r="H201" s="7"/>
      <c r="I201" s="1"/>
      <c r="J201" s="1"/>
      <c r="K201" s="1"/>
      <c r="L201" s="1"/>
      <c r="M201" s="1"/>
    </row>
    <row r="202" spans="1:13" ht="90" customHeight="1" x14ac:dyDescent="0.3">
      <c r="A202" s="8">
        <v>60</v>
      </c>
      <c r="B202" s="8" t="s">
        <v>304</v>
      </c>
      <c r="C202" s="8" t="s">
        <v>305</v>
      </c>
      <c r="D202" s="8" t="s">
        <v>306</v>
      </c>
      <c r="E202" s="6" t="s">
        <v>17</v>
      </c>
      <c r="F202" s="6" t="s">
        <v>18</v>
      </c>
      <c r="G202" s="8" t="s">
        <v>307</v>
      </c>
      <c r="H202" s="8" t="s">
        <v>308</v>
      </c>
      <c r="I202" s="4" t="s">
        <v>309</v>
      </c>
      <c r="J202" s="4">
        <v>0.99710506900780038</v>
      </c>
      <c r="K202" s="4" t="s">
        <v>22</v>
      </c>
      <c r="L202" s="4" t="s">
        <v>305</v>
      </c>
      <c r="M202" s="4">
        <v>24</v>
      </c>
    </row>
    <row r="203" spans="1:13" ht="90" customHeight="1" x14ac:dyDescent="0.3">
      <c r="A203" s="8"/>
      <c r="B203" s="7"/>
      <c r="C203" s="7"/>
      <c r="D203" s="7"/>
      <c r="E203" s="7"/>
      <c r="F203" s="7"/>
      <c r="G203" s="7"/>
      <c r="H203" s="7"/>
      <c r="I203" s="4" t="s">
        <v>310</v>
      </c>
      <c r="J203" s="4">
        <v>0.99680177798660474</v>
      </c>
      <c r="K203" s="4" t="s">
        <v>22</v>
      </c>
      <c r="L203" s="4" t="s">
        <v>305</v>
      </c>
      <c r="M203" s="4">
        <v>23</v>
      </c>
    </row>
    <row r="204" spans="1:13" ht="90" customHeight="1" x14ac:dyDescent="0.3">
      <c r="A204" s="8"/>
      <c r="B204" s="7"/>
      <c r="C204" s="7"/>
      <c r="D204" s="7"/>
      <c r="E204" s="7"/>
      <c r="F204" s="7"/>
      <c r="G204" s="7"/>
      <c r="H204" s="7"/>
      <c r="I204" s="4" t="s">
        <v>311</v>
      </c>
      <c r="J204" s="4">
        <v>0.99536692415004313</v>
      </c>
      <c r="K204" s="4" t="s">
        <v>22</v>
      </c>
      <c r="L204" s="4" t="s">
        <v>305</v>
      </c>
      <c r="M204" s="4">
        <v>26</v>
      </c>
    </row>
    <row r="205" spans="1:13" ht="90" customHeight="1" x14ac:dyDescent="0.3">
      <c r="A205" s="8"/>
      <c r="B205" s="7"/>
      <c r="C205" s="7"/>
      <c r="D205" s="7"/>
      <c r="E205" s="7"/>
      <c r="F205" s="7"/>
      <c r="G205" s="7"/>
      <c r="H205" s="7"/>
      <c r="I205" s="1"/>
      <c r="J205" s="1"/>
      <c r="K205" s="1"/>
      <c r="L205" s="1"/>
      <c r="M205" s="1"/>
    </row>
    <row r="206" spans="1:13" ht="90" customHeight="1" x14ac:dyDescent="0.3">
      <c r="A206" s="8"/>
      <c r="B206" s="7"/>
      <c r="C206" s="7"/>
      <c r="D206" s="7"/>
      <c r="E206" s="7"/>
      <c r="F206" s="7"/>
      <c r="G206" s="7"/>
      <c r="H206" s="7"/>
      <c r="I206" s="1"/>
      <c r="J206" s="1"/>
      <c r="K206" s="1"/>
      <c r="L206" s="1"/>
      <c r="M206" s="1"/>
    </row>
    <row r="207" spans="1:13" ht="90" customHeight="1" x14ac:dyDescent="0.3">
      <c r="A207" s="8">
        <v>62</v>
      </c>
      <c r="B207" s="8" t="s">
        <v>312</v>
      </c>
      <c r="C207" s="8" t="s">
        <v>313</v>
      </c>
      <c r="D207" s="8" t="s">
        <v>86</v>
      </c>
      <c r="E207" s="6" t="s">
        <v>17</v>
      </c>
      <c r="F207" s="6" t="s">
        <v>18</v>
      </c>
      <c r="G207" s="8" t="s">
        <v>314</v>
      </c>
      <c r="H207" s="8" t="s">
        <v>315</v>
      </c>
      <c r="I207" s="4" t="s">
        <v>316</v>
      </c>
      <c r="J207" s="4">
        <v>0.96989667415618896</v>
      </c>
      <c r="K207" s="4" t="s">
        <v>22</v>
      </c>
      <c r="L207" s="4" t="s">
        <v>313</v>
      </c>
      <c r="M207" s="4">
        <v>4</v>
      </c>
    </row>
    <row r="208" spans="1:13" ht="90" customHeight="1" x14ac:dyDescent="0.3">
      <c r="A208" s="8"/>
      <c r="B208" s="7"/>
      <c r="C208" s="7"/>
      <c r="D208" s="7"/>
      <c r="E208" s="7"/>
      <c r="F208" s="7"/>
      <c r="G208" s="7"/>
      <c r="H208" s="7"/>
      <c r="I208" s="1"/>
      <c r="J208" s="1"/>
      <c r="K208" s="1"/>
      <c r="L208" s="1"/>
      <c r="M208" s="1"/>
    </row>
    <row r="209" spans="1:13" ht="90" customHeight="1" x14ac:dyDescent="0.3">
      <c r="A209" s="8"/>
      <c r="B209" s="7"/>
      <c r="C209" s="7"/>
      <c r="D209" s="7"/>
      <c r="E209" s="7"/>
      <c r="F209" s="7"/>
      <c r="G209" s="7"/>
      <c r="H209" s="7"/>
      <c r="I209" s="1"/>
      <c r="J209" s="1"/>
      <c r="K209" s="1"/>
      <c r="L209" s="1"/>
      <c r="M209" s="1"/>
    </row>
    <row r="210" spans="1:13" ht="90" customHeight="1" x14ac:dyDescent="0.3">
      <c r="A210" s="8"/>
      <c r="B210" s="7"/>
      <c r="C210" s="7"/>
      <c r="D210" s="7"/>
      <c r="E210" s="7"/>
      <c r="F210" s="7"/>
      <c r="G210" s="7"/>
      <c r="H210" s="7"/>
      <c r="I210" s="1"/>
      <c r="J210" s="1"/>
      <c r="K210" s="1"/>
      <c r="L210" s="1"/>
      <c r="M210" s="1"/>
    </row>
    <row r="211" spans="1:13" ht="90" customHeight="1" x14ac:dyDescent="0.3">
      <c r="A211" s="8"/>
      <c r="B211" s="7"/>
      <c r="C211" s="7"/>
      <c r="D211" s="7"/>
      <c r="E211" s="7"/>
      <c r="F211" s="7"/>
      <c r="G211" s="7"/>
      <c r="H211" s="7"/>
      <c r="I211" s="1"/>
      <c r="J211" s="1"/>
      <c r="K211" s="1"/>
      <c r="L211" s="1"/>
      <c r="M211" s="1"/>
    </row>
    <row r="212" spans="1:13" ht="90" customHeight="1" x14ac:dyDescent="0.3">
      <c r="A212" s="8">
        <v>64</v>
      </c>
      <c r="B212" s="8" t="s">
        <v>317</v>
      </c>
      <c r="C212" s="8" t="s">
        <v>318</v>
      </c>
      <c r="D212" s="8" t="s">
        <v>319</v>
      </c>
      <c r="E212" s="6" t="s">
        <v>17</v>
      </c>
      <c r="F212" s="6" t="s">
        <v>18</v>
      </c>
      <c r="G212" s="8" t="s">
        <v>320</v>
      </c>
      <c r="H212" s="8" t="s">
        <v>321</v>
      </c>
      <c r="I212" s="4" t="s">
        <v>322</v>
      </c>
      <c r="J212" s="4">
        <v>0.9998781681060791</v>
      </c>
      <c r="K212" s="4" t="s">
        <v>22</v>
      </c>
      <c r="L212" s="4" t="s">
        <v>144</v>
      </c>
      <c r="M212" s="4">
        <v>594</v>
      </c>
    </row>
    <row r="213" spans="1:13" ht="90" customHeight="1" x14ac:dyDescent="0.3">
      <c r="A213" s="8"/>
      <c r="B213" s="7"/>
      <c r="C213" s="7"/>
      <c r="D213" s="7"/>
      <c r="E213" s="7"/>
      <c r="F213" s="7"/>
      <c r="G213" s="7"/>
      <c r="H213" s="7"/>
      <c r="I213" s="5" t="s">
        <v>323</v>
      </c>
      <c r="J213" s="5">
        <v>0.9996565580368042</v>
      </c>
      <c r="K213" s="5" t="s">
        <v>22</v>
      </c>
      <c r="L213" s="5" t="s">
        <v>324</v>
      </c>
      <c r="M213" s="5">
        <v>5</v>
      </c>
    </row>
    <row r="214" spans="1:13" ht="90" customHeight="1" x14ac:dyDescent="0.3">
      <c r="A214" s="8"/>
      <c r="B214" s="7"/>
      <c r="C214" s="7"/>
      <c r="D214" s="7"/>
      <c r="E214" s="7"/>
      <c r="F214" s="7"/>
      <c r="G214" s="7"/>
      <c r="H214" s="7"/>
      <c r="I214" s="4" t="s">
        <v>325</v>
      </c>
      <c r="J214" s="4">
        <v>0.99803739786148071</v>
      </c>
      <c r="K214" s="4" t="s">
        <v>22</v>
      </c>
      <c r="L214" s="4" t="s">
        <v>144</v>
      </c>
      <c r="M214" s="4">
        <v>595</v>
      </c>
    </row>
    <row r="215" spans="1:13" ht="90" customHeight="1" x14ac:dyDescent="0.3">
      <c r="A215" s="8"/>
      <c r="B215" s="7"/>
      <c r="C215" s="7"/>
      <c r="D215" s="7"/>
      <c r="E215" s="7"/>
      <c r="F215" s="7"/>
      <c r="G215" s="7"/>
      <c r="H215" s="7"/>
      <c r="I215" s="4" t="s">
        <v>326</v>
      </c>
      <c r="J215" s="4">
        <v>0.99796730279922485</v>
      </c>
      <c r="K215" s="4" t="s">
        <v>22</v>
      </c>
      <c r="L215" s="4" t="s">
        <v>324</v>
      </c>
      <c r="M215" s="4">
        <v>3</v>
      </c>
    </row>
    <row r="216" spans="1:13" ht="90" customHeight="1" x14ac:dyDescent="0.3">
      <c r="A216" s="8"/>
      <c r="B216" s="7"/>
      <c r="C216" s="7"/>
      <c r="D216" s="7"/>
      <c r="E216" s="7"/>
      <c r="F216" s="7"/>
      <c r="G216" s="7"/>
      <c r="H216" s="7"/>
      <c r="I216" s="5" t="s">
        <v>327</v>
      </c>
      <c r="J216" s="5">
        <v>0.99503797292709351</v>
      </c>
      <c r="K216" s="5" t="s">
        <v>22</v>
      </c>
      <c r="L216" s="5" t="s">
        <v>324</v>
      </c>
      <c r="M216" s="5">
        <v>2</v>
      </c>
    </row>
    <row r="217" spans="1:13" ht="90" customHeight="1" x14ac:dyDescent="0.3">
      <c r="A217" s="8">
        <v>65</v>
      </c>
      <c r="B217" s="8" t="s">
        <v>328</v>
      </c>
      <c r="C217" s="8" t="s">
        <v>329</v>
      </c>
      <c r="D217" s="8" t="s">
        <v>330</v>
      </c>
      <c r="E217" s="6" t="s">
        <v>17</v>
      </c>
      <c r="F217" s="6" t="s">
        <v>18</v>
      </c>
      <c r="G217" s="8" t="s">
        <v>331</v>
      </c>
      <c r="H217" s="8" t="s">
        <v>332</v>
      </c>
      <c r="I217" s="4" t="s">
        <v>333</v>
      </c>
      <c r="J217" s="4">
        <v>0.99999916553497314</v>
      </c>
      <c r="K217" s="4" t="s">
        <v>22</v>
      </c>
      <c r="L217" s="4" t="s">
        <v>329</v>
      </c>
      <c r="M217" s="4">
        <v>4</v>
      </c>
    </row>
    <row r="218" spans="1:13" ht="90" customHeight="1" x14ac:dyDescent="0.3">
      <c r="A218" s="8"/>
      <c r="B218" s="7"/>
      <c r="C218" s="7"/>
      <c r="D218" s="7"/>
      <c r="E218" s="7"/>
      <c r="F218" s="7"/>
      <c r="G218" s="7"/>
      <c r="H218" s="7"/>
      <c r="I218" s="5" t="s">
        <v>334</v>
      </c>
      <c r="J218" s="5">
        <v>0.99999904632568359</v>
      </c>
      <c r="K218" s="5" t="s">
        <v>22</v>
      </c>
      <c r="L218" s="5" t="s">
        <v>329</v>
      </c>
      <c r="M218" s="5">
        <v>3</v>
      </c>
    </row>
    <row r="219" spans="1:13" ht="90" customHeight="1" x14ac:dyDescent="0.3">
      <c r="A219" s="8"/>
      <c r="B219" s="7"/>
      <c r="C219" s="7"/>
      <c r="D219" s="7"/>
      <c r="E219" s="7"/>
      <c r="F219" s="7"/>
      <c r="G219" s="7"/>
      <c r="H219" s="7"/>
      <c r="I219" s="1"/>
      <c r="J219" s="1"/>
      <c r="K219" s="1"/>
      <c r="L219" s="1"/>
      <c r="M219" s="1"/>
    </row>
    <row r="220" spans="1:13" ht="90" customHeight="1" x14ac:dyDescent="0.3">
      <c r="A220" s="8"/>
      <c r="B220" s="7"/>
      <c r="C220" s="7"/>
      <c r="D220" s="7"/>
      <c r="E220" s="7"/>
      <c r="F220" s="7"/>
      <c r="G220" s="7"/>
      <c r="H220" s="7"/>
      <c r="I220" s="1"/>
      <c r="J220" s="1"/>
      <c r="K220" s="1"/>
      <c r="L220" s="1"/>
      <c r="M220" s="1"/>
    </row>
    <row r="221" spans="1:13" ht="90" customHeight="1" x14ac:dyDescent="0.3">
      <c r="A221" s="8"/>
      <c r="B221" s="7"/>
      <c r="C221" s="7"/>
      <c r="D221" s="7"/>
      <c r="E221" s="7"/>
      <c r="F221" s="7"/>
      <c r="G221" s="7"/>
      <c r="H221" s="7"/>
      <c r="I221" s="1"/>
      <c r="J221" s="1"/>
      <c r="K221" s="1"/>
      <c r="L221" s="1"/>
      <c r="M221" s="1"/>
    </row>
    <row r="222" spans="1:13" ht="90" customHeight="1" x14ac:dyDescent="0.3">
      <c r="A222" s="8">
        <v>67</v>
      </c>
      <c r="B222" s="8" t="s">
        <v>335</v>
      </c>
      <c r="C222" s="8" t="s">
        <v>336</v>
      </c>
      <c r="D222" s="8" t="s">
        <v>99</v>
      </c>
      <c r="E222" s="6" t="s">
        <v>93</v>
      </c>
      <c r="F222" s="6" t="s">
        <v>94</v>
      </c>
      <c r="G222" s="8" t="s">
        <v>337</v>
      </c>
      <c r="H222" s="8" t="s">
        <v>338</v>
      </c>
      <c r="I222" s="2" t="s">
        <v>339</v>
      </c>
      <c r="J222" s="2">
        <v>0.80825400352478027</v>
      </c>
      <c r="K222" s="2" t="s">
        <v>22</v>
      </c>
      <c r="L222" s="2" t="s">
        <v>340</v>
      </c>
      <c r="M222" s="2">
        <v>81</v>
      </c>
    </row>
    <row r="223" spans="1:13" ht="90" customHeight="1" x14ac:dyDescent="0.3">
      <c r="A223" s="8"/>
      <c r="B223" s="7"/>
      <c r="C223" s="7"/>
      <c r="D223" s="7"/>
      <c r="E223" s="7"/>
      <c r="F223" s="7"/>
      <c r="G223" s="7"/>
      <c r="H223" s="7"/>
      <c r="I223" s="1" t="s">
        <v>341</v>
      </c>
      <c r="J223" s="1">
        <v>0.77276915311813354</v>
      </c>
      <c r="K223" s="1" t="s">
        <v>22</v>
      </c>
      <c r="L223" s="1" t="s">
        <v>340</v>
      </c>
      <c r="M223" s="1">
        <v>192</v>
      </c>
    </row>
    <row r="224" spans="1:13" ht="90" customHeight="1" x14ac:dyDescent="0.3">
      <c r="A224" s="8"/>
      <c r="B224" s="7"/>
      <c r="C224" s="7"/>
      <c r="D224" s="7"/>
      <c r="E224" s="7"/>
      <c r="F224" s="7"/>
      <c r="G224" s="7"/>
      <c r="H224" s="7"/>
      <c r="I224" s="2" t="s">
        <v>342</v>
      </c>
      <c r="J224" s="2">
        <v>0.71434330940246582</v>
      </c>
      <c r="K224" s="2" t="s">
        <v>22</v>
      </c>
      <c r="L224" s="2" t="s">
        <v>343</v>
      </c>
      <c r="M224" s="2">
        <v>473</v>
      </c>
    </row>
    <row r="225" spans="1:13" ht="90" customHeight="1" x14ac:dyDescent="0.3">
      <c r="A225" s="8"/>
      <c r="B225" s="7"/>
      <c r="C225" s="7"/>
      <c r="D225" s="7"/>
      <c r="E225" s="7"/>
      <c r="F225" s="7"/>
      <c r="G225" s="7"/>
      <c r="H225" s="7"/>
      <c r="I225" s="1" t="s">
        <v>344</v>
      </c>
      <c r="J225" s="1">
        <v>0.7111249566078186</v>
      </c>
      <c r="K225" s="1" t="s">
        <v>22</v>
      </c>
      <c r="L225" s="1" t="s">
        <v>343</v>
      </c>
      <c r="M225" s="1">
        <v>474</v>
      </c>
    </row>
    <row r="226" spans="1:13" ht="90" customHeight="1" x14ac:dyDescent="0.3">
      <c r="A226" s="8"/>
      <c r="B226" s="7"/>
      <c r="C226" s="7"/>
      <c r="D226" s="7"/>
      <c r="E226" s="7"/>
      <c r="F226" s="7"/>
      <c r="G226" s="7"/>
      <c r="H226" s="7"/>
      <c r="I226" s="1"/>
      <c r="J226" s="1"/>
      <c r="K226" s="1"/>
      <c r="L226" s="1"/>
      <c r="M226" s="1"/>
    </row>
    <row r="227" spans="1:13" ht="90" customHeight="1" x14ac:dyDescent="0.3">
      <c r="A227" s="8">
        <v>71</v>
      </c>
      <c r="B227" s="8" t="s">
        <v>345</v>
      </c>
      <c r="C227" s="8" t="s">
        <v>346</v>
      </c>
      <c r="D227" s="8" t="s">
        <v>347</v>
      </c>
      <c r="E227" s="6" t="s">
        <v>17</v>
      </c>
      <c r="F227" s="6" t="s">
        <v>18</v>
      </c>
      <c r="G227" s="8" t="s">
        <v>348</v>
      </c>
      <c r="H227" s="8" t="s">
        <v>349</v>
      </c>
      <c r="I227" s="4" t="s">
        <v>350</v>
      </c>
      <c r="J227" s="4">
        <v>0.99879419803465697</v>
      </c>
      <c r="K227" s="4" t="s">
        <v>22</v>
      </c>
      <c r="L227" s="4" t="s">
        <v>346</v>
      </c>
      <c r="M227" s="4">
        <v>220</v>
      </c>
    </row>
    <row r="228" spans="1:13" ht="90" customHeight="1" x14ac:dyDescent="0.3">
      <c r="A228" s="8"/>
      <c r="B228" s="7"/>
      <c r="C228" s="7"/>
      <c r="D228" s="7"/>
      <c r="E228" s="7"/>
      <c r="F228" s="7"/>
      <c r="G228" s="7"/>
      <c r="H228" s="7"/>
      <c r="I228" s="4" t="s">
        <v>351</v>
      </c>
      <c r="J228" s="4">
        <v>0.99860292673110962</v>
      </c>
      <c r="K228" s="4" t="s">
        <v>22</v>
      </c>
      <c r="L228" s="4" t="s">
        <v>346</v>
      </c>
      <c r="M228" s="4">
        <v>219</v>
      </c>
    </row>
    <row r="229" spans="1:13" ht="90" customHeight="1" x14ac:dyDescent="0.3">
      <c r="A229" s="8"/>
      <c r="B229" s="7"/>
      <c r="C229" s="7"/>
      <c r="D229" s="7"/>
      <c r="E229" s="7"/>
      <c r="F229" s="7"/>
      <c r="G229" s="7"/>
      <c r="H229" s="7"/>
      <c r="I229" s="1"/>
      <c r="J229" s="1"/>
      <c r="K229" s="1"/>
      <c r="L229" s="1"/>
      <c r="M229" s="1"/>
    </row>
    <row r="230" spans="1:13" ht="90" customHeight="1" x14ac:dyDescent="0.3">
      <c r="A230" s="8"/>
      <c r="B230" s="7"/>
      <c r="C230" s="7"/>
      <c r="D230" s="7"/>
      <c r="E230" s="7"/>
      <c r="F230" s="7"/>
      <c r="G230" s="7"/>
      <c r="H230" s="7"/>
      <c r="I230" s="1"/>
      <c r="J230" s="1"/>
      <c r="K230" s="1"/>
      <c r="L230" s="1"/>
      <c r="M230" s="1"/>
    </row>
    <row r="231" spans="1:13" ht="90" customHeight="1" x14ac:dyDescent="0.3">
      <c r="A231" s="8"/>
      <c r="B231" s="7"/>
      <c r="C231" s="7"/>
      <c r="D231" s="7"/>
      <c r="E231" s="7"/>
      <c r="F231" s="7"/>
      <c r="G231" s="7"/>
      <c r="H231" s="7"/>
      <c r="I231" s="1"/>
      <c r="J231" s="1"/>
      <c r="K231" s="1"/>
      <c r="L231" s="1"/>
      <c r="M231" s="1"/>
    </row>
    <row r="232" spans="1:13" ht="90" customHeight="1" x14ac:dyDescent="0.3">
      <c r="A232" s="8">
        <v>72</v>
      </c>
      <c r="B232" s="8" t="s">
        <v>352</v>
      </c>
      <c r="C232" s="8" t="s">
        <v>353</v>
      </c>
      <c r="D232" s="8" t="s">
        <v>354</v>
      </c>
      <c r="E232" s="6" t="s">
        <v>17</v>
      </c>
      <c r="F232" s="6" t="s">
        <v>18</v>
      </c>
      <c r="G232" s="8" t="s">
        <v>355</v>
      </c>
      <c r="H232" s="8" t="s">
        <v>356</v>
      </c>
      <c r="I232" s="4" t="s">
        <v>357</v>
      </c>
      <c r="J232" s="4">
        <v>0.99999010562896729</v>
      </c>
      <c r="K232" s="4" t="s">
        <v>22</v>
      </c>
      <c r="L232" s="4" t="s">
        <v>353</v>
      </c>
      <c r="M232" s="4">
        <v>99</v>
      </c>
    </row>
    <row r="233" spans="1:13" ht="90" customHeight="1" x14ac:dyDescent="0.3">
      <c r="A233" s="8"/>
      <c r="B233" s="7"/>
      <c r="C233" s="7"/>
      <c r="D233" s="7"/>
      <c r="E233" s="7"/>
      <c r="F233" s="7"/>
      <c r="G233" s="7"/>
      <c r="H233" s="7"/>
      <c r="I233" s="2" t="s">
        <v>358</v>
      </c>
      <c r="J233" s="2">
        <v>0.99996399877759345</v>
      </c>
      <c r="K233" s="2" t="s">
        <v>22</v>
      </c>
      <c r="L233" s="2" t="s">
        <v>359</v>
      </c>
      <c r="M233" s="2">
        <v>64</v>
      </c>
    </row>
    <row r="234" spans="1:13" ht="90" customHeight="1" x14ac:dyDescent="0.3">
      <c r="A234" s="8"/>
      <c r="B234" s="7"/>
      <c r="C234" s="7"/>
      <c r="D234" s="7"/>
      <c r="E234" s="7"/>
      <c r="F234" s="7"/>
      <c r="G234" s="7"/>
      <c r="H234" s="7"/>
      <c r="I234" s="2" t="s">
        <v>360</v>
      </c>
      <c r="J234" s="2">
        <v>0.99994194507598877</v>
      </c>
      <c r="K234" s="2" t="s">
        <v>22</v>
      </c>
      <c r="L234" s="2" t="s">
        <v>361</v>
      </c>
      <c r="M234" s="2">
        <v>22</v>
      </c>
    </row>
    <row r="235" spans="1:13" ht="90" customHeight="1" x14ac:dyDescent="0.3">
      <c r="A235" s="8"/>
      <c r="B235" s="7"/>
      <c r="C235" s="7"/>
      <c r="D235" s="7"/>
      <c r="E235" s="7"/>
      <c r="F235" s="7"/>
      <c r="G235" s="7"/>
      <c r="H235" s="7"/>
      <c r="I235" s="1" t="s">
        <v>362</v>
      </c>
      <c r="J235" s="1">
        <v>0.99992966651916504</v>
      </c>
      <c r="K235" s="1" t="s">
        <v>22</v>
      </c>
      <c r="L235" s="1" t="s">
        <v>363</v>
      </c>
      <c r="M235" s="1">
        <v>67</v>
      </c>
    </row>
    <row r="236" spans="1:13" ht="90" customHeight="1" x14ac:dyDescent="0.3">
      <c r="A236" s="8"/>
      <c r="B236" s="7"/>
      <c r="C236" s="7"/>
      <c r="D236" s="7"/>
      <c r="E236" s="7"/>
      <c r="F236" s="7"/>
      <c r="G236" s="7"/>
      <c r="H236" s="7"/>
      <c r="I236" s="1" t="s">
        <v>364</v>
      </c>
      <c r="J236" s="1">
        <v>0.99992537498474121</v>
      </c>
      <c r="K236" s="1" t="s">
        <v>22</v>
      </c>
      <c r="L236" s="1" t="s">
        <v>365</v>
      </c>
      <c r="M236" s="1">
        <v>28</v>
      </c>
    </row>
    <row r="237" spans="1:13" ht="90" customHeight="1" x14ac:dyDescent="0.3">
      <c r="A237" s="8">
        <v>75</v>
      </c>
      <c r="B237" s="8" t="s">
        <v>366</v>
      </c>
      <c r="C237" s="8" t="s">
        <v>26</v>
      </c>
      <c r="D237" s="8" t="s">
        <v>367</v>
      </c>
      <c r="E237" s="6" t="s">
        <v>17</v>
      </c>
      <c r="F237" s="6" t="s">
        <v>18</v>
      </c>
      <c r="G237" s="8" t="s">
        <v>368</v>
      </c>
      <c r="H237" s="8" t="s">
        <v>369</v>
      </c>
      <c r="I237" s="2" t="s">
        <v>370</v>
      </c>
      <c r="J237" s="2">
        <v>0.99811673164367676</v>
      </c>
      <c r="K237" s="2" t="s">
        <v>22</v>
      </c>
      <c r="L237" s="2" t="s">
        <v>371</v>
      </c>
      <c r="M237" s="2">
        <v>2</v>
      </c>
    </row>
    <row r="238" spans="1:13" ht="90" customHeight="1" x14ac:dyDescent="0.3">
      <c r="A238" s="8"/>
      <c r="B238" s="7"/>
      <c r="C238" s="7"/>
      <c r="D238" s="7"/>
      <c r="E238" s="7"/>
      <c r="F238" s="7"/>
      <c r="G238" s="7"/>
      <c r="H238" s="7"/>
      <c r="I238" s="4" t="s">
        <v>372</v>
      </c>
      <c r="J238" s="4">
        <v>0.956015944480896</v>
      </c>
      <c r="K238" s="4" t="s">
        <v>22</v>
      </c>
      <c r="L238" s="4" t="s">
        <v>26</v>
      </c>
      <c r="M238" s="4">
        <v>10</v>
      </c>
    </row>
    <row r="239" spans="1:13" ht="90" customHeight="1" x14ac:dyDescent="0.3">
      <c r="A239" s="8"/>
      <c r="B239" s="7"/>
      <c r="C239" s="7"/>
      <c r="D239" s="7"/>
      <c r="E239" s="7"/>
      <c r="F239" s="7"/>
      <c r="G239" s="7"/>
      <c r="H239" s="7"/>
      <c r="I239" s="2" t="s">
        <v>373</v>
      </c>
      <c r="J239" s="2">
        <v>0.86314016580581665</v>
      </c>
      <c r="K239" s="2" t="s">
        <v>22</v>
      </c>
      <c r="L239" s="2" t="s">
        <v>374</v>
      </c>
      <c r="M239" s="2">
        <v>245</v>
      </c>
    </row>
    <row r="240" spans="1:13" ht="90" customHeight="1" x14ac:dyDescent="0.3">
      <c r="A240" s="8"/>
      <c r="B240" s="7"/>
      <c r="C240" s="7"/>
      <c r="D240" s="7"/>
      <c r="E240" s="7"/>
      <c r="F240" s="7"/>
      <c r="G240" s="7"/>
      <c r="H240" s="7"/>
      <c r="I240" s="1" t="s">
        <v>375</v>
      </c>
      <c r="J240" s="1">
        <v>0.85434240102767889</v>
      </c>
      <c r="K240" s="1" t="s">
        <v>22</v>
      </c>
      <c r="L240" s="1" t="s">
        <v>376</v>
      </c>
      <c r="M240" s="1">
        <v>280</v>
      </c>
    </row>
    <row r="241" spans="1:13" ht="90" customHeight="1" x14ac:dyDescent="0.3">
      <c r="A241" s="8"/>
      <c r="B241" s="7"/>
      <c r="C241" s="7"/>
      <c r="D241" s="7"/>
      <c r="E241" s="7"/>
      <c r="F241" s="7"/>
      <c r="G241" s="7"/>
      <c r="H241" s="7"/>
      <c r="I241" s="1" t="s">
        <v>377</v>
      </c>
      <c r="J241" s="1">
        <v>0.78962522745132446</v>
      </c>
      <c r="K241" s="1" t="s">
        <v>22</v>
      </c>
      <c r="L241" s="1" t="s">
        <v>378</v>
      </c>
      <c r="M241" s="1">
        <v>132</v>
      </c>
    </row>
    <row r="242" spans="1:13" ht="90" customHeight="1" x14ac:dyDescent="0.3">
      <c r="A242" s="8">
        <v>76</v>
      </c>
      <c r="B242" s="8" t="s">
        <v>379</v>
      </c>
      <c r="C242" s="8" t="s">
        <v>380</v>
      </c>
      <c r="D242" s="8" t="s">
        <v>381</v>
      </c>
      <c r="E242" s="6" t="s">
        <v>17</v>
      </c>
      <c r="F242" s="6" t="s">
        <v>18</v>
      </c>
      <c r="G242" s="8" t="s">
        <v>382</v>
      </c>
      <c r="H242" s="8" t="s">
        <v>383</v>
      </c>
      <c r="I242" s="4" t="s">
        <v>384</v>
      </c>
      <c r="J242" s="4">
        <v>0.98032528162002563</v>
      </c>
      <c r="K242" s="4" t="s">
        <v>22</v>
      </c>
      <c r="L242" s="4" t="s">
        <v>380</v>
      </c>
      <c r="M242" s="4">
        <v>33</v>
      </c>
    </row>
    <row r="243" spans="1:13" ht="90" customHeight="1" x14ac:dyDescent="0.3">
      <c r="A243" s="8"/>
      <c r="B243" s="7"/>
      <c r="C243" s="7"/>
      <c r="D243" s="7"/>
      <c r="E243" s="7"/>
      <c r="F243" s="7"/>
      <c r="G243" s="7"/>
      <c r="H243" s="7"/>
      <c r="I243" s="1"/>
      <c r="J243" s="1"/>
      <c r="K243" s="1"/>
      <c r="L243" s="1"/>
      <c r="M243" s="1"/>
    </row>
    <row r="244" spans="1:13" ht="90" customHeight="1" x14ac:dyDescent="0.3">
      <c r="A244" s="8"/>
      <c r="B244" s="7"/>
      <c r="C244" s="7"/>
      <c r="D244" s="7"/>
      <c r="E244" s="7"/>
      <c r="F244" s="7"/>
      <c r="G244" s="7"/>
      <c r="H244" s="7"/>
      <c r="I244" s="1"/>
      <c r="J244" s="1"/>
      <c r="K244" s="1"/>
      <c r="L244" s="1"/>
      <c r="M244" s="1"/>
    </row>
    <row r="245" spans="1:13" ht="90" customHeight="1" x14ac:dyDescent="0.3">
      <c r="A245" s="8"/>
      <c r="B245" s="7"/>
      <c r="C245" s="7"/>
      <c r="D245" s="7"/>
      <c r="E245" s="7"/>
      <c r="F245" s="7"/>
      <c r="G245" s="7"/>
      <c r="H245" s="7"/>
      <c r="I245" s="1"/>
      <c r="J245" s="1"/>
      <c r="K245" s="1"/>
      <c r="L245" s="1"/>
      <c r="M245" s="1"/>
    </row>
    <row r="246" spans="1:13" ht="90" customHeight="1" x14ac:dyDescent="0.3">
      <c r="A246" s="8"/>
      <c r="B246" s="7"/>
      <c r="C246" s="7"/>
      <c r="D246" s="7"/>
      <c r="E246" s="7"/>
      <c r="F246" s="7"/>
      <c r="G246" s="7"/>
      <c r="H246" s="7"/>
      <c r="I246" s="1"/>
      <c r="J246" s="1"/>
      <c r="K246" s="1"/>
      <c r="L246" s="1"/>
      <c r="M246" s="1"/>
    </row>
    <row r="247" spans="1:13" ht="90" customHeight="1" x14ac:dyDescent="0.3">
      <c r="A247" s="8">
        <v>77</v>
      </c>
      <c r="B247" s="8" t="s">
        <v>385</v>
      </c>
      <c r="C247" s="8" t="s">
        <v>386</v>
      </c>
      <c r="D247" s="8" t="s">
        <v>387</v>
      </c>
      <c r="E247" s="6" t="s">
        <v>17</v>
      </c>
      <c r="F247" s="6" t="s">
        <v>18</v>
      </c>
      <c r="G247" s="8" t="s">
        <v>388</v>
      </c>
      <c r="H247" s="8" t="s">
        <v>389</v>
      </c>
      <c r="I247" s="2" t="s">
        <v>390</v>
      </c>
      <c r="J247" s="2">
        <v>0.99272447824478149</v>
      </c>
      <c r="K247" s="2" t="s">
        <v>22</v>
      </c>
      <c r="L247" s="2" t="s">
        <v>374</v>
      </c>
      <c r="M247" s="2">
        <v>256</v>
      </c>
    </row>
    <row r="248" spans="1:13" ht="90" customHeight="1" x14ac:dyDescent="0.3">
      <c r="A248" s="8"/>
      <c r="B248" s="7"/>
      <c r="C248" s="7"/>
      <c r="D248" s="7"/>
      <c r="E248" s="7"/>
      <c r="F248" s="7"/>
      <c r="G248" s="7"/>
      <c r="H248" s="7"/>
      <c r="I248" s="4" t="s">
        <v>391</v>
      </c>
      <c r="J248" s="4">
        <v>0.99107950925827026</v>
      </c>
      <c r="K248" s="4" t="s">
        <v>22</v>
      </c>
      <c r="L248" s="4" t="s">
        <v>386</v>
      </c>
      <c r="M248" s="4">
        <v>268</v>
      </c>
    </row>
    <row r="249" spans="1:13" ht="90" customHeight="1" x14ac:dyDescent="0.3">
      <c r="A249" s="8"/>
      <c r="B249" s="7"/>
      <c r="C249" s="7"/>
      <c r="D249" s="7"/>
      <c r="E249" s="7"/>
      <c r="F249" s="7"/>
      <c r="G249" s="7"/>
      <c r="H249" s="7"/>
      <c r="I249" s="2" t="s">
        <v>392</v>
      </c>
      <c r="J249" s="2">
        <v>0.98334598541259766</v>
      </c>
      <c r="K249" s="2" t="s">
        <v>22</v>
      </c>
      <c r="L249" s="2" t="s">
        <v>393</v>
      </c>
      <c r="M249" s="2">
        <v>15</v>
      </c>
    </row>
    <row r="250" spans="1:13" ht="90" customHeight="1" x14ac:dyDescent="0.3">
      <c r="A250" s="8"/>
      <c r="B250" s="7"/>
      <c r="C250" s="7"/>
      <c r="D250" s="7"/>
      <c r="E250" s="7"/>
      <c r="F250" s="7"/>
      <c r="G250" s="7"/>
      <c r="H250" s="7"/>
      <c r="I250" s="1" t="s">
        <v>394</v>
      </c>
      <c r="J250" s="1">
        <v>0.96903181076049805</v>
      </c>
      <c r="K250" s="1" t="s">
        <v>22</v>
      </c>
      <c r="L250" s="1" t="s">
        <v>374</v>
      </c>
      <c r="M250" s="1">
        <v>266</v>
      </c>
    </row>
    <row r="251" spans="1:13" ht="90" customHeight="1" x14ac:dyDescent="0.3">
      <c r="A251" s="8"/>
      <c r="B251" s="7"/>
      <c r="C251" s="7"/>
      <c r="D251" s="7"/>
      <c r="E251" s="7"/>
      <c r="F251" s="7"/>
      <c r="G251" s="7"/>
      <c r="H251" s="7"/>
      <c r="I251" s="1" t="s">
        <v>395</v>
      </c>
      <c r="J251" s="1">
        <v>0.96672117710113525</v>
      </c>
      <c r="K251" s="1" t="s">
        <v>22</v>
      </c>
      <c r="L251" s="1" t="s">
        <v>376</v>
      </c>
      <c r="M251" s="1">
        <v>290</v>
      </c>
    </row>
    <row r="252" spans="1:13" ht="90" customHeight="1" x14ac:dyDescent="0.3">
      <c r="A252" s="8">
        <v>78</v>
      </c>
      <c r="B252" s="8" t="s">
        <v>396</v>
      </c>
      <c r="C252" s="8" t="s">
        <v>26</v>
      </c>
      <c r="D252" s="8" t="s">
        <v>397</v>
      </c>
      <c r="E252" s="6" t="s">
        <v>17</v>
      </c>
      <c r="F252" s="6" t="s">
        <v>18</v>
      </c>
      <c r="G252" s="8" t="s">
        <v>398</v>
      </c>
      <c r="H252" s="8" t="s">
        <v>399</v>
      </c>
      <c r="I252" s="4" t="s">
        <v>400</v>
      </c>
      <c r="J252" s="4">
        <v>0.99902939796447754</v>
      </c>
      <c r="K252" s="4" t="s">
        <v>22</v>
      </c>
      <c r="L252" s="4" t="s">
        <v>26</v>
      </c>
      <c r="M252" s="4">
        <v>14</v>
      </c>
    </row>
    <row r="253" spans="1:13" ht="90" customHeight="1" x14ac:dyDescent="0.3">
      <c r="A253" s="8"/>
      <c r="B253" s="7"/>
      <c r="C253" s="7"/>
      <c r="D253" s="7"/>
      <c r="E253" s="7"/>
      <c r="F253" s="7"/>
      <c r="G253" s="7"/>
      <c r="H253" s="7"/>
      <c r="I253" s="4" t="s">
        <v>401</v>
      </c>
      <c r="J253" s="4">
        <v>0.99866640567779541</v>
      </c>
      <c r="K253" s="4" t="s">
        <v>22</v>
      </c>
      <c r="L253" s="4" t="s">
        <v>26</v>
      </c>
      <c r="M253" s="4">
        <v>10</v>
      </c>
    </row>
    <row r="254" spans="1:13" ht="90" customHeight="1" x14ac:dyDescent="0.3">
      <c r="A254" s="8"/>
      <c r="B254" s="7"/>
      <c r="C254" s="7"/>
      <c r="D254" s="7"/>
      <c r="E254" s="7"/>
      <c r="F254" s="7"/>
      <c r="G254" s="7"/>
      <c r="H254" s="7"/>
      <c r="I254" s="2" t="s">
        <v>402</v>
      </c>
      <c r="J254" s="2">
        <v>0.98928177356719971</v>
      </c>
      <c r="K254" s="2" t="s">
        <v>22</v>
      </c>
      <c r="L254" s="2" t="s">
        <v>371</v>
      </c>
      <c r="M254" s="2">
        <v>5</v>
      </c>
    </row>
    <row r="255" spans="1:13" ht="90" customHeight="1" x14ac:dyDescent="0.3">
      <c r="A255" s="8"/>
      <c r="B255" s="7"/>
      <c r="C255" s="7"/>
      <c r="D255" s="7"/>
      <c r="E255" s="7"/>
      <c r="F255" s="7"/>
      <c r="G255" s="7"/>
      <c r="H255" s="7"/>
      <c r="I255" s="1" t="s">
        <v>403</v>
      </c>
      <c r="J255" s="1">
        <v>0.93941837549209595</v>
      </c>
      <c r="K255" s="1" t="s">
        <v>22</v>
      </c>
      <c r="L255" s="1" t="s">
        <v>374</v>
      </c>
      <c r="M255" s="1">
        <v>137</v>
      </c>
    </row>
    <row r="256" spans="1:13" ht="90" customHeight="1" x14ac:dyDescent="0.3">
      <c r="A256" s="8"/>
      <c r="B256" s="7"/>
      <c r="C256" s="7"/>
      <c r="D256" s="7"/>
      <c r="E256" s="7"/>
      <c r="F256" s="7"/>
      <c r="G256" s="7"/>
      <c r="H256" s="7"/>
      <c r="I256" s="1" t="s">
        <v>404</v>
      </c>
      <c r="J256" s="1">
        <v>0.77156972885131836</v>
      </c>
      <c r="K256" s="1" t="s">
        <v>22</v>
      </c>
      <c r="L256" s="1" t="s">
        <v>26</v>
      </c>
      <c r="M256" s="1">
        <v>3</v>
      </c>
    </row>
    <row r="257" spans="1:13" ht="90" customHeight="1" x14ac:dyDescent="0.3">
      <c r="A257" s="8">
        <v>79</v>
      </c>
      <c r="B257" s="8" t="s">
        <v>405</v>
      </c>
      <c r="C257" s="8" t="s">
        <v>108</v>
      </c>
      <c r="D257" s="8" t="s">
        <v>367</v>
      </c>
      <c r="E257" s="6" t="s">
        <v>17</v>
      </c>
      <c r="F257" s="6" t="s">
        <v>18</v>
      </c>
      <c r="G257" s="8" t="s">
        <v>406</v>
      </c>
      <c r="H257" s="8" t="s">
        <v>407</v>
      </c>
      <c r="I257" s="4" t="s">
        <v>107</v>
      </c>
      <c r="J257" s="4">
        <v>0.99908936023712158</v>
      </c>
      <c r="K257" s="4" t="s">
        <v>22</v>
      </c>
      <c r="L257" s="4" t="s">
        <v>108</v>
      </c>
      <c r="M257" s="4">
        <v>10</v>
      </c>
    </row>
    <row r="258" spans="1:13" ht="90" customHeight="1" x14ac:dyDescent="0.3">
      <c r="A258" s="8"/>
      <c r="B258" s="7"/>
      <c r="C258" s="7"/>
      <c r="D258" s="7"/>
      <c r="E258" s="7"/>
      <c r="F258" s="7"/>
      <c r="G258" s="7"/>
      <c r="H258" s="7"/>
      <c r="I258" s="1"/>
      <c r="J258" s="1"/>
      <c r="K258" s="1"/>
      <c r="L258" s="1"/>
      <c r="M258" s="1"/>
    </row>
    <row r="259" spans="1:13" ht="90" customHeight="1" x14ac:dyDescent="0.3">
      <c r="A259" s="8"/>
      <c r="B259" s="7"/>
      <c r="C259" s="7"/>
      <c r="D259" s="7"/>
      <c r="E259" s="7"/>
      <c r="F259" s="7"/>
      <c r="G259" s="7"/>
      <c r="H259" s="7"/>
      <c r="I259" s="1"/>
      <c r="J259" s="1"/>
      <c r="K259" s="1"/>
      <c r="L259" s="1"/>
      <c r="M259" s="1"/>
    </row>
    <row r="260" spans="1:13" ht="90" customHeight="1" x14ac:dyDescent="0.3">
      <c r="A260" s="8"/>
      <c r="B260" s="7"/>
      <c r="C260" s="7"/>
      <c r="D260" s="7"/>
      <c r="E260" s="7"/>
      <c r="F260" s="7"/>
      <c r="G260" s="7"/>
      <c r="H260" s="7"/>
      <c r="I260" s="1"/>
      <c r="J260" s="1"/>
      <c r="K260" s="1"/>
      <c r="L260" s="1"/>
      <c r="M260" s="1"/>
    </row>
    <row r="261" spans="1:13" ht="90" customHeight="1" x14ac:dyDescent="0.3">
      <c r="A261" s="8"/>
      <c r="B261" s="7"/>
      <c r="C261" s="7"/>
      <c r="D261" s="7"/>
      <c r="E261" s="7"/>
      <c r="F261" s="7"/>
      <c r="G261" s="7"/>
      <c r="H261" s="7"/>
      <c r="I261" s="1"/>
      <c r="J261" s="1"/>
      <c r="K261" s="1"/>
      <c r="L261" s="1"/>
      <c r="M261" s="1"/>
    </row>
    <row r="262" spans="1:13" ht="90" customHeight="1" x14ac:dyDescent="0.3">
      <c r="A262" s="8">
        <v>80</v>
      </c>
      <c r="B262" s="8" t="s">
        <v>408</v>
      </c>
      <c r="C262" s="8" t="s">
        <v>313</v>
      </c>
      <c r="D262" s="8" t="s">
        <v>330</v>
      </c>
      <c r="E262" s="6" t="s">
        <v>17</v>
      </c>
      <c r="F262" s="6" t="s">
        <v>18</v>
      </c>
      <c r="G262" s="8" t="s">
        <v>409</v>
      </c>
      <c r="H262" s="8" t="s">
        <v>410</v>
      </c>
      <c r="I262" s="2" t="s">
        <v>411</v>
      </c>
      <c r="J262" s="2">
        <v>0.99433869123458862</v>
      </c>
      <c r="K262" s="2" t="s">
        <v>22</v>
      </c>
      <c r="L262" s="2" t="s">
        <v>313</v>
      </c>
      <c r="M262" s="2">
        <v>2</v>
      </c>
    </row>
    <row r="263" spans="1:13" ht="90" customHeight="1" x14ac:dyDescent="0.3">
      <c r="A263" s="8"/>
      <c r="B263" s="7"/>
      <c r="C263" s="7"/>
      <c r="D263" s="7"/>
      <c r="E263" s="7"/>
      <c r="F263" s="7"/>
      <c r="G263" s="7"/>
      <c r="H263" s="7"/>
      <c r="I263" s="4" t="s">
        <v>316</v>
      </c>
      <c r="J263" s="4">
        <v>0.96900385618209839</v>
      </c>
      <c r="K263" s="4" t="s">
        <v>22</v>
      </c>
      <c r="L263" s="4" t="s">
        <v>313</v>
      </c>
      <c r="M263" s="4">
        <v>4</v>
      </c>
    </row>
    <row r="264" spans="1:13" ht="90" customHeight="1" x14ac:dyDescent="0.3">
      <c r="A264" s="8"/>
      <c r="B264" s="7"/>
      <c r="C264" s="7"/>
      <c r="D264" s="7"/>
      <c r="E264" s="7"/>
      <c r="F264" s="7"/>
      <c r="G264" s="7"/>
      <c r="H264" s="7"/>
      <c r="I264" s="4" t="s">
        <v>412</v>
      </c>
      <c r="J264" s="4">
        <v>0.96732640266418457</v>
      </c>
      <c r="K264" s="4" t="s">
        <v>22</v>
      </c>
      <c r="L264" s="4" t="s">
        <v>313</v>
      </c>
      <c r="M264" s="4">
        <v>3</v>
      </c>
    </row>
    <row r="265" spans="1:13" ht="90" customHeight="1" x14ac:dyDescent="0.3">
      <c r="A265" s="8"/>
      <c r="B265" s="7"/>
      <c r="C265" s="7"/>
      <c r="D265" s="7"/>
      <c r="E265" s="7"/>
      <c r="F265" s="7"/>
      <c r="G265" s="7"/>
      <c r="H265" s="7"/>
      <c r="I265" s="1" t="s">
        <v>413</v>
      </c>
      <c r="J265" s="1">
        <v>0.8937530517578125</v>
      </c>
      <c r="K265" s="1" t="s">
        <v>22</v>
      </c>
      <c r="L265" s="1" t="s">
        <v>414</v>
      </c>
      <c r="M265" s="1">
        <v>3</v>
      </c>
    </row>
    <row r="266" spans="1:13" ht="90" customHeight="1" x14ac:dyDescent="0.3">
      <c r="A266" s="8"/>
      <c r="B266" s="7"/>
      <c r="C266" s="7"/>
      <c r="D266" s="7"/>
      <c r="E266" s="7"/>
      <c r="F266" s="7"/>
      <c r="G266" s="7"/>
      <c r="H266" s="7"/>
      <c r="I266" s="1" t="s">
        <v>415</v>
      </c>
      <c r="J266" s="1">
        <v>0.84512096643447876</v>
      </c>
      <c r="K266" s="1" t="s">
        <v>22</v>
      </c>
      <c r="L266" s="1" t="s">
        <v>263</v>
      </c>
      <c r="M266" s="1">
        <v>27</v>
      </c>
    </row>
    <row r="267" spans="1:13" ht="90" customHeight="1" x14ac:dyDescent="0.3">
      <c r="A267" s="8">
        <v>81</v>
      </c>
      <c r="B267" s="8" t="s">
        <v>416</v>
      </c>
      <c r="C267" s="8" t="s">
        <v>417</v>
      </c>
      <c r="D267" s="8" t="s">
        <v>418</v>
      </c>
      <c r="E267" s="6" t="s">
        <v>17</v>
      </c>
      <c r="F267" s="6" t="s">
        <v>18</v>
      </c>
      <c r="G267" s="8" t="s">
        <v>419</v>
      </c>
      <c r="H267" s="8" t="s">
        <v>420</v>
      </c>
      <c r="I267" s="4" t="s">
        <v>421</v>
      </c>
      <c r="J267" s="4">
        <v>0.93962371349334717</v>
      </c>
      <c r="K267" s="4" t="s">
        <v>22</v>
      </c>
      <c r="L267" s="4" t="s">
        <v>422</v>
      </c>
      <c r="M267" s="4">
        <v>7</v>
      </c>
    </row>
    <row r="268" spans="1:13" ht="90" customHeight="1" x14ac:dyDescent="0.3">
      <c r="A268" s="8"/>
      <c r="B268" s="7"/>
      <c r="C268" s="7"/>
      <c r="D268" s="7"/>
      <c r="E268" s="7"/>
      <c r="F268" s="7"/>
      <c r="G268" s="7"/>
      <c r="H268" s="7"/>
      <c r="I268" s="4" t="s">
        <v>423</v>
      </c>
      <c r="J268" s="4">
        <v>0.8794516921043396</v>
      </c>
      <c r="K268" s="4" t="s">
        <v>22</v>
      </c>
      <c r="L268" s="4" t="s">
        <v>424</v>
      </c>
      <c r="M268" s="4">
        <v>1</v>
      </c>
    </row>
    <row r="269" spans="1:13" ht="90" customHeight="1" x14ac:dyDescent="0.3">
      <c r="A269" s="8"/>
      <c r="B269" s="7"/>
      <c r="C269" s="7"/>
      <c r="D269" s="7"/>
      <c r="E269" s="7"/>
      <c r="F269" s="7"/>
      <c r="G269" s="7"/>
      <c r="H269" s="7"/>
      <c r="I269" s="1"/>
      <c r="J269" s="1"/>
      <c r="K269" s="1"/>
      <c r="L269" s="1"/>
      <c r="M269" s="1"/>
    </row>
    <row r="270" spans="1:13" ht="90" customHeight="1" x14ac:dyDescent="0.3">
      <c r="A270" s="8"/>
      <c r="B270" s="7"/>
      <c r="C270" s="7"/>
      <c r="D270" s="7"/>
      <c r="E270" s="7"/>
      <c r="F270" s="7"/>
      <c r="G270" s="7"/>
      <c r="H270" s="7"/>
      <c r="I270" s="1"/>
      <c r="J270" s="1"/>
      <c r="K270" s="1"/>
      <c r="L270" s="1"/>
      <c r="M270" s="1"/>
    </row>
    <row r="271" spans="1:13" ht="90" customHeight="1" x14ac:dyDescent="0.3">
      <c r="A271" s="8"/>
      <c r="B271" s="7"/>
      <c r="C271" s="7"/>
      <c r="D271" s="7"/>
      <c r="E271" s="7"/>
      <c r="F271" s="7"/>
      <c r="G271" s="7"/>
      <c r="H271" s="7"/>
      <c r="I271" s="1"/>
      <c r="J271" s="1"/>
      <c r="K271" s="1"/>
      <c r="L271" s="1"/>
      <c r="M271" s="1"/>
    </row>
    <row r="272" spans="1:13" ht="90" customHeight="1" x14ac:dyDescent="0.3">
      <c r="A272" s="8">
        <v>82</v>
      </c>
      <c r="B272" s="8" t="s">
        <v>425</v>
      </c>
      <c r="C272" s="8" t="s">
        <v>85</v>
      </c>
      <c r="D272" s="8" t="s">
        <v>62</v>
      </c>
      <c r="E272" s="6" t="s">
        <v>17</v>
      </c>
      <c r="F272" s="6" t="s">
        <v>18</v>
      </c>
      <c r="G272" s="8" t="s">
        <v>426</v>
      </c>
      <c r="H272" s="8" t="s">
        <v>427</v>
      </c>
      <c r="I272" s="4" t="s">
        <v>296</v>
      </c>
      <c r="J272" s="4">
        <v>0.96789259726258559</v>
      </c>
      <c r="K272" s="4" t="s">
        <v>22</v>
      </c>
      <c r="L272" s="4" t="s">
        <v>85</v>
      </c>
      <c r="M272" s="4">
        <v>5</v>
      </c>
    </row>
    <row r="273" spans="1:13" ht="90" customHeight="1" x14ac:dyDescent="0.3">
      <c r="A273" s="8"/>
      <c r="B273" s="7"/>
      <c r="C273" s="7"/>
      <c r="D273" s="7"/>
      <c r="E273" s="7"/>
      <c r="F273" s="7"/>
      <c r="G273" s="7"/>
      <c r="H273" s="7"/>
      <c r="I273" s="1"/>
      <c r="J273" s="1"/>
      <c r="K273" s="1"/>
      <c r="L273" s="1"/>
      <c r="M273" s="1"/>
    </row>
    <row r="274" spans="1:13" ht="90" customHeight="1" x14ac:dyDescent="0.3">
      <c r="A274" s="8"/>
      <c r="B274" s="7"/>
      <c r="C274" s="7"/>
      <c r="D274" s="7"/>
      <c r="E274" s="7"/>
      <c r="F274" s="7"/>
      <c r="G274" s="7"/>
      <c r="H274" s="7"/>
      <c r="I274" s="1"/>
      <c r="J274" s="1"/>
      <c r="K274" s="1"/>
      <c r="L274" s="1"/>
      <c r="M274" s="1"/>
    </row>
    <row r="275" spans="1:13" ht="90" customHeight="1" x14ac:dyDescent="0.3">
      <c r="A275" s="8"/>
      <c r="B275" s="7"/>
      <c r="C275" s="7"/>
      <c r="D275" s="7"/>
      <c r="E275" s="7"/>
      <c r="F275" s="7"/>
      <c r="G275" s="7"/>
      <c r="H275" s="7"/>
      <c r="I275" s="1"/>
      <c r="J275" s="1"/>
      <c r="K275" s="1"/>
      <c r="L275" s="1"/>
      <c r="M275" s="1"/>
    </row>
    <row r="276" spans="1:13" ht="90" customHeight="1" x14ac:dyDescent="0.3">
      <c r="A276" s="8"/>
      <c r="B276" s="7"/>
      <c r="C276" s="7"/>
      <c r="D276" s="7"/>
      <c r="E276" s="7"/>
      <c r="F276" s="7"/>
      <c r="G276" s="7"/>
      <c r="H276" s="7"/>
      <c r="I276" s="1"/>
      <c r="J276" s="1"/>
      <c r="K276" s="1"/>
      <c r="L276" s="1"/>
      <c r="M276" s="1"/>
    </row>
    <row r="277" spans="1:13" ht="90" customHeight="1" x14ac:dyDescent="0.3">
      <c r="A277" s="8">
        <v>85</v>
      </c>
      <c r="B277" s="8" t="s">
        <v>428</v>
      </c>
      <c r="C277" s="8" t="s">
        <v>429</v>
      </c>
      <c r="D277" s="8" t="s">
        <v>430</v>
      </c>
      <c r="E277" s="6" t="s">
        <v>17</v>
      </c>
      <c r="F277" s="6" t="s">
        <v>94</v>
      </c>
      <c r="G277" s="8" t="s">
        <v>431</v>
      </c>
      <c r="H277" s="8" t="s">
        <v>432</v>
      </c>
      <c r="I277" s="2" t="s">
        <v>433</v>
      </c>
      <c r="J277" s="2">
        <v>0.9998059868812561</v>
      </c>
      <c r="K277" s="2" t="s">
        <v>22</v>
      </c>
      <c r="L277" s="2" t="s">
        <v>429</v>
      </c>
      <c r="M277" s="2">
        <v>30</v>
      </c>
    </row>
    <row r="278" spans="1:13" ht="90" customHeight="1" x14ac:dyDescent="0.3">
      <c r="A278" s="8"/>
      <c r="B278" s="7"/>
      <c r="C278" s="7"/>
      <c r="D278" s="7"/>
      <c r="E278" s="7"/>
      <c r="F278" s="7"/>
      <c r="G278" s="7"/>
      <c r="H278" s="7"/>
      <c r="I278" s="5" t="s">
        <v>434</v>
      </c>
      <c r="J278" s="5">
        <v>0.99871015548706055</v>
      </c>
      <c r="K278" s="5" t="s">
        <v>22</v>
      </c>
      <c r="L278" s="5" t="s">
        <v>429</v>
      </c>
      <c r="M278" s="5">
        <v>23</v>
      </c>
    </row>
    <row r="279" spans="1:13" ht="90" customHeight="1" x14ac:dyDescent="0.3">
      <c r="A279" s="8"/>
      <c r="B279" s="7"/>
      <c r="C279" s="7"/>
      <c r="D279" s="7"/>
      <c r="E279" s="7"/>
      <c r="F279" s="7"/>
      <c r="G279" s="7"/>
      <c r="H279" s="7"/>
      <c r="I279" s="1"/>
      <c r="J279" s="1"/>
      <c r="K279" s="1"/>
      <c r="L279" s="1"/>
      <c r="M279" s="1"/>
    </row>
    <row r="280" spans="1:13" ht="90" customHeight="1" x14ac:dyDescent="0.3">
      <c r="A280" s="8"/>
      <c r="B280" s="7"/>
      <c r="C280" s="7"/>
      <c r="D280" s="7"/>
      <c r="E280" s="7"/>
      <c r="F280" s="7"/>
      <c r="G280" s="7"/>
      <c r="H280" s="7"/>
      <c r="I280" s="1"/>
      <c r="J280" s="1"/>
      <c r="K280" s="1"/>
      <c r="L280" s="1"/>
      <c r="M280" s="1"/>
    </row>
    <row r="281" spans="1:13" ht="90" customHeight="1" x14ac:dyDescent="0.3">
      <c r="A281" s="8"/>
      <c r="B281" s="7"/>
      <c r="C281" s="7"/>
      <c r="D281" s="7"/>
      <c r="E281" s="7"/>
      <c r="F281" s="7"/>
      <c r="G281" s="7"/>
      <c r="H281" s="7"/>
      <c r="I281" s="1"/>
      <c r="J281" s="1"/>
      <c r="K281" s="1"/>
      <c r="L281" s="1"/>
      <c r="M281" s="1"/>
    </row>
    <row r="282" spans="1:13" ht="90" customHeight="1" x14ac:dyDescent="0.3">
      <c r="A282" s="8">
        <v>90</v>
      </c>
      <c r="B282" s="8" t="s">
        <v>435</v>
      </c>
      <c r="C282" s="8" t="s">
        <v>429</v>
      </c>
      <c r="D282" s="8" t="s">
        <v>436</v>
      </c>
      <c r="E282" s="6" t="s">
        <v>17</v>
      </c>
      <c r="F282" s="6" t="s">
        <v>18</v>
      </c>
      <c r="G282" s="8" t="s">
        <v>437</v>
      </c>
      <c r="H282" s="8" t="s">
        <v>438</v>
      </c>
      <c r="I282" s="4" t="s">
        <v>439</v>
      </c>
      <c r="J282" s="4">
        <v>0.99971908330916981</v>
      </c>
      <c r="K282" s="4" t="s">
        <v>22</v>
      </c>
      <c r="L282" s="4" t="s">
        <v>429</v>
      </c>
      <c r="M282" s="4">
        <v>36</v>
      </c>
    </row>
    <row r="283" spans="1:13" ht="90" customHeight="1" x14ac:dyDescent="0.3">
      <c r="A283" s="8"/>
      <c r="B283" s="7"/>
      <c r="C283" s="7"/>
      <c r="D283" s="7"/>
      <c r="E283" s="7"/>
      <c r="F283" s="7"/>
      <c r="G283" s="7"/>
      <c r="H283" s="7"/>
      <c r="I283" s="1"/>
      <c r="J283" s="1"/>
      <c r="K283" s="1"/>
      <c r="L283" s="1"/>
      <c r="M283" s="1"/>
    </row>
    <row r="284" spans="1:13" ht="90" customHeight="1" x14ac:dyDescent="0.3">
      <c r="A284" s="8"/>
      <c r="B284" s="7"/>
      <c r="C284" s="7"/>
      <c r="D284" s="7"/>
      <c r="E284" s="7"/>
      <c r="F284" s="7"/>
      <c r="G284" s="7"/>
      <c r="H284" s="7"/>
      <c r="I284" s="1"/>
      <c r="J284" s="1"/>
      <c r="K284" s="1"/>
      <c r="L284" s="1"/>
      <c r="M284" s="1"/>
    </row>
    <row r="285" spans="1:13" ht="90" customHeight="1" x14ac:dyDescent="0.3">
      <c r="A285" s="8"/>
      <c r="B285" s="7"/>
      <c r="C285" s="7"/>
      <c r="D285" s="7"/>
      <c r="E285" s="7"/>
      <c r="F285" s="7"/>
      <c r="G285" s="7"/>
      <c r="H285" s="7"/>
      <c r="I285" s="1"/>
      <c r="J285" s="1"/>
      <c r="K285" s="1"/>
      <c r="L285" s="1"/>
      <c r="M285" s="1"/>
    </row>
    <row r="286" spans="1:13" ht="90" customHeight="1" x14ac:dyDescent="0.3">
      <c r="A286" s="8"/>
      <c r="B286" s="7"/>
      <c r="C286" s="7"/>
      <c r="D286" s="7"/>
      <c r="E286" s="7"/>
      <c r="F286" s="7"/>
      <c r="G286" s="7"/>
      <c r="H286" s="7"/>
      <c r="I286" s="1"/>
      <c r="J286" s="1"/>
      <c r="K286" s="1"/>
      <c r="L286" s="1"/>
      <c r="M286" s="1"/>
    </row>
    <row r="287" spans="1:13" ht="90" customHeight="1" x14ac:dyDescent="0.3">
      <c r="A287" s="8">
        <v>95</v>
      </c>
      <c r="B287" s="8" t="s">
        <v>440</v>
      </c>
      <c r="C287" s="8" t="s">
        <v>441</v>
      </c>
      <c r="D287" s="8" t="s">
        <v>442</v>
      </c>
      <c r="E287" s="6" t="s">
        <v>17</v>
      </c>
      <c r="F287" s="6" t="s">
        <v>18</v>
      </c>
      <c r="G287" s="8" t="s">
        <v>443</v>
      </c>
      <c r="H287" s="8" t="s">
        <v>444</v>
      </c>
      <c r="I287" s="2" t="s">
        <v>445</v>
      </c>
      <c r="J287" s="2">
        <v>0.89682710014453348</v>
      </c>
      <c r="K287" s="2" t="s">
        <v>76</v>
      </c>
      <c r="L287" s="2" t="s">
        <v>446</v>
      </c>
      <c r="M287" s="2">
        <v>2</v>
      </c>
    </row>
    <row r="288" spans="1:13" ht="90" customHeight="1" x14ac:dyDescent="0.3">
      <c r="A288" s="8"/>
      <c r="B288" s="7"/>
      <c r="C288" s="7"/>
      <c r="D288" s="7"/>
      <c r="E288" s="7"/>
      <c r="F288" s="7"/>
      <c r="G288" s="7"/>
      <c r="H288" s="7"/>
      <c r="I288" s="2" t="s">
        <v>447</v>
      </c>
      <c r="J288" s="2">
        <v>0.86228185892105103</v>
      </c>
      <c r="K288" s="2" t="s">
        <v>22</v>
      </c>
      <c r="L288" s="2" t="s">
        <v>441</v>
      </c>
      <c r="M288" s="2">
        <v>3</v>
      </c>
    </row>
    <row r="289" spans="1:13" ht="90" customHeight="1" x14ac:dyDescent="0.3">
      <c r="A289" s="8"/>
      <c r="B289" s="7"/>
      <c r="C289" s="7"/>
      <c r="D289" s="7"/>
      <c r="E289" s="7"/>
      <c r="F289" s="7"/>
      <c r="G289" s="7"/>
      <c r="H289" s="7"/>
      <c r="I289" s="4" t="s">
        <v>448</v>
      </c>
      <c r="J289" s="4">
        <v>0.85925692319869995</v>
      </c>
      <c r="K289" s="4" t="s">
        <v>22</v>
      </c>
      <c r="L289" s="4" t="s">
        <v>441</v>
      </c>
      <c r="M289" s="4">
        <v>6</v>
      </c>
    </row>
    <row r="290" spans="1:13" ht="90" customHeight="1" x14ac:dyDescent="0.3">
      <c r="A290" s="8"/>
      <c r="B290" s="7"/>
      <c r="C290" s="7"/>
      <c r="D290" s="7"/>
      <c r="E290" s="7"/>
      <c r="F290" s="7"/>
      <c r="G290" s="7"/>
      <c r="H290" s="7"/>
      <c r="I290" s="1" t="s">
        <v>449</v>
      </c>
      <c r="J290" s="1">
        <v>0.8399040699005127</v>
      </c>
      <c r="K290" s="1" t="s">
        <v>22</v>
      </c>
      <c r="L290" s="1" t="s">
        <v>441</v>
      </c>
      <c r="M290" s="1">
        <v>11</v>
      </c>
    </row>
    <row r="291" spans="1:13" ht="90" customHeight="1" x14ac:dyDescent="0.3">
      <c r="A291" s="8"/>
      <c r="B291" s="7"/>
      <c r="C291" s="7"/>
      <c r="D291" s="7"/>
      <c r="E291" s="7"/>
      <c r="F291" s="7"/>
      <c r="G291" s="7"/>
      <c r="H291" s="7"/>
      <c r="I291" s="1"/>
      <c r="J291" s="1"/>
      <c r="K291" s="1"/>
      <c r="L291" s="1"/>
      <c r="M291" s="1"/>
    </row>
    <row r="292" spans="1:13" ht="90" customHeight="1" x14ac:dyDescent="0.3">
      <c r="A292" s="8">
        <v>97</v>
      </c>
      <c r="B292" s="8" t="s">
        <v>450</v>
      </c>
      <c r="C292" s="8" t="s">
        <v>451</v>
      </c>
      <c r="D292" s="8" t="s">
        <v>139</v>
      </c>
      <c r="E292" s="6" t="s">
        <v>17</v>
      </c>
      <c r="F292" s="6" t="s">
        <v>18</v>
      </c>
      <c r="G292" s="8" t="s">
        <v>452</v>
      </c>
      <c r="H292" s="8" t="s">
        <v>453</v>
      </c>
      <c r="I292" s="4" t="s">
        <v>454</v>
      </c>
      <c r="J292" s="4">
        <v>0.72989171743392944</v>
      </c>
      <c r="K292" s="4" t="s">
        <v>22</v>
      </c>
      <c r="L292" s="4" t="s">
        <v>451</v>
      </c>
      <c r="M292" s="4">
        <v>13</v>
      </c>
    </row>
    <row r="293" spans="1:13" ht="90" customHeight="1" x14ac:dyDescent="0.3">
      <c r="A293" s="8"/>
      <c r="B293" s="7"/>
      <c r="C293" s="7"/>
      <c r="D293" s="7"/>
      <c r="E293" s="7"/>
      <c r="F293" s="7"/>
      <c r="G293" s="7"/>
      <c r="H293" s="7"/>
      <c r="I293" s="1"/>
      <c r="J293" s="1"/>
      <c r="K293" s="1"/>
      <c r="L293" s="1"/>
      <c r="M293" s="1"/>
    </row>
    <row r="294" spans="1:13" ht="90" customHeight="1" x14ac:dyDescent="0.3">
      <c r="A294" s="8"/>
      <c r="B294" s="7"/>
      <c r="C294" s="7"/>
      <c r="D294" s="7"/>
      <c r="E294" s="7"/>
      <c r="F294" s="7"/>
      <c r="G294" s="7"/>
      <c r="H294" s="7"/>
      <c r="I294" s="1"/>
      <c r="J294" s="1"/>
      <c r="K294" s="1"/>
      <c r="L294" s="1"/>
      <c r="M294" s="1"/>
    </row>
    <row r="295" spans="1:13" ht="90" customHeight="1" x14ac:dyDescent="0.3">
      <c r="A295" s="8"/>
      <c r="B295" s="7"/>
      <c r="C295" s="7"/>
      <c r="D295" s="7"/>
      <c r="E295" s="7"/>
      <c r="F295" s="7"/>
      <c r="G295" s="7"/>
      <c r="H295" s="7"/>
      <c r="I295" s="1"/>
      <c r="J295" s="1"/>
      <c r="K295" s="1"/>
      <c r="L295" s="1"/>
      <c r="M295" s="1"/>
    </row>
    <row r="296" spans="1:13" ht="90" customHeight="1" x14ac:dyDescent="0.3">
      <c r="A296" s="8"/>
      <c r="B296" s="7"/>
      <c r="C296" s="7"/>
      <c r="D296" s="7"/>
      <c r="E296" s="7"/>
      <c r="F296" s="7"/>
      <c r="G296" s="7"/>
      <c r="H296" s="7"/>
      <c r="I296" s="1"/>
      <c r="J296" s="1"/>
      <c r="K296" s="1"/>
      <c r="L296" s="1"/>
      <c r="M296" s="1"/>
    </row>
    <row r="297" spans="1:13" ht="90" customHeight="1" x14ac:dyDescent="0.3">
      <c r="A297" s="8">
        <v>99</v>
      </c>
      <c r="B297" s="8" t="s">
        <v>455</v>
      </c>
      <c r="C297" s="8" t="s">
        <v>451</v>
      </c>
      <c r="D297" s="8" t="s">
        <v>456</v>
      </c>
      <c r="E297" s="6" t="s">
        <v>17</v>
      </c>
      <c r="F297" s="6" t="s">
        <v>18</v>
      </c>
      <c r="G297" s="8" t="s">
        <v>457</v>
      </c>
      <c r="H297" s="8" t="s">
        <v>458</v>
      </c>
      <c r="I297" s="4" t="s">
        <v>459</v>
      </c>
      <c r="J297" s="4">
        <v>0.99892288446426392</v>
      </c>
      <c r="K297" s="4" t="s">
        <v>22</v>
      </c>
      <c r="L297" s="4" t="s">
        <v>451</v>
      </c>
      <c r="M297" s="4">
        <v>12</v>
      </c>
    </row>
    <row r="298" spans="1:13" ht="90" customHeight="1" x14ac:dyDescent="0.3">
      <c r="A298" s="8"/>
      <c r="B298" s="7"/>
      <c r="C298" s="7"/>
      <c r="D298" s="7"/>
      <c r="E298" s="7"/>
      <c r="F298" s="7"/>
      <c r="G298" s="7"/>
      <c r="H298" s="7"/>
      <c r="I298" s="1"/>
      <c r="J298" s="1"/>
      <c r="K298" s="1"/>
      <c r="L298" s="1"/>
      <c r="M298" s="1"/>
    </row>
    <row r="299" spans="1:13" ht="90" customHeight="1" x14ac:dyDescent="0.3">
      <c r="A299" s="8"/>
      <c r="B299" s="7"/>
      <c r="C299" s="7"/>
      <c r="D299" s="7"/>
      <c r="E299" s="7"/>
      <c r="F299" s="7"/>
      <c r="G299" s="7"/>
      <c r="H299" s="7"/>
      <c r="I299" s="1"/>
      <c r="J299" s="1"/>
      <c r="K299" s="1"/>
      <c r="L299" s="1"/>
      <c r="M299" s="1"/>
    </row>
    <row r="300" spans="1:13" ht="90" customHeight="1" x14ac:dyDescent="0.3">
      <c r="A300" s="8"/>
      <c r="B300" s="7"/>
      <c r="C300" s="7"/>
      <c r="D300" s="7"/>
      <c r="E300" s="7"/>
      <c r="F300" s="7"/>
      <c r="G300" s="7"/>
      <c r="H300" s="7"/>
      <c r="I300" s="1"/>
      <c r="J300" s="1"/>
      <c r="K300" s="1"/>
      <c r="L300" s="1"/>
      <c r="M300" s="1"/>
    </row>
    <row r="301" spans="1:13" ht="90" customHeight="1" x14ac:dyDescent="0.3">
      <c r="A301" s="8"/>
      <c r="B301" s="7"/>
      <c r="C301" s="7"/>
      <c r="D301" s="7"/>
      <c r="E301" s="7"/>
      <c r="F301" s="7"/>
      <c r="G301" s="7"/>
      <c r="H301" s="7"/>
      <c r="I301" s="1"/>
      <c r="J301" s="1"/>
      <c r="K301" s="1"/>
      <c r="L301" s="1"/>
      <c r="M301" s="1"/>
    </row>
    <row r="302" spans="1:13" ht="90" customHeight="1" x14ac:dyDescent="0.3">
      <c r="A302" s="8">
        <v>100</v>
      </c>
      <c r="B302" s="8" t="s">
        <v>460</v>
      </c>
      <c r="C302" s="8" t="s">
        <v>38</v>
      </c>
      <c r="D302" s="8" t="s">
        <v>39</v>
      </c>
      <c r="E302" s="6" t="s">
        <v>17</v>
      </c>
      <c r="F302" s="6" t="s">
        <v>18</v>
      </c>
      <c r="G302" s="8" t="s">
        <v>461</v>
      </c>
      <c r="H302" s="8" t="s">
        <v>462</v>
      </c>
      <c r="I302" s="4" t="s">
        <v>42</v>
      </c>
      <c r="J302" s="4">
        <v>0.99880798003167148</v>
      </c>
      <c r="K302" s="4" t="s">
        <v>22</v>
      </c>
      <c r="L302" s="4" t="s">
        <v>38</v>
      </c>
      <c r="M302" s="4">
        <v>1</v>
      </c>
    </row>
    <row r="303" spans="1:13" ht="90" customHeight="1" x14ac:dyDescent="0.3">
      <c r="A303" s="8"/>
      <c r="B303" s="7"/>
      <c r="C303" s="7"/>
      <c r="D303" s="7"/>
      <c r="E303" s="7"/>
      <c r="F303" s="7"/>
      <c r="G303" s="7"/>
      <c r="H303" s="7"/>
      <c r="I303" s="4" t="s">
        <v>43</v>
      </c>
      <c r="J303" s="4">
        <v>0.99232006990865573</v>
      </c>
      <c r="K303" s="4" t="s">
        <v>22</v>
      </c>
      <c r="L303" s="4" t="s">
        <v>38</v>
      </c>
      <c r="M303" s="4">
        <v>3</v>
      </c>
    </row>
    <row r="304" spans="1:13" ht="90" customHeight="1" x14ac:dyDescent="0.3">
      <c r="A304" s="8"/>
      <c r="B304" s="7"/>
      <c r="C304" s="7"/>
      <c r="D304" s="7"/>
      <c r="E304" s="7"/>
      <c r="F304" s="7"/>
      <c r="G304" s="7"/>
      <c r="H304" s="7"/>
      <c r="I304" s="4" t="s">
        <v>44</v>
      </c>
      <c r="J304" s="4">
        <v>0.91544177926575721</v>
      </c>
      <c r="K304" s="4" t="s">
        <v>22</v>
      </c>
      <c r="L304" s="4" t="s">
        <v>38</v>
      </c>
      <c r="M304" s="4">
        <v>2</v>
      </c>
    </row>
    <row r="305" spans="1:13" ht="90" customHeight="1" x14ac:dyDescent="0.3">
      <c r="A305" s="8"/>
      <c r="B305" s="7"/>
      <c r="C305" s="7"/>
      <c r="D305" s="7"/>
      <c r="E305" s="7"/>
      <c r="F305" s="7"/>
      <c r="G305" s="7"/>
      <c r="H305" s="7"/>
      <c r="I305" s="1"/>
      <c r="J305" s="1"/>
      <c r="K305" s="1"/>
      <c r="L305" s="1"/>
      <c r="M305" s="1"/>
    </row>
    <row r="306" spans="1:13" ht="90" customHeight="1" x14ac:dyDescent="0.3">
      <c r="A306" s="8"/>
      <c r="B306" s="7"/>
      <c r="C306" s="7"/>
      <c r="D306" s="7"/>
      <c r="E306" s="7"/>
      <c r="F306" s="7"/>
      <c r="G306" s="7"/>
      <c r="H306" s="7"/>
      <c r="I306" s="1"/>
      <c r="J306" s="1"/>
      <c r="K306" s="1"/>
      <c r="L306" s="1"/>
      <c r="M306" s="1"/>
    </row>
    <row r="307" spans="1:13" ht="90" customHeight="1" x14ac:dyDescent="0.3">
      <c r="A307" s="8">
        <v>101</v>
      </c>
      <c r="B307" s="8" t="s">
        <v>463</v>
      </c>
      <c r="C307" s="8" t="s">
        <v>26</v>
      </c>
      <c r="D307" s="8" t="s">
        <v>464</v>
      </c>
      <c r="E307" s="6" t="s">
        <v>17</v>
      </c>
      <c r="F307" s="6" t="s">
        <v>18</v>
      </c>
      <c r="G307" s="8" t="s">
        <v>465</v>
      </c>
      <c r="H307" s="8" t="s">
        <v>466</v>
      </c>
      <c r="I307" s="4" t="s">
        <v>372</v>
      </c>
      <c r="J307" s="4">
        <v>0.99997997283935547</v>
      </c>
      <c r="K307" s="4" t="s">
        <v>22</v>
      </c>
      <c r="L307" s="4" t="s">
        <v>26</v>
      </c>
      <c r="M307" s="4">
        <v>10</v>
      </c>
    </row>
    <row r="308" spans="1:13" ht="90" customHeight="1" x14ac:dyDescent="0.3">
      <c r="A308" s="8"/>
      <c r="B308" s="7"/>
      <c r="C308" s="7"/>
      <c r="D308" s="7"/>
      <c r="E308" s="7"/>
      <c r="F308" s="7"/>
      <c r="G308" s="7"/>
      <c r="H308" s="7"/>
      <c r="I308" s="5" t="s">
        <v>467</v>
      </c>
      <c r="J308" s="5">
        <v>0.99992311000823975</v>
      </c>
      <c r="K308" s="5" t="s">
        <v>22</v>
      </c>
      <c r="L308" s="5" t="s">
        <v>26</v>
      </c>
      <c r="M308" s="5">
        <v>9</v>
      </c>
    </row>
    <row r="309" spans="1:13" ht="90" customHeight="1" x14ac:dyDescent="0.3">
      <c r="A309" s="8"/>
      <c r="B309" s="7"/>
      <c r="C309" s="7"/>
      <c r="D309" s="7"/>
      <c r="E309" s="7"/>
      <c r="F309" s="7"/>
      <c r="G309" s="7"/>
      <c r="H309" s="7"/>
      <c r="I309" s="1"/>
      <c r="J309" s="1"/>
      <c r="K309" s="1"/>
      <c r="L309" s="1"/>
      <c r="M309" s="1"/>
    </row>
    <row r="310" spans="1:13" ht="90" customHeight="1" x14ac:dyDescent="0.3">
      <c r="A310" s="8"/>
      <c r="B310" s="7"/>
      <c r="C310" s="7"/>
      <c r="D310" s="7"/>
      <c r="E310" s="7"/>
      <c r="F310" s="7"/>
      <c r="G310" s="7"/>
      <c r="H310" s="7"/>
      <c r="I310" s="1"/>
      <c r="J310" s="1"/>
      <c r="K310" s="1"/>
      <c r="L310" s="1"/>
      <c r="M310" s="1"/>
    </row>
    <row r="311" spans="1:13" ht="90" customHeight="1" x14ac:dyDescent="0.3">
      <c r="A311" s="8"/>
      <c r="B311" s="7"/>
      <c r="C311" s="7"/>
      <c r="D311" s="7"/>
      <c r="E311" s="7"/>
      <c r="F311" s="7"/>
      <c r="G311" s="7"/>
      <c r="H311" s="7"/>
      <c r="I311" s="1"/>
      <c r="J311" s="1"/>
      <c r="K311" s="1"/>
      <c r="L311" s="1"/>
      <c r="M311" s="1"/>
    </row>
    <row r="312" spans="1:13" ht="90" customHeight="1" x14ac:dyDescent="0.3">
      <c r="A312" s="8">
        <v>102</v>
      </c>
      <c r="B312" s="8" t="s">
        <v>468</v>
      </c>
      <c r="C312" s="8" t="s">
        <v>91</v>
      </c>
      <c r="D312" s="8" t="s">
        <v>92</v>
      </c>
      <c r="E312" s="6" t="s">
        <v>93</v>
      </c>
      <c r="F312" s="6" t="s">
        <v>94</v>
      </c>
      <c r="G312" s="8" t="s">
        <v>469</v>
      </c>
      <c r="H312" s="8" t="s">
        <v>96</v>
      </c>
      <c r="I312" s="1"/>
      <c r="J312" s="1"/>
      <c r="K312" s="1"/>
      <c r="L312" s="1"/>
      <c r="M312" s="1"/>
    </row>
    <row r="313" spans="1:13" ht="90" customHeight="1" x14ac:dyDescent="0.3">
      <c r="A313" s="8"/>
      <c r="B313" s="7"/>
      <c r="C313" s="7"/>
      <c r="D313" s="7"/>
      <c r="E313" s="7"/>
      <c r="F313" s="7"/>
      <c r="G313" s="7"/>
      <c r="H313" s="7"/>
      <c r="I313" s="1"/>
      <c r="J313" s="1"/>
      <c r="K313" s="1"/>
      <c r="L313" s="1"/>
      <c r="M313" s="1"/>
    </row>
    <row r="314" spans="1:13" ht="90" customHeight="1" x14ac:dyDescent="0.3">
      <c r="A314" s="8"/>
      <c r="B314" s="7"/>
      <c r="C314" s="7"/>
      <c r="D314" s="7"/>
      <c r="E314" s="7"/>
      <c r="F314" s="7"/>
      <c r="G314" s="7"/>
      <c r="H314" s="7"/>
      <c r="I314" s="1"/>
      <c r="J314" s="1"/>
      <c r="K314" s="1"/>
      <c r="L314" s="1"/>
      <c r="M314" s="1"/>
    </row>
    <row r="315" spans="1:13" ht="90" customHeight="1" x14ac:dyDescent="0.3">
      <c r="A315" s="8"/>
      <c r="B315" s="7"/>
      <c r="C315" s="7"/>
      <c r="D315" s="7"/>
      <c r="E315" s="7"/>
      <c r="F315" s="7"/>
      <c r="G315" s="7"/>
      <c r="H315" s="7"/>
      <c r="I315" s="1"/>
      <c r="J315" s="1"/>
      <c r="K315" s="1"/>
      <c r="L315" s="1"/>
      <c r="M315" s="1"/>
    </row>
    <row r="316" spans="1:13" ht="90" customHeight="1" x14ac:dyDescent="0.3">
      <c r="A316" s="8"/>
      <c r="B316" s="7"/>
      <c r="C316" s="7"/>
      <c r="D316" s="7"/>
      <c r="E316" s="7"/>
      <c r="F316" s="7"/>
      <c r="G316" s="7"/>
      <c r="H316" s="7"/>
      <c r="I316" s="1"/>
      <c r="J316" s="1"/>
      <c r="K316" s="1"/>
      <c r="L316" s="1"/>
      <c r="M316" s="1"/>
    </row>
    <row r="317" spans="1:13" ht="90" customHeight="1" x14ac:dyDescent="0.3">
      <c r="A317" s="8">
        <v>103</v>
      </c>
      <c r="B317" s="8" t="s">
        <v>470</v>
      </c>
      <c r="C317" s="8" t="s">
        <v>471</v>
      </c>
      <c r="D317" s="8" t="s">
        <v>99</v>
      </c>
      <c r="E317" s="6" t="s">
        <v>17</v>
      </c>
      <c r="F317" s="6" t="s">
        <v>18</v>
      </c>
      <c r="G317" s="8" t="s">
        <v>472</v>
      </c>
      <c r="H317" s="8" t="s">
        <v>473</v>
      </c>
      <c r="I317" s="4" t="s">
        <v>474</v>
      </c>
      <c r="J317" s="4">
        <v>0.90893766639635765</v>
      </c>
      <c r="K317" s="4" t="s">
        <v>22</v>
      </c>
      <c r="L317" s="4" t="s">
        <v>471</v>
      </c>
      <c r="M317" s="4">
        <v>1</v>
      </c>
    </row>
    <row r="318" spans="1:13" ht="90" customHeight="1" x14ac:dyDescent="0.3">
      <c r="A318" s="8"/>
      <c r="B318" s="7"/>
      <c r="C318" s="7"/>
      <c r="D318" s="7"/>
      <c r="E318" s="7"/>
      <c r="F318" s="7"/>
      <c r="G318" s="7"/>
      <c r="H318" s="7"/>
      <c r="I318" s="2" t="s">
        <v>475</v>
      </c>
      <c r="J318" s="2">
        <v>0.89000463485717773</v>
      </c>
      <c r="K318" s="2" t="s">
        <v>22</v>
      </c>
      <c r="L318" s="2" t="s">
        <v>476</v>
      </c>
      <c r="M318" s="2">
        <v>2</v>
      </c>
    </row>
    <row r="319" spans="1:13" ht="90" customHeight="1" x14ac:dyDescent="0.3">
      <c r="A319" s="8"/>
      <c r="B319" s="7"/>
      <c r="C319" s="7"/>
      <c r="D319" s="7"/>
      <c r="E319" s="7"/>
      <c r="F319" s="7"/>
      <c r="G319" s="7"/>
      <c r="H319" s="7"/>
      <c r="I319" s="1"/>
      <c r="J319" s="1"/>
      <c r="K319" s="1"/>
      <c r="L319" s="1"/>
      <c r="M319" s="1"/>
    </row>
    <row r="320" spans="1:13" ht="90" customHeight="1" x14ac:dyDescent="0.3">
      <c r="A320" s="8"/>
      <c r="B320" s="7"/>
      <c r="C320" s="7"/>
      <c r="D320" s="7"/>
      <c r="E320" s="7"/>
      <c r="F320" s="7"/>
      <c r="G320" s="7"/>
      <c r="H320" s="7"/>
      <c r="I320" s="1"/>
      <c r="J320" s="1"/>
      <c r="K320" s="1"/>
      <c r="L320" s="1"/>
      <c r="M320" s="1"/>
    </row>
    <row r="321" spans="1:13" ht="90" customHeight="1" x14ac:dyDescent="0.3">
      <c r="A321" s="8"/>
      <c r="B321" s="7"/>
      <c r="C321" s="7"/>
      <c r="D321" s="7"/>
      <c r="E321" s="7"/>
      <c r="F321" s="7"/>
      <c r="G321" s="7"/>
      <c r="H321" s="7"/>
      <c r="I321" s="1"/>
      <c r="J321" s="1"/>
      <c r="K321" s="1"/>
      <c r="L321" s="1"/>
      <c r="M321" s="1"/>
    </row>
    <row r="322" spans="1:13" ht="90" customHeight="1" x14ac:dyDescent="0.3">
      <c r="A322" s="8">
        <v>105</v>
      </c>
      <c r="B322" s="8" t="s">
        <v>477</v>
      </c>
      <c r="C322" s="8" t="s">
        <v>478</v>
      </c>
      <c r="D322" s="8" t="s">
        <v>126</v>
      </c>
      <c r="E322" s="6" t="s">
        <v>17</v>
      </c>
      <c r="F322" s="6" t="s">
        <v>18</v>
      </c>
      <c r="G322" s="8" t="s">
        <v>479</v>
      </c>
      <c r="H322" s="8" t="s">
        <v>480</v>
      </c>
      <c r="I322" s="2" t="s">
        <v>481</v>
      </c>
      <c r="J322" s="2">
        <v>0.98061144351774909</v>
      </c>
      <c r="K322" s="2" t="s">
        <v>22</v>
      </c>
      <c r="L322" s="2" t="s">
        <v>478</v>
      </c>
      <c r="M322" s="2">
        <v>23</v>
      </c>
    </row>
    <row r="323" spans="1:13" ht="90" customHeight="1" x14ac:dyDescent="0.3">
      <c r="A323" s="8"/>
      <c r="B323" s="7"/>
      <c r="C323" s="7"/>
      <c r="D323" s="7"/>
      <c r="E323" s="7"/>
      <c r="F323" s="7"/>
      <c r="G323" s="7"/>
      <c r="H323" s="7"/>
      <c r="I323" s="4" t="s">
        <v>482</v>
      </c>
      <c r="J323" s="4">
        <v>0.96302509307853956</v>
      </c>
      <c r="K323" s="4" t="s">
        <v>22</v>
      </c>
      <c r="L323" s="4" t="s">
        <v>478</v>
      </c>
      <c r="M323" s="4">
        <v>2</v>
      </c>
    </row>
    <row r="324" spans="1:13" ht="90" customHeight="1" x14ac:dyDescent="0.3">
      <c r="A324" s="8"/>
      <c r="B324" s="7"/>
      <c r="C324" s="7"/>
      <c r="D324" s="7"/>
      <c r="E324" s="7"/>
      <c r="F324" s="7"/>
      <c r="G324" s="7"/>
      <c r="H324" s="7"/>
      <c r="I324" s="1" t="s">
        <v>483</v>
      </c>
      <c r="J324" s="1">
        <v>0.80703657865524292</v>
      </c>
      <c r="K324" s="1" t="s">
        <v>22</v>
      </c>
      <c r="L324" s="1" t="s">
        <v>478</v>
      </c>
      <c r="M324" s="1">
        <v>19</v>
      </c>
    </row>
    <row r="325" spans="1:13" ht="90" customHeight="1" x14ac:dyDescent="0.3">
      <c r="A325" s="8"/>
      <c r="B325" s="7"/>
      <c r="C325" s="7"/>
      <c r="D325" s="7"/>
      <c r="E325" s="7"/>
      <c r="F325" s="7"/>
      <c r="G325" s="7"/>
      <c r="H325" s="7"/>
      <c r="I325" s="1"/>
      <c r="J325" s="1"/>
      <c r="K325" s="1"/>
      <c r="L325" s="1"/>
      <c r="M325" s="1"/>
    </row>
    <row r="326" spans="1:13" ht="90" customHeight="1" x14ac:dyDescent="0.3">
      <c r="A326" s="8"/>
      <c r="B326" s="7"/>
      <c r="C326" s="7"/>
      <c r="D326" s="7"/>
      <c r="E326" s="7"/>
      <c r="F326" s="7"/>
      <c r="G326" s="7"/>
      <c r="H326" s="7"/>
      <c r="I326" s="1"/>
      <c r="J326" s="1"/>
      <c r="K326" s="1"/>
      <c r="L326" s="1"/>
      <c r="M326" s="1"/>
    </row>
    <row r="327" spans="1:13" ht="90" customHeight="1" x14ac:dyDescent="0.3">
      <c r="A327" s="8">
        <v>106</v>
      </c>
      <c r="B327" s="8" t="s">
        <v>484</v>
      </c>
      <c r="C327" s="8" t="s">
        <v>485</v>
      </c>
      <c r="D327" s="8" t="s">
        <v>486</v>
      </c>
      <c r="E327" s="6" t="s">
        <v>17</v>
      </c>
      <c r="F327" s="6" t="s">
        <v>18</v>
      </c>
      <c r="G327" s="8" t="s">
        <v>487</v>
      </c>
      <c r="H327" s="8" t="s">
        <v>488</v>
      </c>
      <c r="I327" s="4" t="s">
        <v>489</v>
      </c>
      <c r="J327" s="4">
        <v>0.95735506940868875</v>
      </c>
      <c r="K327" s="4" t="s">
        <v>22</v>
      </c>
      <c r="L327" s="4" t="s">
        <v>485</v>
      </c>
      <c r="M327" s="4">
        <v>340</v>
      </c>
    </row>
    <row r="328" spans="1:13" ht="90" customHeight="1" x14ac:dyDescent="0.3">
      <c r="A328" s="8"/>
      <c r="B328" s="7"/>
      <c r="C328" s="7"/>
      <c r="D328" s="7"/>
      <c r="E328" s="7"/>
      <c r="F328" s="7"/>
      <c r="G328" s="7"/>
      <c r="H328" s="7"/>
      <c r="I328" s="1"/>
      <c r="J328" s="1"/>
      <c r="K328" s="1"/>
      <c r="L328" s="1"/>
      <c r="M328" s="1"/>
    </row>
    <row r="329" spans="1:13" ht="90" customHeight="1" x14ac:dyDescent="0.3">
      <c r="A329" s="8"/>
      <c r="B329" s="7"/>
      <c r="C329" s="7"/>
      <c r="D329" s="7"/>
      <c r="E329" s="7"/>
      <c r="F329" s="7"/>
      <c r="G329" s="7"/>
      <c r="H329" s="7"/>
      <c r="I329" s="1"/>
      <c r="J329" s="1"/>
      <c r="K329" s="1"/>
      <c r="L329" s="1"/>
      <c r="M329" s="1"/>
    </row>
    <row r="330" spans="1:13" ht="90" customHeight="1" x14ac:dyDescent="0.3">
      <c r="A330" s="8"/>
      <c r="B330" s="7"/>
      <c r="C330" s="7"/>
      <c r="D330" s="7"/>
      <c r="E330" s="7"/>
      <c r="F330" s="7"/>
      <c r="G330" s="7"/>
      <c r="H330" s="7"/>
      <c r="I330" s="1"/>
      <c r="J330" s="1"/>
      <c r="K330" s="1"/>
      <c r="L330" s="1"/>
      <c r="M330" s="1"/>
    </row>
    <row r="331" spans="1:13" ht="90" customHeight="1" x14ac:dyDescent="0.3">
      <c r="A331" s="8"/>
      <c r="B331" s="7"/>
      <c r="C331" s="7"/>
      <c r="D331" s="7"/>
      <c r="E331" s="7"/>
      <c r="F331" s="7"/>
      <c r="G331" s="7"/>
      <c r="H331" s="7"/>
      <c r="I331" s="1"/>
      <c r="J331" s="1"/>
      <c r="K331" s="1"/>
      <c r="L331" s="1"/>
      <c r="M331" s="1"/>
    </row>
    <row r="332" spans="1:13" ht="90" customHeight="1" x14ac:dyDescent="0.3">
      <c r="A332" s="8">
        <v>108</v>
      </c>
      <c r="B332" s="8" t="s">
        <v>490</v>
      </c>
      <c r="C332" s="8" t="s">
        <v>98</v>
      </c>
      <c r="D332" s="8" t="s">
        <v>99</v>
      </c>
      <c r="E332" s="6" t="s">
        <v>17</v>
      </c>
      <c r="F332" s="6" t="s">
        <v>18</v>
      </c>
      <c r="G332" s="8" t="s">
        <v>491</v>
      </c>
      <c r="H332" s="8" t="s">
        <v>492</v>
      </c>
      <c r="I332" s="4" t="s">
        <v>102</v>
      </c>
      <c r="J332" s="4">
        <v>0.99981027841567971</v>
      </c>
      <c r="K332" s="4" t="s">
        <v>22</v>
      </c>
      <c r="L332" s="4" t="s">
        <v>98</v>
      </c>
      <c r="M332" s="4">
        <v>1</v>
      </c>
    </row>
    <row r="333" spans="1:13" ht="90" customHeight="1" x14ac:dyDescent="0.3">
      <c r="A333" s="8"/>
      <c r="B333" s="7"/>
      <c r="C333" s="7"/>
      <c r="D333" s="7"/>
      <c r="E333" s="7"/>
      <c r="F333" s="7"/>
      <c r="G333" s="7"/>
      <c r="H333" s="7"/>
      <c r="I333" s="1"/>
      <c r="J333" s="1"/>
      <c r="K333" s="1"/>
      <c r="L333" s="1"/>
      <c r="M333" s="1"/>
    </row>
    <row r="334" spans="1:13" ht="90" customHeight="1" x14ac:dyDescent="0.3">
      <c r="A334" s="8"/>
      <c r="B334" s="7"/>
      <c r="C334" s="7"/>
      <c r="D334" s="7"/>
      <c r="E334" s="7"/>
      <c r="F334" s="7"/>
      <c r="G334" s="7"/>
      <c r="H334" s="7"/>
      <c r="I334" s="1"/>
      <c r="J334" s="1"/>
      <c r="K334" s="1"/>
      <c r="L334" s="1"/>
      <c r="M334" s="1"/>
    </row>
    <row r="335" spans="1:13" ht="90" customHeight="1" x14ac:dyDescent="0.3">
      <c r="A335" s="8"/>
      <c r="B335" s="7"/>
      <c r="C335" s="7"/>
      <c r="D335" s="7"/>
      <c r="E335" s="7"/>
      <c r="F335" s="7"/>
      <c r="G335" s="7"/>
      <c r="H335" s="7"/>
      <c r="I335" s="1"/>
      <c r="J335" s="1"/>
      <c r="K335" s="1"/>
      <c r="L335" s="1"/>
      <c r="M335" s="1"/>
    </row>
    <row r="336" spans="1:13" ht="90" customHeight="1" x14ac:dyDescent="0.3">
      <c r="A336" s="8"/>
      <c r="B336" s="7"/>
      <c r="C336" s="7"/>
      <c r="D336" s="7"/>
      <c r="E336" s="7"/>
      <c r="F336" s="7"/>
      <c r="G336" s="7"/>
      <c r="H336" s="7"/>
      <c r="I336" s="1"/>
      <c r="J336" s="1"/>
      <c r="K336" s="1"/>
      <c r="L336" s="1"/>
      <c r="M336" s="1"/>
    </row>
    <row r="337" spans="1:13" ht="90" customHeight="1" x14ac:dyDescent="0.3">
      <c r="A337" s="8">
        <v>109</v>
      </c>
      <c r="B337" s="8" t="s">
        <v>493</v>
      </c>
      <c r="C337" s="8" t="s">
        <v>494</v>
      </c>
      <c r="D337" s="8" t="s">
        <v>99</v>
      </c>
      <c r="E337" s="6" t="s">
        <v>93</v>
      </c>
      <c r="F337" s="6" t="s">
        <v>94</v>
      </c>
      <c r="G337" s="8" t="s">
        <v>495</v>
      </c>
      <c r="H337" s="8" t="s">
        <v>496</v>
      </c>
      <c r="I337" s="1"/>
      <c r="J337" s="1"/>
      <c r="K337" s="1"/>
      <c r="L337" s="1"/>
      <c r="M337" s="1"/>
    </row>
    <row r="338" spans="1:13" ht="90" customHeight="1" x14ac:dyDescent="0.3">
      <c r="A338" s="8"/>
      <c r="B338" s="7"/>
      <c r="C338" s="7"/>
      <c r="D338" s="7"/>
      <c r="E338" s="7"/>
      <c r="F338" s="7"/>
      <c r="G338" s="7"/>
      <c r="H338" s="7"/>
      <c r="I338" s="1"/>
      <c r="J338" s="1"/>
      <c r="K338" s="1"/>
      <c r="L338" s="1"/>
      <c r="M338" s="1"/>
    </row>
    <row r="339" spans="1:13" ht="90" customHeight="1" x14ac:dyDescent="0.3">
      <c r="A339" s="8"/>
      <c r="B339" s="7"/>
      <c r="C339" s="7"/>
      <c r="D339" s="7"/>
      <c r="E339" s="7"/>
      <c r="F339" s="7"/>
      <c r="G339" s="7"/>
      <c r="H339" s="7"/>
      <c r="I339" s="1"/>
      <c r="J339" s="1"/>
      <c r="K339" s="1"/>
      <c r="L339" s="1"/>
      <c r="M339" s="1"/>
    </row>
    <row r="340" spans="1:13" ht="90" customHeight="1" x14ac:dyDescent="0.3">
      <c r="A340" s="8"/>
      <c r="B340" s="7"/>
      <c r="C340" s="7"/>
      <c r="D340" s="7"/>
      <c r="E340" s="7"/>
      <c r="F340" s="7"/>
      <c r="G340" s="7"/>
      <c r="H340" s="7"/>
      <c r="I340" s="1"/>
      <c r="J340" s="1"/>
      <c r="K340" s="1"/>
      <c r="L340" s="1"/>
      <c r="M340" s="1"/>
    </row>
    <row r="341" spans="1:13" ht="90" customHeight="1" x14ac:dyDescent="0.3">
      <c r="A341" s="8"/>
      <c r="B341" s="7"/>
      <c r="C341" s="7"/>
      <c r="D341" s="7"/>
      <c r="E341" s="7"/>
      <c r="F341" s="7"/>
      <c r="G341" s="7"/>
      <c r="H341" s="7"/>
      <c r="I341" s="1"/>
      <c r="J341" s="1"/>
      <c r="K341" s="1"/>
      <c r="L341" s="1"/>
      <c r="M341" s="1"/>
    </row>
    <row r="342" spans="1:13" ht="90" customHeight="1" x14ac:dyDescent="0.3">
      <c r="A342" s="8">
        <v>114</v>
      </c>
      <c r="B342" s="8" t="s">
        <v>497</v>
      </c>
      <c r="C342" s="8" t="s">
        <v>498</v>
      </c>
      <c r="D342" s="8" t="s">
        <v>499</v>
      </c>
      <c r="E342" s="6" t="s">
        <v>17</v>
      </c>
      <c r="F342" s="6" t="s">
        <v>18</v>
      </c>
      <c r="G342" s="8" t="s">
        <v>500</v>
      </c>
      <c r="H342" s="8" t="s">
        <v>501</v>
      </c>
      <c r="I342" s="4" t="s">
        <v>467</v>
      </c>
      <c r="J342" s="4">
        <v>0.99975103139877319</v>
      </c>
      <c r="K342" s="4" t="s">
        <v>22</v>
      </c>
      <c r="L342" s="4" t="s">
        <v>26</v>
      </c>
      <c r="M342" s="4">
        <v>9</v>
      </c>
    </row>
    <row r="343" spans="1:13" ht="90" customHeight="1" x14ac:dyDescent="0.3">
      <c r="A343" s="8"/>
      <c r="B343" s="7"/>
      <c r="C343" s="7"/>
      <c r="D343" s="7"/>
      <c r="E343" s="7"/>
      <c r="F343" s="7"/>
      <c r="G343" s="7"/>
      <c r="H343" s="7"/>
      <c r="I343" s="1"/>
      <c r="J343" s="1"/>
      <c r="K343" s="1"/>
      <c r="L343" s="1"/>
      <c r="M343" s="1"/>
    </row>
    <row r="344" spans="1:13" ht="90" customHeight="1" x14ac:dyDescent="0.3">
      <c r="A344" s="8"/>
      <c r="B344" s="7"/>
      <c r="C344" s="7"/>
      <c r="D344" s="7"/>
      <c r="E344" s="7"/>
      <c r="F344" s="7"/>
      <c r="G344" s="7"/>
      <c r="H344" s="7"/>
      <c r="I344" s="1"/>
      <c r="J344" s="1"/>
      <c r="K344" s="1"/>
      <c r="L344" s="1"/>
      <c r="M344" s="1"/>
    </row>
    <row r="345" spans="1:13" ht="90" customHeight="1" x14ac:dyDescent="0.3">
      <c r="A345" s="8"/>
      <c r="B345" s="7"/>
      <c r="C345" s="7"/>
      <c r="D345" s="7"/>
      <c r="E345" s="7"/>
      <c r="F345" s="7"/>
      <c r="G345" s="7"/>
      <c r="H345" s="7"/>
      <c r="I345" s="1"/>
      <c r="J345" s="1"/>
      <c r="K345" s="1"/>
      <c r="L345" s="1"/>
      <c r="M345" s="1"/>
    </row>
    <row r="346" spans="1:13" ht="90" customHeight="1" x14ac:dyDescent="0.3">
      <c r="A346" s="8"/>
      <c r="B346" s="7"/>
      <c r="C346" s="7"/>
      <c r="D346" s="7"/>
      <c r="E346" s="7"/>
      <c r="F346" s="7"/>
      <c r="G346" s="7"/>
      <c r="H346" s="7"/>
      <c r="I346" s="1"/>
      <c r="J346" s="1"/>
      <c r="K346" s="1"/>
      <c r="L346" s="1"/>
      <c r="M346" s="1"/>
    </row>
    <row r="347" spans="1:13" ht="90" customHeight="1" x14ac:dyDescent="0.3">
      <c r="A347" s="8">
        <v>117</v>
      </c>
      <c r="B347" s="8" t="s">
        <v>502</v>
      </c>
      <c r="C347" s="8" t="s">
        <v>503</v>
      </c>
      <c r="D347" s="8" t="s">
        <v>504</v>
      </c>
      <c r="E347" s="6" t="s">
        <v>17</v>
      </c>
      <c r="F347" s="6" t="s">
        <v>18</v>
      </c>
      <c r="G347" s="8" t="s">
        <v>505</v>
      </c>
      <c r="H347" s="8" t="s">
        <v>506</v>
      </c>
      <c r="I347" s="4" t="s">
        <v>507</v>
      </c>
      <c r="J347" s="4">
        <v>0.9922519326210022</v>
      </c>
      <c r="K347" s="4" t="s">
        <v>22</v>
      </c>
      <c r="L347" s="4" t="s">
        <v>503</v>
      </c>
      <c r="M347" s="4">
        <v>2</v>
      </c>
    </row>
    <row r="348" spans="1:13" ht="90" customHeight="1" x14ac:dyDescent="0.3">
      <c r="A348" s="8"/>
      <c r="B348" s="7"/>
      <c r="C348" s="7"/>
      <c r="D348" s="7"/>
      <c r="E348" s="7"/>
      <c r="F348" s="7"/>
      <c r="G348" s="7"/>
      <c r="H348" s="7"/>
      <c r="I348" s="4" t="s">
        <v>508</v>
      </c>
      <c r="J348" s="4">
        <v>0.9663994312286377</v>
      </c>
      <c r="K348" s="4" t="s">
        <v>22</v>
      </c>
      <c r="L348" s="4" t="s">
        <v>503</v>
      </c>
      <c r="M348" s="4">
        <v>1</v>
      </c>
    </row>
    <row r="349" spans="1:13" ht="90" customHeight="1" x14ac:dyDescent="0.3">
      <c r="A349" s="8"/>
      <c r="B349" s="7"/>
      <c r="C349" s="7"/>
      <c r="D349" s="7"/>
      <c r="E349" s="7"/>
      <c r="F349" s="7"/>
      <c r="G349" s="7"/>
      <c r="H349" s="7"/>
      <c r="I349" s="1"/>
      <c r="J349" s="1"/>
      <c r="K349" s="1"/>
      <c r="L349" s="1"/>
      <c r="M349" s="1"/>
    </row>
    <row r="350" spans="1:13" ht="90" customHeight="1" x14ac:dyDescent="0.3">
      <c r="A350" s="8"/>
      <c r="B350" s="7"/>
      <c r="C350" s="7"/>
      <c r="D350" s="7"/>
      <c r="E350" s="7"/>
      <c r="F350" s="7"/>
      <c r="G350" s="7"/>
      <c r="H350" s="7"/>
      <c r="I350" s="1"/>
      <c r="J350" s="1"/>
      <c r="K350" s="1"/>
      <c r="L350" s="1"/>
      <c r="M350" s="1"/>
    </row>
    <row r="351" spans="1:13" ht="90" customHeight="1" x14ac:dyDescent="0.3">
      <c r="A351" s="8"/>
      <c r="B351" s="7"/>
      <c r="C351" s="7"/>
      <c r="D351" s="7"/>
      <c r="E351" s="7"/>
      <c r="F351" s="7"/>
      <c r="G351" s="7"/>
      <c r="H351" s="7"/>
      <c r="I351" s="1"/>
      <c r="J351" s="1"/>
      <c r="K351" s="1"/>
      <c r="L351" s="1"/>
      <c r="M351" s="1"/>
    </row>
    <row r="352" spans="1:13" ht="90" customHeight="1" x14ac:dyDescent="0.3">
      <c r="A352" s="8">
        <v>118</v>
      </c>
      <c r="B352" s="8" t="s">
        <v>509</v>
      </c>
      <c r="C352" s="8" t="s">
        <v>91</v>
      </c>
      <c r="D352" s="8" t="s">
        <v>510</v>
      </c>
      <c r="E352" s="6" t="s">
        <v>93</v>
      </c>
      <c r="F352" s="6" t="s">
        <v>94</v>
      </c>
      <c r="G352" s="8" t="s">
        <v>511</v>
      </c>
      <c r="H352" s="8" t="s">
        <v>512</v>
      </c>
      <c r="I352" s="2" t="s">
        <v>513</v>
      </c>
      <c r="J352" s="2">
        <v>0.99295616038260759</v>
      </c>
      <c r="K352" s="2" t="s">
        <v>76</v>
      </c>
      <c r="L352" s="2" t="s">
        <v>514</v>
      </c>
      <c r="M352" s="2">
        <v>6</v>
      </c>
    </row>
    <row r="353" spans="1:13" ht="90" customHeight="1" x14ac:dyDescent="0.3">
      <c r="A353" s="8"/>
      <c r="B353" s="7"/>
      <c r="C353" s="7"/>
      <c r="D353" s="7"/>
      <c r="E353" s="7"/>
      <c r="F353" s="7"/>
      <c r="G353" s="7"/>
      <c r="H353" s="7"/>
      <c r="I353" s="2" t="s">
        <v>515</v>
      </c>
      <c r="J353" s="2">
        <v>0.96713542938232422</v>
      </c>
      <c r="K353" s="2" t="s">
        <v>76</v>
      </c>
      <c r="L353" s="2" t="s">
        <v>514</v>
      </c>
      <c r="M353" s="2">
        <v>6</v>
      </c>
    </row>
    <row r="354" spans="1:13" ht="90" customHeight="1" x14ac:dyDescent="0.3">
      <c r="A354" s="8"/>
      <c r="B354" s="7"/>
      <c r="C354" s="7"/>
      <c r="D354" s="7"/>
      <c r="E354" s="7"/>
      <c r="F354" s="7"/>
      <c r="G354" s="7"/>
      <c r="H354" s="7"/>
      <c r="I354" s="2" t="s">
        <v>516</v>
      </c>
      <c r="J354" s="2">
        <v>0.94025266170501709</v>
      </c>
      <c r="K354" s="2" t="s">
        <v>76</v>
      </c>
      <c r="L354" s="2" t="s">
        <v>517</v>
      </c>
      <c r="M354" s="2">
        <v>3</v>
      </c>
    </row>
    <row r="355" spans="1:13" ht="90" customHeight="1" x14ac:dyDescent="0.3">
      <c r="A355" s="8"/>
      <c r="B355" s="7"/>
      <c r="C355" s="7"/>
      <c r="D355" s="7"/>
      <c r="E355" s="7"/>
      <c r="F355" s="7"/>
      <c r="G355" s="7"/>
      <c r="H355" s="7"/>
      <c r="I355" s="1" t="s">
        <v>518</v>
      </c>
      <c r="J355" s="1">
        <v>0.91760969161987305</v>
      </c>
      <c r="K355" s="1" t="s">
        <v>22</v>
      </c>
      <c r="L355" s="1" t="s">
        <v>146</v>
      </c>
      <c r="M355" s="1">
        <v>522</v>
      </c>
    </row>
    <row r="356" spans="1:13" ht="90" customHeight="1" x14ac:dyDescent="0.3">
      <c r="A356" s="8"/>
      <c r="B356" s="7"/>
      <c r="C356" s="7"/>
      <c r="D356" s="7"/>
      <c r="E356" s="7"/>
      <c r="F356" s="7"/>
      <c r="G356" s="7"/>
      <c r="H356" s="7"/>
      <c r="I356" s="1" t="s">
        <v>519</v>
      </c>
      <c r="J356" s="1">
        <v>0.86925345659255981</v>
      </c>
      <c r="K356" s="1" t="s">
        <v>22</v>
      </c>
      <c r="L356" s="1" t="s">
        <v>520</v>
      </c>
      <c r="M356" s="1">
        <v>18</v>
      </c>
    </row>
    <row r="357" spans="1:13" ht="90" customHeight="1" x14ac:dyDescent="0.3">
      <c r="A357" s="8">
        <v>120</v>
      </c>
      <c r="B357" s="8" t="s">
        <v>521</v>
      </c>
      <c r="C357" s="8" t="s">
        <v>522</v>
      </c>
      <c r="D357" s="8" t="s">
        <v>99</v>
      </c>
      <c r="E357" s="6" t="s">
        <v>17</v>
      </c>
      <c r="F357" s="6" t="s">
        <v>18</v>
      </c>
      <c r="G357" s="8" t="s">
        <v>523</v>
      </c>
      <c r="H357" s="8" t="s">
        <v>524</v>
      </c>
      <c r="I357" s="4" t="s">
        <v>525</v>
      </c>
      <c r="J357" s="4">
        <v>0.99918419122695923</v>
      </c>
      <c r="K357" s="4" t="s">
        <v>22</v>
      </c>
      <c r="L357" s="4" t="s">
        <v>522</v>
      </c>
      <c r="M357" s="4">
        <v>1</v>
      </c>
    </row>
    <row r="358" spans="1:13" ht="90" customHeight="1" x14ac:dyDescent="0.3">
      <c r="A358" s="8"/>
      <c r="B358" s="7"/>
      <c r="C358" s="7"/>
      <c r="D358" s="7"/>
      <c r="E358" s="7"/>
      <c r="F358" s="7"/>
      <c r="G358" s="7"/>
      <c r="H358" s="7"/>
      <c r="I358" s="1"/>
      <c r="J358" s="1"/>
      <c r="K358" s="1"/>
      <c r="L358" s="1"/>
      <c r="M358" s="1"/>
    </row>
    <row r="359" spans="1:13" ht="90" customHeight="1" x14ac:dyDescent="0.3">
      <c r="A359" s="8"/>
      <c r="B359" s="7"/>
      <c r="C359" s="7"/>
      <c r="D359" s="7"/>
      <c r="E359" s="7"/>
      <c r="F359" s="7"/>
      <c r="G359" s="7"/>
      <c r="H359" s="7"/>
      <c r="I359" s="1"/>
      <c r="J359" s="1"/>
      <c r="K359" s="1"/>
      <c r="L359" s="1"/>
      <c r="M359" s="1"/>
    </row>
    <row r="360" spans="1:13" ht="90" customHeight="1" x14ac:dyDescent="0.3">
      <c r="A360" s="8"/>
      <c r="B360" s="7"/>
      <c r="C360" s="7"/>
      <c r="D360" s="7"/>
      <c r="E360" s="7"/>
      <c r="F360" s="7"/>
      <c r="G360" s="7"/>
      <c r="H360" s="7"/>
      <c r="I360" s="1"/>
      <c r="J360" s="1"/>
      <c r="K360" s="1"/>
      <c r="L360" s="1"/>
      <c r="M360" s="1"/>
    </row>
    <row r="361" spans="1:13" ht="90" customHeight="1" x14ac:dyDescent="0.3">
      <c r="A361" s="8"/>
      <c r="B361" s="7"/>
      <c r="C361" s="7"/>
      <c r="D361" s="7"/>
      <c r="E361" s="7"/>
      <c r="F361" s="7"/>
      <c r="G361" s="7"/>
      <c r="H361" s="7"/>
      <c r="I361" s="1"/>
      <c r="J361" s="1"/>
      <c r="K361" s="1"/>
      <c r="L361" s="1"/>
      <c r="M361" s="1"/>
    </row>
    <row r="362" spans="1:13" ht="90" customHeight="1" x14ac:dyDescent="0.3">
      <c r="A362" s="8">
        <v>121</v>
      </c>
      <c r="B362" s="8" t="s">
        <v>526</v>
      </c>
      <c r="C362" s="8" t="s">
        <v>527</v>
      </c>
      <c r="D362" s="8" t="s">
        <v>99</v>
      </c>
      <c r="E362" s="6" t="s">
        <v>17</v>
      </c>
      <c r="F362" s="6" t="s">
        <v>18</v>
      </c>
      <c r="G362" s="8" t="s">
        <v>528</v>
      </c>
      <c r="H362" s="8" t="s">
        <v>529</v>
      </c>
      <c r="I362" s="4" t="s">
        <v>530</v>
      </c>
      <c r="J362" s="4">
        <v>0.81345897912979126</v>
      </c>
      <c r="K362" s="4" t="s">
        <v>22</v>
      </c>
      <c r="L362" s="4" t="s">
        <v>527</v>
      </c>
      <c r="M362" s="4">
        <v>1</v>
      </c>
    </row>
    <row r="363" spans="1:13" ht="90" customHeight="1" x14ac:dyDescent="0.3">
      <c r="A363" s="8"/>
      <c r="B363" s="7"/>
      <c r="C363" s="7"/>
      <c r="D363" s="7"/>
      <c r="E363" s="7"/>
      <c r="F363" s="7"/>
      <c r="G363" s="7"/>
      <c r="H363" s="7"/>
      <c r="I363" s="1"/>
      <c r="J363" s="1"/>
      <c r="K363" s="1"/>
      <c r="L363" s="1"/>
      <c r="M363" s="1"/>
    </row>
    <row r="364" spans="1:13" ht="90" customHeight="1" x14ac:dyDescent="0.3">
      <c r="A364" s="8"/>
      <c r="B364" s="7"/>
      <c r="C364" s="7"/>
      <c r="D364" s="7"/>
      <c r="E364" s="7"/>
      <c r="F364" s="7"/>
      <c r="G364" s="7"/>
      <c r="H364" s="7"/>
      <c r="I364" s="1"/>
      <c r="J364" s="1"/>
      <c r="K364" s="1"/>
      <c r="L364" s="1"/>
      <c r="M364" s="1"/>
    </row>
    <row r="365" spans="1:13" ht="90" customHeight="1" x14ac:dyDescent="0.3">
      <c r="A365" s="8"/>
      <c r="B365" s="7"/>
      <c r="C365" s="7"/>
      <c r="D365" s="7"/>
      <c r="E365" s="7"/>
      <c r="F365" s="7"/>
      <c r="G365" s="7"/>
      <c r="H365" s="7"/>
      <c r="I365" s="1"/>
      <c r="J365" s="1"/>
      <c r="K365" s="1"/>
      <c r="L365" s="1"/>
      <c r="M365" s="1"/>
    </row>
    <row r="366" spans="1:13" ht="90" customHeight="1" x14ac:dyDescent="0.3">
      <c r="A366" s="8"/>
      <c r="B366" s="7"/>
      <c r="C366" s="7"/>
      <c r="D366" s="7"/>
      <c r="E366" s="7"/>
      <c r="F366" s="7"/>
      <c r="G366" s="7"/>
      <c r="H366" s="7"/>
      <c r="I366" s="1"/>
      <c r="J366" s="1"/>
      <c r="K366" s="1"/>
      <c r="L366" s="1"/>
      <c r="M366" s="1"/>
    </row>
    <row r="367" spans="1:13" ht="90" customHeight="1" x14ac:dyDescent="0.3">
      <c r="A367" s="8">
        <v>123</v>
      </c>
      <c r="B367" s="8" t="s">
        <v>531</v>
      </c>
      <c r="C367" s="8" t="s">
        <v>353</v>
      </c>
      <c r="D367" s="8" t="s">
        <v>532</v>
      </c>
      <c r="E367" s="6" t="s">
        <v>17</v>
      </c>
      <c r="F367" s="6" t="s">
        <v>18</v>
      </c>
      <c r="G367" s="8" t="s">
        <v>533</v>
      </c>
      <c r="H367" s="8" t="s">
        <v>534</v>
      </c>
      <c r="I367" s="4" t="s">
        <v>535</v>
      </c>
      <c r="J367" s="4">
        <v>0.99915909767150879</v>
      </c>
      <c r="K367" s="4" t="s">
        <v>22</v>
      </c>
      <c r="L367" s="4" t="s">
        <v>353</v>
      </c>
      <c r="M367" s="4">
        <v>101</v>
      </c>
    </row>
    <row r="368" spans="1:13" ht="90" customHeight="1" x14ac:dyDescent="0.3">
      <c r="A368" s="8"/>
      <c r="B368" s="7"/>
      <c r="C368" s="7"/>
      <c r="D368" s="7"/>
      <c r="E368" s="7"/>
      <c r="F368" s="7"/>
      <c r="G368" s="7"/>
      <c r="H368" s="7"/>
      <c r="I368" s="5" t="s">
        <v>536</v>
      </c>
      <c r="J368" s="5">
        <v>0.99910777807235718</v>
      </c>
      <c r="K368" s="5" t="s">
        <v>22</v>
      </c>
      <c r="L368" s="5" t="s">
        <v>353</v>
      </c>
      <c r="M368" s="5">
        <v>102</v>
      </c>
    </row>
    <row r="369" spans="1:13" ht="90" customHeight="1" x14ac:dyDescent="0.3">
      <c r="A369" s="8"/>
      <c r="B369" s="7"/>
      <c r="C369" s="7"/>
      <c r="D369" s="7"/>
      <c r="E369" s="7"/>
      <c r="F369" s="7"/>
      <c r="G369" s="7"/>
      <c r="H369" s="7"/>
      <c r="I369" s="1"/>
      <c r="J369" s="1"/>
      <c r="K369" s="1"/>
      <c r="L369" s="1"/>
      <c r="M369" s="1"/>
    </row>
    <row r="370" spans="1:13" ht="90" customHeight="1" x14ac:dyDescent="0.3">
      <c r="A370" s="8"/>
      <c r="B370" s="7"/>
      <c r="C370" s="7"/>
      <c r="D370" s="7"/>
      <c r="E370" s="7"/>
      <c r="F370" s="7"/>
      <c r="G370" s="7"/>
      <c r="H370" s="7"/>
      <c r="I370" s="1"/>
      <c r="J370" s="1"/>
      <c r="K370" s="1"/>
      <c r="L370" s="1"/>
      <c r="M370" s="1"/>
    </row>
    <row r="371" spans="1:13" ht="90" customHeight="1" x14ac:dyDescent="0.3">
      <c r="A371" s="8"/>
      <c r="B371" s="7"/>
      <c r="C371" s="7"/>
      <c r="D371" s="7"/>
      <c r="E371" s="7"/>
      <c r="F371" s="7"/>
      <c r="G371" s="7"/>
      <c r="H371" s="7"/>
      <c r="I371" s="1"/>
      <c r="J371" s="1"/>
      <c r="K371" s="1"/>
      <c r="L371" s="1"/>
      <c r="M371" s="1"/>
    </row>
    <row r="372" spans="1:13" ht="90" customHeight="1" x14ac:dyDescent="0.3">
      <c r="A372" s="8">
        <v>124</v>
      </c>
      <c r="B372" s="8" t="s">
        <v>537</v>
      </c>
      <c r="C372" s="8" t="s">
        <v>85</v>
      </c>
      <c r="D372" s="8" t="s">
        <v>86</v>
      </c>
      <c r="E372" s="6" t="s">
        <v>17</v>
      </c>
      <c r="F372" s="6" t="s">
        <v>18</v>
      </c>
      <c r="G372" s="8" t="s">
        <v>538</v>
      </c>
      <c r="H372" s="8" t="s">
        <v>539</v>
      </c>
      <c r="I372" s="4" t="s">
        <v>89</v>
      </c>
      <c r="J372" s="4">
        <v>0.94940882921218872</v>
      </c>
      <c r="K372" s="4" t="s">
        <v>22</v>
      </c>
      <c r="L372" s="4" t="s">
        <v>85</v>
      </c>
      <c r="M372" s="4">
        <v>4</v>
      </c>
    </row>
    <row r="373" spans="1:13" ht="90" customHeight="1" x14ac:dyDescent="0.3">
      <c r="A373" s="8"/>
      <c r="B373" s="7"/>
      <c r="C373" s="7"/>
      <c r="D373" s="7"/>
      <c r="E373" s="7"/>
      <c r="F373" s="7"/>
      <c r="G373" s="7"/>
      <c r="H373" s="7"/>
      <c r="I373" s="1" t="s">
        <v>540</v>
      </c>
      <c r="J373" s="1">
        <v>0.91265863163095307</v>
      </c>
      <c r="K373" s="1" t="s">
        <v>22</v>
      </c>
      <c r="L373" s="1" t="s">
        <v>541</v>
      </c>
      <c r="M373" s="1">
        <v>43</v>
      </c>
    </row>
    <row r="374" spans="1:13" ht="90" customHeight="1" x14ac:dyDescent="0.3">
      <c r="A374" s="8"/>
      <c r="B374" s="7"/>
      <c r="C374" s="7"/>
      <c r="D374" s="7"/>
      <c r="E374" s="7"/>
      <c r="F374" s="7"/>
      <c r="G374" s="7"/>
      <c r="H374" s="7"/>
      <c r="I374" s="1" t="s">
        <v>542</v>
      </c>
      <c r="J374" s="1">
        <v>0.74718230962753296</v>
      </c>
      <c r="K374" s="1" t="s">
        <v>22</v>
      </c>
      <c r="L374" s="1" t="s">
        <v>543</v>
      </c>
      <c r="M374" s="1">
        <v>10</v>
      </c>
    </row>
    <row r="375" spans="1:13" ht="90" customHeight="1" x14ac:dyDescent="0.3">
      <c r="A375" s="8"/>
      <c r="B375" s="7"/>
      <c r="C375" s="7"/>
      <c r="D375" s="7"/>
      <c r="E375" s="7"/>
      <c r="F375" s="7"/>
      <c r="G375" s="7"/>
      <c r="H375" s="7"/>
      <c r="I375" s="1"/>
      <c r="J375" s="1"/>
      <c r="K375" s="1"/>
      <c r="L375" s="1"/>
      <c r="M375" s="1"/>
    </row>
    <row r="376" spans="1:13" ht="90" customHeight="1" x14ac:dyDescent="0.3">
      <c r="A376" s="8"/>
      <c r="B376" s="7"/>
      <c r="C376" s="7"/>
      <c r="D376" s="7"/>
      <c r="E376" s="7"/>
      <c r="F376" s="7"/>
      <c r="G376" s="7"/>
      <c r="H376" s="7"/>
      <c r="I376" s="1"/>
      <c r="J376" s="1"/>
      <c r="K376" s="1"/>
      <c r="L376" s="1"/>
      <c r="M376" s="1"/>
    </row>
    <row r="377" spans="1:13" ht="90" customHeight="1" x14ac:dyDescent="0.3">
      <c r="A377" s="8">
        <v>125</v>
      </c>
      <c r="B377" s="8" t="s">
        <v>544</v>
      </c>
      <c r="C377" s="8" t="s">
        <v>85</v>
      </c>
      <c r="D377" s="8" t="s">
        <v>99</v>
      </c>
      <c r="E377" s="6" t="s">
        <v>17</v>
      </c>
      <c r="F377" s="6" t="s">
        <v>18</v>
      </c>
      <c r="G377" s="8" t="s">
        <v>545</v>
      </c>
      <c r="H377" s="8" t="s">
        <v>546</v>
      </c>
      <c r="I377" s="4" t="s">
        <v>113</v>
      </c>
      <c r="J377" s="4">
        <v>0.98502979851348815</v>
      </c>
      <c r="K377" s="4" t="s">
        <v>22</v>
      </c>
      <c r="L377" s="4" t="s">
        <v>85</v>
      </c>
      <c r="M377" s="4">
        <v>1</v>
      </c>
    </row>
    <row r="378" spans="1:13" ht="90" customHeight="1" x14ac:dyDescent="0.3">
      <c r="A378" s="8"/>
      <c r="B378" s="7"/>
      <c r="C378" s="7"/>
      <c r="D378" s="7"/>
      <c r="E378" s="7"/>
      <c r="F378" s="7"/>
      <c r="G378" s="7"/>
      <c r="H378" s="7"/>
      <c r="I378" s="1"/>
      <c r="J378" s="1"/>
      <c r="K378" s="1"/>
      <c r="L378" s="1"/>
      <c r="M378" s="1"/>
    </row>
    <row r="379" spans="1:13" ht="90" customHeight="1" x14ac:dyDescent="0.3">
      <c r="A379" s="8"/>
      <c r="B379" s="7"/>
      <c r="C379" s="7"/>
      <c r="D379" s="7"/>
      <c r="E379" s="7"/>
      <c r="F379" s="7"/>
      <c r="G379" s="7"/>
      <c r="H379" s="7"/>
      <c r="I379" s="1"/>
      <c r="J379" s="1"/>
      <c r="K379" s="1"/>
      <c r="L379" s="1"/>
      <c r="M379" s="1"/>
    </row>
    <row r="380" spans="1:13" ht="90" customHeight="1" x14ac:dyDescent="0.3">
      <c r="A380" s="8"/>
      <c r="B380" s="7"/>
      <c r="C380" s="7"/>
      <c r="D380" s="7"/>
      <c r="E380" s="7"/>
      <c r="F380" s="7"/>
      <c r="G380" s="7"/>
      <c r="H380" s="7"/>
      <c r="I380" s="1"/>
      <c r="J380" s="1"/>
      <c r="K380" s="1"/>
      <c r="L380" s="1"/>
      <c r="M380" s="1"/>
    </row>
    <row r="381" spans="1:13" ht="90" customHeight="1" x14ac:dyDescent="0.3">
      <c r="A381" s="8"/>
      <c r="B381" s="7"/>
      <c r="C381" s="7"/>
      <c r="D381" s="7"/>
      <c r="E381" s="7"/>
      <c r="F381" s="7"/>
      <c r="G381" s="7"/>
      <c r="H381" s="7"/>
      <c r="I381" s="1"/>
      <c r="J381" s="1"/>
      <c r="K381" s="1"/>
      <c r="L381" s="1"/>
      <c r="M381" s="1"/>
    </row>
    <row r="382" spans="1:13" ht="90" customHeight="1" x14ac:dyDescent="0.3">
      <c r="A382" s="8">
        <v>127</v>
      </c>
      <c r="B382" s="8" t="s">
        <v>547</v>
      </c>
      <c r="C382" s="8" t="s">
        <v>548</v>
      </c>
      <c r="D382" s="8" t="s">
        <v>99</v>
      </c>
      <c r="E382" s="6" t="s">
        <v>17</v>
      </c>
      <c r="F382" s="6" t="s">
        <v>18</v>
      </c>
      <c r="G382" s="8" t="s">
        <v>549</v>
      </c>
      <c r="H382" s="8" t="s">
        <v>550</v>
      </c>
      <c r="I382" s="4" t="s">
        <v>551</v>
      </c>
      <c r="J382" s="4">
        <v>0.97769105434417725</v>
      </c>
      <c r="K382" s="4" t="s">
        <v>22</v>
      </c>
      <c r="L382" s="4" t="s">
        <v>548</v>
      </c>
      <c r="M382" s="4">
        <v>1</v>
      </c>
    </row>
    <row r="383" spans="1:13" ht="90" customHeight="1" x14ac:dyDescent="0.3">
      <c r="A383" s="8"/>
      <c r="B383" s="7"/>
      <c r="C383" s="7"/>
      <c r="D383" s="7"/>
      <c r="E383" s="7"/>
      <c r="F383" s="7"/>
      <c r="G383" s="7"/>
      <c r="H383" s="7"/>
      <c r="I383" s="1"/>
      <c r="J383" s="1"/>
      <c r="K383" s="1"/>
      <c r="L383" s="1"/>
      <c r="M383" s="1"/>
    </row>
    <row r="384" spans="1:13" ht="90" customHeight="1" x14ac:dyDescent="0.3">
      <c r="A384" s="8"/>
      <c r="B384" s="7"/>
      <c r="C384" s="7"/>
      <c r="D384" s="7"/>
      <c r="E384" s="7"/>
      <c r="F384" s="7"/>
      <c r="G384" s="7"/>
      <c r="H384" s="7"/>
      <c r="I384" s="1"/>
      <c r="J384" s="1"/>
      <c r="K384" s="1"/>
      <c r="L384" s="1"/>
      <c r="M384" s="1"/>
    </row>
    <row r="385" spans="1:13" ht="90" customHeight="1" x14ac:dyDescent="0.3">
      <c r="A385" s="8"/>
      <c r="B385" s="7"/>
      <c r="C385" s="7"/>
      <c r="D385" s="7"/>
      <c r="E385" s="7"/>
      <c r="F385" s="7"/>
      <c r="G385" s="7"/>
      <c r="H385" s="7"/>
      <c r="I385" s="1"/>
      <c r="J385" s="1"/>
      <c r="K385" s="1"/>
      <c r="L385" s="1"/>
      <c r="M385" s="1"/>
    </row>
    <row r="386" spans="1:13" ht="90" customHeight="1" x14ac:dyDescent="0.3">
      <c r="A386" s="8"/>
      <c r="B386" s="7"/>
      <c r="C386" s="7"/>
      <c r="D386" s="7"/>
      <c r="E386" s="7"/>
      <c r="F386" s="7"/>
      <c r="G386" s="7"/>
      <c r="H386" s="7"/>
      <c r="I386" s="1"/>
      <c r="J386" s="1"/>
      <c r="K386" s="1"/>
      <c r="L386" s="1"/>
      <c r="M386" s="1"/>
    </row>
    <row r="387" spans="1:13" ht="90" customHeight="1" x14ac:dyDescent="0.3">
      <c r="A387" s="8">
        <v>128</v>
      </c>
      <c r="B387" s="8" t="s">
        <v>552</v>
      </c>
      <c r="C387" s="8" t="s">
        <v>313</v>
      </c>
      <c r="D387" s="8" t="s">
        <v>553</v>
      </c>
      <c r="E387" s="6" t="s">
        <v>17</v>
      </c>
      <c r="F387" s="6" t="s">
        <v>18</v>
      </c>
      <c r="G387" s="8" t="s">
        <v>554</v>
      </c>
      <c r="H387" s="8" t="s">
        <v>555</v>
      </c>
      <c r="I387" s="4" t="s">
        <v>411</v>
      </c>
      <c r="J387" s="4">
        <v>0.99943214654922485</v>
      </c>
      <c r="K387" s="4" t="s">
        <v>22</v>
      </c>
      <c r="L387" s="4" t="s">
        <v>313</v>
      </c>
      <c r="M387" s="4">
        <v>2</v>
      </c>
    </row>
    <row r="388" spans="1:13" ht="90" customHeight="1" x14ac:dyDescent="0.3">
      <c r="A388" s="8"/>
      <c r="B388" s="7"/>
      <c r="C388" s="7"/>
      <c r="D388" s="7"/>
      <c r="E388" s="7"/>
      <c r="F388" s="7"/>
      <c r="G388" s="7"/>
      <c r="H388" s="7"/>
      <c r="I388" s="4" t="s">
        <v>316</v>
      </c>
      <c r="J388" s="4">
        <v>0.99771857261657715</v>
      </c>
      <c r="K388" s="4" t="s">
        <v>22</v>
      </c>
      <c r="L388" s="4" t="s">
        <v>313</v>
      </c>
      <c r="M388" s="4">
        <v>4</v>
      </c>
    </row>
    <row r="389" spans="1:13" ht="90" customHeight="1" x14ac:dyDescent="0.3">
      <c r="A389" s="8"/>
      <c r="B389" s="7"/>
      <c r="C389" s="7"/>
      <c r="D389" s="7"/>
      <c r="E389" s="7"/>
      <c r="F389" s="7"/>
      <c r="G389" s="7"/>
      <c r="H389" s="7"/>
      <c r="I389" s="4" t="s">
        <v>412</v>
      </c>
      <c r="J389" s="4">
        <v>0.99690669775009155</v>
      </c>
      <c r="K389" s="4" t="s">
        <v>22</v>
      </c>
      <c r="L389" s="4" t="s">
        <v>313</v>
      </c>
      <c r="M389" s="4">
        <v>3</v>
      </c>
    </row>
    <row r="390" spans="1:13" ht="90" customHeight="1" x14ac:dyDescent="0.3">
      <c r="A390" s="8"/>
      <c r="B390" s="7"/>
      <c r="C390" s="7"/>
      <c r="D390" s="7"/>
      <c r="E390" s="7"/>
      <c r="F390" s="7"/>
      <c r="G390" s="7"/>
      <c r="H390" s="7"/>
      <c r="I390" s="1"/>
      <c r="J390" s="1"/>
      <c r="K390" s="1"/>
      <c r="L390" s="1"/>
      <c r="M390" s="1"/>
    </row>
    <row r="391" spans="1:13" ht="90" customHeight="1" x14ac:dyDescent="0.3">
      <c r="A391" s="8"/>
      <c r="B391" s="7"/>
      <c r="C391" s="7"/>
      <c r="D391" s="7"/>
      <c r="E391" s="7"/>
      <c r="F391" s="7"/>
      <c r="G391" s="7"/>
      <c r="H391" s="7"/>
      <c r="I391" s="1"/>
      <c r="J391" s="1"/>
      <c r="K391" s="1"/>
      <c r="L391" s="1"/>
      <c r="M391" s="1"/>
    </row>
    <row r="392" spans="1:13" ht="90" customHeight="1" x14ac:dyDescent="0.3">
      <c r="A392" s="8">
        <v>129</v>
      </c>
      <c r="B392" s="8" t="s">
        <v>556</v>
      </c>
      <c r="C392" s="8" t="s">
        <v>38</v>
      </c>
      <c r="D392" s="8" t="s">
        <v>39</v>
      </c>
      <c r="E392" s="6" t="s">
        <v>17</v>
      </c>
      <c r="F392" s="6" t="s">
        <v>18</v>
      </c>
      <c r="G392" s="8" t="s">
        <v>557</v>
      </c>
      <c r="H392" s="8" t="s">
        <v>558</v>
      </c>
      <c r="I392" s="4" t="s">
        <v>43</v>
      </c>
      <c r="J392" s="4">
        <v>0.88937575229858712</v>
      </c>
      <c r="K392" s="4" t="s">
        <v>22</v>
      </c>
      <c r="L392" s="4" t="s">
        <v>38</v>
      </c>
      <c r="M392" s="4">
        <v>3</v>
      </c>
    </row>
    <row r="393" spans="1:13" ht="90" customHeight="1" x14ac:dyDescent="0.3">
      <c r="A393" s="8"/>
      <c r="B393" s="7"/>
      <c r="C393" s="7"/>
      <c r="D393" s="7"/>
      <c r="E393" s="7"/>
      <c r="F393" s="7"/>
      <c r="G393" s="7"/>
      <c r="H393" s="7"/>
      <c r="I393" s="4" t="s">
        <v>42</v>
      </c>
      <c r="J393" s="4">
        <v>0.88483035793870257</v>
      </c>
      <c r="K393" s="4" t="s">
        <v>22</v>
      </c>
      <c r="L393" s="4" t="s">
        <v>38</v>
      </c>
      <c r="M393" s="4">
        <v>1</v>
      </c>
    </row>
    <row r="394" spans="1:13" ht="90" customHeight="1" x14ac:dyDescent="0.3">
      <c r="A394" s="8"/>
      <c r="B394" s="7"/>
      <c r="C394" s="7"/>
      <c r="D394" s="7"/>
      <c r="E394" s="7"/>
      <c r="F394" s="7"/>
      <c r="G394" s="7"/>
      <c r="H394" s="7"/>
      <c r="I394" s="4" t="s">
        <v>44</v>
      </c>
      <c r="J394" s="4">
        <v>0.82442681542169749</v>
      </c>
      <c r="K394" s="4" t="s">
        <v>22</v>
      </c>
      <c r="L394" s="4" t="s">
        <v>38</v>
      </c>
      <c r="M394" s="4">
        <v>2</v>
      </c>
    </row>
    <row r="395" spans="1:13" ht="90" customHeight="1" x14ac:dyDescent="0.3">
      <c r="A395" s="8"/>
      <c r="B395" s="7"/>
      <c r="C395" s="7"/>
      <c r="D395" s="7"/>
      <c r="E395" s="7"/>
      <c r="F395" s="7"/>
      <c r="G395" s="7"/>
      <c r="H395" s="7"/>
      <c r="I395" s="1"/>
      <c r="J395" s="1"/>
      <c r="K395" s="1"/>
      <c r="L395" s="1"/>
      <c r="M395" s="1"/>
    </row>
    <row r="396" spans="1:13" ht="90" customHeight="1" x14ac:dyDescent="0.3">
      <c r="A396" s="8"/>
      <c r="B396" s="7"/>
      <c r="C396" s="7"/>
      <c r="D396" s="7"/>
      <c r="E396" s="7"/>
      <c r="F396" s="7"/>
      <c r="G396" s="7"/>
      <c r="H396" s="7"/>
      <c r="I396" s="1"/>
      <c r="J396" s="1"/>
      <c r="K396" s="1"/>
      <c r="L396" s="1"/>
      <c r="M396" s="1"/>
    </row>
    <row r="397" spans="1:13" ht="90" customHeight="1" x14ac:dyDescent="0.3">
      <c r="A397" s="8">
        <v>130</v>
      </c>
      <c r="B397" s="8" t="s">
        <v>559</v>
      </c>
      <c r="C397" s="8" t="s">
        <v>91</v>
      </c>
      <c r="D397" s="8" t="s">
        <v>92</v>
      </c>
      <c r="E397" s="6" t="s">
        <v>93</v>
      </c>
      <c r="F397" s="6" t="s">
        <v>94</v>
      </c>
      <c r="G397" s="8" t="s">
        <v>560</v>
      </c>
      <c r="H397" s="8" t="s">
        <v>96</v>
      </c>
      <c r="I397" s="1"/>
      <c r="J397" s="1"/>
      <c r="K397" s="1"/>
      <c r="L397" s="1"/>
      <c r="M397" s="1"/>
    </row>
    <row r="398" spans="1:13" ht="90" customHeight="1" x14ac:dyDescent="0.3">
      <c r="A398" s="8"/>
      <c r="B398" s="7"/>
      <c r="C398" s="7"/>
      <c r="D398" s="7"/>
      <c r="E398" s="7"/>
      <c r="F398" s="7"/>
      <c r="G398" s="7"/>
      <c r="H398" s="7"/>
      <c r="I398" s="1"/>
      <c r="J398" s="1"/>
      <c r="K398" s="1"/>
      <c r="L398" s="1"/>
      <c r="M398" s="1"/>
    </row>
    <row r="399" spans="1:13" ht="90" customHeight="1" x14ac:dyDescent="0.3">
      <c r="A399" s="8"/>
      <c r="B399" s="7"/>
      <c r="C399" s="7"/>
      <c r="D399" s="7"/>
      <c r="E399" s="7"/>
      <c r="F399" s="7"/>
      <c r="G399" s="7"/>
      <c r="H399" s="7"/>
      <c r="I399" s="1"/>
      <c r="J399" s="1"/>
      <c r="K399" s="1"/>
      <c r="L399" s="1"/>
      <c r="M399" s="1"/>
    </row>
    <row r="400" spans="1:13" ht="90" customHeight="1" x14ac:dyDescent="0.3">
      <c r="A400" s="8"/>
      <c r="B400" s="7"/>
      <c r="C400" s="7"/>
      <c r="D400" s="7"/>
      <c r="E400" s="7"/>
      <c r="F400" s="7"/>
      <c r="G400" s="7"/>
      <c r="H400" s="7"/>
      <c r="I400" s="1"/>
      <c r="J400" s="1"/>
      <c r="K400" s="1"/>
      <c r="L400" s="1"/>
      <c r="M400" s="1"/>
    </row>
    <row r="401" spans="1:13" ht="90" customHeight="1" x14ac:dyDescent="0.3">
      <c r="A401" s="8"/>
      <c r="B401" s="7"/>
      <c r="C401" s="7"/>
      <c r="D401" s="7"/>
      <c r="E401" s="7"/>
      <c r="F401" s="7"/>
      <c r="G401" s="7"/>
      <c r="H401" s="7"/>
      <c r="I401" s="1"/>
      <c r="J401" s="1"/>
      <c r="K401" s="1"/>
      <c r="L401" s="1"/>
      <c r="M401" s="1"/>
    </row>
    <row r="402" spans="1:13" ht="90" customHeight="1" x14ac:dyDescent="0.3">
      <c r="A402" s="8">
        <v>131</v>
      </c>
      <c r="B402" s="8" t="s">
        <v>561</v>
      </c>
      <c r="C402" s="8" t="s">
        <v>562</v>
      </c>
      <c r="D402" s="8" t="s">
        <v>99</v>
      </c>
      <c r="E402" s="6" t="s">
        <v>93</v>
      </c>
      <c r="F402" s="6" t="s">
        <v>94</v>
      </c>
      <c r="G402" s="8" t="s">
        <v>563</v>
      </c>
      <c r="H402" s="8" t="s">
        <v>96</v>
      </c>
      <c r="I402" s="1"/>
      <c r="J402" s="1"/>
      <c r="K402" s="1"/>
      <c r="L402" s="1"/>
      <c r="M402" s="1"/>
    </row>
    <row r="403" spans="1:13" ht="90" customHeight="1" x14ac:dyDescent="0.3">
      <c r="A403" s="8"/>
      <c r="B403" s="7"/>
      <c r="C403" s="7"/>
      <c r="D403" s="7"/>
      <c r="E403" s="7"/>
      <c r="F403" s="7"/>
      <c r="G403" s="7"/>
      <c r="H403" s="7"/>
      <c r="I403" s="1"/>
      <c r="J403" s="1"/>
      <c r="K403" s="1"/>
      <c r="L403" s="1"/>
      <c r="M403" s="1"/>
    </row>
    <row r="404" spans="1:13" ht="90" customHeight="1" x14ac:dyDescent="0.3">
      <c r="A404" s="8"/>
      <c r="B404" s="7"/>
      <c r="C404" s="7"/>
      <c r="D404" s="7"/>
      <c r="E404" s="7"/>
      <c r="F404" s="7"/>
      <c r="G404" s="7"/>
      <c r="H404" s="7"/>
      <c r="I404" s="1"/>
      <c r="J404" s="1"/>
      <c r="K404" s="1"/>
      <c r="L404" s="1"/>
      <c r="M404" s="1"/>
    </row>
    <row r="405" spans="1:13" ht="90" customHeight="1" x14ac:dyDescent="0.3">
      <c r="A405" s="8"/>
      <c r="B405" s="7"/>
      <c r="C405" s="7"/>
      <c r="D405" s="7"/>
      <c r="E405" s="7"/>
      <c r="F405" s="7"/>
      <c r="G405" s="7"/>
      <c r="H405" s="7"/>
      <c r="I405" s="1"/>
      <c r="J405" s="1"/>
      <c r="K405" s="1"/>
      <c r="L405" s="1"/>
      <c r="M405" s="1"/>
    </row>
    <row r="406" spans="1:13" ht="90" customHeight="1" x14ac:dyDescent="0.3">
      <c r="A406" s="8"/>
      <c r="B406" s="7"/>
      <c r="C406" s="7"/>
      <c r="D406" s="7"/>
      <c r="E406" s="7"/>
      <c r="F406" s="7"/>
      <c r="G406" s="7"/>
      <c r="H406" s="7"/>
      <c r="I406" s="1"/>
      <c r="J406" s="1"/>
      <c r="K406" s="1"/>
      <c r="L406" s="1"/>
      <c r="M406" s="1"/>
    </row>
    <row r="407" spans="1:13" ht="90" customHeight="1" x14ac:dyDescent="0.3">
      <c r="A407" s="8">
        <v>132</v>
      </c>
      <c r="B407" s="8" t="s">
        <v>564</v>
      </c>
      <c r="C407" s="8" t="s">
        <v>565</v>
      </c>
      <c r="D407" s="8" t="s">
        <v>566</v>
      </c>
      <c r="E407" s="6" t="s">
        <v>93</v>
      </c>
      <c r="F407" s="6" t="s">
        <v>94</v>
      </c>
      <c r="G407" s="8" t="s">
        <v>567</v>
      </c>
      <c r="H407" s="8" t="s">
        <v>96</v>
      </c>
      <c r="I407" s="1"/>
      <c r="J407" s="1"/>
      <c r="K407" s="1"/>
      <c r="L407" s="1"/>
      <c r="M407" s="1"/>
    </row>
    <row r="408" spans="1:13" ht="90" customHeight="1" x14ac:dyDescent="0.3">
      <c r="A408" s="8"/>
      <c r="B408" s="7"/>
      <c r="C408" s="7"/>
      <c r="D408" s="7"/>
      <c r="E408" s="7"/>
      <c r="F408" s="7"/>
      <c r="G408" s="7"/>
      <c r="H408" s="7"/>
      <c r="I408" s="1"/>
      <c r="J408" s="1"/>
      <c r="K408" s="1"/>
      <c r="L408" s="1"/>
      <c r="M408" s="1"/>
    </row>
    <row r="409" spans="1:13" ht="90" customHeight="1" x14ac:dyDescent="0.3">
      <c r="A409" s="8"/>
      <c r="B409" s="7"/>
      <c r="C409" s="7"/>
      <c r="D409" s="7"/>
      <c r="E409" s="7"/>
      <c r="F409" s="7"/>
      <c r="G409" s="7"/>
      <c r="H409" s="7"/>
      <c r="I409" s="1"/>
      <c r="J409" s="1"/>
      <c r="K409" s="1"/>
      <c r="L409" s="1"/>
      <c r="M409" s="1"/>
    </row>
    <row r="410" spans="1:13" ht="90" customHeight="1" x14ac:dyDescent="0.3">
      <c r="A410" s="8"/>
      <c r="B410" s="7"/>
      <c r="C410" s="7"/>
      <c r="D410" s="7"/>
      <c r="E410" s="7"/>
      <c r="F410" s="7"/>
      <c r="G410" s="7"/>
      <c r="H410" s="7"/>
      <c r="I410" s="1"/>
      <c r="J410" s="1"/>
      <c r="K410" s="1"/>
      <c r="L410" s="1"/>
      <c r="M410" s="1"/>
    </row>
    <row r="411" spans="1:13" ht="90" customHeight="1" x14ac:dyDescent="0.3">
      <c r="A411" s="8"/>
      <c r="B411" s="7"/>
      <c r="C411" s="7"/>
      <c r="D411" s="7"/>
      <c r="E411" s="7"/>
      <c r="F411" s="7"/>
      <c r="G411" s="7"/>
      <c r="H411" s="7"/>
      <c r="I411" s="1"/>
      <c r="J411" s="1"/>
      <c r="K411" s="1"/>
      <c r="L411" s="1"/>
      <c r="M411" s="1"/>
    </row>
    <row r="412" spans="1:13" ht="90" customHeight="1" x14ac:dyDescent="0.3">
      <c r="A412" s="8">
        <v>135</v>
      </c>
      <c r="B412" s="8" t="s">
        <v>568</v>
      </c>
      <c r="C412" s="8" t="s">
        <v>569</v>
      </c>
      <c r="D412" s="8" t="s">
        <v>504</v>
      </c>
      <c r="E412" s="6" t="s">
        <v>17</v>
      </c>
      <c r="F412" s="6" t="s">
        <v>18</v>
      </c>
      <c r="G412" s="8" t="s">
        <v>570</v>
      </c>
      <c r="H412" s="8" t="s">
        <v>571</v>
      </c>
      <c r="I412" s="4" t="s">
        <v>572</v>
      </c>
      <c r="J412" s="4">
        <v>0.99994742870330811</v>
      </c>
      <c r="K412" s="4" t="s">
        <v>22</v>
      </c>
      <c r="L412" s="4" t="s">
        <v>569</v>
      </c>
      <c r="M412" s="4">
        <v>2</v>
      </c>
    </row>
    <row r="413" spans="1:13" ht="90" customHeight="1" x14ac:dyDescent="0.3">
      <c r="A413" s="8"/>
      <c r="B413" s="7"/>
      <c r="C413" s="7"/>
      <c r="D413" s="7"/>
      <c r="E413" s="7"/>
      <c r="F413" s="7"/>
      <c r="G413" s="7"/>
      <c r="H413" s="7"/>
      <c r="I413" s="4" t="s">
        <v>573</v>
      </c>
      <c r="J413" s="4">
        <v>0.99990200934324247</v>
      </c>
      <c r="K413" s="4" t="s">
        <v>22</v>
      </c>
      <c r="L413" s="4" t="s">
        <v>569</v>
      </c>
      <c r="M413" s="4">
        <v>1</v>
      </c>
    </row>
    <row r="414" spans="1:13" ht="90" customHeight="1" x14ac:dyDescent="0.3">
      <c r="A414" s="8"/>
      <c r="B414" s="7"/>
      <c r="C414" s="7"/>
      <c r="D414" s="7"/>
      <c r="E414" s="7"/>
      <c r="F414" s="7"/>
      <c r="G414" s="7"/>
      <c r="H414" s="7"/>
      <c r="I414" s="2" t="s">
        <v>574</v>
      </c>
      <c r="J414" s="2">
        <v>0.99774038791650244</v>
      </c>
      <c r="K414" s="2" t="s">
        <v>22</v>
      </c>
      <c r="L414" s="2" t="s">
        <v>569</v>
      </c>
      <c r="M414" s="2">
        <v>10</v>
      </c>
    </row>
    <row r="415" spans="1:13" ht="90" customHeight="1" x14ac:dyDescent="0.3">
      <c r="A415" s="8"/>
      <c r="B415" s="7"/>
      <c r="C415" s="7"/>
      <c r="D415" s="7"/>
      <c r="E415" s="7"/>
      <c r="F415" s="7"/>
      <c r="G415" s="7"/>
      <c r="H415" s="7"/>
      <c r="I415" s="1" t="s">
        <v>575</v>
      </c>
      <c r="J415" s="1">
        <v>0.97022384405136108</v>
      </c>
      <c r="K415" s="1" t="s">
        <v>22</v>
      </c>
      <c r="L415" s="1" t="s">
        <v>569</v>
      </c>
      <c r="M415" s="1">
        <v>4</v>
      </c>
    </row>
    <row r="416" spans="1:13" ht="90" customHeight="1" x14ac:dyDescent="0.3">
      <c r="A416" s="8"/>
      <c r="B416" s="7"/>
      <c r="C416" s="7"/>
      <c r="D416" s="7"/>
      <c r="E416" s="7"/>
      <c r="F416" s="7"/>
      <c r="G416" s="7"/>
      <c r="H416" s="7"/>
      <c r="I416" s="1" t="s">
        <v>576</v>
      </c>
      <c r="J416" s="1">
        <v>0.96370732784149826</v>
      </c>
      <c r="K416" s="1" t="s">
        <v>22</v>
      </c>
      <c r="L416" s="1" t="s">
        <v>569</v>
      </c>
      <c r="M416" s="1">
        <v>7</v>
      </c>
    </row>
    <row r="417" spans="1:13" ht="90" customHeight="1" x14ac:dyDescent="0.3">
      <c r="A417" s="8">
        <v>138</v>
      </c>
      <c r="B417" s="8" t="s">
        <v>577</v>
      </c>
      <c r="C417" s="8" t="s">
        <v>578</v>
      </c>
      <c r="D417" s="8" t="s">
        <v>92</v>
      </c>
      <c r="E417" s="6" t="s">
        <v>17</v>
      </c>
      <c r="F417" s="6" t="s">
        <v>18</v>
      </c>
      <c r="G417" s="8" t="s">
        <v>579</v>
      </c>
      <c r="H417" s="8" t="s">
        <v>580</v>
      </c>
      <c r="I417" s="4" t="s">
        <v>581</v>
      </c>
      <c r="J417" s="4">
        <v>0.99999940395355225</v>
      </c>
      <c r="K417" s="4" t="s">
        <v>22</v>
      </c>
      <c r="L417" s="4" t="s">
        <v>578</v>
      </c>
      <c r="M417" s="4">
        <v>11</v>
      </c>
    </row>
    <row r="418" spans="1:13" ht="90" customHeight="1" x14ac:dyDescent="0.3">
      <c r="A418" s="8"/>
      <c r="B418" s="7"/>
      <c r="C418" s="7"/>
      <c r="D418" s="7"/>
      <c r="E418" s="7"/>
      <c r="F418" s="7"/>
      <c r="G418" s="7"/>
      <c r="H418" s="7"/>
      <c r="I418" s="1"/>
      <c r="J418" s="1"/>
      <c r="K418" s="1"/>
      <c r="L418" s="1"/>
      <c r="M418" s="1"/>
    </row>
    <row r="419" spans="1:13" ht="90" customHeight="1" x14ac:dyDescent="0.3">
      <c r="A419" s="8"/>
      <c r="B419" s="7"/>
      <c r="C419" s="7"/>
      <c r="D419" s="7"/>
      <c r="E419" s="7"/>
      <c r="F419" s="7"/>
      <c r="G419" s="7"/>
      <c r="H419" s="7"/>
      <c r="I419" s="1"/>
      <c r="J419" s="1"/>
      <c r="K419" s="1"/>
      <c r="L419" s="1"/>
      <c r="M419" s="1"/>
    </row>
    <row r="420" spans="1:13" ht="90" customHeight="1" x14ac:dyDescent="0.3">
      <c r="A420" s="8"/>
      <c r="B420" s="7"/>
      <c r="C420" s="7"/>
      <c r="D420" s="7"/>
      <c r="E420" s="7"/>
      <c r="F420" s="7"/>
      <c r="G420" s="7"/>
      <c r="H420" s="7"/>
      <c r="I420" s="1"/>
      <c r="J420" s="1"/>
      <c r="K420" s="1"/>
      <c r="L420" s="1"/>
      <c r="M420" s="1"/>
    </row>
    <row r="421" spans="1:13" ht="90" customHeight="1" x14ac:dyDescent="0.3">
      <c r="A421" s="8"/>
      <c r="B421" s="7"/>
      <c r="C421" s="7"/>
      <c r="D421" s="7"/>
      <c r="E421" s="7"/>
      <c r="F421" s="7"/>
      <c r="G421" s="7"/>
      <c r="H421" s="7"/>
      <c r="I421" s="1"/>
      <c r="J421" s="1"/>
      <c r="K421" s="1"/>
      <c r="L421" s="1"/>
      <c r="M421" s="1"/>
    </row>
    <row r="422" spans="1:13" ht="90" customHeight="1" x14ac:dyDescent="0.3">
      <c r="A422" s="8">
        <v>143</v>
      </c>
      <c r="B422" s="8" t="s">
        <v>582</v>
      </c>
      <c r="C422" s="8" t="s">
        <v>108</v>
      </c>
      <c r="D422" s="8" t="s">
        <v>583</v>
      </c>
      <c r="E422" s="6" t="s">
        <v>93</v>
      </c>
      <c r="F422" s="6" t="s">
        <v>94</v>
      </c>
      <c r="G422" s="8" t="s">
        <v>584</v>
      </c>
      <c r="H422" s="8" t="s">
        <v>585</v>
      </c>
      <c r="I422" s="1"/>
      <c r="J422" s="1"/>
      <c r="K422" s="1"/>
      <c r="L422" s="1"/>
      <c r="M422" s="1"/>
    </row>
    <row r="423" spans="1:13" ht="90" customHeight="1" x14ac:dyDescent="0.3">
      <c r="A423" s="8"/>
      <c r="B423" s="7"/>
      <c r="C423" s="7"/>
      <c r="D423" s="7"/>
      <c r="E423" s="7"/>
      <c r="F423" s="7"/>
      <c r="G423" s="7"/>
      <c r="H423" s="7"/>
      <c r="I423" s="1"/>
      <c r="J423" s="1"/>
      <c r="K423" s="1"/>
      <c r="L423" s="1"/>
      <c r="M423" s="1"/>
    </row>
    <row r="424" spans="1:13" ht="90" customHeight="1" x14ac:dyDescent="0.3">
      <c r="A424" s="8"/>
      <c r="B424" s="7"/>
      <c r="C424" s="7"/>
      <c r="D424" s="7"/>
      <c r="E424" s="7"/>
      <c r="F424" s="7"/>
      <c r="G424" s="7"/>
      <c r="H424" s="7"/>
      <c r="I424" s="1"/>
      <c r="J424" s="1"/>
      <c r="K424" s="1"/>
      <c r="L424" s="1"/>
      <c r="M424" s="1"/>
    </row>
    <row r="425" spans="1:13" ht="90" customHeight="1" x14ac:dyDescent="0.3">
      <c r="A425" s="8"/>
      <c r="B425" s="7"/>
      <c r="C425" s="7"/>
      <c r="D425" s="7"/>
      <c r="E425" s="7"/>
      <c r="F425" s="7"/>
      <c r="G425" s="7"/>
      <c r="H425" s="7"/>
      <c r="I425" s="1"/>
      <c r="J425" s="1"/>
      <c r="K425" s="1"/>
      <c r="L425" s="1"/>
      <c r="M425" s="1"/>
    </row>
    <row r="426" spans="1:13" ht="90" customHeight="1" x14ac:dyDescent="0.3">
      <c r="A426" s="8"/>
      <c r="B426" s="7"/>
      <c r="C426" s="7"/>
      <c r="D426" s="7"/>
      <c r="E426" s="7"/>
      <c r="F426" s="7"/>
      <c r="G426" s="7"/>
      <c r="H426" s="7"/>
      <c r="I426" s="1"/>
      <c r="J426" s="1"/>
      <c r="K426" s="1"/>
      <c r="L426" s="1"/>
      <c r="M426" s="1"/>
    </row>
    <row r="427" spans="1:13" ht="90" customHeight="1" x14ac:dyDescent="0.3">
      <c r="A427" s="8">
        <v>144</v>
      </c>
      <c r="B427" s="8" t="s">
        <v>586</v>
      </c>
      <c r="C427" s="8" t="s">
        <v>485</v>
      </c>
      <c r="D427" s="8" t="s">
        <v>587</v>
      </c>
      <c r="E427" s="6" t="s">
        <v>17</v>
      </c>
      <c r="F427" s="6" t="s">
        <v>18</v>
      </c>
      <c r="G427" s="8" t="s">
        <v>588</v>
      </c>
      <c r="H427" s="8" t="s">
        <v>589</v>
      </c>
      <c r="I427" s="4" t="s">
        <v>590</v>
      </c>
      <c r="J427" s="4">
        <v>0.97630083560943604</v>
      </c>
      <c r="K427" s="4" t="s">
        <v>22</v>
      </c>
      <c r="L427" s="4" t="s">
        <v>485</v>
      </c>
      <c r="M427" s="4">
        <v>355</v>
      </c>
    </row>
    <row r="428" spans="1:13" ht="90" customHeight="1" x14ac:dyDescent="0.3">
      <c r="A428" s="8"/>
      <c r="B428" s="7"/>
      <c r="C428" s="7"/>
      <c r="D428" s="7"/>
      <c r="E428" s="7"/>
      <c r="F428" s="7"/>
      <c r="G428" s="7"/>
      <c r="H428" s="7"/>
      <c r="I428" s="1"/>
      <c r="J428" s="1"/>
      <c r="K428" s="1"/>
      <c r="L428" s="1"/>
      <c r="M428" s="1"/>
    </row>
    <row r="429" spans="1:13" ht="90" customHeight="1" x14ac:dyDescent="0.3">
      <c r="A429" s="8"/>
      <c r="B429" s="7"/>
      <c r="C429" s="7"/>
      <c r="D429" s="7"/>
      <c r="E429" s="7"/>
      <c r="F429" s="7"/>
      <c r="G429" s="7"/>
      <c r="H429" s="7"/>
      <c r="I429" s="1"/>
      <c r="J429" s="1"/>
      <c r="K429" s="1"/>
      <c r="L429" s="1"/>
      <c r="M429" s="1"/>
    </row>
    <row r="430" spans="1:13" ht="90" customHeight="1" x14ac:dyDescent="0.3">
      <c r="A430" s="8"/>
      <c r="B430" s="7"/>
      <c r="C430" s="7"/>
      <c r="D430" s="7"/>
      <c r="E430" s="7"/>
      <c r="F430" s="7"/>
      <c r="G430" s="7"/>
      <c r="H430" s="7"/>
      <c r="I430" s="1"/>
      <c r="J430" s="1"/>
      <c r="K430" s="1"/>
      <c r="L430" s="1"/>
      <c r="M430" s="1"/>
    </row>
    <row r="431" spans="1:13" ht="90" customHeight="1" x14ac:dyDescent="0.3">
      <c r="A431" s="8"/>
      <c r="B431" s="7"/>
      <c r="C431" s="7"/>
      <c r="D431" s="7"/>
      <c r="E431" s="7"/>
      <c r="F431" s="7"/>
      <c r="G431" s="7"/>
      <c r="H431" s="7"/>
      <c r="I431" s="1"/>
      <c r="J431" s="1"/>
      <c r="K431" s="1"/>
      <c r="L431" s="1"/>
      <c r="M431" s="1"/>
    </row>
    <row r="432" spans="1:13" ht="90" customHeight="1" x14ac:dyDescent="0.3">
      <c r="A432" s="8">
        <v>145</v>
      </c>
      <c r="B432" s="8" t="s">
        <v>591</v>
      </c>
      <c r="C432" s="8" t="s">
        <v>108</v>
      </c>
      <c r="D432" s="8" t="s">
        <v>86</v>
      </c>
      <c r="E432" s="6" t="s">
        <v>17</v>
      </c>
      <c r="F432" s="6" t="s">
        <v>18</v>
      </c>
      <c r="G432" s="8" t="s">
        <v>592</v>
      </c>
      <c r="H432" s="8" t="s">
        <v>593</v>
      </c>
      <c r="I432" s="4" t="s">
        <v>594</v>
      </c>
      <c r="J432" s="4">
        <v>0.96351653337478638</v>
      </c>
      <c r="K432" s="4" t="s">
        <v>22</v>
      </c>
      <c r="L432" s="4" t="s">
        <v>108</v>
      </c>
      <c r="M432" s="4">
        <v>4</v>
      </c>
    </row>
    <row r="433" spans="1:13" ht="90" customHeight="1" x14ac:dyDescent="0.3">
      <c r="A433" s="8"/>
      <c r="B433" s="7"/>
      <c r="C433" s="7"/>
      <c r="D433" s="7"/>
      <c r="E433" s="7"/>
      <c r="F433" s="7"/>
      <c r="G433" s="7"/>
      <c r="H433" s="7"/>
      <c r="I433" s="1"/>
      <c r="J433" s="1"/>
      <c r="K433" s="1"/>
      <c r="L433" s="1"/>
      <c r="M433" s="1"/>
    </row>
    <row r="434" spans="1:13" ht="90" customHeight="1" x14ac:dyDescent="0.3">
      <c r="A434" s="8"/>
      <c r="B434" s="7"/>
      <c r="C434" s="7"/>
      <c r="D434" s="7"/>
      <c r="E434" s="7"/>
      <c r="F434" s="7"/>
      <c r="G434" s="7"/>
      <c r="H434" s="7"/>
      <c r="I434" s="1"/>
      <c r="J434" s="1"/>
      <c r="K434" s="1"/>
      <c r="L434" s="1"/>
      <c r="M434" s="1"/>
    </row>
    <row r="435" spans="1:13" ht="90" customHeight="1" x14ac:dyDescent="0.3">
      <c r="A435" s="8"/>
      <c r="B435" s="7"/>
      <c r="C435" s="7"/>
      <c r="D435" s="7"/>
      <c r="E435" s="7"/>
      <c r="F435" s="7"/>
      <c r="G435" s="7"/>
      <c r="H435" s="7"/>
      <c r="I435" s="1"/>
      <c r="J435" s="1"/>
      <c r="K435" s="1"/>
      <c r="L435" s="1"/>
      <c r="M435" s="1"/>
    </row>
    <row r="436" spans="1:13" ht="90" customHeight="1" x14ac:dyDescent="0.3">
      <c r="A436" s="8"/>
      <c r="B436" s="7"/>
      <c r="C436" s="7"/>
      <c r="D436" s="7"/>
      <c r="E436" s="7"/>
      <c r="F436" s="7"/>
      <c r="G436" s="7"/>
      <c r="H436" s="7"/>
      <c r="I436" s="1"/>
      <c r="J436" s="1"/>
      <c r="K436" s="1"/>
      <c r="L436" s="1"/>
      <c r="M436" s="1"/>
    </row>
    <row r="437" spans="1:13" ht="90" customHeight="1" x14ac:dyDescent="0.3">
      <c r="A437" s="8">
        <v>147</v>
      </c>
      <c r="B437" s="8" t="s">
        <v>595</v>
      </c>
      <c r="C437" s="8" t="s">
        <v>596</v>
      </c>
      <c r="D437" s="8" t="s">
        <v>597</v>
      </c>
      <c r="E437" s="6" t="s">
        <v>17</v>
      </c>
      <c r="F437" s="6" t="s">
        <v>18</v>
      </c>
      <c r="G437" s="8" t="s">
        <v>598</v>
      </c>
      <c r="H437" s="8" t="s">
        <v>599</v>
      </c>
      <c r="I437" s="4" t="s">
        <v>600</v>
      </c>
      <c r="J437" s="4">
        <v>0.99994575977325439</v>
      </c>
      <c r="K437" s="4" t="s">
        <v>22</v>
      </c>
      <c r="L437" s="4" t="s">
        <v>596</v>
      </c>
      <c r="M437" s="4">
        <v>26</v>
      </c>
    </row>
    <row r="438" spans="1:13" ht="90" customHeight="1" x14ac:dyDescent="0.3">
      <c r="A438" s="8"/>
      <c r="B438" s="7"/>
      <c r="C438" s="7"/>
      <c r="D438" s="7"/>
      <c r="E438" s="7"/>
      <c r="F438" s="7"/>
      <c r="G438" s="7"/>
      <c r="H438" s="7"/>
      <c r="I438" s="1"/>
      <c r="J438" s="1"/>
      <c r="K438" s="1"/>
      <c r="L438" s="1"/>
      <c r="M438" s="1"/>
    </row>
    <row r="439" spans="1:13" ht="90" customHeight="1" x14ac:dyDescent="0.3">
      <c r="A439" s="8"/>
      <c r="B439" s="7"/>
      <c r="C439" s="7"/>
      <c r="D439" s="7"/>
      <c r="E439" s="7"/>
      <c r="F439" s="7"/>
      <c r="G439" s="7"/>
      <c r="H439" s="7"/>
      <c r="I439" s="1"/>
      <c r="J439" s="1"/>
      <c r="K439" s="1"/>
      <c r="L439" s="1"/>
      <c r="M439" s="1"/>
    </row>
    <row r="440" spans="1:13" ht="90" customHeight="1" x14ac:dyDescent="0.3">
      <c r="A440" s="8"/>
      <c r="B440" s="7"/>
      <c r="C440" s="7"/>
      <c r="D440" s="7"/>
      <c r="E440" s="7"/>
      <c r="F440" s="7"/>
      <c r="G440" s="7"/>
      <c r="H440" s="7"/>
      <c r="I440" s="1"/>
      <c r="J440" s="1"/>
      <c r="K440" s="1"/>
      <c r="L440" s="1"/>
      <c r="M440" s="1"/>
    </row>
    <row r="441" spans="1:13" ht="90" customHeight="1" x14ac:dyDescent="0.3">
      <c r="A441" s="8"/>
      <c r="B441" s="7"/>
      <c r="C441" s="7"/>
      <c r="D441" s="7"/>
      <c r="E441" s="7"/>
      <c r="F441" s="7"/>
      <c r="G441" s="7"/>
      <c r="H441" s="7"/>
      <c r="I441" s="1"/>
      <c r="J441" s="1"/>
      <c r="K441" s="1"/>
      <c r="L441" s="1"/>
      <c r="M441" s="1"/>
    </row>
    <row r="442" spans="1:13" ht="90" customHeight="1" x14ac:dyDescent="0.3">
      <c r="A442" s="8">
        <v>148</v>
      </c>
      <c r="B442" s="8" t="s">
        <v>601</v>
      </c>
      <c r="C442" s="8" t="s">
        <v>85</v>
      </c>
      <c r="D442" s="8" t="s">
        <v>442</v>
      </c>
      <c r="E442" s="6" t="s">
        <v>17</v>
      </c>
      <c r="F442" s="6" t="s">
        <v>18</v>
      </c>
      <c r="G442" s="8" t="s">
        <v>602</v>
      </c>
      <c r="H442" s="8" t="s">
        <v>603</v>
      </c>
      <c r="I442" s="4" t="s">
        <v>604</v>
      </c>
      <c r="J442" s="4">
        <v>0.87121628929374373</v>
      </c>
      <c r="K442" s="4" t="s">
        <v>22</v>
      </c>
      <c r="L442" s="4" t="s">
        <v>85</v>
      </c>
      <c r="M442" s="4">
        <v>6</v>
      </c>
    </row>
    <row r="443" spans="1:13" ht="90" customHeight="1" x14ac:dyDescent="0.3">
      <c r="A443" s="8"/>
      <c r="B443" s="7"/>
      <c r="C443" s="7"/>
      <c r="D443" s="7"/>
      <c r="E443" s="7"/>
      <c r="F443" s="7"/>
      <c r="G443" s="7"/>
      <c r="H443" s="7"/>
      <c r="I443" s="1"/>
      <c r="J443" s="1"/>
      <c r="K443" s="1"/>
      <c r="L443" s="1"/>
      <c r="M443" s="1"/>
    </row>
    <row r="444" spans="1:13" ht="90" customHeight="1" x14ac:dyDescent="0.3">
      <c r="A444" s="8"/>
      <c r="B444" s="7"/>
      <c r="C444" s="7"/>
      <c r="D444" s="7"/>
      <c r="E444" s="7"/>
      <c r="F444" s="7"/>
      <c r="G444" s="7"/>
      <c r="H444" s="7"/>
      <c r="I444" s="1"/>
      <c r="J444" s="1"/>
      <c r="K444" s="1"/>
      <c r="L444" s="1"/>
      <c r="M444" s="1"/>
    </row>
    <row r="445" spans="1:13" ht="90" customHeight="1" x14ac:dyDescent="0.3">
      <c r="A445" s="8"/>
      <c r="B445" s="7"/>
      <c r="C445" s="7"/>
      <c r="D445" s="7"/>
      <c r="E445" s="7"/>
      <c r="F445" s="7"/>
      <c r="G445" s="7"/>
      <c r="H445" s="7"/>
      <c r="I445" s="1"/>
      <c r="J445" s="1"/>
      <c r="K445" s="1"/>
      <c r="L445" s="1"/>
      <c r="M445" s="1"/>
    </row>
    <row r="446" spans="1:13" ht="90" customHeight="1" x14ac:dyDescent="0.3">
      <c r="A446" s="8"/>
      <c r="B446" s="7"/>
      <c r="C446" s="7"/>
      <c r="D446" s="7"/>
      <c r="E446" s="7"/>
      <c r="F446" s="7"/>
      <c r="G446" s="7"/>
      <c r="H446" s="7"/>
      <c r="I446" s="1"/>
      <c r="J446" s="1"/>
      <c r="K446" s="1"/>
      <c r="L446" s="1"/>
      <c r="M446" s="1"/>
    </row>
    <row r="447" spans="1:13" ht="90" customHeight="1" x14ac:dyDescent="0.3">
      <c r="A447" s="8">
        <v>150</v>
      </c>
      <c r="B447" s="8" t="s">
        <v>605</v>
      </c>
      <c r="C447" s="8" t="s">
        <v>85</v>
      </c>
      <c r="D447" s="8" t="s">
        <v>99</v>
      </c>
      <c r="E447" s="6" t="s">
        <v>17</v>
      </c>
      <c r="F447" s="6" t="s">
        <v>18</v>
      </c>
      <c r="G447" s="8" t="s">
        <v>606</v>
      </c>
      <c r="H447" s="8" t="s">
        <v>607</v>
      </c>
      <c r="I447" s="4" t="s">
        <v>113</v>
      </c>
      <c r="J447" s="4">
        <v>0.78133290718566928</v>
      </c>
      <c r="K447" s="4" t="s">
        <v>22</v>
      </c>
      <c r="L447" s="4" t="s">
        <v>85</v>
      </c>
      <c r="M447" s="4">
        <v>1</v>
      </c>
    </row>
    <row r="448" spans="1:13" ht="90" customHeight="1" x14ac:dyDescent="0.3">
      <c r="A448" s="8"/>
      <c r="B448" s="7"/>
      <c r="C448" s="7"/>
      <c r="D448" s="7"/>
      <c r="E448" s="7"/>
      <c r="F448" s="7"/>
      <c r="G448" s="7"/>
      <c r="H448" s="7"/>
      <c r="I448" s="1"/>
      <c r="J448" s="1"/>
      <c r="K448" s="1"/>
      <c r="L448" s="1"/>
      <c r="M448" s="1"/>
    </row>
    <row r="449" spans="1:13" ht="90" customHeight="1" x14ac:dyDescent="0.3">
      <c r="A449" s="8"/>
      <c r="B449" s="7"/>
      <c r="C449" s="7"/>
      <c r="D449" s="7"/>
      <c r="E449" s="7"/>
      <c r="F449" s="7"/>
      <c r="G449" s="7"/>
      <c r="H449" s="7"/>
      <c r="I449" s="1"/>
      <c r="J449" s="1"/>
      <c r="K449" s="1"/>
      <c r="L449" s="1"/>
      <c r="M449" s="1"/>
    </row>
    <row r="450" spans="1:13" ht="90" customHeight="1" x14ac:dyDescent="0.3">
      <c r="A450" s="8"/>
      <c r="B450" s="7"/>
      <c r="C450" s="7"/>
      <c r="D450" s="7"/>
      <c r="E450" s="7"/>
      <c r="F450" s="7"/>
      <c r="G450" s="7"/>
      <c r="H450" s="7"/>
      <c r="I450" s="1"/>
      <c r="J450" s="1"/>
      <c r="K450" s="1"/>
      <c r="L450" s="1"/>
      <c r="M450" s="1"/>
    </row>
    <row r="451" spans="1:13" ht="90" customHeight="1" x14ac:dyDescent="0.3">
      <c r="A451" s="8"/>
      <c r="B451" s="7"/>
      <c r="C451" s="7"/>
      <c r="D451" s="7"/>
      <c r="E451" s="7"/>
      <c r="F451" s="7"/>
      <c r="G451" s="7"/>
      <c r="H451" s="7"/>
      <c r="I451" s="1"/>
      <c r="J451" s="1"/>
      <c r="K451" s="1"/>
      <c r="L451" s="1"/>
      <c r="M451" s="1"/>
    </row>
    <row r="452" spans="1:13" ht="90" customHeight="1" x14ac:dyDescent="0.3">
      <c r="A452" s="8">
        <v>151</v>
      </c>
      <c r="B452" s="8" t="s">
        <v>608</v>
      </c>
      <c r="C452" s="8" t="s">
        <v>85</v>
      </c>
      <c r="D452" s="8" t="s">
        <v>609</v>
      </c>
      <c r="E452" s="6" t="s">
        <v>17</v>
      </c>
      <c r="F452" s="6" t="s">
        <v>18</v>
      </c>
      <c r="G452" s="8" t="s">
        <v>610</v>
      </c>
      <c r="H452" s="8" t="s">
        <v>611</v>
      </c>
      <c r="I452" s="4" t="s">
        <v>612</v>
      </c>
      <c r="J452" s="4">
        <v>0.99120622024526595</v>
      </c>
      <c r="K452" s="4" t="s">
        <v>22</v>
      </c>
      <c r="L452" s="4" t="s">
        <v>85</v>
      </c>
      <c r="M452" s="4">
        <v>3</v>
      </c>
    </row>
    <row r="453" spans="1:13" ht="90" customHeight="1" x14ac:dyDescent="0.3">
      <c r="A453" s="8"/>
      <c r="B453" s="7"/>
      <c r="C453" s="7"/>
      <c r="D453" s="7"/>
      <c r="E453" s="7"/>
      <c r="F453" s="7"/>
      <c r="G453" s="7"/>
      <c r="H453" s="7"/>
      <c r="I453" s="1"/>
      <c r="J453" s="1"/>
      <c r="K453" s="1"/>
      <c r="L453" s="1"/>
      <c r="M453" s="1"/>
    </row>
    <row r="454" spans="1:13" ht="90" customHeight="1" x14ac:dyDescent="0.3">
      <c r="A454" s="8"/>
      <c r="B454" s="7"/>
      <c r="C454" s="7"/>
      <c r="D454" s="7"/>
      <c r="E454" s="7"/>
      <c r="F454" s="7"/>
      <c r="G454" s="7"/>
      <c r="H454" s="7"/>
      <c r="I454" s="1"/>
      <c r="J454" s="1"/>
      <c r="K454" s="1"/>
      <c r="L454" s="1"/>
      <c r="M454" s="1"/>
    </row>
    <row r="455" spans="1:13" ht="90" customHeight="1" x14ac:dyDescent="0.3">
      <c r="A455" s="8"/>
      <c r="B455" s="7"/>
      <c r="C455" s="7"/>
      <c r="D455" s="7"/>
      <c r="E455" s="7"/>
      <c r="F455" s="7"/>
      <c r="G455" s="7"/>
      <c r="H455" s="7"/>
      <c r="I455" s="1"/>
      <c r="J455" s="1"/>
      <c r="K455" s="1"/>
      <c r="L455" s="1"/>
      <c r="M455" s="1"/>
    </row>
    <row r="456" spans="1:13" ht="90" customHeight="1" x14ac:dyDescent="0.3">
      <c r="A456" s="8"/>
      <c r="B456" s="7"/>
      <c r="C456" s="7"/>
      <c r="D456" s="7"/>
      <c r="E456" s="7"/>
      <c r="F456" s="7"/>
      <c r="G456" s="7"/>
      <c r="H456" s="7"/>
      <c r="I456" s="1"/>
      <c r="J456" s="1"/>
      <c r="K456" s="1"/>
      <c r="L456" s="1"/>
      <c r="M456" s="1"/>
    </row>
    <row r="457" spans="1:13" ht="90" customHeight="1" x14ac:dyDescent="0.3">
      <c r="A457" s="8">
        <v>152</v>
      </c>
      <c r="B457" s="8" t="s">
        <v>613</v>
      </c>
      <c r="C457" s="8" t="s">
        <v>614</v>
      </c>
      <c r="D457" s="8" t="s">
        <v>99</v>
      </c>
      <c r="E457" s="6" t="s">
        <v>17</v>
      </c>
      <c r="F457" s="6" t="s">
        <v>18</v>
      </c>
      <c r="G457" s="8" t="s">
        <v>615</v>
      </c>
      <c r="H457" s="8" t="s">
        <v>616</v>
      </c>
      <c r="I457" s="4" t="s">
        <v>617</v>
      </c>
      <c r="J457" s="4">
        <v>0.99983227252960205</v>
      </c>
      <c r="K457" s="4" t="s">
        <v>22</v>
      </c>
      <c r="L457" s="4" t="s">
        <v>614</v>
      </c>
      <c r="M457" s="4">
        <v>1</v>
      </c>
    </row>
    <row r="458" spans="1:13" ht="90" customHeight="1" x14ac:dyDescent="0.3">
      <c r="A458" s="8"/>
      <c r="B458" s="7"/>
      <c r="C458" s="7"/>
      <c r="D458" s="7"/>
      <c r="E458" s="7"/>
      <c r="F458" s="7"/>
      <c r="G458" s="7"/>
      <c r="H458" s="7"/>
      <c r="I458" s="1"/>
      <c r="J458" s="1"/>
      <c r="K458" s="1"/>
      <c r="L458" s="1"/>
      <c r="M458" s="1"/>
    </row>
    <row r="459" spans="1:13" ht="90" customHeight="1" x14ac:dyDescent="0.3">
      <c r="A459" s="8"/>
      <c r="B459" s="7"/>
      <c r="C459" s="7"/>
      <c r="D459" s="7"/>
      <c r="E459" s="7"/>
      <c r="F459" s="7"/>
      <c r="G459" s="7"/>
      <c r="H459" s="7"/>
      <c r="I459" s="1"/>
      <c r="J459" s="1"/>
      <c r="K459" s="1"/>
      <c r="L459" s="1"/>
      <c r="M459" s="1"/>
    </row>
    <row r="460" spans="1:13" ht="90" customHeight="1" x14ac:dyDescent="0.3">
      <c r="A460" s="8"/>
      <c r="B460" s="7"/>
      <c r="C460" s="7"/>
      <c r="D460" s="7"/>
      <c r="E460" s="7"/>
      <c r="F460" s="7"/>
      <c r="G460" s="7"/>
      <c r="H460" s="7"/>
      <c r="I460" s="1"/>
      <c r="J460" s="1"/>
      <c r="K460" s="1"/>
      <c r="L460" s="1"/>
      <c r="M460" s="1"/>
    </row>
    <row r="461" spans="1:13" ht="90" customHeight="1" x14ac:dyDescent="0.3">
      <c r="A461" s="8"/>
      <c r="B461" s="7"/>
      <c r="C461" s="7"/>
      <c r="D461" s="7"/>
      <c r="E461" s="7"/>
      <c r="F461" s="7"/>
      <c r="G461" s="7"/>
      <c r="H461" s="7"/>
      <c r="I461" s="1"/>
      <c r="J461" s="1"/>
      <c r="K461" s="1"/>
      <c r="L461" s="1"/>
      <c r="M461" s="1"/>
    </row>
    <row r="462" spans="1:13" ht="90" customHeight="1" x14ac:dyDescent="0.3">
      <c r="A462" s="8">
        <v>154</v>
      </c>
      <c r="B462" s="8" t="s">
        <v>618</v>
      </c>
      <c r="C462" s="8" t="s">
        <v>71</v>
      </c>
      <c r="D462" s="8" t="s">
        <v>609</v>
      </c>
      <c r="E462" s="6" t="s">
        <v>17</v>
      </c>
      <c r="F462" s="6" t="s">
        <v>18</v>
      </c>
      <c r="G462" s="8" t="s">
        <v>619</v>
      </c>
      <c r="H462" s="8" t="s">
        <v>620</v>
      </c>
      <c r="I462" s="4" t="s">
        <v>621</v>
      </c>
      <c r="J462" s="4">
        <v>0.98219817876815796</v>
      </c>
      <c r="K462" s="4" t="s">
        <v>22</v>
      </c>
      <c r="L462" s="4" t="s">
        <v>71</v>
      </c>
      <c r="M462" s="4">
        <v>3</v>
      </c>
    </row>
    <row r="463" spans="1:13" ht="90" customHeight="1" x14ac:dyDescent="0.3">
      <c r="A463" s="8"/>
      <c r="B463" s="7"/>
      <c r="C463" s="7"/>
      <c r="D463" s="7"/>
      <c r="E463" s="7"/>
      <c r="F463" s="7"/>
      <c r="G463" s="7"/>
      <c r="H463" s="7"/>
      <c r="I463" s="1"/>
      <c r="J463" s="1"/>
      <c r="K463" s="1"/>
      <c r="L463" s="1"/>
      <c r="M463" s="1"/>
    </row>
    <row r="464" spans="1:13" ht="90" customHeight="1" x14ac:dyDescent="0.3">
      <c r="A464" s="8"/>
      <c r="B464" s="7"/>
      <c r="C464" s="7"/>
      <c r="D464" s="7"/>
      <c r="E464" s="7"/>
      <c r="F464" s="7"/>
      <c r="G464" s="7"/>
      <c r="H464" s="7"/>
      <c r="I464" s="1"/>
      <c r="J464" s="1"/>
      <c r="K464" s="1"/>
      <c r="L464" s="1"/>
      <c r="M464" s="1"/>
    </row>
    <row r="465" spans="1:13" ht="90" customHeight="1" x14ac:dyDescent="0.3">
      <c r="A465" s="8"/>
      <c r="B465" s="7"/>
      <c r="C465" s="7"/>
      <c r="D465" s="7"/>
      <c r="E465" s="7"/>
      <c r="F465" s="7"/>
      <c r="G465" s="7"/>
      <c r="H465" s="7"/>
      <c r="I465" s="1"/>
      <c r="J465" s="1"/>
      <c r="K465" s="1"/>
      <c r="L465" s="1"/>
      <c r="M465" s="1"/>
    </row>
    <row r="466" spans="1:13" ht="90" customHeight="1" x14ac:dyDescent="0.3">
      <c r="A466" s="8"/>
      <c r="B466" s="7"/>
      <c r="C466" s="7"/>
      <c r="D466" s="7"/>
      <c r="E466" s="7"/>
      <c r="F466" s="7"/>
      <c r="G466" s="7"/>
      <c r="H466" s="7"/>
      <c r="I466" s="1"/>
      <c r="J466" s="1"/>
      <c r="K466" s="1"/>
      <c r="L466" s="1"/>
      <c r="M466" s="1"/>
    </row>
    <row r="467" spans="1:13" ht="90" customHeight="1" x14ac:dyDescent="0.3">
      <c r="A467" s="8">
        <v>155</v>
      </c>
      <c r="B467" s="8" t="s">
        <v>622</v>
      </c>
      <c r="C467" s="8" t="s">
        <v>451</v>
      </c>
      <c r="D467" s="8" t="s">
        <v>456</v>
      </c>
      <c r="E467" s="6" t="s">
        <v>17</v>
      </c>
      <c r="F467" s="6" t="s">
        <v>18</v>
      </c>
      <c r="G467" s="8" t="s">
        <v>623</v>
      </c>
      <c r="H467" s="8" t="s">
        <v>624</v>
      </c>
      <c r="I467" s="4" t="s">
        <v>625</v>
      </c>
      <c r="J467" s="4">
        <v>0.98009479230396945</v>
      </c>
      <c r="K467" s="4" t="s">
        <v>22</v>
      </c>
      <c r="L467" s="4" t="s">
        <v>451</v>
      </c>
      <c r="M467" s="4">
        <v>12</v>
      </c>
    </row>
    <row r="468" spans="1:13" ht="90" customHeight="1" x14ac:dyDescent="0.3">
      <c r="A468" s="8"/>
      <c r="B468" s="7"/>
      <c r="C468" s="7"/>
      <c r="D468" s="7"/>
      <c r="E468" s="7"/>
      <c r="F468" s="7"/>
      <c r="G468" s="7"/>
      <c r="H468" s="7"/>
      <c r="I468" s="2" t="s">
        <v>626</v>
      </c>
      <c r="J468" s="2">
        <v>0.94256556034088135</v>
      </c>
      <c r="K468" s="2" t="s">
        <v>22</v>
      </c>
      <c r="L468" s="2" t="s">
        <v>451</v>
      </c>
      <c r="M468" s="2">
        <v>18</v>
      </c>
    </row>
    <row r="469" spans="1:13" ht="90" customHeight="1" x14ac:dyDescent="0.3">
      <c r="A469" s="8"/>
      <c r="B469" s="7"/>
      <c r="C469" s="7"/>
      <c r="D469" s="7"/>
      <c r="E469" s="7"/>
      <c r="F469" s="7"/>
      <c r="G469" s="7"/>
      <c r="H469" s="7"/>
      <c r="I469" s="2" t="s">
        <v>627</v>
      </c>
      <c r="J469" s="2">
        <v>0.81974506378173828</v>
      </c>
      <c r="K469" s="2" t="s">
        <v>22</v>
      </c>
      <c r="L469" s="2" t="s">
        <v>451</v>
      </c>
      <c r="M469" s="2">
        <v>16</v>
      </c>
    </row>
    <row r="470" spans="1:13" ht="90" customHeight="1" x14ac:dyDescent="0.3">
      <c r="A470" s="8"/>
      <c r="B470" s="7"/>
      <c r="C470" s="7"/>
      <c r="D470" s="7"/>
      <c r="E470" s="7"/>
      <c r="F470" s="7"/>
      <c r="G470" s="7"/>
      <c r="H470" s="7"/>
      <c r="I470" s="1"/>
      <c r="J470" s="1"/>
      <c r="K470" s="1"/>
      <c r="L470" s="1"/>
      <c r="M470" s="1"/>
    </row>
    <row r="471" spans="1:13" ht="90" customHeight="1" x14ac:dyDescent="0.3">
      <c r="A471" s="8"/>
      <c r="B471" s="7"/>
      <c r="C471" s="7"/>
      <c r="D471" s="7"/>
      <c r="E471" s="7"/>
      <c r="F471" s="7"/>
      <c r="G471" s="7"/>
      <c r="H471" s="7"/>
      <c r="I471" s="1"/>
      <c r="J471" s="1"/>
      <c r="K471" s="1"/>
      <c r="L471" s="1"/>
      <c r="M471" s="1"/>
    </row>
    <row r="472" spans="1:13" ht="90" customHeight="1" x14ac:dyDescent="0.3">
      <c r="A472" s="8">
        <v>156</v>
      </c>
      <c r="B472" s="8" t="s">
        <v>628</v>
      </c>
      <c r="C472" s="8" t="s">
        <v>313</v>
      </c>
      <c r="D472" s="8" t="s">
        <v>126</v>
      </c>
      <c r="E472" s="6" t="s">
        <v>17</v>
      </c>
      <c r="F472" s="6" t="s">
        <v>18</v>
      </c>
      <c r="G472" s="8" t="s">
        <v>629</v>
      </c>
      <c r="H472" s="8" t="s">
        <v>630</v>
      </c>
      <c r="I472" s="4" t="s">
        <v>631</v>
      </c>
      <c r="J472" s="4">
        <v>0.9912029504776001</v>
      </c>
      <c r="K472" s="4" t="s">
        <v>22</v>
      </c>
      <c r="L472" s="4" t="s">
        <v>313</v>
      </c>
      <c r="M472" s="4">
        <v>2</v>
      </c>
    </row>
    <row r="473" spans="1:13" ht="90" customHeight="1" x14ac:dyDescent="0.3">
      <c r="A473" s="8"/>
      <c r="B473" s="7"/>
      <c r="C473" s="7"/>
      <c r="D473" s="7"/>
      <c r="E473" s="7"/>
      <c r="F473" s="7"/>
      <c r="G473" s="7"/>
      <c r="H473" s="7"/>
      <c r="I473" s="1"/>
      <c r="J473" s="1"/>
      <c r="K473" s="1"/>
      <c r="L473" s="1"/>
      <c r="M473" s="1"/>
    </row>
    <row r="474" spans="1:13" ht="90" customHeight="1" x14ac:dyDescent="0.3">
      <c r="A474" s="8"/>
      <c r="B474" s="7"/>
      <c r="C474" s="7"/>
      <c r="D474" s="7"/>
      <c r="E474" s="7"/>
      <c r="F474" s="7"/>
      <c r="G474" s="7"/>
      <c r="H474" s="7"/>
      <c r="I474" s="1"/>
      <c r="J474" s="1"/>
      <c r="K474" s="1"/>
      <c r="L474" s="1"/>
      <c r="M474" s="1"/>
    </row>
    <row r="475" spans="1:13" ht="90" customHeight="1" x14ac:dyDescent="0.3">
      <c r="A475" s="8"/>
      <c r="B475" s="7"/>
      <c r="C475" s="7"/>
      <c r="D475" s="7"/>
      <c r="E475" s="7"/>
      <c r="F475" s="7"/>
      <c r="G475" s="7"/>
      <c r="H475" s="7"/>
      <c r="I475" s="1"/>
      <c r="J475" s="1"/>
      <c r="K475" s="1"/>
      <c r="L475" s="1"/>
      <c r="M475" s="1"/>
    </row>
    <row r="476" spans="1:13" ht="90" customHeight="1" x14ac:dyDescent="0.3">
      <c r="A476" s="8"/>
      <c r="B476" s="7"/>
      <c r="C476" s="7"/>
      <c r="D476" s="7"/>
      <c r="E476" s="7"/>
      <c r="F476" s="7"/>
      <c r="G476" s="7"/>
      <c r="H476" s="7"/>
      <c r="I476" s="1"/>
      <c r="J476" s="1"/>
      <c r="K476" s="1"/>
      <c r="L476" s="1"/>
      <c r="M476" s="1"/>
    </row>
    <row r="477" spans="1:13" ht="90" customHeight="1" x14ac:dyDescent="0.3">
      <c r="A477" s="8">
        <v>157</v>
      </c>
      <c r="B477" s="8" t="s">
        <v>632</v>
      </c>
      <c r="C477" s="8" t="s">
        <v>146</v>
      </c>
      <c r="D477" s="8" t="s">
        <v>633</v>
      </c>
      <c r="E477" s="6" t="s">
        <v>17</v>
      </c>
      <c r="F477" s="6" t="s">
        <v>94</v>
      </c>
      <c r="G477" s="8" t="s">
        <v>634</v>
      </c>
      <c r="H477" s="8" t="s">
        <v>635</v>
      </c>
      <c r="I477" s="2" t="s">
        <v>636</v>
      </c>
      <c r="J477" s="2">
        <v>0.99529308080673218</v>
      </c>
      <c r="K477" s="2" t="s">
        <v>22</v>
      </c>
      <c r="L477" s="2" t="s">
        <v>144</v>
      </c>
      <c r="M477" s="2">
        <v>444</v>
      </c>
    </row>
    <row r="478" spans="1:13" ht="90" customHeight="1" x14ac:dyDescent="0.3">
      <c r="A478" s="8"/>
      <c r="B478" s="7"/>
      <c r="C478" s="7"/>
      <c r="D478" s="7"/>
      <c r="E478" s="7"/>
      <c r="F478" s="7"/>
      <c r="G478" s="7"/>
      <c r="H478" s="7"/>
      <c r="I478" s="2" t="s">
        <v>637</v>
      </c>
      <c r="J478" s="2">
        <v>0.98815757036209106</v>
      </c>
      <c r="K478" s="2" t="s">
        <v>22</v>
      </c>
      <c r="L478" s="2" t="s">
        <v>485</v>
      </c>
      <c r="M478" s="2">
        <v>363</v>
      </c>
    </row>
    <row r="479" spans="1:13" ht="90" customHeight="1" x14ac:dyDescent="0.3">
      <c r="A479" s="8"/>
      <c r="B479" s="7"/>
      <c r="C479" s="7"/>
      <c r="D479" s="7"/>
      <c r="E479" s="7"/>
      <c r="F479" s="7"/>
      <c r="G479" s="7"/>
      <c r="H479" s="7"/>
      <c r="I479" s="2" t="s">
        <v>638</v>
      </c>
      <c r="J479" s="2">
        <v>0.98711061477661133</v>
      </c>
      <c r="K479" s="2" t="s">
        <v>22</v>
      </c>
      <c r="L479" s="2" t="s">
        <v>144</v>
      </c>
      <c r="M479" s="2">
        <v>442</v>
      </c>
    </row>
    <row r="480" spans="1:13" ht="90" customHeight="1" x14ac:dyDescent="0.3">
      <c r="A480" s="8"/>
      <c r="B480" s="7"/>
      <c r="C480" s="7"/>
      <c r="D480" s="7"/>
      <c r="E480" s="7"/>
      <c r="F480" s="7"/>
      <c r="G480" s="7"/>
      <c r="H480" s="7"/>
      <c r="I480" s="5" t="s">
        <v>639</v>
      </c>
      <c r="J480" s="5">
        <v>0.98218643665313721</v>
      </c>
      <c r="K480" s="5" t="s">
        <v>22</v>
      </c>
      <c r="L480" s="5" t="s">
        <v>146</v>
      </c>
      <c r="M480" s="5">
        <v>404</v>
      </c>
    </row>
    <row r="481" spans="1:13" ht="90" customHeight="1" x14ac:dyDescent="0.3">
      <c r="A481" s="8"/>
      <c r="B481" s="7"/>
      <c r="C481" s="7"/>
      <c r="D481" s="7"/>
      <c r="E481" s="7"/>
      <c r="F481" s="7"/>
      <c r="G481" s="7"/>
      <c r="H481" s="7"/>
      <c r="I481" s="1" t="s">
        <v>640</v>
      </c>
      <c r="J481" s="1">
        <v>0.97116738557815441</v>
      </c>
      <c r="K481" s="1" t="s">
        <v>22</v>
      </c>
      <c r="L481" s="1" t="s">
        <v>144</v>
      </c>
      <c r="M481" s="1">
        <v>439</v>
      </c>
    </row>
    <row r="482" spans="1:13" ht="90" customHeight="1" x14ac:dyDescent="0.3">
      <c r="A482" s="8">
        <v>159</v>
      </c>
      <c r="B482" s="8" t="s">
        <v>641</v>
      </c>
      <c r="C482" s="8" t="s">
        <v>642</v>
      </c>
      <c r="D482" s="8" t="s">
        <v>643</v>
      </c>
      <c r="E482" s="6" t="s">
        <v>17</v>
      </c>
      <c r="F482" s="6" t="s">
        <v>18</v>
      </c>
      <c r="G482" s="8" t="s">
        <v>644</v>
      </c>
      <c r="H482" s="8" t="s">
        <v>645</v>
      </c>
      <c r="I482" s="4" t="s">
        <v>43</v>
      </c>
      <c r="J482" s="4">
        <v>0.99126605341690588</v>
      </c>
      <c r="K482" s="4" t="s">
        <v>22</v>
      </c>
      <c r="L482" s="4" t="s">
        <v>38</v>
      </c>
      <c r="M482" s="4">
        <v>3</v>
      </c>
    </row>
    <row r="483" spans="1:13" ht="90" customHeight="1" x14ac:dyDescent="0.3">
      <c r="A483" s="8"/>
      <c r="B483" s="7"/>
      <c r="C483" s="7"/>
      <c r="D483" s="7"/>
      <c r="E483" s="7"/>
      <c r="F483" s="7"/>
      <c r="G483" s="7"/>
      <c r="H483" s="7"/>
      <c r="I483" s="4" t="s">
        <v>42</v>
      </c>
      <c r="J483" s="4">
        <v>0.991054304204534</v>
      </c>
      <c r="K483" s="4" t="s">
        <v>22</v>
      </c>
      <c r="L483" s="4" t="s">
        <v>38</v>
      </c>
      <c r="M483" s="4">
        <v>1</v>
      </c>
    </row>
    <row r="484" spans="1:13" ht="90" customHeight="1" x14ac:dyDescent="0.3">
      <c r="A484" s="8"/>
      <c r="B484" s="7"/>
      <c r="C484" s="7"/>
      <c r="D484" s="7"/>
      <c r="E484" s="7"/>
      <c r="F484" s="7"/>
      <c r="G484" s="7"/>
      <c r="H484" s="7"/>
      <c r="I484" s="4" t="s">
        <v>296</v>
      </c>
      <c r="J484" s="4">
        <v>0.92826455858766943</v>
      </c>
      <c r="K484" s="4" t="s">
        <v>22</v>
      </c>
      <c r="L484" s="4" t="s">
        <v>85</v>
      </c>
      <c r="M484" s="4">
        <v>5</v>
      </c>
    </row>
    <row r="485" spans="1:13" ht="90" customHeight="1" x14ac:dyDescent="0.3">
      <c r="A485" s="8"/>
      <c r="B485" s="7"/>
      <c r="C485" s="7"/>
      <c r="D485" s="7"/>
      <c r="E485" s="7"/>
      <c r="F485" s="7"/>
      <c r="G485" s="7"/>
      <c r="H485" s="7"/>
      <c r="I485" s="5" t="s">
        <v>44</v>
      </c>
      <c r="J485" s="5">
        <v>0.90827584177433696</v>
      </c>
      <c r="K485" s="5" t="s">
        <v>22</v>
      </c>
      <c r="L485" s="5" t="s">
        <v>38</v>
      </c>
      <c r="M485" s="5">
        <v>2</v>
      </c>
    </row>
    <row r="486" spans="1:13" ht="90" customHeight="1" x14ac:dyDescent="0.3">
      <c r="A486" s="8"/>
      <c r="B486" s="7"/>
      <c r="C486" s="7"/>
      <c r="D486" s="7"/>
      <c r="E486" s="7"/>
      <c r="F486" s="7"/>
      <c r="G486" s="7"/>
      <c r="H486" s="7"/>
      <c r="I486" s="1"/>
      <c r="J486" s="1"/>
      <c r="K486" s="1"/>
      <c r="L486" s="1"/>
      <c r="M486" s="1"/>
    </row>
    <row r="487" spans="1:13" ht="90" customHeight="1" x14ac:dyDescent="0.3">
      <c r="A487" s="8">
        <v>160</v>
      </c>
      <c r="B487" s="8" t="s">
        <v>646</v>
      </c>
      <c r="C487" s="8" t="s">
        <v>252</v>
      </c>
      <c r="D487" s="8" t="s">
        <v>647</v>
      </c>
      <c r="E487" s="6" t="s">
        <v>93</v>
      </c>
      <c r="F487" s="6" t="s">
        <v>94</v>
      </c>
      <c r="G487" s="8" t="s">
        <v>648</v>
      </c>
      <c r="H487" s="8" t="s">
        <v>649</v>
      </c>
      <c r="I487" s="1"/>
      <c r="J487" s="1"/>
      <c r="K487" s="1"/>
      <c r="L487" s="1"/>
      <c r="M487" s="1"/>
    </row>
    <row r="488" spans="1:13" ht="90" customHeight="1" x14ac:dyDescent="0.3">
      <c r="A488" s="8"/>
      <c r="B488" s="7"/>
      <c r="C488" s="7"/>
      <c r="D488" s="7"/>
      <c r="E488" s="7"/>
      <c r="F488" s="7"/>
      <c r="G488" s="7"/>
      <c r="H488" s="7"/>
      <c r="I488" s="1"/>
      <c r="J488" s="1"/>
      <c r="K488" s="1"/>
      <c r="L488" s="1"/>
      <c r="M488" s="1"/>
    </row>
    <row r="489" spans="1:13" ht="90" customHeight="1" x14ac:dyDescent="0.3">
      <c r="A489" s="8"/>
      <c r="B489" s="7"/>
      <c r="C489" s="7"/>
      <c r="D489" s="7"/>
      <c r="E489" s="7"/>
      <c r="F489" s="7"/>
      <c r="G489" s="7"/>
      <c r="H489" s="7"/>
      <c r="I489" s="1"/>
      <c r="J489" s="1"/>
      <c r="K489" s="1"/>
      <c r="L489" s="1"/>
      <c r="M489" s="1"/>
    </row>
    <row r="490" spans="1:13" ht="90" customHeight="1" x14ac:dyDescent="0.3">
      <c r="A490" s="8"/>
      <c r="B490" s="7"/>
      <c r="C490" s="7"/>
      <c r="D490" s="7"/>
      <c r="E490" s="7"/>
      <c r="F490" s="7"/>
      <c r="G490" s="7"/>
      <c r="H490" s="7"/>
      <c r="I490" s="1"/>
      <c r="J490" s="1"/>
      <c r="K490" s="1"/>
      <c r="L490" s="1"/>
      <c r="M490" s="1"/>
    </row>
    <row r="491" spans="1:13" ht="90" customHeight="1" x14ac:dyDescent="0.3">
      <c r="A491" s="8"/>
      <c r="B491" s="7"/>
      <c r="C491" s="7"/>
      <c r="D491" s="7"/>
      <c r="E491" s="7"/>
      <c r="F491" s="7"/>
      <c r="G491" s="7"/>
      <c r="H491" s="7"/>
      <c r="I491" s="1"/>
      <c r="J491" s="1"/>
      <c r="K491" s="1"/>
      <c r="L491" s="1"/>
      <c r="M491" s="1"/>
    </row>
    <row r="492" spans="1:13" ht="90" customHeight="1" x14ac:dyDescent="0.3">
      <c r="A492" s="8">
        <v>162</v>
      </c>
      <c r="B492" s="8" t="s">
        <v>650</v>
      </c>
      <c r="C492" s="8" t="s">
        <v>313</v>
      </c>
      <c r="D492" s="8" t="s">
        <v>553</v>
      </c>
      <c r="E492" s="6" t="s">
        <v>17</v>
      </c>
      <c r="F492" s="6" t="s">
        <v>18</v>
      </c>
      <c r="G492" s="8" t="s">
        <v>651</v>
      </c>
      <c r="H492" s="8" t="s">
        <v>652</v>
      </c>
      <c r="I492" s="4" t="s">
        <v>412</v>
      </c>
      <c r="J492" s="4">
        <v>0.99921083450317383</v>
      </c>
      <c r="K492" s="4" t="s">
        <v>22</v>
      </c>
      <c r="L492" s="4" t="s">
        <v>313</v>
      </c>
      <c r="M492" s="4">
        <v>3</v>
      </c>
    </row>
    <row r="493" spans="1:13" ht="90" customHeight="1" x14ac:dyDescent="0.3">
      <c r="A493" s="8"/>
      <c r="B493" s="7"/>
      <c r="C493" s="7"/>
      <c r="D493" s="7"/>
      <c r="E493" s="7"/>
      <c r="F493" s="7"/>
      <c r="G493" s="7"/>
      <c r="H493" s="7"/>
      <c r="I493" s="4" t="s">
        <v>631</v>
      </c>
      <c r="J493" s="4">
        <v>0.99876737594604492</v>
      </c>
      <c r="K493" s="4" t="s">
        <v>22</v>
      </c>
      <c r="L493" s="4" t="s">
        <v>313</v>
      </c>
      <c r="M493" s="4">
        <v>2</v>
      </c>
    </row>
    <row r="494" spans="1:13" ht="90" customHeight="1" x14ac:dyDescent="0.3">
      <c r="A494" s="8"/>
      <c r="B494" s="7"/>
      <c r="C494" s="7"/>
      <c r="D494" s="7"/>
      <c r="E494" s="7"/>
      <c r="F494" s="7"/>
      <c r="G494" s="7"/>
      <c r="H494" s="7"/>
      <c r="I494" s="4" t="s">
        <v>316</v>
      </c>
      <c r="J494" s="4">
        <v>0.99683880805969238</v>
      </c>
      <c r="K494" s="4" t="s">
        <v>22</v>
      </c>
      <c r="L494" s="4" t="s">
        <v>313</v>
      </c>
      <c r="M494" s="4">
        <v>4</v>
      </c>
    </row>
    <row r="495" spans="1:13" ht="90" customHeight="1" x14ac:dyDescent="0.3">
      <c r="A495" s="8"/>
      <c r="B495" s="7"/>
      <c r="C495" s="7"/>
      <c r="D495" s="7"/>
      <c r="E495" s="7"/>
      <c r="F495" s="7"/>
      <c r="G495" s="7"/>
      <c r="H495" s="7"/>
      <c r="I495" s="1" t="s">
        <v>653</v>
      </c>
      <c r="J495" s="1">
        <v>0.83865946531295632</v>
      </c>
      <c r="K495" s="1" t="s">
        <v>22</v>
      </c>
      <c r="L495" s="1" t="s">
        <v>654</v>
      </c>
      <c r="M495" s="1">
        <v>1134</v>
      </c>
    </row>
    <row r="496" spans="1:13" ht="90" customHeight="1" x14ac:dyDescent="0.3">
      <c r="A496" s="8"/>
      <c r="B496" s="7"/>
      <c r="C496" s="7"/>
      <c r="D496" s="7"/>
      <c r="E496" s="7"/>
      <c r="F496" s="7"/>
      <c r="G496" s="7"/>
      <c r="H496" s="7"/>
      <c r="I496" s="1" t="s">
        <v>655</v>
      </c>
      <c r="J496" s="1">
        <v>0.80902259682859878</v>
      </c>
      <c r="K496" s="1" t="s">
        <v>22</v>
      </c>
      <c r="L496" s="1" t="s">
        <v>656</v>
      </c>
      <c r="M496" s="1">
        <v>8</v>
      </c>
    </row>
    <row r="497" spans="1:13" ht="90" customHeight="1" x14ac:dyDescent="0.3">
      <c r="A497" s="8">
        <v>163</v>
      </c>
      <c r="B497" s="8" t="s">
        <v>657</v>
      </c>
      <c r="C497" s="8" t="s">
        <v>658</v>
      </c>
      <c r="D497" s="8" t="s">
        <v>510</v>
      </c>
      <c r="E497" s="6" t="s">
        <v>93</v>
      </c>
      <c r="F497" s="6" t="s">
        <v>94</v>
      </c>
      <c r="G497" s="8" t="s">
        <v>659</v>
      </c>
      <c r="H497" s="8" t="s">
        <v>96</v>
      </c>
      <c r="I497" s="1"/>
      <c r="J497" s="1"/>
      <c r="K497" s="1"/>
      <c r="L497" s="1"/>
      <c r="M497" s="1"/>
    </row>
    <row r="498" spans="1:13" ht="90" customHeight="1" x14ac:dyDescent="0.3">
      <c r="A498" s="8"/>
      <c r="B498" s="7"/>
      <c r="C498" s="7"/>
      <c r="D498" s="7"/>
      <c r="E498" s="7"/>
      <c r="F498" s="7"/>
      <c r="G498" s="7"/>
      <c r="H498" s="7"/>
      <c r="I498" s="1"/>
      <c r="J498" s="1"/>
      <c r="K498" s="1"/>
      <c r="L498" s="1"/>
      <c r="M498" s="1"/>
    </row>
    <row r="499" spans="1:13" ht="90" customHeight="1" x14ac:dyDescent="0.3">
      <c r="A499" s="8"/>
      <c r="B499" s="7"/>
      <c r="C499" s="7"/>
      <c r="D499" s="7"/>
      <c r="E499" s="7"/>
      <c r="F499" s="7"/>
      <c r="G499" s="7"/>
      <c r="H499" s="7"/>
      <c r="I499" s="1"/>
      <c r="J499" s="1"/>
      <c r="K499" s="1"/>
      <c r="L499" s="1"/>
      <c r="M499" s="1"/>
    </row>
    <row r="500" spans="1:13" ht="90" customHeight="1" x14ac:dyDescent="0.3">
      <c r="A500" s="8"/>
      <c r="B500" s="7"/>
      <c r="C500" s="7"/>
      <c r="D500" s="7"/>
      <c r="E500" s="7"/>
      <c r="F500" s="7"/>
      <c r="G500" s="7"/>
      <c r="H500" s="7"/>
      <c r="I500" s="1"/>
      <c r="J500" s="1"/>
      <c r="K500" s="1"/>
      <c r="L500" s="1"/>
      <c r="M500" s="1"/>
    </row>
    <row r="501" spans="1:13" ht="90" customHeight="1" x14ac:dyDescent="0.3">
      <c r="A501" s="8"/>
      <c r="B501" s="7"/>
      <c r="C501" s="7"/>
      <c r="D501" s="7"/>
      <c r="E501" s="7"/>
      <c r="F501" s="7"/>
      <c r="G501" s="7"/>
      <c r="H501" s="7"/>
      <c r="I501" s="1"/>
      <c r="J501" s="1"/>
      <c r="K501" s="1"/>
      <c r="L501" s="1"/>
      <c r="M501" s="1"/>
    </row>
    <row r="502" spans="1:13" ht="90" customHeight="1" x14ac:dyDescent="0.3">
      <c r="A502" s="8">
        <v>164</v>
      </c>
      <c r="B502" s="8" t="s">
        <v>660</v>
      </c>
      <c r="C502" s="8" t="s">
        <v>71</v>
      </c>
      <c r="D502" s="8" t="s">
        <v>661</v>
      </c>
      <c r="E502" s="6" t="s">
        <v>93</v>
      </c>
      <c r="F502" s="6" t="s">
        <v>94</v>
      </c>
      <c r="G502" s="8" t="s">
        <v>662</v>
      </c>
      <c r="H502" s="8" t="s">
        <v>663</v>
      </c>
      <c r="I502" s="2" t="s">
        <v>664</v>
      </c>
      <c r="J502" s="2">
        <v>0.99877625703811646</v>
      </c>
      <c r="K502" s="2" t="s">
        <v>22</v>
      </c>
      <c r="L502" s="2" t="s">
        <v>365</v>
      </c>
      <c r="M502" s="2">
        <v>41</v>
      </c>
    </row>
    <row r="503" spans="1:13" ht="90" customHeight="1" x14ac:dyDescent="0.3">
      <c r="A503" s="8"/>
      <c r="B503" s="7"/>
      <c r="C503" s="7"/>
      <c r="D503" s="7"/>
      <c r="E503" s="7"/>
      <c r="F503" s="7"/>
      <c r="G503" s="7"/>
      <c r="H503" s="7"/>
      <c r="I503" s="2" t="s">
        <v>665</v>
      </c>
      <c r="J503" s="2">
        <v>0.99703502655029297</v>
      </c>
      <c r="K503" s="2" t="s">
        <v>22</v>
      </c>
      <c r="L503" s="2" t="s">
        <v>359</v>
      </c>
      <c r="M503" s="2">
        <v>77</v>
      </c>
    </row>
    <row r="504" spans="1:13" ht="90" customHeight="1" x14ac:dyDescent="0.3">
      <c r="A504" s="8"/>
      <c r="B504" s="7"/>
      <c r="C504" s="7"/>
      <c r="D504" s="7"/>
      <c r="E504" s="7"/>
      <c r="F504" s="7"/>
      <c r="G504" s="7"/>
      <c r="H504" s="7"/>
      <c r="I504" s="2" t="s">
        <v>666</v>
      </c>
      <c r="J504" s="2">
        <v>0.99694710969924927</v>
      </c>
      <c r="K504" s="2" t="s">
        <v>22</v>
      </c>
      <c r="L504" s="2" t="s">
        <v>363</v>
      </c>
      <c r="M504" s="2">
        <v>79</v>
      </c>
    </row>
    <row r="505" spans="1:13" ht="90" customHeight="1" x14ac:dyDescent="0.3">
      <c r="A505" s="8"/>
      <c r="B505" s="7"/>
      <c r="C505" s="7"/>
      <c r="D505" s="7"/>
      <c r="E505" s="7"/>
      <c r="F505" s="7"/>
      <c r="G505" s="7"/>
      <c r="H505" s="7"/>
      <c r="I505" s="1" t="s">
        <v>667</v>
      </c>
      <c r="J505" s="1">
        <v>0.99272924661636353</v>
      </c>
      <c r="K505" s="1" t="s">
        <v>22</v>
      </c>
      <c r="L505" s="1" t="s">
        <v>359</v>
      </c>
      <c r="M505" s="1">
        <v>183</v>
      </c>
    </row>
    <row r="506" spans="1:13" ht="90" customHeight="1" x14ac:dyDescent="0.3">
      <c r="A506" s="8"/>
      <c r="B506" s="7"/>
      <c r="C506" s="7"/>
      <c r="D506" s="7"/>
      <c r="E506" s="7"/>
      <c r="F506" s="7"/>
      <c r="G506" s="7"/>
      <c r="H506" s="7"/>
      <c r="I506" s="1" t="s">
        <v>668</v>
      </c>
      <c r="J506" s="1">
        <v>0.99215322732925415</v>
      </c>
      <c r="K506" s="1" t="s">
        <v>22</v>
      </c>
      <c r="L506" s="1" t="s">
        <v>363</v>
      </c>
      <c r="M506" s="1">
        <v>185</v>
      </c>
    </row>
    <row r="507" spans="1:13" ht="90" customHeight="1" x14ac:dyDescent="0.3">
      <c r="A507" s="8">
        <v>165</v>
      </c>
      <c r="B507" s="8" t="s">
        <v>669</v>
      </c>
      <c r="C507" s="8" t="s">
        <v>670</v>
      </c>
      <c r="D507" s="8" t="s">
        <v>671</v>
      </c>
      <c r="E507" s="6" t="s">
        <v>17</v>
      </c>
      <c r="F507" s="6" t="s">
        <v>18</v>
      </c>
      <c r="G507" s="8" t="s">
        <v>672</v>
      </c>
      <c r="H507" s="8" t="s">
        <v>673</v>
      </c>
      <c r="I507" s="4" t="s">
        <v>674</v>
      </c>
      <c r="J507" s="4">
        <v>0.99598628282546997</v>
      </c>
      <c r="K507" s="4" t="s">
        <v>22</v>
      </c>
      <c r="L507" s="4" t="s">
        <v>670</v>
      </c>
      <c r="M507" s="4">
        <v>17</v>
      </c>
    </row>
    <row r="508" spans="1:13" ht="90" customHeight="1" x14ac:dyDescent="0.3">
      <c r="A508" s="8"/>
      <c r="B508" s="7"/>
      <c r="C508" s="7"/>
      <c r="D508" s="7"/>
      <c r="E508" s="7"/>
      <c r="F508" s="7"/>
      <c r="G508" s="7"/>
      <c r="H508" s="7"/>
      <c r="I508" s="4" t="s">
        <v>675</v>
      </c>
      <c r="J508" s="4">
        <v>0.95757829533104455</v>
      </c>
      <c r="K508" s="4" t="s">
        <v>22</v>
      </c>
      <c r="L508" s="4" t="s">
        <v>670</v>
      </c>
      <c r="M508" s="4">
        <v>16</v>
      </c>
    </row>
    <row r="509" spans="1:13" ht="90" customHeight="1" x14ac:dyDescent="0.3">
      <c r="A509" s="8"/>
      <c r="B509" s="7"/>
      <c r="C509" s="7"/>
      <c r="D509" s="7"/>
      <c r="E509" s="7"/>
      <c r="F509" s="7"/>
      <c r="G509" s="7"/>
      <c r="H509" s="7"/>
      <c r="I509" s="1"/>
      <c r="J509" s="1"/>
      <c r="K509" s="1"/>
      <c r="L509" s="1"/>
      <c r="M509" s="1"/>
    </row>
    <row r="510" spans="1:13" ht="90" customHeight="1" x14ac:dyDescent="0.3">
      <c r="A510" s="8"/>
      <c r="B510" s="7"/>
      <c r="C510" s="7"/>
      <c r="D510" s="7"/>
      <c r="E510" s="7"/>
      <c r="F510" s="7"/>
      <c r="G510" s="7"/>
      <c r="H510" s="7"/>
      <c r="I510" s="1"/>
      <c r="J510" s="1"/>
      <c r="K510" s="1"/>
      <c r="L510" s="1"/>
      <c r="M510" s="1"/>
    </row>
    <row r="511" spans="1:13" ht="90" customHeight="1" x14ac:dyDescent="0.3">
      <c r="A511" s="8"/>
      <c r="B511" s="7"/>
      <c r="C511" s="7"/>
      <c r="D511" s="7"/>
      <c r="E511" s="7"/>
      <c r="F511" s="7"/>
      <c r="G511" s="7"/>
      <c r="H511" s="7"/>
      <c r="I511" s="1"/>
      <c r="J511" s="1"/>
      <c r="K511" s="1"/>
      <c r="L511" s="1"/>
      <c r="M511" s="1"/>
    </row>
    <row r="512" spans="1:13" ht="90" customHeight="1" x14ac:dyDescent="0.3">
      <c r="A512" s="8">
        <v>168</v>
      </c>
      <c r="B512" s="8" t="s">
        <v>676</v>
      </c>
      <c r="C512" s="8" t="s">
        <v>131</v>
      </c>
      <c r="D512" s="8" t="s">
        <v>247</v>
      </c>
      <c r="E512" s="6" t="s">
        <v>17</v>
      </c>
      <c r="F512" s="6" t="s">
        <v>18</v>
      </c>
      <c r="G512" s="8" t="s">
        <v>677</v>
      </c>
      <c r="H512" s="8" t="s">
        <v>678</v>
      </c>
      <c r="I512" s="4" t="s">
        <v>291</v>
      </c>
      <c r="J512" s="4">
        <v>0.99519312381744385</v>
      </c>
      <c r="K512" s="4" t="s">
        <v>22</v>
      </c>
      <c r="L512" s="4" t="s">
        <v>131</v>
      </c>
      <c r="M512" s="4">
        <v>7</v>
      </c>
    </row>
    <row r="513" spans="1:13" ht="90" customHeight="1" x14ac:dyDescent="0.3">
      <c r="A513" s="8"/>
      <c r="B513" s="7"/>
      <c r="C513" s="7"/>
      <c r="D513" s="7"/>
      <c r="E513" s="7"/>
      <c r="F513" s="7"/>
      <c r="G513" s="7"/>
      <c r="H513" s="7"/>
      <c r="I513" s="2" t="s">
        <v>679</v>
      </c>
      <c r="J513" s="2">
        <v>0.93133747577667236</v>
      </c>
      <c r="K513" s="2" t="s">
        <v>22</v>
      </c>
      <c r="L513" s="2" t="s">
        <v>680</v>
      </c>
      <c r="M513" s="2">
        <v>1</v>
      </c>
    </row>
    <row r="514" spans="1:13" ht="90" customHeight="1" x14ac:dyDescent="0.3">
      <c r="A514" s="8"/>
      <c r="B514" s="7"/>
      <c r="C514" s="7"/>
      <c r="D514" s="7"/>
      <c r="E514" s="7"/>
      <c r="F514" s="7"/>
      <c r="G514" s="7"/>
      <c r="H514" s="7"/>
      <c r="I514" s="1" t="s">
        <v>681</v>
      </c>
      <c r="J514" s="1">
        <v>0.92969197034835815</v>
      </c>
      <c r="K514" s="1" t="s">
        <v>22</v>
      </c>
      <c r="L514" s="1" t="s">
        <v>682</v>
      </c>
      <c r="M514" s="1">
        <v>32</v>
      </c>
    </row>
    <row r="515" spans="1:13" ht="90" customHeight="1" x14ac:dyDescent="0.3">
      <c r="A515" s="8"/>
      <c r="B515" s="7"/>
      <c r="C515" s="7"/>
      <c r="D515" s="7"/>
      <c r="E515" s="7"/>
      <c r="F515" s="7"/>
      <c r="G515" s="7"/>
      <c r="H515" s="7"/>
      <c r="I515" s="1" t="s">
        <v>289</v>
      </c>
      <c r="J515" s="1">
        <v>0.84267610311508179</v>
      </c>
      <c r="K515" s="1" t="s">
        <v>76</v>
      </c>
      <c r="L515" s="1" t="s">
        <v>290</v>
      </c>
      <c r="M515" s="1">
        <v>1</v>
      </c>
    </row>
    <row r="516" spans="1:13" ht="90" customHeight="1" x14ac:dyDescent="0.3">
      <c r="A516" s="8"/>
      <c r="B516" s="7"/>
      <c r="C516" s="7"/>
      <c r="D516" s="7"/>
      <c r="E516" s="7"/>
      <c r="F516" s="7"/>
      <c r="G516" s="7"/>
      <c r="H516" s="7"/>
      <c r="I516" s="1"/>
      <c r="J516" s="1"/>
      <c r="K516" s="1"/>
      <c r="L516" s="1"/>
      <c r="M516" s="1"/>
    </row>
    <row r="517" spans="1:13" ht="90" customHeight="1" x14ac:dyDescent="0.3">
      <c r="A517" s="8">
        <v>170</v>
      </c>
      <c r="B517" s="8" t="s">
        <v>683</v>
      </c>
      <c r="C517" s="8" t="s">
        <v>276</v>
      </c>
      <c r="D517" s="8" t="s">
        <v>597</v>
      </c>
      <c r="E517" s="6" t="s">
        <v>17</v>
      </c>
      <c r="F517" s="6" t="s">
        <v>18</v>
      </c>
      <c r="G517" s="8" t="s">
        <v>684</v>
      </c>
      <c r="H517" s="8" t="s">
        <v>685</v>
      </c>
      <c r="I517" s="4" t="s">
        <v>686</v>
      </c>
      <c r="J517" s="4">
        <v>0.99982976913452148</v>
      </c>
      <c r="K517" s="4" t="s">
        <v>22</v>
      </c>
      <c r="L517" s="4" t="s">
        <v>276</v>
      </c>
      <c r="M517" s="4">
        <v>26</v>
      </c>
    </row>
    <row r="518" spans="1:13" ht="90" customHeight="1" x14ac:dyDescent="0.3">
      <c r="A518" s="8"/>
      <c r="B518" s="7"/>
      <c r="C518" s="7"/>
      <c r="D518" s="7"/>
      <c r="E518" s="7"/>
      <c r="F518" s="7"/>
      <c r="G518" s="7"/>
      <c r="H518" s="7"/>
      <c r="I518" s="1"/>
      <c r="J518" s="1"/>
      <c r="K518" s="1"/>
      <c r="L518" s="1"/>
      <c r="M518" s="1"/>
    </row>
    <row r="519" spans="1:13" ht="90" customHeight="1" x14ac:dyDescent="0.3">
      <c r="A519" s="8"/>
      <c r="B519" s="7"/>
      <c r="C519" s="7"/>
      <c r="D519" s="7"/>
      <c r="E519" s="7"/>
      <c r="F519" s="7"/>
      <c r="G519" s="7"/>
      <c r="H519" s="7"/>
      <c r="I519" s="1"/>
      <c r="J519" s="1"/>
      <c r="K519" s="1"/>
      <c r="L519" s="1"/>
      <c r="M519" s="1"/>
    </row>
    <row r="520" spans="1:13" ht="90" customHeight="1" x14ac:dyDescent="0.3">
      <c r="A520" s="8"/>
      <c r="B520" s="7"/>
      <c r="C520" s="7"/>
      <c r="D520" s="7"/>
      <c r="E520" s="7"/>
      <c r="F520" s="7"/>
      <c r="G520" s="7"/>
      <c r="H520" s="7"/>
      <c r="I520" s="1"/>
      <c r="J520" s="1"/>
      <c r="K520" s="1"/>
      <c r="L520" s="1"/>
      <c r="M520" s="1"/>
    </row>
    <row r="521" spans="1:13" ht="90" customHeight="1" x14ac:dyDescent="0.3">
      <c r="A521" s="8"/>
      <c r="B521" s="7"/>
      <c r="C521" s="7"/>
      <c r="D521" s="7"/>
      <c r="E521" s="7"/>
      <c r="F521" s="7"/>
      <c r="G521" s="7"/>
      <c r="H521" s="7"/>
      <c r="I521" s="1"/>
      <c r="J521" s="1"/>
      <c r="K521" s="1"/>
      <c r="L521" s="1"/>
      <c r="M521" s="1"/>
    </row>
    <row r="522" spans="1:13" ht="90" customHeight="1" x14ac:dyDescent="0.3">
      <c r="A522" s="8">
        <v>172</v>
      </c>
      <c r="B522" s="8" t="s">
        <v>687</v>
      </c>
      <c r="C522" s="8" t="s">
        <v>565</v>
      </c>
      <c r="D522" s="8" t="s">
        <v>566</v>
      </c>
      <c r="E522" s="6" t="s">
        <v>17</v>
      </c>
      <c r="F522" s="6" t="s">
        <v>18</v>
      </c>
      <c r="G522" s="8" t="s">
        <v>688</v>
      </c>
      <c r="H522" s="8" t="s">
        <v>689</v>
      </c>
      <c r="I522" s="4" t="s">
        <v>690</v>
      </c>
      <c r="J522" s="4">
        <v>0.97811406503031795</v>
      </c>
      <c r="K522" s="4" t="s">
        <v>22</v>
      </c>
      <c r="L522" s="4" t="s">
        <v>565</v>
      </c>
      <c r="M522" s="4">
        <v>16</v>
      </c>
    </row>
    <row r="523" spans="1:13" ht="90" customHeight="1" x14ac:dyDescent="0.3">
      <c r="A523" s="8"/>
      <c r="B523" s="7"/>
      <c r="C523" s="7"/>
      <c r="D523" s="7"/>
      <c r="E523" s="7"/>
      <c r="F523" s="7"/>
      <c r="G523" s="7"/>
      <c r="H523" s="7"/>
      <c r="I523" s="4" t="s">
        <v>691</v>
      </c>
      <c r="J523" s="4">
        <v>0.95256901681661277</v>
      </c>
      <c r="K523" s="4" t="s">
        <v>22</v>
      </c>
      <c r="L523" s="4" t="s">
        <v>565</v>
      </c>
      <c r="M523" s="4">
        <v>13</v>
      </c>
    </row>
    <row r="524" spans="1:13" ht="90" customHeight="1" x14ac:dyDescent="0.3">
      <c r="A524" s="8"/>
      <c r="B524" s="7"/>
      <c r="C524" s="7"/>
      <c r="D524" s="7"/>
      <c r="E524" s="7"/>
      <c r="F524" s="7"/>
      <c r="G524" s="7"/>
      <c r="H524" s="7"/>
      <c r="I524" s="4" t="s">
        <v>692</v>
      </c>
      <c r="J524" s="4">
        <v>0.83201402102381872</v>
      </c>
      <c r="K524" s="4" t="s">
        <v>22</v>
      </c>
      <c r="L524" s="4" t="s">
        <v>565</v>
      </c>
      <c r="M524" s="4">
        <v>12</v>
      </c>
    </row>
    <row r="525" spans="1:13" ht="90" customHeight="1" x14ac:dyDescent="0.3">
      <c r="A525" s="8"/>
      <c r="B525" s="7"/>
      <c r="C525" s="7"/>
      <c r="D525" s="7"/>
      <c r="E525" s="7"/>
      <c r="F525" s="7"/>
      <c r="G525" s="7"/>
      <c r="H525" s="7"/>
      <c r="I525" s="5" t="s">
        <v>693</v>
      </c>
      <c r="J525" s="5">
        <v>0.7310533496915782</v>
      </c>
      <c r="K525" s="5" t="s">
        <v>22</v>
      </c>
      <c r="L525" s="5" t="s">
        <v>565</v>
      </c>
      <c r="M525" s="5">
        <v>15</v>
      </c>
    </row>
    <row r="526" spans="1:13" ht="90" customHeight="1" x14ac:dyDescent="0.3">
      <c r="A526" s="8"/>
      <c r="B526" s="7"/>
      <c r="C526" s="7"/>
      <c r="D526" s="7"/>
      <c r="E526" s="7"/>
      <c r="F526" s="7"/>
      <c r="G526" s="7"/>
      <c r="H526" s="7"/>
      <c r="I526" s="1"/>
      <c r="J526" s="1"/>
      <c r="K526" s="1"/>
      <c r="L526" s="1"/>
      <c r="M526" s="1"/>
    </row>
    <row r="527" spans="1:13" ht="90" customHeight="1" x14ac:dyDescent="0.3">
      <c r="A527" s="8">
        <v>174</v>
      </c>
      <c r="B527" s="8" t="s">
        <v>694</v>
      </c>
      <c r="C527" s="8" t="s">
        <v>38</v>
      </c>
      <c r="D527" s="8" t="s">
        <v>39</v>
      </c>
      <c r="E527" s="6" t="s">
        <v>17</v>
      </c>
      <c r="F527" s="6" t="s">
        <v>18</v>
      </c>
      <c r="G527" s="8" t="s">
        <v>695</v>
      </c>
      <c r="H527" s="8" t="s">
        <v>696</v>
      </c>
      <c r="I527" s="4" t="s">
        <v>42</v>
      </c>
      <c r="J527" s="4">
        <v>0.99957040803346053</v>
      </c>
      <c r="K527" s="4" t="s">
        <v>22</v>
      </c>
      <c r="L527" s="4" t="s">
        <v>38</v>
      </c>
      <c r="M527" s="4">
        <v>1</v>
      </c>
    </row>
    <row r="528" spans="1:13" ht="90" customHeight="1" x14ac:dyDescent="0.3">
      <c r="A528" s="8"/>
      <c r="B528" s="7"/>
      <c r="C528" s="7"/>
      <c r="D528" s="7"/>
      <c r="E528" s="7"/>
      <c r="F528" s="7"/>
      <c r="G528" s="7"/>
      <c r="H528" s="7"/>
      <c r="I528" s="4" t="s">
        <v>43</v>
      </c>
      <c r="J528" s="4">
        <v>0.99640872924779722</v>
      </c>
      <c r="K528" s="4" t="s">
        <v>22</v>
      </c>
      <c r="L528" s="4" t="s">
        <v>38</v>
      </c>
      <c r="M528" s="4">
        <v>3</v>
      </c>
    </row>
    <row r="529" spans="1:13" ht="90" customHeight="1" x14ac:dyDescent="0.3">
      <c r="A529" s="8"/>
      <c r="B529" s="7"/>
      <c r="C529" s="7"/>
      <c r="D529" s="7"/>
      <c r="E529" s="7"/>
      <c r="F529" s="7"/>
      <c r="G529" s="7"/>
      <c r="H529" s="7"/>
      <c r="I529" s="4" t="s">
        <v>44</v>
      </c>
      <c r="J529" s="4">
        <v>0.91642537360201692</v>
      </c>
      <c r="K529" s="4" t="s">
        <v>22</v>
      </c>
      <c r="L529" s="4" t="s">
        <v>38</v>
      </c>
      <c r="M529" s="4">
        <v>2</v>
      </c>
    </row>
    <row r="530" spans="1:13" ht="90" customHeight="1" x14ac:dyDescent="0.3">
      <c r="A530" s="8"/>
      <c r="B530" s="7"/>
      <c r="C530" s="7"/>
      <c r="D530" s="7"/>
      <c r="E530" s="7"/>
      <c r="F530" s="7"/>
      <c r="G530" s="7"/>
      <c r="H530" s="7"/>
      <c r="I530" s="1"/>
      <c r="J530" s="1"/>
      <c r="K530" s="1"/>
      <c r="L530" s="1"/>
      <c r="M530" s="1"/>
    </row>
    <row r="531" spans="1:13" ht="90" customHeight="1" x14ac:dyDescent="0.3">
      <c r="A531" s="8"/>
      <c r="B531" s="7"/>
      <c r="C531" s="7"/>
      <c r="D531" s="7"/>
      <c r="E531" s="7"/>
      <c r="F531" s="7"/>
      <c r="G531" s="7"/>
      <c r="H531" s="7"/>
      <c r="I531" s="1"/>
      <c r="J531" s="1"/>
      <c r="K531" s="1"/>
      <c r="L531" s="1"/>
      <c r="M531" s="1"/>
    </row>
    <row r="532" spans="1:13" ht="90" customHeight="1" x14ac:dyDescent="0.3">
      <c r="A532" s="8">
        <v>175</v>
      </c>
      <c r="B532" s="8" t="s">
        <v>697</v>
      </c>
      <c r="C532" s="8" t="s">
        <v>71</v>
      </c>
      <c r="D532" s="8" t="s">
        <v>661</v>
      </c>
      <c r="E532" s="6" t="s">
        <v>17</v>
      </c>
      <c r="F532" s="6" t="s">
        <v>18</v>
      </c>
      <c r="G532" s="8" t="s">
        <v>698</v>
      </c>
      <c r="H532" s="8" t="s">
        <v>699</v>
      </c>
      <c r="I532" s="4" t="s">
        <v>700</v>
      </c>
      <c r="J532" s="4">
        <v>0.99158620834350586</v>
      </c>
      <c r="K532" s="4" t="s">
        <v>22</v>
      </c>
      <c r="L532" s="4" t="s">
        <v>71</v>
      </c>
      <c r="M532" s="4">
        <v>128</v>
      </c>
    </row>
    <row r="533" spans="1:13" ht="90" customHeight="1" x14ac:dyDescent="0.3">
      <c r="A533" s="8"/>
      <c r="B533" s="7"/>
      <c r="C533" s="7"/>
      <c r="D533" s="7"/>
      <c r="E533" s="7"/>
      <c r="F533" s="7"/>
      <c r="G533" s="7"/>
      <c r="H533" s="7"/>
      <c r="I533" s="4" t="s">
        <v>701</v>
      </c>
      <c r="J533" s="4">
        <v>0.97655278444290161</v>
      </c>
      <c r="K533" s="4" t="s">
        <v>22</v>
      </c>
      <c r="L533" s="4" t="s">
        <v>71</v>
      </c>
      <c r="M533" s="4">
        <v>127</v>
      </c>
    </row>
    <row r="534" spans="1:13" ht="90" customHeight="1" x14ac:dyDescent="0.3">
      <c r="A534" s="8"/>
      <c r="B534" s="7"/>
      <c r="C534" s="7"/>
      <c r="D534" s="7"/>
      <c r="E534" s="7"/>
      <c r="F534" s="7"/>
      <c r="G534" s="7"/>
      <c r="H534" s="7"/>
      <c r="I534" s="1"/>
      <c r="J534" s="1"/>
      <c r="K534" s="1"/>
      <c r="L534" s="1"/>
      <c r="M534" s="1"/>
    </row>
    <row r="535" spans="1:13" ht="90" customHeight="1" x14ac:dyDescent="0.3">
      <c r="A535" s="8"/>
      <c r="B535" s="7"/>
      <c r="C535" s="7"/>
      <c r="D535" s="7"/>
      <c r="E535" s="7"/>
      <c r="F535" s="7"/>
      <c r="G535" s="7"/>
      <c r="H535" s="7"/>
      <c r="I535" s="1"/>
      <c r="J535" s="1"/>
      <c r="K535" s="1"/>
      <c r="L535" s="1"/>
      <c r="M535" s="1"/>
    </row>
    <row r="536" spans="1:13" ht="90" customHeight="1" x14ac:dyDescent="0.3">
      <c r="A536" s="8"/>
      <c r="B536" s="7"/>
      <c r="C536" s="7"/>
      <c r="D536" s="7"/>
      <c r="E536" s="7"/>
      <c r="F536" s="7"/>
      <c r="G536" s="7"/>
      <c r="H536" s="7"/>
      <c r="I536" s="1"/>
      <c r="J536" s="1"/>
      <c r="K536" s="1"/>
      <c r="L536" s="1"/>
      <c r="M536" s="1"/>
    </row>
    <row r="537" spans="1:13" ht="90" customHeight="1" x14ac:dyDescent="0.3">
      <c r="A537" s="8">
        <v>178</v>
      </c>
      <c r="B537" s="8" t="s">
        <v>702</v>
      </c>
      <c r="C537" s="8" t="s">
        <v>276</v>
      </c>
      <c r="D537" s="8" t="s">
        <v>597</v>
      </c>
      <c r="E537" s="6" t="s">
        <v>17</v>
      </c>
      <c r="F537" s="6" t="s">
        <v>18</v>
      </c>
      <c r="G537" s="8" t="s">
        <v>703</v>
      </c>
      <c r="H537" s="8" t="s">
        <v>704</v>
      </c>
      <c r="I537" s="4" t="s">
        <v>686</v>
      </c>
      <c r="J537" s="4">
        <v>0.99993252754211426</v>
      </c>
      <c r="K537" s="4" t="s">
        <v>22</v>
      </c>
      <c r="L537" s="4" t="s">
        <v>276</v>
      </c>
      <c r="M537" s="4">
        <v>26</v>
      </c>
    </row>
    <row r="538" spans="1:13" ht="90" customHeight="1" x14ac:dyDescent="0.3">
      <c r="A538" s="8"/>
      <c r="B538" s="7"/>
      <c r="C538" s="7"/>
      <c r="D538" s="7"/>
      <c r="E538" s="7"/>
      <c r="F538" s="7"/>
      <c r="G538" s="7"/>
      <c r="H538" s="7"/>
      <c r="I538" s="1"/>
      <c r="J538" s="1"/>
      <c r="K538" s="1"/>
      <c r="L538" s="1"/>
      <c r="M538" s="1"/>
    </row>
    <row r="539" spans="1:13" ht="90" customHeight="1" x14ac:dyDescent="0.3">
      <c r="A539" s="8"/>
      <c r="B539" s="7"/>
      <c r="C539" s="7"/>
      <c r="D539" s="7"/>
      <c r="E539" s="7"/>
      <c r="F539" s="7"/>
      <c r="G539" s="7"/>
      <c r="H539" s="7"/>
      <c r="I539" s="1"/>
      <c r="J539" s="1"/>
      <c r="K539" s="1"/>
      <c r="L539" s="1"/>
      <c r="M539" s="1"/>
    </row>
    <row r="540" spans="1:13" ht="90" customHeight="1" x14ac:dyDescent="0.3">
      <c r="A540" s="8"/>
      <c r="B540" s="7"/>
      <c r="C540" s="7"/>
      <c r="D540" s="7"/>
      <c r="E540" s="7"/>
      <c r="F540" s="7"/>
      <c r="G540" s="7"/>
      <c r="H540" s="7"/>
      <c r="I540" s="1"/>
      <c r="J540" s="1"/>
      <c r="K540" s="1"/>
      <c r="L540" s="1"/>
      <c r="M540" s="1"/>
    </row>
    <row r="541" spans="1:13" ht="90" customHeight="1" x14ac:dyDescent="0.3">
      <c r="A541" s="8"/>
      <c r="B541" s="7"/>
      <c r="C541" s="7"/>
      <c r="D541" s="7"/>
      <c r="E541" s="7"/>
      <c r="F541" s="7"/>
      <c r="G541" s="7"/>
      <c r="H541" s="7"/>
      <c r="I541" s="1"/>
      <c r="J541" s="1"/>
      <c r="K541" s="1"/>
      <c r="L541" s="1"/>
      <c r="M541" s="1"/>
    </row>
    <row r="542" spans="1:13" ht="90" customHeight="1" x14ac:dyDescent="0.3">
      <c r="A542" s="8">
        <v>179</v>
      </c>
      <c r="B542" s="8" t="s">
        <v>705</v>
      </c>
      <c r="C542" s="8" t="s">
        <v>706</v>
      </c>
      <c r="D542" s="8" t="s">
        <v>609</v>
      </c>
      <c r="E542" s="6" t="s">
        <v>17</v>
      </c>
      <c r="F542" s="6" t="s">
        <v>18</v>
      </c>
      <c r="G542" s="8" t="s">
        <v>707</v>
      </c>
      <c r="H542" s="8" t="s">
        <v>708</v>
      </c>
      <c r="I542" s="4" t="s">
        <v>709</v>
      </c>
      <c r="J542" s="4">
        <v>0.97713965177536011</v>
      </c>
      <c r="K542" s="4" t="s">
        <v>22</v>
      </c>
      <c r="L542" s="4" t="s">
        <v>706</v>
      </c>
      <c r="M542" s="4">
        <v>3</v>
      </c>
    </row>
    <row r="543" spans="1:13" ht="90" customHeight="1" x14ac:dyDescent="0.3">
      <c r="A543" s="8"/>
      <c r="B543" s="7"/>
      <c r="C543" s="7"/>
      <c r="D543" s="7"/>
      <c r="E543" s="7"/>
      <c r="F543" s="7"/>
      <c r="G543" s="7"/>
      <c r="H543" s="7"/>
      <c r="I543" s="1"/>
      <c r="J543" s="1"/>
      <c r="K543" s="1"/>
      <c r="L543" s="1"/>
      <c r="M543" s="1"/>
    </row>
    <row r="544" spans="1:13" ht="90" customHeight="1" x14ac:dyDescent="0.3">
      <c r="A544" s="8"/>
      <c r="B544" s="7"/>
      <c r="C544" s="7"/>
      <c r="D544" s="7"/>
      <c r="E544" s="7"/>
      <c r="F544" s="7"/>
      <c r="G544" s="7"/>
      <c r="H544" s="7"/>
      <c r="I544" s="1"/>
      <c r="J544" s="1"/>
      <c r="K544" s="1"/>
      <c r="L544" s="1"/>
      <c r="M544" s="1"/>
    </row>
    <row r="545" spans="1:13" ht="90" customHeight="1" x14ac:dyDescent="0.3">
      <c r="A545" s="8"/>
      <c r="B545" s="7"/>
      <c r="C545" s="7"/>
      <c r="D545" s="7"/>
      <c r="E545" s="7"/>
      <c r="F545" s="7"/>
      <c r="G545" s="7"/>
      <c r="H545" s="7"/>
      <c r="I545" s="1"/>
      <c r="J545" s="1"/>
      <c r="K545" s="1"/>
      <c r="L545" s="1"/>
      <c r="M545" s="1"/>
    </row>
    <row r="546" spans="1:13" ht="90" customHeight="1" x14ac:dyDescent="0.3">
      <c r="A546" s="8"/>
      <c r="B546" s="7"/>
      <c r="C546" s="7"/>
      <c r="D546" s="7"/>
      <c r="E546" s="7"/>
      <c r="F546" s="7"/>
      <c r="G546" s="7"/>
      <c r="H546" s="7"/>
      <c r="I546" s="1"/>
      <c r="J546" s="1"/>
      <c r="K546" s="1"/>
      <c r="L546" s="1"/>
      <c r="M546" s="1"/>
    </row>
    <row r="547" spans="1:13" ht="90" customHeight="1" x14ac:dyDescent="0.3">
      <c r="A547" s="8">
        <v>181</v>
      </c>
      <c r="B547" s="8" t="s">
        <v>710</v>
      </c>
      <c r="C547" s="8" t="s">
        <v>417</v>
      </c>
      <c r="D547" s="8" t="s">
        <v>418</v>
      </c>
      <c r="E547" s="6" t="s">
        <v>17</v>
      </c>
      <c r="F547" s="6" t="s">
        <v>18</v>
      </c>
      <c r="G547" s="8" t="s">
        <v>711</v>
      </c>
      <c r="H547" s="8" t="s">
        <v>712</v>
      </c>
      <c r="I547" s="4" t="s">
        <v>421</v>
      </c>
      <c r="J547" s="4">
        <v>0.9999992847442627</v>
      </c>
      <c r="K547" s="4" t="s">
        <v>22</v>
      </c>
      <c r="L547" s="4" t="s">
        <v>422</v>
      </c>
      <c r="M547" s="4">
        <v>7</v>
      </c>
    </row>
    <row r="548" spans="1:13" ht="90" customHeight="1" x14ac:dyDescent="0.3">
      <c r="A548" s="8"/>
      <c r="B548" s="7"/>
      <c r="C548" s="7"/>
      <c r="D548" s="7"/>
      <c r="E548" s="7"/>
      <c r="F548" s="7"/>
      <c r="G548" s="7"/>
      <c r="H548" s="7"/>
      <c r="I548" s="4" t="s">
        <v>423</v>
      </c>
      <c r="J548" s="4">
        <v>0.99999737739562988</v>
      </c>
      <c r="K548" s="4" t="s">
        <v>22</v>
      </c>
      <c r="L548" s="4" t="s">
        <v>424</v>
      </c>
      <c r="M548" s="4">
        <v>1</v>
      </c>
    </row>
    <row r="549" spans="1:13" ht="90" customHeight="1" x14ac:dyDescent="0.3">
      <c r="A549" s="8"/>
      <c r="B549" s="7"/>
      <c r="C549" s="7"/>
      <c r="D549" s="7"/>
      <c r="E549" s="7"/>
      <c r="F549" s="7"/>
      <c r="G549" s="7"/>
      <c r="H549" s="7"/>
      <c r="I549" s="1"/>
      <c r="J549" s="1"/>
      <c r="K549" s="1"/>
      <c r="L549" s="1"/>
      <c r="M549" s="1"/>
    </row>
    <row r="550" spans="1:13" ht="90" customHeight="1" x14ac:dyDescent="0.3">
      <c r="A550" s="8"/>
      <c r="B550" s="7"/>
      <c r="C550" s="7"/>
      <c r="D550" s="7"/>
      <c r="E550" s="7"/>
      <c r="F550" s="7"/>
      <c r="G550" s="7"/>
      <c r="H550" s="7"/>
      <c r="I550" s="1"/>
      <c r="J550" s="1"/>
      <c r="K550" s="1"/>
      <c r="L550" s="1"/>
      <c r="M550" s="1"/>
    </row>
    <row r="551" spans="1:13" ht="90" customHeight="1" x14ac:dyDescent="0.3">
      <c r="A551" s="8"/>
      <c r="B551" s="7"/>
      <c r="C551" s="7"/>
      <c r="D551" s="7"/>
      <c r="E551" s="7"/>
      <c r="F551" s="7"/>
      <c r="G551" s="7"/>
      <c r="H551" s="7"/>
      <c r="I551" s="1"/>
      <c r="J551" s="1"/>
      <c r="K551" s="1"/>
      <c r="L551" s="1"/>
      <c r="M551" s="1"/>
    </row>
    <row r="552" spans="1:13" ht="90" customHeight="1" x14ac:dyDescent="0.3">
      <c r="A552" s="8">
        <v>184</v>
      </c>
      <c r="B552" s="8" t="s">
        <v>713</v>
      </c>
      <c r="C552" s="8" t="s">
        <v>569</v>
      </c>
      <c r="D552" s="8" t="s">
        <v>504</v>
      </c>
      <c r="E552" s="6" t="s">
        <v>17</v>
      </c>
      <c r="F552" s="6" t="s">
        <v>18</v>
      </c>
      <c r="G552" s="8" t="s">
        <v>714</v>
      </c>
      <c r="H552" s="8" t="s">
        <v>715</v>
      </c>
      <c r="I552" s="4" t="s">
        <v>572</v>
      </c>
      <c r="J552" s="4">
        <v>0.99998986721038818</v>
      </c>
      <c r="K552" s="4" t="s">
        <v>22</v>
      </c>
      <c r="L552" s="4" t="s">
        <v>569</v>
      </c>
      <c r="M552" s="4">
        <v>2</v>
      </c>
    </row>
    <row r="553" spans="1:13" ht="90" customHeight="1" x14ac:dyDescent="0.3">
      <c r="A553" s="8"/>
      <c r="B553" s="7"/>
      <c r="C553" s="7"/>
      <c r="D553" s="7"/>
      <c r="E553" s="7"/>
      <c r="F553" s="7"/>
      <c r="G553" s="7"/>
      <c r="H553" s="7"/>
      <c r="I553" s="4" t="s">
        <v>573</v>
      </c>
      <c r="J553" s="4">
        <v>0.99998331007866559</v>
      </c>
      <c r="K553" s="4" t="s">
        <v>22</v>
      </c>
      <c r="L553" s="4" t="s">
        <v>569</v>
      </c>
      <c r="M553" s="4">
        <v>1</v>
      </c>
    </row>
    <row r="554" spans="1:13" ht="90" customHeight="1" x14ac:dyDescent="0.3">
      <c r="A554" s="8"/>
      <c r="B554" s="7"/>
      <c r="C554" s="7"/>
      <c r="D554" s="7"/>
      <c r="E554" s="7"/>
      <c r="F554" s="7"/>
      <c r="G554" s="7"/>
      <c r="H554" s="7"/>
      <c r="I554" s="2" t="s">
        <v>716</v>
      </c>
      <c r="J554" s="2">
        <v>0.99860447645187378</v>
      </c>
      <c r="K554" s="2" t="s">
        <v>22</v>
      </c>
      <c r="L554" s="2" t="s">
        <v>717</v>
      </c>
      <c r="M554" s="2">
        <v>20</v>
      </c>
    </row>
    <row r="555" spans="1:13" ht="90" customHeight="1" x14ac:dyDescent="0.3">
      <c r="A555" s="8"/>
      <c r="B555" s="7"/>
      <c r="C555" s="7"/>
      <c r="D555" s="7"/>
      <c r="E555" s="7"/>
      <c r="F555" s="7"/>
      <c r="G555" s="7"/>
      <c r="H555" s="7"/>
      <c r="I555" s="1" t="s">
        <v>718</v>
      </c>
      <c r="J555" s="1">
        <v>0.99842971563339233</v>
      </c>
      <c r="K555" s="1" t="s">
        <v>22</v>
      </c>
      <c r="L555" s="1" t="s">
        <v>719</v>
      </c>
      <c r="M555" s="1">
        <v>40</v>
      </c>
    </row>
    <row r="556" spans="1:13" ht="90" customHeight="1" x14ac:dyDescent="0.3">
      <c r="A556" s="8"/>
      <c r="B556" s="7"/>
      <c r="C556" s="7"/>
      <c r="D556" s="7"/>
      <c r="E556" s="7"/>
      <c r="F556" s="7"/>
      <c r="G556" s="7"/>
      <c r="H556" s="7"/>
      <c r="I556" s="1" t="s">
        <v>720</v>
      </c>
      <c r="J556" s="1">
        <v>0.99744415283203125</v>
      </c>
      <c r="K556" s="1" t="s">
        <v>22</v>
      </c>
      <c r="L556" s="1" t="s">
        <v>717</v>
      </c>
      <c r="M556" s="1">
        <v>2</v>
      </c>
    </row>
    <row r="557" spans="1:13" ht="90" customHeight="1" x14ac:dyDescent="0.3">
      <c r="A557" s="8">
        <v>185</v>
      </c>
      <c r="B557" s="8" t="s">
        <v>721</v>
      </c>
      <c r="C557" s="8" t="s">
        <v>562</v>
      </c>
      <c r="D557" s="8" t="s">
        <v>99</v>
      </c>
      <c r="E557" s="6" t="s">
        <v>17</v>
      </c>
      <c r="F557" s="6" t="s">
        <v>18</v>
      </c>
      <c r="G557" s="8" t="s">
        <v>722</v>
      </c>
      <c r="H557" s="8" t="s">
        <v>723</v>
      </c>
      <c r="I557" s="4" t="s">
        <v>724</v>
      </c>
      <c r="J557" s="4">
        <v>0.99365013837814331</v>
      </c>
      <c r="K557" s="4" t="s">
        <v>22</v>
      </c>
      <c r="L557" s="4" t="s">
        <v>562</v>
      </c>
      <c r="M557" s="4">
        <v>1</v>
      </c>
    </row>
    <row r="558" spans="1:13" ht="90" customHeight="1" x14ac:dyDescent="0.3">
      <c r="A558" s="8"/>
      <c r="B558" s="7"/>
      <c r="C558" s="7"/>
      <c r="D558" s="7"/>
      <c r="E558" s="7"/>
      <c r="F558" s="7"/>
      <c r="G558" s="7"/>
      <c r="H558" s="7"/>
      <c r="I558" s="1"/>
      <c r="J558" s="1"/>
      <c r="K558" s="1"/>
      <c r="L558" s="1"/>
      <c r="M558" s="1"/>
    </row>
    <row r="559" spans="1:13" ht="90" customHeight="1" x14ac:dyDescent="0.3">
      <c r="A559" s="8"/>
      <c r="B559" s="7"/>
      <c r="C559" s="7"/>
      <c r="D559" s="7"/>
      <c r="E559" s="7"/>
      <c r="F559" s="7"/>
      <c r="G559" s="7"/>
      <c r="H559" s="7"/>
      <c r="I559" s="1"/>
      <c r="J559" s="1"/>
      <c r="K559" s="1"/>
      <c r="L559" s="1"/>
      <c r="M559" s="1"/>
    </row>
    <row r="560" spans="1:13" ht="90" customHeight="1" x14ac:dyDescent="0.3">
      <c r="A560" s="8"/>
      <c r="B560" s="7"/>
      <c r="C560" s="7"/>
      <c r="D560" s="7"/>
      <c r="E560" s="7"/>
      <c r="F560" s="7"/>
      <c r="G560" s="7"/>
      <c r="H560" s="7"/>
      <c r="I560" s="1"/>
      <c r="J560" s="1"/>
      <c r="K560" s="1"/>
      <c r="L560" s="1"/>
      <c r="M560" s="1"/>
    </row>
    <row r="561" spans="1:13" ht="90" customHeight="1" x14ac:dyDescent="0.3">
      <c r="A561" s="8"/>
      <c r="B561" s="7"/>
      <c r="C561" s="7"/>
      <c r="D561" s="7"/>
      <c r="E561" s="7"/>
      <c r="F561" s="7"/>
      <c r="G561" s="7"/>
      <c r="H561" s="7"/>
      <c r="I561" s="1"/>
      <c r="J561" s="1"/>
      <c r="K561" s="1"/>
      <c r="L561" s="1"/>
      <c r="M561" s="1"/>
    </row>
    <row r="562" spans="1:13" ht="90" customHeight="1" x14ac:dyDescent="0.3">
      <c r="A562" s="8">
        <v>186</v>
      </c>
      <c r="B562" s="8" t="s">
        <v>725</v>
      </c>
      <c r="C562" s="8" t="s">
        <v>313</v>
      </c>
      <c r="D562" s="8" t="s">
        <v>553</v>
      </c>
      <c r="E562" s="6" t="s">
        <v>17</v>
      </c>
      <c r="F562" s="6" t="s">
        <v>18</v>
      </c>
      <c r="G562" s="8" t="s">
        <v>726</v>
      </c>
      <c r="H562" s="8" t="s">
        <v>727</v>
      </c>
      <c r="I562" s="4" t="s">
        <v>412</v>
      </c>
      <c r="J562" s="4">
        <v>0.99451535940170288</v>
      </c>
      <c r="K562" s="4" t="s">
        <v>22</v>
      </c>
      <c r="L562" s="4" t="s">
        <v>313</v>
      </c>
      <c r="M562" s="4">
        <v>3</v>
      </c>
    </row>
    <row r="563" spans="1:13" ht="90" customHeight="1" x14ac:dyDescent="0.3">
      <c r="A563" s="8"/>
      <c r="B563" s="7"/>
      <c r="C563" s="7"/>
      <c r="D563" s="7"/>
      <c r="E563" s="7"/>
      <c r="F563" s="7"/>
      <c r="G563" s="7"/>
      <c r="H563" s="7"/>
      <c r="I563" s="4" t="s">
        <v>411</v>
      </c>
      <c r="J563" s="4">
        <v>0.98293465375900269</v>
      </c>
      <c r="K563" s="4" t="s">
        <v>22</v>
      </c>
      <c r="L563" s="4" t="s">
        <v>313</v>
      </c>
      <c r="M563" s="4">
        <v>2</v>
      </c>
    </row>
    <row r="564" spans="1:13" ht="90" customHeight="1" x14ac:dyDescent="0.3">
      <c r="A564" s="8"/>
      <c r="B564" s="7"/>
      <c r="C564" s="7"/>
      <c r="D564" s="7"/>
      <c r="E564" s="7"/>
      <c r="F564" s="7"/>
      <c r="G564" s="7"/>
      <c r="H564" s="7"/>
      <c r="I564" s="5" t="s">
        <v>316</v>
      </c>
      <c r="J564" s="5">
        <v>0.974689781665802</v>
      </c>
      <c r="K564" s="5" t="s">
        <v>22</v>
      </c>
      <c r="L564" s="5" t="s">
        <v>313</v>
      </c>
      <c r="M564" s="5">
        <v>4</v>
      </c>
    </row>
    <row r="565" spans="1:13" ht="90" customHeight="1" x14ac:dyDescent="0.3">
      <c r="A565" s="8"/>
      <c r="B565" s="7"/>
      <c r="C565" s="7"/>
      <c r="D565" s="7"/>
      <c r="E565" s="7"/>
      <c r="F565" s="7"/>
      <c r="G565" s="7"/>
      <c r="H565" s="7"/>
      <c r="I565" s="1"/>
      <c r="J565" s="1"/>
      <c r="K565" s="1"/>
      <c r="L565" s="1"/>
      <c r="M565" s="1"/>
    </row>
    <row r="566" spans="1:13" ht="90" customHeight="1" x14ac:dyDescent="0.3">
      <c r="A566" s="8"/>
      <c r="B566" s="7"/>
      <c r="C566" s="7"/>
      <c r="D566" s="7"/>
      <c r="E566" s="7"/>
      <c r="F566" s="7"/>
      <c r="G566" s="7"/>
      <c r="H566" s="7"/>
      <c r="I566" s="1"/>
      <c r="J566" s="1"/>
      <c r="K566" s="1"/>
      <c r="L566" s="1"/>
      <c r="M566" s="1"/>
    </row>
    <row r="567" spans="1:13" ht="90" customHeight="1" x14ac:dyDescent="0.3">
      <c r="A567" s="8">
        <v>187</v>
      </c>
      <c r="B567" s="8" t="s">
        <v>728</v>
      </c>
      <c r="C567" s="8" t="s">
        <v>565</v>
      </c>
      <c r="D567" s="8" t="s">
        <v>566</v>
      </c>
      <c r="E567" s="6" t="s">
        <v>17</v>
      </c>
      <c r="F567" s="6" t="s">
        <v>94</v>
      </c>
      <c r="G567" s="8" t="s">
        <v>729</v>
      </c>
      <c r="H567" s="8" t="s">
        <v>730</v>
      </c>
      <c r="I567" s="2" t="s">
        <v>731</v>
      </c>
      <c r="J567" s="2">
        <v>0.98882418870925903</v>
      </c>
      <c r="K567" s="2" t="s">
        <v>22</v>
      </c>
      <c r="L567" s="2" t="s">
        <v>220</v>
      </c>
      <c r="M567" s="2">
        <v>45</v>
      </c>
    </row>
    <row r="568" spans="1:13" ht="90" customHeight="1" x14ac:dyDescent="0.3">
      <c r="A568" s="8"/>
      <c r="B568" s="7"/>
      <c r="C568" s="7"/>
      <c r="D568" s="7"/>
      <c r="E568" s="7"/>
      <c r="F568" s="7"/>
      <c r="G568" s="7"/>
      <c r="H568" s="7"/>
      <c r="I568" s="5" t="s">
        <v>690</v>
      </c>
      <c r="J568" s="5">
        <v>0.97811616384541611</v>
      </c>
      <c r="K568" s="5" t="s">
        <v>22</v>
      </c>
      <c r="L568" s="5" t="s">
        <v>565</v>
      </c>
      <c r="M568" s="5">
        <v>16</v>
      </c>
    </row>
    <row r="569" spans="1:13" ht="90" customHeight="1" x14ac:dyDescent="0.3">
      <c r="A569" s="8"/>
      <c r="B569" s="7"/>
      <c r="C569" s="7"/>
      <c r="D569" s="7"/>
      <c r="E569" s="7"/>
      <c r="F569" s="7"/>
      <c r="G569" s="7"/>
      <c r="H569" s="7"/>
      <c r="I569" s="5" t="s">
        <v>691</v>
      </c>
      <c r="J569" s="5">
        <v>0.95257219637579005</v>
      </c>
      <c r="K569" s="5" t="s">
        <v>22</v>
      </c>
      <c r="L569" s="5" t="s">
        <v>565</v>
      </c>
      <c r="M569" s="5">
        <v>13</v>
      </c>
    </row>
    <row r="570" spans="1:13" ht="90" customHeight="1" x14ac:dyDescent="0.3">
      <c r="A570" s="8"/>
      <c r="B570" s="7"/>
      <c r="C570" s="7"/>
      <c r="D570" s="7"/>
      <c r="E570" s="7"/>
      <c r="F570" s="7"/>
      <c r="G570" s="7"/>
      <c r="H570" s="7"/>
      <c r="I570" s="5" t="s">
        <v>692</v>
      </c>
      <c r="J570" s="5">
        <v>0.83201659981615395</v>
      </c>
      <c r="K570" s="5" t="s">
        <v>22</v>
      </c>
      <c r="L570" s="5" t="s">
        <v>565</v>
      </c>
      <c r="M570" s="5">
        <v>12</v>
      </c>
    </row>
    <row r="571" spans="1:13" ht="90" customHeight="1" x14ac:dyDescent="0.3">
      <c r="A571" s="8"/>
      <c r="B571" s="7"/>
      <c r="C571" s="7"/>
      <c r="D571" s="7"/>
      <c r="E571" s="7"/>
      <c r="F571" s="7"/>
      <c r="G571" s="7"/>
      <c r="H571" s="7"/>
      <c r="I571" s="5" t="s">
        <v>693</v>
      </c>
      <c r="J571" s="5">
        <v>0.73105700994847689</v>
      </c>
      <c r="K571" s="5" t="s">
        <v>22</v>
      </c>
      <c r="L571" s="5" t="s">
        <v>565</v>
      </c>
      <c r="M571" s="5">
        <v>15</v>
      </c>
    </row>
    <row r="572" spans="1:13" ht="90" customHeight="1" x14ac:dyDescent="0.3">
      <c r="A572" s="8">
        <v>188</v>
      </c>
      <c r="B572" s="8" t="s">
        <v>732</v>
      </c>
      <c r="C572" s="8" t="s">
        <v>733</v>
      </c>
      <c r="D572" s="8" t="s">
        <v>734</v>
      </c>
      <c r="E572" s="6" t="s">
        <v>17</v>
      </c>
      <c r="F572" s="6" t="s">
        <v>18</v>
      </c>
      <c r="G572" s="8" t="s">
        <v>735</v>
      </c>
      <c r="H572" s="8" t="s">
        <v>736</v>
      </c>
      <c r="I572" s="4" t="s">
        <v>737</v>
      </c>
      <c r="J572" s="4">
        <v>0.99976891279218272</v>
      </c>
      <c r="K572" s="4" t="s">
        <v>22</v>
      </c>
      <c r="L572" s="4" t="s">
        <v>380</v>
      </c>
      <c r="M572" s="4">
        <v>44</v>
      </c>
    </row>
    <row r="573" spans="1:13" ht="90" customHeight="1" x14ac:dyDescent="0.3">
      <c r="A573" s="8"/>
      <c r="B573" s="7"/>
      <c r="C573" s="7"/>
      <c r="D573" s="7"/>
      <c r="E573" s="7"/>
      <c r="F573" s="7"/>
      <c r="G573" s="7"/>
      <c r="H573" s="7"/>
      <c r="I573" s="5" t="s">
        <v>738</v>
      </c>
      <c r="J573" s="5">
        <v>0.99883079807349506</v>
      </c>
      <c r="K573" s="5" t="s">
        <v>22</v>
      </c>
      <c r="L573" s="5" t="s">
        <v>739</v>
      </c>
      <c r="M573" s="5">
        <v>31</v>
      </c>
    </row>
    <row r="574" spans="1:13" ht="90" customHeight="1" x14ac:dyDescent="0.3">
      <c r="A574" s="8"/>
      <c r="B574" s="7"/>
      <c r="C574" s="7"/>
      <c r="D574" s="7"/>
      <c r="E574" s="7"/>
      <c r="F574" s="7"/>
      <c r="G574" s="7"/>
      <c r="H574" s="7"/>
      <c r="I574" s="1"/>
      <c r="J574" s="1"/>
      <c r="K574" s="1"/>
      <c r="L574" s="1"/>
      <c r="M574" s="1"/>
    </row>
    <row r="575" spans="1:13" ht="90" customHeight="1" x14ac:dyDescent="0.3">
      <c r="A575" s="8"/>
      <c r="B575" s="7"/>
      <c r="C575" s="7"/>
      <c r="D575" s="7"/>
      <c r="E575" s="7"/>
      <c r="F575" s="7"/>
      <c r="G575" s="7"/>
      <c r="H575" s="7"/>
      <c r="I575" s="1"/>
      <c r="J575" s="1"/>
      <c r="K575" s="1"/>
      <c r="L575" s="1"/>
      <c r="M575" s="1"/>
    </row>
    <row r="576" spans="1:13" ht="90" customHeight="1" x14ac:dyDescent="0.3">
      <c r="A576" s="8"/>
      <c r="B576" s="7"/>
      <c r="C576" s="7"/>
      <c r="D576" s="7"/>
      <c r="E576" s="7"/>
      <c r="F576" s="7"/>
      <c r="G576" s="7"/>
      <c r="H576" s="7"/>
      <c r="I576" s="1"/>
      <c r="J576" s="1"/>
      <c r="K576" s="1"/>
      <c r="L576" s="1"/>
      <c r="M576" s="1"/>
    </row>
    <row r="577" spans="1:13" ht="90" customHeight="1" x14ac:dyDescent="0.3">
      <c r="A577" s="8">
        <v>189</v>
      </c>
      <c r="B577" s="8" t="s">
        <v>740</v>
      </c>
      <c r="C577" s="8" t="s">
        <v>741</v>
      </c>
      <c r="D577" s="8" t="s">
        <v>742</v>
      </c>
      <c r="E577" s="6" t="s">
        <v>93</v>
      </c>
      <c r="F577" s="6" t="s">
        <v>94</v>
      </c>
      <c r="G577" s="8" t="s">
        <v>743</v>
      </c>
      <c r="H577" s="8" t="s">
        <v>96</v>
      </c>
      <c r="I577" s="1"/>
      <c r="J577" s="1"/>
      <c r="K577" s="1"/>
      <c r="L577" s="1"/>
      <c r="M577" s="1"/>
    </row>
    <row r="578" spans="1:13" ht="90" customHeight="1" x14ac:dyDescent="0.3">
      <c r="A578" s="8"/>
      <c r="B578" s="7"/>
      <c r="C578" s="7"/>
      <c r="D578" s="7"/>
      <c r="E578" s="7"/>
      <c r="F578" s="7"/>
      <c r="G578" s="7"/>
      <c r="H578" s="7"/>
      <c r="I578" s="1"/>
      <c r="J578" s="1"/>
      <c r="K578" s="1"/>
      <c r="L578" s="1"/>
      <c r="M578" s="1"/>
    </row>
    <row r="579" spans="1:13" ht="90" customHeight="1" x14ac:dyDescent="0.3">
      <c r="A579" s="8"/>
      <c r="B579" s="7"/>
      <c r="C579" s="7"/>
      <c r="D579" s="7"/>
      <c r="E579" s="7"/>
      <c r="F579" s="7"/>
      <c r="G579" s="7"/>
      <c r="H579" s="7"/>
      <c r="I579" s="1"/>
      <c r="J579" s="1"/>
      <c r="K579" s="1"/>
      <c r="L579" s="1"/>
      <c r="M579" s="1"/>
    </row>
    <row r="580" spans="1:13" ht="90" customHeight="1" x14ac:dyDescent="0.3">
      <c r="A580" s="8"/>
      <c r="B580" s="7"/>
      <c r="C580" s="7"/>
      <c r="D580" s="7"/>
      <c r="E580" s="7"/>
      <c r="F580" s="7"/>
      <c r="G580" s="7"/>
      <c r="H580" s="7"/>
      <c r="I580" s="1"/>
      <c r="J580" s="1"/>
      <c r="K580" s="1"/>
      <c r="L580" s="1"/>
      <c r="M580" s="1"/>
    </row>
    <row r="581" spans="1:13" ht="90" customHeight="1" x14ac:dyDescent="0.3">
      <c r="A581" s="8"/>
      <c r="B581" s="7"/>
      <c r="C581" s="7"/>
      <c r="D581" s="7"/>
      <c r="E581" s="7"/>
      <c r="F581" s="7"/>
      <c r="G581" s="7"/>
      <c r="H581" s="7"/>
      <c r="I581" s="1"/>
      <c r="J581" s="1"/>
      <c r="K581" s="1"/>
      <c r="L581" s="1"/>
      <c r="M581" s="1"/>
    </row>
    <row r="582" spans="1:13" ht="90" customHeight="1" x14ac:dyDescent="0.3">
      <c r="A582" s="8">
        <v>190</v>
      </c>
      <c r="B582" s="8" t="s">
        <v>744</v>
      </c>
      <c r="C582" s="8" t="s">
        <v>71</v>
      </c>
      <c r="D582" s="8" t="s">
        <v>661</v>
      </c>
      <c r="E582" s="6" t="s">
        <v>17</v>
      </c>
      <c r="F582" s="6" t="s">
        <v>18</v>
      </c>
      <c r="G582" s="8" t="s">
        <v>745</v>
      </c>
      <c r="H582" s="8" t="s">
        <v>746</v>
      </c>
      <c r="I582" s="4" t="s">
        <v>747</v>
      </c>
      <c r="J582" s="4">
        <v>0.99999880790710449</v>
      </c>
      <c r="K582" s="4" t="s">
        <v>22</v>
      </c>
      <c r="L582" s="4" t="s">
        <v>71</v>
      </c>
      <c r="M582" s="4">
        <v>127</v>
      </c>
    </row>
    <row r="583" spans="1:13" ht="90" customHeight="1" x14ac:dyDescent="0.3">
      <c r="A583" s="8"/>
      <c r="B583" s="7"/>
      <c r="C583" s="7"/>
      <c r="D583" s="7"/>
      <c r="E583" s="7"/>
      <c r="F583" s="7"/>
      <c r="G583" s="7"/>
      <c r="H583" s="7"/>
      <c r="I583" s="4" t="s">
        <v>748</v>
      </c>
      <c r="J583" s="4">
        <v>0.99930500984191895</v>
      </c>
      <c r="K583" s="4" t="s">
        <v>22</v>
      </c>
      <c r="L583" s="4" t="s">
        <v>71</v>
      </c>
      <c r="M583" s="4">
        <v>128</v>
      </c>
    </row>
    <row r="584" spans="1:13" ht="90" customHeight="1" x14ac:dyDescent="0.3">
      <c r="A584" s="8"/>
      <c r="B584" s="7"/>
      <c r="C584" s="7"/>
      <c r="D584" s="7"/>
      <c r="E584" s="7"/>
      <c r="F584" s="7"/>
      <c r="G584" s="7"/>
      <c r="H584" s="7"/>
      <c r="I584" s="2" t="s">
        <v>749</v>
      </c>
      <c r="J584" s="2">
        <v>0.99054342508314785</v>
      </c>
      <c r="K584" s="2" t="s">
        <v>22</v>
      </c>
      <c r="L584" s="2" t="s">
        <v>365</v>
      </c>
      <c r="M584" s="2">
        <v>41</v>
      </c>
    </row>
    <row r="585" spans="1:13" ht="90" customHeight="1" x14ac:dyDescent="0.3">
      <c r="A585" s="8"/>
      <c r="B585" s="7"/>
      <c r="C585" s="7"/>
      <c r="D585" s="7"/>
      <c r="E585" s="7"/>
      <c r="F585" s="7"/>
      <c r="G585" s="7"/>
      <c r="H585" s="7"/>
      <c r="I585" s="1" t="s">
        <v>750</v>
      </c>
      <c r="J585" s="1">
        <v>0.98974573612213135</v>
      </c>
      <c r="K585" s="1" t="s">
        <v>22</v>
      </c>
      <c r="L585" s="1" t="s">
        <v>596</v>
      </c>
      <c r="M585" s="1">
        <v>61</v>
      </c>
    </row>
    <row r="586" spans="1:13" ht="90" customHeight="1" x14ac:dyDescent="0.3">
      <c r="A586" s="8"/>
      <c r="B586" s="7"/>
      <c r="C586" s="7"/>
      <c r="D586" s="7"/>
      <c r="E586" s="7"/>
      <c r="F586" s="7"/>
      <c r="G586" s="7"/>
      <c r="H586" s="7"/>
      <c r="I586" s="1" t="s">
        <v>751</v>
      </c>
      <c r="J586" s="1">
        <v>0.98865950107574463</v>
      </c>
      <c r="K586" s="1" t="s">
        <v>22</v>
      </c>
      <c r="L586" s="1" t="s">
        <v>67</v>
      </c>
      <c r="M586" s="1">
        <v>30</v>
      </c>
    </row>
    <row r="587" spans="1:13" ht="90" customHeight="1" x14ac:dyDescent="0.3">
      <c r="A587" s="8">
        <v>191</v>
      </c>
      <c r="B587" s="8" t="s">
        <v>752</v>
      </c>
      <c r="C587" s="8" t="s">
        <v>38</v>
      </c>
      <c r="D587" s="8" t="s">
        <v>39</v>
      </c>
      <c r="E587" s="6" t="s">
        <v>17</v>
      </c>
      <c r="F587" s="6" t="s">
        <v>18</v>
      </c>
      <c r="G587" s="8" t="s">
        <v>753</v>
      </c>
      <c r="H587" s="8" t="s">
        <v>754</v>
      </c>
      <c r="I587" s="4" t="s">
        <v>42</v>
      </c>
      <c r="J587" s="4">
        <v>0.99231262033756806</v>
      </c>
      <c r="K587" s="4" t="s">
        <v>22</v>
      </c>
      <c r="L587" s="4" t="s">
        <v>38</v>
      </c>
      <c r="M587" s="4">
        <v>1</v>
      </c>
    </row>
    <row r="588" spans="1:13" ht="90" customHeight="1" x14ac:dyDescent="0.3">
      <c r="A588" s="8"/>
      <c r="B588" s="7"/>
      <c r="C588" s="7"/>
      <c r="D588" s="7"/>
      <c r="E588" s="7"/>
      <c r="F588" s="7"/>
      <c r="G588" s="7"/>
      <c r="H588" s="7"/>
      <c r="I588" s="4" t="s">
        <v>43</v>
      </c>
      <c r="J588" s="4">
        <v>0.98788740078935189</v>
      </c>
      <c r="K588" s="4" t="s">
        <v>22</v>
      </c>
      <c r="L588" s="4" t="s">
        <v>38</v>
      </c>
      <c r="M588" s="4">
        <v>3</v>
      </c>
    </row>
    <row r="589" spans="1:13" ht="90" customHeight="1" x14ac:dyDescent="0.3">
      <c r="A589" s="8"/>
      <c r="B589" s="7"/>
      <c r="C589" s="7"/>
      <c r="D589" s="7"/>
      <c r="E589" s="7"/>
      <c r="F589" s="7"/>
      <c r="G589" s="7"/>
      <c r="H589" s="7"/>
      <c r="I589" s="4" t="s">
        <v>44</v>
      </c>
      <c r="J589" s="4">
        <v>0.89019287604036923</v>
      </c>
      <c r="K589" s="4" t="s">
        <v>22</v>
      </c>
      <c r="L589" s="4" t="s">
        <v>38</v>
      </c>
      <c r="M589" s="4">
        <v>2</v>
      </c>
    </row>
    <row r="590" spans="1:13" ht="90" customHeight="1" x14ac:dyDescent="0.3">
      <c r="A590" s="8"/>
      <c r="B590" s="7"/>
      <c r="C590" s="7"/>
      <c r="D590" s="7"/>
      <c r="E590" s="7"/>
      <c r="F590" s="7"/>
      <c r="G590" s="7"/>
      <c r="H590" s="7"/>
      <c r="I590" s="1"/>
      <c r="J590" s="1"/>
      <c r="K590" s="1"/>
      <c r="L590" s="1"/>
      <c r="M590" s="1"/>
    </row>
    <row r="591" spans="1:13" ht="90" customHeight="1" x14ac:dyDescent="0.3">
      <c r="A591" s="8"/>
      <c r="B591" s="7"/>
      <c r="C591" s="7"/>
      <c r="D591" s="7"/>
      <c r="E591" s="7"/>
      <c r="F591" s="7"/>
      <c r="G591" s="7"/>
      <c r="H591" s="7"/>
      <c r="I591" s="1"/>
      <c r="J591" s="1"/>
      <c r="K591" s="1"/>
      <c r="L591" s="1"/>
      <c r="M591" s="1"/>
    </row>
    <row r="592" spans="1:13" ht="90" customHeight="1" x14ac:dyDescent="0.3">
      <c r="A592" s="8">
        <v>193</v>
      </c>
      <c r="B592" s="8" t="s">
        <v>755</v>
      </c>
      <c r="C592" s="8" t="s">
        <v>756</v>
      </c>
      <c r="D592" s="8" t="s">
        <v>757</v>
      </c>
      <c r="E592" s="6" t="s">
        <v>93</v>
      </c>
      <c r="F592" s="6" t="s">
        <v>94</v>
      </c>
      <c r="G592" s="8" t="s">
        <v>758</v>
      </c>
      <c r="H592" s="8" t="s">
        <v>96</v>
      </c>
      <c r="I592" s="1"/>
      <c r="J592" s="1"/>
      <c r="K592" s="1"/>
      <c r="L592" s="1"/>
      <c r="M592" s="1"/>
    </row>
    <row r="593" spans="1:13" ht="90" customHeight="1" x14ac:dyDescent="0.3">
      <c r="A593" s="8"/>
      <c r="B593" s="7"/>
      <c r="C593" s="7"/>
      <c r="D593" s="7"/>
      <c r="E593" s="7"/>
      <c r="F593" s="7"/>
      <c r="G593" s="7"/>
      <c r="H593" s="7"/>
      <c r="I593" s="1"/>
      <c r="J593" s="1"/>
      <c r="K593" s="1"/>
      <c r="L593" s="1"/>
      <c r="M593" s="1"/>
    </row>
    <row r="594" spans="1:13" ht="90" customHeight="1" x14ac:dyDescent="0.3">
      <c r="A594" s="8"/>
      <c r="B594" s="7"/>
      <c r="C594" s="7"/>
      <c r="D594" s="7"/>
      <c r="E594" s="7"/>
      <c r="F594" s="7"/>
      <c r="G594" s="7"/>
      <c r="H594" s="7"/>
      <c r="I594" s="1"/>
      <c r="J594" s="1"/>
      <c r="K594" s="1"/>
      <c r="L594" s="1"/>
      <c r="M594" s="1"/>
    </row>
    <row r="595" spans="1:13" ht="90" customHeight="1" x14ac:dyDescent="0.3">
      <c r="A595" s="8"/>
      <c r="B595" s="7"/>
      <c r="C595" s="7"/>
      <c r="D595" s="7"/>
      <c r="E595" s="7"/>
      <c r="F595" s="7"/>
      <c r="G595" s="7"/>
      <c r="H595" s="7"/>
      <c r="I595" s="1"/>
      <c r="J595" s="1"/>
      <c r="K595" s="1"/>
      <c r="L595" s="1"/>
      <c r="M595" s="1"/>
    </row>
    <row r="596" spans="1:13" ht="90" customHeight="1" x14ac:dyDescent="0.3">
      <c r="A596" s="8"/>
      <c r="B596" s="7"/>
      <c r="C596" s="7"/>
      <c r="D596" s="7"/>
      <c r="E596" s="7"/>
      <c r="F596" s="7"/>
      <c r="G596" s="7"/>
      <c r="H596" s="7"/>
      <c r="I596" s="1"/>
      <c r="J596" s="1"/>
      <c r="K596" s="1"/>
      <c r="L596" s="1"/>
      <c r="M596" s="1"/>
    </row>
    <row r="597" spans="1:13" ht="90" customHeight="1" x14ac:dyDescent="0.3">
      <c r="A597" s="8">
        <v>196</v>
      </c>
      <c r="B597" s="8" t="s">
        <v>759</v>
      </c>
      <c r="C597" s="8" t="s">
        <v>276</v>
      </c>
      <c r="D597" s="8" t="s">
        <v>597</v>
      </c>
      <c r="E597" s="6" t="s">
        <v>17</v>
      </c>
      <c r="F597" s="6" t="s">
        <v>94</v>
      </c>
      <c r="G597" s="8" t="s">
        <v>760</v>
      </c>
      <c r="H597" s="8" t="s">
        <v>761</v>
      </c>
      <c r="I597" s="2" t="s">
        <v>762</v>
      </c>
      <c r="J597" s="2">
        <v>0.99414629541691679</v>
      </c>
      <c r="K597" s="2" t="s">
        <v>22</v>
      </c>
      <c r="L597" s="2" t="s">
        <v>739</v>
      </c>
      <c r="M597" s="2">
        <v>11</v>
      </c>
    </row>
    <row r="598" spans="1:13" ht="90" customHeight="1" x14ac:dyDescent="0.3">
      <c r="A598" s="8"/>
      <c r="B598" s="7"/>
      <c r="C598" s="7"/>
      <c r="D598" s="7"/>
      <c r="E598" s="7"/>
      <c r="F598" s="7"/>
      <c r="G598" s="7"/>
      <c r="H598" s="7"/>
      <c r="I598" s="5" t="s">
        <v>281</v>
      </c>
      <c r="J598" s="5">
        <v>0.94905210762938452</v>
      </c>
      <c r="K598" s="5" t="s">
        <v>22</v>
      </c>
      <c r="L598" s="5" t="s">
        <v>276</v>
      </c>
      <c r="M598" s="5">
        <v>26</v>
      </c>
    </row>
    <row r="599" spans="1:13" ht="90" customHeight="1" x14ac:dyDescent="0.3">
      <c r="A599" s="8"/>
      <c r="B599" s="7"/>
      <c r="C599" s="7"/>
      <c r="D599" s="7"/>
      <c r="E599" s="7"/>
      <c r="F599" s="7"/>
      <c r="G599" s="7"/>
      <c r="H599" s="7"/>
      <c r="I599" s="1"/>
      <c r="J599" s="1"/>
      <c r="K599" s="1"/>
      <c r="L599" s="1"/>
      <c r="M599" s="1"/>
    </row>
    <row r="600" spans="1:13" ht="90" customHeight="1" x14ac:dyDescent="0.3">
      <c r="A600" s="8"/>
      <c r="B600" s="7"/>
      <c r="C600" s="7"/>
      <c r="D600" s="7"/>
      <c r="E600" s="7"/>
      <c r="F600" s="7"/>
      <c r="G600" s="7"/>
      <c r="H600" s="7"/>
      <c r="I600" s="1"/>
      <c r="J600" s="1"/>
      <c r="K600" s="1"/>
      <c r="L600" s="1"/>
      <c r="M600" s="1"/>
    </row>
    <row r="601" spans="1:13" ht="90" customHeight="1" x14ac:dyDescent="0.3">
      <c r="A601" s="8"/>
      <c r="B601" s="7"/>
      <c r="C601" s="7"/>
      <c r="D601" s="7"/>
      <c r="E601" s="7"/>
      <c r="F601" s="7"/>
      <c r="G601" s="7"/>
      <c r="H601" s="7"/>
      <c r="I601" s="1"/>
      <c r="J601" s="1"/>
      <c r="K601" s="1"/>
      <c r="L601" s="1"/>
      <c r="M601" s="1"/>
    </row>
    <row r="602" spans="1:13" ht="90" customHeight="1" x14ac:dyDescent="0.3">
      <c r="A602" s="8">
        <v>198</v>
      </c>
      <c r="B602" s="8" t="s">
        <v>763</v>
      </c>
      <c r="C602" s="8" t="s">
        <v>764</v>
      </c>
      <c r="D602" s="8" t="s">
        <v>99</v>
      </c>
      <c r="E602" s="6" t="s">
        <v>17</v>
      </c>
      <c r="F602" s="6" t="s">
        <v>18</v>
      </c>
      <c r="G602" s="8" t="s">
        <v>765</v>
      </c>
      <c r="H602" s="8" t="s">
        <v>766</v>
      </c>
      <c r="I602" s="4" t="s">
        <v>767</v>
      </c>
      <c r="J602" s="4">
        <v>0.99996960163116433</v>
      </c>
      <c r="K602" s="4" t="s">
        <v>22</v>
      </c>
      <c r="L602" s="4" t="s">
        <v>764</v>
      </c>
      <c r="M602" s="4">
        <v>1</v>
      </c>
    </row>
    <row r="603" spans="1:13" ht="90" customHeight="1" x14ac:dyDescent="0.3">
      <c r="A603" s="8"/>
      <c r="B603" s="7"/>
      <c r="C603" s="7"/>
      <c r="D603" s="7"/>
      <c r="E603" s="7"/>
      <c r="F603" s="7"/>
      <c r="G603" s="7"/>
      <c r="H603" s="7"/>
      <c r="I603" s="2" t="s">
        <v>768</v>
      </c>
      <c r="J603" s="2">
        <v>0.99842983484268188</v>
      </c>
      <c r="K603" s="2" t="s">
        <v>22</v>
      </c>
      <c r="L603" s="2" t="s">
        <v>61</v>
      </c>
      <c r="M603" s="2">
        <v>7</v>
      </c>
    </row>
    <row r="604" spans="1:13" ht="90" customHeight="1" x14ac:dyDescent="0.3">
      <c r="A604" s="8"/>
      <c r="B604" s="7"/>
      <c r="C604" s="7"/>
      <c r="D604" s="7"/>
      <c r="E604" s="7"/>
      <c r="F604" s="7"/>
      <c r="G604" s="7"/>
      <c r="H604" s="7"/>
      <c r="I604" s="2" t="s">
        <v>769</v>
      </c>
      <c r="J604" s="2">
        <v>0.99787282943725586</v>
      </c>
      <c r="K604" s="2" t="s">
        <v>22</v>
      </c>
      <c r="L604" s="2" t="s">
        <v>61</v>
      </c>
      <c r="M604" s="2">
        <v>8</v>
      </c>
    </row>
    <row r="605" spans="1:13" ht="90" customHeight="1" x14ac:dyDescent="0.3">
      <c r="A605" s="8"/>
      <c r="B605" s="7"/>
      <c r="C605" s="7"/>
      <c r="D605" s="7"/>
      <c r="E605" s="7"/>
      <c r="F605" s="7"/>
      <c r="G605" s="7"/>
      <c r="H605" s="7"/>
      <c r="I605" s="1" t="s">
        <v>80</v>
      </c>
      <c r="J605" s="1">
        <v>0.76744174957275391</v>
      </c>
      <c r="K605" s="1" t="s">
        <v>22</v>
      </c>
      <c r="L605" s="1" t="s">
        <v>61</v>
      </c>
      <c r="M605" s="1">
        <v>3</v>
      </c>
    </row>
    <row r="606" spans="1:13" ht="90" customHeight="1" x14ac:dyDescent="0.3">
      <c r="A606" s="8"/>
      <c r="B606" s="7"/>
      <c r="C606" s="7"/>
      <c r="D606" s="7"/>
      <c r="E606" s="7"/>
      <c r="F606" s="7"/>
      <c r="G606" s="7"/>
      <c r="H606" s="7"/>
      <c r="I606" s="1"/>
      <c r="J606" s="1"/>
      <c r="K606" s="1"/>
      <c r="L606" s="1"/>
      <c r="M606" s="1"/>
    </row>
    <row r="607" spans="1:13" ht="90" customHeight="1" x14ac:dyDescent="0.3">
      <c r="A607" s="8">
        <v>200</v>
      </c>
      <c r="B607" s="8" t="s">
        <v>770</v>
      </c>
      <c r="C607" s="8" t="s">
        <v>562</v>
      </c>
      <c r="D607" s="8" t="s">
        <v>99</v>
      </c>
      <c r="E607" s="6" t="s">
        <v>17</v>
      </c>
      <c r="F607" s="6" t="s">
        <v>18</v>
      </c>
      <c r="G607" s="8" t="s">
        <v>771</v>
      </c>
      <c r="H607" s="8" t="s">
        <v>772</v>
      </c>
      <c r="I607" s="4" t="s">
        <v>724</v>
      </c>
      <c r="J607" s="4">
        <v>0.98630374670028687</v>
      </c>
      <c r="K607" s="4" t="s">
        <v>22</v>
      </c>
      <c r="L607" s="4" t="s">
        <v>562</v>
      </c>
      <c r="M607" s="4">
        <v>1</v>
      </c>
    </row>
    <row r="608" spans="1:13" ht="90" customHeight="1" x14ac:dyDescent="0.3">
      <c r="A608" s="8"/>
      <c r="B608" s="7"/>
      <c r="C608" s="7"/>
      <c r="D608" s="7"/>
      <c r="E608" s="7"/>
      <c r="F608" s="7"/>
      <c r="G608" s="7"/>
      <c r="H608" s="7"/>
      <c r="I608" s="1" t="s">
        <v>773</v>
      </c>
      <c r="J608" s="1">
        <v>0.76348096132278442</v>
      </c>
      <c r="K608" s="1" t="s">
        <v>22</v>
      </c>
      <c r="L608" s="1" t="s">
        <v>774</v>
      </c>
      <c r="M608" s="1">
        <v>2</v>
      </c>
    </row>
    <row r="609" spans="1:13" ht="90" customHeight="1" x14ac:dyDescent="0.3">
      <c r="A609" s="8"/>
      <c r="B609" s="7"/>
      <c r="C609" s="7"/>
      <c r="D609" s="7"/>
      <c r="E609" s="7"/>
      <c r="F609" s="7"/>
      <c r="G609" s="7"/>
      <c r="H609" s="7"/>
      <c r="I609" s="1"/>
      <c r="J609" s="1"/>
      <c r="K609" s="1"/>
      <c r="L609" s="1"/>
      <c r="M609" s="1"/>
    </row>
    <row r="610" spans="1:13" ht="90" customHeight="1" x14ac:dyDescent="0.3">
      <c r="A610" s="8"/>
      <c r="B610" s="7"/>
      <c r="C610" s="7"/>
      <c r="D610" s="7"/>
      <c r="E610" s="7"/>
      <c r="F610" s="7"/>
      <c r="G610" s="7"/>
      <c r="H610" s="7"/>
      <c r="I610" s="1"/>
      <c r="J610" s="1"/>
      <c r="K610" s="1"/>
      <c r="L610" s="1"/>
      <c r="M610" s="1"/>
    </row>
    <row r="611" spans="1:13" ht="90" customHeight="1" x14ac:dyDescent="0.3">
      <c r="A611" s="8"/>
      <c r="B611" s="7"/>
      <c r="C611" s="7"/>
      <c r="D611" s="7"/>
      <c r="E611" s="7"/>
      <c r="F611" s="7"/>
      <c r="G611" s="7"/>
      <c r="H611" s="7"/>
      <c r="I611" s="1"/>
      <c r="J611" s="1"/>
      <c r="K611" s="1"/>
      <c r="L611" s="1"/>
      <c r="M611" s="1"/>
    </row>
    <row r="612" spans="1:13" ht="90" customHeight="1" x14ac:dyDescent="0.3">
      <c r="A612" s="8">
        <v>201</v>
      </c>
      <c r="B612" s="8" t="s">
        <v>775</v>
      </c>
      <c r="C612" s="8" t="s">
        <v>739</v>
      </c>
      <c r="D612" s="8" t="s">
        <v>776</v>
      </c>
      <c r="E612" s="6" t="s">
        <v>17</v>
      </c>
      <c r="F612" s="6" t="s">
        <v>18</v>
      </c>
      <c r="G612" s="8" t="s">
        <v>777</v>
      </c>
      <c r="H612" s="8" t="s">
        <v>778</v>
      </c>
      <c r="I612" s="4" t="s">
        <v>779</v>
      </c>
      <c r="J612" s="4">
        <v>0.99994719028463552</v>
      </c>
      <c r="K612" s="4" t="s">
        <v>22</v>
      </c>
      <c r="L612" s="4" t="s">
        <v>739</v>
      </c>
      <c r="M612" s="4">
        <v>15</v>
      </c>
    </row>
    <row r="613" spans="1:13" ht="90" customHeight="1" x14ac:dyDescent="0.3">
      <c r="A613" s="8"/>
      <c r="B613" s="7"/>
      <c r="C613" s="7"/>
      <c r="D613" s="7"/>
      <c r="E613" s="7"/>
      <c r="F613" s="7"/>
      <c r="G613" s="7"/>
      <c r="H613" s="7"/>
      <c r="I613" s="4" t="s">
        <v>780</v>
      </c>
      <c r="J613" s="4">
        <v>0.99991035461271915</v>
      </c>
      <c r="K613" s="4" t="s">
        <v>22</v>
      </c>
      <c r="L613" s="4" t="s">
        <v>739</v>
      </c>
      <c r="M613" s="4">
        <v>16</v>
      </c>
    </row>
    <row r="614" spans="1:13" ht="90" customHeight="1" x14ac:dyDescent="0.3">
      <c r="A614" s="8"/>
      <c r="B614" s="7"/>
      <c r="C614" s="7"/>
      <c r="D614" s="7"/>
      <c r="E614" s="7"/>
      <c r="F614" s="7"/>
      <c r="G614" s="7"/>
      <c r="H614" s="7"/>
      <c r="I614" s="4" t="s">
        <v>781</v>
      </c>
      <c r="J614" s="4">
        <v>0.99965343920329908</v>
      </c>
      <c r="K614" s="4" t="s">
        <v>22</v>
      </c>
      <c r="L614" s="4" t="s">
        <v>739</v>
      </c>
      <c r="M614" s="4">
        <v>17</v>
      </c>
    </row>
    <row r="615" spans="1:13" ht="90" customHeight="1" x14ac:dyDescent="0.3">
      <c r="A615" s="8"/>
      <c r="B615" s="7"/>
      <c r="C615" s="7"/>
      <c r="D615" s="7"/>
      <c r="E615" s="7"/>
      <c r="F615" s="7"/>
      <c r="G615" s="7"/>
      <c r="H615" s="7"/>
      <c r="I615" s="1" t="s">
        <v>782</v>
      </c>
      <c r="J615" s="1">
        <v>0.89385342597961426</v>
      </c>
      <c r="K615" s="1" t="s">
        <v>22</v>
      </c>
      <c r="L615" s="1" t="s">
        <v>276</v>
      </c>
      <c r="M615" s="1">
        <v>20</v>
      </c>
    </row>
    <row r="616" spans="1:13" ht="90" customHeight="1" x14ac:dyDescent="0.3">
      <c r="A616" s="8"/>
      <c r="B616" s="7"/>
      <c r="C616" s="7"/>
      <c r="D616" s="7"/>
      <c r="E616" s="7"/>
      <c r="F616" s="7"/>
      <c r="G616" s="7"/>
      <c r="H616" s="7"/>
      <c r="I616" s="1"/>
      <c r="J616" s="1"/>
      <c r="K616" s="1"/>
      <c r="L616" s="1"/>
      <c r="M616" s="1"/>
    </row>
    <row r="617" spans="1:13" ht="90" customHeight="1" x14ac:dyDescent="0.3">
      <c r="A617" s="8">
        <v>204</v>
      </c>
      <c r="B617" s="8" t="s">
        <v>694</v>
      </c>
      <c r="C617" s="8" t="s">
        <v>38</v>
      </c>
      <c r="D617" s="8" t="s">
        <v>39</v>
      </c>
      <c r="E617" s="6" t="s">
        <v>17</v>
      </c>
      <c r="F617" s="6" t="s">
        <v>18</v>
      </c>
      <c r="G617" s="8" t="s">
        <v>783</v>
      </c>
      <c r="H617" s="8" t="s">
        <v>696</v>
      </c>
      <c r="I617" s="4" t="s">
        <v>42</v>
      </c>
      <c r="J617" s="4">
        <v>0.99957040803346053</v>
      </c>
      <c r="K617" s="4" t="s">
        <v>22</v>
      </c>
      <c r="L617" s="4" t="s">
        <v>38</v>
      </c>
      <c r="M617" s="4">
        <v>1</v>
      </c>
    </row>
    <row r="618" spans="1:13" ht="90" customHeight="1" x14ac:dyDescent="0.3">
      <c r="A618" s="8"/>
      <c r="B618" s="7"/>
      <c r="C618" s="7"/>
      <c r="D618" s="7"/>
      <c r="E618" s="7"/>
      <c r="F618" s="7"/>
      <c r="G618" s="7"/>
      <c r="H618" s="7"/>
      <c r="I618" s="4" t="s">
        <v>43</v>
      </c>
      <c r="J618" s="4">
        <v>0.99640872924779722</v>
      </c>
      <c r="K618" s="4" t="s">
        <v>22</v>
      </c>
      <c r="L618" s="4" t="s">
        <v>38</v>
      </c>
      <c r="M618" s="4">
        <v>3</v>
      </c>
    </row>
    <row r="619" spans="1:13" ht="90" customHeight="1" x14ac:dyDescent="0.3">
      <c r="A619" s="8"/>
      <c r="B619" s="7"/>
      <c r="C619" s="7"/>
      <c r="D619" s="7"/>
      <c r="E619" s="7"/>
      <c r="F619" s="7"/>
      <c r="G619" s="7"/>
      <c r="H619" s="7"/>
      <c r="I619" s="4" t="s">
        <v>44</v>
      </c>
      <c r="J619" s="4">
        <v>0.91642537360201692</v>
      </c>
      <c r="K619" s="4" t="s">
        <v>22</v>
      </c>
      <c r="L619" s="4" t="s">
        <v>38</v>
      </c>
      <c r="M619" s="4">
        <v>2</v>
      </c>
    </row>
    <row r="620" spans="1:13" ht="90" customHeight="1" x14ac:dyDescent="0.3">
      <c r="A620" s="8"/>
      <c r="B620" s="7"/>
      <c r="C620" s="7"/>
      <c r="D620" s="7"/>
      <c r="E620" s="7"/>
      <c r="F620" s="7"/>
      <c r="G620" s="7"/>
      <c r="H620" s="7"/>
      <c r="I620" s="1"/>
      <c r="J620" s="1"/>
      <c r="K620" s="1"/>
      <c r="L620" s="1"/>
      <c r="M620" s="1"/>
    </row>
    <row r="621" spans="1:13" ht="90" customHeight="1" x14ac:dyDescent="0.3">
      <c r="A621" s="8"/>
      <c r="B621" s="7"/>
      <c r="C621" s="7"/>
      <c r="D621" s="7"/>
      <c r="E621" s="7"/>
      <c r="F621" s="7"/>
      <c r="G621" s="7"/>
      <c r="H621" s="7"/>
      <c r="I621" s="1"/>
      <c r="J621" s="1"/>
      <c r="K621" s="1"/>
      <c r="L621" s="1"/>
      <c r="M621" s="1"/>
    </row>
    <row r="622" spans="1:13" ht="90" customHeight="1" x14ac:dyDescent="0.3">
      <c r="A622" s="8">
        <v>205</v>
      </c>
      <c r="B622" s="8" t="s">
        <v>784</v>
      </c>
      <c r="C622" s="8" t="s">
        <v>252</v>
      </c>
      <c r="D622" s="8" t="s">
        <v>647</v>
      </c>
      <c r="E622" s="6" t="s">
        <v>17</v>
      </c>
      <c r="F622" s="6" t="s">
        <v>18</v>
      </c>
      <c r="G622" s="8" t="s">
        <v>785</v>
      </c>
      <c r="H622" s="8" t="s">
        <v>786</v>
      </c>
      <c r="I622" s="4" t="s">
        <v>787</v>
      </c>
      <c r="J622" s="4">
        <v>0.98412300591586221</v>
      </c>
      <c r="K622" s="4" t="s">
        <v>22</v>
      </c>
      <c r="L622" s="4" t="s">
        <v>252</v>
      </c>
      <c r="M622" s="4">
        <v>44</v>
      </c>
    </row>
    <row r="623" spans="1:13" ht="90" customHeight="1" x14ac:dyDescent="0.3">
      <c r="A623" s="8"/>
      <c r="B623" s="7"/>
      <c r="C623" s="7"/>
      <c r="D623" s="7"/>
      <c r="E623" s="7"/>
      <c r="F623" s="7"/>
      <c r="G623" s="7"/>
      <c r="H623" s="7"/>
      <c r="I623" s="1"/>
      <c r="J623" s="1"/>
      <c r="K623" s="1"/>
      <c r="L623" s="1"/>
      <c r="M623" s="1"/>
    </row>
    <row r="624" spans="1:13" ht="90" customHeight="1" x14ac:dyDescent="0.3">
      <c r="A624" s="8"/>
      <c r="B624" s="7"/>
      <c r="C624" s="7"/>
      <c r="D624" s="7"/>
      <c r="E624" s="7"/>
      <c r="F624" s="7"/>
      <c r="G624" s="7"/>
      <c r="H624" s="7"/>
      <c r="I624" s="1"/>
      <c r="J624" s="1"/>
      <c r="K624" s="1"/>
      <c r="L624" s="1"/>
      <c r="M624" s="1"/>
    </row>
    <row r="625" spans="1:13" ht="90" customHeight="1" x14ac:dyDescent="0.3">
      <c r="A625" s="8"/>
      <c r="B625" s="7"/>
      <c r="C625" s="7"/>
      <c r="D625" s="7"/>
      <c r="E625" s="7"/>
      <c r="F625" s="7"/>
      <c r="G625" s="7"/>
      <c r="H625" s="7"/>
      <c r="I625" s="1"/>
      <c r="J625" s="1"/>
      <c r="K625" s="1"/>
      <c r="L625" s="1"/>
      <c r="M625" s="1"/>
    </row>
    <row r="626" spans="1:13" ht="90" customHeight="1" x14ac:dyDescent="0.3">
      <c r="A626" s="8"/>
      <c r="B626" s="7"/>
      <c r="C626" s="7"/>
      <c r="D626" s="7"/>
      <c r="E626" s="7"/>
      <c r="F626" s="7"/>
      <c r="G626" s="7"/>
      <c r="H626" s="7"/>
      <c r="I626" s="1"/>
      <c r="J626" s="1"/>
      <c r="K626" s="1"/>
      <c r="L626" s="1"/>
      <c r="M626" s="1"/>
    </row>
    <row r="627" spans="1:13" ht="90" customHeight="1" x14ac:dyDescent="0.3">
      <c r="A627" s="8">
        <v>207</v>
      </c>
      <c r="B627" s="8" t="s">
        <v>788</v>
      </c>
      <c r="C627" s="8" t="s">
        <v>313</v>
      </c>
      <c r="D627" s="8" t="s">
        <v>553</v>
      </c>
      <c r="E627" s="6" t="s">
        <v>17</v>
      </c>
      <c r="F627" s="6" t="s">
        <v>18</v>
      </c>
      <c r="G627" s="8" t="s">
        <v>789</v>
      </c>
      <c r="H627" s="8" t="s">
        <v>790</v>
      </c>
      <c r="I627" s="4" t="s">
        <v>412</v>
      </c>
      <c r="J627" s="4">
        <v>0.99921083450317383</v>
      </c>
      <c r="K627" s="4" t="s">
        <v>22</v>
      </c>
      <c r="L627" s="4" t="s">
        <v>313</v>
      </c>
      <c r="M627" s="4">
        <v>3</v>
      </c>
    </row>
    <row r="628" spans="1:13" ht="90" customHeight="1" x14ac:dyDescent="0.3">
      <c r="A628" s="8"/>
      <c r="B628" s="7"/>
      <c r="C628" s="7"/>
      <c r="D628" s="7"/>
      <c r="E628" s="7"/>
      <c r="F628" s="7"/>
      <c r="G628" s="7"/>
      <c r="H628" s="7"/>
      <c r="I628" s="4" t="s">
        <v>631</v>
      </c>
      <c r="J628" s="4">
        <v>0.99876737594604492</v>
      </c>
      <c r="K628" s="4" t="s">
        <v>22</v>
      </c>
      <c r="L628" s="4" t="s">
        <v>313</v>
      </c>
      <c r="M628" s="4">
        <v>2</v>
      </c>
    </row>
    <row r="629" spans="1:13" ht="90" customHeight="1" x14ac:dyDescent="0.3">
      <c r="A629" s="8"/>
      <c r="B629" s="7"/>
      <c r="C629" s="7"/>
      <c r="D629" s="7"/>
      <c r="E629" s="7"/>
      <c r="F629" s="7"/>
      <c r="G629" s="7"/>
      <c r="H629" s="7"/>
      <c r="I629" s="4" t="s">
        <v>316</v>
      </c>
      <c r="J629" s="4">
        <v>0.99683880805969238</v>
      </c>
      <c r="K629" s="4" t="s">
        <v>22</v>
      </c>
      <c r="L629" s="4" t="s">
        <v>313</v>
      </c>
      <c r="M629" s="4">
        <v>4</v>
      </c>
    </row>
    <row r="630" spans="1:13" ht="90" customHeight="1" x14ac:dyDescent="0.3">
      <c r="A630" s="8"/>
      <c r="B630" s="7"/>
      <c r="C630" s="7"/>
      <c r="D630" s="7"/>
      <c r="E630" s="7"/>
      <c r="F630" s="7"/>
      <c r="G630" s="7"/>
      <c r="H630" s="7"/>
      <c r="I630" s="1" t="s">
        <v>653</v>
      </c>
      <c r="J630" s="1">
        <v>0.83865946531295632</v>
      </c>
      <c r="K630" s="1" t="s">
        <v>22</v>
      </c>
      <c r="L630" s="1" t="s">
        <v>654</v>
      </c>
      <c r="M630" s="1">
        <v>1134</v>
      </c>
    </row>
    <row r="631" spans="1:13" ht="90" customHeight="1" x14ac:dyDescent="0.3">
      <c r="A631" s="8"/>
      <c r="B631" s="7"/>
      <c r="C631" s="7"/>
      <c r="D631" s="7"/>
      <c r="E631" s="7"/>
      <c r="F631" s="7"/>
      <c r="G631" s="7"/>
      <c r="H631" s="7"/>
      <c r="I631" s="1" t="s">
        <v>791</v>
      </c>
      <c r="J631" s="1">
        <v>0.79714178504164779</v>
      </c>
      <c r="K631" s="1" t="s">
        <v>22</v>
      </c>
      <c r="L631" s="1" t="s">
        <v>451</v>
      </c>
      <c r="M631" s="1">
        <v>53</v>
      </c>
    </row>
    <row r="632" spans="1:13" ht="90" customHeight="1" x14ac:dyDescent="0.3">
      <c r="A632" s="8">
        <v>208</v>
      </c>
      <c r="B632" s="8" t="s">
        <v>792</v>
      </c>
      <c r="C632" s="8" t="s">
        <v>658</v>
      </c>
      <c r="D632" s="8" t="s">
        <v>510</v>
      </c>
      <c r="E632" s="6" t="s">
        <v>93</v>
      </c>
      <c r="F632" s="6" t="s">
        <v>94</v>
      </c>
      <c r="G632" s="8" t="s">
        <v>793</v>
      </c>
      <c r="H632" s="8" t="s">
        <v>96</v>
      </c>
      <c r="I632" s="1"/>
      <c r="J632" s="1"/>
      <c r="K632" s="1"/>
      <c r="L632" s="1"/>
      <c r="M632" s="1"/>
    </row>
    <row r="633" spans="1:13" ht="90" customHeight="1" x14ac:dyDescent="0.3">
      <c r="A633" s="8"/>
      <c r="B633" s="7"/>
      <c r="C633" s="7"/>
      <c r="D633" s="7"/>
      <c r="E633" s="7"/>
      <c r="F633" s="7"/>
      <c r="G633" s="7"/>
      <c r="H633" s="7"/>
      <c r="I633" s="1"/>
      <c r="J633" s="1"/>
      <c r="K633" s="1"/>
      <c r="L633" s="1"/>
      <c r="M633" s="1"/>
    </row>
    <row r="634" spans="1:13" ht="90" customHeight="1" x14ac:dyDescent="0.3">
      <c r="A634" s="8"/>
      <c r="B634" s="7"/>
      <c r="C634" s="7"/>
      <c r="D634" s="7"/>
      <c r="E634" s="7"/>
      <c r="F634" s="7"/>
      <c r="G634" s="7"/>
      <c r="H634" s="7"/>
      <c r="I634" s="1"/>
      <c r="J634" s="1"/>
      <c r="K634" s="1"/>
      <c r="L634" s="1"/>
      <c r="M634" s="1"/>
    </row>
    <row r="635" spans="1:13" ht="90" customHeight="1" x14ac:dyDescent="0.3">
      <c r="A635" s="8"/>
      <c r="B635" s="7"/>
      <c r="C635" s="7"/>
      <c r="D635" s="7"/>
      <c r="E635" s="7"/>
      <c r="F635" s="7"/>
      <c r="G635" s="7"/>
      <c r="H635" s="7"/>
      <c r="I635" s="1"/>
      <c r="J635" s="1"/>
      <c r="K635" s="1"/>
      <c r="L635" s="1"/>
      <c r="M635" s="1"/>
    </row>
    <row r="636" spans="1:13" ht="90" customHeight="1" x14ac:dyDescent="0.3">
      <c r="A636" s="8"/>
      <c r="B636" s="7"/>
      <c r="C636" s="7"/>
      <c r="D636" s="7"/>
      <c r="E636" s="7"/>
      <c r="F636" s="7"/>
      <c r="G636" s="7"/>
      <c r="H636" s="7"/>
      <c r="I636" s="1"/>
      <c r="J636" s="1"/>
      <c r="K636" s="1"/>
      <c r="L636" s="1"/>
      <c r="M636" s="1"/>
    </row>
    <row r="637" spans="1:13" ht="90" customHeight="1" x14ac:dyDescent="0.3">
      <c r="A637" s="8">
        <v>209</v>
      </c>
      <c r="B637" s="8" t="s">
        <v>794</v>
      </c>
      <c r="C637" s="8" t="s">
        <v>795</v>
      </c>
      <c r="D637" s="8" t="s">
        <v>796</v>
      </c>
      <c r="E637" s="6" t="s">
        <v>17</v>
      </c>
      <c r="F637" s="6" t="s">
        <v>18</v>
      </c>
      <c r="G637" s="8" t="s">
        <v>797</v>
      </c>
      <c r="H637" s="8" t="s">
        <v>798</v>
      </c>
      <c r="I637" s="4" t="s">
        <v>799</v>
      </c>
      <c r="J637" s="4">
        <v>0.9988303082266099</v>
      </c>
      <c r="K637" s="4" t="s">
        <v>22</v>
      </c>
      <c r="L637" s="4" t="s">
        <v>795</v>
      </c>
      <c r="M637" s="4">
        <v>2</v>
      </c>
    </row>
    <row r="638" spans="1:13" ht="90" customHeight="1" x14ac:dyDescent="0.3">
      <c r="A638" s="8"/>
      <c r="B638" s="7"/>
      <c r="C638" s="7"/>
      <c r="D638" s="7"/>
      <c r="E638" s="7"/>
      <c r="F638" s="7"/>
      <c r="G638" s="7"/>
      <c r="H638" s="7"/>
      <c r="I638" s="4" t="s">
        <v>800</v>
      </c>
      <c r="J638" s="4">
        <v>0.99782802064117482</v>
      </c>
      <c r="K638" s="4" t="s">
        <v>22</v>
      </c>
      <c r="L638" s="4" t="s">
        <v>795</v>
      </c>
      <c r="M638" s="4">
        <v>3</v>
      </c>
    </row>
    <row r="639" spans="1:13" ht="90" customHeight="1" x14ac:dyDescent="0.3">
      <c r="A639" s="8"/>
      <c r="B639" s="7"/>
      <c r="C639" s="7"/>
      <c r="D639" s="7"/>
      <c r="E639" s="7"/>
      <c r="F639" s="7"/>
      <c r="G639" s="7"/>
      <c r="H639" s="7"/>
      <c r="I639" s="4" t="s">
        <v>801</v>
      </c>
      <c r="J639" s="4">
        <v>0.99568021297454834</v>
      </c>
      <c r="K639" s="4" t="s">
        <v>22</v>
      </c>
      <c r="L639" s="4" t="s">
        <v>795</v>
      </c>
      <c r="M639" s="4">
        <v>4</v>
      </c>
    </row>
    <row r="640" spans="1:13" ht="90" customHeight="1" x14ac:dyDescent="0.3">
      <c r="A640" s="8"/>
      <c r="B640" s="7"/>
      <c r="C640" s="7"/>
      <c r="D640" s="7"/>
      <c r="E640" s="7"/>
      <c r="F640" s="7"/>
      <c r="G640" s="7"/>
      <c r="H640" s="7"/>
      <c r="I640" s="5" t="s">
        <v>802</v>
      </c>
      <c r="J640" s="5">
        <v>0.89885234832763672</v>
      </c>
      <c r="K640" s="5" t="s">
        <v>22</v>
      </c>
      <c r="L640" s="5" t="s">
        <v>795</v>
      </c>
      <c r="M640" s="5">
        <v>1</v>
      </c>
    </row>
    <row r="641" spans="1:13" ht="90" customHeight="1" x14ac:dyDescent="0.3">
      <c r="A641" s="8"/>
      <c r="B641" s="7"/>
      <c r="C641" s="7"/>
      <c r="D641" s="7"/>
      <c r="E641" s="7"/>
      <c r="F641" s="7"/>
      <c r="G641" s="7"/>
      <c r="H641" s="7"/>
      <c r="I641" s="1"/>
      <c r="J641" s="1"/>
      <c r="K641" s="1"/>
      <c r="L641" s="1"/>
      <c r="M641" s="1"/>
    </row>
    <row r="642" spans="1:13" ht="90" customHeight="1" x14ac:dyDescent="0.3">
      <c r="A642" s="8">
        <v>213</v>
      </c>
      <c r="B642" s="8" t="s">
        <v>702</v>
      </c>
      <c r="C642" s="8" t="s">
        <v>276</v>
      </c>
      <c r="D642" s="8" t="s">
        <v>597</v>
      </c>
      <c r="E642" s="6" t="s">
        <v>17</v>
      </c>
      <c r="F642" s="6" t="s">
        <v>18</v>
      </c>
      <c r="G642" s="8" t="s">
        <v>803</v>
      </c>
      <c r="H642" s="8" t="s">
        <v>704</v>
      </c>
      <c r="I642" s="4" t="s">
        <v>686</v>
      </c>
      <c r="J642" s="4">
        <v>0.99993252754211426</v>
      </c>
      <c r="K642" s="4" t="s">
        <v>22</v>
      </c>
      <c r="L642" s="4" t="s">
        <v>276</v>
      </c>
      <c r="M642" s="4">
        <v>26</v>
      </c>
    </row>
    <row r="643" spans="1:13" ht="90" customHeight="1" x14ac:dyDescent="0.3">
      <c r="A643" s="8"/>
      <c r="B643" s="7"/>
      <c r="C643" s="7"/>
      <c r="D643" s="7"/>
      <c r="E643" s="7"/>
      <c r="F643" s="7"/>
      <c r="G643" s="7"/>
      <c r="H643" s="7"/>
      <c r="I643" s="1"/>
      <c r="J643" s="1"/>
      <c r="K643" s="1"/>
      <c r="L643" s="1"/>
      <c r="M643" s="1"/>
    </row>
    <row r="644" spans="1:13" ht="90" customHeight="1" x14ac:dyDescent="0.3">
      <c r="A644" s="8"/>
      <c r="B644" s="7"/>
      <c r="C644" s="7"/>
      <c r="D644" s="7"/>
      <c r="E644" s="7"/>
      <c r="F644" s="7"/>
      <c r="G644" s="7"/>
      <c r="H644" s="7"/>
      <c r="I644" s="1"/>
      <c r="J644" s="1"/>
      <c r="K644" s="1"/>
      <c r="L644" s="1"/>
      <c r="M644" s="1"/>
    </row>
    <row r="645" spans="1:13" ht="90" customHeight="1" x14ac:dyDescent="0.3">
      <c r="A645" s="8"/>
      <c r="B645" s="7"/>
      <c r="C645" s="7"/>
      <c r="D645" s="7"/>
      <c r="E645" s="7"/>
      <c r="F645" s="7"/>
      <c r="G645" s="7"/>
      <c r="H645" s="7"/>
      <c r="I645" s="1"/>
      <c r="J645" s="1"/>
      <c r="K645" s="1"/>
      <c r="L645" s="1"/>
      <c r="M645" s="1"/>
    </row>
    <row r="646" spans="1:13" ht="90" customHeight="1" x14ac:dyDescent="0.3">
      <c r="A646" s="8"/>
      <c r="B646" s="7"/>
      <c r="C646" s="7"/>
      <c r="D646" s="7"/>
      <c r="E646" s="7"/>
      <c r="F646" s="7"/>
      <c r="G646" s="7"/>
      <c r="H646" s="7"/>
      <c r="I646" s="1"/>
      <c r="J646" s="1"/>
      <c r="K646" s="1"/>
      <c r="L646" s="1"/>
      <c r="M646" s="1"/>
    </row>
    <row r="647" spans="1:13" ht="90" customHeight="1" x14ac:dyDescent="0.3">
      <c r="A647" s="8">
        <v>215</v>
      </c>
      <c r="B647" s="8" t="s">
        <v>804</v>
      </c>
      <c r="C647" s="8" t="s">
        <v>336</v>
      </c>
      <c r="D647" s="8" t="s">
        <v>99</v>
      </c>
      <c r="E647" s="6" t="s">
        <v>17</v>
      </c>
      <c r="F647" s="6" t="s">
        <v>18</v>
      </c>
      <c r="G647" s="8" t="s">
        <v>805</v>
      </c>
      <c r="H647" s="8" t="s">
        <v>806</v>
      </c>
      <c r="I647" s="4" t="s">
        <v>807</v>
      </c>
      <c r="J647" s="4">
        <v>0.99717426300048828</v>
      </c>
      <c r="K647" s="4" t="s">
        <v>22</v>
      </c>
      <c r="L647" s="4" t="s">
        <v>336</v>
      </c>
      <c r="M647" s="4">
        <v>1</v>
      </c>
    </row>
    <row r="648" spans="1:13" ht="90" customHeight="1" x14ac:dyDescent="0.3">
      <c r="A648" s="8"/>
      <c r="B648" s="7"/>
      <c r="C648" s="7"/>
      <c r="D648" s="7"/>
      <c r="E648" s="7"/>
      <c r="F648" s="7"/>
      <c r="G648" s="7"/>
      <c r="H648" s="7"/>
      <c r="I648" s="1"/>
      <c r="J648" s="1"/>
      <c r="K648" s="1"/>
      <c r="L648" s="1"/>
      <c r="M648" s="1"/>
    </row>
    <row r="649" spans="1:13" ht="90" customHeight="1" x14ac:dyDescent="0.3">
      <c r="A649" s="8"/>
      <c r="B649" s="7"/>
      <c r="C649" s="7"/>
      <c r="D649" s="7"/>
      <c r="E649" s="7"/>
      <c r="F649" s="7"/>
      <c r="G649" s="7"/>
      <c r="H649" s="7"/>
      <c r="I649" s="1"/>
      <c r="J649" s="1"/>
      <c r="K649" s="1"/>
      <c r="L649" s="1"/>
      <c r="M649" s="1"/>
    </row>
    <row r="650" spans="1:13" ht="90" customHeight="1" x14ac:dyDescent="0.3">
      <c r="A650" s="8"/>
      <c r="B650" s="7"/>
      <c r="C650" s="7"/>
      <c r="D650" s="7"/>
      <c r="E650" s="7"/>
      <c r="F650" s="7"/>
      <c r="G650" s="7"/>
      <c r="H650" s="7"/>
      <c r="I650" s="1"/>
      <c r="J650" s="1"/>
      <c r="K650" s="1"/>
      <c r="L650" s="1"/>
      <c r="M650" s="1"/>
    </row>
    <row r="651" spans="1:13" ht="90" customHeight="1" x14ac:dyDescent="0.3">
      <c r="A651" s="8"/>
      <c r="B651" s="7"/>
      <c r="C651" s="7"/>
      <c r="D651" s="7"/>
      <c r="E651" s="7"/>
      <c r="F651" s="7"/>
      <c r="G651" s="7"/>
      <c r="H651" s="7"/>
      <c r="I651" s="1"/>
      <c r="J651" s="1"/>
      <c r="K651" s="1"/>
      <c r="L651" s="1"/>
      <c r="M651" s="1"/>
    </row>
    <row r="652" spans="1:13" ht="90" customHeight="1" x14ac:dyDescent="0.3">
      <c r="A652" s="8">
        <v>216</v>
      </c>
      <c r="B652" s="8" t="s">
        <v>808</v>
      </c>
      <c r="C652" s="8" t="s">
        <v>131</v>
      </c>
      <c r="D652" s="8" t="s">
        <v>139</v>
      </c>
      <c r="E652" s="6" t="s">
        <v>17</v>
      </c>
      <c r="F652" s="6" t="s">
        <v>18</v>
      </c>
      <c r="G652" s="8" t="s">
        <v>809</v>
      </c>
      <c r="H652" s="8" t="s">
        <v>810</v>
      </c>
      <c r="I652" s="4" t="s">
        <v>811</v>
      </c>
      <c r="J652" s="4">
        <v>0.93190860748290971</v>
      </c>
      <c r="K652" s="4" t="s">
        <v>22</v>
      </c>
      <c r="L652" s="4" t="s">
        <v>131</v>
      </c>
      <c r="M652" s="4">
        <v>13</v>
      </c>
    </row>
    <row r="653" spans="1:13" ht="90" customHeight="1" x14ac:dyDescent="0.3">
      <c r="A653" s="8"/>
      <c r="B653" s="7"/>
      <c r="C653" s="7"/>
      <c r="D653" s="7"/>
      <c r="E653" s="7"/>
      <c r="F653" s="7"/>
      <c r="G653" s="7"/>
      <c r="H653" s="7"/>
      <c r="I653" s="1"/>
      <c r="J653" s="1"/>
      <c r="K653" s="1"/>
      <c r="L653" s="1"/>
      <c r="M653" s="1"/>
    </row>
    <row r="654" spans="1:13" ht="90" customHeight="1" x14ac:dyDescent="0.3">
      <c r="A654" s="8"/>
      <c r="B654" s="7"/>
      <c r="C654" s="7"/>
      <c r="D654" s="7"/>
      <c r="E654" s="7"/>
      <c r="F654" s="7"/>
      <c r="G654" s="7"/>
      <c r="H654" s="7"/>
      <c r="I654" s="1"/>
      <c r="J654" s="1"/>
      <c r="K654" s="1"/>
      <c r="L654" s="1"/>
      <c r="M654" s="1"/>
    </row>
    <row r="655" spans="1:13" ht="90" customHeight="1" x14ac:dyDescent="0.3">
      <c r="A655" s="8"/>
      <c r="B655" s="7"/>
      <c r="C655" s="7"/>
      <c r="D655" s="7"/>
      <c r="E655" s="7"/>
      <c r="F655" s="7"/>
      <c r="G655" s="7"/>
      <c r="H655" s="7"/>
      <c r="I655" s="1"/>
      <c r="J655" s="1"/>
      <c r="K655" s="1"/>
      <c r="L655" s="1"/>
      <c r="M655" s="1"/>
    </row>
    <row r="656" spans="1:13" ht="90" customHeight="1" x14ac:dyDescent="0.3">
      <c r="A656" s="8"/>
      <c r="B656" s="7"/>
      <c r="C656" s="7"/>
      <c r="D656" s="7"/>
      <c r="E656" s="7"/>
      <c r="F656" s="7"/>
      <c r="G656" s="7"/>
      <c r="H656" s="7"/>
      <c r="I656" s="1"/>
      <c r="J656" s="1"/>
      <c r="K656" s="1"/>
      <c r="L656" s="1"/>
      <c r="M656" s="1"/>
    </row>
    <row r="657" spans="1:13" ht="90" customHeight="1" x14ac:dyDescent="0.3">
      <c r="A657" s="8">
        <v>217</v>
      </c>
      <c r="B657" s="8" t="s">
        <v>812</v>
      </c>
      <c r="C657" s="8" t="s">
        <v>485</v>
      </c>
      <c r="D657" s="8" t="s">
        <v>813</v>
      </c>
      <c r="E657" s="6" t="s">
        <v>17</v>
      </c>
      <c r="F657" s="6" t="s">
        <v>18</v>
      </c>
      <c r="G657" s="8" t="s">
        <v>814</v>
      </c>
      <c r="H657" s="8" t="s">
        <v>815</v>
      </c>
      <c r="I657" s="4" t="s">
        <v>816</v>
      </c>
      <c r="J657" s="4">
        <v>0.99982112646102905</v>
      </c>
      <c r="K657" s="4" t="s">
        <v>22</v>
      </c>
      <c r="L657" s="4" t="s">
        <v>485</v>
      </c>
      <c r="M657" s="4">
        <v>349</v>
      </c>
    </row>
    <row r="658" spans="1:13" ht="90" customHeight="1" x14ac:dyDescent="0.3">
      <c r="A658" s="8"/>
      <c r="B658" s="7"/>
      <c r="C658" s="7"/>
      <c r="D658" s="7"/>
      <c r="E658" s="7"/>
      <c r="F658" s="7"/>
      <c r="G658" s="7"/>
      <c r="H658" s="7"/>
      <c r="I658" s="1"/>
      <c r="J658" s="1"/>
      <c r="K658" s="1"/>
      <c r="L658" s="1"/>
      <c r="M658" s="1"/>
    </row>
    <row r="659" spans="1:13" ht="90" customHeight="1" x14ac:dyDescent="0.3">
      <c r="A659" s="8"/>
      <c r="B659" s="7"/>
      <c r="C659" s="7"/>
      <c r="D659" s="7"/>
      <c r="E659" s="7"/>
      <c r="F659" s="7"/>
      <c r="G659" s="7"/>
      <c r="H659" s="7"/>
      <c r="I659" s="1"/>
      <c r="J659" s="1"/>
      <c r="K659" s="1"/>
      <c r="L659" s="1"/>
      <c r="M659" s="1"/>
    </row>
    <row r="660" spans="1:13" ht="90" customHeight="1" x14ac:dyDescent="0.3">
      <c r="A660" s="8"/>
      <c r="B660" s="7"/>
      <c r="C660" s="7"/>
      <c r="D660" s="7"/>
      <c r="E660" s="7"/>
      <c r="F660" s="7"/>
      <c r="G660" s="7"/>
      <c r="H660" s="7"/>
      <c r="I660" s="1"/>
      <c r="J660" s="1"/>
      <c r="K660" s="1"/>
      <c r="L660" s="1"/>
      <c r="M660" s="1"/>
    </row>
    <row r="661" spans="1:13" ht="90" customHeight="1" x14ac:dyDescent="0.3">
      <c r="A661" s="8"/>
      <c r="B661" s="7"/>
      <c r="C661" s="7"/>
      <c r="D661" s="7"/>
      <c r="E661" s="7"/>
      <c r="F661" s="7"/>
      <c r="G661" s="7"/>
      <c r="H661" s="7"/>
      <c r="I661" s="1"/>
      <c r="J661" s="1"/>
      <c r="K661" s="1"/>
      <c r="L661" s="1"/>
      <c r="M661" s="1"/>
    </row>
    <row r="662" spans="1:13" ht="90" customHeight="1" x14ac:dyDescent="0.3">
      <c r="A662" s="8">
        <v>220</v>
      </c>
      <c r="B662" s="8" t="s">
        <v>817</v>
      </c>
      <c r="C662" s="8" t="s">
        <v>85</v>
      </c>
      <c r="D662" s="8" t="s">
        <v>99</v>
      </c>
      <c r="E662" s="6" t="s">
        <v>17</v>
      </c>
      <c r="F662" s="6" t="s">
        <v>18</v>
      </c>
      <c r="G662" s="8" t="s">
        <v>818</v>
      </c>
      <c r="H662" s="8" t="s">
        <v>819</v>
      </c>
      <c r="I662" s="4" t="s">
        <v>113</v>
      </c>
      <c r="J662" s="4">
        <v>0.84909666355360303</v>
      </c>
      <c r="K662" s="4" t="s">
        <v>22</v>
      </c>
      <c r="L662" s="4" t="s">
        <v>85</v>
      </c>
      <c r="M662" s="4">
        <v>1</v>
      </c>
    </row>
    <row r="663" spans="1:13" ht="90" customHeight="1" x14ac:dyDescent="0.3">
      <c r="A663" s="8"/>
      <c r="B663" s="7"/>
      <c r="C663" s="7"/>
      <c r="D663" s="7"/>
      <c r="E663" s="7"/>
      <c r="F663" s="7"/>
      <c r="G663" s="7"/>
      <c r="H663" s="7"/>
      <c r="I663" s="1"/>
      <c r="J663" s="1"/>
      <c r="K663" s="1"/>
      <c r="L663" s="1"/>
      <c r="M663" s="1"/>
    </row>
    <row r="664" spans="1:13" ht="90" customHeight="1" x14ac:dyDescent="0.3">
      <c r="A664" s="8"/>
      <c r="B664" s="7"/>
      <c r="C664" s="7"/>
      <c r="D664" s="7"/>
      <c r="E664" s="7"/>
      <c r="F664" s="7"/>
      <c r="G664" s="7"/>
      <c r="H664" s="7"/>
      <c r="I664" s="1"/>
      <c r="J664" s="1"/>
      <c r="K664" s="1"/>
      <c r="L664" s="1"/>
      <c r="M664" s="1"/>
    </row>
    <row r="665" spans="1:13" ht="90" customHeight="1" x14ac:dyDescent="0.3">
      <c r="A665" s="8"/>
      <c r="B665" s="7"/>
      <c r="C665" s="7"/>
      <c r="D665" s="7"/>
      <c r="E665" s="7"/>
      <c r="F665" s="7"/>
      <c r="G665" s="7"/>
      <c r="H665" s="7"/>
      <c r="I665" s="1"/>
      <c r="J665" s="1"/>
      <c r="K665" s="1"/>
      <c r="L665" s="1"/>
      <c r="M665" s="1"/>
    </row>
    <row r="666" spans="1:13" ht="90" customHeight="1" x14ac:dyDescent="0.3">
      <c r="A666" s="8"/>
      <c r="B666" s="7"/>
      <c r="C666" s="7"/>
      <c r="D666" s="7"/>
      <c r="E666" s="7"/>
      <c r="F666" s="7"/>
      <c r="G666" s="7"/>
      <c r="H666" s="7"/>
      <c r="I666" s="1"/>
      <c r="J666" s="1"/>
      <c r="K666" s="1"/>
      <c r="L666" s="1"/>
      <c r="M666" s="1"/>
    </row>
    <row r="667" spans="1:13" ht="90" customHeight="1" x14ac:dyDescent="0.3">
      <c r="A667" s="8">
        <v>221</v>
      </c>
      <c r="B667" s="8" t="s">
        <v>820</v>
      </c>
      <c r="C667" s="8" t="s">
        <v>821</v>
      </c>
      <c r="D667" s="8" t="s">
        <v>99</v>
      </c>
      <c r="E667" s="6" t="s">
        <v>17</v>
      </c>
      <c r="F667" s="6" t="s">
        <v>18</v>
      </c>
      <c r="G667" s="8" t="s">
        <v>822</v>
      </c>
      <c r="H667" s="8" t="s">
        <v>823</v>
      </c>
      <c r="I667" s="4" t="s">
        <v>824</v>
      </c>
      <c r="J667" s="4">
        <v>0.97107869386672974</v>
      </c>
      <c r="K667" s="4" t="s">
        <v>76</v>
      </c>
      <c r="L667" s="4" t="s">
        <v>821</v>
      </c>
      <c r="M667" s="4">
        <v>1</v>
      </c>
    </row>
    <row r="668" spans="1:13" ht="90" customHeight="1" x14ac:dyDescent="0.3">
      <c r="A668" s="8"/>
      <c r="B668" s="7"/>
      <c r="C668" s="7"/>
      <c r="D668" s="7"/>
      <c r="E668" s="7"/>
      <c r="F668" s="7"/>
      <c r="G668" s="7"/>
      <c r="H668" s="7"/>
      <c r="I668" s="1"/>
      <c r="J668" s="1"/>
      <c r="K668" s="1"/>
      <c r="L668" s="1"/>
      <c r="M668" s="1"/>
    </row>
    <row r="669" spans="1:13" ht="90" customHeight="1" x14ac:dyDescent="0.3">
      <c r="A669" s="8"/>
      <c r="B669" s="7"/>
      <c r="C669" s="7"/>
      <c r="D669" s="7"/>
      <c r="E669" s="7"/>
      <c r="F669" s="7"/>
      <c r="G669" s="7"/>
      <c r="H669" s="7"/>
      <c r="I669" s="1"/>
      <c r="J669" s="1"/>
      <c r="K669" s="1"/>
      <c r="L669" s="1"/>
      <c r="M669" s="1"/>
    </row>
    <row r="670" spans="1:13" ht="90" customHeight="1" x14ac:dyDescent="0.3">
      <c r="A670" s="8"/>
      <c r="B670" s="7"/>
      <c r="C670" s="7"/>
      <c r="D670" s="7"/>
      <c r="E670" s="7"/>
      <c r="F670" s="7"/>
      <c r="G670" s="7"/>
      <c r="H670" s="7"/>
      <c r="I670" s="1"/>
      <c r="J670" s="1"/>
      <c r="K670" s="1"/>
      <c r="L670" s="1"/>
      <c r="M670" s="1"/>
    </row>
    <row r="671" spans="1:13" ht="90" customHeight="1" x14ac:dyDescent="0.3">
      <c r="A671" s="8"/>
      <c r="B671" s="7"/>
      <c r="C671" s="7"/>
      <c r="D671" s="7"/>
      <c r="E671" s="7"/>
      <c r="F671" s="7"/>
      <c r="G671" s="7"/>
      <c r="H671" s="7"/>
      <c r="I671" s="1"/>
      <c r="J671" s="1"/>
      <c r="K671" s="1"/>
      <c r="L671" s="1"/>
      <c r="M671" s="1"/>
    </row>
    <row r="672" spans="1:13" ht="90" customHeight="1" x14ac:dyDescent="0.3">
      <c r="A672" s="8">
        <v>222</v>
      </c>
      <c r="B672" s="8" t="s">
        <v>825</v>
      </c>
      <c r="C672" s="8" t="s">
        <v>826</v>
      </c>
      <c r="D672" s="8" t="s">
        <v>827</v>
      </c>
      <c r="E672" s="6" t="s">
        <v>17</v>
      </c>
      <c r="F672" s="6" t="s">
        <v>18</v>
      </c>
      <c r="G672" s="8" t="s">
        <v>828</v>
      </c>
      <c r="H672" s="8" t="s">
        <v>829</v>
      </c>
      <c r="I672" s="4" t="s">
        <v>830</v>
      </c>
      <c r="J672" s="4">
        <v>0.99993634223937988</v>
      </c>
      <c r="K672" s="4" t="s">
        <v>22</v>
      </c>
      <c r="L672" s="4" t="s">
        <v>826</v>
      </c>
      <c r="M672" s="4">
        <v>264</v>
      </c>
    </row>
    <row r="673" spans="1:13" ht="90" customHeight="1" x14ac:dyDescent="0.3">
      <c r="A673" s="8"/>
      <c r="B673" s="7"/>
      <c r="C673" s="7"/>
      <c r="D673" s="7"/>
      <c r="E673" s="7"/>
      <c r="F673" s="7"/>
      <c r="G673" s="7"/>
      <c r="H673" s="7"/>
      <c r="I673" s="1"/>
      <c r="J673" s="1"/>
      <c r="K673" s="1"/>
      <c r="L673" s="1"/>
      <c r="M673" s="1"/>
    </row>
    <row r="674" spans="1:13" ht="90" customHeight="1" x14ac:dyDescent="0.3">
      <c r="A674" s="8"/>
      <c r="B674" s="7"/>
      <c r="C674" s="7"/>
      <c r="D674" s="7"/>
      <c r="E674" s="7"/>
      <c r="F674" s="7"/>
      <c r="G674" s="7"/>
      <c r="H674" s="7"/>
      <c r="I674" s="1"/>
      <c r="J674" s="1"/>
      <c r="K674" s="1"/>
      <c r="L674" s="1"/>
      <c r="M674" s="1"/>
    </row>
    <row r="675" spans="1:13" ht="90" customHeight="1" x14ac:dyDescent="0.3">
      <c r="A675" s="8"/>
      <c r="B675" s="7"/>
      <c r="C675" s="7"/>
      <c r="D675" s="7"/>
      <c r="E675" s="7"/>
      <c r="F675" s="7"/>
      <c r="G675" s="7"/>
      <c r="H675" s="7"/>
      <c r="I675" s="1"/>
      <c r="J675" s="1"/>
      <c r="K675" s="1"/>
      <c r="L675" s="1"/>
      <c r="M675" s="1"/>
    </row>
    <row r="676" spans="1:13" ht="90" customHeight="1" x14ac:dyDescent="0.3">
      <c r="A676" s="8"/>
      <c r="B676" s="7"/>
      <c r="C676" s="7"/>
      <c r="D676" s="7"/>
      <c r="E676" s="7"/>
      <c r="F676" s="7"/>
      <c r="G676" s="7"/>
      <c r="H676" s="7"/>
      <c r="I676" s="1"/>
      <c r="J676" s="1"/>
      <c r="K676" s="1"/>
      <c r="L676" s="1"/>
      <c r="M676" s="1"/>
    </row>
    <row r="677" spans="1:13" ht="90" customHeight="1" x14ac:dyDescent="0.3">
      <c r="A677" s="8">
        <v>226</v>
      </c>
      <c r="B677" s="8" t="s">
        <v>831</v>
      </c>
      <c r="C677" s="8" t="s">
        <v>494</v>
      </c>
      <c r="D677" s="8" t="s">
        <v>99</v>
      </c>
      <c r="E677" s="6" t="s">
        <v>17</v>
      </c>
      <c r="F677" s="6" t="s">
        <v>18</v>
      </c>
      <c r="G677" s="8" t="s">
        <v>832</v>
      </c>
      <c r="H677" s="8" t="s">
        <v>833</v>
      </c>
      <c r="I677" s="4" t="s">
        <v>834</v>
      </c>
      <c r="J677" s="4">
        <v>0.99999821186048621</v>
      </c>
      <c r="K677" s="4" t="s">
        <v>22</v>
      </c>
      <c r="L677" s="4" t="s">
        <v>494</v>
      </c>
      <c r="M677" s="4">
        <v>1</v>
      </c>
    </row>
    <row r="678" spans="1:13" ht="90" customHeight="1" x14ac:dyDescent="0.3">
      <c r="A678" s="8"/>
      <c r="B678" s="7"/>
      <c r="C678" s="7"/>
      <c r="D678" s="7"/>
      <c r="E678" s="7"/>
      <c r="F678" s="7"/>
      <c r="G678" s="7"/>
      <c r="H678" s="7"/>
      <c r="I678" s="1"/>
      <c r="J678" s="1"/>
      <c r="K678" s="1"/>
      <c r="L678" s="1"/>
      <c r="M678" s="1"/>
    </row>
    <row r="679" spans="1:13" ht="90" customHeight="1" x14ac:dyDescent="0.3">
      <c r="A679" s="8"/>
      <c r="B679" s="7"/>
      <c r="C679" s="7"/>
      <c r="D679" s="7"/>
      <c r="E679" s="7"/>
      <c r="F679" s="7"/>
      <c r="G679" s="7"/>
      <c r="H679" s="7"/>
      <c r="I679" s="1"/>
      <c r="J679" s="1"/>
      <c r="K679" s="1"/>
      <c r="L679" s="1"/>
      <c r="M679" s="1"/>
    </row>
    <row r="680" spans="1:13" ht="90" customHeight="1" x14ac:dyDescent="0.3">
      <c r="A680" s="8"/>
      <c r="B680" s="7"/>
      <c r="C680" s="7"/>
      <c r="D680" s="7"/>
      <c r="E680" s="7"/>
      <c r="F680" s="7"/>
      <c r="G680" s="7"/>
      <c r="H680" s="7"/>
      <c r="I680" s="1"/>
      <c r="J680" s="1"/>
      <c r="K680" s="1"/>
      <c r="L680" s="1"/>
      <c r="M680" s="1"/>
    </row>
    <row r="681" spans="1:13" ht="90" customHeight="1" x14ac:dyDescent="0.3">
      <c r="A681" s="8"/>
      <c r="B681" s="7"/>
      <c r="C681" s="7"/>
      <c r="D681" s="7"/>
      <c r="E681" s="7"/>
      <c r="F681" s="7"/>
      <c r="G681" s="7"/>
      <c r="H681" s="7"/>
      <c r="I681" s="1"/>
      <c r="J681" s="1"/>
      <c r="K681" s="1"/>
      <c r="L681" s="1"/>
      <c r="M681" s="1"/>
    </row>
    <row r="682" spans="1:13" ht="90" customHeight="1" x14ac:dyDescent="0.3">
      <c r="A682" s="8">
        <v>229</v>
      </c>
      <c r="B682" s="8" t="s">
        <v>835</v>
      </c>
      <c r="C682" s="8" t="s">
        <v>836</v>
      </c>
      <c r="D682" s="8" t="s">
        <v>837</v>
      </c>
      <c r="E682" s="6" t="s">
        <v>17</v>
      </c>
      <c r="F682" s="6" t="s">
        <v>18</v>
      </c>
      <c r="G682" s="8" t="s">
        <v>838</v>
      </c>
      <c r="H682" s="8" t="s">
        <v>839</v>
      </c>
      <c r="I682" s="4" t="s">
        <v>840</v>
      </c>
      <c r="J682" s="4">
        <v>0.99960464945050564</v>
      </c>
      <c r="K682" s="4" t="s">
        <v>22</v>
      </c>
      <c r="L682" s="4" t="s">
        <v>836</v>
      </c>
      <c r="M682" s="4">
        <v>30</v>
      </c>
    </row>
    <row r="683" spans="1:13" ht="90" customHeight="1" x14ac:dyDescent="0.3">
      <c r="A683" s="8"/>
      <c r="B683" s="7"/>
      <c r="C683" s="7"/>
      <c r="D683" s="7"/>
      <c r="E683" s="7"/>
      <c r="F683" s="7"/>
      <c r="G683" s="7"/>
      <c r="H683" s="7"/>
      <c r="I683" s="4" t="s">
        <v>841</v>
      </c>
      <c r="J683" s="4">
        <v>0.99918967478554688</v>
      </c>
      <c r="K683" s="4" t="s">
        <v>22</v>
      </c>
      <c r="L683" s="4" t="s">
        <v>836</v>
      </c>
      <c r="M683" s="4">
        <v>29</v>
      </c>
    </row>
    <row r="684" spans="1:13" ht="90" customHeight="1" x14ac:dyDescent="0.3">
      <c r="A684" s="8"/>
      <c r="B684" s="7"/>
      <c r="C684" s="7"/>
      <c r="D684" s="7"/>
      <c r="E684" s="7"/>
      <c r="F684" s="7"/>
      <c r="G684" s="7"/>
      <c r="H684" s="7"/>
      <c r="I684" s="1"/>
      <c r="J684" s="1"/>
      <c r="K684" s="1"/>
      <c r="L684" s="1"/>
      <c r="M684" s="1"/>
    </row>
    <row r="685" spans="1:13" ht="90" customHeight="1" x14ac:dyDescent="0.3">
      <c r="A685" s="8"/>
      <c r="B685" s="7"/>
      <c r="C685" s="7"/>
      <c r="D685" s="7"/>
      <c r="E685" s="7"/>
      <c r="F685" s="7"/>
      <c r="G685" s="7"/>
      <c r="H685" s="7"/>
      <c r="I685" s="1"/>
      <c r="J685" s="1"/>
      <c r="K685" s="1"/>
      <c r="L685" s="1"/>
      <c r="M685" s="1"/>
    </row>
    <row r="686" spans="1:13" ht="90" customHeight="1" x14ac:dyDescent="0.3">
      <c r="A686" s="8"/>
      <c r="B686" s="7"/>
      <c r="C686" s="7"/>
      <c r="D686" s="7"/>
      <c r="E686" s="7"/>
      <c r="F686" s="7"/>
      <c r="G686" s="7"/>
      <c r="H686" s="7"/>
      <c r="I686" s="1"/>
      <c r="J686" s="1"/>
      <c r="K686" s="1"/>
      <c r="L686" s="1"/>
      <c r="M686" s="1"/>
    </row>
    <row r="687" spans="1:13" ht="90" customHeight="1" x14ac:dyDescent="0.3">
      <c r="A687" s="8">
        <v>230</v>
      </c>
      <c r="B687" s="8" t="s">
        <v>842</v>
      </c>
      <c r="C687" s="8" t="s">
        <v>562</v>
      </c>
      <c r="D687" s="8" t="s">
        <v>99</v>
      </c>
      <c r="E687" s="6" t="s">
        <v>17</v>
      </c>
      <c r="F687" s="6" t="s">
        <v>18</v>
      </c>
      <c r="G687" s="8" t="s">
        <v>843</v>
      </c>
      <c r="H687" s="8" t="s">
        <v>844</v>
      </c>
      <c r="I687" s="4" t="s">
        <v>845</v>
      </c>
      <c r="J687" s="4">
        <v>0.88844891239461432</v>
      </c>
      <c r="K687" s="4" t="s">
        <v>22</v>
      </c>
      <c r="L687" s="4" t="s">
        <v>562</v>
      </c>
      <c r="M687" s="4">
        <v>1</v>
      </c>
    </row>
    <row r="688" spans="1:13" ht="90" customHeight="1" x14ac:dyDescent="0.3">
      <c r="A688" s="8"/>
      <c r="B688" s="7"/>
      <c r="C688" s="7"/>
      <c r="D688" s="7"/>
      <c r="E688" s="7"/>
      <c r="F688" s="7"/>
      <c r="G688" s="7"/>
      <c r="H688" s="7"/>
      <c r="I688" s="1"/>
      <c r="J688" s="1"/>
      <c r="K688" s="1"/>
      <c r="L688" s="1"/>
      <c r="M688" s="1"/>
    </row>
    <row r="689" spans="1:13" ht="90" customHeight="1" x14ac:dyDescent="0.3">
      <c r="A689" s="8"/>
      <c r="B689" s="7"/>
      <c r="C689" s="7"/>
      <c r="D689" s="7"/>
      <c r="E689" s="7"/>
      <c r="F689" s="7"/>
      <c r="G689" s="7"/>
      <c r="H689" s="7"/>
      <c r="I689" s="1"/>
      <c r="J689" s="1"/>
      <c r="K689" s="1"/>
      <c r="L689" s="1"/>
      <c r="M689" s="1"/>
    </row>
    <row r="690" spans="1:13" ht="90" customHeight="1" x14ac:dyDescent="0.3">
      <c r="A690" s="8"/>
      <c r="B690" s="7"/>
      <c r="C690" s="7"/>
      <c r="D690" s="7"/>
      <c r="E690" s="7"/>
      <c r="F690" s="7"/>
      <c r="G690" s="7"/>
      <c r="H690" s="7"/>
      <c r="I690" s="1"/>
      <c r="J690" s="1"/>
      <c r="K690" s="1"/>
      <c r="L690" s="1"/>
      <c r="M690" s="1"/>
    </row>
    <row r="691" spans="1:13" ht="90" customHeight="1" x14ac:dyDescent="0.3">
      <c r="A691" s="8"/>
      <c r="B691" s="7"/>
      <c r="C691" s="7"/>
      <c r="D691" s="7"/>
      <c r="E691" s="7"/>
      <c r="F691" s="7"/>
      <c r="G691" s="7"/>
      <c r="H691" s="7"/>
      <c r="I691" s="1"/>
      <c r="J691" s="1"/>
      <c r="K691" s="1"/>
      <c r="L691" s="1"/>
      <c r="M691" s="1"/>
    </row>
    <row r="692" spans="1:13" ht="90" customHeight="1" x14ac:dyDescent="0.3">
      <c r="A692" s="8">
        <v>231</v>
      </c>
      <c r="B692" s="8" t="s">
        <v>846</v>
      </c>
      <c r="C692" s="8" t="s">
        <v>527</v>
      </c>
      <c r="D692" s="8" t="s">
        <v>99</v>
      </c>
      <c r="E692" s="6" t="s">
        <v>17</v>
      </c>
      <c r="F692" s="6" t="s">
        <v>18</v>
      </c>
      <c r="G692" s="8" t="s">
        <v>847</v>
      </c>
      <c r="H692" s="8" t="s">
        <v>848</v>
      </c>
      <c r="I692" s="4" t="s">
        <v>530</v>
      </c>
      <c r="J692" s="4">
        <v>0.99806982278823853</v>
      </c>
      <c r="K692" s="4" t="s">
        <v>22</v>
      </c>
      <c r="L692" s="4" t="s">
        <v>527</v>
      </c>
      <c r="M692" s="4">
        <v>1</v>
      </c>
    </row>
    <row r="693" spans="1:13" ht="90" customHeight="1" x14ac:dyDescent="0.3">
      <c r="A693" s="8"/>
      <c r="B693" s="7"/>
      <c r="C693" s="7"/>
      <c r="D693" s="7"/>
      <c r="E693" s="7"/>
      <c r="F693" s="7"/>
      <c r="G693" s="7"/>
      <c r="H693" s="7"/>
      <c r="I693" s="1"/>
      <c r="J693" s="1"/>
      <c r="K693" s="1"/>
      <c r="L693" s="1"/>
      <c r="M693" s="1"/>
    </row>
    <row r="694" spans="1:13" ht="90" customHeight="1" x14ac:dyDescent="0.3">
      <c r="A694" s="8"/>
      <c r="B694" s="7"/>
      <c r="C694" s="7"/>
      <c r="D694" s="7"/>
      <c r="E694" s="7"/>
      <c r="F694" s="7"/>
      <c r="G694" s="7"/>
      <c r="H694" s="7"/>
      <c r="I694" s="1"/>
      <c r="J694" s="1"/>
      <c r="K694" s="1"/>
      <c r="L694" s="1"/>
      <c r="M694" s="1"/>
    </row>
    <row r="695" spans="1:13" ht="90" customHeight="1" x14ac:dyDescent="0.3">
      <c r="A695" s="8"/>
      <c r="B695" s="7"/>
      <c r="C695" s="7"/>
      <c r="D695" s="7"/>
      <c r="E695" s="7"/>
      <c r="F695" s="7"/>
      <c r="G695" s="7"/>
      <c r="H695" s="7"/>
      <c r="I695" s="1"/>
      <c r="J695" s="1"/>
      <c r="K695" s="1"/>
      <c r="L695" s="1"/>
      <c r="M695" s="1"/>
    </row>
    <row r="696" spans="1:13" ht="90" customHeight="1" x14ac:dyDescent="0.3">
      <c r="A696" s="8"/>
      <c r="B696" s="7"/>
      <c r="C696" s="7"/>
      <c r="D696" s="7"/>
      <c r="E696" s="7"/>
      <c r="F696" s="7"/>
      <c r="G696" s="7"/>
      <c r="H696" s="7"/>
      <c r="I696" s="1"/>
      <c r="J696" s="1"/>
      <c r="K696" s="1"/>
      <c r="L696" s="1"/>
      <c r="M696" s="1"/>
    </row>
    <row r="697" spans="1:13" ht="90" customHeight="1" x14ac:dyDescent="0.3">
      <c r="A697" s="8">
        <v>233</v>
      </c>
      <c r="B697" s="8" t="s">
        <v>849</v>
      </c>
      <c r="C697" s="8" t="s">
        <v>336</v>
      </c>
      <c r="D697" s="8" t="s">
        <v>99</v>
      </c>
      <c r="E697" s="6" t="s">
        <v>93</v>
      </c>
      <c r="F697" s="6" t="s">
        <v>94</v>
      </c>
      <c r="G697" s="8" t="s">
        <v>850</v>
      </c>
      <c r="H697" s="8" t="s">
        <v>96</v>
      </c>
      <c r="I697" s="1"/>
      <c r="J697" s="1"/>
      <c r="K697" s="1"/>
      <c r="L697" s="1"/>
      <c r="M697" s="1"/>
    </row>
    <row r="698" spans="1:13" ht="90" customHeight="1" x14ac:dyDescent="0.3">
      <c r="A698" s="8"/>
      <c r="B698" s="7"/>
      <c r="C698" s="7"/>
      <c r="D698" s="7"/>
      <c r="E698" s="7"/>
      <c r="F698" s="7"/>
      <c r="G698" s="7"/>
      <c r="H698" s="7"/>
      <c r="I698" s="1"/>
      <c r="J698" s="1"/>
      <c r="K698" s="1"/>
      <c r="L698" s="1"/>
      <c r="M698" s="1"/>
    </row>
    <row r="699" spans="1:13" ht="90" customHeight="1" x14ac:dyDescent="0.3">
      <c r="A699" s="8"/>
      <c r="B699" s="7"/>
      <c r="C699" s="7"/>
      <c r="D699" s="7"/>
      <c r="E699" s="7"/>
      <c r="F699" s="7"/>
      <c r="G699" s="7"/>
      <c r="H699" s="7"/>
      <c r="I699" s="1"/>
      <c r="J699" s="1"/>
      <c r="K699" s="1"/>
      <c r="L699" s="1"/>
      <c r="M699" s="1"/>
    </row>
    <row r="700" spans="1:13" ht="90" customHeight="1" x14ac:dyDescent="0.3">
      <c r="A700" s="8"/>
      <c r="B700" s="7"/>
      <c r="C700" s="7"/>
      <c r="D700" s="7"/>
      <c r="E700" s="7"/>
      <c r="F700" s="7"/>
      <c r="G700" s="7"/>
      <c r="H700" s="7"/>
      <c r="I700" s="1"/>
      <c r="J700" s="1"/>
      <c r="K700" s="1"/>
      <c r="L700" s="1"/>
      <c r="M700" s="1"/>
    </row>
    <row r="701" spans="1:13" ht="90" customHeight="1" x14ac:dyDescent="0.3">
      <c r="A701" s="8"/>
      <c r="B701" s="7"/>
      <c r="C701" s="7"/>
      <c r="D701" s="7"/>
      <c r="E701" s="7"/>
      <c r="F701" s="7"/>
      <c r="G701" s="7"/>
      <c r="H701" s="7"/>
      <c r="I701" s="1"/>
      <c r="J701" s="1"/>
      <c r="K701" s="1"/>
      <c r="L701" s="1"/>
      <c r="M701" s="1"/>
    </row>
    <row r="702" spans="1:13" ht="90" customHeight="1" x14ac:dyDescent="0.3">
      <c r="A702" s="8">
        <v>236</v>
      </c>
      <c r="B702" s="8" t="s">
        <v>851</v>
      </c>
      <c r="C702" s="8" t="s">
        <v>67</v>
      </c>
      <c r="D702" s="8" t="s">
        <v>852</v>
      </c>
      <c r="E702" s="6" t="s">
        <v>17</v>
      </c>
      <c r="F702" s="6" t="s">
        <v>18</v>
      </c>
      <c r="G702" s="8" t="s">
        <v>853</v>
      </c>
      <c r="H702" s="8" t="s">
        <v>854</v>
      </c>
      <c r="I702" s="4" t="s">
        <v>855</v>
      </c>
      <c r="J702" s="4">
        <v>0.99997913837432861</v>
      </c>
      <c r="K702" s="4" t="s">
        <v>22</v>
      </c>
      <c r="L702" s="4" t="s">
        <v>67</v>
      </c>
      <c r="M702" s="4">
        <v>131</v>
      </c>
    </row>
    <row r="703" spans="1:13" ht="90" customHeight="1" x14ac:dyDescent="0.3">
      <c r="A703" s="8"/>
      <c r="B703" s="7"/>
      <c r="C703" s="7"/>
      <c r="D703" s="7"/>
      <c r="E703" s="7"/>
      <c r="F703" s="7"/>
      <c r="G703" s="7"/>
      <c r="H703" s="7"/>
      <c r="I703" s="4" t="s">
        <v>856</v>
      </c>
      <c r="J703" s="4">
        <v>0.99995028972625732</v>
      </c>
      <c r="K703" s="4" t="s">
        <v>22</v>
      </c>
      <c r="L703" s="4" t="s">
        <v>67</v>
      </c>
      <c r="M703" s="4">
        <v>132</v>
      </c>
    </row>
    <row r="704" spans="1:13" ht="90" customHeight="1" x14ac:dyDescent="0.3">
      <c r="A704" s="8"/>
      <c r="B704" s="7"/>
      <c r="C704" s="7"/>
      <c r="D704" s="7"/>
      <c r="E704" s="7"/>
      <c r="F704" s="7"/>
      <c r="G704" s="7"/>
      <c r="H704" s="7"/>
      <c r="I704" s="2" t="s">
        <v>857</v>
      </c>
      <c r="J704" s="2">
        <v>0.91099530458450317</v>
      </c>
      <c r="K704" s="2" t="s">
        <v>22</v>
      </c>
      <c r="L704" s="2" t="s">
        <v>67</v>
      </c>
      <c r="M704" s="2">
        <v>40</v>
      </c>
    </row>
    <row r="705" spans="1:13" ht="90" customHeight="1" x14ac:dyDescent="0.3">
      <c r="A705" s="8"/>
      <c r="B705" s="7"/>
      <c r="C705" s="7"/>
      <c r="D705" s="7"/>
      <c r="E705" s="7"/>
      <c r="F705" s="7"/>
      <c r="G705" s="7"/>
      <c r="H705" s="7"/>
      <c r="I705" s="1"/>
      <c r="J705" s="1"/>
      <c r="K705" s="1"/>
      <c r="L705" s="1"/>
      <c r="M705" s="1"/>
    </row>
    <row r="706" spans="1:13" ht="90" customHeight="1" x14ac:dyDescent="0.3">
      <c r="A706" s="8"/>
      <c r="B706" s="7"/>
      <c r="C706" s="7"/>
      <c r="D706" s="7"/>
      <c r="E706" s="7"/>
      <c r="F706" s="7"/>
      <c r="G706" s="7"/>
      <c r="H706" s="7"/>
      <c r="I706" s="1"/>
      <c r="J706" s="1"/>
      <c r="K706" s="1"/>
      <c r="L706" s="1"/>
      <c r="M706" s="1"/>
    </row>
    <row r="707" spans="1:13" ht="90" customHeight="1" x14ac:dyDescent="0.3">
      <c r="A707" s="8">
        <v>238</v>
      </c>
      <c r="B707" s="8" t="s">
        <v>858</v>
      </c>
      <c r="C707" s="8" t="s">
        <v>313</v>
      </c>
      <c r="D707" s="8" t="s">
        <v>553</v>
      </c>
      <c r="E707" s="6" t="s">
        <v>17</v>
      </c>
      <c r="F707" s="6" t="s">
        <v>18</v>
      </c>
      <c r="G707" s="8" t="s">
        <v>859</v>
      </c>
      <c r="H707" s="8" t="s">
        <v>860</v>
      </c>
      <c r="I707" s="4" t="s">
        <v>411</v>
      </c>
      <c r="J707" s="4">
        <v>0.99943214654922485</v>
      </c>
      <c r="K707" s="4" t="s">
        <v>22</v>
      </c>
      <c r="L707" s="4" t="s">
        <v>313</v>
      </c>
      <c r="M707" s="4">
        <v>2</v>
      </c>
    </row>
    <row r="708" spans="1:13" ht="90" customHeight="1" x14ac:dyDescent="0.3">
      <c r="A708" s="8"/>
      <c r="B708" s="7"/>
      <c r="C708" s="7"/>
      <c r="D708" s="7"/>
      <c r="E708" s="7"/>
      <c r="F708" s="7"/>
      <c r="G708" s="7"/>
      <c r="H708" s="7"/>
      <c r="I708" s="4" t="s">
        <v>316</v>
      </c>
      <c r="J708" s="4">
        <v>0.99771857261657715</v>
      </c>
      <c r="K708" s="4" t="s">
        <v>22</v>
      </c>
      <c r="L708" s="4" t="s">
        <v>313</v>
      </c>
      <c r="M708" s="4">
        <v>4</v>
      </c>
    </row>
    <row r="709" spans="1:13" ht="90" customHeight="1" x14ac:dyDescent="0.3">
      <c r="A709" s="8"/>
      <c r="B709" s="7"/>
      <c r="C709" s="7"/>
      <c r="D709" s="7"/>
      <c r="E709" s="7"/>
      <c r="F709" s="7"/>
      <c r="G709" s="7"/>
      <c r="H709" s="7"/>
      <c r="I709" s="4" t="s">
        <v>412</v>
      </c>
      <c r="J709" s="4">
        <v>0.99690669775009155</v>
      </c>
      <c r="K709" s="4" t="s">
        <v>22</v>
      </c>
      <c r="L709" s="4" t="s">
        <v>313</v>
      </c>
      <c r="M709" s="4">
        <v>3</v>
      </c>
    </row>
    <row r="710" spans="1:13" ht="90" customHeight="1" x14ac:dyDescent="0.3">
      <c r="A710" s="8"/>
      <c r="B710" s="7"/>
      <c r="C710" s="7"/>
      <c r="D710" s="7"/>
      <c r="E710" s="7"/>
      <c r="F710" s="7"/>
      <c r="G710" s="7"/>
      <c r="H710" s="7"/>
      <c r="I710" s="1"/>
      <c r="J710" s="1"/>
      <c r="K710" s="1"/>
      <c r="L710" s="1"/>
      <c r="M710" s="1"/>
    </row>
    <row r="711" spans="1:13" ht="90" customHeight="1" x14ac:dyDescent="0.3">
      <c r="A711" s="8"/>
      <c r="B711" s="7"/>
      <c r="C711" s="7"/>
      <c r="D711" s="7"/>
      <c r="E711" s="7"/>
      <c r="F711" s="7"/>
      <c r="G711" s="7"/>
      <c r="H711" s="7"/>
      <c r="I711" s="1"/>
      <c r="J711" s="1"/>
      <c r="K711" s="1"/>
      <c r="L711" s="1"/>
      <c r="M711" s="1"/>
    </row>
    <row r="712" spans="1:13" ht="90" customHeight="1" x14ac:dyDescent="0.3">
      <c r="A712" s="8">
        <v>239</v>
      </c>
      <c r="B712" s="8" t="s">
        <v>861</v>
      </c>
      <c r="C712" s="8" t="s">
        <v>131</v>
      </c>
      <c r="D712" s="8" t="s">
        <v>247</v>
      </c>
      <c r="E712" s="6" t="s">
        <v>17</v>
      </c>
      <c r="F712" s="6" t="s">
        <v>18</v>
      </c>
      <c r="G712" s="8" t="s">
        <v>862</v>
      </c>
      <c r="H712" s="8" t="s">
        <v>863</v>
      </c>
      <c r="I712" s="4" t="s">
        <v>291</v>
      </c>
      <c r="J712" s="4">
        <v>0.9937666654586792</v>
      </c>
      <c r="K712" s="4" t="s">
        <v>22</v>
      </c>
      <c r="L712" s="4" t="s">
        <v>131</v>
      </c>
      <c r="M712" s="4">
        <v>7</v>
      </c>
    </row>
    <row r="713" spans="1:13" ht="90" customHeight="1" x14ac:dyDescent="0.3">
      <c r="A713" s="8"/>
      <c r="B713" s="7"/>
      <c r="C713" s="7"/>
      <c r="D713" s="7"/>
      <c r="E713" s="7"/>
      <c r="F713" s="7"/>
      <c r="G713" s="7"/>
      <c r="H713" s="7"/>
      <c r="I713" s="1" t="s">
        <v>679</v>
      </c>
      <c r="J713" s="1">
        <v>0.87820351123809814</v>
      </c>
      <c r="K713" s="1" t="s">
        <v>22</v>
      </c>
      <c r="L713" s="1" t="s">
        <v>680</v>
      </c>
      <c r="M713" s="1">
        <v>1</v>
      </c>
    </row>
    <row r="714" spans="1:13" ht="90" customHeight="1" x14ac:dyDescent="0.3">
      <c r="A714" s="8"/>
      <c r="B714" s="7"/>
      <c r="C714" s="7"/>
      <c r="D714" s="7"/>
      <c r="E714" s="7"/>
      <c r="F714" s="7"/>
      <c r="G714" s="7"/>
      <c r="H714" s="7"/>
      <c r="I714" s="1"/>
      <c r="J714" s="1"/>
      <c r="K714" s="1"/>
      <c r="L714" s="1"/>
      <c r="M714" s="1"/>
    </row>
    <row r="715" spans="1:13" ht="90" customHeight="1" x14ac:dyDescent="0.3">
      <c r="A715" s="8"/>
      <c r="B715" s="7"/>
      <c r="C715" s="7"/>
      <c r="D715" s="7"/>
      <c r="E715" s="7"/>
      <c r="F715" s="7"/>
      <c r="G715" s="7"/>
      <c r="H715" s="7"/>
      <c r="I715" s="1"/>
      <c r="J715" s="1"/>
      <c r="K715" s="1"/>
      <c r="L715" s="1"/>
      <c r="M715" s="1"/>
    </row>
    <row r="716" spans="1:13" ht="90" customHeight="1" x14ac:dyDescent="0.3">
      <c r="A716" s="8"/>
      <c r="B716" s="7"/>
      <c r="C716" s="7"/>
      <c r="D716" s="7"/>
      <c r="E716" s="7"/>
      <c r="F716" s="7"/>
      <c r="G716" s="7"/>
      <c r="H716" s="7"/>
      <c r="I716" s="1"/>
      <c r="J716" s="1"/>
      <c r="K716" s="1"/>
      <c r="L716" s="1"/>
      <c r="M716" s="1"/>
    </row>
    <row r="717" spans="1:13" ht="90" customHeight="1" x14ac:dyDescent="0.3">
      <c r="A717" s="8">
        <v>240</v>
      </c>
      <c r="B717" s="8" t="s">
        <v>864</v>
      </c>
      <c r="C717" s="8" t="s">
        <v>658</v>
      </c>
      <c r="D717" s="8" t="s">
        <v>510</v>
      </c>
      <c r="E717" s="6" t="s">
        <v>93</v>
      </c>
      <c r="F717" s="6" t="s">
        <v>94</v>
      </c>
      <c r="G717" s="8" t="s">
        <v>865</v>
      </c>
      <c r="H717" s="8" t="s">
        <v>866</v>
      </c>
      <c r="I717" s="2" t="s">
        <v>867</v>
      </c>
      <c r="J717" s="2">
        <v>0.76478236652192133</v>
      </c>
      <c r="K717" s="2" t="s">
        <v>22</v>
      </c>
      <c r="L717" s="2" t="s">
        <v>868</v>
      </c>
      <c r="M717" s="2">
        <v>1</v>
      </c>
    </row>
    <row r="718" spans="1:13" ht="90" customHeight="1" x14ac:dyDescent="0.3">
      <c r="A718" s="8"/>
      <c r="B718" s="7"/>
      <c r="C718" s="7"/>
      <c r="D718" s="7"/>
      <c r="E718" s="7"/>
      <c r="F718" s="7"/>
      <c r="G718" s="7"/>
      <c r="H718" s="7"/>
      <c r="I718" s="1"/>
      <c r="J718" s="1"/>
      <c r="K718" s="1"/>
      <c r="L718" s="1"/>
      <c r="M718" s="1"/>
    </row>
    <row r="719" spans="1:13" ht="90" customHeight="1" x14ac:dyDescent="0.3">
      <c r="A719" s="8"/>
      <c r="B719" s="7"/>
      <c r="C719" s="7"/>
      <c r="D719" s="7"/>
      <c r="E719" s="7"/>
      <c r="F719" s="7"/>
      <c r="G719" s="7"/>
      <c r="H719" s="7"/>
      <c r="I719" s="1"/>
      <c r="J719" s="1"/>
      <c r="K719" s="1"/>
      <c r="L719" s="1"/>
      <c r="M719" s="1"/>
    </row>
    <row r="720" spans="1:13" ht="90" customHeight="1" x14ac:dyDescent="0.3">
      <c r="A720" s="8"/>
      <c r="B720" s="7"/>
      <c r="C720" s="7"/>
      <c r="D720" s="7"/>
      <c r="E720" s="7"/>
      <c r="F720" s="7"/>
      <c r="G720" s="7"/>
      <c r="H720" s="7"/>
      <c r="I720" s="1"/>
      <c r="J720" s="1"/>
      <c r="K720" s="1"/>
      <c r="L720" s="1"/>
      <c r="M720" s="1"/>
    </row>
    <row r="721" spans="1:13" ht="90" customHeight="1" x14ac:dyDescent="0.3">
      <c r="A721" s="8"/>
      <c r="B721" s="7"/>
      <c r="C721" s="7"/>
      <c r="D721" s="7"/>
      <c r="E721" s="7"/>
      <c r="F721" s="7"/>
      <c r="G721" s="7"/>
      <c r="H721" s="7"/>
      <c r="I721" s="1"/>
      <c r="J721" s="1"/>
      <c r="K721" s="1"/>
      <c r="L721" s="1"/>
      <c r="M721" s="1"/>
    </row>
    <row r="722" spans="1:13" ht="90" customHeight="1" x14ac:dyDescent="0.3">
      <c r="A722" s="8">
        <v>241</v>
      </c>
      <c r="B722" s="8" t="s">
        <v>869</v>
      </c>
      <c r="C722" s="8" t="s">
        <v>870</v>
      </c>
      <c r="D722" s="8" t="s">
        <v>86</v>
      </c>
      <c r="E722" s="6" t="s">
        <v>17</v>
      </c>
      <c r="F722" s="6" t="s">
        <v>18</v>
      </c>
      <c r="G722" s="8" t="s">
        <v>871</v>
      </c>
      <c r="H722" s="8" t="s">
        <v>872</v>
      </c>
      <c r="I722" s="4" t="s">
        <v>873</v>
      </c>
      <c r="J722" s="4">
        <v>0.99999713897704812</v>
      </c>
      <c r="K722" s="4" t="s">
        <v>76</v>
      </c>
      <c r="L722" s="4" t="s">
        <v>870</v>
      </c>
      <c r="M722" s="4">
        <v>4</v>
      </c>
    </row>
    <row r="723" spans="1:13" ht="90" customHeight="1" x14ac:dyDescent="0.3">
      <c r="A723" s="8"/>
      <c r="B723" s="7"/>
      <c r="C723" s="7"/>
      <c r="D723" s="7"/>
      <c r="E723" s="7"/>
      <c r="F723" s="7"/>
      <c r="G723" s="7"/>
      <c r="H723" s="7"/>
      <c r="I723" s="1"/>
      <c r="J723" s="1"/>
      <c r="K723" s="1"/>
      <c r="L723" s="1"/>
      <c r="M723" s="1"/>
    </row>
    <row r="724" spans="1:13" ht="90" customHeight="1" x14ac:dyDescent="0.3">
      <c r="A724" s="8"/>
      <c r="B724" s="7"/>
      <c r="C724" s="7"/>
      <c r="D724" s="7"/>
      <c r="E724" s="7"/>
      <c r="F724" s="7"/>
      <c r="G724" s="7"/>
      <c r="H724" s="7"/>
      <c r="I724" s="1"/>
      <c r="J724" s="1"/>
      <c r="K724" s="1"/>
      <c r="L724" s="1"/>
      <c r="M724" s="1"/>
    </row>
    <row r="725" spans="1:13" ht="90" customHeight="1" x14ac:dyDescent="0.3">
      <c r="A725" s="8"/>
      <c r="B725" s="7"/>
      <c r="C725" s="7"/>
      <c r="D725" s="7"/>
      <c r="E725" s="7"/>
      <c r="F725" s="7"/>
      <c r="G725" s="7"/>
      <c r="H725" s="7"/>
      <c r="I725" s="1"/>
      <c r="J725" s="1"/>
      <c r="K725" s="1"/>
      <c r="L725" s="1"/>
      <c r="M725" s="1"/>
    </row>
    <row r="726" spans="1:13" ht="90" customHeight="1" x14ac:dyDescent="0.3">
      <c r="A726" s="8"/>
      <c r="B726" s="7"/>
      <c r="C726" s="7"/>
      <c r="D726" s="7"/>
      <c r="E726" s="7"/>
      <c r="F726" s="7"/>
      <c r="G726" s="7"/>
      <c r="H726" s="7"/>
      <c r="I726" s="1"/>
      <c r="J726" s="1"/>
      <c r="K726" s="1"/>
      <c r="L726" s="1"/>
      <c r="M726" s="1"/>
    </row>
    <row r="727" spans="1:13" ht="90" customHeight="1" x14ac:dyDescent="0.3">
      <c r="A727" s="8">
        <v>244</v>
      </c>
      <c r="B727" s="8" t="s">
        <v>874</v>
      </c>
      <c r="C727" s="8" t="s">
        <v>346</v>
      </c>
      <c r="D727" s="8" t="s">
        <v>875</v>
      </c>
      <c r="E727" s="6" t="s">
        <v>93</v>
      </c>
      <c r="F727" s="6" t="s">
        <v>94</v>
      </c>
      <c r="G727" s="8" t="s">
        <v>876</v>
      </c>
      <c r="H727" s="8" t="s">
        <v>877</v>
      </c>
      <c r="I727" s="2" t="s">
        <v>878</v>
      </c>
      <c r="J727" s="2">
        <v>0.99911647727833119</v>
      </c>
      <c r="K727" s="2" t="s">
        <v>22</v>
      </c>
      <c r="L727" s="2" t="s">
        <v>346</v>
      </c>
      <c r="M727" s="2">
        <v>2</v>
      </c>
    </row>
    <row r="728" spans="1:13" ht="90" customHeight="1" x14ac:dyDescent="0.3">
      <c r="A728" s="8"/>
      <c r="B728" s="7"/>
      <c r="C728" s="7"/>
      <c r="D728" s="7"/>
      <c r="E728" s="7"/>
      <c r="F728" s="7"/>
      <c r="G728" s="7"/>
      <c r="H728" s="7"/>
      <c r="I728" s="2" t="s">
        <v>879</v>
      </c>
      <c r="J728" s="2">
        <v>0.99441373339881289</v>
      </c>
      <c r="K728" s="2" t="s">
        <v>22</v>
      </c>
      <c r="L728" s="2" t="s">
        <v>346</v>
      </c>
      <c r="M728" s="2">
        <v>3</v>
      </c>
    </row>
    <row r="729" spans="1:13" ht="90" customHeight="1" x14ac:dyDescent="0.3">
      <c r="A729" s="8"/>
      <c r="B729" s="7"/>
      <c r="C729" s="7"/>
      <c r="D729" s="7"/>
      <c r="E729" s="7"/>
      <c r="F729" s="7"/>
      <c r="G729" s="7"/>
      <c r="H729" s="7"/>
      <c r="I729" s="1" t="s">
        <v>880</v>
      </c>
      <c r="J729" s="1">
        <v>0.76514447572665356</v>
      </c>
      <c r="K729" s="1" t="s">
        <v>22</v>
      </c>
      <c r="L729" s="1" t="s">
        <v>346</v>
      </c>
      <c r="M729" s="1">
        <v>55</v>
      </c>
    </row>
    <row r="730" spans="1:13" ht="90" customHeight="1" x14ac:dyDescent="0.3">
      <c r="A730" s="8"/>
      <c r="B730" s="7"/>
      <c r="C730" s="7"/>
      <c r="D730" s="7"/>
      <c r="E730" s="7"/>
      <c r="F730" s="7"/>
      <c r="G730" s="7"/>
      <c r="H730" s="7"/>
      <c r="I730" s="1"/>
      <c r="J730" s="1"/>
      <c r="K730" s="1"/>
      <c r="L730" s="1"/>
      <c r="M730" s="1"/>
    </row>
    <row r="731" spans="1:13" ht="90" customHeight="1" x14ac:dyDescent="0.3">
      <c r="A731" s="8"/>
      <c r="B731" s="7"/>
      <c r="C731" s="7"/>
      <c r="D731" s="7"/>
      <c r="E731" s="7"/>
      <c r="F731" s="7"/>
      <c r="G731" s="7"/>
      <c r="H731" s="7"/>
      <c r="I731" s="1"/>
      <c r="J731" s="1"/>
      <c r="K731" s="1"/>
      <c r="L731" s="1"/>
      <c r="M731" s="1"/>
    </row>
    <row r="732" spans="1:13" ht="90" customHeight="1" x14ac:dyDescent="0.3">
      <c r="A732" s="8">
        <v>245</v>
      </c>
      <c r="B732" s="8" t="s">
        <v>881</v>
      </c>
      <c r="C732" s="8" t="s">
        <v>252</v>
      </c>
      <c r="D732" s="8" t="s">
        <v>882</v>
      </c>
      <c r="E732" s="6" t="s">
        <v>17</v>
      </c>
      <c r="F732" s="6" t="s">
        <v>18</v>
      </c>
      <c r="G732" s="8" t="s">
        <v>883</v>
      </c>
      <c r="H732" s="8" t="s">
        <v>884</v>
      </c>
      <c r="I732" s="4" t="s">
        <v>885</v>
      </c>
      <c r="J732" s="4">
        <v>0.99984943182505659</v>
      </c>
      <c r="K732" s="4" t="s">
        <v>22</v>
      </c>
      <c r="L732" s="4" t="s">
        <v>252</v>
      </c>
      <c r="M732" s="4">
        <v>19</v>
      </c>
    </row>
    <row r="733" spans="1:13" ht="90" customHeight="1" x14ac:dyDescent="0.3">
      <c r="A733" s="8"/>
      <c r="B733" s="7"/>
      <c r="C733" s="7"/>
      <c r="D733" s="7"/>
      <c r="E733" s="7"/>
      <c r="F733" s="7"/>
      <c r="G733" s="7"/>
      <c r="H733" s="7"/>
      <c r="I733" s="4" t="s">
        <v>886</v>
      </c>
      <c r="J733" s="4">
        <v>0.99982362970304728</v>
      </c>
      <c r="K733" s="4" t="s">
        <v>22</v>
      </c>
      <c r="L733" s="4" t="s">
        <v>252</v>
      </c>
      <c r="M733" s="4">
        <v>23</v>
      </c>
    </row>
    <row r="734" spans="1:13" ht="90" customHeight="1" x14ac:dyDescent="0.3">
      <c r="A734" s="8"/>
      <c r="B734" s="7"/>
      <c r="C734" s="7"/>
      <c r="D734" s="7"/>
      <c r="E734" s="7"/>
      <c r="F734" s="7"/>
      <c r="G734" s="7"/>
      <c r="H734" s="7"/>
      <c r="I734" s="4" t="s">
        <v>887</v>
      </c>
      <c r="J734" s="4">
        <v>0.91679014343337051</v>
      </c>
      <c r="K734" s="4" t="s">
        <v>22</v>
      </c>
      <c r="L734" s="4" t="s">
        <v>252</v>
      </c>
      <c r="M734" s="4">
        <v>20</v>
      </c>
    </row>
    <row r="735" spans="1:13" ht="90" customHeight="1" x14ac:dyDescent="0.3">
      <c r="A735" s="8"/>
      <c r="B735" s="7"/>
      <c r="C735" s="7"/>
      <c r="D735" s="7"/>
      <c r="E735" s="7"/>
      <c r="F735" s="7"/>
      <c r="G735" s="7"/>
      <c r="H735" s="7"/>
      <c r="I735" s="1" t="s">
        <v>888</v>
      </c>
      <c r="J735" s="1">
        <v>0.87802064424808501</v>
      </c>
      <c r="K735" s="1" t="s">
        <v>22</v>
      </c>
      <c r="L735" s="1" t="s">
        <v>252</v>
      </c>
      <c r="M735" s="1">
        <v>80</v>
      </c>
    </row>
    <row r="736" spans="1:13" ht="90" customHeight="1" x14ac:dyDescent="0.3">
      <c r="A736" s="8"/>
      <c r="B736" s="7"/>
      <c r="C736" s="7"/>
      <c r="D736" s="7"/>
      <c r="E736" s="7"/>
      <c r="F736" s="7"/>
      <c r="G736" s="7"/>
      <c r="H736" s="7"/>
      <c r="I736" s="1"/>
      <c r="J736" s="1"/>
      <c r="K736" s="1"/>
      <c r="L736" s="1"/>
      <c r="M736" s="1"/>
    </row>
    <row r="737" spans="1:13" ht="90" customHeight="1" x14ac:dyDescent="0.3">
      <c r="A737" s="8">
        <v>247</v>
      </c>
      <c r="B737" s="8" t="s">
        <v>889</v>
      </c>
      <c r="C737" s="8" t="s">
        <v>429</v>
      </c>
      <c r="D737" s="8" t="s">
        <v>436</v>
      </c>
      <c r="E737" s="6" t="s">
        <v>17</v>
      </c>
      <c r="F737" s="6" t="s">
        <v>18</v>
      </c>
      <c r="G737" s="8" t="s">
        <v>890</v>
      </c>
      <c r="H737" s="8" t="s">
        <v>891</v>
      </c>
      <c r="I737" s="4" t="s">
        <v>439</v>
      </c>
      <c r="J737" s="4">
        <v>0.99998700618743519</v>
      </c>
      <c r="K737" s="4" t="s">
        <v>22</v>
      </c>
      <c r="L737" s="4" t="s">
        <v>429</v>
      </c>
      <c r="M737" s="4">
        <v>36</v>
      </c>
    </row>
    <row r="738" spans="1:13" ht="90" customHeight="1" x14ac:dyDescent="0.3">
      <c r="A738" s="8"/>
      <c r="B738" s="7"/>
      <c r="C738" s="7"/>
      <c r="D738" s="7"/>
      <c r="E738" s="7"/>
      <c r="F738" s="7"/>
      <c r="G738" s="7"/>
      <c r="H738" s="7"/>
      <c r="I738" s="1" t="s">
        <v>892</v>
      </c>
      <c r="J738" s="1">
        <v>0.90274584293365479</v>
      </c>
      <c r="K738" s="1" t="s">
        <v>22</v>
      </c>
      <c r="L738" s="1" t="s">
        <v>893</v>
      </c>
      <c r="M738" s="1">
        <v>22</v>
      </c>
    </row>
    <row r="739" spans="1:13" ht="90" customHeight="1" x14ac:dyDescent="0.3">
      <c r="A739" s="8"/>
      <c r="B739" s="7"/>
      <c r="C739" s="7"/>
      <c r="D739" s="7"/>
      <c r="E739" s="7"/>
      <c r="F739" s="7"/>
      <c r="G739" s="7"/>
      <c r="H739" s="7"/>
      <c r="I739" s="1"/>
      <c r="J739" s="1"/>
      <c r="K739" s="1"/>
      <c r="L739" s="1"/>
      <c r="M739" s="1"/>
    </row>
    <row r="740" spans="1:13" ht="90" customHeight="1" x14ac:dyDescent="0.3">
      <c r="A740" s="8"/>
      <c r="B740" s="7"/>
      <c r="C740" s="7"/>
      <c r="D740" s="7"/>
      <c r="E740" s="7"/>
      <c r="F740" s="7"/>
      <c r="G740" s="7"/>
      <c r="H740" s="7"/>
      <c r="I740" s="1"/>
      <c r="J740" s="1"/>
      <c r="K740" s="1"/>
      <c r="L740" s="1"/>
      <c r="M740" s="1"/>
    </row>
    <row r="741" spans="1:13" ht="90" customHeight="1" x14ac:dyDescent="0.3">
      <c r="A741" s="8"/>
      <c r="B741" s="7"/>
      <c r="C741" s="7"/>
      <c r="D741" s="7"/>
      <c r="E741" s="7"/>
      <c r="F741" s="7"/>
      <c r="G741" s="7"/>
      <c r="H741" s="7"/>
      <c r="I741" s="1"/>
      <c r="J741" s="1"/>
      <c r="K741" s="1"/>
      <c r="L741" s="1"/>
      <c r="M741" s="1"/>
    </row>
    <row r="742" spans="1:13" ht="90" customHeight="1" x14ac:dyDescent="0.3">
      <c r="A742" s="8">
        <v>248</v>
      </c>
      <c r="B742" s="8" t="s">
        <v>894</v>
      </c>
      <c r="C742" s="8" t="s">
        <v>895</v>
      </c>
      <c r="D742" s="8" t="s">
        <v>896</v>
      </c>
      <c r="E742" s="6" t="s">
        <v>93</v>
      </c>
      <c r="F742" s="6" t="s">
        <v>94</v>
      </c>
      <c r="G742" s="8" t="s">
        <v>897</v>
      </c>
      <c r="H742" s="8" t="s">
        <v>898</v>
      </c>
      <c r="I742" s="2" t="s">
        <v>899</v>
      </c>
      <c r="J742" s="2">
        <v>0.96976566314697266</v>
      </c>
      <c r="K742" s="2" t="s">
        <v>22</v>
      </c>
      <c r="L742" s="2" t="s">
        <v>900</v>
      </c>
      <c r="M742" s="2">
        <v>51</v>
      </c>
    </row>
    <row r="743" spans="1:13" ht="90" customHeight="1" x14ac:dyDescent="0.3">
      <c r="A743" s="8"/>
      <c r="B743" s="7"/>
      <c r="C743" s="7"/>
      <c r="D743" s="7"/>
      <c r="E743" s="7"/>
      <c r="F743" s="7"/>
      <c r="G743" s="7"/>
      <c r="H743" s="7"/>
      <c r="I743" s="2" t="s">
        <v>901</v>
      </c>
      <c r="J743" s="2">
        <v>0.96101361513137817</v>
      </c>
      <c r="K743" s="2" t="s">
        <v>22</v>
      </c>
      <c r="L743" s="2" t="s">
        <v>902</v>
      </c>
      <c r="M743" s="2">
        <v>189</v>
      </c>
    </row>
    <row r="744" spans="1:13" ht="90" customHeight="1" x14ac:dyDescent="0.3">
      <c r="A744" s="8"/>
      <c r="B744" s="7"/>
      <c r="C744" s="7"/>
      <c r="D744" s="7"/>
      <c r="E744" s="7"/>
      <c r="F744" s="7"/>
      <c r="G744" s="7"/>
      <c r="H744" s="7"/>
      <c r="I744" s="2" t="s">
        <v>903</v>
      </c>
      <c r="J744" s="2">
        <v>0.95319598913192749</v>
      </c>
      <c r="K744" s="2" t="s">
        <v>22</v>
      </c>
      <c r="L744" s="2" t="s">
        <v>900</v>
      </c>
      <c r="M744" s="2">
        <v>50</v>
      </c>
    </row>
    <row r="745" spans="1:13" ht="90" customHeight="1" x14ac:dyDescent="0.3">
      <c r="A745" s="8"/>
      <c r="B745" s="7"/>
      <c r="C745" s="7"/>
      <c r="D745" s="7"/>
      <c r="E745" s="7"/>
      <c r="F745" s="7"/>
      <c r="G745" s="7"/>
      <c r="H745" s="7"/>
      <c r="I745" s="1" t="s">
        <v>904</v>
      </c>
      <c r="J745" s="1">
        <v>0.94826239347457886</v>
      </c>
      <c r="K745" s="1" t="s">
        <v>22</v>
      </c>
      <c r="L745" s="1" t="s">
        <v>353</v>
      </c>
      <c r="M745" s="1">
        <v>188</v>
      </c>
    </row>
    <row r="746" spans="1:13" ht="90" customHeight="1" x14ac:dyDescent="0.3">
      <c r="A746" s="8"/>
      <c r="B746" s="7"/>
      <c r="C746" s="7"/>
      <c r="D746" s="7"/>
      <c r="E746" s="7"/>
      <c r="F746" s="7"/>
      <c r="G746" s="7"/>
      <c r="H746" s="7"/>
      <c r="I746" s="1" t="s">
        <v>905</v>
      </c>
      <c r="J746" s="1">
        <v>0.9473651647567749</v>
      </c>
      <c r="K746" s="1" t="s">
        <v>22</v>
      </c>
      <c r="L746" s="1" t="s">
        <v>906</v>
      </c>
      <c r="M746" s="1">
        <v>184</v>
      </c>
    </row>
    <row r="747" spans="1:13" ht="90" customHeight="1" x14ac:dyDescent="0.3">
      <c r="A747" s="8">
        <v>250</v>
      </c>
      <c r="B747" s="8" t="s">
        <v>907</v>
      </c>
      <c r="C747" s="8" t="s">
        <v>371</v>
      </c>
      <c r="D747" s="8" t="s">
        <v>139</v>
      </c>
      <c r="E747" s="6" t="s">
        <v>17</v>
      </c>
      <c r="F747" s="6" t="s">
        <v>18</v>
      </c>
      <c r="G747" s="8" t="s">
        <v>908</v>
      </c>
      <c r="H747" s="8" t="s">
        <v>909</v>
      </c>
      <c r="I747" s="4" t="s">
        <v>910</v>
      </c>
      <c r="J747" s="4">
        <v>0.99981659650802612</v>
      </c>
      <c r="K747" s="4" t="s">
        <v>22</v>
      </c>
      <c r="L747" s="4" t="s">
        <v>371</v>
      </c>
      <c r="M747" s="4">
        <v>13</v>
      </c>
    </row>
    <row r="748" spans="1:13" ht="90" customHeight="1" x14ac:dyDescent="0.3">
      <c r="A748" s="8"/>
      <c r="B748" s="7"/>
      <c r="C748" s="7"/>
      <c r="D748" s="7"/>
      <c r="E748" s="7"/>
      <c r="F748" s="7"/>
      <c r="G748" s="7"/>
      <c r="H748" s="7"/>
      <c r="I748" s="1"/>
      <c r="J748" s="1"/>
      <c r="K748" s="1"/>
      <c r="L748" s="1"/>
      <c r="M748" s="1"/>
    </row>
    <row r="749" spans="1:13" ht="90" customHeight="1" x14ac:dyDescent="0.3">
      <c r="A749" s="8"/>
      <c r="B749" s="7"/>
      <c r="C749" s="7"/>
      <c r="D749" s="7"/>
      <c r="E749" s="7"/>
      <c r="F749" s="7"/>
      <c r="G749" s="7"/>
      <c r="H749" s="7"/>
      <c r="I749" s="1"/>
      <c r="J749" s="1"/>
      <c r="K749" s="1"/>
      <c r="L749" s="1"/>
      <c r="M749" s="1"/>
    </row>
    <row r="750" spans="1:13" ht="90" customHeight="1" x14ac:dyDescent="0.3">
      <c r="A750" s="8"/>
      <c r="B750" s="7"/>
      <c r="C750" s="7"/>
      <c r="D750" s="7"/>
      <c r="E750" s="7"/>
      <c r="F750" s="7"/>
      <c r="G750" s="7"/>
      <c r="H750" s="7"/>
      <c r="I750" s="1"/>
      <c r="J750" s="1"/>
      <c r="K750" s="1"/>
      <c r="L750" s="1"/>
      <c r="M750" s="1"/>
    </row>
    <row r="751" spans="1:13" ht="90" customHeight="1" x14ac:dyDescent="0.3">
      <c r="A751" s="8"/>
      <c r="B751" s="7"/>
      <c r="C751" s="7"/>
      <c r="D751" s="7"/>
      <c r="E751" s="7"/>
      <c r="F751" s="7"/>
      <c r="G751" s="7"/>
      <c r="H751" s="7"/>
      <c r="I751" s="1"/>
      <c r="J751" s="1"/>
      <c r="K751" s="1"/>
      <c r="L751" s="1"/>
      <c r="M751" s="1"/>
    </row>
    <row r="752" spans="1:13" ht="90" customHeight="1" x14ac:dyDescent="0.3">
      <c r="A752" s="8">
        <v>251</v>
      </c>
      <c r="B752" s="8" t="s">
        <v>911</v>
      </c>
      <c r="C752" s="8" t="s">
        <v>478</v>
      </c>
      <c r="D752" s="8" t="s">
        <v>912</v>
      </c>
      <c r="E752" s="6" t="s">
        <v>17</v>
      </c>
      <c r="F752" s="6" t="s">
        <v>18</v>
      </c>
      <c r="G752" s="8" t="s">
        <v>913</v>
      </c>
      <c r="H752" s="8" t="s">
        <v>914</v>
      </c>
      <c r="I752" s="4" t="s">
        <v>483</v>
      </c>
      <c r="J752" s="4">
        <v>0.99995827674865723</v>
      </c>
      <c r="K752" s="4" t="s">
        <v>22</v>
      </c>
      <c r="L752" s="4" t="s">
        <v>478</v>
      </c>
      <c r="M752" s="4">
        <v>19</v>
      </c>
    </row>
    <row r="753" spans="1:13" ht="90" customHeight="1" x14ac:dyDescent="0.3">
      <c r="A753" s="8"/>
      <c r="B753" s="7"/>
      <c r="C753" s="7"/>
      <c r="D753" s="7"/>
      <c r="E753" s="7"/>
      <c r="F753" s="7"/>
      <c r="G753" s="7"/>
      <c r="H753" s="7"/>
      <c r="I753" s="4" t="s">
        <v>915</v>
      </c>
      <c r="J753" s="4">
        <v>0.99972409009933472</v>
      </c>
      <c r="K753" s="4" t="s">
        <v>22</v>
      </c>
      <c r="L753" s="4" t="s">
        <v>478</v>
      </c>
      <c r="M753" s="4">
        <v>44</v>
      </c>
    </row>
    <row r="754" spans="1:13" ht="90" customHeight="1" x14ac:dyDescent="0.3">
      <c r="A754" s="8"/>
      <c r="B754" s="7"/>
      <c r="C754" s="7"/>
      <c r="D754" s="7"/>
      <c r="E754" s="7"/>
      <c r="F754" s="7"/>
      <c r="G754" s="7"/>
      <c r="H754" s="7"/>
      <c r="I754" s="1"/>
      <c r="J754" s="1"/>
      <c r="K754" s="1"/>
      <c r="L754" s="1"/>
      <c r="M754" s="1"/>
    </row>
    <row r="755" spans="1:13" ht="90" customHeight="1" x14ac:dyDescent="0.3">
      <c r="A755" s="8"/>
      <c r="B755" s="7"/>
      <c r="C755" s="7"/>
      <c r="D755" s="7"/>
      <c r="E755" s="7"/>
      <c r="F755" s="7"/>
      <c r="G755" s="7"/>
      <c r="H755" s="7"/>
      <c r="I755" s="1"/>
      <c r="J755" s="1"/>
      <c r="K755" s="1"/>
      <c r="L755" s="1"/>
      <c r="M755" s="1"/>
    </row>
    <row r="756" spans="1:13" ht="90" customHeight="1" x14ac:dyDescent="0.3">
      <c r="A756" s="8"/>
      <c r="B756" s="7"/>
      <c r="C756" s="7"/>
      <c r="D756" s="7"/>
      <c r="E756" s="7"/>
      <c r="F756" s="7"/>
      <c r="G756" s="7"/>
      <c r="H756" s="7"/>
      <c r="I756" s="1"/>
      <c r="J756" s="1"/>
      <c r="K756" s="1"/>
      <c r="L756" s="1"/>
      <c r="M756" s="1"/>
    </row>
    <row r="757" spans="1:13" ht="90" customHeight="1" x14ac:dyDescent="0.3">
      <c r="A757" s="8">
        <v>252</v>
      </c>
      <c r="B757" s="8" t="s">
        <v>916</v>
      </c>
      <c r="C757" s="8" t="s">
        <v>917</v>
      </c>
      <c r="D757" s="8" t="s">
        <v>918</v>
      </c>
      <c r="E757" s="6" t="s">
        <v>17</v>
      </c>
      <c r="F757" s="6" t="s">
        <v>18</v>
      </c>
      <c r="G757" s="8" t="s">
        <v>919</v>
      </c>
      <c r="H757" s="8" t="s">
        <v>920</v>
      </c>
      <c r="I757" s="4" t="s">
        <v>921</v>
      </c>
      <c r="J757" s="4">
        <v>0.99556446075414118</v>
      </c>
      <c r="K757" s="4" t="s">
        <v>76</v>
      </c>
      <c r="L757" s="4" t="s">
        <v>917</v>
      </c>
      <c r="M757" s="4">
        <v>5</v>
      </c>
    </row>
    <row r="758" spans="1:13" ht="90" customHeight="1" x14ac:dyDescent="0.3">
      <c r="A758" s="8"/>
      <c r="B758" s="7"/>
      <c r="C758" s="7"/>
      <c r="D758" s="7"/>
      <c r="E758" s="7"/>
      <c r="F758" s="7"/>
      <c r="G758" s="7"/>
      <c r="H758" s="7"/>
      <c r="I758" s="4" t="s">
        <v>922</v>
      </c>
      <c r="J758" s="4">
        <v>0.99509000778198242</v>
      </c>
      <c r="K758" s="4" t="s">
        <v>76</v>
      </c>
      <c r="L758" s="4" t="s">
        <v>917</v>
      </c>
      <c r="M758" s="4">
        <v>4</v>
      </c>
    </row>
    <row r="759" spans="1:13" ht="90" customHeight="1" x14ac:dyDescent="0.3">
      <c r="A759" s="8"/>
      <c r="B759" s="7"/>
      <c r="C759" s="7"/>
      <c r="D759" s="7"/>
      <c r="E759" s="7"/>
      <c r="F759" s="7"/>
      <c r="G759" s="7"/>
      <c r="H759" s="7"/>
      <c r="I759" s="1"/>
      <c r="J759" s="1"/>
      <c r="K759" s="1"/>
      <c r="L759" s="1"/>
      <c r="M759" s="1"/>
    </row>
    <row r="760" spans="1:13" ht="90" customHeight="1" x14ac:dyDescent="0.3">
      <c r="A760" s="8"/>
      <c r="B760" s="7"/>
      <c r="C760" s="7"/>
      <c r="D760" s="7"/>
      <c r="E760" s="7"/>
      <c r="F760" s="7"/>
      <c r="G760" s="7"/>
      <c r="H760" s="7"/>
      <c r="I760" s="1"/>
      <c r="J760" s="1"/>
      <c r="K760" s="1"/>
      <c r="L760" s="1"/>
      <c r="M760" s="1"/>
    </row>
    <row r="761" spans="1:13" ht="90" customHeight="1" x14ac:dyDescent="0.3">
      <c r="A761" s="8"/>
      <c r="B761" s="7"/>
      <c r="C761" s="7"/>
      <c r="D761" s="7"/>
      <c r="E761" s="7"/>
      <c r="F761" s="7"/>
      <c r="G761" s="7"/>
      <c r="H761" s="7"/>
      <c r="I761" s="1"/>
      <c r="J761" s="1"/>
      <c r="K761" s="1"/>
      <c r="L761" s="1"/>
      <c r="M761" s="1"/>
    </row>
    <row r="762" spans="1:13" ht="90" customHeight="1" x14ac:dyDescent="0.3">
      <c r="A762" s="8">
        <v>253</v>
      </c>
      <c r="B762" s="8" t="s">
        <v>923</v>
      </c>
      <c r="C762" s="8" t="s">
        <v>38</v>
      </c>
      <c r="D762" s="8" t="s">
        <v>39</v>
      </c>
      <c r="E762" s="6" t="s">
        <v>17</v>
      </c>
      <c r="F762" s="6" t="s">
        <v>18</v>
      </c>
      <c r="G762" s="8" t="s">
        <v>924</v>
      </c>
      <c r="H762" s="8" t="s">
        <v>925</v>
      </c>
      <c r="I762" s="4" t="s">
        <v>43</v>
      </c>
      <c r="J762" s="4">
        <v>0.88937575229858712</v>
      </c>
      <c r="K762" s="4" t="s">
        <v>22</v>
      </c>
      <c r="L762" s="4" t="s">
        <v>38</v>
      </c>
      <c r="M762" s="4">
        <v>3</v>
      </c>
    </row>
    <row r="763" spans="1:13" ht="90" customHeight="1" x14ac:dyDescent="0.3">
      <c r="A763" s="8"/>
      <c r="B763" s="7"/>
      <c r="C763" s="7"/>
      <c r="D763" s="7"/>
      <c r="E763" s="7"/>
      <c r="F763" s="7"/>
      <c r="G763" s="7"/>
      <c r="H763" s="7"/>
      <c r="I763" s="4" t="s">
        <v>42</v>
      </c>
      <c r="J763" s="4">
        <v>0.88483035793870257</v>
      </c>
      <c r="K763" s="4" t="s">
        <v>22</v>
      </c>
      <c r="L763" s="4" t="s">
        <v>38</v>
      </c>
      <c r="M763" s="4">
        <v>1</v>
      </c>
    </row>
    <row r="764" spans="1:13" ht="90" customHeight="1" x14ac:dyDescent="0.3">
      <c r="A764" s="8"/>
      <c r="B764" s="7"/>
      <c r="C764" s="7"/>
      <c r="D764" s="7"/>
      <c r="E764" s="7"/>
      <c r="F764" s="7"/>
      <c r="G764" s="7"/>
      <c r="H764" s="7"/>
      <c r="I764" s="4" t="s">
        <v>44</v>
      </c>
      <c r="J764" s="4">
        <v>0.82442681542169749</v>
      </c>
      <c r="K764" s="4" t="s">
        <v>22</v>
      </c>
      <c r="L764" s="4" t="s">
        <v>38</v>
      </c>
      <c r="M764" s="4">
        <v>2</v>
      </c>
    </row>
    <row r="765" spans="1:13" ht="90" customHeight="1" x14ac:dyDescent="0.3">
      <c r="A765" s="8"/>
      <c r="B765" s="7"/>
      <c r="C765" s="7"/>
      <c r="D765" s="7"/>
      <c r="E765" s="7"/>
      <c r="F765" s="7"/>
      <c r="G765" s="7"/>
      <c r="H765" s="7"/>
      <c r="I765" s="1"/>
      <c r="J765" s="1"/>
      <c r="K765" s="1"/>
      <c r="L765" s="1"/>
      <c r="M765" s="1"/>
    </row>
    <row r="766" spans="1:13" ht="90" customHeight="1" x14ac:dyDescent="0.3">
      <c r="A766" s="8"/>
      <c r="B766" s="7"/>
      <c r="C766" s="7"/>
      <c r="D766" s="7"/>
      <c r="E766" s="7"/>
      <c r="F766" s="7"/>
      <c r="G766" s="7"/>
      <c r="H766" s="7"/>
      <c r="I766" s="1"/>
      <c r="J766" s="1"/>
      <c r="K766" s="1"/>
      <c r="L766" s="1"/>
      <c r="M766" s="1"/>
    </row>
    <row r="767" spans="1:13" ht="90" customHeight="1" x14ac:dyDescent="0.3">
      <c r="A767" s="8">
        <v>254</v>
      </c>
      <c r="B767" s="8" t="s">
        <v>926</v>
      </c>
      <c r="C767" s="8" t="s">
        <v>527</v>
      </c>
      <c r="D767" s="8" t="s">
        <v>99</v>
      </c>
      <c r="E767" s="6" t="s">
        <v>17</v>
      </c>
      <c r="F767" s="6" t="s">
        <v>18</v>
      </c>
      <c r="G767" s="8" t="s">
        <v>927</v>
      </c>
      <c r="H767" s="8" t="s">
        <v>928</v>
      </c>
      <c r="I767" s="4" t="s">
        <v>530</v>
      </c>
      <c r="J767" s="4">
        <v>0.99982160329818726</v>
      </c>
      <c r="K767" s="4" t="s">
        <v>22</v>
      </c>
      <c r="L767" s="4" t="s">
        <v>527</v>
      </c>
      <c r="M767" s="4">
        <v>1</v>
      </c>
    </row>
    <row r="768" spans="1:13" ht="90" customHeight="1" x14ac:dyDescent="0.3">
      <c r="A768" s="8"/>
      <c r="B768" s="7"/>
      <c r="C768" s="7"/>
      <c r="D768" s="7"/>
      <c r="E768" s="7"/>
      <c r="F768" s="7"/>
      <c r="G768" s="7"/>
      <c r="H768" s="7"/>
      <c r="I768" s="1"/>
      <c r="J768" s="1"/>
      <c r="K768" s="1"/>
      <c r="L768" s="1"/>
      <c r="M768" s="1"/>
    </row>
    <row r="769" spans="1:13" ht="90" customHeight="1" x14ac:dyDescent="0.3">
      <c r="A769" s="8"/>
      <c r="B769" s="7"/>
      <c r="C769" s="7"/>
      <c r="D769" s="7"/>
      <c r="E769" s="7"/>
      <c r="F769" s="7"/>
      <c r="G769" s="7"/>
      <c r="H769" s="7"/>
      <c r="I769" s="1"/>
      <c r="J769" s="1"/>
      <c r="K769" s="1"/>
      <c r="L769" s="1"/>
      <c r="M769" s="1"/>
    </row>
    <row r="770" spans="1:13" ht="90" customHeight="1" x14ac:dyDescent="0.3">
      <c r="A770" s="8"/>
      <c r="B770" s="7"/>
      <c r="C770" s="7"/>
      <c r="D770" s="7"/>
      <c r="E770" s="7"/>
      <c r="F770" s="7"/>
      <c r="G770" s="7"/>
      <c r="H770" s="7"/>
      <c r="I770" s="1"/>
      <c r="J770" s="1"/>
      <c r="K770" s="1"/>
      <c r="L770" s="1"/>
      <c r="M770" s="1"/>
    </row>
    <row r="771" spans="1:13" ht="90" customHeight="1" x14ac:dyDescent="0.3">
      <c r="A771" s="8"/>
      <c r="B771" s="7"/>
      <c r="C771" s="7"/>
      <c r="D771" s="7"/>
      <c r="E771" s="7"/>
      <c r="F771" s="7"/>
      <c r="G771" s="7"/>
      <c r="H771" s="7"/>
      <c r="I771" s="1"/>
      <c r="J771" s="1"/>
      <c r="K771" s="1"/>
      <c r="L771" s="1"/>
      <c r="M771" s="1"/>
    </row>
    <row r="772" spans="1:13" ht="90" customHeight="1" x14ac:dyDescent="0.3">
      <c r="A772" s="8">
        <v>255</v>
      </c>
      <c r="B772" s="8" t="s">
        <v>929</v>
      </c>
      <c r="C772" s="8" t="s">
        <v>144</v>
      </c>
      <c r="D772" s="8" t="s">
        <v>930</v>
      </c>
      <c r="E772" s="6" t="s">
        <v>17</v>
      </c>
      <c r="F772" s="6" t="s">
        <v>18</v>
      </c>
      <c r="G772" s="8" t="s">
        <v>931</v>
      </c>
      <c r="H772" s="8" t="s">
        <v>932</v>
      </c>
      <c r="I772" s="4" t="s">
        <v>933</v>
      </c>
      <c r="J772" s="4">
        <v>0.9875105619430542</v>
      </c>
      <c r="K772" s="4" t="s">
        <v>22</v>
      </c>
      <c r="L772" s="4" t="s">
        <v>144</v>
      </c>
      <c r="M772" s="4">
        <v>604</v>
      </c>
    </row>
    <row r="773" spans="1:13" ht="90" customHeight="1" x14ac:dyDescent="0.3">
      <c r="A773" s="8"/>
      <c r="B773" s="7"/>
      <c r="C773" s="7"/>
      <c r="D773" s="7"/>
      <c r="E773" s="7"/>
      <c r="F773" s="7"/>
      <c r="G773" s="7"/>
      <c r="H773" s="7"/>
      <c r="I773" s="4" t="s">
        <v>934</v>
      </c>
      <c r="J773" s="4">
        <v>0.94106441736221313</v>
      </c>
      <c r="K773" s="4" t="s">
        <v>22</v>
      </c>
      <c r="L773" s="4" t="s">
        <v>144</v>
      </c>
      <c r="M773" s="4">
        <v>605</v>
      </c>
    </row>
    <row r="774" spans="1:13" ht="90" customHeight="1" x14ac:dyDescent="0.3">
      <c r="A774" s="8"/>
      <c r="B774" s="7"/>
      <c r="C774" s="7"/>
      <c r="D774" s="7"/>
      <c r="E774" s="7"/>
      <c r="F774" s="7"/>
      <c r="G774" s="7"/>
      <c r="H774" s="7"/>
      <c r="I774" s="2" t="s">
        <v>935</v>
      </c>
      <c r="J774" s="2">
        <v>0.88015633821487427</v>
      </c>
      <c r="K774" s="2" t="s">
        <v>22</v>
      </c>
      <c r="L774" s="2" t="s">
        <v>936</v>
      </c>
      <c r="M774" s="2">
        <v>22</v>
      </c>
    </row>
    <row r="775" spans="1:13" ht="90" customHeight="1" x14ac:dyDescent="0.3">
      <c r="A775" s="8"/>
      <c r="B775" s="7"/>
      <c r="C775" s="7"/>
      <c r="D775" s="7"/>
      <c r="E775" s="7"/>
      <c r="F775" s="7"/>
      <c r="G775" s="7"/>
      <c r="H775" s="7"/>
      <c r="I775" s="1"/>
      <c r="J775" s="1"/>
      <c r="K775" s="1"/>
      <c r="L775" s="1"/>
      <c r="M775" s="1"/>
    </row>
    <row r="776" spans="1:13" ht="90" customHeight="1" x14ac:dyDescent="0.3">
      <c r="A776" s="8"/>
      <c r="B776" s="7"/>
      <c r="C776" s="7"/>
      <c r="D776" s="7"/>
      <c r="E776" s="7"/>
      <c r="F776" s="7"/>
      <c r="G776" s="7"/>
      <c r="H776" s="7"/>
      <c r="I776" s="1"/>
      <c r="J776" s="1"/>
      <c r="K776" s="1"/>
      <c r="L776" s="1"/>
      <c r="M776" s="1"/>
    </row>
    <row r="777" spans="1:13" ht="90" customHeight="1" x14ac:dyDescent="0.3">
      <c r="A777" s="8">
        <v>256</v>
      </c>
      <c r="B777" s="8" t="s">
        <v>937</v>
      </c>
      <c r="C777" s="8" t="s">
        <v>15</v>
      </c>
      <c r="D777" s="8" t="s">
        <v>938</v>
      </c>
      <c r="E777" s="6" t="s">
        <v>17</v>
      </c>
      <c r="F777" s="6" t="s">
        <v>18</v>
      </c>
      <c r="G777" s="8" t="s">
        <v>939</v>
      </c>
      <c r="H777" s="8" t="s">
        <v>940</v>
      </c>
      <c r="I777" s="4" t="s">
        <v>941</v>
      </c>
      <c r="J777" s="4">
        <v>0.99975842237472534</v>
      </c>
      <c r="K777" s="4" t="s">
        <v>22</v>
      </c>
      <c r="L777" s="4" t="s">
        <v>15</v>
      </c>
      <c r="M777" s="4">
        <v>24</v>
      </c>
    </row>
    <row r="778" spans="1:13" ht="90" customHeight="1" x14ac:dyDescent="0.3">
      <c r="A778" s="8"/>
      <c r="B778" s="7"/>
      <c r="C778" s="7"/>
      <c r="D778" s="7"/>
      <c r="E778" s="7"/>
      <c r="F778" s="7"/>
      <c r="G778" s="7"/>
      <c r="H778" s="7"/>
      <c r="I778" s="4" t="s">
        <v>942</v>
      </c>
      <c r="J778" s="4">
        <v>0.99971693754196167</v>
      </c>
      <c r="K778" s="4" t="s">
        <v>22</v>
      </c>
      <c r="L778" s="4" t="s">
        <v>15</v>
      </c>
      <c r="M778" s="4">
        <v>23</v>
      </c>
    </row>
    <row r="779" spans="1:13" ht="90" customHeight="1" x14ac:dyDescent="0.3">
      <c r="A779" s="8"/>
      <c r="B779" s="7"/>
      <c r="C779" s="7"/>
      <c r="D779" s="7"/>
      <c r="E779" s="7"/>
      <c r="F779" s="7"/>
      <c r="G779" s="7"/>
      <c r="H779" s="7"/>
      <c r="I779" s="4" t="s">
        <v>943</v>
      </c>
      <c r="J779" s="4">
        <v>0.99946719408035278</v>
      </c>
      <c r="K779" s="4" t="s">
        <v>22</v>
      </c>
      <c r="L779" s="4" t="s">
        <v>15</v>
      </c>
      <c r="M779" s="4">
        <v>25</v>
      </c>
    </row>
    <row r="780" spans="1:13" ht="90" customHeight="1" x14ac:dyDescent="0.3">
      <c r="A780" s="8"/>
      <c r="B780" s="7"/>
      <c r="C780" s="7"/>
      <c r="D780" s="7"/>
      <c r="E780" s="7"/>
      <c r="F780" s="7"/>
      <c r="G780" s="7"/>
      <c r="H780" s="7"/>
      <c r="I780" s="5" t="s">
        <v>944</v>
      </c>
      <c r="J780" s="5">
        <v>0.99920052289962769</v>
      </c>
      <c r="K780" s="5" t="s">
        <v>22</v>
      </c>
      <c r="L780" s="5" t="s">
        <v>15</v>
      </c>
      <c r="M780" s="5">
        <v>22</v>
      </c>
    </row>
    <row r="781" spans="1:13" ht="90" customHeight="1" x14ac:dyDescent="0.3">
      <c r="A781" s="8"/>
      <c r="B781" s="7"/>
      <c r="C781" s="7"/>
      <c r="D781" s="7"/>
      <c r="E781" s="7"/>
      <c r="F781" s="7"/>
      <c r="G781" s="7"/>
      <c r="H781" s="7"/>
      <c r="I781" s="1"/>
      <c r="J781" s="1"/>
      <c r="K781" s="1"/>
      <c r="L781" s="1"/>
      <c r="M781" s="1"/>
    </row>
    <row r="782" spans="1:13" ht="90" customHeight="1" x14ac:dyDescent="0.3">
      <c r="A782" s="8">
        <v>259</v>
      </c>
      <c r="B782" s="8" t="s">
        <v>945</v>
      </c>
      <c r="C782" s="8" t="s">
        <v>946</v>
      </c>
      <c r="D782" s="8" t="s">
        <v>504</v>
      </c>
      <c r="E782" s="6" t="s">
        <v>17</v>
      </c>
      <c r="F782" s="6" t="s">
        <v>18</v>
      </c>
      <c r="G782" s="8" t="s">
        <v>947</v>
      </c>
      <c r="H782" s="8" t="s">
        <v>948</v>
      </c>
      <c r="I782" s="4" t="s">
        <v>949</v>
      </c>
      <c r="J782" s="4">
        <v>0.99999189376831055</v>
      </c>
      <c r="K782" s="4" t="s">
        <v>22</v>
      </c>
      <c r="L782" s="4" t="s">
        <v>946</v>
      </c>
      <c r="M782" s="4">
        <v>2</v>
      </c>
    </row>
    <row r="783" spans="1:13" ht="90" customHeight="1" x14ac:dyDescent="0.3">
      <c r="A783" s="8"/>
      <c r="B783" s="7"/>
      <c r="C783" s="7"/>
      <c r="D783" s="7"/>
      <c r="E783" s="7"/>
      <c r="F783" s="7"/>
      <c r="G783" s="7"/>
      <c r="H783" s="7"/>
      <c r="I783" s="4" t="s">
        <v>950</v>
      </c>
      <c r="J783" s="4">
        <v>0.99992060661315918</v>
      </c>
      <c r="K783" s="4" t="s">
        <v>22</v>
      </c>
      <c r="L783" s="4" t="s">
        <v>946</v>
      </c>
      <c r="M783" s="4">
        <v>1</v>
      </c>
    </row>
    <row r="784" spans="1:13" ht="90" customHeight="1" x14ac:dyDescent="0.3">
      <c r="A784" s="8"/>
      <c r="B784" s="7"/>
      <c r="C784" s="7"/>
      <c r="D784" s="7"/>
      <c r="E784" s="7"/>
      <c r="F784" s="7"/>
      <c r="G784" s="7"/>
      <c r="H784" s="7"/>
      <c r="I784" s="1" t="s">
        <v>951</v>
      </c>
      <c r="J784" s="1">
        <v>0.85951095819473267</v>
      </c>
      <c r="K784" s="1" t="s">
        <v>22</v>
      </c>
      <c r="L784" s="1" t="s">
        <v>826</v>
      </c>
      <c r="M784" s="1">
        <v>47</v>
      </c>
    </row>
    <row r="785" spans="1:13" ht="90" customHeight="1" x14ac:dyDescent="0.3">
      <c r="A785" s="8"/>
      <c r="B785" s="7"/>
      <c r="C785" s="7"/>
      <c r="D785" s="7"/>
      <c r="E785" s="7"/>
      <c r="F785" s="7"/>
      <c r="G785" s="7"/>
      <c r="H785" s="7"/>
      <c r="I785" s="1" t="s">
        <v>952</v>
      </c>
      <c r="J785" s="1">
        <v>0.82138663530349731</v>
      </c>
      <c r="K785" s="1" t="s">
        <v>22</v>
      </c>
      <c r="L785" s="1" t="s">
        <v>826</v>
      </c>
      <c r="M785" s="1">
        <v>185</v>
      </c>
    </row>
    <row r="786" spans="1:13" ht="90" customHeight="1" x14ac:dyDescent="0.3">
      <c r="A786" s="8"/>
      <c r="B786" s="7"/>
      <c r="C786" s="7"/>
      <c r="D786" s="7"/>
      <c r="E786" s="7"/>
      <c r="F786" s="7"/>
      <c r="G786" s="7"/>
      <c r="H786" s="7"/>
      <c r="I786" s="1" t="s">
        <v>953</v>
      </c>
      <c r="J786" s="1">
        <v>0.79027789831161499</v>
      </c>
      <c r="K786" s="1" t="s">
        <v>22</v>
      </c>
      <c r="L786" s="1" t="s">
        <v>826</v>
      </c>
      <c r="M786" s="1">
        <v>34</v>
      </c>
    </row>
    <row r="787" spans="1:13" ht="90" customHeight="1" x14ac:dyDescent="0.3">
      <c r="A787" s="8">
        <v>260</v>
      </c>
      <c r="B787" s="8" t="s">
        <v>954</v>
      </c>
      <c r="C787" s="8" t="s">
        <v>85</v>
      </c>
      <c r="D787" s="8" t="s">
        <v>126</v>
      </c>
      <c r="E787" s="6" t="s">
        <v>17</v>
      </c>
      <c r="F787" s="6" t="s">
        <v>18</v>
      </c>
      <c r="G787" s="8" t="s">
        <v>955</v>
      </c>
      <c r="H787" s="8" t="s">
        <v>956</v>
      </c>
      <c r="I787" s="4" t="s">
        <v>285</v>
      </c>
      <c r="J787" s="4">
        <v>0.99991929531097412</v>
      </c>
      <c r="K787" s="4" t="s">
        <v>22</v>
      </c>
      <c r="L787" s="4" t="s">
        <v>85</v>
      </c>
      <c r="M787" s="4">
        <v>2</v>
      </c>
    </row>
    <row r="788" spans="1:13" ht="90" customHeight="1" x14ac:dyDescent="0.3">
      <c r="A788" s="8"/>
      <c r="B788" s="7"/>
      <c r="C788" s="7"/>
      <c r="D788" s="7"/>
      <c r="E788" s="7"/>
      <c r="F788" s="7"/>
      <c r="G788" s="7"/>
      <c r="H788" s="7"/>
      <c r="I788" s="1"/>
      <c r="J788" s="1"/>
      <c r="K788" s="1"/>
      <c r="L788" s="1"/>
      <c r="M788" s="1"/>
    </row>
    <row r="789" spans="1:13" ht="90" customHeight="1" x14ac:dyDescent="0.3">
      <c r="A789" s="8"/>
      <c r="B789" s="7"/>
      <c r="C789" s="7"/>
      <c r="D789" s="7"/>
      <c r="E789" s="7"/>
      <c r="F789" s="7"/>
      <c r="G789" s="7"/>
      <c r="H789" s="7"/>
      <c r="I789" s="1"/>
      <c r="J789" s="1"/>
      <c r="K789" s="1"/>
      <c r="L789" s="1"/>
      <c r="M789" s="1"/>
    </row>
    <row r="790" spans="1:13" ht="90" customHeight="1" x14ac:dyDescent="0.3">
      <c r="A790" s="8"/>
      <c r="B790" s="7"/>
      <c r="C790" s="7"/>
      <c r="D790" s="7"/>
      <c r="E790" s="7"/>
      <c r="F790" s="7"/>
      <c r="G790" s="7"/>
      <c r="H790" s="7"/>
      <c r="I790" s="1"/>
      <c r="J790" s="1"/>
      <c r="K790" s="1"/>
      <c r="L790" s="1"/>
      <c r="M790" s="1"/>
    </row>
    <row r="791" spans="1:13" ht="90" customHeight="1" x14ac:dyDescent="0.3">
      <c r="A791" s="8"/>
      <c r="B791" s="7"/>
      <c r="C791" s="7"/>
      <c r="D791" s="7"/>
      <c r="E791" s="7"/>
      <c r="F791" s="7"/>
      <c r="G791" s="7"/>
      <c r="H791" s="7"/>
      <c r="I791" s="1"/>
      <c r="J791" s="1"/>
      <c r="K791" s="1"/>
      <c r="L791" s="1"/>
      <c r="M791" s="1"/>
    </row>
    <row r="792" spans="1:13" ht="90" customHeight="1" x14ac:dyDescent="0.3">
      <c r="A792" s="8">
        <v>262</v>
      </c>
      <c r="B792" s="8" t="s">
        <v>957</v>
      </c>
      <c r="C792" s="8" t="s">
        <v>562</v>
      </c>
      <c r="D792" s="8" t="s">
        <v>99</v>
      </c>
      <c r="E792" s="6" t="s">
        <v>17</v>
      </c>
      <c r="F792" s="6" t="s">
        <v>18</v>
      </c>
      <c r="G792" s="8" t="s">
        <v>958</v>
      </c>
      <c r="H792" s="8" t="s">
        <v>959</v>
      </c>
      <c r="I792" s="4" t="s">
        <v>724</v>
      </c>
      <c r="J792" s="4">
        <v>0.99904710054397583</v>
      </c>
      <c r="K792" s="4" t="s">
        <v>22</v>
      </c>
      <c r="L792" s="4" t="s">
        <v>562</v>
      </c>
      <c r="M792" s="4">
        <v>1</v>
      </c>
    </row>
    <row r="793" spans="1:13" ht="90" customHeight="1" x14ac:dyDescent="0.3">
      <c r="A793" s="8"/>
      <c r="B793" s="7"/>
      <c r="C793" s="7"/>
      <c r="D793" s="7"/>
      <c r="E793" s="7"/>
      <c r="F793" s="7"/>
      <c r="G793" s="7"/>
      <c r="H793" s="7"/>
      <c r="I793" s="1"/>
      <c r="J793" s="1"/>
      <c r="K793" s="1"/>
      <c r="L793" s="1"/>
      <c r="M793" s="1"/>
    </row>
    <row r="794" spans="1:13" ht="90" customHeight="1" x14ac:dyDescent="0.3">
      <c r="A794" s="8"/>
      <c r="B794" s="7"/>
      <c r="C794" s="7"/>
      <c r="D794" s="7"/>
      <c r="E794" s="7"/>
      <c r="F794" s="7"/>
      <c r="G794" s="7"/>
      <c r="H794" s="7"/>
      <c r="I794" s="1"/>
      <c r="J794" s="1"/>
      <c r="K794" s="1"/>
      <c r="L794" s="1"/>
      <c r="M794" s="1"/>
    </row>
    <row r="795" spans="1:13" ht="90" customHeight="1" x14ac:dyDescent="0.3">
      <c r="A795" s="8"/>
      <c r="B795" s="7"/>
      <c r="C795" s="7"/>
      <c r="D795" s="7"/>
      <c r="E795" s="7"/>
      <c r="F795" s="7"/>
      <c r="G795" s="7"/>
      <c r="H795" s="7"/>
      <c r="I795" s="1"/>
      <c r="J795" s="1"/>
      <c r="K795" s="1"/>
      <c r="L795" s="1"/>
      <c r="M795" s="1"/>
    </row>
    <row r="796" spans="1:13" ht="90" customHeight="1" x14ac:dyDescent="0.3">
      <c r="A796" s="8"/>
      <c r="B796" s="7"/>
      <c r="C796" s="7"/>
      <c r="D796" s="7"/>
      <c r="E796" s="7"/>
      <c r="F796" s="7"/>
      <c r="G796" s="7"/>
      <c r="H796" s="7"/>
      <c r="I796" s="1"/>
      <c r="J796" s="1"/>
      <c r="K796" s="1"/>
      <c r="L796" s="1"/>
      <c r="M796" s="1"/>
    </row>
    <row r="797" spans="1:13" ht="90" customHeight="1" x14ac:dyDescent="0.3">
      <c r="A797" s="8">
        <v>263</v>
      </c>
      <c r="B797" s="8" t="s">
        <v>960</v>
      </c>
      <c r="C797" s="8" t="s">
        <v>85</v>
      </c>
      <c r="D797" s="8" t="s">
        <v>961</v>
      </c>
      <c r="E797" s="6" t="s">
        <v>17</v>
      </c>
      <c r="F797" s="6" t="s">
        <v>18</v>
      </c>
      <c r="G797" s="8" t="s">
        <v>962</v>
      </c>
      <c r="H797" s="8" t="s">
        <v>963</v>
      </c>
      <c r="I797" s="2" t="s">
        <v>964</v>
      </c>
      <c r="J797" s="2">
        <v>0.93530546191943698</v>
      </c>
      <c r="K797" s="2" t="s">
        <v>22</v>
      </c>
      <c r="L797" s="2" t="s">
        <v>965</v>
      </c>
      <c r="M797" s="2">
        <v>14</v>
      </c>
    </row>
    <row r="798" spans="1:13" ht="90" customHeight="1" x14ac:dyDescent="0.3">
      <c r="A798" s="8"/>
      <c r="B798" s="7"/>
      <c r="C798" s="7"/>
      <c r="D798" s="7"/>
      <c r="E798" s="7"/>
      <c r="F798" s="7"/>
      <c r="G798" s="7"/>
      <c r="H798" s="7"/>
      <c r="I798" s="4" t="s">
        <v>966</v>
      </c>
      <c r="J798" s="4">
        <v>0.91988509893417358</v>
      </c>
      <c r="K798" s="4" t="s">
        <v>22</v>
      </c>
      <c r="L798" s="4" t="s">
        <v>85</v>
      </c>
      <c r="M798" s="4">
        <v>9</v>
      </c>
    </row>
    <row r="799" spans="1:13" ht="90" customHeight="1" x14ac:dyDescent="0.3">
      <c r="A799" s="8"/>
      <c r="B799" s="7"/>
      <c r="C799" s="7"/>
      <c r="D799" s="7"/>
      <c r="E799" s="7"/>
      <c r="F799" s="7"/>
      <c r="G799" s="7"/>
      <c r="H799" s="7"/>
      <c r="I799" s="2" t="s">
        <v>967</v>
      </c>
      <c r="J799" s="2">
        <v>0.86519419068109626</v>
      </c>
      <c r="K799" s="2" t="s">
        <v>22</v>
      </c>
      <c r="L799" s="2" t="s">
        <v>965</v>
      </c>
      <c r="M799" s="2">
        <v>10</v>
      </c>
    </row>
    <row r="800" spans="1:13" ht="90" customHeight="1" x14ac:dyDescent="0.3">
      <c r="A800" s="8"/>
      <c r="B800" s="7"/>
      <c r="C800" s="7"/>
      <c r="D800" s="7"/>
      <c r="E800" s="7"/>
      <c r="F800" s="7"/>
      <c r="G800" s="7"/>
      <c r="H800" s="7"/>
      <c r="I800" s="1" t="s">
        <v>968</v>
      </c>
      <c r="J800" s="1">
        <v>0.8550924613795291</v>
      </c>
      <c r="K800" s="1" t="s">
        <v>22</v>
      </c>
      <c r="L800" s="1" t="s">
        <v>965</v>
      </c>
      <c r="M800" s="1">
        <v>12</v>
      </c>
    </row>
    <row r="801" spans="1:13" ht="90" customHeight="1" x14ac:dyDescent="0.3">
      <c r="A801" s="8"/>
      <c r="B801" s="7"/>
      <c r="C801" s="7"/>
      <c r="D801" s="7"/>
      <c r="E801" s="7"/>
      <c r="F801" s="7"/>
      <c r="G801" s="7"/>
      <c r="H801" s="7"/>
      <c r="I801" s="1" t="s">
        <v>969</v>
      </c>
      <c r="J801" s="1">
        <v>0.73300100814292402</v>
      </c>
      <c r="K801" s="1" t="s">
        <v>22</v>
      </c>
      <c r="L801" s="1" t="s">
        <v>970</v>
      </c>
      <c r="M801" s="1">
        <v>13</v>
      </c>
    </row>
    <row r="802" spans="1:13" ht="90" customHeight="1" x14ac:dyDescent="0.3">
      <c r="A802" s="8">
        <v>264</v>
      </c>
      <c r="B802" s="8" t="s">
        <v>971</v>
      </c>
      <c r="C802" s="8" t="s">
        <v>324</v>
      </c>
      <c r="D802" s="8" t="s">
        <v>86</v>
      </c>
      <c r="E802" s="6" t="s">
        <v>17</v>
      </c>
      <c r="F802" s="6" t="s">
        <v>18</v>
      </c>
      <c r="G802" s="8" t="s">
        <v>972</v>
      </c>
      <c r="H802" s="8" t="s">
        <v>973</v>
      </c>
      <c r="I802" s="4" t="s">
        <v>974</v>
      </c>
      <c r="J802" s="4">
        <v>0.99827408790588379</v>
      </c>
      <c r="K802" s="4" t="s">
        <v>22</v>
      </c>
      <c r="L802" s="4" t="s">
        <v>324</v>
      </c>
      <c r="M802" s="4">
        <v>4</v>
      </c>
    </row>
    <row r="803" spans="1:13" ht="90" customHeight="1" x14ac:dyDescent="0.3">
      <c r="A803" s="8"/>
      <c r="B803" s="7"/>
      <c r="C803" s="7"/>
      <c r="D803" s="7"/>
      <c r="E803" s="7"/>
      <c r="F803" s="7"/>
      <c r="G803" s="7"/>
      <c r="H803" s="7"/>
      <c r="I803" s="1" t="s">
        <v>731</v>
      </c>
      <c r="J803" s="1">
        <v>0.96621221303939819</v>
      </c>
      <c r="K803" s="1" t="s">
        <v>22</v>
      </c>
      <c r="L803" s="1" t="s">
        <v>220</v>
      </c>
      <c r="M803" s="1">
        <v>45</v>
      </c>
    </row>
    <row r="804" spans="1:13" ht="90" customHeight="1" x14ac:dyDescent="0.3">
      <c r="A804" s="8"/>
      <c r="B804" s="7"/>
      <c r="C804" s="7"/>
      <c r="D804" s="7"/>
      <c r="E804" s="7"/>
      <c r="F804" s="7"/>
      <c r="G804" s="7"/>
      <c r="H804" s="7"/>
      <c r="I804" s="1"/>
      <c r="J804" s="1"/>
      <c r="K804" s="1"/>
      <c r="L804" s="1"/>
      <c r="M804" s="1"/>
    </row>
    <row r="805" spans="1:13" ht="90" customHeight="1" x14ac:dyDescent="0.3">
      <c r="A805" s="8"/>
      <c r="B805" s="7"/>
      <c r="C805" s="7"/>
      <c r="D805" s="7"/>
      <c r="E805" s="7"/>
      <c r="F805" s="7"/>
      <c r="G805" s="7"/>
      <c r="H805" s="7"/>
      <c r="I805" s="1"/>
      <c r="J805" s="1"/>
      <c r="K805" s="1"/>
      <c r="L805" s="1"/>
      <c r="M805" s="1"/>
    </row>
    <row r="806" spans="1:13" ht="90" customHeight="1" x14ac:dyDescent="0.3">
      <c r="A806" s="8"/>
      <c r="B806" s="7"/>
      <c r="C806" s="7"/>
      <c r="D806" s="7"/>
      <c r="E806" s="7"/>
      <c r="F806" s="7"/>
      <c r="G806" s="7"/>
      <c r="H806" s="7"/>
      <c r="I806" s="1"/>
      <c r="J806" s="1"/>
      <c r="K806" s="1"/>
      <c r="L806" s="1"/>
      <c r="M806" s="1"/>
    </row>
    <row r="807" spans="1:13" ht="90" customHeight="1" x14ac:dyDescent="0.3">
      <c r="A807" s="8">
        <v>265</v>
      </c>
      <c r="B807" s="8" t="s">
        <v>975</v>
      </c>
      <c r="C807" s="8" t="s">
        <v>131</v>
      </c>
      <c r="D807" s="8" t="s">
        <v>247</v>
      </c>
      <c r="E807" s="6" t="s">
        <v>17</v>
      </c>
      <c r="F807" s="6" t="s">
        <v>18</v>
      </c>
      <c r="G807" s="8" t="s">
        <v>976</v>
      </c>
      <c r="H807" s="8" t="s">
        <v>977</v>
      </c>
      <c r="I807" s="4" t="s">
        <v>291</v>
      </c>
      <c r="J807" s="4">
        <v>0.99502485990524292</v>
      </c>
      <c r="K807" s="4" t="s">
        <v>22</v>
      </c>
      <c r="L807" s="4" t="s">
        <v>131</v>
      </c>
      <c r="M807" s="4">
        <v>7</v>
      </c>
    </row>
    <row r="808" spans="1:13" ht="90" customHeight="1" x14ac:dyDescent="0.3">
      <c r="A808" s="8"/>
      <c r="B808" s="7"/>
      <c r="C808" s="7"/>
      <c r="D808" s="7"/>
      <c r="E808" s="7"/>
      <c r="F808" s="7"/>
      <c r="G808" s="7"/>
      <c r="H808" s="7"/>
      <c r="I808" s="1" t="s">
        <v>679</v>
      </c>
      <c r="J808" s="1">
        <v>0.95668637752532959</v>
      </c>
      <c r="K808" s="1" t="s">
        <v>22</v>
      </c>
      <c r="L808" s="1" t="s">
        <v>680</v>
      </c>
      <c r="M808" s="1">
        <v>1</v>
      </c>
    </row>
    <row r="809" spans="1:13" ht="90" customHeight="1" x14ac:dyDescent="0.3">
      <c r="A809" s="8"/>
      <c r="B809" s="7"/>
      <c r="C809" s="7"/>
      <c r="D809" s="7"/>
      <c r="E809" s="7"/>
      <c r="F809" s="7"/>
      <c r="G809" s="7"/>
      <c r="H809" s="7"/>
      <c r="I809" s="1"/>
      <c r="J809" s="1"/>
      <c r="K809" s="1"/>
      <c r="L809" s="1"/>
      <c r="M809" s="1"/>
    </row>
    <row r="810" spans="1:13" ht="90" customHeight="1" x14ac:dyDescent="0.3">
      <c r="A810" s="8"/>
      <c r="B810" s="7"/>
      <c r="C810" s="7"/>
      <c r="D810" s="7"/>
      <c r="E810" s="7"/>
      <c r="F810" s="7"/>
      <c r="G810" s="7"/>
      <c r="H810" s="7"/>
      <c r="I810" s="1"/>
      <c r="J810" s="1"/>
      <c r="K810" s="1"/>
      <c r="L810" s="1"/>
      <c r="M810" s="1"/>
    </row>
    <row r="811" spans="1:13" ht="90" customHeight="1" x14ac:dyDescent="0.3">
      <c r="A811" s="8"/>
      <c r="B811" s="7"/>
      <c r="C811" s="7"/>
      <c r="D811" s="7"/>
      <c r="E811" s="7"/>
      <c r="F811" s="7"/>
      <c r="G811" s="7"/>
      <c r="H811" s="7"/>
      <c r="I811" s="1"/>
      <c r="J811" s="1"/>
      <c r="K811" s="1"/>
      <c r="L811" s="1"/>
      <c r="M811" s="1"/>
    </row>
    <row r="812" spans="1:13" ht="90" customHeight="1" x14ac:dyDescent="0.3">
      <c r="A812" s="8">
        <v>266</v>
      </c>
      <c r="B812" s="8" t="s">
        <v>978</v>
      </c>
      <c r="C812" s="8" t="s">
        <v>131</v>
      </c>
      <c r="D812" s="8" t="s">
        <v>247</v>
      </c>
      <c r="E812" s="6" t="s">
        <v>17</v>
      </c>
      <c r="F812" s="6" t="s">
        <v>18</v>
      </c>
      <c r="G812" s="8" t="s">
        <v>979</v>
      </c>
      <c r="H812" s="8" t="s">
        <v>980</v>
      </c>
      <c r="I812" s="4" t="s">
        <v>291</v>
      </c>
      <c r="J812" s="4">
        <v>0.91646605730056763</v>
      </c>
      <c r="K812" s="4" t="s">
        <v>22</v>
      </c>
      <c r="L812" s="4" t="s">
        <v>131</v>
      </c>
      <c r="M812" s="4">
        <v>7</v>
      </c>
    </row>
    <row r="813" spans="1:13" ht="90" customHeight="1" x14ac:dyDescent="0.3">
      <c r="A813" s="8"/>
      <c r="B813" s="7"/>
      <c r="C813" s="7"/>
      <c r="D813" s="7"/>
      <c r="E813" s="7"/>
      <c r="F813" s="7"/>
      <c r="G813" s="7"/>
      <c r="H813" s="7"/>
      <c r="I813" s="1"/>
      <c r="J813" s="1"/>
      <c r="K813" s="1"/>
      <c r="L813" s="1"/>
      <c r="M813" s="1"/>
    </row>
    <row r="814" spans="1:13" ht="90" customHeight="1" x14ac:dyDescent="0.3">
      <c r="A814" s="8"/>
      <c r="B814" s="7"/>
      <c r="C814" s="7"/>
      <c r="D814" s="7"/>
      <c r="E814" s="7"/>
      <c r="F814" s="7"/>
      <c r="G814" s="7"/>
      <c r="H814" s="7"/>
      <c r="I814" s="1"/>
      <c r="J814" s="1"/>
      <c r="K814" s="1"/>
      <c r="L814" s="1"/>
      <c r="M814" s="1"/>
    </row>
    <row r="815" spans="1:13" ht="90" customHeight="1" x14ac:dyDescent="0.3">
      <c r="A815" s="8"/>
      <c r="B815" s="7"/>
      <c r="C815" s="7"/>
      <c r="D815" s="7"/>
      <c r="E815" s="7"/>
      <c r="F815" s="7"/>
      <c r="G815" s="7"/>
      <c r="H815" s="7"/>
      <c r="I815" s="1"/>
      <c r="J815" s="1"/>
      <c r="K815" s="1"/>
      <c r="L815" s="1"/>
      <c r="M815" s="1"/>
    </row>
    <row r="816" spans="1:13" ht="90" customHeight="1" x14ac:dyDescent="0.3">
      <c r="A816" s="8"/>
      <c r="B816" s="7"/>
      <c r="C816" s="7"/>
      <c r="D816" s="7"/>
      <c r="E816" s="7"/>
      <c r="F816" s="7"/>
      <c r="G816" s="7"/>
      <c r="H816" s="7"/>
      <c r="I816" s="1"/>
      <c r="J816" s="1"/>
      <c r="K816" s="1"/>
      <c r="L816" s="1"/>
      <c r="M816" s="1"/>
    </row>
    <row r="817" spans="1:13" ht="90" customHeight="1" x14ac:dyDescent="0.3">
      <c r="A817" s="8">
        <v>267</v>
      </c>
      <c r="B817" s="8" t="s">
        <v>981</v>
      </c>
      <c r="C817" s="8" t="s">
        <v>313</v>
      </c>
      <c r="D817" s="8" t="s">
        <v>553</v>
      </c>
      <c r="E817" s="6" t="s">
        <v>17</v>
      </c>
      <c r="F817" s="6" t="s">
        <v>18</v>
      </c>
      <c r="G817" s="8" t="s">
        <v>982</v>
      </c>
      <c r="H817" s="8" t="s">
        <v>983</v>
      </c>
      <c r="I817" s="4" t="s">
        <v>411</v>
      </c>
      <c r="J817" s="4">
        <v>0.99707746505737305</v>
      </c>
      <c r="K817" s="4" t="s">
        <v>22</v>
      </c>
      <c r="L817" s="4" t="s">
        <v>313</v>
      </c>
      <c r="M817" s="4">
        <v>2</v>
      </c>
    </row>
    <row r="818" spans="1:13" ht="90" customHeight="1" x14ac:dyDescent="0.3">
      <c r="A818" s="8"/>
      <c r="B818" s="7"/>
      <c r="C818" s="7"/>
      <c r="D818" s="7"/>
      <c r="E818" s="7"/>
      <c r="F818" s="7"/>
      <c r="G818" s="7"/>
      <c r="H818" s="7"/>
      <c r="I818" s="4" t="s">
        <v>316</v>
      </c>
      <c r="J818" s="4">
        <v>0.99312043190002441</v>
      </c>
      <c r="K818" s="4" t="s">
        <v>22</v>
      </c>
      <c r="L818" s="4" t="s">
        <v>313</v>
      </c>
      <c r="M818" s="4">
        <v>4</v>
      </c>
    </row>
    <row r="819" spans="1:13" ht="90" customHeight="1" x14ac:dyDescent="0.3">
      <c r="A819" s="8"/>
      <c r="B819" s="7"/>
      <c r="C819" s="7"/>
      <c r="D819" s="7"/>
      <c r="E819" s="7"/>
      <c r="F819" s="7"/>
      <c r="G819" s="7"/>
      <c r="H819" s="7"/>
      <c r="I819" s="4" t="s">
        <v>412</v>
      </c>
      <c r="J819" s="4">
        <v>0.99205243587493896</v>
      </c>
      <c r="K819" s="4" t="s">
        <v>22</v>
      </c>
      <c r="L819" s="4" t="s">
        <v>313</v>
      </c>
      <c r="M819" s="4">
        <v>3</v>
      </c>
    </row>
    <row r="820" spans="1:13" ht="90" customHeight="1" x14ac:dyDescent="0.3">
      <c r="A820" s="8"/>
      <c r="B820" s="7"/>
      <c r="C820" s="7"/>
      <c r="D820" s="7"/>
      <c r="E820" s="7"/>
      <c r="F820" s="7"/>
      <c r="G820" s="7"/>
      <c r="H820" s="7"/>
      <c r="I820" s="1" t="s">
        <v>413</v>
      </c>
      <c r="J820" s="1">
        <v>0.98010396957397461</v>
      </c>
      <c r="K820" s="1" t="s">
        <v>22</v>
      </c>
      <c r="L820" s="1" t="s">
        <v>414</v>
      </c>
      <c r="M820" s="1">
        <v>3</v>
      </c>
    </row>
    <row r="821" spans="1:13" ht="90" customHeight="1" x14ac:dyDescent="0.3">
      <c r="A821" s="8"/>
      <c r="B821" s="7"/>
      <c r="C821" s="7"/>
      <c r="D821" s="7"/>
      <c r="E821" s="7"/>
      <c r="F821" s="7"/>
      <c r="G821" s="7"/>
      <c r="H821" s="7"/>
      <c r="I821" s="1" t="s">
        <v>415</v>
      </c>
      <c r="J821" s="1">
        <v>0.9799647331237793</v>
      </c>
      <c r="K821" s="1" t="s">
        <v>22</v>
      </c>
      <c r="L821" s="1" t="s">
        <v>263</v>
      </c>
      <c r="M821" s="1">
        <v>27</v>
      </c>
    </row>
    <row r="822" spans="1:13" ht="90" customHeight="1" x14ac:dyDescent="0.3">
      <c r="A822" s="8">
        <v>268</v>
      </c>
      <c r="B822" s="8" t="s">
        <v>984</v>
      </c>
      <c r="C822" s="8" t="s">
        <v>985</v>
      </c>
      <c r="D822" s="8" t="s">
        <v>99</v>
      </c>
      <c r="E822" s="6" t="s">
        <v>93</v>
      </c>
      <c r="F822" s="6" t="s">
        <v>94</v>
      </c>
      <c r="G822" s="8" t="s">
        <v>986</v>
      </c>
      <c r="H822" s="8" t="s">
        <v>987</v>
      </c>
      <c r="I822" s="2" t="s">
        <v>988</v>
      </c>
      <c r="J822" s="2">
        <v>0.84056186676025391</v>
      </c>
      <c r="K822" s="2" t="s">
        <v>22</v>
      </c>
      <c r="L822" s="2" t="s">
        <v>451</v>
      </c>
      <c r="M822" s="2">
        <v>48</v>
      </c>
    </row>
    <row r="823" spans="1:13" ht="90" customHeight="1" x14ac:dyDescent="0.3">
      <c r="A823" s="8"/>
      <c r="B823" s="7"/>
      <c r="C823" s="7"/>
      <c r="D823" s="7"/>
      <c r="E823" s="7"/>
      <c r="F823" s="7"/>
      <c r="G823" s="7"/>
      <c r="H823" s="7"/>
      <c r="I823" s="1"/>
      <c r="J823" s="1"/>
      <c r="K823" s="1"/>
      <c r="L823" s="1"/>
      <c r="M823" s="1"/>
    </row>
    <row r="824" spans="1:13" ht="90" customHeight="1" x14ac:dyDescent="0.3">
      <c r="A824" s="8"/>
      <c r="B824" s="7"/>
      <c r="C824" s="7"/>
      <c r="D824" s="7"/>
      <c r="E824" s="7"/>
      <c r="F824" s="7"/>
      <c r="G824" s="7"/>
      <c r="H824" s="7"/>
      <c r="I824" s="1"/>
      <c r="J824" s="1"/>
      <c r="K824" s="1"/>
      <c r="L824" s="1"/>
      <c r="M824" s="1"/>
    </row>
    <row r="825" spans="1:13" ht="90" customHeight="1" x14ac:dyDescent="0.3">
      <c r="A825" s="8"/>
      <c r="B825" s="7"/>
      <c r="C825" s="7"/>
      <c r="D825" s="7"/>
      <c r="E825" s="7"/>
      <c r="F825" s="7"/>
      <c r="G825" s="7"/>
      <c r="H825" s="7"/>
      <c r="I825" s="1"/>
      <c r="J825" s="1"/>
      <c r="K825" s="1"/>
      <c r="L825" s="1"/>
      <c r="M825" s="1"/>
    </row>
    <row r="826" spans="1:13" ht="90" customHeight="1" x14ac:dyDescent="0.3">
      <c r="A826" s="8"/>
      <c r="B826" s="7"/>
      <c r="C826" s="7"/>
      <c r="D826" s="7"/>
      <c r="E826" s="7"/>
      <c r="F826" s="7"/>
      <c r="G826" s="7"/>
      <c r="H826" s="7"/>
      <c r="I826" s="1"/>
      <c r="J826" s="1"/>
      <c r="K826" s="1"/>
      <c r="L826" s="1"/>
      <c r="M826" s="1"/>
    </row>
    <row r="827" spans="1:13" ht="90" customHeight="1" x14ac:dyDescent="0.3">
      <c r="A827" s="8">
        <v>269</v>
      </c>
      <c r="B827" s="8" t="s">
        <v>989</v>
      </c>
      <c r="C827" s="8" t="s">
        <v>252</v>
      </c>
      <c r="D827" s="8" t="s">
        <v>990</v>
      </c>
      <c r="E827" s="6" t="s">
        <v>17</v>
      </c>
      <c r="F827" s="6" t="s">
        <v>94</v>
      </c>
      <c r="G827" s="8" t="s">
        <v>991</v>
      </c>
      <c r="H827" s="8" t="s">
        <v>992</v>
      </c>
      <c r="I827" s="2" t="s">
        <v>993</v>
      </c>
      <c r="J827" s="2">
        <v>0.99812370538711548</v>
      </c>
      <c r="K827" s="2" t="s">
        <v>22</v>
      </c>
      <c r="L827" s="2" t="s">
        <v>826</v>
      </c>
      <c r="M827" s="2">
        <v>37</v>
      </c>
    </row>
    <row r="828" spans="1:13" ht="90" customHeight="1" x14ac:dyDescent="0.3">
      <c r="A828" s="8"/>
      <c r="B828" s="7"/>
      <c r="C828" s="7"/>
      <c r="D828" s="7"/>
      <c r="E828" s="7"/>
      <c r="F828" s="7"/>
      <c r="G828" s="7"/>
      <c r="H828" s="7"/>
      <c r="I828" s="2" t="s">
        <v>994</v>
      </c>
      <c r="J828" s="2">
        <v>0.99702942371368408</v>
      </c>
      <c r="K828" s="2" t="s">
        <v>22</v>
      </c>
      <c r="L828" s="2" t="s">
        <v>826</v>
      </c>
      <c r="M828" s="2">
        <v>36</v>
      </c>
    </row>
    <row r="829" spans="1:13" ht="90" customHeight="1" x14ac:dyDescent="0.3">
      <c r="A829" s="8"/>
      <c r="B829" s="7"/>
      <c r="C829" s="7"/>
      <c r="D829" s="7"/>
      <c r="E829" s="7"/>
      <c r="F829" s="7"/>
      <c r="G829" s="7"/>
      <c r="H829" s="7"/>
      <c r="I829" s="2" t="s">
        <v>995</v>
      </c>
      <c r="J829" s="2">
        <v>0.98636776208877563</v>
      </c>
      <c r="K829" s="2" t="s">
        <v>22</v>
      </c>
      <c r="L829" s="2" t="s">
        <v>826</v>
      </c>
      <c r="M829" s="2">
        <v>39</v>
      </c>
    </row>
    <row r="830" spans="1:13" ht="90" customHeight="1" x14ac:dyDescent="0.3">
      <c r="A830" s="8"/>
      <c r="B830" s="7"/>
      <c r="C830" s="7"/>
      <c r="D830" s="7"/>
      <c r="E830" s="7"/>
      <c r="F830" s="7"/>
      <c r="G830" s="7"/>
      <c r="H830" s="7"/>
      <c r="I830" s="5" t="s">
        <v>996</v>
      </c>
      <c r="J830" s="5">
        <v>0.95082628726959229</v>
      </c>
      <c r="K830" s="5" t="s">
        <v>22</v>
      </c>
      <c r="L830" s="5" t="s">
        <v>252</v>
      </c>
      <c r="M830" s="5">
        <v>34</v>
      </c>
    </row>
    <row r="831" spans="1:13" ht="90" customHeight="1" x14ac:dyDescent="0.3">
      <c r="A831" s="8"/>
      <c r="B831" s="7"/>
      <c r="C831" s="7"/>
      <c r="D831" s="7"/>
      <c r="E831" s="7"/>
      <c r="F831" s="7"/>
      <c r="G831" s="7"/>
      <c r="H831" s="7"/>
      <c r="I831" s="1" t="s">
        <v>997</v>
      </c>
      <c r="J831" s="1">
        <v>0.92183172702789307</v>
      </c>
      <c r="K831" s="1" t="s">
        <v>22</v>
      </c>
      <c r="L831" s="1" t="s">
        <v>252</v>
      </c>
      <c r="M831" s="1">
        <v>83</v>
      </c>
    </row>
    <row r="832" spans="1:13" ht="90" customHeight="1" x14ac:dyDescent="0.3">
      <c r="A832" s="8">
        <v>270</v>
      </c>
      <c r="B832" s="8" t="s">
        <v>998</v>
      </c>
      <c r="C832" s="8" t="s">
        <v>826</v>
      </c>
      <c r="D832" s="8" t="s">
        <v>999</v>
      </c>
      <c r="E832" s="6" t="s">
        <v>17</v>
      </c>
      <c r="F832" s="6" t="s">
        <v>18</v>
      </c>
      <c r="G832" s="8" t="s">
        <v>1000</v>
      </c>
      <c r="H832" s="8" t="s">
        <v>1001</v>
      </c>
      <c r="I832" s="4" t="s">
        <v>1002</v>
      </c>
      <c r="J832" s="4">
        <v>0.99991989135742188</v>
      </c>
      <c r="K832" s="4" t="s">
        <v>22</v>
      </c>
      <c r="L832" s="4" t="s">
        <v>826</v>
      </c>
      <c r="M832" s="4">
        <v>238</v>
      </c>
    </row>
    <row r="833" spans="1:13" ht="90" customHeight="1" x14ac:dyDescent="0.3">
      <c r="A833" s="8"/>
      <c r="B833" s="7"/>
      <c r="C833" s="7"/>
      <c r="D833" s="7"/>
      <c r="E833" s="7"/>
      <c r="F833" s="7"/>
      <c r="G833" s="7"/>
      <c r="H833" s="7"/>
      <c r="I833" s="4" t="s">
        <v>1003</v>
      </c>
      <c r="J833" s="4">
        <v>0.99989449977874756</v>
      </c>
      <c r="K833" s="4" t="s">
        <v>22</v>
      </c>
      <c r="L833" s="4" t="s">
        <v>826</v>
      </c>
      <c r="M833" s="4">
        <v>237</v>
      </c>
    </row>
    <row r="834" spans="1:13" ht="90" customHeight="1" x14ac:dyDescent="0.3">
      <c r="A834" s="8"/>
      <c r="B834" s="7"/>
      <c r="C834" s="7"/>
      <c r="D834" s="7"/>
      <c r="E834" s="7"/>
      <c r="F834" s="7"/>
      <c r="G834" s="7"/>
      <c r="H834" s="7"/>
      <c r="I834" s="4" t="s">
        <v>1004</v>
      </c>
      <c r="J834" s="4">
        <v>0.99896860122680664</v>
      </c>
      <c r="K834" s="4" t="s">
        <v>22</v>
      </c>
      <c r="L834" s="4" t="s">
        <v>826</v>
      </c>
      <c r="M834" s="4">
        <v>236</v>
      </c>
    </row>
    <row r="835" spans="1:13" ht="90" customHeight="1" x14ac:dyDescent="0.3">
      <c r="A835" s="8"/>
      <c r="B835" s="7"/>
      <c r="C835" s="7"/>
      <c r="D835" s="7"/>
      <c r="E835" s="7"/>
      <c r="F835" s="7"/>
      <c r="G835" s="7"/>
      <c r="H835" s="7"/>
      <c r="I835" s="1" t="s">
        <v>1005</v>
      </c>
      <c r="J835" s="1">
        <v>0.91777455806732178</v>
      </c>
      <c r="K835" s="1" t="s">
        <v>22</v>
      </c>
      <c r="L835" s="1" t="s">
        <v>826</v>
      </c>
      <c r="M835" s="1">
        <v>22</v>
      </c>
    </row>
    <row r="836" spans="1:13" ht="90" customHeight="1" x14ac:dyDescent="0.3">
      <c r="A836" s="8"/>
      <c r="B836" s="7"/>
      <c r="C836" s="7"/>
      <c r="D836" s="7"/>
      <c r="E836" s="7"/>
      <c r="F836" s="7"/>
      <c r="G836" s="7"/>
      <c r="H836" s="7"/>
      <c r="I836" s="1" t="s">
        <v>256</v>
      </c>
      <c r="J836" s="1">
        <v>0.76346313953399658</v>
      </c>
      <c r="K836" s="1" t="s">
        <v>22</v>
      </c>
      <c r="L836" s="1" t="s">
        <v>252</v>
      </c>
      <c r="M836" s="1">
        <v>87</v>
      </c>
    </row>
    <row r="837" spans="1:13" ht="90" customHeight="1" x14ac:dyDescent="0.3">
      <c r="A837" s="8">
        <v>272</v>
      </c>
      <c r="B837" s="8" t="s">
        <v>1006</v>
      </c>
      <c r="C837" s="8" t="s">
        <v>115</v>
      </c>
      <c r="D837" s="8" t="s">
        <v>609</v>
      </c>
      <c r="E837" s="6" t="s">
        <v>17</v>
      </c>
      <c r="F837" s="6" t="s">
        <v>18</v>
      </c>
      <c r="G837" s="8" t="s">
        <v>1007</v>
      </c>
      <c r="H837" s="8" t="s">
        <v>1008</v>
      </c>
      <c r="I837" s="4" t="s">
        <v>1009</v>
      </c>
      <c r="J837" s="4">
        <v>0.99959343671798706</v>
      </c>
      <c r="K837" s="4" t="s">
        <v>22</v>
      </c>
      <c r="L837" s="4" t="s">
        <v>115</v>
      </c>
      <c r="M837" s="4">
        <v>3</v>
      </c>
    </row>
    <row r="838" spans="1:13" ht="90" customHeight="1" x14ac:dyDescent="0.3">
      <c r="A838" s="8"/>
      <c r="B838" s="7"/>
      <c r="C838" s="7"/>
      <c r="D838" s="7"/>
      <c r="E838" s="7"/>
      <c r="F838" s="7"/>
      <c r="G838" s="7"/>
      <c r="H838" s="7"/>
      <c r="I838" s="2" t="s">
        <v>117</v>
      </c>
      <c r="J838" s="2">
        <v>0.97658312320709229</v>
      </c>
      <c r="K838" s="2" t="s">
        <v>22</v>
      </c>
      <c r="L838" s="2" t="s">
        <v>115</v>
      </c>
      <c r="M838" s="2">
        <v>1</v>
      </c>
    </row>
    <row r="839" spans="1:13" ht="90" customHeight="1" x14ac:dyDescent="0.3">
      <c r="A839" s="8"/>
      <c r="B839" s="7"/>
      <c r="C839" s="7"/>
      <c r="D839" s="7"/>
      <c r="E839" s="7"/>
      <c r="F839" s="7"/>
      <c r="G839" s="7"/>
      <c r="H839" s="7"/>
      <c r="I839" s="1"/>
      <c r="J839" s="1"/>
      <c r="K839" s="1"/>
      <c r="L839" s="1"/>
      <c r="M839" s="1"/>
    </row>
    <row r="840" spans="1:13" ht="90" customHeight="1" x14ac:dyDescent="0.3">
      <c r="A840" s="8"/>
      <c r="B840" s="7"/>
      <c r="C840" s="7"/>
      <c r="D840" s="7"/>
      <c r="E840" s="7"/>
      <c r="F840" s="7"/>
      <c r="G840" s="7"/>
      <c r="H840" s="7"/>
      <c r="I840" s="1"/>
      <c r="J840" s="1"/>
      <c r="K840" s="1"/>
      <c r="L840" s="1"/>
      <c r="M840" s="1"/>
    </row>
    <row r="841" spans="1:13" ht="90" customHeight="1" x14ac:dyDescent="0.3">
      <c r="A841" s="8"/>
      <c r="B841" s="7"/>
      <c r="C841" s="7"/>
      <c r="D841" s="7"/>
      <c r="E841" s="7"/>
      <c r="F841" s="7"/>
      <c r="G841" s="7"/>
      <c r="H841" s="7"/>
      <c r="I841" s="1"/>
      <c r="J841" s="1"/>
      <c r="K841" s="1"/>
      <c r="L841" s="1"/>
      <c r="M841" s="1"/>
    </row>
    <row r="842" spans="1:13" ht="90" customHeight="1" x14ac:dyDescent="0.3">
      <c r="A842" s="8">
        <v>274</v>
      </c>
      <c r="B842" s="8" t="s">
        <v>1010</v>
      </c>
      <c r="C842" s="8" t="s">
        <v>26</v>
      </c>
      <c r="D842" s="8" t="s">
        <v>961</v>
      </c>
      <c r="E842" s="6" t="s">
        <v>93</v>
      </c>
      <c r="F842" s="6" t="s">
        <v>94</v>
      </c>
      <c r="G842" s="8" t="s">
        <v>1011</v>
      </c>
      <c r="H842" s="8" t="s">
        <v>96</v>
      </c>
      <c r="I842" s="1"/>
      <c r="J842" s="1"/>
      <c r="K842" s="1"/>
      <c r="L842" s="1"/>
      <c r="M842" s="1"/>
    </row>
    <row r="843" spans="1:13" ht="90" customHeight="1" x14ac:dyDescent="0.3">
      <c r="A843" s="8"/>
      <c r="B843" s="7"/>
      <c r="C843" s="7"/>
      <c r="D843" s="7"/>
      <c r="E843" s="7"/>
      <c r="F843" s="7"/>
      <c r="G843" s="7"/>
      <c r="H843" s="7"/>
      <c r="I843" s="1"/>
      <c r="J843" s="1"/>
      <c r="K843" s="1"/>
      <c r="L843" s="1"/>
      <c r="M843" s="1"/>
    </row>
    <row r="844" spans="1:13" ht="90" customHeight="1" x14ac:dyDescent="0.3">
      <c r="A844" s="8"/>
      <c r="B844" s="7"/>
      <c r="C844" s="7"/>
      <c r="D844" s="7"/>
      <c r="E844" s="7"/>
      <c r="F844" s="7"/>
      <c r="G844" s="7"/>
      <c r="H844" s="7"/>
      <c r="I844" s="1"/>
      <c r="J844" s="1"/>
      <c r="K844" s="1"/>
      <c r="L844" s="1"/>
      <c r="M844" s="1"/>
    </row>
    <row r="845" spans="1:13" ht="90" customHeight="1" x14ac:dyDescent="0.3">
      <c r="A845" s="8"/>
      <c r="B845" s="7"/>
      <c r="C845" s="7"/>
      <c r="D845" s="7"/>
      <c r="E845" s="7"/>
      <c r="F845" s="7"/>
      <c r="G845" s="7"/>
      <c r="H845" s="7"/>
      <c r="I845" s="1"/>
      <c r="J845" s="1"/>
      <c r="K845" s="1"/>
      <c r="L845" s="1"/>
      <c r="M845" s="1"/>
    </row>
    <row r="846" spans="1:13" ht="90" customHeight="1" x14ac:dyDescent="0.3">
      <c r="A846" s="8"/>
      <c r="B846" s="7"/>
      <c r="C846" s="7"/>
      <c r="D846" s="7"/>
      <c r="E846" s="7"/>
      <c r="F846" s="7"/>
      <c r="G846" s="7"/>
      <c r="H846" s="7"/>
      <c r="I846" s="1"/>
      <c r="J846" s="1"/>
      <c r="K846" s="1"/>
      <c r="L846" s="1"/>
      <c r="M846" s="1"/>
    </row>
    <row r="847" spans="1:13" ht="90" customHeight="1" x14ac:dyDescent="0.3">
      <c r="A847" s="8">
        <v>276</v>
      </c>
      <c r="B847" s="8" t="s">
        <v>1012</v>
      </c>
      <c r="C847" s="8" t="s">
        <v>71</v>
      </c>
      <c r="D847" s="8" t="s">
        <v>661</v>
      </c>
      <c r="E847" s="6" t="s">
        <v>17</v>
      </c>
      <c r="F847" s="6" t="s">
        <v>18</v>
      </c>
      <c r="G847" s="8" t="s">
        <v>1013</v>
      </c>
      <c r="H847" s="8" t="s">
        <v>1014</v>
      </c>
      <c r="I847" s="4" t="s">
        <v>1015</v>
      </c>
      <c r="J847" s="4">
        <v>0.99949002265930176</v>
      </c>
      <c r="K847" s="4" t="s">
        <v>22</v>
      </c>
      <c r="L847" s="4" t="s">
        <v>71</v>
      </c>
      <c r="M847" s="4">
        <v>127</v>
      </c>
    </row>
    <row r="848" spans="1:13" ht="90" customHeight="1" x14ac:dyDescent="0.3">
      <c r="A848" s="8"/>
      <c r="B848" s="7"/>
      <c r="C848" s="7"/>
      <c r="D848" s="7"/>
      <c r="E848" s="7"/>
      <c r="F848" s="7"/>
      <c r="G848" s="7"/>
      <c r="H848" s="7"/>
      <c r="I848" s="4" t="s">
        <v>1016</v>
      </c>
      <c r="J848" s="4">
        <v>0.99925583600997925</v>
      </c>
      <c r="K848" s="4" t="s">
        <v>22</v>
      </c>
      <c r="L848" s="4" t="s">
        <v>71</v>
      </c>
      <c r="M848" s="4">
        <v>128</v>
      </c>
    </row>
    <row r="849" spans="1:13" ht="90" customHeight="1" x14ac:dyDescent="0.3">
      <c r="A849" s="8"/>
      <c r="B849" s="7"/>
      <c r="C849" s="7"/>
      <c r="D849" s="7"/>
      <c r="E849" s="7"/>
      <c r="F849" s="7"/>
      <c r="G849" s="7"/>
      <c r="H849" s="7"/>
      <c r="I849" s="2" t="s">
        <v>1017</v>
      </c>
      <c r="J849" s="2">
        <v>0.98236280679702759</v>
      </c>
      <c r="K849" s="2" t="s">
        <v>22</v>
      </c>
      <c r="L849" s="2" t="s">
        <v>365</v>
      </c>
      <c r="M849" s="2">
        <v>34</v>
      </c>
    </row>
    <row r="850" spans="1:13" ht="90" customHeight="1" x14ac:dyDescent="0.3">
      <c r="A850" s="8"/>
      <c r="B850" s="7"/>
      <c r="C850" s="7"/>
      <c r="D850" s="7"/>
      <c r="E850" s="7"/>
      <c r="F850" s="7"/>
      <c r="G850" s="7"/>
      <c r="H850" s="7"/>
      <c r="I850" s="1" t="s">
        <v>1018</v>
      </c>
      <c r="J850" s="1">
        <v>0.93821829556939484</v>
      </c>
      <c r="K850" s="1" t="s">
        <v>22</v>
      </c>
      <c r="L850" s="1" t="s">
        <v>363</v>
      </c>
      <c r="M850" s="1">
        <v>80</v>
      </c>
    </row>
    <row r="851" spans="1:13" ht="90" customHeight="1" x14ac:dyDescent="0.3">
      <c r="A851" s="8"/>
      <c r="B851" s="7"/>
      <c r="C851" s="7"/>
      <c r="D851" s="7"/>
      <c r="E851" s="7"/>
      <c r="F851" s="7"/>
      <c r="G851" s="7"/>
      <c r="H851" s="7"/>
      <c r="I851" s="1" t="s">
        <v>1019</v>
      </c>
      <c r="J851" s="1">
        <v>0.93479746580123901</v>
      </c>
      <c r="K851" s="1" t="s">
        <v>22</v>
      </c>
      <c r="L851" s="1" t="s">
        <v>67</v>
      </c>
      <c r="M851" s="1">
        <v>107</v>
      </c>
    </row>
    <row r="852" spans="1:13" ht="90" customHeight="1" x14ac:dyDescent="0.3">
      <c r="A852" s="8">
        <v>279</v>
      </c>
      <c r="B852" s="8" t="s">
        <v>1020</v>
      </c>
      <c r="C852" s="8" t="s">
        <v>346</v>
      </c>
      <c r="D852" s="8" t="s">
        <v>1021</v>
      </c>
      <c r="E852" s="6" t="s">
        <v>17</v>
      </c>
      <c r="F852" s="6" t="s">
        <v>94</v>
      </c>
      <c r="G852" s="8" t="s">
        <v>1022</v>
      </c>
      <c r="H852" s="8" t="s">
        <v>1023</v>
      </c>
      <c r="I852" s="2" t="s">
        <v>1024</v>
      </c>
      <c r="J852" s="2">
        <v>0.90735059976577703</v>
      </c>
      <c r="K852" s="2" t="s">
        <v>22</v>
      </c>
      <c r="L852" s="2" t="s">
        <v>1025</v>
      </c>
      <c r="M852" s="2">
        <v>135</v>
      </c>
    </row>
    <row r="853" spans="1:13" ht="90" customHeight="1" x14ac:dyDescent="0.3">
      <c r="A853" s="8"/>
      <c r="B853" s="7"/>
      <c r="C853" s="7"/>
      <c r="D853" s="7"/>
      <c r="E853" s="7"/>
      <c r="F853" s="7"/>
      <c r="G853" s="7"/>
      <c r="H853" s="7"/>
      <c r="I853" s="5" t="s">
        <v>1026</v>
      </c>
      <c r="J853" s="5">
        <v>0.79149693250656128</v>
      </c>
      <c r="K853" s="5" t="s">
        <v>22</v>
      </c>
      <c r="L853" s="5" t="s">
        <v>346</v>
      </c>
      <c r="M853" s="5">
        <v>100</v>
      </c>
    </row>
    <row r="854" spans="1:13" ht="90" customHeight="1" x14ac:dyDescent="0.3">
      <c r="A854" s="8"/>
      <c r="B854" s="7"/>
      <c r="C854" s="7"/>
      <c r="D854" s="7"/>
      <c r="E854" s="7"/>
      <c r="F854" s="7"/>
      <c r="G854" s="7"/>
      <c r="H854" s="7"/>
      <c r="I854" s="1"/>
      <c r="J854" s="1"/>
      <c r="K854" s="1"/>
      <c r="L854" s="1"/>
      <c r="M854" s="1"/>
    </row>
    <row r="855" spans="1:13" ht="90" customHeight="1" x14ac:dyDescent="0.3">
      <c r="A855" s="8"/>
      <c r="B855" s="7"/>
      <c r="C855" s="7"/>
      <c r="D855" s="7"/>
      <c r="E855" s="7"/>
      <c r="F855" s="7"/>
      <c r="G855" s="7"/>
      <c r="H855" s="7"/>
      <c r="I855" s="1"/>
      <c r="J855" s="1"/>
      <c r="K855" s="1"/>
      <c r="L855" s="1"/>
      <c r="M855" s="1"/>
    </row>
    <row r="856" spans="1:13" ht="90" customHeight="1" x14ac:dyDescent="0.3">
      <c r="A856" s="8"/>
      <c r="B856" s="7"/>
      <c r="C856" s="7"/>
      <c r="D856" s="7"/>
      <c r="E856" s="7"/>
      <c r="F856" s="7"/>
      <c r="G856" s="7"/>
      <c r="H856" s="7"/>
      <c r="I856" s="1"/>
      <c r="J856" s="1"/>
      <c r="K856" s="1"/>
      <c r="L856" s="1"/>
      <c r="M856" s="1"/>
    </row>
    <row r="857" spans="1:13" ht="90" customHeight="1" x14ac:dyDescent="0.3">
      <c r="A857" s="8">
        <v>282</v>
      </c>
      <c r="B857" s="8" t="s">
        <v>1027</v>
      </c>
      <c r="C857" s="8" t="s">
        <v>1028</v>
      </c>
      <c r="D857" s="8" t="s">
        <v>1029</v>
      </c>
      <c r="E857" s="6" t="s">
        <v>17</v>
      </c>
      <c r="F857" s="6" t="s">
        <v>18</v>
      </c>
      <c r="G857" s="8" t="s">
        <v>1030</v>
      </c>
      <c r="H857" s="8" t="s">
        <v>1031</v>
      </c>
      <c r="I857" s="4" t="s">
        <v>1032</v>
      </c>
      <c r="J857" s="4">
        <v>0.99998128414154053</v>
      </c>
      <c r="K857" s="4" t="s">
        <v>22</v>
      </c>
      <c r="L857" s="4" t="s">
        <v>1033</v>
      </c>
      <c r="M857" s="4">
        <v>1</v>
      </c>
    </row>
    <row r="858" spans="1:13" ht="90" customHeight="1" x14ac:dyDescent="0.3">
      <c r="A858" s="8"/>
      <c r="B858" s="7"/>
      <c r="C858" s="7"/>
      <c r="D858" s="7"/>
      <c r="E858" s="7"/>
      <c r="F858" s="7"/>
      <c r="G858" s="7"/>
      <c r="H858" s="7"/>
      <c r="I858" s="4" t="s">
        <v>1034</v>
      </c>
      <c r="J858" s="4">
        <v>0.99997568130493164</v>
      </c>
      <c r="K858" s="4" t="s">
        <v>22</v>
      </c>
      <c r="L858" s="4" t="s">
        <v>1035</v>
      </c>
      <c r="M858" s="4">
        <v>1</v>
      </c>
    </row>
    <row r="859" spans="1:13" ht="90" customHeight="1" x14ac:dyDescent="0.3">
      <c r="A859" s="8"/>
      <c r="B859" s="7"/>
      <c r="C859" s="7"/>
      <c r="D859" s="7"/>
      <c r="E859" s="7"/>
      <c r="F859" s="7"/>
      <c r="G859" s="7"/>
      <c r="H859" s="7"/>
      <c r="I859" s="1"/>
      <c r="J859" s="1"/>
      <c r="K859" s="1"/>
      <c r="L859" s="1"/>
      <c r="M859" s="1"/>
    </row>
    <row r="860" spans="1:13" ht="90" customHeight="1" x14ac:dyDescent="0.3">
      <c r="A860" s="8"/>
      <c r="B860" s="7"/>
      <c r="C860" s="7"/>
      <c r="D860" s="7"/>
      <c r="E860" s="7"/>
      <c r="F860" s="7"/>
      <c r="G860" s="7"/>
      <c r="H860" s="7"/>
      <c r="I860" s="1"/>
      <c r="J860" s="1"/>
      <c r="K860" s="1"/>
      <c r="L860" s="1"/>
      <c r="M860" s="1"/>
    </row>
    <row r="861" spans="1:13" ht="90" customHeight="1" x14ac:dyDescent="0.3">
      <c r="A861" s="8"/>
      <c r="B861" s="7"/>
      <c r="C861" s="7"/>
      <c r="D861" s="7"/>
      <c r="E861" s="7"/>
      <c r="F861" s="7"/>
      <c r="G861" s="7"/>
      <c r="H861" s="7"/>
      <c r="I861" s="1"/>
      <c r="J861" s="1"/>
      <c r="K861" s="1"/>
      <c r="L861" s="1"/>
      <c r="M861" s="1"/>
    </row>
    <row r="862" spans="1:13" ht="90" customHeight="1" x14ac:dyDescent="0.3">
      <c r="A862" s="8">
        <v>283</v>
      </c>
      <c r="B862" s="8" t="s">
        <v>1036</v>
      </c>
      <c r="C862" s="8" t="s">
        <v>1037</v>
      </c>
      <c r="D862" s="8" t="s">
        <v>1038</v>
      </c>
      <c r="E862" s="6" t="s">
        <v>93</v>
      </c>
      <c r="F862" s="6" t="s">
        <v>94</v>
      </c>
      <c r="G862" s="8" t="s">
        <v>1039</v>
      </c>
      <c r="H862" s="8" t="s">
        <v>96</v>
      </c>
      <c r="I862" s="1"/>
      <c r="J862" s="1"/>
      <c r="K862" s="1"/>
      <c r="L862" s="1"/>
      <c r="M862" s="1"/>
    </row>
    <row r="863" spans="1:13" ht="90" customHeight="1" x14ac:dyDescent="0.3">
      <c r="A863" s="8"/>
      <c r="B863" s="7"/>
      <c r="C863" s="7"/>
      <c r="D863" s="7"/>
      <c r="E863" s="7"/>
      <c r="F863" s="7"/>
      <c r="G863" s="7"/>
      <c r="H863" s="7"/>
      <c r="I863" s="1"/>
      <c r="J863" s="1"/>
      <c r="K863" s="1"/>
      <c r="L863" s="1"/>
      <c r="M863" s="1"/>
    </row>
    <row r="864" spans="1:13" ht="90" customHeight="1" x14ac:dyDescent="0.3">
      <c r="A864" s="8"/>
      <c r="B864" s="7"/>
      <c r="C864" s="7"/>
      <c r="D864" s="7"/>
      <c r="E864" s="7"/>
      <c r="F864" s="7"/>
      <c r="G864" s="7"/>
      <c r="H864" s="7"/>
      <c r="I864" s="1"/>
      <c r="J864" s="1"/>
      <c r="K864" s="1"/>
      <c r="L864" s="1"/>
      <c r="M864" s="1"/>
    </row>
    <row r="865" spans="1:13" ht="90" customHeight="1" x14ac:dyDescent="0.3">
      <c r="A865" s="8"/>
      <c r="B865" s="7"/>
      <c r="C865" s="7"/>
      <c r="D865" s="7"/>
      <c r="E865" s="7"/>
      <c r="F865" s="7"/>
      <c r="G865" s="7"/>
      <c r="H865" s="7"/>
      <c r="I865" s="1"/>
      <c r="J865" s="1"/>
      <c r="K865" s="1"/>
      <c r="L865" s="1"/>
      <c r="M865" s="1"/>
    </row>
    <row r="866" spans="1:13" ht="90" customHeight="1" x14ac:dyDescent="0.3">
      <c r="A866" s="8"/>
      <c r="B866" s="7"/>
      <c r="C866" s="7"/>
      <c r="D866" s="7"/>
      <c r="E866" s="7"/>
      <c r="F866" s="7"/>
      <c r="G866" s="7"/>
      <c r="H866" s="7"/>
      <c r="I866" s="1"/>
      <c r="J866" s="1"/>
      <c r="K866" s="1"/>
      <c r="L866" s="1"/>
      <c r="M866" s="1"/>
    </row>
    <row r="867" spans="1:13" ht="90" customHeight="1" x14ac:dyDescent="0.3">
      <c r="A867" s="8">
        <v>284</v>
      </c>
      <c r="B867" s="8" t="s">
        <v>1040</v>
      </c>
      <c r="C867" s="8" t="s">
        <v>429</v>
      </c>
      <c r="D867" s="8" t="s">
        <v>436</v>
      </c>
      <c r="E867" s="6" t="s">
        <v>93</v>
      </c>
      <c r="F867" s="6" t="s">
        <v>94</v>
      </c>
      <c r="G867" s="8" t="s">
        <v>1041</v>
      </c>
      <c r="H867" s="8" t="s">
        <v>1042</v>
      </c>
      <c r="I867" s="2" t="s">
        <v>1043</v>
      </c>
      <c r="J867" s="2">
        <v>0.74543142318725586</v>
      </c>
      <c r="K867" s="2" t="s">
        <v>22</v>
      </c>
      <c r="L867" s="2" t="s">
        <v>1044</v>
      </c>
      <c r="M867" s="2">
        <v>15</v>
      </c>
    </row>
    <row r="868" spans="1:13" ht="90" customHeight="1" x14ac:dyDescent="0.3">
      <c r="A868" s="8"/>
      <c r="B868" s="7"/>
      <c r="C868" s="7"/>
      <c r="D868" s="7"/>
      <c r="E868" s="7"/>
      <c r="F868" s="7"/>
      <c r="G868" s="7"/>
      <c r="H868" s="7"/>
      <c r="I868" s="1"/>
      <c r="J868" s="1"/>
      <c r="K868" s="1"/>
      <c r="L868" s="1"/>
      <c r="M868" s="1"/>
    </row>
    <row r="869" spans="1:13" ht="90" customHeight="1" x14ac:dyDescent="0.3">
      <c r="A869" s="8"/>
      <c r="B869" s="7"/>
      <c r="C869" s="7"/>
      <c r="D869" s="7"/>
      <c r="E869" s="7"/>
      <c r="F869" s="7"/>
      <c r="G869" s="7"/>
      <c r="H869" s="7"/>
      <c r="I869" s="1"/>
      <c r="J869" s="1"/>
      <c r="K869" s="1"/>
      <c r="L869" s="1"/>
      <c r="M869" s="1"/>
    </row>
    <row r="870" spans="1:13" ht="90" customHeight="1" x14ac:dyDescent="0.3">
      <c r="A870" s="8"/>
      <c r="B870" s="7"/>
      <c r="C870" s="7"/>
      <c r="D870" s="7"/>
      <c r="E870" s="7"/>
      <c r="F870" s="7"/>
      <c r="G870" s="7"/>
      <c r="H870" s="7"/>
      <c r="I870" s="1"/>
      <c r="J870" s="1"/>
      <c r="K870" s="1"/>
      <c r="L870" s="1"/>
      <c r="M870" s="1"/>
    </row>
    <row r="871" spans="1:13" ht="90" customHeight="1" x14ac:dyDescent="0.3">
      <c r="A871" s="8"/>
      <c r="B871" s="7"/>
      <c r="C871" s="7"/>
      <c r="D871" s="7"/>
      <c r="E871" s="7"/>
      <c r="F871" s="7"/>
      <c r="G871" s="7"/>
      <c r="H871" s="7"/>
      <c r="I871" s="1"/>
      <c r="J871" s="1"/>
      <c r="K871" s="1"/>
      <c r="L871" s="1"/>
      <c r="M871" s="1"/>
    </row>
    <row r="872" spans="1:13" ht="90" customHeight="1" x14ac:dyDescent="0.3">
      <c r="A872" s="8">
        <v>285</v>
      </c>
      <c r="B872" s="8" t="s">
        <v>1045</v>
      </c>
      <c r="C872" s="8" t="s">
        <v>614</v>
      </c>
      <c r="D872" s="8" t="s">
        <v>99</v>
      </c>
      <c r="E872" s="6" t="s">
        <v>17</v>
      </c>
      <c r="F872" s="6" t="s">
        <v>18</v>
      </c>
      <c r="G872" s="8" t="s">
        <v>1046</v>
      </c>
      <c r="H872" s="8" t="s">
        <v>1047</v>
      </c>
      <c r="I872" s="4" t="s">
        <v>617</v>
      </c>
      <c r="J872" s="4">
        <v>0.99568730592727661</v>
      </c>
      <c r="K872" s="4" t="s">
        <v>22</v>
      </c>
      <c r="L872" s="4" t="s">
        <v>614</v>
      </c>
      <c r="M872" s="4">
        <v>1</v>
      </c>
    </row>
    <row r="873" spans="1:13" ht="90" customHeight="1" x14ac:dyDescent="0.3">
      <c r="A873" s="8"/>
      <c r="B873" s="7"/>
      <c r="C873" s="7"/>
      <c r="D873" s="7"/>
      <c r="E873" s="7"/>
      <c r="F873" s="7"/>
      <c r="G873" s="7"/>
      <c r="H873" s="7"/>
      <c r="I873" s="1"/>
      <c r="J873" s="1"/>
      <c r="K873" s="1"/>
      <c r="L873" s="1"/>
      <c r="M873" s="1"/>
    </row>
    <row r="874" spans="1:13" ht="90" customHeight="1" x14ac:dyDescent="0.3">
      <c r="A874" s="8"/>
      <c r="B874" s="7"/>
      <c r="C874" s="7"/>
      <c r="D874" s="7"/>
      <c r="E874" s="7"/>
      <c r="F874" s="7"/>
      <c r="G874" s="7"/>
      <c r="H874" s="7"/>
      <c r="I874" s="1"/>
      <c r="J874" s="1"/>
      <c r="K874" s="1"/>
      <c r="L874" s="1"/>
      <c r="M874" s="1"/>
    </row>
    <row r="875" spans="1:13" ht="90" customHeight="1" x14ac:dyDescent="0.3">
      <c r="A875" s="8"/>
      <c r="B875" s="7"/>
      <c r="C875" s="7"/>
      <c r="D875" s="7"/>
      <c r="E875" s="7"/>
      <c r="F875" s="7"/>
      <c r="G875" s="7"/>
      <c r="H875" s="7"/>
      <c r="I875" s="1"/>
      <c r="J875" s="1"/>
      <c r="K875" s="1"/>
      <c r="L875" s="1"/>
      <c r="M875" s="1"/>
    </row>
    <row r="876" spans="1:13" ht="90" customHeight="1" x14ac:dyDescent="0.3">
      <c r="A876" s="8"/>
      <c r="B876" s="7"/>
      <c r="C876" s="7"/>
      <c r="D876" s="7"/>
      <c r="E876" s="7"/>
      <c r="F876" s="7"/>
      <c r="G876" s="7"/>
      <c r="H876" s="7"/>
      <c r="I876" s="1"/>
      <c r="J876" s="1"/>
      <c r="K876" s="1"/>
      <c r="L876" s="1"/>
      <c r="M876" s="1"/>
    </row>
    <row r="877" spans="1:13" ht="90" customHeight="1" x14ac:dyDescent="0.3">
      <c r="A877" s="8">
        <v>286</v>
      </c>
      <c r="B877" s="8" t="s">
        <v>1048</v>
      </c>
      <c r="C877" s="8" t="s">
        <v>386</v>
      </c>
      <c r="D877" s="8" t="s">
        <v>1049</v>
      </c>
      <c r="E877" s="6" t="s">
        <v>17</v>
      </c>
      <c r="F877" s="6" t="s">
        <v>18</v>
      </c>
      <c r="G877" s="8" t="s">
        <v>1050</v>
      </c>
      <c r="H877" s="8" t="s">
        <v>1051</v>
      </c>
      <c r="I877" s="4" t="s">
        <v>1052</v>
      </c>
      <c r="J877" s="4">
        <v>0.99993252754211426</v>
      </c>
      <c r="K877" s="4" t="s">
        <v>22</v>
      </c>
      <c r="L877" s="4" t="s">
        <v>386</v>
      </c>
      <c r="M877" s="4">
        <v>19</v>
      </c>
    </row>
    <row r="878" spans="1:13" ht="90" customHeight="1" x14ac:dyDescent="0.3">
      <c r="A878" s="8"/>
      <c r="B878" s="7"/>
      <c r="C878" s="7"/>
      <c r="D878" s="7"/>
      <c r="E878" s="7"/>
      <c r="F878" s="7"/>
      <c r="G878" s="7"/>
      <c r="H878" s="7"/>
      <c r="I878" s="1"/>
      <c r="J878" s="1"/>
      <c r="K878" s="1"/>
      <c r="L878" s="1"/>
      <c r="M878" s="1"/>
    </row>
    <row r="879" spans="1:13" ht="90" customHeight="1" x14ac:dyDescent="0.3">
      <c r="A879" s="8"/>
      <c r="B879" s="7"/>
      <c r="C879" s="7"/>
      <c r="D879" s="7"/>
      <c r="E879" s="7"/>
      <c r="F879" s="7"/>
      <c r="G879" s="7"/>
      <c r="H879" s="7"/>
      <c r="I879" s="1"/>
      <c r="J879" s="1"/>
      <c r="K879" s="1"/>
      <c r="L879" s="1"/>
      <c r="M879" s="1"/>
    </row>
    <row r="880" spans="1:13" ht="90" customHeight="1" x14ac:dyDescent="0.3">
      <c r="A880" s="8"/>
      <c r="B880" s="7"/>
      <c r="C880" s="7"/>
      <c r="D880" s="7"/>
      <c r="E880" s="7"/>
      <c r="F880" s="7"/>
      <c r="G880" s="7"/>
      <c r="H880" s="7"/>
      <c r="I880" s="1"/>
      <c r="J880" s="1"/>
      <c r="K880" s="1"/>
      <c r="L880" s="1"/>
      <c r="M880" s="1"/>
    </row>
    <row r="881" spans="1:13" ht="90" customHeight="1" x14ac:dyDescent="0.3">
      <c r="A881" s="8"/>
      <c r="B881" s="7"/>
      <c r="C881" s="7"/>
      <c r="D881" s="7"/>
      <c r="E881" s="7"/>
      <c r="F881" s="7"/>
      <c r="G881" s="7"/>
      <c r="H881" s="7"/>
      <c r="I881" s="1"/>
      <c r="J881" s="1"/>
      <c r="K881" s="1"/>
      <c r="L881" s="1"/>
      <c r="M881" s="1"/>
    </row>
    <row r="882" spans="1:13" ht="90" customHeight="1" x14ac:dyDescent="0.3">
      <c r="A882" s="8">
        <v>287</v>
      </c>
      <c r="B882" s="8" t="s">
        <v>1053</v>
      </c>
      <c r="C882" s="8" t="s">
        <v>429</v>
      </c>
      <c r="D882" s="8" t="s">
        <v>436</v>
      </c>
      <c r="E882" s="6" t="s">
        <v>17</v>
      </c>
      <c r="F882" s="6" t="s">
        <v>18</v>
      </c>
      <c r="G882" s="8" t="s">
        <v>1054</v>
      </c>
      <c r="H882" s="8" t="s">
        <v>1055</v>
      </c>
      <c r="I882" s="4" t="s">
        <v>439</v>
      </c>
      <c r="J882" s="4">
        <v>0.99966466426848988</v>
      </c>
      <c r="K882" s="4" t="s">
        <v>22</v>
      </c>
      <c r="L882" s="4" t="s">
        <v>429</v>
      </c>
      <c r="M882" s="4">
        <v>36</v>
      </c>
    </row>
    <row r="883" spans="1:13" ht="90" customHeight="1" x14ac:dyDescent="0.3">
      <c r="A883" s="8"/>
      <c r="B883" s="7"/>
      <c r="C883" s="7"/>
      <c r="D883" s="7"/>
      <c r="E883" s="7"/>
      <c r="F883" s="7"/>
      <c r="G883" s="7"/>
      <c r="H883" s="7"/>
      <c r="I883" s="1"/>
      <c r="J883" s="1"/>
      <c r="K883" s="1"/>
      <c r="L883" s="1"/>
      <c r="M883" s="1"/>
    </row>
    <row r="884" spans="1:13" ht="90" customHeight="1" x14ac:dyDescent="0.3">
      <c r="A884" s="8"/>
      <c r="B884" s="7"/>
      <c r="C884" s="7"/>
      <c r="D884" s="7"/>
      <c r="E884" s="7"/>
      <c r="F884" s="7"/>
      <c r="G884" s="7"/>
      <c r="H884" s="7"/>
      <c r="I884" s="1"/>
      <c r="J884" s="1"/>
      <c r="K884" s="1"/>
      <c r="L884" s="1"/>
      <c r="M884" s="1"/>
    </row>
    <row r="885" spans="1:13" ht="90" customHeight="1" x14ac:dyDescent="0.3">
      <c r="A885" s="8"/>
      <c r="B885" s="7"/>
      <c r="C885" s="7"/>
      <c r="D885" s="7"/>
      <c r="E885" s="7"/>
      <c r="F885" s="7"/>
      <c r="G885" s="7"/>
      <c r="H885" s="7"/>
      <c r="I885" s="1"/>
      <c r="J885" s="1"/>
      <c r="K885" s="1"/>
      <c r="L885" s="1"/>
      <c r="M885" s="1"/>
    </row>
    <row r="886" spans="1:13" ht="90" customHeight="1" x14ac:dyDescent="0.3">
      <c r="A886" s="8"/>
      <c r="B886" s="7"/>
      <c r="C886" s="7"/>
      <c r="D886" s="7"/>
      <c r="E886" s="7"/>
      <c r="F886" s="7"/>
      <c r="G886" s="7"/>
      <c r="H886" s="7"/>
      <c r="I886" s="1"/>
      <c r="J886" s="1"/>
      <c r="K886" s="1"/>
      <c r="L886" s="1"/>
      <c r="M886" s="1"/>
    </row>
    <row r="887" spans="1:13" ht="90" customHeight="1" x14ac:dyDescent="0.3">
      <c r="A887" s="8">
        <v>292</v>
      </c>
      <c r="B887" s="8" t="s">
        <v>1056</v>
      </c>
      <c r="C887" s="8" t="s">
        <v>151</v>
      </c>
      <c r="D887" s="8" t="s">
        <v>1057</v>
      </c>
      <c r="E887" s="6" t="s">
        <v>17</v>
      </c>
      <c r="F887" s="6" t="s">
        <v>18</v>
      </c>
      <c r="G887" s="8" t="s">
        <v>1058</v>
      </c>
      <c r="H887" s="8" t="s">
        <v>1059</v>
      </c>
      <c r="I887" s="4" t="s">
        <v>1060</v>
      </c>
      <c r="J887" s="4">
        <v>0.99999892711639404</v>
      </c>
      <c r="K887" s="4" t="s">
        <v>22</v>
      </c>
      <c r="L887" s="4" t="s">
        <v>151</v>
      </c>
      <c r="M887" s="4">
        <v>135</v>
      </c>
    </row>
    <row r="888" spans="1:13" ht="90" customHeight="1" x14ac:dyDescent="0.3">
      <c r="A888" s="8"/>
      <c r="B888" s="7"/>
      <c r="C888" s="7"/>
      <c r="D888" s="7"/>
      <c r="E888" s="7"/>
      <c r="F888" s="7"/>
      <c r="G888" s="7"/>
      <c r="H888" s="7"/>
      <c r="I888" s="2" t="s">
        <v>1061</v>
      </c>
      <c r="J888" s="2">
        <v>0.88575571775436401</v>
      </c>
      <c r="K888" s="2" t="s">
        <v>22</v>
      </c>
      <c r="L888" s="2" t="s">
        <v>203</v>
      </c>
      <c r="M888" s="2">
        <v>23</v>
      </c>
    </row>
    <row r="889" spans="1:13" ht="90" customHeight="1" x14ac:dyDescent="0.3">
      <c r="A889" s="8"/>
      <c r="B889" s="7"/>
      <c r="C889" s="7"/>
      <c r="D889" s="7"/>
      <c r="E889" s="7"/>
      <c r="F889" s="7"/>
      <c r="G889" s="7"/>
      <c r="H889" s="7"/>
      <c r="I889" s="1" t="s">
        <v>1062</v>
      </c>
      <c r="J889" s="1">
        <v>0.77400970458984375</v>
      </c>
      <c r="K889" s="1" t="s">
        <v>22</v>
      </c>
      <c r="L889" s="1" t="s">
        <v>203</v>
      </c>
      <c r="M889" s="1">
        <v>233</v>
      </c>
    </row>
    <row r="890" spans="1:13" ht="90" customHeight="1" x14ac:dyDescent="0.3">
      <c r="A890" s="8"/>
      <c r="B890" s="7"/>
      <c r="C890" s="7"/>
      <c r="D890" s="7"/>
      <c r="E890" s="7"/>
      <c r="F890" s="7"/>
      <c r="G890" s="7"/>
      <c r="H890" s="7"/>
      <c r="I890" s="1"/>
      <c r="J890" s="1"/>
      <c r="K890" s="1"/>
      <c r="L890" s="1"/>
      <c r="M890" s="1"/>
    </row>
    <row r="891" spans="1:13" ht="90" customHeight="1" x14ac:dyDescent="0.3">
      <c r="A891" s="8"/>
      <c r="B891" s="7"/>
      <c r="C891" s="7"/>
      <c r="D891" s="7"/>
      <c r="E891" s="7"/>
      <c r="F891" s="7"/>
      <c r="G891" s="7"/>
      <c r="H891" s="7"/>
      <c r="I891" s="1"/>
      <c r="J891" s="1"/>
      <c r="K891" s="1"/>
      <c r="L891" s="1"/>
      <c r="M891" s="1"/>
    </row>
    <row r="892" spans="1:13" ht="90" customHeight="1" x14ac:dyDescent="0.3">
      <c r="A892" s="8">
        <v>297</v>
      </c>
      <c r="B892" s="8" t="s">
        <v>1063</v>
      </c>
      <c r="C892" s="8" t="s">
        <v>305</v>
      </c>
      <c r="D892" s="8" t="s">
        <v>126</v>
      </c>
      <c r="E892" s="6" t="s">
        <v>17</v>
      </c>
      <c r="F892" s="6" t="s">
        <v>18</v>
      </c>
      <c r="G892" s="8" t="s">
        <v>1064</v>
      </c>
      <c r="H892" s="8" t="s">
        <v>1065</v>
      </c>
      <c r="I892" s="4" t="s">
        <v>1066</v>
      </c>
      <c r="J892" s="4">
        <v>0.91773658986628337</v>
      </c>
      <c r="K892" s="4" t="s">
        <v>22</v>
      </c>
      <c r="L892" s="4" t="s">
        <v>305</v>
      </c>
      <c r="M892" s="4">
        <v>2</v>
      </c>
    </row>
    <row r="893" spans="1:13" ht="90" customHeight="1" x14ac:dyDescent="0.3">
      <c r="A893" s="8"/>
      <c r="B893" s="7"/>
      <c r="C893" s="7"/>
      <c r="D893" s="7"/>
      <c r="E893" s="7"/>
      <c r="F893" s="7"/>
      <c r="G893" s="7"/>
      <c r="H893" s="7"/>
      <c r="I893" s="1"/>
      <c r="J893" s="1"/>
      <c r="K893" s="1"/>
      <c r="L893" s="1"/>
      <c r="M893" s="1"/>
    </row>
    <row r="894" spans="1:13" ht="90" customHeight="1" x14ac:dyDescent="0.3">
      <c r="A894" s="8"/>
      <c r="B894" s="7"/>
      <c r="C894" s="7"/>
      <c r="D894" s="7"/>
      <c r="E894" s="7"/>
      <c r="F894" s="7"/>
      <c r="G894" s="7"/>
      <c r="H894" s="7"/>
      <c r="I894" s="1"/>
      <c r="J894" s="1"/>
      <c r="K894" s="1"/>
      <c r="L894" s="1"/>
      <c r="M894" s="1"/>
    </row>
    <row r="895" spans="1:13" ht="90" customHeight="1" x14ac:dyDescent="0.3">
      <c r="A895" s="8"/>
      <c r="B895" s="7"/>
      <c r="C895" s="7"/>
      <c r="D895" s="7"/>
      <c r="E895" s="7"/>
      <c r="F895" s="7"/>
      <c r="G895" s="7"/>
      <c r="H895" s="7"/>
      <c r="I895" s="1"/>
      <c r="J895" s="1"/>
      <c r="K895" s="1"/>
      <c r="L895" s="1"/>
      <c r="M895" s="1"/>
    </row>
    <row r="896" spans="1:13" ht="90" customHeight="1" x14ac:dyDescent="0.3">
      <c r="A896" s="8"/>
      <c r="B896" s="7"/>
      <c r="C896" s="7"/>
      <c r="D896" s="7"/>
      <c r="E896" s="7"/>
      <c r="F896" s="7"/>
      <c r="G896" s="7"/>
      <c r="H896" s="7"/>
      <c r="I896" s="1"/>
      <c r="J896" s="1"/>
      <c r="K896" s="1"/>
      <c r="L896" s="1"/>
      <c r="M896" s="1"/>
    </row>
    <row r="897" spans="1:13" ht="90" customHeight="1" x14ac:dyDescent="0.3">
      <c r="A897" s="8">
        <v>299</v>
      </c>
      <c r="B897" s="8" t="s">
        <v>1067</v>
      </c>
      <c r="C897" s="8" t="s">
        <v>562</v>
      </c>
      <c r="D897" s="8" t="s">
        <v>99</v>
      </c>
      <c r="E897" s="6" t="s">
        <v>17</v>
      </c>
      <c r="F897" s="6" t="s">
        <v>18</v>
      </c>
      <c r="G897" s="8" t="s">
        <v>1068</v>
      </c>
      <c r="H897" s="8" t="s">
        <v>1069</v>
      </c>
      <c r="I897" s="4" t="s">
        <v>724</v>
      </c>
      <c r="J897" s="4">
        <v>0.96657305955886841</v>
      </c>
      <c r="K897" s="4" t="s">
        <v>22</v>
      </c>
      <c r="L897" s="4" t="s">
        <v>562</v>
      </c>
      <c r="M897" s="4">
        <v>1</v>
      </c>
    </row>
    <row r="898" spans="1:13" ht="90" customHeight="1" x14ac:dyDescent="0.3">
      <c r="A898" s="8"/>
      <c r="B898" s="7"/>
      <c r="C898" s="7"/>
      <c r="D898" s="7"/>
      <c r="E898" s="7"/>
      <c r="F898" s="7"/>
      <c r="G898" s="7"/>
      <c r="H898" s="7"/>
      <c r="I898" s="1"/>
      <c r="J898" s="1"/>
      <c r="K898" s="1"/>
      <c r="L898" s="1"/>
      <c r="M898" s="1"/>
    </row>
    <row r="899" spans="1:13" ht="90" customHeight="1" x14ac:dyDescent="0.3">
      <c r="A899" s="8"/>
      <c r="B899" s="7"/>
      <c r="C899" s="7"/>
      <c r="D899" s="7"/>
      <c r="E899" s="7"/>
      <c r="F899" s="7"/>
      <c r="G899" s="7"/>
      <c r="H899" s="7"/>
      <c r="I899" s="1"/>
      <c r="J899" s="1"/>
      <c r="K899" s="1"/>
      <c r="L899" s="1"/>
      <c r="M899" s="1"/>
    </row>
    <row r="900" spans="1:13" ht="90" customHeight="1" x14ac:dyDescent="0.3">
      <c r="A900" s="8"/>
      <c r="B900" s="7"/>
      <c r="C900" s="7"/>
      <c r="D900" s="7"/>
      <c r="E900" s="7"/>
      <c r="F900" s="7"/>
      <c r="G900" s="7"/>
      <c r="H900" s="7"/>
      <c r="I900" s="1"/>
      <c r="J900" s="1"/>
      <c r="K900" s="1"/>
      <c r="L900" s="1"/>
      <c r="M900" s="1"/>
    </row>
    <row r="901" spans="1:13" ht="90" customHeight="1" x14ac:dyDescent="0.3">
      <c r="A901" s="8"/>
      <c r="B901" s="7"/>
      <c r="C901" s="7"/>
      <c r="D901" s="7"/>
      <c r="E901" s="7"/>
      <c r="F901" s="7"/>
      <c r="G901" s="7"/>
      <c r="H901" s="7"/>
      <c r="I901" s="1"/>
      <c r="J901" s="1"/>
      <c r="K901" s="1"/>
      <c r="L901" s="1"/>
      <c r="M901" s="1"/>
    </row>
    <row r="902" spans="1:13" ht="90" customHeight="1" x14ac:dyDescent="0.3">
      <c r="A902" s="8">
        <v>303</v>
      </c>
      <c r="B902" s="8" t="s">
        <v>1070</v>
      </c>
      <c r="C902" s="8" t="s">
        <v>131</v>
      </c>
      <c r="D902" s="8" t="s">
        <v>99</v>
      </c>
      <c r="E902" s="6" t="s">
        <v>17</v>
      </c>
      <c r="F902" s="6" t="s">
        <v>18</v>
      </c>
      <c r="G902" s="8" t="s">
        <v>1071</v>
      </c>
      <c r="H902" s="8" t="s">
        <v>1072</v>
      </c>
      <c r="I902" s="4" t="s">
        <v>1073</v>
      </c>
      <c r="J902" s="4">
        <v>0.99999737739562988</v>
      </c>
      <c r="K902" s="4" t="s">
        <v>22</v>
      </c>
      <c r="L902" s="4" t="s">
        <v>131</v>
      </c>
      <c r="M902" s="4">
        <v>1</v>
      </c>
    </row>
    <row r="903" spans="1:13" ht="90" customHeight="1" x14ac:dyDescent="0.3">
      <c r="A903" s="8"/>
      <c r="B903" s="7"/>
      <c r="C903" s="7"/>
      <c r="D903" s="7"/>
      <c r="E903" s="7"/>
      <c r="F903" s="7"/>
      <c r="G903" s="7"/>
      <c r="H903" s="7"/>
      <c r="I903" s="1"/>
      <c r="J903" s="1"/>
      <c r="K903" s="1"/>
      <c r="L903" s="1"/>
      <c r="M903" s="1"/>
    </row>
    <row r="904" spans="1:13" ht="90" customHeight="1" x14ac:dyDescent="0.3">
      <c r="A904" s="8"/>
      <c r="B904" s="7"/>
      <c r="C904" s="7"/>
      <c r="D904" s="7"/>
      <c r="E904" s="7"/>
      <c r="F904" s="7"/>
      <c r="G904" s="7"/>
      <c r="H904" s="7"/>
      <c r="I904" s="1"/>
      <c r="J904" s="1"/>
      <c r="K904" s="1"/>
      <c r="L904" s="1"/>
      <c r="M904" s="1"/>
    </row>
    <row r="905" spans="1:13" ht="90" customHeight="1" x14ac:dyDescent="0.3">
      <c r="A905" s="8"/>
      <c r="B905" s="7"/>
      <c r="C905" s="7"/>
      <c r="D905" s="7"/>
      <c r="E905" s="7"/>
      <c r="F905" s="7"/>
      <c r="G905" s="7"/>
      <c r="H905" s="7"/>
      <c r="I905" s="1"/>
      <c r="J905" s="1"/>
      <c r="K905" s="1"/>
      <c r="L905" s="1"/>
      <c r="M905" s="1"/>
    </row>
    <row r="906" spans="1:13" ht="90" customHeight="1" x14ac:dyDescent="0.3">
      <c r="A906" s="8"/>
      <c r="B906" s="7"/>
      <c r="C906" s="7"/>
      <c r="D906" s="7"/>
      <c r="E906" s="7"/>
      <c r="F906" s="7"/>
      <c r="G906" s="7"/>
      <c r="H906" s="7"/>
      <c r="I906" s="1"/>
      <c r="J906" s="1"/>
      <c r="K906" s="1"/>
      <c r="L906" s="1"/>
      <c r="M906" s="1"/>
    </row>
    <row r="907" spans="1:13" ht="90" customHeight="1" x14ac:dyDescent="0.3">
      <c r="A907" s="8">
        <v>304</v>
      </c>
      <c r="B907" s="8" t="s">
        <v>1074</v>
      </c>
      <c r="C907" s="8" t="s">
        <v>131</v>
      </c>
      <c r="D907" s="8" t="s">
        <v>86</v>
      </c>
      <c r="E907" s="6" t="s">
        <v>17</v>
      </c>
      <c r="F907" s="6" t="s">
        <v>18</v>
      </c>
      <c r="G907" s="8" t="s">
        <v>1075</v>
      </c>
      <c r="H907" s="8" t="s">
        <v>1076</v>
      </c>
      <c r="I907" s="4" t="s">
        <v>1077</v>
      </c>
      <c r="J907" s="4">
        <v>0.99999880790710449</v>
      </c>
      <c r="K907" s="4" t="s">
        <v>22</v>
      </c>
      <c r="L907" s="4" t="s">
        <v>131</v>
      </c>
      <c r="M907" s="4">
        <v>4</v>
      </c>
    </row>
    <row r="908" spans="1:13" ht="90" customHeight="1" x14ac:dyDescent="0.3">
      <c r="A908" s="8"/>
      <c r="B908" s="7"/>
      <c r="C908" s="7"/>
      <c r="D908" s="7"/>
      <c r="E908" s="7"/>
      <c r="F908" s="7"/>
      <c r="G908" s="7"/>
      <c r="H908" s="7"/>
      <c r="I908" s="2" t="s">
        <v>1078</v>
      </c>
      <c r="J908" s="2">
        <v>0.99973660707473755</v>
      </c>
      <c r="K908" s="2" t="s">
        <v>22</v>
      </c>
      <c r="L908" s="2" t="s">
        <v>1079</v>
      </c>
      <c r="M908" s="2">
        <v>31</v>
      </c>
    </row>
    <row r="909" spans="1:13" ht="90" customHeight="1" x14ac:dyDescent="0.3">
      <c r="A909" s="8"/>
      <c r="B909" s="7"/>
      <c r="C909" s="7"/>
      <c r="D909" s="7"/>
      <c r="E909" s="7"/>
      <c r="F909" s="7"/>
      <c r="G909" s="7"/>
      <c r="H909" s="7"/>
      <c r="I909" s="2" t="s">
        <v>1080</v>
      </c>
      <c r="J909" s="2">
        <v>0.99934917688369751</v>
      </c>
      <c r="K909" s="2" t="s">
        <v>22</v>
      </c>
      <c r="L909" s="2" t="s">
        <v>1081</v>
      </c>
      <c r="M909" s="2">
        <v>12</v>
      </c>
    </row>
    <row r="910" spans="1:13" ht="90" customHeight="1" x14ac:dyDescent="0.3">
      <c r="A910" s="8"/>
      <c r="B910" s="7"/>
      <c r="C910" s="7"/>
      <c r="D910" s="7"/>
      <c r="E910" s="7"/>
      <c r="F910" s="7"/>
      <c r="G910" s="7"/>
      <c r="H910" s="7"/>
      <c r="I910" s="1" t="s">
        <v>1082</v>
      </c>
      <c r="J910" s="1">
        <v>0.99819689989089966</v>
      </c>
      <c r="K910" s="1" t="s">
        <v>22</v>
      </c>
      <c r="L910" s="1" t="s">
        <v>1083</v>
      </c>
      <c r="M910" s="1">
        <v>10</v>
      </c>
    </row>
    <row r="911" spans="1:13" ht="90" customHeight="1" x14ac:dyDescent="0.3">
      <c r="A911" s="8"/>
      <c r="B911" s="7"/>
      <c r="C911" s="7"/>
      <c r="D911" s="7"/>
      <c r="E911" s="7"/>
      <c r="F911" s="7"/>
      <c r="G911" s="7"/>
      <c r="H911" s="7"/>
      <c r="I911" s="1" t="s">
        <v>1084</v>
      </c>
      <c r="J911" s="1">
        <v>0.99597185850143433</v>
      </c>
      <c r="K911" s="1" t="s">
        <v>22</v>
      </c>
      <c r="L911" s="1" t="s">
        <v>1085</v>
      </c>
      <c r="M911" s="1">
        <v>12</v>
      </c>
    </row>
    <row r="912" spans="1:13" ht="90" customHeight="1" x14ac:dyDescent="0.3">
      <c r="A912" s="8">
        <v>305</v>
      </c>
      <c r="B912" s="8" t="s">
        <v>1086</v>
      </c>
      <c r="C912" s="8" t="s">
        <v>485</v>
      </c>
      <c r="D912" s="8" t="s">
        <v>1087</v>
      </c>
      <c r="E912" s="6" t="s">
        <v>17</v>
      </c>
      <c r="F912" s="6" t="s">
        <v>18</v>
      </c>
      <c r="G912" s="8" t="s">
        <v>1088</v>
      </c>
      <c r="H912" s="8" t="s">
        <v>1089</v>
      </c>
      <c r="I912" s="4" t="s">
        <v>1090</v>
      </c>
      <c r="J912" s="4">
        <v>0.99999868869781494</v>
      </c>
      <c r="K912" s="4" t="s">
        <v>22</v>
      </c>
      <c r="L912" s="4" t="s">
        <v>485</v>
      </c>
      <c r="M912" s="4">
        <v>437</v>
      </c>
    </row>
    <row r="913" spans="1:13" ht="90" customHeight="1" x14ac:dyDescent="0.3">
      <c r="A913" s="8"/>
      <c r="B913" s="7"/>
      <c r="C913" s="7"/>
      <c r="D913" s="7"/>
      <c r="E913" s="7"/>
      <c r="F913" s="7"/>
      <c r="G913" s="7"/>
      <c r="H913" s="7"/>
      <c r="I913" s="4" t="s">
        <v>1091</v>
      </c>
      <c r="J913" s="4">
        <v>0.99999856948852539</v>
      </c>
      <c r="K913" s="4" t="s">
        <v>22</v>
      </c>
      <c r="L913" s="4" t="s">
        <v>485</v>
      </c>
      <c r="M913" s="4">
        <v>230</v>
      </c>
    </row>
    <row r="914" spans="1:13" ht="90" customHeight="1" x14ac:dyDescent="0.3">
      <c r="A914" s="8"/>
      <c r="B914" s="7"/>
      <c r="C914" s="7"/>
      <c r="D914" s="7"/>
      <c r="E914" s="7"/>
      <c r="F914" s="7"/>
      <c r="G914" s="7"/>
      <c r="H914" s="7"/>
      <c r="I914" s="1" t="s">
        <v>1092</v>
      </c>
      <c r="J914" s="1">
        <v>0.99999690055847168</v>
      </c>
      <c r="K914" s="1" t="s">
        <v>22</v>
      </c>
      <c r="L914" s="1" t="s">
        <v>131</v>
      </c>
      <c r="M914" s="1">
        <v>6</v>
      </c>
    </row>
    <row r="915" spans="1:13" ht="90" customHeight="1" x14ac:dyDescent="0.3">
      <c r="A915" s="8"/>
      <c r="B915" s="7"/>
      <c r="C915" s="7"/>
      <c r="D915" s="7"/>
      <c r="E915" s="7"/>
      <c r="F915" s="7"/>
      <c r="G915" s="7"/>
      <c r="H915" s="7"/>
      <c r="I915" s="1"/>
      <c r="J915" s="1"/>
      <c r="K915" s="1"/>
      <c r="L915" s="1"/>
      <c r="M915" s="1"/>
    </row>
    <row r="916" spans="1:13" ht="90" customHeight="1" x14ac:dyDescent="0.3">
      <c r="A916" s="8"/>
      <c r="B916" s="7"/>
      <c r="C916" s="7"/>
      <c r="D916" s="7"/>
      <c r="E916" s="7"/>
      <c r="F916" s="7"/>
      <c r="G916" s="7"/>
      <c r="H916" s="7"/>
      <c r="I916" s="1"/>
      <c r="J916" s="1"/>
      <c r="K916" s="1"/>
      <c r="L916" s="1"/>
      <c r="M916" s="1"/>
    </row>
    <row r="917" spans="1:13" ht="90" customHeight="1" x14ac:dyDescent="0.3">
      <c r="A917" s="8">
        <v>306</v>
      </c>
      <c r="B917" s="8" t="s">
        <v>1093</v>
      </c>
      <c r="C917" s="8" t="s">
        <v>131</v>
      </c>
      <c r="D917" s="8" t="s">
        <v>247</v>
      </c>
      <c r="E917" s="6" t="s">
        <v>17</v>
      </c>
      <c r="F917" s="6" t="s">
        <v>18</v>
      </c>
      <c r="G917" s="8" t="s">
        <v>1094</v>
      </c>
      <c r="H917" s="8" t="s">
        <v>1095</v>
      </c>
      <c r="I917" s="4" t="s">
        <v>291</v>
      </c>
      <c r="J917" s="4">
        <v>0.99771642684936523</v>
      </c>
      <c r="K917" s="4" t="s">
        <v>22</v>
      </c>
      <c r="L917" s="4" t="s">
        <v>131</v>
      </c>
      <c r="M917" s="4">
        <v>7</v>
      </c>
    </row>
    <row r="918" spans="1:13" ht="90" customHeight="1" x14ac:dyDescent="0.3">
      <c r="A918" s="8"/>
      <c r="B918" s="7"/>
      <c r="C918" s="7"/>
      <c r="D918" s="7"/>
      <c r="E918" s="7"/>
      <c r="F918" s="7"/>
      <c r="G918" s="7"/>
      <c r="H918" s="7"/>
      <c r="I918" s="1" t="s">
        <v>679</v>
      </c>
      <c r="J918" s="1">
        <v>0.95069205760955811</v>
      </c>
      <c r="K918" s="1" t="s">
        <v>22</v>
      </c>
      <c r="L918" s="1" t="s">
        <v>680</v>
      </c>
      <c r="M918" s="1">
        <v>1</v>
      </c>
    </row>
    <row r="919" spans="1:13" ht="90" customHeight="1" x14ac:dyDescent="0.3">
      <c r="A919" s="8"/>
      <c r="B919" s="7"/>
      <c r="C919" s="7"/>
      <c r="D919" s="7"/>
      <c r="E919" s="7"/>
      <c r="F919" s="7"/>
      <c r="G919" s="7"/>
      <c r="H919" s="7"/>
      <c r="I919" s="1"/>
      <c r="J919" s="1"/>
      <c r="K919" s="1"/>
      <c r="L919" s="1"/>
      <c r="M919" s="1"/>
    </row>
    <row r="920" spans="1:13" ht="90" customHeight="1" x14ac:dyDescent="0.3">
      <c r="A920" s="8"/>
      <c r="B920" s="7"/>
      <c r="C920" s="7"/>
      <c r="D920" s="7"/>
      <c r="E920" s="7"/>
      <c r="F920" s="7"/>
      <c r="G920" s="7"/>
      <c r="H920" s="7"/>
      <c r="I920" s="1"/>
      <c r="J920" s="1"/>
      <c r="K920" s="1"/>
      <c r="L920" s="1"/>
      <c r="M920" s="1"/>
    </row>
    <row r="921" spans="1:13" ht="90" customHeight="1" x14ac:dyDescent="0.3">
      <c r="A921" s="8"/>
      <c r="B921" s="7"/>
      <c r="C921" s="7"/>
      <c r="D921" s="7"/>
      <c r="E921" s="7"/>
      <c r="F921" s="7"/>
      <c r="G921" s="7"/>
      <c r="H921" s="7"/>
      <c r="I921" s="1"/>
      <c r="J921" s="1"/>
      <c r="K921" s="1"/>
      <c r="L921" s="1"/>
      <c r="M921" s="1"/>
    </row>
    <row r="922" spans="1:13" ht="90" customHeight="1" x14ac:dyDescent="0.3">
      <c r="A922" s="8">
        <v>307</v>
      </c>
      <c r="B922" s="8" t="s">
        <v>1096</v>
      </c>
      <c r="C922" s="8" t="s">
        <v>131</v>
      </c>
      <c r="D922" s="8" t="s">
        <v>367</v>
      </c>
      <c r="E922" s="6" t="s">
        <v>17</v>
      </c>
      <c r="F922" s="6" t="s">
        <v>18</v>
      </c>
      <c r="G922" s="8" t="s">
        <v>1097</v>
      </c>
      <c r="H922" s="8" t="s">
        <v>1098</v>
      </c>
      <c r="I922" s="4" t="s">
        <v>1099</v>
      </c>
      <c r="J922" s="4">
        <v>0.99959272146224976</v>
      </c>
      <c r="K922" s="4" t="s">
        <v>22</v>
      </c>
      <c r="L922" s="4" t="s">
        <v>131</v>
      </c>
      <c r="M922" s="4">
        <v>10</v>
      </c>
    </row>
    <row r="923" spans="1:13" ht="90" customHeight="1" x14ac:dyDescent="0.3">
      <c r="A923" s="8"/>
      <c r="B923" s="7"/>
      <c r="C923" s="7"/>
      <c r="D923" s="7"/>
      <c r="E923" s="7"/>
      <c r="F923" s="7"/>
      <c r="G923" s="7"/>
      <c r="H923" s="7"/>
      <c r="I923" s="1"/>
      <c r="J923" s="1"/>
      <c r="K923" s="1"/>
      <c r="L923" s="1"/>
      <c r="M923" s="1"/>
    </row>
    <row r="924" spans="1:13" ht="90" customHeight="1" x14ac:dyDescent="0.3">
      <c r="A924" s="8"/>
      <c r="B924" s="7"/>
      <c r="C924" s="7"/>
      <c r="D924" s="7"/>
      <c r="E924" s="7"/>
      <c r="F924" s="7"/>
      <c r="G924" s="7"/>
      <c r="H924" s="7"/>
      <c r="I924" s="1"/>
      <c r="J924" s="1"/>
      <c r="K924" s="1"/>
      <c r="L924" s="1"/>
      <c r="M924" s="1"/>
    </row>
    <row r="925" spans="1:13" ht="90" customHeight="1" x14ac:dyDescent="0.3">
      <c r="A925" s="8"/>
      <c r="B925" s="7"/>
      <c r="C925" s="7"/>
      <c r="D925" s="7"/>
      <c r="E925" s="7"/>
      <c r="F925" s="7"/>
      <c r="G925" s="7"/>
      <c r="H925" s="7"/>
      <c r="I925" s="1"/>
      <c r="J925" s="1"/>
      <c r="K925" s="1"/>
      <c r="L925" s="1"/>
      <c r="M925" s="1"/>
    </row>
    <row r="926" spans="1:13" ht="90" customHeight="1" x14ac:dyDescent="0.3">
      <c r="A926" s="8"/>
      <c r="B926" s="7"/>
      <c r="C926" s="7"/>
      <c r="D926" s="7"/>
      <c r="E926" s="7"/>
      <c r="F926" s="7"/>
      <c r="G926" s="7"/>
      <c r="H926" s="7"/>
      <c r="I926" s="1"/>
      <c r="J926" s="1"/>
      <c r="K926" s="1"/>
      <c r="L926" s="1"/>
      <c r="M926" s="1"/>
    </row>
    <row r="927" spans="1:13" ht="90" customHeight="1" x14ac:dyDescent="0.3">
      <c r="A927" s="8">
        <v>308</v>
      </c>
      <c r="B927" s="8" t="s">
        <v>1100</v>
      </c>
      <c r="C927" s="8" t="s">
        <v>131</v>
      </c>
      <c r="D927" s="8" t="s">
        <v>367</v>
      </c>
      <c r="E927" s="6" t="s">
        <v>17</v>
      </c>
      <c r="F927" s="6" t="s">
        <v>18</v>
      </c>
      <c r="G927" s="8" t="s">
        <v>1101</v>
      </c>
      <c r="H927" s="8" t="s">
        <v>1102</v>
      </c>
      <c r="I927" s="4" t="s">
        <v>1099</v>
      </c>
      <c r="J927" s="4">
        <v>0.99999713897705078</v>
      </c>
      <c r="K927" s="4" t="s">
        <v>22</v>
      </c>
      <c r="L927" s="4" t="s">
        <v>131</v>
      </c>
      <c r="M927" s="4">
        <v>10</v>
      </c>
    </row>
    <row r="928" spans="1:13" ht="90" customHeight="1" x14ac:dyDescent="0.3">
      <c r="A928" s="8"/>
      <c r="B928" s="7"/>
      <c r="C928" s="7"/>
      <c r="D928" s="7"/>
      <c r="E928" s="7"/>
      <c r="F928" s="7"/>
      <c r="G928" s="7"/>
      <c r="H928" s="7"/>
      <c r="I928" s="1" t="s">
        <v>1103</v>
      </c>
      <c r="J928" s="1">
        <v>0.77753818035125732</v>
      </c>
      <c r="K928" s="1" t="s">
        <v>22</v>
      </c>
      <c r="L928" s="1" t="s">
        <v>451</v>
      </c>
      <c r="M928" s="1">
        <v>7</v>
      </c>
    </row>
    <row r="929" spans="1:13" ht="90" customHeight="1" x14ac:dyDescent="0.3">
      <c r="A929" s="8"/>
      <c r="B929" s="7"/>
      <c r="C929" s="7"/>
      <c r="D929" s="7"/>
      <c r="E929" s="7"/>
      <c r="F929" s="7"/>
      <c r="G929" s="7"/>
      <c r="H929" s="7"/>
      <c r="I929" s="1"/>
      <c r="J929" s="1"/>
      <c r="K929" s="1"/>
      <c r="L929" s="1"/>
      <c r="M929" s="1"/>
    </row>
    <row r="930" spans="1:13" ht="90" customHeight="1" x14ac:dyDescent="0.3">
      <c r="A930" s="8"/>
      <c r="B930" s="7"/>
      <c r="C930" s="7"/>
      <c r="D930" s="7"/>
      <c r="E930" s="7"/>
      <c r="F930" s="7"/>
      <c r="G930" s="7"/>
      <c r="H930" s="7"/>
      <c r="I930" s="1"/>
      <c r="J930" s="1"/>
      <c r="K930" s="1"/>
      <c r="L930" s="1"/>
      <c r="M930" s="1"/>
    </row>
    <row r="931" spans="1:13" ht="90" customHeight="1" x14ac:dyDescent="0.3">
      <c r="A931" s="8"/>
      <c r="B931" s="7"/>
      <c r="C931" s="7"/>
      <c r="D931" s="7"/>
      <c r="E931" s="7"/>
      <c r="F931" s="7"/>
      <c r="G931" s="7"/>
      <c r="H931" s="7"/>
      <c r="I931" s="1"/>
      <c r="J931" s="1"/>
      <c r="K931" s="1"/>
      <c r="L931" s="1"/>
      <c r="M931" s="1"/>
    </row>
    <row r="932" spans="1:13" ht="90" customHeight="1" x14ac:dyDescent="0.3">
      <c r="A932" s="8">
        <v>309</v>
      </c>
      <c r="B932" s="8" t="s">
        <v>1104</v>
      </c>
      <c r="C932" s="8" t="s">
        <v>131</v>
      </c>
      <c r="D932" s="8" t="s">
        <v>1105</v>
      </c>
      <c r="E932" s="6" t="s">
        <v>17</v>
      </c>
      <c r="F932" s="6" t="s">
        <v>18</v>
      </c>
      <c r="G932" s="8" t="s">
        <v>1106</v>
      </c>
      <c r="H932" s="8" t="s">
        <v>1107</v>
      </c>
      <c r="I932" s="4" t="s">
        <v>1108</v>
      </c>
      <c r="J932" s="4">
        <v>0.9999992847442627</v>
      </c>
      <c r="K932" s="4" t="s">
        <v>22</v>
      </c>
      <c r="L932" s="4" t="s">
        <v>131</v>
      </c>
      <c r="M932" s="4">
        <v>21</v>
      </c>
    </row>
    <row r="933" spans="1:13" ht="90" customHeight="1" x14ac:dyDescent="0.3">
      <c r="A933" s="8"/>
      <c r="B933" s="7"/>
      <c r="C933" s="7"/>
      <c r="D933" s="7"/>
      <c r="E933" s="7"/>
      <c r="F933" s="7"/>
      <c r="G933" s="7"/>
      <c r="H933" s="7"/>
      <c r="I933" s="1" t="s">
        <v>1109</v>
      </c>
      <c r="J933" s="1">
        <v>0.99954336881637573</v>
      </c>
      <c r="K933" s="1" t="s">
        <v>22</v>
      </c>
      <c r="L933" s="1" t="s">
        <v>353</v>
      </c>
      <c r="M933" s="1">
        <v>427</v>
      </c>
    </row>
    <row r="934" spans="1:13" ht="90" customHeight="1" x14ac:dyDescent="0.3">
      <c r="A934" s="8"/>
      <c r="B934" s="7"/>
      <c r="C934" s="7"/>
      <c r="D934" s="7"/>
      <c r="E934" s="7"/>
      <c r="F934" s="7"/>
      <c r="G934" s="7"/>
      <c r="H934" s="7"/>
      <c r="I934" s="2" t="s">
        <v>1110</v>
      </c>
      <c r="J934" s="2">
        <v>0.99868541955947876</v>
      </c>
      <c r="K934" s="2" t="s">
        <v>22</v>
      </c>
      <c r="L934" s="2" t="s">
        <v>144</v>
      </c>
      <c r="M934" s="2">
        <v>398</v>
      </c>
    </row>
    <row r="935" spans="1:13" ht="90" customHeight="1" x14ac:dyDescent="0.3">
      <c r="A935" s="8"/>
      <c r="B935" s="7"/>
      <c r="C935" s="7"/>
      <c r="D935" s="7"/>
      <c r="E935" s="7"/>
      <c r="F935" s="7"/>
      <c r="G935" s="7"/>
      <c r="H935" s="7"/>
      <c r="I935" s="2" t="s">
        <v>1111</v>
      </c>
      <c r="J935" s="2">
        <v>0.99841618537902832</v>
      </c>
      <c r="K935" s="2" t="s">
        <v>22</v>
      </c>
      <c r="L935" s="2" t="s">
        <v>144</v>
      </c>
      <c r="M935" s="2">
        <v>466</v>
      </c>
    </row>
    <row r="936" spans="1:13" ht="90" customHeight="1" x14ac:dyDescent="0.3">
      <c r="A936" s="8"/>
      <c r="B936" s="7"/>
      <c r="C936" s="7"/>
      <c r="D936" s="7"/>
      <c r="E936" s="7"/>
      <c r="F936" s="7"/>
      <c r="G936" s="7"/>
      <c r="H936" s="7"/>
      <c r="I936" s="1" t="s">
        <v>1112</v>
      </c>
      <c r="J936" s="1">
        <v>0.99832302331924438</v>
      </c>
      <c r="K936" s="1" t="s">
        <v>22</v>
      </c>
      <c r="L936" s="1" t="s">
        <v>144</v>
      </c>
      <c r="M936" s="1">
        <v>397</v>
      </c>
    </row>
    <row r="937" spans="1:13" ht="90" customHeight="1" x14ac:dyDescent="0.3">
      <c r="A937" s="8">
        <v>310</v>
      </c>
      <c r="B937" s="8" t="s">
        <v>1113</v>
      </c>
      <c r="C937" s="8" t="s">
        <v>131</v>
      </c>
      <c r="D937" s="8" t="s">
        <v>16</v>
      </c>
      <c r="E937" s="6" t="s">
        <v>17</v>
      </c>
      <c r="F937" s="6" t="s">
        <v>18</v>
      </c>
      <c r="G937" s="8" t="s">
        <v>1114</v>
      </c>
      <c r="H937" s="8" t="s">
        <v>1115</v>
      </c>
      <c r="I937" s="4" t="s">
        <v>1116</v>
      </c>
      <c r="J937" s="4">
        <v>0.9999992847442627</v>
      </c>
      <c r="K937" s="4" t="s">
        <v>22</v>
      </c>
      <c r="L937" s="4" t="s">
        <v>131</v>
      </c>
      <c r="M937" s="4">
        <v>22</v>
      </c>
    </row>
    <row r="938" spans="1:13" ht="90" customHeight="1" x14ac:dyDescent="0.3">
      <c r="A938" s="8"/>
      <c r="B938" s="7"/>
      <c r="C938" s="7"/>
      <c r="D938" s="7"/>
      <c r="E938" s="7"/>
      <c r="F938" s="7"/>
      <c r="G938" s="7"/>
      <c r="H938" s="7"/>
      <c r="I938" s="2" t="s">
        <v>1117</v>
      </c>
      <c r="J938" s="2">
        <v>0.99736988544464111</v>
      </c>
      <c r="K938" s="2" t="s">
        <v>22</v>
      </c>
      <c r="L938" s="2" t="s">
        <v>485</v>
      </c>
      <c r="M938" s="2">
        <v>379</v>
      </c>
    </row>
    <row r="939" spans="1:13" ht="90" customHeight="1" x14ac:dyDescent="0.3">
      <c r="A939" s="8"/>
      <c r="B939" s="7"/>
      <c r="C939" s="7"/>
      <c r="D939" s="7"/>
      <c r="E939" s="7"/>
      <c r="F939" s="7"/>
      <c r="G939" s="7"/>
      <c r="H939" s="7"/>
      <c r="I939" s="2" t="s">
        <v>1118</v>
      </c>
      <c r="J939" s="2">
        <v>0.99502146244049072</v>
      </c>
      <c r="K939" s="2" t="s">
        <v>22</v>
      </c>
      <c r="L939" s="2" t="s">
        <v>485</v>
      </c>
      <c r="M939" s="2">
        <v>277</v>
      </c>
    </row>
    <row r="940" spans="1:13" ht="90" customHeight="1" x14ac:dyDescent="0.3">
      <c r="A940" s="8"/>
      <c r="B940" s="7"/>
      <c r="C940" s="7"/>
      <c r="D940" s="7"/>
      <c r="E940" s="7"/>
      <c r="F940" s="7"/>
      <c r="G940" s="7"/>
      <c r="H940" s="7"/>
      <c r="I940" s="1" t="s">
        <v>1119</v>
      </c>
      <c r="J940" s="1">
        <v>0.9909977912902832</v>
      </c>
      <c r="K940" s="1" t="s">
        <v>22</v>
      </c>
      <c r="L940" s="1" t="s">
        <v>485</v>
      </c>
      <c r="M940" s="1">
        <v>295</v>
      </c>
    </row>
    <row r="941" spans="1:13" ht="90" customHeight="1" x14ac:dyDescent="0.3">
      <c r="A941" s="8"/>
      <c r="B941" s="7"/>
      <c r="C941" s="7"/>
      <c r="D941" s="7"/>
      <c r="E941" s="7"/>
      <c r="F941" s="7"/>
      <c r="G941" s="7"/>
      <c r="H941" s="7"/>
      <c r="I941" s="1" t="s">
        <v>1120</v>
      </c>
      <c r="J941" s="1">
        <v>0.98886734247207642</v>
      </c>
      <c r="K941" s="1" t="s">
        <v>22</v>
      </c>
      <c r="L941" s="1" t="s">
        <v>144</v>
      </c>
      <c r="M941" s="1">
        <v>370</v>
      </c>
    </row>
    <row r="942" spans="1:13" ht="90" customHeight="1" x14ac:dyDescent="0.3">
      <c r="A942" s="8">
        <v>311</v>
      </c>
      <c r="B942" s="8" t="s">
        <v>1121</v>
      </c>
      <c r="C942" s="8" t="s">
        <v>131</v>
      </c>
      <c r="D942" s="8" t="s">
        <v>430</v>
      </c>
      <c r="E942" s="6" t="s">
        <v>17</v>
      </c>
      <c r="F942" s="6" t="s">
        <v>18</v>
      </c>
      <c r="G942" s="8" t="s">
        <v>1122</v>
      </c>
      <c r="H942" s="8" t="s">
        <v>1123</v>
      </c>
      <c r="I942" s="4" t="s">
        <v>1124</v>
      </c>
      <c r="J942" s="4">
        <v>0.99999892711639404</v>
      </c>
      <c r="K942" s="4" t="s">
        <v>22</v>
      </c>
      <c r="L942" s="4" t="s">
        <v>131</v>
      </c>
      <c r="M942" s="4">
        <v>23</v>
      </c>
    </row>
    <row r="943" spans="1:13" ht="90" customHeight="1" x14ac:dyDescent="0.3">
      <c r="A943" s="8"/>
      <c r="B943" s="7"/>
      <c r="C943" s="7"/>
      <c r="D943" s="7"/>
      <c r="E943" s="7"/>
      <c r="F943" s="7"/>
      <c r="G943" s="7"/>
      <c r="H943" s="7"/>
      <c r="I943" s="1"/>
      <c r="J943" s="1"/>
      <c r="K943" s="1"/>
      <c r="L943" s="1"/>
      <c r="M943" s="1"/>
    </row>
    <row r="944" spans="1:13" ht="90" customHeight="1" x14ac:dyDescent="0.3">
      <c r="A944" s="8"/>
      <c r="B944" s="7"/>
      <c r="C944" s="7"/>
      <c r="D944" s="7"/>
      <c r="E944" s="7"/>
      <c r="F944" s="7"/>
      <c r="G944" s="7"/>
      <c r="H944" s="7"/>
      <c r="I944" s="1"/>
      <c r="J944" s="1"/>
      <c r="K944" s="1"/>
      <c r="L944" s="1"/>
      <c r="M944" s="1"/>
    </row>
    <row r="945" spans="1:13" ht="90" customHeight="1" x14ac:dyDescent="0.3">
      <c r="A945" s="8"/>
      <c r="B945" s="7"/>
      <c r="C945" s="7"/>
      <c r="D945" s="7"/>
      <c r="E945" s="7"/>
      <c r="F945" s="7"/>
      <c r="G945" s="7"/>
      <c r="H945" s="7"/>
      <c r="I945" s="1"/>
      <c r="J945" s="1"/>
      <c r="K945" s="1"/>
      <c r="L945" s="1"/>
      <c r="M945" s="1"/>
    </row>
    <row r="946" spans="1:13" ht="90" customHeight="1" x14ac:dyDescent="0.3">
      <c r="A946" s="8"/>
      <c r="B946" s="7"/>
      <c r="C946" s="7"/>
      <c r="D946" s="7"/>
      <c r="E946" s="7"/>
      <c r="F946" s="7"/>
      <c r="G946" s="7"/>
      <c r="H946" s="7"/>
      <c r="I946" s="1"/>
      <c r="J946" s="1"/>
      <c r="K946" s="1"/>
      <c r="L946" s="1"/>
      <c r="M946" s="1"/>
    </row>
    <row r="947" spans="1:13" ht="90" customHeight="1" x14ac:dyDescent="0.3">
      <c r="A947" s="8">
        <v>312</v>
      </c>
      <c r="B947" s="8" t="s">
        <v>1125</v>
      </c>
      <c r="C947" s="8" t="s">
        <v>514</v>
      </c>
      <c r="D947" s="8" t="s">
        <v>583</v>
      </c>
      <c r="E947" s="6" t="s">
        <v>17</v>
      </c>
      <c r="F947" s="6" t="s">
        <v>18</v>
      </c>
      <c r="G947" s="8" t="s">
        <v>1126</v>
      </c>
      <c r="H947" s="8" t="s">
        <v>1127</v>
      </c>
      <c r="I947" s="2" t="s">
        <v>1128</v>
      </c>
      <c r="J947" s="2">
        <v>0.99992179870605469</v>
      </c>
      <c r="K947" s="2" t="s">
        <v>22</v>
      </c>
      <c r="L947" s="2" t="s">
        <v>131</v>
      </c>
      <c r="M947" s="2">
        <v>25</v>
      </c>
    </row>
    <row r="948" spans="1:13" ht="90" customHeight="1" x14ac:dyDescent="0.3">
      <c r="A948" s="8"/>
      <c r="B948" s="7"/>
      <c r="C948" s="7"/>
      <c r="D948" s="7"/>
      <c r="E948" s="7"/>
      <c r="F948" s="7"/>
      <c r="G948" s="7"/>
      <c r="H948" s="7"/>
      <c r="I948" s="4" t="s">
        <v>1129</v>
      </c>
      <c r="J948" s="4">
        <v>0.99894803762435913</v>
      </c>
      <c r="K948" s="4" t="s">
        <v>76</v>
      </c>
      <c r="L948" s="4" t="s">
        <v>514</v>
      </c>
      <c r="M948" s="4">
        <v>3</v>
      </c>
    </row>
    <row r="949" spans="1:13" ht="90" customHeight="1" x14ac:dyDescent="0.3">
      <c r="A949" s="8"/>
      <c r="B949" s="7"/>
      <c r="C949" s="7"/>
      <c r="D949" s="7"/>
      <c r="E949" s="7"/>
      <c r="F949" s="7"/>
      <c r="G949" s="7"/>
      <c r="H949" s="7"/>
      <c r="I949" s="5" t="s">
        <v>1130</v>
      </c>
      <c r="J949" s="5">
        <v>0.99757844209671021</v>
      </c>
      <c r="K949" s="5" t="s">
        <v>76</v>
      </c>
      <c r="L949" s="5" t="s">
        <v>514</v>
      </c>
      <c r="M949" s="5">
        <v>2</v>
      </c>
    </row>
    <row r="950" spans="1:13" ht="90" customHeight="1" x14ac:dyDescent="0.3">
      <c r="A950" s="8"/>
      <c r="B950" s="7"/>
      <c r="C950" s="7"/>
      <c r="D950" s="7"/>
      <c r="E950" s="7"/>
      <c r="F950" s="7"/>
      <c r="G950" s="7"/>
      <c r="H950" s="7"/>
      <c r="I950" s="1" t="s">
        <v>1131</v>
      </c>
      <c r="J950" s="1">
        <v>0.88889998197555542</v>
      </c>
      <c r="K950" s="1" t="s">
        <v>22</v>
      </c>
      <c r="L950" s="1" t="s">
        <v>131</v>
      </c>
      <c r="M950" s="1">
        <v>26</v>
      </c>
    </row>
    <row r="951" spans="1:13" ht="90" customHeight="1" x14ac:dyDescent="0.3">
      <c r="A951" s="8"/>
      <c r="B951" s="7"/>
      <c r="C951" s="7"/>
      <c r="D951" s="7"/>
      <c r="E951" s="7"/>
      <c r="F951" s="7"/>
      <c r="G951" s="7"/>
      <c r="H951" s="7"/>
      <c r="I951" s="1"/>
      <c r="J951" s="1"/>
      <c r="K951" s="1"/>
      <c r="L951" s="1"/>
      <c r="M951" s="1"/>
    </row>
    <row r="952" spans="1:13" ht="90" customHeight="1" x14ac:dyDescent="0.3">
      <c r="A952" s="8">
        <v>313</v>
      </c>
      <c r="B952" s="8" t="s">
        <v>1132</v>
      </c>
      <c r="C952" s="8" t="s">
        <v>429</v>
      </c>
      <c r="D952" s="8" t="s">
        <v>436</v>
      </c>
      <c r="E952" s="6" t="s">
        <v>17</v>
      </c>
      <c r="F952" s="6" t="s">
        <v>18</v>
      </c>
      <c r="G952" s="8" t="s">
        <v>1133</v>
      </c>
      <c r="H952" s="8" t="s">
        <v>1134</v>
      </c>
      <c r="I952" s="4" t="s">
        <v>439</v>
      </c>
      <c r="J952" s="4">
        <v>0.98586523532867054</v>
      </c>
      <c r="K952" s="4" t="s">
        <v>22</v>
      </c>
      <c r="L952" s="4" t="s">
        <v>429</v>
      </c>
      <c r="M952" s="4">
        <v>36</v>
      </c>
    </row>
    <row r="953" spans="1:13" ht="90" customHeight="1" x14ac:dyDescent="0.3">
      <c r="A953" s="8"/>
      <c r="B953" s="7"/>
      <c r="C953" s="7"/>
      <c r="D953" s="7"/>
      <c r="E953" s="7"/>
      <c r="F953" s="7"/>
      <c r="G953" s="7"/>
      <c r="H953" s="7"/>
      <c r="I953" s="1"/>
      <c r="J953" s="1"/>
      <c r="K953" s="1"/>
      <c r="L953" s="1"/>
      <c r="M953" s="1"/>
    </row>
    <row r="954" spans="1:13" ht="90" customHeight="1" x14ac:dyDescent="0.3">
      <c r="A954" s="8"/>
      <c r="B954" s="7"/>
      <c r="C954" s="7"/>
      <c r="D954" s="7"/>
      <c r="E954" s="7"/>
      <c r="F954" s="7"/>
      <c r="G954" s="7"/>
      <c r="H954" s="7"/>
      <c r="I954" s="1"/>
      <c r="J954" s="1"/>
      <c r="K954" s="1"/>
      <c r="L954" s="1"/>
      <c r="M954" s="1"/>
    </row>
    <row r="955" spans="1:13" ht="90" customHeight="1" x14ac:dyDescent="0.3">
      <c r="A955" s="8"/>
      <c r="B955" s="7"/>
      <c r="C955" s="7"/>
      <c r="D955" s="7"/>
      <c r="E955" s="7"/>
      <c r="F955" s="7"/>
      <c r="G955" s="7"/>
      <c r="H955" s="7"/>
      <c r="I955" s="1"/>
      <c r="J955" s="1"/>
      <c r="K955" s="1"/>
      <c r="L955" s="1"/>
      <c r="M955" s="1"/>
    </row>
    <row r="956" spans="1:13" ht="90" customHeight="1" x14ac:dyDescent="0.3">
      <c r="A956" s="8"/>
      <c r="B956" s="7"/>
      <c r="C956" s="7"/>
      <c r="D956" s="7"/>
      <c r="E956" s="7"/>
      <c r="F956" s="7"/>
      <c r="G956" s="7"/>
      <c r="H956" s="7"/>
      <c r="I956" s="1"/>
      <c r="J956" s="1"/>
      <c r="K956" s="1"/>
      <c r="L956" s="1"/>
      <c r="M956" s="1"/>
    </row>
    <row r="957" spans="1:13" ht="90" customHeight="1" x14ac:dyDescent="0.3">
      <c r="A957" s="8">
        <v>314</v>
      </c>
      <c r="B957" s="8" t="s">
        <v>1135</v>
      </c>
      <c r="C957" s="8" t="s">
        <v>1136</v>
      </c>
      <c r="D957" s="8" t="s">
        <v>504</v>
      </c>
      <c r="E957" s="6" t="s">
        <v>17</v>
      </c>
      <c r="F957" s="6" t="s">
        <v>18</v>
      </c>
      <c r="G957" s="8" t="s">
        <v>1137</v>
      </c>
      <c r="H957" s="8" t="s">
        <v>1138</v>
      </c>
      <c r="I957" s="4" t="s">
        <v>1139</v>
      </c>
      <c r="J957" s="4">
        <v>0.99971509676842396</v>
      </c>
      <c r="K957" s="4" t="s">
        <v>22</v>
      </c>
      <c r="L957" s="4" t="s">
        <v>1136</v>
      </c>
      <c r="M957" s="4">
        <v>1</v>
      </c>
    </row>
    <row r="958" spans="1:13" ht="90" customHeight="1" x14ac:dyDescent="0.3">
      <c r="A958" s="8"/>
      <c r="B958" s="7"/>
      <c r="C958" s="7"/>
      <c r="D958" s="7"/>
      <c r="E958" s="7"/>
      <c r="F958" s="7"/>
      <c r="G958" s="7"/>
      <c r="H958" s="7"/>
      <c r="I958" s="5" t="s">
        <v>1140</v>
      </c>
      <c r="J958" s="5">
        <v>0.99963855743408203</v>
      </c>
      <c r="K958" s="5" t="s">
        <v>22</v>
      </c>
      <c r="L958" s="5" t="s">
        <v>1136</v>
      </c>
      <c r="M958" s="5">
        <v>2</v>
      </c>
    </row>
    <row r="959" spans="1:13" ht="90" customHeight="1" x14ac:dyDescent="0.3">
      <c r="A959" s="8"/>
      <c r="B959" s="7"/>
      <c r="C959" s="7"/>
      <c r="D959" s="7"/>
      <c r="E959" s="7"/>
      <c r="F959" s="7"/>
      <c r="G959" s="7"/>
      <c r="H959" s="7"/>
      <c r="I959" s="1"/>
      <c r="J959" s="1"/>
      <c r="K959" s="1"/>
      <c r="L959" s="1"/>
      <c r="M959" s="1"/>
    </row>
    <row r="960" spans="1:13" ht="90" customHeight="1" x14ac:dyDescent="0.3">
      <c r="A960" s="8"/>
      <c r="B960" s="7"/>
      <c r="C960" s="7"/>
      <c r="D960" s="7"/>
      <c r="E960" s="7"/>
      <c r="F960" s="7"/>
      <c r="G960" s="7"/>
      <c r="H960" s="7"/>
      <c r="I960" s="1"/>
      <c r="J960" s="1"/>
      <c r="K960" s="1"/>
      <c r="L960" s="1"/>
      <c r="M960" s="1"/>
    </row>
    <row r="961" spans="1:13" ht="90" customHeight="1" x14ac:dyDescent="0.3">
      <c r="A961" s="8"/>
      <c r="B961" s="7"/>
      <c r="C961" s="7"/>
      <c r="D961" s="7"/>
      <c r="E961" s="7"/>
      <c r="F961" s="7"/>
      <c r="G961" s="7"/>
      <c r="H961" s="7"/>
      <c r="I961" s="1"/>
      <c r="J961" s="1"/>
      <c r="K961" s="1"/>
      <c r="L961" s="1"/>
      <c r="M961" s="1"/>
    </row>
    <row r="962" spans="1:13" ht="90" customHeight="1" x14ac:dyDescent="0.3">
      <c r="A962" s="8">
        <v>315</v>
      </c>
      <c r="B962" s="8" t="s">
        <v>1141</v>
      </c>
      <c r="C962" s="8" t="s">
        <v>386</v>
      </c>
      <c r="D962" s="8" t="s">
        <v>1049</v>
      </c>
      <c r="E962" s="6" t="s">
        <v>17</v>
      </c>
      <c r="F962" s="6" t="s">
        <v>18</v>
      </c>
      <c r="G962" s="8" t="s">
        <v>1142</v>
      </c>
      <c r="H962" s="8" t="s">
        <v>1143</v>
      </c>
      <c r="I962" s="4" t="s">
        <v>1052</v>
      </c>
      <c r="J962" s="4">
        <v>0.99943608045578003</v>
      </c>
      <c r="K962" s="4" t="s">
        <v>22</v>
      </c>
      <c r="L962" s="4" t="s">
        <v>386</v>
      </c>
      <c r="M962" s="4">
        <v>19</v>
      </c>
    </row>
    <row r="963" spans="1:13" ht="90" customHeight="1" x14ac:dyDescent="0.3">
      <c r="A963" s="8"/>
      <c r="B963" s="7"/>
      <c r="C963" s="7"/>
      <c r="D963" s="7"/>
      <c r="E963" s="7"/>
      <c r="F963" s="7"/>
      <c r="G963" s="7"/>
      <c r="H963" s="7"/>
      <c r="I963" s="1"/>
      <c r="J963" s="1"/>
      <c r="K963" s="1"/>
      <c r="L963" s="1"/>
      <c r="M963" s="1"/>
    </row>
    <row r="964" spans="1:13" ht="90" customHeight="1" x14ac:dyDescent="0.3">
      <c r="A964" s="8"/>
      <c r="B964" s="7"/>
      <c r="C964" s="7"/>
      <c r="D964" s="7"/>
      <c r="E964" s="7"/>
      <c r="F964" s="7"/>
      <c r="G964" s="7"/>
      <c r="H964" s="7"/>
      <c r="I964" s="1"/>
      <c r="J964" s="1"/>
      <c r="K964" s="1"/>
      <c r="L964" s="1"/>
      <c r="M964" s="1"/>
    </row>
    <row r="965" spans="1:13" ht="90" customHeight="1" x14ac:dyDescent="0.3">
      <c r="A965" s="8"/>
      <c r="B965" s="7"/>
      <c r="C965" s="7"/>
      <c r="D965" s="7"/>
      <c r="E965" s="7"/>
      <c r="F965" s="7"/>
      <c r="G965" s="7"/>
      <c r="H965" s="7"/>
      <c r="I965" s="1"/>
      <c r="J965" s="1"/>
      <c r="K965" s="1"/>
      <c r="L965" s="1"/>
      <c r="M965" s="1"/>
    </row>
    <row r="966" spans="1:13" ht="90" customHeight="1" x14ac:dyDescent="0.3">
      <c r="A966" s="8"/>
      <c r="B966" s="7"/>
      <c r="C966" s="7"/>
      <c r="D966" s="7"/>
      <c r="E966" s="7"/>
      <c r="F966" s="7"/>
      <c r="G966" s="7"/>
      <c r="H966" s="7"/>
      <c r="I966" s="1"/>
      <c r="J966" s="1"/>
      <c r="K966" s="1"/>
      <c r="L966" s="1"/>
      <c r="M966" s="1"/>
    </row>
    <row r="967" spans="1:13" ht="90" customHeight="1" x14ac:dyDescent="0.3">
      <c r="A967" s="8">
        <v>316</v>
      </c>
      <c r="B967" s="8" t="s">
        <v>1144</v>
      </c>
      <c r="C967" s="8" t="s">
        <v>61</v>
      </c>
      <c r="D967" s="8" t="s">
        <v>1145</v>
      </c>
      <c r="E967" s="6" t="s">
        <v>17</v>
      </c>
      <c r="F967" s="6" t="s">
        <v>18</v>
      </c>
      <c r="G967" s="8" t="s">
        <v>1146</v>
      </c>
      <c r="H967" s="8" t="s">
        <v>1147</v>
      </c>
      <c r="I967" s="4" t="s">
        <v>769</v>
      </c>
      <c r="J967" s="4">
        <v>0.9997984766960144</v>
      </c>
      <c r="K967" s="4" t="s">
        <v>22</v>
      </c>
      <c r="L967" s="4" t="s">
        <v>61</v>
      </c>
      <c r="M967" s="4">
        <v>8</v>
      </c>
    </row>
    <row r="968" spans="1:13" ht="90" customHeight="1" x14ac:dyDescent="0.3">
      <c r="A968" s="8"/>
      <c r="B968" s="7"/>
      <c r="C968" s="7"/>
      <c r="D968" s="7"/>
      <c r="E968" s="7"/>
      <c r="F968" s="7"/>
      <c r="G968" s="7"/>
      <c r="H968" s="7"/>
      <c r="I968" s="4" t="s">
        <v>768</v>
      </c>
      <c r="J968" s="4">
        <v>0.99967098236083984</v>
      </c>
      <c r="K968" s="4" t="s">
        <v>22</v>
      </c>
      <c r="L968" s="4" t="s">
        <v>61</v>
      </c>
      <c r="M968" s="4">
        <v>7</v>
      </c>
    </row>
    <row r="969" spans="1:13" ht="90" customHeight="1" x14ac:dyDescent="0.3">
      <c r="A969" s="8"/>
      <c r="B969" s="7"/>
      <c r="C969" s="7"/>
      <c r="D969" s="7"/>
      <c r="E969" s="7"/>
      <c r="F969" s="7"/>
      <c r="G969" s="7"/>
      <c r="H969" s="7"/>
      <c r="I969" s="1"/>
      <c r="J969" s="1"/>
      <c r="K969" s="1"/>
      <c r="L969" s="1"/>
      <c r="M969" s="1"/>
    </row>
    <row r="970" spans="1:13" ht="90" customHeight="1" x14ac:dyDescent="0.3">
      <c r="A970" s="8"/>
      <c r="B970" s="7"/>
      <c r="C970" s="7"/>
      <c r="D970" s="7"/>
      <c r="E970" s="7"/>
      <c r="F970" s="7"/>
      <c r="G970" s="7"/>
      <c r="H970" s="7"/>
      <c r="I970" s="1"/>
      <c r="J970" s="1"/>
      <c r="K970" s="1"/>
      <c r="L970" s="1"/>
      <c r="M970" s="1"/>
    </row>
    <row r="971" spans="1:13" ht="90" customHeight="1" x14ac:dyDescent="0.3">
      <c r="A971" s="8"/>
      <c r="B971" s="7"/>
      <c r="C971" s="7"/>
      <c r="D971" s="7"/>
      <c r="E971" s="7"/>
      <c r="F971" s="7"/>
      <c r="G971" s="7"/>
      <c r="H971" s="7"/>
      <c r="I971" s="1"/>
      <c r="J971" s="1"/>
      <c r="K971" s="1"/>
      <c r="L971" s="1"/>
      <c r="M971" s="1"/>
    </row>
    <row r="972" spans="1:13" ht="90" customHeight="1" x14ac:dyDescent="0.3">
      <c r="A972" s="8">
        <v>318</v>
      </c>
      <c r="B972" s="8" t="s">
        <v>1148</v>
      </c>
      <c r="C972" s="8" t="s">
        <v>1149</v>
      </c>
      <c r="D972" s="8" t="s">
        <v>99</v>
      </c>
      <c r="E972" s="6" t="s">
        <v>17</v>
      </c>
      <c r="F972" s="6" t="s">
        <v>18</v>
      </c>
      <c r="G972" s="8" t="s">
        <v>1150</v>
      </c>
      <c r="H972" s="8" t="s">
        <v>1151</v>
      </c>
      <c r="I972" s="4" t="s">
        <v>1152</v>
      </c>
      <c r="J972" s="4">
        <v>0.83719629049301147</v>
      </c>
      <c r="K972" s="4" t="s">
        <v>22</v>
      </c>
      <c r="L972" s="4" t="s">
        <v>1149</v>
      </c>
      <c r="M972" s="4">
        <v>1</v>
      </c>
    </row>
    <row r="973" spans="1:13" ht="90" customHeight="1" x14ac:dyDescent="0.3">
      <c r="A973" s="8"/>
      <c r="B973" s="7"/>
      <c r="C973" s="7"/>
      <c r="D973" s="7"/>
      <c r="E973" s="7"/>
      <c r="F973" s="7"/>
      <c r="G973" s="7"/>
      <c r="H973" s="7"/>
      <c r="I973" s="1"/>
      <c r="J973" s="1"/>
      <c r="K973" s="1"/>
      <c r="L973" s="1"/>
      <c r="M973" s="1"/>
    </row>
    <row r="974" spans="1:13" ht="90" customHeight="1" x14ac:dyDescent="0.3">
      <c r="A974" s="8"/>
      <c r="B974" s="7"/>
      <c r="C974" s="7"/>
      <c r="D974" s="7"/>
      <c r="E974" s="7"/>
      <c r="F974" s="7"/>
      <c r="G974" s="7"/>
      <c r="H974" s="7"/>
      <c r="I974" s="1"/>
      <c r="J974" s="1"/>
      <c r="K974" s="1"/>
      <c r="L974" s="1"/>
      <c r="M974" s="1"/>
    </row>
    <row r="975" spans="1:13" ht="90" customHeight="1" x14ac:dyDescent="0.3">
      <c r="A975" s="8"/>
      <c r="B975" s="7"/>
      <c r="C975" s="7"/>
      <c r="D975" s="7"/>
      <c r="E975" s="7"/>
      <c r="F975" s="7"/>
      <c r="G975" s="7"/>
      <c r="H975" s="7"/>
      <c r="I975" s="1"/>
      <c r="J975" s="1"/>
      <c r="K975" s="1"/>
      <c r="L975" s="1"/>
      <c r="M975" s="1"/>
    </row>
    <row r="976" spans="1:13" ht="90" customHeight="1" x14ac:dyDescent="0.3">
      <c r="A976" s="8"/>
      <c r="B976" s="7"/>
      <c r="C976" s="7"/>
      <c r="D976" s="7"/>
      <c r="E976" s="7"/>
      <c r="F976" s="7"/>
      <c r="G976" s="7"/>
      <c r="H976" s="7"/>
      <c r="I976" s="1"/>
      <c r="J976" s="1"/>
      <c r="K976" s="1"/>
      <c r="L976" s="1"/>
      <c r="M976" s="1"/>
    </row>
    <row r="977" spans="1:13" ht="90" customHeight="1" x14ac:dyDescent="0.3">
      <c r="A977" s="8">
        <v>320</v>
      </c>
      <c r="B977" s="8" t="s">
        <v>1153</v>
      </c>
      <c r="C977" s="8" t="s">
        <v>376</v>
      </c>
      <c r="D977" s="8" t="s">
        <v>1154</v>
      </c>
      <c r="E977" s="6" t="s">
        <v>17</v>
      </c>
      <c r="F977" s="6" t="s">
        <v>18</v>
      </c>
      <c r="G977" s="8" t="s">
        <v>1155</v>
      </c>
      <c r="H977" s="8" t="s">
        <v>1156</v>
      </c>
      <c r="I977" s="4" t="s">
        <v>1157</v>
      </c>
      <c r="J977" s="4">
        <v>0.99826282262802124</v>
      </c>
      <c r="K977" s="4" t="s">
        <v>22</v>
      </c>
      <c r="L977" s="4" t="s">
        <v>376</v>
      </c>
      <c r="M977" s="4">
        <v>330</v>
      </c>
    </row>
    <row r="978" spans="1:13" ht="90" customHeight="1" x14ac:dyDescent="0.3">
      <c r="A978" s="8"/>
      <c r="B978" s="7"/>
      <c r="C978" s="7"/>
      <c r="D978" s="7"/>
      <c r="E978" s="7"/>
      <c r="F978" s="7"/>
      <c r="G978" s="7"/>
      <c r="H978" s="7"/>
      <c r="I978" s="1"/>
      <c r="J978" s="1"/>
      <c r="K978" s="1"/>
      <c r="L978" s="1"/>
      <c r="M978" s="1"/>
    </row>
    <row r="979" spans="1:13" ht="90" customHeight="1" x14ac:dyDescent="0.3">
      <c r="A979" s="8"/>
      <c r="B979" s="7"/>
      <c r="C979" s="7"/>
      <c r="D979" s="7"/>
      <c r="E979" s="7"/>
      <c r="F979" s="7"/>
      <c r="G979" s="7"/>
      <c r="H979" s="7"/>
      <c r="I979" s="1"/>
      <c r="J979" s="1"/>
      <c r="K979" s="1"/>
      <c r="L979" s="1"/>
      <c r="M979" s="1"/>
    </row>
    <row r="980" spans="1:13" ht="90" customHeight="1" x14ac:dyDescent="0.3">
      <c r="A980" s="8"/>
      <c r="B980" s="7"/>
      <c r="C980" s="7"/>
      <c r="D980" s="7"/>
      <c r="E980" s="7"/>
      <c r="F980" s="7"/>
      <c r="G980" s="7"/>
      <c r="H980" s="7"/>
      <c r="I980" s="1"/>
      <c r="J980" s="1"/>
      <c r="K980" s="1"/>
      <c r="L980" s="1"/>
      <c r="M980" s="1"/>
    </row>
    <row r="981" spans="1:13" ht="90" customHeight="1" x14ac:dyDescent="0.3">
      <c r="A981" s="8"/>
      <c r="B981" s="7"/>
      <c r="C981" s="7"/>
      <c r="D981" s="7"/>
      <c r="E981" s="7"/>
      <c r="F981" s="7"/>
      <c r="G981" s="7"/>
      <c r="H981" s="7"/>
      <c r="I981" s="1"/>
      <c r="J981" s="1"/>
      <c r="K981" s="1"/>
      <c r="L981" s="1"/>
      <c r="M981" s="1"/>
    </row>
    <row r="982" spans="1:13" ht="90" customHeight="1" x14ac:dyDescent="0.3">
      <c r="A982" s="8">
        <v>321</v>
      </c>
      <c r="B982" s="8" t="s">
        <v>1158</v>
      </c>
      <c r="C982" s="8" t="s">
        <v>936</v>
      </c>
      <c r="D982" s="8" t="s">
        <v>268</v>
      </c>
      <c r="E982" s="6" t="s">
        <v>17</v>
      </c>
      <c r="F982" s="6" t="s">
        <v>18</v>
      </c>
      <c r="G982" s="8" t="s">
        <v>1159</v>
      </c>
      <c r="H982" s="8" t="s">
        <v>1160</v>
      </c>
      <c r="I982" s="4" t="s">
        <v>1161</v>
      </c>
      <c r="J982" s="4">
        <v>0.99970632791519165</v>
      </c>
      <c r="K982" s="4" t="s">
        <v>22</v>
      </c>
      <c r="L982" s="4" t="s">
        <v>936</v>
      </c>
      <c r="M982" s="4">
        <v>14</v>
      </c>
    </row>
    <row r="983" spans="1:13" ht="90" customHeight="1" x14ac:dyDescent="0.3">
      <c r="A983" s="8"/>
      <c r="B983" s="7"/>
      <c r="C983" s="7"/>
      <c r="D983" s="7"/>
      <c r="E983" s="7"/>
      <c r="F983" s="7"/>
      <c r="G983" s="7"/>
      <c r="H983" s="7"/>
      <c r="I983" s="2" t="s">
        <v>731</v>
      </c>
      <c r="J983" s="2">
        <v>0.93748205900192261</v>
      </c>
      <c r="K983" s="2" t="s">
        <v>22</v>
      </c>
      <c r="L983" s="2" t="s">
        <v>220</v>
      </c>
      <c r="M983" s="2">
        <v>45</v>
      </c>
    </row>
    <row r="984" spans="1:13" ht="90" customHeight="1" x14ac:dyDescent="0.3">
      <c r="A984" s="8"/>
      <c r="B984" s="7"/>
      <c r="C984" s="7"/>
      <c r="D984" s="7"/>
      <c r="E984" s="7"/>
      <c r="F984" s="7"/>
      <c r="G984" s="7"/>
      <c r="H984" s="7"/>
      <c r="I984" s="1" t="s">
        <v>690</v>
      </c>
      <c r="J984" s="1">
        <v>0.76403037758280601</v>
      </c>
      <c r="K984" s="1" t="s">
        <v>22</v>
      </c>
      <c r="L984" s="1" t="s">
        <v>565</v>
      </c>
      <c r="M984" s="1">
        <v>16</v>
      </c>
    </row>
    <row r="985" spans="1:13" ht="90" customHeight="1" x14ac:dyDescent="0.3">
      <c r="A985" s="8"/>
      <c r="B985" s="7"/>
      <c r="C985" s="7"/>
      <c r="D985" s="7"/>
      <c r="E985" s="7"/>
      <c r="F985" s="7"/>
      <c r="G985" s="7"/>
      <c r="H985" s="7"/>
      <c r="I985" s="1"/>
      <c r="J985" s="1"/>
      <c r="K985" s="1"/>
      <c r="L985" s="1"/>
      <c r="M985" s="1"/>
    </row>
    <row r="986" spans="1:13" ht="90" customHeight="1" x14ac:dyDescent="0.3">
      <c r="A986" s="8"/>
      <c r="B986" s="7"/>
      <c r="C986" s="7"/>
      <c r="D986" s="7"/>
      <c r="E986" s="7"/>
      <c r="F986" s="7"/>
      <c r="G986" s="7"/>
      <c r="H986" s="7"/>
      <c r="I986" s="1"/>
      <c r="J986" s="1"/>
      <c r="K986" s="1"/>
      <c r="L986" s="1"/>
      <c r="M986" s="1"/>
    </row>
    <row r="987" spans="1:13" ht="90" customHeight="1" x14ac:dyDescent="0.3">
      <c r="A987" s="8">
        <v>322</v>
      </c>
      <c r="B987" s="8" t="s">
        <v>1162</v>
      </c>
      <c r="C987" s="8" t="s">
        <v>131</v>
      </c>
      <c r="D987" s="8" t="s">
        <v>139</v>
      </c>
      <c r="E987" s="6" t="s">
        <v>17</v>
      </c>
      <c r="F987" s="6" t="s">
        <v>18</v>
      </c>
      <c r="G987" s="8" t="s">
        <v>1163</v>
      </c>
      <c r="H987" s="8" t="s">
        <v>1164</v>
      </c>
      <c r="I987" s="4" t="s">
        <v>811</v>
      </c>
      <c r="J987" s="4">
        <v>0.99770975112914995</v>
      </c>
      <c r="K987" s="4" t="s">
        <v>22</v>
      </c>
      <c r="L987" s="4" t="s">
        <v>131</v>
      </c>
      <c r="M987" s="4">
        <v>13</v>
      </c>
    </row>
    <row r="988" spans="1:13" ht="90" customHeight="1" x14ac:dyDescent="0.3">
      <c r="A988" s="8"/>
      <c r="B988" s="7"/>
      <c r="C988" s="7"/>
      <c r="D988" s="7"/>
      <c r="E988" s="7"/>
      <c r="F988" s="7"/>
      <c r="G988" s="7"/>
      <c r="H988" s="7"/>
      <c r="I988" s="1"/>
      <c r="J988" s="1"/>
      <c r="K988" s="1"/>
      <c r="L988" s="1"/>
      <c r="M988" s="1"/>
    </row>
    <row r="989" spans="1:13" ht="90" customHeight="1" x14ac:dyDescent="0.3">
      <c r="A989" s="8"/>
      <c r="B989" s="7"/>
      <c r="C989" s="7"/>
      <c r="D989" s="7"/>
      <c r="E989" s="7"/>
      <c r="F989" s="7"/>
      <c r="G989" s="7"/>
      <c r="H989" s="7"/>
      <c r="I989" s="1"/>
      <c r="J989" s="1"/>
      <c r="K989" s="1"/>
      <c r="L989" s="1"/>
      <c r="M989" s="1"/>
    </row>
    <row r="990" spans="1:13" ht="90" customHeight="1" x14ac:dyDescent="0.3">
      <c r="A990" s="8"/>
      <c r="B990" s="7"/>
      <c r="C990" s="7"/>
      <c r="D990" s="7"/>
      <c r="E990" s="7"/>
      <c r="F990" s="7"/>
      <c r="G990" s="7"/>
      <c r="H990" s="7"/>
      <c r="I990" s="1"/>
      <c r="J990" s="1"/>
      <c r="K990" s="1"/>
      <c r="L990" s="1"/>
      <c r="M990" s="1"/>
    </row>
    <row r="991" spans="1:13" ht="90" customHeight="1" x14ac:dyDescent="0.3">
      <c r="A991" s="8"/>
      <c r="B991" s="7"/>
      <c r="C991" s="7"/>
      <c r="D991" s="7"/>
      <c r="E991" s="7"/>
      <c r="F991" s="7"/>
      <c r="G991" s="7"/>
      <c r="H991" s="7"/>
      <c r="I991" s="1"/>
      <c r="J991" s="1"/>
      <c r="K991" s="1"/>
      <c r="L991" s="1"/>
      <c r="M991" s="1"/>
    </row>
    <row r="992" spans="1:13" ht="90" customHeight="1" x14ac:dyDescent="0.3">
      <c r="A992" s="8">
        <v>324</v>
      </c>
      <c r="B992" s="8" t="s">
        <v>1165</v>
      </c>
      <c r="C992" s="8" t="s">
        <v>1166</v>
      </c>
      <c r="D992" s="8" t="s">
        <v>1167</v>
      </c>
      <c r="E992" s="6" t="s">
        <v>17</v>
      </c>
      <c r="F992" s="6" t="s">
        <v>18</v>
      </c>
      <c r="G992" s="8" t="s">
        <v>1168</v>
      </c>
      <c r="H992" s="8" t="s">
        <v>1169</v>
      </c>
      <c r="I992" s="2" t="s">
        <v>1170</v>
      </c>
      <c r="J992" s="2">
        <v>0.99427694082260132</v>
      </c>
      <c r="K992" s="2" t="s">
        <v>22</v>
      </c>
      <c r="L992" s="2" t="s">
        <v>340</v>
      </c>
      <c r="M992" s="2">
        <v>228</v>
      </c>
    </row>
    <row r="993" spans="1:13" ht="90" customHeight="1" x14ac:dyDescent="0.3">
      <c r="A993" s="8"/>
      <c r="B993" s="7"/>
      <c r="C993" s="7"/>
      <c r="D993" s="7"/>
      <c r="E993" s="7"/>
      <c r="F993" s="7"/>
      <c r="G993" s="7"/>
      <c r="H993" s="7"/>
      <c r="I993" s="4" t="s">
        <v>1171</v>
      </c>
      <c r="J993" s="4">
        <v>0.98632287979125977</v>
      </c>
      <c r="K993" s="4" t="s">
        <v>22</v>
      </c>
      <c r="L993" s="4" t="s">
        <v>1166</v>
      </c>
      <c r="M993" s="4">
        <v>6</v>
      </c>
    </row>
    <row r="994" spans="1:13" ht="90" customHeight="1" x14ac:dyDescent="0.3">
      <c r="A994" s="8"/>
      <c r="B994" s="7"/>
      <c r="C994" s="7"/>
      <c r="D994" s="7"/>
      <c r="E994" s="7"/>
      <c r="F994" s="7"/>
      <c r="G994" s="7"/>
      <c r="H994" s="7"/>
      <c r="I994" s="2" t="s">
        <v>1172</v>
      </c>
      <c r="J994" s="2">
        <v>0.95850187540054321</v>
      </c>
      <c r="K994" s="2" t="s">
        <v>22</v>
      </c>
      <c r="L994" s="2" t="s">
        <v>1166</v>
      </c>
      <c r="M994" s="2">
        <v>51</v>
      </c>
    </row>
    <row r="995" spans="1:13" ht="90" customHeight="1" x14ac:dyDescent="0.3">
      <c r="A995" s="8"/>
      <c r="B995" s="7"/>
      <c r="C995" s="7"/>
      <c r="D995" s="7"/>
      <c r="E995" s="7"/>
      <c r="F995" s="7"/>
      <c r="G995" s="7"/>
      <c r="H995" s="7"/>
      <c r="I995" s="1" t="s">
        <v>1173</v>
      </c>
      <c r="J995" s="1">
        <v>0.9387516975402832</v>
      </c>
      <c r="K995" s="1" t="s">
        <v>76</v>
      </c>
      <c r="L995" s="1" t="s">
        <v>1174</v>
      </c>
      <c r="M995" s="1">
        <v>1</v>
      </c>
    </row>
    <row r="996" spans="1:13" ht="90" customHeight="1" x14ac:dyDescent="0.3">
      <c r="A996" s="8"/>
      <c r="B996" s="7"/>
      <c r="C996" s="7"/>
      <c r="D996" s="7"/>
      <c r="E996" s="7"/>
      <c r="F996" s="7"/>
      <c r="G996" s="7"/>
      <c r="H996" s="7"/>
      <c r="I996" s="1" t="s">
        <v>1175</v>
      </c>
      <c r="J996" s="1">
        <v>0.92527878284454346</v>
      </c>
      <c r="K996" s="1" t="s">
        <v>22</v>
      </c>
      <c r="L996" s="1" t="s">
        <v>343</v>
      </c>
      <c r="M996" s="1">
        <v>217</v>
      </c>
    </row>
    <row r="997" spans="1:13" ht="90" customHeight="1" x14ac:dyDescent="0.3">
      <c r="A997" s="8">
        <v>325</v>
      </c>
      <c r="B997" s="8" t="s">
        <v>1176</v>
      </c>
      <c r="C997" s="8" t="s">
        <v>893</v>
      </c>
      <c r="D997" s="8" t="s">
        <v>1177</v>
      </c>
      <c r="E997" s="6" t="s">
        <v>93</v>
      </c>
      <c r="F997" s="6" t="s">
        <v>94</v>
      </c>
      <c r="G997" s="8" t="s">
        <v>1178</v>
      </c>
      <c r="H997" s="8" t="s">
        <v>1179</v>
      </c>
      <c r="I997" s="2" t="s">
        <v>1180</v>
      </c>
      <c r="J997" s="2">
        <v>0.98482793569564819</v>
      </c>
      <c r="K997" s="2" t="s">
        <v>22</v>
      </c>
      <c r="L997" s="2" t="s">
        <v>893</v>
      </c>
      <c r="M997" s="2">
        <v>3</v>
      </c>
    </row>
    <row r="998" spans="1:13" ht="90" customHeight="1" x14ac:dyDescent="0.3">
      <c r="A998" s="8"/>
      <c r="B998" s="7"/>
      <c r="C998" s="7"/>
      <c r="D998" s="7"/>
      <c r="E998" s="7"/>
      <c r="F998" s="7"/>
      <c r="G998" s="7"/>
      <c r="H998" s="7"/>
      <c r="I998" s="2" t="s">
        <v>1181</v>
      </c>
      <c r="J998" s="2">
        <v>0.98227411508560181</v>
      </c>
      <c r="K998" s="2" t="s">
        <v>22</v>
      </c>
      <c r="L998" s="2" t="s">
        <v>893</v>
      </c>
      <c r="M998" s="2">
        <v>101</v>
      </c>
    </row>
    <row r="999" spans="1:13" ht="90" customHeight="1" x14ac:dyDescent="0.3">
      <c r="A999" s="8"/>
      <c r="B999" s="7"/>
      <c r="C999" s="7"/>
      <c r="D999" s="7"/>
      <c r="E999" s="7"/>
      <c r="F999" s="7"/>
      <c r="G999" s="7"/>
      <c r="H999" s="7"/>
      <c r="I999" s="2" t="s">
        <v>1182</v>
      </c>
      <c r="J999" s="2">
        <v>0.98028254373533141</v>
      </c>
      <c r="K999" s="2" t="s">
        <v>22</v>
      </c>
      <c r="L999" s="2" t="s">
        <v>359</v>
      </c>
      <c r="M999" s="2">
        <v>198</v>
      </c>
    </row>
    <row r="1000" spans="1:13" ht="90" customHeight="1" x14ac:dyDescent="0.3">
      <c r="A1000" s="8"/>
      <c r="B1000" s="7"/>
      <c r="C1000" s="7"/>
      <c r="D1000" s="7"/>
      <c r="E1000" s="7"/>
      <c r="F1000" s="7"/>
      <c r="G1000" s="7"/>
      <c r="H1000" s="7"/>
      <c r="I1000" s="1" t="s">
        <v>1183</v>
      </c>
      <c r="J1000" s="1">
        <v>0.96638250350952148</v>
      </c>
      <c r="K1000" s="1" t="s">
        <v>22</v>
      </c>
      <c r="L1000" s="1" t="s">
        <v>893</v>
      </c>
      <c r="M1000" s="1">
        <v>9</v>
      </c>
    </row>
    <row r="1001" spans="1:13" ht="90" customHeight="1" x14ac:dyDescent="0.3">
      <c r="A1001" s="8"/>
      <c r="B1001" s="7"/>
      <c r="C1001" s="7"/>
      <c r="D1001" s="7"/>
      <c r="E1001" s="7"/>
      <c r="F1001" s="7"/>
      <c r="G1001" s="7"/>
      <c r="H1001" s="7"/>
      <c r="I1001" s="1" t="s">
        <v>1184</v>
      </c>
      <c r="J1001" s="1">
        <v>0.9622003436088562</v>
      </c>
      <c r="K1001" s="1" t="s">
        <v>22</v>
      </c>
      <c r="L1001" s="1" t="s">
        <v>893</v>
      </c>
      <c r="M1001" s="1">
        <v>20</v>
      </c>
    </row>
    <row r="1002" spans="1:13" ht="90" customHeight="1" x14ac:dyDescent="0.3">
      <c r="A1002" s="8">
        <v>327</v>
      </c>
      <c r="B1002" s="8" t="s">
        <v>1185</v>
      </c>
      <c r="C1002" s="8" t="s">
        <v>353</v>
      </c>
      <c r="D1002" s="8" t="s">
        <v>1186</v>
      </c>
      <c r="E1002" s="6" t="s">
        <v>93</v>
      </c>
      <c r="F1002" s="6" t="s">
        <v>94</v>
      </c>
      <c r="G1002" s="8" t="s">
        <v>1187</v>
      </c>
      <c r="H1002" s="8" t="s">
        <v>96</v>
      </c>
      <c r="I1002" s="1"/>
      <c r="J1002" s="1"/>
      <c r="K1002" s="1"/>
      <c r="L1002" s="1"/>
      <c r="M1002" s="1"/>
    </row>
    <row r="1003" spans="1:13" ht="90" customHeight="1" x14ac:dyDescent="0.3">
      <c r="A1003" s="8"/>
      <c r="B1003" s="7"/>
      <c r="C1003" s="7"/>
      <c r="D1003" s="7"/>
      <c r="E1003" s="7"/>
      <c r="F1003" s="7"/>
      <c r="G1003" s="7"/>
      <c r="H1003" s="7"/>
      <c r="I1003" s="1"/>
      <c r="J1003" s="1"/>
      <c r="K1003" s="1"/>
      <c r="L1003" s="1"/>
      <c r="M1003" s="1"/>
    </row>
    <row r="1004" spans="1:13" ht="90" customHeight="1" x14ac:dyDescent="0.3">
      <c r="A1004" s="8"/>
      <c r="B1004" s="7"/>
      <c r="C1004" s="7"/>
      <c r="D1004" s="7"/>
      <c r="E1004" s="7"/>
      <c r="F1004" s="7"/>
      <c r="G1004" s="7"/>
      <c r="H1004" s="7"/>
      <c r="I1004" s="1"/>
      <c r="J1004" s="1"/>
      <c r="K1004" s="1"/>
      <c r="L1004" s="1"/>
      <c r="M1004" s="1"/>
    </row>
    <row r="1005" spans="1:13" ht="90" customHeight="1" x14ac:dyDescent="0.3">
      <c r="A1005" s="8"/>
      <c r="B1005" s="7"/>
      <c r="C1005" s="7"/>
      <c r="D1005" s="7"/>
      <c r="E1005" s="7"/>
      <c r="F1005" s="7"/>
      <c r="G1005" s="7"/>
      <c r="H1005" s="7"/>
      <c r="I1005" s="1"/>
      <c r="J1005" s="1"/>
      <c r="K1005" s="1"/>
      <c r="L1005" s="1"/>
      <c r="M1005" s="1"/>
    </row>
    <row r="1006" spans="1:13" ht="90" customHeight="1" x14ac:dyDescent="0.3">
      <c r="A1006" s="8"/>
      <c r="B1006" s="7"/>
      <c r="C1006" s="7"/>
      <c r="D1006" s="7"/>
      <c r="E1006" s="7"/>
      <c r="F1006" s="7"/>
      <c r="G1006" s="7"/>
      <c r="H1006" s="7"/>
      <c r="I1006" s="1"/>
      <c r="J1006" s="1"/>
      <c r="K1006" s="1"/>
      <c r="L1006" s="1"/>
      <c r="M1006" s="1"/>
    </row>
    <row r="1007" spans="1:13" ht="90" customHeight="1" x14ac:dyDescent="0.3">
      <c r="A1007" s="8">
        <v>328</v>
      </c>
      <c r="B1007" s="8" t="s">
        <v>1188</v>
      </c>
      <c r="C1007" s="8" t="s">
        <v>614</v>
      </c>
      <c r="D1007" s="8" t="s">
        <v>99</v>
      </c>
      <c r="E1007" s="6" t="s">
        <v>17</v>
      </c>
      <c r="F1007" s="6" t="s">
        <v>18</v>
      </c>
      <c r="G1007" s="8" t="s">
        <v>1189</v>
      </c>
      <c r="H1007" s="8" t="s">
        <v>1190</v>
      </c>
      <c r="I1007" s="4" t="s">
        <v>617</v>
      </c>
      <c r="J1007" s="4">
        <v>0.99989044666290283</v>
      </c>
      <c r="K1007" s="4" t="s">
        <v>22</v>
      </c>
      <c r="L1007" s="4" t="s">
        <v>614</v>
      </c>
      <c r="M1007" s="4">
        <v>1</v>
      </c>
    </row>
    <row r="1008" spans="1:13" ht="90" customHeight="1" x14ac:dyDescent="0.3">
      <c r="A1008" s="8"/>
      <c r="B1008" s="7"/>
      <c r="C1008" s="7"/>
      <c r="D1008" s="7"/>
      <c r="E1008" s="7"/>
      <c r="F1008" s="7"/>
      <c r="G1008" s="7"/>
      <c r="H1008" s="7"/>
      <c r="I1008" s="1"/>
      <c r="J1008" s="1"/>
      <c r="K1008" s="1"/>
      <c r="L1008" s="1"/>
      <c r="M1008" s="1"/>
    </row>
    <row r="1009" spans="1:13" ht="90" customHeight="1" x14ac:dyDescent="0.3">
      <c r="A1009" s="8"/>
      <c r="B1009" s="7"/>
      <c r="C1009" s="7"/>
      <c r="D1009" s="7"/>
      <c r="E1009" s="7"/>
      <c r="F1009" s="7"/>
      <c r="G1009" s="7"/>
      <c r="H1009" s="7"/>
      <c r="I1009" s="1"/>
      <c r="J1009" s="1"/>
      <c r="K1009" s="1"/>
      <c r="L1009" s="1"/>
      <c r="M1009" s="1"/>
    </row>
    <row r="1010" spans="1:13" ht="90" customHeight="1" x14ac:dyDescent="0.3">
      <c r="A1010" s="8"/>
      <c r="B1010" s="7"/>
      <c r="C1010" s="7"/>
      <c r="D1010" s="7"/>
      <c r="E1010" s="7"/>
      <c r="F1010" s="7"/>
      <c r="G1010" s="7"/>
      <c r="H1010" s="7"/>
      <c r="I1010" s="1"/>
      <c r="J1010" s="1"/>
      <c r="K1010" s="1"/>
      <c r="L1010" s="1"/>
      <c r="M1010" s="1"/>
    </row>
    <row r="1011" spans="1:13" ht="90" customHeight="1" x14ac:dyDescent="0.3">
      <c r="A1011" s="8"/>
      <c r="B1011" s="7"/>
      <c r="C1011" s="7"/>
      <c r="D1011" s="7"/>
      <c r="E1011" s="7"/>
      <c r="F1011" s="7"/>
      <c r="G1011" s="7"/>
      <c r="H1011" s="7"/>
      <c r="I1011" s="1"/>
      <c r="J1011" s="1"/>
      <c r="K1011" s="1"/>
      <c r="L1011" s="1"/>
      <c r="M1011" s="1"/>
    </row>
    <row r="1012" spans="1:13" ht="90" customHeight="1" x14ac:dyDescent="0.3">
      <c r="A1012" s="8">
        <v>329</v>
      </c>
      <c r="B1012" s="8" t="s">
        <v>710</v>
      </c>
      <c r="C1012" s="8" t="s">
        <v>417</v>
      </c>
      <c r="D1012" s="8" t="s">
        <v>418</v>
      </c>
      <c r="E1012" s="6" t="s">
        <v>17</v>
      </c>
      <c r="F1012" s="6" t="s">
        <v>18</v>
      </c>
      <c r="G1012" s="8" t="s">
        <v>1191</v>
      </c>
      <c r="H1012" s="8" t="s">
        <v>712</v>
      </c>
      <c r="I1012" s="4" t="s">
        <v>421</v>
      </c>
      <c r="J1012" s="4">
        <v>0.9999992847442627</v>
      </c>
      <c r="K1012" s="4" t="s">
        <v>22</v>
      </c>
      <c r="L1012" s="4" t="s">
        <v>422</v>
      </c>
      <c r="M1012" s="4">
        <v>7</v>
      </c>
    </row>
    <row r="1013" spans="1:13" ht="90" customHeight="1" x14ac:dyDescent="0.3">
      <c r="A1013" s="8"/>
      <c r="B1013" s="7"/>
      <c r="C1013" s="7"/>
      <c r="D1013" s="7"/>
      <c r="E1013" s="7"/>
      <c r="F1013" s="7"/>
      <c r="G1013" s="7"/>
      <c r="H1013" s="7"/>
      <c r="I1013" s="4" t="s">
        <v>423</v>
      </c>
      <c r="J1013" s="4">
        <v>0.99999737739562988</v>
      </c>
      <c r="K1013" s="4" t="s">
        <v>22</v>
      </c>
      <c r="L1013" s="4" t="s">
        <v>424</v>
      </c>
      <c r="M1013" s="4">
        <v>1</v>
      </c>
    </row>
    <row r="1014" spans="1:13" ht="90" customHeight="1" x14ac:dyDescent="0.3">
      <c r="A1014" s="8"/>
      <c r="B1014" s="7"/>
      <c r="C1014" s="7"/>
      <c r="D1014" s="7"/>
      <c r="E1014" s="7"/>
      <c r="F1014" s="7"/>
      <c r="G1014" s="7"/>
      <c r="H1014" s="7"/>
      <c r="I1014" s="1"/>
      <c r="J1014" s="1"/>
      <c r="K1014" s="1"/>
      <c r="L1014" s="1"/>
      <c r="M1014" s="1"/>
    </row>
    <row r="1015" spans="1:13" ht="90" customHeight="1" x14ac:dyDescent="0.3">
      <c r="A1015" s="8"/>
      <c r="B1015" s="7"/>
      <c r="C1015" s="7"/>
      <c r="D1015" s="7"/>
      <c r="E1015" s="7"/>
      <c r="F1015" s="7"/>
      <c r="G1015" s="7"/>
      <c r="H1015" s="7"/>
      <c r="I1015" s="1"/>
      <c r="J1015" s="1"/>
      <c r="K1015" s="1"/>
      <c r="L1015" s="1"/>
      <c r="M1015" s="1"/>
    </row>
    <row r="1016" spans="1:13" ht="90" customHeight="1" x14ac:dyDescent="0.3">
      <c r="A1016" s="8"/>
      <c r="B1016" s="7"/>
      <c r="C1016" s="7"/>
      <c r="D1016" s="7"/>
      <c r="E1016" s="7"/>
      <c r="F1016" s="7"/>
      <c r="G1016" s="7"/>
      <c r="H1016" s="7"/>
      <c r="I1016" s="1"/>
      <c r="J1016" s="1"/>
      <c r="K1016" s="1"/>
      <c r="L1016" s="1"/>
      <c r="M1016" s="1"/>
    </row>
    <row r="1017" spans="1:13" ht="90" customHeight="1" x14ac:dyDescent="0.3">
      <c r="A1017" s="8">
        <v>330</v>
      </c>
      <c r="B1017" s="8" t="s">
        <v>1192</v>
      </c>
      <c r="C1017" s="8" t="s">
        <v>371</v>
      </c>
      <c r="D1017" s="8" t="s">
        <v>126</v>
      </c>
      <c r="E1017" s="6" t="s">
        <v>17</v>
      </c>
      <c r="F1017" s="6" t="s">
        <v>18</v>
      </c>
      <c r="G1017" s="8" t="s">
        <v>1193</v>
      </c>
      <c r="H1017" s="8" t="s">
        <v>1194</v>
      </c>
      <c r="I1017" s="4" t="s">
        <v>370</v>
      </c>
      <c r="J1017" s="4">
        <v>0.99971705675125122</v>
      </c>
      <c r="K1017" s="4" t="s">
        <v>22</v>
      </c>
      <c r="L1017" s="4" t="s">
        <v>371</v>
      </c>
      <c r="M1017" s="4">
        <v>2</v>
      </c>
    </row>
    <row r="1018" spans="1:13" ht="90" customHeight="1" x14ac:dyDescent="0.3">
      <c r="A1018" s="8"/>
      <c r="B1018" s="7"/>
      <c r="C1018" s="7"/>
      <c r="D1018" s="7"/>
      <c r="E1018" s="7"/>
      <c r="F1018" s="7"/>
      <c r="G1018" s="7"/>
      <c r="H1018" s="7"/>
      <c r="I1018" s="1"/>
      <c r="J1018" s="1"/>
      <c r="K1018" s="1"/>
      <c r="L1018" s="1"/>
      <c r="M1018" s="1"/>
    </row>
    <row r="1019" spans="1:13" ht="90" customHeight="1" x14ac:dyDescent="0.3">
      <c r="A1019" s="8"/>
      <c r="B1019" s="7"/>
      <c r="C1019" s="7"/>
      <c r="D1019" s="7"/>
      <c r="E1019" s="7"/>
      <c r="F1019" s="7"/>
      <c r="G1019" s="7"/>
      <c r="H1019" s="7"/>
      <c r="I1019" s="1"/>
      <c r="J1019" s="1"/>
      <c r="K1019" s="1"/>
      <c r="L1019" s="1"/>
      <c r="M1019" s="1"/>
    </row>
    <row r="1020" spans="1:13" ht="90" customHeight="1" x14ac:dyDescent="0.3">
      <c r="A1020" s="8"/>
      <c r="B1020" s="7"/>
      <c r="C1020" s="7"/>
      <c r="D1020" s="7"/>
      <c r="E1020" s="7"/>
      <c r="F1020" s="7"/>
      <c r="G1020" s="7"/>
      <c r="H1020" s="7"/>
      <c r="I1020" s="1"/>
      <c r="J1020" s="1"/>
      <c r="K1020" s="1"/>
      <c r="L1020" s="1"/>
      <c r="M1020" s="1"/>
    </row>
    <row r="1021" spans="1:13" ht="90" customHeight="1" x14ac:dyDescent="0.3">
      <c r="A1021" s="8"/>
      <c r="B1021" s="7"/>
      <c r="C1021" s="7"/>
      <c r="D1021" s="7"/>
      <c r="E1021" s="7"/>
      <c r="F1021" s="7"/>
      <c r="G1021" s="7"/>
      <c r="H1021" s="7"/>
      <c r="I1021" s="1"/>
      <c r="J1021" s="1"/>
      <c r="K1021" s="1"/>
      <c r="L1021" s="1"/>
      <c r="M1021" s="1"/>
    </row>
    <row r="1022" spans="1:13" ht="90" customHeight="1" x14ac:dyDescent="0.3">
      <c r="A1022" s="8">
        <v>331</v>
      </c>
      <c r="B1022" s="8" t="s">
        <v>1195</v>
      </c>
      <c r="C1022" s="8" t="s">
        <v>821</v>
      </c>
      <c r="D1022" s="8" t="s">
        <v>39</v>
      </c>
      <c r="E1022" s="6" t="s">
        <v>17</v>
      </c>
      <c r="F1022" s="6" t="s">
        <v>18</v>
      </c>
      <c r="G1022" s="8" t="s">
        <v>1196</v>
      </c>
      <c r="H1022" s="8" t="s">
        <v>1197</v>
      </c>
      <c r="I1022" s="4" t="s">
        <v>824</v>
      </c>
      <c r="J1022" s="4">
        <v>0.99999654293060303</v>
      </c>
      <c r="K1022" s="4" t="s">
        <v>76</v>
      </c>
      <c r="L1022" s="4" t="s">
        <v>821</v>
      </c>
      <c r="M1022" s="4">
        <v>1</v>
      </c>
    </row>
    <row r="1023" spans="1:13" ht="90" customHeight="1" x14ac:dyDescent="0.3">
      <c r="A1023" s="8"/>
      <c r="B1023" s="7"/>
      <c r="C1023" s="7"/>
      <c r="D1023" s="7"/>
      <c r="E1023" s="7"/>
      <c r="F1023" s="7"/>
      <c r="G1023" s="7"/>
      <c r="H1023" s="7"/>
      <c r="I1023" s="2" t="s">
        <v>1198</v>
      </c>
      <c r="J1023" s="2">
        <v>0.99999606609344482</v>
      </c>
      <c r="K1023" s="2" t="s">
        <v>76</v>
      </c>
      <c r="L1023" s="2" t="s">
        <v>821</v>
      </c>
      <c r="M1023" s="2">
        <v>2</v>
      </c>
    </row>
    <row r="1024" spans="1:13" ht="90" customHeight="1" x14ac:dyDescent="0.3">
      <c r="A1024" s="8"/>
      <c r="B1024" s="7"/>
      <c r="C1024" s="7"/>
      <c r="D1024" s="7"/>
      <c r="E1024" s="7"/>
      <c r="F1024" s="7"/>
      <c r="G1024" s="7"/>
      <c r="H1024" s="7"/>
      <c r="I1024" s="2" t="s">
        <v>1199</v>
      </c>
      <c r="J1024" s="2">
        <v>0.99999356269836426</v>
      </c>
      <c r="K1024" s="2" t="s">
        <v>76</v>
      </c>
      <c r="L1024" s="2" t="s">
        <v>821</v>
      </c>
      <c r="M1024" s="2">
        <v>3</v>
      </c>
    </row>
    <row r="1025" spans="1:13" ht="90" customHeight="1" x14ac:dyDescent="0.3">
      <c r="A1025" s="8"/>
      <c r="B1025" s="7"/>
      <c r="C1025" s="7"/>
      <c r="D1025" s="7"/>
      <c r="E1025" s="7"/>
      <c r="F1025" s="7"/>
      <c r="G1025" s="7"/>
      <c r="H1025" s="7"/>
      <c r="I1025" s="5" t="s">
        <v>1200</v>
      </c>
      <c r="J1025" s="5">
        <v>0.99997127000883967</v>
      </c>
      <c r="K1025" s="5" t="s">
        <v>76</v>
      </c>
      <c r="L1025" s="5" t="s">
        <v>821</v>
      </c>
      <c r="M1025" s="5">
        <v>3</v>
      </c>
    </row>
    <row r="1026" spans="1:13" ht="90" customHeight="1" x14ac:dyDescent="0.3">
      <c r="A1026" s="8"/>
      <c r="B1026" s="7"/>
      <c r="C1026" s="7"/>
      <c r="D1026" s="7"/>
      <c r="E1026" s="7"/>
      <c r="F1026" s="7"/>
      <c r="G1026" s="7"/>
      <c r="H1026" s="7"/>
      <c r="I1026" s="5" t="s">
        <v>1201</v>
      </c>
      <c r="J1026" s="5">
        <v>0.83201441776110108</v>
      </c>
      <c r="K1026" s="5" t="s">
        <v>76</v>
      </c>
      <c r="L1026" s="5" t="s">
        <v>821</v>
      </c>
      <c r="M1026" s="5">
        <v>2</v>
      </c>
    </row>
    <row r="1027" spans="1:13" ht="90" customHeight="1" x14ac:dyDescent="0.3">
      <c r="A1027" s="8">
        <v>332</v>
      </c>
      <c r="B1027" s="8" t="s">
        <v>1202</v>
      </c>
      <c r="C1027" s="8" t="s">
        <v>85</v>
      </c>
      <c r="D1027" s="8" t="s">
        <v>62</v>
      </c>
      <c r="E1027" s="6" t="s">
        <v>93</v>
      </c>
      <c r="F1027" s="6" t="s">
        <v>94</v>
      </c>
      <c r="G1027" s="8" t="s">
        <v>1203</v>
      </c>
      <c r="H1027" s="8" t="s">
        <v>1204</v>
      </c>
      <c r="I1027" s="1"/>
      <c r="J1027" s="1"/>
      <c r="K1027" s="1"/>
      <c r="L1027" s="1"/>
      <c r="M1027" s="1"/>
    </row>
    <row r="1028" spans="1:13" ht="90" customHeight="1" x14ac:dyDescent="0.3">
      <c r="A1028" s="8"/>
      <c r="B1028" s="7"/>
      <c r="C1028" s="7"/>
      <c r="D1028" s="7"/>
      <c r="E1028" s="7"/>
      <c r="F1028" s="7"/>
      <c r="G1028" s="7"/>
      <c r="H1028" s="7"/>
      <c r="I1028" s="1"/>
      <c r="J1028" s="1"/>
      <c r="K1028" s="1"/>
      <c r="L1028" s="1"/>
      <c r="M1028" s="1"/>
    </row>
    <row r="1029" spans="1:13" ht="90" customHeight="1" x14ac:dyDescent="0.3">
      <c r="A1029" s="8"/>
      <c r="B1029" s="7"/>
      <c r="C1029" s="7"/>
      <c r="D1029" s="7"/>
      <c r="E1029" s="7"/>
      <c r="F1029" s="7"/>
      <c r="G1029" s="7"/>
      <c r="H1029" s="7"/>
      <c r="I1029" s="1"/>
      <c r="J1029" s="1"/>
      <c r="K1029" s="1"/>
      <c r="L1029" s="1"/>
      <c r="M1029" s="1"/>
    </row>
    <row r="1030" spans="1:13" ht="90" customHeight="1" x14ac:dyDescent="0.3">
      <c r="A1030" s="8"/>
      <c r="B1030" s="7"/>
      <c r="C1030" s="7"/>
      <c r="D1030" s="7"/>
      <c r="E1030" s="7"/>
      <c r="F1030" s="7"/>
      <c r="G1030" s="7"/>
      <c r="H1030" s="7"/>
      <c r="I1030" s="1"/>
      <c r="J1030" s="1"/>
      <c r="K1030" s="1"/>
      <c r="L1030" s="1"/>
      <c r="M1030" s="1"/>
    </row>
    <row r="1031" spans="1:13" ht="90" customHeight="1" x14ac:dyDescent="0.3">
      <c r="A1031" s="8"/>
      <c r="B1031" s="7"/>
      <c r="C1031" s="7"/>
      <c r="D1031" s="7"/>
      <c r="E1031" s="7"/>
      <c r="F1031" s="7"/>
      <c r="G1031" s="7"/>
      <c r="H1031" s="7"/>
      <c r="I1031" s="1"/>
      <c r="J1031" s="1"/>
      <c r="K1031" s="1"/>
      <c r="L1031" s="1"/>
      <c r="M1031" s="1"/>
    </row>
    <row r="1032" spans="1:13" ht="90" customHeight="1" x14ac:dyDescent="0.3">
      <c r="A1032" s="8">
        <v>333</v>
      </c>
      <c r="B1032" s="8" t="s">
        <v>1205</v>
      </c>
      <c r="C1032" s="8" t="s">
        <v>131</v>
      </c>
      <c r="D1032" s="8" t="s">
        <v>247</v>
      </c>
      <c r="E1032" s="6" t="s">
        <v>17</v>
      </c>
      <c r="F1032" s="6" t="s">
        <v>18</v>
      </c>
      <c r="G1032" s="8" t="s">
        <v>1206</v>
      </c>
      <c r="H1032" s="8" t="s">
        <v>1207</v>
      </c>
      <c r="I1032" s="4" t="s">
        <v>291</v>
      </c>
      <c r="J1032" s="4">
        <v>0.91416752338409424</v>
      </c>
      <c r="K1032" s="4" t="s">
        <v>22</v>
      </c>
      <c r="L1032" s="4" t="s">
        <v>131</v>
      </c>
      <c r="M1032" s="4">
        <v>7</v>
      </c>
    </row>
    <row r="1033" spans="1:13" ht="90" customHeight="1" x14ac:dyDescent="0.3">
      <c r="A1033" s="8"/>
      <c r="B1033" s="7"/>
      <c r="C1033" s="7"/>
      <c r="D1033" s="7"/>
      <c r="E1033" s="7"/>
      <c r="F1033" s="7"/>
      <c r="G1033" s="7"/>
      <c r="H1033" s="7"/>
      <c r="I1033" s="1"/>
      <c r="J1033" s="1"/>
      <c r="K1033" s="1"/>
      <c r="L1033" s="1"/>
      <c r="M1033" s="1"/>
    </row>
    <row r="1034" spans="1:13" ht="90" customHeight="1" x14ac:dyDescent="0.3">
      <c r="A1034" s="8"/>
      <c r="B1034" s="7"/>
      <c r="C1034" s="7"/>
      <c r="D1034" s="7"/>
      <c r="E1034" s="7"/>
      <c r="F1034" s="7"/>
      <c r="G1034" s="7"/>
      <c r="H1034" s="7"/>
      <c r="I1034" s="1"/>
      <c r="J1034" s="1"/>
      <c r="K1034" s="1"/>
      <c r="L1034" s="1"/>
      <c r="M1034" s="1"/>
    </row>
    <row r="1035" spans="1:13" ht="90" customHeight="1" x14ac:dyDescent="0.3">
      <c r="A1035" s="8"/>
      <c r="B1035" s="7"/>
      <c r="C1035" s="7"/>
      <c r="D1035" s="7"/>
      <c r="E1035" s="7"/>
      <c r="F1035" s="7"/>
      <c r="G1035" s="7"/>
      <c r="H1035" s="7"/>
      <c r="I1035" s="1"/>
      <c r="J1035" s="1"/>
      <c r="K1035" s="1"/>
      <c r="L1035" s="1"/>
      <c r="M1035" s="1"/>
    </row>
    <row r="1036" spans="1:13" ht="90" customHeight="1" x14ac:dyDescent="0.3">
      <c r="A1036" s="8"/>
      <c r="B1036" s="7"/>
      <c r="C1036" s="7"/>
      <c r="D1036" s="7"/>
      <c r="E1036" s="7"/>
      <c r="F1036" s="7"/>
      <c r="G1036" s="7"/>
      <c r="H1036" s="7"/>
      <c r="I1036" s="1"/>
      <c r="J1036" s="1"/>
      <c r="K1036" s="1"/>
      <c r="L1036" s="1"/>
      <c r="M1036" s="1"/>
    </row>
    <row r="1037" spans="1:13" ht="90" customHeight="1" x14ac:dyDescent="0.3">
      <c r="A1037" s="8">
        <v>334</v>
      </c>
      <c r="B1037" s="8" t="s">
        <v>1208</v>
      </c>
      <c r="C1037" s="8" t="s">
        <v>527</v>
      </c>
      <c r="D1037" s="8" t="s">
        <v>99</v>
      </c>
      <c r="E1037" s="6" t="s">
        <v>17</v>
      </c>
      <c r="F1037" s="6" t="s">
        <v>18</v>
      </c>
      <c r="G1037" s="8" t="s">
        <v>1209</v>
      </c>
      <c r="H1037" s="8" t="s">
        <v>1210</v>
      </c>
      <c r="I1037" s="4" t="s">
        <v>530</v>
      </c>
      <c r="J1037" s="4">
        <v>0.99429142475128174</v>
      </c>
      <c r="K1037" s="4" t="s">
        <v>22</v>
      </c>
      <c r="L1037" s="4" t="s">
        <v>527</v>
      </c>
      <c r="M1037" s="4">
        <v>1</v>
      </c>
    </row>
    <row r="1038" spans="1:13" ht="90" customHeight="1" x14ac:dyDescent="0.3">
      <c r="A1038" s="8"/>
      <c r="B1038" s="7"/>
      <c r="C1038" s="7"/>
      <c r="D1038" s="7"/>
      <c r="E1038" s="7"/>
      <c r="F1038" s="7"/>
      <c r="G1038" s="7"/>
      <c r="H1038" s="7"/>
      <c r="I1038" s="1"/>
      <c r="J1038" s="1"/>
      <c r="K1038" s="1"/>
      <c r="L1038" s="1"/>
      <c r="M1038" s="1"/>
    </row>
    <row r="1039" spans="1:13" ht="90" customHeight="1" x14ac:dyDescent="0.3">
      <c r="A1039" s="8"/>
      <c r="B1039" s="7"/>
      <c r="C1039" s="7"/>
      <c r="D1039" s="7"/>
      <c r="E1039" s="7"/>
      <c r="F1039" s="7"/>
      <c r="G1039" s="7"/>
      <c r="H1039" s="7"/>
      <c r="I1039" s="1"/>
      <c r="J1039" s="1"/>
      <c r="K1039" s="1"/>
      <c r="L1039" s="1"/>
      <c r="M1039" s="1"/>
    </row>
    <row r="1040" spans="1:13" ht="90" customHeight="1" x14ac:dyDescent="0.3">
      <c r="A1040" s="8"/>
      <c r="B1040" s="7"/>
      <c r="C1040" s="7"/>
      <c r="D1040" s="7"/>
      <c r="E1040" s="7"/>
      <c r="F1040" s="7"/>
      <c r="G1040" s="7"/>
      <c r="H1040" s="7"/>
      <c r="I1040" s="1"/>
      <c r="J1040" s="1"/>
      <c r="K1040" s="1"/>
      <c r="L1040" s="1"/>
      <c r="M1040" s="1"/>
    </row>
    <row r="1041" spans="1:13" ht="90" customHeight="1" x14ac:dyDescent="0.3">
      <c r="A1041" s="8"/>
      <c r="B1041" s="7"/>
      <c r="C1041" s="7"/>
      <c r="D1041" s="7"/>
      <c r="E1041" s="7"/>
      <c r="F1041" s="7"/>
      <c r="G1041" s="7"/>
      <c r="H1041" s="7"/>
      <c r="I1041" s="1"/>
      <c r="J1041" s="1"/>
      <c r="K1041" s="1"/>
      <c r="L1041" s="1"/>
      <c r="M1041" s="1"/>
    </row>
    <row r="1042" spans="1:13" ht="90" customHeight="1" x14ac:dyDescent="0.3">
      <c r="A1042" s="8">
        <v>336</v>
      </c>
      <c r="B1042" s="8" t="s">
        <v>1211</v>
      </c>
      <c r="C1042" s="8" t="s">
        <v>1212</v>
      </c>
      <c r="D1042" s="8" t="s">
        <v>1213</v>
      </c>
      <c r="E1042" s="6" t="s">
        <v>17</v>
      </c>
      <c r="F1042" s="6" t="s">
        <v>18</v>
      </c>
      <c r="G1042" s="8" t="s">
        <v>1214</v>
      </c>
      <c r="H1042" s="8" t="s">
        <v>1215</v>
      </c>
      <c r="I1042" s="4" t="s">
        <v>1216</v>
      </c>
      <c r="J1042" s="4">
        <v>0.99997389316558838</v>
      </c>
      <c r="K1042" s="4" t="s">
        <v>22</v>
      </c>
      <c r="L1042" s="4" t="s">
        <v>1212</v>
      </c>
      <c r="M1042" s="4">
        <v>17</v>
      </c>
    </row>
    <row r="1043" spans="1:13" ht="90" customHeight="1" x14ac:dyDescent="0.3">
      <c r="A1043" s="8"/>
      <c r="B1043" s="7"/>
      <c r="C1043" s="7"/>
      <c r="D1043" s="7"/>
      <c r="E1043" s="7"/>
      <c r="F1043" s="7"/>
      <c r="G1043" s="7"/>
      <c r="H1043" s="7"/>
      <c r="I1043" s="2" t="s">
        <v>1217</v>
      </c>
      <c r="J1043" s="2">
        <v>0.95427936315536499</v>
      </c>
      <c r="K1043" s="2" t="s">
        <v>22</v>
      </c>
      <c r="L1043" s="2" t="s">
        <v>1212</v>
      </c>
      <c r="M1043" s="2">
        <v>12</v>
      </c>
    </row>
    <row r="1044" spans="1:13" ht="90" customHeight="1" x14ac:dyDescent="0.3">
      <c r="A1044" s="8"/>
      <c r="B1044" s="7"/>
      <c r="C1044" s="7"/>
      <c r="D1044" s="7"/>
      <c r="E1044" s="7"/>
      <c r="F1044" s="7"/>
      <c r="G1044" s="7"/>
      <c r="H1044" s="7"/>
      <c r="I1044" s="2" t="s">
        <v>1218</v>
      </c>
      <c r="J1044" s="2">
        <v>0.94388073682785034</v>
      </c>
      <c r="K1044" s="2" t="s">
        <v>22</v>
      </c>
      <c r="L1044" s="2" t="s">
        <v>1212</v>
      </c>
      <c r="M1044" s="2">
        <v>1</v>
      </c>
    </row>
    <row r="1045" spans="1:13" ht="90" customHeight="1" x14ac:dyDescent="0.3">
      <c r="A1045" s="8"/>
      <c r="B1045" s="7"/>
      <c r="C1045" s="7"/>
      <c r="D1045" s="7"/>
      <c r="E1045" s="7"/>
      <c r="F1045" s="7"/>
      <c r="G1045" s="7"/>
      <c r="H1045" s="7"/>
      <c r="I1045" s="1" t="s">
        <v>1219</v>
      </c>
      <c r="J1045" s="1">
        <v>0.91289138793945313</v>
      </c>
      <c r="K1045" s="1" t="s">
        <v>22</v>
      </c>
      <c r="L1045" s="1" t="s">
        <v>1212</v>
      </c>
      <c r="M1045" s="1">
        <v>10</v>
      </c>
    </row>
    <row r="1046" spans="1:13" ht="90" customHeight="1" x14ac:dyDescent="0.3">
      <c r="A1046" s="8"/>
      <c r="B1046" s="7"/>
      <c r="C1046" s="7"/>
      <c r="D1046" s="7"/>
      <c r="E1046" s="7"/>
      <c r="F1046" s="7"/>
      <c r="G1046" s="7"/>
      <c r="H1046" s="7"/>
      <c r="I1046" s="1" t="s">
        <v>1220</v>
      </c>
      <c r="J1046" s="1">
        <v>0.89540469646453857</v>
      </c>
      <c r="K1046" s="1" t="s">
        <v>76</v>
      </c>
      <c r="L1046" s="1" t="s">
        <v>1221</v>
      </c>
      <c r="M1046" s="1">
        <v>1</v>
      </c>
    </row>
    <row r="1047" spans="1:13" ht="90" customHeight="1" x14ac:dyDescent="0.3">
      <c r="A1047" s="8">
        <v>338</v>
      </c>
      <c r="B1047" s="8" t="s">
        <v>1222</v>
      </c>
      <c r="C1047" s="8" t="s">
        <v>562</v>
      </c>
      <c r="D1047" s="8" t="s">
        <v>99</v>
      </c>
      <c r="E1047" s="6" t="s">
        <v>17</v>
      </c>
      <c r="F1047" s="6" t="s">
        <v>18</v>
      </c>
      <c r="G1047" s="8" t="s">
        <v>1223</v>
      </c>
      <c r="H1047" s="8" t="s">
        <v>1224</v>
      </c>
      <c r="I1047" s="4" t="s">
        <v>724</v>
      </c>
      <c r="J1047" s="4">
        <v>0.99656468629837036</v>
      </c>
      <c r="K1047" s="4" t="s">
        <v>22</v>
      </c>
      <c r="L1047" s="4" t="s">
        <v>562</v>
      </c>
      <c r="M1047" s="4">
        <v>1</v>
      </c>
    </row>
    <row r="1048" spans="1:13" ht="90" customHeight="1" x14ac:dyDescent="0.3">
      <c r="A1048" s="8"/>
      <c r="B1048" s="7"/>
      <c r="C1048" s="7"/>
      <c r="D1048" s="7"/>
      <c r="E1048" s="7"/>
      <c r="F1048" s="7"/>
      <c r="G1048" s="7"/>
      <c r="H1048" s="7"/>
      <c r="I1048" s="1" t="s">
        <v>1225</v>
      </c>
      <c r="J1048" s="1">
        <v>0.74283200737525168</v>
      </c>
      <c r="K1048" s="1" t="s">
        <v>22</v>
      </c>
      <c r="L1048" s="1" t="s">
        <v>562</v>
      </c>
      <c r="M1048" s="1">
        <v>2</v>
      </c>
    </row>
    <row r="1049" spans="1:13" ht="90" customHeight="1" x14ac:dyDescent="0.3">
      <c r="A1049" s="8"/>
      <c r="B1049" s="7"/>
      <c r="C1049" s="7"/>
      <c r="D1049" s="7"/>
      <c r="E1049" s="7"/>
      <c r="F1049" s="7"/>
      <c r="G1049" s="7"/>
      <c r="H1049" s="7"/>
      <c r="I1049" s="1"/>
      <c r="J1049" s="1"/>
      <c r="K1049" s="1"/>
      <c r="L1049" s="1"/>
      <c r="M1049" s="1"/>
    </row>
    <row r="1050" spans="1:13" ht="90" customHeight="1" x14ac:dyDescent="0.3">
      <c r="A1050" s="8"/>
      <c r="B1050" s="7"/>
      <c r="C1050" s="7"/>
      <c r="D1050" s="7"/>
      <c r="E1050" s="7"/>
      <c r="F1050" s="7"/>
      <c r="G1050" s="7"/>
      <c r="H1050" s="7"/>
      <c r="I1050" s="1"/>
      <c r="J1050" s="1"/>
      <c r="K1050" s="1"/>
      <c r="L1050" s="1"/>
      <c r="M1050" s="1"/>
    </row>
    <row r="1051" spans="1:13" ht="90" customHeight="1" x14ac:dyDescent="0.3">
      <c r="A1051" s="8"/>
      <c r="B1051" s="7"/>
      <c r="C1051" s="7"/>
      <c r="D1051" s="7"/>
      <c r="E1051" s="7"/>
      <c r="F1051" s="7"/>
      <c r="G1051" s="7"/>
      <c r="H1051" s="7"/>
      <c r="I1051" s="1"/>
      <c r="J1051" s="1"/>
      <c r="K1051" s="1"/>
      <c r="L1051" s="1"/>
      <c r="M1051" s="1"/>
    </row>
    <row r="1052" spans="1:13" ht="90" customHeight="1" x14ac:dyDescent="0.3">
      <c r="A1052" s="8">
        <v>340</v>
      </c>
      <c r="B1052" s="8" t="s">
        <v>1226</v>
      </c>
      <c r="C1052" s="8" t="s">
        <v>596</v>
      </c>
      <c r="D1052" s="8" t="s">
        <v>1227</v>
      </c>
      <c r="E1052" s="6" t="s">
        <v>17</v>
      </c>
      <c r="F1052" s="6" t="s">
        <v>18</v>
      </c>
      <c r="G1052" s="8" t="s">
        <v>1228</v>
      </c>
      <c r="H1052" s="8" t="s">
        <v>1229</v>
      </c>
      <c r="I1052" s="4" t="s">
        <v>1230</v>
      </c>
      <c r="J1052" s="4">
        <v>0.99998974800109863</v>
      </c>
      <c r="K1052" s="4" t="s">
        <v>22</v>
      </c>
      <c r="L1052" s="4" t="s">
        <v>596</v>
      </c>
      <c r="M1052" s="4">
        <v>169</v>
      </c>
    </row>
    <row r="1053" spans="1:13" ht="90" customHeight="1" x14ac:dyDescent="0.3">
      <c r="A1053" s="8"/>
      <c r="B1053" s="7"/>
      <c r="C1053" s="7"/>
      <c r="D1053" s="7"/>
      <c r="E1053" s="7"/>
      <c r="F1053" s="7"/>
      <c r="G1053" s="7"/>
      <c r="H1053" s="7"/>
      <c r="I1053" s="1"/>
      <c r="J1053" s="1"/>
      <c r="K1053" s="1"/>
      <c r="L1053" s="1"/>
      <c r="M1053" s="1"/>
    </row>
    <row r="1054" spans="1:13" ht="90" customHeight="1" x14ac:dyDescent="0.3">
      <c r="A1054" s="8"/>
      <c r="B1054" s="7"/>
      <c r="C1054" s="7"/>
      <c r="D1054" s="7"/>
      <c r="E1054" s="7"/>
      <c r="F1054" s="7"/>
      <c r="G1054" s="7"/>
      <c r="H1054" s="7"/>
      <c r="I1054" s="1"/>
      <c r="J1054" s="1"/>
      <c r="K1054" s="1"/>
      <c r="L1054" s="1"/>
      <c r="M1054" s="1"/>
    </row>
    <row r="1055" spans="1:13" ht="90" customHeight="1" x14ac:dyDescent="0.3">
      <c r="A1055" s="8"/>
      <c r="B1055" s="7"/>
      <c r="C1055" s="7"/>
      <c r="D1055" s="7"/>
      <c r="E1055" s="7"/>
      <c r="F1055" s="7"/>
      <c r="G1055" s="7"/>
      <c r="H1055" s="7"/>
      <c r="I1055" s="1"/>
      <c r="J1055" s="1"/>
      <c r="K1055" s="1"/>
      <c r="L1055" s="1"/>
      <c r="M1055" s="1"/>
    </row>
    <row r="1056" spans="1:13" ht="90" customHeight="1" x14ac:dyDescent="0.3">
      <c r="A1056" s="8"/>
      <c r="B1056" s="7"/>
      <c r="C1056" s="7"/>
      <c r="D1056" s="7"/>
      <c r="E1056" s="7"/>
      <c r="F1056" s="7"/>
      <c r="G1056" s="7"/>
      <c r="H1056" s="7"/>
      <c r="I1056" s="1"/>
      <c r="J1056" s="1"/>
      <c r="K1056" s="1"/>
      <c r="L1056" s="1"/>
      <c r="M1056" s="1"/>
    </row>
    <row r="1057" spans="1:13" ht="90" customHeight="1" x14ac:dyDescent="0.3">
      <c r="A1057" s="8">
        <v>341</v>
      </c>
      <c r="B1057" s="8" t="s">
        <v>1231</v>
      </c>
      <c r="C1057" s="8" t="s">
        <v>353</v>
      </c>
      <c r="D1057" s="8" t="s">
        <v>1232</v>
      </c>
      <c r="E1057" s="6" t="s">
        <v>93</v>
      </c>
      <c r="F1057" s="6" t="s">
        <v>94</v>
      </c>
      <c r="G1057" s="8" t="s">
        <v>1233</v>
      </c>
      <c r="H1057" s="8" t="s">
        <v>1234</v>
      </c>
      <c r="I1057" s="2" t="s">
        <v>1235</v>
      </c>
      <c r="J1057" s="2">
        <v>0.71674066781997681</v>
      </c>
      <c r="K1057" s="2" t="s">
        <v>22</v>
      </c>
      <c r="L1057" s="2" t="s">
        <v>1236</v>
      </c>
      <c r="M1057" s="2">
        <v>225</v>
      </c>
    </row>
    <row r="1058" spans="1:13" ht="90" customHeight="1" x14ac:dyDescent="0.3">
      <c r="A1058" s="8"/>
      <c r="B1058" s="7"/>
      <c r="C1058" s="7"/>
      <c r="D1058" s="7"/>
      <c r="E1058" s="7"/>
      <c r="F1058" s="7"/>
      <c r="G1058" s="7"/>
      <c r="H1058" s="7"/>
      <c r="I1058" s="1"/>
      <c r="J1058" s="1"/>
      <c r="K1058" s="1"/>
      <c r="L1058" s="1"/>
      <c r="M1058" s="1"/>
    </row>
    <row r="1059" spans="1:13" ht="90" customHeight="1" x14ac:dyDescent="0.3">
      <c r="A1059" s="8"/>
      <c r="B1059" s="7"/>
      <c r="C1059" s="7"/>
      <c r="D1059" s="7"/>
      <c r="E1059" s="7"/>
      <c r="F1059" s="7"/>
      <c r="G1059" s="7"/>
      <c r="H1059" s="7"/>
      <c r="I1059" s="1"/>
      <c r="J1059" s="1"/>
      <c r="K1059" s="1"/>
      <c r="L1059" s="1"/>
      <c r="M1059" s="1"/>
    </row>
    <row r="1060" spans="1:13" ht="90" customHeight="1" x14ac:dyDescent="0.3">
      <c r="A1060" s="8"/>
      <c r="B1060" s="7"/>
      <c r="C1060" s="7"/>
      <c r="D1060" s="7"/>
      <c r="E1060" s="7"/>
      <c r="F1060" s="7"/>
      <c r="G1060" s="7"/>
      <c r="H1060" s="7"/>
      <c r="I1060" s="1"/>
      <c r="J1060" s="1"/>
      <c r="K1060" s="1"/>
      <c r="L1060" s="1"/>
      <c r="M1060" s="1"/>
    </row>
    <row r="1061" spans="1:13" ht="90" customHeight="1" x14ac:dyDescent="0.3">
      <c r="A1061" s="8"/>
      <c r="B1061" s="7"/>
      <c r="C1061" s="7"/>
      <c r="D1061" s="7"/>
      <c r="E1061" s="7"/>
      <c r="F1061" s="7"/>
      <c r="G1061" s="7"/>
      <c r="H1061" s="7"/>
      <c r="I1061" s="1"/>
      <c r="J1061" s="1"/>
      <c r="K1061" s="1"/>
      <c r="L1061" s="1"/>
      <c r="M1061" s="1"/>
    </row>
    <row r="1062" spans="1:13" ht="90" customHeight="1" x14ac:dyDescent="0.3">
      <c r="A1062" s="8">
        <v>342</v>
      </c>
      <c r="B1062" s="8" t="s">
        <v>1237</v>
      </c>
      <c r="C1062" s="8" t="s">
        <v>1025</v>
      </c>
      <c r="D1062" s="8" t="s">
        <v>1238</v>
      </c>
      <c r="E1062" s="6" t="s">
        <v>17</v>
      </c>
      <c r="F1062" s="6" t="s">
        <v>18</v>
      </c>
      <c r="G1062" s="8" t="s">
        <v>1239</v>
      </c>
      <c r="H1062" s="8" t="s">
        <v>1240</v>
      </c>
      <c r="I1062" s="2" t="s">
        <v>1241</v>
      </c>
      <c r="J1062" s="2">
        <v>0.97021758556365967</v>
      </c>
      <c r="K1062" s="2" t="s">
        <v>22</v>
      </c>
      <c r="L1062" s="2" t="s">
        <v>340</v>
      </c>
      <c r="M1062" s="2">
        <v>260</v>
      </c>
    </row>
    <row r="1063" spans="1:13" ht="90" customHeight="1" x14ac:dyDescent="0.3">
      <c r="A1063" s="8"/>
      <c r="B1063" s="7"/>
      <c r="C1063" s="7"/>
      <c r="D1063" s="7"/>
      <c r="E1063" s="7"/>
      <c r="F1063" s="7"/>
      <c r="G1063" s="7"/>
      <c r="H1063" s="7"/>
      <c r="I1063" s="2" t="s">
        <v>1242</v>
      </c>
      <c r="J1063" s="2">
        <v>0.96371620893478394</v>
      </c>
      <c r="K1063" s="2" t="s">
        <v>22</v>
      </c>
      <c r="L1063" s="2" t="s">
        <v>340</v>
      </c>
      <c r="M1063" s="2">
        <v>261</v>
      </c>
    </row>
    <row r="1064" spans="1:13" ht="90" customHeight="1" x14ac:dyDescent="0.3">
      <c r="A1064" s="8"/>
      <c r="B1064" s="7"/>
      <c r="C1064" s="7"/>
      <c r="D1064" s="7"/>
      <c r="E1064" s="7"/>
      <c r="F1064" s="7"/>
      <c r="G1064" s="7"/>
      <c r="H1064" s="7"/>
      <c r="I1064" s="4" t="s">
        <v>1243</v>
      </c>
      <c r="J1064" s="4">
        <v>0.92925882339477539</v>
      </c>
      <c r="K1064" s="4" t="s">
        <v>22</v>
      </c>
      <c r="L1064" s="4" t="s">
        <v>1025</v>
      </c>
      <c r="M1064" s="4">
        <v>139</v>
      </c>
    </row>
    <row r="1065" spans="1:13" ht="90" customHeight="1" x14ac:dyDescent="0.3">
      <c r="A1065" s="8"/>
      <c r="B1065" s="7"/>
      <c r="C1065" s="7"/>
      <c r="D1065" s="7"/>
      <c r="E1065" s="7"/>
      <c r="F1065" s="7"/>
      <c r="G1065" s="7"/>
      <c r="H1065" s="7"/>
      <c r="I1065" s="1" t="s">
        <v>1244</v>
      </c>
      <c r="J1065" s="1">
        <v>0.89284604787826538</v>
      </c>
      <c r="K1065" s="1" t="s">
        <v>22</v>
      </c>
      <c r="L1065" s="1" t="s">
        <v>1245</v>
      </c>
      <c r="M1065" s="1">
        <v>16</v>
      </c>
    </row>
    <row r="1066" spans="1:13" ht="90" customHeight="1" x14ac:dyDescent="0.3">
      <c r="A1066" s="8"/>
      <c r="B1066" s="7"/>
      <c r="C1066" s="7"/>
      <c r="D1066" s="7"/>
      <c r="E1066" s="7"/>
      <c r="F1066" s="7"/>
      <c r="G1066" s="7"/>
      <c r="H1066" s="7"/>
      <c r="I1066" s="1" t="s">
        <v>1246</v>
      </c>
      <c r="J1066" s="1">
        <v>0.86083471775054932</v>
      </c>
      <c r="K1066" s="1" t="s">
        <v>76</v>
      </c>
      <c r="L1066" s="1" t="s">
        <v>1247</v>
      </c>
      <c r="M1066" s="1">
        <v>1</v>
      </c>
    </row>
    <row r="1067" spans="1:13" ht="90" customHeight="1" x14ac:dyDescent="0.3">
      <c r="A1067" s="8">
        <v>346</v>
      </c>
      <c r="B1067" s="8" t="s">
        <v>1248</v>
      </c>
      <c r="C1067" s="8" t="s">
        <v>353</v>
      </c>
      <c r="D1067" s="8" t="s">
        <v>1249</v>
      </c>
      <c r="E1067" s="6" t="s">
        <v>17</v>
      </c>
      <c r="F1067" s="6" t="s">
        <v>18</v>
      </c>
      <c r="G1067" s="8" t="s">
        <v>1250</v>
      </c>
      <c r="H1067" s="8" t="s">
        <v>1251</v>
      </c>
      <c r="I1067" s="4" t="s">
        <v>1252</v>
      </c>
      <c r="J1067" s="4">
        <v>0.99672406911849976</v>
      </c>
      <c r="K1067" s="4" t="s">
        <v>22</v>
      </c>
      <c r="L1067" s="4" t="s">
        <v>353</v>
      </c>
      <c r="M1067" s="4">
        <v>404</v>
      </c>
    </row>
    <row r="1068" spans="1:13" ht="90" customHeight="1" x14ac:dyDescent="0.3">
      <c r="A1068" s="8"/>
      <c r="B1068" s="7"/>
      <c r="C1068" s="7"/>
      <c r="D1068" s="7"/>
      <c r="E1068" s="7"/>
      <c r="F1068" s="7"/>
      <c r="G1068" s="7"/>
      <c r="H1068" s="7"/>
      <c r="I1068" s="1"/>
      <c r="J1068" s="1"/>
      <c r="K1068" s="1"/>
      <c r="L1068" s="1"/>
      <c r="M1068" s="1"/>
    </row>
    <row r="1069" spans="1:13" ht="90" customHeight="1" x14ac:dyDescent="0.3">
      <c r="A1069" s="8"/>
      <c r="B1069" s="7"/>
      <c r="C1069" s="7"/>
      <c r="D1069" s="7"/>
      <c r="E1069" s="7"/>
      <c r="F1069" s="7"/>
      <c r="G1069" s="7"/>
      <c r="H1069" s="7"/>
      <c r="I1069" s="1"/>
      <c r="J1069" s="1"/>
      <c r="K1069" s="1"/>
      <c r="L1069" s="1"/>
      <c r="M1069" s="1"/>
    </row>
    <row r="1070" spans="1:13" ht="90" customHeight="1" x14ac:dyDescent="0.3">
      <c r="A1070" s="8"/>
      <c r="B1070" s="7"/>
      <c r="C1070" s="7"/>
      <c r="D1070" s="7"/>
      <c r="E1070" s="7"/>
      <c r="F1070" s="7"/>
      <c r="G1070" s="7"/>
      <c r="H1070" s="7"/>
      <c r="I1070" s="1"/>
      <c r="J1070" s="1"/>
      <c r="K1070" s="1"/>
      <c r="L1070" s="1"/>
      <c r="M1070" s="1"/>
    </row>
    <row r="1071" spans="1:13" ht="90" customHeight="1" x14ac:dyDescent="0.3">
      <c r="A1071" s="8"/>
      <c r="B1071" s="7"/>
      <c r="C1071" s="7"/>
      <c r="D1071" s="7"/>
      <c r="E1071" s="7"/>
      <c r="F1071" s="7"/>
      <c r="G1071" s="7"/>
      <c r="H1071" s="7"/>
      <c r="I1071" s="1"/>
      <c r="J1071" s="1"/>
      <c r="K1071" s="1"/>
      <c r="L1071" s="1"/>
      <c r="M1071" s="1"/>
    </row>
    <row r="1072" spans="1:13" ht="90" customHeight="1" x14ac:dyDescent="0.3">
      <c r="A1072" s="8">
        <v>348</v>
      </c>
      <c r="B1072" s="8" t="s">
        <v>1253</v>
      </c>
      <c r="C1072" s="8" t="s">
        <v>336</v>
      </c>
      <c r="D1072" s="8" t="s">
        <v>609</v>
      </c>
      <c r="E1072" s="6" t="s">
        <v>17</v>
      </c>
      <c r="F1072" s="6" t="s">
        <v>18</v>
      </c>
      <c r="G1072" s="8" t="s">
        <v>1254</v>
      </c>
      <c r="H1072" s="8" t="s">
        <v>1255</v>
      </c>
      <c r="I1072" s="4" t="s">
        <v>1256</v>
      </c>
      <c r="J1072" s="4">
        <v>0.9661325216293335</v>
      </c>
      <c r="K1072" s="4" t="s">
        <v>22</v>
      </c>
      <c r="L1072" s="4" t="s">
        <v>336</v>
      </c>
      <c r="M1072" s="4">
        <v>3</v>
      </c>
    </row>
    <row r="1073" spans="1:13" ht="90" customHeight="1" x14ac:dyDescent="0.3">
      <c r="A1073" s="8"/>
      <c r="B1073" s="7"/>
      <c r="C1073" s="7"/>
      <c r="D1073" s="7"/>
      <c r="E1073" s="7"/>
      <c r="F1073" s="7"/>
      <c r="G1073" s="7"/>
      <c r="H1073" s="7"/>
      <c r="I1073" s="1"/>
      <c r="J1073" s="1"/>
      <c r="K1073" s="1"/>
      <c r="L1073" s="1"/>
      <c r="M1073" s="1"/>
    </row>
    <row r="1074" spans="1:13" ht="90" customHeight="1" x14ac:dyDescent="0.3">
      <c r="A1074" s="8"/>
      <c r="B1074" s="7"/>
      <c r="C1074" s="7"/>
      <c r="D1074" s="7"/>
      <c r="E1074" s="7"/>
      <c r="F1074" s="7"/>
      <c r="G1074" s="7"/>
      <c r="H1074" s="7"/>
      <c r="I1074" s="1"/>
      <c r="J1074" s="1"/>
      <c r="K1074" s="1"/>
      <c r="L1074" s="1"/>
      <c r="M1074" s="1"/>
    </row>
    <row r="1075" spans="1:13" ht="90" customHeight="1" x14ac:dyDescent="0.3">
      <c r="A1075" s="8"/>
      <c r="B1075" s="7"/>
      <c r="C1075" s="7"/>
      <c r="D1075" s="7"/>
      <c r="E1075" s="7"/>
      <c r="F1075" s="7"/>
      <c r="G1075" s="7"/>
      <c r="H1075" s="7"/>
      <c r="I1075" s="1"/>
      <c r="J1075" s="1"/>
      <c r="K1075" s="1"/>
      <c r="L1075" s="1"/>
      <c r="M1075" s="1"/>
    </row>
    <row r="1076" spans="1:13" ht="90" customHeight="1" x14ac:dyDescent="0.3">
      <c r="A1076" s="8"/>
      <c r="B1076" s="7"/>
      <c r="C1076" s="7"/>
      <c r="D1076" s="7"/>
      <c r="E1076" s="7"/>
      <c r="F1076" s="7"/>
      <c r="G1076" s="7"/>
      <c r="H1076" s="7"/>
      <c r="I1076" s="1"/>
      <c r="J1076" s="1"/>
      <c r="K1076" s="1"/>
      <c r="L1076" s="1"/>
      <c r="M1076" s="1"/>
    </row>
    <row r="1077" spans="1:13" ht="90" customHeight="1" x14ac:dyDescent="0.3">
      <c r="A1077" s="8">
        <v>349</v>
      </c>
      <c r="B1077" s="8" t="s">
        <v>1257</v>
      </c>
      <c r="C1077" s="8" t="s">
        <v>346</v>
      </c>
      <c r="D1077" s="8" t="s">
        <v>1258</v>
      </c>
      <c r="E1077" s="6" t="s">
        <v>93</v>
      </c>
      <c r="F1077" s="6" t="s">
        <v>94</v>
      </c>
      <c r="G1077" s="8" t="s">
        <v>1259</v>
      </c>
      <c r="H1077" s="8" t="s">
        <v>1260</v>
      </c>
      <c r="I1077" s="2" t="s">
        <v>1026</v>
      </c>
      <c r="J1077" s="2">
        <v>0.88403463363647461</v>
      </c>
      <c r="K1077" s="2" t="s">
        <v>22</v>
      </c>
      <c r="L1077" s="2" t="s">
        <v>346</v>
      </c>
      <c r="M1077" s="2">
        <v>100</v>
      </c>
    </row>
    <row r="1078" spans="1:13" ht="90" customHeight="1" x14ac:dyDescent="0.3">
      <c r="A1078" s="8"/>
      <c r="B1078" s="7"/>
      <c r="C1078" s="7"/>
      <c r="D1078" s="7"/>
      <c r="E1078" s="7"/>
      <c r="F1078" s="7"/>
      <c r="G1078" s="7"/>
      <c r="H1078" s="7"/>
      <c r="I1078" s="1"/>
      <c r="J1078" s="1"/>
      <c r="K1078" s="1"/>
      <c r="L1078" s="1"/>
      <c r="M1078" s="1"/>
    </row>
    <row r="1079" spans="1:13" ht="90" customHeight="1" x14ac:dyDescent="0.3">
      <c r="A1079" s="8"/>
      <c r="B1079" s="7"/>
      <c r="C1079" s="7"/>
      <c r="D1079" s="7"/>
      <c r="E1079" s="7"/>
      <c r="F1079" s="7"/>
      <c r="G1079" s="7"/>
      <c r="H1079" s="7"/>
      <c r="I1079" s="1"/>
      <c r="J1079" s="1"/>
      <c r="K1079" s="1"/>
      <c r="L1079" s="1"/>
      <c r="M1079" s="1"/>
    </row>
    <row r="1080" spans="1:13" ht="90" customHeight="1" x14ac:dyDescent="0.3">
      <c r="A1080" s="8"/>
      <c r="B1080" s="7"/>
      <c r="C1080" s="7"/>
      <c r="D1080" s="7"/>
      <c r="E1080" s="7"/>
      <c r="F1080" s="7"/>
      <c r="G1080" s="7"/>
      <c r="H1080" s="7"/>
      <c r="I1080" s="1"/>
      <c r="J1080" s="1"/>
      <c r="K1080" s="1"/>
      <c r="L1080" s="1"/>
      <c r="M1080" s="1"/>
    </row>
    <row r="1081" spans="1:13" ht="90" customHeight="1" x14ac:dyDescent="0.3">
      <c r="A1081" s="8"/>
      <c r="B1081" s="7"/>
      <c r="C1081" s="7"/>
      <c r="D1081" s="7"/>
      <c r="E1081" s="7"/>
      <c r="F1081" s="7"/>
      <c r="G1081" s="7"/>
      <c r="H1081" s="7"/>
      <c r="I1081" s="1"/>
      <c r="J1081" s="1"/>
      <c r="K1081" s="1"/>
      <c r="L1081" s="1"/>
      <c r="M1081" s="1"/>
    </row>
    <row r="1082" spans="1:13" ht="90" customHeight="1" x14ac:dyDescent="0.3">
      <c r="A1082" s="8">
        <v>351</v>
      </c>
      <c r="B1082" s="8" t="s">
        <v>1261</v>
      </c>
      <c r="C1082" s="8" t="s">
        <v>1262</v>
      </c>
      <c r="D1082" s="8" t="s">
        <v>1263</v>
      </c>
      <c r="E1082" s="6" t="s">
        <v>17</v>
      </c>
      <c r="F1082" s="6" t="s">
        <v>18</v>
      </c>
      <c r="G1082" s="8" t="s">
        <v>1264</v>
      </c>
      <c r="H1082" s="8" t="s">
        <v>1265</v>
      </c>
      <c r="I1082" s="4" t="s">
        <v>370</v>
      </c>
      <c r="J1082" s="4">
        <v>0.99998331069946289</v>
      </c>
      <c r="K1082" s="4" t="s">
        <v>22</v>
      </c>
      <c r="L1082" s="4" t="s">
        <v>371</v>
      </c>
      <c r="M1082" s="4">
        <v>2</v>
      </c>
    </row>
    <row r="1083" spans="1:13" ht="90" customHeight="1" x14ac:dyDescent="0.3">
      <c r="A1083" s="8"/>
      <c r="B1083" s="7"/>
      <c r="C1083" s="7"/>
      <c r="D1083" s="7"/>
      <c r="E1083" s="7"/>
      <c r="F1083" s="7"/>
      <c r="G1083" s="7"/>
      <c r="H1083" s="7"/>
      <c r="I1083" s="5" t="s">
        <v>1266</v>
      </c>
      <c r="J1083" s="5">
        <v>0.99995982646942139</v>
      </c>
      <c r="K1083" s="5" t="s">
        <v>22</v>
      </c>
      <c r="L1083" s="5" t="s">
        <v>1267</v>
      </c>
      <c r="M1083" s="5">
        <v>1</v>
      </c>
    </row>
    <row r="1084" spans="1:13" ht="90" customHeight="1" x14ac:dyDescent="0.3">
      <c r="A1084" s="8"/>
      <c r="B1084" s="7"/>
      <c r="C1084" s="7"/>
      <c r="D1084" s="7"/>
      <c r="E1084" s="7"/>
      <c r="F1084" s="7"/>
      <c r="G1084" s="7"/>
      <c r="H1084" s="7"/>
      <c r="I1084" s="1"/>
      <c r="J1084" s="1"/>
      <c r="K1084" s="1"/>
      <c r="L1084" s="1"/>
      <c r="M1084" s="1"/>
    </row>
    <row r="1085" spans="1:13" ht="90" customHeight="1" x14ac:dyDescent="0.3">
      <c r="A1085" s="8"/>
      <c r="B1085" s="7"/>
      <c r="C1085" s="7"/>
      <c r="D1085" s="7"/>
      <c r="E1085" s="7"/>
      <c r="F1085" s="7"/>
      <c r="G1085" s="7"/>
      <c r="H1085" s="7"/>
      <c r="I1085" s="1"/>
      <c r="J1085" s="1"/>
      <c r="K1085" s="1"/>
      <c r="L1085" s="1"/>
      <c r="M1085" s="1"/>
    </row>
    <row r="1086" spans="1:13" ht="90" customHeight="1" x14ac:dyDescent="0.3">
      <c r="A1086" s="8"/>
      <c r="B1086" s="7"/>
      <c r="C1086" s="7"/>
      <c r="D1086" s="7"/>
      <c r="E1086" s="7"/>
      <c r="F1086" s="7"/>
      <c r="G1086" s="7"/>
      <c r="H1086" s="7"/>
      <c r="I1086" s="1"/>
      <c r="J1086" s="1"/>
      <c r="K1086" s="1"/>
      <c r="L1086" s="1"/>
      <c r="M1086" s="1"/>
    </row>
    <row r="1087" spans="1:13" ht="90" customHeight="1" x14ac:dyDescent="0.3">
      <c r="A1087" s="8">
        <v>352</v>
      </c>
      <c r="B1087" s="8" t="s">
        <v>1268</v>
      </c>
      <c r="C1087" s="8" t="s">
        <v>336</v>
      </c>
      <c r="D1087" s="8" t="s">
        <v>99</v>
      </c>
      <c r="E1087" s="6" t="s">
        <v>17</v>
      </c>
      <c r="F1087" s="6" t="s">
        <v>18</v>
      </c>
      <c r="G1087" s="8" t="s">
        <v>1269</v>
      </c>
      <c r="H1087" s="8" t="s">
        <v>1270</v>
      </c>
      <c r="I1087" s="4" t="s">
        <v>807</v>
      </c>
      <c r="J1087" s="4">
        <v>0.99009013175964355</v>
      </c>
      <c r="K1087" s="4" t="s">
        <v>22</v>
      </c>
      <c r="L1087" s="4" t="s">
        <v>336</v>
      </c>
      <c r="M1087" s="4">
        <v>1</v>
      </c>
    </row>
    <row r="1088" spans="1:13" ht="90" customHeight="1" x14ac:dyDescent="0.3">
      <c r="A1088" s="8"/>
      <c r="B1088" s="7"/>
      <c r="C1088" s="7"/>
      <c r="D1088" s="7"/>
      <c r="E1088" s="7"/>
      <c r="F1088" s="7"/>
      <c r="G1088" s="7"/>
      <c r="H1088" s="7"/>
      <c r="I1088" s="1"/>
      <c r="J1088" s="1"/>
      <c r="K1088" s="1"/>
      <c r="L1088" s="1"/>
      <c r="M1088" s="1"/>
    </row>
    <row r="1089" spans="1:13" ht="90" customHeight="1" x14ac:dyDescent="0.3">
      <c r="A1089" s="8"/>
      <c r="B1089" s="7"/>
      <c r="C1089" s="7"/>
      <c r="D1089" s="7"/>
      <c r="E1089" s="7"/>
      <c r="F1089" s="7"/>
      <c r="G1089" s="7"/>
      <c r="H1089" s="7"/>
      <c r="I1089" s="1"/>
      <c r="J1089" s="1"/>
      <c r="K1089" s="1"/>
      <c r="L1089" s="1"/>
      <c r="M1089" s="1"/>
    </row>
    <row r="1090" spans="1:13" ht="90" customHeight="1" x14ac:dyDescent="0.3">
      <c r="A1090" s="8"/>
      <c r="B1090" s="7"/>
      <c r="C1090" s="7"/>
      <c r="D1090" s="7"/>
      <c r="E1090" s="7"/>
      <c r="F1090" s="7"/>
      <c r="G1090" s="7"/>
      <c r="H1090" s="7"/>
      <c r="I1090" s="1"/>
      <c r="J1090" s="1"/>
      <c r="K1090" s="1"/>
      <c r="L1090" s="1"/>
      <c r="M1090" s="1"/>
    </row>
    <row r="1091" spans="1:13" ht="90" customHeight="1" x14ac:dyDescent="0.3">
      <c r="A1091" s="8"/>
      <c r="B1091" s="7"/>
      <c r="C1091" s="7"/>
      <c r="D1091" s="7"/>
      <c r="E1091" s="7"/>
      <c r="F1091" s="7"/>
      <c r="G1091" s="7"/>
      <c r="H1091" s="7"/>
      <c r="I1091" s="1"/>
      <c r="J1091" s="1"/>
      <c r="K1091" s="1"/>
      <c r="L1091" s="1"/>
      <c r="M1091" s="1"/>
    </row>
    <row r="1092" spans="1:13" ht="90" customHeight="1" x14ac:dyDescent="0.3">
      <c r="A1092" s="8">
        <v>353</v>
      </c>
      <c r="B1092" s="8" t="s">
        <v>1271</v>
      </c>
      <c r="C1092" s="8" t="s">
        <v>98</v>
      </c>
      <c r="D1092" s="8" t="s">
        <v>99</v>
      </c>
      <c r="E1092" s="6" t="s">
        <v>17</v>
      </c>
      <c r="F1092" s="6" t="s">
        <v>18</v>
      </c>
      <c r="G1092" s="8" t="s">
        <v>1272</v>
      </c>
      <c r="H1092" s="8" t="s">
        <v>1273</v>
      </c>
      <c r="I1092" s="4" t="s">
        <v>102</v>
      </c>
      <c r="J1092" s="4">
        <v>0.96748816967010476</v>
      </c>
      <c r="K1092" s="4" t="s">
        <v>22</v>
      </c>
      <c r="L1092" s="4" t="s">
        <v>98</v>
      </c>
      <c r="M1092" s="4">
        <v>1</v>
      </c>
    </row>
    <row r="1093" spans="1:13" ht="90" customHeight="1" x14ac:dyDescent="0.3">
      <c r="A1093" s="8"/>
      <c r="B1093" s="7"/>
      <c r="C1093" s="7"/>
      <c r="D1093" s="7"/>
      <c r="E1093" s="7"/>
      <c r="F1093" s="7"/>
      <c r="G1093" s="7"/>
      <c r="H1093" s="7"/>
      <c r="I1093" s="1"/>
      <c r="J1093" s="1"/>
      <c r="K1093" s="1"/>
      <c r="L1093" s="1"/>
      <c r="M1093" s="1"/>
    </row>
    <row r="1094" spans="1:13" ht="90" customHeight="1" x14ac:dyDescent="0.3">
      <c r="A1094" s="8"/>
      <c r="B1094" s="7"/>
      <c r="C1094" s="7"/>
      <c r="D1094" s="7"/>
      <c r="E1094" s="7"/>
      <c r="F1094" s="7"/>
      <c r="G1094" s="7"/>
      <c r="H1094" s="7"/>
      <c r="I1094" s="1"/>
      <c r="J1094" s="1"/>
      <c r="K1094" s="1"/>
      <c r="L1094" s="1"/>
      <c r="M1094" s="1"/>
    </row>
    <row r="1095" spans="1:13" ht="90" customHeight="1" x14ac:dyDescent="0.3">
      <c r="A1095" s="8"/>
      <c r="B1095" s="7"/>
      <c r="C1095" s="7"/>
      <c r="D1095" s="7"/>
      <c r="E1095" s="7"/>
      <c r="F1095" s="7"/>
      <c r="G1095" s="7"/>
      <c r="H1095" s="7"/>
      <c r="I1095" s="1"/>
      <c r="J1095" s="1"/>
      <c r="K1095" s="1"/>
      <c r="L1095" s="1"/>
      <c r="M1095" s="1"/>
    </row>
    <row r="1096" spans="1:13" ht="90" customHeight="1" x14ac:dyDescent="0.3">
      <c r="A1096" s="8"/>
      <c r="B1096" s="7"/>
      <c r="C1096" s="7"/>
      <c r="D1096" s="7"/>
      <c r="E1096" s="7"/>
      <c r="F1096" s="7"/>
      <c r="G1096" s="7"/>
      <c r="H1096" s="7"/>
      <c r="I1096" s="1"/>
      <c r="J1096" s="1"/>
      <c r="K1096" s="1"/>
      <c r="L1096" s="1"/>
      <c r="M1096" s="1"/>
    </row>
    <row r="1097" spans="1:13" ht="90" customHeight="1" x14ac:dyDescent="0.3">
      <c r="A1097" s="8">
        <v>358</v>
      </c>
      <c r="B1097" s="8" t="s">
        <v>1274</v>
      </c>
      <c r="C1097" s="8" t="s">
        <v>346</v>
      </c>
      <c r="D1097" s="8" t="s">
        <v>1275</v>
      </c>
      <c r="E1097" s="6" t="s">
        <v>17</v>
      </c>
      <c r="F1097" s="6" t="s">
        <v>18</v>
      </c>
      <c r="G1097" s="8" t="s">
        <v>1276</v>
      </c>
      <c r="H1097" s="8" t="s">
        <v>1277</v>
      </c>
      <c r="I1097" s="4" t="s">
        <v>1278</v>
      </c>
      <c r="J1097" s="4">
        <v>0.99807965755462646</v>
      </c>
      <c r="K1097" s="4" t="s">
        <v>22</v>
      </c>
      <c r="L1097" s="4" t="s">
        <v>346</v>
      </c>
      <c r="M1097" s="4">
        <v>18</v>
      </c>
    </row>
    <row r="1098" spans="1:13" ht="90" customHeight="1" x14ac:dyDescent="0.3">
      <c r="A1098" s="8"/>
      <c r="B1098" s="7"/>
      <c r="C1098" s="7"/>
      <c r="D1098" s="7"/>
      <c r="E1098" s="7"/>
      <c r="F1098" s="7"/>
      <c r="G1098" s="7"/>
      <c r="H1098" s="7"/>
      <c r="I1098" s="4" t="s">
        <v>879</v>
      </c>
      <c r="J1098" s="4">
        <v>0.99761283389292899</v>
      </c>
      <c r="K1098" s="4" t="s">
        <v>22</v>
      </c>
      <c r="L1098" s="4" t="s">
        <v>346</v>
      </c>
      <c r="M1098" s="4">
        <v>3</v>
      </c>
    </row>
    <row r="1099" spans="1:13" ht="90" customHeight="1" x14ac:dyDescent="0.3">
      <c r="A1099" s="8"/>
      <c r="B1099" s="7"/>
      <c r="C1099" s="7"/>
      <c r="D1099" s="7"/>
      <c r="E1099" s="7"/>
      <c r="F1099" s="7"/>
      <c r="G1099" s="7"/>
      <c r="H1099" s="7"/>
      <c r="I1099" s="4" t="s">
        <v>1279</v>
      </c>
      <c r="J1099" s="4">
        <v>0.98236173391342163</v>
      </c>
      <c r="K1099" s="4" t="s">
        <v>22</v>
      </c>
      <c r="L1099" s="4" t="s">
        <v>346</v>
      </c>
      <c r="M1099" s="4">
        <v>17</v>
      </c>
    </row>
    <row r="1100" spans="1:13" ht="90" customHeight="1" x14ac:dyDescent="0.3">
      <c r="A1100" s="8"/>
      <c r="B1100" s="7"/>
      <c r="C1100" s="7"/>
      <c r="D1100" s="7"/>
      <c r="E1100" s="7"/>
      <c r="F1100" s="7"/>
      <c r="G1100" s="7"/>
      <c r="H1100" s="7"/>
      <c r="I1100" s="1"/>
      <c r="J1100" s="1"/>
      <c r="K1100" s="1"/>
      <c r="L1100" s="1"/>
      <c r="M1100" s="1"/>
    </row>
    <row r="1101" spans="1:13" ht="90" customHeight="1" x14ac:dyDescent="0.3">
      <c r="A1101" s="8"/>
      <c r="B1101" s="7"/>
      <c r="C1101" s="7"/>
      <c r="D1101" s="7"/>
      <c r="E1101" s="7"/>
      <c r="F1101" s="7"/>
      <c r="G1101" s="7"/>
      <c r="H1101" s="7"/>
      <c r="I1101" s="1"/>
      <c r="J1101" s="1"/>
      <c r="K1101" s="1"/>
      <c r="L1101" s="1"/>
      <c r="M1101" s="1"/>
    </row>
    <row r="1102" spans="1:13" ht="90" customHeight="1" x14ac:dyDescent="0.3">
      <c r="A1102" s="8">
        <v>359</v>
      </c>
      <c r="B1102" s="8" t="s">
        <v>1280</v>
      </c>
      <c r="C1102" s="8" t="s">
        <v>371</v>
      </c>
      <c r="D1102" s="8" t="s">
        <v>1304</v>
      </c>
      <c r="E1102" s="6" t="s">
        <v>1305</v>
      </c>
      <c r="F1102" s="6" t="s">
        <v>1306</v>
      </c>
      <c r="G1102" s="8" t="s">
        <v>1281</v>
      </c>
      <c r="H1102" s="8" t="s">
        <v>1282</v>
      </c>
      <c r="I1102" s="9" t="s">
        <v>1283</v>
      </c>
      <c r="J1102" s="9">
        <v>0.99995601177215576</v>
      </c>
      <c r="K1102" s="9" t="s">
        <v>22</v>
      </c>
      <c r="L1102" s="9" t="s">
        <v>371</v>
      </c>
      <c r="M1102" s="9">
        <v>4</v>
      </c>
    </row>
    <row r="1103" spans="1:13" ht="90" customHeight="1" x14ac:dyDescent="0.3">
      <c r="A1103" s="8"/>
      <c r="B1103" s="7"/>
      <c r="C1103" s="7"/>
      <c r="D1103" s="7"/>
      <c r="E1103" s="7"/>
      <c r="F1103" s="7"/>
      <c r="G1103" s="7"/>
      <c r="H1103" s="7"/>
      <c r="I1103" s="10" t="s">
        <v>370</v>
      </c>
      <c r="J1103" s="10">
        <v>0.99951660633087158</v>
      </c>
      <c r="K1103" s="10" t="s">
        <v>22</v>
      </c>
      <c r="L1103" s="10" t="s">
        <v>371</v>
      </c>
      <c r="M1103" s="10">
        <v>2</v>
      </c>
    </row>
    <row r="1104" spans="1:13" ht="90" customHeight="1" x14ac:dyDescent="0.3">
      <c r="A1104" s="8"/>
      <c r="B1104" s="7"/>
      <c r="C1104" s="7"/>
      <c r="D1104" s="7"/>
      <c r="E1104" s="7"/>
      <c r="F1104" s="7"/>
      <c r="G1104" s="7"/>
      <c r="H1104" s="7"/>
      <c r="I1104" s="1"/>
      <c r="J1104" s="1"/>
      <c r="K1104" s="1"/>
      <c r="L1104" s="1"/>
      <c r="M1104" s="1"/>
    </row>
    <row r="1105" spans="1:13" ht="90" customHeight="1" x14ac:dyDescent="0.3">
      <c r="A1105" s="8"/>
      <c r="B1105" s="7"/>
      <c r="C1105" s="7"/>
      <c r="D1105" s="7"/>
      <c r="E1105" s="7"/>
      <c r="F1105" s="7"/>
      <c r="G1105" s="7"/>
      <c r="H1105" s="7"/>
      <c r="I1105" s="1"/>
      <c r="J1105" s="1"/>
      <c r="K1105" s="1"/>
      <c r="L1105" s="1"/>
      <c r="M1105" s="1"/>
    </row>
    <row r="1106" spans="1:13" ht="90" customHeight="1" x14ac:dyDescent="0.3">
      <c r="A1106" s="8"/>
      <c r="B1106" s="7"/>
      <c r="C1106" s="7"/>
      <c r="D1106" s="7"/>
      <c r="E1106" s="7"/>
      <c r="F1106" s="7"/>
      <c r="G1106" s="7"/>
      <c r="H1106" s="7"/>
      <c r="I1106" s="1"/>
      <c r="J1106" s="1"/>
      <c r="K1106" s="1"/>
      <c r="L1106" s="1"/>
      <c r="M1106" s="1"/>
    </row>
    <row r="1107" spans="1:13" ht="90" customHeight="1" x14ac:dyDescent="0.3">
      <c r="A1107" s="8">
        <v>361</v>
      </c>
      <c r="B1107" s="8" t="s">
        <v>641</v>
      </c>
      <c r="C1107" s="8" t="s">
        <v>642</v>
      </c>
      <c r="D1107" s="8" t="s">
        <v>643</v>
      </c>
      <c r="E1107" s="6" t="s">
        <v>17</v>
      </c>
      <c r="F1107" s="6" t="s">
        <v>18</v>
      </c>
      <c r="G1107" s="8" t="s">
        <v>1284</v>
      </c>
      <c r="H1107" s="8" t="s">
        <v>645</v>
      </c>
      <c r="I1107" s="4" t="s">
        <v>43</v>
      </c>
      <c r="J1107" s="4">
        <v>0.99126605341690588</v>
      </c>
      <c r="K1107" s="4" t="s">
        <v>22</v>
      </c>
      <c r="L1107" s="4" t="s">
        <v>38</v>
      </c>
      <c r="M1107" s="4">
        <v>3</v>
      </c>
    </row>
    <row r="1108" spans="1:13" ht="90" customHeight="1" x14ac:dyDescent="0.3">
      <c r="A1108" s="8"/>
      <c r="B1108" s="7"/>
      <c r="C1108" s="7"/>
      <c r="D1108" s="7"/>
      <c r="E1108" s="7"/>
      <c r="F1108" s="7"/>
      <c r="G1108" s="7"/>
      <c r="H1108" s="7"/>
      <c r="I1108" s="4" t="s">
        <v>42</v>
      </c>
      <c r="J1108" s="4">
        <v>0.991054304204534</v>
      </c>
      <c r="K1108" s="4" t="s">
        <v>22</v>
      </c>
      <c r="L1108" s="4" t="s">
        <v>38</v>
      </c>
      <c r="M1108" s="4">
        <v>1</v>
      </c>
    </row>
    <row r="1109" spans="1:13" ht="90" customHeight="1" x14ac:dyDescent="0.3">
      <c r="A1109" s="8"/>
      <c r="B1109" s="7"/>
      <c r="C1109" s="7"/>
      <c r="D1109" s="7"/>
      <c r="E1109" s="7"/>
      <c r="F1109" s="7"/>
      <c r="G1109" s="7"/>
      <c r="H1109" s="7"/>
      <c r="I1109" s="4" t="s">
        <v>296</v>
      </c>
      <c r="J1109" s="4">
        <v>0.92826455858766943</v>
      </c>
      <c r="K1109" s="4" t="s">
        <v>22</v>
      </c>
      <c r="L1109" s="4" t="s">
        <v>85</v>
      </c>
      <c r="M1109" s="4">
        <v>5</v>
      </c>
    </row>
    <row r="1110" spans="1:13" ht="90" customHeight="1" x14ac:dyDescent="0.3">
      <c r="A1110" s="8"/>
      <c r="B1110" s="7"/>
      <c r="C1110" s="7"/>
      <c r="D1110" s="7"/>
      <c r="E1110" s="7"/>
      <c r="F1110" s="7"/>
      <c r="G1110" s="7"/>
      <c r="H1110" s="7"/>
      <c r="I1110" s="5" t="s">
        <v>44</v>
      </c>
      <c r="J1110" s="5">
        <v>0.90827584177433696</v>
      </c>
      <c r="K1110" s="5" t="s">
        <v>22</v>
      </c>
      <c r="L1110" s="5" t="s">
        <v>38</v>
      </c>
      <c r="M1110" s="5">
        <v>2</v>
      </c>
    </row>
    <row r="1111" spans="1:13" ht="90" customHeight="1" x14ac:dyDescent="0.3">
      <c r="A1111" s="8"/>
      <c r="B1111" s="7"/>
      <c r="C1111" s="7"/>
      <c r="D1111" s="7"/>
      <c r="E1111" s="7"/>
      <c r="F1111" s="7"/>
      <c r="G1111" s="7"/>
      <c r="H1111" s="7"/>
      <c r="I1111" s="1"/>
      <c r="J1111" s="1"/>
      <c r="K1111" s="1"/>
      <c r="L1111" s="1"/>
      <c r="M1111" s="1"/>
    </row>
    <row r="1112" spans="1:13" ht="90" customHeight="1" x14ac:dyDescent="0.3">
      <c r="A1112" s="8">
        <v>362</v>
      </c>
      <c r="B1112" s="8" t="s">
        <v>646</v>
      </c>
      <c r="C1112" s="8" t="s">
        <v>252</v>
      </c>
      <c r="D1112" s="8" t="s">
        <v>647</v>
      </c>
      <c r="E1112" s="6" t="s">
        <v>93</v>
      </c>
      <c r="F1112" s="6" t="s">
        <v>94</v>
      </c>
      <c r="G1112" s="8" t="s">
        <v>1285</v>
      </c>
      <c r="H1112" s="8" t="s">
        <v>649</v>
      </c>
      <c r="I1112" s="1"/>
      <c r="J1112" s="1"/>
      <c r="K1112" s="1"/>
      <c r="L1112" s="1"/>
      <c r="M1112" s="1"/>
    </row>
    <row r="1113" spans="1:13" ht="90" customHeight="1" x14ac:dyDescent="0.3">
      <c r="A1113" s="8"/>
      <c r="B1113" s="7"/>
      <c r="C1113" s="7"/>
      <c r="D1113" s="7"/>
      <c r="E1113" s="7"/>
      <c r="F1113" s="7"/>
      <c r="G1113" s="7"/>
      <c r="H1113" s="7"/>
      <c r="I1113" s="1"/>
      <c r="J1113" s="1"/>
      <c r="K1113" s="1"/>
      <c r="L1113" s="1"/>
      <c r="M1113" s="1"/>
    </row>
    <row r="1114" spans="1:13" ht="90" customHeight="1" x14ac:dyDescent="0.3">
      <c r="A1114" s="8"/>
      <c r="B1114" s="7"/>
      <c r="C1114" s="7"/>
      <c r="D1114" s="7"/>
      <c r="E1114" s="7"/>
      <c r="F1114" s="7"/>
      <c r="G1114" s="7"/>
      <c r="H1114" s="7"/>
      <c r="I1114" s="1"/>
      <c r="J1114" s="1"/>
      <c r="K1114" s="1"/>
      <c r="L1114" s="1"/>
      <c r="M1114" s="1"/>
    </row>
    <row r="1115" spans="1:13" ht="90" customHeight="1" x14ac:dyDescent="0.3">
      <c r="A1115" s="8"/>
      <c r="B1115" s="7"/>
      <c r="C1115" s="7"/>
      <c r="D1115" s="7"/>
      <c r="E1115" s="7"/>
      <c r="F1115" s="7"/>
      <c r="G1115" s="7"/>
      <c r="H1115" s="7"/>
      <c r="I1115" s="1"/>
      <c r="J1115" s="1"/>
      <c r="K1115" s="1"/>
      <c r="L1115" s="1"/>
      <c r="M1115" s="1"/>
    </row>
    <row r="1116" spans="1:13" ht="90" customHeight="1" x14ac:dyDescent="0.3">
      <c r="A1116" s="8"/>
      <c r="B1116" s="7"/>
      <c r="C1116" s="7"/>
      <c r="D1116" s="7"/>
      <c r="E1116" s="7"/>
      <c r="F1116" s="7"/>
      <c r="G1116" s="7"/>
      <c r="H1116" s="7"/>
      <c r="I1116" s="1"/>
      <c r="J1116" s="1"/>
      <c r="K1116" s="1"/>
      <c r="L1116" s="1"/>
      <c r="M1116" s="1"/>
    </row>
    <row r="1117" spans="1:13" ht="90" customHeight="1" x14ac:dyDescent="0.3">
      <c r="A1117" s="8">
        <v>365</v>
      </c>
      <c r="B1117" s="8" t="s">
        <v>657</v>
      </c>
      <c r="C1117" s="8" t="s">
        <v>658</v>
      </c>
      <c r="D1117" s="8" t="s">
        <v>510</v>
      </c>
      <c r="E1117" s="6" t="s">
        <v>93</v>
      </c>
      <c r="F1117" s="6" t="s">
        <v>94</v>
      </c>
      <c r="G1117" s="8" t="s">
        <v>1286</v>
      </c>
      <c r="H1117" s="8" t="s">
        <v>96</v>
      </c>
      <c r="I1117" s="1"/>
      <c r="J1117" s="1"/>
      <c r="K1117" s="1"/>
      <c r="L1117" s="1"/>
      <c r="M1117" s="1"/>
    </row>
    <row r="1118" spans="1:13" ht="90" customHeight="1" x14ac:dyDescent="0.3">
      <c r="A1118" s="8"/>
      <c r="B1118" s="7"/>
      <c r="C1118" s="7"/>
      <c r="D1118" s="7"/>
      <c r="E1118" s="7"/>
      <c r="F1118" s="7"/>
      <c r="G1118" s="7"/>
      <c r="H1118" s="7"/>
      <c r="I1118" s="1"/>
      <c r="J1118" s="1"/>
      <c r="K1118" s="1"/>
      <c r="L1118" s="1"/>
      <c r="M1118" s="1"/>
    </row>
    <row r="1119" spans="1:13" ht="90" customHeight="1" x14ac:dyDescent="0.3">
      <c r="A1119" s="8"/>
      <c r="B1119" s="7"/>
      <c r="C1119" s="7"/>
      <c r="D1119" s="7"/>
      <c r="E1119" s="7"/>
      <c r="F1119" s="7"/>
      <c r="G1119" s="7"/>
      <c r="H1119" s="7"/>
      <c r="I1119" s="1"/>
      <c r="J1119" s="1"/>
      <c r="K1119" s="1"/>
      <c r="L1119" s="1"/>
      <c r="M1119" s="1"/>
    </row>
    <row r="1120" spans="1:13" ht="90" customHeight="1" x14ac:dyDescent="0.3">
      <c r="A1120" s="8"/>
      <c r="B1120" s="7"/>
      <c r="C1120" s="7"/>
      <c r="D1120" s="7"/>
      <c r="E1120" s="7"/>
      <c r="F1120" s="7"/>
      <c r="G1120" s="7"/>
      <c r="H1120" s="7"/>
      <c r="I1120" s="1"/>
      <c r="J1120" s="1"/>
      <c r="K1120" s="1"/>
      <c r="L1120" s="1"/>
      <c r="M1120" s="1"/>
    </row>
    <row r="1121" spans="1:13" ht="90" customHeight="1" x14ac:dyDescent="0.3">
      <c r="A1121" s="8"/>
      <c r="B1121" s="7"/>
      <c r="C1121" s="7"/>
      <c r="D1121" s="7"/>
      <c r="E1121" s="7"/>
      <c r="F1121" s="7"/>
      <c r="G1121" s="7"/>
      <c r="H1121" s="7"/>
      <c r="I1121" s="1"/>
      <c r="J1121" s="1"/>
      <c r="K1121" s="1"/>
      <c r="L1121" s="1"/>
      <c r="M1121" s="1"/>
    </row>
    <row r="1122" spans="1:13" ht="90" customHeight="1" x14ac:dyDescent="0.3">
      <c r="A1122" s="8">
        <v>366</v>
      </c>
      <c r="B1122" s="8" t="s">
        <v>660</v>
      </c>
      <c r="C1122" s="8" t="s">
        <v>71</v>
      </c>
      <c r="D1122" s="8" t="s">
        <v>661</v>
      </c>
      <c r="E1122" s="6" t="s">
        <v>93</v>
      </c>
      <c r="F1122" s="6" t="s">
        <v>94</v>
      </c>
      <c r="G1122" s="8" t="s">
        <v>1287</v>
      </c>
      <c r="H1122" s="8" t="s">
        <v>663</v>
      </c>
      <c r="I1122" s="2" t="s">
        <v>664</v>
      </c>
      <c r="J1122" s="2">
        <v>0.99877625703811646</v>
      </c>
      <c r="K1122" s="2" t="s">
        <v>22</v>
      </c>
      <c r="L1122" s="2" t="s">
        <v>365</v>
      </c>
      <c r="M1122" s="2">
        <v>41</v>
      </c>
    </row>
    <row r="1123" spans="1:13" ht="90" customHeight="1" x14ac:dyDescent="0.3">
      <c r="A1123" s="8"/>
      <c r="B1123" s="7"/>
      <c r="C1123" s="7"/>
      <c r="D1123" s="7"/>
      <c r="E1123" s="7"/>
      <c r="F1123" s="7"/>
      <c r="G1123" s="7"/>
      <c r="H1123" s="7"/>
      <c r="I1123" s="2" t="s">
        <v>665</v>
      </c>
      <c r="J1123" s="2">
        <v>0.99703502655029297</v>
      </c>
      <c r="K1123" s="2" t="s">
        <v>22</v>
      </c>
      <c r="L1123" s="2" t="s">
        <v>359</v>
      </c>
      <c r="M1123" s="2">
        <v>77</v>
      </c>
    </row>
    <row r="1124" spans="1:13" ht="90" customHeight="1" x14ac:dyDescent="0.3">
      <c r="A1124" s="8"/>
      <c r="B1124" s="7"/>
      <c r="C1124" s="7"/>
      <c r="D1124" s="7"/>
      <c r="E1124" s="7"/>
      <c r="F1124" s="7"/>
      <c r="G1124" s="7"/>
      <c r="H1124" s="7"/>
      <c r="I1124" s="2" t="s">
        <v>666</v>
      </c>
      <c r="J1124" s="2">
        <v>0.99694710969924927</v>
      </c>
      <c r="K1124" s="2" t="s">
        <v>22</v>
      </c>
      <c r="L1124" s="2" t="s">
        <v>363</v>
      </c>
      <c r="M1124" s="2">
        <v>79</v>
      </c>
    </row>
    <row r="1125" spans="1:13" ht="90" customHeight="1" x14ac:dyDescent="0.3">
      <c r="A1125" s="8"/>
      <c r="B1125" s="7"/>
      <c r="C1125" s="7"/>
      <c r="D1125" s="7"/>
      <c r="E1125" s="7"/>
      <c r="F1125" s="7"/>
      <c r="G1125" s="7"/>
      <c r="H1125" s="7"/>
      <c r="I1125" s="1" t="s">
        <v>667</v>
      </c>
      <c r="J1125" s="1">
        <v>0.99272924661636353</v>
      </c>
      <c r="K1125" s="1" t="s">
        <v>22</v>
      </c>
      <c r="L1125" s="1" t="s">
        <v>359</v>
      </c>
      <c r="M1125" s="1">
        <v>183</v>
      </c>
    </row>
    <row r="1126" spans="1:13" ht="90" customHeight="1" x14ac:dyDescent="0.3">
      <c r="A1126" s="8"/>
      <c r="B1126" s="7"/>
      <c r="C1126" s="7"/>
      <c r="D1126" s="7"/>
      <c r="E1126" s="7"/>
      <c r="F1126" s="7"/>
      <c r="G1126" s="7"/>
      <c r="H1126" s="7"/>
      <c r="I1126" s="1" t="s">
        <v>668</v>
      </c>
      <c r="J1126" s="1">
        <v>0.99215322732925415</v>
      </c>
      <c r="K1126" s="1" t="s">
        <v>22</v>
      </c>
      <c r="L1126" s="1" t="s">
        <v>363</v>
      </c>
      <c r="M1126" s="1">
        <v>185</v>
      </c>
    </row>
    <row r="1127" spans="1:13" ht="90" customHeight="1" x14ac:dyDescent="0.3">
      <c r="A1127" s="8">
        <v>369</v>
      </c>
      <c r="B1127" s="8" t="s">
        <v>1288</v>
      </c>
      <c r="C1127" s="8" t="s">
        <v>98</v>
      </c>
      <c r="D1127" s="8" t="s">
        <v>268</v>
      </c>
      <c r="E1127" s="6" t="s">
        <v>17</v>
      </c>
      <c r="F1127" s="6" t="s">
        <v>18</v>
      </c>
      <c r="G1127" s="8" t="s">
        <v>1289</v>
      </c>
      <c r="H1127" s="8" t="s">
        <v>1290</v>
      </c>
      <c r="I1127" s="4" t="s">
        <v>1291</v>
      </c>
      <c r="J1127" s="4">
        <v>0.87979531288146973</v>
      </c>
      <c r="K1127" s="4" t="s">
        <v>22</v>
      </c>
      <c r="L1127" s="4" t="s">
        <v>98</v>
      </c>
      <c r="M1127" s="4">
        <v>14</v>
      </c>
    </row>
    <row r="1128" spans="1:13" ht="90" customHeight="1" x14ac:dyDescent="0.3">
      <c r="A1128" s="8"/>
      <c r="B1128" s="7"/>
      <c r="C1128" s="7"/>
      <c r="D1128" s="7"/>
      <c r="E1128" s="7"/>
      <c r="F1128" s="7"/>
      <c r="G1128" s="7"/>
      <c r="H1128" s="7"/>
      <c r="I1128" s="1"/>
      <c r="J1128" s="1"/>
      <c r="K1128" s="1"/>
      <c r="L1128" s="1"/>
      <c r="M1128" s="1"/>
    </row>
    <row r="1129" spans="1:13" ht="90" customHeight="1" x14ac:dyDescent="0.3">
      <c r="A1129" s="8"/>
      <c r="B1129" s="7"/>
      <c r="C1129" s="7"/>
      <c r="D1129" s="7"/>
      <c r="E1129" s="7"/>
      <c r="F1129" s="7"/>
      <c r="G1129" s="7"/>
      <c r="H1129" s="7"/>
      <c r="I1129" s="1"/>
      <c r="J1129" s="1"/>
      <c r="K1129" s="1"/>
      <c r="L1129" s="1"/>
      <c r="M1129" s="1"/>
    </row>
    <row r="1130" spans="1:13" ht="90" customHeight="1" x14ac:dyDescent="0.3">
      <c r="A1130" s="8"/>
      <c r="B1130" s="7"/>
      <c r="C1130" s="7"/>
      <c r="D1130" s="7"/>
      <c r="E1130" s="7"/>
      <c r="F1130" s="7"/>
      <c r="G1130" s="7"/>
      <c r="H1130" s="7"/>
      <c r="I1130" s="1"/>
      <c r="J1130" s="1"/>
      <c r="K1130" s="1"/>
      <c r="L1130" s="1"/>
      <c r="M1130" s="1"/>
    </row>
    <row r="1131" spans="1:13" ht="90" customHeight="1" x14ac:dyDescent="0.3">
      <c r="A1131" s="8"/>
      <c r="B1131" s="7"/>
      <c r="C1131" s="7"/>
      <c r="D1131" s="7"/>
      <c r="E1131" s="7"/>
      <c r="F1131" s="7"/>
      <c r="G1131" s="7"/>
      <c r="H1131" s="7"/>
      <c r="I1131" s="1"/>
      <c r="J1131" s="1"/>
      <c r="K1131" s="1"/>
      <c r="L1131" s="1"/>
      <c r="M1131" s="1"/>
    </row>
    <row r="1132" spans="1:13" ht="90" customHeight="1" x14ac:dyDescent="0.3">
      <c r="A1132" s="8">
        <v>370</v>
      </c>
      <c r="B1132" s="8" t="s">
        <v>676</v>
      </c>
      <c r="C1132" s="8" t="s">
        <v>131</v>
      </c>
      <c r="D1132" s="8" t="s">
        <v>247</v>
      </c>
      <c r="E1132" s="6" t="s">
        <v>17</v>
      </c>
      <c r="F1132" s="6" t="s">
        <v>18</v>
      </c>
      <c r="G1132" s="8" t="s">
        <v>1292</v>
      </c>
      <c r="H1132" s="8" t="s">
        <v>678</v>
      </c>
      <c r="I1132" s="4" t="s">
        <v>291</v>
      </c>
      <c r="J1132" s="4">
        <v>0.99519312381744385</v>
      </c>
      <c r="K1132" s="4" t="s">
        <v>22</v>
      </c>
      <c r="L1132" s="4" t="s">
        <v>131</v>
      </c>
      <c r="M1132" s="4">
        <v>7</v>
      </c>
    </row>
    <row r="1133" spans="1:13" ht="90" customHeight="1" x14ac:dyDescent="0.3">
      <c r="A1133" s="8"/>
      <c r="B1133" s="7"/>
      <c r="C1133" s="7"/>
      <c r="D1133" s="7"/>
      <c r="E1133" s="7"/>
      <c r="F1133" s="7"/>
      <c r="G1133" s="7"/>
      <c r="H1133" s="7"/>
      <c r="I1133" s="2" t="s">
        <v>679</v>
      </c>
      <c r="J1133" s="2">
        <v>0.93133747577667236</v>
      </c>
      <c r="K1133" s="2" t="s">
        <v>22</v>
      </c>
      <c r="L1133" s="2" t="s">
        <v>680</v>
      </c>
      <c r="M1133" s="2">
        <v>1</v>
      </c>
    </row>
    <row r="1134" spans="1:13" ht="90" customHeight="1" x14ac:dyDescent="0.3">
      <c r="A1134" s="8"/>
      <c r="B1134" s="7"/>
      <c r="C1134" s="7"/>
      <c r="D1134" s="7"/>
      <c r="E1134" s="7"/>
      <c r="F1134" s="7"/>
      <c r="G1134" s="7"/>
      <c r="H1134" s="7"/>
      <c r="I1134" s="1" t="s">
        <v>681</v>
      </c>
      <c r="J1134" s="1">
        <v>0.92969197034835815</v>
      </c>
      <c r="K1134" s="1" t="s">
        <v>22</v>
      </c>
      <c r="L1134" s="1" t="s">
        <v>682</v>
      </c>
      <c r="M1134" s="1">
        <v>32</v>
      </c>
    </row>
    <row r="1135" spans="1:13" ht="90" customHeight="1" x14ac:dyDescent="0.3">
      <c r="A1135" s="8"/>
      <c r="B1135" s="7"/>
      <c r="C1135" s="7"/>
      <c r="D1135" s="7"/>
      <c r="E1135" s="7"/>
      <c r="F1135" s="7"/>
      <c r="G1135" s="7"/>
      <c r="H1135" s="7"/>
      <c r="I1135" s="1" t="s">
        <v>289</v>
      </c>
      <c r="J1135" s="1">
        <v>0.84267610311508179</v>
      </c>
      <c r="K1135" s="1" t="s">
        <v>76</v>
      </c>
      <c r="L1135" s="1" t="s">
        <v>290</v>
      </c>
      <c r="M1135" s="1">
        <v>1</v>
      </c>
    </row>
    <row r="1136" spans="1:13" ht="90" customHeight="1" x14ac:dyDescent="0.3">
      <c r="A1136" s="8"/>
      <c r="B1136" s="7"/>
      <c r="C1136" s="7"/>
      <c r="D1136" s="7"/>
      <c r="E1136" s="7"/>
      <c r="F1136" s="7"/>
      <c r="G1136" s="7"/>
      <c r="H1136" s="7"/>
      <c r="I1136" s="1"/>
      <c r="J1136" s="1"/>
      <c r="K1136" s="1"/>
      <c r="L1136" s="1"/>
      <c r="M1136" s="1"/>
    </row>
    <row r="1137" spans="1:13" ht="90" customHeight="1" x14ac:dyDescent="0.3">
      <c r="A1137" s="8">
        <v>375</v>
      </c>
      <c r="B1137" s="8" t="s">
        <v>1293</v>
      </c>
      <c r="C1137" s="8" t="s">
        <v>329</v>
      </c>
      <c r="D1137" s="8" t="s">
        <v>86</v>
      </c>
      <c r="E1137" s="6" t="s">
        <v>17</v>
      </c>
      <c r="F1137" s="6" t="s">
        <v>18</v>
      </c>
      <c r="G1137" s="8" t="s">
        <v>1294</v>
      </c>
      <c r="H1137" s="8" t="s">
        <v>1295</v>
      </c>
      <c r="I1137" s="4" t="s">
        <v>1296</v>
      </c>
      <c r="J1137" s="4">
        <v>0.99854624271392822</v>
      </c>
      <c r="K1137" s="4" t="s">
        <v>22</v>
      </c>
      <c r="L1137" s="4" t="s">
        <v>329</v>
      </c>
      <c r="M1137" s="4">
        <v>4</v>
      </c>
    </row>
    <row r="1138" spans="1:13" ht="90" customHeight="1" x14ac:dyDescent="0.3">
      <c r="A1138" s="8"/>
      <c r="B1138" s="7"/>
      <c r="C1138" s="7"/>
      <c r="D1138" s="7"/>
      <c r="E1138" s="7"/>
      <c r="F1138" s="7"/>
      <c r="G1138" s="7"/>
      <c r="H1138" s="7"/>
      <c r="I1138" s="1"/>
      <c r="J1138" s="1"/>
      <c r="K1138" s="1"/>
      <c r="L1138" s="1"/>
      <c r="M1138" s="1"/>
    </row>
    <row r="1139" spans="1:13" ht="90" customHeight="1" x14ac:dyDescent="0.3">
      <c r="A1139" s="8"/>
      <c r="B1139" s="7"/>
      <c r="C1139" s="7"/>
      <c r="D1139" s="7"/>
      <c r="E1139" s="7"/>
      <c r="F1139" s="7"/>
      <c r="G1139" s="7"/>
      <c r="H1139" s="7"/>
      <c r="I1139" s="1"/>
      <c r="J1139" s="1"/>
      <c r="K1139" s="1"/>
      <c r="L1139" s="1"/>
      <c r="M1139" s="1"/>
    </row>
    <row r="1140" spans="1:13" ht="90" customHeight="1" x14ac:dyDescent="0.3">
      <c r="A1140" s="8"/>
      <c r="B1140" s="7"/>
      <c r="C1140" s="7"/>
      <c r="D1140" s="7"/>
      <c r="E1140" s="7"/>
      <c r="F1140" s="7"/>
      <c r="G1140" s="7"/>
      <c r="H1140" s="7"/>
      <c r="I1140" s="1"/>
      <c r="J1140" s="1"/>
      <c r="K1140" s="1"/>
      <c r="L1140" s="1"/>
      <c r="M1140" s="1"/>
    </row>
    <row r="1141" spans="1:13" ht="90" customHeight="1" x14ac:dyDescent="0.3">
      <c r="A1141" s="8"/>
      <c r="B1141" s="7"/>
      <c r="C1141" s="7"/>
      <c r="D1141" s="7"/>
      <c r="E1141" s="7"/>
      <c r="F1141" s="7"/>
      <c r="G1141" s="7"/>
      <c r="H1141" s="7"/>
      <c r="I1141" s="1"/>
      <c r="J1141" s="1"/>
      <c r="K1141" s="1"/>
      <c r="L1141" s="1"/>
      <c r="M1141" s="1"/>
    </row>
    <row r="1142" spans="1:13" ht="90" customHeight="1" x14ac:dyDescent="0.3">
      <c r="A1142" s="8">
        <v>377</v>
      </c>
      <c r="B1142" s="8" t="s">
        <v>1297</v>
      </c>
      <c r="C1142" s="8" t="s">
        <v>353</v>
      </c>
      <c r="D1142" s="8" t="s">
        <v>1298</v>
      </c>
      <c r="E1142" s="6" t="s">
        <v>17</v>
      </c>
      <c r="F1142" s="6" t="s">
        <v>18</v>
      </c>
      <c r="G1142" s="8" t="s">
        <v>1299</v>
      </c>
      <c r="H1142" s="8" t="s">
        <v>1300</v>
      </c>
      <c r="I1142" s="4" t="s">
        <v>1301</v>
      </c>
      <c r="J1142" s="4">
        <v>0.99999058246612549</v>
      </c>
      <c r="K1142" s="4" t="s">
        <v>22</v>
      </c>
      <c r="L1142" s="4" t="s">
        <v>353</v>
      </c>
      <c r="M1142" s="4">
        <v>163</v>
      </c>
    </row>
    <row r="1143" spans="1:13" ht="90" customHeight="1" x14ac:dyDescent="0.3">
      <c r="A1143" s="8"/>
      <c r="B1143" s="7"/>
      <c r="C1143" s="7"/>
      <c r="D1143" s="7"/>
      <c r="E1143" s="7"/>
      <c r="F1143" s="7"/>
      <c r="G1143" s="7"/>
      <c r="H1143" s="7"/>
      <c r="I1143" s="2" t="s">
        <v>1302</v>
      </c>
      <c r="J1143" s="2">
        <v>0.9018561840057373</v>
      </c>
      <c r="K1143" s="2" t="s">
        <v>22</v>
      </c>
      <c r="L1143" s="2" t="s">
        <v>1303</v>
      </c>
      <c r="M1143" s="2">
        <v>175</v>
      </c>
    </row>
    <row r="1144" spans="1:13" ht="90" customHeight="1" x14ac:dyDescent="0.3">
      <c r="A1144" s="8"/>
      <c r="B1144" s="7"/>
      <c r="C1144" s="7"/>
      <c r="D1144" s="7"/>
      <c r="E1144" s="7"/>
      <c r="F1144" s="7"/>
      <c r="G1144" s="7"/>
      <c r="H1144" s="7"/>
      <c r="I1144" s="1"/>
      <c r="J1144" s="1"/>
      <c r="K1144" s="1"/>
      <c r="L1144" s="1"/>
      <c r="M1144" s="1"/>
    </row>
    <row r="1145" spans="1:13" ht="90" customHeight="1" x14ac:dyDescent="0.3">
      <c r="A1145" s="8"/>
      <c r="B1145" s="7"/>
      <c r="C1145" s="7"/>
      <c r="D1145" s="7"/>
      <c r="E1145" s="7"/>
      <c r="F1145" s="7"/>
      <c r="G1145" s="7"/>
      <c r="H1145" s="7"/>
      <c r="I1145" s="1"/>
      <c r="J1145" s="1"/>
      <c r="K1145" s="1"/>
      <c r="L1145" s="1"/>
      <c r="M1145" s="1"/>
    </row>
    <row r="1146" spans="1:13" ht="90" customHeight="1" x14ac:dyDescent="0.3">
      <c r="A1146" s="8"/>
      <c r="B1146" s="7"/>
      <c r="C1146" s="7"/>
      <c r="D1146" s="7"/>
      <c r="E1146" s="7"/>
      <c r="F1146" s="7"/>
      <c r="G1146" s="7"/>
      <c r="H1146" s="7"/>
      <c r="I1146" s="1"/>
      <c r="J1146" s="1"/>
      <c r="K1146" s="1"/>
      <c r="L1146" s="1"/>
      <c r="M1146" s="1"/>
    </row>
  </sheetData>
  <autoFilter ref="A1:M1146" xr:uid="{00000000-0001-0000-0100-000000000000}"/>
  <mergeCells count="1832">
    <mergeCell ref="E107:E111"/>
    <mergeCell ref="G812:G816"/>
    <mergeCell ref="D767:D771"/>
    <mergeCell ref="A942:A946"/>
    <mergeCell ref="H1052:H1056"/>
    <mergeCell ref="H297:H301"/>
    <mergeCell ref="E982:E986"/>
    <mergeCell ref="C1137:C1141"/>
    <mergeCell ref="A992:A996"/>
    <mergeCell ref="B1082:B1086"/>
    <mergeCell ref="H227:H231"/>
    <mergeCell ref="B357:B361"/>
    <mergeCell ref="A687:A691"/>
    <mergeCell ref="E822:E826"/>
    <mergeCell ref="B777:B781"/>
    <mergeCell ref="B52:B56"/>
    <mergeCell ref="G582:G586"/>
    <mergeCell ref="E1122:E1126"/>
    <mergeCell ref="D877:D88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E537:E541"/>
    <mergeCell ref="B492:B496"/>
    <mergeCell ref="D467:D471"/>
    <mergeCell ref="D442:D446"/>
    <mergeCell ref="H907:H911"/>
    <mergeCell ref="E862:E866"/>
    <mergeCell ref="E22:E26"/>
    <mergeCell ref="F992:F996"/>
    <mergeCell ref="F237:F241"/>
    <mergeCell ref="C437:C441"/>
    <mergeCell ref="A977:A981"/>
    <mergeCell ref="H967:H971"/>
    <mergeCell ref="H212:H216"/>
    <mergeCell ref="E897:E901"/>
    <mergeCell ref="A7:A11"/>
    <mergeCell ref="E142:E146"/>
    <mergeCell ref="F562:F566"/>
    <mergeCell ref="F537:F541"/>
    <mergeCell ref="D1102:D1106"/>
    <mergeCell ref="C737:C741"/>
    <mergeCell ref="C712:C716"/>
    <mergeCell ref="H512:H516"/>
    <mergeCell ref="E442:E446"/>
    <mergeCell ref="B642:B646"/>
    <mergeCell ref="F862:F866"/>
    <mergeCell ref="H962:H966"/>
    <mergeCell ref="H207:H211"/>
    <mergeCell ref="C1037:C1041"/>
    <mergeCell ref="B337:B341"/>
    <mergeCell ref="C732:C736"/>
    <mergeCell ref="D402:D406"/>
    <mergeCell ref="B942:B946"/>
    <mergeCell ref="H507:H511"/>
    <mergeCell ref="B637:B641"/>
    <mergeCell ref="G1017:G1021"/>
    <mergeCell ref="D192:D196"/>
    <mergeCell ref="A392:A396"/>
    <mergeCell ref="F922:F926"/>
    <mergeCell ref="F1137:F1141"/>
    <mergeCell ref="F67:F71"/>
    <mergeCell ref="C337:C341"/>
    <mergeCell ref="A877:A881"/>
    <mergeCell ref="D732:D736"/>
    <mergeCell ref="F832:F836"/>
    <mergeCell ref="C942:C946"/>
    <mergeCell ref="A907:A911"/>
    <mergeCell ref="A152:A156"/>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G1137:G1141"/>
    <mergeCell ref="G822:G826"/>
    <mergeCell ref="D1092:D1096"/>
    <mergeCell ref="B302:B306"/>
    <mergeCell ref="G832:G836"/>
    <mergeCell ref="G77:G81"/>
    <mergeCell ref="B907:B911"/>
    <mergeCell ref="F727:F731"/>
    <mergeCell ref="A207:A211"/>
    <mergeCell ref="G1122:G1126"/>
    <mergeCell ref="F422:F426"/>
    <mergeCell ref="H487:H491"/>
    <mergeCell ref="D1087:D1091"/>
    <mergeCell ref="F1027:F1031"/>
    <mergeCell ref="G62:G66"/>
    <mergeCell ref="A507:A511"/>
    <mergeCell ref="A192:A196"/>
    <mergeCell ref="F1062:F1066"/>
    <mergeCell ref="H182:H186"/>
    <mergeCell ref="F722:F726"/>
    <mergeCell ref="B747:B751"/>
    <mergeCell ref="A807:A811"/>
    <mergeCell ref="G87:G91"/>
    <mergeCell ref="E627:E631"/>
    <mergeCell ref="F882:F886"/>
    <mergeCell ref="B1047:B1051"/>
    <mergeCell ref="E787:E791"/>
    <mergeCell ref="B742:B746"/>
    <mergeCell ref="D807:D811"/>
    <mergeCell ref="F152:F156"/>
    <mergeCell ref="H627:H631"/>
    <mergeCell ref="E1112:E1116"/>
    <mergeCell ref="G1107:G1111"/>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H1072:H1076"/>
    <mergeCell ref="F37:F41"/>
    <mergeCell ref="H767:H771"/>
    <mergeCell ref="H12:H16"/>
    <mergeCell ref="G522:G526"/>
    <mergeCell ref="D792:D796"/>
    <mergeCell ref="B607:B611"/>
    <mergeCell ref="E1087:E1091"/>
    <mergeCell ref="F442:F446"/>
    <mergeCell ref="B1042:B1046"/>
    <mergeCell ref="F477:F481"/>
    <mergeCell ref="F452:F456"/>
    <mergeCell ref="D1017:D1021"/>
    <mergeCell ref="D677:D681"/>
    <mergeCell ref="E382:E386"/>
    <mergeCell ref="E7:E11"/>
    <mergeCell ref="F342:F346"/>
    <mergeCell ref="C272:C276"/>
    <mergeCell ref="H1102:H110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F637:F641"/>
    <mergeCell ref="H822:H826"/>
    <mergeCell ref="C302:C306"/>
    <mergeCell ref="D297:D301"/>
    <mergeCell ref="H832:H836"/>
    <mergeCell ref="G422:G426"/>
    <mergeCell ref="D597:D601"/>
    <mergeCell ref="F1082:F1086"/>
    <mergeCell ref="D292:D296"/>
    <mergeCell ref="G722:G726"/>
    <mergeCell ref="F357:F361"/>
    <mergeCell ref="D897:D901"/>
    <mergeCell ref="H87:H91"/>
    <mergeCell ref="F52:F56"/>
    <mergeCell ref="E1047:E1051"/>
    <mergeCell ref="E292:E296"/>
    <mergeCell ref="F687:F691"/>
    <mergeCell ref="G1022:G1026"/>
    <mergeCell ref="G777:G781"/>
    <mergeCell ref="D952:D956"/>
    <mergeCell ref="G52:G56"/>
    <mergeCell ref="E592:E596"/>
    <mergeCell ref="G1077:G1081"/>
    <mergeCell ref="G352:G356"/>
    <mergeCell ref="C702:C706"/>
    <mergeCell ref="C1002:C1006"/>
    <mergeCell ref="C247:C251"/>
    <mergeCell ref="G192:G196"/>
    <mergeCell ref="D367:D371"/>
    <mergeCell ref="H77:H81"/>
    <mergeCell ref="C887:C891"/>
    <mergeCell ref="F627:F631"/>
    <mergeCell ref="D592:D596"/>
    <mergeCell ref="F352:F356"/>
    <mergeCell ref="H327:H331"/>
    <mergeCell ref="H82:H86"/>
    <mergeCell ref="E682:E686"/>
    <mergeCell ref="F837:F841"/>
    <mergeCell ref="G477:G481"/>
    <mergeCell ref="D432:D436"/>
    <mergeCell ref="C352:C356"/>
    <mergeCell ref="E452:E456"/>
    <mergeCell ref="E572:E576"/>
    <mergeCell ref="F167:F171"/>
    <mergeCell ref="H652:H656"/>
    <mergeCell ref="F617:F621"/>
    <mergeCell ref="H1037:H1041"/>
    <mergeCell ref="G337:G341"/>
    <mergeCell ref="C177:C181"/>
    <mergeCell ref="D267:D271"/>
    <mergeCell ref="H732:H736"/>
    <mergeCell ref="G942:G946"/>
    <mergeCell ref="E152:E156"/>
    <mergeCell ref="B862:B866"/>
    <mergeCell ref="B107:B111"/>
    <mergeCell ref="G637:G641"/>
    <mergeCell ref="A767:A771"/>
    <mergeCell ref="A12:A16"/>
    <mergeCell ref="B407:B411"/>
    <mergeCell ref="F982:F986"/>
    <mergeCell ref="H877:H881"/>
    <mergeCell ref="G937:G941"/>
    <mergeCell ref="A312:A316"/>
    <mergeCell ref="F692:F696"/>
    <mergeCell ref="C622:C626"/>
    <mergeCell ref="F387:F391"/>
    <mergeCell ref="A107:A111"/>
    <mergeCell ref="A82:A86"/>
    <mergeCell ref="B662:B666"/>
    <mergeCell ref="B322:B326"/>
    <mergeCell ref="B962:B966"/>
    <mergeCell ref="B622:B626"/>
    <mergeCell ref="B957:B961"/>
    <mergeCell ref="A852:A856"/>
    <mergeCell ref="H27:H31"/>
    <mergeCell ref="A222:A226"/>
    <mergeCell ref="E42:E46"/>
    <mergeCell ref="B972:B976"/>
    <mergeCell ref="H1022:H1026"/>
    <mergeCell ref="F742:F746"/>
    <mergeCell ref="E952:E956"/>
    <mergeCell ref="C162:C166"/>
    <mergeCell ref="H807:H811"/>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E222:E226"/>
    <mergeCell ref="F312:F316"/>
    <mergeCell ref="B177:B181"/>
    <mergeCell ref="D1002:D1006"/>
    <mergeCell ref="B212:B216"/>
    <mergeCell ref="F977:F981"/>
    <mergeCell ref="E62:E66"/>
    <mergeCell ref="C602:C606"/>
    <mergeCell ref="B237:B241"/>
    <mergeCell ref="H737:H741"/>
    <mergeCell ref="E667:E671"/>
    <mergeCell ref="H432:H436"/>
    <mergeCell ref="F972:F976"/>
    <mergeCell ref="E362:E366"/>
    <mergeCell ref="C902:C906"/>
    <mergeCell ref="H32:H36"/>
    <mergeCell ref="C862:C866"/>
    <mergeCell ref="A72:A76"/>
    <mergeCell ref="A47:A51"/>
    <mergeCell ref="E207:E211"/>
    <mergeCell ref="C557:C561"/>
    <mergeCell ref="B767:B771"/>
    <mergeCell ref="E507:E511"/>
    <mergeCell ref="G982:G986"/>
    <mergeCell ref="E192:E196"/>
    <mergeCell ref="B462:B466"/>
    <mergeCell ref="G992:G996"/>
    <mergeCell ref="F747:F751"/>
    <mergeCell ref="E807:E811"/>
    <mergeCell ref="G387:G391"/>
    <mergeCell ref="D562:D566"/>
    <mergeCell ref="A832:A836"/>
    <mergeCell ref="E652:E656"/>
    <mergeCell ref="A492:A496"/>
    <mergeCell ref="D397:D401"/>
    <mergeCell ref="D257:D261"/>
    <mergeCell ref="A527:A531"/>
    <mergeCell ref="E347:E351"/>
    <mergeCell ref="H47:H51"/>
    <mergeCell ref="A117:A121"/>
    <mergeCell ref="B537:B541"/>
    <mergeCell ref="A607:A611"/>
    <mergeCell ref="D42:D46"/>
    <mergeCell ref="A692:A696"/>
    <mergeCell ref="G257:G261"/>
    <mergeCell ref="H347:H351"/>
    <mergeCell ref="A387:A391"/>
    <mergeCell ref="H982:H986"/>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C1122:C1126"/>
    <mergeCell ref="A332:A336"/>
    <mergeCell ref="F887:F891"/>
    <mergeCell ref="B572:B576"/>
    <mergeCell ref="B872:B876"/>
    <mergeCell ref="G237:G241"/>
    <mergeCell ref="A777:A781"/>
    <mergeCell ref="F142:F146"/>
    <mergeCell ref="D632:D636"/>
    <mergeCell ref="F607:F611"/>
    <mergeCell ref="C562:C566"/>
    <mergeCell ref="C537:C541"/>
    <mergeCell ref="A1102:A1106"/>
    <mergeCell ref="H1092:H1096"/>
    <mergeCell ref="F302:F306"/>
    <mergeCell ref="D842:D846"/>
    <mergeCell ref="B467:B471"/>
    <mergeCell ref="F907:F911"/>
    <mergeCell ref="H312:H316"/>
    <mergeCell ref="F852:F856"/>
    <mergeCell ref="H952:H956"/>
    <mergeCell ref="A1087:A1091"/>
    <mergeCell ref="C1027:C1031"/>
    <mergeCell ref="D62:D66"/>
    <mergeCell ref="F547:F551"/>
    <mergeCell ref="C722:C726"/>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H237:H241"/>
    <mergeCell ref="F777:F781"/>
    <mergeCell ref="G897:G901"/>
    <mergeCell ref="G142:G146"/>
    <mergeCell ref="H537:H541"/>
    <mergeCell ref="B502:B506"/>
    <mergeCell ref="H152:H156"/>
    <mergeCell ref="E82:E86"/>
    <mergeCell ref="H1002:H1006"/>
    <mergeCell ref="B1132:B1136"/>
    <mergeCell ref="C1112:C1116"/>
    <mergeCell ref="H452:H456"/>
    <mergeCell ref="D477:D481"/>
    <mergeCell ref="B1017:B1021"/>
    <mergeCell ref="D137:D141"/>
    <mergeCell ref="B372:B376"/>
    <mergeCell ref="H597:H601"/>
    <mergeCell ref="D347:D351"/>
    <mergeCell ref="A1032:A1036"/>
    <mergeCell ref="H897:H901"/>
    <mergeCell ref="F107:F111"/>
    <mergeCell ref="F82:F86"/>
    <mergeCell ref="D647:D651"/>
    <mergeCell ref="H592:H596"/>
    <mergeCell ref="E767:E771"/>
    <mergeCell ref="A1067:A1071"/>
    <mergeCell ref="F407:F411"/>
    <mergeCell ref="G497:G501"/>
    <mergeCell ref="B432:B436"/>
    <mergeCell ref="E312:E316"/>
    <mergeCell ref="G962:G966"/>
    <mergeCell ref="G622:G626"/>
    <mergeCell ref="G657:G661"/>
    <mergeCell ref="B732:B736"/>
    <mergeCell ref="D832:D836"/>
    <mergeCell ref="B427:B431"/>
    <mergeCell ref="F247:F251"/>
    <mergeCell ref="C422:C426"/>
    <mergeCell ref="B2:B6"/>
    <mergeCell ref="F767:F771"/>
    <mergeCell ref="F12:F16"/>
    <mergeCell ref="B517:B521"/>
    <mergeCell ref="D582:D586"/>
    <mergeCell ref="F462:F466"/>
    <mergeCell ref="D277:D281"/>
    <mergeCell ref="E832:E836"/>
    <mergeCell ref="E517:E521"/>
    <mergeCell ref="C1057:C1061"/>
    <mergeCell ref="D422:D426"/>
    <mergeCell ref="D117:D121"/>
    <mergeCell ref="C1082:C1086"/>
    <mergeCell ref="F182:F186"/>
    <mergeCell ref="D722:D726"/>
    <mergeCell ref="D417:D421"/>
    <mergeCell ref="F392:F396"/>
    <mergeCell ref="D882:D886"/>
    <mergeCell ref="C1077:C1081"/>
    <mergeCell ref="C322:C326"/>
    <mergeCell ref="F177:F181"/>
    <mergeCell ref="C787:C791"/>
    <mergeCell ref="C37:C41"/>
    <mergeCell ref="B42:B46"/>
    <mergeCell ref="C22:C26"/>
    <mergeCell ref="B37:B41"/>
    <mergeCell ref="F962:F966"/>
    <mergeCell ref="B72:B76"/>
    <mergeCell ref="F207:F211"/>
    <mergeCell ref="F507:F511"/>
    <mergeCell ref="B22:B26"/>
    <mergeCell ref="F1047:F1051"/>
    <mergeCell ref="F1122:F1126"/>
    <mergeCell ref="D332:D336"/>
    <mergeCell ref="G762:G766"/>
    <mergeCell ref="D937:D941"/>
    <mergeCell ref="A892:A896"/>
    <mergeCell ref="H617:H621"/>
    <mergeCell ref="D752:D756"/>
    <mergeCell ref="C387:C391"/>
    <mergeCell ref="A927:A931"/>
    <mergeCell ref="H917:H921"/>
    <mergeCell ref="H162:H166"/>
    <mergeCell ref="E872:E876"/>
    <mergeCell ref="E117:E121"/>
    <mergeCell ref="B292:B296"/>
    <mergeCell ref="C687:C691"/>
    <mergeCell ref="D777:D781"/>
    <mergeCell ref="A952:A956"/>
    <mergeCell ref="E417:E421"/>
    <mergeCell ref="C382:C386"/>
    <mergeCell ref="B592:B596"/>
    <mergeCell ref="C987:C991"/>
    <mergeCell ref="G392:G396"/>
    <mergeCell ref="D1077:D1081"/>
    <mergeCell ref="B287:B291"/>
    <mergeCell ref="H787:H791"/>
    <mergeCell ref="G177:G181"/>
    <mergeCell ref="D352:D356"/>
    <mergeCell ref="B892:B896"/>
    <mergeCell ref="A307:A311"/>
    <mergeCell ref="A947:A951"/>
    <mergeCell ref="G692:G696"/>
    <mergeCell ref="A657:A661"/>
    <mergeCell ref="G22:G26"/>
    <mergeCell ref="A697:A701"/>
    <mergeCell ref="H562:H566"/>
    <mergeCell ref="F1102:F110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D52:D56"/>
    <mergeCell ref="D47:D51"/>
    <mergeCell ref="H812:H816"/>
    <mergeCell ref="F22:F26"/>
    <mergeCell ref="E777:E781"/>
    <mergeCell ref="H632:H636"/>
    <mergeCell ref="B7:B11"/>
    <mergeCell ref="G562:G56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C287:C291"/>
    <mergeCell ref="F657:F661"/>
    <mergeCell ref="E47:E51"/>
    <mergeCell ref="B222:B226"/>
    <mergeCell ref="D492:D496"/>
    <mergeCell ref="F467:F471"/>
    <mergeCell ref="B307:B311"/>
    <mergeCell ref="C397:C401"/>
    <mergeCell ref="D282:D286"/>
    <mergeCell ref="A432:A436"/>
    <mergeCell ref="A407:A411"/>
    <mergeCell ref="A732:A736"/>
    <mergeCell ref="E522:E526"/>
    <mergeCell ref="F917:F921"/>
    <mergeCell ref="F162:F166"/>
    <mergeCell ref="G42:G46"/>
    <mergeCell ref="D527:D531"/>
    <mergeCell ref="A1057:A1061"/>
    <mergeCell ref="B577:B581"/>
    <mergeCell ref="B697:B701"/>
    <mergeCell ref="G377:G381"/>
    <mergeCell ref="G37:G41"/>
    <mergeCell ref="A602:A606"/>
    <mergeCell ref="B147:B151"/>
    <mergeCell ref="E1067:E1071"/>
    <mergeCell ref="B997:B1001"/>
    <mergeCell ref="F432:F436"/>
    <mergeCell ref="D972:D976"/>
    <mergeCell ref="C1117:C1121"/>
    <mergeCell ref="C362:C366"/>
    <mergeCell ref="E1092:E1096"/>
    <mergeCell ref="F732:F736"/>
    <mergeCell ref="F1112:F1116"/>
    <mergeCell ref="C1042:C1046"/>
    <mergeCell ref="E1017:E1021"/>
    <mergeCell ref="B947:B951"/>
    <mergeCell ref="G537:G541"/>
    <mergeCell ref="E1102:E1106"/>
    <mergeCell ref="B1032:B1036"/>
    <mergeCell ref="D1007:D1011"/>
    <mergeCell ref="G862:G866"/>
    <mergeCell ref="G107:G111"/>
    <mergeCell ref="G957:G961"/>
    <mergeCell ref="G442:G446"/>
    <mergeCell ref="G302:G306"/>
    <mergeCell ref="G1067:G1071"/>
    <mergeCell ref="G1082:G108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G1112:G11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H842:H846"/>
    <mergeCell ref="H702:H706"/>
    <mergeCell ref="H1112:H1116"/>
    <mergeCell ref="A517:A521"/>
    <mergeCell ref="B912:B916"/>
    <mergeCell ref="C277:C281"/>
    <mergeCell ref="A842:A846"/>
    <mergeCell ref="A817:A821"/>
    <mergeCell ref="H492:H496"/>
    <mergeCell ref="F1057:F1061"/>
    <mergeCell ref="F1032:F1036"/>
    <mergeCell ref="C577:C581"/>
    <mergeCell ref="A1142:A1146"/>
    <mergeCell ref="A1117:A112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F1087:F1091"/>
    <mergeCell ref="H117:H121"/>
    <mergeCell ref="C192:C196"/>
    <mergeCell ref="H722:H726"/>
    <mergeCell ref="A857:A861"/>
    <mergeCell ref="E992:E996"/>
    <mergeCell ref="C202:C206"/>
    <mergeCell ref="E882:E886"/>
    <mergeCell ref="G2:G6"/>
    <mergeCell ref="H337:H341"/>
    <mergeCell ref="A132:A136"/>
    <mergeCell ref="D472:D476"/>
    <mergeCell ref="C107:C111"/>
    <mergeCell ref="A647:A651"/>
    <mergeCell ref="H637:H641"/>
    <mergeCell ref="C1132:C1136"/>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H1077:H1081"/>
    <mergeCell ref="D187:D191"/>
    <mergeCell ref="H322:H326"/>
    <mergeCell ref="A362:A366"/>
    <mergeCell ref="C847:C851"/>
    <mergeCell ref="C92:C96"/>
    <mergeCell ref="G1132:G1136"/>
    <mergeCell ref="B612:B616"/>
    <mergeCell ref="D1132:D1136"/>
    <mergeCell ref="C767:C771"/>
    <mergeCell ref="B342:B346"/>
    <mergeCell ref="D407:D41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B1117:B1121"/>
    <mergeCell ref="D242:D246"/>
    <mergeCell ref="A417:A421"/>
    <mergeCell ref="A17:A21"/>
    <mergeCell ref="C82:C86"/>
    <mergeCell ref="A622:A626"/>
    <mergeCell ref="F697:F701"/>
    <mergeCell ref="D172:D176"/>
    <mergeCell ref="F147:F151"/>
    <mergeCell ref="H972:H976"/>
    <mergeCell ref="E927:E931"/>
    <mergeCell ref="B1102:B1106"/>
    <mergeCell ref="B347:B351"/>
    <mergeCell ref="E202:E206"/>
    <mergeCell ref="F292:F296"/>
    <mergeCell ref="B132:B136"/>
    <mergeCell ref="B797:B801"/>
    <mergeCell ref="G687:G691"/>
    <mergeCell ref="D862:D866"/>
    <mergeCell ref="D107:D111"/>
    <mergeCell ref="A37:A41"/>
    <mergeCell ref="A702:A706"/>
    <mergeCell ref="E502:E506"/>
    <mergeCell ref="F592:F596"/>
    <mergeCell ref="H682:H686"/>
    <mergeCell ref="F307:F311"/>
    <mergeCell ref="D847:D851"/>
    <mergeCell ref="F947:F951"/>
    <mergeCell ref="B57:B61"/>
    <mergeCell ref="G587:G591"/>
    <mergeCell ref="A717:A721"/>
    <mergeCell ref="C612:C616"/>
    <mergeCell ref="B82:B86"/>
    <mergeCell ref="H277:H281"/>
    <mergeCell ref="E887:E891"/>
    <mergeCell ref="E1142:E1146"/>
    <mergeCell ref="E387:E391"/>
    <mergeCell ref="E802:E806"/>
    <mergeCell ref="B1072:B1076"/>
    <mergeCell ref="C957:C961"/>
    <mergeCell ref="G147:G151"/>
    <mergeCell ref="F807:F811"/>
    <mergeCell ref="C1102:C1106"/>
    <mergeCell ref="H442:H446"/>
    <mergeCell ref="H302:H306"/>
    <mergeCell ref="C797:C801"/>
    <mergeCell ref="B187:B191"/>
    <mergeCell ref="H572:H576"/>
    <mergeCell ref="C72:C76"/>
    <mergeCell ref="D162:D166"/>
    <mergeCell ref="B702:B706"/>
    <mergeCell ref="E557:E561"/>
    <mergeCell ref="C1097:C110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C527:C531"/>
    <mergeCell ref="E1002:E1006"/>
    <mergeCell ref="B17:B21"/>
    <mergeCell ref="G547:G551"/>
    <mergeCell ref="H527:H531"/>
    <mergeCell ref="H187:H191"/>
    <mergeCell ref="B632:B636"/>
    <mergeCell ref="B317:B321"/>
    <mergeCell ref="G847:G851"/>
    <mergeCell ref="D1117:D1121"/>
    <mergeCell ref="G92:G96"/>
    <mergeCell ref="C872:C876"/>
    <mergeCell ref="A1107:A1111"/>
    <mergeCell ref="A382:A386"/>
    <mergeCell ref="C867:C871"/>
    <mergeCell ref="A77:A81"/>
    <mergeCell ref="B1077:B1081"/>
    <mergeCell ref="E842:E846"/>
    <mergeCell ref="A682:A686"/>
    <mergeCell ref="B772:B776"/>
    <mergeCell ref="F482:F486"/>
    <mergeCell ref="C657:C661"/>
    <mergeCell ref="B47:B51"/>
    <mergeCell ref="A632:A636"/>
    <mergeCell ref="G347:G351"/>
    <mergeCell ref="A752:A756"/>
    <mergeCell ref="H742:H746"/>
    <mergeCell ref="A27:A31"/>
    <mergeCell ref="B117:B121"/>
    <mergeCell ref="G647:G651"/>
    <mergeCell ref="H1042:H1046"/>
    <mergeCell ref="E462:E466"/>
    <mergeCell ref="B417:B421"/>
    <mergeCell ref="G972:G976"/>
    <mergeCell ref="A972:A976"/>
    <mergeCell ref="C267:C271"/>
    <mergeCell ref="H647:H651"/>
    <mergeCell ref="F557:F561"/>
    <mergeCell ref="H657:H661"/>
    <mergeCell ref="B1062:B1066"/>
    <mergeCell ref="B32:B36"/>
    <mergeCell ref="F252:F256"/>
    <mergeCell ref="H192:H196"/>
    <mergeCell ref="H947:H951"/>
    <mergeCell ref="C427:C431"/>
    <mergeCell ref="A967:A971"/>
    <mergeCell ref="F857:F861"/>
    <mergeCell ref="H957:H961"/>
    <mergeCell ref="H202:H206"/>
    <mergeCell ref="G852:G856"/>
    <mergeCell ref="D1122:D1126"/>
    <mergeCell ref="B332:B336"/>
    <mergeCell ref="G947:G951"/>
    <mergeCell ref="B112:B116"/>
    <mergeCell ref="A1077:A1081"/>
    <mergeCell ref="A322:A326"/>
    <mergeCell ref="G222:G226"/>
    <mergeCell ref="D177:D181"/>
    <mergeCell ref="F877:F881"/>
    <mergeCell ref="B717:B721"/>
    <mergeCell ref="G182:G186"/>
    <mergeCell ref="G1057:G1061"/>
    <mergeCell ref="G1032:G1036"/>
    <mergeCell ref="H397:H401"/>
    <mergeCell ref="D927:D931"/>
    <mergeCell ref="A347:A351"/>
    <mergeCell ref="H1132:H1136"/>
    <mergeCell ref="E72:E76"/>
    <mergeCell ref="H407:H411"/>
    <mergeCell ref="H102:H106"/>
    <mergeCell ref="B232:B236"/>
    <mergeCell ref="C1062:C1066"/>
    <mergeCell ref="A137:A141"/>
    <mergeCell ref="C447:C451"/>
    <mergeCell ref="B532:B536"/>
    <mergeCell ref="D427:D431"/>
    <mergeCell ref="H247:H251"/>
    <mergeCell ref="A1022:A1026"/>
    <mergeCell ref="D122:D126"/>
    <mergeCell ref="C1087:C1091"/>
    <mergeCell ref="C332:C336"/>
    <mergeCell ref="F62:F66"/>
    <mergeCell ref="C17:C21"/>
    <mergeCell ref="H547:H551"/>
    <mergeCell ref="C27:C31"/>
    <mergeCell ref="B677:B681"/>
    <mergeCell ref="C632:C636"/>
    <mergeCell ref="H242:H246"/>
    <mergeCell ref="H847:H851"/>
    <mergeCell ref="F57:F61"/>
    <mergeCell ref="C327:C331"/>
    <mergeCell ref="B987:B991"/>
    <mergeCell ref="A742:A746"/>
    <mergeCell ref="B382:B386"/>
    <mergeCell ref="D1112:D1116"/>
    <mergeCell ref="A1042:A1046"/>
    <mergeCell ref="A287:A291"/>
    <mergeCell ref="F842:F846"/>
    <mergeCell ref="F112:F116"/>
    <mergeCell ref="E1077:E1081"/>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C1017:C1021"/>
    <mergeCell ref="C47:C51"/>
    <mergeCell ref="H927:H931"/>
    <mergeCell ref="A282:A286"/>
    <mergeCell ref="C1012:C1016"/>
    <mergeCell ref="D37:D41"/>
    <mergeCell ref="B602:B606"/>
    <mergeCell ref="B1067:B1071"/>
    <mergeCell ref="D362:D366"/>
    <mergeCell ref="F257:F261"/>
    <mergeCell ref="D797:D801"/>
    <mergeCell ref="E67:E71"/>
    <mergeCell ref="D1032:D1036"/>
    <mergeCell ref="D1057:D1061"/>
    <mergeCell ref="B242:B246"/>
    <mergeCell ref="E577:E581"/>
    <mergeCell ref="G132:G136"/>
    <mergeCell ref="G797:G801"/>
    <mergeCell ref="D1067:D1071"/>
    <mergeCell ref="B882:B886"/>
    <mergeCell ref="D2:D6"/>
    <mergeCell ref="B567:B571"/>
    <mergeCell ref="F702:F706"/>
    <mergeCell ref="G1097:G1101"/>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A1132:A1136"/>
    <mergeCell ref="D987:D991"/>
    <mergeCell ref="D232:D236"/>
    <mergeCell ref="B197:B201"/>
    <mergeCell ref="F332:F336"/>
    <mergeCell ref="H1122:H1126"/>
    <mergeCell ref="A827:A831"/>
    <mergeCell ref="C892:C896"/>
    <mergeCell ref="A102:A106"/>
    <mergeCell ref="D532:D536"/>
    <mergeCell ref="F632:F636"/>
    <mergeCell ref="C587:C591"/>
    <mergeCell ref="H1117:H1121"/>
    <mergeCell ref="A402:A406"/>
    <mergeCell ref="G872:G876"/>
    <mergeCell ref="G117:G121"/>
    <mergeCell ref="E1107:E1111"/>
    <mergeCell ref="G417:G421"/>
    <mergeCell ref="A547:A551"/>
    <mergeCell ref="G867:G871"/>
    <mergeCell ref="G112:G116"/>
    <mergeCell ref="F1077:F1081"/>
    <mergeCell ref="F322:F326"/>
    <mergeCell ref="D287:D291"/>
    <mergeCell ref="A242:A246"/>
    <mergeCell ref="F772:F776"/>
    <mergeCell ref="A847:A851"/>
    <mergeCell ref="G412:G416"/>
    <mergeCell ref="D612:D616"/>
    <mergeCell ref="D587:D591"/>
    <mergeCell ref="A542:A546"/>
    <mergeCell ref="F317:F321"/>
    <mergeCell ref="A2:A6"/>
    <mergeCell ref="F382:F386"/>
    <mergeCell ref="G472:G476"/>
    <mergeCell ref="H867:H871"/>
    <mergeCell ref="E1042:E1046"/>
    <mergeCell ref="E287:E291"/>
    <mergeCell ref="G772:G776"/>
    <mergeCell ref="D947:D951"/>
    <mergeCell ref="A902:A906"/>
    <mergeCell ref="G47:G51"/>
    <mergeCell ref="G1072:G1076"/>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D687:D691"/>
    <mergeCell ref="B472:B476"/>
    <mergeCell ref="G32:G36"/>
    <mergeCell ref="A437:A441"/>
    <mergeCell ref="H427:H431"/>
    <mergeCell ref="F967:F971"/>
    <mergeCell ref="C922:C926"/>
    <mergeCell ref="B557:B561"/>
    <mergeCell ref="E987:E991"/>
    <mergeCell ref="H122:H126"/>
    <mergeCell ref="C197:C201"/>
    <mergeCell ref="G332:G336"/>
    <mergeCell ref="G17:G21"/>
    <mergeCell ref="G1087:G1091"/>
    <mergeCell ref="A462:A466"/>
    <mergeCell ref="G27:G31"/>
    <mergeCell ref="B857:B861"/>
    <mergeCell ref="B102:B106"/>
    <mergeCell ref="G632:G636"/>
    <mergeCell ref="G317:G321"/>
    <mergeCell ref="A762:A766"/>
    <mergeCell ref="G327:G331"/>
    <mergeCell ref="B402:B406"/>
    <mergeCell ref="A457:A461"/>
    <mergeCell ref="H567:H571"/>
    <mergeCell ref="E742:E746"/>
    <mergeCell ref="D72:D76"/>
    <mergeCell ref="G427:G431"/>
    <mergeCell ref="C592:C596"/>
    <mergeCell ref="F17:F21"/>
    <mergeCell ref="F47:F51"/>
    <mergeCell ref="C517:C521"/>
    <mergeCell ref="E827:E831"/>
    <mergeCell ref="D912:D916"/>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G672:G676"/>
    <mergeCell ref="D92:D96"/>
    <mergeCell ref="E487:E491"/>
    <mergeCell ref="B757:B761"/>
    <mergeCell ref="F1067:F1071"/>
    <mergeCell ref="D252:D256"/>
    <mergeCell ref="E972:E976"/>
    <mergeCell ref="A812:A816"/>
    <mergeCell ref="C157:C161"/>
    <mergeCell ref="C482:C486"/>
    <mergeCell ref="C142:C146"/>
    <mergeCell ref="H1012:H1016"/>
    <mergeCell ref="E967:E971"/>
    <mergeCell ref="D577:D581"/>
    <mergeCell ref="C782:C786"/>
    <mergeCell ref="B172:B176"/>
    <mergeCell ref="A122:A126"/>
    <mergeCell ref="H372:H376"/>
    <mergeCell ref="E547:E551"/>
    <mergeCell ref="F187:F191"/>
    <mergeCell ref="E242:E246"/>
    <mergeCell ref="H672:H676"/>
    <mergeCell ref="G307:G311"/>
    <mergeCell ref="E847:E851"/>
    <mergeCell ref="B802:B806"/>
    <mergeCell ref="H612:H616"/>
    <mergeCell ref="E542:E546"/>
    <mergeCell ref="A567:A571"/>
    <mergeCell ref="G517:G521"/>
    <mergeCell ref="D447:D451"/>
    <mergeCell ref="H157:H161"/>
    <mergeCell ref="B262:B266"/>
    <mergeCell ref="A867:A871"/>
    <mergeCell ref="G817:G821"/>
    <mergeCell ref="C842:C846"/>
    <mergeCell ref="D482:D486"/>
    <mergeCell ref="C802:C806"/>
    <mergeCell ref="H602:H606"/>
    <mergeCell ref="C837:C841"/>
    <mergeCell ref="C497:C501"/>
    <mergeCell ref="E472:E476"/>
    <mergeCell ref="G232:G236"/>
    <mergeCell ref="D502:D506"/>
    <mergeCell ref="E772:E776"/>
    <mergeCell ref="A797:A801"/>
    <mergeCell ref="F137:F141"/>
    <mergeCell ref="G532:G536"/>
    <mergeCell ref="H622:H626"/>
    <mergeCell ref="C57:C61"/>
    <mergeCell ref="A597:A601"/>
    <mergeCell ref="H587:H591"/>
    <mergeCell ref="F1127:F1131"/>
    <mergeCell ref="E762:E766"/>
    <mergeCell ref="F402:F406"/>
    <mergeCell ref="C357:C361"/>
    <mergeCell ref="B122:B126"/>
    <mergeCell ref="E877:E881"/>
    <mergeCell ref="A782:A786"/>
    <mergeCell ref="F242:F246"/>
    <mergeCell ref="C417:C421"/>
    <mergeCell ref="F847:F851"/>
    <mergeCell ref="D57:D61"/>
    <mergeCell ref="C112:C116"/>
    <mergeCell ref="A652:A656"/>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B67:B71"/>
    <mergeCell ref="E402:E406"/>
    <mergeCell ref="B1012:B1016"/>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A672:A676"/>
    <mergeCell ref="F472:F476"/>
    <mergeCell ref="A707:A711"/>
    <mergeCell ref="A367:A371"/>
    <mergeCell ref="G592:G596"/>
    <mergeCell ref="E1132:E1136"/>
    <mergeCell ref="H987:H991"/>
    <mergeCell ref="H232:H236"/>
    <mergeCell ref="C127:C131"/>
    <mergeCell ref="A667:A671"/>
    <mergeCell ref="G892:G896"/>
    <mergeCell ref="G137:G141"/>
    <mergeCell ref="H532:H536"/>
    <mergeCell ref="D112:D116"/>
    <mergeCell ref="B652:B656"/>
    <mergeCell ref="D717:D721"/>
    <mergeCell ref="G482:G486"/>
    <mergeCell ref="D437:D441"/>
    <mergeCell ref="D412:D416"/>
    <mergeCell ref="F1142:F1146"/>
    <mergeCell ref="C342:C346"/>
    <mergeCell ref="C317:C321"/>
    <mergeCell ref="C1072:C1076"/>
    <mergeCell ref="G782:G786"/>
    <mergeCell ref="F172:F176"/>
    <mergeCell ref="D737:D741"/>
    <mergeCell ref="D712:D716"/>
    <mergeCell ref="H872:H876"/>
    <mergeCell ref="H147:H151"/>
    <mergeCell ref="C642:C646"/>
    <mergeCell ref="G927:G931"/>
    <mergeCell ref="F957:F961"/>
    <mergeCell ref="C912:C916"/>
    <mergeCell ref="H1057:H1061"/>
    <mergeCell ref="H1032:H1036"/>
    <mergeCell ref="D932:D936"/>
    <mergeCell ref="H1067:H1071"/>
    <mergeCell ref="C1142:C1146"/>
    <mergeCell ref="E932:E936"/>
    <mergeCell ref="H1087:H1091"/>
    <mergeCell ref="B1142:B1146"/>
    <mergeCell ref="G602:G606"/>
    <mergeCell ref="D147:D151"/>
    <mergeCell ref="B687:B691"/>
    <mergeCell ref="G902:G906"/>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B1107:B1111"/>
    <mergeCell ref="G997:G1001"/>
    <mergeCell ref="C747:C751"/>
    <mergeCell ref="E812:E816"/>
    <mergeCell ref="F902:F906"/>
    <mergeCell ref="A262:A266"/>
    <mergeCell ref="A1097:A1101"/>
    <mergeCell ref="C927:C931"/>
    <mergeCell ref="G1062:G1066"/>
    <mergeCell ref="F1107:F1111"/>
    <mergeCell ref="E277:E281"/>
    <mergeCell ref="C817:C821"/>
    <mergeCell ref="G1102:G1106"/>
    <mergeCell ref="D782:D786"/>
    <mergeCell ref="E1052:E1056"/>
    <mergeCell ref="A957:A961"/>
    <mergeCell ref="C677:C681"/>
    <mergeCell ref="F417:F421"/>
    <mergeCell ref="C372:C376"/>
    <mergeCell ref="E112:E116"/>
    <mergeCell ref="C77:C81"/>
    <mergeCell ref="A617:A621"/>
    <mergeCell ref="G842:G846"/>
    <mergeCell ref="C682:C686"/>
    <mergeCell ref="D772:D776"/>
    <mergeCell ref="H482:H486"/>
    <mergeCell ref="C377:C381"/>
    <mergeCell ref="B587:B591"/>
    <mergeCell ref="H932:H936"/>
    <mergeCell ref="G1142:G1146"/>
    <mergeCell ref="F532:F536"/>
    <mergeCell ref="D1097:D1101"/>
    <mergeCell ref="D1072:D1076"/>
    <mergeCell ref="B282:B286"/>
    <mergeCell ref="G172:G176"/>
    <mergeCell ref="G837:G841"/>
    <mergeCell ref="A212:A216"/>
    <mergeCell ref="C522:C526"/>
    <mergeCell ref="B582:B586"/>
    <mergeCell ref="A512:A516"/>
    <mergeCell ref="H502:H506"/>
    <mergeCell ref="E797:E801"/>
    <mergeCell ref="B752:B756"/>
    <mergeCell ref="B727:B731"/>
    <mergeCell ref="G557:G561"/>
    <mergeCell ref="E1097:E1101"/>
    <mergeCell ref="D487:D491"/>
    <mergeCell ref="B1052:B1056"/>
    <mergeCell ref="B1027:B1031"/>
    <mergeCell ref="H197:H201"/>
    <mergeCell ref="G252:G256"/>
    <mergeCell ref="A92:A96"/>
    <mergeCell ref="D1107:D1111"/>
    <mergeCell ref="D217:D221"/>
    <mergeCell ref="D77:D81"/>
    <mergeCell ref="A87:A91"/>
    <mergeCell ref="H677:H681"/>
    <mergeCell ref="D377:D381"/>
    <mergeCell ref="H1142:H1146"/>
    <mergeCell ref="H837:H841"/>
    <mergeCell ref="E1012:E1016"/>
    <mergeCell ref="H497:H501"/>
    <mergeCell ref="B967:B971"/>
    <mergeCell ref="B627:B631"/>
    <mergeCell ref="C607:C611"/>
    <mergeCell ref="E707:E711"/>
    <mergeCell ref="D602:D606"/>
    <mergeCell ref="H1137:H1141"/>
    <mergeCell ref="A147:A151"/>
    <mergeCell ref="C907:C911"/>
    <mergeCell ref="G727:G731"/>
    <mergeCell ref="F362:F366"/>
    <mergeCell ref="D902:D906"/>
    <mergeCell ref="H92:H96"/>
    <mergeCell ref="E267:E271"/>
    <mergeCell ref="H252:H256"/>
    <mergeCell ref="F792:F796"/>
    <mergeCell ref="E427:E431"/>
    <mergeCell ref="C967:C971"/>
    <mergeCell ref="E262:E266"/>
    <mergeCell ref="G157:G161"/>
    <mergeCell ref="E122:E126"/>
    <mergeCell ref="E697:E701"/>
    <mergeCell ref="G57:G61"/>
    <mergeCell ref="F267:F271"/>
    <mergeCell ref="E597:E601"/>
    <mergeCell ref="G357:G361"/>
    <mergeCell ref="H747:H751"/>
    <mergeCell ref="C1022:C1026"/>
    <mergeCell ref="F262:F266"/>
    <mergeCell ref="F122:F126"/>
    <mergeCell ref="D662:D666"/>
    <mergeCell ref="C132:C136"/>
    <mergeCell ref="E27:E31"/>
    <mergeCell ref="C1007:C1011"/>
    <mergeCell ref="E317:E321"/>
    <mergeCell ref="E327:E331"/>
    <mergeCell ref="G802:G806"/>
    <mergeCell ref="E12:E16"/>
    <mergeCell ref="D672:D676"/>
    <mergeCell ref="C662:C666"/>
    <mergeCell ref="D17:D21"/>
    <mergeCell ref="H552:H556"/>
    <mergeCell ref="F817:F821"/>
    <mergeCell ref="D27:D31"/>
    <mergeCell ref="G457:G461"/>
    <mergeCell ref="D317:D321"/>
    <mergeCell ref="G152:G156"/>
    <mergeCell ref="D327:D331"/>
    <mergeCell ref="F802:F806"/>
    <mergeCell ref="D12:D16"/>
    <mergeCell ref="G757:G761"/>
    <mergeCell ref="E567:E571"/>
    <mergeCell ref="H447:H451"/>
    <mergeCell ref="C217:C221"/>
    <mergeCell ref="A1137:A1141"/>
    <mergeCell ref="C167:C171"/>
    <mergeCell ref="H57:H61"/>
    <mergeCell ref="E232:E236"/>
    <mergeCell ref="H697:H701"/>
    <mergeCell ref="C772:C776"/>
    <mergeCell ref="B827:B831"/>
    <mergeCell ref="G717:G721"/>
    <mergeCell ref="D892:D896"/>
    <mergeCell ref="C467:C471"/>
    <mergeCell ref="H357:H361"/>
    <mergeCell ref="E532:E536"/>
    <mergeCell ref="H997:H1001"/>
    <mergeCell ref="F622:F626"/>
    <mergeCell ref="B1127:B1131"/>
    <mergeCell ref="D1022:D1026"/>
    <mergeCell ref="E227:E231"/>
    <mergeCell ref="B522:B526"/>
    <mergeCell ref="D132:D136"/>
    <mergeCell ref="F782:F786"/>
    <mergeCell ref="A552:A556"/>
    <mergeCell ref="E372:E376"/>
    <mergeCell ref="H112:H116"/>
    <mergeCell ref="C187:C191"/>
    <mergeCell ref="F652:F656"/>
    <mergeCell ref="H717:H721"/>
    <mergeCell ref="E672:E676"/>
    <mergeCell ref="B847:B851"/>
    <mergeCell ref="H437:H441"/>
    <mergeCell ref="H412:H416"/>
    <mergeCell ref="E367:E371"/>
    <mergeCell ref="B542:B546"/>
    <mergeCell ref="A52:A56"/>
    <mergeCell ref="B142:B146"/>
    <mergeCell ref="G277:G281"/>
    <mergeCell ref="E817:E821"/>
    <mergeCell ref="E512:E516"/>
    <mergeCell ref="B442:B446"/>
    <mergeCell ref="G577:G581"/>
    <mergeCell ref="E1117:E1121"/>
    <mergeCell ref="B932:B936"/>
    <mergeCell ref="F752:F756"/>
    <mergeCell ref="D567:D571"/>
    <mergeCell ref="A837:A841"/>
    <mergeCell ref="A497:A501"/>
    <mergeCell ref="F1052:F1056"/>
    <mergeCell ref="F297:F301"/>
    <mergeCell ref="C472:C476"/>
    <mergeCell ref="C982:C986"/>
    <mergeCell ref="F327:F331"/>
    <mergeCell ref="D867:D871"/>
    <mergeCell ref="B977:B981"/>
    <mergeCell ref="G342:G346"/>
    <mergeCell ref="C182:C186"/>
    <mergeCell ref="D272:D276"/>
    <mergeCell ref="A447:A451"/>
    <mergeCell ref="E157:E161"/>
    <mergeCell ref="B87:B91"/>
    <mergeCell ref="G642:G646"/>
    <mergeCell ref="E457:E461"/>
    <mergeCell ref="D1062:D1066"/>
    <mergeCell ref="D1037:D1041"/>
    <mergeCell ref="A482:A486"/>
    <mergeCell ref="F1012:F1016"/>
    <mergeCell ref="A127:A131"/>
    <mergeCell ref="C827:C831"/>
    <mergeCell ref="F682:F686"/>
    <mergeCell ref="C102:C106"/>
    <mergeCell ref="A642:A646"/>
    <mergeCell ref="E587:E591"/>
    <mergeCell ref="C1127:C1131"/>
    <mergeCell ref="A337:A341"/>
    <mergeCell ref="F227:F231"/>
    <mergeCell ref="C402:C406"/>
    <mergeCell ref="E132:E136"/>
    <mergeCell ref="C97:C101"/>
    <mergeCell ref="H472:H476"/>
    <mergeCell ref="B877:B881"/>
    <mergeCell ref="C242:C246"/>
    <mergeCell ref="A57:A61"/>
    <mergeCell ref="G977:G981"/>
    <mergeCell ref="F612:F616"/>
    <mergeCell ref="C882:C886"/>
    <mergeCell ref="C542:C546"/>
    <mergeCell ref="A1082:A1086"/>
    <mergeCell ref="H342:H346"/>
    <mergeCell ref="E1027:E1031"/>
    <mergeCell ref="C237:C241"/>
    <mergeCell ref="B447:B451"/>
    <mergeCell ref="F912:F916"/>
    <mergeCell ref="G1002:G1006"/>
    <mergeCell ref="E212:E216"/>
    <mergeCell ref="H712:H716"/>
    <mergeCell ref="C627:C631"/>
    <mergeCell ref="H307:H311"/>
    <mergeCell ref="F707:F711"/>
    <mergeCell ref="A412:A416"/>
    <mergeCell ref="G912:G916"/>
    <mergeCell ref="B807:B811"/>
    <mergeCell ref="F212:F216"/>
    <mergeCell ref="C897:C901"/>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E602:E606"/>
    <mergeCell ref="F997:F1001"/>
    <mergeCell ref="A477:A481"/>
    <mergeCell ref="E297:E301"/>
    <mergeCell ref="B982:B986"/>
    <mergeCell ref="G362:G366"/>
    <mergeCell ref="E902:E906"/>
    <mergeCell ref="B682:B686"/>
    <mergeCell ref="A587:A591"/>
    <mergeCell ref="D1142:D1146"/>
    <mergeCell ref="G627:G631"/>
    <mergeCell ref="A1072:A1076"/>
    <mergeCell ref="E782:E786"/>
    <mergeCell ref="G662:G666"/>
    <mergeCell ref="E477:E481"/>
    <mergeCell ref="F567:F571"/>
    <mergeCell ref="D1137:D1141"/>
    <mergeCell ref="D67:D71"/>
    <mergeCell ref="F867:F871"/>
    <mergeCell ref="C727:C731"/>
    <mergeCell ref="D682:D686"/>
    <mergeCell ref="G382:G386"/>
    <mergeCell ref="E922:E926"/>
    <mergeCell ref="B1097:B1101"/>
    <mergeCell ref="G217:G221"/>
    <mergeCell ref="H662:H666"/>
    <mergeCell ref="E617:E621"/>
    <mergeCell ref="D827:D831"/>
    <mergeCell ref="B792:B796"/>
    <mergeCell ref="G682:G686"/>
    <mergeCell ref="C432:C436"/>
    <mergeCell ref="D522:D526"/>
    <mergeCell ref="F587:F591"/>
    <mergeCell ref="D552:D556"/>
    <mergeCell ref="D1127:D1131"/>
    <mergeCell ref="B1092:B1096"/>
    <mergeCell ref="F527:F531"/>
    <mergeCell ref="F282:F286"/>
    <mergeCell ref="D822:D826"/>
    <mergeCell ref="C457:C461"/>
    <mergeCell ref="D97:D101"/>
    <mergeCell ref="E1137:E1141"/>
    <mergeCell ref="D727:D731"/>
    <mergeCell ref="E92:E96"/>
    <mergeCell ref="F487:F491"/>
    <mergeCell ref="D1027:D1031"/>
    <mergeCell ref="D887:D891"/>
    <mergeCell ref="E977:E981"/>
    <mergeCell ref="E252:E256"/>
    <mergeCell ref="C792:C796"/>
    <mergeCell ref="H132:H136"/>
    <mergeCell ref="E87:E91"/>
    <mergeCell ref="H1007:H1011"/>
    <mergeCell ref="E552:E556"/>
    <mergeCell ref="C1092:C1096"/>
    <mergeCell ref="A302:A306"/>
    <mergeCell ref="B392:B396"/>
    <mergeCell ref="G527:G531"/>
    <mergeCell ref="D457:D461"/>
    <mergeCell ref="D152:D156"/>
    <mergeCell ref="F92:F96"/>
    <mergeCell ref="B692:B696"/>
    <mergeCell ref="D757:D761"/>
    <mergeCell ref="D452:D456"/>
    <mergeCell ref="H272:H276"/>
    <mergeCell ref="A747:A751"/>
    <mergeCell ref="F87:F91"/>
    <mergeCell ref="E692:E696"/>
    <mergeCell ref="C507:C511"/>
    <mergeCell ref="H1062:H1066"/>
    <mergeCell ref="E482:E486"/>
    <mergeCell ref="B412:B416"/>
    <mergeCell ref="G967:G971"/>
    <mergeCell ref="C122:C126"/>
    <mergeCell ref="A662:A666"/>
    <mergeCell ref="D787:D791"/>
    <mergeCell ref="A962:A966"/>
    <mergeCell ref="G242:G246"/>
    <mergeCell ref="E907:E911"/>
    <mergeCell ref="B327:B331"/>
    <mergeCell ref="D802:D806"/>
    <mergeCell ref="B12:B16"/>
    <mergeCell ref="G882:G886"/>
    <mergeCell ref="G542:G546"/>
    <mergeCell ref="D812:D816"/>
    <mergeCell ref="E1082:E1086"/>
    <mergeCell ref="B312:B316"/>
    <mergeCell ref="F447:F451"/>
    <mergeCell ref="A217:A221"/>
    <mergeCell ref="A377:A381"/>
    <mergeCell ref="F1072:F1076"/>
    <mergeCell ref="F932:F936"/>
    <mergeCell ref="E837:E841"/>
    <mergeCell ref="E497:E501"/>
    <mergeCell ref="C42:C46"/>
    <mergeCell ref="C807:C811"/>
    <mergeCell ref="F582:F586"/>
    <mergeCell ref="C757:C761"/>
    <mergeCell ref="C877:C881"/>
    <mergeCell ref="B207:B211"/>
    <mergeCell ref="A112:A116"/>
    <mergeCell ref="G612:G616"/>
    <mergeCell ref="D542:D546"/>
    <mergeCell ref="B507:B511"/>
    <mergeCell ref="F517:F521"/>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G1127:G1131"/>
    <mergeCell ref="D1082:D1086"/>
    <mergeCell ref="D357:D361"/>
    <mergeCell ref="B897:B901"/>
    <mergeCell ref="C262:C266"/>
    <mergeCell ref="H1107:H1111"/>
    <mergeCell ref="H217:H221"/>
    <mergeCell ref="D992:D996"/>
    <mergeCell ref="D237:D241"/>
    <mergeCell ref="F1117:F1121"/>
    <mergeCell ref="C1107:C1111"/>
    <mergeCell ref="E867:E871"/>
    <mergeCell ref="E792:E796"/>
    <mergeCell ref="G857:G861"/>
    <mergeCell ref="H267:H271"/>
    <mergeCell ref="H1097:H1101"/>
    <mergeCell ref="E1127:E1131"/>
    <mergeCell ref="G1117:G1121"/>
    <mergeCell ref="H902:H906"/>
    <mergeCell ref="F2:F6"/>
    <mergeCell ref="C1052:C1056"/>
    <mergeCell ref="C297:C301"/>
    <mergeCell ref="D692:D696"/>
    <mergeCell ref="H827:H831"/>
    <mergeCell ref="G432:G436"/>
    <mergeCell ref="E57:E61"/>
    <mergeCell ref="H522:H526"/>
    <mergeCell ref="C597:C601"/>
    <mergeCell ref="H1127:H1131"/>
    <mergeCell ref="F337:F341"/>
    <mergeCell ref="C1047:C1051"/>
    <mergeCell ref="C292:C296"/>
    <mergeCell ref="E357:E361"/>
    <mergeCell ref="E1022:E1026"/>
    <mergeCell ref="B952:B956"/>
    <mergeCell ref="H97:H101"/>
    <mergeCell ref="E52:E56"/>
    <mergeCell ref="D262:D266"/>
    <mergeCell ref="B227:B231"/>
    <mergeCell ref="G877:G881"/>
    <mergeCell ref="E352:E356"/>
    <mergeCell ref="C12:C16"/>
    <mergeCell ref="H542:H546"/>
    <mergeCell ref="B672:B676"/>
    <mergeCell ref="C312:C316"/>
    <mergeCell ref="G447:G451"/>
    <mergeCell ref="C977:C981"/>
    <mergeCell ref="F77:F81"/>
    <mergeCell ref="B217:B221"/>
    <mergeCell ref="E737:E741"/>
    <mergeCell ref="B667:B671"/>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C62:C66"/>
    <mergeCell ref="E342:E346"/>
    <mergeCell ref="E1072:E1076"/>
    <mergeCell ref="H172:H176"/>
    <mergeCell ref="F737:F741"/>
    <mergeCell ref="F712:F716"/>
    <mergeCell ref="C667:C671"/>
    <mergeCell ref="G102:G106"/>
    <mergeCell ref="E642:E646"/>
    <mergeCell ref="F1037:F1041"/>
    <mergeCell ref="E337:E341"/>
    <mergeCell ref="A177:A181"/>
    <mergeCell ref="G402:G406"/>
    <mergeCell ref="E942:E946"/>
    <mergeCell ref="C152:C156"/>
    <mergeCell ref="G97:G101"/>
    <mergeCell ref="B812:B816"/>
    <mergeCell ref="D707:D711"/>
    <mergeCell ref="D392:D396"/>
    <mergeCell ref="G1092:G1096"/>
    <mergeCell ref="D1047:D1051"/>
    <mergeCell ref="A467:A471"/>
    <mergeCell ref="H457:H461"/>
    <mergeCell ref="F1022:F1026"/>
    <mergeCell ref="H142:H146"/>
    <mergeCell ref="E412:E41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A1007:A1011"/>
    <mergeCell ref="A247:A251"/>
    <mergeCell ref="A272:A276"/>
    <mergeCell ref="F377:F381"/>
    <mergeCell ref="G467:G471"/>
    <mergeCell ref="D642:D646"/>
    <mergeCell ref="E1037:E1041"/>
    <mergeCell ref="E282:E286"/>
    <mergeCell ref="G932:G936"/>
    <mergeCell ref="A1062:A1066"/>
    <mergeCell ref="D942:D946"/>
    <mergeCell ref="C707:C711"/>
    <mergeCell ref="C392:C396"/>
    <mergeCell ref="A1127:A1131"/>
    <mergeCell ref="D227:D231"/>
    <mergeCell ref="H802:H806"/>
    <mergeCell ref="C282:C286"/>
    <mergeCell ref="A822:A826"/>
    <mergeCell ref="A97:A101"/>
    <mergeCell ref="C582:C586"/>
    <mergeCell ref="A1122:A1126"/>
    <mergeCell ref="D222:D226"/>
    <mergeCell ref="H42:H46"/>
    <mergeCell ref="E217:E221"/>
    <mergeCell ref="F197:F201"/>
    <mergeCell ref="B1057:B1061"/>
    <mergeCell ref="G437:G441"/>
    <mergeCell ref="F1097:F1101"/>
    <mergeCell ref="B937:B941"/>
    <mergeCell ref="A237:A241"/>
    <mergeCell ref="C212:C216"/>
    <mergeCell ref="D607:D611"/>
    <mergeCell ref="A562:A566"/>
    <mergeCell ref="A537:A541"/>
    <mergeCell ref="F1092:F1096"/>
    <mergeCell ref="C512:C516"/>
    <mergeCell ref="D907:D911"/>
    <mergeCell ref="H727:H731"/>
    <mergeCell ref="A862:A866"/>
    <mergeCell ref="E997:E1001"/>
    <mergeCell ref="C207:C211"/>
    <mergeCell ref="C812:C816"/>
    <mergeCell ref="E392:E396"/>
    <mergeCell ref="H1027:H1031"/>
    <mergeCell ref="H887:H891"/>
    <mergeCell ref="G12:G16"/>
    <mergeCell ref="A142:A146"/>
    <mergeCell ref="B97:B101"/>
    <mergeCell ref="F672:F676"/>
    <mergeCell ref="E247:E251"/>
    <mergeCell ref="G312:G316"/>
    <mergeCell ref="A757:A761"/>
    <mergeCell ref="A442:A44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B1137:B1141"/>
    <mergeCell ref="E622:E626"/>
    <mergeCell ref="B822:B826"/>
    <mergeCell ref="G597:G601"/>
    <mergeCell ref="B832:B836"/>
    <mergeCell ref="B77:B81"/>
    <mergeCell ref="A727:A731"/>
    <mergeCell ref="H992:H996"/>
    <mergeCell ref="G292:G296"/>
    <mergeCell ref="B1122:B1126"/>
    <mergeCell ref="A422:A426"/>
    <mergeCell ref="B377:B381"/>
    <mergeCell ref="C487:C491"/>
    <mergeCell ref="D852:D856"/>
    <mergeCell ref="A1027:A1031"/>
    <mergeCell ref="F952:F956"/>
    <mergeCell ref="A887:A891"/>
    <mergeCell ref="H262:H266"/>
    <mergeCell ref="F662:F666"/>
    <mergeCell ref="E77:E81"/>
    <mergeCell ref="C617:C621"/>
    <mergeCell ref="E377:E381"/>
    <mergeCell ref="C917:C921"/>
    <mergeCell ref="A882:A886"/>
    <mergeCell ref="H1082:H1086"/>
    <mergeCell ref="H792:H796"/>
    <mergeCell ref="B922:B926"/>
    <mergeCell ref="B167:B171"/>
    <mergeCell ref="G262:G266"/>
    <mergeCell ref="G122:G126"/>
    <mergeCell ref="B617:B621"/>
    <mergeCell ref="C257:C261"/>
    <mergeCell ref="A1112:A1116"/>
    <mergeCell ref="G367:G371"/>
    <mergeCell ref="C117:C121"/>
    <mergeCell ref="E182:E186"/>
    <mergeCell ref="B452:B456"/>
    <mergeCell ref="F272:F276"/>
    <mergeCell ref="G667:G671"/>
    <mergeCell ref="D87:D91"/>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A522:A526"/>
    <mergeCell ref="B917:B921"/>
    <mergeCell ref="B162:B166"/>
    <mergeCell ref="D1052:D1056"/>
    <mergeCell ref="G792:G796"/>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A22:A26"/>
    <mergeCell ref="D747:D751"/>
    <mergeCell ref="A922:A926"/>
    <mergeCell ref="A167:A171"/>
    <mergeCell ref="D22:D26"/>
    <mergeCell ref="B562:B566"/>
    <mergeCell ref="C652:C656"/>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2025-12-16T09:54:21Z</dcterms:created>
  <dcterms:modified xsi:type="dcterms:W3CDTF">2025-12-16T10:13:55Z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TZUMDk6NTY6MzJaIiwicElEIjoxLCJwcm9jZXNzSWQiOjExMjgwLCJwcm9jZXNzTmFtZSI6IkVYQ0VMLkVYRSIsInRyYWNlSWQiOiJBMTc3MjUxQUIxOEY0MThCQTBFMEUxREJCODJGNjZBRCIsInVzZXJDb2RlIjoibXVsdGlkeTE5ODUifSwibm9kZTIiOnsiZHNkIjoiMDEwMDAwMDAwMDAwMTQzMyIsImxvZ1RpbWUiOiIyMDI1LTEyLTE2VDA5OjU2OjMyWiIsInBJRCI6MSwicHJvY2Vzc0lkIjoxMTI4MCwicHJvY2Vzc05hbWUiOiJFWENFTC5FWEUiLCJ0cmFjZUlkIjoiQTE3NzI1MUFCMThGNDE4QkEwRTBFMURCQjgyRjY2QUQiLCJ1c2VyQ29kZSI6Im11bHRpZHkxOTg1In0sIm5vZGUzIjp7ImRzZCI6IjAxMDAwMDAwMDAwMDE0MzMiLCJsb2dUaW1lIjoiMjAyNS0xMi0xNlQwOTo1NjozMloiLCJwSUQiOjEsInByb2Nlc3NJZCI6MTEyODAsInByb2Nlc3NOYW1lIjoiRVhDRUwuRVhFIiwidHJhY2VJZCI6IkExNzcyNTFBQjE4RjQxOEJBMEUwRTFEQkI4MkY2NkFEIiwidXNlckNvZGUiOiJtdWx0aWR5MTk4NSJ9LCJub2RlNCI6eyJkc2QiOiIwMTAwMDAwMDAwMDAxNDMzIiwibG9nVGltZSI6IjIwMjUtMTItMTZUMDk6NTY6MzJaIiwicElEIjoxLCJwcm9jZXNzSWQiOjExMjgwLCJwcm9jZXNzTmFtZSI6IkVYQ0VMLkVYRSIsInRyYWNlSWQiOiJBMTc3MjUxQUIxOEY0MThCQTBFMEUxREJCODJGNjZBRCIsInVzZXJDb2RlIjoibXVsdGlkeTE5ODUifSwibm9kZTUiOnsiZHNkIjoiMDAwMDAwMDAwMDAwMDAwMCIsImxvZ1RpbWUiOiIyMDI1LTEyLTE2VDEwOjE0OjIzWiIsInBJRCI6MjA0OCwicHJvY2Vzc0lkIjoxMTI4MCwicHJvY2Vzc05hbWUiOiJFWENFTC5FWEUiLCJ0cmFjZUlkIjoiMTZBNkU1N0IyMUMxNDlCOEI3QzZGMURFMTVFNURENDgiLCJ1c2VyQ29kZSI6Im11bHRpZHkxOTg1In0sIm5vZGVDb3VudCI6Miwicm9vdFRyYWNlSWQiOiJBMTc3MjUxQUIxOEY0MThCQTBFMEUxREJCODJGNjZBRCJ9</vt:lpwstr>
  </property>
</Properties>
</file>